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de20e4797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bcf51fa2b7d84d47"/>
    <x:sheet xmlns:r="http://schemas.openxmlformats.org/officeDocument/2006/relationships" name="Controls" sheetId="2" r:id="Reab9a65dc10842b8"/>
    <x:sheet xmlns:r="http://schemas.openxmlformats.org/officeDocument/2006/relationships" name="Architecture Stress" sheetId="3" r:id="Re7a0fc8ceea9432c"/>
    <x:sheet xmlns:r="http://schemas.openxmlformats.org/officeDocument/2006/relationships" name="Worlds" sheetId="4" r:id="Re323c6610df147ac"/>
    <x:sheet xmlns:r="http://schemas.openxmlformats.org/officeDocument/2006/relationships" name="Sensitivity" sheetId="5" r:id="R7c38909e15314ec1"/>
    <x:sheet xmlns:r="http://schemas.openxmlformats.org/officeDocument/2006/relationships" name="Pilot Summary" sheetId="6" r:id="R198376c050dd4f22"/>
    <x:sheet xmlns:r="http://schemas.openxmlformats.org/officeDocument/2006/relationships" name="Tract Screen" sheetId="7" r:id="R4c99c84030aa48d7"/>
    <x:sheet xmlns:r="http://schemas.openxmlformats.org/officeDocument/2006/relationships" name="Candidate Nodes" sheetId="8" r:id="R51f2755997c34ceb"/>
    <x:sheet xmlns:r="http://schemas.openxmlformats.org/officeDocument/2006/relationships" name="CTN Process" sheetId="9" r:id="R4e95a7dc7a4d46d2"/>
    <x:sheet xmlns:r="http://schemas.openxmlformats.org/officeDocument/2006/relationships" name="CTN Systems" sheetId="10" r:id="R547cfb492f834fd9"/>
    <x:sheet xmlns:r="http://schemas.openxmlformats.org/officeDocument/2006/relationships" name="UCM-8" sheetId="11" r:id="R121e5279187e4643"/>
    <x:sheet xmlns:r="http://schemas.openxmlformats.org/officeDocument/2006/relationships" name="Finance Workforce" sheetId="12" r:id="Refc802709da345df"/>
    <x:sheet xmlns:r="http://schemas.openxmlformats.org/officeDocument/2006/relationships" name="Evidence Gates" sheetId="13" r:id="R55e1b8576f244c6e"/>
    <x:sheet xmlns:r="http://schemas.openxmlformats.org/officeDocument/2006/relationships" name="Sources" sheetId="14" r:id="R867a9cbde34a4797"/>
    <x:sheet xmlns:r="http://schemas.openxmlformats.org/officeDocument/2006/relationships" name="Checks" sheetId="15" r:id="R3709383a3110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"/>
    <x:numFmt numFmtId="201" formatCode="0.0%"/>
    <x:numFmt numFmtId="202" formatCode="$#,#0.0"/>
    <x:numFmt numFmtId="203" formatCode="0.000"/>
    <x:numFmt numFmtId="204" formatCode="#,#0"/>
    <x:numFmt numFmtId="205" formatCode="0.0"/>
    <x:numFmt numFmtId="206" formatCode="#,#0.0"/>
    <x:numFmt numFmtId="207" formatCode="0.00000"/>
    <x:numFmt numFmtId="208" formatCode="#,#0.00"/>
    <x:numFmt numFmtId="209" formatCode="#,#0.000"/>
  </x:numFmts>
  <x:fonts count="9">
    <x:font>
      <x:sz val="11"/>
      <x:name val="Carlito"/>
    </x:font>
    <x:font>
      <x:b/>
      <x:sz val="18"/>
      <x:color rgb="FF17242E"/>
      <x:name val="Aptos"/>
    </x:font>
    <x:font>
      <x:i/>
      <x:sz val="10"/>
      <x:color rgb="FF60717D"/>
      <x:name val="Aptos"/>
    </x:font>
    <x:font>
      <x:b/>
      <x:sz val="9"/>
      <x:color rgb="FFFFFFFF"/>
      <x:name val="Aptos"/>
    </x:font>
    <x:font>
      <x:sz val="9"/>
      <x:color rgb="FF17242E"/>
      <x:name val="Aptos"/>
    </x:font>
    <x:font>
      <x:sz val="9"/>
      <x:color rgb="FF0000FF"/>
      <x:name val="Aptos"/>
    </x:font>
    <x:font>
      <x:i/>
      <x:sz val="9"/>
      <x:color rgb="FF17242E"/>
      <x:name val="Aptos"/>
    </x:font>
    <x:font>
      <x:b/>
      <x:sz val="11"/>
      <x:color rgb="FF143B57"/>
      <x:name val="Aptos"/>
    </x:font>
    <x:font>
      <x:b/>
      <x:sz val="10"/>
      <x:color rgb="FF17242E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43B57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EF2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</x:fills>
  <x:borders count="7">
    <x:border/>
    <x:border>
      <x:bottom style="thin">
        <x:color rgb="FF143B57"/>
      </x:bottom>
    </x:border>
    <x:border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bottom style="thin">
        <x:color rgb="FF143B57"/>
      </x:bottom>
    </x:border>
    <x:border>
      <x:bottom style="thin">
        <x:color rgb="FFD4DEE4"/>
      </x:bottom>
    </x:border>
    <x:border>
      <x:top style="thin">
        <x:color rgb="FFD4DEE4"/>
      </x:top>
      <x:bottom style="thin">
        <x:color rgb="FFD4DEE4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201" fontId="4" fillId="3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3" borderId="6" xfId="0" applyNumberFormat="1" applyFont="1" applyFill="1" applyBorder="1" applyAlignment="1">
      <x:alignment vertical="top" wrapText="1"/>
    </x:xf>
    <x:xf numFmtId="202" fontId="4" fillId="3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4" fillId="3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203" fontId="4" fillId="3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3" borderId="6" xfId="0" applyNumberFormat="1" applyFont="1" applyFill="1" applyBorder="1" applyAlignment="1">
      <x:alignment vertical="top" wrapText="1"/>
    </x:xf>
    <x:xf numFmtId="204" fontId="4" fillId="3" borderId="5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204" fontId="4" fillId="3" borderId="6" xfId="0" applyNumberFormat="1" applyFont="1" applyFill="1" applyBorder="1" applyAlignment="1">
      <x:alignment vertical="top" wrapText="1"/>
    </x:xf>
    <x:xf numFmtId="205" fontId="4" fillId="3" borderId="5" xfId="0" applyNumberFormat="1" applyFont="1" applyFill="1" applyBorder="1" applyAlignment="1">
      <x:alignment vertical="top" wrapText="1"/>
    </x:xf>
    <x:xf numFmtId="205" fontId="4" fillId="0" borderId="6" xfId="0" applyNumberFormat="1" applyFont="1" applyFill="1" applyBorder="1" applyAlignment="1">
      <x:alignment vertical="top" wrapText="1"/>
    </x:xf>
    <x:xf numFmtId="205" fontId="4" fillId="3" borderId="6" xfId="0" applyNumberFormat="1" applyFont="1" applyFill="1" applyBorder="1" applyAlignment="1">
      <x:alignment vertical="top" wrapText="1"/>
    </x:xf>
    <x:xf numFmtId="206" fontId="4" fillId="3" borderId="5" xfId="0" applyNumberFormat="1" applyFont="1" applyFill="1" applyBorder="1" applyAlignment="1">
      <x:alignment vertical="top" wrapText="1"/>
    </x:xf>
    <x:xf numFmtId="206" fontId="4" fillId="0" borderId="6" xfId="0" applyNumberFormat="1" applyFont="1" applyFill="1" applyBorder="1" applyAlignment="1">
      <x:alignment vertical="top" wrapText="1"/>
    </x:xf>
    <x:xf numFmtId="206" fontId="4" fillId="3" borderId="6" xfId="0" applyNumberFormat="1" applyFont="1" applyFill="1" applyBorder="1" applyAlignment="1">
      <x:alignment vertical="top" wrapText="1"/>
    </x:xf>
    <x:xf numFmtId="207" fontId="4" fillId="3" borderId="5" xfId="0" applyNumberFormat="1" applyFont="1" applyFill="1" applyBorder="1" applyAlignment="1">
      <x:alignment vertical="top" wrapText="1"/>
    </x:xf>
    <x:xf numFmtId="207" fontId="4" fillId="0" borderId="6" xfId="0" applyNumberFormat="1" applyFont="1" applyFill="1" applyBorder="1" applyAlignment="1">
      <x:alignment vertical="top" wrapText="1"/>
    </x:xf>
    <x:xf numFmtId="207" fontId="4" fillId="3" borderId="6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201" fontId="5" fillId="4" borderId="6" xfId="0" applyNumberFormat="1" applyFont="1" applyFill="1" applyBorder="1" applyAlignment="1">
      <x:alignment vertical="top" wrapText="1"/>
    </x:xf>
    <x:xf numFmtId="206" fontId="5" fillId="4" borderId="5" xfId="0" applyNumberFormat="1" applyFont="1" applyFill="1" applyBorder="1" applyAlignment="1">
      <x:alignment vertical="top" wrapText="1"/>
    </x:xf>
    <x:xf numFmtId="206" fontId="5" fillId="4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204" fontId="8" fillId="7" borderId="0" xfId="0" applyNumberFormat="1" applyFont="1" applyFill="1" applyBorder="1" applyAlignment="1">
      <x:alignment wrapText="1"/>
    </x:xf>
    <x:xf numFmtId="208" fontId="4" fillId="3" borderId="5" xfId="0" applyNumberFormat="1" applyFont="1" applyFill="1" applyBorder="1" applyAlignment="1">
      <x:alignment vertical="top" wrapText="1"/>
    </x:xf>
    <x:xf numFmtId="208" fontId="4" fillId="0" borderId="6" xfId="0" applyNumberFormat="1" applyFont="1" applyFill="1" applyBorder="1" applyAlignment="1">
      <x:alignment vertical="top" wrapText="1"/>
    </x:xf>
    <x:xf numFmtId="208" fontId="4" fillId="3" borderId="6" xfId="0" applyNumberFormat="1" applyFont="1" applyFill="1" applyBorder="1" applyAlignment="1">
      <x:alignment vertical="top" wrapText="1"/>
    </x:xf>
    <x:xf numFmtId="206" fontId="8" fillId="7" borderId="0" xfId="0" applyNumberFormat="1" applyFont="1" applyFill="1" applyBorder="1" applyAlignment="1">
      <x:alignment wrapText="1"/>
    </x:xf>
    <x:xf numFmtId="209" fontId="4" fillId="3" borderId="5" xfId="0" applyNumberFormat="1" applyFont="1" applyFill="1" applyBorder="1" applyAlignment="1">
      <x:alignment vertical="top" wrapText="1"/>
    </x:xf>
    <x:xf numFmtId="209" fontId="4" fillId="0" borderId="6" xfId="0" applyNumberFormat="1" applyFont="1" applyFill="1" applyBorder="1" applyAlignment="1">
      <x:alignment vertical="top" wrapText="1"/>
    </x:xf>
    <x:xf numFmtId="209" fontId="4" fillId="3" borderId="6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7d3112dd34937" /><Relationship Type="http://schemas.openxmlformats.org/officeDocument/2006/relationships/theme" Target="/xl/theme/theme1.xml" Id="R626e7d99e8574d5c" /><Relationship Type="http://schemas.openxmlformats.org/officeDocument/2006/relationships/sharedStrings" Target="/xl/sharedStrings.xml" Id="Rcda47d26ad9a4cc5" /><Relationship Type="http://schemas.openxmlformats.org/officeDocument/2006/relationships/worksheet" Target="/xl/worksheets/sheet1.xml" Id="Rbcf51fa2b7d84d47" /><Relationship Type="http://schemas.openxmlformats.org/officeDocument/2006/relationships/worksheet" Target="/xl/worksheets/sheet2.xml" Id="Reab9a65dc10842b8" /><Relationship Type="http://schemas.openxmlformats.org/officeDocument/2006/relationships/worksheet" Target="/xl/worksheets/sheet3.xml" Id="Re7a0fc8ceea9432c" /><Relationship Type="http://schemas.openxmlformats.org/officeDocument/2006/relationships/worksheet" Target="/xl/worksheets/sheet4.xml" Id="Re323c6610df147ac" /><Relationship Type="http://schemas.openxmlformats.org/officeDocument/2006/relationships/worksheet" Target="/xl/worksheets/sheet5.xml" Id="R7c38909e15314ec1" /><Relationship Type="http://schemas.openxmlformats.org/officeDocument/2006/relationships/worksheet" Target="/xl/worksheets/sheet6.xml" Id="R198376c050dd4f22" /><Relationship Type="http://schemas.openxmlformats.org/officeDocument/2006/relationships/worksheet" Target="/xl/worksheets/sheet7.xml" Id="R4c99c84030aa48d7" /><Relationship Type="http://schemas.openxmlformats.org/officeDocument/2006/relationships/worksheet" Target="/xl/worksheets/sheet8.xml" Id="R51f2755997c34ceb" /><Relationship Type="http://schemas.openxmlformats.org/officeDocument/2006/relationships/worksheet" Target="/xl/worksheets/sheet9.xml" Id="R4e95a7dc7a4d46d2" /><Relationship Type="http://schemas.openxmlformats.org/officeDocument/2006/relationships/worksheet" Target="/xl/worksheets/sheet10.xml" Id="R547cfb492f834fd9" /><Relationship Type="http://schemas.openxmlformats.org/officeDocument/2006/relationships/worksheet" Target="/xl/worksheets/sheet11.xml" Id="R121e5279187e4643" /><Relationship Type="http://schemas.openxmlformats.org/officeDocument/2006/relationships/worksheet" Target="/xl/worksheets/sheet12.xml" Id="Refc802709da345df" /><Relationship Type="http://schemas.openxmlformats.org/officeDocument/2006/relationships/worksheet" Target="/xl/worksheets/sheet13.xml" Id="R55e1b8576f244c6e" /><Relationship Type="http://schemas.openxmlformats.org/officeDocument/2006/relationships/worksheet" Target="/xl/worksheets/sheet14.xml" Id="R867a9cbde34a4797" /><Relationship Type="http://schemas.openxmlformats.org/officeDocument/2006/relationships/worksheet" Target="/xl/worksheets/sheet15.xml" Id="R3709383a31104a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9" customHeight="1">
      <x:c r="A1" s="2" t="str">
        <x:v>Civil Mobility Assurance Under Deep Uncertainty</x:v>
      </x:c>
      <x:c r="B1" s="2"/>
      <x:c r="C1" s="2"/>
      <x:c r="D1" s="2"/>
      <x:c r="E1" s="2"/>
      <x:c r="F1" s="2"/>
      <x:c r="G1" s="2"/>
      <x:c r="H1" s="2"/>
    </x:row>
    <x:row r="2" ht="32" customHeight="1">
      <x:c r="A2" s="6" t="str">
        <x:v>Pass 34 falsifies the fixed-point A2 decision, exposes tract collection as a distinct network, and configures CTN-10 and UCM-8 far enough to reopen force composition.</x:v>
      </x:c>
      <x:c r="B2" s="6"/>
      <x:c r="C2" s="6"/>
      <x:c r="D2" s="6"/>
      <x:c r="E2" s="6"/>
      <x:c r="F2" s="6"/>
      <x:c r="G2" s="6"/>
      <x:c r="H2" s="6"/>
    </x:row>
    <x:row r="4" ht="23" customHeight="1">
      <x:c r="A4" s="67" t="str">
        <x:v>Decision</x:v>
      </x:c>
      <x:c r="B4" s="67"/>
      <x:c r="C4" s="67"/>
      <x:c r="D4" s="67"/>
      <x:c r="E4" s="67"/>
      <x:c r="F4" s="67"/>
      <x:c r="G4" s="67"/>
      <x:c r="H4" s="67"/>
    </x:row>
    <x:row r="5" ht="42" customHeight="1">
      <x:c r="A5" s="45" t="str">
        <x:v>Do not procure A2 as the standalone national architecture. Preserve its mobility, restoration and continuity technologies inside an A3-class protected-local system, then prove how much relocation capacity remains necessary after local protection closes.</x:v>
      </x:c>
      <x:c r="B5" s="45"/>
      <x:c r="C5" s="45"/>
      <x:c r="D5" s="45"/>
      <x:c r="E5" s="45"/>
      <x:c r="F5" s="45"/>
      <x:c r="G5" s="45"/>
      <x:c r="H5" s="45"/>
    </x:row>
    <x:row r="7" ht="23" customHeight="1">
      <x:c r="A7" s="67" t="str">
        <x:v>Architecture result</x:v>
      </x:c>
      <x:c r="B7" s="67"/>
      <x:c r="C7" s="67"/>
      <x:c r="D7" s="67"/>
      <x:c r="E7" s="67"/>
      <x:c r="F7" s="67"/>
      <x:c r="G7" s="67"/>
      <x:c r="H7" s="67"/>
    </x:row>
    <x:row r="8" ht="32" customHeight="1">
      <x:c r="A8" s="18" t="str">
        <x:v>Architecture</x:v>
      </x:c>
      <x:c r="B8" s="19" t="str">
        <x:v>Success</x:v>
      </x:c>
      <x:c r="C8" s="19" t="str">
        <x:v>Mean closure</x:v>
      </x:c>
      <x:c r="D8" s="19" t="str">
        <x:v>P05 closure</x:v>
      </x:c>
      <x:c r="E8" s="19" t="str">
        <x:v>Bottom-decile mean</x:v>
      </x:c>
      <x:c r="F8" s="19" t="str">
        <x:v>Capital $B</x:v>
      </x:c>
      <x:c r="G8" s="19" t="str">
        <x:v>25-year $B</x:v>
      </x:c>
      <x:c r="H8" s="20" t="str">
        <x:v>Decision</x:v>
      </x:c>
    </x:row>
    <x:row r="9" ht="32.400001525878906" hidden="0" customHeight="1">
      <x:c r="A9" s="28" t="str">
        <x:v>A1</x:v>
      </x:c>
      <x:c r="B9" s="36" t="n">
        <x:v>0.003</x:v>
      </x:c>
      <x:c r="C9" s="36" t="n">
        <x:v>0.845690189208974</x:v>
      </x:c>
      <x:c r="D9" s="36" t="n">
        <x:v>0.726520982268247</x:v>
      </x:c>
      <x:c r="E9" s="36" t="n">
        <x:v>0.5630067647729469</x:v>
      </x:c>
      <x:c r="F9" s="39" t="n">
        <x:v>2004.462</x:v>
      </x:c>
      <x:c r="G9" s="39" t="n">
        <x:v>4239.7786125</x:v>
      </x:c>
      <x:c r="H9" s="28" t="str">
        <x:v>REDESIGN / SUBSYSTEM</x:v>
      </x:c>
    </x:row>
    <x:row r="10" ht="32.400001525878906" hidden="0" customHeight="1">
      <x:c r="A10" s="27" t="str">
        <x:v>A2</x:v>
      </x:c>
      <x:c r="B10" s="37" t="n">
        <x:v>0.076</x:v>
      </x:c>
      <x:c r="C10" s="37" t="n">
        <x:v>0.9182156106585903</x:v>
      </x:c>
      <x:c r="D10" s="37" t="n">
        <x:v>0.7954602268715042</x:v>
      </x:c>
      <x:c r="E10" s="37" t="n">
        <x:v>0.6668358652140722</x:v>
      </x:c>
      <x:c r="F10" s="40" t="n">
        <x:v>2350.5303</x:v>
      </x:c>
      <x:c r="G10" s="40" t="n">
        <x:v>4986.765785625</x:v>
      </x:c>
      <x:c r="H10" s="27" t="str">
        <x:v>REDESIGN / SUBSYSTEM</x:v>
      </x:c>
    </x:row>
    <x:row r="11" ht="15" hidden="0" customHeight="1">
      <x:c r="A11" s="29" t="str">
        <x:v>A3</x:v>
      </x:c>
      <x:c r="B11" s="38" t="n">
        <x:v>0.998</x:v>
      </x:c>
      <x:c r="C11" s="38" t="n">
        <x:v>0.9999741399692148</x:v>
      </x:c>
      <x:c r="D11" s="38" t="n">
        <x:v>1</x:v>
      </x:c>
      <x:c r="E11" s="38" t="n">
        <x:v>0.9997563974041223</x:v>
      </x:c>
      <x:c r="F11" s="41" t="n">
        <x:v>3063.2436000000002</x:v>
      </x:c>
      <x:c r="G11" s="41" t="n">
        <x:v>6299.356927500001</x:v>
      </x:c>
      <x:c r="H11" s="29" t="str">
        <x:v>REFERENCE</x:v>
      </x:c>
    </x:row>
    <x:row r="14" ht="23" customHeight="1">
      <x:c r="A14" s="67" t="str">
        <x:v>Configuration result</x:v>
      </x:c>
      <x:c r="B14" s="67"/>
      <x:c r="C14" s="67"/>
      <x:c r="D14" s="67"/>
      <x:c r="E14" s="67"/>
      <x:c r="F14" s="67"/>
      <x:c r="G14" s="67"/>
      <x:c r="H14" s="67"/>
    </x:row>
    <x:row r="15" ht="29" customHeight="1">
      <x:c r="A15" s="70" t="str">
        <x:v>CTN-10 peak flow</x:v>
      </x:c>
      <x:c r="B15" s="75" t="n">
        <x:v>1000</x:v>
      </x:c>
      <x:c r="C15" s="75" t="str">
        <x:v>people/h</x:v>
      </x:c>
      <x:c r="D15" s="75" t="str">
        <x:v>CTN deployed staff</x:v>
      </x:c>
      <x:c r="E15" s="75" t="n">
        <x:v>2289</x:v>
      </x:c>
      <x:c r="F15" s="75" t="str">
        <x:v>people</x:v>
      </x:c>
      <x:c r="G15" s="75" t="str">
        <x:v>CTN deployable mass</x:v>
      </x:c>
      <x:c r="H15" s="75" t="n">
        <x:v>4513.3015</x:v>
      </x:c>
    </x:row>
    <x:row r="16" ht="29" customHeight="1">
      <x:c r="A16" s="70" t="str">
        <x:v>CTN gross area</x:v>
      </x:c>
      <x:c r="B16" s="75" t="n">
        <x:v>29263.499999999996</x:v>
      </x:c>
      <x:c r="C16" s="75" t="str">
        <x:v>m2</x:v>
      </x:c>
      <x:c r="D16" s="75" t="str">
        <x:v>UCM-8 gross mass</x:v>
      </x:c>
      <x:c r="E16" s="75" t="n">
        <x:v>5300</x:v>
      </x:c>
      <x:c r="F16" s="75" t="str">
        <x:v>kg</x:v>
      </x:c>
      <x:c r="G16" s="75" t="str">
        <x:v>Targeted modules/day</x:v>
      </x:c>
      <x:c r="H16" s="75" t="n">
        <x:v>250</x:v>
      </x:c>
    </x:row>
    <x:row r="19" ht="23" customHeight="1">
      <x:c r="A19" s="67" t="str">
        <x:v>What changes</x:v>
      </x:c>
      <x:c r="B19" s="67"/>
      <x:c r="C19" s="67"/>
      <x:c r="D19" s="67"/>
      <x:c r="E19" s="67"/>
      <x:c r="F19" s="67"/>
      <x:c r="G19" s="67"/>
      <x:c r="H19" s="67"/>
    </x:row>
    <x:row r="20" ht="21.600000381469727" hidden="0" customHeight="1">
      <x:c r="A20" s="28" t="str">
        <x:v>1</x:v>
      </x:c>
      <x:c r="B20" s="28" t="str">
        <x:v>Protected-local continuity becomes the robust reference architecture; A2 becomes a nested rescue, concentration and return subsystem.</x:v>
      </x:c>
      <x:c r="C20" s="28"/>
      <x:c r="D20" s="28"/>
      <x:c r="E20" s="28"/>
      <x:c r="F20" s="28"/>
      <x:c r="G20" s="28"/>
      <x:c r="H20" s="28"/>
    </x:row>
    <x:row r="21" ht="21.600000381469727" hidden="0" customHeight="1">
      <x:c r="A21" s="27" t="str">
        <x:v>2</x:v>
      </x:c>
      <x:c r="B21" s="27" t="str">
        <x:v>Collection is its own force layer. In four tract pilots, only 9.0%–20.4% of weighted accessible burden lies within sixty minutes even before damage and queues.</x:v>
      </x:c>
      <x:c r="C21" s="27"/>
      <x:c r="D21" s="27"/>
      <x:c r="E21" s="27"/>
      <x:c r="F21" s="27"/>
      <x:c r="G21" s="27"/>
      <x:c r="H21" s="27"/>
    </x:row>
    <x:row r="22" ht="21.600000381469727" hidden="0" customHeight="1">
      <x:c r="A22" s="29" t="str">
        <x:v>3</x:v>
      </x:c>
      <x:c r="B22" s="29" t="str">
        <x:v>CTN-10 is a 29,263 m2, 4,513 t, 2,289-person formation hypothesis—not a 220-person node detachment.</x:v>
      </x:c>
      <x:c r="C22" s="29"/>
      <x:c r="D22" s="29"/>
      <x:c r="E22" s="29"/>
      <x:c r="F22" s="29"/>
      <x:c r="G22" s="29"/>
      <x:c r="H22" s="29"/>
    </x:row>
    <x:row r="23" ht="21.600000381469727" hidden="0" customHeight="1">
      <x:c r="A23" s="27" t="str">
        <x:v>4</x:v>
      </x:c>
      <x:c r="B23" s="27" t="str">
        <x:v>UCM-8 should target accessible and clinical transfers. Universal use creates 1,250 module movements/day/node and likely defeats its purpose.</x:v>
      </x:c>
      <x:c r="C23" s="27"/>
      <x:c r="D23" s="27"/>
      <x:c r="E23" s="27"/>
      <x:c r="F23" s="27"/>
      <x:c r="G23" s="27"/>
      <x:c r="H23" s="27"/>
    </x:row>
    <x:row r="24" ht="21.600000381469727" hidden="0" customHeight="1">
      <x:c r="A24" s="29" t="str">
        <x:v>5</x:v>
      </x:c>
      <x:c r="B24" s="29" t="str">
        <x:v>No probability, site, queue, mass, cross-modal or rights gate is closed. Rendering remains blocked.</x:v>
      </x:c>
      <x:c r="C24" s="29"/>
      <x:c r="D24" s="29"/>
      <x:c r="E24" s="29"/>
      <x:c r="F24" s="29"/>
      <x:c r="G24" s="29"/>
      <x:c r="H24" s="29"/>
    </x:row>
  </x:sheetData>
  <x:mergeCells>
    <x:mergeCell ref="A1:H1"/>
    <x:mergeCell ref="A2:H2"/>
    <x:mergeCell ref="A4:H4"/>
    <x:mergeCell ref="A5:H5"/>
    <x:mergeCell ref="A7:H7"/>
    <x:mergeCell ref="A14:H14"/>
    <x:mergeCell ref="A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7" hidden="0" customWidth="1"/>
    <x:col min="4" max="4" width="17" hidden="0" customWidth="1"/>
    <x:col min="5" max="5" width="23" hidden="0" customWidth="1"/>
    <x:col min="6" max="6" width="23" hidden="0" customWidth="1"/>
    <x:col min="7" max="7" width="49" hidden="0" customWidth="1"/>
  </x:cols>
  <x:sheetData>
    <x:row r="1" ht="29" customHeight="1">
      <x:c r="A1" s="2" t="str">
        <x:v>Civil mobility assurance controls</x:v>
      </x:c>
      <x:c r="B1" s="2"/>
      <x:c r="C1" s="2"/>
      <x:c r="D1" s="2"/>
      <x:c r="E1" s="2"/>
      <x:c r="F1" s="2"/>
      <x:c r="G1" s="2"/>
    </x:row>
    <x:row r="2" ht="32" customHeight="1">
      <x:c r="A2" s="6" t="str">
        <x:v>Yellow cells are declared assumptions. The workbook records generated outer-loop worlds; changing these ranges requires regeneration, not a false live forecast.</x:v>
      </x:c>
      <x:c r="B2" s="6"/>
      <x:c r="C2" s="6"/>
      <x:c r="D2" s="6"/>
      <x:c r="E2" s="6"/>
      <x:c r="F2" s="6"/>
      <x:c r="G2" s="6"/>
    </x:row>
    <x:row r="4" ht="32" customHeight="1">
      <x:c r="A4" s="18" t="str">
        <x:v>ID</x:v>
      </x:c>
      <x:c r="B4" s="19" t="str">
        <x:v>Control</x:v>
      </x:c>
      <x:c r="C4" s="19" t="str">
        <x:v>Low / value</x:v>
      </x:c>
      <x:c r="D4" s="19" t="str">
        <x:v>High</x:v>
      </x:c>
      <x:c r="E4" s="19" t="str">
        <x:v>Unit</x:v>
      </x:c>
      <x:c r="F4" s="19" t="str">
        <x:v>Class</x:v>
      </x:c>
      <x:c r="G4" s="20" t="str">
        <x:v>Boundary</x:v>
      </x:c>
    </x:row>
    <x:row r="5" ht="64.80000305175781" hidden="0" customHeight="1">
      <x:c r="A5" s="28" t="str">
        <x:v>DU01</x:v>
      </x:c>
      <x:c r="B5" s="28" t="str">
        <x:v>demand_multiplier</x:v>
      </x:c>
      <x:c r="C5" s="34" t="n">
        <x:v>0.9</x:v>
      </x:c>
      <x:c r="D5" s="34" t="n">
        <x:v>1.35</x:v>
      </x:c>
      <x:c r="E5" s="28" t="str">
        <x:v>fraction or multiplier</x:v>
      </x:c>
      <x:c r="F5" s="28" t="str">
        <x:v>deep-uncertainty range</x:v>
      </x:c>
      <x:c r="G5" s="28" t="str">
        <x:v>uniform Latin-hypercube exploration; not fitted probability</x:v>
      </x:c>
    </x:row>
    <x:row r="6" ht="64.80000305175781" hidden="0" customHeight="1">
      <x:c r="A6" s="27" t="str">
        <x:v>DU02</x:v>
      </x:c>
      <x:c r="B6" s="27" t="str">
        <x:v>receiver_common</x:v>
      </x:c>
      <x:c r="C6" s="35" t="n">
        <x:v>0.72</x:v>
      </x:c>
      <x:c r="D6" s="35" t="n">
        <x:v>1</x:v>
      </x:c>
      <x:c r="E6" s="27" t="str">
        <x:v>fraction or multiplier</x:v>
      </x:c>
      <x:c r="F6" s="27" t="str">
        <x:v>deep-uncertainty range</x:v>
      </x:c>
      <x:c r="G6" s="27" t="str">
        <x:v>uniform Latin-hypercube exploration; not fitted probability</x:v>
      </x:c>
    </x:row>
    <x:row r="7" ht="64.80000305175781" hidden="0" customHeight="1">
      <x:c r="A7" s="29" t="str">
        <x:v>DU03</x:v>
      </x:c>
      <x:c r="B7" s="29" t="str">
        <x:v>hardening_realization</x:v>
      </x:c>
      <x:c r="C7" s="35" t="n">
        <x:v>0.45</x:v>
      </x:c>
      <x:c r="D7" s="35" t="n">
        <x:v>1.1</x:v>
      </x:c>
      <x:c r="E7" s="29" t="str">
        <x:v>fraction or multiplier</x:v>
      </x:c>
      <x:c r="F7" s="29" t="str">
        <x:v>deep-uncertainty range</x:v>
      </x:c>
      <x:c r="G7" s="29" t="str">
        <x:v>uniform Latin-hypercube exploration; not fitted probability</x:v>
      </x:c>
    </x:row>
    <x:row r="8" ht="64.80000305175781" hidden="0" customHeight="1">
      <x:c r="A8" s="27" t="str">
        <x:v>DU04</x:v>
      </x:c>
      <x:c r="B8" s="27" t="str">
        <x:v>route_shift</x:v>
      </x:c>
      <x:c r="C8" s="35" t="n">
        <x:v>-0.2</x:v>
      </x:c>
      <x:c r="D8" s="35" t="n">
        <x:v>0.04</x:v>
      </x:c>
      <x:c r="E8" s="27" t="str">
        <x:v>fraction or multiplier</x:v>
      </x:c>
      <x:c r="F8" s="27" t="str">
        <x:v>deep-uncertainty range</x:v>
      </x:c>
      <x:c r="G8" s="27" t="str">
        <x:v>uniform Latin-hypercube exploration; not fitted probability</x:v>
      </x:c>
    </x:row>
    <x:row r="9" ht="64.80000305175781" hidden="0" customHeight="1">
      <x:c r="A9" s="29" t="str">
        <x:v>DU05</x:v>
      </x:c>
      <x:c r="B9" s="29" t="str">
        <x:v>terminal_shift</x:v>
      </x:c>
      <x:c r="C9" s="35" t="n">
        <x:v>-0.2</x:v>
      </x:c>
      <x:c r="D9" s="35" t="n">
        <x:v>0.03</x:v>
      </x:c>
      <x:c r="E9" s="29" t="str">
        <x:v>fraction or multiplier</x:v>
      </x:c>
      <x:c r="F9" s="29" t="str">
        <x:v>deep-uncertainty range</x:v>
      </x:c>
      <x:c r="G9" s="29" t="str">
        <x:v>uniform Latin-hypercube exploration; not fitted probability</x:v>
      </x:c>
    </x:row>
    <x:row r="10" ht="64.80000305175781" hidden="0" customHeight="1">
      <x:c r="A10" s="27" t="str">
        <x:v>DU06</x:v>
      </x:c>
      <x:c r="B10" s="27" t="str">
        <x:v>restoration_realization</x:v>
      </x:c>
      <x:c r="C10" s="35" t="n">
        <x:v>0.3</x:v>
      </x:c>
      <x:c r="D10" s="35" t="n">
        <x:v>1.1</x:v>
      </x:c>
      <x:c r="E10" s="27" t="str">
        <x:v>fraction or multiplier</x:v>
      </x:c>
      <x:c r="F10" s="27" t="str">
        <x:v>deep-uncertainty range</x:v>
      </x:c>
      <x:c r="G10" s="27" t="str">
        <x:v>uniform Latin-hypercube exploration; not fitted probability</x:v>
      </x:c>
    </x:row>
    <x:row r="11" ht="64.80000305175781" hidden="0" customHeight="1">
      <x:c r="A11" s="29" t="str">
        <x:v>DU07</x:v>
      </x:c>
      <x:c r="B11" s="29" t="str">
        <x:v>fleet_availability</x:v>
      </x:c>
      <x:c r="C11" s="35" t="n">
        <x:v>0.6</x:v>
      </x:c>
      <x:c r="D11" s="35" t="n">
        <x:v>1.02</x:v>
      </x:c>
      <x:c r="E11" s="29" t="str">
        <x:v>fraction or multiplier</x:v>
      </x:c>
      <x:c r="F11" s="29" t="str">
        <x:v>deep-uncertainty range</x:v>
      </x:c>
      <x:c r="G11" s="29" t="str">
        <x:v>uniform Latin-hypercube exploration; not fitted probability</x:v>
      </x:c>
    </x:row>
    <x:row r="12" ht="64.80000305175781" hidden="0" customHeight="1">
      <x:c r="A12" s="27" t="str">
        <x:v>DU08</x:v>
      </x:c>
      <x:c r="B12" s="27" t="str">
        <x:v>collection_reach</x:v>
      </x:c>
      <x:c r="C12" s="35" t="n">
        <x:v>0.4</x:v>
      </x:c>
      <x:c r="D12" s="35" t="n">
        <x:v>1</x:v>
      </x:c>
      <x:c r="E12" s="27" t="str">
        <x:v>fraction or multiplier</x:v>
      </x:c>
      <x:c r="F12" s="27" t="str">
        <x:v>deep-uncertainty range</x:v>
      </x:c>
      <x:c r="G12" s="27" t="str">
        <x:v>uniform Latin-hypercube exploration; not fitted probability</x:v>
      </x:c>
    </x:row>
    <x:row r="13" ht="64.80000305175781" hidden="0" customHeight="1">
      <x:c r="A13" s="29" t="str">
        <x:v>DU09</x:v>
      </x:c>
      <x:c r="B13" s="29" t="str">
        <x:v>destination_acceptance</x:v>
      </x:c>
      <x:c r="C13" s="35" t="n">
        <x:v>0.55</x:v>
      </x:c>
      <x:c r="D13" s="35" t="n">
        <x:v>1</x:v>
      </x:c>
      <x:c r="E13" s="29" t="str">
        <x:v>fraction or multiplier</x:v>
      </x:c>
      <x:c r="F13" s="29" t="str">
        <x:v>deep-uncertainty range</x:v>
      </x:c>
      <x:c r="G13" s="29" t="str">
        <x:v>uniform Latin-hypercube exploration; not fitted probability</x:v>
      </x:c>
    </x:row>
    <x:row r="14" ht="64.80000305175781" hidden="0" customHeight="1">
      <x:c r="A14" s="27" t="str">
        <x:v>DU10</x:v>
      </x:c>
      <x:c r="B14" s="27" t="str">
        <x:v>queue_factor</x:v>
      </x:c>
      <x:c r="C14" s="35" t="n">
        <x:v>0.5</x:v>
      </x:c>
      <x:c r="D14" s="35" t="n">
        <x:v>1</x:v>
      </x:c>
      <x:c r="E14" s="27" t="str">
        <x:v>fraction or multiplier</x:v>
      </x:c>
      <x:c r="F14" s="27" t="str">
        <x:v>deep-uncertainty range</x:v>
      </x:c>
      <x:c r="G14" s="27" t="str">
        <x:v>uniform Latin-hypercube exploration; not fitted probability</x:v>
      </x:c>
    </x:row>
    <x:row r="15" ht="64.80000305175781" hidden="0" customHeight="1">
      <x:c r="A15" s="29" t="str">
        <x:v>DU11</x:v>
      </x:c>
      <x:c r="B15" s="29" t="str">
        <x:v>common_mode_add</x:v>
      </x:c>
      <x:c r="C15" s="35" t="n">
        <x:v>0</x:v>
      </x:c>
      <x:c r="D15" s="35" t="n">
        <x:v>0.18</x:v>
      </x:c>
      <x:c r="E15" s="29" t="str">
        <x:v>fraction or multiplier</x:v>
      </x:c>
      <x:c r="F15" s="29" t="str">
        <x:v>deep-uncertainty range</x:v>
      </x:c>
      <x:c r="G15" s="29" t="str">
        <x:v>uniform Latin-hypercube exploration; not fitted probability</x:v>
      </x:c>
    </x:row>
    <x:row r="16" ht="64.80000305175781" hidden="0" customHeight="1">
      <x:c r="A16" s="27" t="str">
        <x:v>DU12</x:v>
      </x:c>
      <x:c r="B16" s="27" t="str">
        <x:v>access_realization</x:v>
      </x:c>
      <x:c r="C16" s="35" t="n">
        <x:v>0.65</x:v>
      </x:c>
      <x:c r="D16" s="35" t="n">
        <x:v>1</x:v>
      </x:c>
      <x:c r="E16" s="27" t="str">
        <x:v>fraction or multiplier</x:v>
      </x:c>
      <x:c r="F16" s="27" t="str">
        <x:v>deep-uncertainty range</x:v>
      </x:c>
      <x:c r="G16" s="27" t="str">
        <x:v>uniform Latin-hypercube exploration; not fitted probability</x:v>
      </x:c>
    </x:row>
    <x:row r="17" ht="64.80000305175781" hidden="0" customHeight="1">
      <x:c r="A17" s="29" t="str">
        <x:v>M01</x:v>
      </x:c>
      <x:c r="B17" s="29" t="str">
        <x:v>Worlds per architecture</x:v>
      </x:c>
      <x:c r="C17" s="35" t="n">
        <x:v>1000</x:v>
      </x:c>
      <x:c r="D17" s="35" t="n">
        <x:v>1000</x:v>
      </x:c>
      <x:c r="E17" s="29" t="str">
        <x:v>worlds</x:v>
      </x:c>
      <x:c r="F17" s="29" t="str">
        <x:v>method</x:v>
      </x:c>
      <x:c r="G17" s="29" t="str">
        <x:v>common sampled worlds; pseudo-random event draws</x:v>
      </x:c>
    </x:row>
    <x:row r="18" ht="43.20000076293945" hidden="0" customHeight="1">
      <x:c r="A18" s="27" t="str">
        <x:v>M02</x:v>
      </x:c>
      <x:c r="B18" s="27" t="str">
        <x:v>Success total closure</x:v>
      </x:c>
      <x:c r="C18" s="35" t="n">
        <x:v>0.99</x:v>
      </x:c>
      <x:c r="D18" s="35" t="n">
        <x:v>0.99</x:v>
      </x:c>
      <x:c r="E18" s="27" t="str">
        <x:v>fraction</x:v>
      </x:c>
      <x:c r="F18" s="27" t="str">
        <x:v>design rule</x:v>
      </x:c>
      <x:c r="G18" s="27" t="str">
        <x:v>must pass in same world as other thresholds</x:v>
      </x:c>
    </x:row>
    <x:row r="19" ht="54" hidden="0" customHeight="1">
      <x:c r="A19" s="29" t="str">
        <x:v>M03</x:v>
      </x:c>
      <x:c r="B19" s="29" t="str">
        <x:v>Success protected minimum</x:v>
      </x:c>
      <x:c r="C19" s="35" t="n">
        <x:v>0.97</x:v>
      </x:c>
      <x:c r="D19" s="35" t="n">
        <x:v>0.97</x:v>
      </x:c>
      <x:c r="E19" s="29" t="str">
        <x:v>fraction</x:v>
      </x:c>
      <x:c r="F19" s="29" t="str">
        <x:v>design rule</x:v>
      </x:c>
      <x:c r="G19" s="29" t="str">
        <x:v>clinical, accessible, custodial and no-vehicle</x:v>
      </x:c>
    </x:row>
    <x:row r="20" ht="32.400001525878906" hidden="0" customHeight="1">
      <x:c r="A20" s="27" t="str">
        <x:v>M04</x:v>
      </x:c>
      <x:c r="B20" s="27" t="str">
        <x:v>Success bottom decile</x:v>
      </x:c>
      <x:c r="C20" s="35" t="n">
        <x:v>0.95</x:v>
      </x:c>
      <x:c r="D20" s="35" t="n">
        <x:v>0.95</x:v>
      </x:c>
      <x:c r="E20" s="27" t="str">
        <x:v>fraction</x:v>
      </x:c>
      <x:c r="F20" s="27" t="str">
        <x:v>design rule</x:v>
      </x:c>
      <x:c r="G20" s="27" t="str">
        <x:v>population-weighted SCA tail</x:v>
      </x:c>
    </x:row>
    <x:row r="21" ht="32.400001525878906" hidden="0" customHeight="1">
      <x:c r="A21" s="29" t="str">
        <x:v>M05</x:v>
      </x:c>
      <x:c r="B21" s="29" t="str">
        <x:v>Rendering authorization</x:v>
      </x:c>
      <x:c r="C21" s="35" t="n">
        <x:v>0</x:v>
      </x:c>
      <x:c r="D21" s="35" t="n">
        <x:v>0</x:v>
      </x:c>
      <x:c r="E21" s="29" t="str">
        <x:v>binary</x:v>
      </x:c>
      <x:c r="F21" s="29" t="str">
        <x:v>governance</x:v>
      </x:c>
      <x:c r="G21" s="29" t="str">
        <x:v>all fourteen evidence gates open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</x:cols>
  <x:sheetData>
    <x:row r="1" ht="29" customHeight="1">
      <x:c r="A1" s="2" t="str">
        <x:v>Architecture performance under deep uncertainty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6" t="str">
        <x:v>One thousand broad parameter worlds attack the fixed-point result. They are scenario coverage, not likelihood-weighted forecasts.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2" customHeight="1">
      <x:c r="A4" s="18" t="str">
        <x:v>ID</x:v>
      </x:c>
      <x:c r="B4" s="19" t="str">
        <x:v>Architecture</x:v>
      </x:c>
      <x:c r="C4" s="19" t="str">
        <x:v>Success rate</x:v>
      </x:c>
      <x:c r="D4" s="19" t="str">
        <x:v>Mean closure</x:v>
      </x:c>
      <x:c r="E4" s="19" t="str">
        <x:v>P05 closure</x:v>
      </x:c>
      <x:c r="F4" s="19" t="str">
        <x:v>Mean bottom decile</x:v>
      </x:c>
      <x:c r="G4" s="19" t="str">
        <x:v>P05 bottom decile</x:v>
      </x:c>
      <x:c r="H4" s="19" t="str">
        <x:v>Mean protected min</x:v>
      </x:c>
      <x:c r="I4" s="19" t="str">
        <x:v>P05 protected min</x:v>
      </x:c>
      <x:c r="J4" s="19" t="str">
        <x:v>Capital $B</x:v>
      </x:c>
      <x:c r="K4" s="19" t="str">
        <x:v>25-year $B</x:v>
      </x:c>
      <x:c r="L4" s="19" t="str">
        <x:v>Pass 33 success</x:v>
      </x:c>
      <x:c r="M4" s="20" t="str">
        <x:v>Disposition</x:v>
      </x:c>
    </x:row>
    <x:row r="5" ht="32.400001525878906" hidden="0" customHeight="1">
      <x:c r="A5" s="28" t="str">
        <x:v>A1</x:v>
      </x:c>
      <x:c r="B5" s="28" t="str">
        <x:v>Universal-access mobility force</x:v>
      </x:c>
      <x:c r="C5" s="36" t="n">
        <x:f>AVERAGEIF(Worlds!$B:$B,A5,Worlds!$S:$S)</x:f>
        <x:v>0.003</x:v>
      </x:c>
      <x:c r="D5" s="36" t="n">
        <x:v>0.845690189208974</x:v>
      </x:c>
      <x:c r="E5" s="36" t="n">
        <x:v>0.726520982268247</x:v>
      </x:c>
      <x:c r="F5" s="36" t="n">
        <x:v>0.5630067647729469</x:v>
      </x:c>
      <x:c r="G5" s="36" t="n">
        <x:v>0.40295904674360555</x:v>
      </x:c>
      <x:c r="H5" s="36" t="n">
        <x:v>0.9871810575279566</x:v>
      </x:c>
      <x:c r="I5" s="36" t="n">
        <x:v>0.9146461925106731</x:v>
      </x:c>
      <x:c r="J5" s="39" t="n">
        <x:v>2004.462</x:v>
      </x:c>
      <x:c r="K5" s="39" t="n">
        <x:v>4239.7786125</x:v>
      </x:c>
      <x:c r="L5" s="36" t="n">
        <x:v>0.138</x:v>
      </x:c>
      <x:c r="M5" s="28" t="str">
        <x:f>IF(C5&gt;=0.95,"ADVANCE","REJECT / REDESIGN")</x:f>
        <x:v>REJECT / REDESIGN</x:v>
      </x:c>
    </x:row>
    <x:row r="6" ht="32.400001525878906" hidden="0" customHeight="1">
      <x:c r="A6" s="27" t="str">
        <x:v>A2</x:v>
      </x:c>
      <x:c r="B6" s="27" t="str">
        <x:v>Restorable multimodal mesh</x:v>
      </x:c>
      <x:c r="C6" s="37" t="n">
        <x:f>AVERAGEIF(Worlds!$B:$B,A6,Worlds!$S:$S)</x:f>
        <x:v>0.076</x:v>
      </x:c>
      <x:c r="D6" s="37" t="n">
        <x:v>0.9182156106585903</x:v>
      </x:c>
      <x:c r="E6" s="37" t="n">
        <x:v>0.7954602268715042</x:v>
      </x:c>
      <x:c r="F6" s="37" t="n">
        <x:v>0.6668358652140722</x:v>
      </x:c>
      <x:c r="G6" s="37" t="n">
        <x:v>0.4454413327511839</x:v>
      </x:c>
      <x:c r="H6" s="37" t="n">
        <x:v>0.9993254690636236</x:v>
      </x:c>
      <x:c r="I6" s="37" t="n">
        <x:v>1</x:v>
      </x:c>
      <x:c r="J6" s="40" t="n">
        <x:v>2350.5303</x:v>
      </x:c>
      <x:c r="K6" s="40" t="n">
        <x:v>4986.765785625</x:v>
      </x:c>
      <x:c r="L6" s="37" t="n">
        <x:v>0.988</x:v>
      </x:c>
      <x:c r="M6" s="27" t="str">
        <x:f>IF(C6&gt;=0.95,"ADVANCE","REJECT / REDESIGN")</x:f>
        <x:v>REJECT / REDESIGN</x:v>
      </x:c>
    </x:row>
    <x:row r="7" ht="21.600000381469727" hidden="0" customHeight="1">
      <x:c r="A7" s="29" t="str">
        <x:v>A3</x:v>
      </x:c>
      <x:c r="B7" s="29" t="str">
        <x:v>Protected-local continuity</x:v>
      </x:c>
      <x:c r="C7" s="38" t="n">
        <x:f>AVERAGEIF(Worlds!$B:$B,A7,Worlds!$S:$S)</x:f>
        <x:v>0.998</x:v>
      </x:c>
      <x:c r="D7" s="38" t="n">
        <x:v>0.9999741399692148</x:v>
      </x:c>
      <x:c r="E7" s="38" t="n">
        <x:v>1</x:v>
      </x:c>
      <x:c r="F7" s="38" t="n">
        <x:v>0.9997563974041223</x:v>
      </x:c>
      <x:c r="G7" s="38" t="n">
        <x:v>1</x:v>
      </x:c>
      <x:c r="H7" s="38" t="n">
        <x:v>1</x:v>
      </x:c>
      <x:c r="I7" s="38" t="n">
        <x:v>1</x:v>
      </x:c>
      <x:c r="J7" s="41" t="n">
        <x:v>3063.2436000000002</x:v>
      </x:c>
      <x:c r="K7" s="41" t="n">
        <x:v>6299.356927500001</x:v>
      </x:c>
      <x:c r="L7" s="38" t="n">
        <x:v>1</x:v>
      </x:c>
      <x:c r="M7" s="29" t="str">
        <x:f>IF(C7&gt;=0.95,"ADVANCE","REJECT / REDESIGN")</x:f>
        <x:v>ADVANCE</x:v>
      </x:c>
    </x:row>
    <x:row r="9" ht="42" customHeight="1">
      <x:c r="A9" s="45" t="str">
        <x:v>The A2 restorable mesh falls from 98.8% in the fixed Pass 33 distribution to 7.6% across the declared broad worlds. A3 retains 99.8%, so protected-local continuity becomes the robust reference while mobility remains essential for rescue, concentration and return.</x:v>
      </x:c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</x:row>
  </x:sheetData>
  <x:mergeCells>
    <x:mergeCell ref="A1:M1"/>
    <x:mergeCell ref="A2:M2"/>
    <x:mergeCell ref="A9:M9"/>
  </x:mergeCells>
  <x:conditionalFormatting sqref="M5:M7">
    <x:cfRule type="expression" dxfId="2" priority="1">
      <x:formula>M5="REFERENCE"</x:formula>
    </x:cfRule>
    <x:cfRule type="expression" dxfId="3" priority="2">
      <x:formula>M5&lt;&gt;"REFERENCE"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29" customHeight="1">
      <x:c r="A1" s="2" t="str">
        <x:v>Paired deep-uncertainty worlds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2" customHeight="1">
      <x:c r="A2" s="6" t="str">
        <x:v>All architectures face the same outer-loop parameter world. Event draws use the same seed but allocation paths remain architecture-dependent.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32" customHeight="1">
      <x:c r="A4" s="18" t="str">
        <x:v>World</x:v>
      </x:c>
      <x:c r="B4" s="19" t="str">
        <x:v>Architecture</x:v>
      </x:c>
      <x:c r="C4" s="19" t="str">
        <x:v>Demand mult.</x:v>
      </x:c>
      <x:c r="D4" s="19" t="str">
        <x:v>Receiver common</x:v>
      </x:c>
      <x:c r="E4" s="19" t="str">
        <x:v>Hardening realization</x:v>
      </x:c>
      <x:c r="F4" s="19" t="str">
        <x:v>Route shift</x:v>
      </x:c>
      <x:c r="G4" s="19" t="str">
        <x:v>Terminal shift</x:v>
      </x:c>
      <x:c r="H4" s="19" t="str">
        <x:v>Restoration realization</x:v>
      </x:c>
      <x:c r="I4" s="19" t="str">
        <x:v>Fleet availability</x:v>
      </x:c>
      <x:c r="J4" s="19" t="str">
        <x:v>Collection reach</x:v>
      </x:c>
      <x:c r="K4" s="19" t="str">
        <x:v>Destination acceptance</x:v>
      </x:c>
      <x:c r="L4" s="19" t="str">
        <x:v>Queue factor</x:v>
      </x:c>
      <x:c r="M4" s="19" t="str">
        <x:v>Common-mode add</x:v>
      </x:c>
      <x:c r="N4" s="19" t="str">
        <x:v>Access realization</x:v>
      </x:c>
      <x:c r="O4" s="19" t="str">
        <x:v>Closure</x:v>
      </x:c>
      <x:c r="P4" s="19" t="str">
        <x:v>Bottom decile</x:v>
      </x:c>
      <x:c r="Q4" s="19" t="str">
        <x:v>Protected min</x:v>
      </x:c>
      <x:c r="R4" s="19" t="str">
        <x:v>General closure</x:v>
      </x:c>
      <x:c r="S4" s="20" t="str">
        <x:v>Success</x:v>
      </x:c>
    </x:row>
    <x:row r="5" ht="21.600000381469727" hidden="0" customHeight="1">
      <x:c r="A5" s="28" t="n">
        <x:v>1</x:v>
      </x:c>
      <x:c r="B5" s="28" t="str">
        <x:v>A1</x:v>
      </x:c>
      <x:c r="C5" s="46" t="n">
        <x:v>1.2998751984010637</x:v>
      </x:c>
      <x:c r="D5" s="46" t="n">
        <x:v>0.8220057200668459</x:v>
      </x:c>
      <x:c r="E5" s="46" t="n">
        <x:v>0.9105658710453286</x:v>
      </x:c>
      <x:c r="F5" s="46" t="n">
        <x:v>-0.05067788970995957</x:v>
      </x:c>
      <x:c r="G5" s="46" t="n">
        <x:v>-0.11534602447894912</x:v>
      </x:c>
      <x:c r="H5" s="46" t="n">
        <x:v>0.7825201087114189</x:v>
      </x:c>
      <x:c r="I5" s="46" t="n">
        <x:v>0.9374323501039856</x:v>
      </x:c>
      <x:c r="J5" s="46" t="n">
        <x:v>0.561688029767983</x:v>
      </x:c>
      <x:c r="K5" s="46" t="n">
        <x:v>0.9434495016186127</x:v>
      </x:c>
      <x:c r="L5" s="46" t="n">
        <x:v>0.8855773703960723</x:v>
      </x:c>
      <x:c r="M5" s="46" t="n">
        <x:v>0.13132695511818784</x:v>
      </x:c>
      <x:c r="N5" s="46" t="n">
        <x:v>0.7332526368640788</x:v>
      </x:c>
      <x:c r="O5" s="46" t="n">
        <x:v>0.801929916861383</x:v>
      </x:c>
      <x:c r="P5" s="46" t="n">
        <x:v>0.5380802307985143</x:v>
      </x:c>
      <x:c r="Q5" s="46" t="n">
        <x:v>0.9999999999999999</x:v>
      </x:c>
      <x:c r="R5" s="46" t="n">
        <x:v>0.7554145357025316</x:v>
      </x:c>
      <x:c r="S5" s="28" t="n">
        <x:v>0</x:v>
      </x:c>
    </x:row>
    <x:row r="6" ht="21.600000381469727" hidden="0" customHeight="1">
      <x:c r="A6" s="27" t="n">
        <x:v>1</x:v>
      </x:c>
      <x:c r="B6" s="27" t="str">
        <x:v>A2</x:v>
      </x:c>
      <x:c r="C6" s="47" t="n">
        <x:v>1.2998751984010637</x:v>
      </x:c>
      <x:c r="D6" s="47" t="n">
        <x:v>0.8220057200668459</x:v>
      </x:c>
      <x:c r="E6" s="47" t="n">
        <x:v>0.9105658710453286</x:v>
      </x:c>
      <x:c r="F6" s="47" t="n">
        <x:v>-0.05067788970995957</x:v>
      </x:c>
      <x:c r="G6" s="47" t="n">
        <x:v>-0.11534602447894912</x:v>
      </x:c>
      <x:c r="H6" s="47" t="n">
        <x:v>0.7825201087114189</x:v>
      </x:c>
      <x:c r="I6" s="47" t="n">
        <x:v>0.9374323501039856</x:v>
      </x:c>
      <x:c r="J6" s="47" t="n">
        <x:v>0.561688029767983</x:v>
      </x:c>
      <x:c r="K6" s="47" t="n">
        <x:v>0.9434495016186127</x:v>
      </x:c>
      <x:c r="L6" s="47" t="n">
        <x:v>0.8855773703960723</x:v>
      </x:c>
      <x:c r="M6" s="47" t="n">
        <x:v>0.13132695511818784</x:v>
      </x:c>
      <x:c r="N6" s="47" t="n">
        <x:v>0.7332526368640788</x:v>
      </x:c>
      <x:c r="O6" s="47" t="n">
        <x:v>0.8713296552182754</x:v>
      </x:c>
      <x:c r="P6" s="47" t="n">
        <x:v>0.4807013403417437</x:v>
      </x:c>
      <x:c r="Q6" s="47" t="n">
        <x:v>1</x:v>
      </x:c>
      <x:c r="R6" s="47" t="n">
        <x:v>0.8411123198361617</x:v>
      </x:c>
      <x:c r="S6" s="27" t="n">
        <x:v>0</x:v>
      </x:c>
    </x:row>
    <x:row r="7" ht="21.600000381469727" hidden="0" customHeight="1">
      <x:c r="A7" s="29" t="n">
        <x:v>1</x:v>
      </x:c>
      <x:c r="B7" s="29" t="str">
        <x:v>A3</x:v>
      </x:c>
      <x:c r="C7" s="48" t="n">
        <x:v>1.2998751984010637</x:v>
      </x:c>
      <x:c r="D7" s="48" t="n">
        <x:v>0.8220057200668459</x:v>
      </x:c>
      <x:c r="E7" s="48" t="n">
        <x:v>0.9105658710453286</x:v>
      </x:c>
      <x:c r="F7" s="48" t="n">
        <x:v>-0.05067788970995957</x:v>
      </x:c>
      <x:c r="G7" s="48" t="n">
        <x:v>-0.11534602447894912</x:v>
      </x:c>
      <x:c r="H7" s="48" t="n">
        <x:v>0.7825201087114189</x:v>
      </x:c>
      <x:c r="I7" s="48" t="n">
        <x:v>0.9374323501039856</x:v>
      </x:c>
      <x:c r="J7" s="48" t="n">
        <x:v>0.561688029767983</x:v>
      </x:c>
      <x:c r="K7" s="48" t="n">
        <x:v>0.9434495016186127</x:v>
      </x:c>
      <x:c r="L7" s="48" t="n">
        <x:v>0.8855773703960723</x:v>
      </x:c>
      <x:c r="M7" s="48" t="n">
        <x:v>0.13132695511818784</x:v>
      </x:c>
      <x:c r="N7" s="48" t="n">
        <x:v>0.7332526368640788</x:v>
      </x:c>
      <x:c r="O7" s="48" t="n">
        <x:v>1</x:v>
      </x:c>
      <x:c r="P7" s="48" t="n">
        <x:v>1</x:v>
      </x:c>
      <x:c r="Q7" s="48" t="n">
        <x:v>1</x:v>
      </x:c>
      <x:c r="R7" s="48" t="n">
        <x:v>1</x:v>
      </x:c>
      <x:c r="S7" s="29" t="n">
        <x:v>1</x:v>
      </x:c>
    </x:row>
    <x:row r="8" ht="21.600000381469727" hidden="0" customHeight="1">
      <x:c r="A8" s="27" t="n">
        <x:v>2</x:v>
      </x:c>
      <x:c r="B8" s="27" t="str">
        <x:v>A1</x:v>
      </x:c>
      <x:c r="C8" s="47" t="n">
        <x:v>1.059713388000252</x:v>
      </x:c>
      <x:c r="D8" s="47" t="n">
        <x:v>0.9582024293462803</x:v>
      </x:c>
      <x:c r="E8" s="47" t="n">
        <x:v>0.7139076803931323</x:v>
      </x:c>
      <x:c r="F8" s="47" t="n">
        <x:v>-0.10803727006090062</x:v>
      </x:c>
      <x:c r="G8" s="47" t="n">
        <x:v>-0.1712285663546372</x:v>
      </x:c>
      <x:c r="H8" s="47" t="n">
        <x:v>0.7978101456813713</x:v>
      </x:c>
      <x:c r="I8" s="47" t="n">
        <x:v>0.8859393486913927</x:v>
      </x:c>
      <x:c r="J8" s="47" t="n">
        <x:v>0.8901535510886383</x:v>
      </x:c>
      <x:c r="K8" s="47" t="n">
        <x:v>0.6135125703268204</x:v>
      </x:c>
      <x:c r="L8" s="47" t="n">
        <x:v>0.6990744414063272</x:v>
      </x:c>
      <x:c r="M8" s="47" t="n">
        <x:v>0.045553548330221474</x:v>
      </x:c>
      <x:c r="N8" s="47" t="n">
        <x:v>0.995804734169101</x:v>
      </x:c>
      <x:c r="O8" s="47" t="n">
        <x:v>0.9216922893891982</x:v>
      </x:c>
      <x:c r="P8" s="47" t="n">
        <x:v>0.6491194731575349</x:v>
      </x:c>
      <x:c r="Q8" s="47" t="n">
        <x:v>1</x:v>
      </x:c>
      <x:c r="R8" s="47" t="n">
        <x:v>0.9033022682965666</x:v>
      </x:c>
      <x:c r="S8" s="27" t="n">
        <x:v>0</x:v>
      </x:c>
    </x:row>
    <x:row r="9" ht="21.600000381469727" hidden="0" customHeight="1">
      <x:c r="A9" s="29" t="n">
        <x:v>2</x:v>
      </x:c>
      <x:c r="B9" s="29" t="str">
        <x:v>A2</x:v>
      </x:c>
      <x:c r="C9" s="48" t="n">
        <x:v>1.059713388000252</x:v>
      </x:c>
      <x:c r="D9" s="48" t="n">
        <x:v>0.9582024293462803</x:v>
      </x:c>
      <x:c r="E9" s="48" t="n">
        <x:v>0.7139076803931323</x:v>
      </x:c>
      <x:c r="F9" s="48" t="n">
        <x:v>-0.10803727006090062</x:v>
      </x:c>
      <x:c r="G9" s="48" t="n">
        <x:v>-0.1712285663546372</x:v>
      </x:c>
      <x:c r="H9" s="48" t="n">
        <x:v>0.7978101456813713</x:v>
      </x:c>
      <x:c r="I9" s="48" t="n">
        <x:v>0.8859393486913927</x:v>
      </x:c>
      <x:c r="J9" s="48" t="n">
        <x:v>0.8901535510886383</x:v>
      </x:c>
      <x:c r="K9" s="48" t="n">
        <x:v>0.6135125703268204</x:v>
      </x:c>
      <x:c r="L9" s="48" t="n">
        <x:v>0.6990744414063272</x:v>
      </x:c>
      <x:c r="M9" s="48" t="n">
        <x:v>0.045553548330221474</x:v>
      </x:c>
      <x:c r="N9" s="48" t="n">
        <x:v>0.995804734169101</x:v>
      </x:c>
      <x:c r="O9" s="48" t="n">
        <x:v>0.9837775281980299</x:v>
      </x:c>
      <x:c r="P9" s="48" t="n">
        <x:v>0.8377752819802984</x:v>
      </x:c>
      <x:c r="Q9" s="48" t="n">
        <x:v>1</x:v>
      </x:c>
      <x:c r="R9" s="48" t="n">
        <x:v>0.9799677935462839</x:v>
      </x:c>
      <x:c r="S9" s="29" t="n">
        <x:v>0</x:v>
      </x:c>
    </x:row>
    <x:row r="10" ht="21.600000381469727" hidden="0" customHeight="1">
      <x:c r="A10" s="27" t="n">
        <x:v>2</x:v>
      </x:c>
      <x:c r="B10" s="27" t="str">
        <x:v>A3</x:v>
      </x:c>
      <x:c r="C10" s="47" t="n">
        <x:v>1.059713388000252</x:v>
      </x:c>
      <x:c r="D10" s="47" t="n">
        <x:v>0.9582024293462803</x:v>
      </x:c>
      <x:c r="E10" s="47" t="n">
        <x:v>0.7139076803931323</x:v>
      </x:c>
      <x:c r="F10" s="47" t="n">
        <x:v>-0.10803727006090062</x:v>
      </x:c>
      <x:c r="G10" s="47" t="n">
        <x:v>-0.1712285663546372</x:v>
      </x:c>
      <x:c r="H10" s="47" t="n">
        <x:v>0.7978101456813713</x:v>
      </x:c>
      <x:c r="I10" s="47" t="n">
        <x:v>0.8859393486913927</x:v>
      </x:c>
      <x:c r="J10" s="47" t="n">
        <x:v>0.8901535510886383</x:v>
      </x:c>
      <x:c r="K10" s="47" t="n">
        <x:v>0.6135125703268204</x:v>
      </x:c>
      <x:c r="L10" s="47" t="n">
        <x:v>0.6990744414063272</x:v>
      </x:c>
      <x:c r="M10" s="47" t="n">
        <x:v>0.045553548330221474</x:v>
      </x:c>
      <x:c r="N10" s="47" t="n">
        <x:v>0.995804734169101</x:v>
      </x:c>
      <x:c r="O10" s="47" t="n">
        <x:v>1</x:v>
      </x:c>
      <x:c r="P10" s="47" t="n">
        <x:v>1</x:v>
      </x:c>
      <x:c r="Q10" s="47" t="n">
        <x:v>1</x:v>
      </x:c>
      <x:c r="R10" s="47" t="n">
        <x:v>1</x:v>
      </x:c>
      <x:c r="S10" s="27" t="n">
        <x:v>1</x:v>
      </x:c>
    </x:row>
    <x:row r="11" ht="21.600000381469727" hidden="0" customHeight="1">
      <x:c r="A11" s="29" t="n">
        <x:v>3</x:v>
      </x:c>
      <x:c r="B11" s="29" t="str">
        <x:v>A1</x:v>
      </x:c>
      <x:c r="C11" s="48" t="n">
        <x:v>1.2787022964656538</x:v>
      </x:c>
      <x:c r="D11" s="48" t="n">
        <x:v>0.7988689527921896</x:v>
      </x:c>
      <x:c r="E11" s="48" t="n">
        <x:v>0.5847223853857145</x:v>
      </x:c>
      <x:c r="F11" s="48" t="n">
        <x:v>-0.128988868467108</x:v>
      </x:c>
      <x:c r="G11" s="48" t="n">
        <x:v>0.003059507241894577</x:v>
      </x:c>
      <x:c r="H11" s="48" t="n">
        <x:v>0.7127977575644526</x:v>
      </x:c>
      <x:c r="I11" s="48" t="n">
        <x:v>0.7921347113836124</x:v>
      </x:c>
      <x:c r="J11" s="48" t="n">
        <x:v>0.6660630431036278</x:v>
      </x:c>
      <x:c r="K11" s="48" t="n">
        <x:v>0.7878528780759879</x:v>
      </x:c>
      <x:c r="L11" s="48" t="n">
        <x:v>0.8792006479906594</x:v>
      </x:c>
      <x:c r="M11" s="48" t="n">
        <x:v>0.17017824960068437</x:v>
      </x:c>
      <x:c r="N11" s="48" t="n">
        <x:v>0.754733415962681</x:v>
      </x:c>
      <x:c r="O11" s="48" t="n">
        <x:v>0.765177172730049</x:v>
      </x:c>
      <x:c r="P11" s="48" t="n">
        <x:v>0.3894588030002967</x:v>
      </x:c>
      <x:c r="Q11" s="48" t="n">
        <x:v>1</x:v>
      </x:c>
      <x:c r="R11" s="48" t="n">
        <x:v>0.710030665280882</x:v>
      </x:c>
      <x:c r="S11" s="29" t="n">
        <x:v>0</x:v>
      </x:c>
    </x:row>
    <x:row r="12" ht="21.600000381469727" hidden="0" customHeight="1">
      <x:c r="A12" s="27" t="n">
        <x:v>3</x:v>
      </x:c>
      <x:c r="B12" s="27" t="str">
        <x:v>A2</x:v>
      </x:c>
      <x:c r="C12" s="47" t="n">
        <x:v>1.2787022964656538</x:v>
      </x:c>
      <x:c r="D12" s="47" t="n">
        <x:v>0.7988689527921896</x:v>
      </x:c>
      <x:c r="E12" s="47" t="n">
        <x:v>0.5847223853857145</x:v>
      </x:c>
      <x:c r="F12" s="47" t="n">
        <x:v>-0.128988868467108</x:v>
      </x:c>
      <x:c r="G12" s="47" t="n">
        <x:v>0.003059507241894577</x:v>
      </x:c>
      <x:c r="H12" s="47" t="n">
        <x:v>0.7127977575644526</x:v>
      </x:c>
      <x:c r="I12" s="47" t="n">
        <x:v>0.7921347113836124</x:v>
      </x:c>
      <x:c r="J12" s="47" t="n">
        <x:v>0.6660630431036278</x:v>
      </x:c>
      <x:c r="K12" s="47" t="n">
        <x:v>0.7878528780759879</x:v>
      </x:c>
      <x:c r="L12" s="47" t="n">
        <x:v>0.8792006479906594</x:v>
      </x:c>
      <x:c r="M12" s="47" t="n">
        <x:v>0.17017824960068437</x:v>
      </x:c>
      <x:c r="N12" s="47" t="n">
        <x:v>0.754733415962681</x:v>
      </x:c>
      <x:c r="O12" s="47" t="n">
        <x:v>0.8497190758807761</x:v>
      </x:c>
      <x:c r="P12" s="47" t="n">
        <x:v>0.53871728794565</x:v>
      </x:c>
      <x:c r="Q12" s="47" t="n">
        <x:v>0.9999999999999999</x:v>
      </x:c>
      <x:c r="R12" s="47" t="n">
        <x:v>0.8144266462743424</x:v>
      </x:c>
      <x:c r="S12" s="27" t="n">
        <x:v>0</x:v>
      </x:c>
    </x:row>
    <x:row r="13" ht="21.600000381469727" hidden="0" customHeight="1">
      <x:c r="A13" s="29" t="n">
        <x:v>3</x:v>
      </x:c>
      <x:c r="B13" s="29" t="str">
        <x:v>A3</x:v>
      </x:c>
      <x:c r="C13" s="48" t="n">
        <x:v>1.2787022964656538</x:v>
      </x:c>
      <x:c r="D13" s="48" t="n">
        <x:v>0.7988689527921896</x:v>
      </x:c>
      <x:c r="E13" s="48" t="n">
        <x:v>0.5847223853857145</x:v>
      </x:c>
      <x:c r="F13" s="48" t="n">
        <x:v>-0.128988868467108</x:v>
      </x:c>
      <x:c r="G13" s="48" t="n">
        <x:v>0.003059507241894577</x:v>
      </x:c>
      <x:c r="H13" s="48" t="n">
        <x:v>0.7127977575644526</x:v>
      </x:c>
      <x:c r="I13" s="48" t="n">
        <x:v>0.7921347113836124</x:v>
      </x:c>
      <x:c r="J13" s="48" t="n">
        <x:v>0.6660630431036278</x:v>
      </x:c>
      <x:c r="K13" s="48" t="n">
        <x:v>0.7878528780759879</x:v>
      </x:c>
      <x:c r="L13" s="48" t="n">
        <x:v>0.8792006479906594</x:v>
      </x:c>
      <x:c r="M13" s="48" t="n">
        <x:v>0.17017824960068437</x:v>
      </x:c>
      <x:c r="N13" s="48" t="n">
        <x:v>0.754733415962681</x:v>
      </x:c>
      <x:c r="O13" s="48" t="n">
        <x:v>1</x:v>
      </x:c>
      <x:c r="P13" s="48" t="n">
        <x:v>1</x:v>
      </x:c>
      <x:c r="Q13" s="48" t="n">
        <x:v>1</x:v>
      </x:c>
      <x:c r="R13" s="48" t="n">
        <x:v>1</x:v>
      </x:c>
      <x:c r="S13" s="29" t="n">
        <x:v>1</x:v>
      </x:c>
    </x:row>
    <x:row r="14" ht="21.600000381469727" hidden="0" customHeight="1">
      <x:c r="A14" s="27" t="n">
        <x:v>4</x:v>
      </x:c>
      <x:c r="B14" s="27" t="str">
        <x:v>A1</x:v>
      </x:c>
      <x:c r="C14" s="47" t="n">
        <x:v>1.1840264385231198</x:v>
      </x:c>
      <x:c r="D14" s="47" t="n">
        <x:v>0.7629903478913179</x:v>
      </x:c>
      <x:c r="E14" s="47" t="n">
        <x:v>0.8660551998295982</x:v>
      </x:c>
      <x:c r="F14" s="47" t="n">
        <x:v>-0.15463236348503137</x:v>
      </x:c>
      <x:c r="G14" s="47" t="n">
        <x:v>-0.012386553468512584</x:v>
      </x:c>
      <x:c r="H14" s="47" t="n">
        <x:v>0.8263180096221228</x:v>
      </x:c>
      <x:c r="I14" s="47" t="n">
        <x:v>0.7816805609207673</x:v>
      </x:c>
      <x:c r="J14" s="47" t="n">
        <x:v>0.562979951162592</x:v>
      </x:c>
      <x:c r="K14" s="47" t="n">
        <x:v>0.6849354758070442</x:v>
      </x:c>
      <x:c r="L14" s="47" t="n">
        <x:v>0.5804027006014547</x:v>
      </x:c>
      <x:c r="M14" s="47" t="n">
        <x:v>0.0994487150239136</x:v>
      </x:c>
      <x:c r="N14" s="47" t="n">
        <x:v>0.7443281846652612</x:v>
      </x:c>
      <x:c r="O14" s="47" t="n">
        <x:v>0.7334314801619696</x:v>
      </x:c>
      <x:c r="P14" s="47" t="n">
        <x:v>0.42012445611166144</x:v>
      </x:c>
      <x:c r="Q14" s="47" t="n">
        <x:v>0.8901609198135869</x:v>
      </x:c>
      <x:c r="R14" s="47" t="n">
        <x:v>0.6718465021496849</x:v>
      </x:c>
      <x:c r="S14" s="27" t="n">
        <x:v>0</x:v>
      </x:c>
    </x:row>
    <x:row r="15" ht="21.600000381469727" hidden="0" customHeight="1">
      <x:c r="A15" s="29" t="n">
        <x:v>4</x:v>
      </x:c>
      <x:c r="B15" s="29" t="str">
        <x:v>A2</x:v>
      </x:c>
      <x:c r="C15" s="48" t="n">
        <x:v>1.1840264385231198</x:v>
      </x:c>
      <x:c r="D15" s="48" t="n">
        <x:v>0.7629903478913179</x:v>
      </x:c>
      <x:c r="E15" s="48" t="n">
        <x:v>0.8660551998295982</x:v>
      </x:c>
      <x:c r="F15" s="48" t="n">
        <x:v>-0.15463236348503137</x:v>
      </x:c>
      <x:c r="G15" s="48" t="n">
        <x:v>-0.012386553468512584</x:v>
      </x:c>
      <x:c r="H15" s="48" t="n">
        <x:v>0.8263180096221228</x:v>
      </x:c>
      <x:c r="I15" s="48" t="n">
        <x:v>0.7816805609207673</x:v>
      </x:c>
      <x:c r="J15" s="48" t="n">
        <x:v>0.562979951162592</x:v>
      </x:c>
      <x:c r="K15" s="48" t="n">
        <x:v>0.6849354758070442</x:v>
      </x:c>
      <x:c r="L15" s="48" t="n">
        <x:v>0.5804027006014547</x:v>
      </x:c>
      <x:c r="M15" s="48" t="n">
        <x:v>0.0994487150239136</x:v>
      </x:c>
      <x:c r="N15" s="48" t="n">
        <x:v>0.7443281846652612</x:v>
      </x:c>
      <x:c r="O15" s="48" t="n">
        <x:v>0.8131536174150024</x:v>
      </x:c>
      <x:c r="P15" s="48" t="n">
        <x:v>0.5003818037979904</x:v>
      </x:c>
      <x:c r="Q15" s="48" t="n">
        <x:v>1</x:v>
      </x:c>
      <x:c r="R15" s="48" t="n">
        <x:v>0.7692740442539647</x:v>
      </x:c>
      <x:c r="S15" s="29" t="n">
        <x:v>0</x:v>
      </x:c>
    </x:row>
    <x:row r="16" ht="21.600000381469727" hidden="0" customHeight="1">
      <x:c r="A16" s="27" t="n">
        <x:v>4</x:v>
      </x:c>
      <x:c r="B16" s="27" t="str">
        <x:v>A3</x:v>
      </x:c>
      <x:c r="C16" s="47" t="n">
        <x:v>1.1840264385231198</x:v>
      </x:c>
      <x:c r="D16" s="47" t="n">
        <x:v>0.7629903478913179</x:v>
      </x:c>
      <x:c r="E16" s="47" t="n">
        <x:v>0.8660551998295982</x:v>
      </x:c>
      <x:c r="F16" s="47" t="n">
        <x:v>-0.15463236348503137</x:v>
      </x:c>
      <x:c r="G16" s="47" t="n">
        <x:v>-0.012386553468512584</x:v>
      </x:c>
      <x:c r="H16" s="47" t="n">
        <x:v>0.8263180096221228</x:v>
      </x:c>
      <x:c r="I16" s="47" t="n">
        <x:v>0.7816805609207673</x:v>
      </x:c>
      <x:c r="J16" s="47" t="n">
        <x:v>0.562979951162592</x:v>
      </x:c>
      <x:c r="K16" s="47" t="n">
        <x:v>0.6849354758070442</x:v>
      </x:c>
      <x:c r="L16" s="47" t="n">
        <x:v>0.5804027006014547</x:v>
      </x:c>
      <x:c r="M16" s="47" t="n">
        <x:v>0.0994487150239136</x:v>
      </x:c>
      <x:c r="N16" s="47" t="n">
        <x:v>0.7443281846652612</x:v>
      </x:c>
      <x:c r="O16" s="47" t="n">
        <x:v>1.0000000000000002</x:v>
      </x:c>
      <x:c r="P16" s="47" t="n">
        <x:v>1</x:v>
      </x:c>
      <x:c r="Q16" s="47" t="n">
        <x:v>1</x:v>
      </x:c>
      <x:c r="R16" s="47" t="n">
        <x:v>1</x:v>
      </x:c>
      <x:c r="S16" s="27" t="n">
        <x:v>1</x:v>
      </x:c>
    </x:row>
    <x:row r="17" ht="21.600000381469727" hidden="0" customHeight="1">
      <x:c r="A17" s="29" t="n">
        <x:v>5</x:v>
      </x:c>
      <x:c r="B17" s="29" t="str">
        <x:v>A1</x:v>
      </x:c>
      <x:c r="C17" s="48" t="n">
        <x:v>1.2478714821150612</x:v>
      </x:c>
      <x:c r="D17" s="48" t="n">
        <x:v>0.731600596015782</x:v>
      </x:c>
      <x:c r="E17" s="48" t="n">
        <x:v>0.6044359430292807</x:v>
      </x:c>
      <x:c r="F17" s="48" t="n">
        <x:v>-0.016738226904052383</x:v>
      </x:c>
      <x:c r="G17" s="48" t="n">
        <x:v>-0.06904687670556392</x:v>
      </x:c>
      <x:c r="H17" s="48" t="n">
        <x:v>0.6111653494156406</x:v>
      </x:c>
      <x:c r="I17" s="48" t="n">
        <x:v>0.6185969170293638</x:v>
      </x:c>
      <x:c r="J17" s="48" t="n">
        <x:v>0.7956254024461658</x:v>
      </x:c>
      <x:c r="K17" s="48" t="n">
        <x:v>0.6712966791257222</x:v>
      </x:c>
      <x:c r="L17" s="48" t="n">
        <x:v>0.7161556238641078</x:v>
      </x:c>
      <x:c r="M17" s="48" t="n">
        <x:v>0.1614482141118408</x:v>
      </x:c>
      <x:c r="N17" s="48" t="n">
        <x:v>0.7116930786610391</x:v>
      </x:c>
      <x:c r="O17" s="48" t="n">
        <x:v>0.6828589656428914</x:v>
      </x:c>
      <x:c r="P17" s="48" t="n">
        <x:v>0.3499661710329366</x:v>
      </x:c>
      <x:c r="Q17" s="48" t="n">
        <x:v>1</x:v>
      </x:c>
      <x:c r="R17" s="48" t="n">
        <x:v>0.6083805999024716</x:v>
      </x:c>
      <x:c r="S17" s="29" t="n">
        <x:v>0</x:v>
      </x:c>
    </x:row>
    <x:row r="18" ht="21.600000381469727" hidden="0" customHeight="1">
      <x:c r="A18" s="27" t="n">
        <x:v>5</x:v>
      </x:c>
      <x:c r="B18" s="27" t="str">
        <x:v>A2</x:v>
      </x:c>
      <x:c r="C18" s="47" t="n">
        <x:v>1.2478714821150612</x:v>
      </x:c>
      <x:c r="D18" s="47" t="n">
        <x:v>0.731600596015782</x:v>
      </x:c>
      <x:c r="E18" s="47" t="n">
        <x:v>0.6044359430292807</x:v>
      </x:c>
      <x:c r="F18" s="47" t="n">
        <x:v>-0.016738226904052383</x:v>
      </x:c>
      <x:c r="G18" s="47" t="n">
        <x:v>-0.06904687670556392</x:v>
      </x:c>
      <x:c r="H18" s="47" t="n">
        <x:v>0.6111653494156406</x:v>
      </x:c>
      <x:c r="I18" s="47" t="n">
        <x:v>0.6185969170293638</x:v>
      </x:c>
      <x:c r="J18" s="47" t="n">
        <x:v>0.7956254024461658</x:v>
      </x:c>
      <x:c r="K18" s="47" t="n">
        <x:v>0.6712966791257222</x:v>
      </x:c>
      <x:c r="L18" s="47" t="n">
        <x:v>0.7161556238641078</x:v>
      </x:c>
      <x:c r="M18" s="47" t="n">
        <x:v>0.1614482141118408</x:v>
      </x:c>
      <x:c r="N18" s="47" t="n">
        <x:v>0.7116930786610391</x:v>
      </x:c>
      <x:c r="O18" s="47" t="n">
        <x:v>0.7438890806528309</x:v>
      </x:c>
      <x:c r="P18" s="47" t="n">
        <x:v>0.38558902669114953</x:v>
      </x:c>
      <x:c r="Q18" s="47" t="n">
        <x:v>1</x:v>
      </x:c>
      <x:c r="R18" s="47" t="n">
        <x:v>0.6837432128690518</x:v>
      </x:c>
      <x:c r="S18" s="27" t="n">
        <x:v>0</x:v>
      </x:c>
    </x:row>
    <x:row r="19" ht="21.600000381469727" hidden="0" customHeight="1">
      <x:c r="A19" s="29" t="n">
        <x:v>5</x:v>
      </x:c>
      <x:c r="B19" s="29" t="str">
        <x:v>A3</x:v>
      </x:c>
      <x:c r="C19" s="48" t="n">
        <x:v>1.2478714821150612</x:v>
      </x:c>
      <x:c r="D19" s="48" t="n">
        <x:v>0.731600596015782</x:v>
      </x:c>
      <x:c r="E19" s="48" t="n">
        <x:v>0.6044359430292807</x:v>
      </x:c>
      <x:c r="F19" s="48" t="n">
        <x:v>-0.016738226904052383</x:v>
      </x:c>
      <x:c r="G19" s="48" t="n">
        <x:v>-0.06904687670556392</x:v>
      </x:c>
      <x:c r="H19" s="48" t="n">
        <x:v>0.6111653494156406</x:v>
      </x:c>
      <x:c r="I19" s="48" t="n">
        <x:v>0.6185969170293638</x:v>
      </x:c>
      <x:c r="J19" s="48" t="n">
        <x:v>0.7956254024461658</x:v>
      </x:c>
      <x:c r="K19" s="48" t="n">
        <x:v>0.6712966791257222</x:v>
      </x:c>
      <x:c r="L19" s="48" t="n">
        <x:v>0.7161556238641078</x:v>
      </x:c>
      <x:c r="M19" s="48" t="n">
        <x:v>0.1614482141118408</x:v>
      </x:c>
      <x:c r="N19" s="48" t="n">
        <x:v>0.7116930786610391</x:v>
      </x:c>
      <x:c r="O19" s="48" t="n">
        <x:v>1</x:v>
      </x:c>
      <x:c r="P19" s="48" t="n">
        <x:v>1</x:v>
      </x:c>
      <x:c r="Q19" s="48" t="n">
        <x:v>1</x:v>
      </x:c>
      <x:c r="R19" s="48" t="n">
        <x:v>1</x:v>
      </x:c>
      <x:c r="S19" s="29" t="n">
        <x:v>1</x:v>
      </x:c>
    </x:row>
    <x:row r="20" ht="21.600000381469727" hidden="0" customHeight="1">
      <x:c r="A20" s="27" t="n">
        <x:v>6</x:v>
      </x:c>
      <x:c r="B20" s="27" t="str">
        <x:v>A1</x:v>
      </x:c>
      <x:c r="C20" s="47" t="n">
        <x:v>1.0730996994312705</x:v>
      </x:c>
      <x:c r="D20" s="47" t="n">
        <x:v>0.9898871016457109</x:v>
      </x:c>
      <x:c r="E20" s="47" t="n">
        <x:v>0.5036179254093656</x:v>
      </x:c>
      <x:c r="F20" s="47" t="n">
        <x:v>-0.08944012686548442</x:v>
      </x:c>
      <x:c r="G20" s="47" t="n">
        <x:v>-0.0821765804077242</x:v>
      </x:c>
      <x:c r="H20" s="47" t="n">
        <x:v>0.5636571788939532</x:v>
      </x:c>
      <x:c r="I20" s="47" t="n">
        <x:v>0.8661515012392949</x:v>
      </x:c>
      <x:c r="J20" s="47" t="n">
        <x:v>0.6269661210518493</x:v>
      </x:c>
      <x:c r="K20" s="47" t="n">
        <x:v>0.873055970487067</x:v>
      </x:c>
      <x:c r="L20" s="47" t="n">
        <x:v>0.8924109919693468</x:v>
      </x:c>
      <x:c r="M20" s="47" t="n">
        <x:v>0.00945367740285725</x:v>
      </x:c>
      <x:c r="N20" s="47" t="n">
        <x:v>0.9798657486975471</x:v>
      </x:c>
      <x:c r="O20" s="47" t="n">
        <x:v>0.8938407667071027</x:v>
      </x:c>
      <x:c r="P20" s="47" t="n">
        <x:v>0.6815181168389931</x:v>
      </x:c>
      <x:c r="Q20" s="47" t="n">
        <x:v>1</x:v>
      </x:c>
      <x:c r="R20" s="47" t="n">
        <x:v>0.868910009260534</x:v>
      </x:c>
      <x:c r="S20" s="27" t="n">
        <x:v>0</x:v>
      </x:c>
    </x:row>
    <x:row r="21" ht="21.600000381469727" hidden="0" customHeight="1">
      <x:c r="A21" s="29" t="n">
        <x:v>6</x:v>
      </x:c>
      <x:c r="B21" s="29" t="str">
        <x:v>A2</x:v>
      </x:c>
      <x:c r="C21" s="48" t="n">
        <x:v>1.0730996994312705</x:v>
      </x:c>
      <x:c r="D21" s="48" t="n">
        <x:v>0.9898871016457109</x:v>
      </x:c>
      <x:c r="E21" s="48" t="n">
        <x:v>0.5036179254093656</x:v>
      </x:c>
      <x:c r="F21" s="48" t="n">
        <x:v>-0.08944012686548442</x:v>
      </x:c>
      <x:c r="G21" s="48" t="n">
        <x:v>-0.0821765804077242</x:v>
      </x:c>
      <x:c r="H21" s="48" t="n">
        <x:v>0.5636571788939532</x:v>
      </x:c>
      <x:c r="I21" s="48" t="n">
        <x:v>0.8661515012392949</x:v>
      </x:c>
      <x:c r="J21" s="48" t="n">
        <x:v>0.6269661210518493</x:v>
      </x:c>
      <x:c r="K21" s="48" t="n">
        <x:v>0.873055970487067</x:v>
      </x:c>
      <x:c r="L21" s="48" t="n">
        <x:v>0.8924109919693468</x:v>
      </x:c>
      <x:c r="M21" s="48" t="n">
        <x:v>0.00945367740285725</x:v>
      </x:c>
      <x:c r="N21" s="48" t="n">
        <x:v>0.9798657486975471</x:v>
      </x:c>
      <x:c r="O21" s="48" t="n">
        <x:v>0.9706953287511525</x:v>
      </x:c>
      <x:c r="P21" s="48" t="n">
        <x:v>0.8154309705462309</x:v>
      </x:c>
      <x:c r="Q21" s="48" t="n">
        <x:v>1</x:v>
      </x:c>
      <x:c r="R21" s="48" t="n">
        <x:v>0.963813330565081</x:v>
      </x:c>
      <x:c r="S21" s="29" t="n">
        <x:v>0</x:v>
      </x:c>
    </x:row>
    <x:row r="22" ht="21.600000381469727" hidden="0" customHeight="1">
      <x:c r="A22" s="27" t="n">
        <x:v>6</x:v>
      </x:c>
      <x:c r="B22" s="27" t="str">
        <x:v>A3</x:v>
      </x:c>
      <x:c r="C22" s="47" t="n">
        <x:v>1.0730996994312705</x:v>
      </x:c>
      <x:c r="D22" s="47" t="n">
        <x:v>0.9898871016457109</x:v>
      </x:c>
      <x:c r="E22" s="47" t="n">
        <x:v>0.5036179254093656</x:v>
      </x:c>
      <x:c r="F22" s="47" t="n">
        <x:v>-0.08944012686548442</x:v>
      </x:c>
      <x:c r="G22" s="47" t="n">
        <x:v>-0.0821765804077242</x:v>
      </x:c>
      <x:c r="H22" s="47" t="n">
        <x:v>0.5636571788939532</x:v>
      </x:c>
      <x:c r="I22" s="47" t="n">
        <x:v>0.8661515012392949</x:v>
      </x:c>
      <x:c r="J22" s="47" t="n">
        <x:v>0.6269661210518493</x:v>
      </x:c>
      <x:c r="K22" s="47" t="n">
        <x:v>0.873055970487067</x:v>
      </x:c>
      <x:c r="L22" s="47" t="n">
        <x:v>0.8924109919693468</x:v>
      </x:c>
      <x:c r="M22" s="47" t="n">
        <x:v>0.00945367740285725</x:v>
      </x:c>
      <x:c r="N22" s="47" t="n">
        <x:v>0.9798657486975471</x:v>
      </x:c>
      <x:c r="O22" s="47" t="n">
        <x:v>1</x:v>
      </x:c>
      <x:c r="P22" s="47" t="n">
        <x:v>1</x:v>
      </x:c>
      <x:c r="Q22" s="47" t="n">
        <x:v>1</x:v>
      </x:c>
      <x:c r="R22" s="47" t="n">
        <x:v>1</x:v>
      </x:c>
      <x:c r="S22" s="27" t="n">
        <x:v>1</x:v>
      </x:c>
    </x:row>
    <x:row r="23" ht="21.600000381469727" hidden="0" customHeight="1">
      <x:c r="A23" s="29" t="n">
        <x:v>7</x:v>
      </x:c>
      <x:c r="B23" s="29" t="str">
        <x:v>A1</x:v>
      </x:c>
      <x:c r="C23" s="48" t="n">
        <x:v>1.32273484254734</x:v>
      </x:c>
      <x:c r="D23" s="48" t="n">
        <x:v>0.8703777140466106</x:v>
      </x:c>
      <x:c r="E23" s="48" t="n">
        <x:v>0.7933564900879698</x:v>
      </x:c>
      <x:c r="F23" s="48" t="n">
        <x:v>-0.0803684877748001</x:v>
      </x:c>
      <x:c r="G23" s="48" t="n">
        <x:v>-0.15440294772425847</x:v>
      </x:c>
      <x:c r="H23" s="48" t="n">
        <x:v>0.7076796619420234</x:v>
      </x:c>
      <x:c r="I23" s="48" t="n">
        <x:v>0.9498486388817626</x:v>
      </x:c>
      <x:c r="J23" s="48" t="n">
        <x:v>0.7982738092288749</x:v>
      </x:c>
      <x:c r="K23" s="48" t="n">
        <x:v>0.6793063740895603</x:v>
      </x:c>
      <x:c r="L23" s="48" t="n">
        <x:v>0.7775929175671248</x:v>
      </x:c>
      <x:c r="M23" s="48" t="n">
        <x:v>0.08368545608985942</x:v>
      </x:c>
      <x:c r="N23" s="48" t="n">
        <x:v>0.8790944531111241</x:v>
      </x:c>
      <x:c r="O23" s="48" t="n">
        <x:v>0.7701903770361423</x:v>
      </x:c>
      <x:c r="P23" s="48" t="n">
        <x:v>0.5131545038721057</x:v>
      </x:c>
      <x:c r="Q23" s="48" t="n">
        <x:v>1</x:v>
      </x:c>
      <x:c r="R23" s="48" t="n">
        <x:v>0.7162211857441151</x:v>
      </x:c>
      <x:c r="S23" s="29" t="n">
        <x:v>0</x:v>
      </x:c>
    </x:row>
    <x:row r="24" ht="21.600000381469727" hidden="0" customHeight="1">
      <x:c r="A24" s="27" t="n">
        <x:v>7</x:v>
      </x:c>
      <x:c r="B24" s="27" t="str">
        <x:v>A2</x:v>
      </x:c>
      <x:c r="C24" s="47" t="n">
        <x:v>1.32273484254734</x:v>
      </x:c>
      <x:c r="D24" s="47" t="n">
        <x:v>0.8703777140466106</x:v>
      </x:c>
      <x:c r="E24" s="47" t="n">
        <x:v>0.7933564900879698</x:v>
      </x:c>
      <x:c r="F24" s="47" t="n">
        <x:v>-0.0803684877748001</x:v>
      </x:c>
      <x:c r="G24" s="47" t="n">
        <x:v>-0.15440294772425847</x:v>
      </x:c>
      <x:c r="H24" s="47" t="n">
        <x:v>0.7076796619420234</x:v>
      </x:c>
      <x:c r="I24" s="47" t="n">
        <x:v>0.9498486388817626</x:v>
      </x:c>
      <x:c r="J24" s="47" t="n">
        <x:v>0.7982738092288749</x:v>
      </x:c>
      <x:c r="K24" s="47" t="n">
        <x:v>0.6793063740895603</x:v>
      </x:c>
      <x:c r="L24" s="47" t="n">
        <x:v>0.7775929175671248</x:v>
      </x:c>
      <x:c r="M24" s="47" t="n">
        <x:v>0.08368545608985942</x:v>
      </x:c>
      <x:c r="N24" s="47" t="n">
        <x:v>0.8790944531111241</x:v>
      </x:c>
      <x:c r="O24" s="47" t="n">
        <x:v>0.8468340311484991</x:v>
      </x:c>
      <x:c r="P24" s="47" t="n">
        <x:v>0.5394627382265729</x:v>
      </x:c>
      <x:c r="Q24" s="47" t="n">
        <x:v>1</x:v>
      </x:c>
      <x:c r="R24" s="47" t="n">
        <x:v>0.810864068856383</x:v>
      </x:c>
      <x:c r="S24" s="27" t="n">
        <x:v>0</x:v>
      </x:c>
    </x:row>
    <x:row r="25" ht="21.600000381469727" hidden="0" customHeight="1">
      <x:c r="A25" s="29" t="n">
        <x:v>7</x:v>
      </x:c>
      <x:c r="B25" s="29" t="str">
        <x:v>A3</x:v>
      </x:c>
      <x:c r="C25" s="48" t="n">
        <x:v>1.32273484254734</x:v>
      </x:c>
      <x:c r="D25" s="48" t="n">
        <x:v>0.8703777140466106</x:v>
      </x:c>
      <x:c r="E25" s="48" t="n">
        <x:v>0.7933564900879698</x:v>
      </x:c>
      <x:c r="F25" s="48" t="n">
        <x:v>-0.0803684877748001</x:v>
      </x:c>
      <x:c r="G25" s="48" t="n">
        <x:v>-0.15440294772425847</x:v>
      </x:c>
      <x:c r="H25" s="48" t="n">
        <x:v>0.7076796619420234</x:v>
      </x:c>
      <x:c r="I25" s="48" t="n">
        <x:v>0.9498486388817626</x:v>
      </x:c>
      <x:c r="J25" s="48" t="n">
        <x:v>0.7982738092288749</x:v>
      </x:c>
      <x:c r="K25" s="48" t="n">
        <x:v>0.6793063740895603</x:v>
      </x:c>
      <x:c r="L25" s="48" t="n">
        <x:v>0.7775929175671248</x:v>
      </x:c>
      <x:c r="M25" s="48" t="n">
        <x:v>0.08368545608985942</x:v>
      </x:c>
      <x:c r="N25" s="48" t="n">
        <x:v>0.8790944531111241</x:v>
      </x:c>
      <x:c r="O25" s="48" t="n">
        <x:v>1</x:v>
      </x:c>
      <x:c r="P25" s="48" t="n">
        <x:v>1</x:v>
      </x:c>
      <x:c r="Q25" s="48" t="n">
        <x:v>1</x:v>
      </x:c>
      <x:c r="R25" s="48" t="n">
        <x:v>1</x:v>
      </x:c>
      <x:c r="S25" s="29" t="n">
        <x:v>1</x:v>
      </x:c>
    </x:row>
    <x:row r="26" ht="21.600000381469727" hidden="0" customHeight="1">
      <x:c r="A26" s="27" t="n">
        <x:v>8</x:v>
      </x:c>
      <x:c r="B26" s="27" t="str">
        <x:v>A1</x:v>
      </x:c>
      <x:c r="C26" s="47" t="n">
        <x:v>1.078442544688166</x:v>
      </x:c>
      <x:c r="D26" s="47" t="n">
        <x:v>0.995367048299819</x:v>
      </x:c>
      <x:c r="E26" s="47" t="n">
        <x:v>0.77603056080792</x:v>
      </x:c>
      <x:c r="F26" s="47" t="n">
        <x:v>-0.07199137766897462</x:v>
      </x:c>
      <x:c r="G26" s="47" t="n">
        <x:v>-0.19683038823549615</x:v>
      </x:c>
      <x:c r="H26" s="47" t="n">
        <x:v>1.0799229966792565</x:v>
      </x:c>
      <x:c r="I26" s="47" t="n">
        <x:v>0.8560101420358301</x:v>
      </x:c>
      <x:c r="J26" s="47" t="n">
        <x:v>0.9078187147536998</x:v>
      </x:c>
      <x:c r="K26" s="47" t="n">
        <x:v>0.8319500316924968</x:v>
      </x:c>
      <x:c r="L26" s="47" t="n">
        <x:v>0.6084826881946938</x:v>
      </x:c>
      <x:c r="M26" s="47" t="n">
        <x:v>0.15916319639572316</x:v>
      </x:c>
      <x:c r="N26" s="47" t="n">
        <x:v>0.6628924166318082</x:v>
      </x:c>
      <x:c r="O26" s="47" t="n">
        <x:v>0.9448053584070608</x:v>
      </x:c>
      <x:c r="P26" s="47" t="n">
        <x:v>0.7422444354613628</x:v>
      </x:c>
      <x:c r="Q26" s="47" t="n">
        <x:v>1</x:v>
      </x:c>
      <x:c r="R26" s="47" t="n">
        <x:v>0.9318432807881758</x:v>
      </x:c>
      <x:c r="S26" s="27" t="n">
        <x:v>0</x:v>
      </x:c>
    </x:row>
    <x:row r="27" ht="21.600000381469727" hidden="0" customHeight="1">
      <x:c r="A27" s="29" t="n">
        <x:v>8</x:v>
      </x:c>
      <x:c r="B27" s="29" t="str">
        <x:v>A2</x:v>
      </x:c>
      <x:c r="C27" s="48" t="n">
        <x:v>1.078442544688166</x:v>
      </x:c>
      <x:c r="D27" s="48" t="n">
        <x:v>0.995367048299819</x:v>
      </x:c>
      <x:c r="E27" s="48" t="n">
        <x:v>0.77603056080792</x:v>
      </x:c>
      <x:c r="F27" s="48" t="n">
        <x:v>-0.07199137766897462</x:v>
      </x:c>
      <x:c r="G27" s="48" t="n">
        <x:v>-0.19683038823549615</x:v>
      </x:c>
      <x:c r="H27" s="48" t="n">
        <x:v>1.0799229966792565</x:v>
      </x:c>
      <x:c r="I27" s="48" t="n">
        <x:v>0.8560101420358301</x:v>
      </x:c>
      <x:c r="J27" s="48" t="n">
        <x:v>0.9078187147536998</x:v>
      </x:c>
      <x:c r="K27" s="48" t="n">
        <x:v>0.8319500316924968</x:v>
      </x:c>
      <x:c r="L27" s="48" t="n">
        <x:v>0.6084826881946938</x:v>
      </x:c>
      <x:c r="M27" s="48" t="n">
        <x:v>0.15916319639572316</x:v>
      </x:c>
      <x:c r="N27" s="48" t="n">
        <x:v>0.6628924166318082</x:v>
      </x:c>
      <x:c r="O27" s="48" t="n">
        <x:v>0.9843537921163452</x:v>
      </x:c>
      <x:c r="P27" s="48" t="n">
        <x:v>0.8435379211634522</x:v>
      </x:c>
      <x:c r="Q27" s="48" t="n">
        <x:v>1</x:v>
      </x:c>
      <x:c r="R27" s="48" t="n">
        <x:v>0.9806793890370601</x:v>
      </x:c>
      <x:c r="S27" s="29" t="n">
        <x:v>0</x:v>
      </x:c>
    </x:row>
    <x:row r="28" ht="21.600000381469727" hidden="0" customHeight="1">
      <x:c r="A28" s="27" t="n">
        <x:v>8</x:v>
      </x:c>
      <x:c r="B28" s="27" t="str">
        <x:v>A3</x:v>
      </x:c>
      <x:c r="C28" s="47" t="n">
        <x:v>1.078442544688166</x:v>
      </x:c>
      <x:c r="D28" s="47" t="n">
        <x:v>0.995367048299819</x:v>
      </x:c>
      <x:c r="E28" s="47" t="n">
        <x:v>0.77603056080792</x:v>
      </x:c>
      <x:c r="F28" s="47" t="n">
        <x:v>-0.07199137766897462</x:v>
      </x:c>
      <x:c r="G28" s="47" t="n">
        <x:v>-0.19683038823549615</x:v>
      </x:c>
      <x:c r="H28" s="47" t="n">
        <x:v>1.0799229966792565</x:v>
      </x:c>
      <x:c r="I28" s="47" t="n">
        <x:v>0.8560101420358301</x:v>
      </x:c>
      <x:c r="J28" s="47" t="n">
        <x:v>0.9078187147536998</x:v>
      </x:c>
      <x:c r="K28" s="47" t="n">
        <x:v>0.8319500316924968</x:v>
      </x:c>
      <x:c r="L28" s="47" t="n">
        <x:v>0.6084826881946938</x:v>
      </x:c>
      <x:c r="M28" s="47" t="n">
        <x:v>0.15916319639572316</x:v>
      </x:c>
      <x:c r="N28" s="47" t="n">
        <x:v>0.6628924166318082</x:v>
      </x:c>
      <x:c r="O28" s="47" t="n">
        <x:v>1</x:v>
      </x:c>
      <x:c r="P28" s="47" t="n">
        <x:v>1</x:v>
      </x:c>
      <x:c r="Q28" s="47" t="n">
        <x:v>1</x:v>
      </x:c>
      <x:c r="R28" s="47" t="n">
        <x:v>1</x:v>
      </x:c>
      <x:c r="S28" s="27" t="n">
        <x:v>1</x:v>
      </x:c>
    </x:row>
    <x:row r="29" ht="21.600000381469727" hidden="0" customHeight="1">
      <x:c r="A29" s="29" t="n">
        <x:v>9</x:v>
      </x:c>
      <x:c r="B29" s="29" t="str">
        <x:v>A1</x:v>
      </x:c>
      <x:c r="C29" s="48" t="n">
        <x:v>1.2173656134374402</x:v>
      </x:c>
      <x:c r="D29" s="48" t="n">
        <x:v>0.8859240853914097</x:v>
      </x:c>
      <x:c r="E29" s="48" t="n">
        <x:v>0.8184876945707206</x:v>
      </x:c>
      <x:c r="F29" s="48" t="n">
        <x:v>-0.14737427437191994</x:v>
      </x:c>
      <x:c r="G29" s="48" t="n">
        <x:v>-0.12120265559148222</x:v>
      </x:c>
      <x:c r="H29" s="48" t="n">
        <x:v>0.32237528940971094</x:v>
      </x:c>
      <x:c r="I29" s="48" t="n">
        <x:v>0.6916404899354499</x:v>
      </x:c>
      <x:c r="J29" s="48" t="n">
        <x:v>0.7862471804649855</x:v>
      </x:c>
      <x:c r="K29" s="48" t="n">
        <x:v>0.6193710829245571</x:v>
      </x:c>
      <x:c r="L29" s="48" t="n">
        <x:v>0.7279897658089194</x:v>
      </x:c>
      <x:c r="M29" s="48" t="n">
        <x:v>0.10868386517878278</x:v>
      </x:c>
      <x:c r="N29" s="48" t="n">
        <x:v>0.8867151383078851</x:v>
      </x:c>
      <x:c r="O29" s="48" t="n">
        <x:v>0.8082437649827507</x:v>
      </x:c>
      <x:c r="P29" s="48" t="n">
        <x:v>0.47859307231315257</x:v>
      </x:c>
      <x:c r="Q29" s="48" t="n">
        <x:v>1</x:v>
      </x:c>
      <x:c r="R29" s="48" t="n">
        <x:v>0.763211147133182</x:v>
      </x:c>
      <x:c r="S29" s="29" t="n">
        <x:v>0</x:v>
      </x:c>
    </x:row>
    <x:row r="30" ht="21.600000381469727" hidden="0" customHeight="1">
      <x:c r="A30" s="27" t="n">
        <x:v>9</x:v>
      </x:c>
      <x:c r="B30" s="27" t="str">
        <x:v>A2</x:v>
      </x:c>
      <x:c r="C30" s="47" t="n">
        <x:v>1.2173656134374402</x:v>
      </x:c>
      <x:c r="D30" s="47" t="n">
        <x:v>0.8859240853914097</x:v>
      </x:c>
      <x:c r="E30" s="47" t="n">
        <x:v>0.8184876945707206</x:v>
      </x:c>
      <x:c r="F30" s="47" t="n">
        <x:v>-0.14737427437191994</x:v>
      </x:c>
      <x:c r="G30" s="47" t="n">
        <x:v>-0.12120265559148222</x:v>
      </x:c>
      <x:c r="H30" s="47" t="n">
        <x:v>0.32237528940971094</x:v>
      </x:c>
      <x:c r="I30" s="47" t="n">
        <x:v>0.6916404899354499</x:v>
      </x:c>
      <x:c r="J30" s="47" t="n">
        <x:v>0.7862471804649855</x:v>
      </x:c>
      <x:c r="K30" s="47" t="n">
        <x:v>0.6193710829245571</x:v>
      </x:c>
      <x:c r="L30" s="47" t="n">
        <x:v>0.7279897658089194</x:v>
      </x:c>
      <x:c r="M30" s="47" t="n">
        <x:v>0.10868386517878278</x:v>
      </x:c>
      <x:c r="N30" s="47" t="n">
        <x:v>0.8867151383078851</x:v>
      </x:c>
      <x:c r="O30" s="47" t="n">
        <x:v>0.9012765765635773</x:v>
      </x:c>
      <x:c r="P30" s="47" t="n">
        <x:v>0.4987075503257963</x:v>
      </x:c>
      <x:c r="Q30" s="47" t="n">
        <x:v>1</x:v>
      </x:c>
      <x:c r="R30" s="47" t="n">
        <x:v>0.8780920673349013</x:v>
      </x:c>
      <x:c r="S30" s="27" t="n">
        <x:v>0</x:v>
      </x:c>
    </x:row>
    <x:row r="31" ht="21.600000381469727" hidden="0" customHeight="1">
      <x:c r="A31" s="29" t="n">
        <x:v>9</x:v>
      </x:c>
      <x:c r="B31" s="29" t="str">
        <x:v>A3</x:v>
      </x:c>
      <x:c r="C31" s="48" t="n">
        <x:v>1.2173656134374402</x:v>
      </x:c>
      <x:c r="D31" s="48" t="n">
        <x:v>0.8859240853914097</x:v>
      </x:c>
      <x:c r="E31" s="48" t="n">
        <x:v>0.8184876945707206</x:v>
      </x:c>
      <x:c r="F31" s="48" t="n">
        <x:v>-0.14737427437191994</x:v>
      </x:c>
      <x:c r="G31" s="48" t="n">
        <x:v>-0.12120265559148222</x:v>
      </x:c>
      <x:c r="H31" s="48" t="n">
        <x:v>0.32237528940971094</x:v>
      </x:c>
      <x:c r="I31" s="48" t="n">
        <x:v>0.6916404899354499</x:v>
      </x:c>
      <x:c r="J31" s="48" t="n">
        <x:v>0.7862471804649855</x:v>
      </x:c>
      <x:c r="K31" s="48" t="n">
        <x:v>0.6193710829245571</x:v>
      </x:c>
      <x:c r="L31" s="48" t="n">
        <x:v>0.7279897658089194</x:v>
      </x:c>
      <x:c r="M31" s="48" t="n">
        <x:v>0.10868386517878278</x:v>
      </x:c>
      <x:c r="N31" s="48" t="n">
        <x:v>0.8867151383078851</x:v>
      </x:c>
      <x:c r="O31" s="48" t="n">
        <x:v>1</x:v>
      </x:c>
      <x:c r="P31" s="48" t="n">
        <x:v>1</x:v>
      </x:c>
      <x:c r="Q31" s="48" t="n">
        <x:v>1</x:v>
      </x:c>
      <x:c r="R31" s="48" t="n">
        <x:v>1</x:v>
      </x:c>
      <x:c r="S31" s="29" t="n">
        <x:v>1</x:v>
      </x:c>
    </x:row>
    <x:row r="32" ht="21.600000381469727" hidden="0" customHeight="1">
      <x:c r="A32" s="27" t="n">
        <x:v>10</x:v>
      </x:c>
      <x:c r="B32" s="27" t="str">
        <x:v>A1</x:v>
      </x:c>
      <x:c r="C32" s="47" t="n">
        <x:v>1.047679531764915</x:v>
      </x:c>
      <x:c r="D32" s="47" t="n">
        <x:v>0.7661347968454506</x:v>
      </x:c>
      <x:c r="E32" s="47" t="n">
        <x:v>0.6393054471740754</x:v>
      </x:c>
      <x:c r="F32" s="47" t="n">
        <x:v>-0.16236752801458262</x:v>
      </x:c>
      <x:c r="G32" s="47" t="n">
        <x:v>-0.17705290263715323</x:v>
      </x:c>
      <x:c r="H32" s="47" t="n">
        <x:v>0.45334298338631235</x:v>
      </x:c>
      <x:c r="I32" s="47" t="n">
        <x:v>0.7215317922271418</x:v>
      </x:c>
      <x:c r="J32" s="47" t="n">
        <x:v>0.6283081320298995</x:v>
      </x:c>
      <x:c r="K32" s="47" t="n">
        <x:v>0.8108534211501062</x:v>
      </x:c>
      <x:c r="L32" s="47" t="n">
        <x:v>0.8579016678856746</x:v>
      </x:c>
      <x:c r="M32" s="47" t="n">
        <x:v>0.07831189273186435</x:v>
      </x:c>
      <x:c r="N32" s="47" t="n">
        <x:v>0.664761760748764</x:v>
      </x:c>
      <x:c r="O32" s="47" t="n">
        <x:v>0.8605402620732248</x:v>
      </x:c>
      <x:c r="P32" s="47" t="n">
        <x:v>0.6384881616139012</x:v>
      </x:c>
      <x:c r="Q32" s="47" t="n">
        <x:v>0.949176546686582</x:v>
      </x:c>
      <x:c r="R32" s="47" t="n">
        <x:v>0.8281665711101497</x:v>
      </x:c>
      <x:c r="S32" s="27" t="n">
        <x:v>0</x:v>
      </x:c>
    </x:row>
    <x:row r="33" ht="21.600000381469727" hidden="0" customHeight="1">
      <x:c r="A33" s="29" t="n">
        <x:v>10</x:v>
      </x:c>
      <x:c r="B33" s="29" t="str">
        <x:v>A2</x:v>
      </x:c>
      <x:c r="C33" s="48" t="n">
        <x:v>1.047679531764915</x:v>
      </x:c>
      <x:c r="D33" s="48" t="n">
        <x:v>0.7661347968454506</x:v>
      </x:c>
      <x:c r="E33" s="48" t="n">
        <x:v>0.6393054471740754</x:v>
      </x:c>
      <x:c r="F33" s="48" t="n">
        <x:v>-0.16236752801458262</x:v>
      </x:c>
      <x:c r="G33" s="48" t="n">
        <x:v>-0.17705290263715323</x:v>
      </x:c>
      <x:c r="H33" s="48" t="n">
        <x:v>0.45334298338631235</x:v>
      </x:c>
      <x:c r="I33" s="48" t="n">
        <x:v>0.7215317922271418</x:v>
      </x:c>
      <x:c r="J33" s="48" t="n">
        <x:v>0.6283081320298995</x:v>
      </x:c>
      <x:c r="K33" s="48" t="n">
        <x:v>0.8108534211501062</x:v>
      </x:c>
      <x:c r="L33" s="48" t="n">
        <x:v>0.8579016678856746</x:v>
      </x:c>
      <x:c r="M33" s="48" t="n">
        <x:v>0.07831189273186435</x:v>
      </x:c>
      <x:c r="N33" s="48" t="n">
        <x:v>0.664761760748764</x:v>
      </x:c>
      <x:c r="O33" s="48" t="n">
        <x:v>0.9240234337404473</x:v>
      </x:c>
      <x:c r="P33" s="48" t="n">
        <x:v>0.6040925345891637</x:v>
      </x:c>
      <x:c r="Q33" s="48" t="n">
        <x:v>1</x:v>
      </x:c>
      <x:c r="R33" s="48" t="n">
        <x:v>0.906180865682198</x:v>
      </x:c>
      <x:c r="S33" s="29" t="n">
        <x:v>0</x:v>
      </x:c>
    </x:row>
    <x:row r="34" ht="21.600000381469727" hidden="0" customHeight="1">
      <x:c r="A34" s="27" t="n">
        <x:v>10</x:v>
      </x:c>
      <x:c r="B34" s="27" t="str">
        <x:v>A3</x:v>
      </x:c>
      <x:c r="C34" s="47" t="n">
        <x:v>1.047679531764915</x:v>
      </x:c>
      <x:c r="D34" s="47" t="n">
        <x:v>0.7661347968454506</x:v>
      </x:c>
      <x:c r="E34" s="47" t="n">
        <x:v>0.6393054471740754</x:v>
      </x:c>
      <x:c r="F34" s="47" t="n">
        <x:v>-0.16236752801458262</x:v>
      </x:c>
      <x:c r="G34" s="47" t="n">
        <x:v>-0.17705290263715323</x:v>
      </x:c>
      <x:c r="H34" s="47" t="n">
        <x:v>0.45334298338631235</x:v>
      </x:c>
      <x:c r="I34" s="47" t="n">
        <x:v>0.7215317922271418</x:v>
      </x:c>
      <x:c r="J34" s="47" t="n">
        <x:v>0.6283081320298995</x:v>
      </x:c>
      <x:c r="K34" s="47" t="n">
        <x:v>0.8108534211501062</x:v>
      </x:c>
      <x:c r="L34" s="47" t="n">
        <x:v>0.8579016678856746</x:v>
      </x:c>
      <x:c r="M34" s="47" t="n">
        <x:v>0.07831189273186435</x:v>
      </x:c>
      <x:c r="N34" s="47" t="n">
        <x:v>0.664761760748764</x:v>
      </x:c>
      <x:c r="O34" s="47" t="n">
        <x:v>1</x:v>
      </x:c>
      <x:c r="P34" s="47" t="n">
        <x:v>1</x:v>
      </x:c>
      <x:c r="Q34" s="47" t="n">
        <x:v>1</x:v>
      </x:c>
      <x:c r="R34" s="47" t="n">
        <x:v>1</x:v>
      </x:c>
      <x:c r="S34" s="27" t="n">
        <x:v>1</x:v>
      </x:c>
    </x:row>
    <x:row r="35" ht="21.600000381469727" hidden="0" customHeight="1">
      <x:c r="A35" s="29" t="n">
        <x:v>11</x:v>
      </x:c>
      <x:c r="B35" s="29" t="str">
        <x:v>A1</x:v>
      </x:c>
      <x:c r="C35" s="48" t="n">
        <x:v>1.0840854659842432</x:v>
      </x:c>
      <x:c r="D35" s="48" t="n">
        <x:v>0.983909667841405</x:v>
      </x:c>
      <x:c r="E35" s="48" t="n">
        <x:v>0.8092709772287858</x:v>
      </x:c>
      <x:c r="F35" s="48" t="n">
        <x:v>-0.1427802065789941</x:v>
      </x:c>
      <x:c r="G35" s="48" t="n">
        <x:v>-0.1086846645415299</x:v>
      </x:c>
      <x:c r="H35" s="48" t="n">
        <x:v>0.33249573650552283</x:v>
      </x:c>
      <x:c r="I35" s="48" t="n">
        <x:v>0.6798442196247244</x:v>
      </x:c>
      <x:c r="J35" s="48" t="n">
        <x:v>0.9747048206791421</x:v>
      </x:c>
      <x:c r="K35" s="48" t="n">
        <x:v>0.947279951915174</x:v>
      </x:c>
      <x:c r="L35" s="48" t="n">
        <x:v>0.9596357719423332</x:v>
      </x:c>
      <x:c r="M35" s="48" t="n">
        <x:v>0.070282275449695</x:v>
      </x:c>
      <x:c r="N35" s="48" t="n">
        <x:v>0.9963761134151002</x:v>
      </x:c>
      <x:c r="O35" s="48" t="n">
        <x:v>0.9275620347675944</x:v>
      </x:c>
      <x:c r="P35" s="48" t="n">
        <x:v>0.5363901783837735</x:v>
      </x:c>
      <x:c r="Q35" s="48" t="n">
        <x:v>1</x:v>
      </x:c>
      <x:c r="R35" s="48" t="n">
        <x:v>0.9105504825444406</x:v>
      </x:c>
      <x:c r="S35" s="29" t="n">
        <x:v>0</x:v>
      </x:c>
    </x:row>
    <x:row r="36" ht="21.600000381469727" hidden="0" customHeight="1">
      <x:c r="A36" s="27" t="n">
        <x:v>11</x:v>
      </x:c>
      <x:c r="B36" s="27" t="str">
        <x:v>A2</x:v>
      </x:c>
      <x:c r="C36" s="47" t="n">
        <x:v>1.0840854659842432</x:v>
      </x:c>
      <x:c r="D36" s="47" t="n">
        <x:v>0.983909667841405</x:v>
      </x:c>
      <x:c r="E36" s="47" t="n">
        <x:v>0.8092709772287858</x:v>
      </x:c>
      <x:c r="F36" s="47" t="n">
        <x:v>-0.1427802065789941</x:v>
      </x:c>
      <x:c r="G36" s="47" t="n">
        <x:v>-0.1086846645415299</x:v>
      </x:c>
      <x:c r="H36" s="47" t="n">
        <x:v>0.33249573650552283</x:v>
      </x:c>
      <x:c r="I36" s="47" t="n">
        <x:v>0.6798442196247244</x:v>
      </x:c>
      <x:c r="J36" s="47" t="n">
        <x:v>0.9747048206791421</x:v>
      </x:c>
      <x:c r="K36" s="47" t="n">
        <x:v>0.947279951915174</x:v>
      </x:c>
      <x:c r="L36" s="47" t="n">
        <x:v>0.9596357719423332</x:v>
      </x:c>
      <x:c r="M36" s="47" t="n">
        <x:v>0.070282275449695</x:v>
      </x:c>
      <x:c r="N36" s="47" t="n">
        <x:v>0.9963761134151002</x:v>
      </x:c>
      <x:c r="O36" s="47" t="n">
        <x:v>0.9958803024946483</x:v>
      </x:c>
      <x:c r="P36" s="47" t="n">
        <x:v>0.9588030249464832</x:v>
      </x:c>
      <x:c r="Q36" s="47" t="n">
        <x:v>1</x:v>
      </x:c>
      <x:c r="R36" s="47" t="n">
        <x:v>0.9949128201940198</x:v>
      </x:c>
      <x:c r="S36" s="27" t="n">
        <x:v>1</x:v>
      </x:c>
    </x:row>
    <x:row r="37" ht="21.600000381469727" hidden="0" customHeight="1">
      <x:c r="A37" s="29" t="n">
        <x:v>11</x:v>
      </x:c>
      <x:c r="B37" s="29" t="str">
        <x:v>A3</x:v>
      </x:c>
      <x:c r="C37" s="48" t="n">
        <x:v>1.0840854659842432</x:v>
      </x:c>
      <x:c r="D37" s="48" t="n">
        <x:v>0.983909667841405</x:v>
      </x:c>
      <x:c r="E37" s="48" t="n">
        <x:v>0.8092709772287858</x:v>
      </x:c>
      <x:c r="F37" s="48" t="n">
        <x:v>-0.1427802065789941</x:v>
      </x:c>
      <x:c r="G37" s="48" t="n">
        <x:v>-0.1086846645415299</x:v>
      </x:c>
      <x:c r="H37" s="48" t="n">
        <x:v>0.33249573650552283</x:v>
      </x:c>
      <x:c r="I37" s="48" t="n">
        <x:v>0.6798442196247244</x:v>
      </x:c>
      <x:c r="J37" s="48" t="n">
        <x:v>0.9747048206791421</x:v>
      </x:c>
      <x:c r="K37" s="48" t="n">
        <x:v>0.947279951915174</x:v>
      </x:c>
      <x:c r="L37" s="48" t="n">
        <x:v>0.9596357719423332</x:v>
      </x:c>
      <x:c r="M37" s="48" t="n">
        <x:v>0.070282275449695</x:v>
      </x:c>
      <x:c r="N37" s="48" t="n">
        <x:v>0.9963761134151002</x:v>
      </x:c>
      <x:c r="O37" s="48" t="n">
        <x:v>1</x:v>
      </x:c>
      <x:c r="P37" s="48" t="n">
        <x:v>1</x:v>
      </x:c>
      <x:c r="Q37" s="48" t="n">
        <x:v>1</x:v>
      </x:c>
      <x:c r="R37" s="48" t="n">
        <x:v>1</x:v>
      </x:c>
      <x:c r="S37" s="29" t="n">
        <x:v>1</x:v>
      </x:c>
    </x:row>
    <x:row r="38" ht="21.600000381469727" hidden="0" customHeight="1">
      <x:c r="A38" s="27" t="n">
        <x:v>12</x:v>
      </x:c>
      <x:c r="B38" s="27" t="str">
        <x:v>A1</x:v>
      </x:c>
      <x:c r="C38" s="47" t="n">
        <x:v>1.127858818654958</x:v>
      </x:c>
      <x:c r="D38" s="47" t="n">
        <x:v>0.7435536259385362</x:v>
      </x:c>
      <x:c r="E38" s="47" t="n">
        <x:v>0.5261791264100277</x:v>
      </x:c>
      <x:c r="F38" s="47" t="n">
        <x:v>-0.11149847315129365</x:v>
      </x:c>
      <x:c r="G38" s="47" t="n">
        <x:v>-0.10006236650019705</x:v>
      </x:c>
      <x:c r="H38" s="47" t="n">
        <x:v>0.4837229493505718</x:v>
      </x:c>
      <x:c r="I38" s="47" t="n">
        <x:v>0.7232741233977332</x:v>
      </x:c>
      <x:c r="J38" s="47" t="n">
        <x:v>0.5252657507107819</x:v>
      </x:c>
      <x:c r="K38" s="47" t="n">
        <x:v>0.95608077468573</x:v>
      </x:c>
      <x:c r="L38" s="47" t="n">
        <x:v>0.9324505985445144</x:v>
      </x:c>
      <x:c r="M38" s="47" t="n">
        <x:v>0.014894563082185482</x:v>
      </x:c>
      <x:c r="N38" s="47" t="n">
        <x:v>0.9358864599796259</x:v>
      </x:c>
      <x:c r="O38" s="47" t="n">
        <x:v>0.7965720578642448</x:v>
      </x:c>
      <x:c r="P38" s="47" t="n">
        <x:v>0.5466221212981464</x:v>
      </x:c>
      <x:c r="Q38" s="47" t="n">
        <x:v>1</x:v>
      </x:c>
      <x:c r="R38" s="47" t="n">
        <x:v>0.7487984207916377</x:v>
      </x:c>
      <x:c r="S38" s="27" t="n">
        <x:v>0</x:v>
      </x:c>
    </x:row>
    <x:row r="39" ht="21.600000381469727" hidden="0" customHeight="1">
      <x:c r="A39" s="29" t="n">
        <x:v>12</x:v>
      </x:c>
      <x:c r="B39" s="29" t="str">
        <x:v>A2</x:v>
      </x:c>
      <x:c r="C39" s="48" t="n">
        <x:v>1.127858818654958</x:v>
      </x:c>
      <x:c r="D39" s="48" t="n">
        <x:v>0.7435536259385362</x:v>
      </x:c>
      <x:c r="E39" s="48" t="n">
        <x:v>0.5261791264100277</x:v>
      </x:c>
      <x:c r="F39" s="48" t="n">
        <x:v>-0.11149847315129365</x:v>
      </x:c>
      <x:c r="G39" s="48" t="n">
        <x:v>-0.10006236650019705</x:v>
      </x:c>
      <x:c r="H39" s="48" t="n">
        <x:v>0.4837229493505718</x:v>
      </x:c>
      <x:c r="I39" s="48" t="n">
        <x:v>0.7232741233977332</x:v>
      </x:c>
      <x:c r="J39" s="48" t="n">
        <x:v>0.5252657507107819</x:v>
      </x:c>
      <x:c r="K39" s="48" t="n">
        <x:v>0.95608077468573</x:v>
      </x:c>
      <x:c r="L39" s="48" t="n">
        <x:v>0.9324505985445144</x:v>
      </x:c>
      <x:c r="M39" s="48" t="n">
        <x:v>0.014894563082185482</x:v>
      </x:c>
      <x:c r="N39" s="48" t="n">
        <x:v>0.9358864599796259</x:v>
      </x:c>
      <x:c r="O39" s="48" t="n">
        <x:v>0.8754720395761051</x:v>
      </x:c>
      <x:c r="P39" s="48" t="n">
        <x:v>0.5517564499714883</x:v>
      </x:c>
      <x:c r="Q39" s="48" t="n">
        <x:v>1</x:v>
      </x:c>
      <x:c r="R39" s="48" t="n">
        <x:v>0.846227514344104</x:v>
      </x:c>
      <x:c r="S39" s="29" t="n">
        <x:v>0</x:v>
      </x:c>
    </x:row>
    <x:row r="40" ht="21.600000381469727" hidden="0" customHeight="1">
      <x:c r="A40" s="27" t="n">
        <x:v>12</x:v>
      </x:c>
      <x:c r="B40" s="27" t="str">
        <x:v>A3</x:v>
      </x:c>
      <x:c r="C40" s="47" t="n">
        <x:v>1.127858818654958</x:v>
      </x:c>
      <x:c r="D40" s="47" t="n">
        <x:v>0.7435536259385362</x:v>
      </x:c>
      <x:c r="E40" s="47" t="n">
        <x:v>0.5261791264100277</x:v>
      </x:c>
      <x:c r="F40" s="47" t="n">
        <x:v>-0.11149847315129365</x:v>
      </x:c>
      <x:c r="G40" s="47" t="n">
        <x:v>-0.10006236650019705</x:v>
      </x:c>
      <x:c r="H40" s="47" t="n">
        <x:v>0.4837229493505718</x:v>
      </x:c>
      <x:c r="I40" s="47" t="n">
        <x:v>0.7232741233977332</x:v>
      </x:c>
      <x:c r="J40" s="47" t="n">
        <x:v>0.5252657507107819</x:v>
      </x:c>
      <x:c r="K40" s="47" t="n">
        <x:v>0.95608077468573</x:v>
      </x:c>
      <x:c r="L40" s="47" t="n">
        <x:v>0.9324505985445144</x:v>
      </x:c>
      <x:c r="M40" s="47" t="n">
        <x:v>0.014894563082185482</x:v>
      </x:c>
      <x:c r="N40" s="47" t="n">
        <x:v>0.9358864599796259</x:v>
      </x:c>
      <x:c r="O40" s="47" t="n">
        <x:v>1</x:v>
      </x:c>
      <x:c r="P40" s="47" t="n">
        <x:v>1</x:v>
      </x:c>
      <x:c r="Q40" s="47" t="n">
        <x:v>1</x:v>
      </x:c>
      <x:c r="R40" s="47" t="n">
        <x:v>1</x:v>
      </x:c>
      <x:c r="S40" s="27" t="n">
        <x:v>1</x:v>
      </x:c>
    </x:row>
    <x:row r="41" ht="21.600000381469727" hidden="0" customHeight="1">
      <x:c r="A41" s="29" t="n">
        <x:v>13</x:v>
      </x:c>
      <x:c r="B41" s="29" t="str">
        <x:v>A1</x:v>
      </x:c>
      <x:c r="C41" s="48" t="n">
        <x:v>1.0133955523144547</x:v>
      </x:c>
      <x:c r="D41" s="48" t="n">
        <x:v>0.7984408873325254</x:v>
      </x:c>
      <x:c r="E41" s="48" t="n">
        <x:v>0.45441027375068455</x:v>
      </x:c>
      <x:c r="F41" s="48" t="n">
        <x:v>-0.10835712254508885</x:v>
      </x:c>
      <x:c r="G41" s="48" t="n">
        <x:v>0.029528857033706307</x:v>
      </x:c>
      <x:c r="H41" s="48" t="n">
        <x:v>0.7414563663132778</x:v>
      </x:c>
      <x:c r="I41" s="48" t="n">
        <x:v>0.7899403296869705</x:v>
      </x:c>
      <x:c r="J41" s="48" t="n">
        <x:v>0.44482117288273104</x:v>
      </x:c>
      <x:c r="K41" s="48" t="n">
        <x:v>0.870876292559656</x:v>
      </x:c>
      <x:c r="L41" s="48" t="n">
        <x:v>0.7806591234942677</x:v>
      </x:c>
      <x:c r="M41" s="48" t="n">
        <x:v>0.10605213252434924</x:v>
      </x:c>
      <x:c r="N41" s="48" t="n">
        <x:v>0.9305811913731941</x:v>
      </x:c>
      <x:c r="O41" s="48" t="n">
        <x:v>0.834655297351199</x:v>
      </x:c>
      <x:c r="P41" s="48" t="n">
        <x:v>0.5815154687011429</x:v>
      </x:c>
      <x:c r="Q41" s="48" t="n">
        <x:v>1</x:v>
      </x:c>
      <x:c r="R41" s="48" t="n">
        <x:v>0.7958252441476398</x:v>
      </x:c>
      <x:c r="S41" s="29" t="n">
        <x:v>0</x:v>
      </x:c>
    </x:row>
    <x:row r="42" ht="21.600000381469727" hidden="0" customHeight="1">
      <x:c r="A42" s="27" t="n">
        <x:v>13</x:v>
      </x:c>
      <x:c r="B42" s="27" t="str">
        <x:v>A2</x:v>
      </x:c>
      <x:c r="C42" s="47" t="n">
        <x:v>1.0133955523144547</x:v>
      </x:c>
      <x:c r="D42" s="47" t="n">
        <x:v>0.7984408873325254</x:v>
      </x:c>
      <x:c r="E42" s="47" t="n">
        <x:v>0.45441027375068455</x:v>
      </x:c>
      <x:c r="F42" s="47" t="n">
        <x:v>-0.10835712254508885</x:v>
      </x:c>
      <x:c r="G42" s="47" t="n">
        <x:v>0.029528857033706307</x:v>
      </x:c>
      <x:c r="H42" s="47" t="n">
        <x:v>0.7414563663132778</x:v>
      </x:c>
      <x:c r="I42" s="47" t="n">
        <x:v>0.7899403296869705</x:v>
      </x:c>
      <x:c r="J42" s="47" t="n">
        <x:v>0.44482117288273104</x:v>
      </x:c>
      <x:c r="K42" s="47" t="n">
        <x:v>0.870876292559656</x:v>
      </x:c>
      <x:c r="L42" s="47" t="n">
        <x:v>0.7806591234942677</x:v>
      </x:c>
      <x:c r="M42" s="47" t="n">
        <x:v>0.10605213252434924</x:v>
      </x:c>
      <x:c r="N42" s="47" t="n">
        <x:v>0.9305811913731941</x:v>
      </x:c>
      <x:c r="O42" s="47" t="n">
        <x:v>0.9115375601545482</x:v>
      </x:c>
      <x:c r="P42" s="47" t="n">
        <x:v>0.6855723555935003</x:v>
      </x:c>
      <x:c r="Q42" s="47" t="n">
        <x:v>1</x:v>
      </x:c>
      <x:c r="R42" s="47" t="n">
        <x:v>0.8907627715421086</x:v>
      </x:c>
      <x:c r="S42" s="27" t="n">
        <x:v>0</x:v>
      </x:c>
    </x:row>
    <x:row r="43" ht="21.600000381469727" hidden="0" customHeight="1">
      <x:c r="A43" s="29" t="n">
        <x:v>13</x:v>
      </x:c>
      <x:c r="B43" s="29" t="str">
        <x:v>A3</x:v>
      </x:c>
      <x:c r="C43" s="48" t="n">
        <x:v>1.0133955523144547</x:v>
      </x:c>
      <x:c r="D43" s="48" t="n">
        <x:v>0.7984408873325254</x:v>
      </x:c>
      <x:c r="E43" s="48" t="n">
        <x:v>0.45441027375068455</x:v>
      </x:c>
      <x:c r="F43" s="48" t="n">
        <x:v>-0.10835712254508885</x:v>
      </x:c>
      <x:c r="G43" s="48" t="n">
        <x:v>0.029528857033706307</x:v>
      </x:c>
      <x:c r="H43" s="48" t="n">
        <x:v>0.7414563663132778</x:v>
      </x:c>
      <x:c r="I43" s="48" t="n">
        <x:v>0.7899403296869705</x:v>
      </x:c>
      <x:c r="J43" s="48" t="n">
        <x:v>0.44482117288273104</x:v>
      </x:c>
      <x:c r="K43" s="48" t="n">
        <x:v>0.870876292559656</x:v>
      </x:c>
      <x:c r="L43" s="48" t="n">
        <x:v>0.7806591234942677</x:v>
      </x:c>
      <x:c r="M43" s="48" t="n">
        <x:v>0.10605213252434924</x:v>
      </x:c>
      <x:c r="N43" s="48" t="n">
        <x:v>0.9305811913731941</x:v>
      </x:c>
      <x:c r="O43" s="48" t="n">
        <x:v>1</x:v>
      </x:c>
      <x:c r="P43" s="48" t="n">
        <x:v>1</x:v>
      </x:c>
      <x:c r="Q43" s="48" t="n">
        <x:v>1</x:v>
      </x:c>
      <x:c r="R43" s="48" t="n">
        <x:v>1</x:v>
      </x:c>
      <x:c r="S43" s="29" t="n">
        <x:v>1</x:v>
      </x:c>
    </x:row>
    <x:row r="44" ht="15" hidden="0" customHeight="1">
      <x:c r="A44" s="27" t="n">
        <x:v>14</x:v>
      </x:c>
      <x:c r="B44" s="27" t="str">
        <x:v>A1</x:v>
      </x:c>
      <x:c r="C44" s="47" t="n">
        <x:v>1.232904384142929</x:v>
      </x:c>
      <x:c r="D44" s="47" t="n">
        <x:v>0.9480808811199986</x:v>
      </x:c>
      <x:c r="E44" s="47" t="n">
        <x:v>0.4931886198779119</x:v>
      </x:c>
      <x:c r="F44" s="47" t="n">
        <x:v>0.026968447170478166</x:v>
      </x:c>
      <x:c r="G44" s="47" t="n">
        <x:v>-0.048387120311995185</x:v>
      </x:c>
      <x:c r="H44" s="47" t="n">
        <x:v>0.4540934631211147</x:v>
      </x:c>
      <x:c r="I44" s="47" t="n">
        <x:v>0.6003651292225786</x:v>
      </x:c>
      <x:c r="J44" s="47" t="n">
        <x:v>0.8806437438738012</x:v>
      </x:c>
      <x:c r="K44" s="47" t="n">
        <x:v>0.7770182474578108</x:v>
      </x:c>
      <x:c r="L44" s="47" t="n">
        <x:v>0.5333586235844527</x:v>
      </x:c>
      <x:c r="M44" s="47" t="n">
        <x:v>0.03744836205554892</x:v>
      </x:c>
      <x:c r="N44" s="47" t="n">
        <x:v>0.6708592433618193</x:v>
      </x:c>
      <x:c r="O44" s="47" t="n">
        <x:v>0.7977236364472509</x:v>
      </x:c>
      <x:c r="P44" s="47" t="n">
        <x:v>0.4273346200086794</x:v>
      </x:c>
      <x:c r="Q44" s="47" t="n">
        <x:v>1</x:v>
      </x:c>
      <x:c r="R44" s="47" t="n">
        <x:v>0.7502204395939545</x:v>
      </x:c>
      <x:c r="S44" s="27" t="n">
        <x:v>0</x:v>
      </x:c>
    </x:row>
    <x:row r="45" ht="15" hidden="0" customHeight="1">
      <x:c r="A45" s="29" t="n">
        <x:v>14</x:v>
      </x:c>
      <x:c r="B45" s="29" t="str">
        <x:v>A2</x:v>
      </x:c>
      <x:c r="C45" s="48" t="n">
        <x:v>1.232904384142929</x:v>
      </x:c>
      <x:c r="D45" s="48" t="n">
        <x:v>0.9480808811199986</x:v>
      </x:c>
      <x:c r="E45" s="48" t="n">
        <x:v>0.4931886198779119</x:v>
      </x:c>
      <x:c r="F45" s="48" t="n">
        <x:v>0.026968447170478166</x:v>
      </x:c>
      <x:c r="G45" s="48" t="n">
        <x:v>-0.048387120311995185</x:v>
      </x:c>
      <x:c r="H45" s="48" t="n">
        <x:v>0.4540934631211147</x:v>
      </x:c>
      <x:c r="I45" s="48" t="n">
        <x:v>0.6003651292225786</x:v>
      </x:c>
      <x:c r="J45" s="48" t="n">
        <x:v>0.8806437438738012</x:v>
      </x:c>
      <x:c r="K45" s="48" t="n">
        <x:v>0.7770182474578108</x:v>
      </x:c>
      <x:c r="L45" s="48" t="n">
        <x:v>0.5333586235844527</x:v>
      </x:c>
      <x:c r="M45" s="48" t="n">
        <x:v>0.03744836205554892</x:v>
      </x:c>
      <x:c r="N45" s="48" t="n">
        <x:v>0.6708592433618193</x:v>
      </x:c>
      <x:c r="O45" s="48" t="n">
        <x:v>0.8738843959686838</x:v>
      </x:c>
      <x:c r="P45" s="48" t="n">
        <x:v>0.46273909882435843</x:v>
      </x:c>
      <x:c r="Q45" s="48" t="n">
        <x:v>1</x:v>
      </x:c>
      <x:c r="R45" s="48" t="n">
        <x:v>0.8442670236798563</x:v>
      </x:c>
      <x:c r="S45" s="29" t="n">
        <x:v>0</x:v>
      </x:c>
    </x:row>
    <x:row r="46" ht="15" hidden="0" customHeight="1">
      <x:c r="A46" s="27" t="n">
        <x:v>14</x:v>
      </x:c>
      <x:c r="B46" s="27" t="str">
        <x:v>A3</x:v>
      </x:c>
      <x:c r="C46" s="47" t="n">
        <x:v>1.232904384142929</x:v>
      </x:c>
      <x:c r="D46" s="47" t="n">
        <x:v>0.9480808811199986</x:v>
      </x:c>
      <x:c r="E46" s="47" t="n">
        <x:v>0.4931886198779119</x:v>
      </x:c>
      <x:c r="F46" s="47" t="n">
        <x:v>0.026968447170478166</x:v>
      </x:c>
      <x:c r="G46" s="47" t="n">
        <x:v>-0.048387120311995185</x:v>
      </x:c>
      <x:c r="H46" s="47" t="n">
        <x:v>0.4540934631211147</x:v>
      </x:c>
      <x:c r="I46" s="47" t="n">
        <x:v>0.6003651292225786</x:v>
      </x:c>
      <x:c r="J46" s="47" t="n">
        <x:v>0.8806437438738012</x:v>
      </x:c>
      <x:c r="K46" s="47" t="n">
        <x:v>0.7770182474578108</x:v>
      </x:c>
      <x:c r="L46" s="47" t="n">
        <x:v>0.5333586235844527</x:v>
      </x:c>
      <x:c r="M46" s="47" t="n">
        <x:v>0.03744836205554892</x:v>
      </x:c>
      <x:c r="N46" s="47" t="n">
        <x:v>0.6708592433618193</x:v>
      </x:c>
      <x:c r="O46" s="47" t="n">
        <x:v>1</x:v>
      </x:c>
      <x:c r="P46" s="47" t="n">
        <x:v>1</x:v>
      </x:c>
      <x:c r="Q46" s="47" t="n">
        <x:v>1</x:v>
      </x:c>
      <x:c r="R46" s="47" t="n">
        <x:v>1</x:v>
      </x:c>
      <x:c r="S46" s="27" t="n">
        <x:v>1</x:v>
      </x:c>
    </x:row>
    <x:row r="47" ht="21.600000381469727" hidden="0" customHeight="1">
      <x:c r="A47" s="29" t="n">
        <x:v>15</x:v>
      </x:c>
      <x:c r="B47" s="29" t="str">
        <x:v>A1</x:v>
      </x:c>
      <x:c r="C47" s="48" t="n">
        <x:v>1.1951291212039772</x:v>
      </x:c>
      <x:c r="D47" s="48" t="n">
        <x:v>0.851223009330105</x:v>
      </x:c>
      <x:c r="E47" s="48" t="n">
        <x:v>0.9406751507070426</x:v>
      </x:c>
      <x:c r="F47" s="48" t="n">
        <x:v>-0.06247124535377124</x:v>
      </x:c>
      <x:c r="G47" s="48" t="n">
        <x:v>0.002493951768486602</x:v>
      </x:c>
      <x:c r="H47" s="48" t="n">
        <x:v>0.5223802432903119</x:v>
      </x:c>
      <x:c r="I47" s="48" t="n">
        <x:v>0.9885536766164692</x:v>
      </x:c>
      <x:c r="J47" s="48" t="n">
        <x:v>0.8014751652391614</x:v>
      </x:c>
      <x:c r="K47" s="48" t="n">
        <x:v>0.8829826831839229</x:v>
      </x:c>
      <x:c r="L47" s="48" t="n">
        <x:v>0.6733712910517768</x:v>
      </x:c>
      <x:c r="M47" s="48" t="n">
        <x:v>0.04678993373854594</x:v>
      </x:c>
      <x:c r="N47" s="48" t="n">
        <x:v>0.8058963273567308</x:v>
      </x:c>
      <x:c r="O47" s="48" t="n">
        <x:v>0.8454222696419329</x:v>
      </x:c>
      <x:c r="P47" s="48" t="n">
        <x:v>0.5160915370314785</x:v>
      </x:c>
      <x:c r="Q47" s="48" t="n">
        <x:v>1</x:v>
      </x:c>
      <x:c r="R47" s="48" t="n">
        <x:v>0.8091207649808597</x:v>
      </x:c>
      <x:c r="S47" s="29" t="n">
        <x:v>0</x:v>
      </x:c>
    </x:row>
    <x:row r="48" ht="21.600000381469727" hidden="0" customHeight="1">
      <x:c r="A48" s="27" t="n">
        <x:v>15</x:v>
      </x:c>
      <x:c r="B48" s="27" t="str">
        <x:v>A2</x:v>
      </x:c>
      <x:c r="C48" s="47" t="n">
        <x:v>1.1951291212039772</x:v>
      </x:c>
      <x:c r="D48" s="47" t="n">
        <x:v>0.851223009330105</x:v>
      </x:c>
      <x:c r="E48" s="47" t="n">
        <x:v>0.9406751507070426</x:v>
      </x:c>
      <x:c r="F48" s="47" t="n">
        <x:v>-0.06247124535377124</x:v>
      </x:c>
      <x:c r="G48" s="47" t="n">
        <x:v>0.002493951768486602</x:v>
      </x:c>
      <x:c r="H48" s="47" t="n">
        <x:v>0.5223802432903119</x:v>
      </x:c>
      <x:c r="I48" s="47" t="n">
        <x:v>0.9885536766164692</x:v>
      </x:c>
      <x:c r="J48" s="47" t="n">
        <x:v>0.8014751652391614</x:v>
      </x:c>
      <x:c r="K48" s="47" t="n">
        <x:v>0.8829826831839229</x:v>
      </x:c>
      <x:c r="L48" s="47" t="n">
        <x:v>0.6733712910517768</x:v>
      </x:c>
      <x:c r="M48" s="47" t="n">
        <x:v>0.04678993373854594</x:v>
      </x:c>
      <x:c r="N48" s="47" t="n">
        <x:v>0.8058963273567308</x:v>
      </x:c>
      <x:c r="O48" s="47" t="n">
        <x:v>0.9454493178620555</x:v>
      </x:c>
      <x:c r="P48" s="47" t="n">
        <x:v>0.6238508711160939</x:v>
      </x:c>
      <x:c r="Q48" s="47" t="n">
        <x:v>1</x:v>
      </x:c>
      <x:c r="R48" s="47" t="n">
        <x:v>0.932638469641499</x:v>
      </x:c>
      <x:c r="S48" s="27" t="n">
        <x:v>0</x:v>
      </x:c>
    </x:row>
    <x:row r="49" ht="21.600000381469727" hidden="0" customHeight="1">
      <x:c r="A49" s="29" t="n">
        <x:v>15</x:v>
      </x:c>
      <x:c r="B49" s="29" t="str">
        <x:v>A3</x:v>
      </x:c>
      <x:c r="C49" s="48" t="n">
        <x:v>1.1951291212039772</x:v>
      </x:c>
      <x:c r="D49" s="48" t="n">
        <x:v>0.851223009330105</x:v>
      </x:c>
      <x:c r="E49" s="48" t="n">
        <x:v>0.9406751507070426</x:v>
      </x:c>
      <x:c r="F49" s="48" t="n">
        <x:v>-0.06247124535377124</x:v>
      </x:c>
      <x:c r="G49" s="48" t="n">
        <x:v>0.002493951768486602</x:v>
      </x:c>
      <x:c r="H49" s="48" t="n">
        <x:v>0.5223802432903119</x:v>
      </x:c>
      <x:c r="I49" s="48" t="n">
        <x:v>0.9885536766164692</x:v>
      </x:c>
      <x:c r="J49" s="48" t="n">
        <x:v>0.8014751652391614</x:v>
      </x:c>
      <x:c r="K49" s="48" t="n">
        <x:v>0.8829826831839229</x:v>
      </x:c>
      <x:c r="L49" s="48" t="n">
        <x:v>0.6733712910517768</x:v>
      </x:c>
      <x:c r="M49" s="48" t="n">
        <x:v>0.04678993373854594</x:v>
      </x:c>
      <x:c r="N49" s="48" t="n">
        <x:v>0.8058963273567308</x:v>
      </x:c>
      <x:c r="O49" s="48" t="n">
        <x:v>1</x:v>
      </x:c>
      <x:c r="P49" s="48" t="n">
        <x:v>1</x:v>
      </x:c>
      <x:c r="Q49" s="48" t="n">
        <x:v>1</x:v>
      </x:c>
      <x:c r="R49" s="48" t="n">
        <x:v>1</x:v>
      </x:c>
      <x:c r="S49" s="29" t="n">
        <x:v>1</x:v>
      </x:c>
    </x:row>
    <x:row r="50" ht="21.600000381469727" hidden="0" customHeight="1">
      <x:c r="A50" s="27" t="n">
        <x:v>16</x:v>
      </x:c>
      <x:c r="B50" s="27" t="str">
        <x:v>A1</x:v>
      </x:c>
      <x:c r="C50" s="47" t="n">
        <x:v>1.1468988493664447</x:v>
      </x:c>
      <x:c r="D50" s="47" t="n">
        <x:v>0.7915700334292035</x:v>
      </x:c>
      <x:c r="E50" s="47" t="n">
        <x:v>0.8191249427705596</x:v>
      </x:c>
      <x:c r="F50" s="47" t="n">
        <x:v>-0.029694718954712457</x:v>
      </x:c>
      <x:c r="G50" s="47" t="n">
        <x:v>0.007948692672795576</x:v>
      </x:c>
      <x:c r="H50" s="47" t="n">
        <x:v>0.8571259768323414</x:v>
      </x:c>
      <x:c r="I50" s="47" t="n">
        <x:v>0.7632050416947581</x:v>
      </x:c>
      <x:c r="J50" s="47" t="n">
        <x:v>0.6645455735924827</x:v>
      </x:c>
      <x:c r="K50" s="47" t="n">
        <x:v>0.7443037494360554</x:v>
      </x:c>
      <x:c r="L50" s="47" t="n">
        <x:v>0.9069818160702724</x:v>
      </x:c>
      <x:c r="M50" s="47" t="n">
        <x:v>0.0330207336625452</x:v>
      </x:c>
      <x:c r="N50" s="47" t="n">
        <x:v>0.6979776584563054</x:v>
      </x:c>
      <x:c r="O50" s="47" t="n">
        <x:v>0.8445829798902769</x:v>
      </x:c>
      <x:c r="P50" s="47" t="n">
        <x:v>0.5581340361392123</x:v>
      </x:c>
      <x:c r="Q50" s="47" t="n">
        <x:v>1</x:v>
      </x:c>
      <x:c r="R50" s="47" t="n">
        <x:v>0.8080843738695116</x:v>
      </x:c>
      <x:c r="S50" s="27" t="n">
        <x:v>0</x:v>
      </x:c>
    </x:row>
    <x:row r="51" ht="21.600000381469727" hidden="0" customHeight="1">
      <x:c r="A51" s="29" t="n">
        <x:v>16</x:v>
      </x:c>
      <x:c r="B51" s="29" t="str">
        <x:v>A2</x:v>
      </x:c>
      <x:c r="C51" s="48" t="n">
        <x:v>1.1468988493664447</x:v>
      </x:c>
      <x:c r="D51" s="48" t="n">
        <x:v>0.7915700334292035</x:v>
      </x:c>
      <x:c r="E51" s="48" t="n">
        <x:v>0.8191249427705596</x:v>
      </x:c>
      <x:c r="F51" s="48" t="n">
        <x:v>-0.029694718954712457</x:v>
      </x:c>
      <x:c r="G51" s="48" t="n">
        <x:v>0.007948692672795576</x:v>
      </x:c>
      <x:c r="H51" s="48" t="n">
        <x:v>0.8571259768323414</x:v>
      </x:c>
      <x:c r="I51" s="48" t="n">
        <x:v>0.7632050416947581</x:v>
      </x:c>
      <x:c r="J51" s="48" t="n">
        <x:v>0.6645455735924827</x:v>
      </x:c>
      <x:c r="K51" s="48" t="n">
        <x:v>0.7443037494360554</x:v>
      </x:c>
      <x:c r="L51" s="48" t="n">
        <x:v>0.9069818160702724</x:v>
      </x:c>
      <x:c r="M51" s="48" t="n">
        <x:v>0.0330207336625452</x:v>
      </x:c>
      <x:c r="N51" s="48" t="n">
        <x:v>0.6979776584563054</x:v>
      </x:c>
      <x:c r="O51" s="48" t="n">
        <x:v>0.9141769896927505</x:v>
      </x:c>
      <x:c r="P51" s="48" t="n">
        <x:v>0.5933330359380599</x:v>
      </x:c>
      <x:c r="Q51" s="48" t="n">
        <x:v>1</x:v>
      </x:c>
      <x:c r="R51" s="48" t="n">
        <x:v>0.8940220527462763</x:v>
      </x:c>
      <x:c r="S51" s="29" t="n">
        <x:v>0</x:v>
      </x:c>
    </x:row>
    <x:row r="52" ht="21.600000381469727" hidden="0" customHeight="1">
      <x:c r="A52" s="27" t="n">
        <x:v>16</x:v>
      </x:c>
      <x:c r="B52" s="27" t="str">
        <x:v>A3</x:v>
      </x:c>
      <x:c r="C52" s="47" t="n">
        <x:v>1.1468988493664447</x:v>
      </x:c>
      <x:c r="D52" s="47" t="n">
        <x:v>0.7915700334292035</x:v>
      </x:c>
      <x:c r="E52" s="47" t="n">
        <x:v>0.8191249427705596</x:v>
      </x:c>
      <x:c r="F52" s="47" t="n">
        <x:v>-0.029694718954712457</x:v>
      </x:c>
      <x:c r="G52" s="47" t="n">
        <x:v>0.007948692672795576</x:v>
      </x:c>
      <x:c r="H52" s="47" t="n">
        <x:v>0.8571259768323414</x:v>
      </x:c>
      <x:c r="I52" s="47" t="n">
        <x:v>0.7632050416947581</x:v>
      </x:c>
      <x:c r="J52" s="47" t="n">
        <x:v>0.6645455735924827</x:v>
      </x:c>
      <x:c r="K52" s="47" t="n">
        <x:v>0.7443037494360554</x:v>
      </x:c>
      <x:c r="L52" s="47" t="n">
        <x:v>0.9069818160702724</x:v>
      </x:c>
      <x:c r="M52" s="47" t="n">
        <x:v>0.0330207336625452</x:v>
      </x:c>
      <x:c r="N52" s="47" t="n">
        <x:v>0.6979776584563054</x:v>
      </x:c>
      <x:c r="O52" s="47" t="n">
        <x:v>1</x:v>
      </x:c>
      <x:c r="P52" s="47" t="n">
        <x:v>1</x:v>
      </x:c>
      <x:c r="Q52" s="47" t="n">
        <x:v>1</x:v>
      </x:c>
      <x:c r="R52" s="47" t="n">
        <x:v>1.0000000000000002</x:v>
      </x:c>
      <x:c r="S52" s="27" t="n">
        <x:v>1</x:v>
      </x:c>
    </x:row>
    <x:row r="53" ht="15" hidden="0" customHeight="1">
      <x:c r="A53" s="29" t="n">
        <x:v>17</x:v>
      </x:c>
      <x:c r="B53" s="29" t="str">
        <x:v>A1</x:v>
      </x:c>
      <x:c r="C53" s="48" t="n">
        <x:v>1.2986938931781995</x:v>
      </x:c>
      <x:c r="D53" s="48" t="n">
        <x:v>0.9334610175933602</x:v>
      </x:c>
      <x:c r="E53" s="48" t="n">
        <x:v>0.8167764394389168</x:v>
      </x:c>
      <x:c r="F53" s="48" t="n">
        <x:v>-0.05640870016910554</x:v>
      </x:c>
      <x:c r="G53" s="48" t="n">
        <x:v>0.028490577898051705</x:v>
      </x:c>
      <x:c r="H53" s="48" t="n">
        <x:v>0.3565287265989593</x:v>
      </x:c>
      <x:c r="I53" s="48" t="n">
        <x:v>1.0177215024123218</x:v>
      </x:c>
      <x:c r="J53" s="48" t="n">
        <x:v>0.7673414523044542</x:v>
      </x:c>
      <x:c r="K53" s="48" t="n">
        <x:v>0.8303002155400907</x:v>
      </x:c>
      <x:c r="L53" s="48" t="n">
        <x:v>0.7080519468221333</x:v>
      </x:c>
      <x:c r="M53" s="48" t="n">
        <x:v>0.00578294347970532</x:v>
      </x:c>
      <x:c r="N53" s="48" t="n">
        <x:v>0.9175062656425497</x:v>
      </x:c>
      <x:c r="O53" s="48" t="n">
        <x:v>0.8660733439046194</x:v>
      </x:c>
      <x:c r="P53" s="48" t="n">
        <x:v>0.5714500896525203</x:v>
      </x:c>
      <x:c r="Q53" s="48" t="n">
        <x:v>1</x:v>
      </x:c>
      <x:c r="R53" s="48" t="n">
        <x:v>0.8346216003758036</x:v>
      </x:c>
      <x:c r="S53" s="29" t="n">
        <x:v>0</x:v>
      </x:c>
    </x:row>
    <x:row r="54" ht="15" hidden="0" customHeight="1">
      <x:c r="A54" s="27" t="n">
        <x:v>17</x:v>
      </x:c>
      <x:c r="B54" s="27" t="str">
        <x:v>A2</x:v>
      </x:c>
      <x:c r="C54" s="47" t="n">
        <x:v>1.2986938931781995</x:v>
      </x:c>
      <x:c r="D54" s="47" t="n">
        <x:v>0.9334610175933602</x:v>
      </x:c>
      <x:c r="E54" s="47" t="n">
        <x:v>0.8167764394389168</x:v>
      </x:c>
      <x:c r="F54" s="47" t="n">
        <x:v>-0.05640870016910554</x:v>
      </x:c>
      <x:c r="G54" s="47" t="n">
        <x:v>0.028490577898051705</x:v>
      </x:c>
      <x:c r="H54" s="47" t="n">
        <x:v>0.3565287265989593</x:v>
      </x:c>
      <x:c r="I54" s="47" t="n">
        <x:v>1.0177215024123218</x:v>
      </x:c>
      <x:c r="J54" s="47" t="n">
        <x:v>0.7673414523044542</x:v>
      </x:c>
      <x:c r="K54" s="47" t="n">
        <x:v>0.8303002155400907</x:v>
      </x:c>
      <x:c r="L54" s="47" t="n">
        <x:v>0.7080519468221333</x:v>
      </x:c>
      <x:c r="M54" s="47" t="n">
        <x:v>0.00578294347970532</x:v>
      </x:c>
      <x:c r="N54" s="47" t="n">
        <x:v>0.9175062656425497</x:v>
      </x:c>
      <x:c r="O54" s="47" t="n">
        <x:v>0.9455468752412883</x:v>
      </x:c>
      <x:c r="P54" s="47" t="n">
        <x:v>0.6193634186393376</x:v>
      </x:c>
      <x:c r="Q54" s="47" t="n">
        <x:v>1</x:v>
      </x:c>
      <x:c r="R54" s="47" t="n">
        <x:v>0.9327589376925909</x:v>
      </x:c>
      <x:c r="S54" s="27" t="n">
        <x:v>0</x:v>
      </x:c>
    </x:row>
    <x:row r="55" ht="15" hidden="0" customHeight="1">
      <x:c r="A55" s="29" t="n">
        <x:v>17</x:v>
      </x:c>
      <x:c r="B55" s="29" t="str">
        <x:v>A3</x:v>
      </x:c>
      <x:c r="C55" s="48" t="n">
        <x:v>1.2986938931781995</x:v>
      </x:c>
      <x:c r="D55" s="48" t="n">
        <x:v>0.9334610175933602</x:v>
      </x:c>
      <x:c r="E55" s="48" t="n">
        <x:v>0.8167764394389168</x:v>
      </x:c>
      <x:c r="F55" s="48" t="n">
        <x:v>-0.05640870016910554</x:v>
      </x:c>
      <x:c r="G55" s="48" t="n">
        <x:v>0.028490577898051705</x:v>
      </x:c>
      <x:c r="H55" s="48" t="n">
        <x:v>0.3565287265989593</x:v>
      </x:c>
      <x:c r="I55" s="48" t="n">
        <x:v>1.0177215024123218</x:v>
      </x:c>
      <x:c r="J55" s="48" t="n">
        <x:v>0.7673414523044542</x:v>
      </x:c>
      <x:c r="K55" s="48" t="n">
        <x:v>0.8303002155400907</x:v>
      </x:c>
      <x:c r="L55" s="48" t="n">
        <x:v>0.7080519468221333</x:v>
      </x:c>
      <x:c r="M55" s="48" t="n">
        <x:v>0.00578294347970532</x:v>
      </x:c>
      <x:c r="N55" s="48" t="n">
        <x:v>0.9175062656425497</x:v>
      </x:c>
      <x:c r="O55" s="48" t="n">
        <x:v>1</x:v>
      </x:c>
      <x:c r="P55" s="48" t="n">
        <x:v>1</x:v>
      </x:c>
      <x:c r="Q55" s="48" t="n">
        <x:v>1</x:v>
      </x:c>
      <x:c r="R55" s="48" t="n">
        <x:v>1</x:v>
      </x:c>
      <x:c r="S55" s="29" t="n">
        <x:v>1</x:v>
      </x:c>
    </x:row>
    <x:row r="56" ht="21.600000381469727" hidden="0" customHeight="1">
      <x:c r="A56" s="27" t="n">
        <x:v>18</x:v>
      </x:c>
      <x:c r="B56" s="27" t="str">
        <x:v>A1</x:v>
      </x:c>
      <x:c r="C56" s="47" t="n">
        <x:v>1.0601955449478853</x:v>
      </x:c>
      <x:c r="D56" s="47" t="n">
        <x:v>0.9258093781332195</x:v>
      </x:c>
      <x:c r="E56" s="47" t="n">
        <x:v>1.010962907728125</x:v>
      </x:c>
      <x:c r="F56" s="47" t="n">
        <x:v>-0.009248090668237174</x:v>
      </x:c>
      <x:c r="G56" s="47" t="n">
        <x:v>0.02037819957458123</x:v>
      </x:c>
      <x:c r="H56" s="47" t="n">
        <x:v>0.6579067395373255</x:v>
      </x:c>
      <x:c r="I56" s="47" t="n">
        <x:v>0.9283564285935352</x:v>
      </x:c>
      <x:c r="J56" s="47" t="n">
        <x:v>0.8404231328153434</x:v>
      </x:c>
      <x:c r="K56" s="47" t="n">
        <x:v>0.9281957912782919</x:v>
      </x:c>
      <x:c r="L56" s="47" t="n">
        <x:v>0.9204826428976833</x:v>
      </x:c>
      <x:c r="M56" s="47" t="n">
        <x:v>0.017848442601194198</x:v>
      </x:c>
      <x:c r="N56" s="47" t="n">
        <x:v>0.8655537637837304</x:v>
      </x:c>
      <x:c r="O56" s="47" t="n">
        <x:v>0.935085722018085</x:v>
      </x:c>
      <x:c r="P56" s="47" t="n">
        <x:v>0.5257817678030421</x:v>
      </x:c>
      <x:c r="Q56" s="47" t="n">
        <x:v>1</x:v>
      </x:c>
      <x:c r="R56" s="47" t="n">
        <x:v>0.9198410554074933</x:v>
      </x:c>
      <x:c r="S56" s="27" t="n">
        <x:v>0</x:v>
      </x:c>
    </x:row>
    <x:row r="57" ht="21.600000381469727" hidden="0" customHeight="1">
      <x:c r="A57" s="29" t="n">
        <x:v>18</x:v>
      </x:c>
      <x:c r="B57" s="29" t="str">
        <x:v>A2</x:v>
      </x:c>
      <x:c r="C57" s="48" t="n">
        <x:v>1.0601955449478853</x:v>
      </x:c>
      <x:c r="D57" s="48" t="n">
        <x:v>0.9258093781332195</x:v>
      </x:c>
      <x:c r="E57" s="48" t="n">
        <x:v>1.010962907728125</x:v>
      </x:c>
      <x:c r="F57" s="48" t="n">
        <x:v>-0.009248090668237174</x:v>
      </x:c>
      <x:c r="G57" s="48" t="n">
        <x:v>0.02037819957458123</x:v>
      </x:c>
      <x:c r="H57" s="48" t="n">
        <x:v>0.6579067395373255</x:v>
      </x:c>
      <x:c r="I57" s="48" t="n">
        <x:v>0.9283564285935352</x:v>
      </x:c>
      <x:c r="J57" s="48" t="n">
        <x:v>0.8404231328153434</x:v>
      </x:c>
      <x:c r="K57" s="48" t="n">
        <x:v>0.9281957912782919</x:v>
      </x:c>
      <x:c r="L57" s="48" t="n">
        <x:v>0.9204826428976833</x:v>
      </x:c>
      <x:c r="M57" s="48" t="n">
        <x:v>0.017848442601194198</x:v>
      </x:c>
      <x:c r="N57" s="48" t="n">
        <x:v>0.8655537637837304</x:v>
      </x:c>
      <x:c r="O57" s="48" t="n">
        <x:v>1</x:v>
      </x:c>
      <x:c r="P57" s="48" t="n">
        <x:v>0.9999999999999998</x:v>
      </x:c>
      <x:c r="Q57" s="48" t="n">
        <x:v>1</x:v>
      </x:c>
      <x:c r="R57" s="48" t="n">
        <x:v>1</x:v>
      </x:c>
      <x:c r="S57" s="29" t="n">
        <x:v>1</x:v>
      </x:c>
    </x:row>
    <x:row r="58" ht="21.600000381469727" hidden="0" customHeight="1">
      <x:c r="A58" s="27" t="n">
        <x:v>18</x:v>
      </x:c>
      <x:c r="B58" s="27" t="str">
        <x:v>A3</x:v>
      </x:c>
      <x:c r="C58" s="47" t="n">
        <x:v>1.0601955449478853</x:v>
      </x:c>
      <x:c r="D58" s="47" t="n">
        <x:v>0.9258093781332195</x:v>
      </x:c>
      <x:c r="E58" s="47" t="n">
        <x:v>1.010962907728125</x:v>
      </x:c>
      <x:c r="F58" s="47" t="n">
        <x:v>-0.009248090668237174</x:v>
      </x:c>
      <x:c r="G58" s="47" t="n">
        <x:v>0.02037819957458123</x:v>
      </x:c>
      <x:c r="H58" s="47" t="n">
        <x:v>0.6579067395373255</x:v>
      </x:c>
      <x:c r="I58" s="47" t="n">
        <x:v>0.9283564285935352</x:v>
      </x:c>
      <x:c r="J58" s="47" t="n">
        <x:v>0.8404231328153434</x:v>
      </x:c>
      <x:c r="K58" s="47" t="n">
        <x:v>0.9281957912782919</x:v>
      </x:c>
      <x:c r="L58" s="47" t="n">
        <x:v>0.9204826428976833</x:v>
      </x:c>
      <x:c r="M58" s="47" t="n">
        <x:v>0.017848442601194198</x:v>
      </x:c>
      <x:c r="N58" s="47" t="n">
        <x:v>0.8655537637837304</x:v>
      </x:c>
      <x:c r="O58" s="47" t="n">
        <x:v>1</x:v>
      </x:c>
      <x:c r="P58" s="47" t="n">
        <x:v>1</x:v>
      </x:c>
      <x:c r="Q58" s="47" t="n">
        <x:v>1</x:v>
      </x:c>
      <x:c r="R58" s="47" t="n">
        <x:v>1</x:v>
      </x:c>
      <x:c r="S58" s="27" t="n">
        <x:v>1</x:v>
      </x:c>
    </x:row>
    <x:row r="59" ht="21.600000381469727" hidden="0" customHeight="1">
      <x:c r="A59" s="29" t="n">
        <x:v>19</x:v>
      </x:c>
      <x:c r="B59" s="29" t="str">
        <x:v>A1</x:v>
      </x:c>
      <x:c r="C59" s="48" t="n">
        <x:v>1.1698105079506782</x:v>
      </x:c>
      <x:c r="D59" s="48" t="n">
        <x:v>0.7958492474142667</x:v>
      </x:c>
      <x:c r="E59" s="48" t="n">
        <x:v>0.6404151628284273</x:v>
      </x:c>
      <x:c r="F59" s="48" t="n">
        <x:v>-0.04620353343261613</x:v>
      </x:c>
      <x:c r="G59" s="48" t="n">
        <x:v>-0.09142777881009341</x:v>
      </x:c>
      <x:c r="H59" s="48" t="n">
        <x:v>0.577671437910499</x:v>
      </x:c>
      <x:c r="I59" s="48" t="n">
        <x:v>0.7272110703700394</x:v>
      </x:c>
      <x:c r="J59" s="48" t="n">
        <x:v>0.9897751996072466</x:v>
      </x:c>
      <x:c r="K59" s="48" t="n">
        <x:v>0.778341256752874</x:v>
      </x:c>
      <x:c r="L59" s="48" t="n">
        <x:v>0.71461473851366</x:v>
      </x:c>
      <x:c r="M59" s="48" t="n">
        <x:v>0.08259599043424785</x:v>
      </x:c>
      <x:c r="N59" s="48" t="n">
        <x:v>0.7599191087037954</x:v>
      </x:c>
      <x:c r="O59" s="48" t="n">
        <x:v>0.7941070421412534</x:v>
      </x:c>
      <x:c r="P59" s="48" t="n">
        <x:v>0.44406347583748</x:v>
      </x:c>
      <x:c r="Q59" s="48" t="n">
        <x:v>0.9494958758812927</x:v>
      </x:c>
      <x:c r="R59" s="48" t="n">
        <x:v>0.7461296000059181</x:v>
      </x:c>
      <x:c r="S59" s="29" t="n">
        <x:v>0</x:v>
      </x:c>
    </x:row>
    <x:row r="60" ht="21.600000381469727" hidden="0" customHeight="1">
      <x:c r="A60" s="27" t="n">
        <x:v>19</x:v>
      </x:c>
      <x:c r="B60" s="27" t="str">
        <x:v>A2</x:v>
      </x:c>
      <x:c r="C60" s="47" t="n">
        <x:v>1.1698105079506782</x:v>
      </x:c>
      <x:c r="D60" s="47" t="n">
        <x:v>0.7958492474142667</x:v>
      </x:c>
      <x:c r="E60" s="47" t="n">
        <x:v>0.6404151628284273</x:v>
      </x:c>
      <x:c r="F60" s="47" t="n">
        <x:v>-0.04620353343261613</x:v>
      </x:c>
      <x:c r="G60" s="47" t="n">
        <x:v>-0.09142777881009341</x:v>
      </x:c>
      <x:c r="H60" s="47" t="n">
        <x:v>0.577671437910499</x:v>
      </x:c>
      <x:c r="I60" s="47" t="n">
        <x:v>0.7272110703700394</x:v>
      </x:c>
      <x:c r="J60" s="47" t="n">
        <x:v>0.9897751996072466</x:v>
      </x:c>
      <x:c r="K60" s="47" t="n">
        <x:v>0.778341256752874</x:v>
      </x:c>
      <x:c r="L60" s="47" t="n">
        <x:v>0.71461473851366</x:v>
      </x:c>
      <x:c r="M60" s="47" t="n">
        <x:v>0.08259599043424785</x:v>
      </x:c>
      <x:c r="N60" s="47" t="n">
        <x:v>0.7599191087037954</x:v>
      </x:c>
      <x:c r="O60" s="47" t="n">
        <x:v>0.8777707813370913</x:v>
      </x:c>
      <x:c r="P60" s="47" t="n">
        <x:v>0.5483700997013193</x:v>
      </x:c>
      <x:c r="Q60" s="47" t="n">
        <x:v>1</x:v>
      </x:c>
      <x:c r="R60" s="47" t="n">
        <x:v>0.8490660996165569</x:v>
      </x:c>
      <x:c r="S60" s="27" t="n">
        <x:v>0</x:v>
      </x:c>
    </x:row>
    <x:row r="61" ht="21.600000381469727" hidden="0" customHeight="1">
      <x:c r="A61" s="29" t="n">
        <x:v>19</x:v>
      </x:c>
      <x:c r="B61" s="29" t="str">
        <x:v>A3</x:v>
      </x:c>
      <x:c r="C61" s="48" t="n">
        <x:v>1.1698105079506782</x:v>
      </x:c>
      <x:c r="D61" s="48" t="n">
        <x:v>0.7958492474142667</x:v>
      </x:c>
      <x:c r="E61" s="48" t="n">
        <x:v>0.6404151628284273</x:v>
      </x:c>
      <x:c r="F61" s="48" t="n">
        <x:v>-0.04620353343261613</x:v>
      </x:c>
      <x:c r="G61" s="48" t="n">
        <x:v>-0.09142777881009341</x:v>
      </x:c>
      <x:c r="H61" s="48" t="n">
        <x:v>0.577671437910499</x:v>
      </x:c>
      <x:c r="I61" s="48" t="n">
        <x:v>0.7272110703700394</x:v>
      </x:c>
      <x:c r="J61" s="48" t="n">
        <x:v>0.9897751996072466</x:v>
      </x:c>
      <x:c r="K61" s="48" t="n">
        <x:v>0.778341256752874</x:v>
      </x:c>
      <x:c r="L61" s="48" t="n">
        <x:v>0.71461473851366</x:v>
      </x:c>
      <x:c r="M61" s="48" t="n">
        <x:v>0.08259599043424785</x:v>
      </x:c>
      <x:c r="N61" s="48" t="n">
        <x:v>0.7599191087037954</x:v>
      </x:c>
      <x:c r="O61" s="48" t="n">
        <x:v>1</x:v>
      </x:c>
      <x:c r="P61" s="48" t="n">
        <x:v>1</x:v>
      </x:c>
      <x:c r="Q61" s="48" t="n">
        <x:v>1</x:v>
      </x:c>
      <x:c r="R61" s="48" t="n">
        <x:v>1</x:v>
      </x:c>
      <x:c r="S61" s="29" t="n">
        <x:v>1</x:v>
      </x:c>
    </x:row>
    <x:row r="62" ht="21.600000381469727" hidden="0" customHeight="1">
      <x:c r="A62" s="27" t="n">
        <x:v>20</x:v>
      </x:c>
      <x:c r="B62" s="27" t="str">
        <x:v>A1</x:v>
      </x:c>
      <x:c r="C62" s="47" t="n">
        <x:v>0.9705084618441037</x:v>
      </x:c>
      <x:c r="D62" s="47" t="n">
        <x:v>0.999558490320382</x:v>
      </x:c>
      <x:c r="E62" s="47" t="n">
        <x:v>0.4958193661217739</x:v>
      </x:c>
      <x:c r="F62" s="47" t="n">
        <x:v>0.03915288011986082</x:v>
      </x:c>
      <x:c r="G62" s="47" t="n">
        <x:v>-0.07311923217753408</x:v>
      </x:c>
      <x:c r="H62" s="47" t="n">
        <x:v>0.49580965389684806</x:v>
      </x:c>
      <x:c r="I62" s="47" t="n">
        <x:v>0.936600005799725</x:v>
      </x:c>
      <x:c r="J62" s="47" t="n">
        <x:v>0.902199467113478</x:v>
      </x:c>
      <x:c r="K62" s="47" t="n">
        <x:v>0.5738151877397543</x:v>
      </x:c>
      <x:c r="L62" s="47" t="n">
        <x:v>0.7721378867339866</x:v>
      </x:c>
      <x:c r="M62" s="47" t="n">
        <x:v>0.037921789506520746</x:v>
      </x:c>
      <x:c r="N62" s="47" t="n">
        <x:v>0.841468646144866</x:v>
      </x:c>
      <x:c r="O62" s="47" t="n">
        <x:v>0.9320736428276745</x:v>
      </x:c>
      <x:c r="P62" s="47" t="n">
        <x:v>0.6022358871132437</x:v>
      </x:c>
      <x:c r="Q62" s="47" t="n">
        <x:v>1</x:v>
      </x:c>
      <x:c r="R62" s="47" t="n">
        <x:v>0.9161216103726177</x:v>
      </x:c>
      <x:c r="S62" s="27" t="n">
        <x:v>0</x:v>
      </x:c>
    </x:row>
    <x:row r="63" ht="21.600000381469727" hidden="0" customHeight="1">
      <x:c r="A63" s="29" t="n">
        <x:v>20</x:v>
      </x:c>
      <x:c r="B63" s="29" t="str">
        <x:v>A2</x:v>
      </x:c>
      <x:c r="C63" s="48" t="n">
        <x:v>0.9705084618441037</x:v>
      </x:c>
      <x:c r="D63" s="48" t="n">
        <x:v>0.999558490320382</x:v>
      </x:c>
      <x:c r="E63" s="48" t="n">
        <x:v>0.4958193661217739</x:v>
      </x:c>
      <x:c r="F63" s="48" t="n">
        <x:v>0.03915288011986082</x:v>
      </x:c>
      <x:c r="G63" s="48" t="n">
        <x:v>-0.07311923217753408</x:v>
      </x:c>
      <x:c r="H63" s="48" t="n">
        <x:v>0.49580965389684806</x:v>
      </x:c>
      <x:c r="I63" s="48" t="n">
        <x:v>0.936600005799725</x:v>
      </x:c>
      <x:c r="J63" s="48" t="n">
        <x:v>0.902199467113478</x:v>
      </x:c>
      <x:c r="K63" s="48" t="n">
        <x:v>0.5738151877397543</x:v>
      </x:c>
      <x:c r="L63" s="48" t="n">
        <x:v>0.7721378867339866</x:v>
      </x:c>
      <x:c r="M63" s="48" t="n">
        <x:v>0.037921789506520746</x:v>
      </x:c>
      <x:c r="N63" s="48" t="n">
        <x:v>0.841468646144866</x:v>
      </x:c>
      <x:c r="O63" s="48" t="n">
        <x:v>0.9853858016277307</x:v>
      </x:c>
      <x:c r="P63" s="48" t="n">
        <x:v>0.8620008065468243</x:v>
      </x:c>
      <x:c r="Q63" s="48" t="n">
        <x:v>1</x:v>
      </x:c>
      <x:c r="R63" s="48" t="n">
        <x:v>0.9819537588030632</x:v>
      </x:c>
      <x:c r="S63" s="29" t="n">
        <x:v>0</x:v>
      </x:c>
    </x:row>
    <x:row r="64" ht="21.600000381469727" hidden="0" customHeight="1">
      <x:c r="A64" s="27" t="n">
        <x:v>20</x:v>
      </x:c>
      <x:c r="B64" s="27" t="str">
        <x:v>A3</x:v>
      </x:c>
      <x:c r="C64" s="47" t="n">
        <x:v>0.9705084618441037</x:v>
      </x:c>
      <x:c r="D64" s="47" t="n">
        <x:v>0.999558490320382</x:v>
      </x:c>
      <x:c r="E64" s="47" t="n">
        <x:v>0.4958193661217739</x:v>
      </x:c>
      <x:c r="F64" s="47" t="n">
        <x:v>0.03915288011986082</x:v>
      </x:c>
      <x:c r="G64" s="47" t="n">
        <x:v>-0.07311923217753408</x:v>
      </x:c>
      <x:c r="H64" s="47" t="n">
        <x:v>0.49580965389684806</x:v>
      </x:c>
      <x:c r="I64" s="47" t="n">
        <x:v>0.936600005799725</x:v>
      </x:c>
      <x:c r="J64" s="47" t="n">
        <x:v>0.902199467113478</x:v>
      </x:c>
      <x:c r="K64" s="47" t="n">
        <x:v>0.5738151877397543</x:v>
      </x:c>
      <x:c r="L64" s="47" t="n">
        <x:v>0.7721378867339866</x:v>
      </x:c>
      <x:c r="M64" s="47" t="n">
        <x:v>0.037921789506520746</x:v>
      </x:c>
      <x:c r="N64" s="47" t="n">
        <x:v>0.841468646144866</x:v>
      </x:c>
      <x:c r="O64" s="47" t="n">
        <x:v>1</x:v>
      </x:c>
      <x:c r="P64" s="47" t="n">
        <x:v>1</x:v>
      </x:c>
      <x:c r="Q64" s="47" t="n">
        <x:v>1</x:v>
      </x:c>
      <x:c r="R64" s="47" t="n">
        <x:v>1</x:v>
      </x:c>
      <x:c r="S64" s="27" t="n">
        <x:v>1</x:v>
      </x:c>
    </x:row>
    <x:row r="65" ht="21.600000381469727" hidden="0" customHeight="1">
      <x:c r="A65" s="29" t="n">
        <x:v>21</x:v>
      </x:c>
      <x:c r="B65" s="29" t="str">
        <x:v>A1</x:v>
      </x:c>
      <x:c r="C65" s="48" t="n">
        <x:v>1.2379921932412041</x:v>
      </x:c>
      <x:c r="D65" s="48" t="n">
        <x:v>0.9211901106802217</x:v>
      </x:c>
      <x:c r="E65" s="48" t="n">
        <x:v>0.6108292830284962</x:v>
      </x:c>
      <x:c r="F65" s="48" t="n">
        <x:v>0.02815625897644297</x:v>
      </x:c>
      <x:c r="G65" s="48" t="n">
        <x:v>-0.07642734854755204</x:v>
      </x:c>
      <x:c r="H65" s="48" t="n">
        <x:v>0.969904083755414</x:v>
      </x:c>
      <x:c r="I65" s="48" t="n">
        <x:v>0.8963863830958482</x:v>
      </x:c>
      <x:c r="J65" s="48" t="n">
        <x:v>0.8605259054560574</x:v>
      </x:c>
      <x:c r="K65" s="48" t="n">
        <x:v>0.7039144752732502</x:v>
      </x:c>
      <x:c r="L65" s="48" t="n">
        <x:v>0.6040269132500053</x:v>
      </x:c>
      <x:c r="M65" s="48" t="n">
        <x:v>0.10970956084742069</x:v>
      </x:c>
      <x:c r="N65" s="48" t="n">
        <x:v>0.9887256126822439</x:v>
      </x:c>
      <x:c r="O65" s="48" t="n">
        <x:v>0.8073853940574468</x:v>
      </x:c>
      <x:c r="P65" s="48" t="n">
        <x:v>0.4745478932017401</x:v>
      </x:c>
      <x:c r="Q65" s="48" t="n">
        <x:v>1</x:v>
      </x:c>
      <x:c r="R65" s="48" t="n">
        <x:v>0.762151193767292</x:v>
      </x:c>
      <x:c r="S65" s="29" t="n">
        <x:v>0</x:v>
      </x:c>
    </x:row>
    <x:row r="66" ht="21.600000381469727" hidden="0" customHeight="1">
      <x:c r="A66" s="27" t="n">
        <x:v>21</x:v>
      </x:c>
      <x:c r="B66" s="27" t="str">
        <x:v>A2</x:v>
      </x:c>
      <x:c r="C66" s="47" t="n">
        <x:v>1.2379921932412041</x:v>
      </x:c>
      <x:c r="D66" s="47" t="n">
        <x:v>0.9211901106802217</x:v>
      </x:c>
      <x:c r="E66" s="47" t="n">
        <x:v>0.6108292830284962</x:v>
      </x:c>
      <x:c r="F66" s="47" t="n">
        <x:v>0.02815625897644297</x:v>
      </x:c>
      <x:c r="G66" s="47" t="n">
        <x:v>-0.07642734854755204</x:v>
      </x:c>
      <x:c r="H66" s="47" t="n">
        <x:v>0.969904083755414</x:v>
      </x:c>
      <x:c r="I66" s="47" t="n">
        <x:v>0.8963863830958482</x:v>
      </x:c>
      <x:c r="J66" s="47" t="n">
        <x:v>0.8605259054560574</x:v>
      </x:c>
      <x:c r="K66" s="47" t="n">
        <x:v>0.7039144752732502</x:v>
      </x:c>
      <x:c r="L66" s="47" t="n">
        <x:v>0.6040269132500053</x:v>
      </x:c>
      <x:c r="M66" s="47" t="n">
        <x:v>0.10970956084742069</x:v>
      </x:c>
      <x:c r="N66" s="47" t="n">
        <x:v>0.9887256126822439</x:v>
      </x:c>
      <x:c r="O66" s="47" t="n">
        <x:v>0.8890696161389912</x:v>
      </x:c>
      <x:c r="P66" s="47" t="n">
        <x:v>0.5850231313483008</x:v>
      </x:c>
      <x:c r="Q66" s="47" t="n">
        <x:v>1</x:v>
      </x:c>
      <x:c r="R66" s="47" t="n">
        <x:v>0.863018387171811</x:v>
      </x:c>
      <x:c r="S66" s="27" t="n">
        <x:v>0</x:v>
      </x:c>
    </x:row>
    <x:row r="67" ht="21.600000381469727" hidden="0" customHeight="1">
      <x:c r="A67" s="29" t="n">
        <x:v>21</x:v>
      </x:c>
      <x:c r="B67" s="29" t="str">
        <x:v>A3</x:v>
      </x:c>
      <x:c r="C67" s="48" t="n">
        <x:v>1.2379921932412041</x:v>
      </x:c>
      <x:c r="D67" s="48" t="n">
        <x:v>0.9211901106802217</x:v>
      </x:c>
      <x:c r="E67" s="48" t="n">
        <x:v>0.6108292830284962</x:v>
      </x:c>
      <x:c r="F67" s="48" t="n">
        <x:v>0.02815625897644297</x:v>
      </x:c>
      <x:c r="G67" s="48" t="n">
        <x:v>-0.07642734854755204</x:v>
      </x:c>
      <x:c r="H67" s="48" t="n">
        <x:v>0.969904083755414</x:v>
      </x:c>
      <x:c r="I67" s="48" t="n">
        <x:v>0.8963863830958482</x:v>
      </x:c>
      <x:c r="J67" s="48" t="n">
        <x:v>0.8605259054560574</x:v>
      </x:c>
      <x:c r="K67" s="48" t="n">
        <x:v>0.7039144752732502</x:v>
      </x:c>
      <x:c r="L67" s="48" t="n">
        <x:v>0.6040269132500053</x:v>
      </x:c>
      <x:c r="M67" s="48" t="n">
        <x:v>0.10970956084742069</x:v>
      </x:c>
      <x:c r="N67" s="48" t="n">
        <x:v>0.9887256126822439</x:v>
      </x:c>
      <x:c r="O67" s="48" t="n">
        <x:v>1</x:v>
      </x:c>
      <x:c r="P67" s="48" t="n">
        <x:v>1</x:v>
      </x:c>
      <x:c r="Q67" s="48" t="n">
        <x:v>1</x:v>
      </x:c>
      <x:c r="R67" s="48" t="n">
        <x:v>1</x:v>
      </x:c>
      <x:c r="S67" s="29" t="n">
        <x:v>1</x:v>
      </x:c>
    </x:row>
    <x:row r="68" ht="21.600000381469727" hidden="0" customHeight="1">
      <x:c r="A68" s="27" t="n">
        <x:v>22</x:v>
      </x:c>
      <x:c r="B68" s="27" t="str">
        <x:v>A1</x:v>
      </x:c>
      <x:c r="C68" s="47" t="n">
        <x:v>1.1362154306263805</x:v>
      </x:c>
      <x:c r="D68" s="47" t="n">
        <x:v>0.8057059436039691</x:v>
      </x:c>
      <x:c r="E68" s="47" t="n">
        <x:v>0.4888515672008648</x:v>
      </x:c>
      <x:c r="F68" s="47" t="n">
        <x:v>-0.10858402753131875</x:v>
      </x:c>
      <x:c r="G68" s="47" t="n">
        <x:v>-0.09454276627050942</x:v>
      </x:c>
      <x:c r="H68" s="47" t="n">
        <x:v>0.3959903197837344</x:v>
      </x:c>
      <x:c r="I68" s="47" t="n">
        <x:v>0.9327959742550084</x:v>
      </x:c>
      <x:c r="J68" s="47" t="n">
        <x:v>0.4966307779514514</x:v>
      </x:c>
      <x:c r="K68" s="47" t="n">
        <x:v>0.8676289598084266</x:v>
      </x:c>
      <x:c r="L68" s="47" t="n">
        <x:v>0.7836510098857699</x:v>
      </x:c>
      <x:c r="M68" s="47" t="n">
        <x:v>0.07325021014929209</x:v>
      </x:c>
      <x:c r="N68" s="47" t="n">
        <x:v>0.9931854191530134</x:v>
      </x:c>
      <x:c r="O68" s="47" t="n">
        <x:v>0.8256519766912119</x:v>
      </x:c>
      <x:c r="P68" s="47" t="n">
        <x:v>0.5652172878512357</x:v>
      </x:c>
      <x:c r="Q68" s="47" t="n">
        <x:v>0.9999999999999999</x:v>
      </x:c>
      <x:c r="R68" s="47" t="n">
        <x:v>0.7847075562618785</x:v>
      </x:c>
      <x:c r="S68" s="27" t="n">
        <x:v>0</x:v>
      </x:c>
    </x:row>
    <x:row r="69" ht="21.600000381469727" hidden="0" customHeight="1">
      <x:c r="A69" s="29" t="n">
        <x:v>22</x:v>
      </x:c>
      <x:c r="B69" s="29" t="str">
        <x:v>A2</x:v>
      </x:c>
      <x:c r="C69" s="48" t="n">
        <x:v>1.1362154306263805</x:v>
      </x:c>
      <x:c r="D69" s="48" t="n">
        <x:v>0.8057059436039691</x:v>
      </x:c>
      <x:c r="E69" s="48" t="n">
        <x:v>0.4888515672008648</x:v>
      </x:c>
      <x:c r="F69" s="48" t="n">
        <x:v>-0.10858402753131875</x:v>
      </x:c>
      <x:c r="G69" s="48" t="n">
        <x:v>-0.09454276627050942</x:v>
      </x:c>
      <x:c r="H69" s="48" t="n">
        <x:v>0.3959903197837344</x:v>
      </x:c>
      <x:c r="I69" s="48" t="n">
        <x:v>0.9327959742550084</x:v>
      </x:c>
      <x:c r="J69" s="48" t="n">
        <x:v>0.4966307779514514</x:v>
      </x:c>
      <x:c r="K69" s="48" t="n">
        <x:v>0.8676289598084266</x:v>
      </x:c>
      <x:c r="L69" s="48" t="n">
        <x:v>0.7836510098857699</x:v>
      </x:c>
      <x:c r="M69" s="48" t="n">
        <x:v>0.07325021014929209</x:v>
      </x:c>
      <x:c r="N69" s="48" t="n">
        <x:v>0.9931854191530134</x:v>
      </x:c>
      <x:c r="O69" s="48" t="n">
        <x:v>0.9045965822204597</x:v>
      </x:c>
      <x:c r="P69" s="48" t="n">
        <x:v>0.6704019493558814</x:v>
      </x:c>
      <x:c r="Q69" s="48" t="n">
        <x:v>1</x:v>
      </x:c>
      <x:c r="R69" s="48" t="n">
        <x:v>0.882191753224822</x:v>
      </x:c>
      <x:c r="S69" s="29" t="n">
        <x:v>0</x:v>
      </x:c>
    </x:row>
    <x:row r="70" ht="21.600000381469727" hidden="0" customHeight="1">
      <x:c r="A70" s="27" t="n">
        <x:v>22</x:v>
      </x:c>
      <x:c r="B70" s="27" t="str">
        <x:v>A3</x:v>
      </x:c>
      <x:c r="C70" s="47" t="n">
        <x:v>1.1362154306263805</x:v>
      </x:c>
      <x:c r="D70" s="47" t="n">
        <x:v>0.8057059436039691</x:v>
      </x:c>
      <x:c r="E70" s="47" t="n">
        <x:v>0.4888515672008648</x:v>
      </x:c>
      <x:c r="F70" s="47" t="n">
        <x:v>-0.10858402753131875</x:v>
      </x:c>
      <x:c r="G70" s="47" t="n">
        <x:v>-0.09454276627050942</x:v>
      </x:c>
      <x:c r="H70" s="47" t="n">
        <x:v>0.3959903197837344</x:v>
      </x:c>
      <x:c r="I70" s="47" t="n">
        <x:v>0.9327959742550084</x:v>
      </x:c>
      <x:c r="J70" s="47" t="n">
        <x:v>0.4966307779514514</x:v>
      </x:c>
      <x:c r="K70" s="47" t="n">
        <x:v>0.8676289598084266</x:v>
      </x:c>
      <x:c r="L70" s="47" t="n">
        <x:v>0.7836510098857699</x:v>
      </x:c>
      <x:c r="M70" s="47" t="n">
        <x:v>0.07325021014929209</x:v>
      </x:c>
      <x:c r="N70" s="47" t="n">
        <x:v>0.9931854191530134</x:v>
      </x:c>
      <x:c r="O70" s="47" t="n">
        <x:v>1</x:v>
      </x:c>
      <x:c r="P70" s="47" t="n">
        <x:v>1</x:v>
      </x:c>
      <x:c r="Q70" s="47" t="n">
        <x:v>1</x:v>
      </x:c>
      <x:c r="R70" s="47" t="n">
        <x:v>1</x:v>
      </x:c>
      <x:c r="S70" s="27" t="n">
        <x:v>1</x:v>
      </x:c>
    </x:row>
    <x:row r="71" ht="21.600000381469727" hidden="0" customHeight="1">
      <x:c r="A71" s="29" t="n">
        <x:v>23</x:v>
      </x:c>
      <x:c r="B71" s="29" t="str">
        <x:v>A1</x:v>
      </x:c>
      <x:c r="C71" s="48" t="n">
        <x:v>0.9743760643584327</x:v>
      </x:c>
      <x:c r="D71" s="48" t="n">
        <x:v>0.7203071907710439</x:v>
      </x:c>
      <x:c r="E71" s="48" t="n">
        <x:v>1.0161246415959404</x:v>
      </x:c>
      <x:c r="F71" s="48" t="n">
        <x:v>-0.07287938329550611</x:v>
      </x:c>
      <x:c r="G71" s="48" t="n">
        <x:v>-0.05376055334366153</x:v>
      </x:c>
      <x:c r="H71" s="48" t="n">
        <x:v>0.4096187423163766</x:v>
      </x:c>
      <x:c r="I71" s="48" t="n">
        <x:v>0.7907297471237038</x:v>
      </x:c>
      <x:c r="J71" s="48" t="n">
        <x:v>0.7134140870436736</x:v>
      </x:c>
      <x:c r="K71" s="48" t="n">
        <x:v>0.5866559025478907</x:v>
      </x:c>
      <x:c r="L71" s="48" t="n">
        <x:v>0.87350744584041</x:v>
      </x:c>
      <x:c r="M71" s="48" t="n">
        <x:v>0.07154601735890728</x:v>
      </x:c>
      <x:c r="N71" s="48" t="n">
        <x:v>0.6835203942044701</x:v>
      </x:c>
      <x:c r="O71" s="48" t="n">
        <x:v>0.8646786879135934</x:v>
      </x:c>
      <x:c r="P71" s="48" t="n">
        <x:v>0.5954403967691618</x:v>
      </x:c>
      <x:c r="Q71" s="48" t="n">
        <x:v>1</x:v>
      </x:c>
      <x:c r="R71" s="48" t="n">
        <x:v>0.8328994191271509</x:v>
      </x:c>
      <x:c r="S71" s="29" t="n">
        <x:v>0</x:v>
      </x:c>
    </x:row>
    <x:row r="72" ht="21.600000381469727" hidden="0" customHeight="1">
      <x:c r="A72" s="27" t="n">
        <x:v>23</x:v>
      </x:c>
      <x:c r="B72" s="27" t="str">
        <x:v>A2</x:v>
      </x:c>
      <x:c r="C72" s="47" t="n">
        <x:v>0.9743760643584327</x:v>
      </x:c>
      <x:c r="D72" s="47" t="n">
        <x:v>0.7203071907710439</x:v>
      </x:c>
      <x:c r="E72" s="47" t="n">
        <x:v>1.0161246415959404</x:v>
      </x:c>
      <x:c r="F72" s="47" t="n">
        <x:v>-0.07287938329550611</x:v>
      </x:c>
      <x:c r="G72" s="47" t="n">
        <x:v>-0.05376055334366153</x:v>
      </x:c>
      <x:c r="H72" s="47" t="n">
        <x:v>0.4096187423163766</x:v>
      </x:c>
      <x:c r="I72" s="47" t="n">
        <x:v>0.7907297471237038</x:v>
      </x:c>
      <x:c r="J72" s="47" t="n">
        <x:v>0.7134140870436736</x:v>
      </x:c>
      <x:c r="K72" s="47" t="n">
        <x:v>0.5866559025478907</x:v>
      </x:c>
      <x:c r="L72" s="47" t="n">
        <x:v>0.87350744584041</x:v>
      </x:c>
      <x:c r="M72" s="47" t="n">
        <x:v>0.07154601735890728</x:v>
      </x:c>
      <x:c r="N72" s="47" t="n">
        <x:v>0.6835203942044701</x:v>
      </x:c>
      <x:c r="O72" s="47" t="n">
        <x:v>0.9461430638627789</x:v>
      </x:c>
      <x:c r="P72" s="47" t="n">
        <x:v>0.6505174405968213</x:v>
      </x:c>
      <x:c r="Q72" s="47" t="n">
        <x:v>1</x:v>
      </x:c>
      <x:c r="R72" s="47" t="n">
        <x:v>0.9334951370644772</x:v>
      </x:c>
      <x:c r="S72" s="27" t="n">
        <x:v>0</x:v>
      </x:c>
    </x:row>
    <x:row r="73" ht="21.600000381469727" hidden="0" customHeight="1">
      <x:c r="A73" s="29" t="n">
        <x:v>23</x:v>
      </x:c>
      <x:c r="B73" s="29" t="str">
        <x:v>A3</x:v>
      </x:c>
      <x:c r="C73" s="48" t="n">
        <x:v>0.9743760643584327</x:v>
      </x:c>
      <x:c r="D73" s="48" t="n">
        <x:v>0.7203071907710439</x:v>
      </x:c>
      <x:c r="E73" s="48" t="n">
        <x:v>1.0161246415959404</x:v>
      </x:c>
      <x:c r="F73" s="48" t="n">
        <x:v>-0.07287938329550611</x:v>
      </x:c>
      <x:c r="G73" s="48" t="n">
        <x:v>-0.05376055334366153</x:v>
      </x:c>
      <x:c r="H73" s="48" t="n">
        <x:v>0.4096187423163766</x:v>
      </x:c>
      <x:c r="I73" s="48" t="n">
        <x:v>0.7907297471237038</x:v>
      </x:c>
      <x:c r="J73" s="48" t="n">
        <x:v>0.7134140870436736</x:v>
      </x:c>
      <x:c r="K73" s="48" t="n">
        <x:v>0.5866559025478907</x:v>
      </x:c>
      <x:c r="L73" s="48" t="n">
        <x:v>0.87350744584041</x:v>
      </x:c>
      <x:c r="M73" s="48" t="n">
        <x:v>0.07154601735890728</x:v>
      </x:c>
      <x:c r="N73" s="48" t="n">
        <x:v>0.6835203942044701</x:v>
      </x:c>
      <x:c r="O73" s="48" t="n">
        <x:v>1</x:v>
      </x:c>
      <x:c r="P73" s="48" t="n">
        <x:v>1</x:v>
      </x:c>
      <x:c r="Q73" s="48" t="n">
        <x:v>1</x:v>
      </x:c>
      <x:c r="R73" s="48" t="n">
        <x:v>1</x:v>
      </x:c>
      <x:c r="S73" s="29" t="n">
        <x:v>1</x:v>
      </x:c>
    </x:row>
    <x:row r="74" ht="21.600000381469727" hidden="0" customHeight="1">
      <x:c r="A74" s="27" t="n">
        <x:v>24</x:v>
      </x:c>
      <x:c r="B74" s="27" t="str">
        <x:v>A1</x:v>
      </x:c>
      <x:c r="C74" s="47" t="n">
        <x:v>1.2522693999896044</x:v>
      </x:c>
      <x:c r="D74" s="47" t="n">
        <x:v>0.7270337292292619</x:v>
      </x:c>
      <x:c r="E74" s="47" t="n">
        <x:v>0.7834016084697281</x:v>
      </x:c>
      <x:c r="F74" s="47" t="n">
        <x:v>-0.16848983638416254</x:v>
      </x:c>
      <x:c r="G74" s="47" t="n">
        <x:v>-0.12961554771083145</x:v>
      </x:c>
      <x:c r="H74" s="47" t="n">
        <x:v>0.7787069693490174</x:v>
      </x:c>
      <x:c r="I74" s="47" t="n">
        <x:v>0.9287123237208855</x:v>
      </x:c>
      <x:c r="J74" s="47" t="n">
        <x:v>0.6974893649818088</x:v>
      </x:c>
      <x:c r="K74" s="47" t="n">
        <x:v>0.7114770981393038</x:v>
      </x:c>
      <x:c r="L74" s="47" t="n">
        <x:v>0.746520052806899</x:v>
      </x:c>
      <x:c r="M74" s="47" t="n">
        <x:v>0.17116405190108652</x:v>
      </x:c>
      <x:c r="N74" s="47" t="n">
        <x:v>0.8911380143633969</x:v>
      </x:c>
      <x:c r="O74" s="47" t="n">
        <x:v>0.7187773011244384</x:v>
      </x:c>
      <x:c r="P74" s="47" t="n">
        <x:v>0.45331405772632155</x:v>
      </x:c>
      <x:c r="Q74" s="47" t="n">
        <x:v>0.9461850501078954</x:v>
      </x:c>
      <x:c r="R74" s="47" t="n">
        <x:v>0.6531337823575512</x:v>
      </x:c>
      <x:c r="S74" s="27" t="n">
        <x:v>0</x:v>
      </x:c>
    </x:row>
    <x:row r="75" ht="21.600000381469727" hidden="0" customHeight="1">
      <x:c r="A75" s="29" t="n">
        <x:v>24</x:v>
      </x:c>
      <x:c r="B75" s="29" t="str">
        <x:v>A2</x:v>
      </x:c>
      <x:c r="C75" s="48" t="n">
        <x:v>1.2522693999896044</x:v>
      </x:c>
      <x:c r="D75" s="48" t="n">
        <x:v>0.7270337292292619</x:v>
      </x:c>
      <x:c r="E75" s="48" t="n">
        <x:v>0.7834016084697281</x:v>
      </x:c>
      <x:c r="F75" s="48" t="n">
        <x:v>-0.16848983638416254</x:v>
      </x:c>
      <x:c r="G75" s="48" t="n">
        <x:v>-0.12961554771083145</x:v>
      </x:c>
      <x:c r="H75" s="48" t="n">
        <x:v>0.7787069693490174</x:v>
      </x:c>
      <x:c r="I75" s="48" t="n">
        <x:v>0.9287123237208855</x:v>
      </x:c>
      <x:c r="J75" s="48" t="n">
        <x:v>0.6974893649818088</x:v>
      </x:c>
      <x:c r="K75" s="48" t="n">
        <x:v>0.7114770981393038</x:v>
      </x:c>
      <x:c r="L75" s="48" t="n">
        <x:v>0.746520052806899</x:v>
      </x:c>
      <x:c r="M75" s="48" t="n">
        <x:v>0.17116405190108652</x:v>
      </x:c>
      <x:c r="N75" s="48" t="n">
        <x:v>0.8911380143633969</x:v>
      </x:c>
      <x:c r="O75" s="48" t="n">
        <x:v>0.7940876038808534</x:v>
      </x:c>
      <x:c r="P75" s="48" t="n">
        <x:v>0.4943232879731566</x:v>
      </x:c>
      <x:c r="Q75" s="48" t="n">
        <x:v>1</x:v>
      </x:c>
      <x:c r="R75" s="48" t="n">
        <x:v>0.7457305100732471</x:v>
      </x:c>
      <x:c r="S75" s="29" t="n">
        <x:v>0</x:v>
      </x:c>
    </x:row>
    <x:row r="76" ht="21.600000381469727" hidden="0" customHeight="1">
      <x:c r="A76" s="27" t="n">
        <x:v>24</x:v>
      </x:c>
      <x:c r="B76" s="27" t="str">
        <x:v>A3</x:v>
      </x:c>
      <x:c r="C76" s="47" t="n">
        <x:v>1.2522693999896044</x:v>
      </x:c>
      <x:c r="D76" s="47" t="n">
        <x:v>0.7270337292292619</x:v>
      </x:c>
      <x:c r="E76" s="47" t="n">
        <x:v>0.7834016084697281</x:v>
      </x:c>
      <x:c r="F76" s="47" t="n">
        <x:v>-0.16848983638416254</x:v>
      </x:c>
      <x:c r="G76" s="47" t="n">
        <x:v>-0.12961554771083145</x:v>
      </x:c>
      <x:c r="H76" s="47" t="n">
        <x:v>0.7787069693490174</x:v>
      </x:c>
      <x:c r="I76" s="47" t="n">
        <x:v>0.9287123237208855</x:v>
      </x:c>
      <x:c r="J76" s="47" t="n">
        <x:v>0.6974893649818088</x:v>
      </x:c>
      <x:c r="K76" s="47" t="n">
        <x:v>0.7114770981393038</x:v>
      </x:c>
      <x:c r="L76" s="47" t="n">
        <x:v>0.746520052806899</x:v>
      </x:c>
      <x:c r="M76" s="47" t="n">
        <x:v>0.17116405190108652</x:v>
      </x:c>
      <x:c r="N76" s="47" t="n">
        <x:v>0.8911380143633969</x:v>
      </x:c>
      <x:c r="O76" s="47" t="n">
        <x:v>1</x:v>
      </x:c>
      <x:c r="P76" s="47" t="n">
        <x:v>1</x:v>
      </x:c>
      <x:c r="Q76" s="47" t="n">
        <x:v>1</x:v>
      </x:c>
      <x:c r="R76" s="47" t="n">
        <x:v>1</x:v>
      </x:c>
      <x:c r="S76" s="27" t="n">
        <x:v>1</x:v>
      </x:c>
    </x:row>
    <x:row r="77" ht="21.600000381469727" hidden="0" customHeight="1">
      <x:c r="A77" s="29" t="n">
        <x:v>25</x:v>
      </x:c>
      <x:c r="B77" s="29" t="str">
        <x:v>A1</x:v>
      </x:c>
      <x:c r="C77" s="48" t="n">
        <x:v>1.2370785322567608</x:v>
      </x:c>
      <x:c r="D77" s="48" t="n">
        <x:v>0.8652985276653975</x:v>
      </x:c>
      <x:c r="E77" s="48" t="n">
        <x:v>0.9844727552354353</x:v>
      </x:c>
      <x:c r="F77" s="48" t="n">
        <x:v>-0.02341825489778096</x:v>
      </x:c>
      <x:c r="G77" s="48" t="n">
        <x:v>-0.027585063606256427</x:v>
      </x:c>
      <x:c r="H77" s="48" t="n">
        <x:v>1.0819074551777217</x:v>
      </x:c>
      <x:c r="I77" s="48" t="n">
        <x:v>0.760805503193478</x:v>
      </x:c>
      <x:c r="J77" s="48" t="n">
        <x:v>0.5636111589083176</x:v>
      </x:c>
      <x:c r="K77" s="48" t="n">
        <x:v>0.5923848817677247</x:v>
      </x:c>
      <x:c r="L77" s="48" t="n">
        <x:v>0.6799916474570757</x:v>
      </x:c>
      <x:c r="M77" s="48" t="n">
        <x:v>0.00041107538960775465</x:v>
      </x:c>
      <x:c r="N77" s="48" t="n">
        <x:v>0.8003907445483087</x:v>
      </x:c>
      <x:c r="O77" s="48" t="n">
        <x:v>0.795360401976381</x:v>
      </x:c>
      <x:c r="P77" s="48" t="n">
        <x:v>0.5315806262001632</x:v>
      </x:c>
      <x:c r="Q77" s="48" t="n">
        <x:v>0.9503516522543343</x:v>
      </x:c>
      <x:c r="R77" s="48" t="n">
        <x:v>0.7476709469536109</x:v>
      </x:c>
      <x:c r="S77" s="29" t="n">
        <x:v>0</x:v>
      </x:c>
    </x:row>
    <x:row r="78" ht="21.600000381469727" hidden="0" customHeight="1">
      <x:c r="A78" s="27" t="n">
        <x:v>25</x:v>
      </x:c>
      <x:c r="B78" s="27" t="str">
        <x:v>A2</x:v>
      </x:c>
      <x:c r="C78" s="47" t="n">
        <x:v>1.2370785322567608</x:v>
      </x:c>
      <x:c r="D78" s="47" t="n">
        <x:v>0.8652985276653975</x:v>
      </x:c>
      <x:c r="E78" s="47" t="n">
        <x:v>0.9844727552354353</x:v>
      </x:c>
      <x:c r="F78" s="47" t="n">
        <x:v>-0.02341825489778096</x:v>
      </x:c>
      <x:c r="G78" s="47" t="n">
        <x:v>-0.027585063606256427</x:v>
      </x:c>
      <x:c r="H78" s="47" t="n">
        <x:v>1.0819074551777217</x:v>
      </x:c>
      <x:c r="I78" s="47" t="n">
        <x:v>0.760805503193478</x:v>
      </x:c>
      <x:c r="J78" s="47" t="n">
        <x:v>0.5636111589083176</x:v>
      </x:c>
      <x:c r="K78" s="47" t="n">
        <x:v>0.5923848817677247</x:v>
      </x:c>
      <x:c r="L78" s="47" t="n">
        <x:v>0.6799916474570757</x:v>
      </x:c>
      <x:c r="M78" s="47" t="n">
        <x:v>0.00041107538960775465</x:v>
      </x:c>
      <x:c r="N78" s="47" t="n">
        <x:v>0.8003907445483087</x:v>
      </x:c>
      <x:c r="O78" s="47" t="n">
        <x:v>0.8914924329704781</x:v>
      </x:c>
      <x:c r="P78" s="47" t="n">
        <x:v>0.5985615657156352</x:v>
      </x:c>
      <x:c r="Q78" s="47" t="n">
        <x:v>1</x:v>
      </x:c>
      <x:c r="R78" s="47" t="n">
        <x:v>0.8660101856819488</x:v>
      </x:c>
      <x:c r="S78" s="27" t="n">
        <x:v>0</x:v>
      </x:c>
    </x:row>
    <x:row r="79" ht="21.600000381469727" hidden="0" customHeight="1">
      <x:c r="A79" s="29" t="n">
        <x:v>25</x:v>
      </x:c>
      <x:c r="B79" s="29" t="str">
        <x:v>A3</x:v>
      </x:c>
      <x:c r="C79" s="48" t="n">
        <x:v>1.2370785322567608</x:v>
      </x:c>
      <x:c r="D79" s="48" t="n">
        <x:v>0.8652985276653975</x:v>
      </x:c>
      <x:c r="E79" s="48" t="n">
        <x:v>0.9844727552354353</x:v>
      </x:c>
      <x:c r="F79" s="48" t="n">
        <x:v>-0.02341825489778096</x:v>
      </x:c>
      <x:c r="G79" s="48" t="n">
        <x:v>-0.027585063606256427</x:v>
      </x:c>
      <x:c r="H79" s="48" t="n">
        <x:v>1.0819074551777217</x:v>
      </x:c>
      <x:c r="I79" s="48" t="n">
        <x:v>0.760805503193478</x:v>
      </x:c>
      <x:c r="J79" s="48" t="n">
        <x:v>0.5636111589083176</x:v>
      </x:c>
      <x:c r="K79" s="48" t="n">
        <x:v>0.5923848817677247</x:v>
      </x:c>
      <x:c r="L79" s="48" t="n">
        <x:v>0.6799916474570757</x:v>
      </x:c>
      <x:c r="M79" s="48" t="n">
        <x:v>0.00041107538960775465</x:v>
      </x:c>
      <x:c r="N79" s="48" t="n">
        <x:v>0.8003907445483087</x:v>
      </x:c>
      <x:c r="O79" s="48" t="n">
        <x:v>1</x:v>
      </x:c>
      <x:c r="P79" s="48" t="n">
        <x:v>1</x:v>
      </x:c>
      <x:c r="Q79" s="48" t="n">
        <x:v>1</x:v>
      </x:c>
      <x:c r="R79" s="48" t="n">
        <x:v>1</x:v>
      </x:c>
      <x:c r="S79" s="29" t="n">
        <x:v>1</x:v>
      </x:c>
    </x:row>
    <x:row r="80" ht="21.600000381469727" hidden="0" customHeight="1">
      <x:c r="A80" s="27" t="n">
        <x:v>26</x:v>
      </x:c>
      <x:c r="B80" s="27" t="str">
        <x:v>A1</x:v>
      </x:c>
      <x:c r="C80" s="47" t="n">
        <x:v>1.2650215866013093</x:v>
      </x:c>
      <x:c r="D80" s="47" t="n">
        <x:v>0.9740939577942657</x:v>
      </x:c>
      <x:c r="E80" s="47" t="n">
        <x:v>0.5902538629687545</x:v>
      </x:c>
      <x:c r="F80" s="47" t="n">
        <x:v>-0.05917246284902328</x:v>
      </x:c>
      <x:c r="G80" s="47" t="n">
        <x:v>-0.07562826385646473</x:v>
      </x:c>
      <x:c r="H80" s="47" t="n">
        <x:v>0.6214603018205863</x:v>
      </x:c>
      <x:c r="I80" s="47" t="n">
        <x:v>0.699649025022388</x:v>
      </x:c>
      <x:c r="J80" s="47" t="n">
        <x:v>0.7043139497984954</x:v>
      </x:c>
      <x:c r="K80" s="47" t="n">
        <x:v>0.6805416500076986</x:v>
      </x:c>
      <x:c r="L80" s="47" t="n">
        <x:v>0.9930620433865882</x:v>
      </x:c>
      <x:c r="M80" s="47" t="n">
        <x:v>0.13743788354345204</x:v>
      </x:c>
      <x:c r="N80" s="47" t="n">
        <x:v>0.9584014220683418</x:v>
      </x:c>
      <x:c r="O80" s="47" t="n">
        <x:v>0.8464819535535207</x:v>
      </x:c>
      <x:c r="P80" s="47" t="n">
        <x:v>0.4678405465241821</x:v>
      </x:c>
      <x:c r="Q80" s="47" t="n">
        <x:v>1</x:v>
      </x:c>
      <x:c r="R80" s="47" t="n">
        <x:v>0.8104293082874373</x:v>
      </x:c>
      <x:c r="S80" s="27" t="n">
        <x:v>0</x:v>
      </x:c>
    </x:row>
    <x:row r="81" ht="21.600000381469727" hidden="0" customHeight="1">
      <x:c r="A81" s="29" t="n">
        <x:v>26</x:v>
      </x:c>
      <x:c r="B81" s="29" t="str">
        <x:v>A2</x:v>
      </x:c>
      <x:c r="C81" s="48" t="n">
        <x:v>1.2650215866013093</x:v>
      </x:c>
      <x:c r="D81" s="48" t="n">
        <x:v>0.9740939577942657</x:v>
      </x:c>
      <x:c r="E81" s="48" t="n">
        <x:v>0.5902538629687545</x:v>
      </x:c>
      <x:c r="F81" s="48" t="n">
        <x:v>-0.05917246284902328</x:v>
      </x:c>
      <x:c r="G81" s="48" t="n">
        <x:v>-0.07562826385646473</x:v>
      </x:c>
      <x:c r="H81" s="48" t="n">
        <x:v>0.6214603018205863</x:v>
      </x:c>
      <x:c r="I81" s="48" t="n">
        <x:v>0.699649025022388</x:v>
      </x:c>
      <x:c r="J81" s="48" t="n">
        <x:v>0.7043139497984954</x:v>
      </x:c>
      <x:c r="K81" s="48" t="n">
        <x:v>0.6805416500076986</x:v>
      </x:c>
      <x:c r="L81" s="48" t="n">
        <x:v>0.9930620433865882</x:v>
      </x:c>
      <x:c r="M81" s="48" t="n">
        <x:v>0.13743788354345204</x:v>
      </x:c>
      <x:c r="N81" s="48" t="n">
        <x:v>0.9584014220683418</x:v>
      </x:c>
      <x:c r="O81" s="48" t="n">
        <x:v>0.9158137091356399</x:v>
      </x:c>
      <x:c r="P81" s="48" t="n">
        <x:v>0.5107048541985465</x:v>
      </x:c>
      <x:c r="Q81" s="48" t="n">
        <x:v>1</x:v>
      </x:c>
      <x:c r="R81" s="48" t="n">
        <x:v>0.8960431443645578</x:v>
      </x:c>
      <x:c r="S81" s="29" t="n">
        <x:v>0</x:v>
      </x:c>
    </x:row>
    <x:row r="82" ht="21.600000381469727" hidden="0" customHeight="1">
      <x:c r="A82" s="27" t="n">
        <x:v>26</x:v>
      </x:c>
      <x:c r="B82" s="27" t="str">
        <x:v>A3</x:v>
      </x:c>
      <x:c r="C82" s="47" t="n">
        <x:v>1.2650215866013093</x:v>
      </x:c>
      <x:c r="D82" s="47" t="n">
        <x:v>0.9740939577942657</x:v>
      </x:c>
      <x:c r="E82" s="47" t="n">
        <x:v>0.5902538629687545</x:v>
      </x:c>
      <x:c r="F82" s="47" t="n">
        <x:v>-0.05917246284902328</x:v>
      </x:c>
      <x:c r="G82" s="47" t="n">
        <x:v>-0.07562826385646473</x:v>
      </x:c>
      <x:c r="H82" s="47" t="n">
        <x:v>0.6214603018205863</x:v>
      </x:c>
      <x:c r="I82" s="47" t="n">
        <x:v>0.699649025022388</x:v>
      </x:c>
      <x:c r="J82" s="47" t="n">
        <x:v>0.7043139497984954</x:v>
      </x:c>
      <x:c r="K82" s="47" t="n">
        <x:v>0.6805416500076986</x:v>
      </x:c>
      <x:c r="L82" s="47" t="n">
        <x:v>0.9930620433865882</x:v>
      </x:c>
      <x:c r="M82" s="47" t="n">
        <x:v>0.13743788354345204</x:v>
      </x:c>
      <x:c r="N82" s="47" t="n">
        <x:v>0.9584014220683418</x:v>
      </x:c>
      <x:c r="O82" s="47" t="n">
        <x:v>1</x:v>
      </x:c>
      <x:c r="P82" s="47" t="n">
        <x:v>1</x:v>
      </x:c>
      <x:c r="Q82" s="47" t="n">
        <x:v>1</x:v>
      </x:c>
      <x:c r="R82" s="47" t="n">
        <x:v>1</x:v>
      </x:c>
      <x:c r="S82" s="27" t="n">
        <x:v>1</x:v>
      </x:c>
    </x:row>
    <x:row r="83" ht="21.600000381469727" hidden="0" customHeight="1">
      <x:c r="A83" s="29" t="n">
        <x:v>27</x:v>
      </x:c>
      <x:c r="B83" s="29" t="str">
        <x:v>A1</x:v>
      </x:c>
      <x:c r="C83" s="48" t="n">
        <x:v>1.1877577937817803</x:v>
      </x:c>
      <x:c r="D83" s="48" t="n">
        <x:v>0.7554276160827381</x:v>
      </x:c>
      <x:c r="E83" s="48" t="n">
        <x:v>0.7221067149189075</x:v>
      </x:c>
      <x:c r="F83" s="48" t="n">
        <x:v>-0.0856331925208356</x:v>
      </x:c>
      <x:c r="G83" s="48" t="n">
        <x:v>-0.13275318299312466</x:v>
      </x:c>
      <x:c r="H83" s="48" t="n">
        <x:v>0.5763090969017374</x:v>
      </x:c>
      <x:c r="I83" s="48" t="n">
        <x:v>0.8955280508195098</x:v>
      </x:c>
      <x:c r="J83" s="48" t="n">
        <x:v>0.895282181540917</x:v>
      </x:c>
      <x:c r="K83" s="48" t="n">
        <x:v>0.8252079551815195</x:v>
      </x:c>
      <x:c r="L83" s="48" t="n">
        <x:v>0.6003235766983535</x:v>
      </x:c>
      <x:c r="M83" s="48" t="n">
        <x:v>0.14631358018791127</x:v>
      </x:c>
      <x:c r="N83" s="48" t="n">
        <x:v>0.7800716461287536</x:v>
      </x:c>
      <x:c r="O83" s="48" t="n">
        <x:v>0.7650697663405455</x:v>
      </x:c>
      <x:c r="P83" s="48" t="n">
        <x:v>0.4803729502971035</x:v>
      </x:c>
      <x:c r="Q83" s="48" t="n">
        <x:v>0.8463752905955331</x:v>
      </x:c>
      <x:c r="R83" s="48" t="n">
        <x:v>0.7110389834619295</x:v>
      </x:c>
      <x:c r="S83" s="29" t="n">
        <x:v>0</x:v>
      </x:c>
    </x:row>
    <x:row r="84" ht="21.600000381469727" hidden="0" customHeight="1">
      <x:c r="A84" s="27" t="n">
        <x:v>27</x:v>
      </x:c>
      <x:c r="B84" s="27" t="str">
        <x:v>A2</x:v>
      </x:c>
      <x:c r="C84" s="47" t="n">
        <x:v>1.1877577937817803</x:v>
      </x:c>
      <x:c r="D84" s="47" t="n">
        <x:v>0.7554276160827381</x:v>
      </x:c>
      <x:c r="E84" s="47" t="n">
        <x:v>0.7221067149189075</x:v>
      </x:c>
      <x:c r="F84" s="47" t="n">
        <x:v>-0.0856331925208356</x:v>
      </x:c>
      <x:c r="G84" s="47" t="n">
        <x:v>-0.13275318299312466</x:v>
      </x:c>
      <x:c r="H84" s="47" t="n">
        <x:v>0.5763090969017374</x:v>
      </x:c>
      <x:c r="I84" s="47" t="n">
        <x:v>0.8955280508195098</x:v>
      </x:c>
      <x:c r="J84" s="47" t="n">
        <x:v>0.895282181540917</x:v>
      </x:c>
      <x:c r="K84" s="47" t="n">
        <x:v>0.8252079551815195</x:v>
      </x:c>
      <x:c r="L84" s="47" t="n">
        <x:v>0.6003235766983535</x:v>
      </x:c>
      <x:c r="M84" s="47" t="n">
        <x:v>0.14631358018791127</x:v>
      </x:c>
      <x:c r="N84" s="47" t="n">
        <x:v>0.7800716461287536</x:v>
      </x:c>
      <x:c r="O84" s="47" t="n">
        <x:v>0.8319841494385211</x:v>
      </x:c>
      <x:c r="P84" s="47" t="n">
        <x:v>0.5418857348428567</x:v>
      </x:c>
      <x:c r="Q84" s="47" t="n">
        <x:v>1</x:v>
      </x:c>
      <x:c r="R84" s="47" t="n">
        <x:v>0.7925267957293981</x:v>
      </x:c>
      <x:c r="S84" s="27" t="n">
        <x:v>0</x:v>
      </x:c>
    </x:row>
    <x:row r="85" ht="21.600000381469727" hidden="0" customHeight="1">
      <x:c r="A85" s="29" t="n">
        <x:v>27</x:v>
      </x:c>
      <x:c r="B85" s="29" t="str">
        <x:v>A3</x:v>
      </x:c>
      <x:c r="C85" s="48" t="n">
        <x:v>1.1877577937817803</x:v>
      </x:c>
      <x:c r="D85" s="48" t="n">
        <x:v>0.7554276160827381</x:v>
      </x:c>
      <x:c r="E85" s="48" t="n">
        <x:v>0.7221067149189075</x:v>
      </x:c>
      <x:c r="F85" s="48" t="n">
        <x:v>-0.0856331925208356</x:v>
      </x:c>
      <x:c r="G85" s="48" t="n">
        <x:v>-0.13275318299312466</x:v>
      </x:c>
      <x:c r="H85" s="48" t="n">
        <x:v>0.5763090969017374</x:v>
      </x:c>
      <x:c r="I85" s="48" t="n">
        <x:v>0.8955280508195098</x:v>
      </x:c>
      <x:c r="J85" s="48" t="n">
        <x:v>0.895282181540917</x:v>
      </x:c>
      <x:c r="K85" s="48" t="n">
        <x:v>0.8252079551815195</x:v>
      </x:c>
      <x:c r="L85" s="48" t="n">
        <x:v>0.6003235766983535</x:v>
      </x:c>
      <x:c r="M85" s="48" t="n">
        <x:v>0.14631358018791127</x:v>
      </x:c>
      <x:c r="N85" s="48" t="n">
        <x:v>0.7800716461287536</x:v>
      </x:c>
      <x:c r="O85" s="48" t="n">
        <x:v>1</x:v>
      </x:c>
      <x:c r="P85" s="48" t="n">
        <x:v>1</x:v>
      </x:c>
      <x:c r="Q85" s="48" t="n">
        <x:v>1</x:v>
      </x:c>
      <x:c r="R85" s="48" t="n">
        <x:v>1</x:v>
      </x:c>
      <x:c r="S85" s="29" t="n">
        <x:v>1</x:v>
      </x:c>
    </x:row>
    <x:row r="86" ht="21.600000381469727" hidden="0" customHeight="1">
      <x:c r="A86" s="27" t="n">
        <x:v>28</x:v>
      </x:c>
      <x:c r="B86" s="27" t="str">
        <x:v>A1</x:v>
      </x:c>
      <x:c r="C86" s="47" t="n">
        <x:v>0.9684395903854075</x:v>
      </x:c>
      <x:c r="D86" s="47" t="n">
        <x:v>0.7475461239764661</x:v>
      </x:c>
      <x:c r="E86" s="47" t="n">
        <x:v>1.0309140792319276</x:v>
      </x:c>
      <x:c r="F86" s="47" t="n">
        <x:v>0.031722227121255775</x:v>
      </x:c>
      <x:c r="G86" s="47" t="n">
        <x:v>-0.12317901300028593</x:v>
      </x:c>
      <x:c r="H86" s="47" t="n">
        <x:v>0.6185246404068663</x:v>
      </x:c>
      <x:c r="I86" s="47" t="n">
        <x:v>0.6741386245681497</x:v>
      </x:c>
      <x:c r="J86" s="47" t="n">
        <x:v>0.7112484232194094</x:v>
      </x:c>
      <x:c r="K86" s="47" t="n">
        <x:v>0.998423849071778</x:v>
      </x:c>
      <x:c r="L86" s="47" t="n">
        <x:v>0.651510244402295</x:v>
      </x:c>
      <x:c r="M86" s="47" t="n">
        <x:v>0.12030543451622629</x:v>
      </x:c>
      <x:c r="N86" s="47" t="n">
        <x:v>0.7595890381826612</x:v>
      </x:c>
      <x:c r="O86" s="47" t="n">
        <x:v>0.9045588961153044</x:v>
      </x:c>
      <x:c r="P86" s="47" t="n">
        <x:v>0.6066476665513858</x:v>
      </x:c>
      <x:c r="Q86" s="47" t="n">
        <x:v>1</x:v>
      </x:c>
      <x:c r="R86" s="47" t="n">
        <x:v>0.8821452168000328</x:v>
      </x:c>
      <x:c r="S86" s="27" t="n">
        <x:v>0</x:v>
      </x:c>
    </x:row>
    <x:row r="87" ht="21.600000381469727" hidden="0" customHeight="1">
      <x:c r="A87" s="29" t="n">
        <x:v>28</x:v>
      </x:c>
      <x:c r="B87" s="29" t="str">
        <x:v>A2</x:v>
      </x:c>
      <x:c r="C87" s="48" t="n">
        <x:v>0.9684395903854075</x:v>
      </x:c>
      <x:c r="D87" s="48" t="n">
        <x:v>0.7475461239764661</x:v>
      </x:c>
      <x:c r="E87" s="48" t="n">
        <x:v>1.0309140792319276</x:v>
      </x:c>
      <x:c r="F87" s="48" t="n">
        <x:v>0.031722227121255775</x:v>
      </x:c>
      <x:c r="G87" s="48" t="n">
        <x:v>-0.12317901300028593</x:v>
      </x:c>
      <x:c r="H87" s="48" t="n">
        <x:v>0.6185246404068663</x:v>
      </x:c>
      <x:c r="I87" s="48" t="n">
        <x:v>0.6741386245681497</x:v>
      </x:c>
      <x:c r="J87" s="48" t="n">
        <x:v>0.7112484232194094</x:v>
      </x:c>
      <x:c r="K87" s="48" t="n">
        <x:v>0.998423849071778</x:v>
      </x:c>
      <x:c r="L87" s="48" t="n">
        <x:v>0.651510244402295</x:v>
      </x:c>
      <x:c r="M87" s="48" t="n">
        <x:v>0.12030543451622629</x:v>
      </x:c>
      <x:c r="N87" s="48" t="n">
        <x:v>0.7595890381826612</x:v>
      </x:c>
      <x:c r="O87" s="48" t="n">
        <x:v>0.9622006195129793</x:v>
      </x:c>
      <x:c r="P87" s="48" t="n">
        <x:v>0.6584941219374505</x:v>
      </x:c>
      <x:c r="Q87" s="48" t="n">
        <x:v>1</x:v>
      </x:c>
      <x:c r="R87" s="48" t="n">
        <x:v>0.9533236979554125</x:v>
      </x:c>
      <x:c r="S87" s="29" t="n">
        <x:v>0</x:v>
      </x:c>
    </x:row>
    <x:row r="88" ht="21.600000381469727" hidden="0" customHeight="1">
      <x:c r="A88" s="27" t="n">
        <x:v>28</x:v>
      </x:c>
      <x:c r="B88" s="27" t="str">
        <x:v>A3</x:v>
      </x:c>
      <x:c r="C88" s="47" t="n">
        <x:v>0.9684395903854075</x:v>
      </x:c>
      <x:c r="D88" s="47" t="n">
        <x:v>0.7475461239764661</x:v>
      </x:c>
      <x:c r="E88" s="47" t="n">
        <x:v>1.0309140792319276</x:v>
      </x:c>
      <x:c r="F88" s="47" t="n">
        <x:v>0.031722227121255775</x:v>
      </x:c>
      <x:c r="G88" s="47" t="n">
        <x:v>-0.12317901300028593</x:v>
      </x:c>
      <x:c r="H88" s="47" t="n">
        <x:v>0.6185246404068663</x:v>
      </x:c>
      <x:c r="I88" s="47" t="n">
        <x:v>0.6741386245681497</x:v>
      </x:c>
      <x:c r="J88" s="47" t="n">
        <x:v>0.7112484232194094</x:v>
      </x:c>
      <x:c r="K88" s="47" t="n">
        <x:v>0.998423849071778</x:v>
      </x:c>
      <x:c r="L88" s="47" t="n">
        <x:v>0.651510244402295</x:v>
      </x:c>
      <x:c r="M88" s="47" t="n">
        <x:v>0.12030543451622629</x:v>
      </x:c>
      <x:c r="N88" s="47" t="n">
        <x:v>0.7595890381826612</x:v>
      </x:c>
      <x:c r="O88" s="47" t="n">
        <x:v>1</x:v>
      </x:c>
      <x:c r="P88" s="47" t="n">
        <x:v>1</x:v>
      </x:c>
      <x:c r="Q88" s="47" t="n">
        <x:v>1</x:v>
      </x:c>
      <x:c r="R88" s="47" t="n">
        <x:v>1</x:v>
      </x:c>
      <x:c r="S88" s="27" t="n">
        <x:v>1</x:v>
      </x:c>
    </x:row>
    <x:row r="89" ht="21.600000381469727" hidden="0" customHeight="1">
      <x:c r="A89" s="29" t="n">
        <x:v>29</x:v>
      </x:c>
      <x:c r="B89" s="29" t="str">
        <x:v>A1</x:v>
      </x:c>
      <x:c r="C89" s="48" t="n">
        <x:v>1.2714785852295103</x:v>
      </x:c>
      <x:c r="D89" s="48" t="n">
        <x:v>0.9860504768150951</x:v>
      </x:c>
      <x:c r="E89" s="48" t="n">
        <x:v>0.6593948761856289</x:v>
      </x:c>
      <x:c r="F89" s="48" t="n">
        <x:v>0.0239817475394776</x:v>
      </x:c>
      <x:c r="G89" s="48" t="n">
        <x:v>-0.10909449692029752</x:v>
      </x:c>
      <x:c r="H89" s="48" t="n">
        <x:v>0.3621384623166947</x:v>
      </x:c>
      <x:c r="I89" s="48" t="n">
        <x:v>0.6079478405421596</x:v>
      </x:c>
      <x:c r="J89" s="48" t="n">
        <x:v>0.41762589665192995</x:v>
      </x:c>
      <x:c r="K89" s="48" t="n">
        <x:v>0.5518832480632317</x:v>
      </x:c>
      <x:c r="L89" s="48" t="n">
        <x:v>0.8186591042622673</x:v>
      </x:c>
      <x:c r="M89" s="48" t="n">
        <x:v>0.11959940704817412</x:v>
      </x:c>
      <x:c r="N89" s="48" t="n">
        <x:v>0.9530567526221854</x:v>
      </x:c>
      <x:c r="O89" s="48" t="n">
        <x:v>0.819814370595153</x:v>
      </x:c>
      <x:c r="P89" s="48" t="n">
        <x:v>0.54344716006787</x:v>
      </x:c>
      <x:c r="Q89" s="48" t="n">
        <x:v>1</x:v>
      </x:c>
      <x:c r="R89" s="48" t="n">
        <x:v>0.7774990289832229</x:v>
      </x:c>
      <x:c r="S89" s="29" t="n">
        <x:v>0</x:v>
      </x:c>
    </x:row>
    <x:row r="90" ht="21.600000381469727" hidden="0" customHeight="1">
      <x:c r="A90" s="27" t="n">
        <x:v>29</x:v>
      </x:c>
      <x:c r="B90" s="27" t="str">
        <x:v>A2</x:v>
      </x:c>
      <x:c r="C90" s="47" t="n">
        <x:v>1.2714785852295103</x:v>
      </x:c>
      <x:c r="D90" s="47" t="n">
        <x:v>0.9860504768150951</x:v>
      </x:c>
      <x:c r="E90" s="47" t="n">
        <x:v>0.6593948761856289</x:v>
      </x:c>
      <x:c r="F90" s="47" t="n">
        <x:v>0.0239817475394776</x:v>
      </x:c>
      <x:c r="G90" s="47" t="n">
        <x:v>-0.10909449692029752</x:v>
      </x:c>
      <x:c r="H90" s="47" t="n">
        <x:v>0.3621384623166947</x:v>
      </x:c>
      <x:c r="I90" s="47" t="n">
        <x:v>0.6079478405421596</x:v>
      </x:c>
      <x:c r="J90" s="47" t="n">
        <x:v>0.41762589665192995</x:v>
      </x:c>
      <x:c r="K90" s="47" t="n">
        <x:v>0.5518832480632317</x:v>
      </x:c>
      <x:c r="L90" s="47" t="n">
        <x:v>0.8186591042622673</x:v>
      </x:c>
      <x:c r="M90" s="47" t="n">
        <x:v>0.11959940704817412</x:v>
      </x:c>
      <x:c r="N90" s="47" t="n">
        <x:v>0.9530567526221854</x:v>
      </x:c>
      <x:c r="O90" s="47" t="n">
        <x:v>0.8930218443379015</x:v>
      </x:c>
      <x:c r="P90" s="47" t="n">
        <x:v>0.6882611778186958</x:v>
      </x:c>
      <x:c r="Q90" s="47" t="n">
        <x:v>1</x:v>
      </x:c>
      <x:c r="R90" s="47" t="n">
        <x:v>0.8678987686697254</x:v>
      </x:c>
      <x:c r="S90" s="27" t="n">
        <x:v>0</x:v>
      </x:c>
    </x:row>
    <x:row r="91" ht="21.600000381469727" hidden="0" customHeight="1">
      <x:c r="A91" s="29" t="n">
        <x:v>29</x:v>
      </x:c>
      <x:c r="B91" s="29" t="str">
        <x:v>A3</x:v>
      </x:c>
      <x:c r="C91" s="48" t="n">
        <x:v>1.2714785852295103</x:v>
      </x:c>
      <x:c r="D91" s="48" t="n">
        <x:v>0.9860504768150951</x:v>
      </x:c>
      <x:c r="E91" s="48" t="n">
        <x:v>0.6593948761856289</x:v>
      </x:c>
      <x:c r="F91" s="48" t="n">
        <x:v>0.0239817475394776</x:v>
      </x:c>
      <x:c r="G91" s="48" t="n">
        <x:v>-0.10909449692029752</x:v>
      </x:c>
      <x:c r="H91" s="48" t="n">
        <x:v>0.3621384623166947</x:v>
      </x:c>
      <x:c r="I91" s="48" t="n">
        <x:v>0.6079478405421596</x:v>
      </x:c>
      <x:c r="J91" s="48" t="n">
        <x:v>0.41762589665192995</x:v>
      </x:c>
      <x:c r="K91" s="48" t="n">
        <x:v>0.5518832480632317</x:v>
      </x:c>
      <x:c r="L91" s="48" t="n">
        <x:v>0.8186591042622673</x:v>
      </x:c>
      <x:c r="M91" s="48" t="n">
        <x:v>0.11959940704817412</x:v>
      </x:c>
      <x:c r="N91" s="48" t="n">
        <x:v>0.9530567526221854</x:v>
      </x:c>
      <x:c r="O91" s="48" t="n">
        <x:v>1</x:v>
      </x:c>
      <x:c r="P91" s="48" t="n">
        <x:v>1</x:v>
      </x:c>
      <x:c r="Q91" s="48" t="n">
        <x:v>1</x:v>
      </x:c>
      <x:c r="R91" s="48" t="n">
        <x:v>1</x:v>
      </x:c>
      <x:c r="S91" s="29" t="n">
        <x:v>1</x:v>
      </x:c>
    </x:row>
    <x:row r="92" ht="21.600000381469727" hidden="0" customHeight="1">
      <x:c r="A92" s="27" t="n">
        <x:v>30</x:v>
      </x:c>
      <x:c r="B92" s="27" t="str">
        <x:v>A1</x:v>
      </x:c>
      <x:c r="C92" s="47" t="n">
        <x:v>1.1376900375668093</x:v>
      </x:c>
      <x:c r="D92" s="47" t="n">
        <x:v>0.7884381152183167</x:v>
      </x:c>
      <x:c r="E92" s="47" t="n">
        <x:v>0.6944177596132088</x:v>
      </x:c>
      <x:c r="F92" s="47" t="n">
        <x:v>-0.14637837841714715</x:v>
      </x:c>
      <x:c r="G92" s="47" t="n">
        <x:v>-0.13975219926374854</x:v>
      </x:c>
      <x:c r="H92" s="47" t="n">
        <x:v>0.547607851287471</x:v>
      </x:c>
      <x:c r="I92" s="47" t="n">
        <x:v>0.8711205397086925</x:v>
      </x:c>
      <x:c r="J92" s="47" t="n">
        <x:v>0.6195551191601034</x:v>
      </x:c>
      <x:c r="K92" s="47" t="n">
        <x:v>0.8023105005794944</x:v>
      </x:c>
      <x:c r="L92" s="47" t="n">
        <x:v>0.770749005048256</x:v>
      </x:c>
      <x:c r="M92" s="47" t="n">
        <x:v>0.105022187570126</x:v>
      </x:c>
      <x:c r="N92" s="47" t="n">
        <x:v>0.7473247767962413</x:v>
      </x:c>
      <x:c r="O92" s="47" t="n">
        <x:v>0.8035235383982249</x:v>
      </x:c>
      <x:c r="P92" s="47" t="n">
        <x:v>0.4210914975021475</x:v>
      </x:c>
      <x:c r="Q92" s="47" t="n">
        <x:v>0.9520108936431015</x:v>
      </x:c>
      <x:c r="R92" s="47" t="n">
        <x:v>0.7577388162348572</x:v>
      </x:c>
      <x:c r="S92" s="27" t="n">
        <x:v>0</x:v>
      </x:c>
    </x:row>
    <x:row r="93" ht="21.600000381469727" hidden="0" customHeight="1">
      <x:c r="A93" s="29" t="n">
        <x:v>30</x:v>
      </x:c>
      <x:c r="B93" s="29" t="str">
        <x:v>A2</x:v>
      </x:c>
      <x:c r="C93" s="48" t="n">
        <x:v>1.1376900375668093</x:v>
      </x:c>
      <x:c r="D93" s="48" t="n">
        <x:v>0.7884381152183167</x:v>
      </x:c>
      <x:c r="E93" s="48" t="n">
        <x:v>0.6944177596132088</x:v>
      </x:c>
      <x:c r="F93" s="48" t="n">
        <x:v>-0.14637837841714715</x:v>
      </x:c>
      <x:c r="G93" s="48" t="n">
        <x:v>-0.13975219926374854</x:v>
      </x:c>
      <x:c r="H93" s="48" t="n">
        <x:v>0.547607851287471</x:v>
      </x:c>
      <x:c r="I93" s="48" t="n">
        <x:v>0.8711205397086925</x:v>
      </x:c>
      <x:c r="J93" s="48" t="n">
        <x:v>0.6195551191601034</x:v>
      </x:c>
      <x:c r="K93" s="48" t="n">
        <x:v>0.8023105005794944</x:v>
      </x:c>
      <x:c r="L93" s="48" t="n">
        <x:v>0.770749005048256</x:v>
      </x:c>
      <x:c r="M93" s="48" t="n">
        <x:v>0.105022187570126</x:v>
      </x:c>
      <x:c r="N93" s="48" t="n">
        <x:v>0.7473247767962413</x:v>
      </x:c>
      <x:c r="O93" s="48" t="n">
        <x:v>0.887766726539408</x:v>
      </x:c>
      <x:c r="P93" s="48" t="n">
        <x:v>0.5237863521595606</x:v>
      </x:c>
      <x:c r="Q93" s="48" t="n">
        <x:v>1</x:v>
      </x:c>
      <x:c r="R93" s="48" t="n">
        <x:v>0.8614095230132627</x:v>
      </x:c>
      <x:c r="S93" s="29" t="n">
        <x:v>0</x:v>
      </x:c>
    </x:row>
    <x:row r="94" ht="21.600000381469727" hidden="0" customHeight="1">
      <x:c r="A94" s="27" t="n">
        <x:v>30</x:v>
      </x:c>
      <x:c r="B94" s="27" t="str">
        <x:v>A3</x:v>
      </x:c>
      <x:c r="C94" s="47" t="n">
        <x:v>1.1376900375668093</x:v>
      </x:c>
      <x:c r="D94" s="47" t="n">
        <x:v>0.7884381152183167</x:v>
      </x:c>
      <x:c r="E94" s="47" t="n">
        <x:v>0.6944177596132088</x:v>
      </x:c>
      <x:c r="F94" s="47" t="n">
        <x:v>-0.14637837841714715</x:v>
      </x:c>
      <x:c r="G94" s="47" t="n">
        <x:v>-0.13975219926374854</x:v>
      </x:c>
      <x:c r="H94" s="47" t="n">
        <x:v>0.547607851287471</x:v>
      </x:c>
      <x:c r="I94" s="47" t="n">
        <x:v>0.8711205397086925</x:v>
      </x:c>
      <x:c r="J94" s="47" t="n">
        <x:v>0.6195551191601034</x:v>
      </x:c>
      <x:c r="K94" s="47" t="n">
        <x:v>0.8023105005794944</x:v>
      </x:c>
      <x:c r="L94" s="47" t="n">
        <x:v>0.770749005048256</x:v>
      </x:c>
      <x:c r="M94" s="47" t="n">
        <x:v>0.105022187570126</x:v>
      </x:c>
      <x:c r="N94" s="47" t="n">
        <x:v>0.7473247767962413</x:v>
      </x:c>
      <x:c r="O94" s="47" t="n">
        <x:v>1</x:v>
      </x:c>
      <x:c r="P94" s="47" t="n">
        <x:v>1</x:v>
      </x:c>
      <x:c r="Q94" s="47" t="n">
        <x:v>1</x:v>
      </x:c>
      <x:c r="R94" s="47" t="n">
        <x:v>1</x:v>
      </x:c>
      <x:c r="S94" s="27" t="n">
        <x:v>1</x:v>
      </x:c>
    </x:row>
    <x:row r="95" ht="21.600000381469727" hidden="0" customHeight="1">
      <x:c r="A95" s="29" t="n">
        <x:v>31</x:v>
      </x:c>
      <x:c r="B95" s="29" t="str">
        <x:v>A1</x:v>
      </x:c>
      <x:c r="C95" s="48" t="n">
        <x:v>1.0013911297920963</x:v>
      </x:c>
      <x:c r="D95" s="48" t="n">
        <x:v>0.7895495413741229</x:v>
      </x:c>
      <x:c r="E95" s="48" t="n">
        <x:v>0.9520398500398592</x:v>
      </x:c>
      <x:c r="F95" s="48" t="n">
        <x:v>-0.1281004477990408</x:v>
      </x:c>
      <x:c r="G95" s="48" t="n">
        <x:v>-0.003924639371644667</x:v>
      </x:c>
      <x:c r="H95" s="48" t="n">
        <x:v>0.9642145447460904</x:v>
      </x:c>
      <x:c r="I95" s="48" t="n">
        <x:v>0.8615135056895122</x:v>
      </x:c>
      <x:c r="J95" s="48" t="n">
        <x:v>0.4551524862030173</x:v>
      </x:c>
      <x:c r="K95" s="48" t="n">
        <x:v>0.8137692786692173</x:v>
      </x:c>
      <x:c r="L95" s="48" t="n">
        <x:v>0.8556656633967057</x:v>
      </x:c>
      <x:c r="M95" s="48" t="n">
        <x:v>0.17188248896574665</x:v>
      </x:c>
      <x:c r="N95" s="48" t="n">
        <x:v>0.9716041190178966</x:v>
      </x:c>
      <x:c r="O95" s="48" t="n">
        <x:v>0.8577337775968672</x:v>
      </x:c>
      <x:c r="P95" s="48" t="n">
        <x:v>0.5885799062197766</x:v>
      </x:c>
      <x:c r="Q95" s="48" t="n">
        <x:v>1</x:v>
      </x:c>
      <x:c r="R95" s="48" t="n">
        <x:v>0.8243235449345201</x:v>
      </x:c>
      <x:c r="S95" s="29" t="n">
        <x:v>0</x:v>
      </x:c>
    </x:row>
    <x:row r="96" ht="21.600000381469727" hidden="0" customHeight="1">
      <x:c r="A96" s="27" t="n">
        <x:v>31</x:v>
      </x:c>
      <x:c r="B96" s="27" t="str">
        <x:v>A2</x:v>
      </x:c>
      <x:c r="C96" s="47" t="n">
        <x:v>1.0013911297920963</x:v>
      </x:c>
      <x:c r="D96" s="47" t="n">
        <x:v>0.7895495413741229</x:v>
      </x:c>
      <x:c r="E96" s="47" t="n">
        <x:v>0.9520398500398592</x:v>
      </x:c>
      <x:c r="F96" s="47" t="n">
        <x:v>-0.1281004477990408</x:v>
      </x:c>
      <x:c r="G96" s="47" t="n">
        <x:v>-0.003924639371644667</x:v>
      </x:c>
      <x:c r="H96" s="47" t="n">
        <x:v>0.9642145447460904</x:v>
      </x:c>
      <x:c r="I96" s="47" t="n">
        <x:v>0.8615135056895122</x:v>
      </x:c>
      <x:c r="J96" s="47" t="n">
        <x:v>0.4551524862030173</x:v>
      </x:c>
      <x:c r="K96" s="47" t="n">
        <x:v>0.8137692786692173</x:v>
      </x:c>
      <x:c r="L96" s="47" t="n">
        <x:v>0.8556656633967057</x:v>
      </x:c>
      <x:c r="M96" s="47" t="n">
        <x:v>0.17188248896574665</x:v>
      </x:c>
      <x:c r="N96" s="47" t="n">
        <x:v>0.9716041190178966</x:v>
      </x:c>
      <x:c r="O96" s="47" t="n">
        <x:v>0.9436485241081681</x:v>
      </x:c>
      <x:c r="P96" s="47" t="n">
        <x:v>0.7052784249983632</x:v>
      </x:c>
      <x:c r="Q96" s="47" t="n">
        <x:v>1</x:v>
      </x:c>
      <x:c r="R96" s="47" t="n">
        <x:v>0.9304147720016578</x:v>
      </x:c>
      <x:c r="S96" s="27" t="n">
        <x:v>0</x:v>
      </x:c>
    </x:row>
    <x:row r="97" ht="21.600000381469727" hidden="0" customHeight="1">
      <x:c r="A97" s="29" t="n">
        <x:v>31</x:v>
      </x:c>
      <x:c r="B97" s="29" t="str">
        <x:v>A3</x:v>
      </x:c>
      <x:c r="C97" s="48" t="n">
        <x:v>1.0013911297920963</x:v>
      </x:c>
      <x:c r="D97" s="48" t="n">
        <x:v>0.7895495413741229</x:v>
      </x:c>
      <x:c r="E97" s="48" t="n">
        <x:v>0.9520398500398592</x:v>
      </x:c>
      <x:c r="F97" s="48" t="n">
        <x:v>-0.1281004477990408</x:v>
      </x:c>
      <x:c r="G97" s="48" t="n">
        <x:v>-0.003924639371644667</x:v>
      </x:c>
      <x:c r="H97" s="48" t="n">
        <x:v>0.9642145447460904</x:v>
      </x:c>
      <x:c r="I97" s="48" t="n">
        <x:v>0.8615135056895122</x:v>
      </x:c>
      <x:c r="J97" s="48" t="n">
        <x:v>0.4551524862030173</x:v>
      </x:c>
      <x:c r="K97" s="48" t="n">
        <x:v>0.8137692786692173</x:v>
      </x:c>
      <x:c r="L97" s="48" t="n">
        <x:v>0.8556656633967057</x:v>
      </x:c>
      <x:c r="M97" s="48" t="n">
        <x:v>0.17188248896574665</x:v>
      </x:c>
      <x:c r="N97" s="48" t="n">
        <x:v>0.9716041190178966</x:v>
      </x:c>
      <x:c r="O97" s="48" t="n">
        <x:v>1</x:v>
      </x:c>
      <x:c r="P97" s="48" t="n">
        <x:v>1</x:v>
      </x:c>
      <x:c r="Q97" s="48" t="n">
        <x:v>1</x:v>
      </x:c>
      <x:c r="R97" s="48" t="n">
        <x:v>1</x:v>
      </x:c>
      <x:c r="S97" s="29" t="n">
        <x:v>1</x:v>
      </x:c>
    </x:row>
    <x:row r="98" ht="21.600000381469727" hidden="0" customHeight="1">
      <x:c r="A98" s="27" t="n">
        <x:v>32</x:v>
      </x:c>
      <x:c r="B98" s="27" t="str">
        <x:v>A1</x:v>
      </x:c>
      <x:c r="C98" s="47" t="n">
        <x:v>1.2221457337637065</x:v>
      </x:c>
      <x:c r="D98" s="47" t="n">
        <x:v>0.8530175024537493</x:v>
      </x:c>
      <x:c r="E98" s="47" t="n">
        <x:v>0.6004011874592265</x:v>
      </x:c>
      <x:c r="F98" s="47" t="n">
        <x:v>-0.03505603976248406</x:v>
      </x:c>
      <x:c r="G98" s="47" t="n">
        <x:v>-0.11411118175309423</x:v>
      </x:c>
      <x:c r="H98" s="47" t="n">
        <x:v>0.9860816969228965</x:v>
      </x:c>
      <x:c r="I98" s="47" t="n">
        <x:v>0.8010079485381304</x:v>
      </x:c>
      <x:c r="J98" s="47" t="n">
        <x:v>0.7871360421678197</x:v>
      </x:c>
      <x:c r="K98" s="47" t="n">
        <x:v>0.7221346087074902</x:v>
      </x:c>
      <x:c r="L98" s="47" t="n">
        <x:v>0.9234055002067917</x:v>
      </x:c>
      <x:c r="M98" s="47" t="n">
        <x:v>0.1053582158911098</x:v>
      </x:c>
      <x:c r="N98" s="47" t="n">
        <x:v>0.7123573922392872</x:v>
      </x:c>
      <x:c r="O98" s="47" t="n">
        <x:v>0.8146254881391487</x:v>
      </x:c>
      <x:c r="P98" s="47" t="n">
        <x:v>0.47159994835108404</x:v>
      </x:c>
      <x:c r="Q98" s="47" t="n">
        <x:v>1</x:v>
      </x:c>
      <x:c r="R98" s="47" t="n">
        <x:v>0.7710915735786699</x:v>
      </x:c>
      <x:c r="S98" s="27" t="n">
        <x:v>0</x:v>
      </x:c>
    </x:row>
    <x:row r="99" ht="21.600000381469727" hidden="0" customHeight="1">
      <x:c r="A99" s="29" t="n">
        <x:v>32</x:v>
      </x:c>
      <x:c r="B99" s="29" t="str">
        <x:v>A2</x:v>
      </x:c>
      <x:c r="C99" s="48" t="n">
        <x:v>1.2221457337637065</x:v>
      </x:c>
      <x:c r="D99" s="48" t="n">
        <x:v>0.8530175024537493</x:v>
      </x:c>
      <x:c r="E99" s="48" t="n">
        <x:v>0.6004011874592265</x:v>
      </x:c>
      <x:c r="F99" s="48" t="n">
        <x:v>-0.03505603976248406</x:v>
      </x:c>
      <x:c r="G99" s="48" t="n">
        <x:v>-0.11411118175309423</x:v>
      </x:c>
      <x:c r="H99" s="48" t="n">
        <x:v>0.9860816969228965</x:v>
      </x:c>
      <x:c r="I99" s="48" t="n">
        <x:v>0.8010079485381304</x:v>
      </x:c>
      <x:c r="J99" s="48" t="n">
        <x:v>0.7871360421678197</x:v>
      </x:c>
      <x:c r="K99" s="48" t="n">
        <x:v>0.7221346087074902</x:v>
      </x:c>
      <x:c r="L99" s="48" t="n">
        <x:v>0.9234055002067917</x:v>
      </x:c>
      <x:c r="M99" s="48" t="n">
        <x:v>0.1053582158911098</x:v>
      </x:c>
      <x:c r="N99" s="48" t="n">
        <x:v>0.7123573922392872</x:v>
      </x:c>
      <x:c r="O99" s="48" t="n">
        <x:v>0.8869096762582739</x:v>
      </x:c>
      <x:c r="P99" s="48" t="n">
        <x:v>0.44783696845001314</x:v>
      </x:c>
      <x:c r="Q99" s="48" t="n">
        <x:v>1</x:v>
      </x:c>
      <x:c r="R99" s="48" t="n">
        <x:v>0.8603512004356387</x:v>
      </x:c>
      <x:c r="S99" s="29" t="n">
        <x:v>0</x:v>
      </x:c>
    </x:row>
    <x:row r="100" ht="21.600000381469727" hidden="0" customHeight="1">
      <x:c r="A100" s="27" t="n">
        <x:v>32</x:v>
      </x:c>
      <x:c r="B100" s="27" t="str">
        <x:v>A3</x:v>
      </x:c>
      <x:c r="C100" s="47" t="n">
        <x:v>1.2221457337637065</x:v>
      </x:c>
      <x:c r="D100" s="47" t="n">
        <x:v>0.8530175024537493</x:v>
      </x:c>
      <x:c r="E100" s="47" t="n">
        <x:v>0.6004011874592265</x:v>
      </x:c>
      <x:c r="F100" s="47" t="n">
        <x:v>-0.03505603976248406</x:v>
      </x:c>
      <x:c r="G100" s="47" t="n">
        <x:v>-0.11411118175309423</x:v>
      </x:c>
      <x:c r="H100" s="47" t="n">
        <x:v>0.9860816969228965</x:v>
      </x:c>
      <x:c r="I100" s="47" t="n">
        <x:v>0.8010079485381304</x:v>
      </x:c>
      <x:c r="J100" s="47" t="n">
        <x:v>0.7871360421678197</x:v>
      </x:c>
      <x:c r="K100" s="47" t="n">
        <x:v>0.7221346087074902</x:v>
      </x:c>
      <x:c r="L100" s="47" t="n">
        <x:v>0.9234055002067917</x:v>
      </x:c>
      <x:c r="M100" s="47" t="n">
        <x:v>0.1053582158911098</x:v>
      </x:c>
      <x:c r="N100" s="47" t="n">
        <x:v>0.7123573922392872</x:v>
      </x:c>
      <x:c r="O100" s="47" t="n">
        <x:v>1</x:v>
      </x:c>
      <x:c r="P100" s="47" t="n">
        <x:v>1</x:v>
      </x:c>
      <x:c r="Q100" s="47" t="n">
        <x:v>1</x:v>
      </x:c>
      <x:c r="R100" s="47" t="n">
        <x:v>1</x:v>
      </x:c>
      <x:c r="S100" s="27" t="n">
        <x:v>1</x:v>
      </x:c>
    </x:row>
    <x:row r="101" ht="21.600000381469727" hidden="0" customHeight="1">
      <x:c r="A101" s="29" t="n">
        <x:v>33</x:v>
      </x:c>
      <x:c r="B101" s="29" t="str">
        <x:v>A1</x:v>
      </x:c>
      <x:c r="C101" s="48" t="n">
        <x:v>1.0473959717021417</x:v>
      </x:c>
      <x:c r="D101" s="48" t="n">
        <x:v>0.8792700478708476</x:v>
      </x:c>
      <x:c r="E101" s="48" t="n">
        <x:v>0.5503285514921972</x:v>
      </x:c>
      <x:c r="F101" s="48" t="n">
        <x:v>-0.009730833840084607</x:v>
      </x:c>
      <x:c r="G101" s="48" t="n">
        <x:v>0.0033970980300856712</x:v>
      </x:c>
      <x:c r="H101" s="48" t="n">
        <x:v>0.7631087299130042</x:v>
      </x:c>
      <x:c r="I101" s="48" t="n">
        <x:v>0.8890941026585895</x:v>
      </x:c>
      <x:c r="J101" s="48" t="n">
        <x:v>0.4886434070664813</x:v>
      </x:c>
      <x:c r="K101" s="48" t="n">
        <x:v>0.8653439156259175</x:v>
      </x:c>
      <x:c r="L101" s="48" t="n">
        <x:v>0.8001272727294091</x:v>
      </x:c>
      <x:c r="M101" s="48" t="n">
        <x:v>0.01859090626226271</x:v>
      </x:c>
      <x:c r="N101" s="48" t="n">
        <x:v>0.9823829440585758</x:v>
      </x:c>
      <x:c r="O101" s="48" t="n">
        <x:v>0.8708407263887086</x:v>
      </x:c>
      <x:c r="P101" s="48" t="n">
        <x:v>0.60282865364548</x:v>
      </x:c>
      <x:c r="Q101" s="48" t="n">
        <x:v>1</x:v>
      </x:c>
      <x:c r="R101" s="48" t="n">
        <x:v>0.8405085694721839</x:v>
      </x:c>
      <x:c r="S101" s="29" t="n">
        <x:v>0</x:v>
      </x:c>
    </x:row>
    <x:row r="102" ht="21.600000381469727" hidden="0" customHeight="1">
      <x:c r="A102" s="27" t="n">
        <x:v>33</x:v>
      </x:c>
      <x:c r="B102" s="27" t="str">
        <x:v>A2</x:v>
      </x:c>
      <x:c r="C102" s="47" t="n">
        <x:v>1.0473959717021417</x:v>
      </x:c>
      <x:c r="D102" s="47" t="n">
        <x:v>0.8792700478708476</x:v>
      </x:c>
      <x:c r="E102" s="47" t="n">
        <x:v>0.5503285514921972</x:v>
      </x:c>
      <x:c r="F102" s="47" t="n">
        <x:v>-0.009730833840084607</x:v>
      </x:c>
      <x:c r="G102" s="47" t="n">
        <x:v>0.0033970980300856712</x:v>
      </x:c>
      <x:c r="H102" s="47" t="n">
        <x:v>0.7631087299130042</x:v>
      </x:c>
      <x:c r="I102" s="47" t="n">
        <x:v>0.8890941026585895</x:v>
      </x:c>
      <x:c r="J102" s="47" t="n">
        <x:v>0.4886434070664813</x:v>
      </x:c>
      <x:c r="K102" s="47" t="n">
        <x:v>0.8653439156259175</x:v>
      </x:c>
      <x:c r="L102" s="47" t="n">
        <x:v>0.8001272727294091</x:v>
      </x:c>
      <x:c r="M102" s="47" t="n">
        <x:v>0.01859090626226271</x:v>
      </x:c>
      <x:c r="N102" s="47" t="n">
        <x:v>0.9823829440585758</x:v>
      </x:c>
      <x:c r="O102" s="47" t="n">
        <x:v>0.9533494193597102</x:v>
      </x:c>
      <x:c r="P102" s="47" t="n">
        <x:v>0.8138723115783186</x:v>
      </x:c>
      <x:c r="Q102" s="47" t="n">
        <x:v>1</x:v>
      </x:c>
      <x:c r="R102" s="47" t="n">
        <x:v>0.942393855019152</x:v>
      </x:c>
      <x:c r="S102" s="27" t="n">
        <x:v>0</x:v>
      </x:c>
    </x:row>
    <x:row r="103" ht="21.600000381469727" hidden="0" customHeight="1">
      <x:c r="A103" s="29" t="n">
        <x:v>33</x:v>
      </x:c>
      <x:c r="B103" s="29" t="str">
        <x:v>A3</x:v>
      </x:c>
      <x:c r="C103" s="48" t="n">
        <x:v>1.0473959717021417</x:v>
      </x:c>
      <x:c r="D103" s="48" t="n">
        <x:v>0.8792700478708476</x:v>
      </x:c>
      <x:c r="E103" s="48" t="n">
        <x:v>0.5503285514921972</x:v>
      </x:c>
      <x:c r="F103" s="48" t="n">
        <x:v>-0.009730833840084607</x:v>
      </x:c>
      <x:c r="G103" s="48" t="n">
        <x:v>0.0033970980300856712</x:v>
      </x:c>
      <x:c r="H103" s="48" t="n">
        <x:v>0.7631087299130042</x:v>
      </x:c>
      <x:c r="I103" s="48" t="n">
        <x:v>0.8890941026585895</x:v>
      </x:c>
      <x:c r="J103" s="48" t="n">
        <x:v>0.4886434070664813</x:v>
      </x:c>
      <x:c r="K103" s="48" t="n">
        <x:v>0.8653439156259175</x:v>
      </x:c>
      <x:c r="L103" s="48" t="n">
        <x:v>0.8001272727294091</x:v>
      </x:c>
      <x:c r="M103" s="48" t="n">
        <x:v>0.01859090626226271</x:v>
      </x:c>
      <x:c r="N103" s="48" t="n">
        <x:v>0.9823829440585758</x:v>
      </x:c>
      <x:c r="O103" s="48" t="n">
        <x:v>1</x:v>
      </x:c>
      <x:c r="P103" s="48" t="n">
        <x:v>1</x:v>
      </x:c>
      <x:c r="Q103" s="48" t="n">
        <x:v>1</x:v>
      </x:c>
      <x:c r="R103" s="48" t="n">
        <x:v>1</x:v>
      </x:c>
      <x:c r="S103" s="29" t="n">
        <x:v>1</x:v>
      </x:c>
    </x:row>
    <x:row r="104" ht="21.600000381469727" hidden="0" customHeight="1">
      <x:c r="A104" s="27" t="n">
        <x:v>34</x:v>
      </x:c>
      <x:c r="B104" s="27" t="str">
        <x:v>A1</x:v>
      </x:c>
      <x:c r="C104" s="47" t="n">
        <x:v>0.9729753400500558</x:v>
      </x:c>
      <x:c r="D104" s="47" t="n">
        <x:v>0.7851723639768977</x:v>
      </x:c>
      <x:c r="E104" s="47" t="n">
        <x:v>1.0030552768349632</x:v>
      </x:c>
      <x:c r="F104" s="47" t="n">
        <x:v>-0.08471588228379928</x:v>
      </x:c>
      <x:c r="G104" s="47" t="n">
        <x:v>-0.09266784273845005</x:v>
      </x:c>
      <x:c r="H104" s="47" t="n">
        <x:v>0.48908285126790857</x:v>
      </x:c>
      <x:c r="I104" s="47" t="n">
        <x:v>0.9566687946160157</x:v>
      </x:c>
      <x:c r="J104" s="47" t="n">
        <x:v>0.9810006942214042</x:v>
      </x:c>
      <x:c r="K104" s="47" t="n">
        <x:v>0.7735657385926311</x:v>
      </x:c>
      <x:c r="L104" s="47" t="n">
        <x:v>0.5778698331018042</x:v>
      </x:c>
      <x:c r="M104" s="47" t="n">
        <x:v>0.021969914229452492</x:v>
      </x:c>
      <x:c r="N104" s="47" t="n">
        <x:v>0.9710595659505694</x:v>
      </x:c>
      <x:c r="O104" s="47" t="n">
        <x:v>0.9030323256125987</x:v>
      </x:c>
      <x:c r="P104" s="47" t="n">
        <x:v>0.5158406491826112</x:v>
      </x:c>
      <x:c r="Q104" s="47" t="n">
        <x:v>1</x:v>
      </x:c>
      <x:c r="R104" s="47" t="n">
        <x:v>0.8802601418342907</x:v>
      </x:c>
      <x:c r="S104" s="27" t="n">
        <x:v>0</x:v>
      </x:c>
    </x:row>
    <x:row r="105" ht="21.600000381469727" hidden="0" customHeight="1">
      <x:c r="A105" s="29" t="n">
        <x:v>34</x:v>
      </x:c>
      <x:c r="B105" s="29" t="str">
        <x:v>A2</x:v>
      </x:c>
      <x:c r="C105" s="48" t="n">
        <x:v>0.9729753400500558</x:v>
      </x:c>
      <x:c r="D105" s="48" t="n">
        <x:v>0.7851723639768977</x:v>
      </x:c>
      <x:c r="E105" s="48" t="n">
        <x:v>1.0030552768349632</x:v>
      </x:c>
      <x:c r="F105" s="48" t="n">
        <x:v>-0.08471588228379928</x:v>
      </x:c>
      <x:c r="G105" s="48" t="n">
        <x:v>-0.09266784273845005</x:v>
      </x:c>
      <x:c r="H105" s="48" t="n">
        <x:v>0.48908285126790857</x:v>
      </x:c>
      <x:c r="I105" s="48" t="n">
        <x:v>0.9566687946160157</x:v>
      </x:c>
      <x:c r="J105" s="48" t="n">
        <x:v>0.9810006942214042</x:v>
      </x:c>
      <x:c r="K105" s="48" t="n">
        <x:v>0.7735657385926311</x:v>
      </x:c>
      <x:c r="L105" s="48" t="n">
        <x:v>0.5778698331018042</x:v>
      </x:c>
      <x:c r="M105" s="48" t="n">
        <x:v>0.021969914229452492</x:v>
      </x:c>
      <x:c r="N105" s="48" t="n">
        <x:v>0.9710595659505694</x:v>
      </x:c>
      <x:c r="O105" s="48" t="n">
        <x:v>0.9534264880245646</x:v>
      </x:c>
      <x:c r="P105" s="48" t="n">
        <x:v>0.687423792786016</x:v>
      </x:c>
      <x:c r="Q105" s="48" t="n">
        <x:v>1</x:v>
      </x:c>
      <x:c r="R105" s="48" t="n">
        <x:v>0.9424890227238227</x:v>
      </x:c>
      <x:c r="S105" s="29" t="n">
        <x:v>0</x:v>
      </x:c>
    </x:row>
    <x:row r="106" ht="21.600000381469727" hidden="0" customHeight="1">
      <x:c r="A106" s="27" t="n">
        <x:v>34</x:v>
      </x:c>
      <x:c r="B106" s="27" t="str">
        <x:v>A3</x:v>
      </x:c>
      <x:c r="C106" s="47" t="n">
        <x:v>0.9729753400500558</x:v>
      </x:c>
      <x:c r="D106" s="47" t="n">
        <x:v>0.7851723639768977</x:v>
      </x:c>
      <x:c r="E106" s="47" t="n">
        <x:v>1.0030552768349632</x:v>
      </x:c>
      <x:c r="F106" s="47" t="n">
        <x:v>-0.08471588228379928</x:v>
      </x:c>
      <x:c r="G106" s="47" t="n">
        <x:v>-0.09266784273845005</x:v>
      </x:c>
      <x:c r="H106" s="47" t="n">
        <x:v>0.48908285126790857</x:v>
      </x:c>
      <x:c r="I106" s="47" t="n">
        <x:v>0.9566687946160157</x:v>
      </x:c>
      <x:c r="J106" s="47" t="n">
        <x:v>0.9810006942214042</x:v>
      </x:c>
      <x:c r="K106" s="47" t="n">
        <x:v>0.7735657385926311</x:v>
      </x:c>
      <x:c r="L106" s="47" t="n">
        <x:v>0.5778698331018042</x:v>
      </x:c>
      <x:c r="M106" s="47" t="n">
        <x:v>0.021969914229452492</x:v>
      </x:c>
      <x:c r="N106" s="47" t="n">
        <x:v>0.9710595659505694</x:v>
      </x:c>
      <x:c r="O106" s="47" t="n">
        <x:v>1</x:v>
      </x:c>
      <x:c r="P106" s="47" t="n">
        <x:v>1</x:v>
      </x:c>
      <x:c r="Q106" s="47" t="n">
        <x:v>1</x:v>
      </x:c>
      <x:c r="R106" s="47" t="n">
        <x:v>1</x:v>
      </x:c>
      <x:c r="S106" s="27" t="n">
        <x:v>1</x:v>
      </x:c>
    </x:row>
    <x:row r="107" ht="21.600000381469727" hidden="0" customHeight="1">
      <x:c r="A107" s="29" t="n">
        <x:v>35</x:v>
      </x:c>
      <x:c r="B107" s="29" t="str">
        <x:v>A1</x:v>
      </x:c>
      <x:c r="C107" s="48" t="n">
        <x:v>1.1397860824808275</x:v>
      </x:c>
      <x:c r="D107" s="48" t="n">
        <x:v>0.8080933881073227</x:v>
      </x:c>
      <x:c r="E107" s="48" t="n">
        <x:v>0.5642377418433595</x:v>
      </x:c>
      <x:c r="F107" s="48" t="n">
        <x:v>-0.1256454154298997</x:v>
      </x:c>
      <x:c r="G107" s="48" t="n">
        <x:v>-0.008209677166995832</x:v>
      </x:c>
      <x:c r="H107" s="48" t="n">
        <x:v>0.650013800818924</x:v>
      </x:c>
      <x:c r="I107" s="48" t="n">
        <x:v>0.7464797155754876</x:v>
      </x:c>
      <x:c r="J107" s="48" t="n">
        <x:v>0.4847469876809919</x:v>
      </x:c>
      <x:c r="K107" s="48" t="n">
        <x:v>0.7294995017253357</x:v>
      </x:c>
      <x:c r="L107" s="48" t="n">
        <x:v>0.8845238463092618</x:v>
      </x:c>
      <x:c r="M107" s="48" t="n">
        <x:v>0.10042711277100162</x:v>
      </x:c>
      <x:c r="N107" s="48" t="n">
        <x:v>0.6618510465020458</x:v>
      </x:c>
      <x:c r="O107" s="48" t="n">
        <x:v>0.8114970409647285</x:v>
      </x:c>
      <x:c r="P107" s="48" t="n">
        <x:v>0.5289208646931585</x:v>
      </x:c>
      <x:c r="Q107" s="48" t="n">
        <x:v>0.9803472964101503</x:v>
      </x:c>
      <x:c r="R107" s="48" t="n">
        <x:v>0.767374390099103</x:v>
      </x:c>
      <x:c r="S107" s="29" t="n">
        <x:v>0</x:v>
      </x:c>
    </x:row>
    <x:row r="108" ht="21.600000381469727" hidden="0" customHeight="1">
      <x:c r="A108" s="27" t="n">
        <x:v>35</x:v>
      </x:c>
      <x:c r="B108" s="27" t="str">
        <x:v>A2</x:v>
      </x:c>
      <x:c r="C108" s="47" t="n">
        <x:v>1.1397860824808275</x:v>
      </x:c>
      <x:c r="D108" s="47" t="n">
        <x:v>0.8080933881073227</x:v>
      </x:c>
      <x:c r="E108" s="47" t="n">
        <x:v>0.5642377418433595</x:v>
      </x:c>
      <x:c r="F108" s="47" t="n">
        <x:v>-0.1256454154298997</x:v>
      </x:c>
      <x:c r="G108" s="47" t="n">
        <x:v>-0.008209677166995832</x:v>
      </x:c>
      <x:c r="H108" s="47" t="n">
        <x:v>0.650013800818924</x:v>
      </x:c>
      <x:c r="I108" s="47" t="n">
        <x:v>0.7464797155754876</x:v>
      </x:c>
      <x:c r="J108" s="47" t="n">
        <x:v>0.4847469876809919</x:v>
      </x:c>
      <x:c r="K108" s="47" t="n">
        <x:v>0.7294995017253357</x:v>
      </x:c>
      <x:c r="L108" s="47" t="n">
        <x:v>0.8845238463092618</x:v>
      </x:c>
      <x:c r="M108" s="47" t="n">
        <x:v>0.10042711277100162</x:v>
      </x:c>
      <x:c r="N108" s="47" t="n">
        <x:v>0.6618510465020458</x:v>
      </x:c>
      <x:c r="O108" s="47" t="n">
        <x:v>0.873988099659875</x:v>
      </x:c>
      <x:c r="P108" s="47" t="n">
        <x:v>0.5822885022842369</x:v>
      </x:c>
      <x:c r="Q108" s="47" t="n">
        <x:v>1</x:v>
      </x:c>
      <x:c r="R108" s="47" t="n">
        <x:v>0.8443950814615132</x:v>
      </x:c>
      <x:c r="S108" s="27" t="n">
        <x:v>0</x:v>
      </x:c>
    </x:row>
    <x:row r="109" ht="21.600000381469727" hidden="0" customHeight="1">
      <x:c r="A109" s="29" t="n">
        <x:v>35</x:v>
      </x:c>
      <x:c r="B109" s="29" t="str">
        <x:v>A3</x:v>
      </x:c>
      <x:c r="C109" s="48" t="n">
        <x:v>1.1397860824808275</x:v>
      </x:c>
      <x:c r="D109" s="48" t="n">
        <x:v>0.8080933881073227</x:v>
      </x:c>
      <x:c r="E109" s="48" t="n">
        <x:v>0.5642377418433595</x:v>
      </x:c>
      <x:c r="F109" s="48" t="n">
        <x:v>-0.1256454154298997</x:v>
      </x:c>
      <x:c r="G109" s="48" t="n">
        <x:v>-0.008209677166995832</x:v>
      </x:c>
      <x:c r="H109" s="48" t="n">
        <x:v>0.650013800818924</x:v>
      </x:c>
      <x:c r="I109" s="48" t="n">
        <x:v>0.7464797155754876</x:v>
      </x:c>
      <x:c r="J109" s="48" t="n">
        <x:v>0.4847469876809919</x:v>
      </x:c>
      <x:c r="K109" s="48" t="n">
        <x:v>0.7294995017253357</x:v>
      </x:c>
      <x:c r="L109" s="48" t="n">
        <x:v>0.8845238463092618</x:v>
      </x:c>
      <x:c r="M109" s="48" t="n">
        <x:v>0.10042711277100162</x:v>
      </x:c>
      <x:c r="N109" s="48" t="n">
        <x:v>0.6618510465020458</x:v>
      </x:c>
      <x:c r="O109" s="48" t="n">
        <x:v>1</x:v>
      </x:c>
      <x:c r="P109" s="48" t="n">
        <x:v>1</x:v>
      </x:c>
      <x:c r="Q109" s="48" t="n">
        <x:v>1</x:v>
      </x:c>
      <x:c r="R109" s="48" t="n">
        <x:v>1</x:v>
      </x:c>
      <x:c r="S109" s="29" t="n">
        <x:v>1</x:v>
      </x:c>
    </x:row>
    <x:row r="110" ht="21.600000381469727" hidden="0" customHeight="1">
      <x:c r="A110" s="27" t="n">
        <x:v>36</x:v>
      </x:c>
      <x:c r="B110" s="27" t="str">
        <x:v>A1</x:v>
      </x:c>
      <x:c r="C110" s="47" t="n">
        <x:v>1.1322301582157501</x:v>
      </x:c>
      <x:c r="D110" s="47" t="n">
        <x:v>0.7523355766686616</x:v>
      </x:c>
      <x:c r="E110" s="47" t="n">
        <x:v>0.48754831773909113</x:v>
      </x:c>
      <x:c r="F110" s="47" t="n">
        <x:v>-0.10277569887422129</x:v>
      </x:c>
      <x:c r="G110" s="47" t="n">
        <x:v>-0.11913134215170675</x:v>
      </x:c>
      <x:c r="H110" s="47" t="n">
        <x:v>0.7239778689828722</x:v>
      </x:c>
      <x:c r="I110" s="47" t="n">
        <x:v>0.8593724148007107</x:v>
      </x:c>
      <x:c r="J110" s="47" t="n">
        <x:v>0.8565857534721846</x:v>
      </x:c>
      <x:c r="K110" s="47" t="n">
        <x:v>0.8379869675835939</x:v>
      </x:c>
      <x:c r="L110" s="47" t="n">
        <x:v>0.862771625429628</x:v>
      </x:c>
      <x:c r="M110" s="47" t="n">
        <x:v>0.048212056035965664</x:v>
      </x:c>
      <x:c r="N110" s="47" t="n">
        <x:v>0.8145348435635278</x:v>
      </x:c>
      <x:c r="O110" s="47" t="n">
        <x:v>0.806869295711753</x:v>
      </x:c>
      <x:c r="P110" s="47" t="n">
        <x:v>0.45515906618214086</x:v>
      </x:c>
      <x:c r="Q110" s="47" t="n">
        <x:v>1</x:v>
      </x:c>
      <x:c r="R110" s="47" t="n">
        <x:v>0.7615138933153285</x:v>
      </x:c>
      <x:c r="S110" s="27" t="n">
        <x:v>0</x:v>
      </x:c>
    </x:row>
    <x:row r="111" ht="21.600000381469727" hidden="0" customHeight="1">
      <x:c r="A111" s="29" t="n">
        <x:v>36</x:v>
      </x:c>
      <x:c r="B111" s="29" t="str">
        <x:v>A2</x:v>
      </x:c>
      <x:c r="C111" s="48" t="n">
        <x:v>1.1322301582157501</x:v>
      </x:c>
      <x:c r="D111" s="48" t="n">
        <x:v>0.7523355766686616</x:v>
      </x:c>
      <x:c r="E111" s="48" t="n">
        <x:v>0.48754831773909113</x:v>
      </x:c>
      <x:c r="F111" s="48" t="n">
        <x:v>-0.10277569887422129</x:v>
      </x:c>
      <x:c r="G111" s="48" t="n">
        <x:v>-0.11913134215170675</x:v>
      </x:c>
      <x:c r="H111" s="48" t="n">
        <x:v>0.7239778689828722</x:v>
      </x:c>
      <x:c r="I111" s="48" t="n">
        <x:v>0.8593724148007107</x:v>
      </x:c>
      <x:c r="J111" s="48" t="n">
        <x:v>0.8565857534721846</x:v>
      </x:c>
      <x:c r="K111" s="48" t="n">
        <x:v>0.8379869675835939</x:v>
      </x:c>
      <x:c r="L111" s="48" t="n">
        <x:v>0.862771625429628</x:v>
      </x:c>
      <x:c r="M111" s="48" t="n">
        <x:v>0.048212056035965664</x:v>
      </x:c>
      <x:c r="N111" s="48" t="n">
        <x:v>0.8145348435635278</x:v>
      </x:c>
      <x:c r="O111" s="48" t="n">
        <x:v>0.8927923619457364</x:v>
      </x:c>
      <x:c r="P111" s="48" t="n">
        <x:v>0.4268842656200101</x:v>
      </x:c>
      <x:c r="Q111" s="48" t="n">
        <x:v>1</x:v>
      </x:c>
      <x:c r="R111" s="48" t="n">
        <x:v>0.8676153939341449</x:v>
      </x:c>
      <x:c r="S111" s="29" t="n">
        <x:v>0</x:v>
      </x:c>
    </x:row>
    <x:row r="112" ht="21.600000381469727" hidden="0" customHeight="1">
      <x:c r="A112" s="27" t="n">
        <x:v>36</x:v>
      </x:c>
      <x:c r="B112" s="27" t="str">
        <x:v>A3</x:v>
      </x:c>
      <x:c r="C112" s="47" t="n">
        <x:v>1.1322301582157501</x:v>
      </x:c>
      <x:c r="D112" s="47" t="n">
        <x:v>0.7523355766686616</x:v>
      </x:c>
      <x:c r="E112" s="47" t="n">
        <x:v>0.48754831773909113</x:v>
      </x:c>
      <x:c r="F112" s="47" t="n">
        <x:v>-0.10277569887422129</x:v>
      </x:c>
      <x:c r="G112" s="47" t="n">
        <x:v>-0.11913134215170675</x:v>
      </x:c>
      <x:c r="H112" s="47" t="n">
        <x:v>0.7239778689828722</x:v>
      </x:c>
      <x:c r="I112" s="47" t="n">
        <x:v>0.8593724148007107</x:v>
      </x:c>
      <x:c r="J112" s="47" t="n">
        <x:v>0.8565857534721846</x:v>
      </x:c>
      <x:c r="K112" s="47" t="n">
        <x:v>0.8379869675835939</x:v>
      </x:c>
      <x:c r="L112" s="47" t="n">
        <x:v>0.862771625429628</x:v>
      </x:c>
      <x:c r="M112" s="47" t="n">
        <x:v>0.048212056035965664</x:v>
      </x:c>
      <x:c r="N112" s="47" t="n">
        <x:v>0.8145348435635278</x:v>
      </x:c>
      <x:c r="O112" s="47" t="n">
        <x:v>1</x:v>
      </x:c>
      <x:c r="P112" s="47" t="n">
        <x:v>1</x:v>
      </x:c>
      <x:c r="Q112" s="47" t="n">
        <x:v>1</x:v>
      </x:c>
      <x:c r="R112" s="47" t="n">
        <x:v>1</x:v>
      </x:c>
      <x:c r="S112" s="27" t="n">
        <x:v>1</x:v>
      </x:c>
    </x:row>
    <x:row r="113" ht="21.600000381469727" hidden="0" customHeight="1">
      <x:c r="A113" s="29" t="n">
        <x:v>37</x:v>
      </x:c>
      <x:c r="B113" s="29" t="str">
        <x:v>A1</x:v>
      </x:c>
      <x:c r="C113" s="48" t="n">
        <x:v>1.021847659739955</x:v>
      </x:c>
      <x:c r="D113" s="48" t="n">
        <x:v>0.9783379560809093</x:v>
      </x:c>
      <x:c r="E113" s="48" t="n">
        <x:v>0.8288392680521008</x:v>
      </x:c>
      <x:c r="F113" s="48" t="n">
        <x:v>-0.03148044969852548</x:v>
      </x:c>
      <x:c r="G113" s="48" t="n">
        <x:v>-0.08769737834500224</x:v>
      </x:c>
      <x:c r="H113" s="48" t="n">
        <x:v>0.9674918603100136</x:v>
      </x:c>
      <x:c r="I113" s="48" t="n">
        <x:v>0.6862877913757113</x:v>
      </x:c>
      <x:c r="J113" s="48" t="n">
        <x:v>0.6988519991424087</x:v>
      </x:c>
      <x:c r="K113" s="48" t="n">
        <x:v>0.7606385145970248</x:v>
      </x:c>
      <x:c r="L113" s="48" t="n">
        <x:v>0.8991147188121786</x:v>
      </x:c>
      <x:c r="M113" s="48" t="n">
        <x:v>0.044428415800950784</x:v>
      </x:c>
      <x:c r="N113" s="48" t="n">
        <x:v>0.7451189717170266</x:v>
      </x:c>
      <x:c r="O113" s="48" t="n">
        <x:v>0.9406873289193</x:v>
      </x:c>
      <x:c r="P113" s="48" t="n">
        <x:v>0.7493972550529405</x:v>
      </x:c>
      <x:c r="Q113" s="48" t="n">
        <x:v>1</x:v>
      </x:c>
      <x:c r="R113" s="48" t="n">
        <x:v>0.9267581607221144</x:v>
      </x:c>
      <x:c r="S113" s="29" t="n">
        <x:v>0</x:v>
      </x:c>
    </x:row>
    <x:row r="114" ht="21.600000381469727" hidden="0" customHeight="1">
      <x:c r="A114" s="27" t="n">
        <x:v>37</x:v>
      </x:c>
      <x:c r="B114" s="27" t="str">
        <x:v>A2</x:v>
      </x:c>
      <x:c r="C114" s="47" t="n">
        <x:v>1.021847659739955</x:v>
      </x:c>
      <x:c r="D114" s="47" t="n">
        <x:v>0.9783379560809093</x:v>
      </x:c>
      <x:c r="E114" s="47" t="n">
        <x:v>0.8288392680521008</x:v>
      </x:c>
      <x:c r="F114" s="47" t="n">
        <x:v>-0.03148044969852548</x:v>
      </x:c>
      <x:c r="G114" s="47" t="n">
        <x:v>-0.08769737834500224</x:v>
      </x:c>
      <x:c r="H114" s="47" t="n">
        <x:v>0.9674918603100136</x:v>
      </x:c>
      <x:c r="I114" s="47" t="n">
        <x:v>0.6862877913757113</x:v>
      </x:c>
      <x:c r="J114" s="47" t="n">
        <x:v>0.6988519991424087</x:v>
      </x:c>
      <x:c r="K114" s="47" t="n">
        <x:v>0.7606385145970248</x:v>
      </x:c>
      <x:c r="L114" s="47" t="n">
        <x:v>0.8991147188121786</x:v>
      </x:c>
      <x:c r="M114" s="47" t="n">
        <x:v>0.044428415800950784</x:v>
      </x:c>
      <x:c r="N114" s="47" t="n">
        <x:v>0.7451189717170266</x:v>
      </x:c>
      <x:c r="O114" s="47" t="n">
        <x:v>1</x:v>
      </x:c>
      <x:c r="P114" s="47" t="n">
        <x:v>1</x:v>
      </x:c>
      <x:c r="Q114" s="47" t="n">
        <x:v>1</x:v>
      </x:c>
      <x:c r="R114" s="47" t="n">
        <x:v>1</x:v>
      </x:c>
      <x:c r="S114" s="27" t="n">
        <x:v>1</x:v>
      </x:c>
    </x:row>
    <x:row r="115" ht="21.600000381469727" hidden="0" customHeight="1">
      <x:c r="A115" s="29" t="n">
        <x:v>37</x:v>
      </x:c>
      <x:c r="B115" s="29" t="str">
        <x:v>A3</x:v>
      </x:c>
      <x:c r="C115" s="48" t="n">
        <x:v>1.021847659739955</x:v>
      </x:c>
      <x:c r="D115" s="48" t="n">
        <x:v>0.9783379560809093</x:v>
      </x:c>
      <x:c r="E115" s="48" t="n">
        <x:v>0.8288392680521008</x:v>
      </x:c>
      <x:c r="F115" s="48" t="n">
        <x:v>-0.03148044969852548</x:v>
      </x:c>
      <x:c r="G115" s="48" t="n">
        <x:v>-0.08769737834500224</x:v>
      </x:c>
      <x:c r="H115" s="48" t="n">
        <x:v>0.9674918603100136</x:v>
      </x:c>
      <x:c r="I115" s="48" t="n">
        <x:v>0.6862877913757113</x:v>
      </x:c>
      <x:c r="J115" s="48" t="n">
        <x:v>0.6988519991424087</x:v>
      </x:c>
      <x:c r="K115" s="48" t="n">
        <x:v>0.7606385145970248</x:v>
      </x:c>
      <x:c r="L115" s="48" t="n">
        <x:v>0.8991147188121786</x:v>
      </x:c>
      <x:c r="M115" s="48" t="n">
        <x:v>0.044428415800950784</x:v>
      </x:c>
      <x:c r="N115" s="48" t="n">
        <x:v>0.7451189717170266</x:v>
      </x:c>
      <x:c r="O115" s="48" t="n">
        <x:v>1</x:v>
      </x:c>
      <x:c r="P115" s="48" t="n">
        <x:v>1</x:v>
      </x:c>
      <x:c r="Q115" s="48" t="n">
        <x:v>1</x:v>
      </x:c>
      <x:c r="R115" s="48" t="n">
        <x:v>1</x:v>
      </x:c>
      <x:c r="S115" s="29" t="n">
        <x:v>1</x:v>
      </x:c>
    </x:row>
    <x:row r="116" ht="21.600000381469727" hidden="0" customHeight="1">
      <x:c r="A116" s="27" t="n">
        <x:v>38</x:v>
      </x:c>
      <x:c r="B116" s="27" t="str">
        <x:v>A1</x:v>
      </x:c>
      <x:c r="C116" s="47" t="n">
        <x:v>0.9721932441149662</x:v>
      </x:c>
      <x:c r="D116" s="47" t="n">
        <x:v>0.8163372104382746</x:v>
      </x:c>
      <x:c r="E116" s="47" t="n">
        <x:v>0.5998262758031282</x:v>
      </x:c>
      <x:c r="F116" s="47" t="n">
        <x:v>-0.08582316946943021</x:v>
      </x:c>
      <x:c r="G116" s="47" t="n">
        <x:v>-0.15806406536928364</x:v>
      </x:c>
      <x:c r="H116" s="47" t="n">
        <x:v>0.6717909882207386</x:v>
      </x:c>
      <x:c r="I116" s="47" t="n">
        <x:v>0.9994223517965469</x:v>
      </x:c>
      <x:c r="J116" s="47" t="n">
        <x:v>0.8334832888703013</x:v>
      </x:c>
      <x:c r="K116" s="47" t="n">
        <x:v>0.8904789049083821</x:v>
      </x:c>
      <x:c r="L116" s="47" t="n">
        <x:v>0.7817221787595294</x:v>
      </x:c>
      <x:c r="M116" s="47" t="n">
        <x:v>0.015134970826460644</x:v>
      </x:c>
      <x:c r="N116" s="47" t="n">
        <x:v>0.7942917441712756</x:v>
      </x:c>
      <x:c r="O116" s="47" t="n">
        <x:v>0.9411189735032337</x:v>
      </x:c>
      <x:c r="P116" s="47" t="n">
        <x:v>0.705135300343855</x:v>
      </x:c>
      <x:c r="Q116" s="47" t="n">
        <x:v>1</x:v>
      </x:c>
      <x:c r="R116" s="47" t="n">
        <x:v>0.9272911740338673</x:v>
      </x:c>
      <x:c r="S116" s="27" t="n">
        <x:v>0</x:v>
      </x:c>
    </x:row>
    <x:row r="117" ht="21.600000381469727" hidden="0" customHeight="1">
      <x:c r="A117" s="29" t="n">
        <x:v>38</x:v>
      </x:c>
      <x:c r="B117" s="29" t="str">
        <x:v>A2</x:v>
      </x:c>
      <x:c r="C117" s="48" t="n">
        <x:v>0.9721932441149662</x:v>
      </x:c>
      <x:c r="D117" s="48" t="n">
        <x:v>0.8163372104382746</x:v>
      </x:c>
      <x:c r="E117" s="48" t="n">
        <x:v>0.5998262758031282</x:v>
      </x:c>
      <x:c r="F117" s="48" t="n">
        <x:v>-0.08582316946943021</x:v>
      </x:c>
      <x:c r="G117" s="48" t="n">
        <x:v>-0.15806406536928364</x:v>
      </x:c>
      <x:c r="H117" s="48" t="n">
        <x:v>0.6717909882207386</x:v>
      </x:c>
      <x:c r="I117" s="48" t="n">
        <x:v>0.9994223517965469</x:v>
      </x:c>
      <x:c r="J117" s="48" t="n">
        <x:v>0.8334832888703013</x:v>
      </x:c>
      <x:c r="K117" s="48" t="n">
        <x:v>0.8904789049083821</x:v>
      </x:c>
      <x:c r="L117" s="48" t="n">
        <x:v>0.7817221787595294</x:v>
      </x:c>
      <x:c r="M117" s="48" t="n">
        <x:v>0.015134970826460644</x:v>
      </x:c>
      <x:c r="N117" s="48" t="n">
        <x:v>0.7942917441712756</x:v>
      </x:c>
      <x:c r="O117" s="48" t="n">
        <x:v>0.9808839835657699</x:v>
      </x:c>
      <x:c r="P117" s="48" t="n">
        <x:v>0.808839835657699</x:v>
      </x:c>
      <x:c r="Q117" s="48" t="n">
        <x:v>1</x:v>
      </x:c>
      <x:c r="R117" s="48" t="n">
        <x:v>0.9763947200859601</x:v>
      </x:c>
      <x:c r="S117" s="29" t="n">
        <x:v>0</x:v>
      </x:c>
    </x:row>
    <x:row r="118" ht="21.600000381469727" hidden="0" customHeight="1">
      <x:c r="A118" s="27" t="n">
        <x:v>38</x:v>
      </x:c>
      <x:c r="B118" s="27" t="str">
        <x:v>A3</x:v>
      </x:c>
      <x:c r="C118" s="47" t="n">
        <x:v>0.9721932441149662</x:v>
      </x:c>
      <x:c r="D118" s="47" t="n">
        <x:v>0.8163372104382746</x:v>
      </x:c>
      <x:c r="E118" s="47" t="n">
        <x:v>0.5998262758031282</x:v>
      </x:c>
      <x:c r="F118" s="47" t="n">
        <x:v>-0.08582316946943021</x:v>
      </x:c>
      <x:c r="G118" s="47" t="n">
        <x:v>-0.15806406536928364</x:v>
      </x:c>
      <x:c r="H118" s="47" t="n">
        <x:v>0.6717909882207386</x:v>
      </x:c>
      <x:c r="I118" s="47" t="n">
        <x:v>0.9994223517965469</x:v>
      </x:c>
      <x:c r="J118" s="47" t="n">
        <x:v>0.8334832888703013</x:v>
      </x:c>
      <x:c r="K118" s="47" t="n">
        <x:v>0.8904789049083821</x:v>
      </x:c>
      <x:c r="L118" s="47" t="n">
        <x:v>0.7817221787595294</x:v>
      </x:c>
      <x:c r="M118" s="47" t="n">
        <x:v>0.015134970826460644</x:v>
      </x:c>
      <x:c r="N118" s="47" t="n">
        <x:v>0.7942917441712756</x:v>
      </x:c>
      <x:c r="O118" s="47" t="n">
        <x:v>1</x:v>
      </x:c>
      <x:c r="P118" s="47" t="n">
        <x:v>1</x:v>
      </x:c>
      <x:c r="Q118" s="47" t="n">
        <x:v>1</x:v>
      </x:c>
      <x:c r="R118" s="47" t="n">
        <x:v>1</x:v>
      </x:c>
      <x:c r="S118" s="27" t="n">
        <x:v>1</x:v>
      </x:c>
    </x:row>
    <x:row r="119" ht="21.600000381469727" hidden="0" customHeight="1">
      <x:c r="A119" s="29" t="n">
        <x:v>39</x:v>
      </x:c>
      <x:c r="B119" s="29" t="str">
        <x:v>A1</x:v>
      </x:c>
      <x:c r="C119" s="48" t="n">
        <x:v>1.0270310574666923</x:v>
      </x:c>
      <x:c r="D119" s="48" t="n">
        <x:v>0.8782574579124168</x:v>
      </x:c>
      <x:c r="E119" s="48" t="n">
        <x:v>0.4732719438587516</x:v>
      </x:c>
      <x:c r="F119" s="48" t="n">
        <x:v>-0.021767233628216837</x:v>
      </x:c>
      <x:c r="G119" s="48" t="n">
        <x:v>-0.051552136628457174</x:v>
      </x:c>
      <x:c r="H119" s="48" t="n">
        <x:v>0.9745877233564388</x:v>
      </x:c>
      <x:c r="I119" s="48" t="n">
        <x:v>0.9759892176548433</x:v>
      </x:c>
      <x:c r="J119" s="48" t="n">
        <x:v>0.7055793538648061</x:v>
      </x:c>
      <x:c r="K119" s="48" t="n">
        <x:v>0.8705607473600601</x:v>
      </x:c>
      <x:c r="L119" s="48" t="n">
        <x:v>0.6839803876043713</x:v>
      </x:c>
      <x:c r="M119" s="48" t="n">
        <x:v>0.06746844374789288</x:v>
      </x:c>
      <x:c r="N119" s="48" t="n">
        <x:v>0.779798263989184</x:v>
      </x:c>
      <x:c r="O119" s="48" t="n">
        <x:v>0.9061639627727215</x:v>
      </x:c>
      <x:c r="P119" s="48" t="n">
        <x:v>0.6982494772716197</x:v>
      </x:c>
      <x:c r="Q119" s="48" t="n">
        <x:v>1</x:v>
      </x:c>
      <x:c r="R119" s="48" t="n">
        <x:v>0.8841272221963652</x:v>
      </x:c>
      <x:c r="S119" s="29" t="n">
        <x:v>0</x:v>
      </x:c>
    </x:row>
    <x:row r="120" ht="21.600000381469727" hidden="0" customHeight="1">
      <x:c r="A120" s="27" t="n">
        <x:v>39</x:v>
      </x:c>
      <x:c r="B120" s="27" t="str">
        <x:v>A2</x:v>
      </x:c>
      <x:c r="C120" s="47" t="n">
        <x:v>1.0270310574666923</x:v>
      </x:c>
      <x:c r="D120" s="47" t="n">
        <x:v>0.8782574579124168</x:v>
      </x:c>
      <x:c r="E120" s="47" t="n">
        <x:v>0.4732719438587516</x:v>
      </x:c>
      <x:c r="F120" s="47" t="n">
        <x:v>-0.021767233628216837</x:v>
      </x:c>
      <x:c r="G120" s="47" t="n">
        <x:v>-0.051552136628457174</x:v>
      </x:c>
      <x:c r="H120" s="47" t="n">
        <x:v>0.9745877233564388</x:v>
      </x:c>
      <x:c r="I120" s="47" t="n">
        <x:v>0.9759892176548433</x:v>
      </x:c>
      <x:c r="J120" s="47" t="n">
        <x:v>0.7055793538648061</x:v>
      </x:c>
      <x:c r="K120" s="47" t="n">
        <x:v>0.8705607473600601</x:v>
      </x:c>
      <x:c r="L120" s="47" t="n">
        <x:v>0.6839803876043713</x:v>
      </x:c>
      <x:c r="M120" s="47" t="n">
        <x:v>0.06746844374789288</x:v>
      </x:c>
      <x:c r="N120" s="47" t="n">
        <x:v>0.779798263989184</x:v>
      </x:c>
      <x:c r="O120" s="47" t="n">
        <x:v>0.9673977333732222</x:v>
      </x:c>
      <x:c r="P120" s="47" t="n">
        <x:v>0.7192701075369029</x:v>
      </x:c>
      <x:c r="Q120" s="47" t="n">
        <x:v>1</x:v>
      </x:c>
      <x:c r="R120" s="47" t="n">
        <x:v>0.9597413178522284</x:v>
      </x:c>
      <x:c r="S120" s="27" t="n">
        <x:v>0</x:v>
      </x:c>
    </x:row>
    <x:row r="121" ht="21.600000381469727" hidden="0" customHeight="1">
      <x:c r="A121" s="29" t="n">
        <x:v>39</x:v>
      </x:c>
      <x:c r="B121" s="29" t="str">
        <x:v>A3</x:v>
      </x:c>
      <x:c r="C121" s="48" t="n">
        <x:v>1.0270310574666923</x:v>
      </x:c>
      <x:c r="D121" s="48" t="n">
        <x:v>0.8782574579124168</x:v>
      </x:c>
      <x:c r="E121" s="48" t="n">
        <x:v>0.4732719438587516</x:v>
      </x:c>
      <x:c r="F121" s="48" t="n">
        <x:v>-0.021767233628216837</x:v>
      </x:c>
      <x:c r="G121" s="48" t="n">
        <x:v>-0.051552136628457174</x:v>
      </x:c>
      <x:c r="H121" s="48" t="n">
        <x:v>0.9745877233564388</x:v>
      </x:c>
      <x:c r="I121" s="48" t="n">
        <x:v>0.9759892176548433</x:v>
      </x:c>
      <x:c r="J121" s="48" t="n">
        <x:v>0.7055793538648061</x:v>
      </x:c>
      <x:c r="K121" s="48" t="n">
        <x:v>0.8705607473600601</x:v>
      </x:c>
      <x:c r="L121" s="48" t="n">
        <x:v>0.6839803876043713</x:v>
      </x:c>
      <x:c r="M121" s="48" t="n">
        <x:v>0.06746844374789288</x:v>
      </x:c>
      <x:c r="N121" s="48" t="n">
        <x:v>0.779798263989184</x:v>
      </x:c>
      <x:c r="O121" s="48" t="n">
        <x:v>1</x:v>
      </x:c>
      <x:c r="P121" s="48" t="n">
        <x:v>1</x:v>
      </x:c>
      <x:c r="Q121" s="48" t="n">
        <x:v>1</x:v>
      </x:c>
      <x:c r="R121" s="48" t="n">
        <x:v>1</x:v>
      </x:c>
      <x:c r="S121" s="29" t="n">
        <x:v>1</x:v>
      </x:c>
    </x:row>
    <x:row r="122" ht="21.600000381469727" hidden="0" customHeight="1">
      <x:c r="A122" s="27" t="n">
        <x:v>40</x:v>
      </x:c>
      <x:c r="B122" s="27" t="str">
        <x:v>A1</x:v>
      </x:c>
      <x:c r="C122" s="47" t="n">
        <x:v>1.1773544624889143</x:v>
      </x:c>
      <x:c r="D122" s="47" t="n">
        <x:v>0.9489284154141874</x:v>
      </x:c>
      <x:c r="E122" s="47" t="n">
        <x:v>0.9210932306019376</x:v>
      </x:c>
      <x:c r="F122" s="47" t="n">
        <x:v>-0.19280584191807143</x:v>
      </x:c>
      <x:c r="G122" s="47" t="n">
        <x:v>-0.11301216758252369</x:v>
      </x:c>
      <x:c r="H122" s="47" t="n">
        <x:v>0.7183197473420417</x:v>
      </x:c>
      <x:c r="I122" s="47" t="n">
        <x:v>0.8742922702349079</x:v>
      </x:c>
      <x:c r="J122" s="47" t="n">
        <x:v>0.7508977394775316</x:v>
      </x:c>
      <x:c r="K122" s="47" t="n">
        <x:v>0.7727647253659472</x:v>
      </x:c>
      <x:c r="L122" s="47" t="n">
        <x:v>0.6623064749108755</x:v>
      </x:c>
      <x:c r="M122" s="47" t="n">
        <x:v>0.15590983083867457</x:v>
      </x:c>
      <x:c r="N122" s="47" t="n">
        <x:v>0.9881876749221379</x:v>
      </x:c>
      <x:c r="O122" s="47" t="n">
        <x:v>0.8942608743100449</x:v>
      </x:c>
      <x:c r="P122" s="47" t="n">
        <x:v>0.6219816432201967</x:v>
      </x:c>
      <x:c r="Q122" s="47" t="n">
        <x:v>1</x:v>
      </x:c>
      <x:c r="R122" s="47" t="n">
        <x:v>0.8694287762115663</x:v>
      </x:c>
      <x:c r="S122" s="27" t="n">
        <x:v>0</x:v>
      </x:c>
    </x:row>
    <x:row r="123" ht="21.600000381469727" hidden="0" customHeight="1">
      <x:c r="A123" s="29" t="n">
        <x:v>40</x:v>
      </x:c>
      <x:c r="B123" s="29" t="str">
        <x:v>A2</x:v>
      </x:c>
      <x:c r="C123" s="48" t="n">
        <x:v>1.1773544624889143</x:v>
      </x:c>
      <x:c r="D123" s="48" t="n">
        <x:v>0.9489284154141874</x:v>
      </x:c>
      <x:c r="E123" s="48" t="n">
        <x:v>0.9210932306019376</x:v>
      </x:c>
      <x:c r="F123" s="48" t="n">
        <x:v>-0.19280584191807143</x:v>
      </x:c>
      <x:c r="G123" s="48" t="n">
        <x:v>-0.11301216758252369</x:v>
      </x:c>
      <x:c r="H123" s="48" t="n">
        <x:v>0.7183197473420417</x:v>
      </x:c>
      <x:c r="I123" s="48" t="n">
        <x:v>0.8742922702349079</x:v>
      </x:c>
      <x:c r="J123" s="48" t="n">
        <x:v>0.7508977394775316</x:v>
      </x:c>
      <x:c r="K123" s="48" t="n">
        <x:v>0.7727647253659472</x:v>
      </x:c>
      <x:c r="L123" s="48" t="n">
        <x:v>0.6623064749108755</x:v>
      </x:c>
      <x:c r="M123" s="48" t="n">
        <x:v>0.15590983083867457</x:v>
      </x:c>
      <x:c r="N123" s="48" t="n">
        <x:v>0.9881876749221379</x:v>
      </x:c>
      <x:c r="O123" s="48" t="n">
        <x:v>0.9557346191949601</x:v>
      </x:c>
      <x:c r="P123" s="48" t="n">
        <x:v>0.6797158884839036</x:v>
      </x:c>
      <x:c r="Q123" s="48" t="n">
        <x:v>1</x:v>
      </x:c>
      <x:c r="R123" s="48" t="n">
        <x:v>0.9453392024431674</x:v>
      </x:c>
      <x:c r="S123" s="29" t="n">
        <x:v>0</x:v>
      </x:c>
    </x:row>
    <x:row r="124" ht="21.600000381469727" hidden="0" customHeight="1">
      <x:c r="A124" s="27" t="n">
        <x:v>40</x:v>
      </x:c>
      <x:c r="B124" s="27" t="str">
        <x:v>A3</x:v>
      </x:c>
      <x:c r="C124" s="47" t="n">
        <x:v>1.1773544624889143</x:v>
      </x:c>
      <x:c r="D124" s="47" t="n">
        <x:v>0.9489284154141874</x:v>
      </x:c>
      <x:c r="E124" s="47" t="n">
        <x:v>0.9210932306019376</x:v>
      </x:c>
      <x:c r="F124" s="47" t="n">
        <x:v>-0.19280584191807143</x:v>
      </x:c>
      <x:c r="G124" s="47" t="n">
        <x:v>-0.11301216758252369</x:v>
      </x:c>
      <x:c r="H124" s="47" t="n">
        <x:v>0.7183197473420417</x:v>
      </x:c>
      <x:c r="I124" s="47" t="n">
        <x:v>0.8742922702349079</x:v>
      </x:c>
      <x:c r="J124" s="47" t="n">
        <x:v>0.7508977394775316</x:v>
      </x:c>
      <x:c r="K124" s="47" t="n">
        <x:v>0.7727647253659472</x:v>
      </x:c>
      <x:c r="L124" s="47" t="n">
        <x:v>0.6623064749108755</x:v>
      </x:c>
      <x:c r="M124" s="47" t="n">
        <x:v>0.15590983083867457</x:v>
      </x:c>
      <x:c r="N124" s="47" t="n">
        <x:v>0.9881876749221379</x:v>
      </x:c>
      <x:c r="O124" s="47" t="n">
        <x:v>1</x:v>
      </x:c>
      <x:c r="P124" s="47" t="n">
        <x:v>1</x:v>
      </x:c>
      <x:c r="Q124" s="47" t="n">
        <x:v>1</x:v>
      </x:c>
      <x:c r="R124" s="47" t="n">
        <x:v>1.0000000000000002</x:v>
      </x:c>
      <x:c r="S124" s="27" t="n">
        <x:v>1</x:v>
      </x:c>
    </x:row>
    <x:row r="125" ht="21.600000381469727" hidden="0" customHeight="1">
      <x:c r="A125" s="29" t="n">
        <x:v>41</x:v>
      </x:c>
      <x:c r="B125" s="29" t="str">
        <x:v>A1</x:v>
      </x:c>
      <x:c r="C125" s="48" t="n">
        <x:v>1.3165222797357725</x:v>
      </x:c>
      <x:c r="D125" s="48" t="n">
        <x:v>0.9817892437621303</x:v>
      </x:c>
      <x:c r="E125" s="48" t="n">
        <x:v>0.8357142413946912</x:v>
      </x:c>
      <x:c r="F125" s="48" t="n">
        <x:v>-0.19193902299248242</x:v>
      </x:c>
      <x:c r="G125" s="48" t="n">
        <x:v>-0.14364528067654772</x:v>
      </x:c>
      <x:c r="H125" s="48" t="n">
        <x:v>0.44615932686418514</x:v>
      </x:c>
      <x:c r="I125" s="48" t="n">
        <x:v>0.9917283227874069</x:v>
      </x:c>
      <x:c r="J125" s="48" t="n">
        <x:v>0.8057041581448525</x:v>
      </x:c>
      <x:c r="K125" s="48" t="n">
        <x:v>0.7200368084843666</x:v>
      </x:c>
      <x:c r="L125" s="48" t="n">
        <x:v>0.8834527510103055</x:v>
      </x:c>
      <x:c r="M125" s="48" t="n">
        <x:v>0.09474617252246155</x:v>
      </x:c>
      <x:c r="N125" s="48" t="n">
        <x:v>0.7302353326451908</x:v>
      </x:c>
      <x:c r="O125" s="48" t="n">
        <x:v>0.8718469128915172</x:v>
      </x:c>
      <x:c r="P125" s="48" t="n">
        <x:v>0.6507947049536894</x:v>
      </x:c>
      <x:c r="Q125" s="48" t="n">
        <x:v>1</x:v>
      </x:c>
      <x:c r="R125" s="48" t="n">
        <x:v>0.841751051875683</x:v>
      </x:c>
      <x:c r="S125" s="29" t="n">
        <x:v>0</x:v>
      </x:c>
    </x:row>
    <x:row r="126" ht="21.600000381469727" hidden="0" customHeight="1">
      <x:c r="A126" s="27" t="n">
        <x:v>41</x:v>
      </x:c>
      <x:c r="B126" s="27" t="str">
        <x:v>A2</x:v>
      </x:c>
      <x:c r="C126" s="47" t="n">
        <x:v>1.3165222797357725</x:v>
      </x:c>
      <x:c r="D126" s="47" t="n">
        <x:v>0.9817892437621303</x:v>
      </x:c>
      <x:c r="E126" s="47" t="n">
        <x:v>0.8357142413946912</x:v>
      </x:c>
      <x:c r="F126" s="47" t="n">
        <x:v>-0.19193902299248242</x:v>
      </x:c>
      <x:c r="G126" s="47" t="n">
        <x:v>-0.14364528067654772</x:v>
      </x:c>
      <x:c r="H126" s="47" t="n">
        <x:v>0.44615932686418514</x:v>
      </x:c>
      <x:c r="I126" s="47" t="n">
        <x:v>0.9917283227874069</x:v>
      </x:c>
      <x:c r="J126" s="47" t="n">
        <x:v>0.8057041581448525</x:v>
      </x:c>
      <x:c r="K126" s="47" t="n">
        <x:v>0.7200368084843666</x:v>
      </x:c>
      <x:c r="L126" s="47" t="n">
        <x:v>0.8834527510103055</x:v>
      </x:c>
      <x:c r="M126" s="47" t="n">
        <x:v>0.09474617252246155</x:v>
      </x:c>
      <x:c r="N126" s="47" t="n">
        <x:v>0.7302353326451908</x:v>
      </x:c>
      <x:c r="O126" s="47" t="n">
        <x:v>0.9208331608346118</x:v>
      </x:c>
      <x:c r="P126" s="47" t="n">
        <x:v>0.5880364169425749</x:v>
      </x:c>
      <x:c r="Q126" s="47" t="n">
        <x:v>1</x:v>
      </x:c>
      <x:c r="R126" s="47" t="n">
        <x:v>0.9022413793774273</x:v>
      </x:c>
      <x:c r="S126" s="27" t="n">
        <x:v>0</x:v>
      </x:c>
    </x:row>
    <x:row r="127" ht="21.600000381469727" hidden="0" customHeight="1">
      <x:c r="A127" s="29" t="n">
        <x:v>41</x:v>
      </x:c>
      <x:c r="B127" s="29" t="str">
        <x:v>A3</x:v>
      </x:c>
      <x:c r="C127" s="48" t="n">
        <x:v>1.3165222797357725</x:v>
      </x:c>
      <x:c r="D127" s="48" t="n">
        <x:v>0.9817892437621303</x:v>
      </x:c>
      <x:c r="E127" s="48" t="n">
        <x:v>0.8357142413946912</x:v>
      </x:c>
      <x:c r="F127" s="48" t="n">
        <x:v>-0.19193902299248242</x:v>
      </x:c>
      <x:c r="G127" s="48" t="n">
        <x:v>-0.14364528067654772</x:v>
      </x:c>
      <x:c r="H127" s="48" t="n">
        <x:v>0.44615932686418514</x:v>
      </x:c>
      <x:c r="I127" s="48" t="n">
        <x:v>0.9917283227874069</x:v>
      </x:c>
      <x:c r="J127" s="48" t="n">
        <x:v>0.8057041581448525</x:v>
      </x:c>
      <x:c r="K127" s="48" t="n">
        <x:v>0.7200368084843666</x:v>
      </x:c>
      <x:c r="L127" s="48" t="n">
        <x:v>0.8834527510103055</x:v>
      </x:c>
      <x:c r="M127" s="48" t="n">
        <x:v>0.09474617252246155</x:v>
      </x:c>
      <x:c r="N127" s="48" t="n">
        <x:v>0.7302353326451908</x:v>
      </x:c>
      <x:c r="O127" s="48" t="n">
        <x:v>1</x:v>
      </x:c>
      <x:c r="P127" s="48" t="n">
        <x:v>1</x:v>
      </x:c>
      <x:c r="Q127" s="48" t="n">
        <x:v>1</x:v>
      </x:c>
      <x:c r="R127" s="48" t="n">
        <x:v>1</x:v>
      </x:c>
      <x:c r="S127" s="29" t="n">
        <x:v>1</x:v>
      </x:c>
    </x:row>
    <x:row r="128" ht="21.600000381469727" hidden="0" customHeight="1">
      <x:c r="A128" s="27" t="n">
        <x:v>42</x:v>
      </x:c>
      <x:c r="B128" s="27" t="str">
        <x:v>A1</x:v>
      </x:c>
      <x:c r="C128" s="47" t="n">
        <x:v>1.2254978325808537</x:v>
      </x:c>
      <x:c r="D128" s="47" t="n">
        <x:v>0.975173402173216</x:v>
      </x:c>
      <x:c r="E128" s="47" t="n">
        <x:v>0.8511426373339701</x:v>
      </x:c>
      <x:c r="F128" s="47" t="n">
        <x:v>-0.11697250053994648</x:v>
      </x:c>
      <x:c r="G128" s="47" t="n">
        <x:v>-0.18400297417973746</x:v>
      </x:c>
      <x:c r="H128" s="47" t="n">
        <x:v>0.7156717339630775</x:v>
      </x:c>
      <x:c r="I128" s="47" t="n">
        <x:v>0.7307544886761194</x:v>
      </x:c>
      <x:c r="J128" s="47" t="n">
        <x:v>0.7855898661747549</x:v>
      </x:c>
      <x:c r="K128" s="47" t="n">
        <x:v>0.9053681611915494</x:v>
      </x:c>
      <x:c r="L128" s="47" t="n">
        <x:v>0.900219558613147</x:v>
      </x:c>
      <x:c r="M128" s="47" t="n">
        <x:v>0.040232042447102594</x:v>
      </x:c>
      <x:c r="N128" s="47" t="n">
        <x:v>0.8082590175479784</x:v>
      </x:c>
      <x:c r="O128" s="47" t="n">
        <x:v>0.8945888360895228</x:v>
      </x:c>
      <x:c r="P128" s="47" t="n">
        <x:v>0.5798521591962998</x:v>
      </x:c>
      <x:c r="Q128" s="47" t="n">
        <x:v>1</x:v>
      </x:c>
      <x:c r="R128" s="47" t="n">
        <x:v>0.8698337575335021</x:v>
      </x:c>
      <x:c r="S128" s="27" t="n">
        <x:v>0</x:v>
      </x:c>
    </x:row>
    <x:row r="129" ht="21.600000381469727" hidden="0" customHeight="1">
      <x:c r="A129" s="29" t="n">
        <x:v>42</x:v>
      </x:c>
      <x:c r="B129" s="29" t="str">
        <x:v>A2</x:v>
      </x:c>
      <x:c r="C129" s="48" t="n">
        <x:v>1.2254978325808537</x:v>
      </x:c>
      <x:c r="D129" s="48" t="n">
        <x:v>0.975173402173216</x:v>
      </x:c>
      <x:c r="E129" s="48" t="n">
        <x:v>0.8511426373339701</x:v>
      </x:c>
      <x:c r="F129" s="48" t="n">
        <x:v>-0.11697250053994648</x:v>
      </x:c>
      <x:c r="G129" s="48" t="n">
        <x:v>-0.18400297417973746</x:v>
      </x:c>
      <x:c r="H129" s="48" t="n">
        <x:v>0.7156717339630775</x:v>
      </x:c>
      <x:c r="I129" s="48" t="n">
        <x:v>0.7307544886761194</x:v>
      </x:c>
      <x:c r="J129" s="48" t="n">
        <x:v>0.7855898661747549</x:v>
      </x:c>
      <x:c r="K129" s="48" t="n">
        <x:v>0.9053681611915494</x:v>
      </x:c>
      <x:c r="L129" s="48" t="n">
        <x:v>0.900219558613147</x:v>
      </x:c>
      <x:c r="M129" s="48" t="n">
        <x:v>0.040232042447102594</x:v>
      </x:c>
      <x:c r="N129" s="48" t="n">
        <x:v>0.8082590175479784</x:v>
      </x:c>
      <x:c r="O129" s="48" t="n">
        <x:v>0.9834396917622067</x:v>
      </x:c>
      <x:c r="P129" s="48" t="n">
        <x:v>0.8458802052749257</x:v>
      </x:c>
      <x:c r="Q129" s="48" t="n">
        <x:v>1</x:v>
      </x:c>
      <x:c r="R129" s="48" t="n">
        <x:v>0.9795506185736529</x:v>
      </x:c>
      <x:c r="S129" s="29" t="n">
        <x:v>0</x:v>
      </x:c>
    </x:row>
    <x:row r="130" ht="21.600000381469727" hidden="0" customHeight="1">
      <x:c r="A130" s="27" t="n">
        <x:v>42</x:v>
      </x:c>
      <x:c r="B130" s="27" t="str">
        <x:v>A3</x:v>
      </x:c>
      <x:c r="C130" s="47" t="n">
        <x:v>1.2254978325808537</x:v>
      </x:c>
      <x:c r="D130" s="47" t="n">
        <x:v>0.975173402173216</x:v>
      </x:c>
      <x:c r="E130" s="47" t="n">
        <x:v>0.8511426373339701</x:v>
      </x:c>
      <x:c r="F130" s="47" t="n">
        <x:v>-0.11697250053994648</x:v>
      </x:c>
      <x:c r="G130" s="47" t="n">
        <x:v>-0.18400297417973746</x:v>
      </x:c>
      <x:c r="H130" s="47" t="n">
        <x:v>0.7156717339630775</x:v>
      </x:c>
      <x:c r="I130" s="47" t="n">
        <x:v>0.7307544886761194</x:v>
      </x:c>
      <x:c r="J130" s="47" t="n">
        <x:v>0.7855898661747549</x:v>
      </x:c>
      <x:c r="K130" s="47" t="n">
        <x:v>0.9053681611915494</x:v>
      </x:c>
      <x:c r="L130" s="47" t="n">
        <x:v>0.900219558613147</x:v>
      </x:c>
      <x:c r="M130" s="47" t="n">
        <x:v>0.040232042447102594</x:v>
      </x:c>
      <x:c r="N130" s="47" t="n">
        <x:v>0.8082590175479784</x:v>
      </x:c>
      <x:c r="O130" s="47" t="n">
        <x:v>1</x:v>
      </x:c>
      <x:c r="P130" s="47" t="n">
        <x:v>1</x:v>
      </x:c>
      <x:c r="Q130" s="47" t="n">
        <x:v>1</x:v>
      </x:c>
      <x:c r="R130" s="47" t="n">
        <x:v>1</x:v>
      </x:c>
      <x:c r="S130" s="27" t="n">
        <x:v>1</x:v>
      </x:c>
    </x:row>
    <x:row r="131" ht="21.600000381469727" hidden="0" customHeight="1">
      <x:c r="A131" s="29" t="n">
        <x:v>43</x:v>
      </x:c>
      <x:c r="B131" s="29" t="str">
        <x:v>A1</x:v>
      </x:c>
      <x:c r="C131" s="48" t="n">
        <x:v>1.052605722370095</x:v>
      </x:c>
      <x:c r="D131" s="48" t="n">
        <x:v>0.7612785005377214</x:v>
      </x:c>
      <x:c r="E131" s="48" t="n">
        <x:v>1.0285278682762016</x:v>
      </x:c>
      <x:c r="F131" s="48" t="n">
        <x:v>-0.11518395026606924</x:v>
      </x:c>
      <x:c r="G131" s="48" t="n">
        <x:v>-0.057830974839606614</x:v>
      </x:c>
      <x:c r="H131" s="48" t="n">
        <x:v>0.8651604948719003</x:v>
      </x:c>
      <x:c r="I131" s="48" t="n">
        <x:v>0.6278031371871416</x:v>
      </x:c>
      <x:c r="J131" s="48" t="n">
        <x:v>0.9979118304420094</x:v>
      </x:c>
      <x:c r="K131" s="48" t="n">
        <x:v>0.8871800899744051</x:v>
      </x:c>
      <x:c r="L131" s="48" t="n">
        <x:v>0.9064700335327454</x:v>
      </x:c>
      <x:c r="M131" s="48" t="n">
        <x:v>0.13551180563249154</x:v>
      </x:c>
      <x:c r="N131" s="48" t="n">
        <x:v>0.6714425884058084</x:v>
      </x:c>
      <x:c r="O131" s="48" t="n">
        <x:v>0.9226088050556194</x:v>
      </x:c>
      <x:c r="P131" s="48" t="n">
        <x:v>0.583872648271095</x:v>
      </x:c>
      <x:c r="Q131" s="48" t="n">
        <x:v>1</x:v>
      </x:c>
      <x:c r="R131" s="48" t="n">
        <x:v>0.904434021291544</x:v>
      </x:c>
      <x:c r="S131" s="29" t="n">
        <x:v>0</x:v>
      </x:c>
    </x:row>
    <x:row r="132" ht="21.600000381469727" hidden="0" customHeight="1">
      <x:c r="A132" s="27" t="n">
        <x:v>43</x:v>
      </x:c>
      <x:c r="B132" s="27" t="str">
        <x:v>A2</x:v>
      </x:c>
      <x:c r="C132" s="47" t="n">
        <x:v>1.052605722370095</x:v>
      </x:c>
      <x:c r="D132" s="47" t="n">
        <x:v>0.7612785005377214</x:v>
      </x:c>
      <x:c r="E132" s="47" t="n">
        <x:v>1.0285278682762016</x:v>
      </x:c>
      <x:c r="F132" s="47" t="n">
        <x:v>-0.11518395026606924</x:v>
      </x:c>
      <x:c r="G132" s="47" t="n">
        <x:v>-0.057830974839606614</x:v>
      </x:c>
      <x:c r="H132" s="47" t="n">
        <x:v>0.8651604948719003</x:v>
      </x:c>
      <x:c r="I132" s="47" t="n">
        <x:v>0.6278031371871416</x:v>
      </x:c>
      <x:c r="J132" s="47" t="n">
        <x:v>0.9979118304420094</x:v>
      </x:c>
      <x:c r="K132" s="47" t="n">
        <x:v>0.8871800899744051</x:v>
      </x:c>
      <x:c r="L132" s="47" t="n">
        <x:v>0.9064700335327454</x:v>
      </x:c>
      <x:c r="M132" s="47" t="n">
        <x:v>0.13551180563249154</x:v>
      </x:c>
      <x:c r="N132" s="47" t="n">
        <x:v>0.6714425884058084</x:v>
      </x:c>
      <x:c r="O132" s="47" t="n">
        <x:v>0.942707989671515</x:v>
      </x:c>
      <x:c r="P132" s="47" t="n">
        <x:v>0.6395159756959387</x:v>
      </x:c>
      <x:c r="Q132" s="47" t="n">
        <x:v>1</x:v>
      </x:c>
      <x:c r="R132" s="47" t="n">
        <x:v>0.9292533595953453</x:v>
      </x:c>
      <x:c r="S132" s="27" t="n">
        <x:v>0</x:v>
      </x:c>
    </x:row>
    <x:row r="133" ht="21.600000381469727" hidden="0" customHeight="1">
      <x:c r="A133" s="29" t="n">
        <x:v>43</x:v>
      </x:c>
      <x:c r="B133" s="29" t="str">
        <x:v>A3</x:v>
      </x:c>
      <x:c r="C133" s="48" t="n">
        <x:v>1.052605722370095</x:v>
      </x:c>
      <x:c r="D133" s="48" t="n">
        <x:v>0.7612785005377214</x:v>
      </x:c>
      <x:c r="E133" s="48" t="n">
        <x:v>1.0285278682762016</x:v>
      </x:c>
      <x:c r="F133" s="48" t="n">
        <x:v>-0.11518395026606924</x:v>
      </x:c>
      <x:c r="G133" s="48" t="n">
        <x:v>-0.057830974839606614</x:v>
      </x:c>
      <x:c r="H133" s="48" t="n">
        <x:v>0.8651604948719003</x:v>
      </x:c>
      <x:c r="I133" s="48" t="n">
        <x:v>0.6278031371871416</x:v>
      </x:c>
      <x:c r="J133" s="48" t="n">
        <x:v>0.9979118304420094</x:v>
      </x:c>
      <x:c r="K133" s="48" t="n">
        <x:v>0.8871800899744051</x:v>
      </x:c>
      <x:c r="L133" s="48" t="n">
        <x:v>0.9064700335327454</x:v>
      </x:c>
      <x:c r="M133" s="48" t="n">
        <x:v>0.13551180563249154</x:v>
      </x:c>
      <x:c r="N133" s="48" t="n">
        <x:v>0.6714425884058084</x:v>
      </x:c>
      <x:c r="O133" s="48" t="n">
        <x:v>1</x:v>
      </x:c>
      <x:c r="P133" s="48" t="n">
        <x:v>1</x:v>
      </x:c>
      <x:c r="Q133" s="48" t="n">
        <x:v>1</x:v>
      </x:c>
      <x:c r="R133" s="48" t="n">
        <x:v>1</x:v>
      </x:c>
      <x:c r="S133" s="29" t="n">
        <x:v>1</x:v>
      </x:c>
    </x:row>
    <x:row r="134" ht="15" hidden="0" customHeight="1">
      <x:c r="A134" s="27" t="n">
        <x:v>44</x:v>
      </x:c>
      <x:c r="B134" s="27" t="str">
        <x:v>A1</x:v>
      </x:c>
      <x:c r="C134" s="47" t="n">
        <x:v>1.2456874194989793</x:v>
      </x:c>
      <x:c r="D134" s="47" t="n">
        <x:v>0.851608442148538</x:v>
      </x:c>
      <x:c r="E134" s="47" t="n">
        <x:v>0.6816614443993156</x:v>
      </x:c>
      <x:c r="F134" s="47" t="n">
        <x:v>0.033103132106027056</x:v>
      </x:c>
      <x:c r="G134" s="47" t="n">
        <x:v>0.02503391821252629</x:v>
      </x:c>
      <x:c r="H134" s="47" t="n">
        <x:v>0.6574040813755477</x:v>
      </x:c>
      <x:c r="I134" s="47" t="n">
        <x:v>0.610943179380559</x:v>
      </x:c>
      <x:c r="J134" s="47" t="n">
        <x:v>0.9719999043652128</x:v>
      </x:c>
      <x:c r="K134" s="47" t="n">
        <x:v>0.5892991167364099</x:v>
      </x:c>
      <x:c r="L134" s="47" t="n">
        <x:v>0.5016002578382125</x:v>
      </x:c>
      <x:c r="M134" s="47" t="n">
        <x:v>0.041449754515184414</x:v>
      </x:c>
      <x:c r="N134" s="47" t="n">
        <x:v>0.8498572767843897</x:v>
      </x:c>
      <x:c r="O134" s="47" t="n">
        <x:v>0.7247291336714886</x:v>
      </x:c>
      <x:c r="P134" s="47" t="n">
        <x:v>0.3917651901028604</x:v>
      </x:c>
      <x:c r="Q134" s="47" t="n">
        <x:v>0.8468671782434731</x:v>
      </x:c>
      <x:c r="R134" s="47" t="n">
        <x:v>0.6646957894445699</x:v>
      </x:c>
      <x:c r="S134" s="27" t="n">
        <x:v>0</x:v>
      </x:c>
    </x:row>
    <x:row r="135" ht="15" hidden="0" customHeight="1">
      <x:c r="A135" s="29" t="n">
        <x:v>44</x:v>
      </x:c>
      <x:c r="B135" s="29" t="str">
        <x:v>A2</x:v>
      </x:c>
      <x:c r="C135" s="48" t="n">
        <x:v>1.2456874194989793</x:v>
      </x:c>
      <x:c r="D135" s="48" t="n">
        <x:v>0.851608442148538</x:v>
      </x:c>
      <x:c r="E135" s="48" t="n">
        <x:v>0.6816614443993156</x:v>
      </x:c>
      <x:c r="F135" s="48" t="n">
        <x:v>0.033103132106027056</x:v>
      </x:c>
      <x:c r="G135" s="48" t="n">
        <x:v>0.02503391821252629</x:v>
      </x:c>
      <x:c r="H135" s="48" t="n">
        <x:v>0.6574040813755477</x:v>
      </x:c>
      <x:c r="I135" s="48" t="n">
        <x:v>0.610943179380559</x:v>
      </x:c>
      <x:c r="J135" s="48" t="n">
        <x:v>0.9719999043652128</x:v>
      </x:c>
      <x:c r="K135" s="48" t="n">
        <x:v>0.5892991167364099</x:v>
      </x:c>
      <x:c r="L135" s="48" t="n">
        <x:v>0.5016002578382125</x:v>
      </x:c>
      <x:c r="M135" s="48" t="n">
        <x:v>0.041449754515184414</x:v>
      </x:c>
      <x:c r="N135" s="48" t="n">
        <x:v>0.8498572767843897</x:v>
      </x:c>
      <x:c r="O135" s="48" t="n">
        <x:v>0.7895456093778275</x:v>
      </x:c>
      <x:c r="P135" s="48" t="n">
        <x:v>0.431845458042656</x:v>
      </x:c>
      <x:c r="Q135" s="48" t="n">
        <x:v>0.9000023306735421</x:v>
      </x:c>
      <x:c r="R135" s="48" t="n">
        <x:v>0.7408645277999126</x:v>
      </x:c>
      <x:c r="S135" s="29" t="n">
        <x:v>0</x:v>
      </x:c>
    </x:row>
    <x:row r="136" ht="15" hidden="0" customHeight="1">
      <x:c r="A136" s="27" t="n">
        <x:v>44</x:v>
      </x:c>
      <x:c r="B136" s="27" t="str">
        <x:v>A3</x:v>
      </x:c>
      <x:c r="C136" s="47" t="n">
        <x:v>1.2456874194989793</x:v>
      </x:c>
      <x:c r="D136" s="47" t="n">
        <x:v>0.851608442148538</x:v>
      </x:c>
      <x:c r="E136" s="47" t="n">
        <x:v>0.6816614443993156</x:v>
      </x:c>
      <x:c r="F136" s="47" t="n">
        <x:v>0.033103132106027056</x:v>
      </x:c>
      <x:c r="G136" s="47" t="n">
        <x:v>0.02503391821252629</x:v>
      </x:c>
      <x:c r="H136" s="47" t="n">
        <x:v>0.6574040813755477</x:v>
      </x:c>
      <x:c r="I136" s="47" t="n">
        <x:v>0.610943179380559</x:v>
      </x:c>
      <x:c r="J136" s="47" t="n">
        <x:v>0.9719999043652128</x:v>
      </x:c>
      <x:c r="K136" s="47" t="n">
        <x:v>0.5892991167364099</x:v>
      </x:c>
      <x:c r="L136" s="47" t="n">
        <x:v>0.5016002578382125</x:v>
      </x:c>
      <x:c r="M136" s="47" t="n">
        <x:v>0.041449754515184414</x:v>
      </x:c>
      <x:c r="N136" s="47" t="n">
        <x:v>0.8498572767843897</x:v>
      </x:c>
      <x:c r="O136" s="47" t="n">
        <x:v>1</x:v>
      </x:c>
      <x:c r="P136" s="47" t="n">
        <x:v>1</x:v>
      </x:c>
      <x:c r="Q136" s="47" t="n">
        <x:v>1</x:v>
      </x:c>
      <x:c r="R136" s="47" t="n">
        <x:v>1</x:v>
      </x:c>
      <x:c r="S136" s="27" t="n">
        <x:v>1</x:v>
      </x:c>
    </x:row>
    <x:row r="137" ht="21.600000381469727" hidden="0" customHeight="1">
      <x:c r="A137" s="29" t="n">
        <x:v>45</x:v>
      </x:c>
      <x:c r="B137" s="29" t="str">
        <x:v>A1</x:v>
      </x:c>
      <x:c r="C137" s="48" t="n">
        <x:v>1.1871089120094402</x:v>
      </x:c>
      <x:c r="D137" s="48" t="n">
        <x:v>0.9927565857115747</x:v>
      </x:c>
      <x:c r="E137" s="48" t="n">
        <x:v>0.8420740450592068</x:v>
      </x:c>
      <x:c r="F137" s="48" t="n">
        <x:v>-0.14680849276591532</x:v>
      </x:c>
      <x:c r="G137" s="48" t="n">
        <x:v>-0.023866876920586422</x:v>
      </x:c>
      <x:c r="H137" s="48" t="n">
        <x:v>0.628694280897621</x:v>
      </x:c>
      <x:c r="I137" s="48" t="n">
        <x:v>0.7111026084792753</x:v>
      </x:c>
      <x:c r="J137" s="48" t="n">
        <x:v>0.582130483185199</x:v>
      </x:c>
      <x:c r="K137" s="48" t="n">
        <x:v>0.9878924643861066</x:v>
      </x:c>
      <x:c r="L137" s="48" t="n">
        <x:v>0.9553866922065639</x:v>
      </x:c>
      <x:c r="M137" s="48" t="n">
        <x:v>0.028737418651686844</x:v>
      </x:c>
      <x:c r="N137" s="48" t="n">
        <x:v>0.6993764645685578</x:v>
      </x:c>
      <x:c r="O137" s="48" t="n">
        <x:v>0.8754199896916137</x:v>
      </x:c>
      <x:c r="P137" s="48" t="n">
        <x:v>0.6095125001588688</x:v>
      </x:c>
      <x:c r="Q137" s="48" t="n">
        <x:v>1</x:v>
      </x:c>
      <x:c r="R137" s="48" t="n">
        <x:v>0.8461632409063228</x:v>
      </x:c>
      <x:c r="S137" s="29" t="n">
        <x:v>0</x:v>
      </x:c>
    </x:row>
    <x:row r="138" ht="21.600000381469727" hidden="0" customHeight="1">
      <x:c r="A138" s="27" t="n">
        <x:v>45</x:v>
      </x:c>
      <x:c r="B138" s="27" t="str">
        <x:v>A2</x:v>
      </x:c>
      <x:c r="C138" s="47" t="n">
        <x:v>1.1871089120094402</x:v>
      </x:c>
      <x:c r="D138" s="47" t="n">
        <x:v>0.9927565857115747</x:v>
      </x:c>
      <x:c r="E138" s="47" t="n">
        <x:v>0.8420740450592068</x:v>
      </x:c>
      <x:c r="F138" s="47" t="n">
        <x:v>-0.14680849276591532</x:v>
      </x:c>
      <x:c r="G138" s="47" t="n">
        <x:v>-0.023866876920586422</x:v>
      </x:c>
      <x:c r="H138" s="47" t="n">
        <x:v>0.628694280897621</x:v>
      </x:c>
      <x:c r="I138" s="47" t="n">
        <x:v>0.7111026084792753</x:v>
      </x:c>
      <x:c r="J138" s="47" t="n">
        <x:v>0.582130483185199</x:v>
      </x:c>
      <x:c r="K138" s="47" t="n">
        <x:v>0.9878924643861066</x:v>
      </x:c>
      <x:c r="L138" s="47" t="n">
        <x:v>0.9553866922065639</x:v>
      </x:c>
      <x:c r="M138" s="47" t="n">
        <x:v>0.028737418651686844</x:v>
      </x:c>
      <x:c r="N138" s="47" t="n">
        <x:v>0.6993764645685578</x:v>
      </x:c>
      <x:c r="O138" s="47" t="n">
        <x:v>0.982236541434479</x:v>
      </x:c>
      <x:c r="P138" s="47" t="n">
        <x:v>0.8991908460248865</x:v>
      </x:c>
      <x:c r="Q138" s="47" t="n">
        <x:v>1</x:v>
      </x:c>
      <x:c r="R138" s="47" t="n">
        <x:v>0.9780649167611233</x:v>
      </x:c>
      <x:c r="S138" s="27" t="n">
        <x:v>0</x:v>
      </x:c>
    </x:row>
    <x:row r="139" ht="21.600000381469727" hidden="0" customHeight="1">
      <x:c r="A139" s="29" t="n">
        <x:v>45</x:v>
      </x:c>
      <x:c r="B139" s="29" t="str">
        <x:v>A3</x:v>
      </x:c>
      <x:c r="C139" s="48" t="n">
        <x:v>1.1871089120094402</x:v>
      </x:c>
      <x:c r="D139" s="48" t="n">
        <x:v>0.9927565857115747</x:v>
      </x:c>
      <x:c r="E139" s="48" t="n">
        <x:v>0.8420740450592068</x:v>
      </x:c>
      <x:c r="F139" s="48" t="n">
        <x:v>-0.14680849276591532</x:v>
      </x:c>
      <x:c r="G139" s="48" t="n">
        <x:v>-0.023866876920586422</x:v>
      </x:c>
      <x:c r="H139" s="48" t="n">
        <x:v>0.628694280897621</x:v>
      </x:c>
      <x:c r="I139" s="48" t="n">
        <x:v>0.7111026084792753</x:v>
      </x:c>
      <x:c r="J139" s="48" t="n">
        <x:v>0.582130483185199</x:v>
      </x:c>
      <x:c r="K139" s="48" t="n">
        <x:v>0.9878924643861066</x:v>
      </x:c>
      <x:c r="L139" s="48" t="n">
        <x:v>0.9553866922065639</x:v>
      </x:c>
      <x:c r="M139" s="48" t="n">
        <x:v>0.028737418651686844</x:v>
      </x:c>
      <x:c r="N139" s="48" t="n">
        <x:v>0.6993764645685578</x:v>
      </x:c>
      <x:c r="O139" s="48" t="n">
        <x:v>1</x:v>
      </x:c>
      <x:c r="P139" s="48" t="n">
        <x:v>1</x:v>
      </x:c>
      <x:c r="Q139" s="48" t="n">
        <x:v>1</x:v>
      </x:c>
      <x:c r="R139" s="48" t="n">
        <x:v>1</x:v>
      </x:c>
      <x:c r="S139" s="29" t="n">
        <x:v>1</x:v>
      </x:c>
    </x:row>
    <x:row r="140" ht="21.600000381469727" hidden="0" customHeight="1">
      <x:c r="A140" s="27" t="n">
        <x:v>46</x:v>
      </x:c>
      <x:c r="B140" s="27" t="str">
        <x:v>A1</x:v>
      </x:c>
      <x:c r="C140" s="47" t="n">
        <x:v>1.0734456870800837</x:v>
      </x:c>
      <x:c r="D140" s="47" t="n">
        <x:v>0.809068044807125</x:v>
      </x:c>
      <x:c r="E140" s="47" t="n">
        <x:v>0.9060026540157025</x:v>
      </x:c>
      <x:c r="F140" s="47" t="n">
        <x:v>-0.13814688870527397</x:v>
      </x:c>
      <x:c r="G140" s="47" t="n">
        <x:v>-0.1257175009011101</x:v>
      </x:c>
      <x:c r="H140" s="47" t="n">
        <x:v>0.36619582821505076</x:v>
      </x:c>
      <x:c r="I140" s="47" t="n">
        <x:v>0.7059520172307708</x:v>
      </x:c>
      <x:c r="J140" s="47" t="n">
        <x:v>0.4298071652866259</x:v>
      </x:c>
      <x:c r="K140" s="47" t="n">
        <x:v>0.6662710923460722</x:v>
      </x:c>
      <x:c r="L140" s="47" t="n">
        <x:v>0.8531412147990999</x:v>
      </x:c>
      <x:c r="M140" s="47" t="n">
        <x:v>0.09350016038563708</x:v>
      </x:c>
      <x:c r="N140" s="47" t="n">
        <x:v>0.6891175646067615</x:v>
      </x:c>
      <x:c r="O140" s="47" t="n">
        <x:v>0.8306446454676568</x:v>
      </x:c>
      <x:c r="P140" s="47" t="n">
        <x:v>0.5644981749981445</x:v>
      </x:c>
      <x:c r="Q140" s="47" t="n">
        <x:v>1</x:v>
      </x:c>
      <x:c r="R140" s="47" t="n">
        <x:v>0.7908727185691797</x:v>
      </x:c>
      <x:c r="S140" s="27" t="n">
        <x:v>0</x:v>
      </x:c>
    </x:row>
    <x:row r="141" ht="21.600000381469727" hidden="0" customHeight="1">
      <x:c r="A141" s="29" t="n">
        <x:v>46</x:v>
      </x:c>
      <x:c r="B141" s="29" t="str">
        <x:v>A2</x:v>
      </x:c>
      <x:c r="C141" s="48" t="n">
        <x:v>1.0734456870800837</x:v>
      </x:c>
      <x:c r="D141" s="48" t="n">
        <x:v>0.809068044807125</x:v>
      </x:c>
      <x:c r="E141" s="48" t="n">
        <x:v>0.9060026540157025</x:v>
      </x:c>
      <x:c r="F141" s="48" t="n">
        <x:v>-0.13814688870527397</x:v>
      </x:c>
      <x:c r="G141" s="48" t="n">
        <x:v>-0.1257175009011101</x:v>
      </x:c>
      <x:c r="H141" s="48" t="n">
        <x:v>0.36619582821505076</x:v>
      </x:c>
      <x:c r="I141" s="48" t="n">
        <x:v>0.7059520172307708</x:v>
      </x:c>
      <x:c r="J141" s="48" t="n">
        <x:v>0.4298071652866259</x:v>
      </x:c>
      <x:c r="K141" s="48" t="n">
        <x:v>0.6662710923460722</x:v>
      </x:c>
      <x:c r="L141" s="48" t="n">
        <x:v>0.8531412147990999</x:v>
      </x:c>
      <x:c r="M141" s="48" t="n">
        <x:v>0.09350016038563708</x:v>
      </x:c>
      <x:c r="N141" s="48" t="n">
        <x:v>0.6891175646067615</x:v>
      </x:c>
      <x:c r="O141" s="48" t="n">
        <x:v>0.9219550189975982</x:v>
      </x:c>
      <x:c r="P141" s="48" t="n">
        <x:v>0.7643206317242045</x:v>
      </x:c>
      <x:c r="Q141" s="48" t="n">
        <x:v>1</x:v>
      </x:c>
      <x:c r="R141" s="48" t="n">
        <x:v>0.9036266981258317</x:v>
      </x:c>
      <x:c r="S141" s="29" t="n">
        <x:v>0</x:v>
      </x:c>
    </x:row>
    <x:row r="142" ht="21.600000381469727" hidden="0" customHeight="1">
      <x:c r="A142" s="27" t="n">
        <x:v>46</x:v>
      </x:c>
      <x:c r="B142" s="27" t="str">
        <x:v>A3</x:v>
      </x:c>
      <x:c r="C142" s="47" t="n">
        <x:v>1.0734456870800837</x:v>
      </x:c>
      <x:c r="D142" s="47" t="n">
        <x:v>0.809068044807125</x:v>
      </x:c>
      <x:c r="E142" s="47" t="n">
        <x:v>0.9060026540157025</x:v>
      </x:c>
      <x:c r="F142" s="47" t="n">
        <x:v>-0.13814688870527397</x:v>
      </x:c>
      <x:c r="G142" s="47" t="n">
        <x:v>-0.1257175009011101</x:v>
      </x:c>
      <x:c r="H142" s="47" t="n">
        <x:v>0.36619582821505076</x:v>
      </x:c>
      <x:c r="I142" s="47" t="n">
        <x:v>0.7059520172307708</x:v>
      </x:c>
      <x:c r="J142" s="47" t="n">
        <x:v>0.4298071652866259</x:v>
      </x:c>
      <x:c r="K142" s="47" t="n">
        <x:v>0.6662710923460722</x:v>
      </x:c>
      <x:c r="L142" s="47" t="n">
        <x:v>0.8531412147990999</x:v>
      </x:c>
      <x:c r="M142" s="47" t="n">
        <x:v>0.09350016038563708</x:v>
      </x:c>
      <x:c r="N142" s="47" t="n">
        <x:v>0.6891175646067615</x:v>
      </x:c>
      <x:c r="O142" s="47" t="n">
        <x:v>1</x:v>
      </x:c>
      <x:c r="P142" s="47" t="n">
        <x:v>1</x:v>
      </x:c>
      <x:c r="Q142" s="47" t="n">
        <x:v>1</x:v>
      </x:c>
      <x:c r="R142" s="47" t="n">
        <x:v>1</x:v>
      </x:c>
      <x:c r="S142" s="27" t="n">
        <x:v>1</x:v>
      </x:c>
    </x:row>
    <x:row r="143" ht="21.600000381469727" hidden="0" customHeight="1">
      <x:c r="A143" s="29" t="n">
        <x:v>47</x:v>
      </x:c>
      <x:c r="B143" s="29" t="str">
        <x:v>A1</x:v>
      </x:c>
      <x:c r="C143" s="48" t="n">
        <x:v>1.1646862427307532</x:v>
      </x:c>
      <x:c r="D143" s="48" t="n">
        <x:v>0.9931154317991107</x:v>
      </x:c>
      <x:c r="E143" s="48" t="n">
        <x:v>0.7803721428588816</x:v>
      </x:c>
      <x:c r="F143" s="48" t="n">
        <x:v>-0.1439194912471113</x:v>
      </x:c>
      <x:c r="G143" s="48" t="n">
        <x:v>-0.07870046243945801</x:v>
      </x:c>
      <x:c r="H143" s="48" t="n">
        <x:v>0.6698291956710971</x:v>
      </x:c>
      <x:c r="I143" s="48" t="n">
        <x:v>0.6222862429241168</x:v>
      </x:c>
      <x:c r="J143" s="48" t="n">
        <x:v>0.8424620821550971</x:v>
      </x:c>
      <x:c r="K143" s="48" t="n">
        <x:v>0.7720494102783998</x:v>
      </x:c>
      <x:c r="L143" s="48" t="n">
        <x:v>0.7876411417048497</x:v>
      </x:c>
      <x:c r="M143" s="48" t="n">
        <x:v>0.07278043936174415</x:v>
      </x:c>
      <x:c r="N143" s="48" t="n">
        <x:v>0.7731986812229544</x:v>
      </x:c>
      <x:c r="O143" s="48" t="n">
        <x:v>0.9078000598233839</x:v>
      </x:c>
      <x:c r="P143" s="48" t="n">
        <x:v>0.6133123672958928</x:v>
      </x:c>
      <x:c r="Q143" s="48" t="n">
        <x:v>1</x:v>
      </x:c>
      <x:c r="R143" s="48" t="n">
        <x:v>0.8861475452579348</x:v>
      </x:c>
      <x:c r="S143" s="29" t="n">
        <x:v>0</x:v>
      </x:c>
    </x:row>
    <x:row r="144" ht="21.600000381469727" hidden="0" customHeight="1">
      <x:c r="A144" s="27" t="n">
        <x:v>47</x:v>
      </x:c>
      <x:c r="B144" s="27" t="str">
        <x:v>A2</x:v>
      </x:c>
      <x:c r="C144" s="47" t="n">
        <x:v>1.1646862427307532</x:v>
      </x:c>
      <x:c r="D144" s="47" t="n">
        <x:v>0.9931154317991107</x:v>
      </x:c>
      <x:c r="E144" s="47" t="n">
        <x:v>0.7803721428588816</x:v>
      </x:c>
      <x:c r="F144" s="47" t="n">
        <x:v>-0.1439194912471113</x:v>
      </x:c>
      <x:c r="G144" s="47" t="n">
        <x:v>-0.07870046243945801</x:v>
      </x:c>
      <x:c r="H144" s="47" t="n">
        <x:v>0.6698291956710971</x:v>
      </x:c>
      <x:c r="I144" s="47" t="n">
        <x:v>0.6222862429241168</x:v>
      </x:c>
      <x:c r="J144" s="47" t="n">
        <x:v>0.8424620821550971</x:v>
      </x:c>
      <x:c r="K144" s="47" t="n">
        <x:v>0.7720494102783998</x:v>
      </x:c>
      <x:c r="L144" s="47" t="n">
        <x:v>0.7876411417048497</x:v>
      </x:c>
      <x:c r="M144" s="47" t="n">
        <x:v>0.07278043936174415</x:v>
      </x:c>
      <x:c r="N144" s="47" t="n">
        <x:v>0.7731986812229544</x:v>
      </x:c>
      <x:c r="O144" s="47" t="n">
        <x:v>0.955926235964338</x:v>
      </x:c>
      <x:c r="P144" s="47" t="n">
        <x:v>0.705796917080674</x:v>
      </x:c>
      <x:c r="Q144" s="47" t="n">
        <x:v>1</x:v>
      </x:c>
      <x:c r="R144" s="47" t="n">
        <x:v>0.9455758190778598</x:v>
      </x:c>
      <x:c r="S144" s="27" t="n">
        <x:v>0</x:v>
      </x:c>
    </x:row>
    <x:row r="145" ht="21.600000381469727" hidden="0" customHeight="1">
      <x:c r="A145" s="29" t="n">
        <x:v>47</x:v>
      </x:c>
      <x:c r="B145" s="29" t="str">
        <x:v>A3</x:v>
      </x:c>
      <x:c r="C145" s="48" t="n">
        <x:v>1.1646862427307532</x:v>
      </x:c>
      <x:c r="D145" s="48" t="n">
        <x:v>0.9931154317991107</x:v>
      </x:c>
      <x:c r="E145" s="48" t="n">
        <x:v>0.7803721428588816</x:v>
      </x:c>
      <x:c r="F145" s="48" t="n">
        <x:v>-0.1439194912471113</x:v>
      </x:c>
      <x:c r="G145" s="48" t="n">
        <x:v>-0.07870046243945801</x:v>
      </x:c>
      <x:c r="H145" s="48" t="n">
        <x:v>0.6698291956710971</x:v>
      </x:c>
      <x:c r="I145" s="48" t="n">
        <x:v>0.6222862429241168</x:v>
      </x:c>
      <x:c r="J145" s="48" t="n">
        <x:v>0.8424620821550971</x:v>
      </x:c>
      <x:c r="K145" s="48" t="n">
        <x:v>0.7720494102783998</x:v>
      </x:c>
      <x:c r="L145" s="48" t="n">
        <x:v>0.7876411417048497</x:v>
      </x:c>
      <x:c r="M145" s="48" t="n">
        <x:v>0.07278043936174415</x:v>
      </x:c>
      <x:c r="N145" s="48" t="n">
        <x:v>0.7731986812229544</x:v>
      </x:c>
      <x:c r="O145" s="48" t="n">
        <x:v>1</x:v>
      </x:c>
      <x:c r="P145" s="48" t="n">
        <x:v>1</x:v>
      </x:c>
      <x:c r="Q145" s="48" t="n">
        <x:v>1</x:v>
      </x:c>
      <x:c r="R145" s="48" t="n">
        <x:v>1</x:v>
      </x:c>
      <x:c r="S145" s="29" t="n">
        <x:v>1</x:v>
      </x:c>
    </x:row>
    <x:row r="146" ht="21.600000381469727" hidden="0" customHeight="1">
      <x:c r="A146" s="27" t="n">
        <x:v>48</x:v>
      </x:c>
      <x:c r="B146" s="27" t="str">
        <x:v>A1</x:v>
      </x:c>
      <x:c r="C146" s="47" t="n">
        <x:v>0.9618987700022844</x:v>
      </x:c>
      <x:c r="D146" s="47" t="n">
        <x:v>0.73113235616924</x:v>
      </x:c>
      <x:c r="E146" s="47" t="n">
        <x:v>0.8045500790490068</x:v>
      </x:c>
      <x:c r="F146" s="47" t="n">
        <x:v>-0.11123920172372007</x:v>
      </x:c>
      <x:c r="G146" s="47" t="n">
        <x:v>-0.12453546431772528</x:v>
      </x:c>
      <x:c r="H146" s="47" t="n">
        <x:v>0.5153062610694805</x:v>
      </x:c>
      <x:c r="I146" s="47" t="n">
        <x:v>0.9930971249949372</x:v>
      </x:c>
      <x:c r="J146" s="47" t="n">
        <x:v>0.587370480856532</x:v>
      </x:c>
      <x:c r="K146" s="47" t="n">
        <x:v>0.8671471148784992</x:v>
      </x:c>
      <x:c r="L146" s="47" t="n">
        <x:v>0.9287579322550803</x:v>
      </x:c>
      <x:c r="M146" s="47" t="n">
        <x:v>0.08755539139816083</x:v>
      </x:c>
      <x:c r="N146" s="47" t="n">
        <x:v>0.7893199887507115</x:v>
      </x:c>
      <x:c r="O146" s="47" t="n">
        <x:v>0.8753538729013985</x:v>
      </x:c>
      <x:c r="P146" s="47" t="n">
        <x:v>0.6506663164685553</x:v>
      </x:c>
      <x:c r="Q146" s="47" t="n">
        <x:v>0.9819948170702276</x:v>
      </x:c>
      <x:c r="R146" s="47" t="n">
        <x:v>0.8462153189041031</x:v>
      </x:c>
      <x:c r="S146" s="27" t="n">
        <x:v>0</x:v>
      </x:c>
    </x:row>
    <x:row r="147" ht="21.600000381469727" hidden="0" customHeight="1">
      <x:c r="A147" s="29" t="n">
        <x:v>48</x:v>
      </x:c>
      <x:c r="B147" s="29" t="str">
        <x:v>A2</x:v>
      </x:c>
      <x:c r="C147" s="48" t="n">
        <x:v>0.9618987700022844</x:v>
      </x:c>
      <x:c r="D147" s="48" t="n">
        <x:v>0.73113235616924</x:v>
      </x:c>
      <x:c r="E147" s="48" t="n">
        <x:v>0.8045500790490068</x:v>
      </x:c>
      <x:c r="F147" s="48" t="n">
        <x:v>-0.11123920172372007</x:v>
      </x:c>
      <x:c r="G147" s="48" t="n">
        <x:v>-0.12453546431772528</x:v>
      </x:c>
      <x:c r="H147" s="48" t="n">
        <x:v>0.5153062610694805</x:v>
      </x:c>
      <x:c r="I147" s="48" t="n">
        <x:v>0.9930971249949372</x:v>
      </x:c>
      <x:c r="J147" s="48" t="n">
        <x:v>0.587370480856532</x:v>
      </x:c>
      <x:c r="K147" s="48" t="n">
        <x:v>0.8671471148784992</x:v>
      </x:c>
      <x:c r="L147" s="48" t="n">
        <x:v>0.9287579322550803</x:v>
      </x:c>
      <x:c r="M147" s="48" t="n">
        <x:v>0.08755539139816083</x:v>
      </x:c>
      <x:c r="N147" s="48" t="n">
        <x:v>0.7893199887507115</x:v>
      </x:c>
      <x:c r="O147" s="48" t="n">
        <x:v>0.9681472733307532</x:v>
      </x:c>
      <x:c r="P147" s="48" t="n">
        <x:v>0.7733782959441616</x:v>
      </x:c>
      <x:c r="Q147" s="48" t="n">
        <x:v>1</x:v>
      </x:c>
      <x:c r="R147" s="48" t="n">
        <x:v>0.9606668820546423</x:v>
      </x:c>
      <x:c r="S147" s="29" t="n">
        <x:v>0</x:v>
      </x:c>
    </x:row>
    <x:row r="148" ht="21.600000381469727" hidden="0" customHeight="1">
      <x:c r="A148" s="27" t="n">
        <x:v>48</x:v>
      </x:c>
      <x:c r="B148" s="27" t="str">
        <x:v>A3</x:v>
      </x:c>
      <x:c r="C148" s="47" t="n">
        <x:v>0.9618987700022844</x:v>
      </x:c>
      <x:c r="D148" s="47" t="n">
        <x:v>0.73113235616924</x:v>
      </x:c>
      <x:c r="E148" s="47" t="n">
        <x:v>0.8045500790490068</x:v>
      </x:c>
      <x:c r="F148" s="47" t="n">
        <x:v>-0.11123920172372007</x:v>
      </x:c>
      <x:c r="G148" s="47" t="n">
        <x:v>-0.12453546431772528</x:v>
      </x:c>
      <x:c r="H148" s="47" t="n">
        <x:v>0.5153062610694805</x:v>
      </x:c>
      <x:c r="I148" s="47" t="n">
        <x:v>0.9930971249949372</x:v>
      </x:c>
      <x:c r="J148" s="47" t="n">
        <x:v>0.587370480856532</x:v>
      </x:c>
      <x:c r="K148" s="47" t="n">
        <x:v>0.8671471148784992</x:v>
      </x:c>
      <x:c r="L148" s="47" t="n">
        <x:v>0.9287579322550803</x:v>
      </x:c>
      <x:c r="M148" s="47" t="n">
        <x:v>0.08755539139816083</x:v>
      </x:c>
      <x:c r="N148" s="47" t="n">
        <x:v>0.7893199887507115</x:v>
      </x:c>
      <x:c r="O148" s="47" t="n">
        <x:v>1</x:v>
      </x:c>
      <x:c r="P148" s="47" t="n">
        <x:v>1</x:v>
      </x:c>
      <x:c r="Q148" s="47" t="n">
        <x:v>1</x:v>
      </x:c>
      <x:c r="R148" s="47" t="n">
        <x:v>1</x:v>
      </x:c>
      <x:c r="S148" s="27" t="n">
        <x:v>1</x:v>
      </x:c>
    </x:row>
    <x:row r="149" ht="21.600000381469727" hidden="0" customHeight="1">
      <x:c r="A149" s="29" t="n">
        <x:v>49</x:v>
      </x:c>
      <x:c r="B149" s="29" t="str">
        <x:v>A1</x:v>
      </x:c>
      <x:c r="C149" s="48" t="n">
        <x:v>0.9008744354302755</x:v>
      </x:c>
      <x:c r="D149" s="48" t="n">
        <x:v>0.8031944788482509</x:v>
      </x:c>
      <x:c r="E149" s="48" t="n">
        <x:v>1.0545170061521896</x:v>
      </x:c>
      <x:c r="F149" s="48" t="n">
        <x:v>0.016686291736525527</x:v>
      </x:c>
      <x:c r="G149" s="48" t="n">
        <x:v>-0.01182832130646111</x:v>
      </x:c>
      <x:c r="H149" s="48" t="n">
        <x:v>0.5661368340763764</x:v>
      </x:c>
      <x:c r="I149" s="48" t="n">
        <x:v>0.8495965873953147</x:v>
      </x:c>
      <x:c r="J149" s="48" t="n">
        <x:v>0.9165343437801581</x:v>
      </x:c>
      <x:c r="K149" s="48" t="n">
        <x:v>0.9616954629365201</x:v>
      </x:c>
      <x:c r="L149" s="48" t="n">
        <x:v>0.598920895979021</x:v>
      </x:c>
      <x:c r="M149" s="48" t="n">
        <x:v>0.1271549736361321</x:v>
      </x:c>
      <x:c r="N149" s="48" t="n">
        <x:v>0.6884732689136036</x:v>
      </x:c>
      <x:c r="O149" s="48" t="n">
        <x:v>0.9269272737617056</x:v>
      </x:c>
      <x:c r="P149" s="48" t="n">
        <x:v>0.607976287629421</x:v>
      </x:c>
      <x:c r="Q149" s="48" t="n">
        <x:v>1</x:v>
      </x:c>
      <x:c r="R149" s="48" t="n">
        <x:v>0.9097666523320073</x:v>
      </x:c>
      <x:c r="S149" s="29" t="n">
        <x:v>0</x:v>
      </x:c>
    </x:row>
    <x:row r="150" ht="21.600000381469727" hidden="0" customHeight="1">
      <x:c r="A150" s="27" t="n">
        <x:v>49</x:v>
      </x:c>
      <x:c r="B150" s="27" t="str">
        <x:v>A2</x:v>
      </x:c>
      <x:c r="C150" s="47" t="n">
        <x:v>0.9008744354302755</x:v>
      </x:c>
      <x:c r="D150" s="47" t="n">
        <x:v>0.8031944788482509</x:v>
      </x:c>
      <x:c r="E150" s="47" t="n">
        <x:v>1.0545170061521896</x:v>
      </x:c>
      <x:c r="F150" s="47" t="n">
        <x:v>0.016686291736525527</x:v>
      </x:c>
      <x:c r="G150" s="47" t="n">
        <x:v>-0.01182832130646111</x:v>
      </x:c>
      <x:c r="H150" s="47" t="n">
        <x:v>0.5661368340763764</x:v>
      </x:c>
      <x:c r="I150" s="47" t="n">
        <x:v>0.8495965873953147</x:v>
      </x:c>
      <x:c r="J150" s="47" t="n">
        <x:v>0.9165343437801581</x:v>
      </x:c>
      <x:c r="K150" s="47" t="n">
        <x:v>0.9616954629365201</x:v>
      </x:c>
      <x:c r="L150" s="47" t="n">
        <x:v>0.598920895979021</x:v>
      </x:c>
      <x:c r="M150" s="47" t="n">
        <x:v>0.1271549736361321</x:v>
      </x:c>
      <x:c r="N150" s="47" t="n">
        <x:v>0.6884732689136036</x:v>
      </x:c>
      <x:c r="O150" s="47" t="n">
        <x:v>0.9686095796952185</x:v>
      </x:c>
      <x:c r="P150" s="47" t="n">
        <x:v>0.7163357333792053</x:v>
      </x:c>
      <x:c r="Q150" s="47" t="n">
        <x:v>1</x:v>
      </x:c>
      <x:c r="R150" s="47" t="n">
        <x:v>0.9612377578527872</x:v>
      </x:c>
      <x:c r="S150" s="27" t="n">
        <x:v>0</x:v>
      </x:c>
    </x:row>
    <x:row r="151" ht="21.600000381469727" hidden="0" customHeight="1">
      <x:c r="A151" s="29" t="n">
        <x:v>49</x:v>
      </x:c>
      <x:c r="B151" s="29" t="str">
        <x:v>A3</x:v>
      </x:c>
      <x:c r="C151" s="48" t="n">
        <x:v>0.9008744354302755</x:v>
      </x:c>
      <x:c r="D151" s="48" t="n">
        <x:v>0.8031944788482509</x:v>
      </x:c>
      <x:c r="E151" s="48" t="n">
        <x:v>1.0545170061521896</x:v>
      </x:c>
      <x:c r="F151" s="48" t="n">
        <x:v>0.016686291736525527</x:v>
      </x:c>
      <x:c r="G151" s="48" t="n">
        <x:v>-0.01182832130646111</x:v>
      </x:c>
      <x:c r="H151" s="48" t="n">
        <x:v>0.5661368340763764</x:v>
      </x:c>
      <x:c r="I151" s="48" t="n">
        <x:v>0.8495965873953147</x:v>
      </x:c>
      <x:c r="J151" s="48" t="n">
        <x:v>0.9165343437801581</x:v>
      </x:c>
      <x:c r="K151" s="48" t="n">
        <x:v>0.9616954629365201</x:v>
      </x:c>
      <x:c r="L151" s="48" t="n">
        <x:v>0.598920895979021</x:v>
      </x:c>
      <x:c r="M151" s="48" t="n">
        <x:v>0.1271549736361321</x:v>
      </x:c>
      <x:c r="N151" s="48" t="n">
        <x:v>0.6884732689136036</x:v>
      </x:c>
      <x:c r="O151" s="48" t="n">
        <x:v>1</x:v>
      </x:c>
      <x:c r="P151" s="48" t="n">
        <x:v>1</x:v>
      </x:c>
      <x:c r="Q151" s="48" t="n">
        <x:v>1</x:v>
      </x:c>
      <x:c r="R151" s="48" t="n">
        <x:v>1</x:v>
      </x:c>
      <x:c r="S151" s="29" t="n">
        <x:v>1</x:v>
      </x:c>
    </x:row>
    <x:row r="152" ht="21.600000381469727" hidden="0" customHeight="1">
      <x:c r="A152" s="27" t="n">
        <x:v>50</x:v>
      </x:c>
      <x:c r="B152" s="27" t="str">
        <x:v>A1</x:v>
      </x:c>
      <x:c r="C152" s="47" t="n">
        <x:v>0.9080211879360739</x:v>
      </x:c>
      <x:c r="D152" s="47" t="n">
        <x:v>0.8258213633471573</x:v>
      </x:c>
      <x:c r="E152" s="47" t="n">
        <x:v>1.0268754344627227</x:v>
      </x:c>
      <x:c r="F152" s="47" t="n">
        <x:v>-0.14485528816667298</x:v>
      </x:c>
      <x:c r="G152" s="47" t="n">
        <x:v>-0.06961866878354889</x:v>
      </x:c>
      <x:c r="H152" s="47" t="n">
        <x:v>0.6045525232455013</x:v>
      </x:c>
      <x:c r="I152" s="47" t="n">
        <x:v>0.9588111919363274</x:v>
      </x:c>
      <x:c r="J152" s="47" t="n">
        <x:v>0.6889946494518694</x:v>
      </x:c>
      <x:c r="K152" s="47" t="n">
        <x:v>0.65472918576012</x:v>
      </x:c>
      <x:c r="L152" s="47" t="n">
        <x:v>0.5717460605579011</x:v>
      </x:c>
      <x:c r="M152" s="47" t="n">
        <x:v>0.1303250703519504</x:v>
      </x:c>
      <x:c r="N152" s="47" t="n">
        <x:v>0.9909172365721072</x:v>
      </x:c>
      <x:c r="O152" s="47" t="n">
        <x:v>0.9464612122339724</x:v>
      </x:c>
      <x:c r="P152" s="47" t="n">
        <x:v>0.75735691756726</x:v>
      </x:c>
      <x:c r="Q152" s="47" t="n">
        <x:v>1</x:v>
      </x:c>
      <x:c r="R152" s="47" t="n">
        <x:v>0.9338880003674596</x:v>
      </x:c>
      <x:c r="S152" s="27" t="n">
        <x:v>0</x:v>
      </x:c>
    </x:row>
    <x:row r="153" ht="21.600000381469727" hidden="0" customHeight="1">
      <x:c r="A153" s="29" t="n">
        <x:v>50</x:v>
      </x:c>
      <x:c r="B153" s="29" t="str">
        <x:v>A2</x:v>
      </x:c>
      <x:c r="C153" s="48" t="n">
        <x:v>0.9080211879360739</x:v>
      </x:c>
      <x:c r="D153" s="48" t="n">
        <x:v>0.8258213633471573</x:v>
      </x:c>
      <x:c r="E153" s="48" t="n">
        <x:v>1.0268754344627227</x:v>
      </x:c>
      <x:c r="F153" s="48" t="n">
        <x:v>-0.14485528816667298</x:v>
      </x:c>
      <x:c r="G153" s="48" t="n">
        <x:v>-0.06961866878354889</x:v>
      </x:c>
      <x:c r="H153" s="48" t="n">
        <x:v>0.6045525232455013</x:v>
      </x:c>
      <x:c r="I153" s="48" t="n">
        <x:v>0.9588111919363274</x:v>
      </x:c>
      <x:c r="J153" s="48" t="n">
        <x:v>0.6889946494518694</x:v>
      </x:c>
      <x:c r="K153" s="48" t="n">
        <x:v>0.65472918576012</x:v>
      </x:c>
      <x:c r="L153" s="48" t="n">
        <x:v>0.5717460605579011</x:v>
      </x:c>
      <x:c r="M153" s="48" t="n">
        <x:v>0.1303250703519504</x:v>
      </x:c>
      <x:c r="N153" s="48" t="n">
        <x:v>0.9909172365721072</x:v>
      </x:c>
      <x:c r="O153" s="48" t="n">
        <x:v>0.9897916995404803</x:v>
      </x:c>
      <x:c r="P153" s="48" t="n">
        <x:v>0.8979169954048027</x:v>
      </x:c>
      <x:c r="Q153" s="48" t="n">
        <x:v>1</x:v>
      </x:c>
      <x:c r="R153" s="48" t="n">
        <x:v>0.9873943511911775</x:v>
      </x:c>
      <x:c r="S153" s="29" t="n">
        <x:v>0</x:v>
      </x:c>
    </x:row>
    <x:row r="154" ht="21.600000381469727" hidden="0" customHeight="1">
      <x:c r="A154" s="27" t="n">
        <x:v>50</x:v>
      </x:c>
      <x:c r="B154" s="27" t="str">
        <x:v>A3</x:v>
      </x:c>
      <x:c r="C154" s="47" t="n">
        <x:v>0.9080211879360739</x:v>
      </x:c>
      <x:c r="D154" s="47" t="n">
        <x:v>0.8258213633471573</x:v>
      </x:c>
      <x:c r="E154" s="47" t="n">
        <x:v>1.0268754344627227</x:v>
      </x:c>
      <x:c r="F154" s="47" t="n">
        <x:v>-0.14485528816667298</x:v>
      </x:c>
      <x:c r="G154" s="47" t="n">
        <x:v>-0.06961866878354889</x:v>
      </x:c>
      <x:c r="H154" s="47" t="n">
        <x:v>0.6045525232455013</x:v>
      </x:c>
      <x:c r="I154" s="47" t="n">
        <x:v>0.9588111919363274</x:v>
      </x:c>
      <x:c r="J154" s="47" t="n">
        <x:v>0.6889946494518694</x:v>
      </x:c>
      <x:c r="K154" s="47" t="n">
        <x:v>0.65472918576012</x:v>
      </x:c>
      <x:c r="L154" s="47" t="n">
        <x:v>0.5717460605579011</x:v>
      </x:c>
      <x:c r="M154" s="47" t="n">
        <x:v>0.1303250703519504</x:v>
      </x:c>
      <x:c r="N154" s="47" t="n">
        <x:v>0.9909172365721072</x:v>
      </x:c>
      <x:c r="O154" s="47" t="n">
        <x:v>1</x:v>
      </x:c>
      <x:c r="P154" s="47" t="n">
        <x:v>1</x:v>
      </x:c>
      <x:c r="Q154" s="47" t="n">
        <x:v>1</x:v>
      </x:c>
      <x:c r="R154" s="47" t="n">
        <x:v>1</x:v>
      </x:c>
      <x:c r="S154" s="27" t="n">
        <x:v>1</x:v>
      </x:c>
    </x:row>
    <x:row r="155" ht="21.600000381469727" hidden="0" customHeight="1">
      <x:c r="A155" s="29" t="n">
        <x:v>51</x:v>
      </x:c>
      <x:c r="B155" s="29" t="str">
        <x:v>A1</x:v>
      </x:c>
      <x:c r="C155" s="48" t="n">
        <x:v>1.0374538997152924</x:v>
      </x:c>
      <x:c r="D155" s="48" t="n">
        <x:v>0.7745902280331827</x:v>
      </x:c>
      <x:c r="E155" s="48" t="n">
        <x:v>0.9543893405884161</x:v>
      </x:c>
      <x:c r="F155" s="48" t="n">
        <x:v>-0.027917385959188995</x:v>
      </x:c>
      <x:c r="G155" s="48" t="n">
        <x:v>-0.02493883798344676</x:v>
      </x:c>
      <x:c r="H155" s="48" t="n">
        <x:v>0.36774063072078156</x:v>
      </x:c>
      <x:c r="I155" s="48" t="n">
        <x:v>0.841504421946208</x:v>
      </x:c>
      <x:c r="J155" s="48" t="n">
        <x:v>0.5572368838950199</x:v>
      </x:c>
      <x:c r="K155" s="48" t="n">
        <x:v>0.556679822909288</x:v>
      </x:c>
      <x:c r="L155" s="48" t="n">
        <x:v>0.9587678554617198</x:v>
      </x:c>
      <x:c r="M155" s="48" t="n">
        <x:v>0.06263210291600826</x:v>
      </x:c>
      <x:c r="N155" s="48" t="n">
        <x:v>0.8129626025011696</x:v>
      </x:c>
      <x:c r="O155" s="48" t="n">
        <x:v>0.8630651369159253</x:v>
      </x:c>
      <x:c r="P155" s="48" t="n">
        <x:v>0.6304180745202239</x:v>
      </x:c>
      <x:c r="Q155" s="48" t="n">
        <x:v>1</x:v>
      </x:c>
      <x:c r="R155" s="48" t="n">
        <x:v>0.8309069369022807</x:v>
      </x:c>
      <x:c r="S155" s="29" t="n">
        <x:v>0</x:v>
      </x:c>
    </x:row>
    <x:row r="156" ht="21.600000381469727" hidden="0" customHeight="1">
      <x:c r="A156" s="27" t="n">
        <x:v>51</x:v>
      </x:c>
      <x:c r="B156" s="27" t="str">
        <x:v>A2</x:v>
      </x:c>
      <x:c r="C156" s="47" t="n">
        <x:v>1.0374538997152924</x:v>
      </x:c>
      <x:c r="D156" s="47" t="n">
        <x:v>0.7745902280331827</x:v>
      </x:c>
      <x:c r="E156" s="47" t="n">
        <x:v>0.9543893405884161</x:v>
      </x:c>
      <x:c r="F156" s="47" t="n">
        <x:v>-0.027917385959188995</x:v>
      </x:c>
      <x:c r="G156" s="47" t="n">
        <x:v>-0.02493883798344676</x:v>
      </x:c>
      <x:c r="H156" s="47" t="n">
        <x:v>0.36774063072078156</x:v>
      </x:c>
      <x:c r="I156" s="47" t="n">
        <x:v>0.841504421946208</x:v>
      </x:c>
      <x:c r="J156" s="47" t="n">
        <x:v>0.5572368838950199</x:v>
      </x:c>
      <x:c r="K156" s="47" t="n">
        <x:v>0.556679822909288</x:v>
      </x:c>
      <x:c r="L156" s="47" t="n">
        <x:v>0.9587678554617198</x:v>
      </x:c>
      <x:c r="M156" s="47" t="n">
        <x:v>0.06263210291600826</x:v>
      </x:c>
      <x:c r="N156" s="47" t="n">
        <x:v>0.8129626025011696</x:v>
      </x:c>
      <x:c r="O156" s="47" t="n">
        <x:v>0.948881210831022</x:v>
      </x:c>
      <x:c r="P156" s="47" t="n">
        <x:v>0.680067410040787</x:v>
      </x:c>
      <x:c r="Q156" s="47" t="n">
        <x:v>1</x:v>
      </x:c>
      <x:c r="R156" s="47" t="n">
        <x:v>0.9368763188004071</x:v>
      </x:c>
      <x:c r="S156" s="27" t="n">
        <x:v>0</x:v>
      </x:c>
    </x:row>
    <x:row r="157" ht="21.600000381469727" hidden="0" customHeight="1">
      <x:c r="A157" s="29" t="n">
        <x:v>51</x:v>
      </x:c>
      <x:c r="B157" s="29" t="str">
        <x:v>A3</x:v>
      </x:c>
      <x:c r="C157" s="48" t="n">
        <x:v>1.0374538997152924</x:v>
      </x:c>
      <x:c r="D157" s="48" t="n">
        <x:v>0.7745902280331827</x:v>
      </x:c>
      <x:c r="E157" s="48" t="n">
        <x:v>0.9543893405884161</x:v>
      </x:c>
      <x:c r="F157" s="48" t="n">
        <x:v>-0.027917385959188995</x:v>
      </x:c>
      <x:c r="G157" s="48" t="n">
        <x:v>-0.02493883798344676</x:v>
      </x:c>
      <x:c r="H157" s="48" t="n">
        <x:v>0.36774063072078156</x:v>
      </x:c>
      <x:c r="I157" s="48" t="n">
        <x:v>0.841504421946208</x:v>
      </x:c>
      <x:c r="J157" s="48" t="n">
        <x:v>0.5572368838950199</x:v>
      </x:c>
      <x:c r="K157" s="48" t="n">
        <x:v>0.556679822909288</x:v>
      </x:c>
      <x:c r="L157" s="48" t="n">
        <x:v>0.9587678554617198</x:v>
      </x:c>
      <x:c r="M157" s="48" t="n">
        <x:v>0.06263210291600826</x:v>
      </x:c>
      <x:c r="N157" s="48" t="n">
        <x:v>0.8129626025011696</x:v>
      </x:c>
      <x:c r="O157" s="48" t="n">
        <x:v>1</x:v>
      </x:c>
      <x:c r="P157" s="48" t="n">
        <x:v>1</x:v>
      </x:c>
      <x:c r="Q157" s="48" t="n">
        <x:v>1</x:v>
      </x:c>
      <x:c r="R157" s="48" t="n">
        <x:v>1</x:v>
      </x:c>
      <x:c r="S157" s="29" t="n">
        <x:v>1</x:v>
      </x:c>
    </x:row>
    <x:row r="158" ht="21.600000381469727" hidden="0" customHeight="1">
      <x:c r="A158" s="27" t="n">
        <x:v>52</x:v>
      </x:c>
      <x:c r="B158" s="27" t="str">
        <x:v>A1</x:v>
      </x:c>
      <x:c r="C158" s="47" t="n">
        <x:v>0.9462627863565777</x:v>
      </x:c>
      <x:c r="D158" s="47" t="n">
        <x:v>0.9795345783654972</x:v>
      </x:c>
      <x:c r="E158" s="47" t="n">
        <x:v>0.614645706884207</x:v>
      </x:c>
      <x:c r="F158" s="47" t="n">
        <x:v>-0.11387433008119258</x:v>
      </x:c>
      <x:c r="G158" s="47" t="n">
        <x:v>-0.06535422118672546</x:v>
      </x:c>
      <x:c r="H158" s="47" t="n">
        <x:v>0.9820119096519864</x:v>
      </x:c>
      <x:c r="I158" s="47" t="n">
        <x:v>0.9156387013988618</x:v>
      </x:c>
      <x:c r="J158" s="47" t="n">
        <x:v>0.716202682731605</x:v>
      </x:c>
      <x:c r="K158" s="47" t="n">
        <x:v>0.7671182094448329</x:v>
      </x:c>
      <x:c r="L158" s="47" t="n">
        <x:v>0.9385461383860039</x:v>
      </x:c>
      <x:c r="M158" s="47" t="n">
        <x:v>0.06006074380464914</x:v>
      </x:c>
      <x:c r="N158" s="47" t="n">
        <x:v>0.8175038055328172</x:v>
      </x:c>
      <x:c r="O158" s="47" t="n">
        <x:v>0.9398229391274958</x:v>
      </x:c>
      <x:c r="P158" s="47" t="n">
        <x:v>0.5454711113362013</x:v>
      </x:c>
      <x:c r="Q158" s="47" t="n">
        <x:v>1</x:v>
      </x:c>
      <x:c r="R158" s="47" t="n">
        <x:v>0.9256907750007963</x:v>
      </x:c>
      <x:c r="S158" s="27" t="n">
        <x:v>0</x:v>
      </x:c>
    </x:row>
    <x:row r="159" ht="21.600000381469727" hidden="0" customHeight="1">
      <x:c r="A159" s="29" t="n">
        <x:v>52</x:v>
      </x:c>
      <x:c r="B159" s="29" t="str">
        <x:v>A2</x:v>
      </x:c>
      <x:c r="C159" s="48" t="n">
        <x:v>0.9462627863565777</x:v>
      </x:c>
      <x:c r="D159" s="48" t="n">
        <x:v>0.9795345783654972</x:v>
      </x:c>
      <x:c r="E159" s="48" t="n">
        <x:v>0.614645706884207</x:v>
      </x:c>
      <x:c r="F159" s="48" t="n">
        <x:v>-0.11387433008119258</x:v>
      </x:c>
      <x:c r="G159" s="48" t="n">
        <x:v>-0.06535422118672546</x:v>
      </x:c>
      <x:c r="H159" s="48" t="n">
        <x:v>0.9820119096519864</x:v>
      </x:c>
      <x:c r="I159" s="48" t="n">
        <x:v>0.9156387013988618</x:v>
      </x:c>
      <x:c r="J159" s="48" t="n">
        <x:v>0.716202682731605</x:v>
      </x:c>
      <x:c r="K159" s="48" t="n">
        <x:v>0.7671182094448329</x:v>
      </x:c>
      <x:c r="L159" s="48" t="n">
        <x:v>0.9385461383860039</x:v>
      </x:c>
      <x:c r="M159" s="48" t="n">
        <x:v>0.06006074380464914</x:v>
      </x:c>
      <x:c r="N159" s="48" t="n">
        <x:v>0.8175038055328172</x:v>
      </x:c>
      <x:c r="O159" s="48" t="n">
        <x:v>1</x:v>
      </x:c>
      <x:c r="P159" s="48" t="n">
        <x:v>1</x:v>
      </x:c>
      <x:c r="Q159" s="48" t="n">
        <x:v>1</x:v>
      </x:c>
      <x:c r="R159" s="48" t="n">
        <x:v>1</x:v>
      </x:c>
      <x:c r="S159" s="29" t="n">
        <x:v>1</x:v>
      </x:c>
    </x:row>
    <x:row r="160" ht="21.600000381469727" hidden="0" customHeight="1">
      <x:c r="A160" s="27" t="n">
        <x:v>52</x:v>
      </x:c>
      <x:c r="B160" s="27" t="str">
        <x:v>A3</x:v>
      </x:c>
      <x:c r="C160" s="47" t="n">
        <x:v>0.9462627863565777</x:v>
      </x:c>
      <x:c r="D160" s="47" t="n">
        <x:v>0.9795345783654972</x:v>
      </x:c>
      <x:c r="E160" s="47" t="n">
        <x:v>0.614645706884207</x:v>
      </x:c>
      <x:c r="F160" s="47" t="n">
        <x:v>-0.11387433008119258</x:v>
      </x:c>
      <x:c r="G160" s="47" t="n">
        <x:v>-0.06535422118672546</x:v>
      </x:c>
      <x:c r="H160" s="47" t="n">
        <x:v>0.9820119096519864</x:v>
      </x:c>
      <x:c r="I160" s="47" t="n">
        <x:v>0.9156387013988618</x:v>
      </x:c>
      <x:c r="J160" s="47" t="n">
        <x:v>0.716202682731605</x:v>
      </x:c>
      <x:c r="K160" s="47" t="n">
        <x:v>0.7671182094448329</x:v>
      </x:c>
      <x:c r="L160" s="47" t="n">
        <x:v>0.9385461383860039</x:v>
      </x:c>
      <x:c r="M160" s="47" t="n">
        <x:v>0.06006074380464914</x:v>
      </x:c>
      <x:c r="N160" s="47" t="n">
        <x:v>0.8175038055328172</x:v>
      </x:c>
      <x:c r="O160" s="47" t="n">
        <x:v>1</x:v>
      </x:c>
      <x:c r="P160" s="47" t="n">
        <x:v>1</x:v>
      </x:c>
      <x:c r="Q160" s="47" t="n">
        <x:v>1</x:v>
      </x:c>
      <x:c r="R160" s="47" t="n">
        <x:v>1</x:v>
      </x:c>
      <x:c r="S160" s="27" t="n">
        <x:v>1</x:v>
      </x:c>
    </x:row>
    <x:row r="161" ht="21.600000381469727" hidden="0" customHeight="1">
      <x:c r="A161" s="29" t="n">
        <x:v>53</x:v>
      </x:c>
      <x:c r="B161" s="29" t="str">
        <x:v>A1</x:v>
      </x:c>
      <x:c r="C161" s="48" t="n">
        <x:v>1.3222417632687988</x:v>
      </x:c>
      <x:c r="D161" s="48" t="n">
        <x:v>0.8628474905632957</x:v>
      </x:c>
      <x:c r="E161" s="48" t="n">
        <x:v>0.8799205596284408</x:v>
      </x:c>
      <x:c r="F161" s="48" t="n">
        <x:v>-0.07889836816071848</x:v>
      </x:c>
      <x:c r="G161" s="48" t="n">
        <x:v>-0.11276813039512548</x:v>
      </x:c>
      <x:c r="H161" s="48" t="n">
        <x:v>0.7973557514796956</x:v>
      </x:c>
      <x:c r="I161" s="48" t="n">
        <x:v>0.9325268694471868</x:v>
      </x:c>
      <x:c r="J161" s="48" t="n">
        <x:v>0.5502959276868774</x:v>
      </x:c>
      <x:c r="K161" s="48" t="n">
        <x:v>0.9735051800323491</x:v>
      </x:c>
      <x:c r="L161" s="48" t="n">
        <x:v>0.5459024957118276</x:v>
      </x:c>
      <x:c r="M161" s="48" t="n">
        <x:v>0.019960721875256656</x:v>
      </x:c>
      <x:c r="N161" s="48" t="n">
        <x:v>0.7628544345358175</x:v>
      </x:c>
      <x:c r="O161" s="48" t="n">
        <x:v>0.78713038989885</x:v>
      </x:c>
      <x:c r="P161" s="48" t="n">
        <x:v>0.5455064687434299</x:v>
      </x:c>
      <x:c r="Q161" s="48" t="n">
        <x:v>1</x:v>
      </x:c>
      <x:c r="R161" s="48" t="n">
        <x:v>0.7371394427851383</x:v>
      </x:c>
      <x:c r="S161" s="29" t="n">
        <x:v>0</x:v>
      </x:c>
    </x:row>
    <x:row r="162" ht="21.600000381469727" hidden="0" customHeight="1">
      <x:c r="A162" s="27" t="n">
        <x:v>53</x:v>
      </x:c>
      <x:c r="B162" s="27" t="str">
        <x:v>A2</x:v>
      </x:c>
      <x:c r="C162" s="47" t="n">
        <x:v>1.3222417632687988</x:v>
      </x:c>
      <x:c r="D162" s="47" t="n">
        <x:v>0.8628474905632957</x:v>
      </x:c>
      <x:c r="E162" s="47" t="n">
        <x:v>0.8799205596284408</x:v>
      </x:c>
      <x:c r="F162" s="47" t="n">
        <x:v>-0.07889836816071848</x:v>
      </x:c>
      <x:c r="G162" s="47" t="n">
        <x:v>-0.11276813039512548</x:v>
      </x:c>
      <x:c r="H162" s="47" t="n">
        <x:v>0.7973557514796956</x:v>
      </x:c>
      <x:c r="I162" s="47" t="n">
        <x:v>0.9325268694471868</x:v>
      </x:c>
      <x:c r="J162" s="47" t="n">
        <x:v>0.5502959276868774</x:v>
      </x:c>
      <x:c r="K162" s="47" t="n">
        <x:v>0.9735051800323491</x:v>
      </x:c>
      <x:c r="L162" s="47" t="n">
        <x:v>0.5459024957118276</x:v>
      </x:c>
      <x:c r="M162" s="47" t="n">
        <x:v>0.019960721875256656</x:v>
      </x:c>
      <x:c r="N162" s="47" t="n">
        <x:v>0.7628544345358175</x:v>
      </x:c>
      <x:c r="O162" s="47" t="n">
        <x:v>0.8838755270314093</x:v>
      </x:c>
      <x:c r="P162" s="47" t="n">
        <x:v>0.5998004272331772</x:v>
      </x:c>
      <x:c r="Q162" s="47" t="n">
        <x:v>1</x:v>
      </x:c>
      <x:c r="R162" s="47" t="n">
        <x:v>0.8566045023697773</x:v>
      </x:c>
      <x:c r="S162" s="27" t="n">
        <x:v>0</x:v>
      </x:c>
    </x:row>
    <x:row r="163" ht="21.600000381469727" hidden="0" customHeight="1">
      <x:c r="A163" s="29" t="n">
        <x:v>53</x:v>
      </x:c>
      <x:c r="B163" s="29" t="str">
        <x:v>A3</x:v>
      </x:c>
      <x:c r="C163" s="48" t="n">
        <x:v>1.3222417632687988</x:v>
      </x:c>
      <x:c r="D163" s="48" t="n">
        <x:v>0.8628474905632957</x:v>
      </x:c>
      <x:c r="E163" s="48" t="n">
        <x:v>0.8799205596284408</x:v>
      </x:c>
      <x:c r="F163" s="48" t="n">
        <x:v>-0.07889836816071848</x:v>
      </x:c>
      <x:c r="G163" s="48" t="n">
        <x:v>-0.11276813039512548</x:v>
      </x:c>
      <x:c r="H163" s="48" t="n">
        <x:v>0.7973557514796956</x:v>
      </x:c>
      <x:c r="I163" s="48" t="n">
        <x:v>0.9325268694471868</x:v>
      </x:c>
      <x:c r="J163" s="48" t="n">
        <x:v>0.5502959276868774</x:v>
      </x:c>
      <x:c r="K163" s="48" t="n">
        <x:v>0.9735051800323491</x:v>
      </x:c>
      <x:c r="L163" s="48" t="n">
        <x:v>0.5459024957118276</x:v>
      </x:c>
      <x:c r="M163" s="48" t="n">
        <x:v>0.019960721875256656</x:v>
      </x:c>
      <x:c r="N163" s="48" t="n">
        <x:v>0.7628544345358175</x:v>
      </x:c>
      <x:c r="O163" s="48" t="n">
        <x:v>1</x:v>
      </x:c>
      <x:c r="P163" s="48" t="n">
        <x:v>1</x:v>
      </x:c>
      <x:c r="Q163" s="48" t="n">
        <x:v>1</x:v>
      </x:c>
      <x:c r="R163" s="48" t="n">
        <x:v>1</x:v>
      </x:c>
      <x:c r="S163" s="29" t="n">
        <x:v>1</x:v>
      </x:c>
    </x:row>
    <x:row r="164" ht="21.600000381469727" hidden="0" customHeight="1">
      <x:c r="A164" s="27" t="n">
        <x:v>54</x:v>
      </x:c>
      <x:c r="B164" s="27" t="str">
        <x:v>A1</x:v>
      </x:c>
      <x:c r="C164" s="47" t="n">
        <x:v>1.0795084683354994</x:v>
      </x:c>
      <x:c r="D164" s="47" t="n">
        <x:v>0.9077190650976652</x:v>
      </x:c>
      <x:c r="E164" s="47" t="n">
        <x:v>0.6712783614238166</x:v>
      </x:c>
      <x:c r="F164" s="47" t="n">
        <x:v>-0.1224176010175011</x:v>
      </x:c>
      <x:c r="G164" s="47" t="n">
        <x:v>-0.04380193489764611</x:v>
      </x:c>
      <x:c r="H164" s="47" t="n">
        <x:v>0.9771155123370618</x:v>
      </x:c>
      <x:c r="I164" s="47" t="n">
        <x:v>0.6987446259073211</x:v>
      </x:c>
      <x:c r="J164" s="47" t="n">
        <x:v>0.7096903558254961</x:v>
      </x:c>
      <x:c r="K164" s="47" t="n">
        <x:v>0.7450858596604548</x:v>
      </x:c>
      <x:c r="L164" s="47" t="n">
        <x:v>0.9408248695450353</x:v>
      </x:c>
      <x:c r="M164" s="47" t="n">
        <x:v>0.1691888849853075</x:v>
      </x:c>
      <x:c r="N164" s="47" t="n">
        <x:v>0.6651994284382594</x:v>
      </x:c>
      <x:c r="O164" s="47" t="n">
        <x:v>0.882508588520834</x:v>
      </x:c>
      <x:c r="P164" s="47" t="n">
        <x:v>0.6077579853183964</x:v>
      </x:c>
      <x:c r="Q164" s="47" t="n">
        <x:v>1</x:v>
      </x:c>
      <x:c r="R164" s="47" t="n">
        <x:v>0.8549165478590439</x:v>
      </x:c>
      <x:c r="S164" s="27" t="n">
        <x:v>0</x:v>
      </x:c>
    </x:row>
    <x:row r="165" ht="21.600000381469727" hidden="0" customHeight="1">
      <x:c r="A165" s="29" t="n">
        <x:v>54</x:v>
      </x:c>
      <x:c r="B165" s="29" t="str">
        <x:v>A2</x:v>
      </x:c>
      <x:c r="C165" s="48" t="n">
        <x:v>1.0795084683354994</x:v>
      </x:c>
      <x:c r="D165" s="48" t="n">
        <x:v>0.9077190650976652</x:v>
      </x:c>
      <x:c r="E165" s="48" t="n">
        <x:v>0.6712783614238166</x:v>
      </x:c>
      <x:c r="F165" s="48" t="n">
        <x:v>-0.1224176010175011</x:v>
      </x:c>
      <x:c r="G165" s="48" t="n">
        <x:v>-0.04380193489764611</x:v>
      </x:c>
      <x:c r="H165" s="48" t="n">
        <x:v>0.9771155123370618</x:v>
      </x:c>
      <x:c r="I165" s="48" t="n">
        <x:v>0.6987446259073211</x:v>
      </x:c>
      <x:c r="J165" s="48" t="n">
        <x:v>0.7096903558254961</x:v>
      </x:c>
      <x:c r="K165" s="48" t="n">
        <x:v>0.7450858596604548</x:v>
      </x:c>
      <x:c r="L165" s="48" t="n">
        <x:v>0.9408248695450353</x:v>
      </x:c>
      <x:c r="M165" s="48" t="n">
        <x:v>0.1691888849853075</x:v>
      </x:c>
      <x:c r="N165" s="48" t="n">
        <x:v>0.6651994284382594</x:v>
      </x:c>
      <x:c r="O165" s="48" t="n">
        <x:v>0.9714635930286494</x:v>
      </x:c>
      <x:c r="P165" s="48" t="n">
        <x:v>0.7772529279054607</x:v>
      </x:c>
      <x:c r="Q165" s="48" t="n">
        <x:v>1</x:v>
      </x:c>
      <x:c r="R165" s="48" t="n">
        <x:v>0.9647620163637496</x:v>
      </x:c>
      <x:c r="S165" s="29" t="n">
        <x:v>0</x:v>
      </x:c>
    </x:row>
    <x:row r="166" ht="21.600000381469727" hidden="0" customHeight="1">
      <x:c r="A166" s="27" t="n">
        <x:v>54</x:v>
      </x:c>
      <x:c r="B166" s="27" t="str">
        <x:v>A3</x:v>
      </x:c>
      <x:c r="C166" s="47" t="n">
        <x:v>1.0795084683354994</x:v>
      </x:c>
      <x:c r="D166" s="47" t="n">
        <x:v>0.9077190650976652</x:v>
      </x:c>
      <x:c r="E166" s="47" t="n">
        <x:v>0.6712783614238166</x:v>
      </x:c>
      <x:c r="F166" s="47" t="n">
        <x:v>-0.1224176010175011</x:v>
      </x:c>
      <x:c r="G166" s="47" t="n">
        <x:v>-0.04380193489764611</x:v>
      </x:c>
      <x:c r="H166" s="47" t="n">
        <x:v>0.9771155123370618</x:v>
      </x:c>
      <x:c r="I166" s="47" t="n">
        <x:v>0.6987446259073211</x:v>
      </x:c>
      <x:c r="J166" s="47" t="n">
        <x:v>0.7096903558254961</x:v>
      </x:c>
      <x:c r="K166" s="47" t="n">
        <x:v>0.7450858596604548</x:v>
      </x:c>
      <x:c r="L166" s="47" t="n">
        <x:v>0.9408248695450353</x:v>
      </x:c>
      <x:c r="M166" s="47" t="n">
        <x:v>0.1691888849853075</x:v>
      </x:c>
      <x:c r="N166" s="47" t="n">
        <x:v>0.6651994284382594</x:v>
      </x:c>
      <x:c r="O166" s="47" t="n">
        <x:v>1.0000000000000002</x:v>
      </x:c>
      <x:c r="P166" s="47" t="n">
        <x:v>1</x:v>
      </x:c>
      <x:c r="Q166" s="47" t="n">
        <x:v>1</x:v>
      </x:c>
      <x:c r="R166" s="47" t="n">
        <x:v>1</x:v>
      </x:c>
      <x:c r="S166" s="27" t="n">
        <x:v>1</x:v>
      </x:c>
    </x:row>
    <x:row r="167" ht="15" hidden="0" customHeight="1">
      <x:c r="A167" s="29" t="n">
        <x:v>55</x:v>
      </x:c>
      <x:c r="B167" s="29" t="str">
        <x:v>A1</x:v>
      </x:c>
      <x:c r="C167" s="48" t="n">
        <x:v>0.9392602638141097</x:v>
      </x:c>
      <x:c r="D167" s="48" t="n">
        <x:v>0.7955602216070504</x:v>
      </x:c>
      <x:c r="E167" s="48" t="n">
        <x:v>1.0638583388828744</x:v>
      </x:c>
      <x:c r="F167" s="48" t="n">
        <x:v>-0.03929671995947537</x:v>
      </x:c>
      <x:c r="G167" s="48" t="n">
        <x:v>0.0161885477543513</x:v>
      </x:c>
      <x:c r="H167" s="48" t="n">
        <x:v>0.3764546466010553</x:v>
      </x:c>
      <x:c r="I167" s="48" t="n">
        <x:v>0.9279502117168781</x:v>
      </x:c>
      <x:c r="J167" s="48" t="n">
        <x:v>0.5430633758041874</x:v>
      </x:c>
      <x:c r="K167" s="48" t="n">
        <x:v>0.7624743685903027</x:v>
      </x:c>
      <x:c r="L167" s="48" t="n">
        <x:v>0.6286062989340838</x:v>
      </x:c>
      <x:c r="M167" s="48" t="n">
        <x:v>0.06345685751614567</x:v>
      </x:c>
      <x:c r="N167" s="48" t="n">
        <x:v>0.6931518469733894</x:v>
      </x:c>
      <x:c r="O167" s="48" t="n">
        <x:v>0.886763550248789</x:v>
      </x:c>
      <x:c r="P167" s="48" t="n">
        <x:v>0.6893717029700384</x:v>
      </x:c>
      <x:c r="Q167" s="48" t="n">
        <x:v>1</x:v>
      </x:c>
      <x:c r="R167" s="48" t="n">
        <x:v>0.8601707577493458</x:v>
      </x:c>
      <x:c r="S167" s="29" t="n">
        <x:v>0</x:v>
      </x:c>
    </x:row>
    <x:row r="168" ht="15" hidden="0" customHeight="1">
      <x:c r="A168" s="27" t="n">
        <x:v>55</x:v>
      </x:c>
      <x:c r="B168" s="27" t="str">
        <x:v>A2</x:v>
      </x:c>
      <x:c r="C168" s="47" t="n">
        <x:v>0.9392602638141097</x:v>
      </x:c>
      <x:c r="D168" s="47" t="n">
        <x:v>0.7955602216070504</x:v>
      </x:c>
      <x:c r="E168" s="47" t="n">
        <x:v>1.0638583388828744</x:v>
      </x:c>
      <x:c r="F168" s="47" t="n">
        <x:v>-0.03929671995947537</x:v>
      </x:c>
      <x:c r="G168" s="47" t="n">
        <x:v>0.0161885477543513</x:v>
      </x:c>
      <x:c r="H168" s="47" t="n">
        <x:v>0.3764546466010553</x:v>
      </x:c>
      <x:c r="I168" s="47" t="n">
        <x:v>0.9279502117168781</x:v>
      </x:c>
      <x:c r="J168" s="47" t="n">
        <x:v>0.5430633758041874</x:v>
      </x:c>
      <x:c r="K168" s="47" t="n">
        <x:v>0.7624743685903027</x:v>
      </x:c>
      <x:c r="L168" s="47" t="n">
        <x:v>0.6286062989340838</x:v>
      </x:c>
      <x:c r="M168" s="47" t="n">
        <x:v>0.06345685751614567</x:v>
      </x:c>
      <x:c r="N168" s="47" t="n">
        <x:v>0.6931518469733894</x:v>
      </x:c>
      <x:c r="O168" s="47" t="n">
        <x:v>0.9802957787483975</x:v>
      </x:c>
      <x:c r="P168" s="47" t="n">
        <x:v>0.8039219435368191</x:v>
      </x:c>
      <x:c r="Q168" s="47" t="n">
        <x:v>1</x:v>
      </x:c>
      <x:c r="R168" s="47" t="n">
        <x:v>0.9756683794590499</x:v>
      </x:c>
      <x:c r="S168" s="27" t="n">
        <x:v>0</x:v>
      </x:c>
    </x:row>
    <x:row r="169" ht="15" hidden="0" customHeight="1">
      <x:c r="A169" s="29" t="n">
        <x:v>55</x:v>
      </x:c>
      <x:c r="B169" s="29" t="str">
        <x:v>A3</x:v>
      </x:c>
      <x:c r="C169" s="48" t="n">
        <x:v>0.9392602638141097</x:v>
      </x:c>
      <x:c r="D169" s="48" t="n">
        <x:v>0.7955602216070504</x:v>
      </x:c>
      <x:c r="E169" s="48" t="n">
        <x:v>1.0638583388828744</x:v>
      </x:c>
      <x:c r="F169" s="48" t="n">
        <x:v>-0.03929671995947537</x:v>
      </x:c>
      <x:c r="G169" s="48" t="n">
        <x:v>0.0161885477543513</x:v>
      </x:c>
      <x:c r="H169" s="48" t="n">
        <x:v>0.3764546466010553</x:v>
      </x:c>
      <x:c r="I169" s="48" t="n">
        <x:v>0.9279502117168781</x:v>
      </x:c>
      <x:c r="J169" s="48" t="n">
        <x:v>0.5430633758041874</x:v>
      </x:c>
      <x:c r="K169" s="48" t="n">
        <x:v>0.7624743685903027</x:v>
      </x:c>
      <x:c r="L169" s="48" t="n">
        <x:v>0.6286062989340838</x:v>
      </x:c>
      <x:c r="M169" s="48" t="n">
        <x:v>0.06345685751614567</x:v>
      </x:c>
      <x:c r="N169" s="48" t="n">
        <x:v>0.6931518469733894</x:v>
      </x:c>
      <x:c r="O169" s="48" t="n">
        <x:v>1</x:v>
      </x:c>
      <x:c r="P169" s="48" t="n">
        <x:v>1</x:v>
      </x:c>
      <x:c r="Q169" s="48" t="n">
        <x:v>1</x:v>
      </x:c>
      <x:c r="R169" s="48" t="n">
        <x:v>1</x:v>
      </x:c>
      <x:c r="S169" s="29" t="n">
        <x:v>1</x:v>
      </x:c>
    </x:row>
    <x:row r="170" ht="21.600000381469727" hidden="0" customHeight="1">
      <x:c r="A170" s="27" t="n">
        <x:v>56</x:v>
      </x:c>
      <x:c r="B170" s="27" t="str">
        <x:v>A1</x:v>
      </x:c>
      <x:c r="C170" s="47" t="n">
        <x:v>1.3156698579980768</x:v>
      </x:c>
      <x:c r="D170" s="47" t="n">
        <x:v>0.9893074189715052</x:v>
      </x:c>
      <x:c r="E170" s="47" t="n">
        <x:v>0.7299543584892306</x:v>
      </x:c>
      <x:c r="F170" s="47" t="n">
        <x:v>-0.06810915057152059</x:v>
      </x:c>
      <x:c r="G170" s="47" t="n">
        <x:v>0.022261322670690503</x:v>
      </x:c>
      <x:c r="H170" s="47" t="n">
        <x:v>0.4271305878817711</x:v>
      </x:c>
      <x:c r="I170" s="47" t="n">
        <x:v>1.008973487622639</x:v>
      </x:c>
      <x:c r="J170" s="47" t="n">
        <x:v>0.8790402079900527</x:v>
      </x:c>
      <x:c r="K170" s="47" t="n">
        <x:v>0.8222715795114398</x:v>
      </x:c>
      <x:c r="L170" s="47" t="n">
        <x:v>0.6217472465914038</x:v>
      </x:c>
      <x:c r="M170" s="47" t="n">
        <x:v>0.10445335713660214</x:v>
      </x:c>
      <x:c r="N170" s="47" t="n">
        <x:v>0.9547826278485381</x:v>
      </x:c>
      <x:c r="O170" s="47" t="n">
        <x:v>0.8513940643780328</x:v>
      </x:c>
      <x:c r="P170" s="47" t="n">
        <x:v>0.554644235235265</x:v>
      </x:c>
      <x:c r="Q170" s="47" t="n">
        <x:v>1</x:v>
      </x:c>
      <x:c r="R170" s="47" t="n">
        <x:v>0.8164949941681924</x:v>
      </x:c>
      <x:c r="S170" s="27" t="n">
        <x:v>0</x:v>
      </x:c>
    </x:row>
    <x:row r="171" ht="21.600000381469727" hidden="0" customHeight="1">
      <x:c r="A171" s="29" t="n">
        <x:v>56</x:v>
      </x:c>
      <x:c r="B171" s="29" t="str">
        <x:v>A2</x:v>
      </x:c>
      <x:c r="C171" s="48" t="n">
        <x:v>1.3156698579980768</x:v>
      </x:c>
      <x:c r="D171" s="48" t="n">
        <x:v>0.9893074189715052</x:v>
      </x:c>
      <x:c r="E171" s="48" t="n">
        <x:v>0.7299543584892306</x:v>
      </x:c>
      <x:c r="F171" s="48" t="n">
        <x:v>-0.06810915057152059</x:v>
      </x:c>
      <x:c r="G171" s="48" t="n">
        <x:v>0.022261322670690503</x:v>
      </x:c>
      <x:c r="H171" s="48" t="n">
        <x:v>0.4271305878817711</x:v>
      </x:c>
      <x:c r="I171" s="48" t="n">
        <x:v>1.008973487622639</x:v>
      </x:c>
      <x:c r="J171" s="48" t="n">
        <x:v>0.8790402079900527</x:v>
      </x:c>
      <x:c r="K171" s="48" t="n">
        <x:v>0.8222715795114398</x:v>
      </x:c>
      <x:c r="L171" s="48" t="n">
        <x:v>0.6217472465914038</x:v>
      </x:c>
      <x:c r="M171" s="48" t="n">
        <x:v>0.10445335713660214</x:v>
      </x:c>
      <x:c r="N171" s="48" t="n">
        <x:v>0.9547826278485381</x:v>
      </x:c>
      <x:c r="O171" s="48" t="n">
        <x:v>0.9324473945559477</x:v>
      </x:c>
      <x:c r="P171" s="48" t="n">
        <x:v>0.6010107254272202</x:v>
      </x:c>
      <x:c r="Q171" s="48" t="n">
        <x:v>1</x:v>
      </x:c>
      <x:c r="R171" s="48" t="n">
        <x:v>0.9165831350942877</x:v>
      </x:c>
      <x:c r="S171" s="29" t="n">
        <x:v>0</x:v>
      </x:c>
    </x:row>
    <x:row r="172" ht="21.600000381469727" hidden="0" customHeight="1">
      <x:c r="A172" s="27" t="n">
        <x:v>56</x:v>
      </x:c>
      <x:c r="B172" s="27" t="str">
        <x:v>A3</x:v>
      </x:c>
      <x:c r="C172" s="47" t="n">
        <x:v>1.3156698579980768</x:v>
      </x:c>
      <x:c r="D172" s="47" t="n">
        <x:v>0.9893074189715052</x:v>
      </x:c>
      <x:c r="E172" s="47" t="n">
        <x:v>0.7299543584892306</x:v>
      </x:c>
      <x:c r="F172" s="47" t="n">
        <x:v>-0.06810915057152059</x:v>
      </x:c>
      <x:c r="G172" s="47" t="n">
        <x:v>0.022261322670690503</x:v>
      </x:c>
      <x:c r="H172" s="47" t="n">
        <x:v>0.4271305878817711</x:v>
      </x:c>
      <x:c r="I172" s="47" t="n">
        <x:v>1.008973487622639</x:v>
      </x:c>
      <x:c r="J172" s="47" t="n">
        <x:v>0.8790402079900527</x:v>
      </x:c>
      <x:c r="K172" s="47" t="n">
        <x:v>0.8222715795114398</x:v>
      </x:c>
      <x:c r="L172" s="47" t="n">
        <x:v>0.6217472465914038</x:v>
      </x:c>
      <x:c r="M172" s="47" t="n">
        <x:v>0.10445335713660214</x:v>
      </x:c>
      <x:c r="N172" s="47" t="n">
        <x:v>0.9547826278485381</x:v>
      </x:c>
      <x:c r="O172" s="47" t="n">
        <x:v>1</x:v>
      </x:c>
      <x:c r="P172" s="47" t="n">
        <x:v>1</x:v>
      </x:c>
      <x:c r="Q172" s="47" t="n">
        <x:v>1</x:v>
      </x:c>
      <x:c r="R172" s="47" t="n">
        <x:v>1</x:v>
      </x:c>
      <x:c r="S172" s="27" t="n">
        <x:v>1</x:v>
      </x:c>
    </x:row>
    <x:row r="173" ht="21.600000381469727" hidden="0" customHeight="1">
      <x:c r="A173" s="29" t="n">
        <x:v>57</x:v>
      </x:c>
      <x:c r="B173" s="29" t="str">
        <x:v>A1</x:v>
      </x:c>
      <x:c r="C173" s="48" t="n">
        <x:v>1.3019862595901313</x:v>
      </x:c>
      <x:c r="D173" s="48" t="n">
        <x:v>0.975729194873585</x:v>
      </x:c>
      <x:c r="E173" s="48" t="n">
        <x:v>0.4556103744022738</x:v>
      </x:c>
      <x:c r="F173" s="48" t="n">
        <x:v>-0.1148654398482711</x:v>
      </x:c>
      <x:c r="G173" s="48" t="n">
        <x:v>-0.02221459257301378</x:v>
      </x:c>
      <x:c r="H173" s="48" t="n">
        <x:v>0.9962041829285653</x:v>
      </x:c>
      <x:c r="I173" s="48" t="n">
        <x:v>0.6895189534727039</x:v>
      </x:c>
      <x:c r="J173" s="48" t="n">
        <x:v>0.6115382355357202</x:v>
      </x:c>
      <x:c r="K173" s="48" t="n">
        <x:v>0.8921811187654503</x:v>
      </x:c>
      <x:c r="L173" s="48" t="n">
        <x:v>0.5550926712859136</x:v>
      </x:c>
      <x:c r="M173" s="48" t="n">
        <x:v>0.16018425658892643</x:v>
      </x:c>
      <x:c r="N173" s="48" t="n">
        <x:v>0.8830704417916364</x:v>
      </x:c>
      <x:c r="O173" s="48" t="n">
        <x:v>0.81486803110826</x:v>
      </x:c>
      <x:c r="P173" s="48" t="n">
        <x:v>0.5267294701222418</x:v>
      </x:c>
      <x:c r="Q173" s="48" t="n">
        <x:v>0.9474755531188354</x:v>
      </x:c>
      <x:c r="R173" s="48" t="n">
        <x:v>0.7717811674500964</x:v>
      </x:c>
      <x:c r="S173" s="29" t="n">
        <x:v>0</x:v>
      </x:c>
    </x:row>
    <x:row r="174" ht="21.600000381469727" hidden="0" customHeight="1">
      <x:c r="A174" s="27" t="n">
        <x:v>57</x:v>
      </x:c>
      <x:c r="B174" s="27" t="str">
        <x:v>A2</x:v>
      </x:c>
      <x:c r="C174" s="47" t="n">
        <x:v>1.3019862595901313</x:v>
      </x:c>
      <x:c r="D174" s="47" t="n">
        <x:v>0.975729194873585</x:v>
      </x:c>
      <x:c r="E174" s="47" t="n">
        <x:v>0.4556103744022738</x:v>
      </x:c>
      <x:c r="F174" s="47" t="n">
        <x:v>-0.1148654398482711</x:v>
      </x:c>
      <x:c r="G174" s="47" t="n">
        <x:v>-0.02221459257301378</x:v>
      </x:c>
      <x:c r="H174" s="47" t="n">
        <x:v>0.9962041829285653</x:v>
      </x:c>
      <x:c r="I174" s="47" t="n">
        <x:v>0.6895189534727039</x:v>
      </x:c>
      <x:c r="J174" s="47" t="n">
        <x:v>0.6115382355357202</x:v>
      </x:c>
      <x:c r="K174" s="47" t="n">
        <x:v>0.8921811187654503</x:v>
      </x:c>
      <x:c r="L174" s="47" t="n">
        <x:v>0.5550926712859136</x:v>
      </x:c>
      <x:c r="M174" s="47" t="n">
        <x:v>0.16018425658892643</x:v>
      </x:c>
      <x:c r="N174" s="47" t="n">
        <x:v>0.8830704417916364</x:v>
      </x:c>
      <x:c r="O174" s="47" t="n">
        <x:v>0.8881487753277569</x:v>
      </x:c>
      <x:c r="P174" s="47" t="n">
        <x:v>0.6198486738654754</x:v>
      </x:c>
      <x:c r="Q174" s="47" t="n">
        <x:v>1</x:v>
      </x:c>
      <x:c r="R174" s="47" t="n">
        <x:v>0.8618812933018491</x:v>
      </x:c>
      <x:c r="S174" s="27" t="n">
        <x:v>0</x:v>
      </x:c>
    </x:row>
    <x:row r="175" ht="21.600000381469727" hidden="0" customHeight="1">
      <x:c r="A175" s="29" t="n">
        <x:v>57</x:v>
      </x:c>
      <x:c r="B175" s="29" t="str">
        <x:v>A3</x:v>
      </x:c>
      <x:c r="C175" s="48" t="n">
        <x:v>1.3019862595901313</x:v>
      </x:c>
      <x:c r="D175" s="48" t="n">
        <x:v>0.975729194873585</x:v>
      </x:c>
      <x:c r="E175" s="48" t="n">
        <x:v>0.4556103744022738</x:v>
      </x:c>
      <x:c r="F175" s="48" t="n">
        <x:v>-0.1148654398482711</x:v>
      </x:c>
      <x:c r="G175" s="48" t="n">
        <x:v>-0.02221459257301378</x:v>
      </x:c>
      <x:c r="H175" s="48" t="n">
        <x:v>0.9962041829285653</x:v>
      </x:c>
      <x:c r="I175" s="48" t="n">
        <x:v>0.6895189534727039</x:v>
      </x:c>
      <x:c r="J175" s="48" t="n">
        <x:v>0.6115382355357202</x:v>
      </x:c>
      <x:c r="K175" s="48" t="n">
        <x:v>0.8921811187654503</x:v>
      </x:c>
      <x:c r="L175" s="48" t="n">
        <x:v>0.5550926712859136</x:v>
      </x:c>
      <x:c r="M175" s="48" t="n">
        <x:v>0.16018425658892643</x:v>
      </x:c>
      <x:c r="N175" s="48" t="n">
        <x:v>0.8830704417916364</x:v>
      </x:c>
      <x:c r="O175" s="48" t="n">
        <x:v>1</x:v>
      </x:c>
      <x:c r="P175" s="48" t="n">
        <x:v>1</x:v>
      </x:c>
      <x:c r="Q175" s="48" t="n">
        <x:v>1</x:v>
      </x:c>
      <x:c r="R175" s="48" t="n">
        <x:v>1</x:v>
      </x:c>
      <x:c r="S175" s="29" t="n">
        <x:v>1</x:v>
      </x:c>
    </x:row>
    <x:row r="176" ht="21.600000381469727" hidden="0" customHeight="1">
      <x:c r="A176" s="27" t="n">
        <x:v>58</x:v>
      </x:c>
      <x:c r="B176" s="27" t="str">
        <x:v>A1</x:v>
      </x:c>
      <x:c r="C176" s="47" t="n">
        <x:v>1.0705699839626894</x:v>
      </x:c>
      <x:c r="D176" s="47" t="n">
        <x:v>0.7619538199986607</x:v>
      </x:c>
      <x:c r="E176" s="47" t="n">
        <x:v>0.4521451691888269</x:v>
      </x:c>
      <x:c r="F176" s="47" t="n">
        <x:v>0.0053346005536744345</x:v>
      </x:c>
      <x:c r="G176" s="47" t="n">
        <x:v>-0.005080302375147588</x:v>
      </x:c>
      <x:c r="H176" s="47" t="n">
        <x:v>0.9023778941123903</x:v>
      </x:c>
      <x:c r="I176" s="47" t="n">
        <x:v>0.6364724254496158</x:v>
      </x:c>
      <x:c r="J176" s="47" t="n">
        <x:v>0.9504355861553722</x:v>
      </x:c>
      <x:c r="K176" s="47" t="n">
        <x:v>0.9015998686465645</x:v>
      </x:c>
      <x:c r="L176" s="47" t="n">
        <x:v>0.7664160568237846</x:v>
      </x:c>
      <x:c r="M176" s="47" t="n">
        <x:v>0.08469091676260938</x:v>
      </x:c>
      <x:c r="N176" s="47" t="n">
        <x:v>0.8971992632876913</x:v>
      </x:c>
      <x:c r="O176" s="47" t="n">
        <x:v>0.8270740523377005</x:v>
      </x:c>
      <x:c r="P176" s="47" t="n">
        <x:v>0.43199228139493173</x:v>
      </x:c>
      <x:c r="Q176" s="47" t="n">
        <x:v>1</x:v>
      </x:c>
      <x:c r="R176" s="47" t="n">
        <x:v>0.786463596481335</x:v>
      </x:c>
      <x:c r="S176" s="27" t="n">
        <x:v>0</x:v>
      </x:c>
    </x:row>
    <x:row r="177" ht="21.600000381469727" hidden="0" customHeight="1">
      <x:c r="A177" s="29" t="n">
        <x:v>58</x:v>
      </x:c>
      <x:c r="B177" s="29" t="str">
        <x:v>A2</x:v>
      </x:c>
      <x:c r="C177" s="48" t="n">
        <x:v>1.0705699839626894</x:v>
      </x:c>
      <x:c r="D177" s="48" t="n">
        <x:v>0.7619538199986607</x:v>
      </x:c>
      <x:c r="E177" s="48" t="n">
        <x:v>0.4521451691888269</x:v>
      </x:c>
      <x:c r="F177" s="48" t="n">
        <x:v>0.0053346005536744345</x:v>
      </x:c>
      <x:c r="G177" s="48" t="n">
        <x:v>-0.005080302375147588</x:v>
      </x:c>
      <x:c r="H177" s="48" t="n">
        <x:v>0.9023778941123903</x:v>
      </x:c>
      <x:c r="I177" s="48" t="n">
        <x:v>0.6364724254496158</x:v>
      </x:c>
      <x:c r="J177" s="48" t="n">
        <x:v>0.9504355861553722</x:v>
      </x:c>
      <x:c r="K177" s="48" t="n">
        <x:v>0.9015998686465645</x:v>
      </x:c>
      <x:c r="L177" s="48" t="n">
        <x:v>0.7664160568237846</x:v>
      </x:c>
      <x:c r="M177" s="48" t="n">
        <x:v>0.08469091676260938</x:v>
      </x:c>
      <x:c r="N177" s="48" t="n">
        <x:v>0.8971992632876913</x:v>
      </x:c>
      <x:c r="O177" s="48" t="n">
        <x:v>0.8923874321026035</x:v>
      </x:c>
      <x:c r="P177" s="48" t="n">
        <x:v>0.5623198231023915</x:v>
      </x:c>
      <x:c r="Q177" s="48" t="n">
        <x:v>1</x:v>
      </x:c>
      <x:c r="R177" s="48" t="n">
        <x:v>0.8671153691342296</x:v>
      </x:c>
      <x:c r="S177" s="29" t="n">
        <x:v>0</x:v>
      </x:c>
    </x:row>
    <x:row r="178" ht="21.600000381469727" hidden="0" customHeight="1">
      <x:c r="A178" s="27" t="n">
        <x:v>58</x:v>
      </x:c>
      <x:c r="B178" s="27" t="str">
        <x:v>A3</x:v>
      </x:c>
      <x:c r="C178" s="47" t="n">
        <x:v>1.0705699839626894</x:v>
      </x:c>
      <x:c r="D178" s="47" t="n">
        <x:v>0.7619538199986607</x:v>
      </x:c>
      <x:c r="E178" s="47" t="n">
        <x:v>0.4521451691888269</x:v>
      </x:c>
      <x:c r="F178" s="47" t="n">
        <x:v>0.0053346005536744345</x:v>
      </x:c>
      <x:c r="G178" s="47" t="n">
        <x:v>-0.005080302375147588</x:v>
      </x:c>
      <x:c r="H178" s="47" t="n">
        <x:v>0.9023778941123903</x:v>
      </x:c>
      <x:c r="I178" s="47" t="n">
        <x:v>0.6364724254496158</x:v>
      </x:c>
      <x:c r="J178" s="47" t="n">
        <x:v>0.9504355861553722</x:v>
      </x:c>
      <x:c r="K178" s="47" t="n">
        <x:v>0.9015998686465645</x:v>
      </x:c>
      <x:c r="L178" s="47" t="n">
        <x:v>0.7664160568237846</x:v>
      </x:c>
      <x:c r="M178" s="47" t="n">
        <x:v>0.08469091676260938</x:v>
      </x:c>
      <x:c r="N178" s="47" t="n">
        <x:v>0.8971992632876913</x:v>
      </x:c>
      <x:c r="O178" s="47" t="n">
        <x:v>1</x:v>
      </x:c>
      <x:c r="P178" s="47" t="n">
        <x:v>1</x:v>
      </x:c>
      <x:c r="Q178" s="47" t="n">
        <x:v>1</x:v>
      </x:c>
      <x:c r="R178" s="47" t="n">
        <x:v>1</x:v>
      </x:c>
      <x:c r="S178" s="27" t="n">
        <x:v>1</x:v>
      </x:c>
    </x:row>
    <x:row r="179" ht="21.600000381469727" hidden="0" customHeight="1">
      <x:c r="A179" s="29" t="n">
        <x:v>59</x:v>
      </x:c>
      <x:c r="B179" s="29" t="str">
        <x:v>A1</x:v>
      </x:c>
      <x:c r="C179" s="48" t="n">
        <x:v>1.1864776740613725</x:v>
      </x:c>
      <x:c r="D179" s="48" t="n">
        <x:v>0.9303603327520917</x:v>
      </x:c>
      <x:c r="E179" s="48" t="n">
        <x:v>1.0985514240494618</x:v>
      </x:c>
      <x:c r="F179" s="48" t="n">
        <x:v>-0.03632859495370294</x:v>
      </x:c>
      <x:c r="G179" s="48" t="n">
        <x:v>-0.022621524661893322</x:v>
      </x:c>
      <x:c r="H179" s="48" t="n">
        <x:v>0.5453674510048064</x:v>
      </x:c>
      <x:c r="I179" s="48" t="n">
        <x:v>0.6319182982847258</x:v>
      </x:c>
      <x:c r="J179" s="48" t="n">
        <x:v>0.6501368238666978</x:v>
      </x:c>
      <x:c r="K179" s="48" t="n">
        <x:v>0.9519978640028994</x:v>
      </x:c>
      <x:c r="L179" s="48" t="n">
        <x:v>0.7798685864112577</x:v>
      </x:c>
      <x:c r="M179" s="48" t="n">
        <x:v>0.16250043932946787</x:v>
      </x:c>
      <x:c r="N179" s="48" t="n">
        <x:v>0.7343227265648313</x:v>
      </x:c>
      <x:c r="O179" s="48" t="n">
        <x:v>0.8808405192373587</x:v>
      </x:c>
      <x:c r="P179" s="48" t="n">
        <x:v>0.6425616601618087</x:v>
      </x:c>
      <x:c r="Q179" s="48" t="n">
        <x:v>1</x:v>
      </x:c>
      <x:c r="R179" s="48" t="n">
        <x:v>0.8528567441081988</x:v>
      </x:c>
      <x:c r="S179" s="29" t="n">
        <x:v>0</x:v>
      </x:c>
    </x:row>
    <x:row r="180" ht="21.600000381469727" hidden="0" customHeight="1">
      <x:c r="A180" s="27" t="n">
        <x:v>59</x:v>
      </x:c>
      <x:c r="B180" s="27" t="str">
        <x:v>A2</x:v>
      </x:c>
      <x:c r="C180" s="47" t="n">
        <x:v>1.1864776740613725</x:v>
      </x:c>
      <x:c r="D180" s="47" t="n">
        <x:v>0.9303603327520917</x:v>
      </x:c>
      <x:c r="E180" s="47" t="n">
        <x:v>1.0985514240494618</x:v>
      </x:c>
      <x:c r="F180" s="47" t="n">
        <x:v>-0.03632859495370294</x:v>
      </x:c>
      <x:c r="G180" s="47" t="n">
        <x:v>-0.022621524661893322</x:v>
      </x:c>
      <x:c r="H180" s="47" t="n">
        <x:v>0.5453674510048064</x:v>
      </x:c>
      <x:c r="I180" s="47" t="n">
        <x:v>0.6319182982847258</x:v>
      </x:c>
      <x:c r="J180" s="47" t="n">
        <x:v>0.6501368238666978</x:v>
      </x:c>
      <x:c r="K180" s="47" t="n">
        <x:v>0.9519978640028994</x:v>
      </x:c>
      <x:c r="L180" s="47" t="n">
        <x:v>0.7798685864112577</x:v>
      </x:c>
      <x:c r="M180" s="47" t="n">
        <x:v>0.16250043932946787</x:v>
      </x:c>
      <x:c r="N180" s="47" t="n">
        <x:v>0.7343227265648313</x:v>
      </x:c>
      <x:c r="O180" s="47" t="n">
        <x:v>0.9599956489576139</x:v>
      </x:c>
      <x:c r="P180" s="47" t="n">
        <x:v>0.7306616931963191</x:v>
      </x:c>
      <x:c r="Q180" s="47" t="n">
        <x:v>1</x:v>
      </x:c>
      <x:c r="R180" s="47" t="n">
        <x:v>0.9506009054039051</x:v>
      </x:c>
      <x:c r="S180" s="27" t="n">
        <x:v>0</x:v>
      </x:c>
    </x:row>
    <x:row r="181" ht="21.600000381469727" hidden="0" customHeight="1">
      <x:c r="A181" s="29" t="n">
        <x:v>59</x:v>
      </x:c>
      <x:c r="B181" s="29" t="str">
        <x:v>A3</x:v>
      </x:c>
      <x:c r="C181" s="48" t="n">
        <x:v>1.1864776740613725</x:v>
      </x:c>
      <x:c r="D181" s="48" t="n">
        <x:v>0.9303603327520917</x:v>
      </x:c>
      <x:c r="E181" s="48" t="n">
        <x:v>1.0985514240494618</x:v>
      </x:c>
      <x:c r="F181" s="48" t="n">
        <x:v>-0.03632859495370294</x:v>
      </x:c>
      <x:c r="G181" s="48" t="n">
        <x:v>-0.022621524661893322</x:v>
      </x:c>
      <x:c r="H181" s="48" t="n">
        <x:v>0.5453674510048064</x:v>
      </x:c>
      <x:c r="I181" s="48" t="n">
        <x:v>0.6319182982847258</x:v>
      </x:c>
      <x:c r="J181" s="48" t="n">
        <x:v>0.6501368238666978</x:v>
      </x:c>
      <x:c r="K181" s="48" t="n">
        <x:v>0.9519978640028994</x:v>
      </x:c>
      <x:c r="L181" s="48" t="n">
        <x:v>0.7798685864112577</x:v>
      </x:c>
      <x:c r="M181" s="48" t="n">
        <x:v>0.16250043932946787</x:v>
      </x:c>
      <x:c r="N181" s="48" t="n">
        <x:v>0.7343227265648313</x:v>
      </x:c>
      <x:c r="O181" s="48" t="n">
        <x:v>1</x:v>
      </x:c>
      <x:c r="P181" s="48" t="n">
        <x:v>1</x:v>
      </x:c>
      <x:c r="Q181" s="48" t="n">
        <x:v>1</x:v>
      </x:c>
      <x:c r="R181" s="48" t="n">
        <x:v>1</x:v>
      </x:c>
      <x:c r="S181" s="29" t="n">
        <x:v>1</x:v>
      </x:c>
    </x:row>
    <x:row r="182" ht="21.600000381469727" hidden="0" customHeight="1">
      <x:c r="A182" s="27" t="n">
        <x:v>60</x:v>
      </x:c>
      <x:c r="B182" s="27" t="str">
        <x:v>A1</x:v>
      </x:c>
      <x:c r="C182" s="47" t="n">
        <x:v>1.2423957400939223</x:v>
      </x:c>
      <x:c r="D182" s="47" t="n">
        <x:v>0.7277809144734169</x:v>
      </x:c>
      <x:c r="E182" s="47" t="n">
        <x:v>0.6340731751009193</x:v>
      </x:c>
      <x:c r="F182" s="47" t="n">
        <x:v>-0.013697083426652268</x:v>
      </x:c>
      <x:c r="G182" s="47" t="n">
        <x:v>-0.09734288086448074</x:v>
      </x:c>
      <x:c r="H182" s="47" t="n">
        <x:v>0.3116383744946646</x:v>
      </x:c>
      <x:c r="I182" s="47" t="n">
        <x:v>0.7587671342664448</x:v>
      </x:c>
      <x:c r="J182" s="47" t="n">
        <x:v>0.7028410666270923</x:v>
      </x:c>
      <x:c r="K182" s="47" t="n">
        <x:v>0.5658233185735907</x:v>
      </x:c>
      <x:c r="L182" s="47" t="n">
        <x:v>0.8444451901332674</x:v>
      </x:c>
      <x:c r="M182" s="47" t="n">
        <x:v>0.012849941816008023</x:v>
      </x:c>
      <x:c r="N182" s="47" t="n">
        <x:v>0.9696291680748763</x:v>
      </x:c>
      <x:c r="O182" s="47" t="n">
        <x:v>0.6879384525516399</x:v>
      </x:c>
      <x:c r="P182" s="47" t="n">
        <x:v>0.371685077859547</x:v>
      </x:c>
      <x:c r="Q182" s="47" t="n">
        <x:v>0.9234576006087111</x:v>
      </x:c>
      <x:c r="R182" s="47" t="n">
        <x:v>0.6153262358726245</x:v>
      </x:c>
      <x:c r="S182" s="27" t="n">
        <x:v>0</x:v>
      </x:c>
    </x:row>
    <x:row r="183" ht="21.600000381469727" hidden="0" customHeight="1">
      <x:c r="A183" s="29" t="n">
        <x:v>60</x:v>
      </x:c>
      <x:c r="B183" s="29" t="str">
        <x:v>A2</x:v>
      </x:c>
      <x:c r="C183" s="48" t="n">
        <x:v>1.2423957400939223</x:v>
      </x:c>
      <x:c r="D183" s="48" t="n">
        <x:v>0.7277809144734169</x:v>
      </x:c>
      <x:c r="E183" s="48" t="n">
        <x:v>0.6340731751009193</x:v>
      </x:c>
      <x:c r="F183" s="48" t="n">
        <x:v>-0.013697083426652268</x:v>
      </x:c>
      <x:c r="G183" s="48" t="n">
        <x:v>-0.09734288086448074</x:v>
      </x:c>
      <x:c r="H183" s="48" t="n">
        <x:v>0.3116383744946646</x:v>
      </x:c>
      <x:c r="I183" s="48" t="n">
        <x:v>0.7587671342664448</x:v>
      </x:c>
      <x:c r="J183" s="48" t="n">
        <x:v>0.7028410666270923</x:v>
      </x:c>
      <x:c r="K183" s="48" t="n">
        <x:v>0.5658233185735907</x:v>
      </x:c>
      <x:c r="L183" s="48" t="n">
        <x:v>0.8444451901332674</x:v>
      </x:c>
      <x:c r="M183" s="48" t="n">
        <x:v>0.012849941816008023</x:v>
      </x:c>
      <x:c r="N183" s="48" t="n">
        <x:v>0.9696291680748763</x:v>
      </x:c>
      <x:c r="O183" s="48" t="n">
        <x:v>0.7537552362537902</x:v>
      </x:c>
      <x:c r="P183" s="48" t="n">
        <x:v>0.43167322418024995</x:v>
      </x:c>
      <x:c r="Q183" s="48" t="n">
        <x:v>1</x:v>
      </x:c>
      <x:c r="R183" s="48" t="n">
        <x:v>0.6959263664793974</x:v>
      </x:c>
      <x:c r="S183" s="29" t="n">
        <x:v>0</x:v>
      </x:c>
    </x:row>
    <x:row r="184" ht="21.600000381469727" hidden="0" customHeight="1">
      <x:c r="A184" s="27" t="n">
        <x:v>60</x:v>
      </x:c>
      <x:c r="B184" s="27" t="str">
        <x:v>A3</x:v>
      </x:c>
      <x:c r="C184" s="47" t="n">
        <x:v>1.2423957400939223</x:v>
      </x:c>
      <x:c r="D184" s="47" t="n">
        <x:v>0.7277809144734169</x:v>
      </x:c>
      <x:c r="E184" s="47" t="n">
        <x:v>0.6340731751009193</x:v>
      </x:c>
      <x:c r="F184" s="47" t="n">
        <x:v>-0.013697083426652268</x:v>
      </x:c>
      <x:c r="G184" s="47" t="n">
        <x:v>-0.09734288086448074</x:v>
      </x:c>
      <x:c r="H184" s="47" t="n">
        <x:v>0.3116383744946646</x:v>
      </x:c>
      <x:c r="I184" s="47" t="n">
        <x:v>0.7587671342664448</x:v>
      </x:c>
      <x:c r="J184" s="47" t="n">
        <x:v>0.7028410666270923</x:v>
      </x:c>
      <x:c r="K184" s="47" t="n">
        <x:v>0.5658233185735907</x:v>
      </x:c>
      <x:c r="L184" s="47" t="n">
        <x:v>0.8444451901332674</x:v>
      </x:c>
      <x:c r="M184" s="47" t="n">
        <x:v>0.012849941816008023</x:v>
      </x:c>
      <x:c r="N184" s="47" t="n">
        <x:v>0.9696291680748763</x:v>
      </x:c>
      <x:c r="O184" s="47" t="n">
        <x:v>1</x:v>
      </x:c>
      <x:c r="P184" s="47" t="n">
        <x:v>1</x:v>
      </x:c>
      <x:c r="Q184" s="47" t="n">
        <x:v>1</x:v>
      </x:c>
      <x:c r="R184" s="47" t="n">
        <x:v>1</x:v>
      </x:c>
      <x:c r="S184" s="27" t="n">
        <x:v>1</x:v>
      </x:c>
    </x:row>
    <x:row r="185" ht="21.600000381469727" hidden="0" customHeight="1">
      <x:c r="A185" s="29" t="n">
        <x:v>61</x:v>
      </x:c>
      <x:c r="B185" s="29" t="str">
        <x:v>A1</x:v>
      </x:c>
      <x:c r="C185" s="48" t="n">
        <x:v>1.0775169141016883</x:v>
      </x:c>
      <x:c r="D185" s="48" t="n">
        <x:v>0.8007167783143707</x:v>
      </x:c>
      <x:c r="E185" s="48" t="n">
        <x:v>0.6704037224588918</x:v>
      </x:c>
      <x:c r="F185" s="48" t="n">
        <x:v>-0.17283028283787444</x:v>
      </x:c>
      <x:c r="G185" s="48" t="n">
        <x:v>-0.04476060910987603</x:v>
      </x:c>
      <x:c r="H185" s="48" t="n">
        <x:v>1.061263764139267</x:v>
      </x:c>
      <x:c r="I185" s="48" t="n">
        <x:v>1.0162758431621939</x:v>
      </x:c>
      <x:c r="J185" s="48" t="n">
        <x:v>0.7274216694301479</x:v>
      </x:c>
      <x:c r="K185" s="48" t="n">
        <x:v>0.9166012041048777</x:v>
      </x:c>
      <x:c r="L185" s="48" t="n">
        <x:v>0.5232127033414555</x:v>
      </x:c>
      <x:c r="M185" s="48" t="n">
        <x:v>0.16556099527305276</x:v>
      </x:c>
      <x:c r="N185" s="48" t="n">
        <x:v>0.9748526660725676</x:v>
      </x:c>
      <x:c r="O185" s="48" t="n">
        <x:v>0.8198466654995719</x:v>
      </x:c>
      <x:c r="P185" s="48" t="n">
        <x:v>0.5514473155392329</x:v>
      </x:c>
      <x:c r="Q185" s="48" t="n">
        <x:v>1</x:v>
      </x:c>
      <x:c r="R185" s="48" t="n">
        <x:v>0.7775389081212863</x:v>
      </x:c>
      <x:c r="S185" s="29" t="n">
        <x:v>0</x:v>
      </x:c>
    </x:row>
    <x:row r="186" ht="21.600000381469727" hidden="0" customHeight="1">
      <x:c r="A186" s="27" t="n">
        <x:v>61</x:v>
      </x:c>
      <x:c r="B186" s="27" t="str">
        <x:v>A2</x:v>
      </x:c>
      <x:c r="C186" s="47" t="n">
        <x:v>1.0775169141016883</x:v>
      </x:c>
      <x:c r="D186" s="47" t="n">
        <x:v>0.8007167783143707</x:v>
      </x:c>
      <x:c r="E186" s="47" t="n">
        <x:v>0.6704037224588918</x:v>
      </x:c>
      <x:c r="F186" s="47" t="n">
        <x:v>-0.17283028283787444</x:v>
      </x:c>
      <x:c r="G186" s="47" t="n">
        <x:v>-0.04476060910987603</x:v>
      </x:c>
      <x:c r="H186" s="47" t="n">
        <x:v>1.061263764139267</x:v>
      </x:c>
      <x:c r="I186" s="47" t="n">
        <x:v>1.0162758431621939</x:v>
      </x:c>
      <x:c r="J186" s="47" t="n">
        <x:v>0.7274216694301479</x:v>
      </x:c>
      <x:c r="K186" s="47" t="n">
        <x:v>0.9166012041048777</x:v>
      </x:c>
      <x:c r="L186" s="47" t="n">
        <x:v>0.5232127033414555</x:v>
      </x:c>
      <x:c r="M186" s="47" t="n">
        <x:v>0.16556099527305276</x:v>
      </x:c>
      <x:c r="N186" s="47" t="n">
        <x:v>0.9748526660725676</x:v>
      </x:c>
      <x:c r="O186" s="47" t="n">
        <x:v>0.9087834500206927</x:v>
      </x:c>
      <x:c r="P186" s="47" t="n">
        <x:v>0.5964628735398902</x:v>
      </x:c>
      <x:c r="Q186" s="47" t="n">
        <x:v>1</x:v>
      </x:c>
      <x:c r="R186" s="47" t="n">
        <x:v>0.8873618778021689</x:v>
      </x:c>
      <x:c r="S186" s="27" t="n">
        <x:v>0</x:v>
      </x:c>
    </x:row>
    <x:row r="187" ht="21.600000381469727" hidden="0" customHeight="1">
      <x:c r="A187" s="29" t="n">
        <x:v>61</x:v>
      </x:c>
      <x:c r="B187" s="29" t="str">
        <x:v>A3</x:v>
      </x:c>
      <x:c r="C187" s="48" t="n">
        <x:v>1.0775169141016883</x:v>
      </x:c>
      <x:c r="D187" s="48" t="n">
        <x:v>0.8007167783143707</x:v>
      </x:c>
      <x:c r="E187" s="48" t="n">
        <x:v>0.6704037224588918</x:v>
      </x:c>
      <x:c r="F187" s="48" t="n">
        <x:v>-0.17283028283787444</x:v>
      </x:c>
      <x:c r="G187" s="48" t="n">
        <x:v>-0.04476060910987603</x:v>
      </x:c>
      <x:c r="H187" s="48" t="n">
        <x:v>1.061263764139267</x:v>
      </x:c>
      <x:c r="I187" s="48" t="n">
        <x:v>1.0162758431621939</x:v>
      </x:c>
      <x:c r="J187" s="48" t="n">
        <x:v>0.7274216694301479</x:v>
      </x:c>
      <x:c r="K187" s="48" t="n">
        <x:v>0.9166012041048777</x:v>
      </x:c>
      <x:c r="L187" s="48" t="n">
        <x:v>0.5232127033414555</x:v>
      </x:c>
      <x:c r="M187" s="48" t="n">
        <x:v>0.16556099527305276</x:v>
      </x:c>
      <x:c r="N187" s="48" t="n">
        <x:v>0.9748526660725676</x:v>
      </x:c>
      <x:c r="O187" s="48" t="n">
        <x:v>1</x:v>
      </x:c>
      <x:c r="P187" s="48" t="n">
        <x:v>1</x:v>
      </x:c>
      <x:c r="Q187" s="48" t="n">
        <x:v>1</x:v>
      </x:c>
      <x:c r="R187" s="48" t="n">
        <x:v>1</x:v>
      </x:c>
      <x:c r="S187" s="29" t="n">
        <x:v>1</x:v>
      </x:c>
    </x:row>
    <x:row r="188" ht="21.600000381469727" hidden="0" customHeight="1">
      <x:c r="A188" s="27" t="n">
        <x:v>62</x:v>
      </x:c>
      <x:c r="B188" s="27" t="str">
        <x:v>A1</x:v>
      </x:c>
      <x:c r="C188" s="47" t="n">
        <x:v>0.9882748559801203</x:v>
      </x:c>
      <x:c r="D188" s="47" t="n">
        <x:v>0.8471528078188308</x:v>
      </x:c>
      <x:c r="E188" s="47" t="n">
        <x:v>0.8484278934206283</x:v>
      </x:c>
      <x:c r="F188" s="47" t="n">
        <x:v>-0.17982563158000395</x:v>
      </x:c>
      <x:c r="G188" s="47" t="n">
        <x:v>-0.15419001472795094</x:v>
      </x:c>
      <x:c r="H188" s="47" t="n">
        <x:v>0.8096981216577115</x:v>
      </x:c>
      <x:c r="I188" s="47" t="n">
        <x:v>0.6651155699618426</x:v>
      </x:c>
      <x:c r="J188" s="47" t="n">
        <x:v>0.6914964191713593</x:v>
      </x:c>
      <x:c r="K188" s="47" t="n">
        <x:v>0.9711900896702439</x:v>
      </x:c>
      <x:c r="L188" s="47" t="n">
        <x:v>0.5997359269437175</x:v>
      </x:c>
      <x:c r="M188" s="47" t="n">
        <x:v>0.08330508413449574</x:v>
      </x:c>
      <x:c r="N188" s="47" t="n">
        <x:v>0.8445232850547851</x:v>
      </x:c>
      <x:c r="O188" s="47" t="n">
        <x:v>0.917198641989856</x:v>
      </x:c>
      <x:c r="P188" s="47" t="n">
        <x:v>0.6318949980210314</x:v>
      </x:c>
      <x:c r="Q188" s="47" t="n">
        <x:v>1</x:v>
      </x:c>
      <x:c r="R188" s="47" t="n">
        <x:v>0.8977533190653589</x:v>
      </x:c>
      <x:c r="S188" s="27" t="n">
        <x:v>0</x:v>
      </x:c>
    </x:row>
    <x:row r="189" ht="21.600000381469727" hidden="0" customHeight="1">
      <x:c r="A189" s="29" t="n">
        <x:v>62</x:v>
      </x:c>
      <x:c r="B189" s="29" t="str">
        <x:v>A2</x:v>
      </x:c>
      <x:c r="C189" s="48" t="n">
        <x:v>0.9882748559801203</x:v>
      </x:c>
      <x:c r="D189" s="48" t="n">
        <x:v>0.8471528078188308</x:v>
      </x:c>
      <x:c r="E189" s="48" t="n">
        <x:v>0.8484278934206283</x:v>
      </x:c>
      <x:c r="F189" s="48" t="n">
        <x:v>-0.17982563158000395</x:v>
      </x:c>
      <x:c r="G189" s="48" t="n">
        <x:v>-0.15419001472795094</x:v>
      </x:c>
      <x:c r="H189" s="48" t="n">
        <x:v>0.8096981216577115</x:v>
      </x:c>
      <x:c r="I189" s="48" t="n">
        <x:v>0.6651155699618426</x:v>
      </x:c>
      <x:c r="J189" s="48" t="n">
        <x:v>0.6914964191713593</x:v>
      </x:c>
      <x:c r="K189" s="48" t="n">
        <x:v>0.9711900896702439</x:v>
      </x:c>
      <x:c r="L189" s="48" t="n">
        <x:v>0.5997359269437175</x:v>
      </x:c>
      <x:c r="M189" s="48" t="n">
        <x:v>0.08330508413449574</x:v>
      </x:c>
      <x:c r="N189" s="48" t="n">
        <x:v>0.8445232850547851</x:v>
      </x:c>
      <x:c r="O189" s="48" t="n">
        <x:v>0.9525642817572093</x:v>
      </x:c>
      <x:c r="P189" s="48" t="n">
        <x:v>0.6844773127277266</x:v>
      </x:c>
      <x:c r="Q189" s="48" t="n">
        <x:v>1</x:v>
      </x:c>
      <x:c r="R189" s="48" t="n">
        <x:v>0.9414243333124807</x:v>
      </x:c>
      <x:c r="S189" s="29" t="n">
        <x:v>0</x:v>
      </x:c>
    </x:row>
    <x:row r="190" ht="21.600000381469727" hidden="0" customHeight="1">
      <x:c r="A190" s="27" t="n">
        <x:v>62</x:v>
      </x:c>
      <x:c r="B190" s="27" t="str">
        <x:v>A3</x:v>
      </x:c>
      <x:c r="C190" s="47" t="n">
        <x:v>0.9882748559801203</x:v>
      </x:c>
      <x:c r="D190" s="47" t="n">
        <x:v>0.8471528078188308</x:v>
      </x:c>
      <x:c r="E190" s="47" t="n">
        <x:v>0.8484278934206283</x:v>
      </x:c>
      <x:c r="F190" s="47" t="n">
        <x:v>-0.17982563158000395</x:v>
      </x:c>
      <x:c r="G190" s="47" t="n">
        <x:v>-0.15419001472795094</x:v>
      </x:c>
      <x:c r="H190" s="47" t="n">
        <x:v>0.8096981216577115</x:v>
      </x:c>
      <x:c r="I190" s="47" t="n">
        <x:v>0.6651155699618426</x:v>
      </x:c>
      <x:c r="J190" s="47" t="n">
        <x:v>0.6914964191713593</x:v>
      </x:c>
      <x:c r="K190" s="47" t="n">
        <x:v>0.9711900896702439</x:v>
      </x:c>
      <x:c r="L190" s="47" t="n">
        <x:v>0.5997359269437175</x:v>
      </x:c>
      <x:c r="M190" s="47" t="n">
        <x:v>0.08330508413449574</x:v>
      </x:c>
      <x:c r="N190" s="47" t="n">
        <x:v>0.8445232850547851</x:v>
      </x:c>
      <x:c r="O190" s="47" t="n">
        <x:v>1</x:v>
      </x:c>
      <x:c r="P190" s="47" t="n">
        <x:v>1</x:v>
      </x:c>
      <x:c r="Q190" s="47" t="n">
        <x:v>1</x:v>
      </x:c>
      <x:c r="R190" s="47" t="n">
        <x:v>1</x:v>
      </x:c>
      <x:c r="S190" s="27" t="n">
        <x:v>1</x:v>
      </x:c>
    </x:row>
    <x:row r="191" ht="21.600000381469727" hidden="0" customHeight="1">
      <x:c r="A191" s="29" t="n">
        <x:v>63</x:v>
      </x:c>
      <x:c r="B191" s="29" t="str">
        <x:v>A1</x:v>
      </x:c>
      <x:c r="C191" s="48" t="n">
        <x:v>1.1240155210262037</x:v>
      </x:c>
      <x:c r="D191" s="48" t="n">
        <x:v>0.9753934611030394</x:v>
      </x:c>
      <x:c r="E191" s="48" t="n">
        <x:v>0.9478447973727969</x:v>
      </x:c>
      <x:c r="F191" s="48" t="n">
        <x:v>0.003070695501796117</x:v>
      </x:c>
      <x:c r="G191" s="48" t="n">
        <x:v>-0.0005677383837577599</x:v>
      </x:c>
      <x:c r="H191" s="48" t="n">
        <x:v>0.8662014249922592</x:v>
      </x:c>
      <x:c r="I191" s="48" t="n">
        <x:v>0.6517463024909235</x:v>
      </x:c>
      <x:c r="J191" s="48" t="n">
        <x:v>0.4973700970774828</x:v>
      </x:c>
      <x:c r="K191" s="48" t="n">
        <x:v>0.7824635306199151</x:v>
      </x:c>
      <x:c r="L191" s="48" t="n">
        <x:v>0.575006422199293</x:v>
      </x:c>
      <x:c r="M191" s="48" t="n">
        <x:v>0.020356094715665244</x:v>
      </x:c>
      <x:c r="N191" s="48" t="n">
        <x:v>0.8081273142988517</x:v>
      </x:c>
      <x:c r="O191" s="48" t="n">
        <x:v>0.8430187959579208</x:v>
      </x:c>
      <x:c r="P191" s="48" t="n">
        <x:v>0.5613581037860056</x:v>
      </x:c>
      <x:c r="Q191" s="48" t="n">
        <x:v>1</x:v>
      </x:c>
      <x:c r="R191" s="48" t="n">
        <x:v>0.8061528522218218</x:v>
      </x:c>
      <x:c r="S191" s="29" t="n">
        <x:v>0</x:v>
      </x:c>
    </x:row>
    <x:row r="192" ht="21.600000381469727" hidden="0" customHeight="1">
      <x:c r="A192" s="27" t="n">
        <x:v>63</x:v>
      </x:c>
      <x:c r="B192" s="27" t="str">
        <x:v>A2</x:v>
      </x:c>
      <x:c r="C192" s="47" t="n">
        <x:v>1.1240155210262037</x:v>
      </x:c>
      <x:c r="D192" s="47" t="n">
        <x:v>0.9753934611030394</x:v>
      </x:c>
      <x:c r="E192" s="47" t="n">
        <x:v>0.9478447973727969</x:v>
      </x:c>
      <x:c r="F192" s="47" t="n">
        <x:v>0.003070695501796117</x:v>
      </x:c>
      <x:c r="G192" s="47" t="n">
        <x:v>-0.0005677383837577599</x:v>
      </x:c>
      <x:c r="H192" s="47" t="n">
        <x:v>0.8662014249922592</x:v>
      </x:c>
      <x:c r="I192" s="47" t="n">
        <x:v>0.6517463024909235</x:v>
      </x:c>
      <x:c r="J192" s="47" t="n">
        <x:v>0.4973700970774828</x:v>
      </x:c>
      <x:c r="K192" s="47" t="n">
        <x:v>0.7824635306199151</x:v>
      </x:c>
      <x:c r="L192" s="47" t="n">
        <x:v>0.575006422199293</x:v>
      </x:c>
      <x:c r="M192" s="47" t="n">
        <x:v>0.020356094715665244</x:v>
      </x:c>
      <x:c r="N192" s="47" t="n">
        <x:v>0.8081273142988517</x:v>
      </x:c>
      <x:c r="O192" s="47" t="n">
        <x:v>0.9232644260827823</x:v>
      </x:c>
      <x:c r="P192" s="47" t="n">
        <x:v>0.6927105110536269</x:v>
      </x:c>
      <x:c r="Q192" s="47" t="n">
        <x:v>1</x:v>
      </x:c>
      <x:c r="R192" s="47" t="n">
        <x:v>0.9052436103561357</x:v>
      </x:c>
      <x:c r="S192" s="27" t="n">
        <x:v>0</x:v>
      </x:c>
    </x:row>
    <x:row r="193" ht="21.600000381469727" hidden="0" customHeight="1">
      <x:c r="A193" s="29" t="n">
        <x:v>63</x:v>
      </x:c>
      <x:c r="B193" s="29" t="str">
        <x:v>A3</x:v>
      </x:c>
      <x:c r="C193" s="48" t="n">
        <x:v>1.1240155210262037</x:v>
      </x:c>
      <x:c r="D193" s="48" t="n">
        <x:v>0.9753934611030394</x:v>
      </x:c>
      <x:c r="E193" s="48" t="n">
        <x:v>0.9478447973727969</x:v>
      </x:c>
      <x:c r="F193" s="48" t="n">
        <x:v>0.003070695501796117</x:v>
      </x:c>
      <x:c r="G193" s="48" t="n">
        <x:v>-0.0005677383837577599</x:v>
      </x:c>
      <x:c r="H193" s="48" t="n">
        <x:v>0.8662014249922592</x:v>
      </x:c>
      <x:c r="I193" s="48" t="n">
        <x:v>0.6517463024909235</x:v>
      </x:c>
      <x:c r="J193" s="48" t="n">
        <x:v>0.4973700970774828</x:v>
      </x:c>
      <x:c r="K193" s="48" t="n">
        <x:v>0.7824635306199151</x:v>
      </x:c>
      <x:c r="L193" s="48" t="n">
        <x:v>0.575006422199293</x:v>
      </x:c>
      <x:c r="M193" s="48" t="n">
        <x:v>0.020356094715665244</x:v>
      </x:c>
      <x:c r="N193" s="48" t="n">
        <x:v>0.8081273142988517</x:v>
      </x:c>
      <x:c r="O193" s="48" t="n">
        <x:v>1</x:v>
      </x:c>
      <x:c r="P193" s="48" t="n">
        <x:v>1</x:v>
      </x:c>
      <x:c r="Q193" s="48" t="n">
        <x:v>1</x:v>
      </x:c>
      <x:c r="R193" s="48" t="n">
        <x:v>1</x:v>
      </x:c>
      <x:c r="S193" s="29" t="n">
        <x:v>1</x:v>
      </x:c>
    </x:row>
    <x:row r="194" ht="21.600000381469727" hidden="0" customHeight="1">
      <x:c r="A194" s="27" t="n">
        <x:v>64</x:v>
      </x:c>
      <x:c r="B194" s="27" t="str">
        <x:v>A1</x:v>
      </x:c>
      <x:c r="C194" s="47" t="n">
        <x:v>1.2655304901602906</x:v>
      </x:c>
      <x:c r="D194" s="47" t="n">
        <x:v>0.864145185515579</x:v>
      </x:c>
      <x:c r="E194" s="47" t="n">
        <x:v>0.9436393067296707</x:v>
      </x:c>
      <x:c r="F194" s="47" t="n">
        <x:v>-0.007524766153673035</x:v>
      </x:c>
      <x:c r="G194" s="47" t="n">
        <x:v>-0.052879865176167135</x:v>
      </x:c>
      <x:c r="H194" s="47" t="n">
        <x:v>0.9649717718509345</x:v>
      </x:c>
      <x:c r="I194" s="47" t="n">
        <x:v>0.887555777862493</x:v>
      </x:c>
      <x:c r="J194" s="47" t="n">
        <x:v>0.8164925847746591</x:v>
      </x:c>
      <x:c r="K194" s="47" t="n">
        <x:v>0.6086733539316709</x:v>
      </x:c>
      <x:c r="L194" s="47" t="n">
        <x:v>0.8149144464208418</x:v>
      </x:c>
      <x:c r="M194" s="47" t="n">
        <x:v>0.007604006302429714</x:v>
      </x:c>
      <x:c r="N194" s="47" t="n">
        <x:v>0.7054288888988356</x:v>
      </x:c>
      <x:c r="O194" s="47" t="n">
        <x:v>0.802158425588691</x:v>
      </x:c>
      <x:c r="P194" s="47" t="n">
        <x:v>0.5346940998934672</x:v>
      </x:c>
      <x:c r="Q194" s="47" t="n">
        <x:v>1</x:v>
      </x:c>
      <x:c r="R194" s="47" t="n">
        <x:v>0.7556967081148366</x:v>
      </x:c>
      <x:c r="S194" s="27" t="n">
        <x:v>0</x:v>
      </x:c>
    </x:row>
    <x:row r="195" ht="21.600000381469727" hidden="0" customHeight="1">
      <x:c r="A195" s="29" t="n">
        <x:v>64</x:v>
      </x:c>
      <x:c r="B195" s="29" t="str">
        <x:v>A2</x:v>
      </x:c>
      <x:c r="C195" s="48" t="n">
        <x:v>1.2655304901602906</x:v>
      </x:c>
      <x:c r="D195" s="48" t="n">
        <x:v>0.864145185515579</x:v>
      </x:c>
      <x:c r="E195" s="48" t="n">
        <x:v>0.9436393067296707</x:v>
      </x:c>
      <x:c r="F195" s="48" t="n">
        <x:v>-0.007524766153673035</x:v>
      </x:c>
      <x:c r="G195" s="48" t="n">
        <x:v>-0.052879865176167135</x:v>
      </x:c>
      <x:c r="H195" s="48" t="n">
        <x:v>0.9649717718509345</x:v>
      </x:c>
      <x:c r="I195" s="48" t="n">
        <x:v>0.887555777862493</x:v>
      </x:c>
      <x:c r="J195" s="48" t="n">
        <x:v>0.8164925847746591</x:v>
      </x:c>
      <x:c r="K195" s="48" t="n">
        <x:v>0.6086733539316709</x:v>
      </x:c>
      <x:c r="L195" s="48" t="n">
        <x:v>0.8149144464208418</x:v>
      </x:c>
      <x:c r="M195" s="48" t="n">
        <x:v>0.007604006302429714</x:v>
      </x:c>
      <x:c r="N195" s="48" t="n">
        <x:v>0.7054288888988356</x:v>
      </x:c>
      <x:c r="O195" s="48" t="n">
        <x:v>0.8976220985689645</x:v>
      </x:c>
      <x:c r="P195" s="48" t="n">
        <x:v>0.49268916195723267</x:v>
      </x:c>
      <x:c r="Q195" s="48" t="n">
        <x:v>1</x:v>
      </x:c>
      <x:c r="R195" s="48" t="n">
        <x:v>0.873579360605477</x:v>
      </x:c>
      <x:c r="S195" s="29" t="n">
        <x:v>0</x:v>
      </x:c>
    </x:row>
    <x:row r="196" ht="21.600000381469727" hidden="0" customHeight="1">
      <x:c r="A196" s="27" t="n">
        <x:v>64</x:v>
      </x:c>
      <x:c r="B196" s="27" t="str">
        <x:v>A3</x:v>
      </x:c>
      <x:c r="C196" s="47" t="n">
        <x:v>1.2655304901602906</x:v>
      </x:c>
      <x:c r="D196" s="47" t="n">
        <x:v>0.864145185515579</x:v>
      </x:c>
      <x:c r="E196" s="47" t="n">
        <x:v>0.9436393067296707</x:v>
      </x:c>
      <x:c r="F196" s="47" t="n">
        <x:v>-0.007524766153673035</x:v>
      </x:c>
      <x:c r="G196" s="47" t="n">
        <x:v>-0.052879865176167135</x:v>
      </x:c>
      <x:c r="H196" s="47" t="n">
        <x:v>0.9649717718509345</x:v>
      </x:c>
      <x:c r="I196" s="47" t="n">
        <x:v>0.887555777862493</x:v>
      </x:c>
      <x:c r="J196" s="47" t="n">
        <x:v>0.8164925847746591</x:v>
      </x:c>
      <x:c r="K196" s="47" t="n">
        <x:v>0.6086733539316709</x:v>
      </x:c>
      <x:c r="L196" s="47" t="n">
        <x:v>0.8149144464208418</x:v>
      </x:c>
      <x:c r="M196" s="47" t="n">
        <x:v>0.007604006302429714</x:v>
      </x:c>
      <x:c r="N196" s="47" t="n">
        <x:v>0.7054288888988356</x:v>
      </x:c>
      <x:c r="O196" s="47" t="n">
        <x:v>1</x:v>
      </x:c>
      <x:c r="P196" s="47" t="n">
        <x:v>1</x:v>
      </x:c>
      <x:c r="Q196" s="47" t="n">
        <x:v>1</x:v>
      </x:c>
      <x:c r="R196" s="47" t="n">
        <x:v>1</x:v>
      </x:c>
      <x:c r="S196" s="27" t="n">
        <x:v>1</x:v>
      </x:c>
    </x:row>
    <x:row r="197" ht="21.600000381469727" hidden="0" customHeight="1">
      <x:c r="A197" s="29" t="n">
        <x:v>65</x:v>
      </x:c>
      <x:c r="B197" s="29" t="str">
        <x:v>A1</x:v>
      </x:c>
      <x:c r="C197" s="48" t="n">
        <x:v>1.3287120929222103</x:v>
      </x:c>
      <x:c r="D197" s="48" t="n">
        <x:v>0.8894351181301839</x:v>
      </x:c>
      <x:c r="E197" s="48" t="n">
        <x:v>0.7603801018777213</x:v>
      </x:c>
      <x:c r="F197" s="48" t="n">
        <x:v>-0.04662579024132016</x:v>
      </x:c>
      <x:c r="G197" s="48" t="n">
        <x:v>-0.11466321491617902</x:v>
      </x:c>
      <x:c r="H197" s="48" t="n">
        <x:v>0.40364792843112746</x:v>
      </x:c>
      <x:c r="I197" s="48" t="n">
        <x:v>0.8086018924100344</x:v>
      </x:c>
      <x:c r="J197" s="48" t="n">
        <x:v>0.7614671787288273</x:v>
      </x:c>
      <x:c r="K197" s="48" t="n">
        <x:v>0.9248405913957182</x:v>
      </x:c>
      <x:c r="L197" s="48" t="n">
        <x:v>0.6437093803718658</x:v>
      </x:c>
      <x:c r="M197" s="48" t="n">
        <x:v>0.0860437045130061</x:v>
      </x:c>
      <x:c r="N197" s="48" t="n">
        <x:v>0.8716337313512222</x:v>
      </x:c>
      <x:c r="O197" s="48" t="n">
        <x:v>0.7948494347350099</x:v>
      </x:c>
      <x:c r="P197" s="48" t="n">
        <x:v>0.48906014415518073</x:v>
      </x:c>
      <x:c r="Q197" s="48" t="n">
        <x:v>1</x:v>
      </x:c>
      <x:c r="R197" s="48" t="n">
        <x:v>0.7466712516038577</x:v>
      </x:c>
      <x:c r="S197" s="29" t="n">
        <x:v>0</x:v>
      </x:c>
    </x:row>
    <x:row r="198" ht="21.600000381469727" hidden="0" customHeight="1">
      <x:c r="A198" s="27" t="n">
        <x:v>65</x:v>
      </x:c>
      <x:c r="B198" s="27" t="str">
        <x:v>A2</x:v>
      </x:c>
      <x:c r="C198" s="47" t="n">
        <x:v>1.3287120929222103</x:v>
      </x:c>
      <x:c r="D198" s="47" t="n">
        <x:v>0.8894351181301839</x:v>
      </x:c>
      <x:c r="E198" s="47" t="n">
        <x:v>0.7603801018777213</x:v>
      </x:c>
      <x:c r="F198" s="47" t="n">
        <x:v>-0.04662579024132016</x:v>
      </x:c>
      <x:c r="G198" s="47" t="n">
        <x:v>-0.11466321491617902</x:v>
      </x:c>
      <x:c r="H198" s="47" t="n">
        <x:v>0.40364792843112746</x:v>
      </x:c>
      <x:c r="I198" s="47" t="n">
        <x:v>0.8086018924100344</x:v>
      </x:c>
      <x:c r="J198" s="47" t="n">
        <x:v>0.7614671787288273</x:v>
      </x:c>
      <x:c r="K198" s="47" t="n">
        <x:v>0.9248405913957182</x:v>
      </x:c>
      <x:c r="L198" s="47" t="n">
        <x:v>0.6437093803718658</x:v>
      </x:c>
      <x:c r="M198" s="47" t="n">
        <x:v>0.0860437045130061</x:v>
      </x:c>
      <x:c r="N198" s="47" t="n">
        <x:v>0.8716337313512222</x:v>
      </x:c>
      <x:c r="O198" s="47" t="n">
        <x:v>0.8903100395284026</x:v>
      </x:c>
      <x:c r="P198" s="47" t="n">
        <x:v>0.48658386794329517</x:v>
      </x:c>
      <x:c r="Q198" s="47" t="n">
        <x:v>1</x:v>
      </x:c>
      <x:c r="R198" s="47" t="n">
        <x:v>0.8645501153652723</x:v>
      </x:c>
      <x:c r="S198" s="27" t="n">
        <x:v>0</x:v>
      </x:c>
    </x:row>
    <x:row r="199" ht="21.600000381469727" hidden="0" customHeight="1">
      <x:c r="A199" s="29" t="n">
        <x:v>65</x:v>
      </x:c>
      <x:c r="B199" s="29" t="str">
        <x:v>A3</x:v>
      </x:c>
      <x:c r="C199" s="48" t="n">
        <x:v>1.3287120929222103</x:v>
      </x:c>
      <x:c r="D199" s="48" t="n">
        <x:v>0.8894351181301839</x:v>
      </x:c>
      <x:c r="E199" s="48" t="n">
        <x:v>0.7603801018777213</x:v>
      </x:c>
      <x:c r="F199" s="48" t="n">
        <x:v>-0.04662579024132016</x:v>
      </x:c>
      <x:c r="G199" s="48" t="n">
        <x:v>-0.11466321491617902</x:v>
      </x:c>
      <x:c r="H199" s="48" t="n">
        <x:v>0.40364792843112746</x:v>
      </x:c>
      <x:c r="I199" s="48" t="n">
        <x:v>0.8086018924100344</x:v>
      </x:c>
      <x:c r="J199" s="48" t="n">
        <x:v>0.7614671787288273</x:v>
      </x:c>
      <x:c r="K199" s="48" t="n">
        <x:v>0.9248405913957182</x:v>
      </x:c>
      <x:c r="L199" s="48" t="n">
        <x:v>0.6437093803718658</x:v>
      </x:c>
      <x:c r="M199" s="48" t="n">
        <x:v>0.0860437045130061</x:v>
      </x:c>
      <x:c r="N199" s="48" t="n">
        <x:v>0.8716337313512222</x:v>
      </x:c>
      <x:c r="O199" s="48" t="n">
        <x:v>1</x:v>
      </x:c>
      <x:c r="P199" s="48" t="n">
        <x:v>1</x:v>
      </x:c>
      <x:c r="Q199" s="48" t="n">
        <x:v>1</x:v>
      </x:c>
      <x:c r="R199" s="48" t="n">
        <x:v>1</x:v>
      </x:c>
      <x:c r="S199" s="29" t="n">
        <x:v>1</x:v>
      </x:c>
    </x:row>
    <x:row r="200" ht="21.600000381469727" hidden="0" customHeight="1">
      <x:c r="A200" s="27" t="n">
        <x:v>66</x:v>
      </x:c>
      <x:c r="B200" s="27" t="str">
        <x:v>A1</x:v>
      </x:c>
      <x:c r="C200" s="47" t="n">
        <x:v>0.9220224029921971</x:v>
      </x:c>
      <x:c r="D200" s="47" t="n">
        <x:v>0.9677097064738064</x:v>
      </x:c>
      <x:c r="E200" s="47" t="n">
        <x:v>1.0617665423515852</x:v>
      </x:c>
      <x:c r="F200" s="47" t="n">
        <x:v>-0.14342133185485675</x:v>
      </x:c>
      <x:c r="G200" s="47" t="n">
        <x:v>-0.042789499143896764</x:v>
      </x:c>
      <x:c r="H200" s="47" t="n">
        <x:v>0.9794524057575185</x:v>
      </x:c>
      <x:c r="I200" s="47" t="n">
        <x:v>0.7401931922625826</x:v>
      </x:c>
      <x:c r="J200" s="47" t="n">
        <x:v>0.9072656334765271</x:v>
      </x:c>
      <x:c r="K200" s="47" t="n">
        <x:v>0.7610594647234965</x:v>
      </x:c>
      <x:c r="L200" s="47" t="n">
        <x:v>0.9534803025160972</x:v>
      </x:c>
      <x:c r="M200" s="47" t="n">
        <x:v>0.09154307484267306</x:v>
      </x:c>
      <x:c r="N200" s="47" t="n">
        <x:v>0.7535006784541566</x:v>
      </x:c>
      <x:c r="O200" s="47" t="n">
        <x:v>1</x:v>
      </x:c>
      <x:c r="P200" s="47" t="n">
        <x:v>1</x:v>
      </x:c>
      <x:c r="Q200" s="47" t="n">
        <x:v>1</x:v>
      </x:c>
      <x:c r="R200" s="47" t="n">
        <x:v>1.0000000000000002</x:v>
      </x:c>
      <x:c r="S200" s="27" t="n">
        <x:v>1</x:v>
      </x:c>
    </x:row>
    <x:row r="201" ht="21.600000381469727" hidden="0" customHeight="1">
      <x:c r="A201" s="29" t="n">
        <x:v>66</x:v>
      </x:c>
      <x:c r="B201" s="29" t="str">
        <x:v>A2</x:v>
      </x:c>
      <x:c r="C201" s="48" t="n">
        <x:v>0.9220224029921971</x:v>
      </x:c>
      <x:c r="D201" s="48" t="n">
        <x:v>0.9677097064738064</x:v>
      </x:c>
      <x:c r="E201" s="48" t="n">
        <x:v>1.0617665423515852</x:v>
      </x:c>
      <x:c r="F201" s="48" t="n">
        <x:v>-0.14342133185485675</x:v>
      </x:c>
      <x:c r="G201" s="48" t="n">
        <x:v>-0.042789499143896764</x:v>
      </x:c>
      <x:c r="H201" s="48" t="n">
        <x:v>0.9794524057575185</x:v>
      </x:c>
      <x:c r="I201" s="48" t="n">
        <x:v>0.7401931922625826</x:v>
      </x:c>
      <x:c r="J201" s="48" t="n">
        <x:v>0.9072656334765271</x:v>
      </x:c>
      <x:c r="K201" s="48" t="n">
        <x:v>0.7610594647234965</x:v>
      </x:c>
      <x:c r="L201" s="48" t="n">
        <x:v>0.9534803025160972</x:v>
      </x:c>
      <x:c r="M201" s="48" t="n">
        <x:v>0.09154307484267306</x:v>
      </x:c>
      <x:c r="N201" s="48" t="n">
        <x:v>0.7535006784541566</x:v>
      </x:c>
      <x:c r="O201" s="48" t="n">
        <x:v>1</x:v>
      </x:c>
      <x:c r="P201" s="48" t="n">
        <x:v>1</x:v>
      </x:c>
      <x:c r="Q201" s="48" t="n">
        <x:v>1</x:v>
      </x:c>
      <x:c r="R201" s="48" t="n">
        <x:v>1.0000000000000002</x:v>
      </x:c>
      <x:c r="S201" s="29" t="n">
        <x:v>1</x:v>
      </x:c>
    </x:row>
    <x:row r="202" ht="21.600000381469727" hidden="0" customHeight="1">
      <x:c r="A202" s="27" t="n">
        <x:v>66</x:v>
      </x:c>
      <x:c r="B202" s="27" t="str">
        <x:v>A3</x:v>
      </x:c>
      <x:c r="C202" s="47" t="n">
        <x:v>0.9220224029921971</x:v>
      </x:c>
      <x:c r="D202" s="47" t="n">
        <x:v>0.9677097064738064</x:v>
      </x:c>
      <x:c r="E202" s="47" t="n">
        <x:v>1.0617665423515852</x:v>
      </x:c>
      <x:c r="F202" s="47" t="n">
        <x:v>-0.14342133185485675</x:v>
      </x:c>
      <x:c r="G202" s="47" t="n">
        <x:v>-0.042789499143896764</x:v>
      </x:c>
      <x:c r="H202" s="47" t="n">
        <x:v>0.9794524057575185</x:v>
      </x:c>
      <x:c r="I202" s="47" t="n">
        <x:v>0.7401931922625826</x:v>
      </x:c>
      <x:c r="J202" s="47" t="n">
        <x:v>0.9072656334765271</x:v>
      </x:c>
      <x:c r="K202" s="47" t="n">
        <x:v>0.7610594647234965</x:v>
      </x:c>
      <x:c r="L202" s="47" t="n">
        <x:v>0.9534803025160972</x:v>
      </x:c>
      <x:c r="M202" s="47" t="n">
        <x:v>0.09154307484267306</x:v>
      </x:c>
      <x:c r="N202" s="47" t="n">
        <x:v>0.7535006784541566</x:v>
      </x:c>
      <x:c r="O202" s="47" t="n">
        <x:v>1</x:v>
      </x:c>
      <x:c r="P202" s="47" t="n">
        <x:v>1</x:v>
      </x:c>
      <x:c r="Q202" s="47" t="n">
        <x:v>1</x:v>
      </x:c>
      <x:c r="R202" s="47" t="n">
        <x:v>1.0000000000000002</x:v>
      </x:c>
      <x:c r="S202" s="27" t="n">
        <x:v>1</x:v>
      </x:c>
    </x:row>
    <x:row r="203" ht="21.600000381469727" hidden="0" customHeight="1">
      <x:c r="A203" s="29" t="n">
        <x:v>67</x:v>
      </x:c>
      <x:c r="B203" s="29" t="str">
        <x:v>A1</x:v>
      </x:c>
      <x:c r="C203" s="48" t="n">
        <x:v>0.9343976858141415</x:v>
      </x:c>
      <x:c r="D203" s="48" t="n">
        <x:v>0.8890686196530954</x:v>
      </x:c>
      <x:c r="E203" s="48" t="n">
        <x:v>1.015478601448199</x:v>
      </x:c>
      <x:c r="F203" s="48" t="n">
        <x:v>-0.08195650179252766</x:v>
      </x:c>
      <x:c r="G203" s="48" t="n">
        <x:v>-0.007062728158591131</x:v>
      </x:c>
      <x:c r="H203" s="48" t="n">
        <x:v>0.537044430963839</x:v>
      </x:c>
      <x:c r="I203" s="48" t="n">
        <x:v>0.7185849224059169</x:v>
      </x:c>
      <x:c r="J203" s="48" t="n">
        <x:v>0.4238279784784691</x:v>
      </x:c>
      <x:c r="K203" s="48" t="n">
        <x:v>0.9460058809310111</x:v>
      </x:c>
      <x:c r="L203" s="48" t="n">
        <x:v>0.9339753642923025</x:v>
      </x:c>
      <x:c r="M203" s="48" t="n">
        <x:v>0.0012200344899096695</x:v>
      </x:c>
      <x:c r="N203" s="48" t="n">
        <x:v>0.9273537955415173</x:v>
      </x:c>
      <x:c r="O203" s="48" t="n">
        <x:v>0.9130464751745804</x:v>
      </x:c>
      <x:c r="P203" s="48" t="n">
        <x:v>0.6822447928805536</x:v>
      </x:c>
      <x:c r="Q203" s="48" t="n">
        <x:v>1</x:v>
      </x:c>
      <x:c r="R203" s="48" t="n">
        <x:v>0.8926260447578908</x:v>
      </x:c>
      <x:c r="S203" s="29" t="n">
        <x:v>0</x:v>
      </x:c>
    </x:row>
    <x:row r="204" ht="21.600000381469727" hidden="0" customHeight="1">
      <x:c r="A204" s="27" t="n">
        <x:v>67</x:v>
      </x:c>
      <x:c r="B204" s="27" t="str">
        <x:v>A2</x:v>
      </x:c>
      <x:c r="C204" s="47" t="n">
        <x:v>0.9343976858141415</x:v>
      </x:c>
      <x:c r="D204" s="47" t="n">
        <x:v>0.8890686196530954</x:v>
      </x:c>
      <x:c r="E204" s="47" t="n">
        <x:v>1.015478601448199</x:v>
      </x:c>
      <x:c r="F204" s="47" t="n">
        <x:v>-0.08195650179252766</x:v>
      </x:c>
      <x:c r="G204" s="47" t="n">
        <x:v>-0.007062728158591131</x:v>
      </x:c>
      <x:c r="H204" s="47" t="n">
        <x:v>0.537044430963839</x:v>
      </x:c>
      <x:c r="I204" s="47" t="n">
        <x:v>0.7185849224059169</x:v>
      </x:c>
      <x:c r="J204" s="47" t="n">
        <x:v>0.4238279784784691</x:v>
      </x:c>
      <x:c r="K204" s="47" t="n">
        <x:v>0.9460058809310111</x:v>
      </x:c>
      <x:c r="L204" s="47" t="n">
        <x:v>0.9339753642923025</x:v>
      </x:c>
      <x:c r="M204" s="47" t="n">
        <x:v>0.0012200344899096695</x:v>
      </x:c>
      <x:c r="N204" s="47" t="n">
        <x:v>0.9273537955415173</x:v>
      </x:c>
      <x:c r="O204" s="47" t="n">
        <x:v>0.9911090186872029</x:v>
      </x:c>
      <x:c r="P204" s="47" t="n">
        <x:v>0.9338561033600368</x:v>
      </x:c>
      <x:c r="Q204" s="47" t="n">
        <x:v>1</x:v>
      </x:c>
      <x:c r="R204" s="47" t="n">
        <x:v>0.9890210335756322</x:v>
      </x:c>
      <x:c r="S204" s="27" t="n">
        <x:v>0</x:v>
      </x:c>
    </x:row>
    <x:row r="205" ht="21.600000381469727" hidden="0" customHeight="1">
      <x:c r="A205" s="29" t="n">
        <x:v>67</x:v>
      </x:c>
      <x:c r="B205" s="29" t="str">
        <x:v>A3</x:v>
      </x:c>
      <x:c r="C205" s="48" t="n">
        <x:v>0.9343976858141415</x:v>
      </x:c>
      <x:c r="D205" s="48" t="n">
        <x:v>0.8890686196530954</x:v>
      </x:c>
      <x:c r="E205" s="48" t="n">
        <x:v>1.015478601448199</x:v>
      </x:c>
      <x:c r="F205" s="48" t="n">
        <x:v>-0.08195650179252766</x:v>
      </x:c>
      <x:c r="G205" s="48" t="n">
        <x:v>-0.007062728158591131</x:v>
      </x:c>
      <x:c r="H205" s="48" t="n">
        <x:v>0.537044430963839</x:v>
      </x:c>
      <x:c r="I205" s="48" t="n">
        <x:v>0.7185849224059169</x:v>
      </x:c>
      <x:c r="J205" s="48" t="n">
        <x:v>0.4238279784784691</x:v>
      </x:c>
      <x:c r="K205" s="48" t="n">
        <x:v>0.9460058809310111</x:v>
      </x:c>
      <x:c r="L205" s="48" t="n">
        <x:v>0.9339753642923025</x:v>
      </x:c>
      <x:c r="M205" s="48" t="n">
        <x:v>0.0012200344899096695</x:v>
      </x:c>
      <x:c r="N205" s="48" t="n">
        <x:v>0.9273537955415173</x:v>
      </x:c>
      <x:c r="O205" s="48" t="n">
        <x:v>1</x:v>
      </x:c>
      <x:c r="P205" s="48" t="n">
        <x:v>1</x:v>
      </x:c>
      <x:c r="Q205" s="48" t="n">
        <x:v>1</x:v>
      </x:c>
      <x:c r="R205" s="48" t="n">
        <x:v>1</x:v>
      </x:c>
      <x:c r="S205" s="29" t="n">
        <x:v>1</x:v>
      </x:c>
    </x:row>
    <x:row r="206" ht="21.600000381469727" hidden="0" customHeight="1">
      <x:c r="A206" s="27" t="n">
        <x:v>68</x:v>
      </x:c>
      <x:c r="B206" s="27" t="str">
        <x:v>A1</x:v>
      </x:c>
      <x:c r="C206" s="47" t="n">
        <x:v>1.0890837269690297</x:v>
      </x:c>
      <x:c r="D206" s="47" t="n">
        <x:v>0.9421570734218334</x:v>
      </x:c>
      <x:c r="E206" s="47" t="n">
        <x:v>1.0098943866260062</x:v>
      </x:c>
      <x:c r="F206" s="47" t="n">
        <x:v>-0.19142428636637568</x:v>
      </x:c>
      <x:c r="G206" s="47" t="n">
        <x:v>-0.14682284928819272</x:v>
      </x:c>
      <x:c r="H206" s="47" t="n">
        <x:v>1.021597562695272</x:v>
      </x:c>
      <x:c r="I206" s="47" t="n">
        <x:v>0.9816060770280266</x:v>
      </x:c>
      <x:c r="J206" s="47" t="n">
        <x:v>0.9669832900864138</x:v>
      </x:c>
      <x:c r="K206" s="47" t="n">
        <x:v>0.9455909278441597</x:v>
      </x:c>
      <x:c r="L206" s="47" t="n">
        <x:v>0.8658344602811359</x:v>
      </x:c>
      <x:c r="M206" s="47" t="n">
        <x:v>0.10827823752641055</x:v>
      </x:c>
      <x:c r="N206" s="47" t="n">
        <x:v>0.8689888579968791</x:v>
      </x:c>
      <x:c r="O206" s="47" t="n">
        <x:v>0.9451382382929037</x:v>
      </x:c>
      <x:c r="P206" s="47" t="n">
        <x:v>0.649690444166058</x:v>
      </x:c>
      <x:c r="Q206" s="47" t="n">
        <x:v>1</x:v>
      </x:c>
      <x:c r="R206" s="47" t="n">
        <x:v>0.9322543351995438</x:v>
      </x:c>
      <x:c r="S206" s="27" t="n">
        <x:v>0</x:v>
      </x:c>
    </x:row>
    <x:row r="207" ht="21.600000381469727" hidden="0" customHeight="1">
      <x:c r="A207" s="29" t="n">
        <x:v>68</x:v>
      </x:c>
      <x:c r="B207" s="29" t="str">
        <x:v>A2</x:v>
      </x:c>
      <x:c r="C207" s="48" t="n">
        <x:v>1.0890837269690297</x:v>
      </x:c>
      <x:c r="D207" s="48" t="n">
        <x:v>0.9421570734218334</x:v>
      </x:c>
      <x:c r="E207" s="48" t="n">
        <x:v>1.0098943866260062</x:v>
      </x:c>
      <x:c r="F207" s="48" t="n">
        <x:v>-0.19142428636637568</x:v>
      </x:c>
      <x:c r="G207" s="48" t="n">
        <x:v>-0.14682284928819272</x:v>
      </x:c>
      <x:c r="H207" s="48" t="n">
        <x:v>1.021597562695272</x:v>
      </x:c>
      <x:c r="I207" s="48" t="n">
        <x:v>0.9816060770280266</x:v>
      </x:c>
      <x:c r="J207" s="48" t="n">
        <x:v>0.9669832900864138</x:v>
      </x:c>
      <x:c r="K207" s="48" t="n">
        <x:v>0.9455909278441597</x:v>
      </x:c>
      <x:c r="L207" s="48" t="n">
        <x:v>0.8658344602811359</x:v>
      </x:c>
      <x:c r="M207" s="48" t="n">
        <x:v>0.10827823752641055</x:v>
      </x:c>
      <x:c r="N207" s="48" t="n">
        <x:v>0.8689888579968791</x:v>
      </x:c>
      <x:c r="O207" s="48" t="n">
        <x:v>1</x:v>
      </x:c>
      <x:c r="P207" s="48" t="n">
        <x:v>1</x:v>
      </x:c>
      <x:c r="Q207" s="48" t="n">
        <x:v>1</x:v>
      </x:c>
      <x:c r="R207" s="48" t="n">
        <x:v>1</x:v>
      </x:c>
      <x:c r="S207" s="29" t="n">
        <x:v>1</x:v>
      </x:c>
    </x:row>
    <x:row r="208" ht="21.600000381469727" hidden="0" customHeight="1">
      <x:c r="A208" s="27" t="n">
        <x:v>68</x:v>
      </x:c>
      <x:c r="B208" s="27" t="str">
        <x:v>A3</x:v>
      </x:c>
      <x:c r="C208" s="47" t="n">
        <x:v>1.0890837269690297</x:v>
      </x:c>
      <x:c r="D208" s="47" t="n">
        <x:v>0.9421570734218334</x:v>
      </x:c>
      <x:c r="E208" s="47" t="n">
        <x:v>1.0098943866260062</x:v>
      </x:c>
      <x:c r="F208" s="47" t="n">
        <x:v>-0.19142428636637568</x:v>
      </x:c>
      <x:c r="G208" s="47" t="n">
        <x:v>-0.14682284928819272</x:v>
      </x:c>
      <x:c r="H208" s="47" t="n">
        <x:v>1.021597562695272</x:v>
      </x:c>
      <x:c r="I208" s="47" t="n">
        <x:v>0.9816060770280266</x:v>
      </x:c>
      <x:c r="J208" s="47" t="n">
        <x:v>0.9669832900864138</x:v>
      </x:c>
      <x:c r="K208" s="47" t="n">
        <x:v>0.9455909278441597</x:v>
      </x:c>
      <x:c r="L208" s="47" t="n">
        <x:v>0.8658344602811359</x:v>
      </x:c>
      <x:c r="M208" s="47" t="n">
        <x:v>0.10827823752641055</x:v>
      </x:c>
      <x:c r="N208" s="47" t="n">
        <x:v>0.8689888579968791</x:v>
      </x:c>
      <x:c r="O208" s="47" t="n">
        <x:v>1</x:v>
      </x:c>
      <x:c r="P208" s="47" t="n">
        <x:v>1</x:v>
      </x:c>
      <x:c r="Q208" s="47" t="n">
        <x:v>1</x:v>
      </x:c>
      <x:c r="R208" s="47" t="n">
        <x:v>1</x:v>
      </x:c>
      <x:c r="S208" s="27" t="n">
        <x:v>1</x:v>
      </x:c>
    </x:row>
    <x:row r="209" ht="21.600000381469727" hidden="0" customHeight="1">
      <x:c r="A209" s="29" t="n">
        <x:v>69</x:v>
      </x:c>
      <x:c r="B209" s="29" t="str">
        <x:v>A1</x:v>
      </x:c>
      <x:c r="C209" s="48" t="n">
        <x:v>1.2911629394399937</x:v>
      </x:c>
      <x:c r="D209" s="48" t="n">
        <x:v>0.7242133598367183</x:v>
      </x:c>
      <x:c r="E209" s="48" t="n">
        <x:v>1.0009710839360801</x:v>
      </x:c>
      <x:c r="F209" s="48" t="n">
        <x:v>-0.0051143115279858875</x:v>
      </x:c>
      <x:c r="G209" s="48" t="n">
        <x:v>-0.15187437451849609</x:v>
      </x:c>
      <x:c r="H209" s="48" t="n">
        <x:v>0.9397480016495896</x:v>
      </x:c>
      <x:c r="I209" s="48" t="n">
        <x:v>0.7025161405728956</x:v>
      </x:c>
      <x:c r="J209" s="48" t="n">
        <x:v>0.7740781976423701</x:v>
      </x:c>
      <x:c r="K209" s="48" t="n">
        <x:v>0.8629464358292762</x:v>
      </x:c>
      <x:c r="L209" s="48" t="n">
        <x:v>0.5724628517190273</x:v>
      </x:c>
      <x:c r="M209" s="48" t="n">
        <x:v>0.034271029624650715</x:v>
      </x:c>
      <x:c r="N209" s="48" t="n">
        <x:v>0.8549749296949848</x:v>
      </x:c>
      <x:c r="O209" s="48" t="n">
        <x:v>0.7199902296355358</x:v>
      </x:c>
      <x:c r="P209" s="48" t="n">
        <x:v>0.42440478928844483</x:v>
      </x:c>
      <x:c r="Q209" s="48" t="n">
        <x:v>0.8711140554098292</x:v>
      </x:c>
      <x:c r="R209" s="48" t="n">
        <x:v>0.6554180747693781</x:v>
      </x:c>
      <x:c r="S209" s="29" t="n">
        <x:v>0</x:v>
      </x:c>
    </x:row>
    <x:row r="210" ht="21.600000381469727" hidden="0" customHeight="1">
      <x:c r="A210" s="27" t="n">
        <x:v>69</x:v>
      </x:c>
      <x:c r="B210" s="27" t="str">
        <x:v>A2</x:v>
      </x:c>
      <x:c r="C210" s="47" t="n">
        <x:v>1.2911629394399937</x:v>
      </x:c>
      <x:c r="D210" s="47" t="n">
        <x:v>0.7242133598367183</x:v>
      </x:c>
      <x:c r="E210" s="47" t="n">
        <x:v>1.0009710839360801</x:v>
      </x:c>
      <x:c r="F210" s="47" t="n">
        <x:v>-0.0051143115279858875</x:v>
      </x:c>
      <x:c r="G210" s="47" t="n">
        <x:v>-0.15187437451849609</x:v>
      </x:c>
      <x:c r="H210" s="47" t="n">
        <x:v>0.9397480016495896</x:v>
      </x:c>
      <x:c r="I210" s="47" t="n">
        <x:v>0.7025161405728956</x:v>
      </x:c>
      <x:c r="J210" s="47" t="n">
        <x:v>0.7740781976423701</x:v>
      </x:c>
      <x:c r="K210" s="47" t="n">
        <x:v>0.8629464358292762</x:v>
      </x:c>
      <x:c r="L210" s="47" t="n">
        <x:v>0.5724628517190273</x:v>
      </x:c>
      <x:c r="M210" s="47" t="n">
        <x:v>0.034271029624650715</x:v>
      </x:c>
      <x:c r="N210" s="47" t="n">
        <x:v>0.8549749296949848</x:v>
      </x:c>
      <x:c r="O210" s="47" t="n">
        <x:v>0.7918736131337822</x:v>
      </x:c>
      <x:c r="P210" s="47" t="n">
        <x:v>0.4892548661016466</x:v>
      </x:c>
      <x:c r="Q210" s="47" t="n">
        <x:v>1</x:v>
      </x:c>
      <x:c r="R210" s="47" t="n">
        <x:v>0.7429965790007603</x:v>
      </x:c>
      <x:c r="S210" s="27" t="n">
        <x:v>0</x:v>
      </x:c>
    </x:row>
    <x:row r="211" ht="21.600000381469727" hidden="0" customHeight="1">
      <x:c r="A211" s="29" t="n">
        <x:v>69</x:v>
      </x:c>
      <x:c r="B211" s="29" t="str">
        <x:v>A3</x:v>
      </x:c>
      <x:c r="C211" s="48" t="n">
        <x:v>1.2911629394399937</x:v>
      </x:c>
      <x:c r="D211" s="48" t="n">
        <x:v>0.7242133598367183</x:v>
      </x:c>
      <x:c r="E211" s="48" t="n">
        <x:v>1.0009710839360801</x:v>
      </x:c>
      <x:c r="F211" s="48" t="n">
        <x:v>-0.0051143115279858875</x:v>
      </x:c>
      <x:c r="G211" s="48" t="n">
        <x:v>-0.15187437451849609</x:v>
      </x:c>
      <x:c r="H211" s="48" t="n">
        <x:v>0.9397480016495896</x:v>
      </x:c>
      <x:c r="I211" s="48" t="n">
        <x:v>0.7025161405728956</x:v>
      </x:c>
      <x:c r="J211" s="48" t="n">
        <x:v>0.7740781976423701</x:v>
      </x:c>
      <x:c r="K211" s="48" t="n">
        <x:v>0.8629464358292762</x:v>
      </x:c>
      <x:c r="L211" s="48" t="n">
        <x:v>0.5724628517190273</x:v>
      </x:c>
      <x:c r="M211" s="48" t="n">
        <x:v>0.034271029624650715</x:v>
      </x:c>
      <x:c r="N211" s="48" t="n">
        <x:v>0.8549749296949848</x:v>
      </x:c>
      <x:c r="O211" s="48" t="n">
        <x:v>1</x:v>
      </x:c>
      <x:c r="P211" s="48" t="n">
        <x:v>1</x:v>
      </x:c>
      <x:c r="Q211" s="48" t="n">
        <x:v>1</x:v>
      </x:c>
      <x:c r="R211" s="48" t="n">
        <x:v>1.0000000000000002</x:v>
      </x:c>
      <x:c r="S211" s="29" t="n">
        <x:v>1</x:v>
      </x:c>
    </x:row>
    <x:row r="212" ht="21.600000381469727" hidden="0" customHeight="1">
      <x:c r="A212" s="27" t="n">
        <x:v>70</x:v>
      </x:c>
      <x:c r="B212" s="27" t="str">
        <x:v>A1</x:v>
      </x:c>
      <x:c r="C212" s="47" t="n">
        <x:v>1.1683426571377218</x:v>
      </x:c>
      <x:c r="D212" s="47" t="n">
        <x:v>0.9293617821257603</x:v>
      </x:c>
      <x:c r="E212" s="47" t="n">
        <x:v>0.5966394492701731</x:v>
      </x:c>
      <x:c r="F212" s="47" t="n">
        <x:v>-0.09069060089347447</x:v>
      </x:c>
      <x:c r="G212" s="47" t="n">
        <x:v>-0.17618089697395042</x:v>
      </x:c>
      <x:c r="H212" s="47" t="n">
        <x:v>0.8508428353653958</x:v>
      </x:c>
      <x:c r="I212" s="47" t="n">
        <x:v>0.7331338913863104</x:v>
      </x:c>
      <x:c r="J212" s="47" t="n">
        <x:v>0.6106794819259419</x:v>
      </x:c>
      <x:c r="K212" s="47" t="n">
        <x:v>0.9701228003062737</x:v>
      </x:c>
      <x:c r="L212" s="47" t="n">
        <x:v>0.7165232027662508</x:v>
      </x:c>
      <x:c r="M212" s="47" t="n">
        <x:v>0.14676605247057412</x:v>
      </x:c>
      <x:c r="N212" s="47" t="n">
        <x:v>0.8943763647005942</x:v>
      </x:c>
      <x:c r="O212" s="47" t="n">
        <x:v>0.8478875716676554</x:v>
      </x:c>
      <x:c r="P212" s="47" t="n">
        <x:v>0.5889634479278414</x:v>
      </x:c>
      <x:c r="Q212" s="47" t="n">
        <x:v>1</x:v>
      </x:c>
      <x:c r="R212" s="47" t="n">
        <x:v>0.8121650260375527</x:v>
      </x:c>
      <x:c r="S212" s="27" t="n">
        <x:v>0</x:v>
      </x:c>
    </x:row>
    <x:row r="213" ht="21.600000381469727" hidden="0" customHeight="1">
      <x:c r="A213" s="29" t="n">
        <x:v>70</x:v>
      </x:c>
      <x:c r="B213" s="29" t="str">
        <x:v>A2</x:v>
      </x:c>
      <x:c r="C213" s="48" t="n">
        <x:v>1.1683426571377218</x:v>
      </x:c>
      <x:c r="D213" s="48" t="n">
        <x:v>0.9293617821257603</x:v>
      </x:c>
      <x:c r="E213" s="48" t="n">
        <x:v>0.5966394492701731</x:v>
      </x:c>
      <x:c r="F213" s="48" t="n">
        <x:v>-0.09069060089347447</x:v>
      </x:c>
      <x:c r="G213" s="48" t="n">
        <x:v>-0.17618089697395042</x:v>
      </x:c>
      <x:c r="H213" s="48" t="n">
        <x:v>0.8508428353653958</x:v>
      </x:c>
      <x:c r="I213" s="48" t="n">
        <x:v>0.7331338913863104</x:v>
      </x:c>
      <x:c r="J213" s="48" t="n">
        <x:v>0.6106794819259419</x:v>
      </x:c>
      <x:c r="K213" s="48" t="n">
        <x:v>0.9701228003062737</x:v>
      </x:c>
      <x:c r="L213" s="48" t="n">
        <x:v>0.7165232027662508</x:v>
      </x:c>
      <x:c r="M213" s="48" t="n">
        <x:v>0.14676605247057412</x:v>
      </x:c>
      <x:c r="N213" s="48" t="n">
        <x:v>0.8943763647005942</x:v>
      </x:c>
      <x:c r="O213" s="48" t="n">
        <x:v>0.9503344870787702</x:v>
      </x:c>
      <x:c r="P213" s="48" t="n">
        <x:v>0.7381084270204771</x:v>
      </x:c>
      <x:c r="Q213" s="48" t="n">
        <x:v>1</x:v>
      </x:c>
      <x:c r="R213" s="48" t="n">
        <x:v>0.9386708868652837</x:v>
      </x:c>
      <x:c r="S213" s="29" t="n">
        <x:v>0</x:v>
      </x:c>
    </x:row>
    <x:row r="214" ht="21.600000381469727" hidden="0" customHeight="1">
      <x:c r="A214" s="27" t="n">
        <x:v>70</x:v>
      </x:c>
      <x:c r="B214" s="27" t="str">
        <x:v>A3</x:v>
      </x:c>
      <x:c r="C214" s="47" t="n">
        <x:v>1.1683426571377218</x:v>
      </x:c>
      <x:c r="D214" s="47" t="n">
        <x:v>0.9293617821257603</x:v>
      </x:c>
      <x:c r="E214" s="47" t="n">
        <x:v>0.5966394492701731</x:v>
      </x:c>
      <x:c r="F214" s="47" t="n">
        <x:v>-0.09069060089347447</x:v>
      </x:c>
      <x:c r="G214" s="47" t="n">
        <x:v>-0.17618089697395042</x:v>
      </x:c>
      <x:c r="H214" s="47" t="n">
        <x:v>0.8508428353653958</x:v>
      </x:c>
      <x:c r="I214" s="47" t="n">
        <x:v>0.7331338913863104</x:v>
      </x:c>
      <x:c r="J214" s="47" t="n">
        <x:v>0.6106794819259419</x:v>
      </x:c>
      <x:c r="K214" s="47" t="n">
        <x:v>0.9701228003062737</x:v>
      </x:c>
      <x:c r="L214" s="47" t="n">
        <x:v>0.7165232027662508</x:v>
      </x:c>
      <x:c r="M214" s="47" t="n">
        <x:v>0.14676605247057412</x:v>
      </x:c>
      <x:c r="N214" s="47" t="n">
        <x:v>0.8943763647005942</x:v>
      </x:c>
      <x:c r="O214" s="47" t="n">
        <x:v>1</x:v>
      </x:c>
      <x:c r="P214" s="47" t="n">
        <x:v>1</x:v>
      </x:c>
      <x:c r="Q214" s="47" t="n">
        <x:v>1</x:v>
      </x:c>
      <x:c r="R214" s="47" t="n">
        <x:v>1.0000000000000002</x:v>
      </x:c>
      <x:c r="S214" s="27" t="n">
        <x:v>1</x:v>
      </x:c>
    </x:row>
    <x:row r="215" ht="21.600000381469727" hidden="0" customHeight="1">
      <x:c r="A215" s="29" t="n">
        <x:v>71</x:v>
      </x:c>
      <x:c r="B215" s="29" t="str">
        <x:v>A1</x:v>
      </x:c>
      <x:c r="C215" s="48" t="n">
        <x:v>1.300919041689506</x:v>
      </x:c>
      <x:c r="D215" s="48" t="n">
        <x:v>0.9139702651067185</x:v>
      </x:c>
      <x:c r="E215" s="48" t="n">
        <x:v>0.6477937715883989</x:v>
      </x:c>
      <x:c r="F215" s="48" t="n">
        <x:v>0.026229016368841784</x:v>
      </x:c>
      <x:c r="G215" s="48" t="n">
        <x:v>-0.19918269324056945</x:v>
      </x:c>
      <x:c r="H215" s="48" t="n">
        <x:v>1.093652803003583</x:v>
      </x:c>
      <x:c r="I215" s="48" t="n">
        <x:v>0.9314409442152922</x:v>
      </x:c>
      <x:c r="J215" s="48" t="n">
        <x:v>0.5410844837791615</x:v>
      </x:c>
      <x:c r="K215" s="48" t="n">
        <x:v>0.7828549544868424</x:v>
      </x:c>
      <x:c r="L215" s="48" t="n">
        <x:v>0.8507024370597283</x:v>
      </x:c>
      <x:c r="M215" s="48" t="n">
        <x:v>0.11590870087322598</x:v>
      </x:c>
      <x:c r="N215" s="48" t="n">
        <x:v>0.6580931050070945</x:v>
      </x:c>
      <x:c r="O215" s="48" t="n">
        <x:v>0.805875743918689</x:v>
      </x:c>
      <x:c r="P215" s="48" t="n">
        <x:v>0.5436619449957456</x:v>
      </x:c>
      <x:c r="Q215" s="48" t="n">
        <x:v>1</x:v>
      </x:c>
      <x:c r="R215" s="48" t="n">
        <x:v>0.760287012795265</x:v>
      </x:c>
      <x:c r="S215" s="29" t="n">
        <x:v>0</x:v>
      </x:c>
    </x:row>
    <x:row r="216" ht="21.600000381469727" hidden="0" customHeight="1">
      <x:c r="A216" s="27" t="n">
        <x:v>71</x:v>
      </x:c>
      <x:c r="B216" s="27" t="str">
        <x:v>A2</x:v>
      </x:c>
      <x:c r="C216" s="47" t="n">
        <x:v>1.300919041689506</x:v>
      </x:c>
      <x:c r="D216" s="47" t="n">
        <x:v>0.9139702651067185</x:v>
      </x:c>
      <x:c r="E216" s="47" t="n">
        <x:v>0.6477937715883989</x:v>
      </x:c>
      <x:c r="F216" s="47" t="n">
        <x:v>0.026229016368841784</x:v>
      </x:c>
      <x:c r="G216" s="47" t="n">
        <x:v>-0.19918269324056945</x:v>
      </x:c>
      <x:c r="H216" s="47" t="n">
        <x:v>1.093652803003583</x:v>
      </x:c>
      <x:c r="I216" s="47" t="n">
        <x:v>0.9314409442152922</x:v>
      </x:c>
      <x:c r="J216" s="47" t="n">
        <x:v>0.5410844837791615</x:v>
      </x:c>
      <x:c r="K216" s="47" t="n">
        <x:v>0.7828549544868424</x:v>
      </x:c>
      <x:c r="L216" s="47" t="n">
        <x:v>0.8507024370597283</x:v>
      </x:c>
      <x:c r="M216" s="47" t="n">
        <x:v>0.11590870087322598</x:v>
      </x:c>
      <x:c r="N216" s="47" t="n">
        <x:v>0.6580931050070945</x:v>
      </x:c>
      <x:c r="O216" s="47" t="n">
        <x:v>0.8881861521198312</x:v>
      </x:c>
      <x:c r="P216" s="47" t="n">
        <x:v>0.5974997368142118</x:v>
      </x:c>
      <x:c r="Q216" s="47" t="n">
        <x:v>1</x:v>
      </x:c>
      <x:c r="R216" s="47" t="n">
        <x:v>0.861927447773532</x:v>
      </x:c>
      <x:c r="S216" s="27" t="n">
        <x:v>0</x:v>
      </x:c>
    </x:row>
    <x:row r="217" ht="21.600000381469727" hidden="0" customHeight="1">
      <x:c r="A217" s="29" t="n">
        <x:v>71</x:v>
      </x:c>
      <x:c r="B217" s="29" t="str">
        <x:v>A3</x:v>
      </x:c>
      <x:c r="C217" s="48" t="n">
        <x:v>1.300919041689506</x:v>
      </x:c>
      <x:c r="D217" s="48" t="n">
        <x:v>0.9139702651067185</x:v>
      </x:c>
      <x:c r="E217" s="48" t="n">
        <x:v>0.6477937715883989</x:v>
      </x:c>
      <x:c r="F217" s="48" t="n">
        <x:v>0.026229016368841784</x:v>
      </x:c>
      <x:c r="G217" s="48" t="n">
        <x:v>-0.19918269324056945</x:v>
      </x:c>
      <x:c r="H217" s="48" t="n">
        <x:v>1.093652803003583</x:v>
      </x:c>
      <x:c r="I217" s="48" t="n">
        <x:v>0.9314409442152922</x:v>
      </x:c>
      <x:c r="J217" s="48" t="n">
        <x:v>0.5410844837791615</x:v>
      </x:c>
      <x:c r="K217" s="48" t="n">
        <x:v>0.7828549544868424</x:v>
      </x:c>
      <x:c r="L217" s="48" t="n">
        <x:v>0.8507024370597283</x:v>
      </x:c>
      <x:c r="M217" s="48" t="n">
        <x:v>0.11590870087322598</x:v>
      </x:c>
      <x:c r="N217" s="48" t="n">
        <x:v>0.6580931050070945</x:v>
      </x:c>
      <x:c r="O217" s="48" t="n">
        <x:v>1</x:v>
      </x:c>
      <x:c r="P217" s="48" t="n">
        <x:v>1</x:v>
      </x:c>
      <x:c r="Q217" s="48" t="n">
        <x:v>1</x:v>
      </x:c>
      <x:c r="R217" s="48" t="n">
        <x:v>1</x:v>
      </x:c>
      <x:c r="S217" s="29" t="n">
        <x:v>1</x:v>
      </x:c>
    </x:row>
    <x:row r="218" ht="21.600000381469727" hidden="0" customHeight="1">
      <x:c r="A218" s="27" t="n">
        <x:v>72</x:v>
      </x:c>
      <x:c r="B218" s="27" t="str">
        <x:v>A1</x:v>
      </x:c>
      <x:c r="C218" s="47" t="n">
        <x:v>1.1620162553837128</x:v>
      </x:c>
      <x:c r="D218" s="47" t="n">
        <x:v>0.7264141403364839</x:v>
      </x:c>
      <x:c r="E218" s="47" t="n">
        <x:v>1.0796947995531485</x:v>
      </x:c>
      <x:c r="F218" s="47" t="n">
        <x:v>-0.15195635225899123</x:v>
      </x:c>
      <x:c r="G218" s="47" t="n">
        <x:v>-0.17975882206012028</x:v>
      </x:c>
      <x:c r="H218" s="47" t="n">
        <x:v>0.6879499852722571</x:v>
      </x:c>
      <x:c r="I218" s="47" t="n">
        <x:v>0.9729135944660268</x:v>
      </x:c>
      <x:c r="J218" s="47" t="n">
        <x:v>0.40541004333242764</x:v>
      </x:c>
      <x:c r="K218" s="47" t="n">
        <x:v>0.9202701316593631</x:v>
      </x:c>
      <x:c r="L218" s="47" t="n">
        <x:v>0.9283267324344608</x:v>
      </x:c>
      <x:c r="M218" s="47" t="n">
        <x:v>0.11138592818703943</x:v>
      </x:c>
      <x:c r="N218" s="47" t="n">
        <x:v>0.7840424501036422</x:v>
      </x:c>
      <x:c r="O218" s="47" t="n">
        <x:v>0.768155052320723</x:v>
      </x:c>
      <x:c r="P218" s="47" t="n">
        <x:v>0.4659947225307198</x:v>
      </x:c>
      <x:c r="Q218" s="47" t="n">
        <x:v>1</x:v>
      </x:c>
      <x:c r="R218" s="47" t="n">
        <x:v>0.7137078791779308</x:v>
      </x:c>
      <x:c r="S218" s="27" t="n">
        <x:v>0</x:v>
      </x:c>
    </x:row>
    <x:row r="219" ht="21.600000381469727" hidden="0" customHeight="1">
      <x:c r="A219" s="29" t="n">
        <x:v>72</x:v>
      </x:c>
      <x:c r="B219" s="29" t="str">
        <x:v>A2</x:v>
      </x:c>
      <x:c r="C219" s="48" t="n">
        <x:v>1.1620162553837128</x:v>
      </x:c>
      <x:c r="D219" s="48" t="n">
        <x:v>0.7264141403364839</x:v>
      </x:c>
      <x:c r="E219" s="48" t="n">
        <x:v>1.0796947995531485</x:v>
      </x:c>
      <x:c r="F219" s="48" t="n">
        <x:v>-0.15195635225899123</x:v>
      </x:c>
      <x:c r="G219" s="48" t="n">
        <x:v>-0.17975882206012028</x:v>
      </x:c>
      <x:c r="H219" s="48" t="n">
        <x:v>0.6879499852722571</x:v>
      </x:c>
      <x:c r="I219" s="48" t="n">
        <x:v>0.9729135944660268</x:v>
      </x:c>
      <x:c r="J219" s="48" t="n">
        <x:v>0.40541004333242764</x:v>
      </x:c>
      <x:c r="K219" s="48" t="n">
        <x:v>0.9202701316593631</x:v>
      </x:c>
      <x:c r="L219" s="48" t="n">
        <x:v>0.9283267324344608</x:v>
      </x:c>
      <x:c r="M219" s="48" t="n">
        <x:v>0.11138592818703943</x:v>
      </x:c>
      <x:c r="N219" s="48" t="n">
        <x:v>0.7840424501036422</x:v>
      </x:c>
      <x:c r="O219" s="48" t="n">
        <x:v>0.8689712203174788</x:v>
      </x:c>
      <x:c r="P219" s="48" t="n">
        <x:v>0.648142238217237</x:v>
      </x:c>
      <x:c r="Q219" s="48" t="n">
        <x:v>1</x:v>
      </x:c>
      <x:c r="R219" s="48" t="n">
        <x:v>0.8382000229052669</x:v>
      </x:c>
      <x:c r="S219" s="29" t="n">
        <x:v>0</x:v>
      </x:c>
    </x:row>
    <x:row r="220" ht="21.600000381469727" hidden="0" customHeight="1">
      <x:c r="A220" s="27" t="n">
        <x:v>72</x:v>
      </x:c>
      <x:c r="B220" s="27" t="str">
        <x:v>A3</x:v>
      </x:c>
      <x:c r="C220" s="47" t="n">
        <x:v>1.1620162553837128</x:v>
      </x:c>
      <x:c r="D220" s="47" t="n">
        <x:v>0.7264141403364839</x:v>
      </x:c>
      <x:c r="E220" s="47" t="n">
        <x:v>1.0796947995531485</x:v>
      </x:c>
      <x:c r="F220" s="47" t="n">
        <x:v>-0.15195635225899123</x:v>
      </x:c>
      <x:c r="G220" s="47" t="n">
        <x:v>-0.17975882206012028</x:v>
      </x:c>
      <x:c r="H220" s="47" t="n">
        <x:v>0.6879499852722571</x:v>
      </x:c>
      <x:c r="I220" s="47" t="n">
        <x:v>0.9729135944660268</x:v>
      </x:c>
      <x:c r="J220" s="47" t="n">
        <x:v>0.40541004333242764</x:v>
      </x:c>
      <x:c r="K220" s="47" t="n">
        <x:v>0.9202701316593631</x:v>
      </x:c>
      <x:c r="L220" s="47" t="n">
        <x:v>0.9283267324344608</x:v>
      </x:c>
      <x:c r="M220" s="47" t="n">
        <x:v>0.11138592818703943</x:v>
      </x:c>
      <x:c r="N220" s="47" t="n">
        <x:v>0.7840424501036422</x:v>
      </x:c>
      <x:c r="O220" s="47" t="n">
        <x:v>1</x:v>
      </x:c>
      <x:c r="P220" s="47" t="n">
        <x:v>1</x:v>
      </x:c>
      <x:c r="Q220" s="47" t="n">
        <x:v>1</x:v>
      </x:c>
      <x:c r="R220" s="47" t="n">
        <x:v>1</x:v>
      </x:c>
      <x:c r="S220" s="27" t="n">
        <x:v>1</x:v>
      </x:c>
    </x:row>
    <x:row r="221" ht="21.600000381469727" hidden="0" customHeight="1">
      <x:c r="A221" s="29" t="n">
        <x:v>73</x:v>
      </x:c>
      <x:c r="B221" s="29" t="str">
        <x:v>A1</x:v>
      </x:c>
      <x:c r="C221" s="48" t="n">
        <x:v>0.9447938091784839</x:v>
      </x:c>
      <x:c r="D221" s="48" t="n">
        <x:v>0.7843168302661404</x:v>
      </x:c>
      <x:c r="E221" s="48" t="n">
        <x:v>1.0541251133448868</x:v>
      </x:c>
      <x:c r="F221" s="48" t="n">
        <x:v>-0.08729799535173803</x:v>
      </x:c>
      <x:c r="G221" s="48" t="n">
        <x:v>0.017792306979339145</x:v>
      </x:c>
      <x:c r="H221" s="48" t="n">
        <x:v>0.36858259170087854</x:v>
      </x:c>
      <x:c r="I221" s="48" t="n">
        <x:v>0.6812122900780431</x:v>
      </x:c>
      <x:c r="J221" s="48" t="n">
        <x:v>0.6843469492762027</x:v>
      </x:c>
      <x:c r="K221" s="48" t="n">
        <x:v>0.6470048788507441</x:v>
      </x:c>
      <x:c r="L221" s="48" t="n">
        <x:v>0.7948543475038674</x:v>
      </x:c>
      <x:c r="M221" s="48" t="n">
        <x:v>0.09785971152999277</x:v>
      </x:c>
      <x:c r="N221" s="48" t="n">
        <x:v>0.8398788909525501</x:v>
      </x:c>
      <x:c r="O221" s="48" t="n">
        <x:v>0.904464732595972</x:v>
      </x:c>
      <x:c r="P221" s="48" t="n">
        <x:v>0.6335966631655449</x:v>
      </x:c>
      <x:c r="Q221" s="48" t="n">
        <x:v>1</x:v>
      </x:c>
      <x:c r="R221" s="48" t="n">
        <x:v>0.8820289396332297</x:v>
      </x:c>
      <x:c r="S221" s="29" t="n">
        <x:v>0</x:v>
      </x:c>
    </x:row>
    <x:row r="222" ht="21.600000381469727" hidden="0" customHeight="1">
      <x:c r="A222" s="27" t="n">
        <x:v>73</x:v>
      </x:c>
      <x:c r="B222" s="27" t="str">
        <x:v>A2</x:v>
      </x:c>
      <x:c r="C222" s="47" t="n">
        <x:v>0.9447938091784839</x:v>
      </x:c>
      <x:c r="D222" s="47" t="n">
        <x:v>0.7843168302661404</x:v>
      </x:c>
      <x:c r="E222" s="47" t="n">
        <x:v>1.0541251133448868</x:v>
      </x:c>
      <x:c r="F222" s="47" t="n">
        <x:v>-0.08729799535173803</x:v>
      </x:c>
      <x:c r="G222" s="47" t="n">
        <x:v>0.017792306979339145</x:v>
      </x:c>
      <x:c r="H222" s="47" t="n">
        <x:v>0.36858259170087854</x:v>
      </x:c>
      <x:c r="I222" s="47" t="n">
        <x:v>0.6812122900780431</x:v>
      </x:c>
      <x:c r="J222" s="47" t="n">
        <x:v>0.6843469492762027</x:v>
      </x:c>
      <x:c r="K222" s="47" t="n">
        <x:v>0.6470048788507441</x:v>
      </x:c>
      <x:c r="L222" s="47" t="n">
        <x:v>0.7948543475038674</x:v>
      </x:c>
      <x:c r="M222" s="47" t="n">
        <x:v>0.09785971152999277</x:v>
      </x:c>
      <x:c r="N222" s="47" t="n">
        <x:v>0.8398788909525501</x:v>
      </x:c>
      <x:c r="O222" s="47" t="n">
        <x:v>0.9707412360963348</x:v>
      </x:c>
      <x:c r="P222" s="47" t="n">
        <x:v>0.7795834746473156</x:v>
      </x:c>
      <x:c r="Q222" s="47" t="n">
        <x:v>1</x:v>
      </x:c>
      <x:c r="R222" s="47" t="n">
        <x:v>0.9638700189309269</x:v>
      </x:c>
      <x:c r="S222" s="27" t="n">
        <x:v>0</x:v>
      </x:c>
    </x:row>
    <x:row r="223" ht="21.600000381469727" hidden="0" customHeight="1">
      <x:c r="A223" s="29" t="n">
        <x:v>73</x:v>
      </x:c>
      <x:c r="B223" s="29" t="str">
        <x:v>A3</x:v>
      </x:c>
      <x:c r="C223" s="48" t="n">
        <x:v>0.9447938091784839</x:v>
      </x:c>
      <x:c r="D223" s="48" t="n">
        <x:v>0.7843168302661404</x:v>
      </x:c>
      <x:c r="E223" s="48" t="n">
        <x:v>1.0541251133448868</x:v>
      </x:c>
      <x:c r="F223" s="48" t="n">
        <x:v>-0.08729799535173803</x:v>
      </x:c>
      <x:c r="G223" s="48" t="n">
        <x:v>0.017792306979339145</x:v>
      </x:c>
      <x:c r="H223" s="48" t="n">
        <x:v>0.36858259170087854</x:v>
      </x:c>
      <x:c r="I223" s="48" t="n">
        <x:v>0.6812122900780431</x:v>
      </x:c>
      <x:c r="J223" s="48" t="n">
        <x:v>0.6843469492762027</x:v>
      </x:c>
      <x:c r="K223" s="48" t="n">
        <x:v>0.6470048788507441</x:v>
      </x:c>
      <x:c r="L223" s="48" t="n">
        <x:v>0.7948543475038674</x:v>
      </x:c>
      <x:c r="M223" s="48" t="n">
        <x:v>0.09785971152999277</x:v>
      </x:c>
      <x:c r="N223" s="48" t="n">
        <x:v>0.8398788909525501</x:v>
      </x:c>
      <x:c r="O223" s="48" t="n">
        <x:v>1.0000000000000002</x:v>
      </x:c>
      <x:c r="P223" s="48" t="n">
        <x:v>1</x:v>
      </x:c>
      <x:c r="Q223" s="48" t="n">
        <x:v>1</x:v>
      </x:c>
      <x:c r="R223" s="48" t="n">
        <x:v>1</x:v>
      </x:c>
      <x:c r="S223" s="29" t="n">
        <x:v>1</x:v>
      </x:c>
    </x:row>
    <x:row r="224" ht="21.600000381469727" hidden="0" customHeight="1">
      <x:c r="A224" s="27" t="n">
        <x:v>74</x:v>
      </x:c>
      <x:c r="B224" s="27" t="str">
        <x:v>A1</x:v>
      </x:c>
      <x:c r="C224" s="47" t="n">
        <x:v>1.1972041418186468</x:v>
      </x:c>
      <x:c r="D224" s="47" t="n">
        <x:v>0.9369564878794674</x:v>
      </x:c>
      <x:c r="E224" s="47" t="n">
        <x:v>0.888701139146228</x:v>
      </x:c>
      <x:c r="F224" s="47" t="n">
        <x:v>-0.1902093487907533</x:v>
      </x:c>
      <x:c r="G224" s="47" t="n">
        <x:v>-0.004935503644492106</x:v>
      </x:c>
      <x:c r="H224" s="47" t="n">
        <x:v>0.6810419687803795</x:v>
      </x:c>
      <x:c r="I224" s="47" t="n">
        <x:v>0.8871547427579161</x:v>
      </x:c>
      <x:c r="J224" s="47" t="n">
        <x:v>0.7234620359369826</x:v>
      </x:c>
      <x:c r="K224" s="47" t="n">
        <x:v>0.9508370828230002</x:v>
      </x:c>
      <x:c r="L224" s="47" t="n">
        <x:v>0.9375686350723755</x:v>
      </x:c>
      <x:c r="M224" s="47" t="n">
        <x:v>0.01709538880872374</x:v>
      </x:c>
      <x:c r="N224" s="47" t="n">
        <x:v>0.8760271963456112</x:v>
      </x:c>
      <x:c r="O224" s="47" t="n">
        <x:v>0.8893031848106017</x:v>
      </x:c>
      <x:c r="P224" s="47" t="n">
        <x:v>0.6404626893933906</x:v>
      </x:c>
      <x:c r="Q224" s="47" t="n">
        <x:v>1</x:v>
      </x:c>
      <x:c r="R224" s="47" t="n">
        <x:v>0.8633068078211383</x:v>
      </x:c>
      <x:c r="S224" s="27" t="n">
        <x:v>0</x:v>
      </x:c>
    </x:row>
    <x:row r="225" ht="21.600000381469727" hidden="0" customHeight="1">
      <x:c r="A225" s="29" t="n">
        <x:v>74</x:v>
      </x:c>
      <x:c r="B225" s="29" t="str">
        <x:v>A2</x:v>
      </x:c>
      <x:c r="C225" s="48" t="n">
        <x:v>1.1972041418186468</x:v>
      </x:c>
      <x:c r="D225" s="48" t="n">
        <x:v>0.9369564878794674</x:v>
      </x:c>
      <x:c r="E225" s="48" t="n">
        <x:v>0.888701139146228</x:v>
      </x:c>
      <x:c r="F225" s="48" t="n">
        <x:v>-0.1902093487907533</x:v>
      </x:c>
      <x:c r="G225" s="48" t="n">
        <x:v>-0.004935503644492106</x:v>
      </x:c>
      <x:c r="H225" s="48" t="n">
        <x:v>0.6810419687803795</x:v>
      </x:c>
      <x:c r="I225" s="48" t="n">
        <x:v>0.8871547427579161</x:v>
      </x:c>
      <x:c r="J225" s="48" t="n">
        <x:v>0.7234620359369826</x:v>
      </x:c>
      <x:c r="K225" s="48" t="n">
        <x:v>0.9508370828230002</x:v>
      </x:c>
      <x:c r="L225" s="48" t="n">
        <x:v>0.9375686350723755</x:v>
      </x:c>
      <x:c r="M225" s="48" t="n">
        <x:v>0.01709538880872374</x:v>
      </x:c>
      <x:c r="N225" s="48" t="n">
        <x:v>0.8760271963456112</x:v>
      </x:c>
      <x:c r="O225" s="48" t="n">
        <x:v>0.96868706351545</x:v>
      </x:c>
      <x:c r="P225" s="48" t="n">
        <x:v>0.7805398364825167</x:v>
      </x:c>
      <x:c r="Q225" s="48" t="n">
        <x:v>1</x:v>
      </x:c>
      <x:c r="R225" s="48" t="n">
        <x:v>0.9613334382091867</x:v>
      </x:c>
      <x:c r="S225" s="29" t="n">
        <x:v>0</x:v>
      </x:c>
    </x:row>
    <x:row r="226" ht="21.600000381469727" hidden="0" customHeight="1">
      <x:c r="A226" s="27" t="n">
        <x:v>74</x:v>
      </x:c>
      <x:c r="B226" s="27" t="str">
        <x:v>A3</x:v>
      </x:c>
      <x:c r="C226" s="47" t="n">
        <x:v>1.1972041418186468</x:v>
      </x:c>
      <x:c r="D226" s="47" t="n">
        <x:v>0.9369564878794674</x:v>
      </x:c>
      <x:c r="E226" s="47" t="n">
        <x:v>0.888701139146228</x:v>
      </x:c>
      <x:c r="F226" s="47" t="n">
        <x:v>-0.1902093487907533</x:v>
      </x:c>
      <x:c r="G226" s="47" t="n">
        <x:v>-0.004935503644492106</x:v>
      </x:c>
      <x:c r="H226" s="47" t="n">
        <x:v>0.6810419687803795</x:v>
      </x:c>
      <x:c r="I226" s="47" t="n">
        <x:v>0.8871547427579161</x:v>
      </x:c>
      <x:c r="J226" s="47" t="n">
        <x:v>0.7234620359369826</x:v>
      </x:c>
      <x:c r="K226" s="47" t="n">
        <x:v>0.9508370828230002</x:v>
      </x:c>
      <x:c r="L226" s="47" t="n">
        <x:v>0.9375686350723755</x:v>
      </x:c>
      <x:c r="M226" s="47" t="n">
        <x:v>0.01709538880872374</x:v>
      </x:c>
      <x:c r="N226" s="47" t="n">
        <x:v>0.8760271963456112</x:v>
      </x:c>
      <x:c r="O226" s="47" t="n">
        <x:v>1</x:v>
      </x:c>
      <x:c r="P226" s="47" t="n">
        <x:v>1</x:v>
      </x:c>
      <x:c r="Q226" s="47" t="n">
        <x:v>1</x:v>
      </x:c>
      <x:c r="R226" s="47" t="n">
        <x:v>1</x:v>
      </x:c>
      <x:c r="S226" s="27" t="n">
        <x:v>1</x:v>
      </x:c>
    </x:row>
    <x:row r="227" ht="21.600000381469727" hidden="0" customHeight="1">
      <x:c r="A227" s="29" t="n">
        <x:v>75</x:v>
      </x:c>
      <x:c r="B227" s="29" t="str">
        <x:v>A1</x:v>
      </x:c>
      <x:c r="C227" s="48" t="n">
        <x:v>0.9959592410198878</x:v>
      </x:c>
      <x:c r="D227" s="48" t="n">
        <x:v>0.848767512483362</x:v>
      </x:c>
      <x:c r="E227" s="48" t="n">
        <x:v>0.8874582598723562</x:v>
      </x:c>
      <x:c r="F227" s="48" t="n">
        <x:v>-0.028462376913874737</x:v>
      </x:c>
      <x:c r="G227" s="48" t="n">
        <x:v>-0.16586154207442463</x:v>
      </x:c>
      <x:c r="H227" s="48" t="n">
        <x:v>0.6524911968331866</x:v>
      </x:c>
      <x:c r="I227" s="48" t="n">
        <x:v>0.6945293946830938</x:v>
      </x:c>
      <x:c r="J227" s="48" t="n">
        <x:v>0.6963561804152918</x:v>
      </x:c>
      <x:c r="K227" s="48" t="n">
        <x:v>0.7275166831563642</x:v>
      </x:c>
      <x:c r="L227" s="48" t="n">
        <x:v>0.5950440735913919</x:v>
      </x:c>
      <x:c r="M227" s="48" t="n">
        <x:v>0.14297094886137662</x:v>
      </x:c>
      <x:c r="N227" s="48" t="n">
        <x:v>0.9702451898304609</x:v>
      </x:c>
      <x:c r="O227" s="48" t="n">
        <x:v>0.8543378610294211</x:v>
      </x:c>
      <x:c r="P227" s="48" t="n">
        <x:v>0.4994251287630872</x:v>
      </x:c>
      <x:c r="Q227" s="48" t="n">
        <x:v>1</x:v>
      </x:c>
      <x:c r="R227" s="48" t="n">
        <x:v>0.8201301209847608</x:v>
      </x:c>
      <x:c r="S227" s="29" t="n">
        <x:v>0</x:v>
      </x:c>
    </x:row>
    <x:row r="228" ht="21.600000381469727" hidden="0" customHeight="1">
      <x:c r="A228" s="27" t="n">
        <x:v>75</x:v>
      </x:c>
      <x:c r="B228" s="27" t="str">
        <x:v>A2</x:v>
      </x:c>
      <x:c r="C228" s="47" t="n">
        <x:v>0.9959592410198878</x:v>
      </x:c>
      <x:c r="D228" s="47" t="n">
        <x:v>0.848767512483362</x:v>
      </x:c>
      <x:c r="E228" s="47" t="n">
        <x:v>0.8874582598723562</x:v>
      </x:c>
      <x:c r="F228" s="47" t="n">
        <x:v>-0.028462376913874737</x:v>
      </x:c>
      <x:c r="G228" s="47" t="n">
        <x:v>-0.16586154207442463</x:v>
      </x:c>
      <x:c r="H228" s="47" t="n">
        <x:v>0.6524911968331866</x:v>
      </x:c>
      <x:c r="I228" s="47" t="n">
        <x:v>0.6945293946830938</x:v>
      </x:c>
      <x:c r="J228" s="47" t="n">
        <x:v>0.6963561804152918</x:v>
      </x:c>
      <x:c r="K228" s="47" t="n">
        <x:v>0.7275166831563642</x:v>
      </x:c>
      <x:c r="L228" s="47" t="n">
        <x:v>0.5950440735913919</x:v>
      </x:c>
      <x:c r="M228" s="47" t="n">
        <x:v>0.14297094886137662</x:v>
      </x:c>
      <x:c r="N228" s="47" t="n">
        <x:v>0.9702451898304609</x:v>
      </x:c>
      <x:c r="O228" s="47" t="n">
        <x:v>0.9133413819549407</x:v>
      </x:c>
      <x:c r="P228" s="47" t="n">
        <x:v>0.6355867160802999</x:v>
      </x:c>
      <x:c r="Q228" s="47" t="n">
        <x:v>1</x:v>
      </x:c>
      <x:c r="R228" s="47" t="n">
        <x:v>0.8929902083441121</x:v>
      </x:c>
      <x:c r="S228" s="27" t="n">
        <x:v>0</x:v>
      </x:c>
    </x:row>
    <x:row r="229" ht="21.600000381469727" hidden="0" customHeight="1">
      <x:c r="A229" s="29" t="n">
        <x:v>75</x:v>
      </x:c>
      <x:c r="B229" s="29" t="str">
        <x:v>A3</x:v>
      </x:c>
      <x:c r="C229" s="48" t="n">
        <x:v>0.9959592410198878</x:v>
      </x:c>
      <x:c r="D229" s="48" t="n">
        <x:v>0.848767512483362</x:v>
      </x:c>
      <x:c r="E229" s="48" t="n">
        <x:v>0.8874582598723562</x:v>
      </x:c>
      <x:c r="F229" s="48" t="n">
        <x:v>-0.028462376913874737</x:v>
      </x:c>
      <x:c r="G229" s="48" t="n">
        <x:v>-0.16586154207442463</x:v>
      </x:c>
      <x:c r="H229" s="48" t="n">
        <x:v>0.6524911968331866</x:v>
      </x:c>
      <x:c r="I229" s="48" t="n">
        <x:v>0.6945293946830938</x:v>
      </x:c>
      <x:c r="J229" s="48" t="n">
        <x:v>0.6963561804152918</x:v>
      </x:c>
      <x:c r="K229" s="48" t="n">
        <x:v>0.7275166831563642</x:v>
      </x:c>
      <x:c r="L229" s="48" t="n">
        <x:v>0.5950440735913919</x:v>
      </x:c>
      <x:c r="M229" s="48" t="n">
        <x:v>0.14297094886137662</x:v>
      </x:c>
      <x:c r="N229" s="48" t="n">
        <x:v>0.9702451898304609</x:v>
      </x:c>
      <x:c r="O229" s="48" t="n">
        <x:v>1</x:v>
      </x:c>
      <x:c r="P229" s="48" t="n">
        <x:v>1</x:v>
      </x:c>
      <x:c r="Q229" s="48" t="n">
        <x:v>1</x:v>
      </x:c>
      <x:c r="R229" s="48" t="n">
        <x:v>1</x:v>
      </x:c>
      <x:c r="S229" s="29" t="n">
        <x:v>1</x:v>
      </x:c>
    </x:row>
    <x:row r="230" ht="21.600000381469727" hidden="0" customHeight="1">
      <x:c r="A230" s="27" t="n">
        <x:v>76</x:v>
      </x:c>
      <x:c r="B230" s="27" t="str">
        <x:v>A1</x:v>
      </x:c>
      <x:c r="C230" s="47" t="n">
        <x:v>1.2607260085326273</x:v>
      </x:c>
      <x:c r="D230" s="47" t="n">
        <x:v>0.9109936746718951</x:v>
      </x:c>
      <x:c r="E230" s="47" t="n">
        <x:v>0.5404169714561473</x:v>
      </x:c>
      <x:c r="F230" s="47" t="n">
        <x:v>-0.166844932868728</x:v>
      </x:c>
      <x:c r="G230" s="47" t="n">
        <x:v>-0.1662999651315828</x:v>
      </x:c>
      <x:c r="H230" s="47" t="n">
        <x:v>0.33901676328666525</x:v>
      </x:c>
      <x:c r="I230" s="47" t="n">
        <x:v>0.8078594823865168</x:v>
      </x:c>
      <x:c r="J230" s="47" t="n">
        <x:v>0.6276181735137574</x:v>
      </x:c>
      <x:c r="K230" s="47" t="n">
        <x:v>0.7778356038837246</x:v>
      </x:c>
      <x:c r="L230" s="47" t="n">
        <x:v>0.756044594012944</x:v>
      </x:c>
      <x:c r="M230" s="47" t="n">
        <x:v>0.012444651188931361</x:v>
      </x:c>
      <x:c r="N230" s="47" t="n">
        <x:v>0.8508390036751234</x:v>
      </x:c>
      <x:c r="O230" s="47" t="n">
        <x:v>0.8412286450039291</x:v>
      </x:c>
      <x:c r="P230" s="47" t="n">
        <x:v>0.5994339101110162</x:v>
      </x:c>
      <x:c r="Q230" s="47" t="n">
        <x:v>1</x:v>
      </x:c>
      <x:c r="R230" s="47" t="n">
        <x:v>0.8039422967693954</x:v>
      </x:c>
      <x:c r="S230" s="27" t="n">
        <x:v>0</x:v>
      </x:c>
    </x:row>
    <x:row r="231" ht="21.600000381469727" hidden="0" customHeight="1">
      <x:c r="A231" s="29" t="n">
        <x:v>76</x:v>
      </x:c>
      <x:c r="B231" s="29" t="str">
        <x:v>A2</x:v>
      </x:c>
      <x:c r="C231" s="48" t="n">
        <x:v>1.2607260085326273</x:v>
      </x:c>
      <x:c r="D231" s="48" t="n">
        <x:v>0.9109936746718951</x:v>
      </x:c>
      <x:c r="E231" s="48" t="n">
        <x:v>0.5404169714561473</x:v>
      </x:c>
      <x:c r="F231" s="48" t="n">
        <x:v>-0.166844932868728</x:v>
      </x:c>
      <x:c r="G231" s="48" t="n">
        <x:v>-0.1662999651315828</x:v>
      </x:c>
      <x:c r="H231" s="48" t="n">
        <x:v>0.33901676328666525</x:v>
      </x:c>
      <x:c r="I231" s="48" t="n">
        <x:v>0.8078594823865168</x:v>
      </x:c>
      <x:c r="J231" s="48" t="n">
        <x:v>0.6276181735137574</x:v>
      </x:c>
      <x:c r="K231" s="48" t="n">
        <x:v>0.7778356038837246</x:v>
      </x:c>
      <x:c r="L231" s="48" t="n">
        <x:v>0.756044594012944</x:v>
      </x:c>
      <x:c r="M231" s="48" t="n">
        <x:v>0.012444651188931361</x:v>
      </x:c>
      <x:c r="N231" s="48" t="n">
        <x:v>0.8508390036751234</x:v>
      </x:c>
      <x:c r="O231" s="48" t="n">
        <x:v>0.9215406079392379</x:v>
      </x:c>
      <x:c r="P231" s="48" t="n">
        <x:v>0.7366451934088445</x:v>
      </x:c>
      <x:c r="Q231" s="48" t="n">
        <x:v>1</x:v>
      </x:c>
      <x:c r="R231" s="48" t="n">
        <x:v>0.9031149655132487</x:v>
      </x:c>
      <x:c r="S231" s="29" t="n">
        <x:v>0</x:v>
      </x:c>
    </x:row>
    <x:row r="232" ht="21.600000381469727" hidden="0" customHeight="1">
      <x:c r="A232" s="27" t="n">
        <x:v>76</x:v>
      </x:c>
      <x:c r="B232" s="27" t="str">
        <x:v>A3</x:v>
      </x:c>
      <x:c r="C232" s="47" t="n">
        <x:v>1.2607260085326273</x:v>
      </x:c>
      <x:c r="D232" s="47" t="n">
        <x:v>0.9109936746718951</x:v>
      </x:c>
      <x:c r="E232" s="47" t="n">
        <x:v>0.5404169714561473</x:v>
      </x:c>
      <x:c r="F232" s="47" t="n">
        <x:v>-0.166844932868728</x:v>
      </x:c>
      <x:c r="G232" s="47" t="n">
        <x:v>-0.1662999651315828</x:v>
      </x:c>
      <x:c r="H232" s="47" t="n">
        <x:v>0.33901676328666525</x:v>
      </x:c>
      <x:c r="I232" s="47" t="n">
        <x:v>0.8078594823865168</x:v>
      </x:c>
      <x:c r="J232" s="47" t="n">
        <x:v>0.6276181735137574</x:v>
      </x:c>
      <x:c r="K232" s="47" t="n">
        <x:v>0.7778356038837246</x:v>
      </x:c>
      <x:c r="L232" s="47" t="n">
        <x:v>0.756044594012944</x:v>
      </x:c>
      <x:c r="M232" s="47" t="n">
        <x:v>0.012444651188931361</x:v>
      </x:c>
      <x:c r="N232" s="47" t="n">
        <x:v>0.8508390036751234</x:v>
      </x:c>
      <x:c r="O232" s="47" t="n">
        <x:v>1</x:v>
      </x:c>
      <x:c r="P232" s="47" t="n">
        <x:v>1</x:v>
      </x:c>
      <x:c r="Q232" s="47" t="n">
        <x:v>1</x:v>
      </x:c>
      <x:c r="R232" s="47" t="n">
        <x:v>1</x:v>
      </x:c>
      <x:c r="S232" s="27" t="n">
        <x:v>1</x:v>
      </x:c>
    </x:row>
    <x:row r="233" ht="21.600000381469727" hidden="0" customHeight="1">
      <x:c r="A233" s="29" t="n">
        <x:v>77</x:v>
      </x:c>
      <x:c r="B233" s="29" t="str">
        <x:v>A1</x:v>
      </x:c>
      <x:c r="C233" s="48" t="n">
        <x:v>1.170703500402718</x:v>
      </x:c>
      <x:c r="D233" s="48" t="n">
        <x:v>0.7729703879384047</x:v>
      </x:c>
      <x:c r="E233" s="48" t="n">
        <x:v>0.7699793134169111</x:v>
      </x:c>
      <x:c r="F233" s="48" t="n">
        <x:v>0.014664020494513846</x:v>
      </x:c>
      <x:c r="G233" s="48" t="n">
        <x:v>-0.18556506140443532</x:v>
      </x:c>
      <x:c r="H233" s="48" t="n">
        <x:v>0.34065360044246307</x:v>
      </x:c>
      <x:c r="I233" s="48" t="n">
        <x:v>0.7712744999653285</x:v>
      </x:c>
      <x:c r="J233" s="48" t="n">
        <x:v>0.6118343716487101</x:v>
      </x:c>
      <x:c r="K233" s="48" t="n">
        <x:v>0.8660161876951786</x:v>
      </x:c>
      <x:c r="L233" s="48" t="n">
        <x:v>0.5664469871997262</x:v>
      </x:c>
      <x:c r="M233" s="48" t="n">
        <x:v>0.07671039623467545</x:v>
      </x:c>
      <x:c r="N233" s="48" t="n">
        <x:v>0.6671803575191959</x:v>
      </x:c>
      <x:c r="O233" s="48" t="n">
        <x:v>0.7684229716354856</x:v>
      </x:c>
      <x:c r="P233" s="48" t="n">
        <x:v>0.5367441601904143</x:v>
      </x:c>
      <x:c r="Q233" s="48" t="n">
        <x:v>1</x:v>
      </x:c>
      <x:c r="R233" s="48" t="n">
        <x:v>0.7140387174799957</x:v>
      </x:c>
      <x:c r="S233" s="29" t="n">
        <x:v>0</x:v>
      </x:c>
    </x:row>
    <x:row r="234" ht="21.600000381469727" hidden="0" customHeight="1">
      <x:c r="A234" s="27" t="n">
        <x:v>77</x:v>
      </x:c>
      <x:c r="B234" s="27" t="str">
        <x:v>A2</x:v>
      </x:c>
      <x:c r="C234" s="47" t="n">
        <x:v>1.170703500402718</x:v>
      </x:c>
      <x:c r="D234" s="47" t="n">
        <x:v>0.7729703879384047</x:v>
      </x:c>
      <x:c r="E234" s="47" t="n">
        <x:v>0.7699793134169111</x:v>
      </x:c>
      <x:c r="F234" s="47" t="n">
        <x:v>0.014664020494513846</x:v>
      </x:c>
      <x:c r="G234" s="47" t="n">
        <x:v>-0.18556506140443532</x:v>
      </x:c>
      <x:c r="H234" s="47" t="n">
        <x:v>0.34065360044246307</x:v>
      </x:c>
      <x:c r="I234" s="47" t="n">
        <x:v>0.7712744999653285</x:v>
      </x:c>
      <x:c r="J234" s="47" t="n">
        <x:v>0.6118343716487101</x:v>
      </x:c>
      <x:c r="K234" s="47" t="n">
        <x:v>0.8660161876951786</x:v>
      </x:c>
      <x:c r="L234" s="47" t="n">
        <x:v>0.5664469871997262</x:v>
      </x:c>
      <x:c r="M234" s="47" t="n">
        <x:v>0.07671039623467545</x:v>
      </x:c>
      <x:c r="N234" s="47" t="n">
        <x:v>0.6671803575191959</x:v>
      </x:c>
      <x:c r="O234" s="47" t="n">
        <x:v>0.8486420649681222</x:v>
      </x:c>
      <x:c r="P234" s="47" t="n">
        <x:v>0.5285777199675117</x:v>
      </x:c>
      <x:c r="Q234" s="47" t="n">
        <x:v>1</x:v>
      </x:c>
      <x:c r="R234" s="47" t="n">
        <x:v>0.8130967068410331</x:v>
      </x:c>
      <x:c r="S234" s="27" t="n">
        <x:v>0</x:v>
      </x:c>
    </x:row>
    <x:row r="235" ht="21.600000381469727" hidden="0" customHeight="1">
      <x:c r="A235" s="29" t="n">
        <x:v>77</x:v>
      </x:c>
      <x:c r="B235" s="29" t="str">
        <x:v>A3</x:v>
      </x:c>
      <x:c r="C235" s="48" t="n">
        <x:v>1.170703500402718</x:v>
      </x:c>
      <x:c r="D235" s="48" t="n">
        <x:v>0.7729703879384047</x:v>
      </x:c>
      <x:c r="E235" s="48" t="n">
        <x:v>0.7699793134169111</x:v>
      </x:c>
      <x:c r="F235" s="48" t="n">
        <x:v>0.014664020494513846</x:v>
      </x:c>
      <x:c r="G235" s="48" t="n">
        <x:v>-0.18556506140443532</x:v>
      </x:c>
      <x:c r="H235" s="48" t="n">
        <x:v>0.34065360044246307</x:v>
      </x:c>
      <x:c r="I235" s="48" t="n">
        <x:v>0.7712744999653285</x:v>
      </x:c>
      <x:c r="J235" s="48" t="n">
        <x:v>0.6118343716487101</x:v>
      </x:c>
      <x:c r="K235" s="48" t="n">
        <x:v>0.8660161876951786</x:v>
      </x:c>
      <x:c r="L235" s="48" t="n">
        <x:v>0.5664469871997262</x:v>
      </x:c>
      <x:c r="M235" s="48" t="n">
        <x:v>0.07671039623467545</x:v>
      </x:c>
      <x:c r="N235" s="48" t="n">
        <x:v>0.6671803575191959</x:v>
      </x:c>
      <x:c r="O235" s="48" t="n">
        <x:v>1</x:v>
      </x:c>
      <x:c r="P235" s="48" t="n">
        <x:v>1</x:v>
      </x:c>
      <x:c r="Q235" s="48" t="n">
        <x:v>1</x:v>
      </x:c>
      <x:c r="R235" s="48" t="n">
        <x:v>1</x:v>
      </x:c>
      <x:c r="S235" s="29" t="n">
        <x:v>1</x:v>
      </x:c>
    </x:row>
    <x:row r="236" ht="21.600000381469727" hidden="0" customHeight="1">
      <x:c r="A236" s="27" t="n">
        <x:v>78</x:v>
      </x:c>
      <x:c r="B236" s="27" t="str">
        <x:v>A1</x:v>
      </x:c>
      <x:c r="C236" s="47" t="n">
        <x:v>0.9280386671361643</x:v>
      </x:c>
      <x:c r="D236" s="47" t="n">
        <x:v>0.7694995627477169</x:v>
      </x:c>
      <x:c r="E236" s="47" t="n">
        <x:v>0.9201637775499563</x:v>
      </x:c>
      <x:c r="F236" s="47" t="n">
        <x:v>-0.020279617981844272</x:v>
      </x:c>
      <x:c r="G236" s="47" t="n">
        <x:v>-0.11357049538315545</x:v>
      </x:c>
      <x:c r="H236" s="47" t="n">
        <x:v>0.34431377753425957</x:v>
      </x:c>
      <x:c r="I236" s="47" t="n">
        <x:v>0.8356085175218982</x:v>
      </x:c>
      <x:c r="J236" s="47" t="n">
        <x:v>0.8507016455796327</x:v>
      </x:c>
      <x:c r="K236" s="47" t="n">
        <x:v>0.5636193318175269</x:v>
      </x:c>
      <x:c r="L236" s="47" t="n">
        <x:v>0.7114444831295894</x:v>
      </x:c>
      <x:c r="M236" s="47" t="n">
        <x:v>0.08822690580237562</x:v>
      </x:c>
      <x:c r="N236" s="47" t="n">
        <x:v>0.8919098978568181</x:v>
      </x:c>
      <x:c r="O236" s="47" t="n">
        <x:v>0.8580116143127967</x:v>
      </x:c>
      <x:c r="P236" s="47" t="n">
        <x:v>0.49899179109393915</x:v>
      </x:c>
      <x:c r="Q236" s="47" t="n">
        <x:v>1</x:v>
      </x:c>
      <x:c r="R236" s="47" t="n">
        <x:v>0.8246666296704261</x:v>
      </x:c>
      <x:c r="S236" s="27" t="n">
        <x:v>0</x:v>
      </x:c>
    </x:row>
    <x:row r="237" ht="21.600000381469727" hidden="0" customHeight="1">
      <x:c r="A237" s="29" t="n">
        <x:v>78</x:v>
      </x:c>
      <x:c r="B237" s="29" t="str">
        <x:v>A2</x:v>
      </x:c>
      <x:c r="C237" s="48" t="n">
        <x:v>0.9280386671361643</x:v>
      </x:c>
      <x:c r="D237" s="48" t="n">
        <x:v>0.7694995627477169</x:v>
      </x:c>
      <x:c r="E237" s="48" t="n">
        <x:v>0.9201637775499563</x:v>
      </x:c>
      <x:c r="F237" s="48" t="n">
        <x:v>-0.020279617981844272</x:v>
      </x:c>
      <x:c r="G237" s="48" t="n">
        <x:v>-0.11357049538315545</x:v>
      </x:c>
      <x:c r="H237" s="48" t="n">
        <x:v>0.34431377753425957</x:v>
      </x:c>
      <x:c r="I237" s="48" t="n">
        <x:v>0.8356085175218982</x:v>
      </x:c>
      <x:c r="J237" s="48" t="n">
        <x:v>0.8507016455796327</x:v>
      </x:c>
      <x:c r="K237" s="48" t="n">
        <x:v>0.5636193318175269</x:v>
      </x:c>
      <x:c r="L237" s="48" t="n">
        <x:v>0.7114444831295894</x:v>
      </x:c>
      <x:c r="M237" s="48" t="n">
        <x:v>0.08822690580237562</x:v>
      </x:c>
      <x:c r="N237" s="48" t="n">
        <x:v>0.8919098978568181</x:v>
      </x:c>
      <x:c r="O237" s="48" t="n">
        <x:v>0.9675106313743547</x:v>
      </x:c>
      <x:c r="P237" s="48" t="n">
        <x:v>0.7459340732288593</x:v>
      </x:c>
      <x:c r="Q237" s="48" t="n">
        <x:v>1</x:v>
      </x:c>
      <x:c r="R237" s="48" t="n">
        <x:v>0.9598807291635562</x:v>
      </x:c>
      <x:c r="S237" s="29" t="n">
        <x:v>0</x:v>
      </x:c>
    </x:row>
    <x:row r="238" ht="21.600000381469727" hidden="0" customHeight="1">
      <x:c r="A238" s="27" t="n">
        <x:v>78</x:v>
      </x:c>
      <x:c r="B238" s="27" t="str">
        <x:v>A3</x:v>
      </x:c>
      <x:c r="C238" s="47" t="n">
        <x:v>0.9280386671361643</x:v>
      </x:c>
      <x:c r="D238" s="47" t="n">
        <x:v>0.7694995627477169</x:v>
      </x:c>
      <x:c r="E238" s="47" t="n">
        <x:v>0.9201637775499563</x:v>
      </x:c>
      <x:c r="F238" s="47" t="n">
        <x:v>-0.020279617981844272</x:v>
      </x:c>
      <x:c r="G238" s="47" t="n">
        <x:v>-0.11357049538315545</x:v>
      </x:c>
      <x:c r="H238" s="47" t="n">
        <x:v>0.34431377753425957</x:v>
      </x:c>
      <x:c r="I238" s="47" t="n">
        <x:v>0.8356085175218982</x:v>
      </x:c>
      <x:c r="J238" s="47" t="n">
        <x:v>0.8507016455796327</x:v>
      </x:c>
      <x:c r="K238" s="47" t="n">
        <x:v>0.5636193318175269</x:v>
      </x:c>
      <x:c r="L238" s="47" t="n">
        <x:v>0.7114444831295894</x:v>
      </x:c>
      <x:c r="M238" s="47" t="n">
        <x:v>0.08822690580237562</x:v>
      </x:c>
      <x:c r="N238" s="47" t="n">
        <x:v>0.8919098978568181</x:v>
      </x:c>
      <x:c r="O238" s="47" t="n">
        <x:v>1</x:v>
      </x:c>
      <x:c r="P238" s="47" t="n">
        <x:v>1</x:v>
      </x:c>
      <x:c r="Q238" s="47" t="n">
        <x:v>1</x:v>
      </x:c>
      <x:c r="R238" s="47" t="n">
        <x:v>1</x:v>
      </x:c>
      <x:c r="S238" s="27" t="n">
        <x:v>1</x:v>
      </x:c>
    </x:row>
    <x:row r="239" ht="21.600000381469727" hidden="0" customHeight="1">
      <x:c r="A239" s="29" t="n">
        <x:v>79</x:v>
      </x:c>
      <x:c r="B239" s="29" t="str">
        <x:v>A1</x:v>
      </x:c>
      <x:c r="C239" s="48" t="n">
        <x:v>0.9512945584764118</x:v>
      </x:c>
      <x:c r="D239" s="48" t="n">
        <x:v>0.9626699844928506</x:v>
      </x:c>
      <x:c r="E239" s="48" t="n">
        <x:v>0.9168422762807642</x:v>
      </x:c>
      <x:c r="F239" s="48" t="n">
        <x:v>-0.13791428317730117</x:v>
      </x:c>
      <x:c r="G239" s="48" t="n">
        <x:v>0.02112279972555256</x:v>
      </x:c>
      <x:c r="H239" s="48" t="n">
        <x:v>0.8681318189081804</x:v>
      </x:c>
      <x:c r="I239" s="48" t="n">
        <x:v>0.8880830217116404</x:v>
      </x:c>
      <x:c r="J239" s="48" t="n">
        <x:v>0.8035331205724481</x:v>
      </x:c>
      <x:c r="K239" s="48" t="n">
        <x:v>0.967242049239867</x:v>
      </x:c>
      <x:c r="L239" s="48" t="n">
        <x:v>0.7868886715653649</x:v>
      </x:c>
      <x:c r="M239" s="48" t="n">
        <x:v>0.022765346307936245</x:v>
      </x:c>
      <x:c r="N239" s="48" t="n">
        <x:v>0.7032112992185016</x:v>
      </x:c>
      <x:c r="O239" s="48" t="n">
        <x:v>0.9845672243828462</x:v>
      </x:c>
      <x:c r="P239" s="48" t="n">
        <x:v>0.8928987115738827</x:v>
      </x:c>
      <x:c r="Q239" s="48" t="n">
        <x:v>1</x:v>
      </x:c>
      <x:c r="R239" s="48" t="n">
        <x:v>0.9809429443866158</x:v>
      </x:c>
      <x:c r="S239" s="29" t="n">
        <x:v>0</x:v>
      </x:c>
    </x:row>
    <x:row r="240" ht="21.600000381469727" hidden="0" customHeight="1">
      <x:c r="A240" s="27" t="n">
        <x:v>79</x:v>
      </x:c>
      <x:c r="B240" s="27" t="str">
        <x:v>A2</x:v>
      </x:c>
      <x:c r="C240" s="47" t="n">
        <x:v>0.9512945584764118</x:v>
      </x:c>
      <x:c r="D240" s="47" t="n">
        <x:v>0.9626699844928506</x:v>
      </x:c>
      <x:c r="E240" s="47" t="n">
        <x:v>0.9168422762807642</x:v>
      </x:c>
      <x:c r="F240" s="47" t="n">
        <x:v>-0.13791428317730117</x:v>
      </x:c>
      <x:c r="G240" s="47" t="n">
        <x:v>0.02112279972555256</x:v>
      </x:c>
      <x:c r="H240" s="47" t="n">
        <x:v>0.8681318189081804</x:v>
      </x:c>
      <x:c r="I240" s="47" t="n">
        <x:v>0.8880830217116404</x:v>
      </x:c>
      <x:c r="J240" s="47" t="n">
        <x:v>0.8035331205724481</x:v>
      </x:c>
      <x:c r="K240" s="47" t="n">
        <x:v>0.967242049239867</x:v>
      </x:c>
      <x:c r="L240" s="47" t="n">
        <x:v>0.7868886715653649</x:v>
      </x:c>
      <x:c r="M240" s="47" t="n">
        <x:v>0.022765346307936245</x:v>
      </x:c>
      <x:c r="N240" s="47" t="n">
        <x:v>0.7032112992185016</x:v>
      </x:c>
      <x:c r="O240" s="47" t="n">
        <x:v>1.0000000000000002</x:v>
      </x:c>
      <x:c r="P240" s="47" t="n">
        <x:v>1</x:v>
      </x:c>
      <x:c r="Q240" s="47" t="n">
        <x:v>1</x:v>
      </x:c>
      <x:c r="R240" s="47" t="n">
        <x:v>1</x:v>
      </x:c>
      <x:c r="S240" s="27" t="n">
        <x:v>1</x:v>
      </x:c>
    </x:row>
    <x:row r="241" ht="21.600000381469727" hidden="0" customHeight="1">
      <x:c r="A241" s="29" t="n">
        <x:v>79</x:v>
      </x:c>
      <x:c r="B241" s="29" t="str">
        <x:v>A3</x:v>
      </x:c>
      <x:c r="C241" s="48" t="n">
        <x:v>0.9512945584764118</x:v>
      </x:c>
      <x:c r="D241" s="48" t="n">
        <x:v>0.9626699844928506</x:v>
      </x:c>
      <x:c r="E241" s="48" t="n">
        <x:v>0.9168422762807642</x:v>
      </x:c>
      <x:c r="F241" s="48" t="n">
        <x:v>-0.13791428317730117</x:v>
      </x:c>
      <x:c r="G241" s="48" t="n">
        <x:v>0.02112279972555256</x:v>
      </x:c>
      <x:c r="H241" s="48" t="n">
        <x:v>0.8681318189081804</x:v>
      </x:c>
      <x:c r="I241" s="48" t="n">
        <x:v>0.8880830217116404</x:v>
      </x:c>
      <x:c r="J241" s="48" t="n">
        <x:v>0.8035331205724481</x:v>
      </x:c>
      <x:c r="K241" s="48" t="n">
        <x:v>0.967242049239867</x:v>
      </x:c>
      <x:c r="L241" s="48" t="n">
        <x:v>0.7868886715653649</x:v>
      </x:c>
      <x:c r="M241" s="48" t="n">
        <x:v>0.022765346307936245</x:v>
      </x:c>
      <x:c r="N241" s="48" t="n">
        <x:v>0.7032112992185016</x:v>
      </x:c>
      <x:c r="O241" s="48" t="n">
        <x:v>1.0000000000000002</x:v>
      </x:c>
      <x:c r="P241" s="48" t="n">
        <x:v>1</x:v>
      </x:c>
      <x:c r="Q241" s="48" t="n">
        <x:v>1</x:v>
      </x:c>
      <x:c r="R241" s="48" t="n">
        <x:v>1</x:v>
      </x:c>
      <x:c r="S241" s="29" t="n">
        <x:v>1</x:v>
      </x:c>
    </x:row>
    <x:row r="242" ht="21.600000381469727" hidden="0" customHeight="1">
      <x:c r="A242" s="27" t="n">
        <x:v>80</x:v>
      </x:c>
      <x:c r="B242" s="27" t="str">
        <x:v>A1</x:v>
      </x:c>
      <x:c r="C242" s="47" t="n">
        <x:v>1.0203342453374233</x:v>
      </x:c>
      <x:c r="D242" s="47" t="n">
        <x:v>0.8602007577680483</x:v>
      </x:c>
      <x:c r="E242" s="47" t="n">
        <x:v>0.5800257857428754</x:v>
      </x:c>
      <x:c r="F242" s="47" t="n">
        <x:v>0.035973300388500606</x:v>
      </x:c>
      <x:c r="G242" s="47" t="n">
        <x:v>-0.16156000450281</x:v>
      </x:c>
      <x:c r="H242" s="47" t="n">
        <x:v>0.896795412727553</x:v>
      </x:c>
      <x:c r="I242" s="47" t="n">
        <x:v>0.7954517924133986</x:v>
      </x:c>
      <x:c r="J242" s="47" t="n">
        <x:v>0.9815786101695823</x:v>
      </x:c>
      <x:c r="K242" s="47" t="n">
        <x:v>0.9897599594388852</x:v>
      </x:c>
      <x:c r="L242" s="47" t="n">
        <x:v>0.8264532997982501</x:v>
      </x:c>
      <x:c r="M242" s="47" t="n">
        <x:v>0.09805520402972442</x:v>
      </x:c>
      <x:c r="N242" s="47" t="n">
        <x:v>0.9925631077282225</x:v>
      </x:c>
      <x:c r="O242" s="47" t="n">
        <x:v>0.9386196111038165</x:v>
      </x:c>
      <x:c r="P242" s="47" t="n">
        <x:v>0.6747947864558852</x:v>
      </x:c>
      <x:c r="Q242" s="47" t="n">
        <x:v>1</x:v>
      </x:c>
      <x:c r="R242" s="47" t="n">
        <x:v>0.9242048537616571</x:v>
      </x:c>
      <x:c r="S242" s="27" t="n">
        <x:v>0</x:v>
      </x:c>
    </x:row>
    <x:row r="243" ht="21.600000381469727" hidden="0" customHeight="1">
      <x:c r="A243" s="29" t="n">
        <x:v>80</x:v>
      </x:c>
      <x:c r="B243" s="29" t="str">
        <x:v>A2</x:v>
      </x:c>
      <x:c r="C243" s="48" t="n">
        <x:v>1.0203342453374233</x:v>
      </x:c>
      <x:c r="D243" s="48" t="n">
        <x:v>0.8602007577680483</x:v>
      </x:c>
      <x:c r="E243" s="48" t="n">
        <x:v>0.5800257857428754</x:v>
      </x:c>
      <x:c r="F243" s="48" t="n">
        <x:v>0.035973300388500606</x:v>
      </x:c>
      <x:c r="G243" s="48" t="n">
        <x:v>-0.16156000450281</x:v>
      </x:c>
      <x:c r="H243" s="48" t="n">
        <x:v>0.896795412727553</x:v>
      </x:c>
      <x:c r="I243" s="48" t="n">
        <x:v>0.7954517924133986</x:v>
      </x:c>
      <x:c r="J243" s="48" t="n">
        <x:v>0.9815786101695823</x:v>
      </x:c>
      <x:c r="K243" s="48" t="n">
        <x:v>0.9897599594388852</x:v>
      </x:c>
      <x:c r="L243" s="48" t="n">
        <x:v>0.8264532997982501</x:v>
      </x:c>
      <x:c r="M243" s="48" t="n">
        <x:v>0.09805520402972442</x:v>
      </x:c>
      <x:c r="N243" s="48" t="n">
        <x:v>0.9925631077282225</x:v>
      </x:c>
      <x:c r="O243" s="48" t="n">
        <x:v>0.9622224539064592</x:v>
      </x:c>
      <x:c r="P243" s="48" t="n">
        <x:v>0.6577155705399487</x:v>
      </x:c>
      <x:c r="Q243" s="48" t="n">
        <x:v>1</x:v>
      </x:c>
      <x:c r="R243" s="48" t="n">
        <x:v>0.9533506600043111</x:v>
      </x:c>
      <x:c r="S243" s="29" t="n">
        <x:v>0</x:v>
      </x:c>
    </x:row>
    <x:row r="244" ht="21.600000381469727" hidden="0" customHeight="1">
      <x:c r="A244" s="27" t="n">
        <x:v>80</x:v>
      </x:c>
      <x:c r="B244" s="27" t="str">
        <x:v>A3</x:v>
      </x:c>
      <x:c r="C244" s="47" t="n">
        <x:v>1.0203342453374233</x:v>
      </x:c>
      <x:c r="D244" s="47" t="n">
        <x:v>0.8602007577680483</x:v>
      </x:c>
      <x:c r="E244" s="47" t="n">
        <x:v>0.5800257857428754</x:v>
      </x:c>
      <x:c r="F244" s="47" t="n">
        <x:v>0.035973300388500606</x:v>
      </x:c>
      <x:c r="G244" s="47" t="n">
        <x:v>-0.16156000450281</x:v>
      </x:c>
      <x:c r="H244" s="47" t="n">
        <x:v>0.896795412727553</x:v>
      </x:c>
      <x:c r="I244" s="47" t="n">
        <x:v>0.7954517924133986</x:v>
      </x:c>
      <x:c r="J244" s="47" t="n">
        <x:v>0.9815786101695823</x:v>
      </x:c>
      <x:c r="K244" s="47" t="n">
        <x:v>0.9897599594388852</x:v>
      </x:c>
      <x:c r="L244" s="47" t="n">
        <x:v>0.8264532997982501</x:v>
      </x:c>
      <x:c r="M244" s="47" t="n">
        <x:v>0.09805520402972442</x:v>
      </x:c>
      <x:c r="N244" s="47" t="n">
        <x:v>0.9925631077282225</x:v>
      </x:c>
      <x:c r="O244" s="47" t="n">
        <x:v>1</x:v>
      </x:c>
      <x:c r="P244" s="47" t="n">
        <x:v>1</x:v>
      </x:c>
      <x:c r="Q244" s="47" t="n">
        <x:v>1</x:v>
      </x:c>
      <x:c r="R244" s="47" t="n">
        <x:v>1</x:v>
      </x:c>
      <x:c r="S244" s="27" t="n">
        <x:v>1</x:v>
      </x:c>
    </x:row>
    <x:row r="245" ht="21.600000381469727" hidden="0" customHeight="1">
      <x:c r="A245" s="29" t="n">
        <x:v>81</x:v>
      </x:c>
      <x:c r="B245" s="29" t="str">
        <x:v>A1</x:v>
      </x:c>
      <x:c r="C245" s="48" t="n">
        <x:v>1.0128963251443006</x:v>
      </x:c>
      <x:c r="D245" s="48" t="n">
        <x:v>0.760809185419933</x:v>
      </x:c>
      <x:c r="E245" s="48" t="n">
        <x:v>0.909033467814841</x:v>
      </x:c>
      <x:c r="F245" s="48" t="n">
        <x:v>-0.18885738908304822</x:v>
      </x:c>
      <x:c r="G245" s="48" t="n">
        <x:v>-0.031745457797862225</x:v>
      </x:c>
      <x:c r="H245" s="48" t="n">
        <x:v>0.4678122337222116</x:v>
      </x:c>
      <x:c r="I245" s="48" t="n">
        <x:v>0.8340506251341853</x:v>
      </x:c>
      <x:c r="J245" s="48" t="n">
        <x:v>0.7900582397542709</x:v>
      </x:c>
      <x:c r="K245" s="48" t="n">
        <x:v>0.9129841879932454</x:v>
      </x:c>
      <x:c r="L245" s="48" t="n">
        <x:v>0.6925887050800315</x:v>
      </x:c>
      <x:c r="M245" s="48" t="n">
        <x:v>0.10551391907922343</x:v>
      </x:c>
      <x:c r="N245" s="48" t="n">
        <x:v>0.9646874705451878</x:v>
      </x:c>
      <x:c r="O245" s="48" t="n">
        <x:v>0.8932319929655496</x:v>
      </x:c>
      <x:c r="P245" s="48" t="n">
        <x:v>0.6629801039332086</x:v>
      </x:c>
      <x:c r="Q245" s="48" t="n">
        <x:v>1</x:v>
      </x:c>
      <x:c r="R245" s="48" t="n">
        <x:v>0.8681582692406862</x:v>
      </x:c>
      <x:c r="S245" s="29" t="n">
        <x:v>0</x:v>
      </x:c>
    </x:row>
    <x:row r="246" ht="21.600000381469727" hidden="0" customHeight="1">
      <x:c r="A246" s="27" t="n">
        <x:v>81</x:v>
      </x:c>
      <x:c r="B246" s="27" t="str">
        <x:v>A2</x:v>
      </x:c>
      <x:c r="C246" s="47" t="n">
        <x:v>1.0128963251443006</x:v>
      </x:c>
      <x:c r="D246" s="47" t="n">
        <x:v>0.760809185419933</x:v>
      </x:c>
      <x:c r="E246" s="47" t="n">
        <x:v>0.909033467814841</x:v>
      </x:c>
      <x:c r="F246" s="47" t="n">
        <x:v>-0.18885738908304822</x:v>
      </x:c>
      <x:c r="G246" s="47" t="n">
        <x:v>-0.031745457797862225</x:v>
      </x:c>
      <x:c r="H246" s="47" t="n">
        <x:v>0.4678122337222116</x:v>
      </x:c>
      <x:c r="I246" s="47" t="n">
        <x:v>0.8340506251341853</x:v>
      </x:c>
      <x:c r="J246" s="47" t="n">
        <x:v>0.7900582397542709</x:v>
      </x:c>
      <x:c r="K246" s="47" t="n">
        <x:v>0.9129841879932454</x:v>
      </x:c>
      <x:c r="L246" s="47" t="n">
        <x:v>0.6925887050800315</x:v>
      </x:c>
      <x:c r="M246" s="47" t="n">
        <x:v>0.10551391907922343</x:v>
      </x:c>
      <x:c r="N246" s="47" t="n">
        <x:v>0.9646874705451878</x:v>
      </x:c>
      <x:c r="O246" s="47" t="n">
        <x:v>0.9764664613230044</x:v>
      </x:c>
      <x:c r="P246" s="47" t="n">
        <x:v>0.7646646132300444</x:v>
      </x:c>
      <x:c r="Q246" s="47" t="n">
        <x:v>1</x:v>
      </x:c>
      <x:c r="R246" s="47" t="n">
        <x:v>0.97093977347479</x:v>
      </x:c>
      <x:c r="S246" s="27" t="n">
        <x:v>0</x:v>
      </x:c>
    </x:row>
    <x:row r="247" ht="21.600000381469727" hidden="0" customHeight="1">
      <x:c r="A247" s="29" t="n">
        <x:v>81</x:v>
      </x:c>
      <x:c r="B247" s="29" t="str">
        <x:v>A3</x:v>
      </x:c>
      <x:c r="C247" s="48" t="n">
        <x:v>1.0128963251443006</x:v>
      </x:c>
      <x:c r="D247" s="48" t="n">
        <x:v>0.760809185419933</x:v>
      </x:c>
      <x:c r="E247" s="48" t="n">
        <x:v>0.909033467814841</x:v>
      </x:c>
      <x:c r="F247" s="48" t="n">
        <x:v>-0.18885738908304822</x:v>
      </x:c>
      <x:c r="G247" s="48" t="n">
        <x:v>-0.031745457797862225</x:v>
      </x:c>
      <x:c r="H247" s="48" t="n">
        <x:v>0.4678122337222116</x:v>
      </x:c>
      <x:c r="I247" s="48" t="n">
        <x:v>0.8340506251341853</x:v>
      </x:c>
      <x:c r="J247" s="48" t="n">
        <x:v>0.7900582397542709</x:v>
      </x:c>
      <x:c r="K247" s="48" t="n">
        <x:v>0.9129841879932454</x:v>
      </x:c>
      <x:c r="L247" s="48" t="n">
        <x:v>0.6925887050800315</x:v>
      </x:c>
      <x:c r="M247" s="48" t="n">
        <x:v>0.10551391907922343</x:v>
      </x:c>
      <x:c r="N247" s="48" t="n">
        <x:v>0.9646874705451878</x:v>
      </x:c>
      <x:c r="O247" s="48" t="n">
        <x:v>1</x:v>
      </x:c>
      <x:c r="P247" s="48" t="n">
        <x:v>1</x:v>
      </x:c>
      <x:c r="Q247" s="48" t="n">
        <x:v>1</x:v>
      </x:c>
      <x:c r="R247" s="48" t="n">
        <x:v>1</x:v>
      </x:c>
      <x:c r="S247" s="29" t="n">
        <x:v>1</x:v>
      </x:c>
    </x:row>
    <x:row r="248" ht="21.600000381469727" hidden="0" customHeight="1">
      <x:c r="A248" s="27" t="n">
        <x:v>82</x:v>
      </x:c>
      <x:c r="B248" s="27" t="str">
        <x:v>A1</x:v>
      </x:c>
      <x:c r="C248" s="47" t="n">
        <x:v>1.051799182147875</x:v>
      </x:c>
      <x:c r="D248" s="47" t="n">
        <x:v>0.9510768430179757</x:v>
      </x:c>
      <x:c r="E248" s="47" t="n">
        <x:v>1.034463280033638</x:v>
      </x:c>
      <x:c r="F248" s="47" t="n">
        <x:v>-0.1429385663802779</x:v>
      </x:c>
      <x:c r="G248" s="47" t="n">
        <x:v>-0.16402573110499385</x:v>
      </x:c>
      <x:c r="H248" s="47" t="n">
        <x:v>0.3023670907530291</x:v>
      </x:c>
      <x:c r="I248" s="47" t="n">
        <x:v>0.876294767484803</x:v>
      </x:c>
      <x:c r="J248" s="47" t="n">
        <x:v>0.8339731102109155</x:v>
      </x:c>
      <x:c r="K248" s="47" t="n">
        <x:v>0.618407371118296</x:v>
      </x:c>
      <x:c r="L248" s="47" t="n">
        <x:v>0.6142210144429814</x:v>
      </x:c>
      <x:c r="M248" s="47" t="n">
        <x:v>0.10957085019611862</x:v>
      </x:c>
      <x:c r="N248" s="47" t="n">
        <x:v>0.9162398569705792</x:v>
      </x:c>
      <x:c r="O248" s="47" t="n">
        <x:v>0.9119094922055013</x:v>
      </x:c>
      <x:c r="P248" s="47" t="n">
        <x:v>0.6444524301955047</x:v>
      </x:c>
      <x:c r="Q248" s="47" t="n">
        <x:v>1</x:v>
      </x:c>
      <x:c r="R248" s="47" t="n">
        <x:v>0.891222049247898</x:v>
      </x:c>
      <x:c r="S248" s="27" t="n">
        <x:v>0</x:v>
      </x:c>
    </x:row>
    <x:row r="249" ht="21.600000381469727" hidden="0" customHeight="1">
      <x:c r="A249" s="29" t="n">
        <x:v>82</x:v>
      </x:c>
      <x:c r="B249" s="29" t="str">
        <x:v>A2</x:v>
      </x:c>
      <x:c r="C249" s="48" t="n">
        <x:v>1.051799182147875</x:v>
      </x:c>
      <x:c r="D249" s="48" t="n">
        <x:v>0.9510768430179757</x:v>
      </x:c>
      <x:c r="E249" s="48" t="n">
        <x:v>1.034463280033638</x:v>
      </x:c>
      <x:c r="F249" s="48" t="n">
        <x:v>-0.1429385663802779</x:v>
      </x:c>
      <x:c r="G249" s="48" t="n">
        <x:v>-0.16402573110499385</x:v>
      </x:c>
      <x:c r="H249" s="48" t="n">
        <x:v>0.3023670907530291</x:v>
      </x:c>
      <x:c r="I249" s="48" t="n">
        <x:v>0.876294767484803</x:v>
      </x:c>
      <x:c r="J249" s="48" t="n">
        <x:v>0.8339731102109155</x:v>
      </x:c>
      <x:c r="K249" s="48" t="n">
        <x:v>0.618407371118296</x:v>
      </x:c>
      <x:c r="L249" s="48" t="n">
        <x:v>0.6142210144429814</x:v>
      </x:c>
      <x:c r="M249" s="48" t="n">
        <x:v>0.10957085019611862</x:v>
      </x:c>
      <x:c r="N249" s="48" t="n">
        <x:v>0.9162398569705792</x:v>
      </x:c>
      <x:c r="O249" s="48" t="n">
        <x:v>0.9580866856400336</x:v>
      </x:c>
      <x:c r="P249" s="48" t="n">
        <x:v>0.7354278227453469</x:v>
      </x:c>
      <x:c r="Q249" s="48" t="n">
        <x:v>1</x:v>
      </x:c>
      <x:c r="R249" s="48" t="n">
        <x:v>0.9482436353308145</x:v>
      </x:c>
      <x:c r="S249" s="29" t="n">
        <x:v>0</x:v>
      </x:c>
    </x:row>
    <x:row r="250" ht="21.600000381469727" hidden="0" customHeight="1">
      <x:c r="A250" s="27" t="n">
        <x:v>82</x:v>
      </x:c>
      <x:c r="B250" s="27" t="str">
        <x:v>A3</x:v>
      </x:c>
      <x:c r="C250" s="47" t="n">
        <x:v>1.051799182147875</x:v>
      </x:c>
      <x:c r="D250" s="47" t="n">
        <x:v>0.9510768430179757</x:v>
      </x:c>
      <x:c r="E250" s="47" t="n">
        <x:v>1.034463280033638</x:v>
      </x:c>
      <x:c r="F250" s="47" t="n">
        <x:v>-0.1429385663802779</x:v>
      </x:c>
      <x:c r="G250" s="47" t="n">
        <x:v>-0.16402573110499385</x:v>
      </x:c>
      <x:c r="H250" s="47" t="n">
        <x:v>0.3023670907530291</x:v>
      </x:c>
      <x:c r="I250" s="47" t="n">
        <x:v>0.876294767484803</x:v>
      </x:c>
      <x:c r="J250" s="47" t="n">
        <x:v>0.8339731102109155</x:v>
      </x:c>
      <x:c r="K250" s="47" t="n">
        <x:v>0.618407371118296</x:v>
      </x:c>
      <x:c r="L250" s="47" t="n">
        <x:v>0.6142210144429814</x:v>
      </x:c>
      <x:c r="M250" s="47" t="n">
        <x:v>0.10957085019611862</x:v>
      </x:c>
      <x:c r="N250" s="47" t="n">
        <x:v>0.9162398569705792</x:v>
      </x:c>
      <x:c r="O250" s="47" t="n">
        <x:v>1</x:v>
      </x:c>
      <x:c r="P250" s="47" t="n">
        <x:v>1</x:v>
      </x:c>
      <x:c r="Q250" s="47" t="n">
        <x:v>1</x:v>
      </x:c>
      <x:c r="R250" s="47" t="n">
        <x:v>1</x:v>
      </x:c>
      <x:c r="S250" s="27" t="n">
        <x:v>1</x:v>
      </x:c>
    </x:row>
    <x:row r="251" ht="21.600000381469727" hidden="0" customHeight="1">
      <x:c r="A251" s="29" t="n">
        <x:v>83</x:v>
      </x:c>
      <x:c r="B251" s="29" t="str">
        <x:v>A1</x:v>
      </x:c>
      <x:c r="C251" s="48" t="n">
        <x:v>1.2016826767400064</x:v>
      </x:c>
      <x:c r="D251" s="48" t="n">
        <x:v>0.9977809451028272</x:v>
      </x:c>
      <x:c r="E251" s="48" t="n">
        <x:v>0.5837784041781009</x:v>
      </x:c>
      <x:c r="F251" s="48" t="n">
        <x:v>-0.15037133802192637</x:v>
      </x:c>
      <x:c r="G251" s="48" t="n">
        <x:v>-0.17407984892508171</x:v>
      </x:c>
      <x:c r="H251" s="48" t="n">
        <x:v>0.5544958723844677</x:v>
      </x:c>
      <x:c r="I251" s="48" t="n">
        <x:v>0.8901748655354937</x:v>
      </x:c>
      <x:c r="J251" s="48" t="n">
        <x:v>0.4160057346636122</x:v>
      </x:c>
      <x:c r="K251" s="48" t="n">
        <x:v>0.9998004658866297</x:v>
      </x:c>
      <x:c r="L251" s="48" t="n">
        <x:v>0.6696347220331081</x:v>
      </x:c>
      <x:c r="M251" s="48" t="n">
        <x:v>0.1371070029822346</x:v>
      </x:c>
      <x:c r="N251" s="48" t="n">
        <x:v>0.8275903600215212</x:v>
      </x:c>
      <x:c r="O251" s="48" t="n">
        <x:v>0.798069801257097</x:v>
      </x:c>
      <x:c r="P251" s="48" t="n">
        <x:v>0.4962525874956274</x:v>
      </x:c>
      <x:c r="Q251" s="48" t="n">
        <x:v>1</x:v>
      </x:c>
      <x:c r="R251" s="48" t="n">
        <x:v>0.7506478988013119</x:v>
      </x:c>
      <x:c r="S251" s="29" t="n">
        <x:v>0</x:v>
      </x:c>
    </x:row>
    <x:row r="252" ht="21.600000381469727" hidden="0" customHeight="1">
      <x:c r="A252" s="27" t="n">
        <x:v>83</x:v>
      </x:c>
      <x:c r="B252" s="27" t="str">
        <x:v>A2</x:v>
      </x:c>
      <x:c r="C252" s="47" t="n">
        <x:v>1.2016826767400064</x:v>
      </x:c>
      <x:c r="D252" s="47" t="n">
        <x:v>0.9977809451028272</x:v>
      </x:c>
      <x:c r="E252" s="47" t="n">
        <x:v>0.5837784041781009</x:v>
      </x:c>
      <x:c r="F252" s="47" t="n">
        <x:v>-0.15037133802192637</x:v>
      </x:c>
      <x:c r="G252" s="47" t="n">
        <x:v>-0.17407984892508171</x:v>
      </x:c>
      <x:c r="H252" s="47" t="n">
        <x:v>0.5544958723844677</x:v>
      </x:c>
      <x:c r="I252" s="47" t="n">
        <x:v>0.8901748655354937</x:v>
      </x:c>
      <x:c r="J252" s="47" t="n">
        <x:v>0.4160057346636122</x:v>
      </x:c>
      <x:c r="K252" s="47" t="n">
        <x:v>0.9998004658866297</x:v>
      </x:c>
      <x:c r="L252" s="47" t="n">
        <x:v>0.6696347220331081</x:v>
      </x:c>
      <x:c r="M252" s="47" t="n">
        <x:v>0.1371070029822346</x:v>
      </x:c>
      <x:c r="N252" s="47" t="n">
        <x:v>0.8275903600215212</x:v>
      </x:c>
      <x:c r="O252" s="47" t="n">
        <x:v>0.8885663483825033</x:v>
      </x:c>
      <x:c r="P252" s="47" t="n">
        <x:v>0.6386527756742857</x:v>
      </x:c>
      <x:c r="Q252" s="47" t="n">
        <x:v>1</x:v>
      </x:c>
      <x:c r="R252" s="47" t="n">
        <x:v>0.862396930483673</x:v>
      </x:c>
      <x:c r="S252" s="27" t="n">
        <x:v>0</x:v>
      </x:c>
    </x:row>
    <x:row r="253" ht="21.600000381469727" hidden="0" customHeight="1">
      <x:c r="A253" s="29" t="n">
        <x:v>83</x:v>
      </x:c>
      <x:c r="B253" s="29" t="str">
        <x:v>A3</x:v>
      </x:c>
      <x:c r="C253" s="48" t="n">
        <x:v>1.2016826767400064</x:v>
      </x:c>
      <x:c r="D253" s="48" t="n">
        <x:v>0.9977809451028272</x:v>
      </x:c>
      <x:c r="E253" s="48" t="n">
        <x:v>0.5837784041781009</x:v>
      </x:c>
      <x:c r="F253" s="48" t="n">
        <x:v>-0.15037133802192637</x:v>
      </x:c>
      <x:c r="G253" s="48" t="n">
        <x:v>-0.17407984892508171</x:v>
      </x:c>
      <x:c r="H253" s="48" t="n">
        <x:v>0.5544958723844677</x:v>
      </x:c>
      <x:c r="I253" s="48" t="n">
        <x:v>0.8901748655354937</x:v>
      </x:c>
      <x:c r="J253" s="48" t="n">
        <x:v>0.4160057346636122</x:v>
      </x:c>
      <x:c r="K253" s="48" t="n">
        <x:v>0.9998004658866297</x:v>
      </x:c>
      <x:c r="L253" s="48" t="n">
        <x:v>0.6696347220331081</x:v>
      </x:c>
      <x:c r="M253" s="48" t="n">
        <x:v>0.1371070029822346</x:v>
      </x:c>
      <x:c r="N253" s="48" t="n">
        <x:v>0.8275903600215212</x:v>
      </x:c>
      <x:c r="O253" s="48" t="n">
        <x:v>1</x:v>
      </x:c>
      <x:c r="P253" s="48" t="n">
        <x:v>1</x:v>
      </x:c>
      <x:c r="Q253" s="48" t="n">
        <x:v>1</x:v>
      </x:c>
      <x:c r="R253" s="48" t="n">
        <x:v>1</x:v>
      </x:c>
      <x:c r="S253" s="29" t="n">
        <x:v>1</x:v>
      </x:c>
    </x:row>
    <x:row r="254" ht="21.600000381469727" hidden="0" customHeight="1">
      <x:c r="A254" s="27" t="n">
        <x:v>84</x:v>
      </x:c>
      <x:c r="B254" s="27" t="str">
        <x:v>A1</x:v>
      </x:c>
      <x:c r="C254" s="47" t="n">
        <x:v>0.9654172142840439</x:v>
      </x:c>
      <x:c r="D254" s="47" t="n">
        <x:v>0.951371074557667</x:v>
      </x:c>
      <x:c r="E254" s="47" t="n">
        <x:v>0.7104469658376713</x:v>
      </x:c>
      <x:c r="F254" s="47" t="n">
        <x:v>0.03656331690893655</x:v>
      </x:c>
      <x:c r="G254" s="47" t="n">
        <x:v>-0.011934404650272151</x:v>
      </x:c>
      <x:c r="H254" s="47" t="n">
        <x:v>0.8270735551594162</x:v>
      </x:c>
      <x:c r="I254" s="47" t="n">
        <x:v>0.7427889969686688</x:v>
      </x:c>
      <x:c r="J254" s="47" t="n">
        <x:v>0.9003581912214346</x:v>
      </x:c>
      <x:c r="K254" s="47" t="n">
        <x:v>0.6021998082259088</x:v>
      </x:c>
      <x:c r="L254" s="47" t="n">
        <x:v>0.6758451936641401</x:v>
      </x:c>
      <x:c r="M254" s="47" t="n">
        <x:v>0.06464008842486</x:v>
      </x:c>
      <x:c r="N254" s="47" t="n">
        <x:v>0.6790779815392994</x:v>
      </x:c>
      <x:c r="O254" s="47" t="n">
        <x:v>0.9485985356415768</x:v>
      </x:c>
      <x:c r="P254" s="47" t="n">
        <x:v>0.7269766830755585</x:v>
      </x:c>
      <x:c r="Q254" s="47" t="n">
        <x:v>1</x:v>
      </x:c>
      <x:c r="R254" s="47" t="n">
        <x:v>0.9365272593091389</x:v>
      </x:c>
      <x:c r="S254" s="27" t="n">
        <x:v>0</x:v>
      </x:c>
    </x:row>
    <x:row r="255" ht="21.600000381469727" hidden="0" customHeight="1">
      <x:c r="A255" s="29" t="n">
        <x:v>84</x:v>
      </x:c>
      <x:c r="B255" s="29" t="str">
        <x:v>A2</x:v>
      </x:c>
      <x:c r="C255" s="48" t="n">
        <x:v>0.9654172142840439</x:v>
      </x:c>
      <x:c r="D255" s="48" t="n">
        <x:v>0.951371074557667</x:v>
      </x:c>
      <x:c r="E255" s="48" t="n">
        <x:v>0.7104469658376713</x:v>
      </x:c>
      <x:c r="F255" s="48" t="n">
        <x:v>0.03656331690893655</x:v>
      </x:c>
      <x:c r="G255" s="48" t="n">
        <x:v>-0.011934404650272151</x:v>
      </x:c>
      <x:c r="H255" s="48" t="n">
        <x:v>0.8270735551594162</x:v>
      </x:c>
      <x:c r="I255" s="48" t="n">
        <x:v>0.7427889969686688</x:v>
      </x:c>
      <x:c r="J255" s="48" t="n">
        <x:v>0.9003581912214346</x:v>
      </x:c>
      <x:c r="K255" s="48" t="n">
        <x:v>0.6021998082259088</x:v>
      </x:c>
      <x:c r="L255" s="48" t="n">
        <x:v>0.6758451936641401</x:v>
      </x:c>
      <x:c r="M255" s="48" t="n">
        <x:v>0.06464008842486</x:v>
      </x:c>
      <x:c r="N255" s="48" t="n">
        <x:v>0.6790779815392994</x:v>
      </x:c>
      <x:c r="O255" s="48" t="n">
        <x:v>0.989704284715009</x:v>
      </x:c>
      <x:c r="P255" s="48" t="n">
        <x:v>0.8970428471500901</x:v>
      </x:c>
      <x:c r="Q255" s="48" t="n">
        <x:v>1</x:v>
      </x:c>
      <x:c r="R255" s="48" t="n">
        <x:v>0.9872864076020419</x:v>
      </x:c>
      <x:c r="S255" s="29" t="n">
        <x:v>0</x:v>
      </x:c>
    </x:row>
    <x:row r="256" ht="21.600000381469727" hidden="0" customHeight="1">
      <x:c r="A256" s="27" t="n">
        <x:v>84</x:v>
      </x:c>
      <x:c r="B256" s="27" t="str">
        <x:v>A3</x:v>
      </x:c>
      <x:c r="C256" s="47" t="n">
        <x:v>0.9654172142840439</x:v>
      </x:c>
      <x:c r="D256" s="47" t="n">
        <x:v>0.951371074557667</x:v>
      </x:c>
      <x:c r="E256" s="47" t="n">
        <x:v>0.7104469658376713</x:v>
      </x:c>
      <x:c r="F256" s="47" t="n">
        <x:v>0.03656331690893655</x:v>
      </x:c>
      <x:c r="G256" s="47" t="n">
        <x:v>-0.011934404650272151</x:v>
      </x:c>
      <x:c r="H256" s="47" t="n">
        <x:v>0.8270735551594162</x:v>
      </x:c>
      <x:c r="I256" s="47" t="n">
        <x:v>0.7427889969686688</x:v>
      </x:c>
      <x:c r="J256" s="47" t="n">
        <x:v>0.9003581912214346</x:v>
      </x:c>
      <x:c r="K256" s="47" t="n">
        <x:v>0.6021998082259088</x:v>
      </x:c>
      <x:c r="L256" s="47" t="n">
        <x:v>0.6758451936641401</x:v>
      </x:c>
      <x:c r="M256" s="47" t="n">
        <x:v>0.06464008842486</x:v>
      </x:c>
      <x:c r="N256" s="47" t="n">
        <x:v>0.6790779815392994</x:v>
      </x:c>
      <x:c r="O256" s="47" t="n">
        <x:v>1</x:v>
      </x:c>
      <x:c r="P256" s="47" t="n">
        <x:v>1</x:v>
      </x:c>
      <x:c r="Q256" s="47" t="n">
        <x:v>1</x:v>
      </x:c>
      <x:c r="R256" s="47" t="n">
        <x:v>1</x:v>
      </x:c>
      <x:c r="S256" s="27" t="n">
        <x:v>1</x:v>
      </x:c>
    </x:row>
    <x:row r="257" ht="21.600000381469727" hidden="0" customHeight="1">
      <x:c r="A257" s="29" t="n">
        <x:v>85</x:v>
      </x:c>
      <x:c r="B257" s="29" t="str">
        <x:v>A1</x:v>
      </x:c>
      <x:c r="C257" s="48" t="n">
        <x:v>1.1474714460665472</x:v>
      </x:c>
      <x:c r="D257" s="48" t="n">
        <x:v>0.8452671449609779</x:v>
      </x:c>
      <x:c r="E257" s="48" t="n">
        <x:v>0.4676799296959436</x:v>
      </x:c>
      <x:c r="F257" s="48" t="n">
        <x:v>-0.07340607345398248</x:v>
      </x:c>
      <x:c r="G257" s="48" t="n">
        <x:v>-0.026284861587935693</x:v>
      </x:c>
      <x:c r="H257" s="48" t="n">
        <x:v>0.6912917343995382</x:v>
      </x:c>
      <x:c r="I257" s="48" t="n">
        <x:v>0.7528340923949093</x:v>
      </x:c>
      <x:c r="J257" s="48" t="n">
        <x:v>0.6752984598671536</x:v>
      </x:c>
      <x:c r="K257" s="48" t="n">
        <x:v>0.649909710179583</x:v>
      </x:c>
      <x:c r="L257" s="48" t="n">
        <x:v>0.9039937791022383</x:v>
      </x:c>
      <x:c r="M257" s="48" t="n">
        <x:v>0.061228754629846616</x:v>
      </x:c>
      <x:c r="N257" s="48" t="n">
        <x:v>0.9897485935820485</x:v>
      </x:c>
      <x:c r="O257" s="48" t="n">
        <x:v>0.8010602411501996</x:v>
      </x:c>
      <x:c r="P257" s="48" t="n">
        <x:v>0.38233594497329</x:v>
      </x:c>
      <x:c r="Q257" s="48" t="n">
        <x:v>1</x:v>
      </x:c>
      <x:c r="R257" s="48" t="n">
        <x:v>0.7543406227004396</x:v>
      </x:c>
      <x:c r="S257" s="29" t="n">
        <x:v>0</x:v>
      </x:c>
    </x:row>
    <x:row r="258" ht="21.600000381469727" hidden="0" customHeight="1">
      <x:c r="A258" s="27" t="n">
        <x:v>85</x:v>
      </x:c>
      <x:c r="B258" s="27" t="str">
        <x:v>A2</x:v>
      </x:c>
      <x:c r="C258" s="47" t="n">
        <x:v>1.1474714460665472</x:v>
      </x:c>
      <x:c r="D258" s="47" t="n">
        <x:v>0.8452671449609779</x:v>
      </x:c>
      <x:c r="E258" s="47" t="n">
        <x:v>0.4676799296959436</x:v>
      </x:c>
      <x:c r="F258" s="47" t="n">
        <x:v>-0.07340607345398248</x:v>
      </x:c>
      <x:c r="G258" s="47" t="n">
        <x:v>-0.026284861587935693</x:v>
      </x:c>
      <x:c r="H258" s="47" t="n">
        <x:v>0.6912917343995382</x:v>
      </x:c>
      <x:c r="I258" s="47" t="n">
        <x:v>0.7528340923949093</x:v>
      </x:c>
      <x:c r="J258" s="47" t="n">
        <x:v>0.6752984598671536</x:v>
      </x:c>
      <x:c r="K258" s="47" t="n">
        <x:v>0.649909710179583</x:v>
      </x:c>
      <x:c r="L258" s="47" t="n">
        <x:v>0.9039937791022383</x:v>
      </x:c>
      <x:c r="M258" s="47" t="n">
        <x:v>0.061228754629846616</x:v>
      </x:c>
      <x:c r="N258" s="47" t="n">
        <x:v>0.9897485935820485</x:v>
      </x:c>
      <x:c r="O258" s="47" t="n">
        <x:v>0.8872020718147297</x:v>
      </x:c>
      <x:c r="P258" s="47" t="n">
        <x:v>0.4424918881875704</x:v>
      </x:c>
      <x:c r="Q258" s="47" t="n">
        <x:v>1</x:v>
      </x:c>
      <x:c r="R258" s="47" t="n">
        <x:v>0.8607122630544908</x:v>
      </x:c>
      <x:c r="S258" s="27" t="n">
        <x:v>0</x:v>
      </x:c>
    </x:row>
    <x:row r="259" ht="21.600000381469727" hidden="0" customHeight="1">
      <x:c r="A259" s="29" t="n">
        <x:v>85</x:v>
      </x:c>
      <x:c r="B259" s="29" t="str">
        <x:v>A3</x:v>
      </x:c>
      <x:c r="C259" s="48" t="n">
        <x:v>1.1474714460665472</x:v>
      </x:c>
      <x:c r="D259" s="48" t="n">
        <x:v>0.8452671449609779</x:v>
      </x:c>
      <x:c r="E259" s="48" t="n">
        <x:v>0.4676799296959436</x:v>
      </x:c>
      <x:c r="F259" s="48" t="n">
        <x:v>-0.07340607345398248</x:v>
      </x:c>
      <x:c r="G259" s="48" t="n">
        <x:v>-0.026284861587935693</x:v>
      </x:c>
      <x:c r="H259" s="48" t="n">
        <x:v>0.6912917343995382</x:v>
      </x:c>
      <x:c r="I259" s="48" t="n">
        <x:v>0.7528340923949093</x:v>
      </x:c>
      <x:c r="J259" s="48" t="n">
        <x:v>0.6752984598671536</x:v>
      </x:c>
      <x:c r="K259" s="48" t="n">
        <x:v>0.649909710179583</x:v>
      </x:c>
      <x:c r="L259" s="48" t="n">
        <x:v>0.9039937791022383</x:v>
      </x:c>
      <x:c r="M259" s="48" t="n">
        <x:v>0.061228754629846616</x:v>
      </x:c>
      <x:c r="N259" s="48" t="n">
        <x:v>0.9897485935820485</x:v>
      </x:c>
      <x:c r="O259" s="48" t="n">
        <x:v>1</x:v>
      </x:c>
      <x:c r="P259" s="48" t="n">
        <x:v>1</x:v>
      </x:c>
      <x:c r="Q259" s="48" t="n">
        <x:v>1</x:v>
      </x:c>
      <x:c r="R259" s="48" t="n">
        <x:v>1</x:v>
      </x:c>
      <x:c r="S259" s="29" t="n">
        <x:v>1</x:v>
      </x:c>
    </x:row>
    <x:row r="260" ht="21.600000381469727" hidden="0" customHeight="1">
      <x:c r="A260" s="27" t="n">
        <x:v>86</x:v>
      </x:c>
      <x:c r="B260" s="27" t="str">
        <x:v>A1</x:v>
      </x:c>
      <x:c r="C260" s="47" t="n">
        <x:v>1.2906933696363152</x:v>
      </x:c>
      <x:c r="D260" s="47" t="n">
        <x:v>0.8213803618757898</x:v>
      </x:c>
      <x:c r="E260" s="47" t="n">
        <x:v>0.9675949833805673</x:v>
      </x:c>
      <x:c r="F260" s="47" t="n">
        <x:v>-0.07773784763493184</x:v>
      </x:c>
      <x:c r="G260" s="47" t="n">
        <x:v>-0.14014371486212546</x:v>
      </x:c>
      <x:c r="H260" s="47" t="n">
        <x:v>0.8887579427787122</x:v>
      </x:c>
      <x:c r="I260" s="47" t="n">
        <x:v>1.001836640430366</x:v>
      </x:c>
      <x:c r="J260" s="47" t="n">
        <x:v>0.9265299669861662</x:v>
      </x:c>
      <x:c r="K260" s="47" t="n">
        <x:v>0.7550876536690091</x:v>
      </x:c>
      <x:c r="L260" s="47" t="n">
        <x:v>0.8347360696396846</x:v>
      </x:c>
      <x:c r="M260" s="47" t="n">
        <x:v>0.11460790964546108</x:v>
      </x:c>
      <x:c r="N260" s="47" t="n">
        <x:v>0.9726323460434464</x:v>
      </x:c>
      <x:c r="O260" s="47" t="n">
        <x:v>0.8093287846812806</x:v>
      </x:c>
      <x:c r="P260" s="47" t="n">
        <x:v>0.4916765061540761</x:v>
      </x:c>
      <x:c r="Q260" s="47" t="n">
        <x:v>0.9483851122859556</x:v>
      </x:c>
      <x:c r="R260" s="47" t="n">
        <x:v>0.7649343123705743</x:v>
      </x:c>
      <x:c r="S260" s="27" t="n">
        <x:v>0</x:v>
      </x:c>
    </x:row>
    <x:row r="261" ht="21.600000381469727" hidden="0" customHeight="1">
      <x:c r="A261" s="29" t="n">
        <x:v>86</x:v>
      </x:c>
      <x:c r="B261" s="29" t="str">
        <x:v>A2</x:v>
      </x:c>
      <x:c r="C261" s="48" t="n">
        <x:v>1.2906933696363152</x:v>
      </x:c>
      <x:c r="D261" s="48" t="n">
        <x:v>0.8213803618757898</x:v>
      </x:c>
      <x:c r="E261" s="48" t="n">
        <x:v>0.9675949833805673</x:v>
      </x:c>
      <x:c r="F261" s="48" t="n">
        <x:v>-0.07773784763493184</x:v>
      </x:c>
      <x:c r="G261" s="48" t="n">
        <x:v>-0.14014371486212546</x:v>
      </x:c>
      <x:c r="H261" s="48" t="n">
        <x:v>0.8887579427787122</x:v>
      </x:c>
      <x:c r="I261" s="48" t="n">
        <x:v>1.001836640430366</x:v>
      </x:c>
      <x:c r="J261" s="48" t="n">
        <x:v>0.9265299669861662</x:v>
      </x:c>
      <x:c r="K261" s="48" t="n">
        <x:v>0.7550876536690091</x:v>
      </x:c>
      <x:c r="L261" s="48" t="n">
        <x:v>0.8347360696396846</x:v>
      </x:c>
      <x:c r="M261" s="48" t="n">
        <x:v>0.11460790964546108</x:v>
      </x:c>
      <x:c r="N261" s="48" t="n">
        <x:v>0.9726323460434464</x:v>
      </x:c>
      <x:c r="O261" s="48" t="n">
        <x:v>0.9142711455212073</x:v>
      </x:c>
      <x:c r="P261" s="48" t="n">
        <x:v>0.575955509704581</x:v>
      </x:c>
      <x:c r="Q261" s="48" t="n">
        <x:v>1</x:v>
      </x:c>
      <x:c r="R261" s="48" t="n">
        <x:v>0.8941383204160551</x:v>
      </x:c>
      <x:c r="S261" s="29" t="n">
        <x:v>0</x:v>
      </x:c>
    </x:row>
    <x:row r="262" ht="21.600000381469727" hidden="0" customHeight="1">
      <x:c r="A262" s="27" t="n">
        <x:v>86</x:v>
      </x:c>
      <x:c r="B262" s="27" t="str">
        <x:v>A3</x:v>
      </x:c>
      <x:c r="C262" s="47" t="n">
        <x:v>1.2906933696363152</x:v>
      </x:c>
      <x:c r="D262" s="47" t="n">
        <x:v>0.8213803618757898</x:v>
      </x:c>
      <x:c r="E262" s="47" t="n">
        <x:v>0.9675949833805673</x:v>
      </x:c>
      <x:c r="F262" s="47" t="n">
        <x:v>-0.07773784763493184</x:v>
      </x:c>
      <x:c r="G262" s="47" t="n">
        <x:v>-0.14014371486212546</x:v>
      </x:c>
      <x:c r="H262" s="47" t="n">
        <x:v>0.8887579427787122</x:v>
      </x:c>
      <x:c r="I262" s="47" t="n">
        <x:v>1.001836640430366</x:v>
      </x:c>
      <x:c r="J262" s="47" t="n">
        <x:v>0.9265299669861662</x:v>
      </x:c>
      <x:c r="K262" s="47" t="n">
        <x:v>0.7550876536690091</x:v>
      </x:c>
      <x:c r="L262" s="47" t="n">
        <x:v>0.8347360696396846</x:v>
      </x:c>
      <x:c r="M262" s="47" t="n">
        <x:v>0.11460790964546108</x:v>
      </x:c>
      <x:c r="N262" s="47" t="n">
        <x:v>0.9726323460434464</x:v>
      </x:c>
      <x:c r="O262" s="47" t="n">
        <x:v>1</x:v>
      </x:c>
      <x:c r="P262" s="47" t="n">
        <x:v>1</x:v>
      </x:c>
      <x:c r="Q262" s="47" t="n">
        <x:v>1</x:v>
      </x:c>
      <x:c r="R262" s="47" t="n">
        <x:v>1</x:v>
      </x:c>
      <x:c r="S262" s="27" t="n">
        <x:v>1</x:v>
      </x:c>
    </x:row>
    <x:row r="263" ht="21.600000381469727" hidden="0" customHeight="1">
      <x:c r="A263" s="29" t="n">
        <x:v>87</x:v>
      </x:c>
      <x:c r="B263" s="29" t="str">
        <x:v>A1</x:v>
      </x:c>
      <x:c r="C263" s="48" t="n">
        <x:v>1.2765070523168247</x:v>
      </x:c>
      <x:c r="D263" s="48" t="n">
        <x:v>0.9610860923510718</x:v>
      </x:c>
      <x:c r="E263" s="48" t="n">
        <x:v>0.9272135619339625</x:v>
      </x:c>
      <x:c r="F263" s="48" t="n">
        <x:v>-0.19001294881238304</x:v>
      </x:c>
      <x:c r="G263" s="48" t="n">
        <x:v>-0.11977039324394226</x:v>
      </x:c>
      <x:c r="H263" s="48" t="n">
        <x:v>0.47839551836311955</x:v>
      </x:c>
      <x:c r="I263" s="48" t="n">
        <x:v>0.6025634626440607</x:v>
      </x:c>
      <x:c r="J263" s="48" t="n">
        <x:v>0.5008296217860205</x:v>
      </x:c>
      <x:c r="K263" s="48" t="n">
        <x:v>0.5824777845654723</x:v>
      </x:c>
      <x:c r="L263" s="48" t="n">
        <x:v>0.9612410797160175</x:v>
      </x:c>
      <x:c r="M263" s="48" t="n">
        <x:v>0.06711891974119405</x:v>
      </x:c>
      <x:c r="N263" s="48" t="n">
        <x:v>0.7154786254566528</x:v>
      </x:c>
      <x:c r="O263" s="48" t="n">
        <x:v>0.8199347860546842</x:v>
      </x:c>
      <x:c r="P263" s="48" t="n">
        <x:v>0.5170165456225746</x:v>
      </x:c>
      <x:c r="Q263" s="48" t="n">
        <x:v>1</x:v>
      </x:c>
      <x:c r="R263" s="48" t="n">
        <x:v>0.7776477231757597</x:v>
      </x:c>
      <x:c r="S263" s="29" t="n">
        <x:v>0</x:v>
      </x:c>
    </x:row>
    <x:row r="264" ht="21.600000381469727" hidden="0" customHeight="1">
      <x:c r="A264" s="27" t="n">
        <x:v>87</x:v>
      </x:c>
      <x:c r="B264" s="27" t="str">
        <x:v>A2</x:v>
      </x:c>
      <x:c r="C264" s="47" t="n">
        <x:v>1.2765070523168247</x:v>
      </x:c>
      <x:c r="D264" s="47" t="n">
        <x:v>0.9610860923510718</x:v>
      </x:c>
      <x:c r="E264" s="47" t="n">
        <x:v>0.9272135619339625</x:v>
      </x:c>
      <x:c r="F264" s="47" t="n">
        <x:v>-0.19001294881238304</x:v>
      </x:c>
      <x:c r="G264" s="47" t="n">
        <x:v>-0.11977039324394226</x:v>
      </x:c>
      <x:c r="H264" s="47" t="n">
        <x:v>0.47839551836311955</x:v>
      </x:c>
      <x:c r="I264" s="47" t="n">
        <x:v>0.6025634626440607</x:v>
      </x:c>
      <x:c r="J264" s="47" t="n">
        <x:v>0.5008296217860205</x:v>
      </x:c>
      <x:c r="K264" s="47" t="n">
        <x:v>0.5824777845654723</x:v>
      </x:c>
      <x:c r="L264" s="47" t="n">
        <x:v>0.9612410797160175</x:v>
      </x:c>
      <x:c r="M264" s="47" t="n">
        <x:v>0.06711891974119405</x:v>
      </x:c>
      <x:c r="N264" s="47" t="n">
        <x:v>0.7154786254566528</x:v>
      </x:c>
      <x:c r="O264" s="47" t="n">
        <x:v>0.9017153927324263</x:v>
      </x:c>
      <x:c r="P264" s="47" t="n">
        <x:v>0.624737669967352</x:v>
      </x:c>
      <x:c r="Q264" s="47" t="n">
        <x:v>1</x:v>
      </x:c>
      <x:c r="R264" s="47" t="n">
        <x:v>0.8786339364283982</x:v>
      </x:c>
      <x:c r="S264" s="27" t="n">
        <x:v>0</x:v>
      </x:c>
    </x:row>
    <x:row r="265" ht="21.600000381469727" hidden="0" customHeight="1">
      <x:c r="A265" s="29" t="n">
        <x:v>87</x:v>
      </x:c>
      <x:c r="B265" s="29" t="str">
        <x:v>A3</x:v>
      </x:c>
      <x:c r="C265" s="48" t="n">
        <x:v>1.2765070523168247</x:v>
      </x:c>
      <x:c r="D265" s="48" t="n">
        <x:v>0.9610860923510718</x:v>
      </x:c>
      <x:c r="E265" s="48" t="n">
        <x:v>0.9272135619339625</x:v>
      </x:c>
      <x:c r="F265" s="48" t="n">
        <x:v>-0.19001294881238304</x:v>
      </x:c>
      <x:c r="G265" s="48" t="n">
        <x:v>-0.11977039324394226</x:v>
      </x:c>
      <x:c r="H265" s="48" t="n">
        <x:v>0.47839551836311955</x:v>
      </x:c>
      <x:c r="I265" s="48" t="n">
        <x:v>0.6025634626440607</x:v>
      </x:c>
      <x:c r="J265" s="48" t="n">
        <x:v>0.5008296217860205</x:v>
      </x:c>
      <x:c r="K265" s="48" t="n">
        <x:v>0.5824777845654723</x:v>
      </x:c>
      <x:c r="L265" s="48" t="n">
        <x:v>0.9612410797160175</x:v>
      </x:c>
      <x:c r="M265" s="48" t="n">
        <x:v>0.06711891974119405</x:v>
      </x:c>
      <x:c r="N265" s="48" t="n">
        <x:v>0.7154786254566528</x:v>
      </x:c>
      <x:c r="O265" s="48" t="n">
        <x:v>1</x:v>
      </x:c>
      <x:c r="P265" s="48" t="n">
        <x:v>1</x:v>
      </x:c>
      <x:c r="Q265" s="48" t="n">
        <x:v>1</x:v>
      </x:c>
      <x:c r="R265" s="48" t="n">
        <x:v>1</x:v>
      </x:c>
      <x:c r="S265" s="29" t="n">
        <x:v>1</x:v>
      </x:c>
    </x:row>
    <x:row r="266" ht="21.600000381469727" hidden="0" customHeight="1">
      <x:c r="A266" s="27" t="n">
        <x:v>88</x:v>
      </x:c>
      <x:c r="B266" s="27" t="str">
        <x:v>A1</x:v>
      </x:c>
      <x:c r="C266" s="47" t="n">
        <x:v>1.1000651825420162</x:v>
      </x:c>
      <x:c r="D266" s="47" t="n">
        <x:v>0.7330456097181055</x:v>
      </x:c>
      <x:c r="E266" s="47" t="n">
        <x:v>0.5250063243183829</x:v>
      </x:c>
      <x:c r="F266" s="47" t="n">
        <x:v>0.03962810223143762</x:v>
      </x:c>
      <x:c r="G266" s="47" t="n">
        <x:v>-0.15289644271640573</x:v>
      </x:c>
      <x:c r="H266" s="47" t="n">
        <x:v>0.9569576626428173</x:v>
      </x:c>
      <x:c r="I266" s="47" t="n">
        <x:v>0.7600350856196308</x:v>
      </x:c>
      <x:c r="J266" s="47" t="n">
        <x:v>0.655949361863627</x:v>
      </x:c>
      <x:c r="K266" s="47" t="n">
        <x:v>0.6809711316747594</x:v>
      </x:c>
      <x:c r="L266" s="47" t="n">
        <x:v>0.6754494639377389</x:v>
      </x:c>
      <x:c r="M266" s="47" t="n">
        <x:v>0.02119911842927251</x:v>
      </x:c>
      <x:c r="N266" s="47" t="n">
        <x:v>0.677055133783874</x:v>
      </x:c>
      <x:c r="O266" s="47" t="n">
        <x:v>0.7504259399009214</x:v>
      </x:c>
      <x:c r="P266" s="47" t="n">
        <x:v>0.4720316362954915</x:v>
      </x:c>
      <x:c r="Q266" s="47" t="n">
        <x:v>1</x:v>
      </x:c>
      <x:c r="R266" s="47" t="n">
        <x:v>0.6918152080381682</x:v>
      </x:c>
      <x:c r="S266" s="27" t="n">
        <x:v>0</x:v>
      </x:c>
    </x:row>
    <x:row r="267" ht="21.600000381469727" hidden="0" customHeight="1">
      <x:c r="A267" s="29" t="n">
        <x:v>88</x:v>
      </x:c>
      <x:c r="B267" s="29" t="str">
        <x:v>A2</x:v>
      </x:c>
      <x:c r="C267" s="48" t="n">
        <x:v>1.1000651825420162</x:v>
      </x:c>
      <x:c r="D267" s="48" t="n">
        <x:v>0.7330456097181055</x:v>
      </x:c>
      <x:c r="E267" s="48" t="n">
        <x:v>0.5250063243183829</x:v>
      </x:c>
      <x:c r="F267" s="48" t="n">
        <x:v>0.03962810223143762</x:v>
      </x:c>
      <x:c r="G267" s="48" t="n">
        <x:v>-0.15289644271640573</x:v>
      </x:c>
      <x:c r="H267" s="48" t="n">
        <x:v>0.9569576626428173</x:v>
      </x:c>
      <x:c r="I267" s="48" t="n">
        <x:v>0.7600350856196308</x:v>
      </x:c>
      <x:c r="J267" s="48" t="n">
        <x:v>0.655949361863627</x:v>
      </x:c>
      <x:c r="K267" s="48" t="n">
        <x:v>0.6809711316747594</x:v>
      </x:c>
      <x:c r="L267" s="48" t="n">
        <x:v>0.6754494639377389</x:v>
      </x:c>
      <x:c r="M267" s="48" t="n">
        <x:v>0.02119911842927251</x:v>
      </x:c>
      <x:c r="N267" s="48" t="n">
        <x:v>0.677055133783874</x:v>
      </x:c>
      <x:c r="O267" s="48" t="n">
        <x:v>0.8227990511149551</x:v>
      </x:c>
      <x:c r="P267" s="48" t="n">
        <x:v>0.42916394509492073</x:v>
      </x:c>
      <x:c r="Q267" s="48" t="n">
        <x:v>1</x:v>
      </x:c>
      <x:c r="R267" s="48" t="n">
        <x:v>0.7811846409602952</x:v>
      </x:c>
      <x:c r="S267" s="29" t="n">
        <x:v>0</x:v>
      </x:c>
    </x:row>
    <x:row r="268" ht="21.600000381469727" hidden="0" customHeight="1">
      <x:c r="A268" s="27" t="n">
        <x:v>88</x:v>
      </x:c>
      <x:c r="B268" s="27" t="str">
        <x:v>A3</x:v>
      </x:c>
      <x:c r="C268" s="47" t="n">
        <x:v>1.1000651825420162</x:v>
      </x:c>
      <x:c r="D268" s="47" t="n">
        <x:v>0.7330456097181055</x:v>
      </x:c>
      <x:c r="E268" s="47" t="n">
        <x:v>0.5250063243183829</x:v>
      </x:c>
      <x:c r="F268" s="47" t="n">
        <x:v>0.03962810223143762</x:v>
      </x:c>
      <x:c r="G268" s="47" t="n">
        <x:v>-0.15289644271640573</x:v>
      </x:c>
      <x:c r="H268" s="47" t="n">
        <x:v>0.9569576626428173</x:v>
      </x:c>
      <x:c r="I268" s="47" t="n">
        <x:v>0.7600350856196308</x:v>
      </x:c>
      <x:c r="J268" s="47" t="n">
        <x:v>0.655949361863627</x:v>
      </x:c>
      <x:c r="K268" s="47" t="n">
        <x:v>0.6809711316747594</x:v>
      </x:c>
      <x:c r="L268" s="47" t="n">
        <x:v>0.6754494639377389</x:v>
      </x:c>
      <x:c r="M268" s="47" t="n">
        <x:v>0.02119911842927251</x:v>
      </x:c>
      <x:c r="N268" s="47" t="n">
        <x:v>0.677055133783874</x:v>
      </x:c>
      <x:c r="O268" s="47" t="n">
        <x:v>1</x:v>
      </x:c>
      <x:c r="P268" s="47" t="n">
        <x:v>1</x:v>
      </x:c>
      <x:c r="Q268" s="47" t="n">
        <x:v>1</x:v>
      </x:c>
      <x:c r="R268" s="47" t="n">
        <x:v>1</x:v>
      </x:c>
      <x:c r="S268" s="27" t="n">
        <x:v>1</x:v>
      </x:c>
    </x:row>
    <x:row r="269" ht="21.600000381469727" hidden="0" customHeight="1">
      <x:c r="A269" s="29" t="n">
        <x:v>89</x:v>
      </x:c>
      <x:c r="B269" s="29" t="str">
        <x:v>A1</x:v>
      </x:c>
      <x:c r="C269" s="48" t="n">
        <x:v>0.9609844311862389</x:v>
      </x:c>
      <x:c r="D269" s="48" t="n">
        <x:v>0.9097785366713165</x:v>
      </x:c>
      <x:c r="E269" s="48" t="n">
        <x:v>0.8131793412460638</x:v>
      </x:c>
      <x:c r="F269" s="48" t="n">
        <x:v>-0.0882061687954147</x:v>
      </x:c>
      <x:c r="G269" s="48" t="n">
        <x:v>0.005865051827434159</x:v>
      </x:c>
      <x:c r="H269" s="48" t="n">
        <x:v>0.3034687657021113</x:v>
      </x:c>
      <x:c r="I269" s="48" t="n">
        <x:v>0.9211148786543105</x:v>
      </x:c>
      <x:c r="J269" s="48" t="n">
        <x:v>0.6450946507303204</x:v>
      </x:c>
      <x:c r="K269" s="48" t="n">
        <x:v>0.5656632525827787</x:v>
      </x:c>
      <x:c r="L269" s="48" t="n">
        <x:v>0.9735172462092436</x:v>
      </x:c>
      <x:c r="M269" s="48" t="n">
        <x:v>0.041206582666103365</x:v>
      </x:c>
      <x:c r="N269" s="48" t="n">
        <x:v>0.7018686610678686</x:v>
      </x:c>
      <x:c r="O269" s="48" t="n">
        <x:v>0.9421593237184174</x:v>
      </x:c>
      <x:c r="P269" s="48" t="n">
        <x:v>0.7849266455460471</x:v>
      </x:c>
      <x:c r="Q269" s="48" t="n">
        <x:v>1</x:v>
      </x:c>
      <x:c r="R269" s="48" t="n">
        <x:v>0.9285758432599343</x:v>
      </x:c>
      <x:c r="S269" s="29" t="n">
        <x:v>0</x:v>
      </x:c>
    </x:row>
    <x:row r="270" ht="21.600000381469727" hidden="0" customHeight="1">
      <x:c r="A270" s="27" t="n">
        <x:v>89</x:v>
      </x:c>
      <x:c r="B270" s="27" t="str">
        <x:v>A2</x:v>
      </x:c>
      <x:c r="C270" s="47" t="n">
        <x:v>0.9609844311862389</x:v>
      </x:c>
      <x:c r="D270" s="47" t="n">
        <x:v>0.9097785366713165</x:v>
      </x:c>
      <x:c r="E270" s="47" t="n">
        <x:v>0.8131793412460638</x:v>
      </x:c>
      <x:c r="F270" s="47" t="n">
        <x:v>-0.0882061687954147</x:v>
      </x:c>
      <x:c r="G270" s="47" t="n">
        <x:v>0.005865051827434159</x:v>
      </x:c>
      <x:c r="H270" s="47" t="n">
        <x:v>0.3034687657021113</x:v>
      </x:c>
      <x:c r="I270" s="47" t="n">
        <x:v>0.9211148786543105</x:v>
      </x:c>
      <x:c r="J270" s="47" t="n">
        <x:v>0.6450946507303204</x:v>
      </x:c>
      <x:c r="K270" s="47" t="n">
        <x:v>0.5656632525827787</x:v>
      </x:c>
      <x:c r="L270" s="47" t="n">
        <x:v>0.9735172462092436</x:v>
      </x:c>
      <x:c r="M270" s="47" t="n">
        <x:v>0.041206582666103365</x:v>
      </x:c>
      <x:c r="N270" s="47" t="n">
        <x:v>0.7018686610678686</x:v>
      </x:c>
      <x:c r="O270" s="47" t="n">
        <x:v>0.996850327049882</x:v>
      </x:c>
      <x:c r="P270" s="47" t="n">
        <x:v>0.9685032704988213</x:v>
      </x:c>
      <x:c r="Q270" s="47" t="n">
        <x:v>1</x:v>
      </x:c>
      <x:c r="R270" s="47" t="n">
        <x:v>0.9961106482681152</x:v>
      </x:c>
      <x:c r="S270" s="27" t="n">
        <x:v>1</x:v>
      </x:c>
    </x:row>
    <x:row r="271" ht="21.600000381469727" hidden="0" customHeight="1">
      <x:c r="A271" s="29" t="n">
        <x:v>89</x:v>
      </x:c>
      <x:c r="B271" s="29" t="str">
        <x:v>A3</x:v>
      </x:c>
      <x:c r="C271" s="48" t="n">
        <x:v>0.9609844311862389</x:v>
      </x:c>
      <x:c r="D271" s="48" t="n">
        <x:v>0.9097785366713165</x:v>
      </x:c>
      <x:c r="E271" s="48" t="n">
        <x:v>0.8131793412460638</x:v>
      </x:c>
      <x:c r="F271" s="48" t="n">
        <x:v>-0.0882061687954147</x:v>
      </x:c>
      <x:c r="G271" s="48" t="n">
        <x:v>0.005865051827434159</x:v>
      </x:c>
      <x:c r="H271" s="48" t="n">
        <x:v>0.3034687657021113</x:v>
      </x:c>
      <x:c r="I271" s="48" t="n">
        <x:v>0.9211148786543105</x:v>
      </x:c>
      <x:c r="J271" s="48" t="n">
        <x:v>0.6450946507303204</x:v>
      </x:c>
      <x:c r="K271" s="48" t="n">
        <x:v>0.5656632525827787</x:v>
      </x:c>
      <x:c r="L271" s="48" t="n">
        <x:v>0.9735172462092436</x:v>
      </x:c>
      <x:c r="M271" s="48" t="n">
        <x:v>0.041206582666103365</x:v>
      </x:c>
      <x:c r="N271" s="48" t="n">
        <x:v>0.7018686610678686</x:v>
      </x:c>
      <x:c r="O271" s="48" t="n">
        <x:v>1</x:v>
      </x:c>
      <x:c r="P271" s="48" t="n">
        <x:v>1</x:v>
      </x:c>
      <x:c r="Q271" s="48" t="n">
        <x:v>1</x:v>
      </x:c>
      <x:c r="R271" s="48" t="n">
        <x:v>1</x:v>
      </x:c>
      <x:c r="S271" s="29" t="n">
        <x:v>1</x:v>
      </x:c>
    </x:row>
    <x:row r="272" ht="21.600000381469727" hidden="0" customHeight="1">
      <x:c r="A272" s="27" t="n">
        <x:v>90</x:v>
      </x:c>
      <x:c r="B272" s="27" t="str">
        <x:v>A1</x:v>
      </x:c>
      <x:c r="C272" s="47" t="n">
        <x:v>0.9940548636803083</x:v>
      </x:c>
      <x:c r="D272" s="47" t="n">
        <x:v>0.8288022676027039</x:v>
      </x:c>
      <x:c r="E272" s="47" t="n">
        <x:v>0.6511918068821285</x:v>
      </x:c>
      <x:c r="F272" s="47" t="n">
        <x:v>-0.1775900523212474</x:v>
      </x:c>
      <x:c r="G272" s="47" t="n">
        <x:v>-0.09663602792377665</x:v>
      </x:c>
      <x:c r="H272" s="47" t="n">
        <x:v>0.45693975636511613</x:v>
      </x:c>
      <x:c r="I272" s="47" t="n">
        <x:v>0.9253845214693778</x:v>
      </x:c>
      <x:c r="J272" s="47" t="n">
        <x:v>0.40450183518751176</x:v>
      </x:c>
      <x:c r="K272" s="47" t="n">
        <x:v>0.9389657036174155</x:v>
      </x:c>
      <x:c r="L272" s="47" t="n">
        <x:v>0.8350530087884986</x:v>
      </x:c>
      <x:c r="M272" s="47" t="n">
        <x:v>0.09892518744443314</x:v>
      </x:c>
      <x:c r="N272" s="47" t="n">
        <x:v>0.8460941321703812</x:v>
      </x:c>
      <x:c r="O272" s="47" t="n">
        <x:v>0.8529237637578573</x:v>
      </x:c>
      <x:c r="P272" s="47" t="n">
        <x:v>0.5749196858651215</x:v>
      </x:c>
      <x:c r="Q272" s="47" t="n">
        <x:v>1</x:v>
      </x:c>
      <x:c r="R272" s="47" t="n">
        <x:v>0.818383932806079</x:v>
      </x:c>
      <x:c r="S272" s="27" t="n">
        <x:v>0</x:v>
      </x:c>
    </x:row>
    <x:row r="273" ht="21.600000381469727" hidden="0" customHeight="1">
      <x:c r="A273" s="29" t="n">
        <x:v>90</x:v>
      </x:c>
      <x:c r="B273" s="29" t="str">
        <x:v>A2</x:v>
      </x:c>
      <x:c r="C273" s="48" t="n">
        <x:v>0.9940548636803083</x:v>
      </x:c>
      <x:c r="D273" s="48" t="n">
        <x:v>0.8288022676027039</x:v>
      </x:c>
      <x:c r="E273" s="48" t="n">
        <x:v>0.6511918068821285</x:v>
      </x:c>
      <x:c r="F273" s="48" t="n">
        <x:v>-0.1775900523212474</x:v>
      </x:c>
      <x:c r="G273" s="48" t="n">
        <x:v>-0.09663602792377665</x:v>
      </x:c>
      <x:c r="H273" s="48" t="n">
        <x:v>0.45693975636511613</x:v>
      </x:c>
      <x:c r="I273" s="48" t="n">
        <x:v>0.9253845214693778</x:v>
      </x:c>
      <x:c r="J273" s="48" t="n">
        <x:v>0.40450183518751176</x:v>
      </x:c>
      <x:c r="K273" s="48" t="n">
        <x:v>0.9389657036174155</x:v>
      </x:c>
      <x:c r="L273" s="48" t="n">
        <x:v>0.8350530087884986</x:v>
      </x:c>
      <x:c r="M273" s="48" t="n">
        <x:v>0.09892518744443314</x:v>
      </x:c>
      <x:c r="N273" s="48" t="n">
        <x:v>0.8460941321703812</x:v>
      </x:c>
      <x:c r="O273" s="48" t="n">
        <x:v>0.9415554501564576</x:v>
      </x:c>
      <x:c r="P273" s="48" t="n">
        <x:v>0.7740745673552907</x:v>
      </x:c>
      <x:c r="Q273" s="48" t="n">
        <x:v>1</x:v>
      </x:c>
      <x:c r="R273" s="48" t="n">
        <x:v>0.9278301541927694</x:v>
      </x:c>
      <x:c r="S273" s="29" t="n">
        <x:v>0</x:v>
      </x:c>
    </x:row>
    <x:row r="274" ht="21.600000381469727" hidden="0" customHeight="1">
      <x:c r="A274" s="27" t="n">
        <x:v>90</x:v>
      </x:c>
      <x:c r="B274" s="27" t="str">
        <x:v>A3</x:v>
      </x:c>
      <x:c r="C274" s="47" t="n">
        <x:v>0.9940548636803083</x:v>
      </x:c>
      <x:c r="D274" s="47" t="n">
        <x:v>0.8288022676027039</x:v>
      </x:c>
      <x:c r="E274" s="47" t="n">
        <x:v>0.6511918068821285</x:v>
      </x:c>
      <x:c r="F274" s="47" t="n">
        <x:v>-0.1775900523212474</x:v>
      </x:c>
      <x:c r="G274" s="47" t="n">
        <x:v>-0.09663602792377665</x:v>
      </x:c>
      <x:c r="H274" s="47" t="n">
        <x:v>0.45693975636511613</x:v>
      </x:c>
      <x:c r="I274" s="47" t="n">
        <x:v>0.9253845214693778</x:v>
      </x:c>
      <x:c r="J274" s="47" t="n">
        <x:v>0.40450183518751176</x:v>
      </x:c>
      <x:c r="K274" s="47" t="n">
        <x:v>0.9389657036174155</x:v>
      </x:c>
      <x:c r="L274" s="47" t="n">
        <x:v>0.8350530087884986</x:v>
      </x:c>
      <x:c r="M274" s="47" t="n">
        <x:v>0.09892518744443314</x:v>
      </x:c>
      <x:c r="N274" s="47" t="n">
        <x:v>0.8460941321703812</x:v>
      </x:c>
      <x:c r="O274" s="47" t="n">
        <x:v>1</x:v>
      </x:c>
      <x:c r="P274" s="47" t="n">
        <x:v>1</x:v>
      </x:c>
      <x:c r="Q274" s="47" t="n">
        <x:v>1</x:v>
      </x:c>
      <x:c r="R274" s="47" t="n">
        <x:v>1</x:v>
      </x:c>
      <x:c r="S274" s="27" t="n">
        <x:v>1</x:v>
      </x:c>
    </x:row>
    <x:row r="275" ht="15" hidden="0" customHeight="1">
      <x:c r="A275" s="29" t="n">
        <x:v>91</x:v>
      </x:c>
      <x:c r="B275" s="29" t="str">
        <x:v>A1</x:v>
      </x:c>
      <x:c r="C275" s="48" t="n">
        <x:v>1.2495783393784197</x:v>
      </x:c>
      <x:c r="D275" s="48" t="n">
        <x:v>0.7974829797531071</x:v>
      </x:c>
      <x:c r="E275" s="48" t="n">
        <x:v>0.9166453529419196</x:v>
      </x:c>
      <x:c r="F275" s="48" t="n">
        <x:v>-0.005262260473373526</x:v>
      </x:c>
      <x:c r="G275" s="48" t="n">
        <x:v>-0.10651203986902354</x:v>
      </x:c>
      <x:c r="H275" s="48" t="n">
        <x:v>0.7678341292613091</x:v>
      </x:c>
      <x:c r="I275" s="48" t="n">
        <x:v>0.6007539827230289</x:v>
      </x:c>
      <x:c r="J275" s="48" t="n">
        <x:v>0.6299841566277957</x:v>
      </x:c>
      <x:c r="K275" s="48" t="n">
        <x:v>0.6205363071026094</x:v>
      </x:c>
      <x:c r="L275" s="48" t="n">
        <x:v>0.9031522332483981</x:v>
      </x:c>
      <x:c r="M275" s="48" t="n">
        <x:v>0.04614124889520345</x:v>
      </x:c>
      <x:c r="N275" s="48" t="n">
        <x:v>0.7562338495746959</x:v>
      </x:c>
      <x:c r="O275" s="48" t="n">
        <x:v>0.7849212208221911</x:v>
      </x:c>
      <x:c r="P275" s="48" t="n">
        <x:v>0.4332383282992486</x:v>
      </x:c>
      <x:c r="Q275" s="48" t="n">
        <x:v>1</x:v>
      </x:c>
      <x:c r="R275" s="48" t="n">
        <x:v>0.7344114657188184</x:v>
      </x:c>
      <x:c r="S275" s="29" t="n">
        <x:v>0</x:v>
      </x:c>
    </x:row>
    <x:row r="276" ht="15" hidden="0" customHeight="1">
      <x:c r="A276" s="27" t="n">
        <x:v>91</x:v>
      </x:c>
      <x:c r="B276" s="27" t="str">
        <x:v>A2</x:v>
      </x:c>
      <x:c r="C276" s="47" t="n">
        <x:v>1.2495783393784197</x:v>
      </x:c>
      <x:c r="D276" s="47" t="n">
        <x:v>0.7974829797531071</x:v>
      </x:c>
      <x:c r="E276" s="47" t="n">
        <x:v>0.9166453529419196</x:v>
      </x:c>
      <x:c r="F276" s="47" t="n">
        <x:v>-0.005262260473373526</x:v>
      </x:c>
      <x:c r="G276" s="47" t="n">
        <x:v>-0.10651203986902354</x:v>
      </x:c>
      <x:c r="H276" s="47" t="n">
        <x:v>0.7678341292613091</x:v>
      </x:c>
      <x:c r="I276" s="47" t="n">
        <x:v>0.6007539827230289</x:v>
      </x:c>
      <x:c r="J276" s="47" t="n">
        <x:v>0.6299841566277957</x:v>
      </x:c>
      <x:c r="K276" s="47" t="n">
        <x:v>0.6205363071026094</x:v>
      </x:c>
      <x:c r="L276" s="47" t="n">
        <x:v>0.9031522332483981</x:v>
      </x:c>
      <x:c r="M276" s="47" t="n">
        <x:v>0.04614124889520345</x:v>
      </x:c>
      <x:c r="N276" s="47" t="n">
        <x:v>0.7562338495746959</x:v>
      </x:c>
      <x:c r="O276" s="47" t="n">
        <x:v>0.8605670106291194</x:v>
      </x:c>
      <x:c r="P276" s="47" t="n">
        <x:v>0.4830135609975826</x:v>
      </x:c>
      <x:c r="Q276" s="47" t="n">
        <x:v>1</x:v>
      </x:c>
      <x:c r="R276" s="47" t="n">
        <x:v>0.8278221430351298</x:v>
      </x:c>
      <x:c r="S276" s="27" t="n">
        <x:v>0</x:v>
      </x:c>
    </x:row>
    <x:row r="277" ht="15" hidden="0" customHeight="1">
      <x:c r="A277" s="29" t="n">
        <x:v>91</x:v>
      </x:c>
      <x:c r="B277" s="29" t="str">
        <x:v>A3</x:v>
      </x:c>
      <x:c r="C277" s="48" t="n">
        <x:v>1.2495783393784197</x:v>
      </x:c>
      <x:c r="D277" s="48" t="n">
        <x:v>0.7974829797531071</x:v>
      </x:c>
      <x:c r="E277" s="48" t="n">
        <x:v>0.9166453529419196</x:v>
      </x:c>
      <x:c r="F277" s="48" t="n">
        <x:v>-0.005262260473373526</x:v>
      </x:c>
      <x:c r="G277" s="48" t="n">
        <x:v>-0.10651203986902354</x:v>
      </x:c>
      <x:c r="H277" s="48" t="n">
        <x:v>0.7678341292613091</x:v>
      </x:c>
      <x:c r="I277" s="48" t="n">
        <x:v>0.6007539827230289</x:v>
      </x:c>
      <x:c r="J277" s="48" t="n">
        <x:v>0.6299841566277957</x:v>
      </x:c>
      <x:c r="K277" s="48" t="n">
        <x:v>0.6205363071026094</x:v>
      </x:c>
      <x:c r="L277" s="48" t="n">
        <x:v>0.9031522332483981</x:v>
      </x:c>
      <x:c r="M277" s="48" t="n">
        <x:v>0.04614124889520345</x:v>
      </x:c>
      <x:c r="N277" s="48" t="n">
        <x:v>0.7562338495746959</x:v>
      </x:c>
      <x:c r="O277" s="48" t="n">
        <x:v>1</x:v>
      </x:c>
      <x:c r="P277" s="48" t="n">
        <x:v>1</x:v>
      </x:c>
      <x:c r="Q277" s="48" t="n">
        <x:v>1</x:v>
      </x:c>
      <x:c r="R277" s="48" t="n">
        <x:v>1.0000000000000002</x:v>
      </x:c>
      <x:c r="S277" s="29" t="n">
        <x:v>1</x:v>
      </x:c>
    </x:row>
    <x:row r="278" ht="21.600000381469727" hidden="0" customHeight="1">
      <x:c r="A278" s="27" t="n">
        <x:v>92</x:v>
      </x:c>
      <x:c r="B278" s="27" t="str">
        <x:v>A1</x:v>
      </x:c>
      <x:c r="C278" s="47" t="n">
        <x:v>1.0907493477936228</x:v>
      </x:c>
      <x:c r="D278" s="47" t="n">
        <x:v>0.9435289715952436</x:v>
      </x:c>
      <x:c r="E278" s="47" t="n">
        <x:v>0.5661197494653514</x:v>
      </x:c>
      <x:c r="F278" s="47" t="n">
        <x:v>-0.16605993322957693</x:v>
      </x:c>
      <x:c r="G278" s="47" t="n">
        <x:v>-0.11433956665304942</x:v>
      </x:c>
      <x:c r="H278" s="47" t="n">
        <x:v>0.9291144194295702</x:v>
      </x:c>
      <x:c r="I278" s="47" t="n">
        <x:v>0.9206757603627806</x:v>
      </x:c>
      <x:c r="J278" s="47" t="n">
        <x:v>0.6290174204966885</x:v>
      </x:c>
      <x:c r="K278" s="47" t="n">
        <x:v>0.7436752554750167</x:v>
      </x:c>
      <x:c r="L278" s="47" t="n">
        <x:v>0.9657819645885581</x:v>
      </x:c>
      <x:c r="M278" s="47" t="n">
        <x:v>0.0822671279481631</x:v>
      </x:c>
      <x:c r="N278" s="47" t="n">
        <x:v>0.8364528748306026</x:v>
      </x:c>
      <x:c r="O278" s="47" t="n">
        <x:v>0.8973710270031112</x:v>
      </x:c>
      <x:c r="P278" s="47" t="n">
        <x:v>0.7060192752965302</x:v>
      </x:c>
      <x:c r="Q278" s="47" t="n">
        <x:v>1</x:v>
      </x:c>
      <x:c r="R278" s="47" t="n">
        <x:v>0.8732693266289521</x:v>
      </x:c>
      <x:c r="S278" s="27" t="n">
        <x:v>0</x:v>
      </x:c>
    </x:row>
    <x:row r="279" ht="21.600000381469727" hidden="0" customHeight="1">
      <x:c r="A279" s="29" t="n">
        <x:v>92</x:v>
      </x:c>
      <x:c r="B279" s="29" t="str">
        <x:v>A2</x:v>
      </x:c>
      <x:c r="C279" s="48" t="n">
        <x:v>1.0907493477936228</x:v>
      </x:c>
      <x:c r="D279" s="48" t="n">
        <x:v>0.9435289715952436</x:v>
      </x:c>
      <x:c r="E279" s="48" t="n">
        <x:v>0.5661197494653514</x:v>
      </x:c>
      <x:c r="F279" s="48" t="n">
        <x:v>-0.16605993322957693</x:v>
      </x:c>
      <x:c r="G279" s="48" t="n">
        <x:v>-0.11433956665304942</x:v>
      </x:c>
      <x:c r="H279" s="48" t="n">
        <x:v>0.9291144194295702</x:v>
      </x:c>
      <x:c r="I279" s="48" t="n">
        <x:v>0.9206757603627806</x:v>
      </x:c>
      <x:c r="J279" s="48" t="n">
        <x:v>0.6290174204966885</x:v>
      </x:c>
      <x:c r="K279" s="48" t="n">
        <x:v>0.7436752554750167</x:v>
      </x:c>
      <x:c r="L279" s="48" t="n">
        <x:v>0.9657819645885581</x:v>
      </x:c>
      <x:c r="M279" s="48" t="n">
        <x:v>0.0822671279481631</x:v>
      </x:c>
      <x:c r="N279" s="48" t="n">
        <x:v>0.8364528748306026</x:v>
      </x:c>
      <x:c r="O279" s="48" t="n">
        <x:v>0.9820812699405388</x:v>
      </x:c>
      <x:c r="P279" s="48" t="n">
        <x:v>0.8481097554266241</x:v>
      </x:c>
      <x:c r="Q279" s="48" t="n">
        <x:v>1</x:v>
      </x:c>
      <x:c r="R279" s="48" t="n">
        <x:v>0.9778731808369711</x:v>
      </x:c>
      <x:c r="S279" s="29" t="n">
        <x:v>0</x:v>
      </x:c>
    </x:row>
    <x:row r="280" ht="21.600000381469727" hidden="0" customHeight="1">
      <x:c r="A280" s="27" t="n">
        <x:v>92</x:v>
      </x:c>
      <x:c r="B280" s="27" t="str">
        <x:v>A3</x:v>
      </x:c>
      <x:c r="C280" s="47" t="n">
        <x:v>1.0907493477936228</x:v>
      </x:c>
      <x:c r="D280" s="47" t="n">
        <x:v>0.9435289715952436</x:v>
      </x:c>
      <x:c r="E280" s="47" t="n">
        <x:v>0.5661197494653514</x:v>
      </x:c>
      <x:c r="F280" s="47" t="n">
        <x:v>-0.16605993322957693</x:v>
      </x:c>
      <x:c r="G280" s="47" t="n">
        <x:v>-0.11433956665304942</x:v>
      </x:c>
      <x:c r="H280" s="47" t="n">
        <x:v>0.9291144194295702</x:v>
      </x:c>
      <x:c r="I280" s="47" t="n">
        <x:v>0.9206757603627806</x:v>
      </x:c>
      <x:c r="J280" s="47" t="n">
        <x:v>0.6290174204966885</x:v>
      </x:c>
      <x:c r="K280" s="47" t="n">
        <x:v>0.7436752554750167</x:v>
      </x:c>
      <x:c r="L280" s="47" t="n">
        <x:v>0.9657819645885581</x:v>
      </x:c>
      <x:c r="M280" s="47" t="n">
        <x:v>0.0822671279481631</x:v>
      </x:c>
      <x:c r="N280" s="47" t="n">
        <x:v>0.8364528748306026</x:v>
      </x:c>
      <x:c r="O280" s="47" t="n">
        <x:v>1</x:v>
      </x:c>
      <x:c r="P280" s="47" t="n">
        <x:v>1</x:v>
      </x:c>
      <x:c r="Q280" s="47" t="n">
        <x:v>1</x:v>
      </x:c>
      <x:c r="R280" s="47" t="n">
        <x:v>1</x:v>
      </x:c>
      <x:c r="S280" s="27" t="n">
        <x:v>1</x:v>
      </x:c>
    </x:row>
    <x:row r="281" ht="21.600000381469727" hidden="0" customHeight="1">
      <x:c r="A281" s="29" t="n">
        <x:v>93</x:v>
      </x:c>
      <x:c r="B281" s="29" t="str">
        <x:v>A1</x:v>
      </x:c>
      <x:c r="C281" s="48" t="n">
        <x:v>1.0964084624330959</x:v>
      </x:c>
      <x:c r="D281" s="48" t="n">
        <x:v>0.838240074113959</x:v>
      </x:c>
      <x:c r="E281" s="48" t="n">
        <x:v>0.64591891531164</x:v>
      </x:c>
      <x:c r="F281" s="48" t="n">
        <x:v>-0.0919516236334439</x:v>
      </x:c>
      <x:c r="G281" s="48" t="n">
        <x:v>0.02611402387953174</x:v>
      </x:c>
      <x:c r="H281" s="48" t="n">
        <x:v>0.4308616219179673</x:v>
      </x:c>
      <x:c r="I281" s="48" t="n">
        <x:v>0.6614789322955282</x:v>
      </x:c>
      <x:c r="J281" s="48" t="n">
        <x:v>0.8271696971840898</x:v>
      </x:c>
      <x:c r="K281" s="48" t="n">
        <x:v>0.6671818620451441</x:v>
      </x:c>
      <x:c r="L281" s="48" t="n">
        <x:v>0.8402098086930432</x:v>
      </x:c>
      <x:c r="M281" s="48" t="n">
        <x:v>0.14012666531424517</x:v>
      </x:c>
      <x:c r="N281" s="48" t="n">
        <x:v>0.866564042158367</x:v>
      </x:c>
      <x:c r="O281" s="48" t="n">
        <x:v>0.8762009751251238</x:v>
      </x:c>
      <x:c r="P281" s="48" t="n">
        <x:v>0.5589109792866432</x:v>
      </x:c>
      <x:c r="Q281" s="48" t="n">
        <x:v>1</x:v>
      </x:c>
      <x:c r="R281" s="48" t="n">
        <x:v>0.8471276353360001</x:v>
      </x:c>
      <x:c r="S281" s="29" t="n">
        <x:v>0</x:v>
      </x:c>
    </x:row>
    <x:row r="282" ht="21.600000381469727" hidden="0" customHeight="1">
      <x:c r="A282" s="27" t="n">
        <x:v>93</x:v>
      </x:c>
      <x:c r="B282" s="27" t="str">
        <x:v>A2</x:v>
      </x:c>
      <x:c r="C282" s="47" t="n">
        <x:v>1.0964084624330959</x:v>
      </x:c>
      <x:c r="D282" s="47" t="n">
        <x:v>0.838240074113959</x:v>
      </x:c>
      <x:c r="E282" s="47" t="n">
        <x:v>0.64591891531164</x:v>
      </x:c>
      <x:c r="F282" s="47" t="n">
        <x:v>-0.0919516236334439</x:v>
      </x:c>
      <x:c r="G282" s="47" t="n">
        <x:v>0.02611402387953174</x:v>
      </x:c>
      <x:c r="H282" s="47" t="n">
        <x:v>0.4308616219179673</x:v>
      </x:c>
      <x:c r="I282" s="47" t="n">
        <x:v>0.6614789322955282</x:v>
      </x:c>
      <x:c r="J282" s="47" t="n">
        <x:v>0.8271696971840898</x:v>
      </x:c>
      <x:c r="K282" s="47" t="n">
        <x:v>0.6671818620451441</x:v>
      </x:c>
      <x:c r="L282" s="47" t="n">
        <x:v>0.8402098086930432</x:v>
      </x:c>
      <x:c r="M282" s="47" t="n">
        <x:v>0.14012666531424517</x:v>
      </x:c>
      <x:c r="N282" s="47" t="n">
        <x:v>0.866564042158367</x:v>
      </x:c>
      <x:c r="O282" s="47" t="n">
        <x:v>0.9290469161095146</x:v>
      </x:c>
      <x:c r="P282" s="47" t="n">
        <x:v>0.5151591799250722</x:v>
      </x:c>
      <x:c r="Q282" s="47" t="n">
        <x:v>1</x:v>
      </x:c>
      <x:c r="R282" s="47" t="n">
        <x:v>0.9123840779399958</x:v>
      </x:c>
      <x:c r="S282" s="27" t="n">
        <x:v>0</x:v>
      </x:c>
    </x:row>
    <x:row r="283" ht="21.600000381469727" hidden="0" customHeight="1">
      <x:c r="A283" s="29" t="n">
        <x:v>93</x:v>
      </x:c>
      <x:c r="B283" s="29" t="str">
        <x:v>A3</x:v>
      </x:c>
      <x:c r="C283" s="48" t="n">
        <x:v>1.0964084624330959</x:v>
      </x:c>
      <x:c r="D283" s="48" t="n">
        <x:v>0.838240074113959</x:v>
      </x:c>
      <x:c r="E283" s="48" t="n">
        <x:v>0.64591891531164</x:v>
      </x:c>
      <x:c r="F283" s="48" t="n">
        <x:v>-0.0919516236334439</x:v>
      </x:c>
      <x:c r="G283" s="48" t="n">
        <x:v>0.02611402387953174</x:v>
      </x:c>
      <x:c r="H283" s="48" t="n">
        <x:v>0.4308616219179673</x:v>
      </x:c>
      <x:c r="I283" s="48" t="n">
        <x:v>0.6614789322955282</x:v>
      </x:c>
      <x:c r="J283" s="48" t="n">
        <x:v>0.8271696971840898</x:v>
      </x:c>
      <x:c r="K283" s="48" t="n">
        <x:v>0.6671818620451441</x:v>
      </x:c>
      <x:c r="L283" s="48" t="n">
        <x:v>0.8402098086930432</x:v>
      </x:c>
      <x:c r="M283" s="48" t="n">
        <x:v>0.14012666531424517</x:v>
      </x:c>
      <x:c r="N283" s="48" t="n">
        <x:v>0.866564042158367</x:v>
      </x:c>
      <x:c r="O283" s="48" t="n">
        <x:v>1</x:v>
      </x:c>
      <x:c r="P283" s="48" t="n">
        <x:v>1</x:v>
      </x:c>
      <x:c r="Q283" s="48" t="n">
        <x:v>1</x:v>
      </x:c>
      <x:c r="R283" s="48" t="n">
        <x:v>1</x:v>
      </x:c>
      <x:c r="S283" s="29" t="n">
        <x:v>1</x:v>
      </x:c>
    </x:row>
    <x:row r="284" ht="21.600000381469727" hidden="0" customHeight="1">
      <x:c r="A284" s="27" t="n">
        <x:v>94</x:v>
      </x:c>
      <x:c r="B284" s="27" t="str">
        <x:v>A1</x:v>
      </x:c>
      <x:c r="C284" s="47" t="n">
        <x:v>1.0496641361125048</x:v>
      </x:c>
      <x:c r="D284" s="47" t="n">
        <x:v>0.8741766977180598</x:v>
      </x:c>
      <x:c r="E284" s="47" t="n">
        <x:v>0.8031870184843015</x:v>
      </x:c>
      <x:c r="F284" s="47" t="n">
        <x:v>-0.0012202433095868936</x:v>
      </x:c>
      <x:c r="G284" s="47" t="n">
        <x:v>0.008194874403286728</x:v>
      </x:c>
      <x:c r="H284" s="47" t="n">
        <x:v>0.9690786189147993</x:v>
      </x:c>
      <x:c r="I284" s="47" t="n">
        <x:v>0.6902969919424812</x:v>
      </x:c>
      <x:c r="J284" s="47" t="n">
        <x:v>0.4789682711230976</x:v>
      </x:c>
      <x:c r="K284" s="47" t="n">
        <x:v>0.8980001072236075</x:v>
      </x:c>
      <x:c r="L284" s="47" t="n">
        <x:v>0.9314450787585884</x:v>
      </x:c>
      <x:c r="M284" s="47" t="n">
        <x:v>0.04033226299199512</x:v>
      </x:c>
      <x:c r="N284" s="47" t="n">
        <x:v>0.8852106940510766</x:v>
      </x:c>
      <x:c r="O284" s="47" t="n">
        <x:v>0.8668934802981964</x:v>
      </x:c>
      <x:c r="P284" s="47" t="n">
        <x:v>0.617331223924079</x:v>
      </x:c>
      <x:c r="Q284" s="47" t="n">
        <x:v>1</x:v>
      </x:c>
      <x:c r="R284" s="47" t="n">
        <x:v>0.8356343400961674</x:v>
      </x:c>
      <x:c r="S284" s="27" t="n">
        <x:v>0</x:v>
      </x:c>
    </x:row>
    <x:row r="285" ht="21.600000381469727" hidden="0" customHeight="1">
      <x:c r="A285" s="29" t="n">
        <x:v>94</x:v>
      </x:c>
      <x:c r="B285" s="29" t="str">
        <x:v>A2</x:v>
      </x:c>
      <x:c r="C285" s="48" t="n">
        <x:v>1.0496641361125048</x:v>
      </x:c>
      <x:c r="D285" s="48" t="n">
        <x:v>0.8741766977180598</x:v>
      </x:c>
      <x:c r="E285" s="48" t="n">
        <x:v>0.8031870184843015</x:v>
      </x:c>
      <x:c r="F285" s="48" t="n">
        <x:v>-0.0012202433095868936</x:v>
      </x:c>
      <x:c r="G285" s="48" t="n">
        <x:v>0.008194874403286728</x:v>
      </x:c>
      <x:c r="H285" s="48" t="n">
        <x:v>0.9690786189147993</x:v>
      </x:c>
      <x:c r="I285" s="48" t="n">
        <x:v>0.6902969919424812</x:v>
      </x:c>
      <x:c r="J285" s="48" t="n">
        <x:v>0.4789682711230976</x:v>
      </x:c>
      <x:c r="K285" s="48" t="n">
        <x:v>0.8980001072236075</x:v>
      </x:c>
      <x:c r="L285" s="48" t="n">
        <x:v>0.9314450787585884</x:v>
      </x:c>
      <x:c r="M285" s="48" t="n">
        <x:v>0.04033226299199512</x:v>
      </x:c>
      <x:c r="N285" s="48" t="n">
        <x:v>0.8852106940510766</x:v>
      </x:c>
      <x:c r="O285" s="48" t="n">
        <x:v>0.9641206240193707</x:v>
      </x:c>
      <x:c r="P285" s="48" t="n">
        <x:v>0.840064339590935</x:v>
      </x:c>
      <x:c r="Q285" s="48" t="n">
        <x:v>1</x:v>
      </x:c>
      <x:c r="R285" s="48" t="n">
        <x:v>0.9556946021636988</x:v>
      </x:c>
      <x:c r="S285" s="29" t="n">
        <x:v>0</x:v>
      </x:c>
    </x:row>
    <x:row r="286" ht="21.600000381469727" hidden="0" customHeight="1">
      <x:c r="A286" s="27" t="n">
        <x:v>94</x:v>
      </x:c>
      <x:c r="B286" s="27" t="str">
        <x:v>A3</x:v>
      </x:c>
      <x:c r="C286" s="47" t="n">
        <x:v>1.0496641361125048</x:v>
      </x:c>
      <x:c r="D286" s="47" t="n">
        <x:v>0.8741766977180598</x:v>
      </x:c>
      <x:c r="E286" s="47" t="n">
        <x:v>0.8031870184843015</x:v>
      </x:c>
      <x:c r="F286" s="47" t="n">
        <x:v>-0.0012202433095868936</x:v>
      </x:c>
      <x:c r="G286" s="47" t="n">
        <x:v>0.008194874403286728</x:v>
      </x:c>
      <x:c r="H286" s="47" t="n">
        <x:v>0.9690786189147993</x:v>
      </x:c>
      <x:c r="I286" s="47" t="n">
        <x:v>0.6902969919424812</x:v>
      </x:c>
      <x:c r="J286" s="47" t="n">
        <x:v>0.4789682711230976</x:v>
      </x:c>
      <x:c r="K286" s="47" t="n">
        <x:v>0.8980001072236075</x:v>
      </x:c>
      <x:c r="L286" s="47" t="n">
        <x:v>0.9314450787585884</x:v>
      </x:c>
      <x:c r="M286" s="47" t="n">
        <x:v>0.04033226299199512</x:v>
      </x:c>
      <x:c r="N286" s="47" t="n">
        <x:v>0.8852106940510766</x:v>
      </x:c>
      <x:c r="O286" s="47" t="n">
        <x:v>1</x:v>
      </x:c>
      <x:c r="P286" s="47" t="n">
        <x:v>1</x:v>
      </x:c>
      <x:c r="Q286" s="47" t="n">
        <x:v>1</x:v>
      </x:c>
      <x:c r="R286" s="47" t="n">
        <x:v>1</x:v>
      </x:c>
      <x:c r="S286" s="27" t="n">
        <x:v>1</x:v>
      </x:c>
    </x:row>
    <x:row r="287" ht="21.600000381469727" hidden="0" customHeight="1">
      <x:c r="A287" s="29" t="n">
        <x:v>95</x:v>
      </x:c>
      <x:c r="B287" s="29" t="str">
        <x:v>A1</x:v>
      </x:c>
      <x:c r="C287" s="48" t="n">
        <x:v>0.9468498882310741</x:v>
      </x:c>
      <x:c r="D287" s="48" t="n">
        <x:v>0.8408799014866668</x:v>
      </x:c>
      <x:c r="E287" s="48" t="n">
        <x:v>0.48169800730737605</x:v>
      </x:c>
      <x:c r="F287" s="48" t="n">
        <x:v>-0.12393064671206896</x:v>
      </x:c>
      <x:c r="G287" s="48" t="n">
        <x:v>-0.1455472161347633</x:v>
      </x:c>
      <x:c r="H287" s="48" t="n">
        <x:v>0.4286146544639191</x:v>
      </x:c>
      <x:c r="I287" s="48" t="n">
        <x:v>0.8319129486126446</x:v>
      </x:c>
      <x:c r="J287" s="48" t="n">
        <x:v>0.5265622756997553</x:v>
      </x:c>
      <x:c r="K287" s="48" t="n">
        <x:v>0.6249146570778399</x:v>
      </x:c>
      <x:c r="L287" s="48" t="n">
        <x:v>0.5439104789260675</x:v>
      </x:c>
      <x:c r="M287" s="48" t="n">
        <x:v>0.15977594428629807</x:v>
      </x:c>
      <x:c r="N287" s="48" t="n">
        <x:v>0.6846379116235826</x:v>
      </x:c>
      <x:c r="O287" s="48" t="n">
        <x:v>0.8727587132712504</x:v>
      </x:c>
      <x:c r="P287" s="48" t="n">
        <x:v>0.6987480413175235</x:v>
      </x:c>
      <x:c r="Q287" s="48" t="n">
        <x:v>0.9999999999999999</x:v>
      </x:c>
      <x:c r="R287" s="48" t="n">
        <x:v>0.8428769822316953</x:v>
      </x:c>
      <x:c r="S287" s="29" t="n">
        <x:v>0</x:v>
      </x:c>
    </x:row>
    <x:row r="288" ht="21.600000381469727" hidden="0" customHeight="1">
      <x:c r="A288" s="27" t="n">
        <x:v>95</x:v>
      </x:c>
      <x:c r="B288" s="27" t="str">
        <x:v>A2</x:v>
      </x:c>
      <x:c r="C288" s="47" t="n">
        <x:v>0.9468498882310741</x:v>
      </x:c>
      <x:c r="D288" s="47" t="n">
        <x:v>0.8408799014866668</x:v>
      </x:c>
      <x:c r="E288" s="47" t="n">
        <x:v>0.48169800730737605</x:v>
      </x:c>
      <x:c r="F288" s="47" t="n">
        <x:v>-0.12393064671206896</x:v>
      </x:c>
      <x:c r="G288" s="47" t="n">
        <x:v>-0.1455472161347633</x:v>
      </x:c>
      <x:c r="H288" s="47" t="n">
        <x:v>0.4286146544639191</x:v>
      </x:c>
      <x:c r="I288" s="47" t="n">
        <x:v>0.8319129486126446</x:v>
      </x:c>
      <x:c r="J288" s="47" t="n">
        <x:v>0.5265622756997553</x:v>
      </x:c>
      <x:c r="K288" s="47" t="n">
        <x:v>0.6249146570778399</x:v>
      </x:c>
      <x:c r="L288" s="47" t="n">
        <x:v>0.5439104789260675</x:v>
      </x:c>
      <x:c r="M288" s="47" t="n">
        <x:v>0.15977594428629807</x:v>
      </x:c>
      <x:c r="N288" s="47" t="n">
        <x:v>0.6846379116235826</x:v>
      </x:c>
      <x:c r="O288" s="47" t="n">
        <x:v>0.9561565274808087</x:v>
      </x:c>
      <x:c r="P288" s="47" t="n">
        <x:v>0.7961845352029503</x:v>
      </x:c>
      <x:c r="Q288" s="47" t="n">
        <x:v>1</x:v>
      </x:c>
      <x:c r="R288" s="47" t="n">
        <x:v>0.9458601929549602</x:v>
      </x:c>
      <x:c r="S288" s="27" t="n">
        <x:v>0</x:v>
      </x:c>
    </x:row>
    <x:row r="289" ht="21.600000381469727" hidden="0" customHeight="1">
      <x:c r="A289" s="29" t="n">
        <x:v>95</x:v>
      </x:c>
      <x:c r="B289" s="29" t="str">
        <x:v>A3</x:v>
      </x:c>
      <x:c r="C289" s="48" t="n">
        <x:v>0.9468498882310741</x:v>
      </x:c>
      <x:c r="D289" s="48" t="n">
        <x:v>0.8408799014866668</x:v>
      </x:c>
      <x:c r="E289" s="48" t="n">
        <x:v>0.48169800730737605</x:v>
      </x:c>
      <x:c r="F289" s="48" t="n">
        <x:v>-0.12393064671206896</x:v>
      </x:c>
      <x:c r="G289" s="48" t="n">
        <x:v>-0.1455472161347633</x:v>
      </x:c>
      <x:c r="H289" s="48" t="n">
        <x:v>0.4286146544639191</x:v>
      </x:c>
      <x:c r="I289" s="48" t="n">
        <x:v>0.8319129486126446</x:v>
      </x:c>
      <x:c r="J289" s="48" t="n">
        <x:v>0.5265622756997553</x:v>
      </x:c>
      <x:c r="K289" s="48" t="n">
        <x:v>0.6249146570778399</x:v>
      </x:c>
      <x:c r="L289" s="48" t="n">
        <x:v>0.5439104789260675</x:v>
      </x:c>
      <x:c r="M289" s="48" t="n">
        <x:v>0.15977594428629807</x:v>
      </x:c>
      <x:c r="N289" s="48" t="n">
        <x:v>0.6846379116235826</x:v>
      </x:c>
      <x:c r="O289" s="48" t="n">
        <x:v>1</x:v>
      </x:c>
      <x:c r="P289" s="48" t="n">
        <x:v>1</x:v>
      </x:c>
      <x:c r="Q289" s="48" t="n">
        <x:v>1</x:v>
      </x:c>
      <x:c r="R289" s="48" t="n">
        <x:v>1</x:v>
      </x:c>
      <x:c r="S289" s="29" t="n">
        <x:v>1</x:v>
      </x:c>
    </x:row>
    <x:row r="290" ht="21.600000381469727" hidden="0" customHeight="1">
      <x:c r="A290" s="27" t="n">
        <x:v>96</x:v>
      </x:c>
      <x:c r="B290" s="27" t="str">
        <x:v>A1</x:v>
      </x:c>
      <x:c r="C290" s="47" t="n">
        <x:v>1.3027438015417698</x:v>
      </x:c>
      <x:c r="D290" s="47" t="n">
        <x:v>0.9600801947259855</x:v>
      </x:c>
      <x:c r="E290" s="47" t="n">
        <x:v>1.0381927901485415</x:v>
      </x:c>
      <x:c r="F290" s="47" t="n">
        <x:v>-0.13007792032338614</x:v>
      </x:c>
      <x:c r="G290" s="47" t="n">
        <x:v>-0.18944763604325507</x:v>
      </x:c>
      <x:c r="H290" s="47" t="n">
        <x:v>0.321316050195406</x:v>
      </x:c>
      <x:c r="I290" s="47" t="n">
        <x:v>0.9803279958445497</x:v>
      </x:c>
      <x:c r="J290" s="47" t="n">
        <x:v>0.6435995509239357</x:v>
      </x:c>
      <x:c r="K290" s="47" t="n">
        <x:v>0.7488601793619888</x:v>
      </x:c>
      <x:c r="L290" s="47" t="n">
        <x:v>0.5070047868294459</x:v>
      </x:c>
      <x:c r="M290" s="47" t="n">
        <x:v>0.15773718187340768</x:v>
      </x:c>
      <x:c r="N290" s="47" t="n">
        <x:v>0.7008275284761407</x:v>
      </x:c>
      <x:c r="O290" s="47" t="n">
        <x:v>0.8244568875230379</x:v>
      </x:c>
      <x:c r="P290" s="47" t="n">
        <x:v>0.5893296228601976</x:v>
      </x:c>
      <x:c r="Q290" s="47" t="n">
        <x:v>1</x:v>
      </x:c>
      <x:c r="R290" s="47" t="n">
        <x:v>0.7832318087161466</x:v>
      </x:c>
      <x:c r="S290" s="27" t="n">
        <x:v>0</x:v>
      </x:c>
    </x:row>
    <x:row r="291" ht="21.600000381469727" hidden="0" customHeight="1">
      <x:c r="A291" s="29" t="n">
        <x:v>96</x:v>
      </x:c>
      <x:c r="B291" s="29" t="str">
        <x:v>A2</x:v>
      </x:c>
      <x:c r="C291" s="48" t="n">
        <x:v>1.3027438015417698</x:v>
      </x:c>
      <x:c r="D291" s="48" t="n">
        <x:v>0.9600801947259855</x:v>
      </x:c>
      <x:c r="E291" s="48" t="n">
        <x:v>1.0381927901485415</x:v>
      </x:c>
      <x:c r="F291" s="48" t="n">
        <x:v>-0.13007792032338614</x:v>
      </x:c>
      <x:c r="G291" s="48" t="n">
        <x:v>-0.18944763604325507</x:v>
      </x:c>
      <x:c r="H291" s="48" t="n">
        <x:v>0.321316050195406</x:v>
      </x:c>
      <x:c r="I291" s="48" t="n">
        <x:v>0.9803279958445497</x:v>
      </x:c>
      <x:c r="J291" s="48" t="n">
        <x:v>0.6435995509239357</x:v>
      </x:c>
      <x:c r="K291" s="48" t="n">
        <x:v>0.7488601793619888</x:v>
      </x:c>
      <x:c r="L291" s="48" t="n">
        <x:v>0.5070047868294459</x:v>
      </x:c>
      <x:c r="M291" s="48" t="n">
        <x:v>0.15773718187340768</x:v>
      </x:c>
      <x:c r="N291" s="48" t="n">
        <x:v>0.7008275284761407</x:v>
      </x:c>
      <x:c r="O291" s="48" t="n">
        <x:v>0.9129603463585102</x:v>
      </x:c>
      <x:c r="P291" s="48" t="n">
        <x:v>0.6179121300643303</x:v>
      </x:c>
      <x:c r="Q291" s="48" t="n">
        <x:v>1</x:v>
      </x:c>
      <x:c r="R291" s="48" t="n">
        <x:v>0.8925196891885181</x:v>
      </x:c>
      <x:c r="S291" s="29" t="n">
        <x:v>0</x:v>
      </x:c>
    </x:row>
    <x:row r="292" ht="21.600000381469727" hidden="0" customHeight="1">
      <x:c r="A292" s="27" t="n">
        <x:v>96</x:v>
      </x:c>
      <x:c r="B292" s="27" t="str">
        <x:v>A3</x:v>
      </x:c>
      <x:c r="C292" s="47" t="n">
        <x:v>1.3027438015417698</x:v>
      </x:c>
      <x:c r="D292" s="47" t="n">
        <x:v>0.9600801947259855</x:v>
      </x:c>
      <x:c r="E292" s="47" t="n">
        <x:v>1.0381927901485415</x:v>
      </x:c>
      <x:c r="F292" s="47" t="n">
        <x:v>-0.13007792032338614</x:v>
      </x:c>
      <x:c r="G292" s="47" t="n">
        <x:v>-0.18944763604325507</x:v>
      </x:c>
      <x:c r="H292" s="47" t="n">
        <x:v>0.321316050195406</x:v>
      </x:c>
      <x:c r="I292" s="47" t="n">
        <x:v>0.9803279958445497</x:v>
      </x:c>
      <x:c r="J292" s="47" t="n">
        <x:v>0.6435995509239357</x:v>
      </x:c>
      <x:c r="K292" s="47" t="n">
        <x:v>0.7488601793619888</x:v>
      </x:c>
      <x:c r="L292" s="47" t="n">
        <x:v>0.5070047868294459</x:v>
      </x:c>
      <x:c r="M292" s="47" t="n">
        <x:v>0.15773718187340768</x:v>
      </x:c>
      <x:c r="N292" s="47" t="n">
        <x:v>0.7008275284761407</x:v>
      </x:c>
      <x:c r="O292" s="47" t="n">
        <x:v>1</x:v>
      </x:c>
      <x:c r="P292" s="47" t="n">
        <x:v>1</x:v>
      </x:c>
      <x:c r="Q292" s="47" t="n">
        <x:v>1</x:v>
      </x:c>
      <x:c r="R292" s="47" t="n">
        <x:v>1</x:v>
      </x:c>
      <x:c r="S292" s="27" t="n">
        <x:v>1</x:v>
      </x:c>
    </x:row>
    <x:row r="293" ht="21.600000381469727" hidden="0" customHeight="1">
      <x:c r="A293" s="29" t="n">
        <x:v>97</x:v>
      </x:c>
      <x:c r="B293" s="29" t="str">
        <x:v>A1</x:v>
      </x:c>
      <x:c r="C293" s="48" t="n">
        <x:v>1.0507508692215</x:v>
      </x:c>
      <x:c r="D293" s="48" t="n">
        <x:v>0.7736803849693279</x:v>
      </x:c>
      <x:c r="E293" s="48" t="n">
        <x:v>0.7263780570766255</x:v>
      </x:c>
      <x:c r="F293" s="48" t="n">
        <x:v>-0.07997211055388999</x:v>
      </x:c>
      <x:c r="G293" s="48" t="n">
        <x:v>-0.14599817126160727</x:v>
      </x:c>
      <x:c r="H293" s="48" t="n">
        <x:v>0.7483988453684929</x:v>
      </x:c>
      <x:c r="I293" s="48" t="n">
        <x:v>0.9403537618266808</x:v>
      </x:c>
      <x:c r="J293" s="48" t="n">
        <x:v>0.5243287500377032</x:v>
      </x:c>
      <x:c r="K293" s="48" t="n">
        <x:v>0.901395806470592</x:v>
      </x:c>
      <x:c r="L293" s="48" t="n">
        <x:v>0.9979031437735864</x:v>
      </x:c>
      <x:c r="M293" s="48" t="n">
        <x:v>0.042475351859254724</x:v>
      </x:c>
      <x:c r="N293" s="48" t="n">
        <x:v>0.9220574673869959</x:v>
      </x:c>
      <x:c r="O293" s="48" t="n">
        <x:v>0.8591494455072758</x:v>
      </x:c>
      <x:c r="P293" s="48" t="n">
        <x:v>0.6431664202280671</x:v>
      </x:c>
      <x:c r="Q293" s="48" t="n">
        <x:v>1</x:v>
      </x:c>
      <x:c r="R293" s="48" t="n">
        <x:v>0.8260716726056534</x:v>
      </x:c>
      <x:c r="S293" s="29" t="n">
        <x:v>0</x:v>
      </x:c>
    </x:row>
    <x:row r="294" ht="21.600000381469727" hidden="0" customHeight="1">
      <x:c r="A294" s="27" t="n">
        <x:v>97</x:v>
      </x:c>
      <x:c r="B294" s="27" t="str">
        <x:v>A2</x:v>
      </x:c>
      <x:c r="C294" s="47" t="n">
        <x:v>1.0507508692215</x:v>
      </x:c>
      <x:c r="D294" s="47" t="n">
        <x:v>0.7736803849693279</x:v>
      </x:c>
      <x:c r="E294" s="47" t="n">
        <x:v>0.7263780570766255</x:v>
      </x:c>
      <x:c r="F294" s="47" t="n">
        <x:v>-0.07997211055388999</x:v>
      </x:c>
      <x:c r="G294" s="47" t="n">
        <x:v>-0.14599817126160727</x:v>
      </x:c>
      <x:c r="H294" s="47" t="n">
        <x:v>0.7483988453684929</x:v>
      </x:c>
      <x:c r="I294" s="47" t="n">
        <x:v>0.9403537618266808</x:v>
      </x:c>
      <x:c r="J294" s="47" t="n">
        <x:v>0.5243287500377032</x:v>
      </x:c>
      <x:c r="K294" s="47" t="n">
        <x:v>0.901395806470592</x:v>
      </x:c>
      <x:c r="L294" s="47" t="n">
        <x:v>0.9979031437735864</x:v>
      </x:c>
      <x:c r="M294" s="47" t="n">
        <x:v>0.042475351859254724</x:v>
      </x:c>
      <x:c r="N294" s="47" t="n">
        <x:v>0.9220574673869959</x:v>
      </x:c>
      <x:c r="O294" s="47" t="n">
        <x:v>0.9552213628380678</x:v>
      </x:c>
      <x:c r="P294" s="47" t="n">
        <x:v>0.7574757720048694</x:v>
      </x:c>
      <x:c r="Q294" s="47" t="n">
        <x:v>1</x:v>
      </x:c>
      <x:c r="R294" s="47" t="n">
        <x:v>0.9447054114013054</x:v>
      </x:c>
      <x:c r="S294" s="27" t="n">
        <x:v>0</x:v>
      </x:c>
    </x:row>
    <x:row r="295" ht="21.600000381469727" hidden="0" customHeight="1">
      <x:c r="A295" s="29" t="n">
        <x:v>97</x:v>
      </x:c>
      <x:c r="B295" s="29" t="str">
        <x:v>A3</x:v>
      </x:c>
      <x:c r="C295" s="48" t="n">
        <x:v>1.0507508692215</x:v>
      </x:c>
      <x:c r="D295" s="48" t="n">
        <x:v>0.7736803849693279</x:v>
      </x:c>
      <x:c r="E295" s="48" t="n">
        <x:v>0.7263780570766255</x:v>
      </x:c>
      <x:c r="F295" s="48" t="n">
        <x:v>-0.07997211055388999</x:v>
      </x:c>
      <x:c r="G295" s="48" t="n">
        <x:v>-0.14599817126160727</x:v>
      </x:c>
      <x:c r="H295" s="48" t="n">
        <x:v>0.7483988453684929</x:v>
      </x:c>
      <x:c r="I295" s="48" t="n">
        <x:v>0.9403537618266808</x:v>
      </x:c>
      <x:c r="J295" s="48" t="n">
        <x:v>0.5243287500377032</x:v>
      </x:c>
      <x:c r="K295" s="48" t="n">
        <x:v>0.901395806470592</x:v>
      </x:c>
      <x:c r="L295" s="48" t="n">
        <x:v>0.9979031437735864</x:v>
      </x:c>
      <x:c r="M295" s="48" t="n">
        <x:v>0.042475351859254724</x:v>
      </x:c>
      <x:c r="N295" s="48" t="n">
        <x:v>0.9220574673869959</x:v>
      </x:c>
      <x:c r="O295" s="48" t="n">
        <x:v>1</x:v>
      </x:c>
      <x:c r="P295" s="48" t="n">
        <x:v>1</x:v>
      </x:c>
      <x:c r="Q295" s="48" t="n">
        <x:v>1</x:v>
      </x:c>
      <x:c r="R295" s="48" t="n">
        <x:v>1</x:v>
      </x:c>
      <x:c r="S295" s="29" t="n">
        <x:v>1</x:v>
      </x:c>
    </x:row>
    <x:row r="296" ht="21.600000381469727" hidden="0" customHeight="1">
      <x:c r="A296" s="27" t="n">
        <x:v>98</x:v>
      </x:c>
      <x:c r="B296" s="27" t="str">
        <x:v>A1</x:v>
      </x:c>
      <x:c r="C296" s="47" t="n">
        <x:v>1.3377804246594176</x:v>
      </x:c>
      <x:c r="D296" s="47" t="n">
        <x:v>0.916941538210745</x:v>
      </x:c>
      <x:c r="E296" s="47" t="n">
        <x:v>1.0885091138834773</x:v>
      </x:c>
      <x:c r="F296" s="47" t="n">
        <x:v>-0.06386671583462178</x:v>
      </x:c>
      <x:c r="G296" s="47" t="n">
        <x:v>-0.0835741772638003</x:v>
      </x:c>
      <x:c r="H296" s="47" t="n">
        <x:v>0.9196505787451732</x:v>
      </x:c>
      <x:c r="I296" s="47" t="n">
        <x:v>0.9478725003530314</x:v>
      </x:c>
      <x:c r="J296" s="47" t="n">
        <x:v>0.902667840614818</x:v>
      </x:c>
      <x:c r="K296" s="47" t="n">
        <x:v>0.8243915490807712</x:v>
      </x:c>
      <x:c r="L296" s="47" t="n">
        <x:v>0.9962815262742506</x:v>
      </x:c>
      <x:c r="M296" s="47" t="n">
        <x:v>0.12684481590230537</x:v>
      </x:c>
      <x:c r="N296" s="47" t="n">
        <x:v>0.7804101354411265</x:v>
      </x:c>
      <x:c r="O296" s="47" t="n">
        <x:v>0.8753490451362145</x:v>
      </x:c>
      <x:c r="P296" s="47" t="n">
        <x:v>0.5764725405427992</x:v>
      </x:c>
      <x:c r="Q296" s="47" t="n">
        <x:v>1</x:v>
      </x:c>
      <x:c r="R296" s="47" t="n">
        <x:v>0.846075635515611</x:v>
      </x:c>
      <x:c r="S296" s="27" t="n">
        <x:v>0</x:v>
      </x:c>
    </x:row>
    <x:row r="297" ht="21.600000381469727" hidden="0" customHeight="1">
      <x:c r="A297" s="29" t="n">
        <x:v>98</x:v>
      </x:c>
      <x:c r="B297" s="29" t="str">
        <x:v>A2</x:v>
      </x:c>
      <x:c r="C297" s="48" t="n">
        <x:v>1.3377804246594176</x:v>
      </x:c>
      <x:c r="D297" s="48" t="n">
        <x:v>0.916941538210745</x:v>
      </x:c>
      <x:c r="E297" s="48" t="n">
        <x:v>1.0885091138834773</x:v>
      </x:c>
      <x:c r="F297" s="48" t="n">
        <x:v>-0.06386671583462178</x:v>
      </x:c>
      <x:c r="G297" s="48" t="n">
        <x:v>-0.0835741772638003</x:v>
      </x:c>
      <x:c r="H297" s="48" t="n">
        <x:v>0.9196505787451732</x:v>
      </x:c>
      <x:c r="I297" s="48" t="n">
        <x:v>0.9478725003530314</x:v>
      </x:c>
      <x:c r="J297" s="48" t="n">
        <x:v>0.902667840614818</x:v>
      </x:c>
      <x:c r="K297" s="48" t="n">
        <x:v>0.8243915490807712</x:v>
      </x:c>
      <x:c r="L297" s="48" t="n">
        <x:v>0.9962815262742506</x:v>
      </x:c>
      <x:c r="M297" s="48" t="n">
        <x:v>0.12684481590230537</x:v>
      </x:c>
      <x:c r="N297" s="48" t="n">
        <x:v>0.7804101354411265</x:v>
      </x:c>
      <x:c r="O297" s="48" t="n">
        <x:v>0.9351727978385339</x:v>
      </x:c>
      <x:c r="P297" s="48" t="n">
        <x:v>0.6310297168455887</x:v>
      </x:c>
      <x:c r="Q297" s="48" t="n">
        <x:v>1</x:v>
      </x:c>
      <x:c r="R297" s="48" t="n">
        <x:v>0.9199485803786354</x:v>
      </x:c>
      <x:c r="S297" s="29" t="n">
        <x:v>0</x:v>
      </x:c>
    </x:row>
    <x:row r="298" ht="21.600000381469727" hidden="0" customHeight="1">
      <x:c r="A298" s="27" t="n">
        <x:v>98</x:v>
      </x:c>
      <x:c r="B298" s="27" t="str">
        <x:v>A3</x:v>
      </x:c>
      <x:c r="C298" s="47" t="n">
        <x:v>1.3377804246594176</x:v>
      </x:c>
      <x:c r="D298" s="47" t="n">
        <x:v>0.916941538210745</x:v>
      </x:c>
      <x:c r="E298" s="47" t="n">
        <x:v>1.0885091138834773</x:v>
      </x:c>
      <x:c r="F298" s="47" t="n">
        <x:v>-0.06386671583462178</x:v>
      </x:c>
      <x:c r="G298" s="47" t="n">
        <x:v>-0.0835741772638003</x:v>
      </x:c>
      <x:c r="H298" s="47" t="n">
        <x:v>0.9196505787451732</x:v>
      </x:c>
      <x:c r="I298" s="47" t="n">
        <x:v>0.9478725003530314</x:v>
      </x:c>
      <x:c r="J298" s="47" t="n">
        <x:v>0.902667840614818</x:v>
      </x:c>
      <x:c r="K298" s="47" t="n">
        <x:v>0.8243915490807712</x:v>
      </x:c>
      <x:c r="L298" s="47" t="n">
        <x:v>0.9962815262742506</x:v>
      </x:c>
      <x:c r="M298" s="47" t="n">
        <x:v>0.12684481590230537</x:v>
      </x:c>
      <x:c r="N298" s="47" t="n">
        <x:v>0.7804101354411265</x:v>
      </x:c>
      <x:c r="O298" s="47" t="n">
        <x:v>1</x:v>
      </x:c>
      <x:c r="P298" s="47" t="n">
        <x:v>1</x:v>
      </x:c>
      <x:c r="Q298" s="47" t="n">
        <x:v>1</x:v>
      </x:c>
      <x:c r="R298" s="47" t="n">
        <x:v>1</x:v>
      </x:c>
      <x:c r="S298" s="27" t="n">
        <x:v>1</x:v>
      </x:c>
    </x:row>
    <x:row r="299" ht="21.600000381469727" hidden="0" customHeight="1">
      <x:c r="A299" s="29" t="n">
        <x:v>99</x:v>
      </x:c>
      <x:c r="B299" s="29" t="str">
        <x:v>A1</x:v>
      </x:c>
      <x:c r="C299" s="48" t="n">
        <x:v>1.1184035644658115</x:v>
      </x:c>
      <x:c r="D299" s="48" t="n">
        <x:v>0.7966024342438753</x:v>
      </x:c>
      <x:c r="E299" s="48" t="n">
        <x:v>1.062418855162208</x:v>
      </x:c>
      <x:c r="F299" s="48" t="n">
        <x:v>-0.18212645075625372</x:v>
      </x:c>
      <x:c r="G299" s="48" t="n">
        <x:v>-0.1941988579099549</x:v>
      </x:c>
      <x:c r="H299" s="48" t="n">
        <x:v>0.523464661150017</x:v>
      </x:c>
      <x:c r="I299" s="48" t="n">
        <x:v>0.7310646189661311</x:v>
      </x:c>
      <x:c r="J299" s="48" t="n">
        <x:v>0.6189694943901531</x:v>
      </x:c>
      <x:c r="K299" s="48" t="n">
        <x:v>0.6654203464660919</x:v>
      </x:c>
      <x:c r="L299" s="48" t="n">
        <x:v>0.7609667455577261</x:v>
      </x:c>
      <x:c r="M299" s="48" t="n">
        <x:v>0.14519127533374188</x:v>
      </x:c>
      <x:c r="N299" s="48" t="n">
        <x:v>0.9417819607653062</x:v>
      </x:c>
      <x:c r="O299" s="48" t="n">
        <x:v>0.8378880398158226</x:v>
      </x:c>
      <x:c r="P299" s="48" t="n">
        <x:v>0.5375028082671791</x:v>
      </x:c>
      <x:c r="Q299" s="48" t="n">
        <x:v>0.9682177071909601</x:v>
      </x:c>
      <x:c r="R299" s="48" t="n">
        <x:v>0.8000532161248977</x:v>
      </x:c>
      <x:c r="S299" s="29" t="n">
        <x:v>0</x:v>
      </x:c>
    </x:row>
    <x:row r="300" ht="21.600000381469727" hidden="0" customHeight="1">
      <x:c r="A300" s="27" t="n">
        <x:v>99</x:v>
      </x:c>
      <x:c r="B300" s="27" t="str">
        <x:v>A2</x:v>
      </x:c>
      <x:c r="C300" s="47" t="n">
        <x:v>1.1184035644658115</x:v>
      </x:c>
      <x:c r="D300" s="47" t="n">
        <x:v>0.7966024342438753</x:v>
      </x:c>
      <x:c r="E300" s="47" t="n">
        <x:v>1.062418855162208</x:v>
      </x:c>
      <x:c r="F300" s="47" t="n">
        <x:v>-0.18212645075625372</x:v>
      </x:c>
      <x:c r="G300" s="47" t="n">
        <x:v>-0.1941988579099549</x:v>
      </x:c>
      <x:c r="H300" s="47" t="n">
        <x:v>0.523464661150017</x:v>
      </x:c>
      <x:c r="I300" s="47" t="n">
        <x:v>0.7310646189661311</x:v>
      </x:c>
      <x:c r="J300" s="47" t="n">
        <x:v>0.6189694943901531</x:v>
      </x:c>
      <x:c r="K300" s="47" t="n">
        <x:v>0.6654203464660919</x:v>
      </x:c>
      <x:c r="L300" s="47" t="n">
        <x:v>0.7609667455577261</x:v>
      </x:c>
      <x:c r="M300" s="47" t="n">
        <x:v>0.14519127533374188</x:v>
      </x:c>
      <x:c r="N300" s="47" t="n">
        <x:v>0.9417819607653062</x:v>
      </x:c>
      <x:c r="O300" s="47" t="n">
        <x:v>0.9093716134535587</x:v>
      </x:c>
      <x:c r="P300" s="47" t="n">
        <x:v>0.5866982365960977</x:v>
      </x:c>
      <x:c r="Q300" s="47" t="n">
        <x:v>1</x:v>
      </x:c>
      <x:c r="R300" s="47" t="n">
        <x:v>0.8880881673257089</x:v>
      </x:c>
      <x:c r="S300" s="27" t="n">
        <x:v>0</x:v>
      </x:c>
    </x:row>
    <x:row r="301" ht="21.600000381469727" hidden="0" customHeight="1">
      <x:c r="A301" s="29" t="n">
        <x:v>99</x:v>
      </x:c>
      <x:c r="B301" s="29" t="str">
        <x:v>A3</x:v>
      </x:c>
      <x:c r="C301" s="48" t="n">
        <x:v>1.1184035644658115</x:v>
      </x:c>
      <x:c r="D301" s="48" t="n">
        <x:v>0.7966024342438753</x:v>
      </x:c>
      <x:c r="E301" s="48" t="n">
        <x:v>1.062418855162208</x:v>
      </x:c>
      <x:c r="F301" s="48" t="n">
        <x:v>-0.18212645075625372</x:v>
      </x:c>
      <x:c r="G301" s="48" t="n">
        <x:v>-0.1941988579099549</x:v>
      </x:c>
      <x:c r="H301" s="48" t="n">
        <x:v>0.523464661150017</x:v>
      </x:c>
      <x:c r="I301" s="48" t="n">
        <x:v>0.7310646189661311</x:v>
      </x:c>
      <x:c r="J301" s="48" t="n">
        <x:v>0.6189694943901531</x:v>
      </x:c>
      <x:c r="K301" s="48" t="n">
        <x:v>0.6654203464660919</x:v>
      </x:c>
      <x:c r="L301" s="48" t="n">
        <x:v>0.7609667455577261</x:v>
      </x:c>
      <x:c r="M301" s="48" t="n">
        <x:v>0.14519127533374188</x:v>
      </x:c>
      <x:c r="N301" s="48" t="n">
        <x:v>0.9417819607653062</x:v>
      </x:c>
      <x:c r="O301" s="48" t="n">
        <x:v>1</x:v>
      </x:c>
      <x:c r="P301" s="48" t="n">
        <x:v>1</x:v>
      </x:c>
      <x:c r="Q301" s="48" t="n">
        <x:v>1</x:v>
      </x:c>
      <x:c r="R301" s="48" t="n">
        <x:v>1</x:v>
      </x:c>
      <x:c r="S301" s="29" t="n">
        <x:v>1</x:v>
      </x:c>
    </x:row>
    <x:row r="302" ht="21.600000381469727" hidden="0" customHeight="1">
      <x:c r="A302" s="27" t="n">
        <x:v>100</x:v>
      </x:c>
      <x:c r="B302" s="27" t="str">
        <x:v>A1</x:v>
      </x:c>
      <x:c r="C302" s="47" t="n">
        <x:v>1.1193859680852083</x:v>
      </x:c>
      <x:c r="D302" s="47" t="n">
        <x:v>0.9836780996206116</x:v>
      </x:c>
      <x:c r="E302" s="47" t="n">
        <x:v>0.9367262729197479</x:v>
      </x:c>
      <x:c r="F302" s="47" t="n">
        <x:v>-0.18455784754339813</x:v>
      </x:c>
      <x:c r="G302" s="47" t="n">
        <x:v>-0.09404897413544651</x:v>
      </x:c>
      <x:c r="H302" s="47" t="n">
        <x:v>0.728218506508258</x:v>
      </x:c>
      <x:c r="I302" s="47" t="n">
        <x:v>0.6064122130563385</x:v>
      </x:c>
      <x:c r="J302" s="47" t="n">
        <x:v>0.4166154054755636</x:v>
      </x:c>
      <x:c r="K302" s="47" t="n">
        <x:v>0.5890036575608018</x:v>
      </x:c>
      <x:c r="L302" s="47" t="n">
        <x:v>0.6509758638264931</x:v>
      </x:c>
      <x:c r="M302" s="47" t="n">
        <x:v>0.06498456214287177</x:v>
      </x:c>
      <x:c r="N302" s="47" t="n">
        <x:v>0.845097337073295</x:v>
      </x:c>
      <x:c r="O302" s="47" t="n">
        <x:v>0.8394381946783748</x:v>
      </x:c>
      <x:c r="P302" s="47" t="n">
        <x:v>0.5734391591819704</x:v>
      </x:c>
      <x:c r="Q302" s="47" t="n">
        <x:v>1</x:v>
      </x:c>
      <x:c r="R302" s="47" t="n">
        <x:v>0.8017313716400774</x:v>
      </x:c>
      <x:c r="S302" s="27" t="n">
        <x:v>0</x:v>
      </x:c>
    </x:row>
    <x:row r="303" ht="21.600000381469727" hidden="0" customHeight="1">
      <x:c r="A303" s="29" t="n">
        <x:v>100</x:v>
      </x:c>
      <x:c r="B303" s="29" t="str">
        <x:v>A2</x:v>
      </x:c>
      <x:c r="C303" s="48" t="n">
        <x:v>1.1193859680852083</x:v>
      </x:c>
      <x:c r="D303" s="48" t="n">
        <x:v>0.9836780996206116</x:v>
      </x:c>
      <x:c r="E303" s="48" t="n">
        <x:v>0.9367262729197479</x:v>
      </x:c>
      <x:c r="F303" s="48" t="n">
        <x:v>-0.18455784754339813</x:v>
      </x:c>
      <x:c r="G303" s="48" t="n">
        <x:v>-0.09404897413544651</x:v>
      </x:c>
      <x:c r="H303" s="48" t="n">
        <x:v>0.728218506508258</x:v>
      </x:c>
      <x:c r="I303" s="48" t="n">
        <x:v>0.6064122130563385</x:v>
      </x:c>
      <x:c r="J303" s="48" t="n">
        <x:v>0.4166154054755636</x:v>
      </x:c>
      <x:c r="K303" s="48" t="n">
        <x:v>0.5890036575608018</x:v>
      </x:c>
      <x:c r="L303" s="48" t="n">
        <x:v>0.6509758638264931</x:v>
      </x:c>
      <x:c r="M303" s="48" t="n">
        <x:v>0.06498456214287177</x:v>
      </x:c>
      <x:c r="N303" s="48" t="n">
        <x:v>0.845097337073295</x:v>
      </x:c>
      <x:c r="O303" s="48" t="n">
        <x:v>0.9129641649927913</x:v>
      </x:c>
      <x:c r="P303" s="48" t="n">
        <x:v>0.6883314438178615</x:v>
      </x:c>
      <x:c r="Q303" s="48" t="n">
        <x:v>1</x:v>
      </x:c>
      <x:c r="R303" s="48" t="n">
        <x:v>0.8925244046024962</x:v>
      </x:c>
      <x:c r="S303" s="29" t="n">
        <x:v>0</x:v>
      </x:c>
    </x:row>
    <x:row r="304" ht="21.600000381469727" hidden="0" customHeight="1">
      <x:c r="A304" s="27" t="n">
        <x:v>100</x:v>
      </x:c>
      <x:c r="B304" s="27" t="str">
        <x:v>A3</x:v>
      </x:c>
      <x:c r="C304" s="47" t="n">
        <x:v>1.1193859680852083</x:v>
      </x:c>
      <x:c r="D304" s="47" t="n">
        <x:v>0.9836780996206116</x:v>
      </x:c>
      <x:c r="E304" s="47" t="n">
        <x:v>0.9367262729197479</x:v>
      </x:c>
      <x:c r="F304" s="47" t="n">
        <x:v>-0.18455784754339813</x:v>
      </x:c>
      <x:c r="G304" s="47" t="n">
        <x:v>-0.09404897413544651</x:v>
      </x:c>
      <x:c r="H304" s="47" t="n">
        <x:v>0.728218506508258</x:v>
      </x:c>
      <x:c r="I304" s="47" t="n">
        <x:v>0.6064122130563385</x:v>
      </x:c>
      <x:c r="J304" s="47" t="n">
        <x:v>0.4166154054755636</x:v>
      </x:c>
      <x:c r="K304" s="47" t="n">
        <x:v>0.5890036575608018</x:v>
      </x:c>
      <x:c r="L304" s="47" t="n">
        <x:v>0.6509758638264931</x:v>
      </x:c>
      <x:c r="M304" s="47" t="n">
        <x:v>0.06498456214287177</x:v>
      </x:c>
      <x:c r="N304" s="47" t="n">
        <x:v>0.845097337073295</x:v>
      </x:c>
      <x:c r="O304" s="47" t="n">
        <x:v>1</x:v>
      </x:c>
      <x:c r="P304" s="47" t="n">
        <x:v>1</x:v>
      </x:c>
      <x:c r="Q304" s="47" t="n">
        <x:v>1</x:v>
      </x:c>
      <x:c r="R304" s="47" t="n">
        <x:v>1</x:v>
      </x:c>
      <x:c r="S304" s="27" t="n">
        <x:v>1</x:v>
      </x:c>
    </x:row>
    <x:row r="305" ht="21.600000381469727" hidden="0" customHeight="1">
      <x:c r="A305" s="29" t="n">
        <x:v>101</x:v>
      </x:c>
      <x:c r="B305" s="29" t="str">
        <x:v>A1</x:v>
      </x:c>
      <x:c r="C305" s="48" t="n">
        <x:v>1.1143491482429821</x:v>
      </x:c>
      <x:c r="D305" s="48" t="n">
        <x:v>0.862632344129452</x:v>
      </x:c>
      <x:c r="E305" s="48" t="n">
        <x:v>0.7001761483563027</x:v>
      </x:c>
      <x:c r="F305" s="48" t="n">
        <x:v>-0.06128886497637184</x:v>
      </x:c>
      <x:c r="G305" s="48" t="n">
        <x:v>-0.09346435383552273</x:v>
      </x:c>
      <x:c r="H305" s="48" t="n">
        <x:v>1.0713534705441816</x:v>
      </x:c>
      <x:c r="I305" s="48" t="n">
        <x:v>0.9535074331927915</x:v>
      </x:c>
      <x:c r="J305" s="48" t="n">
        <x:v>0.8488604403504216</x:v>
      </x:c>
      <x:c r="K305" s="48" t="n">
        <x:v>0.6458794442437634</x:v>
      </x:c>
      <x:c r="L305" s="48" t="n">
        <x:v>0.8886397817065486</x:v>
      </x:c>
      <x:c r="M305" s="48" t="n">
        <x:v>0.002063451341656418</x:v>
      </x:c>
      <x:c r="N305" s="48" t="n">
        <x:v>0.7195962576541038</x:v>
      </x:c>
      <x:c r="O305" s="48" t="n">
        <x:v>0.8595227167914413</x:v>
      </x:c>
      <x:c r="P305" s="48" t="n">
        <x:v>0.4451744718155913</x:v>
      </x:c>
      <x:c r="Q305" s="48" t="n">
        <x:v>1</x:v>
      </x:c>
      <x:c r="R305" s="48" t="n">
        <x:v>0.8265326040542591</x:v>
      </x:c>
      <x:c r="S305" s="29" t="n">
        <x:v>0</x:v>
      </x:c>
    </x:row>
    <x:row r="306" ht="21.600000381469727" hidden="0" customHeight="1">
      <x:c r="A306" s="27" t="n">
        <x:v>101</x:v>
      </x:c>
      <x:c r="B306" s="27" t="str">
        <x:v>A2</x:v>
      </x:c>
      <x:c r="C306" s="47" t="n">
        <x:v>1.1143491482429821</x:v>
      </x:c>
      <x:c r="D306" s="47" t="n">
        <x:v>0.862632344129452</x:v>
      </x:c>
      <x:c r="E306" s="47" t="n">
        <x:v>0.7001761483563027</x:v>
      </x:c>
      <x:c r="F306" s="47" t="n">
        <x:v>-0.06128886497637184</x:v>
      </x:c>
      <x:c r="G306" s="47" t="n">
        <x:v>-0.09346435383552273</x:v>
      </x:c>
      <x:c r="H306" s="47" t="n">
        <x:v>1.0713534705441816</x:v>
      </x:c>
      <x:c r="I306" s="47" t="n">
        <x:v>0.9535074331927915</x:v>
      </x:c>
      <x:c r="J306" s="47" t="n">
        <x:v>0.8488604403504216</x:v>
      </x:c>
      <x:c r="K306" s="47" t="n">
        <x:v>0.6458794442437634</x:v>
      </x:c>
      <x:c r="L306" s="47" t="n">
        <x:v>0.8886397817065486</x:v>
      </x:c>
      <x:c r="M306" s="47" t="n">
        <x:v>0.002063451341656418</x:v>
      </x:c>
      <x:c r="N306" s="47" t="n">
        <x:v>0.7195962576541038</x:v>
      </x:c>
      <x:c r="O306" s="47" t="n">
        <x:v>0.9036647560834532</x:v>
      </x:c>
      <x:c r="P306" s="47" t="n">
        <x:v>0.4908441752236065</x:v>
      </x:c>
      <x:c r="Q306" s="47" t="n">
        <x:v>1</x:v>
      </x:c>
      <x:c r="R306" s="47" t="n">
        <x:v>0.8810410942017491</x:v>
      </x:c>
      <x:c r="S306" s="27" t="n">
        <x:v>0</x:v>
      </x:c>
    </x:row>
    <x:row r="307" ht="21.600000381469727" hidden="0" customHeight="1">
      <x:c r="A307" s="29" t="n">
        <x:v>101</x:v>
      </x:c>
      <x:c r="B307" s="29" t="str">
        <x:v>A3</x:v>
      </x:c>
      <x:c r="C307" s="48" t="n">
        <x:v>1.1143491482429821</x:v>
      </x:c>
      <x:c r="D307" s="48" t="n">
        <x:v>0.862632344129452</x:v>
      </x:c>
      <x:c r="E307" s="48" t="n">
        <x:v>0.7001761483563027</x:v>
      </x:c>
      <x:c r="F307" s="48" t="n">
        <x:v>-0.06128886497637184</x:v>
      </x:c>
      <x:c r="G307" s="48" t="n">
        <x:v>-0.09346435383552273</x:v>
      </x:c>
      <x:c r="H307" s="48" t="n">
        <x:v>1.0713534705441816</x:v>
      </x:c>
      <x:c r="I307" s="48" t="n">
        <x:v>0.9535074331927915</x:v>
      </x:c>
      <x:c r="J307" s="48" t="n">
        <x:v>0.8488604403504216</x:v>
      </x:c>
      <x:c r="K307" s="48" t="n">
        <x:v>0.6458794442437634</x:v>
      </x:c>
      <x:c r="L307" s="48" t="n">
        <x:v>0.8886397817065486</x:v>
      </x:c>
      <x:c r="M307" s="48" t="n">
        <x:v>0.002063451341656418</x:v>
      </x:c>
      <x:c r="N307" s="48" t="n">
        <x:v>0.7195962576541038</x:v>
      </x:c>
      <x:c r="O307" s="48" t="n">
        <x:v>1</x:v>
      </x:c>
      <x:c r="P307" s="48" t="n">
        <x:v>1</x:v>
      </x:c>
      <x:c r="Q307" s="48" t="n">
        <x:v>1</x:v>
      </x:c>
      <x:c r="R307" s="48" t="n">
        <x:v>1</x:v>
      </x:c>
      <x:c r="S307" s="29" t="n">
        <x:v>1</x:v>
      </x:c>
    </x:row>
    <x:row r="308" ht="21.600000381469727" hidden="0" customHeight="1">
      <x:c r="A308" s="27" t="n">
        <x:v>102</x:v>
      </x:c>
      <x:c r="B308" s="27" t="str">
        <x:v>A1</x:v>
      </x:c>
      <x:c r="C308" s="47" t="n">
        <x:v>1.1832103014534443</x:v>
      </x:c>
      <x:c r="D308" s="47" t="n">
        <x:v>0.925417966206686</x:v>
      </x:c>
      <x:c r="E308" s="47" t="n">
        <x:v>0.8399427160631197</x:v>
      </x:c>
      <x:c r="F308" s="47" t="n">
        <x:v>-0.04255580331060582</x:v>
      </x:c>
      <x:c r="G308" s="47" t="n">
        <x:v>-0.025910347168397685</x:v>
      </x:c>
      <x:c r="H308" s="47" t="n">
        <x:v>0.6837804795928274</x:v>
      </x:c>
      <x:c r="I308" s="47" t="n">
        <x:v>0.6042808242208244</x:v>
      </x:c>
      <x:c r="J308" s="47" t="n">
        <x:v>0.8588159376944606</x:v>
      </x:c>
      <x:c r="K308" s="47" t="n">
        <x:v>0.8371610272176548</x:v>
      </x:c>
      <x:c r="L308" s="47" t="n">
        <x:v>0.6496200103373766</x:v>
      </x:c>
      <x:c r="M308" s="47" t="n">
        <x:v>0.1357971745901932</x:v>
      </x:c>
      <x:c r="N308" s="47" t="n">
        <x:v>0.6785915276800563</x:v>
      </x:c>
      <x:c r="O308" s="47" t="n">
        <x:v>0.8810090694238771</x:v>
      </x:c>
      <x:c r="P308" s="47" t="n">
        <x:v>0.5969942198406661</x:v>
      </x:c>
      <x:c r="Q308" s="47" t="n">
        <x:v>1</x:v>
      </x:c>
      <x:c r="R308" s="47" t="n">
        <x:v>0.8530648771335089</x:v>
      </x:c>
      <x:c r="S308" s="27" t="n">
        <x:v>0</x:v>
      </x:c>
    </x:row>
    <x:row r="309" ht="21.600000381469727" hidden="0" customHeight="1">
      <x:c r="A309" s="29" t="n">
        <x:v>102</x:v>
      </x:c>
      <x:c r="B309" s="29" t="str">
        <x:v>A2</x:v>
      </x:c>
      <x:c r="C309" s="48" t="n">
        <x:v>1.1832103014534443</x:v>
      </x:c>
      <x:c r="D309" s="48" t="n">
        <x:v>0.925417966206686</x:v>
      </x:c>
      <x:c r="E309" s="48" t="n">
        <x:v>0.8399427160631197</x:v>
      </x:c>
      <x:c r="F309" s="48" t="n">
        <x:v>-0.04255580331060582</x:v>
      </x:c>
      <x:c r="G309" s="48" t="n">
        <x:v>-0.025910347168397685</x:v>
      </x:c>
      <x:c r="H309" s="48" t="n">
        <x:v>0.6837804795928274</x:v>
      </x:c>
      <x:c r="I309" s="48" t="n">
        <x:v>0.6042808242208244</x:v>
      </x:c>
      <x:c r="J309" s="48" t="n">
        <x:v>0.8588159376944606</x:v>
      </x:c>
      <x:c r="K309" s="48" t="n">
        <x:v>0.8371610272176548</x:v>
      </x:c>
      <x:c r="L309" s="48" t="n">
        <x:v>0.6496200103373766</x:v>
      </x:c>
      <x:c r="M309" s="48" t="n">
        <x:v>0.1357971745901932</x:v>
      </x:c>
      <x:c r="N309" s="48" t="n">
        <x:v>0.6785915276800563</x:v>
      </x:c>
      <x:c r="O309" s="48" t="n">
        <x:v>0.9166474597721797</x:v>
      </x:c>
      <x:c r="P309" s="48" t="n">
        <x:v>0.5664390683258841</x:v>
      </x:c>
      <x:c r="Q309" s="48" t="n">
        <x:v>1</x:v>
      </x:c>
      <x:c r="R309" s="48" t="n">
        <x:v>0.8970726955381375</x:v>
      </x:c>
      <x:c r="S309" s="29" t="n">
        <x:v>0</x:v>
      </x:c>
    </x:row>
    <x:row r="310" ht="21.600000381469727" hidden="0" customHeight="1">
      <x:c r="A310" s="27" t="n">
        <x:v>102</x:v>
      </x:c>
      <x:c r="B310" s="27" t="str">
        <x:v>A3</x:v>
      </x:c>
      <x:c r="C310" s="47" t="n">
        <x:v>1.1832103014534443</x:v>
      </x:c>
      <x:c r="D310" s="47" t="n">
        <x:v>0.925417966206686</x:v>
      </x:c>
      <x:c r="E310" s="47" t="n">
        <x:v>0.8399427160631197</x:v>
      </x:c>
      <x:c r="F310" s="47" t="n">
        <x:v>-0.04255580331060582</x:v>
      </x:c>
      <x:c r="G310" s="47" t="n">
        <x:v>-0.025910347168397685</x:v>
      </x:c>
      <x:c r="H310" s="47" t="n">
        <x:v>0.6837804795928274</x:v>
      </x:c>
      <x:c r="I310" s="47" t="n">
        <x:v>0.6042808242208244</x:v>
      </x:c>
      <x:c r="J310" s="47" t="n">
        <x:v>0.8588159376944606</x:v>
      </x:c>
      <x:c r="K310" s="47" t="n">
        <x:v>0.8371610272176548</x:v>
      </x:c>
      <x:c r="L310" s="47" t="n">
        <x:v>0.6496200103373766</x:v>
      </x:c>
      <x:c r="M310" s="47" t="n">
        <x:v>0.1357971745901932</x:v>
      </x:c>
      <x:c r="N310" s="47" t="n">
        <x:v>0.6785915276800563</x:v>
      </x:c>
      <x:c r="O310" s="47" t="n">
        <x:v>1</x:v>
      </x:c>
      <x:c r="P310" s="47" t="n">
        <x:v>1</x:v>
      </x:c>
      <x:c r="Q310" s="47" t="n">
        <x:v>1</x:v>
      </x:c>
      <x:c r="R310" s="47" t="n">
        <x:v>1</x:v>
      </x:c>
      <x:c r="S310" s="27" t="n">
        <x:v>1</x:v>
      </x:c>
    </x:row>
    <x:row r="311" ht="21.600000381469727" hidden="0" customHeight="1">
      <x:c r="A311" s="29" t="n">
        <x:v>103</x:v>
      </x:c>
      <x:c r="B311" s="29" t="str">
        <x:v>A1</x:v>
      </x:c>
      <x:c r="C311" s="48" t="n">
        <x:v>1.1090524557497425</x:v>
      </x:c>
      <x:c r="D311" s="48" t="n">
        <x:v>0.7562181169863575</x:v>
      </x:c>
      <x:c r="E311" s="48" t="n">
        <x:v>0.5926764731162897</x:v>
      </x:c>
      <x:c r="F311" s="48" t="n">
        <x:v>0.02336282854782251</x:v>
      </x:c>
      <x:c r="G311" s="48" t="n">
        <x:v>-0.13467783138792067</x:v>
      </x:c>
      <x:c r="H311" s="48" t="n">
        <x:v>0.30315339429373445</x:v>
      </x:c>
      <x:c r="I311" s="48" t="n">
        <x:v>0.9662733509074752</x:v>
      </x:c>
      <x:c r="J311" s="48" t="n">
        <x:v>0.6655585629518498</x:v>
      </x:c>
      <x:c r="K311" s="48" t="n">
        <x:v>0.7800728703849327</x:v>
      </x:c>
      <x:c r="L311" s="48" t="n">
        <x:v>0.5983850933098186</x:v>
      </x:c>
      <x:c r="M311" s="48" t="n">
        <x:v>0.08983566280476683</x:v>
      </x:c>
      <x:c r="N311" s="48" t="n">
        <x:v>0.7565059229053507</x:v>
      </x:c>
      <x:c r="O311" s="48" t="n">
        <x:v>0.7783273318422048</x:v>
      </x:c>
      <x:c r="P311" s="48" t="n">
        <x:v>0.5442798813520806</x:v>
      </x:c>
      <x:c r="Q311" s="48" t="n">
        <x:v>0.9999999999999999</x:v>
      </x:c>
      <x:c r="R311" s="48" t="n">
        <x:v>0.7262690477819954</x:v>
      </x:c>
      <x:c r="S311" s="29" t="n">
        <x:v>0</x:v>
      </x:c>
    </x:row>
    <x:row r="312" ht="21.600000381469727" hidden="0" customHeight="1">
      <x:c r="A312" s="27" t="n">
        <x:v>103</x:v>
      </x:c>
      <x:c r="B312" s="27" t="str">
        <x:v>A2</x:v>
      </x:c>
      <x:c r="C312" s="47" t="n">
        <x:v>1.1090524557497425</x:v>
      </x:c>
      <x:c r="D312" s="47" t="n">
        <x:v>0.7562181169863575</x:v>
      </x:c>
      <x:c r="E312" s="47" t="n">
        <x:v>0.5926764731162897</x:v>
      </x:c>
      <x:c r="F312" s="47" t="n">
        <x:v>0.02336282854782251</x:v>
      </x:c>
      <x:c r="G312" s="47" t="n">
        <x:v>-0.13467783138792067</x:v>
      </x:c>
      <x:c r="H312" s="47" t="n">
        <x:v>0.30315339429373445</x:v>
      </x:c>
      <x:c r="I312" s="47" t="n">
        <x:v>0.9662733509074752</x:v>
      </x:c>
      <x:c r="J312" s="47" t="n">
        <x:v>0.6655585629518498</x:v>
      </x:c>
      <x:c r="K312" s="47" t="n">
        <x:v>0.7800728703849327</x:v>
      </x:c>
      <x:c r="L312" s="47" t="n">
        <x:v>0.5983850933098186</x:v>
      </x:c>
      <x:c r="M312" s="47" t="n">
        <x:v>0.08983566280476683</x:v>
      </x:c>
      <x:c r="N312" s="47" t="n">
        <x:v>0.7565059229053507</x:v>
      </x:c>
      <x:c r="O312" s="47" t="n">
        <x:v>0.8549659390041109</x:v>
      </x:c>
      <x:c r="P312" s="47" t="n">
        <x:v>0.5264451761878453</x:v>
      </x:c>
      <x:c r="Q312" s="47" t="n">
        <x:v>1</x:v>
      </x:c>
      <x:c r="R312" s="47" t="n">
        <x:v>0.8209056987026082</x:v>
      </x:c>
      <x:c r="S312" s="27" t="n">
        <x:v>0</x:v>
      </x:c>
    </x:row>
    <x:row r="313" ht="21.600000381469727" hidden="0" customHeight="1">
      <x:c r="A313" s="29" t="n">
        <x:v>103</x:v>
      </x:c>
      <x:c r="B313" s="29" t="str">
        <x:v>A3</x:v>
      </x:c>
      <x:c r="C313" s="48" t="n">
        <x:v>1.1090524557497425</x:v>
      </x:c>
      <x:c r="D313" s="48" t="n">
        <x:v>0.7562181169863575</x:v>
      </x:c>
      <x:c r="E313" s="48" t="n">
        <x:v>0.5926764731162897</x:v>
      </x:c>
      <x:c r="F313" s="48" t="n">
        <x:v>0.02336282854782251</x:v>
      </x:c>
      <x:c r="G313" s="48" t="n">
        <x:v>-0.13467783138792067</x:v>
      </x:c>
      <x:c r="H313" s="48" t="n">
        <x:v>0.30315339429373445</x:v>
      </x:c>
      <x:c r="I313" s="48" t="n">
        <x:v>0.9662733509074752</x:v>
      </x:c>
      <x:c r="J313" s="48" t="n">
        <x:v>0.6655585629518498</x:v>
      </x:c>
      <x:c r="K313" s="48" t="n">
        <x:v>0.7800728703849327</x:v>
      </x:c>
      <x:c r="L313" s="48" t="n">
        <x:v>0.5983850933098186</x:v>
      </x:c>
      <x:c r="M313" s="48" t="n">
        <x:v>0.08983566280476683</x:v>
      </x:c>
      <x:c r="N313" s="48" t="n">
        <x:v>0.7565059229053507</x:v>
      </x:c>
      <x:c r="O313" s="48" t="n">
        <x:v>1</x:v>
      </x:c>
      <x:c r="P313" s="48" t="n">
        <x:v>1</x:v>
      </x:c>
      <x:c r="Q313" s="48" t="n">
        <x:v>1</x:v>
      </x:c>
      <x:c r="R313" s="48" t="n">
        <x:v>1</x:v>
      </x:c>
      <x:c r="S313" s="29" t="n">
        <x:v>1</x:v>
      </x:c>
    </x:row>
    <x:row r="314" ht="21.600000381469727" hidden="0" customHeight="1">
      <x:c r="A314" s="27" t="n">
        <x:v>104</x:v>
      </x:c>
      <x:c r="B314" s="27" t="str">
        <x:v>A1</x:v>
      </x:c>
      <x:c r="C314" s="47" t="n">
        <x:v>1.3037879854286323</x:v>
      </x:c>
      <x:c r="D314" s="47" t="n">
        <x:v>0.9917245092176752</x:v>
      </x:c>
      <x:c r="E314" s="47" t="n">
        <x:v>0.9394089758145785</x:v>
      </x:c>
      <x:c r="F314" s="47" t="n">
        <x:v>-0.07851841082481398</x:v>
      </x:c>
      <x:c r="G314" s="47" t="n">
        <x:v>0.02918288297373231</x:v>
      </x:c>
      <x:c r="H314" s="47" t="n">
        <x:v>0.6012079769441365</x:v>
      </x:c>
      <x:c r="I314" s="47" t="n">
        <x:v>0.8485788268242074</x:v>
      </x:c>
      <x:c r="J314" s="47" t="n">
        <x:v>0.5687927559351329</x:v>
      </x:c>
      <x:c r="K314" s="47" t="n">
        <x:v>0.7376180271724622</x:v>
      </x:c>
      <x:c r="L314" s="47" t="n">
        <x:v>0.7883824865924614</x:v>
      </x:c>
      <x:c r="M314" s="47" t="n">
        <x:v>0.16119519256076473</x:v>
      </x:c>
      <x:c r="N314" s="47" t="n">
        <x:v>0.9022351542590515</x:v>
      </x:c>
      <x:c r="O314" s="47" t="n">
        <x:v>0.8440862167065185</x:v>
      </x:c>
      <x:c r="P314" s="47" t="n">
        <x:v>0.5711384509935162</x:v>
      </x:c>
      <x:c r="Q314" s="47" t="n">
        <x:v>1</x:v>
      </x:c>
      <x:c r="R314" s="47" t="n">
        <x:v>0.8074709493077598</x:v>
      </x:c>
      <x:c r="S314" s="27" t="n">
        <x:v>0</x:v>
      </x:c>
    </x:row>
    <x:row r="315" ht="21.600000381469727" hidden="0" customHeight="1">
      <x:c r="A315" s="29" t="n">
        <x:v>104</x:v>
      </x:c>
      <x:c r="B315" s="29" t="str">
        <x:v>A2</x:v>
      </x:c>
      <x:c r="C315" s="48" t="n">
        <x:v>1.3037879854286323</x:v>
      </x:c>
      <x:c r="D315" s="48" t="n">
        <x:v>0.9917245092176752</x:v>
      </x:c>
      <x:c r="E315" s="48" t="n">
        <x:v>0.9394089758145785</x:v>
      </x:c>
      <x:c r="F315" s="48" t="n">
        <x:v>-0.07851841082481398</x:v>
      </x:c>
      <x:c r="G315" s="48" t="n">
        <x:v>0.02918288297373231</x:v>
      </x:c>
      <x:c r="H315" s="48" t="n">
        <x:v>0.6012079769441365</x:v>
      </x:c>
      <x:c r="I315" s="48" t="n">
        <x:v>0.8485788268242074</x:v>
      </x:c>
      <x:c r="J315" s="48" t="n">
        <x:v>0.5687927559351329</x:v>
      </x:c>
      <x:c r="K315" s="48" t="n">
        <x:v>0.7376180271724622</x:v>
      </x:c>
      <x:c r="L315" s="48" t="n">
        <x:v>0.7883824865924614</x:v>
      </x:c>
      <x:c r="M315" s="48" t="n">
        <x:v>0.16119519256076473</x:v>
      </x:c>
      <x:c r="N315" s="48" t="n">
        <x:v>0.9022351542590515</x:v>
      </x:c>
      <x:c r="O315" s="48" t="n">
        <x:v>0.9291508160316103</x:v>
      </x:c>
      <x:c r="P315" s="48" t="n">
        <x:v>0.6960529095068152</x:v>
      </x:c>
      <x:c r="Q315" s="48" t="n">
        <x:v>1</x:v>
      </x:c>
      <x:c r="R315" s="48" t="n">
        <x:v>0.9125123780360204</x:v>
      </x:c>
      <x:c r="S315" s="29" t="n">
        <x:v>0</x:v>
      </x:c>
    </x:row>
    <x:row r="316" ht="21.600000381469727" hidden="0" customHeight="1">
      <x:c r="A316" s="27" t="n">
        <x:v>104</x:v>
      </x:c>
      <x:c r="B316" s="27" t="str">
        <x:v>A3</x:v>
      </x:c>
      <x:c r="C316" s="47" t="n">
        <x:v>1.3037879854286323</x:v>
      </x:c>
      <x:c r="D316" s="47" t="n">
        <x:v>0.9917245092176752</x:v>
      </x:c>
      <x:c r="E316" s="47" t="n">
        <x:v>0.9394089758145785</x:v>
      </x:c>
      <x:c r="F316" s="47" t="n">
        <x:v>-0.07851841082481398</x:v>
      </x:c>
      <x:c r="G316" s="47" t="n">
        <x:v>0.02918288297373231</x:v>
      </x:c>
      <x:c r="H316" s="47" t="n">
        <x:v>0.6012079769441365</x:v>
      </x:c>
      <x:c r="I316" s="47" t="n">
        <x:v>0.8485788268242074</x:v>
      </x:c>
      <x:c r="J316" s="47" t="n">
        <x:v>0.5687927559351329</x:v>
      </x:c>
      <x:c r="K316" s="47" t="n">
        <x:v>0.7376180271724622</x:v>
      </x:c>
      <x:c r="L316" s="47" t="n">
        <x:v>0.7883824865924614</x:v>
      </x:c>
      <x:c r="M316" s="47" t="n">
        <x:v>0.16119519256076473</x:v>
      </x:c>
      <x:c r="N316" s="47" t="n">
        <x:v>0.9022351542590515</x:v>
      </x:c>
      <x:c r="O316" s="47" t="n">
        <x:v>1</x:v>
      </x:c>
      <x:c r="P316" s="47" t="n">
        <x:v>1</x:v>
      </x:c>
      <x:c r="Q316" s="47" t="n">
        <x:v>1</x:v>
      </x:c>
      <x:c r="R316" s="47" t="n">
        <x:v>1</x:v>
      </x:c>
      <x:c r="S316" s="27" t="n">
        <x:v>1</x:v>
      </x:c>
    </x:row>
    <x:row r="317" ht="21.600000381469727" hidden="0" customHeight="1">
      <x:c r="A317" s="29" t="n">
        <x:v>105</x:v>
      </x:c>
      <x:c r="B317" s="29" t="str">
        <x:v>A1</x:v>
      </x:c>
      <x:c r="C317" s="48" t="n">
        <x:v>0.9878159912275164</x:v>
      </x:c>
      <x:c r="D317" s="48" t="n">
        <x:v>0.9865493857890849</x:v>
      </x:c>
      <x:c r="E317" s="48" t="n">
        <x:v>0.6267248982595777</x:v>
      </x:c>
      <x:c r="F317" s="48" t="n">
        <x:v>-0.16654898091295098</x:v>
      </x:c>
      <x:c r="G317" s="48" t="n">
        <x:v>-0.13135444084975273</x:v>
      </x:c>
      <x:c r="H317" s="48" t="n">
        <x:v>1.0650013521599295</x:v>
      </x:c>
      <x:c r="I317" s="48" t="n">
        <x:v>0.8800189535351238</x:v>
      </x:c>
      <x:c r="J317" s="48" t="n">
        <x:v>0.7935443480593036</x:v>
      </x:c>
      <x:c r="K317" s="48" t="n">
        <x:v>0.8586286353299044</x:v>
      </x:c>
      <x:c r="L317" s="48" t="n">
        <x:v>0.876391964787818</x:v>
      </x:c>
      <x:c r="M317" s="48" t="n">
        <x:v>0.05721292209709528</x:v>
      </x:c>
      <x:c r="N317" s="48" t="n">
        <x:v>0.7957942329147063</x:v>
      </x:c>
      <x:c r="O317" s="48" t="n">
        <x:v>0.9957558270730504</x:v>
      </x:c>
      <x:c r="P317" s="48" t="n">
        <x:v>0.9575582707305036</x:v>
      </x:c>
      <x:c r="Q317" s="48" t="n">
        <x:v>1</x:v>
      </x:c>
      <x:c r="R317" s="48" t="n">
        <x:v>0.9947591125855678</x:v>
      </x:c>
      <x:c r="S317" s="29" t="n">
        <x:v>1</x:v>
      </x:c>
    </x:row>
    <x:row r="318" ht="21.600000381469727" hidden="0" customHeight="1">
      <x:c r="A318" s="27" t="n">
        <x:v>105</x:v>
      </x:c>
      <x:c r="B318" s="27" t="str">
        <x:v>A2</x:v>
      </x:c>
      <x:c r="C318" s="47" t="n">
        <x:v>0.9878159912275164</x:v>
      </x:c>
      <x:c r="D318" s="47" t="n">
        <x:v>0.9865493857890849</x:v>
      </x:c>
      <x:c r="E318" s="47" t="n">
        <x:v>0.6267248982595777</x:v>
      </x:c>
      <x:c r="F318" s="47" t="n">
        <x:v>-0.16654898091295098</x:v>
      </x:c>
      <x:c r="G318" s="47" t="n">
        <x:v>-0.13135444084975273</x:v>
      </x:c>
      <x:c r="H318" s="47" t="n">
        <x:v>1.0650013521599295</x:v>
      </x:c>
      <x:c r="I318" s="47" t="n">
        <x:v>0.8800189535351238</x:v>
      </x:c>
      <x:c r="J318" s="47" t="n">
        <x:v>0.7935443480593036</x:v>
      </x:c>
      <x:c r="K318" s="47" t="n">
        <x:v>0.8586286353299044</x:v>
      </x:c>
      <x:c r="L318" s="47" t="n">
        <x:v>0.876391964787818</x:v>
      </x:c>
      <x:c r="M318" s="47" t="n">
        <x:v>0.05721292209709528</x:v>
      </x:c>
      <x:c r="N318" s="47" t="n">
        <x:v>0.7957942329147063</x:v>
      </x:c>
      <x:c r="O318" s="47" t="n">
        <x:v>1.0000000000000002</x:v>
      </x:c>
      <x:c r="P318" s="47" t="n">
        <x:v>1</x:v>
      </x:c>
      <x:c r="Q318" s="47" t="n">
        <x:v>1</x:v>
      </x:c>
      <x:c r="R318" s="47" t="n">
        <x:v>1</x:v>
      </x:c>
      <x:c r="S318" s="27" t="n">
        <x:v>1</x:v>
      </x:c>
    </x:row>
    <x:row r="319" ht="21.600000381469727" hidden="0" customHeight="1">
      <x:c r="A319" s="29" t="n">
        <x:v>105</x:v>
      </x:c>
      <x:c r="B319" s="29" t="str">
        <x:v>A3</x:v>
      </x:c>
      <x:c r="C319" s="48" t="n">
        <x:v>0.9878159912275164</x:v>
      </x:c>
      <x:c r="D319" s="48" t="n">
        <x:v>0.9865493857890849</x:v>
      </x:c>
      <x:c r="E319" s="48" t="n">
        <x:v>0.6267248982595777</x:v>
      </x:c>
      <x:c r="F319" s="48" t="n">
        <x:v>-0.16654898091295098</x:v>
      </x:c>
      <x:c r="G319" s="48" t="n">
        <x:v>-0.13135444084975273</x:v>
      </x:c>
      <x:c r="H319" s="48" t="n">
        <x:v>1.0650013521599295</x:v>
      </x:c>
      <x:c r="I319" s="48" t="n">
        <x:v>0.8800189535351238</x:v>
      </x:c>
      <x:c r="J319" s="48" t="n">
        <x:v>0.7935443480593036</x:v>
      </x:c>
      <x:c r="K319" s="48" t="n">
        <x:v>0.8586286353299044</x:v>
      </x:c>
      <x:c r="L319" s="48" t="n">
        <x:v>0.876391964787818</x:v>
      </x:c>
      <x:c r="M319" s="48" t="n">
        <x:v>0.05721292209709528</x:v>
      </x:c>
      <x:c r="N319" s="48" t="n">
        <x:v>0.7957942329147063</x:v>
      </x:c>
      <x:c r="O319" s="48" t="n">
        <x:v>1.0000000000000002</x:v>
      </x:c>
      <x:c r="P319" s="48" t="n">
        <x:v>1</x:v>
      </x:c>
      <x:c r="Q319" s="48" t="n">
        <x:v>1</x:v>
      </x:c>
      <x:c r="R319" s="48" t="n">
        <x:v>1</x:v>
      </x:c>
      <x:c r="S319" s="29" t="n">
        <x:v>1</x:v>
      </x:c>
    </x:row>
    <x:row r="320" ht="15" hidden="0" customHeight="1">
      <x:c r="A320" s="27" t="n">
        <x:v>106</x:v>
      </x:c>
      <x:c r="B320" s="27" t="str">
        <x:v>A1</x:v>
      </x:c>
      <x:c r="C320" s="47" t="n">
        <x:v>1.0651208564863834</x:v>
      </x:c>
      <x:c r="D320" s="47" t="n">
        <x:v>0.8680736016003112</x:v>
      </x:c>
      <x:c r="E320" s="47" t="n">
        <x:v>0.5932427437194496</x:v>
      </x:c>
      <x:c r="F320" s="47" t="n">
        <x:v>0.02905158604410632</x:v>
      </x:c>
      <x:c r="G320" s="47" t="n">
        <x:v>-0.1780290495564657</x:v>
      </x:c>
      <x:c r="H320" s="47" t="n">
        <x:v>0.5266288317009591</x:v>
      </x:c>
      <x:c r="I320" s="47" t="n">
        <x:v>0.7505474997633443</x:v>
      </x:c>
      <x:c r="J320" s="47" t="n">
        <x:v>0.9334615449386787</x:v>
      </x:c>
      <x:c r="K320" s="47" t="n">
        <x:v>0.9076732505478823</x:v>
      </x:c>
      <x:c r="L320" s="47" t="n">
        <x:v>0.6119281670730724</x:v>
      </x:c>
      <x:c r="M320" s="47" t="n">
        <x:v>0.07691698747840643</x:v>
      </x:c>
      <x:c r="N320" s="47" t="n">
        <x:v>0.9802611291277967</x:v>
      </x:c>
      <x:c r="O320" s="47" t="n">
        <x:v>0.878144306917769</x:v>
      </x:c>
      <x:c r="P320" s="47" t="n">
        <x:v>0.5594682211937702</x:v>
      </x:c>
      <x:c r="Q320" s="47" t="n">
        <x:v>1</x:v>
      </x:c>
      <x:c r="R320" s="47" t="n">
        <x:v>0.8495273450814417</x:v>
      </x:c>
      <x:c r="S320" s="27" t="n">
        <x:v>0</x:v>
      </x:c>
    </x:row>
    <x:row r="321" ht="15" hidden="0" customHeight="1">
      <x:c r="A321" s="29" t="n">
        <x:v>106</x:v>
      </x:c>
      <x:c r="B321" s="29" t="str">
        <x:v>A2</x:v>
      </x:c>
      <x:c r="C321" s="48" t="n">
        <x:v>1.0651208564863834</x:v>
      </x:c>
      <x:c r="D321" s="48" t="n">
        <x:v>0.8680736016003112</x:v>
      </x:c>
      <x:c r="E321" s="48" t="n">
        <x:v>0.5932427437194496</x:v>
      </x:c>
      <x:c r="F321" s="48" t="n">
        <x:v>0.02905158604410632</x:v>
      </x:c>
      <x:c r="G321" s="48" t="n">
        <x:v>-0.1780290495564657</x:v>
      </x:c>
      <x:c r="H321" s="48" t="n">
        <x:v>0.5266288317009591</x:v>
      </x:c>
      <x:c r="I321" s="48" t="n">
        <x:v>0.7505474997633443</x:v>
      </x:c>
      <x:c r="J321" s="48" t="n">
        <x:v>0.9334615449386787</x:v>
      </x:c>
      <x:c r="K321" s="48" t="n">
        <x:v>0.9076732505478823</x:v>
      </x:c>
      <x:c r="L321" s="48" t="n">
        <x:v>0.6119281670730724</x:v>
      </x:c>
      <x:c r="M321" s="48" t="n">
        <x:v>0.07691698747840643</x:v>
      </x:c>
      <x:c r="N321" s="48" t="n">
        <x:v>0.9802611291277967</x:v>
      </x:c>
      <x:c r="O321" s="48" t="n">
        <x:v>0.9218358377458823</x:v>
      </x:c>
      <x:c r="P321" s="48" t="n">
        <x:v>0.576978796174049</x:v>
      </x:c>
      <x:c r="Q321" s="48" t="n">
        <x:v>1</x:v>
      </x:c>
      <x:c r="R321" s="48" t="n">
        <x:v>0.9034795279862297</x:v>
      </x:c>
      <x:c r="S321" s="29" t="n">
        <x:v>0</x:v>
      </x:c>
    </x:row>
    <x:row r="322" ht="15" hidden="0" customHeight="1">
      <x:c r="A322" s="27" t="n">
        <x:v>106</x:v>
      </x:c>
      <x:c r="B322" s="27" t="str">
        <x:v>A3</x:v>
      </x:c>
      <x:c r="C322" s="47" t="n">
        <x:v>1.0651208564863834</x:v>
      </x:c>
      <x:c r="D322" s="47" t="n">
        <x:v>0.8680736016003112</x:v>
      </x:c>
      <x:c r="E322" s="47" t="n">
        <x:v>0.5932427437194496</x:v>
      </x:c>
      <x:c r="F322" s="47" t="n">
        <x:v>0.02905158604410632</x:v>
      </x:c>
      <x:c r="G322" s="47" t="n">
        <x:v>-0.1780290495564657</x:v>
      </x:c>
      <x:c r="H322" s="47" t="n">
        <x:v>0.5266288317009591</x:v>
      </x:c>
      <x:c r="I322" s="47" t="n">
        <x:v>0.7505474997633443</x:v>
      </x:c>
      <x:c r="J322" s="47" t="n">
        <x:v>0.9334615449386787</x:v>
      </x:c>
      <x:c r="K322" s="47" t="n">
        <x:v>0.9076732505478823</x:v>
      </x:c>
      <x:c r="L322" s="47" t="n">
        <x:v>0.6119281670730724</x:v>
      </x:c>
      <x:c r="M322" s="47" t="n">
        <x:v>0.07691698747840643</x:v>
      </x:c>
      <x:c r="N322" s="47" t="n">
        <x:v>0.9802611291277967</x:v>
      </x:c>
      <x:c r="O322" s="47" t="n">
        <x:v>1</x:v>
      </x:c>
      <x:c r="P322" s="47" t="n">
        <x:v>1</x:v>
      </x:c>
      <x:c r="Q322" s="47" t="n">
        <x:v>1</x:v>
      </x:c>
      <x:c r="R322" s="47" t="n">
        <x:v>1</x:v>
      </x:c>
      <x:c r="S322" s="27" t="n">
        <x:v>1</x:v>
      </x:c>
    </x:row>
    <x:row r="323" ht="21.600000381469727" hidden="0" customHeight="1">
      <x:c r="A323" s="29" t="n">
        <x:v>107</x:v>
      </x:c>
      <x:c r="B323" s="29" t="str">
        <x:v>A1</x:v>
      </x:c>
      <x:c r="C323" s="48" t="n">
        <x:v>1.1288596094016337</x:v>
      </x:c>
      <x:c r="D323" s="48" t="n">
        <x:v>0.8127896222013177</x:v>
      </x:c>
      <x:c r="E323" s="48" t="n">
        <x:v>0.8052512911408651</x:v>
      </x:c>
      <x:c r="F323" s="48" t="n">
        <x:v>-0.18615655037009274</x:v>
      </x:c>
      <x:c r="G323" s="48" t="n">
        <x:v>-0.18298458652818467</x:v>
      </x:c>
      <x:c r="H323" s="48" t="n">
        <x:v>0.9269770371900059</x:v>
      </x:c>
      <x:c r="I323" s="48" t="n">
        <x:v>0.691093712958693</x:v>
      </x:c>
      <x:c r="J323" s="48" t="n">
        <x:v>0.47775072324746826</x:v>
      </x:c>
      <x:c r="K323" s="48" t="n">
        <x:v>0.9776511661471965</x:v>
      </x:c>
      <x:c r="L323" s="48" t="n">
        <x:v>0.8860942164201586</x:v>
      </x:c>
      <x:c r="M323" s="48" t="n">
        <x:v>0.10523054950019639</x:v>
      </x:c>
      <x:c r="N323" s="48" t="n">
        <x:v>0.9835838251479043</x:v>
      </x:c>
      <x:c r="O323" s="48" t="n">
        <x:v>0.8307305160581119</x:v>
      </x:c>
      <x:c r="P323" s="48" t="n">
        <x:v>0.5690659594032133</x:v>
      </x:c>
      <x:c r="Q323" s="48" t="n">
        <x:v>1</x:v>
      </x:c>
      <x:c r="R323" s="48" t="n">
        <x:v>0.7909787552704481</x:v>
      </x:c>
      <x:c r="S323" s="29" t="n">
        <x:v>0</x:v>
      </x:c>
    </x:row>
    <x:row r="324" ht="21.600000381469727" hidden="0" customHeight="1">
      <x:c r="A324" s="27" t="n">
        <x:v>107</x:v>
      </x:c>
      <x:c r="B324" s="27" t="str">
        <x:v>A2</x:v>
      </x:c>
      <x:c r="C324" s="47" t="n">
        <x:v>1.1288596094016337</x:v>
      </x:c>
      <x:c r="D324" s="47" t="n">
        <x:v>0.8127896222013177</x:v>
      </x:c>
      <x:c r="E324" s="47" t="n">
        <x:v>0.8052512911408651</x:v>
      </x:c>
      <x:c r="F324" s="47" t="n">
        <x:v>-0.18615655037009274</x:v>
      </x:c>
      <x:c r="G324" s="47" t="n">
        <x:v>-0.18298458652818467</x:v>
      </x:c>
      <x:c r="H324" s="47" t="n">
        <x:v>0.9269770371900059</x:v>
      </x:c>
      <x:c r="I324" s="47" t="n">
        <x:v>0.691093712958693</x:v>
      </x:c>
      <x:c r="J324" s="47" t="n">
        <x:v>0.47775072324746826</x:v>
      </x:c>
      <x:c r="K324" s="47" t="n">
        <x:v>0.9776511661471965</x:v>
      </x:c>
      <x:c r="L324" s="47" t="n">
        <x:v>0.8860942164201586</x:v>
      </x:c>
      <x:c r="M324" s="47" t="n">
        <x:v>0.10523054950019639</x:v>
      </x:c>
      <x:c r="N324" s="47" t="n">
        <x:v>0.9835838251479043</x:v>
      </x:c>
      <x:c r="O324" s="47" t="n">
        <x:v>0.9163111968475797</x:v>
      </x:c>
      <x:c r="P324" s="47" t="n">
        <x:v>0.767438542965297</x:v>
      </x:c>
      <x:c r="Q324" s="47" t="n">
        <x:v>1</x:v>
      </x:c>
      <x:c r="R324" s="47" t="n">
        <x:v>0.8966574636048943</x:v>
      </x:c>
      <x:c r="S324" s="27" t="n">
        <x:v>0</x:v>
      </x:c>
    </x:row>
    <x:row r="325" ht="21.600000381469727" hidden="0" customHeight="1">
      <x:c r="A325" s="29" t="n">
        <x:v>107</x:v>
      </x:c>
      <x:c r="B325" s="29" t="str">
        <x:v>A3</x:v>
      </x:c>
      <x:c r="C325" s="48" t="n">
        <x:v>1.1288596094016337</x:v>
      </x:c>
      <x:c r="D325" s="48" t="n">
        <x:v>0.8127896222013177</x:v>
      </x:c>
      <x:c r="E325" s="48" t="n">
        <x:v>0.8052512911408651</x:v>
      </x:c>
      <x:c r="F325" s="48" t="n">
        <x:v>-0.18615655037009274</x:v>
      </x:c>
      <x:c r="G325" s="48" t="n">
        <x:v>-0.18298458652818467</x:v>
      </x:c>
      <x:c r="H325" s="48" t="n">
        <x:v>0.9269770371900059</x:v>
      </x:c>
      <x:c r="I325" s="48" t="n">
        <x:v>0.691093712958693</x:v>
      </x:c>
      <x:c r="J325" s="48" t="n">
        <x:v>0.47775072324746826</x:v>
      </x:c>
      <x:c r="K325" s="48" t="n">
        <x:v>0.9776511661471965</x:v>
      </x:c>
      <x:c r="L325" s="48" t="n">
        <x:v>0.8860942164201586</x:v>
      </x:c>
      <x:c r="M325" s="48" t="n">
        <x:v>0.10523054950019639</x:v>
      </x:c>
      <x:c r="N325" s="48" t="n">
        <x:v>0.9835838251479043</x:v>
      </x:c>
      <x:c r="O325" s="48" t="n">
        <x:v>1</x:v>
      </x:c>
      <x:c r="P325" s="48" t="n">
        <x:v>1</x:v>
      </x:c>
      <x:c r="Q325" s="48" t="n">
        <x:v>1</x:v>
      </x:c>
      <x:c r="R325" s="48" t="n">
        <x:v>1</x:v>
      </x:c>
      <x:c r="S325" s="29" t="n">
        <x:v>1</x:v>
      </x:c>
    </x:row>
    <x:row r="326" ht="21.600000381469727" hidden="0" customHeight="1">
      <x:c r="A326" s="27" t="n">
        <x:v>108</x:v>
      </x:c>
      <x:c r="B326" s="27" t="str">
        <x:v>A1</x:v>
      </x:c>
      <x:c r="C326" s="47" t="n">
        <x:v>1.3051610571631418</x:v>
      </x:c>
      <x:c r="D326" s="47" t="n">
        <x:v>0.7592467154436885</x:v>
      </x:c>
      <x:c r="E326" s="47" t="n">
        <x:v>0.9245462833043399</x:v>
      </x:c>
      <x:c r="F326" s="47" t="n">
        <x:v>0.020470282326607636</x:v>
      </x:c>
      <x:c r="G326" s="47" t="n">
        <x:v>-0.061714801275102565</x:v>
      </x:c>
      <x:c r="H326" s="47" t="n">
        <x:v>0.31606323101940964</x:v>
      </x:c>
      <x:c r="I326" s="47" t="n">
        <x:v>0.8384575441466695</x:v>
      </x:c>
      <x:c r="J326" s="47" t="n">
        <x:v>0.5297250187441103</x:v>
      </x:c>
      <x:c r="K326" s="47" t="n">
        <x:v>0.703766630470158</x:v>
      </x:c>
      <x:c r="L326" s="47" t="n">
        <x:v>0.9521220814487446</x:v>
      </x:c>
      <x:c r="M326" s="47" t="n">
        <x:v>0.05034303080163086</x:v>
      </x:c>
      <x:c r="N326" s="47" t="n">
        <x:v>0.9420476105181567</x:v>
      </x:c>
      <x:c r="O326" s="47" t="n">
        <x:v>0.7382074703086006</x:v>
      </x:c>
      <x:c r="P326" s="47" t="n">
        <x:v>0.4696691048952492</x:v>
      </x:c>
      <x:c r="Q326" s="47" t="n">
        <x:v>0.9804745065963922</x:v>
      </x:c>
      <x:c r="R326" s="47" t="n">
        <x:v>0.6768723288387982</x:v>
      </x:c>
      <x:c r="S326" s="27" t="n">
        <x:v>0</x:v>
      </x:c>
    </x:row>
    <x:row r="327" ht="21.600000381469727" hidden="0" customHeight="1">
      <x:c r="A327" s="29" t="n">
        <x:v>108</x:v>
      </x:c>
      <x:c r="B327" s="29" t="str">
        <x:v>A2</x:v>
      </x:c>
      <x:c r="C327" s="48" t="n">
        <x:v>1.3051610571631418</x:v>
      </x:c>
      <x:c r="D327" s="48" t="n">
        <x:v>0.7592467154436885</x:v>
      </x:c>
      <x:c r="E327" s="48" t="n">
        <x:v>0.9245462833043399</x:v>
      </x:c>
      <x:c r="F327" s="48" t="n">
        <x:v>0.020470282326607636</x:v>
      </x:c>
      <x:c r="G327" s="48" t="n">
        <x:v>-0.061714801275102565</x:v>
      </x:c>
      <x:c r="H327" s="48" t="n">
        <x:v>0.31606323101940964</x:v>
      </x:c>
      <x:c r="I327" s="48" t="n">
        <x:v>0.8384575441466695</x:v>
      </x:c>
      <x:c r="J327" s="48" t="n">
        <x:v>0.5297250187441103</x:v>
      </x:c>
      <x:c r="K327" s="48" t="n">
        <x:v>0.703766630470158</x:v>
      </x:c>
      <x:c r="L327" s="48" t="n">
        <x:v>0.9521220814487446</x:v>
      </x:c>
      <x:c r="M327" s="48" t="n">
        <x:v>0.05034303080163086</x:v>
      </x:c>
      <x:c r="N327" s="48" t="n">
        <x:v>0.9420476105181567</x:v>
      </x:c>
      <x:c r="O327" s="48" t="n">
        <x:v>0.8296611094945237</x:v>
      </x:c>
      <x:c r="P327" s="48" t="n">
        <x:v>0.5093434594066328</x:v>
      </x:c>
      <x:c r="Q327" s="48" t="n">
        <x:v>1</x:v>
      </x:c>
      <x:c r="R327" s="48" t="n">
        <x:v>0.7896582060146832</x:v>
      </x:c>
      <x:c r="S327" s="29" t="n">
        <x:v>0</x:v>
      </x:c>
    </x:row>
    <x:row r="328" ht="21.600000381469727" hidden="0" customHeight="1">
      <x:c r="A328" s="27" t="n">
        <x:v>108</x:v>
      </x:c>
      <x:c r="B328" s="27" t="str">
        <x:v>A3</x:v>
      </x:c>
      <x:c r="C328" s="47" t="n">
        <x:v>1.3051610571631418</x:v>
      </x:c>
      <x:c r="D328" s="47" t="n">
        <x:v>0.7592467154436885</x:v>
      </x:c>
      <x:c r="E328" s="47" t="n">
        <x:v>0.9245462833043399</x:v>
      </x:c>
      <x:c r="F328" s="47" t="n">
        <x:v>0.020470282326607636</x:v>
      </x:c>
      <x:c r="G328" s="47" t="n">
        <x:v>-0.061714801275102565</x:v>
      </x:c>
      <x:c r="H328" s="47" t="n">
        <x:v>0.31606323101940964</x:v>
      </x:c>
      <x:c r="I328" s="47" t="n">
        <x:v>0.8384575441466695</x:v>
      </x:c>
      <x:c r="J328" s="47" t="n">
        <x:v>0.5297250187441103</x:v>
      </x:c>
      <x:c r="K328" s="47" t="n">
        <x:v>0.703766630470158</x:v>
      </x:c>
      <x:c r="L328" s="47" t="n">
        <x:v>0.9521220814487446</x:v>
      </x:c>
      <x:c r="M328" s="47" t="n">
        <x:v>0.05034303080163086</x:v>
      </x:c>
      <x:c r="N328" s="47" t="n">
        <x:v>0.9420476105181567</x:v>
      </x:c>
      <x:c r="O328" s="47" t="n">
        <x:v>1</x:v>
      </x:c>
      <x:c r="P328" s="47" t="n">
        <x:v>1</x:v>
      </x:c>
      <x:c r="Q328" s="47" t="n">
        <x:v>1</x:v>
      </x:c>
      <x:c r="R328" s="47" t="n">
        <x:v>1</x:v>
      </x:c>
      <x:c r="S328" s="27" t="n">
        <x:v>1</x:v>
      </x:c>
    </x:row>
    <x:row r="329" ht="21.600000381469727" hidden="0" customHeight="1">
      <x:c r="A329" s="29" t="n">
        <x:v>109</x:v>
      </x:c>
      <x:c r="B329" s="29" t="str">
        <x:v>A1</x:v>
      </x:c>
      <x:c r="C329" s="48" t="n">
        <x:v>1.1552419528426323</x:v>
      </x:c>
      <x:c r="D329" s="48" t="n">
        <x:v>0.9551652063807776</x:v>
      </x:c>
      <x:c r="E329" s="48" t="n">
        <x:v>1.0332115086902922</x:v>
      </x:c>
      <x:c r="F329" s="48" t="n">
        <x:v>0.0010912296808064104</x:v>
      </x:c>
      <x:c r="G329" s="48" t="n">
        <x:v>-0.1183606529932893</x:v>
      </x:c>
      <x:c r="H329" s="48" t="n">
        <x:v>0.5013796301530528</x:v>
      </x:c>
      <x:c r="I329" s="48" t="n">
        <x:v>0.9116178858807464</x:v>
      </x:c>
      <x:c r="J329" s="48" t="n">
        <x:v>0.9500482007290635</x:v>
      </x:c>
      <x:c r="K329" s="48" t="n">
        <x:v>0.6983351865621534</x:v>
      </x:c>
      <x:c r="L329" s="48" t="n">
        <x:v>0.7953944777705477</x:v>
      </x:c>
      <x:c r="M329" s="48" t="n">
        <x:v>0.01879695142479602</x:v>
      </x:c>
      <x:c r="N329" s="48" t="n">
        <x:v>0.7480325822511701</x:v>
      </x:c>
      <x:c r="O329" s="48" t="n">
        <x:v>0.9162030821431456</x:v>
      </x:c>
      <x:c r="P329" s="48" t="n">
        <x:v>0.6281939148769726</x:v>
      </x:c>
      <x:c r="Q329" s="48" t="n">
        <x:v>1</x:v>
      </x:c>
      <x:c r="R329" s="48" t="n">
        <x:v>0.896523958914219</x:v>
      </x:c>
      <x:c r="S329" s="29" t="n">
        <x:v>0</x:v>
      </x:c>
    </x:row>
    <x:row r="330" ht="21.600000381469727" hidden="0" customHeight="1">
      <x:c r="A330" s="27" t="n">
        <x:v>109</x:v>
      </x:c>
      <x:c r="B330" s="27" t="str">
        <x:v>A2</x:v>
      </x:c>
      <x:c r="C330" s="47" t="n">
        <x:v>1.1552419528426323</x:v>
      </x:c>
      <x:c r="D330" s="47" t="n">
        <x:v>0.9551652063807776</x:v>
      </x:c>
      <x:c r="E330" s="47" t="n">
        <x:v>1.0332115086902922</x:v>
      </x:c>
      <x:c r="F330" s="47" t="n">
        <x:v>0.0010912296808064104</x:v>
      </x:c>
      <x:c r="G330" s="47" t="n">
        <x:v>-0.1183606529932893</x:v>
      </x:c>
      <x:c r="H330" s="47" t="n">
        <x:v>0.5013796301530528</x:v>
      </x:c>
      <x:c r="I330" s="47" t="n">
        <x:v>0.9116178858807464</x:v>
      </x:c>
      <x:c r="J330" s="47" t="n">
        <x:v>0.9500482007290635</x:v>
      </x:c>
      <x:c r="K330" s="47" t="n">
        <x:v>0.6983351865621534</x:v>
      </x:c>
      <x:c r="L330" s="47" t="n">
        <x:v>0.7953944777705477</x:v>
      </x:c>
      <x:c r="M330" s="47" t="n">
        <x:v>0.01879695142479602</x:v>
      </x:c>
      <x:c r="N330" s="47" t="n">
        <x:v>0.7480325822511701</x:v>
      </x:c>
      <x:c r="O330" s="47" t="n">
        <x:v>0.9743037963722769</x:v>
      </x:c>
      <x:c r="P330" s="47" t="n">
        <x:v>0.767462892598053</x:v>
      </x:c>
      <x:c r="Q330" s="47" t="n">
        <x:v>1</x:v>
      </x:c>
      <x:c r="R330" s="47" t="n">
        <x:v>0.9682692217048722</x:v>
      </x:c>
      <x:c r="S330" s="27" t="n">
        <x:v>0</x:v>
      </x:c>
    </x:row>
    <x:row r="331" ht="21.600000381469727" hidden="0" customHeight="1">
      <x:c r="A331" s="29" t="n">
        <x:v>109</x:v>
      </x:c>
      <x:c r="B331" s="29" t="str">
        <x:v>A3</x:v>
      </x:c>
      <x:c r="C331" s="48" t="n">
        <x:v>1.1552419528426323</x:v>
      </x:c>
      <x:c r="D331" s="48" t="n">
        <x:v>0.9551652063807776</x:v>
      </x:c>
      <x:c r="E331" s="48" t="n">
        <x:v>1.0332115086902922</x:v>
      </x:c>
      <x:c r="F331" s="48" t="n">
        <x:v>0.0010912296808064104</x:v>
      </x:c>
      <x:c r="G331" s="48" t="n">
        <x:v>-0.1183606529932893</x:v>
      </x:c>
      <x:c r="H331" s="48" t="n">
        <x:v>0.5013796301530528</x:v>
      </x:c>
      <x:c r="I331" s="48" t="n">
        <x:v>0.9116178858807464</x:v>
      </x:c>
      <x:c r="J331" s="48" t="n">
        <x:v>0.9500482007290635</x:v>
      </x:c>
      <x:c r="K331" s="48" t="n">
        <x:v>0.6983351865621534</x:v>
      </x:c>
      <x:c r="L331" s="48" t="n">
        <x:v>0.7953944777705477</x:v>
      </x:c>
      <x:c r="M331" s="48" t="n">
        <x:v>0.01879695142479602</x:v>
      </x:c>
      <x:c r="N331" s="48" t="n">
        <x:v>0.7480325822511701</x:v>
      </x:c>
      <x:c r="O331" s="48" t="n">
        <x:v>1</x:v>
      </x:c>
      <x:c r="P331" s="48" t="n">
        <x:v>1</x:v>
      </x:c>
      <x:c r="Q331" s="48" t="n">
        <x:v>1</x:v>
      </x:c>
      <x:c r="R331" s="48" t="n">
        <x:v>1</x:v>
      </x:c>
      <x:c r="S331" s="29" t="n">
        <x:v>1</x:v>
      </x:c>
    </x:row>
    <x:row r="332" ht="21.600000381469727" hidden="0" customHeight="1">
      <x:c r="A332" s="27" t="n">
        <x:v>110</x:v>
      </x:c>
      <x:c r="B332" s="27" t="str">
        <x:v>A1</x:v>
      </x:c>
      <x:c r="C332" s="47" t="n">
        <x:v>1.3167737600089224</x:v>
      </x:c>
      <x:c r="D332" s="47" t="n">
        <x:v>0.9235858253916049</x:v>
      </x:c>
      <x:c r="E332" s="47" t="n">
        <x:v>1.0977426557780694</x:v>
      </x:c>
      <x:c r="F332" s="47" t="n">
        <x:v>-0.08257055462865427</x:v>
      </x:c>
      <x:c r="G332" s="47" t="n">
        <x:v>-0.04553394048543674</x:v>
      </x:c>
      <x:c r="H332" s="47" t="n">
        <x:v>1.038941563116375</x:v>
      </x:c>
      <x:c r="I332" s="47" t="n">
        <x:v>0.9723978595062197</x:v>
      </x:c>
      <x:c r="J332" s="47" t="n">
        <x:v>0.6422290014250213</x:v>
      </x:c>
      <x:c r="K332" s="47" t="n">
        <x:v>0.5956069093555871</x:v>
      </x:c>
      <x:c r="L332" s="47" t="n">
        <x:v>0.757935578962534</x:v>
      </x:c>
      <x:c r="M332" s="47" t="n">
        <x:v>0.023593445241800935</x:v>
      </x:c>
      <x:c r="N332" s="47" t="n">
        <x:v>0.9920833280260284</x:v>
      </x:c>
      <x:c r="O332" s="47" t="n">
        <x:v>0.8014016963784941</x:v>
      </x:c>
      <x:c r="P332" s="47" t="n">
        <x:v>0.5875770607307932</x:v>
      </x:c>
      <x:c r="Q332" s="47" t="n">
        <x:v>1</x:v>
      </x:c>
      <x:c r="R332" s="47" t="n">
        <x:v>0.7547622663137801</x:v>
      </x:c>
      <x:c r="S332" s="27" t="n">
        <x:v>0</x:v>
      </x:c>
    </x:row>
    <x:row r="333" ht="21.600000381469727" hidden="0" customHeight="1">
      <x:c r="A333" s="29" t="n">
        <x:v>110</x:v>
      </x:c>
      <x:c r="B333" s="29" t="str">
        <x:v>A2</x:v>
      </x:c>
      <x:c r="C333" s="48" t="n">
        <x:v>1.3167737600089224</x:v>
      </x:c>
      <x:c r="D333" s="48" t="n">
        <x:v>0.9235858253916049</x:v>
      </x:c>
      <x:c r="E333" s="48" t="n">
        <x:v>1.0977426557780694</x:v>
      </x:c>
      <x:c r="F333" s="48" t="n">
        <x:v>-0.08257055462865427</x:v>
      </x:c>
      <x:c r="G333" s="48" t="n">
        <x:v>-0.04553394048543674</x:v>
      </x:c>
      <x:c r="H333" s="48" t="n">
        <x:v>1.038941563116375</x:v>
      </x:c>
      <x:c r="I333" s="48" t="n">
        <x:v>0.9723978595062197</x:v>
      </x:c>
      <x:c r="J333" s="48" t="n">
        <x:v>0.6422290014250213</x:v>
      </x:c>
      <x:c r="K333" s="48" t="n">
        <x:v>0.5956069093555871</x:v>
      </x:c>
      <x:c r="L333" s="48" t="n">
        <x:v>0.757935578962534</x:v>
      </x:c>
      <x:c r="M333" s="48" t="n">
        <x:v>0.023593445241800935</x:v>
      </x:c>
      <x:c r="N333" s="48" t="n">
        <x:v>0.9920833280260284</x:v>
      </x:c>
      <x:c r="O333" s="48" t="n">
        <x:v>0.9061686403633175</x:v>
      </x:c>
      <x:c r="P333" s="48" t="n">
        <x:v>0.6144449350360373</x:v>
      </x:c>
      <x:c r="Q333" s="48" t="n">
        <x:v>1</x:v>
      </x:c>
      <x:c r="R333" s="48" t="n">
        <x:v>0.8841329982865733</x:v>
      </x:c>
      <x:c r="S333" s="29" t="n">
        <x:v>0</x:v>
      </x:c>
    </x:row>
    <x:row r="334" ht="21.600000381469727" hidden="0" customHeight="1">
      <x:c r="A334" s="27" t="n">
        <x:v>110</x:v>
      </x:c>
      <x:c r="B334" s="27" t="str">
        <x:v>A3</x:v>
      </x:c>
      <x:c r="C334" s="47" t="n">
        <x:v>1.3167737600089224</x:v>
      </x:c>
      <x:c r="D334" s="47" t="n">
        <x:v>0.9235858253916049</x:v>
      </x:c>
      <x:c r="E334" s="47" t="n">
        <x:v>1.0977426557780694</x:v>
      </x:c>
      <x:c r="F334" s="47" t="n">
        <x:v>-0.08257055462865427</x:v>
      </x:c>
      <x:c r="G334" s="47" t="n">
        <x:v>-0.04553394048543674</x:v>
      </x:c>
      <x:c r="H334" s="47" t="n">
        <x:v>1.038941563116375</x:v>
      </x:c>
      <x:c r="I334" s="47" t="n">
        <x:v>0.9723978595062197</x:v>
      </x:c>
      <x:c r="J334" s="47" t="n">
        <x:v>0.6422290014250213</x:v>
      </x:c>
      <x:c r="K334" s="47" t="n">
        <x:v>0.5956069093555871</x:v>
      </x:c>
      <x:c r="L334" s="47" t="n">
        <x:v>0.757935578962534</x:v>
      </x:c>
      <x:c r="M334" s="47" t="n">
        <x:v>0.023593445241800935</x:v>
      </x:c>
      <x:c r="N334" s="47" t="n">
        <x:v>0.9920833280260284</x:v>
      </x:c>
      <x:c r="O334" s="47" t="n">
        <x:v>1</x:v>
      </x:c>
      <x:c r="P334" s="47" t="n">
        <x:v>1</x:v>
      </x:c>
      <x:c r="Q334" s="47" t="n">
        <x:v>1</x:v>
      </x:c>
      <x:c r="R334" s="47" t="n">
        <x:v>1</x:v>
      </x:c>
      <x:c r="S334" s="27" t="n">
        <x:v>1</x:v>
      </x:c>
    </x:row>
    <x:row r="335" ht="15" hidden="0" customHeight="1">
      <x:c r="A335" s="29" t="n">
        <x:v>111</x:v>
      </x:c>
      <x:c r="B335" s="29" t="str">
        <x:v>A1</x:v>
      </x:c>
      <x:c r="C335" s="48" t="n">
        <x:v>1.0585295673373365</x:v>
      </x:c>
      <x:c r="D335" s="48" t="n">
        <x:v>0.9135453079940217</x:v>
      </x:c>
      <x:c r="E335" s="48" t="n">
        <x:v>0.5548570431217498</x:v>
      </x:c>
      <x:c r="F335" s="48" t="n">
        <x:v>0.00029542324133668973</x:v>
      </x:c>
      <x:c r="G335" s="48" t="n">
        <x:v>0.0196466346913258</x:v>
      </x:c>
      <x:c r="H335" s="48" t="n">
        <x:v>0.9814195598911744</x:v>
      </x:c>
      <x:c r="I335" s="48" t="n">
        <x:v>0.7980828330889894</x:v>
      </x:c>
      <x:c r="J335" s="48" t="n">
        <x:v>0.7724887548897543</x:v>
      </x:c>
      <x:c r="K335" s="48" t="n">
        <x:v>0.7972778311215851</x:v>
      </x:c>
      <x:c r="L335" s="48" t="n">
        <x:v>0.6786282484165489</x:v>
      </x:c>
      <x:c r="M335" s="48" t="n">
        <x:v>0.032759007755054144</x:v>
      </x:c>
      <x:c r="N335" s="48" t="n">
        <x:v>0.8683109673126715</x:v>
      </x:c>
      <x:c r="O335" s="48" t="n">
        <x:v>0.8883715878851657</x:v>
      </x:c>
      <x:c r="P335" s="48" t="n">
        <x:v>0.5852103534952429</x:v>
      </x:c>
      <x:c r="Q335" s="48" t="n">
        <x:v>1</x:v>
      </x:c>
      <x:c r="R335" s="48" t="n">
        <x:v>0.8621564318383791</x:v>
      </x:c>
      <x:c r="S335" s="29" t="n">
        <x:v>0</x:v>
      </x:c>
    </x:row>
    <x:row r="336" ht="15" hidden="0" customHeight="1">
      <x:c r="A336" s="27" t="n">
        <x:v>111</x:v>
      </x:c>
      <x:c r="B336" s="27" t="str">
        <x:v>A2</x:v>
      </x:c>
      <x:c r="C336" s="47" t="n">
        <x:v>1.0585295673373365</x:v>
      </x:c>
      <x:c r="D336" s="47" t="n">
        <x:v>0.9135453079940217</x:v>
      </x:c>
      <x:c r="E336" s="47" t="n">
        <x:v>0.5548570431217498</x:v>
      </x:c>
      <x:c r="F336" s="47" t="n">
        <x:v>0.00029542324133668973</x:v>
      </x:c>
      <x:c r="G336" s="47" t="n">
        <x:v>0.0196466346913258</x:v>
      </x:c>
      <x:c r="H336" s="47" t="n">
        <x:v>0.9814195598911744</x:v>
      </x:c>
      <x:c r="I336" s="47" t="n">
        <x:v>0.7980828330889894</x:v>
      </x:c>
      <x:c r="J336" s="47" t="n">
        <x:v>0.7724887548897543</x:v>
      </x:c>
      <x:c r="K336" s="47" t="n">
        <x:v>0.7972778311215851</x:v>
      </x:c>
      <x:c r="L336" s="47" t="n">
        <x:v>0.6786282484165489</x:v>
      </x:c>
      <x:c r="M336" s="47" t="n">
        <x:v>0.032759007755054144</x:v>
      </x:c>
      <x:c r="N336" s="47" t="n">
        <x:v>0.8683109673126715</x:v>
      </x:c>
      <x:c r="O336" s="47" t="n">
        <x:v>0.9439151392499633</x:v>
      </x:c>
      <x:c r="P336" s="47" t="n">
        <x:v>0.6737285160230956</x:v>
      </x:c>
      <x:c r="Q336" s="47" t="n">
        <x:v>1</x:v>
      </x:c>
      <x:c r="R336" s="47" t="n">
        <x:v>0.9307439998548063</x:v>
      </x:c>
      <x:c r="S336" s="27" t="n">
        <x:v>0</x:v>
      </x:c>
    </x:row>
    <x:row r="337" ht="15" hidden="0" customHeight="1">
      <x:c r="A337" s="29" t="n">
        <x:v>111</x:v>
      </x:c>
      <x:c r="B337" s="29" t="str">
        <x:v>A3</x:v>
      </x:c>
      <x:c r="C337" s="48" t="n">
        <x:v>1.0585295673373365</x:v>
      </x:c>
      <x:c r="D337" s="48" t="n">
        <x:v>0.9135453079940217</x:v>
      </x:c>
      <x:c r="E337" s="48" t="n">
        <x:v>0.5548570431217498</x:v>
      </x:c>
      <x:c r="F337" s="48" t="n">
        <x:v>0.00029542324133668973</x:v>
      </x:c>
      <x:c r="G337" s="48" t="n">
        <x:v>0.0196466346913258</x:v>
      </x:c>
      <x:c r="H337" s="48" t="n">
        <x:v>0.9814195598911744</x:v>
      </x:c>
      <x:c r="I337" s="48" t="n">
        <x:v>0.7980828330889894</x:v>
      </x:c>
      <x:c r="J337" s="48" t="n">
        <x:v>0.7724887548897543</x:v>
      </x:c>
      <x:c r="K337" s="48" t="n">
        <x:v>0.7972778311215851</x:v>
      </x:c>
      <x:c r="L337" s="48" t="n">
        <x:v>0.6786282484165489</x:v>
      </x:c>
      <x:c r="M337" s="48" t="n">
        <x:v>0.032759007755054144</x:v>
      </x:c>
      <x:c r="N337" s="48" t="n">
        <x:v>0.8683109673126715</x:v>
      </x:c>
      <x:c r="O337" s="48" t="n">
        <x:v>1</x:v>
      </x:c>
      <x:c r="P337" s="48" t="n">
        <x:v>1</x:v>
      </x:c>
      <x:c r="Q337" s="48" t="n">
        <x:v>1</x:v>
      </x:c>
      <x:c r="R337" s="48" t="n">
        <x:v>1</x:v>
      </x:c>
      <x:c r="S337" s="29" t="n">
        <x:v>1</x:v>
      </x:c>
    </x:row>
    <x:row r="338" ht="21.600000381469727" hidden="0" customHeight="1">
      <x:c r="A338" s="27" t="n">
        <x:v>112</x:v>
      </x:c>
      <x:c r="B338" s="27" t="str">
        <x:v>A1</x:v>
      </x:c>
      <x:c r="C338" s="47" t="n">
        <x:v>0.9985403150118336</x:v>
      </x:c>
      <x:c r="D338" s="47" t="n">
        <x:v>0.9721040038938278</x:v>
      </x:c>
      <x:c r="E338" s="47" t="n">
        <x:v>0.9672237753074335</x:v>
      </x:c>
      <x:c r="F338" s="47" t="n">
        <x:v>-0.11843744308693623</x:v>
      </x:c>
      <x:c r="G338" s="47" t="n">
        <x:v>-0.18132450984091153</x:v>
      </x:c>
      <x:c r="H338" s="47" t="n">
        <x:v>0.8763975631049807</x:v>
      </x:c>
      <x:c r="I338" s="47" t="n">
        <x:v>0.9447986494804022</x:v>
      </x:c>
      <x:c r="J338" s="47" t="n">
        <x:v>0.8729968189662689</x:v>
      </x:c>
      <x:c r="K338" s="47" t="n">
        <x:v>0.6312464771139698</x:v>
      </x:c>
      <x:c r="L338" s="47" t="n">
        <x:v>0.5114912912027755</x:v>
      </x:c>
      <x:c r="M338" s="47" t="n">
        <x:v>0.17806828139297873</x:v>
      </x:c>
      <x:c r="N338" s="47" t="n">
        <x:v>0.6828745531796128</x:v>
      </x:c>
      <x:c r="O338" s="47" t="n">
        <x:v>0.9499267074296418</x:v>
      </x:c>
      <x:c r="P338" s="47" t="n">
        <x:v>0.6361722474901288</x:v>
      </x:c>
      <x:c r="Q338" s="47" t="n">
        <x:v>1</x:v>
      </x:c>
      <x:c r="R338" s="47" t="n">
        <x:v>0.9381673430022598</x:v>
      </x:c>
      <x:c r="S338" s="27" t="n">
        <x:v>0</x:v>
      </x:c>
    </x:row>
    <x:row r="339" ht="21.600000381469727" hidden="0" customHeight="1">
      <x:c r="A339" s="29" t="n">
        <x:v>112</x:v>
      </x:c>
      <x:c r="B339" s="29" t="str">
        <x:v>A2</x:v>
      </x:c>
      <x:c r="C339" s="48" t="n">
        <x:v>0.9985403150118336</x:v>
      </x:c>
      <x:c r="D339" s="48" t="n">
        <x:v>0.9721040038938278</x:v>
      </x:c>
      <x:c r="E339" s="48" t="n">
        <x:v>0.9672237753074335</x:v>
      </x:c>
      <x:c r="F339" s="48" t="n">
        <x:v>-0.11843744308693623</x:v>
      </x:c>
      <x:c r="G339" s="48" t="n">
        <x:v>-0.18132450984091153</x:v>
      </x:c>
      <x:c r="H339" s="48" t="n">
        <x:v>0.8763975631049807</x:v>
      </x:c>
      <x:c r="I339" s="48" t="n">
        <x:v>0.9447986494804022</x:v>
      </x:c>
      <x:c r="J339" s="48" t="n">
        <x:v>0.8729968189662689</x:v>
      </x:c>
      <x:c r="K339" s="48" t="n">
        <x:v>0.6312464771139698</x:v>
      </x:c>
      <x:c r="L339" s="48" t="n">
        <x:v>0.5114912912027755</x:v>
      </x:c>
      <x:c r="M339" s="48" t="n">
        <x:v>0.17806828139297873</x:v>
      </x:c>
      <x:c r="N339" s="48" t="n">
        <x:v>0.6828745531796128</x:v>
      </x:c>
      <x:c r="O339" s="48" t="n">
        <x:v>0.9996079402591996</x:v>
      </x:c>
      <x:c r="P339" s="48" t="n">
        <x:v>0.996079402591997</x:v>
      </x:c>
      <x:c r="Q339" s="48" t="n">
        <x:v>1</x:v>
      </x:c>
      <x:c r="R339" s="48" t="n">
        <x:v>0.99951586775642</x:v>
      </x:c>
      <x:c r="S339" s="29" t="n">
        <x:v>1</x:v>
      </x:c>
    </x:row>
    <x:row r="340" ht="21.600000381469727" hidden="0" customHeight="1">
      <x:c r="A340" s="27" t="n">
        <x:v>112</x:v>
      </x:c>
      <x:c r="B340" s="27" t="str">
        <x:v>A3</x:v>
      </x:c>
      <x:c r="C340" s="47" t="n">
        <x:v>0.9985403150118336</x:v>
      </x:c>
      <x:c r="D340" s="47" t="n">
        <x:v>0.9721040038938278</x:v>
      </x:c>
      <x:c r="E340" s="47" t="n">
        <x:v>0.9672237753074335</x:v>
      </x:c>
      <x:c r="F340" s="47" t="n">
        <x:v>-0.11843744308693623</x:v>
      </x:c>
      <x:c r="G340" s="47" t="n">
        <x:v>-0.18132450984091153</x:v>
      </x:c>
      <x:c r="H340" s="47" t="n">
        <x:v>0.8763975631049807</x:v>
      </x:c>
      <x:c r="I340" s="47" t="n">
        <x:v>0.9447986494804022</x:v>
      </x:c>
      <x:c r="J340" s="47" t="n">
        <x:v>0.8729968189662689</x:v>
      </x:c>
      <x:c r="K340" s="47" t="n">
        <x:v>0.6312464771139698</x:v>
      </x:c>
      <x:c r="L340" s="47" t="n">
        <x:v>0.5114912912027755</x:v>
      </x:c>
      <x:c r="M340" s="47" t="n">
        <x:v>0.17806828139297873</x:v>
      </x:c>
      <x:c r="N340" s="47" t="n">
        <x:v>0.6828745531796128</x:v>
      </x:c>
      <x:c r="O340" s="47" t="n">
        <x:v>1</x:v>
      </x:c>
      <x:c r="P340" s="47" t="n">
        <x:v>1</x:v>
      </x:c>
      <x:c r="Q340" s="47" t="n">
        <x:v>1</x:v>
      </x:c>
      <x:c r="R340" s="47" t="n">
        <x:v>1</x:v>
      </x:c>
      <x:c r="S340" s="27" t="n">
        <x:v>1</x:v>
      </x:c>
    </x:row>
    <x:row r="341" ht="21.600000381469727" hidden="0" customHeight="1">
      <x:c r="A341" s="29" t="n">
        <x:v>113</x:v>
      </x:c>
      <x:c r="B341" s="29" t="str">
        <x:v>A1</x:v>
      </x:c>
      <x:c r="C341" s="48" t="n">
        <x:v>1.0993675891910146</x:v>
      </x:c>
      <x:c r="D341" s="48" t="n">
        <x:v>0.7506486019823795</x:v>
      </x:c>
      <x:c r="E341" s="48" t="n">
        <x:v>0.4651607551445205</x:v>
      </x:c>
      <x:c r="F341" s="48" t="n">
        <x:v>-0.1824662928735329</x:v>
      </x:c>
      <x:c r="G341" s="48" t="n">
        <x:v>-0.19230732299424394</x:v>
      </x:c>
      <x:c r="H341" s="48" t="n">
        <x:v>0.31773887393150707</x:v>
      </x:c>
      <x:c r="I341" s="48" t="n">
        <x:v>0.6456598938691279</x:v>
      </x:c>
      <x:c r="J341" s="48" t="n">
        <x:v>0.9876021770908348</x:v>
      </x:c>
      <x:c r="K341" s="48" t="n">
        <x:v>0.6896994478763384</x:v>
      </x:c>
      <x:c r="L341" s="48" t="n">
        <x:v>0.687995390079376</x:v>
      </x:c>
      <x:c r="M341" s="48" t="n">
        <x:v>0.15633277962736813</x:v>
      </x:c>
      <x:c r="N341" s="48" t="n">
        <x:v>0.6607762189230322</x:v>
      </x:c>
      <x:c r="O341" s="48" t="n">
        <x:v>0.7575341555247804</x:v>
      </x:c>
      <x:c r="P341" s="48" t="n">
        <x:v>0.36824503857876484</x:v>
      </x:c>
      <x:c r="Q341" s="48" t="n">
        <x:v>0.9462268877559287</x:v>
      </x:c>
      <x:c r="R341" s="48" t="n">
        <x:v>0.7057582866691449</x:v>
      </x:c>
      <x:c r="S341" s="29" t="n">
        <x:v>0</x:v>
      </x:c>
    </x:row>
    <x:row r="342" ht="21.600000381469727" hidden="0" customHeight="1">
      <x:c r="A342" s="27" t="n">
        <x:v>113</x:v>
      </x:c>
      <x:c r="B342" s="27" t="str">
        <x:v>A2</x:v>
      </x:c>
      <x:c r="C342" s="47" t="n">
        <x:v>1.0993675891910146</x:v>
      </x:c>
      <x:c r="D342" s="47" t="n">
        <x:v>0.7506486019823795</x:v>
      </x:c>
      <x:c r="E342" s="47" t="n">
        <x:v>0.4651607551445205</x:v>
      </x:c>
      <x:c r="F342" s="47" t="n">
        <x:v>-0.1824662928735329</x:v>
      </x:c>
      <x:c r="G342" s="47" t="n">
        <x:v>-0.19230732299424394</x:v>
      </x:c>
      <x:c r="H342" s="47" t="n">
        <x:v>0.31773887393150707</x:v>
      </x:c>
      <x:c r="I342" s="47" t="n">
        <x:v>0.6456598938691279</x:v>
      </x:c>
      <x:c r="J342" s="47" t="n">
        <x:v>0.9876021770908348</x:v>
      </x:c>
      <x:c r="K342" s="47" t="n">
        <x:v>0.6896994478763384</x:v>
      </x:c>
      <x:c r="L342" s="47" t="n">
        <x:v>0.687995390079376</x:v>
      </x:c>
      <x:c r="M342" s="47" t="n">
        <x:v>0.15633277962736813</x:v>
      </x:c>
      <x:c r="N342" s="47" t="n">
        <x:v>0.6607762189230322</x:v>
      </x:c>
      <x:c r="O342" s="47" t="n">
        <x:v>0.8412219094684984</x:v>
      </x:c>
      <x:c r="P342" s="47" t="n">
        <x:v>0.5312884134758666</x:v>
      </x:c>
      <x:c r="Q342" s="47" t="n">
        <x:v>1</x:v>
      </x:c>
      <x:c r="R342" s="47" t="n">
        <x:v>0.8039339794403241</x:v>
      </x:c>
      <x:c r="S342" s="27" t="n">
        <x:v>0</x:v>
      </x:c>
    </x:row>
    <x:row r="343" ht="21.600000381469727" hidden="0" customHeight="1">
      <x:c r="A343" s="29" t="n">
        <x:v>113</x:v>
      </x:c>
      <x:c r="B343" s="29" t="str">
        <x:v>A3</x:v>
      </x:c>
      <x:c r="C343" s="48" t="n">
        <x:v>1.0993675891910146</x:v>
      </x:c>
      <x:c r="D343" s="48" t="n">
        <x:v>0.7506486019823795</x:v>
      </x:c>
      <x:c r="E343" s="48" t="n">
        <x:v>0.4651607551445205</x:v>
      </x:c>
      <x:c r="F343" s="48" t="n">
        <x:v>-0.1824662928735329</x:v>
      </x:c>
      <x:c r="G343" s="48" t="n">
        <x:v>-0.19230732299424394</x:v>
      </x:c>
      <x:c r="H343" s="48" t="n">
        <x:v>0.31773887393150707</x:v>
      </x:c>
      <x:c r="I343" s="48" t="n">
        <x:v>0.6456598938691279</x:v>
      </x:c>
      <x:c r="J343" s="48" t="n">
        <x:v>0.9876021770908348</x:v>
      </x:c>
      <x:c r="K343" s="48" t="n">
        <x:v>0.6896994478763384</x:v>
      </x:c>
      <x:c r="L343" s="48" t="n">
        <x:v>0.687995390079376</x:v>
      </x:c>
      <x:c r="M343" s="48" t="n">
        <x:v>0.15633277962736813</x:v>
      </x:c>
      <x:c r="N343" s="48" t="n">
        <x:v>0.6607762189230322</x:v>
      </x:c>
      <x:c r="O343" s="48" t="n">
        <x:v>1</x:v>
      </x:c>
      <x:c r="P343" s="48" t="n">
        <x:v>1</x:v>
      </x:c>
      <x:c r="Q343" s="48" t="n">
        <x:v>1</x:v>
      </x:c>
      <x:c r="R343" s="48" t="n">
        <x:v>1</x:v>
      </x:c>
      <x:c r="S343" s="29" t="n">
        <x:v>1</x:v>
      </x:c>
    </x:row>
    <x:row r="344" ht="21.600000381469727" hidden="0" customHeight="1">
      <x:c r="A344" s="27" t="n">
        <x:v>114</x:v>
      </x:c>
      <x:c r="B344" s="27" t="str">
        <x:v>A1</x:v>
      </x:c>
      <x:c r="C344" s="47" t="n">
        <x:v>0.9988173908116933</x:v>
      </x:c>
      <x:c r="D344" s="47" t="n">
        <x:v>0.8583962245501817</x:v>
      </x:c>
      <x:c r="E344" s="47" t="n">
        <x:v>1.0077691223885272</x:v>
      </x:c>
      <x:c r="F344" s="47" t="n">
        <x:v>-0.12273557038082689</x:v>
      </x:c>
      <x:c r="G344" s="47" t="n">
        <x:v>-0.018792868052638356</x:v>
      </x:c>
      <x:c r="H344" s="47" t="n">
        <x:v>0.7532226332420857</x:v>
      </x:c>
      <x:c r="I344" s="47" t="n">
        <x:v>0.8696566525712628</x:v>
      </x:c>
      <x:c r="J344" s="47" t="n">
        <x:v>0.5043376384359815</x:v>
      </x:c>
      <x:c r="K344" s="47" t="n">
        <x:v>0.9993139921698635</x:v>
      </x:c>
      <x:c r="L344" s="47" t="n">
        <x:v>0.969291799110708</x:v>
      </x:c>
      <x:c r="M344" s="47" t="n">
        <x:v>0.0030855535795732453</x:v>
      </x:c>
      <x:c r="N344" s="47" t="n">
        <x:v>0.7979704329380608</x:v>
      </x:c>
      <x:c r="O344" s="47" t="n">
        <x:v>0.9051431562974693</x:v>
      </x:c>
      <x:c r="P344" s="47" t="n">
        <x:v>0.6742095377078139</x:v>
      </x:c>
      <x:c r="Q344" s="47" t="n">
        <x:v>0.9999999999999998</x:v>
      </x:c>
      <x:c r="R344" s="47" t="n">
        <x:v>0.8828666864215976</x:v>
      </x:c>
      <x:c r="S344" s="27" t="n">
        <x:v>0</x:v>
      </x:c>
    </x:row>
    <x:row r="345" ht="21.600000381469727" hidden="0" customHeight="1">
      <x:c r="A345" s="29" t="n">
        <x:v>114</x:v>
      </x:c>
      <x:c r="B345" s="29" t="str">
        <x:v>A2</x:v>
      </x:c>
      <x:c r="C345" s="48" t="n">
        <x:v>0.9988173908116933</x:v>
      </x:c>
      <x:c r="D345" s="48" t="n">
        <x:v>0.8583962245501817</x:v>
      </x:c>
      <x:c r="E345" s="48" t="n">
        <x:v>1.0077691223885272</x:v>
      </x:c>
      <x:c r="F345" s="48" t="n">
        <x:v>-0.12273557038082689</x:v>
      </x:c>
      <x:c r="G345" s="48" t="n">
        <x:v>-0.018792868052638356</x:v>
      </x:c>
      <x:c r="H345" s="48" t="n">
        <x:v>0.7532226332420857</x:v>
      </x:c>
      <x:c r="I345" s="48" t="n">
        <x:v>0.8696566525712628</x:v>
      </x:c>
      <x:c r="J345" s="48" t="n">
        <x:v>0.5043376384359815</x:v>
      </x:c>
      <x:c r="K345" s="48" t="n">
        <x:v>0.9993139921698635</x:v>
      </x:c>
      <x:c r="L345" s="48" t="n">
        <x:v>0.969291799110708</x:v>
      </x:c>
      <x:c r="M345" s="48" t="n">
        <x:v>0.0030855535795732453</x:v>
      </x:c>
      <x:c r="N345" s="48" t="n">
        <x:v>0.7979704329380608</x:v>
      </x:c>
      <x:c r="O345" s="48" t="n">
        <x:v>0.990360768556398</x:v>
      </x:c>
      <x:c r="P345" s="48" t="n">
        <x:v>0.9328705868377303</x:v>
      </x:c>
      <x:c r="Q345" s="48" t="n">
        <x:v>1</x:v>
      </x:c>
      <x:c r="R345" s="48" t="n">
        <x:v>0.9880970621067786</x:v>
      </x:c>
      <x:c r="S345" s="29" t="n">
        <x:v>0</x:v>
      </x:c>
    </x:row>
    <x:row r="346" ht="21.600000381469727" hidden="0" customHeight="1">
      <x:c r="A346" s="27" t="n">
        <x:v>114</x:v>
      </x:c>
      <x:c r="B346" s="27" t="str">
        <x:v>A3</x:v>
      </x:c>
      <x:c r="C346" s="47" t="n">
        <x:v>0.9988173908116933</x:v>
      </x:c>
      <x:c r="D346" s="47" t="n">
        <x:v>0.8583962245501817</x:v>
      </x:c>
      <x:c r="E346" s="47" t="n">
        <x:v>1.0077691223885272</x:v>
      </x:c>
      <x:c r="F346" s="47" t="n">
        <x:v>-0.12273557038082689</x:v>
      </x:c>
      <x:c r="G346" s="47" t="n">
        <x:v>-0.018792868052638356</x:v>
      </x:c>
      <x:c r="H346" s="47" t="n">
        <x:v>0.7532226332420857</x:v>
      </x:c>
      <x:c r="I346" s="47" t="n">
        <x:v>0.8696566525712628</x:v>
      </x:c>
      <x:c r="J346" s="47" t="n">
        <x:v>0.5043376384359815</x:v>
      </x:c>
      <x:c r="K346" s="47" t="n">
        <x:v>0.9993139921698635</x:v>
      </x:c>
      <x:c r="L346" s="47" t="n">
        <x:v>0.969291799110708</x:v>
      </x:c>
      <x:c r="M346" s="47" t="n">
        <x:v>0.0030855535795732453</x:v>
      </x:c>
      <x:c r="N346" s="47" t="n">
        <x:v>0.7979704329380608</x:v>
      </x:c>
      <x:c r="O346" s="47" t="n">
        <x:v>1</x:v>
      </x:c>
      <x:c r="P346" s="47" t="n">
        <x:v>1</x:v>
      </x:c>
      <x:c r="Q346" s="47" t="n">
        <x:v>1</x:v>
      </x:c>
      <x:c r="R346" s="47" t="n">
        <x:v>1</x:v>
      </x:c>
      <x:c r="S346" s="27" t="n">
        <x:v>1</x:v>
      </x:c>
    </x:row>
    <x:row r="347" ht="21.600000381469727" hidden="0" customHeight="1">
      <x:c r="A347" s="29" t="n">
        <x:v>115</x:v>
      </x:c>
      <x:c r="B347" s="29" t="str">
        <x:v>A1</x:v>
      </x:c>
      <x:c r="C347" s="48" t="n">
        <x:v>0.9164160805299847</x:v>
      </x:c>
      <x:c r="D347" s="48" t="n">
        <x:v>0.9913772668512892</x:v>
      </x:c>
      <x:c r="E347" s="48" t="n">
        <x:v>0.6026094259110454</x:v>
      </x:c>
      <x:c r="F347" s="48" t="n">
        <x:v>-0.03091922514954601</x:v>
      </x:c>
      <x:c r="G347" s="48" t="n">
        <x:v>-0.02517915256327183</x:v>
      </x:c>
      <x:c r="H347" s="48" t="n">
        <x:v>0.8714547627672125</x:v>
      </x:c>
      <x:c r="I347" s="48" t="n">
        <x:v>0.662254159633982</x:v>
      </x:c>
      <x:c r="J347" s="48" t="n">
        <x:v>0.6264252430929501</x:v>
      </x:c>
      <x:c r="K347" s="48" t="n">
        <x:v>0.6297092380799841</x:v>
      </x:c>
      <x:c r="L347" s="48" t="n">
        <x:v>0.7921785290520986</x:v>
      </x:c>
      <x:c r="M347" s="48" t="n">
        <x:v>0.10925403766634943</x:v>
      </x:c>
      <x:c r="N347" s="48" t="n">
        <x:v>0.8143612643649246</x:v>
      </x:c>
      <x:c r="O347" s="48" t="n">
        <x:v>0.9436309321490439</x:v>
      </x:c>
      <x:c r="P347" s="48" t="n">
        <x:v>0.7195878221051957</x:v>
      </x:c>
      <x:c r="Q347" s="48" t="n">
        <x:v>1</x:v>
      </x:c>
      <x:c r="R347" s="48" t="n">
        <x:v>0.9303930486933109</x:v>
      </x:c>
      <x:c r="S347" s="29" t="n">
        <x:v>0</x:v>
      </x:c>
    </x:row>
    <x:row r="348" ht="21.600000381469727" hidden="0" customHeight="1">
      <x:c r="A348" s="27" t="n">
        <x:v>115</x:v>
      </x:c>
      <x:c r="B348" s="27" t="str">
        <x:v>A2</x:v>
      </x:c>
      <x:c r="C348" s="47" t="n">
        <x:v>0.9164160805299847</x:v>
      </x:c>
      <x:c r="D348" s="47" t="n">
        <x:v>0.9913772668512892</x:v>
      </x:c>
      <x:c r="E348" s="47" t="n">
        <x:v>0.6026094259110454</x:v>
      </x:c>
      <x:c r="F348" s="47" t="n">
        <x:v>-0.03091922514954601</x:v>
      </x:c>
      <x:c r="G348" s="47" t="n">
        <x:v>-0.02517915256327183</x:v>
      </x:c>
      <x:c r="H348" s="47" t="n">
        <x:v>0.8714547627672125</x:v>
      </x:c>
      <x:c r="I348" s="47" t="n">
        <x:v>0.662254159633982</x:v>
      </x:c>
      <x:c r="J348" s="47" t="n">
        <x:v>0.6264252430929501</x:v>
      </x:c>
      <x:c r="K348" s="47" t="n">
        <x:v>0.6297092380799841</x:v>
      </x:c>
      <x:c r="L348" s="47" t="n">
        <x:v>0.7921785290520986</x:v>
      </x:c>
      <x:c r="M348" s="47" t="n">
        <x:v>0.10925403766634943</x:v>
      </x:c>
      <x:c r="N348" s="47" t="n">
        <x:v>0.8143612643649246</x:v>
      </x:c>
      <x:c r="O348" s="47" t="n">
        <x:v>0.9902193597547477</x:v>
      </x:c>
      <x:c r="P348" s="47" t="n">
        <x:v>0.9021935975474777</x:v>
      </x:c>
      <x:c r="Q348" s="47" t="n">
        <x:v>1</x:v>
      </x:c>
      <x:c r="R348" s="47" t="n">
        <x:v>0.9879224444317652</x:v>
      </x:c>
      <x:c r="S348" s="27" t="n">
        <x:v>0</x:v>
      </x:c>
    </x:row>
    <x:row r="349" ht="21.600000381469727" hidden="0" customHeight="1">
      <x:c r="A349" s="29" t="n">
        <x:v>115</x:v>
      </x:c>
      <x:c r="B349" s="29" t="str">
        <x:v>A3</x:v>
      </x:c>
      <x:c r="C349" s="48" t="n">
        <x:v>0.9164160805299847</x:v>
      </x:c>
      <x:c r="D349" s="48" t="n">
        <x:v>0.9913772668512892</x:v>
      </x:c>
      <x:c r="E349" s="48" t="n">
        <x:v>0.6026094259110454</x:v>
      </x:c>
      <x:c r="F349" s="48" t="n">
        <x:v>-0.03091922514954601</x:v>
      </x:c>
      <x:c r="G349" s="48" t="n">
        <x:v>-0.02517915256327183</x:v>
      </x:c>
      <x:c r="H349" s="48" t="n">
        <x:v>0.8714547627672125</x:v>
      </x:c>
      <x:c r="I349" s="48" t="n">
        <x:v>0.662254159633982</x:v>
      </x:c>
      <x:c r="J349" s="48" t="n">
        <x:v>0.6264252430929501</x:v>
      </x:c>
      <x:c r="K349" s="48" t="n">
        <x:v>0.6297092380799841</x:v>
      </x:c>
      <x:c r="L349" s="48" t="n">
        <x:v>0.7921785290520986</x:v>
      </x:c>
      <x:c r="M349" s="48" t="n">
        <x:v>0.10925403766634943</x:v>
      </x:c>
      <x:c r="N349" s="48" t="n">
        <x:v>0.8143612643649246</x:v>
      </x:c>
      <x:c r="O349" s="48" t="n">
        <x:v>1</x:v>
      </x:c>
      <x:c r="P349" s="48" t="n">
        <x:v>1</x:v>
      </x:c>
      <x:c r="Q349" s="48" t="n">
        <x:v>1</x:v>
      </x:c>
      <x:c r="R349" s="48" t="n">
        <x:v>1</x:v>
      </x:c>
      <x:c r="S349" s="29" t="n">
        <x:v>1</x:v>
      </x:c>
    </x:row>
    <x:row r="350" ht="21.600000381469727" hidden="0" customHeight="1">
      <x:c r="A350" s="27" t="n">
        <x:v>116</x:v>
      </x:c>
      <x:c r="B350" s="27" t="str">
        <x:v>A1</x:v>
      </x:c>
      <x:c r="C350" s="47" t="n">
        <x:v>1.124296508908967</x:v>
      </x:c>
      <x:c r="D350" s="47" t="n">
        <x:v>0.729957306085662</x:v>
      </x:c>
      <x:c r="E350" s="47" t="n">
        <x:v>0.6420023341918712</x:v>
      </x:c>
      <x:c r="F350" s="47" t="n">
        <x:v>-0.0841710816677391</x:v>
      </x:c>
      <x:c r="G350" s="47" t="n">
        <x:v>-0.040151570654276075</x:v>
      </x:c>
      <x:c r="H350" s="47" t="n">
        <x:v>0.7732501058621846</x:v>
      </x:c>
      <x:c r="I350" s="47" t="n">
        <x:v>0.7491680952651611</x:v>
      </x:c>
      <x:c r="J350" s="47" t="n">
        <x:v>0.7778782205935788</x:v>
      </x:c>
      <x:c r="K350" s="47" t="n">
        <x:v>0.9365502996856168</x:v>
      </x:c>
      <x:c r="L350" s="47" t="n">
        <x:v>0.9701450870794982</x:v>
      </x:c>
      <x:c r="M350" s="47" t="n">
        <x:v>0.15357408338889325</x:v>
      </x:c>
      <x:c r="N350" s="47" t="n">
        <x:v>0.6824525532994061</x:v>
      </x:c>
      <x:c r="O350" s="47" t="n">
        <x:v>0.8582299375569585</x:v>
      </x:c>
      <x:c r="P350" s="47" t="n">
        <x:v>0.5911448524973274</x:v>
      </x:c>
      <x:c r="Q350" s="47" t="n">
        <x:v>1</x:v>
      </x:c>
      <x:c r="R350" s="47" t="n">
        <x:v>0.8249362246097227</x:v>
      </x:c>
      <x:c r="S350" s="27" t="n">
        <x:v>0</x:v>
      </x:c>
    </x:row>
    <x:row r="351" ht="21.600000381469727" hidden="0" customHeight="1">
      <x:c r="A351" s="29" t="n">
        <x:v>116</x:v>
      </x:c>
      <x:c r="B351" s="29" t="str">
        <x:v>A2</x:v>
      </x:c>
      <x:c r="C351" s="48" t="n">
        <x:v>1.124296508908967</x:v>
      </x:c>
      <x:c r="D351" s="48" t="n">
        <x:v>0.729957306085662</x:v>
      </x:c>
      <x:c r="E351" s="48" t="n">
        <x:v>0.6420023341918712</x:v>
      </x:c>
      <x:c r="F351" s="48" t="n">
        <x:v>-0.0841710816677391</x:v>
      </x:c>
      <x:c r="G351" s="48" t="n">
        <x:v>-0.040151570654276075</x:v>
      </x:c>
      <x:c r="H351" s="48" t="n">
        <x:v>0.7732501058621846</x:v>
      </x:c>
      <x:c r="I351" s="48" t="n">
        <x:v>0.7491680952651611</x:v>
      </x:c>
      <x:c r="J351" s="48" t="n">
        <x:v>0.7778782205935788</x:v>
      </x:c>
      <x:c r="K351" s="48" t="n">
        <x:v>0.9365502996856168</x:v>
      </x:c>
      <x:c r="L351" s="48" t="n">
        <x:v>0.9701450870794982</x:v>
      </x:c>
      <x:c r="M351" s="48" t="n">
        <x:v>0.15357408338889325</x:v>
      </x:c>
      <x:c r="N351" s="48" t="n">
        <x:v>0.6824525532994061</x:v>
      </x:c>
      <x:c r="O351" s="48" t="n">
        <x:v>0.9104520168196013</x:v>
      </x:c>
      <x:c r="P351" s="48" t="n">
        <x:v>0.4836432670280011</x:v>
      </x:c>
      <x:c r="Q351" s="48" t="n">
        <x:v>1</x:v>
      </x:c>
      <x:c r="R351" s="48" t="n">
        <x:v>0.8894222959064859</x:v>
      </x:c>
      <x:c r="S351" s="29" t="n">
        <x:v>0</x:v>
      </x:c>
    </x:row>
    <x:row r="352" ht="21.600000381469727" hidden="0" customHeight="1">
      <x:c r="A352" s="27" t="n">
        <x:v>116</x:v>
      </x:c>
      <x:c r="B352" s="27" t="str">
        <x:v>A3</x:v>
      </x:c>
      <x:c r="C352" s="47" t="n">
        <x:v>1.124296508908967</x:v>
      </x:c>
      <x:c r="D352" s="47" t="n">
        <x:v>0.729957306085662</x:v>
      </x:c>
      <x:c r="E352" s="47" t="n">
        <x:v>0.6420023341918712</x:v>
      </x:c>
      <x:c r="F352" s="47" t="n">
        <x:v>-0.0841710816677391</x:v>
      </x:c>
      <x:c r="G352" s="47" t="n">
        <x:v>-0.040151570654276075</x:v>
      </x:c>
      <x:c r="H352" s="47" t="n">
        <x:v>0.7732501058621846</x:v>
      </x:c>
      <x:c r="I352" s="47" t="n">
        <x:v>0.7491680952651611</x:v>
      </x:c>
      <x:c r="J352" s="47" t="n">
        <x:v>0.7778782205935788</x:v>
      </x:c>
      <x:c r="K352" s="47" t="n">
        <x:v>0.9365502996856168</x:v>
      </x:c>
      <x:c r="L352" s="47" t="n">
        <x:v>0.9701450870794982</x:v>
      </x:c>
      <x:c r="M352" s="47" t="n">
        <x:v>0.15357408338889325</x:v>
      </x:c>
      <x:c r="N352" s="47" t="n">
        <x:v>0.6824525532994061</x:v>
      </x:c>
      <x:c r="O352" s="47" t="n">
        <x:v>1.0000000000000002</x:v>
      </x:c>
      <x:c r="P352" s="47" t="n">
        <x:v>1</x:v>
      </x:c>
      <x:c r="Q352" s="47" t="n">
        <x:v>1</x:v>
      </x:c>
      <x:c r="R352" s="47" t="n">
        <x:v>1</x:v>
      </x:c>
      <x:c r="S352" s="27" t="n">
        <x:v>1</x:v>
      </x:c>
    </x:row>
    <x:row r="353" ht="21.600000381469727" hidden="0" customHeight="1">
      <x:c r="A353" s="29" t="n">
        <x:v>117</x:v>
      </x:c>
      <x:c r="B353" s="29" t="str">
        <x:v>A1</x:v>
      </x:c>
      <x:c r="C353" s="48" t="n">
        <x:v>1.3402720926047071</x:v>
      </x:c>
      <x:c r="D353" s="48" t="n">
        <x:v>0.7230634377776043</x:v>
      </x:c>
      <x:c r="E353" s="48" t="n">
        <x:v>0.7428569169821946</x:v>
      </x:c>
      <x:c r="F353" s="48" t="n">
        <x:v>-0.15493102717951712</x:v>
      </x:c>
      <x:c r="G353" s="48" t="n">
        <x:v>-0.0075234898459485</x:v>
      </x:c>
      <x:c r="H353" s="48" t="n">
        <x:v>0.8137160775400438</x:v>
      </x:c>
      <x:c r="I353" s="48" t="n">
        <x:v>0.6444804825731093</x:v>
      </x:c>
      <x:c r="J353" s="48" t="n">
        <x:v>0.7557436220075655</x:v>
      </x:c>
      <x:c r="K353" s="48" t="n">
        <x:v>0.6697830244424005</x:v>
      </x:c>
      <x:c r="L353" s="48" t="n">
        <x:v>0.8967369717118499</x:v>
      </x:c>
      <x:c r="M353" s="48" t="n">
        <x:v>0.005066392603615994</x:v>
      </x:c>
      <x:c r="N353" s="48" t="n">
        <x:v>0.775389108922454</x:v>
      </x:c>
      <x:c r="O353" s="48" t="n">
        <x:v>0.678993709886267</x:v>
      </x:c>
      <x:c r="P353" s="48" t="n">
        <x:v>0.3522703269880509</x:v>
      </x:c>
      <x:c r="Q353" s="48" t="n">
        <x:v>0.8639094634275024</x:v>
      </x:c>
      <x:c r="R353" s="48" t="n">
        <x:v>0.6047385096803016</x:v>
      </x:c>
      <x:c r="S353" s="29" t="n">
        <x:v>0</x:v>
      </x:c>
    </x:row>
    <x:row r="354" ht="21.600000381469727" hidden="0" customHeight="1">
      <x:c r="A354" s="27" t="n">
        <x:v>117</x:v>
      </x:c>
      <x:c r="B354" s="27" t="str">
        <x:v>A2</x:v>
      </x:c>
      <x:c r="C354" s="47" t="n">
        <x:v>1.3402720926047071</x:v>
      </x:c>
      <x:c r="D354" s="47" t="n">
        <x:v>0.7230634377776043</x:v>
      </x:c>
      <x:c r="E354" s="47" t="n">
        <x:v>0.7428569169821946</x:v>
      </x:c>
      <x:c r="F354" s="47" t="n">
        <x:v>-0.15493102717951712</x:v>
      </x:c>
      <x:c r="G354" s="47" t="n">
        <x:v>-0.0075234898459485</x:v>
      </x:c>
      <x:c r="H354" s="47" t="n">
        <x:v>0.8137160775400438</x:v>
      </x:c>
      <x:c r="I354" s="47" t="n">
        <x:v>0.6444804825731093</x:v>
      </x:c>
      <x:c r="J354" s="47" t="n">
        <x:v>0.7557436220075655</x:v>
      </x:c>
      <x:c r="K354" s="47" t="n">
        <x:v>0.6697830244424005</x:v>
      </x:c>
      <x:c r="L354" s="47" t="n">
        <x:v>0.8967369717118499</x:v>
      </x:c>
      <x:c r="M354" s="47" t="n">
        <x:v>0.005066392603615994</x:v>
      </x:c>
      <x:c r="N354" s="47" t="n">
        <x:v>0.775389108922454</x:v>
      </x:c>
      <x:c r="O354" s="47" t="n">
        <x:v>0.7517753475083891</x:v>
      </x:c>
      <x:c r="P354" s="47" t="n">
        <x:v>0.3887151345413051</x:v>
      </x:c>
      <x:c r="Q354" s="47" t="n">
        <x:v>1</x:v>
      </x:c>
      <x:c r="R354" s="47" t="n">
        <x:v>0.6934815146351521</x:v>
      </x:c>
      <x:c r="S354" s="27" t="n">
        <x:v>0</x:v>
      </x:c>
    </x:row>
    <x:row r="355" ht="21.600000381469727" hidden="0" customHeight="1">
      <x:c r="A355" s="29" t="n">
        <x:v>117</x:v>
      </x:c>
      <x:c r="B355" s="29" t="str">
        <x:v>A3</x:v>
      </x:c>
      <x:c r="C355" s="48" t="n">
        <x:v>1.3402720926047071</x:v>
      </x:c>
      <x:c r="D355" s="48" t="n">
        <x:v>0.7230634377776043</x:v>
      </x:c>
      <x:c r="E355" s="48" t="n">
        <x:v>0.7428569169821946</x:v>
      </x:c>
      <x:c r="F355" s="48" t="n">
        <x:v>-0.15493102717951712</x:v>
      </x:c>
      <x:c r="G355" s="48" t="n">
        <x:v>-0.0075234898459485</x:v>
      </x:c>
      <x:c r="H355" s="48" t="n">
        <x:v>0.8137160775400438</x:v>
      </x:c>
      <x:c r="I355" s="48" t="n">
        <x:v>0.6444804825731093</x:v>
      </x:c>
      <x:c r="J355" s="48" t="n">
        <x:v>0.7557436220075655</x:v>
      </x:c>
      <x:c r="K355" s="48" t="n">
        <x:v>0.6697830244424005</x:v>
      </x:c>
      <x:c r="L355" s="48" t="n">
        <x:v>0.8967369717118499</x:v>
      </x:c>
      <x:c r="M355" s="48" t="n">
        <x:v>0.005066392603615994</x:v>
      </x:c>
      <x:c r="N355" s="48" t="n">
        <x:v>0.775389108922454</x:v>
      </x:c>
      <x:c r="O355" s="48" t="n">
        <x:v>1</x:v>
      </x:c>
      <x:c r="P355" s="48" t="n">
        <x:v>1</x:v>
      </x:c>
      <x:c r="Q355" s="48" t="n">
        <x:v>1</x:v>
      </x:c>
      <x:c r="R355" s="48" t="n">
        <x:v>1</x:v>
      </x:c>
      <x:c r="S355" s="29" t="n">
        <x:v>1</x:v>
      </x:c>
    </x:row>
    <x:row r="356" ht="21.600000381469727" hidden="0" customHeight="1">
      <x:c r="A356" s="27" t="n">
        <x:v>118</x:v>
      </x:c>
      <x:c r="B356" s="27" t="str">
        <x:v>A1</x:v>
      </x:c>
      <x:c r="C356" s="47" t="n">
        <x:v>1.2003588877143807</x:v>
      </x:c>
      <x:c r="D356" s="47" t="n">
        <x:v>0.9991424043367374</x:v>
      </x:c>
      <x:c r="E356" s="47" t="n">
        <x:v>0.9440378549345751</x:v>
      </x:c>
      <x:c r="F356" s="47" t="n">
        <x:v>-0.1612976866905814</x:v>
      </x:c>
      <x:c r="G356" s="47" t="n">
        <x:v>-0.09772711749230578</x:v>
      </x:c>
      <x:c r="H356" s="47" t="n">
        <x:v>1.0078519550019174</x:v>
      </x:c>
      <x:c r="I356" s="47" t="n">
        <x:v>0.8822111135048594</x:v>
      </x:c>
      <x:c r="J356" s="47" t="n">
        <x:v>0.8974390369113364</x:v>
      </x:c>
      <x:c r="K356" s="47" t="n">
        <x:v>0.8946565411611556</x:v>
      </x:c>
      <x:c r="L356" s="47" t="n">
        <x:v>0.921945131401945</x:v>
      </x:c>
      <x:c r="M356" s="47" t="n">
        <x:v>0.16186024062469195</x:v>
      </x:c>
      <x:c r="N356" s="47" t="n">
        <x:v>0.9234815690937386</x:v>
      </x:c>
      <x:c r="O356" s="47" t="n">
        <x:v>0.9250139423406961</x:v>
      </x:c>
      <x:c r="P356" s="47" t="n">
        <x:v>0.6982603585500156</x:v>
      </x:c>
      <x:c r="Q356" s="47" t="n">
        <x:v>1</x:v>
      </x:c>
      <x:c r="R356" s="47" t="n">
        <x:v>0.9074039883367838</x:v>
      </x:c>
      <x:c r="S356" s="27" t="n">
        <x:v>0</x:v>
      </x:c>
    </x:row>
    <x:row r="357" ht="21.600000381469727" hidden="0" customHeight="1">
      <x:c r="A357" s="29" t="n">
        <x:v>118</x:v>
      </x:c>
      <x:c r="B357" s="29" t="str">
        <x:v>A2</x:v>
      </x:c>
      <x:c r="C357" s="48" t="n">
        <x:v>1.2003588877143807</x:v>
      </x:c>
      <x:c r="D357" s="48" t="n">
        <x:v>0.9991424043367374</x:v>
      </x:c>
      <x:c r="E357" s="48" t="n">
        <x:v>0.9440378549345751</x:v>
      </x:c>
      <x:c r="F357" s="48" t="n">
        <x:v>-0.1612976866905814</x:v>
      </x:c>
      <x:c r="G357" s="48" t="n">
        <x:v>-0.09772711749230578</x:v>
      </x:c>
      <x:c r="H357" s="48" t="n">
        <x:v>1.0078519550019174</x:v>
      </x:c>
      <x:c r="I357" s="48" t="n">
        <x:v>0.8822111135048594</x:v>
      </x:c>
      <x:c r="J357" s="48" t="n">
        <x:v>0.8974390369113364</x:v>
      </x:c>
      <x:c r="K357" s="48" t="n">
        <x:v>0.8946565411611556</x:v>
      </x:c>
      <x:c r="L357" s="48" t="n">
        <x:v>0.921945131401945</x:v>
      </x:c>
      <x:c r="M357" s="48" t="n">
        <x:v>0.16186024062469195</x:v>
      </x:c>
      <x:c r="N357" s="48" t="n">
        <x:v>0.9234815690937386</x:v>
      </x:c>
      <x:c r="O357" s="48" t="n">
        <x:v>0.9943250027968231</x:v>
      </x:c>
      <x:c r="P357" s="48" t="n">
        <x:v>0.9442127106768171</x:v>
      </x:c>
      <x:c r="Q357" s="48" t="n">
        <x:v>1</x:v>
      </x:c>
      <x:c r="R357" s="48" t="n">
        <x:v>0.9929922691815378</x:v>
      </x:c>
      <x:c r="S357" s="29" t="n">
        <x:v>0</x:v>
      </x:c>
    </x:row>
    <x:row r="358" ht="21.600000381469727" hidden="0" customHeight="1">
      <x:c r="A358" s="27" t="n">
        <x:v>118</x:v>
      </x:c>
      <x:c r="B358" s="27" t="str">
        <x:v>A3</x:v>
      </x:c>
      <x:c r="C358" s="47" t="n">
        <x:v>1.2003588877143807</x:v>
      </x:c>
      <x:c r="D358" s="47" t="n">
        <x:v>0.9991424043367374</x:v>
      </x:c>
      <x:c r="E358" s="47" t="n">
        <x:v>0.9440378549345751</x:v>
      </x:c>
      <x:c r="F358" s="47" t="n">
        <x:v>-0.1612976866905814</x:v>
      </x:c>
      <x:c r="G358" s="47" t="n">
        <x:v>-0.09772711749230578</x:v>
      </x:c>
      <x:c r="H358" s="47" t="n">
        <x:v>1.0078519550019174</x:v>
      </x:c>
      <x:c r="I358" s="47" t="n">
        <x:v>0.8822111135048594</x:v>
      </x:c>
      <x:c r="J358" s="47" t="n">
        <x:v>0.8974390369113364</x:v>
      </x:c>
      <x:c r="K358" s="47" t="n">
        <x:v>0.8946565411611556</x:v>
      </x:c>
      <x:c r="L358" s="47" t="n">
        <x:v>0.921945131401945</x:v>
      </x:c>
      <x:c r="M358" s="47" t="n">
        <x:v>0.16186024062469195</x:v>
      </x:c>
      <x:c r="N358" s="47" t="n">
        <x:v>0.9234815690937386</x:v>
      </x:c>
      <x:c r="O358" s="47" t="n">
        <x:v>1</x:v>
      </x:c>
      <x:c r="P358" s="47" t="n">
        <x:v>1</x:v>
      </x:c>
      <x:c r="Q358" s="47" t="n">
        <x:v>1</x:v>
      </x:c>
      <x:c r="R358" s="47" t="n">
        <x:v>1</x:v>
      </x:c>
      <x:c r="S358" s="27" t="n">
        <x:v>1</x:v>
      </x:c>
    </x:row>
    <x:row r="359" ht="21.600000381469727" hidden="0" customHeight="1">
      <x:c r="A359" s="29" t="n">
        <x:v>119</x:v>
      </x:c>
      <x:c r="B359" s="29" t="str">
        <x:v>A1</x:v>
      </x:c>
      <x:c r="C359" s="48" t="n">
        <x:v>0.9086209846074846</x:v>
      </x:c>
      <x:c r="D359" s="48" t="n">
        <x:v>0.7312359106306996</x:v>
      </x:c>
      <x:c r="E359" s="48" t="n">
        <x:v>0.7481875710679273</x:v>
      </x:c>
      <x:c r="F359" s="48" t="n">
        <x:v>-0.06341577046478236</x:v>
      </x:c>
      <x:c r="G359" s="48" t="n">
        <x:v>-0.13834657930874295</x:v>
      </x:c>
      <x:c r="H359" s="48" t="n">
        <x:v>0.3519678063764347</x:v>
      </x:c>
      <x:c r="I359" s="48" t="n">
        <x:v>0.6196818114809172</x:v>
      </x:c>
      <x:c r="J359" s="48" t="n">
        <x:v>0.4110631237091851</x:v>
      </x:c>
      <x:c r="K359" s="48" t="n">
        <x:v>0.5714359764759</x:v>
      </x:c>
      <x:c r="L359" s="48" t="n">
        <x:v>0.7750337191629797</x:v>
      </x:c>
      <x:c r="M359" s="48" t="n">
        <x:v>0.14104863720957272</x:v>
      </x:c>
      <x:c r="N359" s="48" t="n">
        <x:v>0.7920424117628388</x:v>
      </x:c>
      <x:c r="O359" s="48" t="n">
        <x:v>0.8425761904258983</x:v>
      </x:c>
      <x:c r="P359" s="48" t="n">
        <x:v>0.5691943176937564</x:v>
      </x:c>
      <x:c r="Q359" s="48" t="n">
        <x:v>1</x:v>
      </x:c>
      <x:c r="R359" s="48" t="n">
        <x:v>0.8056063038595704</x:v>
      </x:c>
      <x:c r="S359" s="29" t="n">
        <x:v>0</x:v>
      </x:c>
    </x:row>
    <x:row r="360" ht="21.600000381469727" hidden="0" customHeight="1">
      <x:c r="A360" s="27" t="n">
        <x:v>119</x:v>
      </x:c>
      <x:c r="B360" s="27" t="str">
        <x:v>A2</x:v>
      </x:c>
      <x:c r="C360" s="47" t="n">
        <x:v>0.9086209846074846</x:v>
      </x:c>
      <x:c r="D360" s="47" t="n">
        <x:v>0.7312359106306996</x:v>
      </x:c>
      <x:c r="E360" s="47" t="n">
        <x:v>0.7481875710679273</x:v>
      </x:c>
      <x:c r="F360" s="47" t="n">
        <x:v>-0.06341577046478236</x:v>
      </x:c>
      <x:c r="G360" s="47" t="n">
        <x:v>-0.13834657930874295</x:v>
      </x:c>
      <x:c r="H360" s="47" t="n">
        <x:v>0.3519678063764347</x:v>
      </x:c>
      <x:c r="I360" s="47" t="n">
        <x:v>0.6196818114809172</x:v>
      </x:c>
      <x:c r="J360" s="47" t="n">
        <x:v>0.4110631237091851</x:v>
      </x:c>
      <x:c r="K360" s="47" t="n">
        <x:v>0.5714359764759</x:v>
      </x:c>
      <x:c r="L360" s="47" t="n">
        <x:v>0.7750337191629797</x:v>
      </x:c>
      <x:c r="M360" s="47" t="n">
        <x:v>0.14104863720957272</x:v>
      </x:c>
      <x:c r="N360" s="47" t="n">
        <x:v>0.7920424117628388</x:v>
      </x:c>
      <x:c r="O360" s="47" t="n">
        <x:v>0.9060348722700827</x:v>
      </x:c>
      <x:c r="P360" s="47" t="n">
        <x:v>0.6420433247803202</x:v>
      </x:c>
      <x:c r="Q360" s="47" t="n">
        <x:v>1</x:v>
      </x:c>
      <x:c r="R360" s="47" t="n">
        <x:v>0.8839678156871942</x:v>
      </x:c>
      <x:c r="S360" s="27" t="n">
        <x:v>0</x:v>
      </x:c>
    </x:row>
    <x:row r="361" ht="21.600000381469727" hidden="0" customHeight="1">
      <x:c r="A361" s="29" t="n">
        <x:v>119</x:v>
      </x:c>
      <x:c r="B361" s="29" t="str">
        <x:v>A3</x:v>
      </x:c>
      <x:c r="C361" s="48" t="n">
        <x:v>0.9086209846074846</x:v>
      </x:c>
      <x:c r="D361" s="48" t="n">
        <x:v>0.7312359106306996</x:v>
      </x:c>
      <x:c r="E361" s="48" t="n">
        <x:v>0.7481875710679273</x:v>
      </x:c>
      <x:c r="F361" s="48" t="n">
        <x:v>-0.06341577046478236</x:v>
      </x:c>
      <x:c r="G361" s="48" t="n">
        <x:v>-0.13834657930874295</x:v>
      </x:c>
      <x:c r="H361" s="48" t="n">
        <x:v>0.3519678063764347</x:v>
      </x:c>
      <x:c r="I361" s="48" t="n">
        <x:v>0.6196818114809172</x:v>
      </x:c>
      <x:c r="J361" s="48" t="n">
        <x:v>0.4110631237091851</x:v>
      </x:c>
      <x:c r="K361" s="48" t="n">
        <x:v>0.5714359764759</x:v>
      </x:c>
      <x:c r="L361" s="48" t="n">
        <x:v>0.7750337191629797</x:v>
      </x:c>
      <x:c r="M361" s="48" t="n">
        <x:v>0.14104863720957272</x:v>
      </x:c>
      <x:c r="N361" s="48" t="n">
        <x:v>0.7920424117628388</x:v>
      </x:c>
      <x:c r="O361" s="48" t="n">
        <x:v>1</x:v>
      </x:c>
      <x:c r="P361" s="48" t="n">
        <x:v>1</x:v>
      </x:c>
      <x:c r="Q361" s="48" t="n">
        <x:v>1</x:v>
      </x:c>
      <x:c r="R361" s="48" t="n">
        <x:v>1</x:v>
      </x:c>
      <x:c r="S361" s="29" t="n">
        <x:v>1</x:v>
      </x:c>
    </x:row>
    <x:row r="362" ht="21.600000381469727" hidden="0" customHeight="1">
      <x:c r="A362" s="27" t="n">
        <x:v>120</x:v>
      </x:c>
      <x:c r="B362" s="27" t="str">
        <x:v>A1</x:v>
      </x:c>
      <x:c r="C362" s="47" t="n">
        <x:v>1.1321761564035946</x:v>
      </x:c>
      <x:c r="D362" s="47" t="n">
        <x:v>0.746398219046487</x:v>
      </x:c>
      <x:c r="E362" s="47" t="n">
        <x:v>1.0192588392194093</x:v>
      </x:c>
      <x:c r="F362" s="47" t="n">
        <x:v>-0.08758482415158783</x:v>
      </x:c>
      <x:c r="G362" s="47" t="n">
        <x:v>-0.19797978334021096</x:v>
      </x:c>
      <x:c r="H362" s="47" t="n">
        <x:v>0.6396246511927719</x:v>
      </x:c>
      <x:c r="I362" s="47" t="n">
        <x:v>0.7545271935779277</x:v>
      </x:c>
      <x:c r="J362" s="47" t="n">
        <x:v>0.5445243486990771</x:v>
      </x:c>
      <x:c r="K362" s="47" t="n">
        <x:v>0.7345850509856056</x:v>
      </x:c>
      <x:c r="L362" s="47" t="n">
        <x:v>0.781314639515623</x:v>
      </x:c>
      <x:c r="M362" s="47" t="n">
        <x:v>0.0247574158640469</x:v>
      </x:c>
      <x:c r="N362" s="47" t="n">
        <x:v>0.8170315696803432</x:v>
      </x:c>
      <x:c r="O362" s="47" t="n">
        <x:v>0.7923470958155512</x:v>
      </x:c>
      <x:c r="P362" s="47" t="n">
        <x:v>0.5290412082221775</x:v>
      </x:c>
      <x:c r="Q362" s="47" t="n">
        <x:v>1</x:v>
      </x:c>
      <x:c r="R362" s="47" t="n">
        <x:v>0.7435812557965803</x:v>
      </x:c>
      <x:c r="S362" s="27" t="n">
        <x:v>0</x:v>
      </x:c>
    </x:row>
    <x:row r="363" ht="21.600000381469727" hidden="0" customHeight="1">
      <x:c r="A363" s="29" t="n">
        <x:v>120</x:v>
      </x:c>
      <x:c r="B363" s="29" t="str">
        <x:v>A2</x:v>
      </x:c>
      <x:c r="C363" s="48" t="n">
        <x:v>1.1321761564035946</x:v>
      </x:c>
      <x:c r="D363" s="48" t="n">
        <x:v>0.746398219046487</x:v>
      </x:c>
      <x:c r="E363" s="48" t="n">
        <x:v>1.0192588392194093</x:v>
      </x:c>
      <x:c r="F363" s="48" t="n">
        <x:v>-0.08758482415158783</x:v>
      </x:c>
      <x:c r="G363" s="48" t="n">
        <x:v>-0.19797978334021096</x:v>
      </x:c>
      <x:c r="H363" s="48" t="n">
        <x:v>0.6396246511927719</x:v>
      </x:c>
      <x:c r="I363" s="48" t="n">
        <x:v>0.7545271935779277</x:v>
      </x:c>
      <x:c r="J363" s="48" t="n">
        <x:v>0.5445243486990771</x:v>
      </x:c>
      <x:c r="K363" s="48" t="n">
        <x:v>0.7345850509856056</x:v>
      </x:c>
      <x:c r="L363" s="48" t="n">
        <x:v>0.781314639515623</x:v>
      </x:c>
      <x:c r="M363" s="48" t="n">
        <x:v>0.0247574158640469</x:v>
      </x:c>
      <x:c r="N363" s="48" t="n">
        <x:v>0.8170315696803432</x:v>
      </x:c>
      <x:c r="O363" s="48" t="n">
        <x:v>0.8919647906373326</x:v>
      </x:c>
      <x:c r="P363" s="48" t="n">
        <x:v>0.5776040352764034</x:v>
      </x:c>
      <x:c r="Q363" s="48" t="n">
        <x:v>1</x:v>
      </x:c>
      <x:c r="R363" s="48" t="n">
        <x:v>0.8665934732609276</x:v>
      </x:c>
      <x:c r="S363" s="29" t="n">
        <x:v>0</x:v>
      </x:c>
    </x:row>
    <x:row r="364" ht="21.600000381469727" hidden="0" customHeight="1">
      <x:c r="A364" s="27" t="n">
        <x:v>120</x:v>
      </x:c>
      <x:c r="B364" s="27" t="str">
        <x:v>A3</x:v>
      </x:c>
      <x:c r="C364" s="47" t="n">
        <x:v>1.1321761564035946</x:v>
      </x:c>
      <x:c r="D364" s="47" t="n">
        <x:v>0.746398219046487</x:v>
      </x:c>
      <x:c r="E364" s="47" t="n">
        <x:v>1.0192588392194093</x:v>
      </x:c>
      <x:c r="F364" s="47" t="n">
        <x:v>-0.08758482415158783</x:v>
      </x:c>
      <x:c r="G364" s="47" t="n">
        <x:v>-0.19797978334021096</x:v>
      </x:c>
      <x:c r="H364" s="47" t="n">
        <x:v>0.6396246511927719</x:v>
      </x:c>
      <x:c r="I364" s="47" t="n">
        <x:v>0.7545271935779277</x:v>
      </x:c>
      <x:c r="J364" s="47" t="n">
        <x:v>0.5445243486990771</x:v>
      </x:c>
      <x:c r="K364" s="47" t="n">
        <x:v>0.7345850509856056</x:v>
      </x:c>
      <x:c r="L364" s="47" t="n">
        <x:v>0.781314639515623</x:v>
      </x:c>
      <x:c r="M364" s="47" t="n">
        <x:v>0.0247574158640469</x:v>
      </x:c>
      <x:c r="N364" s="47" t="n">
        <x:v>0.8170315696803432</x:v>
      </x:c>
      <x:c r="O364" s="47" t="n">
        <x:v>1</x:v>
      </x:c>
      <x:c r="P364" s="47" t="n">
        <x:v>1</x:v>
      </x:c>
      <x:c r="Q364" s="47" t="n">
        <x:v>1</x:v>
      </x:c>
      <x:c r="R364" s="47" t="n">
        <x:v>1</x:v>
      </x:c>
      <x:c r="S364" s="27" t="n">
        <x:v>1</x:v>
      </x:c>
    </x:row>
    <x:row r="365" ht="21.600000381469727" hidden="0" customHeight="1">
      <x:c r="A365" s="29" t="n">
        <x:v>121</x:v>
      </x:c>
      <x:c r="B365" s="29" t="str">
        <x:v>A1</x:v>
      </x:c>
      <x:c r="C365" s="48" t="n">
        <x:v>1.1926320835729656</x:v>
      </x:c>
      <x:c r="D365" s="48" t="n">
        <x:v>0.9386981406278501</x:v>
      </x:c>
      <x:c r="E365" s="48" t="n">
        <x:v>0.6756697746283566</x:v>
      </x:c>
      <x:c r="F365" s="48" t="n">
        <x:v>-0.0213438715218654</x:v>
      </x:c>
      <x:c r="G365" s="48" t="n">
        <x:v>-0.01342856165310119</x:v>
      </x:c>
      <x:c r="H365" s="48" t="n">
        <x:v>0.5754307831597703</x:v>
      </x:c>
      <x:c r="I365" s="48" t="n">
        <x:v>0.8599116052221327</x:v>
      </x:c>
      <x:c r="J365" s="48" t="n">
        <x:v>0.8085394320763897</x:v>
      </x:c>
      <x:c r="K365" s="48" t="n">
        <x:v>0.7194603413858824</x:v>
      </x:c>
      <x:c r="L365" s="48" t="n">
        <x:v>0.8638013778898963</x:v>
      </x:c>
      <x:c r="M365" s="48" t="n">
        <x:v>0.032898694904349254</x:v>
      </x:c>
      <x:c r="N365" s="48" t="n">
        <x:v>0.8258422172760052</x:v>
      </x:c>
      <x:c r="O365" s="48" t="n">
        <x:v>0.8758339709215122</x:v>
      </x:c>
      <x:c r="P365" s="48" t="n">
        <x:v>0.5919896835441307</x:v>
      </x:c>
      <x:c r="Q365" s="48" t="n">
        <x:v>1</x:v>
      </x:c>
      <x:c r="R365" s="48" t="n">
        <x:v>0.8466744427482198</x:v>
      </x:c>
      <x:c r="S365" s="29" t="n">
        <x:v>0</x:v>
      </x:c>
    </x:row>
    <x:row r="366" ht="21.600000381469727" hidden="0" customHeight="1">
      <x:c r="A366" s="27" t="n">
        <x:v>121</x:v>
      </x:c>
      <x:c r="B366" s="27" t="str">
        <x:v>A2</x:v>
      </x:c>
      <x:c r="C366" s="47" t="n">
        <x:v>1.1926320835729656</x:v>
      </x:c>
      <x:c r="D366" s="47" t="n">
        <x:v>0.9386981406278501</x:v>
      </x:c>
      <x:c r="E366" s="47" t="n">
        <x:v>0.6756697746283566</x:v>
      </x:c>
      <x:c r="F366" s="47" t="n">
        <x:v>-0.0213438715218654</x:v>
      </x:c>
      <x:c r="G366" s="47" t="n">
        <x:v>-0.01342856165310119</x:v>
      </x:c>
      <x:c r="H366" s="47" t="n">
        <x:v>0.5754307831597703</x:v>
      </x:c>
      <x:c r="I366" s="47" t="n">
        <x:v>0.8599116052221327</x:v>
      </x:c>
      <x:c r="J366" s="47" t="n">
        <x:v>0.8085394320763897</x:v>
      </x:c>
      <x:c r="K366" s="47" t="n">
        <x:v>0.7194603413858824</x:v>
      </x:c>
      <x:c r="L366" s="47" t="n">
        <x:v>0.8638013778898963</x:v>
      </x:c>
      <x:c r="M366" s="47" t="n">
        <x:v>0.032898694904349254</x:v>
      </x:c>
      <x:c r="N366" s="47" t="n">
        <x:v>0.8258422172760052</x:v>
      </x:c>
      <x:c r="O366" s="47" t="n">
        <x:v>0.9542986962866358</x:v>
      </x:c>
      <x:c r="P366" s="47" t="n">
        <x:v>0.6393371209914724</x:v>
      </x:c>
      <x:c r="Q366" s="47" t="n">
        <x:v>1</x:v>
      </x:c>
      <x:c r="R366" s="47" t="n">
        <x:v>0.9435660630287609</x:v>
      </x:c>
      <x:c r="S366" s="27" t="n">
        <x:v>0</x:v>
      </x:c>
    </x:row>
    <x:row r="367" ht="21.600000381469727" hidden="0" customHeight="1">
      <x:c r="A367" s="29" t="n">
        <x:v>121</x:v>
      </x:c>
      <x:c r="B367" s="29" t="str">
        <x:v>A3</x:v>
      </x:c>
      <x:c r="C367" s="48" t="n">
        <x:v>1.1926320835729656</x:v>
      </x:c>
      <x:c r="D367" s="48" t="n">
        <x:v>0.9386981406278501</x:v>
      </x:c>
      <x:c r="E367" s="48" t="n">
        <x:v>0.6756697746283566</x:v>
      </x:c>
      <x:c r="F367" s="48" t="n">
        <x:v>-0.0213438715218654</x:v>
      </x:c>
      <x:c r="G367" s="48" t="n">
        <x:v>-0.01342856165310119</x:v>
      </x:c>
      <x:c r="H367" s="48" t="n">
        <x:v>0.5754307831597703</x:v>
      </x:c>
      <x:c r="I367" s="48" t="n">
        <x:v>0.8599116052221327</x:v>
      </x:c>
      <x:c r="J367" s="48" t="n">
        <x:v>0.8085394320763897</x:v>
      </x:c>
      <x:c r="K367" s="48" t="n">
        <x:v>0.7194603413858824</x:v>
      </x:c>
      <x:c r="L367" s="48" t="n">
        <x:v>0.8638013778898963</x:v>
      </x:c>
      <x:c r="M367" s="48" t="n">
        <x:v>0.032898694904349254</x:v>
      </x:c>
      <x:c r="N367" s="48" t="n">
        <x:v>0.8258422172760052</x:v>
      </x:c>
      <x:c r="O367" s="48" t="n">
        <x:v>1</x:v>
      </x:c>
      <x:c r="P367" s="48" t="n">
        <x:v>1</x:v>
      </x:c>
      <x:c r="Q367" s="48" t="n">
        <x:v>1</x:v>
      </x:c>
      <x:c r="R367" s="48" t="n">
        <x:v>1</x:v>
      </x:c>
      <x:c r="S367" s="29" t="n">
        <x:v>1</x:v>
      </x:c>
    </x:row>
    <x:row r="368" ht="21.600000381469727" hidden="0" customHeight="1">
      <x:c r="A368" s="27" t="n">
        <x:v>122</x:v>
      </x:c>
      <x:c r="B368" s="27" t="str">
        <x:v>A1</x:v>
      </x:c>
      <x:c r="C368" s="47" t="n">
        <x:v>0.962139806112277</x:v>
      </x:c>
      <x:c r="D368" s="47" t="n">
        <x:v>0.7765281398867804</x:v>
      </x:c>
      <x:c r="E368" s="47" t="n">
        <x:v>0.5070207187980665</x:v>
      </x:c>
      <x:c r="F368" s="47" t="n">
        <x:v>-0.07601563860778274</x:v>
      </x:c>
      <x:c r="G368" s="47" t="n">
        <x:v>0.007484419053861463</x:v>
      </x:c>
      <x:c r="H368" s="47" t="n">
        <x:v>1.0400226560213937</x:v>
      </x:c>
      <x:c r="I368" s="47" t="n">
        <x:v>0.6354926009704379</x:v>
      </x:c>
      <x:c r="J368" s="47" t="n">
        <x:v>0.6933063240695084</x:v>
      </x:c>
      <x:c r="K368" s="47" t="n">
        <x:v>0.9610913061746494</x:v>
      </x:c>
      <x:c r="L368" s="47" t="n">
        <x:v>0.5020586564079547</x:v>
      </x:c>
      <x:c r="M368" s="47" t="n">
        <x:v>0.1414499258091219</x:v>
      </x:c>
      <x:c r="N368" s="47" t="n">
        <x:v>0.9928665960403351</x:v>
      </x:c>
      <x:c r="O368" s="47" t="n">
        <x:v>0.8552361106020515</x:v>
      </x:c>
      <x:c r="P368" s="47" t="n">
        <x:v>0.44256384377507013</x:v>
      </x:c>
      <x:c r="Q368" s="47" t="n">
        <x:v>1</x:v>
      </x:c>
      <x:c r="R368" s="47" t="n">
        <x:v>0.821239318220888</x:v>
      </x:c>
      <x:c r="S368" s="27" t="n">
        <x:v>0</x:v>
      </x:c>
    </x:row>
    <x:row r="369" ht="21.600000381469727" hidden="0" customHeight="1">
      <x:c r="A369" s="29" t="n">
        <x:v>122</x:v>
      </x:c>
      <x:c r="B369" s="29" t="str">
        <x:v>A2</x:v>
      </x:c>
      <x:c r="C369" s="48" t="n">
        <x:v>0.962139806112277</x:v>
      </x:c>
      <x:c r="D369" s="48" t="n">
        <x:v>0.7765281398867804</x:v>
      </x:c>
      <x:c r="E369" s="48" t="n">
        <x:v>0.5070207187980665</x:v>
      </x:c>
      <x:c r="F369" s="48" t="n">
        <x:v>-0.07601563860778274</x:v>
      </x:c>
      <x:c r="G369" s="48" t="n">
        <x:v>0.007484419053861463</x:v>
      </x:c>
      <x:c r="H369" s="48" t="n">
        <x:v>1.0400226560213937</x:v>
      </x:c>
      <x:c r="I369" s="48" t="n">
        <x:v>0.6354926009704379</x:v>
      </x:c>
      <x:c r="J369" s="48" t="n">
        <x:v>0.6933063240695084</x:v>
      </x:c>
      <x:c r="K369" s="48" t="n">
        <x:v>0.9610913061746494</x:v>
      </x:c>
      <x:c r="L369" s="48" t="n">
        <x:v>0.5020586564079547</x:v>
      </x:c>
      <x:c r="M369" s="48" t="n">
        <x:v>0.1414499258091219</x:v>
      </x:c>
      <x:c r="N369" s="48" t="n">
        <x:v>0.9928665960403351</x:v>
      </x:c>
      <x:c r="O369" s="48" t="n">
        <x:v>0.9141957107571878</x:v>
      </x:c>
      <x:c r="P369" s="48" t="n">
        <x:v>0.5067770429900711</x:v>
      </x:c>
      <x:c r="Q369" s="48" t="n">
        <x:v>1</x:v>
      </x:c>
      <x:c r="R369" s="48" t="n">
        <x:v>0.8940451703224646</x:v>
      </x:c>
      <x:c r="S369" s="29" t="n">
        <x:v>0</x:v>
      </x:c>
    </x:row>
    <x:row r="370" ht="21.600000381469727" hidden="0" customHeight="1">
      <x:c r="A370" s="27" t="n">
        <x:v>122</x:v>
      </x:c>
      <x:c r="B370" s="27" t="str">
        <x:v>A3</x:v>
      </x:c>
      <x:c r="C370" s="47" t="n">
        <x:v>0.962139806112277</x:v>
      </x:c>
      <x:c r="D370" s="47" t="n">
        <x:v>0.7765281398867804</x:v>
      </x:c>
      <x:c r="E370" s="47" t="n">
        <x:v>0.5070207187980665</x:v>
      </x:c>
      <x:c r="F370" s="47" t="n">
        <x:v>-0.07601563860778274</x:v>
      </x:c>
      <x:c r="G370" s="47" t="n">
        <x:v>0.007484419053861463</x:v>
      </x:c>
      <x:c r="H370" s="47" t="n">
        <x:v>1.0400226560213937</x:v>
      </x:c>
      <x:c r="I370" s="47" t="n">
        <x:v>0.6354926009704379</x:v>
      </x:c>
      <x:c r="J370" s="47" t="n">
        <x:v>0.6933063240695084</x:v>
      </x:c>
      <x:c r="K370" s="47" t="n">
        <x:v>0.9610913061746494</x:v>
      </x:c>
      <x:c r="L370" s="47" t="n">
        <x:v>0.5020586564079547</x:v>
      </x:c>
      <x:c r="M370" s="47" t="n">
        <x:v>0.1414499258091219</x:v>
      </x:c>
      <x:c r="N370" s="47" t="n">
        <x:v>0.9928665960403351</x:v>
      </x:c>
      <x:c r="O370" s="47" t="n">
        <x:v>1</x:v>
      </x:c>
      <x:c r="P370" s="47" t="n">
        <x:v>1</x:v>
      </x:c>
      <x:c r="Q370" s="47" t="n">
        <x:v>1</x:v>
      </x:c>
      <x:c r="R370" s="47" t="n">
        <x:v>1</x:v>
      </x:c>
      <x:c r="S370" s="27" t="n">
        <x:v>1</x:v>
      </x:c>
    </x:row>
    <x:row r="371" ht="21.600000381469727" hidden="0" customHeight="1">
      <x:c r="A371" s="29" t="n">
        <x:v>123</x:v>
      </x:c>
      <x:c r="B371" s="29" t="str">
        <x:v>A1</x:v>
      </x:c>
      <x:c r="C371" s="48" t="n">
        <x:v>1.174835501769933</x:v>
      </x:c>
      <x:c r="D371" s="48" t="n">
        <x:v>0.7564262597346602</x:v>
      </x:c>
      <x:c r="E371" s="48" t="n">
        <x:v>0.5007873556885768</x:v>
      </x:c>
      <x:c r="F371" s="48" t="n">
        <x:v>-0.14458375111095761</x:v>
      </x:c>
      <x:c r="G371" s="48" t="n">
        <x:v>-0.03238300795339924</x:v>
      </x:c>
      <x:c r="H371" s="48" t="n">
        <x:v>1.0468836312188534</x:v>
      </x:c>
      <x:c r="I371" s="48" t="n">
        <x:v>0.6211954945327064</x:v>
      </x:c>
      <x:c r="J371" s="48" t="n">
        <x:v>0.5416364116070924</x:v>
      </x:c>
      <x:c r="K371" s="48" t="n">
        <x:v>0.9867428652824923</x:v>
      </x:c>
      <x:c r="L371" s="48" t="n">
        <x:v>0.5540701278567799</x:v>
      </x:c>
      <x:c r="M371" s="48" t="n">
        <x:v>0.1683804878844758</x:v>
      </x:c>
      <x:c r="N371" s="48" t="n">
        <x:v>0.7187670691215724</x:v>
      </x:c>
      <x:c r="O371" s="48" t="n">
        <x:v>0.7458632741142903</x:v>
      </x:c>
      <x:c r="P371" s="48" t="n">
        <x:v>0.37689741270200455</x:v>
      </x:c>
      <x:c r="Q371" s="48" t="n">
        <x:v>0.888922015162752</x:v>
      </x:c>
      <x:c r="R371" s="48" t="n">
        <x:v>0.6870059918543382</x:v>
      </x:c>
      <x:c r="S371" s="29" t="n">
        <x:v>0</x:v>
      </x:c>
    </x:row>
    <x:row r="372" ht="21.600000381469727" hidden="0" customHeight="1">
      <x:c r="A372" s="27" t="n">
        <x:v>123</x:v>
      </x:c>
      <x:c r="B372" s="27" t="str">
        <x:v>A2</x:v>
      </x:c>
      <x:c r="C372" s="47" t="n">
        <x:v>1.174835501769933</x:v>
      </x:c>
      <x:c r="D372" s="47" t="n">
        <x:v>0.7564262597346602</x:v>
      </x:c>
      <x:c r="E372" s="47" t="n">
        <x:v>0.5007873556885768</x:v>
      </x:c>
      <x:c r="F372" s="47" t="n">
        <x:v>-0.14458375111095761</x:v>
      </x:c>
      <x:c r="G372" s="47" t="n">
        <x:v>-0.03238300795339924</x:v>
      </x:c>
      <x:c r="H372" s="47" t="n">
        <x:v>1.0468836312188534</x:v>
      </x:c>
      <x:c r="I372" s="47" t="n">
        <x:v>0.6211954945327064</x:v>
      </x:c>
      <x:c r="J372" s="47" t="n">
        <x:v>0.5416364116070924</x:v>
      </x:c>
      <x:c r="K372" s="47" t="n">
        <x:v>0.9867428652824923</x:v>
      </x:c>
      <x:c r="L372" s="47" t="n">
        <x:v>0.5540701278567799</x:v>
      </x:c>
      <x:c r="M372" s="47" t="n">
        <x:v>0.1683804878844758</x:v>
      </x:c>
      <x:c r="N372" s="47" t="n">
        <x:v>0.7187670691215724</x:v>
      </x:c>
      <x:c r="O372" s="47" t="n">
        <x:v>0.8191506640679121</x:v>
      </x:c>
      <x:c r="P372" s="47" t="n">
        <x:v>0.5300971670679843</x:v>
      </x:c>
      <x:c r="Q372" s="47" t="n">
        <x:v>1</x:v>
      </x:c>
      <x:c r="R372" s="47" t="n">
        <x:v>0.7766794555951063</x:v>
      </x:c>
      <x:c r="S372" s="27" t="n">
        <x:v>0</x:v>
      </x:c>
    </x:row>
    <x:row r="373" ht="21.600000381469727" hidden="0" customHeight="1">
      <x:c r="A373" s="29" t="n">
        <x:v>123</x:v>
      </x:c>
      <x:c r="B373" s="29" t="str">
        <x:v>A3</x:v>
      </x:c>
      <x:c r="C373" s="48" t="n">
        <x:v>1.174835501769933</x:v>
      </x:c>
      <x:c r="D373" s="48" t="n">
        <x:v>0.7564262597346602</x:v>
      </x:c>
      <x:c r="E373" s="48" t="n">
        <x:v>0.5007873556885768</x:v>
      </x:c>
      <x:c r="F373" s="48" t="n">
        <x:v>-0.14458375111095761</x:v>
      </x:c>
      <x:c r="G373" s="48" t="n">
        <x:v>-0.03238300795339924</x:v>
      </x:c>
      <x:c r="H373" s="48" t="n">
        <x:v>1.0468836312188534</x:v>
      </x:c>
      <x:c r="I373" s="48" t="n">
        <x:v>0.6211954945327064</x:v>
      </x:c>
      <x:c r="J373" s="48" t="n">
        <x:v>0.5416364116070924</x:v>
      </x:c>
      <x:c r="K373" s="48" t="n">
        <x:v>0.9867428652824923</x:v>
      </x:c>
      <x:c r="L373" s="48" t="n">
        <x:v>0.5540701278567799</x:v>
      </x:c>
      <x:c r="M373" s="48" t="n">
        <x:v>0.1683804878844758</x:v>
      </x:c>
      <x:c r="N373" s="48" t="n">
        <x:v>0.7187670691215724</x:v>
      </x:c>
      <x:c r="O373" s="48" t="n">
        <x:v>1</x:v>
      </x:c>
      <x:c r="P373" s="48" t="n">
        <x:v>1</x:v>
      </x:c>
      <x:c r="Q373" s="48" t="n">
        <x:v>1</x:v>
      </x:c>
      <x:c r="R373" s="48" t="n">
        <x:v>1</x:v>
      </x:c>
      <x:c r="S373" s="29" t="n">
        <x:v>1</x:v>
      </x:c>
    </x:row>
    <x:row r="374" ht="21.600000381469727" hidden="0" customHeight="1">
      <x:c r="A374" s="27" t="n">
        <x:v>124</x:v>
      </x:c>
      <x:c r="B374" s="27" t="str">
        <x:v>A1</x:v>
      </x:c>
      <x:c r="C374" s="47" t="n">
        <x:v>1.3317006884025653</x:v>
      </x:c>
      <x:c r="D374" s="47" t="n">
        <x:v>0.9406226229056559</x:v>
      </x:c>
      <x:c r="E374" s="47" t="n">
        <x:v>0.6322596759606747</x:v>
      </x:c>
      <x:c r="F374" s="47" t="n">
        <x:v>-0.09720200357497824</x:v>
      </x:c>
      <x:c r="G374" s="47" t="n">
        <x:v>-0.06888619930170381</x:v>
      </x:c>
      <x:c r="H374" s="47" t="n">
        <x:v>0.6443089702744913</x:v>
      </x:c>
      <x:c r="I374" s="47" t="n">
        <x:v>0.6273189859074756</x:v>
      </x:c>
      <x:c r="J374" s="47" t="n">
        <x:v>0.4486966788335792</x:v>
      </x:c>
      <x:c r="K374" s="47" t="n">
        <x:v>0.5790749303045122</x:v>
      </x:c>
      <x:c r="L374" s="47" t="n">
        <x:v>0.6371269791243965</x:v>
      </x:c>
      <x:c r="M374" s="47" t="n">
        <x:v>0.0786558440295999</x:v>
      </x:c>
      <x:c r="N374" s="47" t="n">
        <x:v>0.8316995385453502</x:v>
      </x:c>
      <x:c r="O374" s="47" t="n">
        <x:v>0.741195932764911</x:v>
      </x:c>
      <x:c r="P374" s="47" t="n">
        <x:v>0.3719378323011548</x:v>
      </x:c>
      <x:c r="Q374" s="47" t="n">
        <x:v>0.8953615997550883</x:v>
      </x:c>
      <x:c r="R374" s="47" t="n">
        <x:v>0.683186975336534</x:v>
      </x:c>
      <x:c r="S374" s="27" t="n">
        <x:v>0</x:v>
      </x:c>
    </x:row>
    <x:row r="375" ht="21.600000381469727" hidden="0" customHeight="1">
      <x:c r="A375" s="29" t="n">
        <x:v>124</x:v>
      </x:c>
      <x:c r="B375" s="29" t="str">
        <x:v>A2</x:v>
      </x:c>
      <x:c r="C375" s="48" t="n">
        <x:v>1.3317006884025653</x:v>
      </x:c>
      <x:c r="D375" s="48" t="n">
        <x:v>0.9406226229056559</x:v>
      </x:c>
      <x:c r="E375" s="48" t="n">
        <x:v>0.6322596759606747</x:v>
      </x:c>
      <x:c r="F375" s="48" t="n">
        <x:v>-0.09720200357497824</x:v>
      </x:c>
      <x:c r="G375" s="48" t="n">
        <x:v>-0.06888619930170381</x:v>
      </x:c>
      <x:c r="H375" s="48" t="n">
        <x:v>0.6443089702744913</x:v>
      </x:c>
      <x:c r="I375" s="48" t="n">
        <x:v>0.6273189859074756</x:v>
      </x:c>
      <x:c r="J375" s="48" t="n">
        <x:v>0.4486966788335792</x:v>
      </x:c>
      <x:c r="K375" s="48" t="n">
        <x:v>0.5790749303045122</x:v>
      </x:c>
      <x:c r="L375" s="48" t="n">
        <x:v>0.6371269791243965</x:v>
      </x:c>
      <x:c r="M375" s="48" t="n">
        <x:v>0.0786558440295999</x:v>
      </x:c>
      <x:c r="N375" s="48" t="n">
        <x:v>0.8316995385453502</x:v>
      </x:c>
      <x:c r="O375" s="48" t="n">
        <x:v>0.807542601203689</x:v>
      </x:c>
      <x:c r="P375" s="48" t="n">
        <x:v>0.41622638095181147</x:v>
      </x:c>
      <x:c r="Q375" s="48" t="n">
        <x:v>1</x:v>
      </x:c>
      <x:c r="R375" s="48" t="n">
        <x:v>0.7623453199182242</x:v>
      </x:c>
      <x:c r="S375" s="29" t="n">
        <x:v>0</x:v>
      </x:c>
    </x:row>
    <x:row r="376" ht="21.600000381469727" hidden="0" customHeight="1">
      <x:c r="A376" s="27" t="n">
        <x:v>124</x:v>
      </x:c>
      <x:c r="B376" s="27" t="str">
        <x:v>A3</x:v>
      </x:c>
      <x:c r="C376" s="47" t="n">
        <x:v>1.3317006884025653</x:v>
      </x:c>
      <x:c r="D376" s="47" t="n">
        <x:v>0.9406226229056559</x:v>
      </x:c>
      <x:c r="E376" s="47" t="n">
        <x:v>0.6322596759606747</x:v>
      </x:c>
      <x:c r="F376" s="47" t="n">
        <x:v>-0.09720200357497824</x:v>
      </x:c>
      <x:c r="G376" s="47" t="n">
        <x:v>-0.06888619930170381</x:v>
      </x:c>
      <x:c r="H376" s="47" t="n">
        <x:v>0.6443089702744913</x:v>
      </x:c>
      <x:c r="I376" s="47" t="n">
        <x:v>0.6273189859074756</x:v>
      </x:c>
      <x:c r="J376" s="47" t="n">
        <x:v>0.4486966788335792</x:v>
      </x:c>
      <x:c r="K376" s="47" t="n">
        <x:v>0.5790749303045122</x:v>
      </x:c>
      <x:c r="L376" s="47" t="n">
        <x:v>0.6371269791243965</x:v>
      </x:c>
      <x:c r="M376" s="47" t="n">
        <x:v>0.0786558440295999</x:v>
      </x:c>
      <x:c r="N376" s="47" t="n">
        <x:v>0.8316995385453502</x:v>
      </x:c>
      <x:c r="O376" s="47" t="n">
        <x:v>1</x:v>
      </x:c>
      <x:c r="P376" s="47" t="n">
        <x:v>1</x:v>
      </x:c>
      <x:c r="Q376" s="47" t="n">
        <x:v>1</x:v>
      </x:c>
      <x:c r="R376" s="47" t="n">
        <x:v>1</x:v>
      </x:c>
      <x:c r="S376" s="27" t="n">
        <x:v>1</x:v>
      </x:c>
    </x:row>
    <x:row r="377" ht="21.600000381469727" hidden="0" customHeight="1">
      <x:c r="A377" s="29" t="n">
        <x:v>125</x:v>
      </x:c>
      <x:c r="B377" s="29" t="str">
        <x:v>A1</x:v>
      </x:c>
      <x:c r="C377" s="48" t="n">
        <x:v>0.9001808188368075</x:v>
      </x:c>
      <x:c r="D377" s="48" t="n">
        <x:v>0.8638805841778507</x:v>
      </x:c>
      <x:c r="E377" s="48" t="n">
        <x:v>0.663969348844603</x:v>
      </x:c>
      <x:c r="F377" s="48" t="n">
        <x:v>-0.13256918423017539</x:v>
      </x:c>
      <x:c r="G377" s="48" t="n">
        <x:v>-0.00031876033366995404</x:v>
      </x:c>
      <x:c r="H377" s="48" t="n">
        <x:v>1.0747332405321446</x:v>
      </x:c>
      <x:c r="I377" s="48" t="n">
        <x:v>0.7080266686723174</x:v>
      </x:c>
      <x:c r="J377" s="48" t="n">
        <x:v>0.4573060368214148</x:v>
      </x:c>
      <x:c r="K377" s="48" t="n">
        <x:v>0.5729746917942034</x:v>
      </x:c>
      <x:c r="L377" s="48" t="n">
        <x:v>0.5380966347694758</x:v>
      </x:c>
      <x:c r="M377" s="48" t="n">
        <x:v>0.010513129114906756</x:v>
      </x:c>
      <x:c r="N377" s="48" t="n">
        <x:v>0.6591480850866737</x:v>
      </x:c>
      <x:c r="O377" s="48" t="n">
        <x:v>0.9184136111411885</x:v>
      </x:c>
      <x:c r="P377" s="48" t="n">
        <x:v>0.73650976976534</x:v>
      </x:c>
      <x:c r="Q377" s="48" t="n">
        <x:v>1</x:v>
      </x:c>
      <x:c r="R377" s="48" t="n">
        <x:v>0.89925361527</x:v>
      </x:c>
      <x:c r="S377" s="29" t="n">
        <x:v>0</x:v>
      </x:c>
    </x:row>
    <x:row r="378" ht="21.600000381469727" hidden="0" customHeight="1">
      <x:c r="A378" s="27" t="n">
        <x:v>125</x:v>
      </x:c>
      <x:c r="B378" s="27" t="str">
        <x:v>A2</x:v>
      </x:c>
      <x:c r="C378" s="47" t="n">
        <x:v>0.9001808188368075</x:v>
      </x:c>
      <x:c r="D378" s="47" t="n">
        <x:v>0.8638805841778507</x:v>
      </x:c>
      <x:c r="E378" s="47" t="n">
        <x:v>0.663969348844603</x:v>
      </x:c>
      <x:c r="F378" s="47" t="n">
        <x:v>-0.13256918423017539</x:v>
      </x:c>
      <x:c r="G378" s="47" t="n">
        <x:v>-0.00031876033366995404</x:v>
      </x:c>
      <x:c r="H378" s="47" t="n">
        <x:v>1.0747332405321446</x:v>
      </x:c>
      <x:c r="I378" s="47" t="n">
        <x:v>0.7080266686723174</x:v>
      </x:c>
      <x:c r="J378" s="47" t="n">
        <x:v>0.4573060368214148</x:v>
      </x:c>
      <x:c r="K378" s="47" t="n">
        <x:v>0.5729746917942034</x:v>
      </x:c>
      <x:c r="L378" s="47" t="n">
        <x:v>0.5380966347694758</x:v>
      </x:c>
      <x:c r="M378" s="47" t="n">
        <x:v>0.010513129114906756</x:v>
      </x:c>
      <x:c r="N378" s="47" t="n">
        <x:v>0.6591480850866737</x:v>
      </x:c>
      <x:c r="O378" s="47" t="n">
        <x:v>0.9817107375965768</x:v>
      </x:c>
      <x:c r="P378" s="47" t="n">
        <x:v>0.8339260576070537</x:v>
      </x:c>
      <x:c r="Q378" s="47" t="n">
        <x:v>1</x:v>
      </x:c>
      <x:c r="R378" s="47" t="n">
        <x:v>0.9774156315496223</x:v>
      </x:c>
      <x:c r="S378" s="27" t="n">
        <x:v>0</x:v>
      </x:c>
    </x:row>
    <x:row r="379" ht="21.600000381469727" hidden="0" customHeight="1">
      <x:c r="A379" s="29" t="n">
        <x:v>125</x:v>
      </x:c>
      <x:c r="B379" s="29" t="str">
        <x:v>A3</x:v>
      </x:c>
      <x:c r="C379" s="48" t="n">
        <x:v>0.9001808188368075</x:v>
      </x:c>
      <x:c r="D379" s="48" t="n">
        <x:v>0.8638805841778507</x:v>
      </x:c>
      <x:c r="E379" s="48" t="n">
        <x:v>0.663969348844603</x:v>
      </x:c>
      <x:c r="F379" s="48" t="n">
        <x:v>-0.13256918423017539</x:v>
      </x:c>
      <x:c r="G379" s="48" t="n">
        <x:v>-0.00031876033366995404</x:v>
      </x:c>
      <x:c r="H379" s="48" t="n">
        <x:v>1.0747332405321446</x:v>
      </x:c>
      <x:c r="I379" s="48" t="n">
        <x:v>0.7080266686723174</x:v>
      </x:c>
      <x:c r="J379" s="48" t="n">
        <x:v>0.4573060368214148</x:v>
      </x:c>
      <x:c r="K379" s="48" t="n">
        <x:v>0.5729746917942034</x:v>
      </x:c>
      <x:c r="L379" s="48" t="n">
        <x:v>0.5380966347694758</x:v>
      </x:c>
      <x:c r="M379" s="48" t="n">
        <x:v>0.010513129114906756</x:v>
      </x:c>
      <x:c r="N379" s="48" t="n">
        <x:v>0.6591480850866737</x:v>
      </x:c>
      <x:c r="O379" s="48" t="n">
        <x:v>1</x:v>
      </x:c>
      <x:c r="P379" s="48" t="n">
        <x:v>1</x:v>
      </x:c>
      <x:c r="Q379" s="48" t="n">
        <x:v>1</x:v>
      </x:c>
      <x:c r="R379" s="48" t="n">
        <x:v>1</x:v>
      </x:c>
      <x:c r="S379" s="29" t="n">
        <x:v>1</x:v>
      </x:c>
    </x:row>
    <x:row r="380" ht="21.600000381469727" hidden="0" customHeight="1">
      <x:c r="A380" s="27" t="n">
        <x:v>126</x:v>
      </x:c>
      <x:c r="B380" s="27" t="str">
        <x:v>A1</x:v>
      </x:c>
      <x:c r="C380" s="47" t="n">
        <x:v>1.343252310399748</x:v>
      </x:c>
      <x:c r="D380" s="47" t="n">
        <x:v>0.8670944911310042</x:v>
      </x:c>
      <x:c r="E380" s="47" t="n">
        <x:v>0.7397149453882169</x:v>
      </x:c>
      <x:c r="F380" s="47" t="n">
        <x:v>-0.02097521263258878</x:v>
      </x:c>
      <x:c r="G380" s="47" t="n">
        <x:v>0.02075544041043309</x:v>
      </x:c>
      <x:c r="H380" s="47" t="n">
        <x:v>0.6529185376969612</x:v>
      </x:c>
      <x:c r="I380" s="47" t="n">
        <x:v>0.7947428151237632</x:v>
      </x:c>
      <x:c r="J380" s="47" t="n">
        <x:v>0.4098325157929491</x:v>
      </x:c>
      <x:c r="K380" s="47" t="n">
        <x:v>0.7987483882208675</x:v>
      </x:c>
      <x:c r="L380" s="47" t="n">
        <x:v>0.6694472642515824</x:v>
      </x:c>
      <x:c r="M380" s="47" t="n">
        <x:v>0.14952652489152343</x:v>
      </x:c>
      <x:c r="N380" s="47" t="n">
        <x:v>0.9478367947028188</x:v>
      </x:c>
      <x:c r="O380" s="47" t="n">
        <x:v>0.7707089946227552</x:v>
      </x:c>
      <x:c r="P380" s="47" t="n">
        <x:v>0.46955525776368073</x:v>
      </x:c>
      <x:c r="Q380" s="47" t="n">
        <x:v>0.9489892264169257</x:v>
      </x:c>
      <x:c r="R380" s="47" t="n">
        <x:v>0.7172404466065984</x:v>
      </x:c>
      <x:c r="S380" s="27" t="n">
        <x:v>0</x:v>
      </x:c>
    </x:row>
    <x:row r="381" ht="21.600000381469727" hidden="0" customHeight="1">
      <x:c r="A381" s="29" t="n">
        <x:v>126</x:v>
      </x:c>
      <x:c r="B381" s="29" t="str">
        <x:v>A2</x:v>
      </x:c>
      <x:c r="C381" s="48" t="n">
        <x:v>1.343252310399748</x:v>
      </x:c>
      <x:c r="D381" s="48" t="n">
        <x:v>0.8670944911310042</x:v>
      </x:c>
      <x:c r="E381" s="48" t="n">
        <x:v>0.7397149453882169</x:v>
      </x:c>
      <x:c r="F381" s="48" t="n">
        <x:v>-0.02097521263258878</x:v>
      </x:c>
      <x:c r="G381" s="48" t="n">
        <x:v>0.02075544041043309</x:v>
      </x:c>
      <x:c r="H381" s="48" t="n">
        <x:v>0.6529185376969612</x:v>
      </x:c>
      <x:c r="I381" s="48" t="n">
        <x:v>0.7947428151237632</x:v>
      </x:c>
      <x:c r="J381" s="48" t="n">
        <x:v>0.4098325157929491</x:v>
      </x:c>
      <x:c r="K381" s="48" t="n">
        <x:v>0.7987483882208675</x:v>
      </x:c>
      <x:c r="L381" s="48" t="n">
        <x:v>0.6694472642515824</x:v>
      </x:c>
      <x:c r="M381" s="48" t="n">
        <x:v>0.14952652489152343</x:v>
      </x:c>
      <x:c r="N381" s="48" t="n">
        <x:v>0.9478367947028188</x:v>
      </x:c>
      <x:c r="O381" s="48" t="n">
        <x:v>0.8374457899951587</x:v>
      </x:c>
      <x:c r="P381" s="48" t="n">
        <x:v>0.5471121373491119</x:v>
      </x:c>
      <x:c r="Q381" s="48" t="n">
        <x:v>1</x:v>
      </x:c>
      <x:c r="R381" s="48" t="n">
        <x:v>0.7992710645770879</x:v>
      </x:c>
      <x:c r="S381" s="29" t="n">
        <x:v>0</x:v>
      </x:c>
    </x:row>
    <x:row r="382" ht="21.600000381469727" hidden="0" customHeight="1">
      <x:c r="A382" s="27" t="n">
        <x:v>126</x:v>
      </x:c>
      <x:c r="B382" s="27" t="str">
        <x:v>A3</x:v>
      </x:c>
      <x:c r="C382" s="47" t="n">
        <x:v>1.343252310399748</x:v>
      </x:c>
      <x:c r="D382" s="47" t="n">
        <x:v>0.8670944911310042</x:v>
      </x:c>
      <x:c r="E382" s="47" t="n">
        <x:v>0.7397149453882169</x:v>
      </x:c>
      <x:c r="F382" s="47" t="n">
        <x:v>-0.02097521263258878</x:v>
      </x:c>
      <x:c r="G382" s="47" t="n">
        <x:v>0.02075544041043309</x:v>
      </x:c>
      <x:c r="H382" s="47" t="n">
        <x:v>0.6529185376969612</x:v>
      </x:c>
      <x:c r="I382" s="47" t="n">
        <x:v>0.7947428151237632</x:v>
      </x:c>
      <x:c r="J382" s="47" t="n">
        <x:v>0.4098325157929491</x:v>
      </x:c>
      <x:c r="K382" s="47" t="n">
        <x:v>0.7987483882208675</x:v>
      </x:c>
      <x:c r="L382" s="47" t="n">
        <x:v>0.6694472642515824</x:v>
      </x:c>
      <x:c r="M382" s="47" t="n">
        <x:v>0.14952652489152343</x:v>
      </x:c>
      <x:c r="N382" s="47" t="n">
        <x:v>0.9478367947028188</x:v>
      </x:c>
      <x:c r="O382" s="47" t="n">
        <x:v>1</x:v>
      </x:c>
      <x:c r="P382" s="47" t="n">
        <x:v>1</x:v>
      </x:c>
      <x:c r="Q382" s="47" t="n">
        <x:v>1</x:v>
      </x:c>
      <x:c r="R382" s="47" t="n">
        <x:v>1</x:v>
      </x:c>
      <x:c r="S382" s="27" t="n">
        <x:v>1</x:v>
      </x:c>
    </x:row>
    <x:row r="383" ht="21.600000381469727" hidden="0" customHeight="1">
      <x:c r="A383" s="29" t="n">
        <x:v>127</x:v>
      </x:c>
      <x:c r="B383" s="29" t="str">
        <x:v>A1</x:v>
      </x:c>
      <x:c r="C383" s="48" t="n">
        <x:v>1.0781746086581885</x:v>
      </x:c>
      <x:c r="D383" s="48" t="n">
        <x:v>0.9371252572608947</x:v>
      </x:c>
      <x:c r="E383" s="48" t="n">
        <x:v>0.4994905971454782</x:v>
      </x:c>
      <x:c r="F383" s="48" t="n">
        <x:v>-0.18189706534455075</x:v>
      </x:c>
      <x:c r="G383" s="48" t="n">
        <x:v>-0.16106933991480266</x:v>
      </x:c>
      <x:c r="H383" s="48" t="n">
        <x:v>0.5018444699051272</x:v>
      </x:c>
      <x:c r="I383" s="48" t="n">
        <x:v>0.9741721553511595</x:v>
      </x:c>
      <x:c r="J383" s="48" t="n">
        <x:v>0.9539389965517058</x:v>
      </x:c>
      <x:c r="K383" s="48" t="n">
        <x:v>0.868284528161246</x:v>
      </x:c>
      <x:c r="L383" s="48" t="n">
        <x:v>0.8008432654866372</x:v>
      </x:c>
      <x:c r="M383" s="48" t="n">
        <x:v>0.14262966422367646</x:v>
      </x:c>
      <x:c r="N383" s="48" t="n">
        <x:v>0.8377891755796184</x:v>
      </x:c>
      <x:c r="O383" s="48" t="n">
        <x:v>0.9150759272348101</x:v>
      </x:c>
      <x:c r="P383" s="48" t="n">
        <x:v>0.5933639195461733</x:v>
      </x:c>
      <x:c r="Q383" s="48" t="n">
        <x:v>1</x:v>
      </x:c>
      <x:c r="R383" s="48" t="n">
        <x:v>0.8951320995166672</x:v>
      </x:c>
      <x:c r="S383" s="29" t="n">
        <x:v>0</x:v>
      </x:c>
    </x:row>
    <x:row r="384" ht="21.600000381469727" hidden="0" customHeight="1">
      <x:c r="A384" s="27" t="n">
        <x:v>127</x:v>
      </x:c>
      <x:c r="B384" s="27" t="str">
        <x:v>A2</x:v>
      </x:c>
      <x:c r="C384" s="47" t="n">
        <x:v>1.0781746086581885</x:v>
      </x:c>
      <x:c r="D384" s="47" t="n">
        <x:v>0.9371252572608947</x:v>
      </x:c>
      <x:c r="E384" s="47" t="n">
        <x:v>0.4994905971454782</x:v>
      </x:c>
      <x:c r="F384" s="47" t="n">
        <x:v>-0.18189706534455075</x:v>
      </x:c>
      <x:c r="G384" s="47" t="n">
        <x:v>-0.16106933991480266</x:v>
      </x:c>
      <x:c r="H384" s="47" t="n">
        <x:v>0.5018444699051272</x:v>
      </x:c>
      <x:c r="I384" s="47" t="n">
        <x:v>0.9741721553511595</x:v>
      </x:c>
      <x:c r="J384" s="47" t="n">
        <x:v>0.9539389965517058</x:v>
      </x:c>
      <x:c r="K384" s="47" t="n">
        <x:v>0.868284528161246</x:v>
      </x:c>
      <x:c r="L384" s="47" t="n">
        <x:v>0.8008432654866372</x:v>
      </x:c>
      <x:c r="M384" s="47" t="n">
        <x:v>0.14262966422367646</x:v>
      </x:c>
      <x:c r="N384" s="47" t="n">
        <x:v>0.8377891755796184</x:v>
      </x:c>
      <x:c r="O384" s="47" t="n">
        <x:v>0.9429238433232944</x:v>
      </x:c>
      <x:c r="P384" s="47" t="n">
        <x:v>0.5629474088112267</x:v>
      </x:c>
      <x:c r="Q384" s="47" t="n">
        <x:v>1</x:v>
      </x:c>
      <x:c r="R384" s="47" t="n">
        <x:v>0.9295199049756678</x:v>
      </x:c>
      <x:c r="S384" s="27" t="n">
        <x:v>0</x:v>
      </x:c>
    </x:row>
    <x:row r="385" ht="21.600000381469727" hidden="0" customHeight="1">
      <x:c r="A385" s="29" t="n">
        <x:v>127</x:v>
      </x:c>
      <x:c r="B385" s="29" t="str">
        <x:v>A3</x:v>
      </x:c>
      <x:c r="C385" s="48" t="n">
        <x:v>1.0781746086581885</x:v>
      </x:c>
      <x:c r="D385" s="48" t="n">
        <x:v>0.9371252572608947</x:v>
      </x:c>
      <x:c r="E385" s="48" t="n">
        <x:v>0.4994905971454782</x:v>
      </x:c>
      <x:c r="F385" s="48" t="n">
        <x:v>-0.18189706534455075</x:v>
      </x:c>
      <x:c r="G385" s="48" t="n">
        <x:v>-0.16106933991480266</x:v>
      </x:c>
      <x:c r="H385" s="48" t="n">
        <x:v>0.5018444699051272</x:v>
      </x:c>
      <x:c r="I385" s="48" t="n">
        <x:v>0.9741721553511595</x:v>
      </x:c>
      <x:c r="J385" s="48" t="n">
        <x:v>0.9539389965517058</x:v>
      </x:c>
      <x:c r="K385" s="48" t="n">
        <x:v>0.868284528161246</x:v>
      </x:c>
      <x:c r="L385" s="48" t="n">
        <x:v>0.8008432654866372</x:v>
      </x:c>
      <x:c r="M385" s="48" t="n">
        <x:v>0.14262966422367646</x:v>
      </x:c>
      <x:c r="N385" s="48" t="n">
        <x:v>0.8377891755796184</x:v>
      </x:c>
      <x:c r="O385" s="48" t="n">
        <x:v>1</x:v>
      </x:c>
      <x:c r="P385" s="48" t="n">
        <x:v>1</x:v>
      </x:c>
      <x:c r="Q385" s="48" t="n">
        <x:v>1</x:v>
      </x:c>
      <x:c r="R385" s="48" t="n">
        <x:v>1</x:v>
      </x:c>
      <x:c r="S385" s="29" t="n">
        <x:v>1</x:v>
      </x:c>
    </x:row>
    <x:row r="386" ht="21.600000381469727" hidden="0" customHeight="1">
      <x:c r="A386" s="27" t="n">
        <x:v>128</x:v>
      </x:c>
      <x:c r="B386" s="27" t="str">
        <x:v>A1</x:v>
      </x:c>
      <x:c r="C386" s="47" t="n">
        <x:v>0.9742445014507923</x:v>
      </x:c>
      <x:c r="D386" s="47" t="n">
        <x:v>0.9707130569216237</x:v>
      </x:c>
      <x:c r="E386" s="47" t="n">
        <x:v>0.8080968299316444</x:v>
      </x:c>
      <x:c r="F386" s="47" t="n">
        <x:v>-0.06212405935613877</x:v>
      </x:c>
      <x:c r="G386" s="47" t="n">
        <x:v>-0.16316718289988252</x:v>
      </x:c>
      <x:c r="H386" s="47" t="n">
        <x:v>0.5950772793872622</x:v>
      </x:c>
      <x:c r="I386" s="47" t="n">
        <x:v>0.9780383569392785</x:v>
      </x:c>
      <x:c r="J386" s="47" t="n">
        <x:v>0.6197143392410078</x:v>
      </x:c>
      <x:c r="K386" s="47" t="n">
        <x:v>0.560783885564156</x:v>
      </x:c>
      <x:c r="L386" s="47" t="n">
        <x:v>0.879571428107798</x:v>
      </x:c>
      <x:c r="M386" s="47" t="n">
        <x:v>0.04407646311665763</x:v>
      </x:c>
      <x:c r="N386" s="47" t="n">
        <x:v>0.8658939335548989</x:v>
      </x:c>
      <x:c r="O386" s="47" t="n">
        <x:v>0.947557686743312</x:v>
      </x:c>
      <x:c r="P386" s="47" t="n">
        <x:v>0.7882914666564852</x:v>
      </x:c>
      <x:c r="Q386" s="47" t="n">
        <x:v>1</x:v>
      </x:c>
      <x:c r="R386" s="47" t="n">
        <x:v>0.9352419742877385</x:v>
      </x:c>
      <x:c r="S386" s="27" t="n">
        <x:v>0</x:v>
      </x:c>
    </x:row>
    <x:row r="387" ht="21.600000381469727" hidden="0" customHeight="1">
      <x:c r="A387" s="29" t="n">
        <x:v>128</x:v>
      </x:c>
      <x:c r="B387" s="29" t="str">
        <x:v>A2</x:v>
      </x:c>
      <x:c r="C387" s="48" t="n">
        <x:v>0.9742445014507923</x:v>
      </x:c>
      <x:c r="D387" s="48" t="n">
        <x:v>0.9707130569216237</x:v>
      </x:c>
      <x:c r="E387" s="48" t="n">
        <x:v>0.8080968299316444</x:v>
      </x:c>
      <x:c r="F387" s="48" t="n">
        <x:v>-0.06212405935613877</x:v>
      </x:c>
      <x:c r="G387" s="48" t="n">
        <x:v>-0.16316718289988252</x:v>
      </x:c>
      <x:c r="H387" s="48" t="n">
        <x:v>0.5950772793872622</x:v>
      </x:c>
      <x:c r="I387" s="48" t="n">
        <x:v>0.9780383569392785</x:v>
      </x:c>
      <x:c r="J387" s="48" t="n">
        <x:v>0.6197143392410078</x:v>
      </x:c>
      <x:c r="K387" s="48" t="n">
        <x:v>0.560783885564156</x:v>
      </x:c>
      <x:c r="L387" s="48" t="n">
        <x:v>0.879571428107798</x:v>
      </x:c>
      <x:c r="M387" s="48" t="n">
        <x:v>0.04407646311665763</x:v>
      </x:c>
      <x:c r="N387" s="48" t="n">
        <x:v>0.8658939335548989</x:v>
      </x:c>
      <x:c r="O387" s="48" t="n">
        <x:v>1</x:v>
      </x:c>
      <x:c r="P387" s="48" t="n">
        <x:v>0.9999999999999999</x:v>
      </x:c>
      <x:c r="Q387" s="48" t="n">
        <x:v>1</x:v>
      </x:c>
      <x:c r="R387" s="48" t="n">
        <x:v>0.9999999999999999</x:v>
      </x:c>
      <x:c r="S387" s="29" t="n">
        <x:v>1</x:v>
      </x:c>
    </x:row>
    <x:row r="388" ht="21.600000381469727" hidden="0" customHeight="1">
      <x:c r="A388" s="27" t="n">
        <x:v>128</x:v>
      </x:c>
      <x:c r="B388" s="27" t="str">
        <x:v>A3</x:v>
      </x:c>
      <x:c r="C388" s="47" t="n">
        <x:v>0.9742445014507923</x:v>
      </x:c>
      <x:c r="D388" s="47" t="n">
        <x:v>0.9707130569216237</x:v>
      </x:c>
      <x:c r="E388" s="47" t="n">
        <x:v>0.8080968299316444</x:v>
      </x:c>
      <x:c r="F388" s="47" t="n">
        <x:v>-0.06212405935613877</x:v>
      </x:c>
      <x:c r="G388" s="47" t="n">
        <x:v>-0.16316718289988252</x:v>
      </x:c>
      <x:c r="H388" s="47" t="n">
        <x:v>0.5950772793872622</x:v>
      </x:c>
      <x:c r="I388" s="47" t="n">
        <x:v>0.9780383569392785</x:v>
      </x:c>
      <x:c r="J388" s="47" t="n">
        <x:v>0.6197143392410078</x:v>
      </x:c>
      <x:c r="K388" s="47" t="n">
        <x:v>0.560783885564156</x:v>
      </x:c>
      <x:c r="L388" s="47" t="n">
        <x:v>0.879571428107798</x:v>
      </x:c>
      <x:c r="M388" s="47" t="n">
        <x:v>0.04407646311665763</x:v>
      </x:c>
      <x:c r="N388" s="47" t="n">
        <x:v>0.8658939335548989</x:v>
      </x:c>
      <x:c r="O388" s="47" t="n">
        <x:v>1</x:v>
      </x:c>
      <x:c r="P388" s="47" t="n">
        <x:v>1</x:v>
      </x:c>
      <x:c r="Q388" s="47" t="n">
        <x:v>1</x:v>
      </x:c>
      <x:c r="R388" s="47" t="n">
        <x:v>1</x:v>
      </x:c>
      <x:c r="S388" s="27" t="n">
        <x:v>1</x:v>
      </x:c>
    </x:row>
    <x:row r="389" ht="21.600000381469727" hidden="0" customHeight="1">
      <x:c r="A389" s="29" t="n">
        <x:v>129</x:v>
      </x:c>
      <x:c r="B389" s="29" t="str">
        <x:v>A1</x:v>
      </x:c>
      <x:c r="C389" s="48" t="n">
        <x:v>1.2545882715127825</x:v>
      </x:c>
      <x:c r="D389" s="48" t="n">
        <x:v>0.7457963935889804</x:v>
      </x:c>
      <x:c r="E389" s="48" t="n">
        <x:v>0.9292733550195975</x:v>
      </x:c>
      <x:c r="F389" s="48" t="n">
        <x:v>-0.13872689472869873</x:v>
      </x:c>
      <x:c r="G389" s="48" t="n">
        <x:v>0.015660145601479714</x:v>
      </x:c>
      <x:c r="H389" s="48" t="n">
        <x:v>1.0475140399833782</x:v>
      </x:c>
      <x:c r="I389" s="48" t="n">
        <x:v>0.7474100755097322</x:v>
      </x:c>
      <x:c r="J389" s="48" t="n">
        <x:v>0.6463937209824306</x:v>
      </x:c>
      <x:c r="K389" s="48" t="n">
        <x:v>0.97651014327644</x:v>
      </x:c>
      <x:c r="L389" s="48" t="n">
        <x:v>0.9175935324320385</x:v>
      </x:c>
      <x:c r="M389" s="48" t="n">
        <x:v>0.06070186544688067</x:v>
      </x:c>
      <x:c r="N389" s="48" t="n">
        <x:v>0.9456424527711668</x:v>
      </x:c>
      <x:c r="O389" s="48" t="n">
        <x:v>0.8005625260668425</x:v>
      </x:c>
      <x:c r="P389" s="48" t="n">
        <x:v>0.46910420929779395</x:v>
      </x:c>
      <x:c r="Q389" s="48" t="n">
        <x:v>1</x:v>
      </x:c>
      <x:c r="R389" s="48" t="n">
        <x:v>0.7537260226920903</x:v>
      </x:c>
      <x:c r="S389" s="29" t="n">
        <x:v>0</x:v>
      </x:c>
    </x:row>
    <x:row r="390" ht="21.600000381469727" hidden="0" customHeight="1">
      <x:c r="A390" s="27" t="n">
        <x:v>129</x:v>
      </x:c>
      <x:c r="B390" s="27" t="str">
        <x:v>A2</x:v>
      </x:c>
      <x:c r="C390" s="47" t="n">
        <x:v>1.2545882715127825</x:v>
      </x:c>
      <x:c r="D390" s="47" t="n">
        <x:v>0.7457963935889804</x:v>
      </x:c>
      <x:c r="E390" s="47" t="n">
        <x:v>0.9292733550195975</x:v>
      </x:c>
      <x:c r="F390" s="47" t="n">
        <x:v>-0.13872689472869873</x:v>
      </x:c>
      <x:c r="G390" s="47" t="n">
        <x:v>0.015660145601479714</x:v>
      </x:c>
      <x:c r="H390" s="47" t="n">
        <x:v>1.0475140399833782</x:v>
      </x:c>
      <x:c r="I390" s="47" t="n">
        <x:v>0.7474100755097322</x:v>
      </x:c>
      <x:c r="J390" s="47" t="n">
        <x:v>0.6463937209824306</x:v>
      </x:c>
      <x:c r="K390" s="47" t="n">
        <x:v>0.97651014327644</x:v>
      </x:c>
      <x:c r="L390" s="47" t="n">
        <x:v>0.9175935324320385</x:v>
      </x:c>
      <x:c r="M390" s="47" t="n">
        <x:v>0.06070186544688067</x:v>
      </x:c>
      <x:c r="N390" s="47" t="n">
        <x:v>0.9456424527711668</x:v>
      </x:c>
      <x:c r="O390" s="47" t="n">
        <x:v>0.8917041371510285</x:v>
      </x:c>
      <x:c r="P390" s="47" t="n">
        <x:v>0.544063735505689</x:v>
      </x:c>
      <x:c r="Q390" s="47" t="n">
        <x:v>1</x:v>
      </x:c>
      <x:c r="R390" s="47" t="n">
        <x:v>0.86627160711659</x:v>
      </x:c>
      <x:c r="S390" s="27" t="n">
        <x:v>0</x:v>
      </x:c>
    </x:row>
    <x:row r="391" ht="21.600000381469727" hidden="0" customHeight="1">
      <x:c r="A391" s="29" t="n">
        <x:v>129</x:v>
      </x:c>
      <x:c r="B391" s="29" t="str">
        <x:v>A3</x:v>
      </x:c>
      <x:c r="C391" s="48" t="n">
        <x:v>1.2545882715127825</x:v>
      </x:c>
      <x:c r="D391" s="48" t="n">
        <x:v>0.7457963935889804</x:v>
      </x:c>
      <x:c r="E391" s="48" t="n">
        <x:v>0.9292733550195975</x:v>
      </x:c>
      <x:c r="F391" s="48" t="n">
        <x:v>-0.13872689472869873</x:v>
      </x:c>
      <x:c r="G391" s="48" t="n">
        <x:v>0.015660145601479714</x:v>
      </x:c>
      <x:c r="H391" s="48" t="n">
        <x:v>1.0475140399833782</x:v>
      </x:c>
      <x:c r="I391" s="48" t="n">
        <x:v>0.7474100755097322</x:v>
      </x:c>
      <x:c r="J391" s="48" t="n">
        <x:v>0.6463937209824306</x:v>
      </x:c>
      <x:c r="K391" s="48" t="n">
        <x:v>0.97651014327644</x:v>
      </x:c>
      <x:c r="L391" s="48" t="n">
        <x:v>0.9175935324320385</x:v>
      </x:c>
      <x:c r="M391" s="48" t="n">
        <x:v>0.06070186544688067</x:v>
      </x:c>
      <x:c r="N391" s="48" t="n">
        <x:v>0.9456424527711668</x:v>
      </x:c>
      <x:c r="O391" s="48" t="n">
        <x:v>1</x:v>
      </x:c>
      <x:c r="P391" s="48" t="n">
        <x:v>1</x:v>
      </x:c>
      <x:c r="Q391" s="48" t="n">
        <x:v>1</x:v>
      </x:c>
      <x:c r="R391" s="48" t="n">
        <x:v>1</x:v>
      </x:c>
      <x:c r="S391" s="29" t="n">
        <x:v>1</x:v>
      </x:c>
    </x:row>
    <x:row r="392" ht="21.600000381469727" hidden="0" customHeight="1">
      <x:c r="A392" s="27" t="n">
        <x:v>130</x:v>
      </x:c>
      <x:c r="B392" s="27" t="str">
        <x:v>A1</x:v>
      </x:c>
      <x:c r="C392" s="47" t="n">
        <x:v>1.262747769523653</x:v>
      </x:c>
      <x:c r="D392" s="47" t="n">
        <x:v>0.8775919372253599</x:v>
      </x:c>
      <x:c r="E392" s="47" t="n">
        <x:v>0.6526217099694919</x:v>
      </x:c>
      <x:c r="F392" s="47" t="n">
        <x:v>-0.0459601046976503</x:v>
      </x:c>
      <x:c r="G392" s="47" t="n">
        <x:v>0.015191924649295502</x:v>
      </x:c>
      <x:c r="H392" s="47" t="n">
        <x:v>0.5350767589068848</x:v>
      </x:c>
      <x:c r="I392" s="47" t="n">
        <x:v>0.816263848236595</x:v>
      </x:c>
      <x:c r="J392" s="47" t="n">
        <x:v>0.6874091774740098</x:v>
      </x:c>
      <x:c r="K392" s="47" t="n">
        <x:v>0.5829347434183353</x:v>
      </x:c>
      <x:c r="L392" s="47" t="n">
        <x:v>0.6283455690979523</x:v>
      </x:c>
      <x:c r="M392" s="47" t="n">
        <x:v>0.1572016926539412</x:v>
      </x:c>
      <x:c r="N392" s="47" t="n">
        <x:v>0.8392289292645556</x:v>
      </x:c>
      <x:c r="O392" s="47" t="n">
        <x:v>0.7419617107739229</x:v>
      </x:c>
      <x:c r="P392" s="47" t="n">
        <x:v>0.48754111128758126</x:v>
      </x:c>
      <x:c r="Q392" s="47" t="n">
        <x:v>0.9454504375444719</x:v>
      </x:c>
      <x:c r="R392" s="47" t="n">
        <x:v>0.6817683451917437</x:v>
      </x:c>
      <x:c r="S392" s="27" t="n">
        <x:v>0</x:v>
      </x:c>
    </x:row>
    <x:row r="393" ht="21.600000381469727" hidden="0" customHeight="1">
      <x:c r="A393" s="29" t="n">
        <x:v>130</x:v>
      </x:c>
      <x:c r="B393" s="29" t="str">
        <x:v>A2</x:v>
      </x:c>
      <x:c r="C393" s="48" t="n">
        <x:v>1.262747769523653</x:v>
      </x:c>
      <x:c r="D393" s="48" t="n">
        <x:v>0.8775919372253599</x:v>
      </x:c>
      <x:c r="E393" s="48" t="n">
        <x:v>0.6526217099694919</x:v>
      </x:c>
      <x:c r="F393" s="48" t="n">
        <x:v>-0.0459601046976503</x:v>
      </x:c>
      <x:c r="G393" s="48" t="n">
        <x:v>0.015191924649295502</x:v>
      </x:c>
      <x:c r="H393" s="48" t="n">
        <x:v>0.5350767589068848</x:v>
      </x:c>
      <x:c r="I393" s="48" t="n">
        <x:v>0.816263848236595</x:v>
      </x:c>
      <x:c r="J393" s="48" t="n">
        <x:v>0.6874091774740098</x:v>
      </x:c>
      <x:c r="K393" s="48" t="n">
        <x:v>0.5829347434183353</x:v>
      </x:c>
      <x:c r="L393" s="48" t="n">
        <x:v>0.6283455690979523</x:v>
      </x:c>
      <x:c r="M393" s="48" t="n">
        <x:v>0.1572016926539412</x:v>
      </x:c>
      <x:c r="N393" s="48" t="n">
        <x:v>0.8392289292645556</x:v>
      </x:c>
      <x:c r="O393" s="48" t="n">
        <x:v>0.8057013365144005</x:v>
      </x:c>
      <x:c r="P393" s="48" t="n">
        <x:v>0.46331813867410165</x:v>
      </x:c>
      <x:c r="Q393" s="48" t="n">
        <x:v>1</x:v>
      </x:c>
      <x:c r="R393" s="48" t="n">
        <x:v>0.7600716470253371</x:v>
      </x:c>
      <x:c r="S393" s="29" t="n">
        <x:v>0</x:v>
      </x:c>
    </x:row>
    <x:row r="394" ht="21.600000381469727" hidden="0" customHeight="1">
      <x:c r="A394" s="27" t="n">
        <x:v>130</x:v>
      </x:c>
      <x:c r="B394" s="27" t="str">
        <x:v>A3</x:v>
      </x:c>
      <x:c r="C394" s="47" t="n">
        <x:v>1.262747769523653</x:v>
      </x:c>
      <x:c r="D394" s="47" t="n">
        <x:v>0.8775919372253599</x:v>
      </x:c>
      <x:c r="E394" s="47" t="n">
        <x:v>0.6526217099694919</x:v>
      </x:c>
      <x:c r="F394" s="47" t="n">
        <x:v>-0.0459601046976503</x:v>
      </x:c>
      <x:c r="G394" s="47" t="n">
        <x:v>0.015191924649295502</x:v>
      </x:c>
      <x:c r="H394" s="47" t="n">
        <x:v>0.5350767589068848</x:v>
      </x:c>
      <x:c r="I394" s="47" t="n">
        <x:v>0.816263848236595</x:v>
      </x:c>
      <x:c r="J394" s="47" t="n">
        <x:v>0.6874091774740098</x:v>
      </x:c>
      <x:c r="K394" s="47" t="n">
        <x:v>0.5829347434183353</x:v>
      </x:c>
      <x:c r="L394" s="47" t="n">
        <x:v>0.6283455690979523</x:v>
      </x:c>
      <x:c r="M394" s="47" t="n">
        <x:v>0.1572016926539412</x:v>
      </x:c>
      <x:c r="N394" s="47" t="n">
        <x:v>0.8392289292645556</x:v>
      </x:c>
      <x:c r="O394" s="47" t="n">
        <x:v>1</x:v>
      </x:c>
      <x:c r="P394" s="47" t="n">
        <x:v>1</x:v>
      </x:c>
      <x:c r="Q394" s="47" t="n">
        <x:v>1</x:v>
      </x:c>
      <x:c r="R394" s="47" t="n">
        <x:v>1</x:v>
      </x:c>
      <x:c r="S394" s="27" t="n">
        <x:v>1</x:v>
      </x:c>
    </x:row>
    <x:row r="395" ht="21.600000381469727" hidden="0" customHeight="1">
      <x:c r="A395" s="29" t="n">
        <x:v>131</x:v>
      </x:c>
      <x:c r="B395" s="29" t="str">
        <x:v>A1</x:v>
      </x:c>
      <x:c r="C395" s="48" t="n">
        <x:v>1.158832892241778</x:v>
      </x:c>
      <x:c r="D395" s="48" t="n">
        <x:v>0.8170745234808784</x:v>
      </x:c>
      <x:c r="E395" s="48" t="n">
        <x:v>0.7285564107119316</x:v>
      </x:c>
      <x:c r="F395" s="48" t="n">
        <x:v>-0.02793527937382681</x:v>
      </x:c>
      <x:c r="G395" s="48" t="n">
        <x:v>-0.180196372564831</x:v>
      </x:c>
      <x:c r="H395" s="48" t="n">
        <x:v>1.012583466672505</x:v>
      </x:c>
      <x:c r="I395" s="48" t="n">
        <x:v>1.0098504943523245</x:v>
      </x:c>
      <x:c r="J395" s="48" t="n">
        <x:v>0.837177202663595</x:v>
      </x:c>
      <x:c r="K395" s="48" t="n">
        <x:v>0.6112077554025495</x:v>
      </x:c>
      <x:c r="L395" s="48" t="n">
        <x:v>0.9696841312559302</x:v>
      </x:c>
      <x:c r="M395" s="48" t="n">
        <x:v>0.08813830311546161</x:v>
      </x:c>
      <x:c r="N395" s="48" t="n">
        <x:v>0.755041341899962</x:v>
      </x:c>
      <x:c r="O395" s="48" t="n">
        <x:v>0.8301690434133285</x:v>
      </x:c>
      <x:c r="P395" s="48" t="n">
        <x:v>0.6090911897856631</x:v>
      </x:c>
      <x:c r="Q395" s="48" t="n">
        <x:v>1</x:v>
      </x:c>
      <x:c r="R395" s="48" t="n">
        <x:v>0.7902854246808982</x:v>
      </x:c>
      <x:c r="S395" s="29" t="n">
        <x:v>0</x:v>
      </x:c>
    </x:row>
    <x:row r="396" ht="21.600000381469727" hidden="0" customHeight="1">
      <x:c r="A396" s="27" t="n">
        <x:v>131</x:v>
      </x:c>
      <x:c r="B396" s="27" t="str">
        <x:v>A2</x:v>
      </x:c>
      <x:c r="C396" s="47" t="n">
        <x:v>1.158832892241778</x:v>
      </x:c>
      <x:c r="D396" s="47" t="n">
        <x:v>0.8170745234808784</x:v>
      </x:c>
      <x:c r="E396" s="47" t="n">
        <x:v>0.7285564107119316</x:v>
      </x:c>
      <x:c r="F396" s="47" t="n">
        <x:v>-0.02793527937382681</x:v>
      </x:c>
      <x:c r="G396" s="47" t="n">
        <x:v>-0.180196372564831</x:v>
      </x:c>
      <x:c r="H396" s="47" t="n">
        <x:v>1.012583466672505</x:v>
      </x:c>
      <x:c r="I396" s="47" t="n">
        <x:v>1.0098504943523245</x:v>
      </x:c>
      <x:c r="J396" s="47" t="n">
        <x:v>0.837177202663595</x:v>
      </x:c>
      <x:c r="K396" s="47" t="n">
        <x:v>0.6112077554025495</x:v>
      </x:c>
      <x:c r="L396" s="47" t="n">
        <x:v>0.9696841312559302</x:v>
      </x:c>
      <x:c r="M396" s="47" t="n">
        <x:v>0.08813830311546161</x:v>
      </x:c>
      <x:c r="N396" s="47" t="n">
        <x:v>0.755041341899962</x:v>
      </x:c>
      <x:c r="O396" s="47" t="n">
        <x:v>0.9272987176702885</x:v>
      </x:c>
      <x:c r="P396" s="47" t="n">
        <x:v>0.6005555855229149</x:v>
      </x:c>
      <x:c r="Q396" s="47" t="n">
        <x:v>1</x:v>
      </x:c>
      <x:c r="R396" s="47" t="n">
        <x:v>0.910225327258587</x:v>
      </x:c>
      <x:c r="S396" s="27" t="n">
        <x:v>0</x:v>
      </x:c>
    </x:row>
    <x:row r="397" ht="21.600000381469727" hidden="0" customHeight="1">
      <x:c r="A397" s="29" t="n">
        <x:v>131</x:v>
      </x:c>
      <x:c r="B397" s="29" t="str">
        <x:v>A3</x:v>
      </x:c>
      <x:c r="C397" s="48" t="n">
        <x:v>1.158832892241778</x:v>
      </x:c>
      <x:c r="D397" s="48" t="n">
        <x:v>0.8170745234808784</x:v>
      </x:c>
      <x:c r="E397" s="48" t="n">
        <x:v>0.7285564107119316</x:v>
      </x:c>
      <x:c r="F397" s="48" t="n">
        <x:v>-0.02793527937382681</x:v>
      </x:c>
      <x:c r="G397" s="48" t="n">
        <x:v>-0.180196372564831</x:v>
      </x:c>
      <x:c r="H397" s="48" t="n">
        <x:v>1.012583466672505</x:v>
      </x:c>
      <x:c r="I397" s="48" t="n">
        <x:v>1.0098504943523245</x:v>
      </x:c>
      <x:c r="J397" s="48" t="n">
        <x:v>0.837177202663595</x:v>
      </x:c>
      <x:c r="K397" s="48" t="n">
        <x:v>0.6112077554025495</x:v>
      </x:c>
      <x:c r="L397" s="48" t="n">
        <x:v>0.9696841312559302</x:v>
      </x:c>
      <x:c r="M397" s="48" t="n">
        <x:v>0.08813830311546161</x:v>
      </x:c>
      <x:c r="N397" s="48" t="n">
        <x:v>0.755041341899962</x:v>
      </x:c>
      <x:c r="O397" s="48" t="n">
        <x:v>1</x:v>
      </x:c>
      <x:c r="P397" s="48" t="n">
        <x:v>1</x:v>
      </x:c>
      <x:c r="Q397" s="48" t="n">
        <x:v>1</x:v>
      </x:c>
      <x:c r="R397" s="48" t="n">
        <x:v>1</x:v>
      </x:c>
      <x:c r="S397" s="29" t="n">
        <x:v>1</x:v>
      </x:c>
    </x:row>
    <x:row r="398" ht="21.600000381469727" hidden="0" customHeight="1">
      <x:c r="A398" s="27" t="n">
        <x:v>132</x:v>
      </x:c>
      <x:c r="B398" s="27" t="str">
        <x:v>A1</x:v>
      </x:c>
      <x:c r="C398" s="47" t="n">
        <x:v>1.0984858577099437</x:v>
      </x:c>
      <x:c r="D398" s="47" t="n">
        <x:v>0.7389775860789974</x:v>
      </x:c>
      <x:c r="E398" s="47" t="n">
        <x:v>0.5386627995946769</x:v>
      </x:c>
      <x:c r="F398" s="47" t="n">
        <x:v>-0.11062619325648922</x:v>
      </x:c>
      <x:c r="G398" s="47" t="n">
        <x:v>-0.042127917492096406</x:v>
      </x:c>
      <x:c r="H398" s="47" t="n">
        <x:v>0.6120077906695942</x:v>
      </x:c>
      <x:c r="I398" s="47" t="n">
        <x:v>0.7810315776314356</x:v>
      </x:c>
      <x:c r="J398" s="47" t="n">
        <x:v>0.5638969289285568</x:v>
      </x:c>
      <x:c r="K398" s="47" t="n">
        <x:v>0.6929794199379098</x:v>
      </x:c>
      <x:c r="L398" s="47" t="n">
        <x:v>0.6632618054262297</x:v>
      </x:c>
      <x:c r="M398" s="47" t="n">
        <x:v>0.016882744904825935</x:v>
      </x:c>
      <x:c r="N398" s="47" t="n">
        <x:v>0.9664651698681603</x:v>
      </x:c>
      <x:c r="O398" s="47" t="n">
        <x:v>0.7416021430742998</x:v>
      </x:c>
      <x:c r="P398" s="47" t="n">
        <x:v>0.4550148100695348</x:v>
      </x:c>
      <x:c r="Q398" s="47" t="n">
        <x:v>0.9389003112731386</x:v>
      </x:c>
      <x:c r="R398" s="47" t="n">
        <x:v>0.6815992117598736</x:v>
      </x:c>
      <x:c r="S398" s="27" t="n">
        <x:v>0</x:v>
      </x:c>
    </x:row>
    <x:row r="399" ht="21.600000381469727" hidden="0" customHeight="1">
      <x:c r="A399" s="29" t="n">
        <x:v>132</x:v>
      </x:c>
      <x:c r="B399" s="29" t="str">
        <x:v>A2</x:v>
      </x:c>
      <x:c r="C399" s="48" t="n">
        <x:v>1.0984858577099437</x:v>
      </x:c>
      <x:c r="D399" s="48" t="n">
        <x:v>0.7389775860789974</x:v>
      </x:c>
      <x:c r="E399" s="48" t="n">
        <x:v>0.5386627995946769</x:v>
      </x:c>
      <x:c r="F399" s="48" t="n">
        <x:v>-0.11062619325648922</x:v>
      </x:c>
      <x:c r="G399" s="48" t="n">
        <x:v>-0.042127917492096406</x:v>
      </x:c>
      <x:c r="H399" s="48" t="n">
        <x:v>0.6120077906695942</x:v>
      </x:c>
      <x:c r="I399" s="48" t="n">
        <x:v>0.7810315776314356</x:v>
      </x:c>
      <x:c r="J399" s="48" t="n">
        <x:v>0.5638969289285568</x:v>
      </x:c>
      <x:c r="K399" s="48" t="n">
        <x:v>0.6929794199379098</x:v>
      </x:c>
      <x:c r="L399" s="48" t="n">
        <x:v>0.6632618054262297</x:v>
      </x:c>
      <x:c r="M399" s="48" t="n">
        <x:v>0.016882744904825935</x:v>
      </x:c>
      <x:c r="N399" s="48" t="n">
        <x:v>0.9664651698681603</x:v>
      </x:c>
      <x:c r="O399" s="48" t="n">
        <x:v>0.8189311344306046</x:v>
      </x:c>
      <x:c r="P399" s="48" t="n">
        <x:v>0.4554245276779667</x:v>
      </x:c>
      <x:c r="Q399" s="48" t="n">
        <x:v>1</x:v>
      </x:c>
      <x:c r="R399" s="48" t="n">
        <x:v>0.7764083709496258</x:v>
      </x:c>
      <x:c r="S399" s="29" t="n">
        <x:v>0</x:v>
      </x:c>
    </x:row>
    <x:row r="400" ht="21.600000381469727" hidden="0" customHeight="1">
      <x:c r="A400" s="27" t="n">
        <x:v>132</x:v>
      </x:c>
      <x:c r="B400" s="27" t="str">
        <x:v>A3</x:v>
      </x:c>
      <x:c r="C400" s="47" t="n">
        <x:v>1.0984858577099437</x:v>
      </x:c>
      <x:c r="D400" s="47" t="n">
        <x:v>0.7389775860789974</x:v>
      </x:c>
      <x:c r="E400" s="47" t="n">
        <x:v>0.5386627995946769</x:v>
      </x:c>
      <x:c r="F400" s="47" t="n">
        <x:v>-0.11062619325648922</x:v>
      </x:c>
      <x:c r="G400" s="47" t="n">
        <x:v>-0.042127917492096406</x:v>
      </x:c>
      <x:c r="H400" s="47" t="n">
        <x:v>0.6120077906695942</x:v>
      </x:c>
      <x:c r="I400" s="47" t="n">
        <x:v>0.7810315776314356</x:v>
      </x:c>
      <x:c r="J400" s="47" t="n">
        <x:v>0.5638969289285568</x:v>
      </x:c>
      <x:c r="K400" s="47" t="n">
        <x:v>0.6929794199379098</x:v>
      </x:c>
      <x:c r="L400" s="47" t="n">
        <x:v>0.6632618054262297</x:v>
      </x:c>
      <x:c r="M400" s="47" t="n">
        <x:v>0.016882744904825935</x:v>
      </x:c>
      <x:c r="N400" s="47" t="n">
        <x:v>0.9664651698681603</x:v>
      </x:c>
      <x:c r="O400" s="47" t="n">
        <x:v>1.0000000000000002</x:v>
      </x:c>
      <x:c r="P400" s="47" t="n">
        <x:v>1</x:v>
      </x:c>
      <x:c r="Q400" s="47" t="n">
        <x:v>1</x:v>
      </x:c>
      <x:c r="R400" s="47" t="n">
        <x:v>1</x:v>
      </x:c>
      <x:c r="S400" s="27" t="n">
        <x:v>1</x:v>
      </x:c>
    </x:row>
    <x:row r="401" ht="21.600000381469727" hidden="0" customHeight="1">
      <x:c r="A401" s="29" t="n">
        <x:v>133</x:v>
      </x:c>
      <x:c r="B401" s="29" t="str">
        <x:v>A1</x:v>
      </x:c>
      <x:c r="C401" s="48" t="n">
        <x:v>0.9143431207591818</x:v>
      </x:c>
      <x:c r="D401" s="48" t="n">
        <x:v>0.8428791032198901</x:v>
      </x:c>
      <x:c r="E401" s="48" t="n">
        <x:v>0.7522051885643961</x:v>
      </x:c>
      <x:c r="F401" s="48" t="n">
        <x:v>-0.0713702109377995</x:v>
      </x:c>
      <x:c r="G401" s="48" t="n">
        <x:v>0.011914536354855482</x:v>
      </x:c>
      <x:c r="H401" s="48" t="n">
        <x:v>0.5697608331586774</x:v>
      </x:c>
      <x:c r="I401" s="48" t="n">
        <x:v>0.7952651233902791</x:v>
      </x:c>
      <x:c r="J401" s="48" t="n">
        <x:v>0.6380793468787147</x:v>
      </x:c>
      <x:c r="K401" s="48" t="n">
        <x:v>0.8493031153730094</x:v>
      </x:c>
      <x:c r="L401" s="48" t="n">
        <x:v>0.6745573379538631</x:v>
      </x:c>
      <x:c r="M401" s="48" t="n">
        <x:v>0.12515271415758575</x:v>
      </x:c>
      <x:c r="N401" s="48" t="n">
        <x:v>0.8625410206281743</x:v>
      </x:c>
      <x:c r="O401" s="48" t="n">
        <x:v>0.8952816392614068</x:v>
      </x:c>
      <x:c r="P401" s="48" t="n">
        <x:v>0.56389063836504</x:v>
      </x:c>
      <x:c r="Q401" s="48" t="n">
        <x:v>1</x:v>
      </x:c>
      <x:c r="R401" s="48" t="n">
        <x:v>0.8706892607108468</x:v>
      </x:c>
      <x:c r="S401" s="29" t="n">
        <x:v>0</x:v>
      </x:c>
    </x:row>
    <x:row r="402" ht="21.600000381469727" hidden="0" customHeight="1">
      <x:c r="A402" s="27" t="n">
        <x:v>133</x:v>
      </x:c>
      <x:c r="B402" s="27" t="str">
        <x:v>A2</x:v>
      </x:c>
      <x:c r="C402" s="47" t="n">
        <x:v>0.9143431207591818</x:v>
      </x:c>
      <x:c r="D402" s="47" t="n">
        <x:v>0.8428791032198901</x:v>
      </x:c>
      <x:c r="E402" s="47" t="n">
        <x:v>0.7522051885643961</x:v>
      </x:c>
      <x:c r="F402" s="47" t="n">
        <x:v>-0.0713702109377995</x:v>
      </x:c>
      <x:c r="G402" s="47" t="n">
        <x:v>0.011914536354855482</x:v>
      </x:c>
      <x:c r="H402" s="47" t="n">
        <x:v>0.5697608331586774</x:v>
      </x:c>
      <x:c r="I402" s="47" t="n">
        <x:v>0.7952651233902791</x:v>
      </x:c>
      <x:c r="J402" s="47" t="n">
        <x:v>0.6380793468787147</x:v>
      </x:c>
      <x:c r="K402" s="47" t="n">
        <x:v>0.8493031153730094</x:v>
      </x:c>
      <x:c r="L402" s="47" t="n">
        <x:v>0.6745573379538631</x:v>
      </x:c>
      <x:c r="M402" s="47" t="n">
        <x:v>0.12515271415758575</x:v>
      </x:c>
      <x:c r="N402" s="47" t="n">
        <x:v>0.8625410206281743</x:v>
      </x:c>
      <x:c r="O402" s="47" t="n">
        <x:v>0.9648422224418421</x:v>
      </x:c>
      <x:c r="P402" s="47" t="n">
        <x:v>0.7786576138855379</x:v>
      </x:c>
      <x:c r="Q402" s="47" t="n">
        <x:v>1</x:v>
      </x:c>
      <x:c r="R402" s="47" t="n">
        <x:v>0.9565856629559186</x:v>
      </x:c>
      <x:c r="S402" s="27" t="n">
        <x:v>0</x:v>
      </x:c>
    </x:row>
    <x:row r="403" ht="21.600000381469727" hidden="0" customHeight="1">
      <x:c r="A403" s="29" t="n">
        <x:v>133</x:v>
      </x:c>
      <x:c r="B403" s="29" t="str">
        <x:v>A3</x:v>
      </x:c>
      <x:c r="C403" s="48" t="n">
        <x:v>0.9143431207591818</x:v>
      </x:c>
      <x:c r="D403" s="48" t="n">
        <x:v>0.8428791032198901</x:v>
      </x:c>
      <x:c r="E403" s="48" t="n">
        <x:v>0.7522051885643961</x:v>
      </x:c>
      <x:c r="F403" s="48" t="n">
        <x:v>-0.0713702109377995</x:v>
      </x:c>
      <x:c r="G403" s="48" t="n">
        <x:v>0.011914536354855482</x:v>
      </x:c>
      <x:c r="H403" s="48" t="n">
        <x:v>0.5697608331586774</x:v>
      </x:c>
      <x:c r="I403" s="48" t="n">
        <x:v>0.7952651233902791</x:v>
      </x:c>
      <x:c r="J403" s="48" t="n">
        <x:v>0.6380793468787147</x:v>
      </x:c>
      <x:c r="K403" s="48" t="n">
        <x:v>0.8493031153730094</x:v>
      </x:c>
      <x:c r="L403" s="48" t="n">
        <x:v>0.6745573379538631</x:v>
      </x:c>
      <x:c r="M403" s="48" t="n">
        <x:v>0.12515271415758575</x:v>
      </x:c>
      <x:c r="N403" s="48" t="n">
        <x:v>0.8625410206281743</x:v>
      </x:c>
      <x:c r="O403" s="48" t="n">
        <x:v>1</x:v>
      </x:c>
      <x:c r="P403" s="48" t="n">
        <x:v>1</x:v>
      </x:c>
      <x:c r="Q403" s="48" t="n">
        <x:v>1</x:v>
      </x:c>
      <x:c r="R403" s="48" t="n">
        <x:v>1.0000000000000002</x:v>
      </x:c>
      <x:c r="S403" s="29" t="n">
        <x:v>1</x:v>
      </x:c>
    </x:row>
    <x:row r="404" ht="21.600000381469727" hidden="0" customHeight="1">
      <x:c r="A404" s="27" t="n">
        <x:v>134</x:v>
      </x:c>
      <x:c r="B404" s="27" t="str">
        <x:v>A1</x:v>
      </x:c>
      <x:c r="C404" s="47" t="n">
        <x:v>1.2902711785986485</x:v>
      </x:c>
      <x:c r="D404" s="47" t="n">
        <x:v>0.8605417482463151</x:v>
      </x:c>
      <x:c r="E404" s="47" t="n">
        <x:v>0.732977211815693</x:v>
      </x:c>
      <x:c r="F404" s="47" t="n">
        <x:v>-0.17240405743713882</x:v>
      </x:c>
      <x:c r="G404" s="47" t="n">
        <x:v>-0.1700975910282233</x:v>
      </x:c>
      <x:c r="H404" s="47" t="n">
        <x:v>1.0345522010912322</x:v>
      </x:c>
      <x:c r="I404" s="47" t="n">
        <x:v>1.0141839526021297</x:v>
      </x:c>
      <x:c r="J404" s="47" t="n">
        <x:v>0.7260368872449932</x:v>
      </x:c>
      <x:c r="K404" s="47" t="n">
        <x:v>0.790969924691443</x:v>
      </x:c>
      <x:c r="L404" s="47" t="n">
        <x:v>0.8947097723317511</x:v>
      </x:c>
      <x:c r="M404" s="47" t="n">
        <x:v>0.14372666511693896</x:v>
      </x:c>
      <x:c r="N404" s="47" t="n">
        <x:v>0.7128846268308627</x:v>
      </x:c>
      <x:c r="O404" s="47" t="n">
        <x:v>0.802051384859868</x:v>
      </x:c>
      <x:c r="P404" s="47" t="n">
        <x:v>0.44351860453467307</x:v>
      </x:c>
      <x:c r="Q404" s="47" t="n">
        <x:v>0.9999999999999998</x:v>
      </x:c>
      <x:c r="R404" s="47" t="n">
        <x:v>0.7555645296154738</x:v>
      </x:c>
      <x:c r="S404" s="27" t="n">
        <x:v>0</x:v>
      </x:c>
    </x:row>
    <x:row r="405" ht="21.600000381469727" hidden="0" customHeight="1">
      <x:c r="A405" s="29" t="n">
        <x:v>134</x:v>
      </x:c>
      <x:c r="B405" s="29" t="str">
        <x:v>A2</x:v>
      </x:c>
      <x:c r="C405" s="48" t="n">
        <x:v>1.2902711785986485</x:v>
      </x:c>
      <x:c r="D405" s="48" t="n">
        <x:v>0.8605417482463151</x:v>
      </x:c>
      <x:c r="E405" s="48" t="n">
        <x:v>0.732977211815693</x:v>
      </x:c>
      <x:c r="F405" s="48" t="n">
        <x:v>-0.17240405743713882</x:v>
      </x:c>
      <x:c r="G405" s="48" t="n">
        <x:v>-0.1700975910282233</x:v>
      </x:c>
      <x:c r="H405" s="48" t="n">
        <x:v>1.0345522010912322</x:v>
      </x:c>
      <x:c r="I405" s="48" t="n">
        <x:v>1.0141839526021297</x:v>
      </x:c>
      <x:c r="J405" s="48" t="n">
        <x:v>0.7260368872449932</x:v>
      </x:c>
      <x:c r="K405" s="48" t="n">
        <x:v>0.790969924691443</x:v>
      </x:c>
      <x:c r="L405" s="48" t="n">
        <x:v>0.8947097723317511</x:v>
      </x:c>
      <x:c r="M405" s="48" t="n">
        <x:v>0.14372666511693896</x:v>
      </x:c>
      <x:c r="N405" s="48" t="n">
        <x:v>0.7128846268308627</x:v>
      </x:c>
      <x:c r="O405" s="48" t="n">
        <x:v>0.8855923771169842</x:v>
      </x:c>
      <x:c r="P405" s="48" t="n">
        <x:v>0.563647361075296</x:v>
      </x:c>
      <x:c r="Q405" s="48" t="n">
        <x:v>1</x:v>
      </x:c>
      <x:c r="R405" s="48" t="n">
        <x:v>0.8587245427547537</x:v>
      </x:c>
      <x:c r="S405" s="29" t="n">
        <x:v>0</x:v>
      </x:c>
    </x:row>
    <x:row r="406" ht="21.600000381469727" hidden="0" customHeight="1">
      <x:c r="A406" s="27" t="n">
        <x:v>134</x:v>
      </x:c>
      <x:c r="B406" s="27" t="str">
        <x:v>A3</x:v>
      </x:c>
      <x:c r="C406" s="47" t="n">
        <x:v>1.2902711785986485</x:v>
      </x:c>
      <x:c r="D406" s="47" t="n">
        <x:v>0.8605417482463151</x:v>
      </x:c>
      <x:c r="E406" s="47" t="n">
        <x:v>0.732977211815693</x:v>
      </x:c>
      <x:c r="F406" s="47" t="n">
        <x:v>-0.17240405743713882</x:v>
      </x:c>
      <x:c r="G406" s="47" t="n">
        <x:v>-0.1700975910282233</x:v>
      </x:c>
      <x:c r="H406" s="47" t="n">
        <x:v>1.0345522010912322</x:v>
      </x:c>
      <x:c r="I406" s="47" t="n">
        <x:v>1.0141839526021297</x:v>
      </x:c>
      <x:c r="J406" s="47" t="n">
        <x:v>0.7260368872449932</x:v>
      </x:c>
      <x:c r="K406" s="47" t="n">
        <x:v>0.790969924691443</x:v>
      </x:c>
      <x:c r="L406" s="47" t="n">
        <x:v>0.8947097723317511</x:v>
      </x:c>
      <x:c r="M406" s="47" t="n">
        <x:v>0.14372666511693896</x:v>
      </x:c>
      <x:c r="N406" s="47" t="n">
        <x:v>0.7128846268308627</x:v>
      </x:c>
      <x:c r="O406" s="47" t="n">
        <x:v>1</x:v>
      </x:c>
      <x:c r="P406" s="47" t="n">
        <x:v>1</x:v>
      </x:c>
      <x:c r="Q406" s="47" t="n">
        <x:v>1</x:v>
      </x:c>
      <x:c r="R406" s="47" t="n">
        <x:v>1</x:v>
      </x:c>
      <x:c r="S406" s="27" t="n">
        <x:v>1</x:v>
      </x:c>
    </x:row>
    <x:row r="407" ht="21.600000381469727" hidden="0" customHeight="1">
      <x:c r="A407" s="29" t="n">
        <x:v>135</x:v>
      </x:c>
      <x:c r="B407" s="29" t="str">
        <x:v>A1</x:v>
      </x:c>
      <x:c r="C407" s="48" t="n">
        <x:v>1.3064051573826643</x:v>
      </x:c>
      <x:c r="D407" s="48" t="n">
        <x:v>0.852223867527373</x:v>
      </x:c>
      <x:c r="E407" s="48" t="n">
        <x:v>0.7119644155155721</x:v>
      </x:c>
      <x:c r="F407" s="48" t="n">
        <x:v>-0.16482925577248347</x:v>
      </x:c>
      <x:c r="G407" s="48" t="n">
        <x:v>-0.10208331845869166</x:v>
      </x:c>
      <x:c r="H407" s="48" t="n">
        <x:v>0.4130333952534968</x:v>
      </x:c>
      <x:c r="I407" s="48" t="n">
        <x:v>0.8398430625554436</x:v>
      </x:c>
      <x:c r="J407" s="48" t="n">
        <x:v>0.5561551117770227</x:v>
      </x:c>
      <x:c r="K407" s="48" t="n">
        <x:v>0.5583721745989967</x:v>
      </x:c>
      <x:c r="L407" s="48" t="n">
        <x:v>0.9009929101343648</x:v>
      </x:c>
      <x:c r="M407" s="48" t="n">
        <x:v>0.17611274523959258</x:v>
      </x:c>
      <x:c r="N407" s="48" t="n">
        <x:v>0.7233090608364776</x:v>
      </x:c>
      <x:c r="O407" s="48" t="n">
        <x:v>0.782789338573622</x:v>
      </x:c>
      <x:c r="P407" s="48" t="n">
        <x:v>0.4950709873670185</x:v>
      </x:c>
      <x:c r="Q407" s="48" t="n">
        <x:v>1</x:v>
      </x:c>
      <x:c r="R407" s="48" t="n">
        <x:v>0.7317789257545227</x:v>
      </x:c>
      <x:c r="S407" s="29" t="n">
        <x:v>0</x:v>
      </x:c>
    </x:row>
    <x:row r="408" ht="21.600000381469727" hidden="0" customHeight="1">
      <x:c r="A408" s="27" t="n">
        <x:v>135</x:v>
      </x:c>
      <x:c r="B408" s="27" t="str">
        <x:v>A2</x:v>
      </x:c>
      <x:c r="C408" s="47" t="n">
        <x:v>1.3064051573826643</x:v>
      </x:c>
      <x:c r="D408" s="47" t="n">
        <x:v>0.852223867527373</x:v>
      </x:c>
      <x:c r="E408" s="47" t="n">
        <x:v>0.7119644155155721</x:v>
      </x:c>
      <x:c r="F408" s="47" t="n">
        <x:v>-0.16482925577248347</x:v>
      </x:c>
      <x:c r="G408" s="47" t="n">
        <x:v>-0.10208331845869166</x:v>
      </x:c>
      <x:c r="H408" s="47" t="n">
        <x:v>0.4130333952534968</x:v>
      </x:c>
      <x:c r="I408" s="47" t="n">
        <x:v>0.8398430625554436</x:v>
      </x:c>
      <x:c r="J408" s="47" t="n">
        <x:v>0.5561551117770227</x:v>
      </x:c>
      <x:c r="K408" s="47" t="n">
        <x:v>0.5583721745989967</x:v>
      </x:c>
      <x:c r="L408" s="47" t="n">
        <x:v>0.9009929101343648</x:v>
      </x:c>
      <x:c r="M408" s="47" t="n">
        <x:v>0.17611274523959258</x:v>
      </x:c>
      <x:c r="N408" s="47" t="n">
        <x:v>0.7233090608364776</x:v>
      </x:c>
      <x:c r="O408" s="47" t="n">
        <x:v>0.8511870892316677</x:v>
      </x:c>
      <x:c r="P408" s="47" t="n">
        <x:v>0.5165104130216238</x:v>
      </x:c>
      <x:c r="Q408" s="47" t="n">
        <x:v>1</x:v>
      </x:c>
      <x:c r="R408" s="47" t="n">
        <x:v>0.8162394123485174</x:v>
      </x:c>
      <x:c r="S408" s="27" t="n">
        <x:v>0</x:v>
      </x:c>
    </x:row>
    <x:row r="409" ht="21.600000381469727" hidden="0" customHeight="1">
      <x:c r="A409" s="29" t="n">
        <x:v>135</x:v>
      </x:c>
      <x:c r="B409" s="29" t="str">
        <x:v>A3</x:v>
      </x:c>
      <x:c r="C409" s="48" t="n">
        <x:v>1.3064051573826643</x:v>
      </x:c>
      <x:c r="D409" s="48" t="n">
        <x:v>0.852223867527373</x:v>
      </x:c>
      <x:c r="E409" s="48" t="n">
        <x:v>0.7119644155155721</x:v>
      </x:c>
      <x:c r="F409" s="48" t="n">
        <x:v>-0.16482925577248347</x:v>
      </x:c>
      <x:c r="G409" s="48" t="n">
        <x:v>-0.10208331845869166</x:v>
      </x:c>
      <x:c r="H409" s="48" t="n">
        <x:v>0.4130333952534968</x:v>
      </x:c>
      <x:c r="I409" s="48" t="n">
        <x:v>0.8398430625554436</x:v>
      </x:c>
      <x:c r="J409" s="48" t="n">
        <x:v>0.5561551117770227</x:v>
      </x:c>
      <x:c r="K409" s="48" t="n">
        <x:v>0.5583721745989967</x:v>
      </x:c>
      <x:c r="L409" s="48" t="n">
        <x:v>0.9009929101343648</x:v>
      </x:c>
      <x:c r="M409" s="48" t="n">
        <x:v>0.17611274523959258</x:v>
      </x:c>
      <x:c r="N409" s="48" t="n">
        <x:v>0.7233090608364776</x:v>
      </x:c>
      <x:c r="O409" s="48" t="n">
        <x:v>1</x:v>
      </x:c>
      <x:c r="P409" s="48" t="n">
        <x:v>1</x:v>
      </x:c>
      <x:c r="Q409" s="48" t="n">
        <x:v>1</x:v>
      </x:c>
      <x:c r="R409" s="48" t="n">
        <x:v>1</x:v>
      </x:c>
      <x:c r="S409" s="29" t="n">
        <x:v>1</x:v>
      </x:c>
    </x:row>
    <x:row r="410" ht="21.600000381469727" hidden="0" customHeight="1">
      <x:c r="A410" s="27" t="n">
        <x:v>136</x:v>
      </x:c>
      <x:c r="B410" s="27" t="str">
        <x:v>A1</x:v>
      </x:c>
      <x:c r="C410" s="47" t="n">
        <x:v>1.2102586529297006</x:v>
      </x:c>
      <x:c r="D410" s="47" t="n">
        <x:v>0.8191008700258733</x:v>
      </x:c>
      <x:c r="E410" s="47" t="n">
        <x:v>0.9011477885503401</x:v>
      </x:c>
      <x:c r="F410" s="47" t="n">
        <x:v>-0.0475655000069706</x:v>
      </x:c>
      <x:c r="G410" s="47" t="n">
        <x:v>-0.12085850372928335</x:v>
      </x:c>
      <x:c r="H410" s="47" t="n">
        <x:v>0.39858739739987437</x:v>
      </x:c>
      <x:c r="I410" s="47" t="n">
        <x:v>0.9899695574378797</x:v>
      </x:c>
      <x:c r="J410" s="47" t="n">
        <x:v>0.7992698181511615</x:v>
      </x:c>
      <x:c r="K410" s="47" t="n">
        <x:v>0.8133394186589362</x:v>
      </x:c>
      <x:c r="L410" s="47" t="n">
        <x:v>0.5321889849673089</x:v>
      </x:c>
      <x:c r="M410" s="47" t="n">
        <x:v>0.1643430449754935</x:v>
      </x:c>
      <x:c r="N410" s="47" t="n">
        <x:v>0.6570276771236324</x:v>
      </x:c>
      <x:c r="O410" s="47" t="n">
        <x:v>0.7838697570537987</x:v>
      </x:c>
      <x:c r="P410" s="47" t="n">
        <x:v>0.46673129555294124</x:v>
      </x:c>
      <x:c r="Q410" s="47" t="n">
        <x:v>0.8560069967019024</x:v>
      </x:c>
      <x:c r="R410" s="47" t="n">
        <x:v>0.7366916577291145</x:v>
      </x:c>
      <x:c r="S410" s="27" t="n">
        <x:v>0</x:v>
      </x:c>
    </x:row>
    <x:row r="411" ht="21.600000381469727" hidden="0" customHeight="1">
      <x:c r="A411" s="29" t="n">
        <x:v>136</x:v>
      </x:c>
      <x:c r="B411" s="29" t="str">
        <x:v>A2</x:v>
      </x:c>
      <x:c r="C411" s="48" t="n">
        <x:v>1.2102586529297006</x:v>
      </x:c>
      <x:c r="D411" s="48" t="n">
        <x:v>0.8191008700258733</x:v>
      </x:c>
      <x:c r="E411" s="48" t="n">
        <x:v>0.9011477885503401</x:v>
      </x:c>
      <x:c r="F411" s="48" t="n">
        <x:v>-0.0475655000069706</x:v>
      </x:c>
      <x:c r="G411" s="48" t="n">
        <x:v>-0.12085850372928335</x:v>
      </x:c>
      <x:c r="H411" s="48" t="n">
        <x:v>0.39858739739987437</x:v>
      </x:c>
      <x:c r="I411" s="48" t="n">
        <x:v>0.9899695574378797</x:v>
      </x:c>
      <x:c r="J411" s="48" t="n">
        <x:v>0.7992698181511615</x:v>
      </x:c>
      <x:c r="K411" s="48" t="n">
        <x:v>0.8133394186589362</x:v>
      </x:c>
      <x:c r="L411" s="48" t="n">
        <x:v>0.5321889849673089</x:v>
      </x:c>
      <x:c r="M411" s="48" t="n">
        <x:v>0.1643430449754935</x:v>
      </x:c>
      <x:c r="N411" s="48" t="n">
        <x:v>0.6570276771236324</x:v>
      </x:c>
      <x:c r="O411" s="48" t="n">
        <x:v>0.8696148167309464</x:v>
      </x:c>
      <x:c r="P411" s="48" t="n">
        <x:v>0.5262683770173223</x:v>
      </x:c>
      <x:c r="Q411" s="48" t="n">
        <x:v>1</x:v>
      </x:c>
      <x:c r="R411" s="48" t="n">
        <x:v>0.8389947634592859</x:v>
      </x:c>
      <x:c r="S411" s="29" t="n">
        <x:v>0</x:v>
      </x:c>
    </x:row>
    <x:row r="412" ht="21.600000381469727" hidden="0" customHeight="1">
      <x:c r="A412" s="27" t="n">
        <x:v>136</x:v>
      </x:c>
      <x:c r="B412" s="27" t="str">
        <x:v>A3</x:v>
      </x:c>
      <x:c r="C412" s="47" t="n">
        <x:v>1.2102586529297006</x:v>
      </x:c>
      <x:c r="D412" s="47" t="n">
        <x:v>0.8191008700258733</x:v>
      </x:c>
      <x:c r="E412" s="47" t="n">
        <x:v>0.9011477885503401</x:v>
      </x:c>
      <x:c r="F412" s="47" t="n">
        <x:v>-0.0475655000069706</x:v>
      </x:c>
      <x:c r="G412" s="47" t="n">
        <x:v>-0.12085850372928335</x:v>
      </x:c>
      <x:c r="H412" s="47" t="n">
        <x:v>0.39858739739987437</x:v>
      </x:c>
      <x:c r="I412" s="47" t="n">
        <x:v>0.9899695574378797</x:v>
      </x:c>
      <x:c r="J412" s="47" t="n">
        <x:v>0.7992698181511615</x:v>
      </x:c>
      <x:c r="K412" s="47" t="n">
        <x:v>0.8133394186589362</x:v>
      </x:c>
      <x:c r="L412" s="47" t="n">
        <x:v>0.5321889849673089</x:v>
      </x:c>
      <x:c r="M412" s="47" t="n">
        <x:v>0.1643430449754935</x:v>
      </x:c>
      <x:c r="N412" s="47" t="n">
        <x:v>0.6570276771236324</x:v>
      </x:c>
      <x:c r="O412" s="47" t="n">
        <x:v>1</x:v>
      </x:c>
      <x:c r="P412" s="47" t="n">
        <x:v>1</x:v>
      </x:c>
      <x:c r="Q412" s="47" t="n">
        <x:v>1</x:v>
      </x:c>
      <x:c r="R412" s="47" t="n">
        <x:v>1.0000000000000002</x:v>
      </x:c>
      <x:c r="S412" s="27" t="n">
        <x:v>1</x:v>
      </x:c>
    </x:row>
    <x:row r="413" ht="21.600000381469727" hidden="0" customHeight="1">
      <x:c r="A413" s="29" t="n">
        <x:v>137</x:v>
      </x:c>
      <x:c r="B413" s="29" t="str">
        <x:v>A1</x:v>
      </x:c>
      <x:c r="C413" s="48" t="n">
        <x:v>1.3015991589723979</x:v>
      </x:c>
      <x:c r="D413" s="48" t="n">
        <x:v>0.752160761486914</x:v>
      </x:c>
      <x:c r="E413" s="48" t="n">
        <x:v>1.066928151965744</x:v>
      </x:c>
      <x:c r="F413" s="48" t="n">
        <x:v>-0.16074292924455008</x:v>
      </x:c>
      <x:c r="G413" s="48" t="n">
        <x:v>-0.019131696565323902</x:v>
      </x:c>
      <x:c r="H413" s="48" t="n">
        <x:v>1.0517455598890926</x:v>
      </x:c>
      <x:c r="I413" s="48" t="n">
        <x:v>0.6081855834630153</x:v>
      </x:c>
      <x:c r="J413" s="48" t="n">
        <x:v>0.9391594056371363</x:v>
      </x:c>
      <x:c r="K413" s="48" t="n">
        <x:v>0.8406116383374879</x:v>
      </x:c>
      <x:c r="L413" s="48" t="n">
        <x:v>0.6812729179413446</x:v>
      </x:c>
      <x:c r="M413" s="48" t="n">
        <x:v>0.16611613037226947</x:v>
      </x:c>
      <x:c r="N413" s="48" t="n">
        <x:v>0.9732914791553404</x:v>
      </x:c>
      <x:c r="O413" s="48" t="n">
        <x:v>0.7395251274512039</x:v>
      </x:c>
      <x:c r="P413" s="48" t="n">
        <x:v>0.4444529321231648</x:v>
      </x:c>
      <x:c r="Q413" s="48" t="n">
        <x:v>0.9242024219982975</x:v>
      </x:c>
      <x:c r="R413" s="48" t="n">
        <x:v>0.6789173531247483</x:v>
      </x:c>
      <x:c r="S413" s="29" t="n">
        <x:v>0</x:v>
      </x:c>
    </x:row>
    <x:row r="414" ht="21.600000381469727" hidden="0" customHeight="1">
      <x:c r="A414" s="27" t="n">
        <x:v>137</x:v>
      </x:c>
      <x:c r="B414" s="27" t="str">
        <x:v>A2</x:v>
      </x:c>
      <x:c r="C414" s="47" t="n">
        <x:v>1.3015991589723979</x:v>
      </x:c>
      <x:c r="D414" s="47" t="n">
        <x:v>0.752160761486914</x:v>
      </x:c>
      <x:c r="E414" s="47" t="n">
        <x:v>1.066928151965744</x:v>
      </x:c>
      <x:c r="F414" s="47" t="n">
        <x:v>-0.16074292924455008</x:v>
      </x:c>
      <x:c r="G414" s="47" t="n">
        <x:v>-0.019131696565323902</x:v>
      </x:c>
      <x:c r="H414" s="47" t="n">
        <x:v>1.0517455598890926</x:v>
      </x:c>
      <x:c r="I414" s="47" t="n">
        <x:v>0.6081855834630153</x:v>
      </x:c>
      <x:c r="J414" s="47" t="n">
        <x:v>0.9391594056371363</x:v>
      </x:c>
      <x:c r="K414" s="47" t="n">
        <x:v>0.8406116383374879</x:v>
      </x:c>
      <x:c r="L414" s="47" t="n">
        <x:v>0.6812729179413446</x:v>
      </x:c>
      <x:c r="M414" s="47" t="n">
        <x:v>0.16611613037226947</x:v>
      </x:c>
      <x:c r="N414" s="47" t="n">
        <x:v>0.9732914791553404</x:v>
      </x:c>
      <x:c r="O414" s="47" t="n">
        <x:v>0.8315504416879709</x:v>
      </x:c>
      <x:c r="P414" s="47" t="n">
        <x:v>0.4807973597876422</x:v>
      </x:c>
      <x:c r="Q414" s="47" t="n">
        <x:v>1</x:v>
      </x:c>
      <x:c r="R414" s="47" t="n">
        <x:v>0.7919912347307012</x:v>
      </x:c>
      <x:c r="S414" s="27" t="n">
        <x:v>0</x:v>
      </x:c>
    </x:row>
    <x:row r="415" ht="21.600000381469727" hidden="0" customHeight="1">
      <x:c r="A415" s="29" t="n">
        <x:v>137</x:v>
      </x:c>
      <x:c r="B415" s="29" t="str">
        <x:v>A3</x:v>
      </x:c>
      <x:c r="C415" s="48" t="n">
        <x:v>1.3015991589723979</x:v>
      </x:c>
      <x:c r="D415" s="48" t="n">
        <x:v>0.752160761486914</x:v>
      </x:c>
      <x:c r="E415" s="48" t="n">
        <x:v>1.066928151965744</x:v>
      </x:c>
      <x:c r="F415" s="48" t="n">
        <x:v>-0.16074292924455008</x:v>
      </x:c>
      <x:c r="G415" s="48" t="n">
        <x:v>-0.019131696565323902</x:v>
      </x:c>
      <x:c r="H415" s="48" t="n">
        <x:v>1.0517455598890926</x:v>
      </x:c>
      <x:c r="I415" s="48" t="n">
        <x:v>0.6081855834630153</x:v>
      </x:c>
      <x:c r="J415" s="48" t="n">
        <x:v>0.9391594056371363</x:v>
      </x:c>
      <x:c r="K415" s="48" t="n">
        <x:v>0.8406116383374879</x:v>
      </x:c>
      <x:c r="L415" s="48" t="n">
        <x:v>0.6812729179413446</x:v>
      </x:c>
      <x:c r="M415" s="48" t="n">
        <x:v>0.16611613037226947</x:v>
      </x:c>
      <x:c r="N415" s="48" t="n">
        <x:v>0.9732914791553404</x:v>
      </x:c>
      <x:c r="O415" s="48" t="n">
        <x:v>1</x:v>
      </x:c>
      <x:c r="P415" s="48" t="n">
        <x:v>1</x:v>
      </x:c>
      <x:c r="Q415" s="48" t="n">
        <x:v>1</x:v>
      </x:c>
      <x:c r="R415" s="48" t="n">
        <x:v>1</x:v>
      </x:c>
      <x:c r="S415" s="29" t="n">
        <x:v>1</x:v>
      </x:c>
    </x:row>
    <x:row r="416" ht="21.600000381469727" hidden="0" customHeight="1">
      <x:c r="A416" s="27" t="n">
        <x:v>138</x:v>
      </x:c>
      <x:c r="B416" s="27" t="str">
        <x:v>A1</x:v>
      </x:c>
      <x:c r="C416" s="47" t="n">
        <x:v>1.2640432649892837</x:v>
      </x:c>
      <x:c r="D416" s="47" t="n">
        <x:v>0.7829870410114972</x:v>
      </x:c>
      <x:c r="E416" s="47" t="n">
        <x:v>0.8489310896585345</x:v>
      </x:c>
      <x:c r="F416" s="47" t="n">
        <x:v>0.012698275371580053</x:v>
      </x:c>
      <x:c r="G416" s="47" t="n">
        <x:v>-0.17132171227086557</x:v>
      </x:c>
      <x:c r="H416" s="47" t="n">
        <x:v>0.8990595022388348</x:v>
      </x:c>
      <x:c r="I416" s="47" t="n">
        <x:v>0.908188439930949</x:v>
      </x:c>
      <x:c r="J416" s="47" t="n">
        <x:v>0.7960355520316055</x:v>
      </x:c>
      <x:c r="K416" s="47" t="n">
        <x:v>0.6573402248032874</x:v>
      </x:c>
      <x:c r="L416" s="47" t="n">
        <x:v>0.7044374409444814</x:v>
      </x:c>
      <x:c r="M416" s="47" t="n">
        <x:v>0.06244714514423515</x:v>
      </x:c>
      <x:c r="N416" s="47" t="n">
        <x:v>0.8736629698208708</x:v>
      </x:c>
      <x:c r="O416" s="47" t="n">
        <x:v>0.7287103429168413</x:v>
      </x:c>
      <x:c r="P416" s="47" t="n">
        <x:v>0.43575151958668606</x:v>
      </x:c>
      <x:c r="Q416" s="47" t="n">
        <x:v>0.9431717757387845</x:v>
      </x:c>
      <x:c r="R416" s="47" t="n">
        <x:v>0.6654219090634679</x:v>
      </x:c>
      <x:c r="S416" s="27" t="n">
        <x:v>0</x:v>
      </x:c>
    </x:row>
    <x:row r="417" ht="21.600000381469727" hidden="0" customHeight="1">
      <x:c r="A417" s="29" t="n">
        <x:v>138</x:v>
      </x:c>
      <x:c r="B417" s="29" t="str">
        <x:v>A2</x:v>
      </x:c>
      <x:c r="C417" s="48" t="n">
        <x:v>1.2640432649892837</x:v>
      </x:c>
      <x:c r="D417" s="48" t="n">
        <x:v>0.7829870410114972</x:v>
      </x:c>
      <x:c r="E417" s="48" t="n">
        <x:v>0.8489310896585345</x:v>
      </x:c>
      <x:c r="F417" s="48" t="n">
        <x:v>0.012698275371580053</x:v>
      </x:c>
      <x:c r="G417" s="48" t="n">
        <x:v>-0.17132171227086557</x:v>
      </x:c>
      <x:c r="H417" s="48" t="n">
        <x:v>0.8990595022388348</x:v>
      </x:c>
      <x:c r="I417" s="48" t="n">
        <x:v>0.908188439930949</x:v>
      </x:c>
      <x:c r="J417" s="48" t="n">
        <x:v>0.7960355520316055</x:v>
      </x:c>
      <x:c r="K417" s="48" t="n">
        <x:v>0.6573402248032874</x:v>
      </x:c>
      <x:c r="L417" s="48" t="n">
        <x:v>0.7044374409444814</x:v>
      </x:c>
      <x:c r="M417" s="48" t="n">
        <x:v>0.06244714514423515</x:v>
      </x:c>
      <x:c r="N417" s="48" t="n">
        <x:v>0.8736629698208708</x:v>
      </x:c>
      <x:c r="O417" s="48" t="n">
        <x:v>0.8045927324754347</x:v>
      </x:c>
      <x:c r="P417" s="48" t="n">
        <x:v>0.434332158803831</x:v>
      </x:c>
      <x:c r="Q417" s="48" t="n">
        <x:v>1</x:v>
      </x:c>
      <x:c r="R417" s="48" t="n">
        <x:v>0.758702695039778</x:v>
      </x:c>
      <x:c r="S417" s="29" t="n">
        <x:v>0</x:v>
      </x:c>
    </x:row>
    <x:row r="418" ht="21.600000381469727" hidden="0" customHeight="1">
      <x:c r="A418" s="27" t="n">
        <x:v>138</x:v>
      </x:c>
      <x:c r="B418" s="27" t="str">
        <x:v>A3</x:v>
      </x:c>
      <x:c r="C418" s="47" t="n">
        <x:v>1.2640432649892837</x:v>
      </x:c>
      <x:c r="D418" s="47" t="n">
        <x:v>0.7829870410114972</x:v>
      </x:c>
      <x:c r="E418" s="47" t="n">
        <x:v>0.8489310896585345</x:v>
      </x:c>
      <x:c r="F418" s="47" t="n">
        <x:v>0.012698275371580053</x:v>
      </x:c>
      <x:c r="G418" s="47" t="n">
        <x:v>-0.17132171227086557</x:v>
      </x:c>
      <x:c r="H418" s="47" t="n">
        <x:v>0.8990595022388348</x:v>
      </x:c>
      <x:c r="I418" s="47" t="n">
        <x:v>0.908188439930949</x:v>
      </x:c>
      <x:c r="J418" s="47" t="n">
        <x:v>0.7960355520316055</x:v>
      </x:c>
      <x:c r="K418" s="47" t="n">
        <x:v>0.6573402248032874</x:v>
      </x:c>
      <x:c r="L418" s="47" t="n">
        <x:v>0.7044374409444814</x:v>
      </x:c>
      <x:c r="M418" s="47" t="n">
        <x:v>0.06244714514423515</x:v>
      </x:c>
      <x:c r="N418" s="47" t="n">
        <x:v>0.8736629698208708</x:v>
      </x:c>
      <x:c r="O418" s="47" t="n">
        <x:v>1</x:v>
      </x:c>
      <x:c r="P418" s="47" t="n">
        <x:v>1</x:v>
      </x:c>
      <x:c r="Q418" s="47" t="n">
        <x:v>1</x:v>
      </x:c>
      <x:c r="R418" s="47" t="n">
        <x:v>1</x:v>
      </x:c>
      <x:c r="S418" s="27" t="n">
        <x:v>1</x:v>
      </x:c>
    </x:row>
    <x:row r="419" ht="21.600000381469727" hidden="0" customHeight="1">
      <x:c r="A419" s="29" t="n">
        <x:v>139</x:v>
      </x:c>
      <x:c r="B419" s="29" t="str">
        <x:v>A1</x:v>
      </x:c>
      <x:c r="C419" s="48" t="n">
        <x:v>0.9108306450025515</x:v>
      </x:c>
      <x:c r="D419" s="48" t="n">
        <x:v>0.9537678220167733</x:v>
      </x:c>
      <x:c r="E419" s="48" t="n">
        <x:v>0.9578676027261173</x:v>
      </x:c>
      <x:c r="F419" s="48" t="n">
        <x:v>-0.15952112470196333</x:v>
      </x:c>
      <x:c r="G419" s="48" t="n">
        <x:v>-0.01803095734779797</x:v>
      </x:c>
      <x:c r="H419" s="48" t="n">
        <x:v>0.7244120672308068</x:v>
      </x:c>
      <x:c r="I419" s="48" t="n">
        <x:v>0.9509098940602935</x:v>
      </x:c>
      <x:c r="J419" s="48" t="n">
        <x:v>0.599732963237374</x:v>
      </x:c>
      <x:c r="K419" s="48" t="n">
        <x:v>0.721581271479583</x:v>
      </x:c>
      <x:c r="L419" s="48" t="n">
        <x:v>0.9747098835773798</x:v>
      </x:c>
      <x:c r="M419" s="48" t="n">
        <x:v>0.17727930273127288</x:v>
      </x:c>
      <x:c r="N419" s="48" t="n">
        <x:v>0.655577925157741</x:v>
      </x:c>
      <x:c r="O419" s="48" t="n">
        <x:v>0.9693184671517</x:v>
      </x:c>
      <x:c r="P419" s="48" t="n">
        <x:v>0.823162263923419</x:v>
      </x:c>
      <x:c r="Q419" s="48" t="n">
        <x:v>1</x:v>
      </x:c>
      <x:c r="R419" s="48" t="n">
        <x:v>0.9621131225970773</x:v>
      </x:c>
      <x:c r="S419" s="29" t="n">
        <x:v>0</x:v>
      </x:c>
    </x:row>
    <x:row r="420" ht="21.600000381469727" hidden="0" customHeight="1">
      <x:c r="A420" s="27" t="n">
        <x:v>139</x:v>
      </x:c>
      <x:c r="B420" s="27" t="str">
        <x:v>A2</x:v>
      </x:c>
      <x:c r="C420" s="47" t="n">
        <x:v>0.9108306450025515</x:v>
      </x:c>
      <x:c r="D420" s="47" t="n">
        <x:v>0.9537678220167733</x:v>
      </x:c>
      <x:c r="E420" s="47" t="n">
        <x:v>0.9578676027261173</x:v>
      </x:c>
      <x:c r="F420" s="47" t="n">
        <x:v>-0.15952112470196333</x:v>
      </x:c>
      <x:c r="G420" s="47" t="n">
        <x:v>-0.01803095734779797</x:v>
      </x:c>
      <x:c r="H420" s="47" t="n">
        <x:v>0.7244120672308068</x:v>
      </x:c>
      <x:c r="I420" s="47" t="n">
        <x:v>0.9509098940602935</x:v>
      </x:c>
      <x:c r="J420" s="47" t="n">
        <x:v>0.599732963237374</x:v>
      </x:c>
      <x:c r="K420" s="47" t="n">
        <x:v>0.721581271479583</x:v>
      </x:c>
      <x:c r="L420" s="47" t="n">
        <x:v>0.9747098835773798</x:v>
      </x:c>
      <x:c r="M420" s="47" t="n">
        <x:v>0.17727930273127288</x:v>
      </x:c>
      <x:c r="N420" s="47" t="n">
        <x:v>0.655577925157741</x:v>
      </x:c>
      <x:c r="O420" s="47" t="n">
        <x:v>1</x:v>
      </x:c>
      <x:c r="P420" s="47" t="n">
        <x:v>0.9999999999999999</x:v>
      </x:c>
      <x:c r="Q420" s="47" t="n">
        <x:v>1</x:v>
      </x:c>
      <x:c r="R420" s="47" t="n">
        <x:v>1</x:v>
      </x:c>
      <x:c r="S420" s="27" t="n">
        <x:v>1</x:v>
      </x:c>
    </x:row>
    <x:row r="421" ht="21.600000381469727" hidden="0" customHeight="1">
      <x:c r="A421" s="29" t="n">
        <x:v>139</x:v>
      </x:c>
      <x:c r="B421" s="29" t="str">
        <x:v>A3</x:v>
      </x:c>
      <x:c r="C421" s="48" t="n">
        <x:v>0.9108306450025515</x:v>
      </x:c>
      <x:c r="D421" s="48" t="n">
        <x:v>0.9537678220167733</x:v>
      </x:c>
      <x:c r="E421" s="48" t="n">
        <x:v>0.9578676027261173</x:v>
      </x:c>
      <x:c r="F421" s="48" t="n">
        <x:v>-0.15952112470196333</x:v>
      </x:c>
      <x:c r="G421" s="48" t="n">
        <x:v>-0.01803095734779797</x:v>
      </x:c>
      <x:c r="H421" s="48" t="n">
        <x:v>0.7244120672308068</x:v>
      </x:c>
      <x:c r="I421" s="48" t="n">
        <x:v>0.9509098940602935</x:v>
      </x:c>
      <x:c r="J421" s="48" t="n">
        <x:v>0.599732963237374</x:v>
      </x:c>
      <x:c r="K421" s="48" t="n">
        <x:v>0.721581271479583</x:v>
      </x:c>
      <x:c r="L421" s="48" t="n">
        <x:v>0.9747098835773798</x:v>
      </x:c>
      <x:c r="M421" s="48" t="n">
        <x:v>0.17727930273127288</x:v>
      </x:c>
      <x:c r="N421" s="48" t="n">
        <x:v>0.655577925157741</x:v>
      </x:c>
      <x:c r="O421" s="48" t="n">
        <x:v>1</x:v>
      </x:c>
      <x:c r="P421" s="48" t="n">
        <x:v>1</x:v>
      </x:c>
      <x:c r="Q421" s="48" t="n">
        <x:v>1</x:v>
      </x:c>
      <x:c r="R421" s="48" t="n">
        <x:v>1</x:v>
      </x:c>
      <x:c r="S421" s="29" t="n">
        <x:v>1</x:v>
      </x:c>
    </x:row>
    <x:row r="422" ht="21.600000381469727" hidden="0" customHeight="1">
      <x:c r="A422" s="27" t="n">
        <x:v>140</x:v>
      </x:c>
      <x:c r="B422" s="27" t="str">
        <x:v>A1</x:v>
      </x:c>
      <x:c r="C422" s="47" t="n">
        <x:v>1.2261647231358026</x:v>
      </x:c>
      <x:c r="D422" s="47" t="n">
        <x:v>0.9696094992738425</x:v>
      </x:c>
      <x:c r="E422" s="47" t="n">
        <x:v>0.5348391608694928</x:v>
      </x:c>
      <x:c r="F422" s="47" t="n">
        <x:v>-0.14360872239349756</x:v>
      </x:c>
      <x:c r="G422" s="47" t="n">
        <x:v>0.02584538589655308</x:v>
      </x:c>
      <x:c r="H422" s="47" t="n">
        <x:v>0.4880832569703408</x:v>
      </x:c>
      <x:c r="I422" s="47" t="n">
        <x:v>0.8836003345281407</x:v>
      </x:c>
      <x:c r="J422" s="47" t="n">
        <x:v>0.5529908282742017</x:v>
      </x:c>
      <x:c r="K422" s="47" t="n">
        <x:v>0.5801882751038331</x:v>
      </x:c>
      <x:c r="L422" s="47" t="n">
        <x:v>0.7887530155772706</x:v>
      </x:c>
      <x:c r="M422" s="47" t="n">
        <x:v>0.13435610402551398</x:v>
      </x:c>
      <x:c r="N422" s="47" t="n">
        <x:v>0.7579399453392648</x:v>
      </x:c>
      <x:c r="O422" s="47" t="n">
        <x:v>0.8464012812125538</x:v>
      </x:c>
      <x:c r="P422" s="47" t="n">
        <x:v>0.607900971261755</x:v>
      </x:c>
      <x:c r="Q422" s="47" t="n">
        <x:v>1</x:v>
      </x:c>
      <x:c r="R422" s="47" t="n">
        <x:v>0.810329690608388</x:v>
      </x:c>
      <x:c r="S422" s="27" t="n">
        <x:v>0</x:v>
      </x:c>
    </x:row>
    <x:row r="423" ht="21.600000381469727" hidden="0" customHeight="1">
      <x:c r="A423" s="29" t="n">
        <x:v>140</x:v>
      </x:c>
      <x:c r="B423" s="29" t="str">
        <x:v>A2</x:v>
      </x:c>
      <x:c r="C423" s="48" t="n">
        <x:v>1.2261647231358026</x:v>
      </x:c>
      <x:c r="D423" s="48" t="n">
        <x:v>0.9696094992738425</x:v>
      </x:c>
      <x:c r="E423" s="48" t="n">
        <x:v>0.5348391608694928</x:v>
      </x:c>
      <x:c r="F423" s="48" t="n">
        <x:v>-0.14360872239349756</x:v>
      </x:c>
      <x:c r="G423" s="48" t="n">
        <x:v>0.02584538589655308</x:v>
      </x:c>
      <x:c r="H423" s="48" t="n">
        <x:v>0.4880832569703408</x:v>
      </x:c>
      <x:c r="I423" s="48" t="n">
        <x:v>0.8836003345281407</x:v>
      </x:c>
      <x:c r="J423" s="48" t="n">
        <x:v>0.5529908282742017</x:v>
      </x:c>
      <x:c r="K423" s="48" t="n">
        <x:v>0.5801882751038331</x:v>
      </x:c>
      <x:c r="L423" s="48" t="n">
        <x:v>0.7887530155772706</x:v>
      </x:c>
      <x:c r="M423" s="48" t="n">
        <x:v>0.13435610402551398</x:v>
      </x:c>
      <x:c r="N423" s="48" t="n">
        <x:v>0.7579399453392648</x:v>
      </x:c>
      <x:c r="O423" s="48" t="n">
        <x:v>0.9280280984893893</x:v>
      </x:c>
      <x:c r="P423" s="48" t="n">
        <x:v>0.7038131621588423</x:v>
      </x:c>
      <x:c r="Q423" s="48" t="n">
        <x:v>1</x:v>
      </x:c>
      <x:c r="R423" s="48" t="n">
        <x:v>0.9111259980891465</x:v>
      </x:c>
      <x:c r="S423" s="29" t="n">
        <x:v>0</x:v>
      </x:c>
    </x:row>
    <x:row r="424" ht="21.600000381469727" hidden="0" customHeight="1">
      <x:c r="A424" s="27" t="n">
        <x:v>140</x:v>
      </x:c>
      <x:c r="B424" s="27" t="str">
        <x:v>A3</x:v>
      </x:c>
      <x:c r="C424" s="47" t="n">
        <x:v>1.2261647231358026</x:v>
      </x:c>
      <x:c r="D424" s="47" t="n">
        <x:v>0.9696094992738425</x:v>
      </x:c>
      <x:c r="E424" s="47" t="n">
        <x:v>0.5348391608694928</x:v>
      </x:c>
      <x:c r="F424" s="47" t="n">
        <x:v>-0.14360872239349756</x:v>
      </x:c>
      <x:c r="G424" s="47" t="n">
        <x:v>0.02584538589655308</x:v>
      </x:c>
      <x:c r="H424" s="47" t="n">
        <x:v>0.4880832569703408</x:v>
      </x:c>
      <x:c r="I424" s="47" t="n">
        <x:v>0.8836003345281407</x:v>
      </x:c>
      <x:c r="J424" s="47" t="n">
        <x:v>0.5529908282742017</x:v>
      </x:c>
      <x:c r="K424" s="47" t="n">
        <x:v>0.5801882751038331</x:v>
      </x:c>
      <x:c r="L424" s="47" t="n">
        <x:v>0.7887530155772706</x:v>
      </x:c>
      <x:c r="M424" s="47" t="n">
        <x:v>0.13435610402551398</x:v>
      </x:c>
      <x:c r="N424" s="47" t="n">
        <x:v>0.7579399453392648</x:v>
      </x:c>
      <x:c r="O424" s="47" t="n">
        <x:v>1</x:v>
      </x:c>
      <x:c r="P424" s="47" t="n">
        <x:v>1</x:v>
      </x:c>
      <x:c r="Q424" s="47" t="n">
        <x:v>1</x:v>
      </x:c>
      <x:c r="R424" s="47" t="n">
        <x:v>1</x:v>
      </x:c>
      <x:c r="S424" s="27" t="n">
        <x:v>1</x:v>
      </x:c>
    </x:row>
    <x:row r="425" ht="21.600000381469727" hidden="0" customHeight="1">
      <x:c r="A425" s="29" t="n">
        <x:v>141</x:v>
      </x:c>
      <x:c r="B425" s="29" t="str">
        <x:v>A1</x:v>
      </x:c>
      <x:c r="C425" s="48" t="n">
        <x:v>1.0662165291665342</x:v>
      </x:c>
      <x:c r="D425" s="48" t="n">
        <x:v>0.8870355461127988</x:v>
      </x:c>
      <x:c r="E425" s="48" t="n">
        <x:v>0.92872913562053</x:v>
      </x:c>
      <x:c r="F425" s="48" t="n">
        <x:v>-0.1708249975028514</x:v>
      </x:c>
      <x:c r="G425" s="48" t="n">
        <x:v>-0.17026705441175427</x:v>
      </x:c>
      <x:c r="H425" s="48" t="n">
        <x:v>0.4469661437264207</x:v>
      </x:c>
      <x:c r="I425" s="48" t="n">
        <x:v>0.8931487109545269</x:v>
      </x:c>
      <x:c r="J425" s="48" t="n">
        <x:v>0.7968672932836575</x:v>
      </x:c>
      <x:c r="K425" s="48" t="n">
        <x:v>0.8196580427206996</x:v>
      </x:c>
      <x:c r="L425" s="48" t="n">
        <x:v>0.791226096149891</x:v>
      </x:c>
      <x:c r="M425" s="48" t="n">
        <x:v>0.13024497416535774</x:v>
      </x:c>
      <x:c r="N425" s="48" t="n">
        <x:v>0.792246715623997</x:v>
      </x:c>
      <x:c r="O425" s="48" t="n">
        <x:v>0.9025081311384237</x:v>
      </x:c>
      <x:c r="P425" s="48" t="n">
        <x:v>0.6097806268452809</x:v>
      </x:c>
      <x:c r="Q425" s="48" t="n">
        <x:v>0.970803994707105</x:v>
      </x:c>
      <x:c r="R425" s="48" t="n">
        <x:v>0.884301905096473</x:v>
      </x:c>
      <x:c r="S425" s="29" t="n">
        <x:v>0</x:v>
      </x:c>
    </x:row>
    <x:row r="426" ht="21.600000381469727" hidden="0" customHeight="1">
      <x:c r="A426" s="27" t="n">
        <x:v>141</x:v>
      </x:c>
      <x:c r="B426" s="27" t="str">
        <x:v>A2</x:v>
      </x:c>
      <x:c r="C426" s="47" t="n">
        <x:v>1.0662165291665342</x:v>
      </x:c>
      <x:c r="D426" s="47" t="n">
        <x:v>0.8870355461127988</x:v>
      </x:c>
      <x:c r="E426" s="47" t="n">
        <x:v>0.92872913562053</x:v>
      </x:c>
      <x:c r="F426" s="47" t="n">
        <x:v>-0.1708249975028514</x:v>
      </x:c>
      <x:c r="G426" s="47" t="n">
        <x:v>-0.17026705441175427</x:v>
      </x:c>
      <x:c r="H426" s="47" t="n">
        <x:v>0.4469661437264207</x:v>
      </x:c>
      <x:c r="I426" s="47" t="n">
        <x:v>0.8931487109545269</x:v>
      </x:c>
      <x:c r="J426" s="47" t="n">
        <x:v>0.7968672932836575</x:v>
      </x:c>
      <x:c r="K426" s="47" t="n">
        <x:v>0.8196580427206996</x:v>
      </x:c>
      <x:c r="L426" s="47" t="n">
        <x:v>0.791226096149891</x:v>
      </x:c>
      <x:c r="M426" s="47" t="n">
        <x:v>0.13024497416535774</x:v>
      </x:c>
      <x:c r="N426" s="47" t="n">
        <x:v>0.792246715623997</x:v>
      </x:c>
      <x:c r="O426" s="47" t="n">
        <x:v>0.9843532363111864</x:v>
      </x:c>
      <x:c r="P426" s="47" t="n">
        <x:v>0.8435323631118641</x:v>
      </x:c>
      <x:c r="Q426" s="47" t="n">
        <x:v>1</x:v>
      </x:c>
      <x:c r="R426" s="47" t="n">
        <x:v>0.9806787027049261</x:v>
      </x:c>
      <x:c r="S426" s="27" t="n">
        <x:v>0</x:v>
      </x:c>
    </x:row>
    <x:row r="427" ht="21.600000381469727" hidden="0" customHeight="1">
      <x:c r="A427" s="29" t="n">
        <x:v>141</x:v>
      </x:c>
      <x:c r="B427" s="29" t="str">
        <x:v>A3</x:v>
      </x:c>
      <x:c r="C427" s="48" t="n">
        <x:v>1.0662165291665342</x:v>
      </x:c>
      <x:c r="D427" s="48" t="n">
        <x:v>0.8870355461127988</x:v>
      </x:c>
      <x:c r="E427" s="48" t="n">
        <x:v>0.92872913562053</x:v>
      </x:c>
      <x:c r="F427" s="48" t="n">
        <x:v>-0.1708249975028514</x:v>
      </x:c>
      <x:c r="G427" s="48" t="n">
        <x:v>-0.17026705441175427</x:v>
      </x:c>
      <x:c r="H427" s="48" t="n">
        <x:v>0.4469661437264207</x:v>
      </x:c>
      <x:c r="I427" s="48" t="n">
        <x:v>0.8931487109545269</x:v>
      </x:c>
      <x:c r="J427" s="48" t="n">
        <x:v>0.7968672932836575</x:v>
      </x:c>
      <x:c r="K427" s="48" t="n">
        <x:v>0.8196580427206996</x:v>
      </x:c>
      <x:c r="L427" s="48" t="n">
        <x:v>0.791226096149891</x:v>
      </x:c>
      <x:c r="M427" s="48" t="n">
        <x:v>0.13024497416535774</x:v>
      </x:c>
      <x:c r="N427" s="48" t="n">
        <x:v>0.792246715623997</x:v>
      </x:c>
      <x:c r="O427" s="48" t="n">
        <x:v>1</x:v>
      </x:c>
      <x:c r="P427" s="48" t="n">
        <x:v>1</x:v>
      </x:c>
      <x:c r="Q427" s="48" t="n">
        <x:v>1</x:v>
      </x:c>
      <x:c r="R427" s="48" t="n">
        <x:v>1</x:v>
      </x:c>
      <x:c r="S427" s="29" t="n">
        <x:v>1</x:v>
      </x:c>
    </x:row>
    <x:row r="428" ht="21.600000381469727" hidden="0" customHeight="1">
      <x:c r="A428" s="27" t="n">
        <x:v>142</x:v>
      </x:c>
      <x:c r="B428" s="27" t="str">
        <x:v>A1</x:v>
      </x:c>
      <x:c r="C428" s="47" t="n">
        <x:v>0.9168981337731515</x:v>
      </x:c>
      <x:c r="D428" s="47" t="n">
        <x:v>0.8881899749078104</x:v>
      </x:c>
      <x:c r="E428" s="47" t="n">
        <x:v>1.006849803612311</x:v>
      </x:c>
      <x:c r="F428" s="47" t="n">
        <x:v>-0.10163324602659415</x:v>
      </x:c>
      <x:c r="G428" s="47" t="n">
        <x:v>-0.14779308096968766</x:v>
      </x:c>
      <x:c r="H428" s="47" t="n">
        <x:v>1.0002934778686858</x:v>
      </x:c>
      <x:c r="I428" s="47" t="n">
        <x:v>0.6729956384346303</x:v>
      </x:c>
      <x:c r="J428" s="47" t="n">
        <x:v>0.5211377571775498</x:v>
      </x:c>
      <x:c r="K428" s="47" t="n">
        <x:v>0.7756815142116643</x:v>
      </x:c>
      <x:c r="L428" s="47" t="n">
        <x:v>0.8054475616532188</x:v>
      </x:c>
      <x:c r="M428" s="47" t="n">
        <x:v>0.05809236506283105</x:v>
      </x:c>
      <x:c r="N428" s="47" t="n">
        <x:v>0.716572379035263</x:v>
      </x:c>
      <x:c r="O428" s="47" t="n">
        <x:v>0.9556425573738822</x:v>
      </x:c>
      <x:c r="P428" s="47" t="n">
        <x:v>0.787446343232794</x:v>
      </x:c>
      <x:c r="Q428" s="47" t="n">
        <x:v>1</x:v>
      </x:c>
      <x:c r="R428" s="47" t="n">
        <x:v>0.9452255205438335</x:v>
      </x:c>
      <x:c r="S428" s="27" t="n">
        <x:v>0</x:v>
      </x:c>
    </x:row>
    <x:row r="429" ht="21.600000381469727" hidden="0" customHeight="1">
      <x:c r="A429" s="29" t="n">
        <x:v>142</x:v>
      </x:c>
      <x:c r="B429" s="29" t="str">
        <x:v>A2</x:v>
      </x:c>
      <x:c r="C429" s="48" t="n">
        <x:v>0.9168981337731515</x:v>
      </x:c>
      <x:c r="D429" s="48" t="n">
        <x:v>0.8881899749078104</x:v>
      </x:c>
      <x:c r="E429" s="48" t="n">
        <x:v>1.006849803612311</x:v>
      </x:c>
      <x:c r="F429" s="48" t="n">
        <x:v>-0.10163324602659415</x:v>
      </x:c>
      <x:c r="G429" s="48" t="n">
        <x:v>-0.14779308096968766</x:v>
      </x:c>
      <x:c r="H429" s="48" t="n">
        <x:v>1.0002934778686858</x:v>
      </x:c>
      <x:c r="I429" s="48" t="n">
        <x:v>0.6729956384346303</x:v>
      </x:c>
      <x:c r="J429" s="48" t="n">
        <x:v>0.5211377571775498</x:v>
      </x:c>
      <x:c r="K429" s="48" t="n">
        <x:v>0.7756815142116643</x:v>
      </x:c>
      <x:c r="L429" s="48" t="n">
        <x:v>0.8054475616532188</x:v>
      </x:c>
      <x:c r="M429" s="48" t="n">
        <x:v>0.05809236506283105</x:v>
      </x:c>
      <x:c r="N429" s="48" t="n">
        <x:v>0.716572379035263</x:v>
      </x:c>
      <x:c r="O429" s="48" t="n">
        <x:v>1</x:v>
      </x:c>
      <x:c r="P429" s="48" t="n">
        <x:v>1</x:v>
      </x:c>
      <x:c r="Q429" s="48" t="n">
        <x:v>1</x:v>
      </x:c>
      <x:c r="R429" s="48" t="n">
        <x:v>1</x:v>
      </x:c>
      <x:c r="S429" s="29" t="n">
        <x:v>1</x:v>
      </x:c>
    </x:row>
    <x:row r="430" ht="21.600000381469727" hidden="0" customHeight="1">
      <x:c r="A430" s="27" t="n">
        <x:v>142</x:v>
      </x:c>
      <x:c r="B430" s="27" t="str">
        <x:v>A3</x:v>
      </x:c>
      <x:c r="C430" s="47" t="n">
        <x:v>0.9168981337731515</x:v>
      </x:c>
      <x:c r="D430" s="47" t="n">
        <x:v>0.8881899749078104</x:v>
      </x:c>
      <x:c r="E430" s="47" t="n">
        <x:v>1.006849803612311</x:v>
      </x:c>
      <x:c r="F430" s="47" t="n">
        <x:v>-0.10163324602659415</x:v>
      </x:c>
      <x:c r="G430" s="47" t="n">
        <x:v>-0.14779308096968766</x:v>
      </x:c>
      <x:c r="H430" s="47" t="n">
        <x:v>1.0002934778686858</x:v>
      </x:c>
      <x:c r="I430" s="47" t="n">
        <x:v>0.6729956384346303</x:v>
      </x:c>
      <x:c r="J430" s="47" t="n">
        <x:v>0.5211377571775498</x:v>
      </x:c>
      <x:c r="K430" s="47" t="n">
        <x:v>0.7756815142116643</x:v>
      </x:c>
      <x:c r="L430" s="47" t="n">
        <x:v>0.8054475616532188</x:v>
      </x:c>
      <x:c r="M430" s="47" t="n">
        <x:v>0.05809236506283105</x:v>
      </x:c>
      <x:c r="N430" s="47" t="n">
        <x:v>0.716572379035263</x:v>
      </x:c>
      <x:c r="O430" s="47" t="n">
        <x:v>1</x:v>
      </x:c>
      <x:c r="P430" s="47" t="n">
        <x:v>1</x:v>
      </x:c>
      <x:c r="Q430" s="47" t="n">
        <x:v>1</x:v>
      </x:c>
      <x:c r="R430" s="47" t="n">
        <x:v>1</x:v>
      </x:c>
      <x:c r="S430" s="27" t="n">
        <x:v>1</x:v>
      </x:c>
    </x:row>
    <x:row r="431" ht="21.600000381469727" hidden="0" customHeight="1">
      <x:c r="A431" s="29" t="n">
        <x:v>143</x:v>
      </x:c>
      <x:c r="B431" s="29" t="str">
        <x:v>A1</x:v>
      </x:c>
      <x:c r="C431" s="48" t="n">
        <x:v>1.1228116553857366</x:v>
      </x:c>
      <x:c r="D431" s="48" t="n">
        <x:v>0.810588920256973</x:v>
      </x:c>
      <x:c r="E431" s="48" t="n">
        <x:v>0.6688691122011441</x:v>
      </x:c>
      <x:c r="F431" s="48" t="n">
        <x:v>-0.14959472395432083</x:v>
      </x:c>
      <x:c r="G431" s="48" t="n">
        <x:v>-0.14423899268313878</x:v>
      </x:c>
      <x:c r="H431" s="48" t="n">
        <x:v>0.7217742808718033</x:v>
      </x:c>
      <x:c r="I431" s="48" t="n">
        <x:v>0.9608723655810408</x:v>
      </x:c>
      <x:c r="J431" s="48" t="n">
        <x:v>0.6516057778155573</x:v>
      </x:c>
      <x:c r="K431" s="48" t="n">
        <x:v>0.5708434457685468</x:v>
      </x:c>
      <x:c r="L431" s="48" t="n">
        <x:v>0.5095968741012598</x:v>
      </x:c>
      <x:c r="M431" s="48" t="n">
        <x:v>0.027501715493495484</x:v>
      </x:c>
      <x:c r="N431" s="48" t="n">
        <x:v>0.8926058658685462</x:v>
      </x:c>
      <x:c r="O431" s="48" t="n">
        <x:v>0.7434929557895779</x:v>
      </x:c>
      <x:c r="P431" s="48" t="n">
        <x:v>0.39384428457138926</x:v>
      </x:c>
      <x:c r="Q431" s="48" t="n">
        <x:v>0.9456182475910158</x:v>
      </x:c>
      <x:c r="R431" s="48" t="n">
        <x:v>0.684516128949784</x:v>
      </x:c>
      <x:c r="S431" s="29" t="n">
        <x:v>0</x:v>
      </x:c>
    </x:row>
    <x:row r="432" ht="21.600000381469727" hidden="0" customHeight="1">
      <x:c r="A432" s="27" t="n">
        <x:v>143</x:v>
      </x:c>
      <x:c r="B432" s="27" t="str">
        <x:v>A2</x:v>
      </x:c>
      <x:c r="C432" s="47" t="n">
        <x:v>1.1228116553857366</x:v>
      </x:c>
      <x:c r="D432" s="47" t="n">
        <x:v>0.810588920256973</x:v>
      </x:c>
      <x:c r="E432" s="47" t="n">
        <x:v>0.6688691122011441</x:v>
      </x:c>
      <x:c r="F432" s="47" t="n">
        <x:v>-0.14959472395432083</x:v>
      </x:c>
      <x:c r="G432" s="47" t="n">
        <x:v>-0.14423899268313878</x:v>
      </x:c>
      <x:c r="H432" s="47" t="n">
        <x:v>0.7217742808718033</x:v>
      </x:c>
      <x:c r="I432" s="47" t="n">
        <x:v>0.9608723655810408</x:v>
      </x:c>
      <x:c r="J432" s="47" t="n">
        <x:v>0.6516057778155573</x:v>
      </x:c>
      <x:c r="K432" s="47" t="n">
        <x:v>0.5708434457685468</x:v>
      </x:c>
      <x:c r="L432" s="47" t="n">
        <x:v>0.5095968741012598</x:v>
      </x:c>
      <x:c r="M432" s="47" t="n">
        <x:v>0.027501715493495484</x:v>
      </x:c>
      <x:c r="N432" s="47" t="n">
        <x:v>0.8926058658685462</x:v>
      </x:c>
      <x:c r="O432" s="47" t="n">
        <x:v>0.8150844843601923</x:v>
      </x:c>
      <x:c r="P432" s="47" t="n">
        <x:v>0.5227354401596869</x:v>
      </x:c>
      <x:c r="Q432" s="47" t="n">
        <x:v>1</x:v>
      </x:c>
      <x:c r="R432" s="47" t="n">
        <x:v>0.7716583618692375</x:v>
      </x:c>
      <x:c r="S432" s="27" t="n">
        <x:v>0</x:v>
      </x:c>
    </x:row>
    <x:row r="433" ht="21.600000381469727" hidden="0" customHeight="1">
      <x:c r="A433" s="29" t="n">
        <x:v>143</x:v>
      </x:c>
      <x:c r="B433" s="29" t="str">
        <x:v>A3</x:v>
      </x:c>
      <x:c r="C433" s="48" t="n">
        <x:v>1.1228116553857366</x:v>
      </x:c>
      <x:c r="D433" s="48" t="n">
        <x:v>0.810588920256973</x:v>
      </x:c>
      <x:c r="E433" s="48" t="n">
        <x:v>0.6688691122011441</x:v>
      </x:c>
      <x:c r="F433" s="48" t="n">
        <x:v>-0.14959472395432083</x:v>
      </x:c>
      <x:c r="G433" s="48" t="n">
        <x:v>-0.14423899268313878</x:v>
      </x:c>
      <x:c r="H433" s="48" t="n">
        <x:v>0.7217742808718033</x:v>
      </x:c>
      <x:c r="I433" s="48" t="n">
        <x:v>0.9608723655810408</x:v>
      </x:c>
      <x:c r="J433" s="48" t="n">
        <x:v>0.6516057778155573</x:v>
      </x:c>
      <x:c r="K433" s="48" t="n">
        <x:v>0.5708434457685468</x:v>
      </x:c>
      <x:c r="L433" s="48" t="n">
        <x:v>0.5095968741012598</x:v>
      </x:c>
      <x:c r="M433" s="48" t="n">
        <x:v>0.027501715493495484</x:v>
      </x:c>
      <x:c r="N433" s="48" t="n">
        <x:v>0.8926058658685462</x:v>
      </x:c>
      <x:c r="O433" s="48" t="n">
        <x:v>1</x:v>
      </x:c>
      <x:c r="P433" s="48" t="n">
        <x:v>1</x:v>
      </x:c>
      <x:c r="Q433" s="48" t="n">
        <x:v>1</x:v>
      </x:c>
      <x:c r="R433" s="48" t="n">
        <x:v>1</x:v>
      </x:c>
      <x:c r="S433" s="29" t="n">
        <x:v>1</x:v>
      </x:c>
    </x:row>
    <x:row r="434" ht="21.600000381469727" hidden="0" customHeight="1">
      <x:c r="A434" s="27" t="n">
        <x:v>144</x:v>
      </x:c>
      <x:c r="B434" s="27" t="str">
        <x:v>A1</x:v>
      </x:c>
      <x:c r="C434" s="47" t="n">
        <x:v>1.2533753846581823</x:v>
      </x:c>
      <x:c r="D434" s="47" t="n">
        <x:v>0.7963343542788378</x:v>
      </x:c>
      <x:c r="E434" s="47" t="n">
        <x:v>0.5448497367954271</x:v>
      </x:c>
      <x:c r="F434" s="47" t="n">
        <x:v>-0.07716073034299054</x:v>
      </x:c>
      <x:c r="G434" s="47" t="n">
        <x:v>-0.11940087661489575</x:v>
      </x:c>
      <x:c r="H434" s="47" t="n">
        <x:v>1.016278382668846</x:v>
      </x:c>
      <x:c r="I434" s="47" t="n">
        <x:v>0.8032428869410848</x:v>
      </x:c>
      <x:c r="J434" s="47" t="n">
        <x:v>0.7706414272026454</x:v>
      </x:c>
      <x:c r="K434" s="47" t="n">
        <x:v>0.5508732987950657</x:v>
      </x:c>
      <x:c r="L434" s="47" t="n">
        <x:v>0.5205882733427536</x:v>
      </x:c>
      <x:c r="M434" s="47" t="n">
        <x:v>0.0827903652650871</x:v>
      </x:c>
      <x:c r="N434" s="47" t="n">
        <x:v>0.9313505008998308</x:v>
      </x:c>
      <x:c r="O434" s="47" t="n">
        <x:v>0.688754163385141</x:v>
      </x:c>
      <x:c r="P434" s="47" t="n">
        <x:v>0.43644728319671205</x:v>
      </x:c>
      <x:c r="Q434" s="47" t="n">
        <x:v>0.8451142023420566</x:v>
      </x:c>
      <x:c r="R434" s="47" t="n">
        <x:v>0.6178146405319986</x:v>
      </x:c>
      <x:c r="S434" s="27" t="n">
        <x:v>0</x:v>
      </x:c>
    </x:row>
    <x:row r="435" ht="21.600000381469727" hidden="0" customHeight="1">
      <x:c r="A435" s="29" t="n">
        <x:v>144</x:v>
      </x:c>
      <x:c r="B435" s="29" t="str">
        <x:v>A2</x:v>
      </x:c>
      <x:c r="C435" s="48" t="n">
        <x:v>1.2533753846581823</x:v>
      </x:c>
      <x:c r="D435" s="48" t="n">
        <x:v>0.7963343542788378</x:v>
      </x:c>
      <x:c r="E435" s="48" t="n">
        <x:v>0.5448497367954271</x:v>
      </x:c>
      <x:c r="F435" s="48" t="n">
        <x:v>-0.07716073034299054</x:v>
      </x:c>
      <x:c r="G435" s="48" t="n">
        <x:v>-0.11940087661489575</x:v>
      </x:c>
      <x:c r="H435" s="48" t="n">
        <x:v>1.016278382668846</x:v>
      </x:c>
      <x:c r="I435" s="48" t="n">
        <x:v>0.8032428869410848</x:v>
      </x:c>
      <x:c r="J435" s="48" t="n">
        <x:v>0.7706414272026454</x:v>
      </x:c>
      <x:c r="K435" s="48" t="n">
        <x:v>0.5508732987950657</x:v>
      </x:c>
      <x:c r="L435" s="48" t="n">
        <x:v>0.5205882733427536</x:v>
      </x:c>
      <x:c r="M435" s="48" t="n">
        <x:v>0.0827903652650871</x:v>
      </x:c>
      <x:c r="N435" s="48" t="n">
        <x:v>0.9313505008998308</x:v>
      </x:c>
      <x:c r="O435" s="48" t="n">
        <x:v>0.7476736086546952</x:v>
      </x:c>
      <x:c r="P435" s="48" t="n">
        <x:v>0.4912678342986997</x:v>
      </x:c>
      <x:c r="Q435" s="48" t="n">
        <x:v>1</x:v>
      </x:c>
      <x:c r="R435" s="48" t="n">
        <x:v>0.6884165109452431</x:v>
      </x:c>
      <x:c r="S435" s="29" t="n">
        <x:v>0</x:v>
      </x:c>
    </x:row>
    <x:row r="436" ht="21.600000381469727" hidden="0" customHeight="1">
      <x:c r="A436" s="27" t="n">
        <x:v>144</x:v>
      </x:c>
      <x:c r="B436" s="27" t="str">
        <x:v>A3</x:v>
      </x:c>
      <x:c r="C436" s="47" t="n">
        <x:v>1.2533753846581823</x:v>
      </x:c>
      <x:c r="D436" s="47" t="n">
        <x:v>0.7963343542788378</x:v>
      </x:c>
      <x:c r="E436" s="47" t="n">
        <x:v>0.5448497367954271</x:v>
      </x:c>
      <x:c r="F436" s="47" t="n">
        <x:v>-0.07716073034299054</x:v>
      </x:c>
      <x:c r="G436" s="47" t="n">
        <x:v>-0.11940087661489575</x:v>
      </x:c>
      <x:c r="H436" s="47" t="n">
        <x:v>1.016278382668846</x:v>
      </x:c>
      <x:c r="I436" s="47" t="n">
        <x:v>0.8032428869410848</x:v>
      </x:c>
      <x:c r="J436" s="47" t="n">
        <x:v>0.7706414272026454</x:v>
      </x:c>
      <x:c r="K436" s="47" t="n">
        <x:v>0.5508732987950657</x:v>
      </x:c>
      <x:c r="L436" s="47" t="n">
        <x:v>0.5205882733427536</x:v>
      </x:c>
      <x:c r="M436" s="47" t="n">
        <x:v>0.0827903652650871</x:v>
      </x:c>
      <x:c r="N436" s="47" t="n">
        <x:v>0.9313505008998308</x:v>
      </x:c>
      <x:c r="O436" s="47" t="n">
        <x:v>1</x:v>
      </x:c>
      <x:c r="P436" s="47" t="n">
        <x:v>1</x:v>
      </x:c>
      <x:c r="Q436" s="47" t="n">
        <x:v>1</x:v>
      </x:c>
      <x:c r="R436" s="47" t="n">
        <x:v>1</x:v>
      </x:c>
      <x:c r="S436" s="27" t="n">
        <x:v>1</x:v>
      </x:c>
    </x:row>
    <x:row r="437" ht="21.600000381469727" hidden="0" customHeight="1">
      <x:c r="A437" s="29" t="n">
        <x:v>145</x:v>
      </x:c>
      <x:c r="B437" s="29" t="str">
        <x:v>A1</x:v>
      </x:c>
      <x:c r="C437" s="48" t="n">
        <x:v>1.1641692339140561</x:v>
      </x:c>
      <x:c r="D437" s="48" t="n">
        <x:v>0.880516468846551</x:v>
      </x:c>
      <x:c r="E437" s="48" t="n">
        <x:v>0.8073764836008998</x:v>
      </x:c>
      <x:c r="F437" s="48" t="n">
        <x:v>-0.02457324129525648</x:v>
      </x:c>
      <x:c r="G437" s="48" t="n">
        <x:v>-0.14373798222683043</x:v>
      </x:c>
      <x:c r="H437" s="48" t="n">
        <x:v>0.4050797451492185</x:v>
      </x:c>
      <x:c r="I437" s="48" t="n">
        <x:v>0.8941068800733553</x:v>
      </x:c>
      <x:c r="J437" s="48" t="n">
        <x:v>0.44132930085716554</x:v>
      </x:c>
      <x:c r="K437" s="48" t="n">
        <x:v>0.5770171870599615</x:v>
      </x:c>
      <x:c r="L437" s="48" t="n">
        <x:v>0.6510903226628849</x:v>
      </x:c>
      <x:c r="M437" s="48" t="n">
        <x:v>0.13258588776018787</x:v>
      </x:c>
      <x:c r="N437" s="48" t="n">
        <x:v>0.8555945117178863</x:v>
      </x:c>
      <x:c r="O437" s="48" t="n">
        <x:v>0.813955124012696</x:v>
      </x:c>
      <x:c r="P437" s="48" t="n">
        <x:v>0.5378874717124379</x:v>
      </x:c>
      <x:c r="Q437" s="48" t="n">
        <x:v>1</x:v>
      </x:c>
      <x:c r="R437" s="48" t="n">
        <x:v>0.7702637791004796</x:v>
      </x:c>
      <x:c r="S437" s="29" t="n">
        <x:v>0</x:v>
      </x:c>
    </x:row>
    <x:row r="438" ht="21.600000381469727" hidden="0" customHeight="1">
      <x:c r="A438" s="27" t="n">
        <x:v>145</x:v>
      </x:c>
      <x:c r="B438" s="27" t="str">
        <x:v>A2</x:v>
      </x:c>
      <x:c r="C438" s="47" t="n">
        <x:v>1.1641692339140561</x:v>
      </x:c>
      <x:c r="D438" s="47" t="n">
        <x:v>0.880516468846551</x:v>
      </x:c>
      <x:c r="E438" s="47" t="n">
        <x:v>0.8073764836008998</x:v>
      </x:c>
      <x:c r="F438" s="47" t="n">
        <x:v>-0.02457324129525648</x:v>
      </x:c>
      <x:c r="G438" s="47" t="n">
        <x:v>-0.14373798222683043</x:v>
      </x:c>
      <x:c r="H438" s="47" t="n">
        <x:v>0.4050797451492185</x:v>
      </x:c>
      <x:c r="I438" s="47" t="n">
        <x:v>0.8941068800733553</x:v>
      </x:c>
      <x:c r="J438" s="47" t="n">
        <x:v>0.44132930085716554</x:v>
      </x:c>
      <x:c r="K438" s="47" t="n">
        <x:v>0.5770171870599615</x:v>
      </x:c>
      <x:c r="L438" s="47" t="n">
        <x:v>0.6510903226628849</x:v>
      </x:c>
      <x:c r="M438" s="47" t="n">
        <x:v>0.13258588776018787</x:v>
      </x:c>
      <x:c r="N438" s="47" t="n">
        <x:v>0.8555945117178863</x:v>
      </x:c>
      <x:c r="O438" s="47" t="n">
        <x:v>0.902643538337486</x:v>
      </x:c>
      <x:c r="P438" s="47" t="n">
        <x:v>0.727072101707202</x:v>
      </x:c>
      <x:c r="Q438" s="47" t="n">
        <x:v>1</x:v>
      </x:c>
      <x:c r="R438" s="47" t="n">
        <x:v>0.8797800505722003</x:v>
      </x:c>
      <x:c r="S438" s="27" t="n">
        <x:v>0</x:v>
      </x:c>
    </x:row>
    <x:row r="439" ht="21.600000381469727" hidden="0" customHeight="1">
      <x:c r="A439" s="29" t="n">
        <x:v>145</x:v>
      </x:c>
      <x:c r="B439" s="29" t="str">
        <x:v>A3</x:v>
      </x:c>
      <x:c r="C439" s="48" t="n">
        <x:v>1.1641692339140561</x:v>
      </x:c>
      <x:c r="D439" s="48" t="n">
        <x:v>0.880516468846551</x:v>
      </x:c>
      <x:c r="E439" s="48" t="n">
        <x:v>0.8073764836008998</x:v>
      </x:c>
      <x:c r="F439" s="48" t="n">
        <x:v>-0.02457324129525648</x:v>
      </x:c>
      <x:c r="G439" s="48" t="n">
        <x:v>-0.14373798222683043</x:v>
      </x:c>
      <x:c r="H439" s="48" t="n">
        <x:v>0.4050797451492185</x:v>
      </x:c>
      <x:c r="I439" s="48" t="n">
        <x:v>0.8941068800733553</x:v>
      </x:c>
      <x:c r="J439" s="48" t="n">
        <x:v>0.44132930085716554</x:v>
      </x:c>
      <x:c r="K439" s="48" t="n">
        <x:v>0.5770171870599615</x:v>
      </x:c>
      <x:c r="L439" s="48" t="n">
        <x:v>0.6510903226628849</x:v>
      </x:c>
      <x:c r="M439" s="48" t="n">
        <x:v>0.13258588776018787</x:v>
      </x:c>
      <x:c r="N439" s="48" t="n">
        <x:v>0.8555945117178863</x:v>
      </x:c>
      <x:c r="O439" s="48" t="n">
        <x:v>1</x:v>
      </x:c>
      <x:c r="P439" s="48" t="n">
        <x:v>1</x:v>
      </x:c>
      <x:c r="Q439" s="48" t="n">
        <x:v>1</x:v>
      </x:c>
      <x:c r="R439" s="48" t="n">
        <x:v>1</x:v>
      </x:c>
      <x:c r="S439" s="29" t="n">
        <x:v>1</x:v>
      </x:c>
    </x:row>
    <x:row r="440" ht="15" hidden="0" customHeight="1">
      <x:c r="A440" s="27" t="n">
        <x:v>146</x:v>
      </x:c>
      <x:c r="B440" s="27" t="str">
        <x:v>A1</x:v>
      </x:c>
      <x:c r="C440" s="47" t="n">
        <x:v>0.9532734257614777</x:v>
      </x:c>
      <x:c r="D440" s="47" t="n">
        <x:v>0.9450649242883228</x:v>
      </x:c>
      <x:c r="E440" s="47" t="n">
        <x:v>1.0964079201811985</x:v>
      </x:c>
      <x:c r="F440" s="47" t="n">
        <x:v>0.002869444702877172</x:v>
      </x:c>
      <x:c r="G440" s="47" t="n">
        <x:v>0.006920570712738716</x:v>
      </x:c>
      <x:c r="H440" s="47" t="n">
        <x:v>0.4018270167089538</x:v>
      </x:c>
      <x:c r="I440" s="47" t="n">
        <x:v>0.9530971744786025</x:v>
      </x:c>
      <x:c r="J440" s="47" t="n">
        <x:v>0.673476664614537</x:v>
      </x:c>
      <x:c r="K440" s="47" t="n">
        <x:v>0.5936907998776835</x:v>
      </x:c>
      <x:c r="L440" s="47" t="n">
        <x:v>0.8473285772757121</x:v>
      </x:c>
      <x:c r="M440" s="47" t="n">
        <x:v>0.04825138579983782</x:v>
      </x:c>
      <x:c r="N440" s="47" t="n">
        <x:v>0.8922906088955479</x:v>
      </x:c>
      <x:c r="O440" s="47" t="n">
        <x:v>0.968502214827612</x:v>
      </x:c>
      <x:c r="P440" s="47" t="n">
        <x:v>0.8333441373108683</x:v>
      </x:c>
      <x:c r="Q440" s="47" t="n">
        <x:v>1</x:v>
      </x:c>
      <x:c r="R440" s="47" t="n">
        <x:v>0.9611051790929025</x:v>
      </x:c>
      <x:c r="S440" s="27" t="n">
        <x:v>0</x:v>
      </x:c>
    </x:row>
    <x:row r="441" ht="15" hidden="0" customHeight="1">
      <x:c r="A441" s="29" t="n">
        <x:v>146</x:v>
      </x:c>
      <x:c r="B441" s="29" t="str">
        <x:v>A2</x:v>
      </x:c>
      <x:c r="C441" s="48" t="n">
        <x:v>0.9532734257614777</x:v>
      </x:c>
      <x:c r="D441" s="48" t="n">
        <x:v>0.9450649242883228</x:v>
      </x:c>
      <x:c r="E441" s="48" t="n">
        <x:v>1.0964079201811985</x:v>
      </x:c>
      <x:c r="F441" s="48" t="n">
        <x:v>0.002869444702877172</x:v>
      </x:c>
      <x:c r="G441" s="48" t="n">
        <x:v>0.006920570712738716</x:v>
      </x:c>
      <x:c r="H441" s="48" t="n">
        <x:v>0.4018270167089538</x:v>
      </x:c>
      <x:c r="I441" s="48" t="n">
        <x:v>0.9530971744786025</x:v>
      </x:c>
      <x:c r="J441" s="48" t="n">
        <x:v>0.673476664614537</x:v>
      </x:c>
      <x:c r="K441" s="48" t="n">
        <x:v>0.5936907998776835</x:v>
      </x:c>
      <x:c r="L441" s="48" t="n">
        <x:v>0.8473285772757121</x:v>
      </x:c>
      <x:c r="M441" s="48" t="n">
        <x:v>0.04825138579983782</x:v>
      </x:c>
      <x:c r="N441" s="48" t="n">
        <x:v>0.8922906088955479</x:v>
      </x:c>
      <x:c r="O441" s="48" t="n">
        <x:v>1</x:v>
      </x:c>
      <x:c r="P441" s="48" t="n">
        <x:v>1</x:v>
      </x:c>
      <x:c r="Q441" s="48" t="n">
        <x:v>1</x:v>
      </x:c>
      <x:c r="R441" s="48" t="n">
        <x:v>1</x:v>
      </x:c>
      <x:c r="S441" s="29" t="n">
        <x:v>1</x:v>
      </x:c>
    </x:row>
    <x:row r="442" ht="15" hidden="0" customHeight="1">
      <x:c r="A442" s="27" t="n">
        <x:v>146</x:v>
      </x:c>
      <x:c r="B442" s="27" t="str">
        <x:v>A3</x:v>
      </x:c>
      <x:c r="C442" s="47" t="n">
        <x:v>0.9532734257614777</x:v>
      </x:c>
      <x:c r="D442" s="47" t="n">
        <x:v>0.9450649242883228</x:v>
      </x:c>
      <x:c r="E442" s="47" t="n">
        <x:v>1.0964079201811985</x:v>
      </x:c>
      <x:c r="F442" s="47" t="n">
        <x:v>0.002869444702877172</x:v>
      </x:c>
      <x:c r="G442" s="47" t="n">
        <x:v>0.006920570712738716</x:v>
      </x:c>
      <x:c r="H442" s="47" t="n">
        <x:v>0.4018270167089538</x:v>
      </x:c>
      <x:c r="I442" s="47" t="n">
        <x:v>0.9530971744786025</x:v>
      </x:c>
      <x:c r="J442" s="47" t="n">
        <x:v>0.673476664614537</x:v>
      </x:c>
      <x:c r="K442" s="47" t="n">
        <x:v>0.5936907998776835</x:v>
      </x:c>
      <x:c r="L442" s="47" t="n">
        <x:v>0.8473285772757121</x:v>
      </x:c>
      <x:c r="M442" s="47" t="n">
        <x:v>0.04825138579983782</x:v>
      </x:c>
      <x:c r="N442" s="47" t="n">
        <x:v>0.8922906088955479</x:v>
      </x:c>
      <x:c r="O442" s="47" t="n">
        <x:v>1</x:v>
      </x:c>
      <x:c r="P442" s="47" t="n">
        <x:v>1</x:v>
      </x:c>
      <x:c r="Q442" s="47" t="n">
        <x:v>1</x:v>
      </x:c>
      <x:c r="R442" s="47" t="n">
        <x:v>1</x:v>
      </x:c>
      <x:c r="S442" s="27" t="n">
        <x:v>1</x:v>
      </x:c>
    </x:row>
    <x:row r="443" ht="21.600000381469727" hidden="0" customHeight="1">
      <x:c r="A443" s="29" t="n">
        <x:v>147</x:v>
      </x:c>
      <x:c r="B443" s="29" t="str">
        <x:v>A1</x:v>
      </x:c>
      <x:c r="C443" s="48" t="n">
        <x:v>0.9150624051348221</x:v>
      </x:c>
      <x:c r="D443" s="48" t="n">
        <x:v>0.7913005557165849</x:v>
      </x:c>
      <x:c r="E443" s="48" t="n">
        <x:v>0.7877098203592173</x:v>
      </x:c>
      <x:c r="F443" s="48" t="n">
        <x:v>-0.12390495170360682</x:v>
      </x:c>
      <x:c r="G443" s="48" t="n">
        <x:v>-0.1489560464329314</x:v>
      </x:c>
      <x:c r="H443" s="48" t="n">
        <x:v>0.7444253046644637</x:v>
      </x:c>
      <x:c r="I443" s="48" t="n">
        <x:v>0.9010986410141006</x:v>
      </x:c>
      <x:c r="J443" s="48" t="n">
        <x:v>0.657956620096809</x:v>
      </x:c>
      <x:c r="K443" s="48" t="n">
        <x:v>0.9108798839436925</x:v>
      </x:c>
      <x:c r="L443" s="48" t="n">
        <x:v>0.646866714278836</x:v>
      </x:c>
      <x:c r="M443" s="48" t="n">
        <x:v>0.043562180099750734</x:v>
      </x:c>
      <x:c r="N443" s="48" t="n">
        <x:v>0.9518818510853719</x:v>
      </x:c>
      <x:c r="O443" s="48" t="n">
        <x:v>0.920846188902354</x:v>
      </x:c>
      <x:c r="P443" s="48" t="n">
        <x:v>0.7131581855552972</x:v>
      </x:c>
      <x:c r="Q443" s="48" t="n">
        <x:v>0.9999999999999999</x:v>
      </x:c>
      <x:c r="R443" s="48" t="n">
        <x:v>0.9022574669962495</x:v>
      </x:c>
      <x:c r="S443" s="29" t="n">
        <x:v>0</x:v>
      </x:c>
    </x:row>
    <x:row r="444" ht="21.600000381469727" hidden="0" customHeight="1">
      <x:c r="A444" s="27" t="n">
        <x:v>147</x:v>
      </x:c>
      <x:c r="B444" s="27" t="str">
        <x:v>A2</x:v>
      </x:c>
      <x:c r="C444" s="47" t="n">
        <x:v>0.9150624051348221</x:v>
      </x:c>
      <x:c r="D444" s="47" t="n">
        <x:v>0.7913005557165849</x:v>
      </x:c>
      <x:c r="E444" s="47" t="n">
        <x:v>0.7877098203592173</x:v>
      </x:c>
      <x:c r="F444" s="47" t="n">
        <x:v>-0.12390495170360682</x:v>
      </x:c>
      <x:c r="G444" s="47" t="n">
        <x:v>-0.1489560464329314</x:v>
      </x:c>
      <x:c r="H444" s="47" t="n">
        <x:v>0.7444253046644637</x:v>
      </x:c>
      <x:c r="I444" s="47" t="n">
        <x:v>0.9010986410141006</x:v>
      </x:c>
      <x:c r="J444" s="47" t="n">
        <x:v>0.657956620096809</x:v>
      </x:c>
      <x:c r="K444" s="47" t="n">
        <x:v>0.9108798839436925</x:v>
      </x:c>
      <x:c r="L444" s="47" t="n">
        <x:v>0.646866714278836</x:v>
      </x:c>
      <x:c r="M444" s="47" t="n">
        <x:v>0.043562180099750734</x:v>
      </x:c>
      <x:c r="N444" s="47" t="n">
        <x:v>0.9518818510853719</x:v>
      </x:c>
      <x:c r="O444" s="47" t="n">
        <x:v>0.9900936079256912</x:v>
      </x:c>
      <x:c r="P444" s="47" t="n">
        <x:v>0.9009360792569121</x:v>
      </x:c>
      <x:c r="Q444" s="47" t="n">
        <x:v>1</x:v>
      </x:c>
      <x:c r="R444" s="47" t="n">
        <x:v>0.987767160660442</x:v>
      </x:c>
      <x:c r="S444" s="27" t="n">
        <x:v>0</x:v>
      </x:c>
    </x:row>
    <x:row r="445" ht="21.600000381469727" hidden="0" customHeight="1">
      <x:c r="A445" s="29" t="n">
        <x:v>147</x:v>
      </x:c>
      <x:c r="B445" s="29" t="str">
        <x:v>A3</x:v>
      </x:c>
      <x:c r="C445" s="48" t="n">
        <x:v>0.9150624051348221</x:v>
      </x:c>
      <x:c r="D445" s="48" t="n">
        <x:v>0.7913005557165849</x:v>
      </x:c>
      <x:c r="E445" s="48" t="n">
        <x:v>0.7877098203592173</x:v>
      </x:c>
      <x:c r="F445" s="48" t="n">
        <x:v>-0.12390495170360682</x:v>
      </x:c>
      <x:c r="G445" s="48" t="n">
        <x:v>-0.1489560464329314</x:v>
      </x:c>
      <x:c r="H445" s="48" t="n">
        <x:v>0.7444253046644637</x:v>
      </x:c>
      <x:c r="I445" s="48" t="n">
        <x:v>0.9010986410141006</x:v>
      </x:c>
      <x:c r="J445" s="48" t="n">
        <x:v>0.657956620096809</x:v>
      </x:c>
      <x:c r="K445" s="48" t="n">
        <x:v>0.9108798839436925</x:v>
      </x:c>
      <x:c r="L445" s="48" t="n">
        <x:v>0.646866714278836</x:v>
      </x:c>
      <x:c r="M445" s="48" t="n">
        <x:v>0.043562180099750734</x:v>
      </x:c>
      <x:c r="N445" s="48" t="n">
        <x:v>0.9518818510853719</x:v>
      </x:c>
      <x:c r="O445" s="48" t="n">
        <x:v>1</x:v>
      </x:c>
      <x:c r="P445" s="48" t="n">
        <x:v>1</x:v>
      </x:c>
      <x:c r="Q445" s="48" t="n">
        <x:v>1</x:v>
      </x:c>
      <x:c r="R445" s="48" t="n">
        <x:v>1</x:v>
      </x:c>
      <x:c r="S445" s="29" t="n">
        <x:v>1</x:v>
      </x:c>
    </x:row>
    <x:row r="446" ht="21.600000381469727" hidden="0" customHeight="1">
      <x:c r="A446" s="27" t="n">
        <x:v>148</x:v>
      </x:c>
      <x:c r="B446" s="27" t="str">
        <x:v>A1</x:v>
      </x:c>
      <x:c r="C446" s="47" t="n">
        <x:v>1.331304315987993</x:v>
      </x:c>
      <x:c r="D446" s="47" t="n">
        <x:v>0.8816665330388123</x:v>
      </x:c>
      <x:c r="E446" s="47" t="n">
        <x:v>0.7445409620314489</x:v>
      </x:c>
      <x:c r="F446" s="47" t="n">
        <x:v>-0.06560193296551992</x:v>
      </x:c>
      <x:c r="G446" s="47" t="n">
        <x:v>-0.16213278534573364</x:v>
      </x:c>
      <x:c r="H446" s="47" t="n">
        <x:v>0.8534253258533839</x:v>
      </x:c>
      <x:c r="I446" s="47" t="n">
        <x:v>0.8655631853438368</x:v>
      </x:c>
      <x:c r="J446" s="47" t="n">
        <x:v>0.6340127528548658</x:v>
      </x:c>
      <x:c r="K446" s="47" t="n">
        <x:v>0.6398904913544664</x:v>
      </x:c>
      <x:c r="L446" s="47" t="n">
        <x:v>0.8757338063597955</x:v>
      </x:c>
      <x:c r="M446" s="47" t="n">
        <x:v>0.05290755663784208</x:v>
      </x:c>
      <x:c r="N446" s="47" t="n">
        <x:v>0.658429656077264</x:v>
      </x:c>
      <x:c r="O446" s="47" t="n">
        <x:v>0.8182963444686482</x:v>
      </x:c>
      <x:c r="P446" s="47" t="n">
        <x:v>0.5507013009010293</x:v>
      </x:c>
      <x:c r="Q446" s="47" t="n">
        <x:v>0.9509797825031456</x:v>
      </x:c>
      <x:c r="R446" s="47" t="n">
        <x:v>0.7759885709559119</x:v>
      </x:c>
      <x:c r="S446" s="27" t="n">
        <x:v>0</x:v>
      </x:c>
    </x:row>
    <x:row r="447" ht="21.600000381469727" hidden="0" customHeight="1">
      <x:c r="A447" s="29" t="n">
        <x:v>148</x:v>
      </x:c>
      <x:c r="B447" s="29" t="str">
        <x:v>A2</x:v>
      </x:c>
      <x:c r="C447" s="48" t="n">
        <x:v>1.331304315987993</x:v>
      </x:c>
      <x:c r="D447" s="48" t="n">
        <x:v>0.8816665330388123</x:v>
      </x:c>
      <x:c r="E447" s="48" t="n">
        <x:v>0.7445409620314489</x:v>
      </x:c>
      <x:c r="F447" s="48" t="n">
        <x:v>-0.06560193296551992</x:v>
      </x:c>
      <x:c r="G447" s="48" t="n">
        <x:v>-0.16213278534573364</x:v>
      </x:c>
      <x:c r="H447" s="48" t="n">
        <x:v>0.8534253258533839</x:v>
      </x:c>
      <x:c r="I447" s="48" t="n">
        <x:v>0.8655631853438368</x:v>
      </x:c>
      <x:c r="J447" s="48" t="n">
        <x:v>0.6340127528548658</x:v>
      </x:c>
      <x:c r="K447" s="48" t="n">
        <x:v>0.6398904913544664</x:v>
      </x:c>
      <x:c r="L447" s="48" t="n">
        <x:v>0.8757338063597955</x:v>
      </x:c>
      <x:c r="M447" s="48" t="n">
        <x:v>0.05290755663784208</x:v>
      </x:c>
      <x:c r="N447" s="48" t="n">
        <x:v>0.658429656077264</x:v>
      </x:c>
      <x:c r="O447" s="48" t="n">
        <x:v>0.9031553860773402</x:v>
      </x:c>
      <x:c r="P447" s="48" t="n">
        <x:v>0.6069185583128647</x:v>
      </x:c>
      <x:c r="Q447" s="48" t="n">
        <x:v>1</x:v>
      </x:c>
      <x:c r="R447" s="48" t="n">
        <x:v>0.8804121021931115</x:v>
      </x:c>
      <x:c r="S447" s="29" t="n">
        <x:v>0</x:v>
      </x:c>
    </x:row>
    <x:row r="448" ht="21.600000381469727" hidden="0" customHeight="1">
      <x:c r="A448" s="27" t="n">
        <x:v>148</x:v>
      </x:c>
      <x:c r="B448" s="27" t="str">
        <x:v>A3</x:v>
      </x:c>
      <x:c r="C448" s="47" t="n">
        <x:v>1.331304315987993</x:v>
      </x:c>
      <x:c r="D448" s="47" t="n">
        <x:v>0.8816665330388123</x:v>
      </x:c>
      <x:c r="E448" s="47" t="n">
        <x:v>0.7445409620314489</x:v>
      </x:c>
      <x:c r="F448" s="47" t="n">
        <x:v>-0.06560193296551992</x:v>
      </x:c>
      <x:c r="G448" s="47" t="n">
        <x:v>-0.16213278534573364</x:v>
      </x:c>
      <x:c r="H448" s="47" t="n">
        <x:v>0.8534253258533839</x:v>
      </x:c>
      <x:c r="I448" s="47" t="n">
        <x:v>0.8655631853438368</x:v>
      </x:c>
      <x:c r="J448" s="47" t="n">
        <x:v>0.6340127528548658</x:v>
      </x:c>
      <x:c r="K448" s="47" t="n">
        <x:v>0.6398904913544664</x:v>
      </x:c>
      <x:c r="L448" s="47" t="n">
        <x:v>0.8757338063597955</x:v>
      </x:c>
      <x:c r="M448" s="47" t="n">
        <x:v>0.05290755663784208</x:v>
      </x:c>
      <x:c r="N448" s="47" t="n">
        <x:v>0.658429656077264</x:v>
      </x:c>
      <x:c r="O448" s="47" t="n">
        <x:v>1</x:v>
      </x:c>
      <x:c r="P448" s="47" t="n">
        <x:v>1</x:v>
      </x:c>
      <x:c r="Q448" s="47" t="n">
        <x:v>1</x:v>
      </x:c>
      <x:c r="R448" s="47" t="n">
        <x:v>1</x:v>
      </x:c>
      <x:c r="S448" s="27" t="n">
        <x:v>1</x:v>
      </x:c>
    </x:row>
    <x:row r="449" ht="21.600000381469727" hidden="0" customHeight="1">
      <x:c r="A449" s="29" t="n">
        <x:v>149</x:v>
      </x:c>
      <x:c r="B449" s="29" t="str">
        <x:v>A1</x:v>
      </x:c>
      <x:c r="C449" s="48" t="n">
        <x:v>1.21845856341572</x:v>
      </x:c>
      <x:c r="D449" s="48" t="n">
        <x:v>0.8484990560184574</x:v>
      </x:c>
      <x:c r="E449" s="48" t="n">
        <x:v>1.0813457862765379</x:v>
      </x:c>
      <x:c r="F449" s="48" t="n">
        <x:v>-0.001023772245262955</x:v>
      </x:c>
      <x:c r="G449" s="48" t="n">
        <x:v>-0.11950458124269114</x:v>
      </x:c>
      <x:c r="H449" s="48" t="n">
        <x:v>0.9778412486490973</x:v>
      </x:c>
      <x:c r="I449" s="48" t="n">
        <x:v>0.7047876784182672</x:v>
      </x:c>
      <x:c r="J449" s="48" t="n">
        <x:v>0.6686655780082615</x:v>
      </x:c>
      <x:c r="K449" s="48" t="n">
        <x:v>0.9424301120023317</x:v>
      </x:c>
      <x:c r="L449" s="48" t="n">
        <x:v>0.6015107767768593</x:v>
      </x:c>
      <x:c r="M449" s="48" t="n">
        <x:v>0.09755813116160295</x:v>
      </x:c>
      <x:c r="N449" s="48" t="n">
        <x:v>0.9034622769543752</x:v>
      </x:c>
      <x:c r="O449" s="48" t="n">
        <x:v>0.8482716064765227</x:v>
      </x:c>
      <x:c r="P449" s="48" t="n">
        <x:v>0.5392559038120969</x:v>
      </x:c>
      <x:c r="Q449" s="48" t="n">
        <x:v>1</x:v>
      </x:c>
      <x:c r="R449" s="48" t="n">
        <x:v>0.8126392487497602</x:v>
      </x:c>
      <x:c r="S449" s="29" t="n">
        <x:v>0</x:v>
      </x:c>
    </x:row>
    <x:row r="450" ht="21.600000381469727" hidden="0" customHeight="1">
      <x:c r="A450" s="27" t="n">
        <x:v>149</x:v>
      </x:c>
      <x:c r="B450" s="27" t="str">
        <x:v>A2</x:v>
      </x:c>
      <x:c r="C450" s="47" t="n">
        <x:v>1.21845856341572</x:v>
      </x:c>
      <x:c r="D450" s="47" t="n">
        <x:v>0.8484990560184574</x:v>
      </x:c>
      <x:c r="E450" s="47" t="n">
        <x:v>1.0813457862765379</x:v>
      </x:c>
      <x:c r="F450" s="47" t="n">
        <x:v>-0.001023772245262955</x:v>
      </x:c>
      <x:c r="G450" s="47" t="n">
        <x:v>-0.11950458124269114</x:v>
      </x:c>
      <x:c r="H450" s="47" t="n">
        <x:v>0.9778412486490973</x:v>
      </x:c>
      <x:c r="I450" s="47" t="n">
        <x:v>0.7047876784182672</x:v>
      </x:c>
      <x:c r="J450" s="47" t="n">
        <x:v>0.6686655780082615</x:v>
      </x:c>
      <x:c r="K450" s="47" t="n">
        <x:v>0.9424301120023317</x:v>
      </x:c>
      <x:c r="L450" s="47" t="n">
        <x:v>0.6015107767768593</x:v>
      </x:c>
      <x:c r="M450" s="47" t="n">
        <x:v>0.09755813116160295</x:v>
      </x:c>
      <x:c r="N450" s="47" t="n">
        <x:v>0.9034622769543752</x:v>
      </x:c>
      <x:c r="O450" s="47" t="n">
        <x:v>0.926627944538037</x:v>
      </x:c>
      <x:c r="P450" s="47" t="n">
        <x:v>0.6314749317311351</x:v>
      </x:c>
      <x:c r="Q450" s="47" t="n">
        <x:v>1</x:v>
      </x:c>
      <x:c r="R450" s="47" t="n">
        <x:v>0.9093970277224314</x:v>
      </x:c>
      <x:c r="S450" s="27" t="n">
        <x:v>0</x:v>
      </x:c>
    </x:row>
    <x:row r="451" ht="21.600000381469727" hidden="0" customHeight="1">
      <x:c r="A451" s="29" t="n">
        <x:v>149</x:v>
      </x:c>
      <x:c r="B451" s="29" t="str">
        <x:v>A3</x:v>
      </x:c>
      <x:c r="C451" s="48" t="n">
        <x:v>1.21845856341572</x:v>
      </x:c>
      <x:c r="D451" s="48" t="n">
        <x:v>0.8484990560184574</x:v>
      </x:c>
      <x:c r="E451" s="48" t="n">
        <x:v>1.0813457862765379</x:v>
      </x:c>
      <x:c r="F451" s="48" t="n">
        <x:v>-0.001023772245262955</x:v>
      </x:c>
      <x:c r="G451" s="48" t="n">
        <x:v>-0.11950458124269114</x:v>
      </x:c>
      <x:c r="H451" s="48" t="n">
        <x:v>0.9778412486490973</x:v>
      </x:c>
      <x:c r="I451" s="48" t="n">
        <x:v>0.7047876784182672</x:v>
      </x:c>
      <x:c r="J451" s="48" t="n">
        <x:v>0.6686655780082615</x:v>
      </x:c>
      <x:c r="K451" s="48" t="n">
        <x:v>0.9424301120023317</x:v>
      </x:c>
      <x:c r="L451" s="48" t="n">
        <x:v>0.6015107767768593</x:v>
      </x:c>
      <x:c r="M451" s="48" t="n">
        <x:v>0.09755813116160295</x:v>
      </x:c>
      <x:c r="N451" s="48" t="n">
        <x:v>0.9034622769543752</x:v>
      </x:c>
      <x:c r="O451" s="48" t="n">
        <x:v>1</x:v>
      </x:c>
      <x:c r="P451" s="48" t="n">
        <x:v>1</x:v>
      </x:c>
      <x:c r="Q451" s="48" t="n">
        <x:v>1</x:v>
      </x:c>
      <x:c r="R451" s="48" t="n">
        <x:v>1</x:v>
      </x:c>
      <x:c r="S451" s="29" t="n">
        <x:v>1</x:v>
      </x:c>
    </x:row>
    <x:row r="452" ht="21.600000381469727" hidden="0" customHeight="1">
      <x:c r="A452" s="27" t="n">
        <x:v>150</x:v>
      </x:c>
      <x:c r="B452" s="27" t="str">
        <x:v>A1</x:v>
      </x:c>
      <x:c r="C452" s="47" t="n">
        <x:v>1.0487163732090168</x:v>
      </x:c>
      <x:c r="D452" s="47" t="n">
        <x:v>0.9427388299049246</x:v>
      </x:c>
      <x:c r="E452" s="47" t="n">
        <x:v>0.986637529543867</x:v>
      </x:c>
      <x:c r="F452" s="47" t="n">
        <x:v>-0.08078000168695444</x:v>
      </x:c>
      <x:c r="G452" s="47" t="n">
        <x:v>-0.04897388885487511</x:v>
      </x:c>
      <x:c r="H452" s="47" t="n">
        <x:v>0.7764463583716489</x:v>
      </x:c>
      <x:c r="I452" s="47" t="n">
        <x:v>0.6349575677224607</x:v>
      </x:c>
      <x:c r="J452" s="47" t="n">
        <x:v>0.9355537424845302</x:v>
      </x:c>
      <x:c r="K452" s="47" t="n">
        <x:v>0.9794374313912764</x:v>
      </x:c>
      <x:c r="L452" s="47" t="n">
        <x:v>0.5676017769713239</x:v>
      </x:c>
      <x:c r="M452" s="47" t="n">
        <x:v>0.09447319759696729</x:v>
      </x:c>
      <x:c r="N452" s="47" t="n">
        <x:v>0.958834257534336</x:v>
      </x:c>
      <x:c r="O452" s="47" t="n">
        <x:v>0.9123160206688624</x:v>
      </x:c>
      <x:c r="P452" s="47" t="n">
        <x:v>0.5593826561687517</x:v>
      </x:c>
      <x:c r="Q452" s="47" t="n">
        <x:v>1</x:v>
      </x:c>
      <x:c r="R452" s="47" t="n">
        <x:v>0.8917240480928812</x:v>
      </x:c>
      <x:c r="S452" s="27" t="n">
        <x:v>0</x:v>
      </x:c>
    </x:row>
    <x:row r="453" ht="21.600000381469727" hidden="0" customHeight="1">
      <x:c r="A453" s="29" t="n">
        <x:v>150</x:v>
      </x:c>
      <x:c r="B453" s="29" t="str">
        <x:v>A2</x:v>
      </x:c>
      <x:c r="C453" s="48" t="n">
        <x:v>1.0487163732090168</x:v>
      </x:c>
      <x:c r="D453" s="48" t="n">
        <x:v>0.9427388299049246</x:v>
      </x:c>
      <x:c r="E453" s="48" t="n">
        <x:v>0.986637529543867</x:v>
      </x:c>
      <x:c r="F453" s="48" t="n">
        <x:v>-0.08078000168695444</x:v>
      </x:c>
      <x:c r="G453" s="48" t="n">
        <x:v>-0.04897388885487511</x:v>
      </x:c>
      <x:c r="H453" s="48" t="n">
        <x:v>0.7764463583716489</x:v>
      </x:c>
      <x:c r="I453" s="48" t="n">
        <x:v>0.6349575677224607</x:v>
      </x:c>
      <x:c r="J453" s="48" t="n">
        <x:v>0.9355537424845302</x:v>
      </x:c>
      <x:c r="K453" s="48" t="n">
        <x:v>0.9794374313912764</x:v>
      </x:c>
      <x:c r="L453" s="48" t="n">
        <x:v>0.5676017769713239</x:v>
      </x:c>
      <x:c r="M453" s="48" t="n">
        <x:v>0.09447319759696729</x:v>
      </x:c>
      <x:c r="N453" s="48" t="n">
        <x:v>0.958834257534336</x:v>
      </x:c>
      <x:c r="O453" s="48" t="n">
        <x:v>0.9713773289438277</x:v>
      </x:c>
      <x:c r="P453" s="48" t="n">
        <x:v>0.7713919102728466</x:v>
      </x:c>
      <x:c r="Q453" s="48" t="n">
        <x:v>1</x:v>
      </x:c>
      <x:c r="R453" s="48" t="n">
        <x:v>0.9646554937587002</x:v>
      </x:c>
      <x:c r="S453" s="29" t="n">
        <x:v>0</x:v>
      </x:c>
    </x:row>
    <x:row r="454" ht="21.600000381469727" hidden="0" customHeight="1">
      <x:c r="A454" s="27" t="n">
        <x:v>150</x:v>
      </x:c>
      <x:c r="B454" s="27" t="str">
        <x:v>A3</x:v>
      </x:c>
      <x:c r="C454" s="47" t="n">
        <x:v>1.0487163732090168</x:v>
      </x:c>
      <x:c r="D454" s="47" t="n">
        <x:v>0.9427388299049246</x:v>
      </x:c>
      <x:c r="E454" s="47" t="n">
        <x:v>0.986637529543867</x:v>
      </x:c>
      <x:c r="F454" s="47" t="n">
        <x:v>-0.08078000168695444</x:v>
      </x:c>
      <x:c r="G454" s="47" t="n">
        <x:v>-0.04897388885487511</x:v>
      </x:c>
      <x:c r="H454" s="47" t="n">
        <x:v>0.7764463583716489</x:v>
      </x:c>
      <x:c r="I454" s="47" t="n">
        <x:v>0.6349575677224607</x:v>
      </x:c>
      <x:c r="J454" s="47" t="n">
        <x:v>0.9355537424845302</x:v>
      </x:c>
      <x:c r="K454" s="47" t="n">
        <x:v>0.9794374313912764</x:v>
      </x:c>
      <x:c r="L454" s="47" t="n">
        <x:v>0.5676017769713239</x:v>
      </x:c>
      <x:c r="M454" s="47" t="n">
        <x:v>0.09447319759696729</x:v>
      </x:c>
      <x:c r="N454" s="47" t="n">
        <x:v>0.958834257534336</x:v>
      </x:c>
      <x:c r="O454" s="47" t="n">
        <x:v>1</x:v>
      </x:c>
      <x:c r="P454" s="47" t="n">
        <x:v>1</x:v>
      </x:c>
      <x:c r="Q454" s="47" t="n">
        <x:v>1</x:v>
      </x:c>
      <x:c r="R454" s="47" t="n">
        <x:v>1</x:v>
      </x:c>
      <x:c r="S454" s="27" t="n">
        <x:v>1</x:v>
      </x:c>
    </x:row>
    <x:row r="455" ht="21.600000381469727" hidden="0" customHeight="1">
      <x:c r="A455" s="29" t="n">
        <x:v>151</x:v>
      </x:c>
      <x:c r="B455" s="29" t="str">
        <x:v>A1</x:v>
      </x:c>
      <x:c r="C455" s="48" t="n">
        <x:v>1.215878264469433</x:v>
      </x:c>
      <x:c r="D455" s="48" t="n">
        <x:v>0.8743492343735724</x:v>
      </x:c>
      <x:c r="E455" s="48" t="n">
        <x:v>0.48007743656794855</x:v>
      </x:c>
      <x:c r="F455" s="48" t="n">
        <x:v>-0.11638331417494169</x:v>
      </x:c>
      <x:c r="G455" s="48" t="n">
        <x:v>-0.005248839654715343</x:v>
      </x:c>
      <x:c r="H455" s="48" t="n">
        <x:v>0.9533424653809619</x:v>
      </x:c>
      <x:c r="I455" s="48" t="n">
        <x:v>0.9350478993776572</x:v>
      </x:c>
      <x:c r="J455" s="48" t="n">
        <x:v>0.9550750805504172</x:v>
      </x:c>
      <x:c r="K455" s="48" t="n">
        <x:v>0.9089330898001725</x:v>
      </x:c>
      <x:c r="L455" s="48" t="n">
        <x:v>0.6660599040935085</x:v>
      </x:c>
      <x:c r="M455" s="48" t="n">
        <x:v>0.10632828725071315</x:v>
      </x:c>
      <x:c r="N455" s="48" t="n">
        <x:v>0.6692050487748984</x:v>
      </x:c>
      <x:c r="O455" s="48" t="n">
        <x:v>0.823439569642045</x:v>
      </x:c>
      <x:c r="P455" s="48" t="n">
        <x:v>0.4658799058552678</x:v>
      </x:c>
      <x:c r="Q455" s="48" t="n">
        <x:v>1</x:v>
      </x:c>
      <x:c r="R455" s="48" t="n">
        <x:v>0.7819755808077318</x:v>
      </x:c>
      <x:c r="S455" s="29" t="n">
        <x:v>0</x:v>
      </x:c>
    </x:row>
    <x:row r="456" ht="21.600000381469727" hidden="0" customHeight="1">
      <x:c r="A456" s="27" t="n">
        <x:v>151</x:v>
      </x:c>
      <x:c r="B456" s="27" t="str">
        <x:v>A2</x:v>
      </x:c>
      <x:c r="C456" s="47" t="n">
        <x:v>1.215878264469433</x:v>
      </x:c>
      <x:c r="D456" s="47" t="n">
        <x:v>0.8743492343735724</x:v>
      </x:c>
      <x:c r="E456" s="47" t="n">
        <x:v>0.48007743656794855</x:v>
      </x:c>
      <x:c r="F456" s="47" t="n">
        <x:v>-0.11638331417494169</x:v>
      </x:c>
      <x:c r="G456" s="47" t="n">
        <x:v>-0.005248839654715343</x:v>
      </x:c>
      <x:c r="H456" s="47" t="n">
        <x:v>0.9533424653809619</x:v>
      </x:c>
      <x:c r="I456" s="47" t="n">
        <x:v>0.9350478993776572</x:v>
      </x:c>
      <x:c r="J456" s="47" t="n">
        <x:v>0.9550750805504172</x:v>
      </x:c>
      <x:c r="K456" s="47" t="n">
        <x:v>0.9089330898001725</x:v>
      </x:c>
      <x:c r="L456" s="47" t="n">
        <x:v>0.6660599040935085</x:v>
      </x:c>
      <x:c r="M456" s="47" t="n">
        <x:v>0.10632828725071315</x:v>
      </x:c>
      <x:c r="N456" s="47" t="n">
        <x:v>0.6692050487748984</x:v>
      </x:c>
      <x:c r="O456" s="47" t="n">
        <x:v>0.9097520649279844</x:v>
      </x:c>
      <x:c r="P456" s="47" t="n">
        <x:v>0.5536048921619633</x:v>
      </x:c>
      <x:c r="Q456" s="47" t="n">
        <x:v>1</x:v>
      </x:c>
      <x:c r="R456" s="47" t="n">
        <x:v>0.8885579651823089</x:v>
      </x:c>
      <x:c r="S456" s="27" t="n">
        <x:v>0</x:v>
      </x:c>
    </x:row>
    <x:row r="457" ht="21.600000381469727" hidden="0" customHeight="1">
      <x:c r="A457" s="29" t="n">
        <x:v>151</x:v>
      </x:c>
      <x:c r="B457" s="29" t="str">
        <x:v>A3</x:v>
      </x:c>
      <x:c r="C457" s="48" t="n">
        <x:v>1.215878264469433</x:v>
      </x:c>
      <x:c r="D457" s="48" t="n">
        <x:v>0.8743492343735724</x:v>
      </x:c>
      <x:c r="E457" s="48" t="n">
        <x:v>0.48007743656794855</x:v>
      </x:c>
      <x:c r="F457" s="48" t="n">
        <x:v>-0.11638331417494169</x:v>
      </x:c>
      <x:c r="G457" s="48" t="n">
        <x:v>-0.005248839654715343</x:v>
      </x:c>
      <x:c r="H457" s="48" t="n">
        <x:v>0.9533424653809619</x:v>
      </x:c>
      <x:c r="I457" s="48" t="n">
        <x:v>0.9350478993776572</x:v>
      </x:c>
      <x:c r="J457" s="48" t="n">
        <x:v>0.9550750805504172</x:v>
      </x:c>
      <x:c r="K457" s="48" t="n">
        <x:v>0.9089330898001725</x:v>
      </x:c>
      <x:c r="L457" s="48" t="n">
        <x:v>0.6660599040935085</x:v>
      </x:c>
      <x:c r="M457" s="48" t="n">
        <x:v>0.10632828725071315</x:v>
      </x:c>
      <x:c r="N457" s="48" t="n">
        <x:v>0.6692050487748984</x:v>
      </x:c>
      <x:c r="O457" s="48" t="n">
        <x:v>1</x:v>
      </x:c>
      <x:c r="P457" s="48" t="n">
        <x:v>1</x:v>
      </x:c>
      <x:c r="Q457" s="48" t="n">
        <x:v>1</x:v>
      </x:c>
      <x:c r="R457" s="48" t="n">
        <x:v>1</x:v>
      </x:c>
      <x:c r="S457" s="29" t="n">
        <x:v>1</x:v>
      </x:c>
    </x:row>
    <x:row r="458" ht="21.600000381469727" hidden="0" customHeight="1">
      <x:c r="A458" s="27" t="n">
        <x:v>152</x:v>
      </x:c>
      <x:c r="B458" s="27" t="str">
        <x:v>A1</x:v>
      </x:c>
      <x:c r="C458" s="47" t="n">
        <x:v>1.1918674753279552</x:v>
      </x:c>
      <x:c r="D458" s="47" t="n">
        <x:v>0.9832326803823854</x:v>
      </x:c>
      <x:c r="E458" s="47" t="n">
        <x:v>0.7780132515679502</x:v>
      </x:c>
      <x:c r="F458" s="47" t="n">
        <x:v>-0.17891791251206646</x:v>
      </x:c>
      <x:c r="G458" s="47" t="n">
        <x:v>-0.060356153759381415</x:v>
      </x:c>
      <x:c r="H458" s="47" t="n">
        <x:v>1.0541429990831952</x:v>
      </x:c>
      <x:c r="I458" s="47" t="n">
        <x:v>0.7275996073067384</x:v>
      </x:c>
      <x:c r="J458" s="47" t="n">
        <x:v>0.5513626394089188</x:v>
      </x:c>
      <x:c r="K458" s="47" t="n">
        <x:v>0.8985194098548339</x:v>
      </x:c>
      <x:c r="L458" s="47" t="n">
        <x:v>0.9445021731501351</x:v>
      </x:c>
      <x:c r="M458" s="47" t="n">
        <x:v>0.17045756411105834</x:v>
      </x:c>
      <x:c r="N458" s="47" t="n">
        <x:v>0.686288685496638</x:v>
      </x:c>
      <x:c r="O458" s="47" t="n">
        <x:v>0.8491807409198474</x:v>
      </x:c>
      <x:c r="P458" s="47" t="n">
        <x:v>0.5159934355025673</x:v>
      </x:c>
      <x:c r="Q458" s="47" t="n">
        <x:v>1</x:v>
      </x:c>
      <x:c r="R458" s="47" t="n">
        <x:v>0.8137618870927443</x:v>
      </x:c>
      <x:c r="S458" s="27" t="n">
        <x:v>0</x:v>
      </x:c>
    </x:row>
    <x:row r="459" ht="21.600000381469727" hidden="0" customHeight="1">
      <x:c r="A459" s="29" t="n">
        <x:v>152</x:v>
      </x:c>
      <x:c r="B459" s="29" t="str">
        <x:v>A2</x:v>
      </x:c>
      <x:c r="C459" s="48" t="n">
        <x:v>1.1918674753279552</x:v>
      </x:c>
      <x:c r="D459" s="48" t="n">
        <x:v>0.9832326803823854</x:v>
      </x:c>
      <x:c r="E459" s="48" t="n">
        <x:v>0.7780132515679502</x:v>
      </x:c>
      <x:c r="F459" s="48" t="n">
        <x:v>-0.17891791251206646</x:v>
      </x:c>
      <x:c r="G459" s="48" t="n">
        <x:v>-0.060356153759381415</x:v>
      </x:c>
      <x:c r="H459" s="48" t="n">
        <x:v>1.0541429990831952</x:v>
      </x:c>
      <x:c r="I459" s="48" t="n">
        <x:v>0.7275996073067384</x:v>
      </x:c>
      <x:c r="J459" s="48" t="n">
        <x:v>0.5513626394089188</x:v>
      </x:c>
      <x:c r="K459" s="48" t="n">
        <x:v>0.8985194098548339</x:v>
      </x:c>
      <x:c r="L459" s="48" t="n">
        <x:v>0.9445021731501351</x:v>
      </x:c>
      <x:c r="M459" s="48" t="n">
        <x:v>0.17045756411105834</x:v>
      </x:c>
      <x:c r="N459" s="48" t="n">
        <x:v>0.686288685496638</x:v>
      </x:c>
      <x:c r="O459" s="48" t="n">
        <x:v>0.9483707841739365</x:v>
      </x:c>
      <x:c r="P459" s="48" t="n">
        <x:v>0.7347117112391155</x:v>
      </x:c>
      <x:c r="Q459" s="48" t="n">
        <x:v>1</x:v>
      </x:c>
      <x:c r="R459" s="48" t="n">
        <x:v>0.936246021993667</x:v>
      </x:c>
      <x:c r="S459" s="29" t="n">
        <x:v>0</x:v>
      </x:c>
    </x:row>
    <x:row r="460" ht="21.600000381469727" hidden="0" customHeight="1">
      <x:c r="A460" s="27" t="n">
        <x:v>152</x:v>
      </x:c>
      <x:c r="B460" s="27" t="str">
        <x:v>A3</x:v>
      </x:c>
      <x:c r="C460" s="47" t="n">
        <x:v>1.1918674753279552</x:v>
      </x:c>
      <x:c r="D460" s="47" t="n">
        <x:v>0.9832326803823854</x:v>
      </x:c>
      <x:c r="E460" s="47" t="n">
        <x:v>0.7780132515679502</x:v>
      </x:c>
      <x:c r="F460" s="47" t="n">
        <x:v>-0.17891791251206646</x:v>
      </x:c>
      <x:c r="G460" s="47" t="n">
        <x:v>-0.060356153759381415</x:v>
      </x:c>
      <x:c r="H460" s="47" t="n">
        <x:v>1.0541429990831952</x:v>
      </x:c>
      <x:c r="I460" s="47" t="n">
        <x:v>0.7275996073067384</x:v>
      </x:c>
      <x:c r="J460" s="47" t="n">
        <x:v>0.5513626394089188</x:v>
      </x:c>
      <x:c r="K460" s="47" t="n">
        <x:v>0.8985194098548339</x:v>
      </x:c>
      <x:c r="L460" s="47" t="n">
        <x:v>0.9445021731501351</x:v>
      </x:c>
      <x:c r="M460" s="47" t="n">
        <x:v>0.17045756411105834</x:v>
      </x:c>
      <x:c r="N460" s="47" t="n">
        <x:v>0.686288685496638</x:v>
      </x:c>
      <x:c r="O460" s="47" t="n">
        <x:v>1</x:v>
      </x:c>
      <x:c r="P460" s="47" t="n">
        <x:v>1</x:v>
      </x:c>
      <x:c r="Q460" s="47" t="n">
        <x:v>1</x:v>
      </x:c>
      <x:c r="R460" s="47" t="n">
        <x:v>1</x:v>
      </x:c>
      <x:c r="S460" s="27" t="n">
        <x:v>1</x:v>
      </x:c>
    </x:row>
    <x:row r="461" ht="21.600000381469727" hidden="0" customHeight="1">
      <x:c r="A461" s="29" t="n">
        <x:v>153</x:v>
      </x:c>
      <x:c r="B461" s="29" t="str">
        <x:v>A1</x:v>
      </x:c>
      <x:c r="C461" s="48" t="n">
        <x:v>1.037033001295478</x:v>
      </x:c>
      <x:c r="D461" s="48" t="n">
        <x:v>0.875002712347734</x:v>
      </x:c>
      <x:c r="E461" s="48" t="n">
        <x:v>0.9958772330257402</x:v>
      </x:c>
      <x:c r="F461" s="48" t="n">
        <x:v>-0.03178037553729865</x:v>
      </x:c>
      <x:c r="G461" s="48" t="n">
        <x:v>-0.13586245654315243</x:v>
      </x:c>
      <x:c r="H461" s="48" t="n">
        <x:v>0.4321669959534761</x:v>
      </x:c>
      <x:c r="I461" s="48" t="n">
        <x:v>0.8643415618074024</x:v>
      </x:c>
      <x:c r="J461" s="48" t="n">
        <x:v>0.8063595134867819</x:v>
      </x:c>
      <x:c r="K461" s="48" t="n">
        <x:v>0.8518425071601982</x:v>
      </x:c>
      <x:c r="L461" s="48" t="n">
        <x:v>0.6348407277401278</x:v>
      </x:c>
      <x:c r="M461" s="48" t="n">
        <x:v>0.15239048551848422</x:v>
      </x:c>
      <x:c r="N461" s="48" t="n">
        <x:v>0.9769030626163258</x:v>
      </x:c>
      <x:c r="O461" s="48" t="n">
        <x:v>0.944577013300588</x:v>
      </x:c>
      <x:c r="P461" s="48" t="n">
        <x:v>0.7243453546816784</x:v>
      </x:c>
      <x:c r="Q461" s="48" t="n">
        <x:v>1</x:v>
      </x:c>
      <x:c r="R461" s="48" t="n">
        <x:v>0.9315613104219209</x:v>
      </x:c>
      <x:c r="S461" s="29" t="n">
        <x:v>0</x:v>
      </x:c>
    </x:row>
    <x:row r="462" ht="21.600000381469727" hidden="0" customHeight="1">
      <x:c r="A462" s="27" t="n">
        <x:v>153</x:v>
      </x:c>
      <x:c r="B462" s="27" t="str">
        <x:v>A2</x:v>
      </x:c>
      <x:c r="C462" s="47" t="n">
        <x:v>1.037033001295478</x:v>
      </x:c>
      <x:c r="D462" s="47" t="n">
        <x:v>0.875002712347734</x:v>
      </x:c>
      <x:c r="E462" s="47" t="n">
        <x:v>0.9958772330257402</x:v>
      </x:c>
      <x:c r="F462" s="47" t="n">
        <x:v>-0.03178037553729865</x:v>
      </x:c>
      <x:c r="G462" s="47" t="n">
        <x:v>-0.13586245654315243</x:v>
      </x:c>
      <x:c r="H462" s="47" t="n">
        <x:v>0.4321669959534761</x:v>
      </x:c>
      <x:c r="I462" s="47" t="n">
        <x:v>0.8643415618074024</x:v>
      </x:c>
      <x:c r="J462" s="47" t="n">
        <x:v>0.8063595134867819</x:v>
      </x:c>
      <x:c r="K462" s="47" t="n">
        <x:v>0.8518425071601982</x:v>
      </x:c>
      <x:c r="L462" s="47" t="n">
        <x:v>0.6348407277401278</x:v>
      </x:c>
      <x:c r="M462" s="47" t="n">
        <x:v>0.15239048551848422</x:v>
      </x:c>
      <x:c r="N462" s="47" t="n">
        <x:v>0.9769030626163258</x:v>
      </x:c>
      <x:c r="O462" s="47" t="n">
        <x:v>0.9811312592988878</x:v>
      </x:c>
      <x:c r="P462" s="47" t="n">
        <x:v>0.8113125929888776</x:v>
      </x:c>
      <x:c r="Q462" s="47" t="n">
        <x:v>1</x:v>
      </x:c>
      <x:c r="R462" s="47" t="n">
        <x:v>0.9767000668048375</x:v>
      </x:c>
      <x:c r="S462" s="27" t="n">
        <x:v>0</x:v>
      </x:c>
    </x:row>
    <x:row r="463" ht="21.600000381469727" hidden="0" customHeight="1">
      <x:c r="A463" s="29" t="n">
        <x:v>153</x:v>
      </x:c>
      <x:c r="B463" s="29" t="str">
        <x:v>A3</x:v>
      </x:c>
      <x:c r="C463" s="48" t="n">
        <x:v>1.037033001295478</x:v>
      </x:c>
      <x:c r="D463" s="48" t="n">
        <x:v>0.875002712347734</x:v>
      </x:c>
      <x:c r="E463" s="48" t="n">
        <x:v>0.9958772330257402</x:v>
      </x:c>
      <x:c r="F463" s="48" t="n">
        <x:v>-0.03178037553729865</x:v>
      </x:c>
      <x:c r="G463" s="48" t="n">
        <x:v>-0.13586245654315243</x:v>
      </x:c>
      <x:c r="H463" s="48" t="n">
        <x:v>0.4321669959534761</x:v>
      </x:c>
      <x:c r="I463" s="48" t="n">
        <x:v>0.8643415618074024</x:v>
      </x:c>
      <x:c r="J463" s="48" t="n">
        <x:v>0.8063595134867819</x:v>
      </x:c>
      <x:c r="K463" s="48" t="n">
        <x:v>0.8518425071601982</x:v>
      </x:c>
      <x:c r="L463" s="48" t="n">
        <x:v>0.6348407277401278</x:v>
      </x:c>
      <x:c r="M463" s="48" t="n">
        <x:v>0.15239048551848422</x:v>
      </x:c>
      <x:c r="N463" s="48" t="n">
        <x:v>0.9769030626163258</x:v>
      </x:c>
      <x:c r="O463" s="48" t="n">
        <x:v>1</x:v>
      </x:c>
      <x:c r="P463" s="48" t="n">
        <x:v>1</x:v>
      </x:c>
      <x:c r="Q463" s="48" t="n">
        <x:v>1</x:v>
      </x:c>
      <x:c r="R463" s="48" t="n">
        <x:v>1</x:v>
      </x:c>
      <x:c r="S463" s="29" t="n">
        <x:v>1</x:v>
      </x:c>
    </x:row>
    <x:row r="464" ht="21.600000381469727" hidden="0" customHeight="1">
      <x:c r="A464" s="27" t="n">
        <x:v>154</x:v>
      </x:c>
      <x:c r="B464" s="27" t="str">
        <x:v>A1</x:v>
      </x:c>
      <x:c r="C464" s="47" t="n">
        <x:v>1.2286386113521406</x:v>
      </x:c>
      <x:c r="D464" s="47" t="n">
        <x:v>0.8653599827603333</x:v>
      </x:c>
      <x:c r="E464" s="47" t="n">
        <x:v>0.5919710847927822</x:v>
      </x:c>
      <x:c r="F464" s="47" t="n">
        <x:v>-0.15390006875753054</x:v>
      </x:c>
      <x:c r="G464" s="47" t="n">
        <x:v>-0.12859795664955143</x:v>
      </x:c>
      <x:c r="H464" s="47" t="n">
        <x:v>1.0155686463291353</x:v>
      </x:c>
      <x:c r="I464" s="47" t="n">
        <x:v>0.9877905816197903</x:v>
      </x:c>
      <x:c r="J464" s="47" t="n">
        <x:v>0.49049311774691473</x:v>
      </x:c>
      <x:c r="K464" s="47" t="n">
        <x:v>0.82940121896058</x:v>
      </x:c>
      <x:c r="L464" s="47" t="n">
        <x:v>0.9671273086208664</x:v>
      </x:c>
      <x:c r="M464" s="47" t="n">
        <x:v>0.08907596354181639</x:v>
      </x:c>
      <x:c r="N464" s="47" t="n">
        <x:v>0.7279599784017358</x:v>
      </x:c>
      <x:c r="O464" s="47" t="n">
        <x:v>0.8119767921095598</x:v>
      </x:c>
      <x:c r="P464" s="47" t="n">
        <x:v>0.5416819184158075</x:v>
      </x:c>
      <x:c r="Q464" s="47" t="n">
        <x:v>1</x:v>
      </x:c>
      <x:c r="R464" s="47" t="n">
        <x:v>0.767820849712075</x:v>
      </x:c>
      <x:c r="S464" s="27" t="n">
        <x:v>0</x:v>
      </x:c>
    </x:row>
    <x:row r="465" ht="21.600000381469727" hidden="0" customHeight="1">
      <x:c r="A465" s="29" t="n">
        <x:v>154</x:v>
      </x:c>
      <x:c r="B465" s="29" t="str">
        <x:v>A2</x:v>
      </x:c>
      <x:c r="C465" s="48" t="n">
        <x:v>1.2286386113521406</x:v>
      </x:c>
      <x:c r="D465" s="48" t="n">
        <x:v>0.8653599827603333</x:v>
      </x:c>
      <x:c r="E465" s="48" t="n">
        <x:v>0.5919710847927822</x:v>
      </x:c>
      <x:c r="F465" s="48" t="n">
        <x:v>-0.15390006875753054</x:v>
      </x:c>
      <x:c r="G465" s="48" t="n">
        <x:v>-0.12859795664955143</x:v>
      </x:c>
      <x:c r="H465" s="48" t="n">
        <x:v>1.0155686463291353</x:v>
      </x:c>
      <x:c r="I465" s="48" t="n">
        <x:v>0.9877905816197903</x:v>
      </x:c>
      <x:c r="J465" s="48" t="n">
        <x:v>0.49049311774691473</x:v>
      </x:c>
      <x:c r="K465" s="48" t="n">
        <x:v>0.82940121896058</x:v>
      </x:c>
      <x:c r="L465" s="48" t="n">
        <x:v>0.9671273086208664</x:v>
      </x:c>
      <x:c r="M465" s="48" t="n">
        <x:v>0.08907596354181639</x:v>
      </x:c>
      <x:c r="N465" s="48" t="n">
        <x:v>0.7279599784017358</x:v>
      </x:c>
      <x:c r="O465" s="48" t="n">
        <x:v>0.915191489097478</x:v>
      </x:c>
      <x:c r="P465" s="48" t="n">
        <x:v>0.7271897115828695</x:v>
      </x:c>
      <x:c r="Q465" s="48" t="n">
        <x:v>1</x:v>
      </x:c>
      <x:c r="R465" s="48" t="n">
        <x:v>0.8952748002788815</x:v>
      </x:c>
      <x:c r="S465" s="29" t="n">
        <x:v>0</x:v>
      </x:c>
    </x:row>
    <x:row r="466" ht="21.600000381469727" hidden="0" customHeight="1">
      <x:c r="A466" s="27" t="n">
        <x:v>154</x:v>
      </x:c>
      <x:c r="B466" s="27" t="str">
        <x:v>A3</x:v>
      </x:c>
      <x:c r="C466" s="47" t="n">
        <x:v>1.2286386113521406</x:v>
      </x:c>
      <x:c r="D466" s="47" t="n">
        <x:v>0.8653599827603333</x:v>
      </x:c>
      <x:c r="E466" s="47" t="n">
        <x:v>0.5919710847927822</x:v>
      </x:c>
      <x:c r="F466" s="47" t="n">
        <x:v>-0.15390006875753054</x:v>
      </x:c>
      <x:c r="G466" s="47" t="n">
        <x:v>-0.12859795664955143</x:v>
      </x:c>
      <x:c r="H466" s="47" t="n">
        <x:v>1.0155686463291353</x:v>
      </x:c>
      <x:c r="I466" s="47" t="n">
        <x:v>0.9877905816197903</x:v>
      </x:c>
      <x:c r="J466" s="47" t="n">
        <x:v>0.49049311774691473</x:v>
      </x:c>
      <x:c r="K466" s="47" t="n">
        <x:v>0.82940121896058</x:v>
      </x:c>
      <x:c r="L466" s="47" t="n">
        <x:v>0.9671273086208664</x:v>
      </x:c>
      <x:c r="M466" s="47" t="n">
        <x:v>0.08907596354181639</x:v>
      </x:c>
      <x:c r="N466" s="47" t="n">
        <x:v>0.7279599784017358</x:v>
      </x:c>
      <x:c r="O466" s="47" t="n">
        <x:v>1</x:v>
      </x:c>
      <x:c r="P466" s="47" t="n">
        <x:v>1</x:v>
      </x:c>
      <x:c r="Q466" s="47" t="n">
        <x:v>1</x:v>
      </x:c>
      <x:c r="R466" s="47" t="n">
        <x:v>1.0000000000000002</x:v>
      </x:c>
      <x:c r="S466" s="27" t="n">
        <x:v>1</x:v>
      </x:c>
    </x:row>
    <x:row r="467" ht="21.600000381469727" hidden="0" customHeight="1">
      <x:c r="A467" s="29" t="n">
        <x:v>155</x:v>
      </x:c>
      <x:c r="B467" s="29" t="str">
        <x:v>A1</x:v>
      </x:c>
      <x:c r="C467" s="48" t="n">
        <x:v>1.2153872719597274</x:v>
      </x:c>
      <x:c r="D467" s="48" t="n">
        <x:v>0.7997661787758735</x:v>
      </x:c>
      <x:c r="E467" s="48" t="n">
        <x:v>0.9221985699891091</x:v>
      </x:c>
      <x:c r="F467" s="48" t="n">
        <x:v>-0.11900833223164012</x:v>
      </x:c>
      <x:c r="G467" s="48" t="n">
        <x:v>-0.09921362526434395</x:v>
      </x:c>
      <x:c r="H467" s="48" t="n">
        <x:v>0.8820080896355789</x:v>
      </x:c>
      <x:c r="I467" s="48" t="n">
        <x:v>0.9989833060603057</x:v>
      </x:c>
      <x:c r="J467" s="48" t="n">
        <x:v>0.6942405950141566</x:v>
      </x:c>
      <x:c r="K467" s="48" t="n">
        <x:v>0.799586173086563</x:v>
      </x:c>
      <x:c r="L467" s="48" t="n">
        <x:v>0.6223524702866475</x:v>
      </x:c>
      <x:c r="M467" s="48" t="n">
        <x:v>0.17592764762190233</x:v>
      </x:c>
      <x:c r="N467" s="48" t="n">
        <x:v>0.7417909852367618</x:v>
      </x:c>
      <x:c r="O467" s="48" t="n">
        <x:v>0.7860507213949369</x:v>
      </x:c>
      <x:c r="P467" s="48" t="n">
        <x:v>0.49124040164897487</x:v>
      </x:c>
      <x:c r="Q467" s="48" t="n">
        <x:v>0.9197496152660966</x:v>
      </x:c>
      <x:c r="R467" s="48" t="n">
        <x:v>0.736882936993545</x:v>
      </x:c>
      <x:c r="S467" s="29" t="n">
        <x:v>0</x:v>
      </x:c>
    </x:row>
    <x:row r="468" ht="21.600000381469727" hidden="0" customHeight="1">
      <x:c r="A468" s="27" t="n">
        <x:v>155</x:v>
      </x:c>
      <x:c r="B468" s="27" t="str">
        <x:v>A2</x:v>
      </x:c>
      <x:c r="C468" s="47" t="n">
        <x:v>1.2153872719597274</x:v>
      </x:c>
      <x:c r="D468" s="47" t="n">
        <x:v>0.7997661787758735</x:v>
      </x:c>
      <x:c r="E468" s="47" t="n">
        <x:v>0.9221985699891091</x:v>
      </x:c>
      <x:c r="F468" s="47" t="n">
        <x:v>-0.11900833223164012</x:v>
      </x:c>
      <x:c r="G468" s="47" t="n">
        <x:v>-0.09921362526434395</x:v>
      </x:c>
      <x:c r="H468" s="47" t="n">
        <x:v>0.8820080896355789</x:v>
      </x:c>
      <x:c r="I468" s="47" t="n">
        <x:v>0.9989833060603057</x:v>
      </x:c>
      <x:c r="J468" s="47" t="n">
        <x:v>0.6942405950141566</x:v>
      </x:c>
      <x:c r="K468" s="47" t="n">
        <x:v>0.799586173086563</x:v>
      </x:c>
      <x:c r="L468" s="47" t="n">
        <x:v>0.6223524702866475</x:v>
      </x:c>
      <x:c r="M468" s="47" t="n">
        <x:v>0.17592764762190233</x:v>
      </x:c>
      <x:c r="N468" s="47" t="n">
        <x:v>0.7417909852367618</x:v>
      </x:c>
      <x:c r="O468" s="47" t="n">
        <x:v>0.8761577384332292</x:v>
      </x:c>
      <x:c r="P468" s="47" t="n">
        <x:v>0.49903155057397686</x:v>
      </x:c>
      <x:c r="Q468" s="47" t="n">
        <x:v>1</x:v>
      </x:c>
      <x:c r="R468" s="47" t="n">
        <x:v>0.8470742448077881</x:v>
      </x:c>
      <x:c r="S468" s="27" t="n">
        <x:v>0</x:v>
      </x:c>
    </x:row>
    <x:row r="469" ht="21.600000381469727" hidden="0" customHeight="1">
      <x:c r="A469" s="29" t="n">
        <x:v>155</x:v>
      </x:c>
      <x:c r="B469" s="29" t="str">
        <x:v>A3</x:v>
      </x:c>
      <x:c r="C469" s="48" t="n">
        <x:v>1.2153872719597274</x:v>
      </x:c>
      <x:c r="D469" s="48" t="n">
        <x:v>0.7997661787758735</x:v>
      </x:c>
      <x:c r="E469" s="48" t="n">
        <x:v>0.9221985699891091</x:v>
      </x:c>
      <x:c r="F469" s="48" t="n">
        <x:v>-0.11900833223164012</x:v>
      </x:c>
      <x:c r="G469" s="48" t="n">
        <x:v>-0.09921362526434395</x:v>
      </x:c>
      <x:c r="H469" s="48" t="n">
        <x:v>0.8820080896355789</x:v>
      </x:c>
      <x:c r="I469" s="48" t="n">
        <x:v>0.9989833060603057</x:v>
      </x:c>
      <x:c r="J469" s="48" t="n">
        <x:v>0.6942405950141566</x:v>
      </x:c>
      <x:c r="K469" s="48" t="n">
        <x:v>0.799586173086563</x:v>
      </x:c>
      <x:c r="L469" s="48" t="n">
        <x:v>0.6223524702866475</x:v>
      </x:c>
      <x:c r="M469" s="48" t="n">
        <x:v>0.17592764762190233</x:v>
      </x:c>
      <x:c r="N469" s="48" t="n">
        <x:v>0.7417909852367618</x:v>
      </x:c>
      <x:c r="O469" s="48" t="n">
        <x:v>1</x:v>
      </x:c>
      <x:c r="P469" s="48" t="n">
        <x:v>1</x:v>
      </x:c>
      <x:c r="Q469" s="48" t="n">
        <x:v>1</x:v>
      </x:c>
      <x:c r="R469" s="48" t="n">
        <x:v>1</x:v>
      </x:c>
      <x:c r="S469" s="29" t="n">
        <x:v>1</x:v>
      </x:c>
    </x:row>
    <x:row r="470" ht="21.600000381469727" hidden="0" customHeight="1">
      <x:c r="A470" s="27" t="n">
        <x:v>156</x:v>
      </x:c>
      <x:c r="B470" s="27" t="str">
        <x:v>A1</x:v>
      </x:c>
      <x:c r="C470" s="47" t="n">
        <x:v>1.2929382804000151</x:v>
      </x:c>
      <x:c r="D470" s="47" t="n">
        <x:v>0.9660605397716707</x:v>
      </x:c>
      <x:c r="E470" s="47" t="n">
        <x:v>1.0755414892816153</x:v>
      </x:c>
      <x:c r="F470" s="47" t="n">
        <x:v>-0.04170802673156876</x:v>
      </x:c>
      <x:c r="G470" s="47" t="n">
        <x:v>-0.04815448549108972</x:v>
      </x:c>
      <x:c r="H470" s="47" t="n">
        <x:v>0.7173928504644436</x:v>
      </x:c>
      <x:c r="I470" s="47" t="n">
        <x:v>0.7669446735236408</x:v>
      </x:c>
      <x:c r="J470" s="47" t="n">
        <x:v>0.9315574397693948</x:v>
      </x:c>
      <x:c r="K470" s="47" t="n">
        <x:v>0.6872571725566405</x:v>
      </x:c>
      <x:c r="L470" s="47" t="n">
        <x:v>0.6591190463177913</x:v>
      </x:c>
      <x:c r="M470" s="47" t="n">
        <x:v>0.1420775770519172</x:v>
      </x:c>
      <x:c r="N470" s="47" t="n">
        <x:v>0.8780143444154994</x:v>
      </x:c>
      <x:c r="O470" s="47" t="n">
        <x:v>0.8564613676229681</x:v>
      </x:c>
      <x:c r="P470" s="47" t="n">
        <x:v>0.5121370200665964</x:v>
      </x:c>
      <x:c r="Q470" s="47" t="n">
        <x:v>1</x:v>
      </x:c>
      <x:c r="R470" s="47" t="n">
        <x:v>0.8227523183297175</x:v>
      </x:c>
      <x:c r="S470" s="27" t="n">
        <x:v>0</x:v>
      </x:c>
    </x:row>
    <x:row r="471" ht="21.600000381469727" hidden="0" customHeight="1">
      <x:c r="A471" s="29" t="n">
        <x:v>156</x:v>
      </x:c>
      <x:c r="B471" s="29" t="str">
        <x:v>A2</x:v>
      </x:c>
      <x:c r="C471" s="48" t="n">
        <x:v>1.2929382804000151</x:v>
      </x:c>
      <x:c r="D471" s="48" t="n">
        <x:v>0.9660605397716707</x:v>
      </x:c>
      <x:c r="E471" s="48" t="n">
        <x:v>1.0755414892816153</x:v>
      </x:c>
      <x:c r="F471" s="48" t="n">
        <x:v>-0.04170802673156876</x:v>
      </x:c>
      <x:c r="G471" s="48" t="n">
        <x:v>-0.04815448549108972</x:v>
      </x:c>
      <x:c r="H471" s="48" t="n">
        <x:v>0.7173928504644436</x:v>
      </x:c>
      <x:c r="I471" s="48" t="n">
        <x:v>0.7669446735236408</x:v>
      </x:c>
      <x:c r="J471" s="48" t="n">
        <x:v>0.9315574397693948</x:v>
      </x:c>
      <x:c r="K471" s="48" t="n">
        <x:v>0.6872571725566405</x:v>
      </x:c>
      <x:c r="L471" s="48" t="n">
        <x:v>0.6591190463177913</x:v>
      </x:c>
      <x:c r="M471" s="48" t="n">
        <x:v>0.1420775770519172</x:v>
      </x:c>
      <x:c r="N471" s="48" t="n">
        <x:v>0.8780143444154994</x:v>
      </x:c>
      <x:c r="O471" s="48" t="n">
        <x:v>0.9555083453185188</x:v>
      </x:c>
      <x:c r="P471" s="48" t="n">
        <x:v>0.7174805310764493</x:v>
      </x:c>
      <x:c r="Q471" s="48" t="n">
        <x:v>1</x:v>
      </x:c>
      <x:c r="R471" s="48" t="n">
        <x:v>0.9450597897209088</x:v>
      </x:c>
      <x:c r="S471" s="29" t="n">
        <x:v>0</x:v>
      </x:c>
    </x:row>
    <x:row r="472" ht="21.600000381469727" hidden="0" customHeight="1">
      <x:c r="A472" s="27" t="n">
        <x:v>156</x:v>
      </x:c>
      <x:c r="B472" s="27" t="str">
        <x:v>A3</x:v>
      </x:c>
      <x:c r="C472" s="47" t="n">
        <x:v>1.2929382804000151</x:v>
      </x:c>
      <x:c r="D472" s="47" t="n">
        <x:v>0.9660605397716707</x:v>
      </x:c>
      <x:c r="E472" s="47" t="n">
        <x:v>1.0755414892816153</x:v>
      </x:c>
      <x:c r="F472" s="47" t="n">
        <x:v>-0.04170802673156876</x:v>
      </x:c>
      <x:c r="G472" s="47" t="n">
        <x:v>-0.04815448549108972</x:v>
      </x:c>
      <x:c r="H472" s="47" t="n">
        <x:v>0.7173928504644436</x:v>
      </x:c>
      <x:c r="I472" s="47" t="n">
        <x:v>0.7669446735236408</x:v>
      </x:c>
      <x:c r="J472" s="47" t="n">
        <x:v>0.9315574397693948</x:v>
      </x:c>
      <x:c r="K472" s="47" t="n">
        <x:v>0.6872571725566405</x:v>
      </x:c>
      <x:c r="L472" s="47" t="n">
        <x:v>0.6591190463177913</x:v>
      </x:c>
      <x:c r="M472" s="47" t="n">
        <x:v>0.1420775770519172</x:v>
      </x:c>
      <x:c r="N472" s="47" t="n">
        <x:v>0.8780143444154994</x:v>
      </x:c>
      <x:c r="O472" s="47" t="n">
        <x:v>1</x:v>
      </x:c>
      <x:c r="P472" s="47" t="n">
        <x:v>1</x:v>
      </x:c>
      <x:c r="Q472" s="47" t="n">
        <x:v>1</x:v>
      </x:c>
      <x:c r="R472" s="47" t="n">
        <x:v>1</x:v>
      </x:c>
      <x:c r="S472" s="27" t="n">
        <x:v>1</x:v>
      </x:c>
    </x:row>
    <x:row r="473" ht="21.600000381469727" hidden="0" customHeight="1">
      <x:c r="A473" s="29" t="n">
        <x:v>157</x:v>
      </x:c>
      <x:c r="B473" s="29" t="str">
        <x:v>A1</x:v>
      </x:c>
      <x:c r="C473" s="48" t="n">
        <x:v>1.005358945606697</x:v>
      </x:c>
      <x:c r="D473" s="48" t="n">
        <x:v>0.8838497421388438</x:v>
      </x:c>
      <x:c r="E473" s="48" t="n">
        <x:v>0.9904239961231653</x:v>
      </x:c>
      <x:c r="F473" s="48" t="n">
        <x:v>-0.16997142871680893</x:v>
      </x:c>
      <x:c r="G473" s="48" t="n">
        <x:v>-0.14243142708275675</x:v>
      </x:c>
      <x:c r="H473" s="48" t="n">
        <x:v>0.9338093996359627</x:v>
      </x:c>
      <x:c r="I473" s="48" t="n">
        <x:v>0.6880629799568969</x:v>
      </x:c>
      <x:c r="J473" s="48" t="n">
        <x:v>0.766658818193307</x:v>
      </x:c>
      <x:c r="K473" s="48" t="n">
        <x:v>0.7427038953534265</x:v>
      </x:c>
      <x:c r="L473" s="48" t="n">
        <x:v>0.908572410796255</x:v>
      </x:c>
      <x:c r="M473" s="48" t="n">
        <x:v>0.1411919320221734</x:v>
      </x:c>
      <x:c r="N473" s="48" t="n">
        <x:v>0.9572777975732647</x:v>
      </x:c>
      <x:c r="O473" s="48" t="n">
        <x:v>0.9274995765805765</x:v>
      </x:c>
      <x:c r="P473" s="48" t="n">
        <x:v>0.7168787411741409</x:v>
      </x:c>
      <x:c r="Q473" s="48" t="n">
        <x:v>1</x:v>
      </x:c>
      <x:c r="R473" s="48" t="n">
        <x:v>0.9104733564866894</x:v>
      </x:c>
      <x:c r="S473" s="29" t="n">
        <x:v>0</x:v>
      </x:c>
    </x:row>
    <x:row r="474" ht="21.600000381469727" hidden="0" customHeight="1">
      <x:c r="A474" s="27" t="n">
        <x:v>157</x:v>
      </x:c>
      <x:c r="B474" s="27" t="str">
        <x:v>A2</x:v>
      </x:c>
      <x:c r="C474" s="47" t="n">
        <x:v>1.005358945606697</x:v>
      </x:c>
      <x:c r="D474" s="47" t="n">
        <x:v>0.8838497421388438</x:v>
      </x:c>
      <x:c r="E474" s="47" t="n">
        <x:v>0.9904239961231653</x:v>
      </x:c>
      <x:c r="F474" s="47" t="n">
        <x:v>-0.16997142871680893</x:v>
      </x:c>
      <x:c r="G474" s="47" t="n">
        <x:v>-0.14243142708275675</x:v>
      </x:c>
      <x:c r="H474" s="47" t="n">
        <x:v>0.9338093996359627</x:v>
      </x:c>
      <x:c r="I474" s="47" t="n">
        <x:v>0.6880629799568969</x:v>
      </x:c>
      <x:c r="J474" s="47" t="n">
        <x:v>0.766658818193307</x:v>
      </x:c>
      <x:c r="K474" s="47" t="n">
        <x:v>0.7427038953534265</x:v>
      </x:c>
      <x:c r="L474" s="47" t="n">
        <x:v>0.908572410796255</x:v>
      </x:c>
      <x:c r="M474" s="47" t="n">
        <x:v>0.1411919320221734</x:v>
      </x:c>
      <x:c r="N474" s="47" t="n">
        <x:v>0.9572777975732647</x:v>
      </x:c>
      <x:c r="O474" s="47" t="n">
        <x:v>0.9676458249390876</x:v>
      </x:c>
      <x:c r="P474" s="47" t="n">
        <x:v>0.7831709058795043</x:v>
      </x:c>
      <x:c r="Q474" s="47" t="n">
        <x:v>1</x:v>
      </x:c>
      <x:c r="R474" s="47" t="n">
        <x:v>0.9600476719964987</x:v>
      </x:c>
      <x:c r="S474" s="27" t="n">
        <x:v>0</x:v>
      </x:c>
    </x:row>
    <x:row r="475" ht="21.600000381469727" hidden="0" customHeight="1">
      <x:c r="A475" s="29" t="n">
        <x:v>157</x:v>
      </x:c>
      <x:c r="B475" s="29" t="str">
        <x:v>A3</x:v>
      </x:c>
      <x:c r="C475" s="48" t="n">
        <x:v>1.005358945606697</x:v>
      </x:c>
      <x:c r="D475" s="48" t="n">
        <x:v>0.8838497421388438</x:v>
      </x:c>
      <x:c r="E475" s="48" t="n">
        <x:v>0.9904239961231653</x:v>
      </x:c>
      <x:c r="F475" s="48" t="n">
        <x:v>-0.16997142871680893</x:v>
      </x:c>
      <x:c r="G475" s="48" t="n">
        <x:v>-0.14243142708275675</x:v>
      </x:c>
      <x:c r="H475" s="48" t="n">
        <x:v>0.9338093996359627</x:v>
      </x:c>
      <x:c r="I475" s="48" t="n">
        <x:v>0.6880629799568969</x:v>
      </x:c>
      <x:c r="J475" s="48" t="n">
        <x:v>0.766658818193307</x:v>
      </x:c>
      <x:c r="K475" s="48" t="n">
        <x:v>0.7427038953534265</x:v>
      </x:c>
      <x:c r="L475" s="48" t="n">
        <x:v>0.908572410796255</x:v>
      </x:c>
      <x:c r="M475" s="48" t="n">
        <x:v>0.1411919320221734</x:v>
      </x:c>
      <x:c r="N475" s="48" t="n">
        <x:v>0.9572777975732647</x:v>
      </x:c>
      <x:c r="O475" s="48" t="n">
        <x:v>1</x:v>
      </x:c>
      <x:c r="P475" s="48" t="n">
        <x:v>1</x:v>
      </x:c>
      <x:c r="Q475" s="48" t="n">
        <x:v>1</x:v>
      </x:c>
      <x:c r="R475" s="48" t="n">
        <x:v>1</x:v>
      </x:c>
      <x:c r="S475" s="29" t="n">
        <x:v>1</x:v>
      </x:c>
    </x:row>
    <x:row r="476" ht="21.600000381469727" hidden="0" customHeight="1">
      <x:c r="A476" s="27" t="n">
        <x:v>158</x:v>
      </x:c>
      <x:c r="B476" s="27" t="str">
        <x:v>A1</x:v>
      </x:c>
      <x:c r="C476" s="47" t="n">
        <x:v>0.9785122588962054</x:v>
      </x:c>
      <x:c r="D476" s="47" t="n">
        <x:v>0.9330767884131654</x:v>
      </x:c>
      <x:c r="E476" s="47" t="n">
        <x:v>0.8496906321446189</x:v>
      </x:c>
      <x:c r="F476" s="47" t="n">
        <x:v>-0.17621682851981255</x:v>
      </x:c>
      <x:c r="G476" s="47" t="n">
        <x:v>-0.18852789084833577</x:v>
      </x:c>
      <x:c r="H476" s="47" t="n">
        <x:v>0.35257966305690736</x:v>
      </x:c>
      <x:c r="I476" s="47" t="n">
        <x:v>0.7897284518440516</x:v>
      </x:c>
      <x:c r="J476" s="47" t="n">
        <x:v>0.848145176015353</x:v>
      </x:c>
      <x:c r="K476" s="47" t="n">
        <x:v>0.5750510986585778</x:v>
      </x:c>
      <x:c r="L476" s="47" t="n">
        <x:v>0.9023684275043131</x:v>
      </x:c>
      <x:c r="M476" s="47" t="n">
        <x:v>0.1505281854912533</x:v>
      </x:c>
      <x:c r="N476" s="47" t="n">
        <x:v>0.8669874796344362</x:v>
      </x:c>
      <x:c r="O476" s="47" t="n">
        <x:v>0.9673424122842723</x:v>
      </x:c>
      <x:c r="P476" s="47" t="n">
        <x:v>0.7932919568257468</x:v>
      </x:c>
      <x:c r="Q476" s="47" t="n">
        <x:v>1</x:v>
      </x:c>
      <x:c r="R476" s="47" t="n">
        <x:v>0.9596730049903772</x:v>
      </x:c>
      <x:c r="S476" s="27" t="n">
        <x:v>0</x:v>
      </x:c>
    </x:row>
    <x:row r="477" ht="21.600000381469727" hidden="0" customHeight="1">
      <x:c r="A477" s="29" t="n">
        <x:v>158</x:v>
      </x:c>
      <x:c r="B477" s="29" t="str">
        <x:v>A2</x:v>
      </x:c>
      <x:c r="C477" s="48" t="n">
        <x:v>0.9785122588962054</x:v>
      </x:c>
      <x:c r="D477" s="48" t="n">
        <x:v>0.9330767884131654</x:v>
      </x:c>
      <x:c r="E477" s="48" t="n">
        <x:v>0.8496906321446189</x:v>
      </x:c>
      <x:c r="F477" s="48" t="n">
        <x:v>-0.17621682851981255</x:v>
      </x:c>
      <x:c r="G477" s="48" t="n">
        <x:v>-0.18852789084833577</x:v>
      </x:c>
      <x:c r="H477" s="48" t="n">
        <x:v>0.35257966305690736</x:v>
      </x:c>
      <x:c r="I477" s="48" t="n">
        <x:v>0.7897284518440516</x:v>
      </x:c>
      <x:c r="J477" s="48" t="n">
        <x:v>0.848145176015353</x:v>
      </x:c>
      <x:c r="K477" s="48" t="n">
        <x:v>0.5750510986585778</x:v>
      </x:c>
      <x:c r="L477" s="48" t="n">
        <x:v>0.9023684275043131</x:v>
      </x:c>
      <x:c r="M477" s="48" t="n">
        <x:v>0.1505281854912533</x:v>
      </x:c>
      <x:c r="N477" s="48" t="n">
        <x:v>0.8669874796344362</x:v>
      </x:c>
      <x:c r="O477" s="48" t="n">
        <x:v>0.9958640224062045</x:v>
      </x:c>
      <x:c r="P477" s="48" t="n">
        <x:v>0.9586402240620446</x:v>
      </x:c>
      <x:c r="Q477" s="48" t="n">
        <x:v>1</x:v>
      </x:c>
      <x:c r="R477" s="48" t="n">
        <x:v>0.9948927168400569</x:v>
      </x:c>
      <x:c r="S477" s="29" t="n">
        <x:v>1</x:v>
      </x:c>
    </x:row>
    <x:row r="478" ht="21.600000381469727" hidden="0" customHeight="1">
      <x:c r="A478" s="27" t="n">
        <x:v>158</x:v>
      </x:c>
      <x:c r="B478" s="27" t="str">
        <x:v>A3</x:v>
      </x:c>
      <x:c r="C478" s="47" t="n">
        <x:v>0.9785122588962054</x:v>
      </x:c>
      <x:c r="D478" s="47" t="n">
        <x:v>0.9330767884131654</x:v>
      </x:c>
      <x:c r="E478" s="47" t="n">
        <x:v>0.8496906321446189</x:v>
      </x:c>
      <x:c r="F478" s="47" t="n">
        <x:v>-0.17621682851981255</x:v>
      </x:c>
      <x:c r="G478" s="47" t="n">
        <x:v>-0.18852789084833577</x:v>
      </x:c>
      <x:c r="H478" s="47" t="n">
        <x:v>0.35257966305690736</x:v>
      </x:c>
      <x:c r="I478" s="47" t="n">
        <x:v>0.7897284518440516</x:v>
      </x:c>
      <x:c r="J478" s="47" t="n">
        <x:v>0.848145176015353</x:v>
      </x:c>
      <x:c r="K478" s="47" t="n">
        <x:v>0.5750510986585778</x:v>
      </x:c>
      <x:c r="L478" s="47" t="n">
        <x:v>0.9023684275043131</x:v>
      </x:c>
      <x:c r="M478" s="47" t="n">
        <x:v>0.1505281854912533</x:v>
      </x:c>
      <x:c r="N478" s="47" t="n">
        <x:v>0.8669874796344362</x:v>
      </x:c>
      <x:c r="O478" s="47" t="n">
        <x:v>1</x:v>
      </x:c>
      <x:c r="P478" s="47" t="n">
        <x:v>1</x:v>
      </x:c>
      <x:c r="Q478" s="47" t="n">
        <x:v>1</x:v>
      </x:c>
      <x:c r="R478" s="47" t="n">
        <x:v>1.0000000000000002</x:v>
      </x:c>
      <x:c r="S478" s="27" t="n">
        <x:v>1</x:v>
      </x:c>
    </x:row>
    <x:row r="479" ht="21.600000381469727" hidden="0" customHeight="1">
      <x:c r="A479" s="29" t="n">
        <x:v>159</x:v>
      </x:c>
      <x:c r="B479" s="29" t="str">
        <x:v>A1</x:v>
      </x:c>
      <x:c r="C479" s="48" t="n">
        <x:v>1.1914683403759976</x:v>
      </x:c>
      <x:c r="D479" s="48" t="n">
        <x:v>0.8982860022854182</x:v>
      </x:c>
      <x:c r="E479" s="48" t="n">
        <x:v>0.9612903304143527</x:v>
      </x:c>
      <x:c r="F479" s="48" t="n">
        <x:v>-0.14003784981894632</x:v>
      </x:c>
      <x:c r="G479" s="48" t="n">
        <x:v>-0.12409677642468368</x:v>
      </x:c>
      <x:c r="H479" s="48" t="n">
        <x:v>1.0743601481588534</x:v>
      </x:c>
      <x:c r="I479" s="48" t="n">
        <x:v>0.9600519721485599</x:v>
      </x:c>
      <x:c r="J479" s="48" t="n">
        <x:v>0.764401941233098</x:v>
      </x:c>
      <x:c r="K479" s="48" t="n">
        <x:v>0.8692489300053927</x:v>
      </x:c>
      <x:c r="L479" s="48" t="n">
        <x:v>0.6049526457849119</x:v>
      </x:c>
      <x:c r="M479" s="48" t="n">
        <x:v>0.1744497936775525</x:v>
      </x:c>
      <x:c r="N479" s="48" t="n">
        <x:v>0.7807266228269</x:v>
      </x:c>
      <x:c r="O479" s="48" t="n">
        <x:v>0.901272318735063</x:v>
      </x:c>
      <x:c r="P479" s="48" t="n">
        <x:v>0.6795516688903881</x:v>
      </x:c>
      <x:c r="Q479" s="48" t="n">
        <x:v>0.9999999999999998</x:v>
      </x:c>
      <x:c r="R479" s="48" t="n">
        <x:v>0.87808680958498</x:v>
      </x:c>
      <x:c r="S479" s="29" t="n">
        <x:v>0</x:v>
      </x:c>
    </x:row>
    <x:row r="480" ht="21.600000381469727" hidden="0" customHeight="1">
      <x:c r="A480" s="27" t="n">
        <x:v>159</x:v>
      </x:c>
      <x:c r="B480" s="27" t="str">
        <x:v>A2</x:v>
      </x:c>
      <x:c r="C480" s="47" t="n">
        <x:v>1.1914683403759976</x:v>
      </x:c>
      <x:c r="D480" s="47" t="n">
        <x:v>0.8982860022854182</x:v>
      </x:c>
      <x:c r="E480" s="47" t="n">
        <x:v>0.9612903304143527</x:v>
      </x:c>
      <x:c r="F480" s="47" t="n">
        <x:v>-0.14003784981894632</x:v>
      </x:c>
      <x:c r="G480" s="47" t="n">
        <x:v>-0.12409677642468368</x:v>
      </x:c>
      <x:c r="H480" s="47" t="n">
        <x:v>1.0743601481588534</x:v>
      </x:c>
      <x:c r="I480" s="47" t="n">
        <x:v>0.9600519721485599</x:v>
      </x:c>
      <x:c r="J480" s="47" t="n">
        <x:v>0.764401941233098</x:v>
      </x:c>
      <x:c r="K480" s="47" t="n">
        <x:v>0.8692489300053927</x:v>
      </x:c>
      <x:c r="L480" s="47" t="n">
        <x:v>0.6049526457849119</x:v>
      </x:c>
      <x:c r="M480" s="47" t="n">
        <x:v>0.1744497936775525</x:v>
      </x:c>
      <x:c r="N480" s="47" t="n">
        <x:v>0.7807266228269</x:v>
      </x:c>
      <x:c r="O480" s="47" t="n">
        <x:v>0.9685724235820963</x:v>
      </x:c>
      <x:c r="P480" s="47" t="n">
        <x:v>0.7165043288044445</x:v>
      </x:c>
      <x:c r="Q480" s="47" t="n">
        <x:v>1</x:v>
      </x:c>
      <x:c r="R480" s="47" t="n">
        <x:v>0.9611918758849732</x:v>
      </x:c>
      <x:c r="S480" s="27" t="n">
        <x:v>0</x:v>
      </x:c>
    </x:row>
    <x:row r="481" ht="21.600000381469727" hidden="0" customHeight="1">
      <x:c r="A481" s="29" t="n">
        <x:v>159</x:v>
      </x:c>
      <x:c r="B481" s="29" t="str">
        <x:v>A3</x:v>
      </x:c>
      <x:c r="C481" s="48" t="n">
        <x:v>1.1914683403759976</x:v>
      </x:c>
      <x:c r="D481" s="48" t="n">
        <x:v>0.8982860022854182</x:v>
      </x:c>
      <x:c r="E481" s="48" t="n">
        <x:v>0.9612903304143527</x:v>
      </x:c>
      <x:c r="F481" s="48" t="n">
        <x:v>-0.14003784981894632</x:v>
      </x:c>
      <x:c r="G481" s="48" t="n">
        <x:v>-0.12409677642468368</x:v>
      </x:c>
      <x:c r="H481" s="48" t="n">
        <x:v>1.0743601481588534</x:v>
      </x:c>
      <x:c r="I481" s="48" t="n">
        <x:v>0.9600519721485599</x:v>
      </x:c>
      <x:c r="J481" s="48" t="n">
        <x:v>0.764401941233098</x:v>
      </x:c>
      <x:c r="K481" s="48" t="n">
        <x:v>0.8692489300053927</x:v>
      </x:c>
      <x:c r="L481" s="48" t="n">
        <x:v>0.6049526457849119</x:v>
      </x:c>
      <x:c r="M481" s="48" t="n">
        <x:v>0.1744497936775525</x:v>
      </x:c>
      <x:c r="N481" s="48" t="n">
        <x:v>0.7807266228269</x:v>
      </x:c>
      <x:c r="O481" s="48" t="n">
        <x:v>1</x:v>
      </x:c>
      <x:c r="P481" s="48" t="n">
        <x:v>1</x:v>
      </x:c>
      <x:c r="Q481" s="48" t="n">
        <x:v>1</x:v>
      </x:c>
      <x:c r="R481" s="48" t="n">
        <x:v>1.0000000000000002</x:v>
      </x:c>
      <x:c r="S481" s="29" t="n">
        <x:v>1</x:v>
      </x:c>
    </x:row>
    <x:row r="482" ht="21.600000381469727" hidden="0" customHeight="1">
      <x:c r="A482" s="27" t="n">
        <x:v>160</x:v>
      </x:c>
      <x:c r="B482" s="27" t="str">
        <x:v>A1</x:v>
      </x:c>
      <x:c r="C482" s="47" t="n">
        <x:v>1.2565795753056885</x:v>
      </x:c>
      <x:c r="D482" s="47" t="n">
        <x:v>0.953193343218545</x:v>
      </x:c>
      <x:c r="E482" s="47" t="n">
        <x:v>0.6615547628669624</x:v>
      </x:c>
      <x:c r="F482" s="47" t="n">
        <x:v>-0.04358159645940979</x:v>
      </x:c>
      <x:c r="G482" s="47" t="n">
        <x:v>-0.08743854590977558</x:v>
      </x:c>
      <x:c r="H482" s="47" t="n">
        <x:v>1.088837997271527</x:v>
      </x:c>
      <x:c r="I482" s="47" t="n">
        <x:v>0.716296241816328</x:v>
      </x:c>
      <x:c r="J482" s="47" t="n">
        <x:v>0.6206593670196254</x:v>
      </x:c>
      <x:c r="K482" s="47" t="n">
        <x:v>0.7724179926204414</x:v>
      </x:c>
      <x:c r="L482" s="47" t="n">
        <x:v>0.5526163048821735</x:v>
      </x:c>
      <x:c r="M482" s="47" t="n">
        <x:v>0.08705152492434083</x:v>
      </x:c>
      <x:c r="N482" s="47" t="n">
        <x:v>0.7201242522055765</x:v>
      </x:c>
      <x:c r="O482" s="47" t="n">
        <x:v>0.7957315542668607</x:v>
      </x:c>
      <x:c r="P482" s="47" t="n">
        <x:v>0.5355154783644981</x:v>
      </x:c>
      <x:c r="Q482" s="47" t="n">
        <x:v>1</x:v>
      </x:c>
      <x:c r="R482" s="47" t="n">
        <x:v>0.7477605307713361</x:v>
      </x:c>
      <x:c r="S482" s="27" t="n">
        <x:v>0</x:v>
      </x:c>
    </x:row>
    <x:row r="483" ht="21.600000381469727" hidden="0" customHeight="1">
      <x:c r="A483" s="29" t="n">
        <x:v>160</x:v>
      </x:c>
      <x:c r="B483" s="29" t="str">
        <x:v>A2</x:v>
      </x:c>
      <x:c r="C483" s="48" t="n">
        <x:v>1.2565795753056885</x:v>
      </x:c>
      <x:c r="D483" s="48" t="n">
        <x:v>0.953193343218545</x:v>
      </x:c>
      <x:c r="E483" s="48" t="n">
        <x:v>0.6615547628669624</x:v>
      </x:c>
      <x:c r="F483" s="48" t="n">
        <x:v>-0.04358159645940979</x:v>
      </x:c>
      <x:c r="G483" s="48" t="n">
        <x:v>-0.08743854590977558</x:v>
      </x:c>
      <x:c r="H483" s="48" t="n">
        <x:v>1.088837997271527</x:v>
      </x:c>
      <x:c r="I483" s="48" t="n">
        <x:v>0.716296241816328</x:v>
      </x:c>
      <x:c r="J483" s="48" t="n">
        <x:v>0.6206593670196254</x:v>
      </x:c>
      <x:c r="K483" s="48" t="n">
        <x:v>0.7724179926204414</x:v>
      </x:c>
      <x:c r="L483" s="48" t="n">
        <x:v>0.5526163048821735</x:v>
      </x:c>
      <x:c r="M483" s="48" t="n">
        <x:v>0.08705152492434083</x:v>
      </x:c>
      <x:c r="N483" s="48" t="n">
        <x:v>0.7201242522055765</x:v>
      </x:c>
      <x:c r="O483" s="48" t="n">
        <x:v>0.8786985663225463</x:v>
      </x:c>
      <x:c r="P483" s="48" t="n">
        <x:v>0.48491032958677305</x:v>
      </x:c>
      <x:c r="Q483" s="48" t="n">
        <x:v>1</x:v>
      </x:c>
      <x:c r="R483" s="48" t="n">
        <x:v>0.8502117684517486</x:v>
      </x:c>
      <x:c r="S483" s="29" t="n">
        <x:v>0</x:v>
      </x:c>
    </x:row>
    <x:row r="484" ht="21.600000381469727" hidden="0" customHeight="1">
      <x:c r="A484" s="27" t="n">
        <x:v>160</x:v>
      </x:c>
      <x:c r="B484" s="27" t="str">
        <x:v>A3</x:v>
      </x:c>
      <x:c r="C484" s="47" t="n">
        <x:v>1.2565795753056885</x:v>
      </x:c>
      <x:c r="D484" s="47" t="n">
        <x:v>0.953193343218545</x:v>
      </x:c>
      <x:c r="E484" s="47" t="n">
        <x:v>0.6615547628669624</x:v>
      </x:c>
      <x:c r="F484" s="47" t="n">
        <x:v>-0.04358159645940979</x:v>
      </x:c>
      <x:c r="G484" s="47" t="n">
        <x:v>-0.08743854590977558</x:v>
      </x:c>
      <x:c r="H484" s="47" t="n">
        <x:v>1.088837997271527</x:v>
      </x:c>
      <x:c r="I484" s="47" t="n">
        <x:v>0.716296241816328</x:v>
      </x:c>
      <x:c r="J484" s="47" t="n">
        <x:v>0.6206593670196254</x:v>
      </x:c>
      <x:c r="K484" s="47" t="n">
        <x:v>0.7724179926204414</x:v>
      </x:c>
      <x:c r="L484" s="47" t="n">
        <x:v>0.5526163048821735</x:v>
      </x:c>
      <x:c r="M484" s="47" t="n">
        <x:v>0.08705152492434083</x:v>
      </x:c>
      <x:c r="N484" s="47" t="n">
        <x:v>0.7201242522055765</x:v>
      </x:c>
      <x:c r="O484" s="47" t="n">
        <x:v>1</x:v>
      </x:c>
      <x:c r="P484" s="47" t="n">
        <x:v>1</x:v>
      </x:c>
      <x:c r="Q484" s="47" t="n">
        <x:v>1</x:v>
      </x:c>
      <x:c r="R484" s="47" t="n">
        <x:v>1</x:v>
      </x:c>
      <x:c r="S484" s="27" t="n">
        <x:v>1</x:v>
      </x:c>
    </x:row>
    <x:row r="485" ht="21.600000381469727" hidden="0" customHeight="1">
      <x:c r="A485" s="29" t="n">
        <x:v>161</x:v>
      </x:c>
      <x:c r="B485" s="29" t="str">
        <x:v>A1</x:v>
      </x:c>
      <x:c r="C485" s="48" t="n">
        <x:v>0.9366607135031668</x:v>
      </x:c>
      <x:c r="D485" s="48" t="n">
        <x:v>0.7560331881601734</x:v>
      </x:c>
      <x:c r="E485" s="48" t="n">
        <x:v>1.0561188501363532</x:v>
      </x:c>
      <x:c r="F485" s="48" t="n">
        <x:v>-0.04053054305486098</x:v>
      </x:c>
      <x:c r="G485" s="48" t="n">
        <x:v>-0.17068712129681482</x:v>
      </x:c>
      <x:c r="H485" s="48" t="n">
        <x:v>0.4759028286384425</x:v>
      </x:c>
      <x:c r="I485" s="48" t="n">
        <x:v>0.7822895513564657</x:v>
      </x:c>
      <x:c r="J485" s="48" t="n">
        <x:v>0.8858700487883147</x:v>
      </x:c>
      <x:c r="K485" s="48" t="n">
        <x:v>0.6735835408128182</x:v>
      </x:c>
      <x:c r="L485" s="48" t="n">
        <x:v>0.8270735889259881</x:v>
      </x:c>
      <x:c r="M485" s="48" t="n">
        <x:v>0.07931137774287603</x:v>
      </x:c>
      <x:c r="N485" s="48" t="n">
        <x:v>0.8708329442938285</x:v>
      </x:c>
      <x:c r="O485" s="48" t="n">
        <x:v>0.889344879595301</x:v>
      </x:c>
      <x:c r="P485" s="48" t="n">
        <x:v>0.48457750250965387</x:v>
      </x:c>
      <x:c r="Q485" s="48" t="n">
        <x:v>1</x:v>
      </x:c>
      <x:c r="R485" s="48" t="n">
        <x:v>0.8633582943359764</x:v>
      </x:c>
      <x:c r="S485" s="29" t="n">
        <x:v>0</x:v>
      </x:c>
    </x:row>
    <x:row r="486" ht="21.600000381469727" hidden="0" customHeight="1">
      <x:c r="A486" s="27" t="n">
        <x:v>161</x:v>
      </x:c>
      <x:c r="B486" s="27" t="str">
        <x:v>A2</x:v>
      </x:c>
      <x:c r="C486" s="47" t="n">
        <x:v>0.9366607135031668</x:v>
      </x:c>
      <x:c r="D486" s="47" t="n">
        <x:v>0.7560331881601734</x:v>
      </x:c>
      <x:c r="E486" s="47" t="n">
        <x:v>1.0561188501363532</x:v>
      </x:c>
      <x:c r="F486" s="47" t="n">
        <x:v>-0.04053054305486098</x:v>
      </x:c>
      <x:c r="G486" s="47" t="n">
        <x:v>-0.17068712129681482</x:v>
      </x:c>
      <x:c r="H486" s="47" t="n">
        <x:v>0.4759028286384425</x:v>
      </x:c>
      <x:c r="I486" s="47" t="n">
        <x:v>0.7822895513564657</x:v>
      </x:c>
      <x:c r="J486" s="47" t="n">
        <x:v>0.8858700487883147</x:v>
      </x:c>
      <x:c r="K486" s="47" t="n">
        <x:v>0.6735835408128182</x:v>
      </x:c>
      <x:c r="L486" s="47" t="n">
        <x:v>0.8270735889259881</x:v>
      </x:c>
      <x:c r="M486" s="47" t="n">
        <x:v>0.07931137774287603</x:v>
      </x:c>
      <x:c r="N486" s="47" t="n">
        <x:v>0.8708329442938285</x:v>
      </x:c>
      <x:c r="O486" s="47" t="n">
        <x:v>0.9512656353060504</x:v>
      </x:c>
      <x:c r="P486" s="47" t="n">
        <x:v>0.6985823094584094</x:v>
      </x:c>
      <x:c r="Q486" s="47" t="n">
        <x:v>1</x:v>
      </x:c>
      <x:c r="R486" s="47" t="n">
        <x:v>0.939820708776247</x:v>
      </x:c>
      <x:c r="S486" s="27" t="n">
        <x:v>0</x:v>
      </x:c>
    </x:row>
    <x:row r="487" ht="21.600000381469727" hidden="0" customHeight="1">
      <x:c r="A487" s="29" t="n">
        <x:v>161</x:v>
      </x:c>
      <x:c r="B487" s="29" t="str">
        <x:v>A3</x:v>
      </x:c>
      <x:c r="C487" s="48" t="n">
        <x:v>0.9366607135031668</x:v>
      </x:c>
      <x:c r="D487" s="48" t="n">
        <x:v>0.7560331881601734</x:v>
      </x:c>
      <x:c r="E487" s="48" t="n">
        <x:v>1.0561188501363532</x:v>
      </x:c>
      <x:c r="F487" s="48" t="n">
        <x:v>-0.04053054305486098</x:v>
      </x:c>
      <x:c r="G487" s="48" t="n">
        <x:v>-0.17068712129681482</x:v>
      </x:c>
      <x:c r="H487" s="48" t="n">
        <x:v>0.4759028286384425</x:v>
      </x:c>
      <x:c r="I487" s="48" t="n">
        <x:v>0.7822895513564657</x:v>
      </x:c>
      <x:c r="J487" s="48" t="n">
        <x:v>0.8858700487883147</x:v>
      </x:c>
      <x:c r="K487" s="48" t="n">
        <x:v>0.6735835408128182</x:v>
      </x:c>
      <x:c r="L487" s="48" t="n">
        <x:v>0.8270735889259881</x:v>
      </x:c>
      <x:c r="M487" s="48" t="n">
        <x:v>0.07931137774287603</x:v>
      </x:c>
      <x:c r="N487" s="48" t="n">
        <x:v>0.8708329442938285</x:v>
      </x:c>
      <x:c r="O487" s="48" t="n">
        <x:v>1</x:v>
      </x:c>
      <x:c r="P487" s="48" t="n">
        <x:v>1</x:v>
      </x:c>
      <x:c r="Q487" s="48" t="n">
        <x:v>1</x:v>
      </x:c>
      <x:c r="R487" s="48" t="n">
        <x:v>1</x:v>
      </x:c>
      <x:c r="S487" s="29" t="n">
        <x:v>1</x:v>
      </x:c>
    </x:row>
    <x:row r="488" ht="21.600000381469727" hidden="0" customHeight="1">
      <x:c r="A488" s="27" t="n">
        <x:v>162</x:v>
      </x:c>
      <x:c r="B488" s="27" t="str">
        <x:v>A1</x:v>
      </x:c>
      <x:c r="C488" s="47" t="n">
        <x:v>1.0657980394252</x:v>
      </x:c>
      <x:c r="D488" s="47" t="n">
        <x:v>0.8277862064959951</x:v>
      </x:c>
      <x:c r="E488" s="47" t="n">
        <x:v>1.0460758720818046</x:v>
      </x:c>
      <x:c r="F488" s="47" t="n">
        <x:v>-0.042673599229118675</x:v>
      </x:c>
      <x:c r="G488" s="47" t="n">
        <x:v>-0.040659563481079686</x:v>
      </x:c>
      <x:c r="H488" s="47" t="n">
        <x:v>0.5871715897332723</x:v>
      </x:c>
      <x:c r="I488" s="47" t="n">
        <x:v>0.6385936704937801</x:v>
      </x:c>
      <x:c r="J488" s="47" t="n">
        <x:v>0.8569414480803972</x:v>
      </x:c>
      <x:c r="K488" s="47" t="n">
        <x:v>0.671606630874996</x:v>
      </x:c>
      <x:c r="L488" s="47" t="n">
        <x:v>0.6861045836447821</x:v>
      </x:c>
      <x:c r="M488" s="47" t="n">
        <x:v>0.0027262268165378256</x:v>
      </x:c>
      <x:c r="N488" s="47" t="n">
        <x:v>0.9293901105166289</x:v>
      </x:c>
      <x:c r="O488" s="47" t="n">
        <x:v>0.8611157622021237</x:v>
      </x:c>
      <x:c r="P488" s="47" t="n">
        <x:v>0.4839786160260317</x:v>
      </x:c>
      <x:c r="Q488" s="47" t="n">
        <x:v>1</x:v>
      </x:c>
      <x:c r="R488" s="47" t="n">
        <x:v>0.8284997650976863</x:v>
      </x:c>
      <x:c r="S488" s="27" t="n">
        <x:v>0</x:v>
      </x:c>
    </x:row>
    <x:row r="489" ht="21.600000381469727" hidden="0" customHeight="1">
      <x:c r="A489" s="29" t="n">
        <x:v>162</x:v>
      </x:c>
      <x:c r="B489" s="29" t="str">
        <x:v>A2</x:v>
      </x:c>
      <x:c r="C489" s="48" t="n">
        <x:v>1.0657980394252</x:v>
      </x:c>
      <x:c r="D489" s="48" t="n">
        <x:v>0.8277862064959951</x:v>
      </x:c>
      <x:c r="E489" s="48" t="n">
        <x:v>1.0460758720818046</x:v>
      </x:c>
      <x:c r="F489" s="48" t="n">
        <x:v>-0.042673599229118675</x:v>
      </x:c>
      <x:c r="G489" s="48" t="n">
        <x:v>-0.040659563481079686</x:v>
      </x:c>
      <x:c r="H489" s="48" t="n">
        <x:v>0.5871715897332723</x:v>
      </x:c>
      <x:c r="I489" s="48" t="n">
        <x:v>0.6385936704937801</x:v>
      </x:c>
      <x:c r="J489" s="48" t="n">
        <x:v>0.8569414480803972</x:v>
      </x:c>
      <x:c r="K489" s="48" t="n">
        <x:v>0.671606630874996</x:v>
      </x:c>
      <x:c r="L489" s="48" t="n">
        <x:v>0.6861045836447821</x:v>
      </x:c>
      <x:c r="M489" s="48" t="n">
        <x:v>0.0027262268165378256</x:v>
      </x:c>
      <x:c r="N489" s="48" t="n">
        <x:v>0.9293901105166289</x:v>
      </x:c>
      <x:c r="O489" s="48" t="n">
        <x:v>0.9310669646835301</x:v>
      </x:c>
      <x:c r="P489" s="48" t="n">
        <x:v>0.6382971656835987</x:v>
      </x:c>
      <x:c r="Q489" s="48" t="n">
        <x:v>1</x:v>
      </x:c>
      <x:c r="R489" s="48" t="n">
        <x:v>0.9148785208692355</x:v>
      </x:c>
      <x:c r="S489" s="29" t="n">
        <x:v>0</x:v>
      </x:c>
    </x:row>
    <x:row r="490" ht="21.600000381469727" hidden="0" customHeight="1">
      <x:c r="A490" s="27" t="n">
        <x:v>162</x:v>
      </x:c>
      <x:c r="B490" s="27" t="str">
        <x:v>A3</x:v>
      </x:c>
      <x:c r="C490" s="47" t="n">
        <x:v>1.0657980394252</x:v>
      </x:c>
      <x:c r="D490" s="47" t="n">
        <x:v>0.8277862064959951</x:v>
      </x:c>
      <x:c r="E490" s="47" t="n">
        <x:v>1.0460758720818046</x:v>
      </x:c>
      <x:c r="F490" s="47" t="n">
        <x:v>-0.042673599229118675</x:v>
      </x:c>
      <x:c r="G490" s="47" t="n">
        <x:v>-0.040659563481079686</x:v>
      </x:c>
      <x:c r="H490" s="47" t="n">
        <x:v>0.5871715897332723</x:v>
      </x:c>
      <x:c r="I490" s="47" t="n">
        <x:v>0.6385936704937801</x:v>
      </x:c>
      <x:c r="J490" s="47" t="n">
        <x:v>0.8569414480803972</x:v>
      </x:c>
      <x:c r="K490" s="47" t="n">
        <x:v>0.671606630874996</x:v>
      </x:c>
      <x:c r="L490" s="47" t="n">
        <x:v>0.6861045836447821</x:v>
      </x:c>
      <x:c r="M490" s="47" t="n">
        <x:v>0.0027262268165378256</x:v>
      </x:c>
      <x:c r="N490" s="47" t="n">
        <x:v>0.9293901105166289</x:v>
      </x:c>
      <x:c r="O490" s="47" t="n">
        <x:v>1</x:v>
      </x:c>
      <x:c r="P490" s="47" t="n">
        <x:v>1</x:v>
      </x:c>
      <x:c r="Q490" s="47" t="n">
        <x:v>1</x:v>
      </x:c>
      <x:c r="R490" s="47" t="n">
        <x:v>1</x:v>
      </x:c>
      <x:c r="S490" s="27" t="n">
        <x:v>1</x:v>
      </x:c>
    </x:row>
    <x:row r="491" ht="21.600000381469727" hidden="0" customHeight="1">
      <x:c r="A491" s="29" t="n">
        <x:v>163</x:v>
      </x:c>
      <x:c r="B491" s="29" t="str">
        <x:v>A1</x:v>
      </x:c>
      <x:c r="C491" s="48" t="n">
        <x:v>1.1449489383760307</x:v>
      </x:c>
      <x:c r="D491" s="48" t="n">
        <x:v>0.9455635247577284</x:v>
      </x:c>
      <x:c r="E491" s="48" t="n">
        <x:v>0.7630253343245416</x:v>
      </x:c>
      <x:c r="F491" s="48" t="n">
        <x:v>-0.05523550146688391</x:v>
      </x:c>
      <x:c r="G491" s="48" t="n">
        <x:v>-0.08060110717500787</x:v>
      </x:c>
      <x:c r="H491" s="48" t="n">
        <x:v>0.5208938747243914</x:v>
      </x:c>
      <x:c r="I491" s="48" t="n">
        <x:v>0.9343147398622078</x:v>
      </x:c>
      <x:c r="J491" s="48" t="n">
        <x:v>0.6094321074935797</x:v>
      </x:c>
      <x:c r="K491" s="48" t="n">
        <x:v>0.7190704021381826</x:v>
      </x:c>
      <x:c r="L491" s="48" t="n">
        <x:v>0.7178024269431081</x:v>
      </x:c>
      <x:c r="M491" s="48" t="n">
        <x:v>0.05847585927888777</x:v>
      </x:c>
      <x:c r="N491" s="48" t="n">
        <x:v>0.9085730522322888</x:v>
      </x:c>
      <x:c r="O491" s="48" t="n">
        <x:v>0.8793608064497486</x:v>
      </x:c>
      <x:c r="P491" s="48" t="n">
        <x:v>0.6873783061416091</x:v>
      </x:c>
      <x:c r="Q491" s="48" t="n">
        <x:v>1</x:v>
      </x:c>
      <x:c r="R491" s="48" t="n">
        <x:v>0.8510295310659783</x:v>
      </x:c>
      <x:c r="S491" s="29" t="n">
        <x:v>0</x:v>
      </x:c>
    </x:row>
    <x:row r="492" ht="21.600000381469727" hidden="0" customHeight="1">
      <x:c r="A492" s="27" t="n">
        <x:v>163</x:v>
      </x:c>
      <x:c r="B492" s="27" t="str">
        <x:v>A2</x:v>
      </x:c>
      <x:c r="C492" s="47" t="n">
        <x:v>1.1449489383760307</x:v>
      </x:c>
      <x:c r="D492" s="47" t="n">
        <x:v>0.9455635247577284</x:v>
      </x:c>
      <x:c r="E492" s="47" t="n">
        <x:v>0.7630253343245416</x:v>
      </x:c>
      <x:c r="F492" s="47" t="n">
        <x:v>-0.05523550146688391</x:v>
      </x:c>
      <x:c r="G492" s="47" t="n">
        <x:v>-0.08060110717500787</x:v>
      </x:c>
      <x:c r="H492" s="47" t="n">
        <x:v>0.5208938747243914</x:v>
      </x:c>
      <x:c r="I492" s="47" t="n">
        <x:v>0.9343147398622078</x:v>
      </x:c>
      <x:c r="J492" s="47" t="n">
        <x:v>0.6094321074935797</x:v>
      </x:c>
      <x:c r="K492" s="47" t="n">
        <x:v>0.7190704021381826</x:v>
      </x:c>
      <x:c r="L492" s="47" t="n">
        <x:v>0.7178024269431081</x:v>
      </x:c>
      <x:c r="M492" s="47" t="n">
        <x:v>0.05847585927888777</x:v>
      </x:c>
      <x:c r="N492" s="47" t="n">
        <x:v>0.9085730522322888</x:v>
      </x:c>
      <x:c r="O492" s="47" t="n">
        <x:v>0.9671286864408781</x:v>
      </x:c>
      <x:c r="P492" s="47" t="n">
        <x:v>0.7868050170478821</x:v>
      </x:c>
      <x:c r="Q492" s="47" t="n">
        <x:v>1</x:v>
      </x:c>
      <x:c r="R492" s="47" t="n">
        <x:v>0.9594090871194366</x:v>
      </x:c>
      <x:c r="S492" s="27" t="n">
        <x:v>0</x:v>
      </x:c>
    </x:row>
    <x:row r="493" ht="21.600000381469727" hidden="0" customHeight="1">
      <x:c r="A493" s="29" t="n">
        <x:v>163</x:v>
      </x:c>
      <x:c r="B493" s="29" t="str">
        <x:v>A3</x:v>
      </x:c>
      <x:c r="C493" s="48" t="n">
        <x:v>1.1449489383760307</x:v>
      </x:c>
      <x:c r="D493" s="48" t="n">
        <x:v>0.9455635247577284</x:v>
      </x:c>
      <x:c r="E493" s="48" t="n">
        <x:v>0.7630253343245416</x:v>
      </x:c>
      <x:c r="F493" s="48" t="n">
        <x:v>-0.05523550146688391</x:v>
      </x:c>
      <x:c r="G493" s="48" t="n">
        <x:v>-0.08060110717500787</x:v>
      </x:c>
      <x:c r="H493" s="48" t="n">
        <x:v>0.5208938747243914</x:v>
      </x:c>
      <x:c r="I493" s="48" t="n">
        <x:v>0.9343147398622078</x:v>
      </x:c>
      <x:c r="J493" s="48" t="n">
        <x:v>0.6094321074935797</x:v>
      </x:c>
      <x:c r="K493" s="48" t="n">
        <x:v>0.7190704021381826</x:v>
      </x:c>
      <x:c r="L493" s="48" t="n">
        <x:v>0.7178024269431081</x:v>
      </x:c>
      <x:c r="M493" s="48" t="n">
        <x:v>0.05847585927888777</x:v>
      </x:c>
      <x:c r="N493" s="48" t="n">
        <x:v>0.9085730522322888</x:v>
      </x:c>
      <x:c r="O493" s="48" t="n">
        <x:v>1</x:v>
      </x:c>
      <x:c r="P493" s="48" t="n">
        <x:v>1</x:v>
      </x:c>
      <x:c r="Q493" s="48" t="n">
        <x:v>1</x:v>
      </x:c>
      <x:c r="R493" s="48" t="n">
        <x:v>1</x:v>
      </x:c>
      <x:c r="S493" s="29" t="n">
        <x:v>1</x:v>
      </x:c>
    </x:row>
    <x:row r="494" ht="21.600000381469727" hidden="0" customHeight="1">
      <x:c r="A494" s="27" t="n">
        <x:v>164</x:v>
      </x:c>
      <x:c r="B494" s="27" t="str">
        <x:v>A1</x:v>
      </x:c>
      <x:c r="C494" s="47" t="n">
        <x:v>1.06934120781971</x:v>
      </x:c>
      <x:c r="D494" s="47" t="n">
        <x:v>0.8153044912155132</x:v>
      </x:c>
      <x:c r="E494" s="47" t="n">
        <x:v>0.8099794166817025</x:v>
      </x:c>
      <x:c r="F494" s="47" t="n">
        <x:v>-0.04413041914165983</x:v>
      </x:c>
      <x:c r="G494" s="47" t="n">
        <x:v>-0.07789831151722161</x:v>
      </x:c>
      <x:c r="H494" s="47" t="n">
        <x:v>1.0497970610249165</x:v>
      </x:c>
      <x:c r="I494" s="47" t="n">
        <x:v>0.908969237569456</x:v>
      </x:c>
      <x:c r="J494" s="47" t="n">
        <x:v>0.8222709618180424</x:v>
      </x:c>
      <x:c r="K494" s="47" t="n">
        <x:v>0.9325447134074065</x:v>
      </x:c>
      <x:c r="L494" s="47" t="n">
        <x:v>0.6196773287996354</x:v>
      </x:c>
      <x:c r="M494" s="47" t="n">
        <x:v>0.16454119342759546</x:v>
      </x:c>
      <x:c r="N494" s="47" t="n">
        <x:v>0.8409041396887341</x:v>
      </x:c>
      <x:c r="O494" s="47" t="n">
        <x:v>0.882480040420654</x:v>
      </x:c>
      <x:c r="P494" s="47" t="n">
        <x:v>0.5901229635559294</x:v>
      </x:c>
      <x:c r="Q494" s="47" t="n">
        <x:v>1</x:v>
      </x:c>
      <x:c r="R494" s="47" t="n">
        <x:v>0.8548812954361302</x:v>
      </x:c>
      <x:c r="S494" s="27" t="n">
        <x:v>0</x:v>
      </x:c>
    </x:row>
    <x:row r="495" ht="21.600000381469727" hidden="0" customHeight="1">
      <x:c r="A495" s="29" t="n">
        <x:v>164</x:v>
      </x:c>
      <x:c r="B495" s="29" t="str">
        <x:v>A2</x:v>
      </x:c>
      <x:c r="C495" s="48" t="n">
        <x:v>1.06934120781971</x:v>
      </x:c>
      <x:c r="D495" s="48" t="n">
        <x:v>0.8153044912155132</x:v>
      </x:c>
      <x:c r="E495" s="48" t="n">
        <x:v>0.8099794166817025</x:v>
      </x:c>
      <x:c r="F495" s="48" t="n">
        <x:v>-0.04413041914165983</x:v>
      </x:c>
      <x:c r="G495" s="48" t="n">
        <x:v>-0.07789831151722161</x:v>
      </x:c>
      <x:c r="H495" s="48" t="n">
        <x:v>1.0497970610249165</x:v>
      </x:c>
      <x:c r="I495" s="48" t="n">
        <x:v>0.908969237569456</x:v>
      </x:c>
      <x:c r="J495" s="48" t="n">
        <x:v>0.8222709618180424</x:v>
      </x:c>
      <x:c r="K495" s="48" t="n">
        <x:v>0.9325447134074065</x:v>
      </x:c>
      <x:c r="L495" s="48" t="n">
        <x:v>0.6196773287996354</x:v>
      </x:c>
      <x:c r="M495" s="48" t="n">
        <x:v>0.16454119342759546</x:v>
      </x:c>
      <x:c r="N495" s="48" t="n">
        <x:v>0.8409041396887341</x:v>
      </x:c>
      <x:c r="O495" s="48" t="n">
        <x:v>0.9605367419341486</x:v>
      </x:c>
      <x:c r="P495" s="48" t="n">
        <x:v>0.6419856871690758</x:v>
      </x:c>
      <x:c r="Q495" s="48" t="n">
        <x:v>1</x:v>
      </x:c>
      <x:c r="R495" s="48" t="n">
        <x:v>0.9512690703018883</x:v>
      </x:c>
      <x:c r="S495" s="29" t="n">
        <x:v>0</x:v>
      </x:c>
    </x:row>
    <x:row r="496" ht="21.600000381469727" hidden="0" customHeight="1">
      <x:c r="A496" s="27" t="n">
        <x:v>164</x:v>
      </x:c>
      <x:c r="B496" s="27" t="str">
        <x:v>A3</x:v>
      </x:c>
      <x:c r="C496" s="47" t="n">
        <x:v>1.06934120781971</x:v>
      </x:c>
      <x:c r="D496" s="47" t="n">
        <x:v>0.8153044912155132</x:v>
      </x:c>
      <x:c r="E496" s="47" t="n">
        <x:v>0.8099794166817025</x:v>
      </x:c>
      <x:c r="F496" s="47" t="n">
        <x:v>-0.04413041914165983</x:v>
      </x:c>
      <x:c r="G496" s="47" t="n">
        <x:v>-0.07789831151722161</x:v>
      </x:c>
      <x:c r="H496" s="47" t="n">
        <x:v>1.0497970610249165</x:v>
      </x:c>
      <x:c r="I496" s="47" t="n">
        <x:v>0.908969237569456</x:v>
      </x:c>
      <x:c r="J496" s="47" t="n">
        <x:v>0.8222709618180424</x:v>
      </x:c>
      <x:c r="K496" s="47" t="n">
        <x:v>0.9325447134074065</x:v>
      </x:c>
      <x:c r="L496" s="47" t="n">
        <x:v>0.6196773287996354</x:v>
      </x:c>
      <x:c r="M496" s="47" t="n">
        <x:v>0.16454119342759546</x:v>
      </x:c>
      <x:c r="N496" s="47" t="n">
        <x:v>0.8409041396887341</x:v>
      </x:c>
      <x:c r="O496" s="47" t="n">
        <x:v>1</x:v>
      </x:c>
      <x:c r="P496" s="47" t="n">
        <x:v>1</x:v>
      </x:c>
      <x:c r="Q496" s="47" t="n">
        <x:v>1</x:v>
      </x:c>
      <x:c r="R496" s="47" t="n">
        <x:v>1</x:v>
      </x:c>
      <x:c r="S496" s="27" t="n">
        <x:v>1</x:v>
      </x:c>
    </x:row>
    <x:row r="497" ht="21.600000381469727" hidden="0" customHeight="1">
      <x:c r="A497" s="29" t="n">
        <x:v>165</x:v>
      </x:c>
      <x:c r="B497" s="29" t="str">
        <x:v>A1</x:v>
      </x:c>
      <x:c r="C497" s="48" t="n">
        <x:v>1.160458817323593</x:v>
      </x:c>
      <x:c r="D497" s="48" t="n">
        <x:v>0.7845642278470064</x:v>
      </x:c>
      <x:c r="E497" s="48" t="n">
        <x:v>0.5238476207130127</x:v>
      </x:c>
      <x:c r="F497" s="48" t="n">
        <x:v>-0.06269503171753918</x:v>
      </x:c>
      <x:c r="G497" s="48" t="n">
        <x:v>-0.12493764880703138</x:v>
      </x:c>
      <x:c r="H497" s="48" t="n">
        <x:v>0.6128176518638985</x:v>
      </x:c>
      <x:c r="I497" s="48" t="n">
        <x:v>0.7959295310110204</x:v>
      </x:c>
      <x:c r="J497" s="48" t="n">
        <x:v>0.7338536073130192</x:v>
      </x:c>
      <x:c r="K497" s="48" t="n">
        <x:v>0.8202085473116146</x:v>
      </x:c>
      <x:c r="L497" s="48" t="n">
        <x:v>0.9326080136645464</x:v>
      </x:c>
      <x:c r="M497" s="48" t="n">
        <x:v>0.11252740646961934</x:v>
      </x:c>
      <x:c r="N497" s="48" t="n">
        <x:v>0.8746949071465957</x:v>
      </x:c>
      <x:c r="O497" s="48" t="n">
        <x:v>0.8263981182729114</x:v>
      </x:c>
      <x:c r="P497" s="48" t="n">
        <x:v>0.4886990382327409</x:v>
      </x:c>
      <x:c r="Q497" s="48" t="n">
        <x:v>1</x:v>
      </x:c>
      <x:c r="R497" s="48" t="n">
        <x:v>0.7856289240035376</x:v>
      </x:c>
      <x:c r="S497" s="29" t="n">
        <x:v>0</x:v>
      </x:c>
    </x:row>
    <x:row r="498" ht="21.600000381469727" hidden="0" customHeight="1">
      <x:c r="A498" s="27" t="n">
        <x:v>165</x:v>
      </x:c>
      <x:c r="B498" s="27" t="str">
        <x:v>A2</x:v>
      </x:c>
      <x:c r="C498" s="47" t="n">
        <x:v>1.160458817323593</x:v>
      </x:c>
      <x:c r="D498" s="47" t="n">
        <x:v>0.7845642278470064</x:v>
      </x:c>
      <x:c r="E498" s="47" t="n">
        <x:v>0.5238476207130127</x:v>
      </x:c>
      <x:c r="F498" s="47" t="n">
        <x:v>-0.06269503171753918</x:v>
      </x:c>
      <x:c r="G498" s="47" t="n">
        <x:v>-0.12493764880703138</x:v>
      </x:c>
      <x:c r="H498" s="47" t="n">
        <x:v>0.6128176518638985</x:v>
      </x:c>
      <x:c r="I498" s="47" t="n">
        <x:v>0.7959295310110204</x:v>
      </x:c>
      <x:c r="J498" s="47" t="n">
        <x:v>0.7338536073130192</x:v>
      </x:c>
      <x:c r="K498" s="47" t="n">
        <x:v>0.8202085473116146</x:v>
      </x:c>
      <x:c r="L498" s="47" t="n">
        <x:v>0.9326080136645464</x:v>
      </x:c>
      <x:c r="M498" s="47" t="n">
        <x:v>0.11252740646961934</x:v>
      </x:c>
      <x:c r="N498" s="47" t="n">
        <x:v>0.8746949071465957</x:v>
      </x:c>
      <x:c r="O498" s="47" t="n">
        <x:v>0.8982372009935281</x:v>
      </x:c>
      <x:c r="P498" s="47" t="n">
        <x:v>0.4800554831315733</x:v>
      </x:c>
      <x:c r="Q498" s="47" t="n">
        <x:v>1</x:v>
      </x:c>
      <x:c r="R498" s="47" t="n">
        <x:v>0.8743389155555155</x:v>
      </x:c>
      <x:c r="S498" s="27" t="n">
        <x:v>0</x:v>
      </x:c>
    </x:row>
    <x:row r="499" ht="21.600000381469727" hidden="0" customHeight="1">
      <x:c r="A499" s="29" t="n">
        <x:v>165</x:v>
      </x:c>
      <x:c r="B499" s="29" t="str">
        <x:v>A3</x:v>
      </x:c>
      <x:c r="C499" s="48" t="n">
        <x:v>1.160458817323593</x:v>
      </x:c>
      <x:c r="D499" s="48" t="n">
        <x:v>0.7845642278470064</x:v>
      </x:c>
      <x:c r="E499" s="48" t="n">
        <x:v>0.5238476207130127</x:v>
      </x:c>
      <x:c r="F499" s="48" t="n">
        <x:v>-0.06269503171753918</x:v>
      </x:c>
      <x:c r="G499" s="48" t="n">
        <x:v>-0.12493764880703138</x:v>
      </x:c>
      <x:c r="H499" s="48" t="n">
        <x:v>0.6128176518638985</x:v>
      </x:c>
      <x:c r="I499" s="48" t="n">
        <x:v>0.7959295310110204</x:v>
      </x:c>
      <x:c r="J499" s="48" t="n">
        <x:v>0.7338536073130192</x:v>
      </x:c>
      <x:c r="K499" s="48" t="n">
        <x:v>0.8202085473116146</x:v>
      </x:c>
      <x:c r="L499" s="48" t="n">
        <x:v>0.9326080136645464</x:v>
      </x:c>
      <x:c r="M499" s="48" t="n">
        <x:v>0.11252740646961934</x:v>
      </x:c>
      <x:c r="N499" s="48" t="n">
        <x:v>0.8746949071465957</x:v>
      </x:c>
      <x:c r="O499" s="48" t="n">
        <x:v>1</x:v>
      </x:c>
      <x:c r="P499" s="48" t="n">
        <x:v>1</x:v>
      </x:c>
      <x:c r="Q499" s="48" t="n">
        <x:v>1</x:v>
      </x:c>
      <x:c r="R499" s="48" t="n">
        <x:v>1</x:v>
      </x:c>
      <x:c r="S499" s="29" t="n">
        <x:v>1</x:v>
      </x:c>
    </x:row>
    <x:row r="500" ht="21.600000381469727" hidden="0" customHeight="1">
      <x:c r="A500" s="27" t="n">
        <x:v>166</x:v>
      </x:c>
      <x:c r="B500" s="27" t="str">
        <x:v>A1</x:v>
      </x:c>
      <x:c r="C500" s="47" t="n">
        <x:v>1.2994560630903798</x:v>
      </x:c>
      <x:c r="D500" s="47" t="n">
        <x:v>0.9183700774095502</x:v>
      </x:c>
      <x:c r="E500" s="47" t="n">
        <x:v>0.7919050520973698</x:v>
      </x:c>
      <x:c r="F500" s="47" t="n">
        <x:v>-0.18292290496640407</x:v>
      </x:c>
      <x:c r="G500" s="47" t="n">
        <x:v>-0.016109931536358424</x:v>
      </x:c>
      <x:c r="H500" s="47" t="n">
        <x:v>0.43407520143524325</x:v>
      </x:c>
      <x:c r="I500" s="47" t="n">
        <x:v>0.8166940478297346</x:v>
      </x:c>
      <x:c r="J500" s="47" t="n">
        <x:v>0.68577358679902</x:v>
      </x:c>
      <x:c r="K500" s="47" t="n">
        <x:v>0.6872174749073465</x:v>
      </x:c>
      <x:c r="L500" s="47" t="n">
        <x:v>0.7170472444611675</x:v>
      </x:c>
      <x:c r="M500" s="47" t="n">
        <x:v>0.0013544650178256114</x:v>
      </x:c>
      <x:c r="N500" s="47" t="n">
        <x:v>0.9354576874486301</x:v>
      </x:c>
      <x:c r="O500" s="47" t="n">
        <x:v>0.803067463583434</x:v>
      </x:c>
      <x:c r="P500" s="47" t="n">
        <x:v>0.5188892328666261</x:v>
      </x:c>
      <x:c r="Q500" s="47" t="n">
        <x:v>1</x:v>
      </x:c>
      <x:c r="R500" s="47" t="n">
        <x:v>0.7568192273589602</x:v>
      </x:c>
      <x:c r="S500" s="27" t="n">
        <x:v>0</x:v>
      </x:c>
    </x:row>
    <x:row r="501" ht="21.600000381469727" hidden="0" customHeight="1">
      <x:c r="A501" s="29" t="n">
        <x:v>166</x:v>
      </x:c>
      <x:c r="B501" s="29" t="str">
        <x:v>A2</x:v>
      </x:c>
      <x:c r="C501" s="48" t="n">
        <x:v>1.2994560630903798</x:v>
      </x:c>
      <x:c r="D501" s="48" t="n">
        <x:v>0.9183700774095502</x:v>
      </x:c>
      <x:c r="E501" s="48" t="n">
        <x:v>0.7919050520973698</x:v>
      </x:c>
      <x:c r="F501" s="48" t="n">
        <x:v>-0.18292290496640407</x:v>
      </x:c>
      <x:c r="G501" s="48" t="n">
        <x:v>-0.016109931536358424</x:v>
      </x:c>
      <x:c r="H501" s="48" t="n">
        <x:v>0.43407520143524325</x:v>
      </x:c>
      <x:c r="I501" s="48" t="n">
        <x:v>0.8166940478297346</x:v>
      </x:c>
      <x:c r="J501" s="48" t="n">
        <x:v>0.68577358679902</x:v>
      </x:c>
      <x:c r="K501" s="48" t="n">
        <x:v>0.6872174749073465</x:v>
      </x:c>
      <x:c r="L501" s="48" t="n">
        <x:v>0.7170472444611675</x:v>
      </x:c>
      <x:c r="M501" s="48" t="n">
        <x:v>0.0013544650178256114</x:v>
      </x:c>
      <x:c r="N501" s="48" t="n">
        <x:v>0.9354576874486301</x:v>
      </x:c>
      <x:c r="O501" s="48" t="n">
        <x:v>0.8954112895010435</x:v>
      </x:c>
      <x:c r="P501" s="48" t="n">
        <x:v>0.5519354471825808</x:v>
      </x:c>
      <x:c r="Q501" s="48" t="n">
        <x:v>1</x:v>
      </x:c>
      <x:c r="R501" s="48" t="n">
        <x:v>0.8708493584073559</x:v>
      </x:c>
      <x:c r="S501" s="29" t="n">
        <x:v>0</x:v>
      </x:c>
    </x:row>
    <x:row r="502" ht="21.600000381469727" hidden="0" customHeight="1">
      <x:c r="A502" s="27" t="n">
        <x:v>166</x:v>
      </x:c>
      <x:c r="B502" s="27" t="str">
        <x:v>A3</x:v>
      </x:c>
      <x:c r="C502" s="47" t="n">
        <x:v>1.2994560630903798</x:v>
      </x:c>
      <x:c r="D502" s="47" t="n">
        <x:v>0.9183700774095502</x:v>
      </x:c>
      <x:c r="E502" s="47" t="n">
        <x:v>0.7919050520973698</x:v>
      </x:c>
      <x:c r="F502" s="47" t="n">
        <x:v>-0.18292290496640407</x:v>
      </x:c>
      <x:c r="G502" s="47" t="n">
        <x:v>-0.016109931536358424</x:v>
      </x:c>
      <x:c r="H502" s="47" t="n">
        <x:v>0.43407520143524325</x:v>
      </x:c>
      <x:c r="I502" s="47" t="n">
        <x:v>0.8166940478297346</x:v>
      </x:c>
      <x:c r="J502" s="47" t="n">
        <x:v>0.68577358679902</x:v>
      </x:c>
      <x:c r="K502" s="47" t="n">
        <x:v>0.6872174749073465</x:v>
      </x:c>
      <x:c r="L502" s="47" t="n">
        <x:v>0.7170472444611675</x:v>
      </x:c>
      <x:c r="M502" s="47" t="n">
        <x:v>0.0013544650178256114</x:v>
      </x:c>
      <x:c r="N502" s="47" t="n">
        <x:v>0.9354576874486301</x:v>
      </x:c>
      <x:c r="O502" s="47" t="n">
        <x:v>1</x:v>
      </x:c>
      <x:c r="P502" s="47" t="n">
        <x:v>1</x:v>
      </x:c>
      <x:c r="Q502" s="47" t="n">
        <x:v>1</x:v>
      </x:c>
      <x:c r="R502" s="47" t="n">
        <x:v>1</x:v>
      </x:c>
      <x:c r="S502" s="27" t="n">
        <x:v>1</x:v>
      </x:c>
    </x:row>
    <x:row r="503" ht="21.600000381469727" hidden="0" customHeight="1">
      <x:c r="A503" s="29" t="n">
        <x:v>167</x:v>
      </x:c>
      <x:c r="B503" s="29" t="str">
        <x:v>A1</x:v>
      </x:c>
      <x:c r="C503" s="48" t="n">
        <x:v>1.2229162516321805</x:v>
      </x:c>
      <x:c r="D503" s="48" t="n">
        <x:v>0.7939625477547874</x:v>
      </x:c>
      <x:c r="E503" s="48" t="n">
        <x:v>0.8537817207583966</x:v>
      </x:c>
      <x:c r="F503" s="48" t="n">
        <x:v>-0.0028978105490409245</x:v>
      </x:c>
      <x:c r="G503" s="48" t="n">
        <x:v>0.012747720388831374</x:v>
      </x:c>
      <x:c r="H503" s="48" t="n">
        <x:v>0.9886768307070795</x:v>
      </x:c>
      <x:c r="I503" s="48" t="n">
        <x:v>0.6765138345887917</x:v>
      </x:c>
      <x:c r="J503" s="48" t="n">
        <x:v>0.5557017756029503</x:v>
      </x:c>
      <x:c r="K503" s="48" t="n">
        <x:v>0.6940488113347513</x:v>
      </x:c>
      <x:c r="L503" s="48" t="n">
        <x:v>0.5938283281106962</x:v>
      </x:c>
      <x:c r="M503" s="48" t="n">
        <x:v>0.05775899449126616</x:v>
      </x:c>
      <x:c r="N503" s="48" t="n">
        <x:v>0.9574137494293412</x:v>
      </x:c>
      <x:c r="O503" s="48" t="n">
        <x:v>0.7448768674393881</x:v>
      </x:c>
      <x:c r="P503" s="48" t="n">
        <x:v>0.47062237487074005</x:v>
      </x:c>
      <x:c r="Q503" s="48" t="n">
        <x:v>0.9461567555964786</x:v>
      </x:c>
      <x:c r="R503" s="48" t="n">
        <x:v>0.6853628604002164</x:v>
      </x:c>
      <x:c r="S503" s="29" t="n">
        <x:v>0</x:v>
      </x:c>
    </x:row>
    <x:row r="504" ht="21.600000381469727" hidden="0" customHeight="1">
      <x:c r="A504" s="27" t="n">
        <x:v>167</x:v>
      </x:c>
      <x:c r="B504" s="27" t="str">
        <x:v>A2</x:v>
      </x:c>
      <x:c r="C504" s="47" t="n">
        <x:v>1.2229162516321805</x:v>
      </x:c>
      <x:c r="D504" s="47" t="n">
        <x:v>0.7939625477547874</x:v>
      </x:c>
      <x:c r="E504" s="47" t="n">
        <x:v>0.8537817207583966</x:v>
      </x:c>
      <x:c r="F504" s="47" t="n">
        <x:v>-0.0028978105490409245</x:v>
      </x:c>
      <x:c r="G504" s="47" t="n">
        <x:v>0.012747720388831374</x:v>
      </x:c>
      <x:c r="H504" s="47" t="n">
        <x:v>0.9886768307070795</x:v>
      </x:c>
      <x:c r="I504" s="47" t="n">
        <x:v>0.6765138345887917</x:v>
      </x:c>
      <x:c r="J504" s="47" t="n">
        <x:v>0.5557017756029503</x:v>
      </x:c>
      <x:c r="K504" s="47" t="n">
        <x:v>0.6940488113347513</x:v>
      </x:c>
      <x:c r="L504" s="47" t="n">
        <x:v>0.5938283281106962</x:v>
      </x:c>
      <x:c r="M504" s="47" t="n">
        <x:v>0.05775899449126616</x:v>
      </x:c>
      <x:c r="N504" s="47" t="n">
        <x:v>0.9574137494293412</x:v>
      </x:c>
      <x:c r="O504" s="47" t="n">
        <x:v>0.821402721087274</x:v>
      </x:c>
      <x:c r="P504" s="47" t="n">
        <x:v>0.45115321593446245</x:v>
      </x:c>
      <x:c r="Q504" s="47" t="n">
        <x:v>1</x:v>
      </x:c>
      <x:c r="R504" s="47" t="n">
        <x:v>0.7794603925391247</x:v>
      </x:c>
      <x:c r="S504" s="27" t="n">
        <x:v>0</x:v>
      </x:c>
    </x:row>
    <x:row r="505" ht="21.600000381469727" hidden="0" customHeight="1">
      <x:c r="A505" s="29" t="n">
        <x:v>167</x:v>
      </x:c>
      <x:c r="B505" s="29" t="str">
        <x:v>A3</x:v>
      </x:c>
      <x:c r="C505" s="48" t="n">
        <x:v>1.2229162516321805</x:v>
      </x:c>
      <x:c r="D505" s="48" t="n">
        <x:v>0.7939625477547874</x:v>
      </x:c>
      <x:c r="E505" s="48" t="n">
        <x:v>0.8537817207583966</x:v>
      </x:c>
      <x:c r="F505" s="48" t="n">
        <x:v>-0.0028978105490409245</x:v>
      </x:c>
      <x:c r="G505" s="48" t="n">
        <x:v>0.012747720388831374</x:v>
      </x:c>
      <x:c r="H505" s="48" t="n">
        <x:v>0.9886768307070795</x:v>
      </x:c>
      <x:c r="I505" s="48" t="n">
        <x:v>0.6765138345887917</x:v>
      </x:c>
      <x:c r="J505" s="48" t="n">
        <x:v>0.5557017756029503</x:v>
      </x:c>
      <x:c r="K505" s="48" t="n">
        <x:v>0.6940488113347513</x:v>
      </x:c>
      <x:c r="L505" s="48" t="n">
        <x:v>0.5938283281106962</x:v>
      </x:c>
      <x:c r="M505" s="48" t="n">
        <x:v>0.05775899449126616</x:v>
      </x:c>
      <x:c r="N505" s="48" t="n">
        <x:v>0.9574137494293412</x:v>
      </x:c>
      <x:c r="O505" s="48" t="n">
        <x:v>1</x:v>
      </x:c>
      <x:c r="P505" s="48" t="n">
        <x:v>1</x:v>
      </x:c>
      <x:c r="Q505" s="48" t="n">
        <x:v>1</x:v>
      </x:c>
      <x:c r="R505" s="48" t="n">
        <x:v>1</x:v>
      </x:c>
      <x:c r="S505" s="29" t="n">
        <x:v>1</x:v>
      </x:c>
    </x:row>
    <x:row r="506" ht="21.600000381469727" hidden="0" customHeight="1">
      <x:c r="A506" s="27" t="n">
        <x:v>168</x:v>
      </x:c>
      <x:c r="B506" s="27" t="str">
        <x:v>A1</x:v>
      </x:c>
      <x:c r="C506" s="47" t="n">
        <x:v>0.9204885039343789</x:v>
      </x:c>
      <x:c r="D506" s="47" t="n">
        <x:v>0.7770195947571477</x:v>
      </x:c>
      <x:c r="E506" s="47" t="n">
        <x:v>0.9895503711116325</x:v>
      </x:c>
      <x:c r="F506" s="47" t="n">
        <x:v>-0.042097501168865264</x:v>
      </x:c>
      <x:c r="G506" s="47" t="n">
        <x:v>-0.04510995222227876</x:v>
      </x:c>
      <x:c r="H506" s="47" t="n">
        <x:v>0.4845795224840836</x:v>
      </x:c>
      <x:c r="I506" s="47" t="n">
        <x:v>0.935510665556242</x:v>
      </x:c>
      <x:c r="J506" s="47" t="n">
        <x:v>0.403183177470016</x:v>
      </x:c>
      <x:c r="K506" s="47" t="n">
        <x:v>0.6905856096016832</x:v>
      </x:c>
      <x:c r="L506" s="47" t="n">
        <x:v>0.8467344032467514</x:v>
      </x:c>
      <x:c r="M506" s="47" t="n">
        <x:v>0.05167266439725247</x:v>
      </x:c>
      <x:c r="N506" s="47" t="n">
        <x:v>0.9534304021022014</x:v>
      </x:c>
      <x:c r="O506" s="47" t="n">
        <x:v>0.8886565067753757</x:v>
      </x:c>
      <x:c r="P506" s="47" t="n">
        <x:v>0.6634205269215675</x:v>
      </x:c>
      <x:c r="Q506" s="47" t="n">
        <x:v>1</x:v>
      </x:c>
      <x:c r="R506" s="47" t="n">
        <x:v>0.8625082619479285</x:v>
      </x:c>
      <x:c r="S506" s="27" t="n">
        <x:v>0</x:v>
      </x:c>
    </x:row>
    <x:row r="507" ht="21.600000381469727" hidden="0" customHeight="1">
      <x:c r="A507" s="29" t="n">
        <x:v>168</x:v>
      </x:c>
      <x:c r="B507" s="29" t="str">
        <x:v>A2</x:v>
      </x:c>
      <x:c r="C507" s="48" t="n">
        <x:v>0.9204885039343789</x:v>
      </x:c>
      <x:c r="D507" s="48" t="n">
        <x:v>0.7770195947571477</x:v>
      </x:c>
      <x:c r="E507" s="48" t="n">
        <x:v>0.9895503711116325</x:v>
      </x:c>
      <x:c r="F507" s="48" t="n">
        <x:v>-0.042097501168865264</x:v>
      </x:c>
      <x:c r="G507" s="48" t="n">
        <x:v>-0.04510995222227876</x:v>
      </x:c>
      <x:c r="H507" s="48" t="n">
        <x:v>0.4845795224840836</x:v>
      </x:c>
      <x:c r="I507" s="48" t="n">
        <x:v>0.935510665556242</x:v>
      </x:c>
      <x:c r="J507" s="48" t="n">
        <x:v>0.403183177470016</x:v>
      </x:c>
      <x:c r="K507" s="48" t="n">
        <x:v>0.6905856096016832</x:v>
      </x:c>
      <x:c r="L507" s="48" t="n">
        <x:v>0.8467344032467514</x:v>
      </x:c>
      <x:c r="M507" s="48" t="n">
        <x:v>0.05167266439725247</x:v>
      </x:c>
      <x:c r="N507" s="48" t="n">
        <x:v>0.9534304021022014</x:v>
      </x:c>
      <x:c r="O507" s="48" t="n">
        <x:v>0.9679352141268761</x:v>
      </x:c>
      <x:c r="P507" s="48" t="n">
        <x:v>0.8230998417223302</x:v>
      </x:c>
      <x:c r="Q507" s="48" t="n">
        <x:v>1</x:v>
      </x:c>
      <x:c r="R507" s="48" t="n">
        <x:v>0.9604050222219155</x:v>
      </x:c>
      <x:c r="S507" s="29" t="n">
        <x:v>0</x:v>
      </x:c>
    </x:row>
    <x:row r="508" ht="21.600000381469727" hidden="0" customHeight="1">
      <x:c r="A508" s="27" t="n">
        <x:v>168</x:v>
      </x:c>
      <x:c r="B508" s="27" t="str">
        <x:v>A3</x:v>
      </x:c>
      <x:c r="C508" s="47" t="n">
        <x:v>0.9204885039343789</x:v>
      </x:c>
      <x:c r="D508" s="47" t="n">
        <x:v>0.7770195947571477</x:v>
      </x:c>
      <x:c r="E508" s="47" t="n">
        <x:v>0.9895503711116325</x:v>
      </x:c>
      <x:c r="F508" s="47" t="n">
        <x:v>-0.042097501168865264</x:v>
      </x:c>
      <x:c r="G508" s="47" t="n">
        <x:v>-0.04510995222227876</x:v>
      </x:c>
      <x:c r="H508" s="47" t="n">
        <x:v>0.4845795224840836</x:v>
      </x:c>
      <x:c r="I508" s="47" t="n">
        <x:v>0.935510665556242</x:v>
      </x:c>
      <x:c r="J508" s="47" t="n">
        <x:v>0.403183177470016</x:v>
      </x:c>
      <x:c r="K508" s="47" t="n">
        <x:v>0.6905856096016832</x:v>
      </x:c>
      <x:c r="L508" s="47" t="n">
        <x:v>0.8467344032467514</x:v>
      </x:c>
      <x:c r="M508" s="47" t="n">
        <x:v>0.05167266439725247</x:v>
      </x:c>
      <x:c r="N508" s="47" t="n">
        <x:v>0.9534304021022014</x:v>
      </x:c>
      <x:c r="O508" s="47" t="n">
        <x:v>1</x:v>
      </x:c>
      <x:c r="P508" s="47" t="n">
        <x:v>1</x:v>
      </x:c>
      <x:c r="Q508" s="47" t="n">
        <x:v>1</x:v>
      </x:c>
      <x:c r="R508" s="47" t="n">
        <x:v>1</x:v>
      </x:c>
      <x:c r="S508" s="27" t="n">
        <x:v>1</x:v>
      </x:c>
    </x:row>
    <x:row r="509" ht="15" hidden="0" customHeight="1">
      <x:c r="A509" s="29" t="n">
        <x:v>169</x:v>
      </x:c>
      <x:c r="B509" s="29" t="str">
        <x:v>A1</x:v>
      </x:c>
      <x:c r="C509" s="48" t="n">
        <x:v>1.2395572112797937</x:v>
      </x:c>
      <x:c r="D509" s="48" t="n">
        <x:v>0.9521750783248357</x:v>
      </x:c>
      <x:c r="E509" s="48" t="n">
        <x:v>0.7032262773338318</x:v>
      </x:c>
      <x:c r="F509" s="48" t="n">
        <x:v>-0.06795598990081458</x:v>
      </x:c>
      <x:c r="G509" s="48" t="n">
        <x:v>0.01895063943466374</x:v>
      </x:c>
      <x:c r="H509" s="48" t="n">
        <x:v>0.5809690637398037</x:v>
      </x:c>
      <x:c r="I509" s="48" t="n">
        <x:v>0.6199238779992656</x:v>
      </x:c>
      <x:c r="J509" s="48" t="n">
        <x:v>0.6571257565766184</x:v>
      </x:c>
      <x:c r="K509" s="48" t="n">
        <x:v>0.890190929523625</x:v>
      </x:c>
      <x:c r="L509" s="48" t="n">
        <x:v>0.6659578259789403</x:v>
      </x:c>
      <x:c r="M509" s="48" t="n">
        <x:v>0.021500403060840678</x:v>
      </x:c>
      <x:c r="N509" s="48" t="n">
        <x:v>0.6806958079482472</x:v>
      </x:c>
      <x:c r="O509" s="48" t="n">
        <x:v>0.8290521995228051</x:v>
      </x:c>
      <x:c r="P509" s="48" t="n">
        <x:v>0.4647567410870513</x:v>
      </x:c>
      <x:c r="Q509" s="48" t="n">
        <x:v>1</x:v>
      </x:c>
      <x:c r="R509" s="48" t="n">
        <x:v>0.7889062977719631</x:v>
      </x:c>
      <x:c r="S509" s="29" t="n">
        <x:v>0</x:v>
      </x:c>
    </x:row>
    <x:row r="510" ht="15" hidden="0" customHeight="1">
      <x:c r="A510" s="27" t="n">
        <x:v>169</x:v>
      </x:c>
      <x:c r="B510" s="27" t="str">
        <x:v>A2</x:v>
      </x:c>
      <x:c r="C510" s="47" t="n">
        <x:v>1.2395572112797937</x:v>
      </x:c>
      <x:c r="D510" s="47" t="n">
        <x:v>0.9521750783248357</x:v>
      </x:c>
      <x:c r="E510" s="47" t="n">
        <x:v>0.7032262773338318</x:v>
      </x:c>
      <x:c r="F510" s="47" t="n">
        <x:v>-0.06795598990081458</x:v>
      </x:c>
      <x:c r="G510" s="47" t="n">
        <x:v>0.01895063943466374</x:v>
      </x:c>
      <x:c r="H510" s="47" t="n">
        <x:v>0.5809690637398037</x:v>
      </x:c>
      <x:c r="I510" s="47" t="n">
        <x:v>0.6199238779992656</x:v>
      </x:c>
      <x:c r="J510" s="47" t="n">
        <x:v>0.6571257565766184</x:v>
      </x:c>
      <x:c r="K510" s="47" t="n">
        <x:v>0.890190929523625</x:v>
      </x:c>
      <x:c r="L510" s="47" t="n">
        <x:v>0.6659578259789403</x:v>
      </x:c>
      <x:c r="M510" s="47" t="n">
        <x:v>0.021500403060840678</x:v>
      </x:c>
      <x:c r="N510" s="47" t="n">
        <x:v>0.6806958079482472</x:v>
      </x:c>
      <x:c r="O510" s="47" t="n">
        <x:v>0.9056701822662869</x:v>
      </x:c>
      <x:c r="P510" s="47" t="n">
        <x:v>0.5602929346039456</x:v>
      </x:c>
      <x:c r="Q510" s="47" t="n">
        <x:v>1</x:v>
      </x:c>
      <x:c r="R510" s="47" t="n">
        <x:v>0.883517480772958</x:v>
      </x:c>
      <x:c r="S510" s="27" t="n">
        <x:v>0</x:v>
      </x:c>
    </x:row>
    <x:row r="511" ht="15" hidden="0" customHeight="1">
      <x:c r="A511" s="29" t="n">
        <x:v>169</x:v>
      </x:c>
      <x:c r="B511" s="29" t="str">
        <x:v>A3</x:v>
      </x:c>
      <x:c r="C511" s="48" t="n">
        <x:v>1.2395572112797937</x:v>
      </x:c>
      <x:c r="D511" s="48" t="n">
        <x:v>0.9521750783248357</x:v>
      </x:c>
      <x:c r="E511" s="48" t="n">
        <x:v>0.7032262773338318</x:v>
      </x:c>
      <x:c r="F511" s="48" t="n">
        <x:v>-0.06795598990081458</x:v>
      </x:c>
      <x:c r="G511" s="48" t="n">
        <x:v>0.01895063943466374</x:v>
      </x:c>
      <x:c r="H511" s="48" t="n">
        <x:v>0.5809690637398037</x:v>
      </x:c>
      <x:c r="I511" s="48" t="n">
        <x:v>0.6199238779992656</x:v>
      </x:c>
      <x:c r="J511" s="48" t="n">
        <x:v>0.6571257565766184</x:v>
      </x:c>
      <x:c r="K511" s="48" t="n">
        <x:v>0.890190929523625</x:v>
      </x:c>
      <x:c r="L511" s="48" t="n">
        <x:v>0.6659578259789403</x:v>
      </x:c>
      <x:c r="M511" s="48" t="n">
        <x:v>0.021500403060840678</x:v>
      </x:c>
      <x:c r="N511" s="48" t="n">
        <x:v>0.6806958079482472</x:v>
      </x:c>
      <x:c r="O511" s="48" t="n">
        <x:v>1</x:v>
      </x:c>
      <x:c r="P511" s="48" t="n">
        <x:v>1</x:v>
      </x:c>
      <x:c r="Q511" s="48" t="n">
        <x:v>1</x:v>
      </x:c>
      <x:c r="R511" s="48" t="n">
        <x:v>1</x:v>
      </x:c>
      <x:c r="S511" s="29" t="n">
        <x:v>1</x:v>
      </x:c>
    </x:row>
    <x:row r="512" ht="21.600000381469727" hidden="0" customHeight="1">
      <x:c r="A512" s="27" t="n">
        <x:v>170</x:v>
      </x:c>
      <x:c r="B512" s="27" t="str">
        <x:v>A1</x:v>
      </x:c>
      <x:c r="C512" s="47" t="n">
        <x:v>0.905882917810835</x:v>
      </x:c>
      <x:c r="D512" s="47" t="n">
        <x:v>0.8528159488510063</x:v>
      </x:c>
      <x:c r="E512" s="47" t="n">
        <x:v>0.5479782477678893</x:v>
      </x:c>
      <x:c r="F512" s="47" t="n">
        <x:v>-0.04695454401231006</x:v>
      </x:c>
      <x:c r="G512" s="47" t="n">
        <x:v>-0.1430937115724771</x:v>
      </x:c>
      <x:c r="H512" s="47" t="n">
        <x:v>0.8955871379027778</x:v>
      </x:c>
      <x:c r="I512" s="47" t="n">
        <x:v>0.8100069587877865</x:v>
      </x:c>
      <x:c r="J512" s="47" t="n">
        <x:v>0.5237335039647948</x:v>
      </x:c>
      <x:c r="K512" s="47" t="n">
        <x:v>0.6565974364490843</x:v>
      </x:c>
      <x:c r="L512" s="47" t="n">
        <x:v>0.5545303536060622</x:v>
      </x:c>
      <x:c r="M512" s="47" t="n">
        <x:v>0.11039347393672695</x:v>
      </x:c>
      <x:c r="N512" s="47" t="n">
        <x:v>0.8256375304228031</x:v>
      </x:c>
      <x:c r="O512" s="47" t="n">
        <x:v>0.900415798613173</x:v>
      </x:c>
      <x:c r="P512" s="47" t="n">
        <x:v>0.6967093407312361</x:v>
      </x:c>
      <x:c r="Q512" s="47" t="n">
        <x:v>1</x:v>
      </x:c>
      <x:c r="R512" s="47" t="n">
        <x:v>0.8770291416708104</x:v>
      </x:c>
      <x:c r="S512" s="27" t="n">
        <x:v>0</x:v>
      </x:c>
    </x:row>
    <x:row r="513" ht="21.600000381469727" hidden="0" customHeight="1">
      <x:c r="A513" s="29" t="n">
        <x:v>170</x:v>
      </x:c>
      <x:c r="B513" s="29" t="str">
        <x:v>A2</x:v>
      </x:c>
      <x:c r="C513" s="48" t="n">
        <x:v>0.905882917810835</x:v>
      </x:c>
      <x:c r="D513" s="48" t="n">
        <x:v>0.8528159488510063</x:v>
      </x:c>
      <x:c r="E513" s="48" t="n">
        <x:v>0.5479782477678893</x:v>
      </x:c>
      <x:c r="F513" s="48" t="n">
        <x:v>-0.04695454401231006</x:v>
      </x:c>
      <x:c r="G513" s="48" t="n">
        <x:v>-0.1430937115724771</x:v>
      </x:c>
      <x:c r="H513" s="48" t="n">
        <x:v>0.8955871379027778</x:v>
      </x:c>
      <x:c r="I513" s="48" t="n">
        <x:v>0.8100069587877865</x:v>
      </x:c>
      <x:c r="J513" s="48" t="n">
        <x:v>0.5237335039647948</x:v>
      </x:c>
      <x:c r="K513" s="48" t="n">
        <x:v>0.6565974364490843</x:v>
      </x:c>
      <x:c r="L513" s="48" t="n">
        <x:v>0.5545303536060622</x:v>
      </x:c>
      <x:c r="M513" s="48" t="n">
        <x:v>0.11039347393672695</x:v>
      </x:c>
      <x:c r="N513" s="48" t="n">
        <x:v>0.8256375304228031</x:v>
      </x:c>
      <x:c r="O513" s="48" t="n">
        <x:v>0.9786413433875413</x:v>
      </x:c>
      <x:c r="P513" s="48" t="n">
        <x:v>0.8219543163445512</x:v>
      </x:c>
      <x:c r="Q513" s="48" t="n">
        <x:v>1</x:v>
      </x:c>
      <x:c r="R513" s="48" t="n">
        <x:v>0.9736254114627072</x:v>
      </x:c>
      <x:c r="S513" s="29" t="n">
        <x:v>0</x:v>
      </x:c>
    </x:row>
    <x:row r="514" ht="21.600000381469727" hidden="0" customHeight="1">
      <x:c r="A514" s="27" t="n">
        <x:v>170</x:v>
      </x:c>
      <x:c r="B514" s="27" t="str">
        <x:v>A3</x:v>
      </x:c>
      <x:c r="C514" s="47" t="n">
        <x:v>0.905882917810835</x:v>
      </x:c>
      <x:c r="D514" s="47" t="n">
        <x:v>0.8528159488510063</x:v>
      </x:c>
      <x:c r="E514" s="47" t="n">
        <x:v>0.5479782477678893</x:v>
      </x:c>
      <x:c r="F514" s="47" t="n">
        <x:v>-0.04695454401231006</x:v>
      </x:c>
      <x:c r="G514" s="47" t="n">
        <x:v>-0.1430937115724771</x:v>
      </x:c>
      <x:c r="H514" s="47" t="n">
        <x:v>0.8955871379027778</x:v>
      </x:c>
      <x:c r="I514" s="47" t="n">
        <x:v>0.8100069587877865</x:v>
      </x:c>
      <x:c r="J514" s="47" t="n">
        <x:v>0.5237335039647948</x:v>
      </x:c>
      <x:c r="K514" s="47" t="n">
        <x:v>0.6565974364490843</x:v>
      </x:c>
      <x:c r="L514" s="47" t="n">
        <x:v>0.5545303536060622</x:v>
      </x:c>
      <x:c r="M514" s="47" t="n">
        <x:v>0.11039347393672695</x:v>
      </x:c>
      <x:c r="N514" s="47" t="n">
        <x:v>0.8256375304228031</x:v>
      </x:c>
      <x:c r="O514" s="47" t="n">
        <x:v>1</x:v>
      </x:c>
      <x:c r="P514" s="47" t="n">
        <x:v>1</x:v>
      </x:c>
      <x:c r="Q514" s="47" t="n">
        <x:v>1</x:v>
      </x:c>
      <x:c r="R514" s="47" t="n">
        <x:v>1</x:v>
      </x:c>
      <x:c r="S514" s="27" t="n">
        <x:v>1</x:v>
      </x:c>
    </x:row>
    <x:row r="515" ht="21.600000381469727" hidden="0" customHeight="1">
      <x:c r="A515" s="29" t="n">
        <x:v>171</x:v>
      </x:c>
      <x:c r="B515" s="29" t="str">
        <x:v>A1</x:v>
      </x:c>
      <x:c r="C515" s="48" t="n">
        <x:v>1.1259300347852348</x:v>
      </x:c>
      <x:c r="D515" s="48" t="n">
        <x:v>0.7403693908266281</x:v>
      </x:c>
      <x:c r="E515" s="48" t="n">
        <x:v>0.6258397762314309</x:v>
      </x:c>
      <x:c r="F515" s="48" t="n">
        <x:v>-0.13855669109959842</x:v>
      </x:c>
      <x:c r="G515" s="48" t="n">
        <x:v>0.01147926646160477</x:v>
      </x:c>
      <x:c r="H515" s="48" t="n">
        <x:v>0.44317225940822447</x:v>
      </x:c>
      <x:c r="I515" s="48" t="n">
        <x:v>0.7727648389198774</x:v>
      </x:c>
      <x:c r="J515" s="48" t="n">
        <x:v>0.4941741468040283</x:v>
      </x:c>
      <x:c r="K515" s="48" t="n">
        <x:v>0.5943564728542973</x:v>
      </x:c>
      <x:c r="L515" s="48" t="n">
        <x:v>0.8452113838716152</x:v>
      </x:c>
      <x:c r="M515" s="48" t="n">
        <x:v>0.11526677893716408</x:v>
      </x:c>
      <x:c r="N515" s="48" t="n">
        <x:v>0.9114167981683217</x:v>
      </x:c>
      <x:c r="O515" s="48" t="n">
        <x:v>0.7559275442620338</x:v>
      </x:c>
      <x:c r="P515" s="48" t="n">
        <x:v>0.40202041151827606</x:v>
      </x:c>
      <x:c r="Q515" s="48" t="n">
        <x:v>0.945705926677406</x:v>
      </x:c>
      <x:c r="R515" s="48" t="n">
        <x:v>0.699012060041434</x:v>
      </x:c>
      <x:c r="S515" s="29" t="n">
        <x:v>0</x:v>
      </x:c>
    </x:row>
    <x:row r="516" ht="21.600000381469727" hidden="0" customHeight="1">
      <x:c r="A516" s="27" t="n">
        <x:v>171</x:v>
      </x:c>
      <x:c r="B516" s="27" t="str">
        <x:v>A2</x:v>
      </x:c>
      <x:c r="C516" s="47" t="n">
        <x:v>1.1259300347852348</x:v>
      </x:c>
      <x:c r="D516" s="47" t="n">
        <x:v>0.7403693908266281</x:v>
      </x:c>
      <x:c r="E516" s="47" t="n">
        <x:v>0.6258397762314309</x:v>
      </x:c>
      <x:c r="F516" s="47" t="n">
        <x:v>-0.13855669109959842</x:v>
      </x:c>
      <x:c r="G516" s="47" t="n">
        <x:v>0.01147926646160477</x:v>
      </x:c>
      <x:c r="H516" s="47" t="n">
        <x:v>0.44317225940822447</x:v>
      </x:c>
      <x:c r="I516" s="47" t="n">
        <x:v>0.7727648389198774</x:v>
      </x:c>
      <x:c r="J516" s="47" t="n">
        <x:v>0.4941741468040283</x:v>
      </x:c>
      <x:c r="K516" s="47" t="n">
        <x:v>0.5943564728542973</x:v>
      </x:c>
      <x:c r="L516" s="47" t="n">
        <x:v>0.8452113838716152</x:v>
      </x:c>
      <x:c r="M516" s="47" t="n">
        <x:v>0.11526677893716408</x:v>
      </x:c>
      <x:c r="N516" s="47" t="n">
        <x:v>0.9114167981683217</x:v>
      </x:c>
      <x:c r="O516" s="47" t="n">
        <x:v>0.8345188362367462</x:v>
      </x:c>
      <x:c r="P516" s="47" t="n">
        <x:v>0.48868612269620154</x:v>
      </x:c>
      <x:c r="Q516" s="47" t="n">
        <x:v>1</x:v>
      </x:c>
      <x:c r="R516" s="47" t="n">
        <x:v>0.7956567360897436</x:v>
      </x:c>
      <x:c r="S516" s="27" t="n">
        <x:v>0</x:v>
      </x:c>
    </x:row>
    <x:row r="517" ht="21.600000381469727" hidden="0" customHeight="1">
      <x:c r="A517" s="29" t="n">
        <x:v>171</x:v>
      </x:c>
      <x:c r="B517" s="29" t="str">
        <x:v>A3</x:v>
      </x:c>
      <x:c r="C517" s="48" t="n">
        <x:v>1.1259300347852348</x:v>
      </x:c>
      <x:c r="D517" s="48" t="n">
        <x:v>0.7403693908266281</x:v>
      </x:c>
      <x:c r="E517" s="48" t="n">
        <x:v>0.6258397762314309</x:v>
      </x:c>
      <x:c r="F517" s="48" t="n">
        <x:v>-0.13855669109959842</x:v>
      </x:c>
      <x:c r="G517" s="48" t="n">
        <x:v>0.01147926646160477</x:v>
      </x:c>
      <x:c r="H517" s="48" t="n">
        <x:v>0.44317225940822447</x:v>
      </x:c>
      <x:c r="I517" s="48" t="n">
        <x:v>0.7727648389198774</x:v>
      </x:c>
      <x:c r="J517" s="48" t="n">
        <x:v>0.4941741468040283</x:v>
      </x:c>
      <x:c r="K517" s="48" t="n">
        <x:v>0.5943564728542973</x:v>
      </x:c>
      <x:c r="L517" s="48" t="n">
        <x:v>0.8452113838716152</x:v>
      </x:c>
      <x:c r="M517" s="48" t="n">
        <x:v>0.11526677893716408</x:v>
      </x:c>
      <x:c r="N517" s="48" t="n">
        <x:v>0.9114167981683217</x:v>
      </x:c>
      <x:c r="O517" s="48" t="n">
        <x:v>1</x:v>
      </x:c>
      <x:c r="P517" s="48" t="n">
        <x:v>1</x:v>
      </x:c>
      <x:c r="Q517" s="48" t="n">
        <x:v>1</x:v>
      </x:c>
      <x:c r="R517" s="48" t="n">
        <x:v>1</x:v>
      </x:c>
      <x:c r="S517" s="29" t="n">
        <x:v>1</x:v>
      </x:c>
    </x:row>
    <x:row r="518" ht="21.600000381469727" hidden="0" customHeight="1">
      <x:c r="A518" s="27" t="n">
        <x:v>172</x:v>
      </x:c>
      <x:c r="B518" s="27" t="str">
        <x:v>A1</x:v>
      </x:c>
      <x:c r="C518" s="47" t="n">
        <x:v>1.3442513802547127</x:v>
      </x:c>
      <x:c r="D518" s="47" t="n">
        <x:v>0.9119758456688601</x:v>
      </x:c>
      <x:c r="E518" s="47" t="n">
        <x:v>1.0837693291850048</x:v>
      </x:c>
      <x:c r="F518" s="47" t="n">
        <x:v>0.0246416679248998</x:v>
      </x:c>
      <x:c r="G518" s="47" t="n">
        <x:v>-0.09474521055327152</x:v>
      </x:c>
      <x:c r="H518" s="47" t="n">
        <x:v>0.7582111990628873</x:v>
      </x:c>
      <x:c r="I518" s="47" t="n">
        <x:v>0.7441122155824591</x:v>
      </x:c>
      <x:c r="J518" s="47" t="n">
        <x:v>0.9700903342753948</x:v>
      </x:c>
      <x:c r="K518" s="47" t="n">
        <x:v>0.8394356792324162</x:v>
      </x:c>
      <x:c r="L518" s="47" t="n">
        <x:v>0.9676174502386592</x:v>
      </x:c>
      <x:c r="M518" s="47" t="n">
        <x:v>0.02774038272233369</x:v>
      </x:c>
      <x:c r="N518" s="47" t="n">
        <x:v>0.9135446362778146</x:v>
      </x:c>
      <x:c r="O518" s="47" t="n">
        <x:v>0.8565552912446207</x:v>
      </x:c>
      <x:c r="P518" s="47" t="n">
        <x:v>0.5289033966436022</x:v>
      </x:c>
      <x:c r="Q518" s="47" t="n">
        <x:v>1</x:v>
      </x:c>
      <x:c r="R518" s="47" t="n">
        <x:v>0.8228682992605394</x:v>
      </x:c>
      <x:c r="S518" s="27" t="n">
        <x:v>0</x:v>
      </x:c>
    </x:row>
    <x:row r="519" ht="21.600000381469727" hidden="0" customHeight="1">
      <x:c r="A519" s="29" t="n">
        <x:v>172</x:v>
      </x:c>
      <x:c r="B519" s="29" t="str">
        <x:v>A2</x:v>
      </x:c>
      <x:c r="C519" s="48" t="n">
        <x:v>1.3442513802547127</x:v>
      </x:c>
      <x:c r="D519" s="48" t="n">
        <x:v>0.9119758456688601</x:v>
      </x:c>
      <x:c r="E519" s="48" t="n">
        <x:v>1.0837693291850048</x:v>
      </x:c>
      <x:c r="F519" s="48" t="n">
        <x:v>0.0246416679248998</x:v>
      </x:c>
      <x:c r="G519" s="48" t="n">
        <x:v>-0.09474521055327152</x:v>
      </x:c>
      <x:c r="H519" s="48" t="n">
        <x:v>0.7582111990628873</x:v>
      </x:c>
      <x:c r="I519" s="48" t="n">
        <x:v>0.7441122155824591</x:v>
      </x:c>
      <x:c r="J519" s="48" t="n">
        <x:v>0.9700903342753948</x:v>
      </x:c>
      <x:c r="K519" s="48" t="n">
        <x:v>0.8394356792324162</x:v>
      </x:c>
      <x:c r="L519" s="48" t="n">
        <x:v>0.9676174502386592</x:v>
      </x:c>
      <x:c r="M519" s="48" t="n">
        <x:v>0.02774038272233369</x:v>
      </x:c>
      <x:c r="N519" s="48" t="n">
        <x:v>0.9135446362778146</x:v>
      </x:c>
      <x:c r="O519" s="48" t="n">
        <x:v>0.9279457200273098</x:v>
      </x:c>
      <x:c r="P519" s="48" t="n">
        <x:v>0.6181445060221172</x:v>
      </x:c>
      <x:c r="Q519" s="48" t="n">
        <x:v>1</x:v>
      </x:c>
      <x:c r="R519" s="48" t="n">
        <x:v>0.9110242736183097</x:v>
      </x:c>
      <x:c r="S519" s="29" t="n">
        <x:v>0</x:v>
      </x:c>
    </x:row>
    <x:row r="520" ht="21.600000381469727" hidden="0" customHeight="1">
      <x:c r="A520" s="27" t="n">
        <x:v>172</x:v>
      </x:c>
      <x:c r="B520" s="27" t="str">
        <x:v>A3</x:v>
      </x:c>
      <x:c r="C520" s="47" t="n">
        <x:v>1.3442513802547127</x:v>
      </x:c>
      <x:c r="D520" s="47" t="n">
        <x:v>0.9119758456688601</x:v>
      </x:c>
      <x:c r="E520" s="47" t="n">
        <x:v>1.0837693291850048</x:v>
      </x:c>
      <x:c r="F520" s="47" t="n">
        <x:v>0.0246416679248998</x:v>
      </x:c>
      <x:c r="G520" s="47" t="n">
        <x:v>-0.09474521055327152</x:v>
      </x:c>
      <x:c r="H520" s="47" t="n">
        <x:v>0.7582111990628873</x:v>
      </x:c>
      <x:c r="I520" s="47" t="n">
        <x:v>0.7441122155824591</x:v>
      </x:c>
      <x:c r="J520" s="47" t="n">
        <x:v>0.9700903342753948</x:v>
      </x:c>
      <x:c r="K520" s="47" t="n">
        <x:v>0.8394356792324162</x:v>
      </x:c>
      <x:c r="L520" s="47" t="n">
        <x:v>0.9676174502386592</x:v>
      </x:c>
      <x:c r="M520" s="47" t="n">
        <x:v>0.02774038272233369</x:v>
      </x:c>
      <x:c r="N520" s="47" t="n">
        <x:v>0.9135446362778146</x:v>
      </x:c>
      <x:c r="O520" s="47" t="n">
        <x:v>1</x:v>
      </x:c>
      <x:c r="P520" s="47" t="n">
        <x:v>1</x:v>
      </x:c>
      <x:c r="Q520" s="47" t="n">
        <x:v>1</x:v>
      </x:c>
      <x:c r="R520" s="47" t="n">
        <x:v>1</x:v>
      </x:c>
      <x:c r="S520" s="27" t="n">
        <x:v>1</x:v>
      </x:c>
    </x:row>
    <x:row r="521" ht="21.600000381469727" hidden="0" customHeight="1">
      <x:c r="A521" s="29" t="n">
        <x:v>173</x:v>
      </x:c>
      <x:c r="B521" s="29" t="str">
        <x:v>A1</x:v>
      </x:c>
      <x:c r="C521" s="48" t="n">
        <x:v>1.2265397778652856</x:v>
      </x:c>
      <x:c r="D521" s="48" t="n">
        <x:v>0.7200377125398519</x:v>
      </x:c>
      <x:c r="E521" s="48" t="n">
        <x:v>0.6572503288496724</x:v>
      </x:c>
      <x:c r="F521" s="48" t="n">
        <x:v>-0.19665426663902694</x:v>
      </x:c>
      <x:c r="G521" s="48" t="n">
        <x:v>-0.14829254434664277</x:v>
      </x:c>
      <x:c r="H521" s="48" t="n">
        <x:v>0.8458121777305341</x:v>
      </x:c>
      <x:c r="I521" s="48" t="n">
        <x:v>0.6414414266677639</x:v>
      </x:c>
      <x:c r="J521" s="48" t="n">
        <x:v>0.7945605465866905</x:v>
      </x:c>
      <x:c r="K521" s="48" t="n">
        <x:v>0.7286420343961153</x:v>
      </x:c>
      <x:c r="L521" s="48" t="n">
        <x:v>0.8089821004695066</x:v>
      </x:c>
      <x:c r="M521" s="48" t="n">
        <x:v>0.07382685944508355</x:v>
      </x:c>
      <x:c r="N521" s="48" t="n">
        <x:v>0.8798067203865374</x:v>
      </x:c>
      <x:c r="O521" s="48" t="n">
        <x:v>0.7098634518518835</x:v>
      </x:c>
      <x:c r="P521" s="48" t="n">
        <x:v>0.38943815641869517</x:v>
      </x:c>
      <x:c r="Q521" s="48" t="n">
        <x:v>0.9060472704785093</x:v>
      </x:c>
      <x:c r="R521" s="48" t="n">
        <x:v>0.6424246750021234</x:v>
      </x:c>
      <x:c r="S521" s="29" t="n">
        <x:v>0</x:v>
      </x:c>
    </x:row>
    <x:row r="522" ht="21.600000381469727" hidden="0" customHeight="1">
      <x:c r="A522" s="27" t="n">
        <x:v>173</x:v>
      </x:c>
      <x:c r="B522" s="27" t="str">
        <x:v>A2</x:v>
      </x:c>
      <x:c r="C522" s="47" t="n">
        <x:v>1.2265397778652856</x:v>
      </x:c>
      <x:c r="D522" s="47" t="n">
        <x:v>0.7200377125398519</x:v>
      </x:c>
      <x:c r="E522" s="47" t="n">
        <x:v>0.6572503288496724</x:v>
      </x:c>
      <x:c r="F522" s="47" t="n">
        <x:v>-0.19665426663902694</x:v>
      </x:c>
      <x:c r="G522" s="47" t="n">
        <x:v>-0.14829254434664277</x:v>
      </x:c>
      <x:c r="H522" s="47" t="n">
        <x:v>0.8458121777305341</x:v>
      </x:c>
      <x:c r="I522" s="47" t="n">
        <x:v>0.6414414266677639</x:v>
      </x:c>
      <x:c r="J522" s="47" t="n">
        <x:v>0.7945605465866905</x:v>
      </x:c>
      <x:c r="K522" s="47" t="n">
        <x:v>0.7286420343961153</x:v>
      </x:c>
      <x:c r="L522" s="47" t="n">
        <x:v>0.8089821004695066</x:v>
      </x:c>
      <x:c r="M522" s="47" t="n">
        <x:v>0.07382685944508355</x:v>
      </x:c>
      <x:c r="N522" s="47" t="n">
        <x:v>0.8798067203865374</x:v>
      </x:c>
      <x:c r="O522" s="47" t="n">
        <x:v>0.7857466328512676</x:v>
      </x:c>
      <x:c r="P522" s="47" t="n">
        <x:v>0.4266014073214552</x:v>
      </x:c>
      <x:c r="Q522" s="47" t="n">
        <x:v>1</x:v>
      </x:c>
      <x:c r="R522" s="47" t="n">
        <x:v>0.7354307200209793</x:v>
      </x:c>
      <x:c r="S522" s="27" t="n">
        <x:v>0</x:v>
      </x:c>
    </x:row>
    <x:row r="523" ht="21.600000381469727" hidden="0" customHeight="1">
      <x:c r="A523" s="29" t="n">
        <x:v>173</x:v>
      </x:c>
      <x:c r="B523" s="29" t="str">
        <x:v>A3</x:v>
      </x:c>
      <x:c r="C523" s="48" t="n">
        <x:v>1.2265397778652856</x:v>
      </x:c>
      <x:c r="D523" s="48" t="n">
        <x:v>0.7200377125398519</x:v>
      </x:c>
      <x:c r="E523" s="48" t="n">
        <x:v>0.6572503288496724</x:v>
      </x:c>
      <x:c r="F523" s="48" t="n">
        <x:v>-0.19665426663902694</x:v>
      </x:c>
      <x:c r="G523" s="48" t="n">
        <x:v>-0.14829254434664277</x:v>
      </x:c>
      <x:c r="H523" s="48" t="n">
        <x:v>0.8458121777305341</x:v>
      </x:c>
      <x:c r="I523" s="48" t="n">
        <x:v>0.6414414266677639</x:v>
      </x:c>
      <x:c r="J523" s="48" t="n">
        <x:v>0.7945605465866905</x:v>
      </x:c>
      <x:c r="K523" s="48" t="n">
        <x:v>0.7286420343961153</x:v>
      </x:c>
      <x:c r="L523" s="48" t="n">
        <x:v>0.8089821004695066</x:v>
      </x:c>
      <x:c r="M523" s="48" t="n">
        <x:v>0.07382685944508355</x:v>
      </x:c>
      <x:c r="N523" s="48" t="n">
        <x:v>0.8798067203865374</x:v>
      </x:c>
      <x:c r="O523" s="48" t="n">
        <x:v>1</x:v>
      </x:c>
      <x:c r="P523" s="48" t="n">
        <x:v>1</x:v>
      </x:c>
      <x:c r="Q523" s="48" t="n">
        <x:v>1</x:v>
      </x:c>
      <x:c r="R523" s="48" t="n">
        <x:v>1</x:v>
      </x:c>
      <x:c r="S523" s="29" t="n">
        <x:v>1</x:v>
      </x:c>
    </x:row>
    <x:row r="524" ht="21.600000381469727" hidden="0" customHeight="1">
      <x:c r="A524" s="27" t="n">
        <x:v>174</x:v>
      </x:c>
      <x:c r="B524" s="27" t="str">
        <x:v>A1</x:v>
      </x:c>
      <x:c r="C524" s="47" t="n">
        <x:v>1.1763398667532834</x:v>
      </x:c>
      <x:c r="D524" s="47" t="n">
        <x:v>0.8477427283301958</x:v>
      </x:c>
      <x:c r="E524" s="47" t="n">
        <x:v>0.6941019987457836</x:v>
      </x:c>
      <x:c r="F524" s="47" t="n">
        <x:v>-0.004504660743622213</x:v>
      </x:c>
      <x:c r="G524" s="47" t="n">
        <x:v>0.0018745444922516341</x:v>
      </x:c>
      <x:c r="H524" s="47" t="n">
        <x:v>0.4275239470092075</x:v>
      </x:c>
      <x:c r="I524" s="47" t="n">
        <x:v>0.7585937814388262</x:v>
      </x:c>
      <x:c r="J524" s="47" t="n">
        <x:v>0.7623183315105604</x:v>
      </x:c>
      <x:c r="K524" s="47" t="n">
        <x:v>0.873427470386557</x:v>
      </x:c>
      <x:c r="L524" s="47" t="n">
        <x:v>0.7412599280176524</x:v>
      </x:c>
      <x:c r="M524" s="47" t="n">
        <x:v>0.010087348021966373</x:v>
      </x:c>
      <x:c r="N524" s="47" t="n">
        <x:v>0.8527382524610598</x:v>
      </x:c>
      <x:c r="O524" s="47" t="n">
        <x:v>0.8365253045573896</x:v>
      </x:c>
      <x:c r="P524" s="47" t="n">
        <x:v>0.46503593557720657</x:v>
      </x:c>
      <x:c r="Q524" s="47" t="n">
        <x:v>1</x:v>
      </x:c>
      <x:c r="R524" s="47" t="n">
        <x:v>0.7981344095375772</x:v>
      </x:c>
      <x:c r="S524" s="27" t="n">
        <x:v>0</x:v>
      </x:c>
    </x:row>
    <x:row r="525" ht="21.600000381469727" hidden="0" customHeight="1">
      <x:c r="A525" s="29" t="n">
        <x:v>174</x:v>
      </x:c>
      <x:c r="B525" s="29" t="str">
        <x:v>A2</x:v>
      </x:c>
      <x:c r="C525" s="48" t="n">
        <x:v>1.1763398667532834</x:v>
      </x:c>
      <x:c r="D525" s="48" t="n">
        <x:v>0.8477427283301958</x:v>
      </x:c>
      <x:c r="E525" s="48" t="n">
        <x:v>0.6941019987457836</x:v>
      </x:c>
      <x:c r="F525" s="48" t="n">
        <x:v>-0.004504660743622213</x:v>
      </x:c>
      <x:c r="G525" s="48" t="n">
        <x:v>0.0018745444922516341</x:v>
      </x:c>
      <x:c r="H525" s="48" t="n">
        <x:v>0.4275239470092075</x:v>
      </x:c>
      <x:c r="I525" s="48" t="n">
        <x:v>0.7585937814388262</x:v>
      </x:c>
      <x:c r="J525" s="48" t="n">
        <x:v>0.7623183315105604</x:v>
      </x:c>
      <x:c r="K525" s="48" t="n">
        <x:v>0.873427470386557</x:v>
      </x:c>
      <x:c r="L525" s="48" t="n">
        <x:v>0.7412599280176524</x:v>
      </x:c>
      <x:c r="M525" s="48" t="n">
        <x:v>0.010087348021966373</x:v>
      </x:c>
      <x:c r="N525" s="48" t="n">
        <x:v>0.8527382524610598</x:v>
      </x:c>
      <x:c r="O525" s="48" t="n">
        <x:v>0.8908083311904292</x:v>
      </x:c>
      <x:c r="P525" s="48" t="n">
        <x:v>0.4574777555265172</x:v>
      </x:c>
      <x:c r="Q525" s="48" t="n">
        <x:v>1</x:v>
      </x:c>
      <x:c r="R525" s="48" t="n">
        <x:v>0.8651654273577808</x:v>
      </x:c>
      <x:c r="S525" s="29" t="n">
        <x:v>0</x:v>
      </x:c>
    </x:row>
    <x:row r="526" ht="21.600000381469727" hidden="0" customHeight="1">
      <x:c r="A526" s="27" t="n">
        <x:v>174</x:v>
      </x:c>
      <x:c r="B526" s="27" t="str">
        <x:v>A3</x:v>
      </x:c>
      <x:c r="C526" s="47" t="n">
        <x:v>1.1763398667532834</x:v>
      </x:c>
      <x:c r="D526" s="47" t="n">
        <x:v>0.8477427283301958</x:v>
      </x:c>
      <x:c r="E526" s="47" t="n">
        <x:v>0.6941019987457836</x:v>
      </x:c>
      <x:c r="F526" s="47" t="n">
        <x:v>-0.004504660743622213</x:v>
      </x:c>
      <x:c r="G526" s="47" t="n">
        <x:v>0.0018745444922516341</x:v>
      </x:c>
      <x:c r="H526" s="47" t="n">
        <x:v>0.4275239470092075</x:v>
      </x:c>
      <x:c r="I526" s="47" t="n">
        <x:v>0.7585937814388262</x:v>
      </x:c>
      <x:c r="J526" s="47" t="n">
        <x:v>0.7623183315105604</x:v>
      </x:c>
      <x:c r="K526" s="47" t="n">
        <x:v>0.873427470386557</x:v>
      </x:c>
      <x:c r="L526" s="47" t="n">
        <x:v>0.7412599280176524</x:v>
      </x:c>
      <x:c r="M526" s="47" t="n">
        <x:v>0.010087348021966373</x:v>
      </x:c>
      <x:c r="N526" s="47" t="n">
        <x:v>0.8527382524610598</x:v>
      </x:c>
      <x:c r="O526" s="47" t="n">
        <x:v>1</x:v>
      </x:c>
      <x:c r="P526" s="47" t="n">
        <x:v>1</x:v>
      </x:c>
      <x:c r="Q526" s="47" t="n">
        <x:v>1</x:v>
      </x:c>
      <x:c r="R526" s="47" t="n">
        <x:v>1</x:v>
      </x:c>
      <x:c r="S526" s="27" t="n">
        <x:v>1</x:v>
      </x:c>
    </x:row>
    <x:row r="527" ht="21.600000381469727" hidden="0" customHeight="1">
      <x:c r="A527" s="29" t="n">
        <x:v>175</x:v>
      </x:c>
      <x:c r="B527" s="29" t="str">
        <x:v>A1</x:v>
      </x:c>
      <x:c r="C527" s="48" t="n">
        <x:v>1.3490918286958666</x:v>
      </x:c>
      <x:c r="D527" s="48" t="n">
        <x:v>0.8796390720836791</x:v>
      </x:c>
      <x:c r="E527" s="48" t="n">
        <x:v>0.6167850921457032</x:v>
      </x:c>
      <x:c r="F527" s="48" t="n">
        <x:v>-0.12492752449583752</x:v>
      </x:c>
      <x:c r="G527" s="48" t="n">
        <x:v>0.0072000881019043395</x:v>
      </x:c>
      <x:c r="H527" s="48" t="n">
        <x:v>0.5245615108447672</x:v>
      </x:c>
      <x:c r="I527" s="48" t="n">
        <x:v>0.8618626149322821</x:v>
      </x:c>
      <x:c r="J527" s="48" t="n">
        <x:v>0.5344883776592044</x:v>
      </x:c>
      <x:c r="K527" s="48" t="n">
        <x:v>0.6059756658693863</x:v>
      </x:c>
      <x:c r="L527" s="48" t="n">
        <x:v>0.8373035987707639</x:v>
      </x:c>
      <x:c r="M527" s="48" t="n">
        <x:v>0.0779441366549541</x:v>
      </x:c>
      <x:c r="N527" s="48" t="n">
        <x:v>0.8486888637955674</x:v>
      </x:c>
      <x:c r="O527" s="48" t="n">
        <x:v>0.771408738014567</x:v>
      </x:c>
      <x:c r="P527" s="48" t="n">
        <x:v>0.5269591864141024</x:v>
      </x:c>
      <x:c r="Q527" s="48" t="n">
        <x:v>0.9267486714249483</x:v>
      </x:c>
      <x:c r="R527" s="48" t="n">
        <x:v>0.7182696972103934</x:v>
      </x:c>
      <x:c r="S527" s="29" t="n">
        <x:v>0</x:v>
      </x:c>
    </x:row>
    <x:row r="528" ht="21.600000381469727" hidden="0" customHeight="1">
      <x:c r="A528" s="27" t="n">
        <x:v>175</x:v>
      </x:c>
      <x:c r="B528" s="27" t="str">
        <x:v>A2</x:v>
      </x:c>
      <x:c r="C528" s="47" t="n">
        <x:v>1.3490918286958666</x:v>
      </x:c>
      <x:c r="D528" s="47" t="n">
        <x:v>0.8796390720836791</x:v>
      </x:c>
      <x:c r="E528" s="47" t="n">
        <x:v>0.6167850921457032</x:v>
      </x:c>
      <x:c r="F528" s="47" t="n">
        <x:v>-0.12492752449583752</x:v>
      </x:c>
      <x:c r="G528" s="47" t="n">
        <x:v>0.0072000881019043395</x:v>
      </x:c>
      <x:c r="H528" s="47" t="n">
        <x:v>0.5245615108447672</x:v>
      </x:c>
      <x:c r="I528" s="47" t="n">
        <x:v>0.8618626149322821</x:v>
      </x:c>
      <x:c r="J528" s="47" t="n">
        <x:v>0.5344883776592044</x:v>
      </x:c>
      <x:c r="K528" s="47" t="n">
        <x:v>0.6059756658693863</x:v>
      </x:c>
      <x:c r="L528" s="47" t="n">
        <x:v>0.8373035987707639</x:v>
      </x:c>
      <x:c r="M528" s="47" t="n">
        <x:v>0.0779441366549541</x:v>
      </x:c>
      <x:c r="N528" s="47" t="n">
        <x:v>0.8486888637955674</x:v>
      </x:c>
      <x:c r="O528" s="47" t="n">
        <x:v>0.8547547269992681</x:v>
      </x:c>
      <x:c r="P528" s="47" t="n">
        <x:v>0.5436409464286703</x:v>
      </x:c>
      <x:c r="Q528" s="47" t="n">
        <x:v>1</x:v>
      </x:c>
      <x:c r="R528" s="47" t="n">
        <x:v>0.8206448850277157</x:v>
      </x:c>
      <x:c r="S528" s="27" t="n">
        <x:v>0</x:v>
      </x:c>
    </x:row>
    <x:row r="529" ht="21.600000381469727" hidden="0" customHeight="1">
      <x:c r="A529" s="29" t="n">
        <x:v>175</x:v>
      </x:c>
      <x:c r="B529" s="29" t="str">
        <x:v>A3</x:v>
      </x:c>
      <x:c r="C529" s="48" t="n">
        <x:v>1.3490918286958666</x:v>
      </x:c>
      <x:c r="D529" s="48" t="n">
        <x:v>0.8796390720836791</x:v>
      </x:c>
      <x:c r="E529" s="48" t="n">
        <x:v>0.6167850921457032</x:v>
      </x:c>
      <x:c r="F529" s="48" t="n">
        <x:v>-0.12492752449583752</x:v>
      </x:c>
      <x:c r="G529" s="48" t="n">
        <x:v>0.0072000881019043395</x:v>
      </x:c>
      <x:c r="H529" s="48" t="n">
        <x:v>0.5245615108447672</x:v>
      </x:c>
      <x:c r="I529" s="48" t="n">
        <x:v>0.8618626149322821</x:v>
      </x:c>
      <x:c r="J529" s="48" t="n">
        <x:v>0.5344883776592044</x:v>
      </x:c>
      <x:c r="K529" s="48" t="n">
        <x:v>0.6059756658693863</x:v>
      </x:c>
      <x:c r="L529" s="48" t="n">
        <x:v>0.8373035987707639</x:v>
      </x:c>
      <x:c r="M529" s="48" t="n">
        <x:v>0.0779441366549541</x:v>
      </x:c>
      <x:c r="N529" s="48" t="n">
        <x:v>0.8486888637955674</x:v>
      </x:c>
      <x:c r="O529" s="48" t="n">
        <x:v>1</x:v>
      </x:c>
      <x:c r="P529" s="48" t="n">
        <x:v>1</x:v>
      </x:c>
      <x:c r="Q529" s="48" t="n">
        <x:v>1</x:v>
      </x:c>
      <x:c r="R529" s="48" t="n">
        <x:v>1</x:v>
      </x:c>
      <x:c r="S529" s="29" t="n">
        <x:v>1</x:v>
      </x:c>
    </x:row>
    <x:row r="530" ht="21.600000381469727" hidden="0" customHeight="1">
      <x:c r="A530" s="27" t="n">
        <x:v>176</x:v>
      </x:c>
      <x:c r="B530" s="27" t="str">
        <x:v>A1</x:v>
      </x:c>
      <x:c r="C530" s="47" t="n">
        <x:v>0.966269413212165</x:v>
      </x:c>
      <x:c r="D530" s="47" t="n">
        <x:v>0.7815382618179213</x:v>
      </x:c>
      <x:c r="E530" s="47" t="n">
        <x:v>1.0495538644148452</x:v>
      </x:c>
      <x:c r="F530" s="47" t="n">
        <x:v>0.021350703610616806</x:v>
      </x:c>
      <x:c r="G530" s="47" t="n">
        <x:v>-0.08519617423040084</x:v>
      </x:c>
      <x:c r="H530" s="47" t="n">
        <x:v>0.7057203960122032</x:v>
      </x:c>
      <x:c r="I530" s="47" t="n">
        <x:v>0.6680058556726586</x:v>
      </x:c>
      <x:c r="J530" s="47" t="n">
        <x:v>0.8660813670617542</x:v>
      </x:c>
      <x:c r="K530" s="47" t="n">
        <x:v>0.7920853394637769</x:v>
      </x:c>
      <x:c r="L530" s="47" t="n">
        <x:v>0.6561471261752628</x:v>
      </x:c>
      <x:c r="M530" s="47" t="n">
        <x:v>0.002397935227007295</x:v>
      </x:c>
      <x:c r="N530" s="47" t="n">
        <x:v>0.6953477949897406</x:v>
      </x:c>
      <x:c r="O530" s="47" t="n">
        <x:v>0.9207832918920427</x:v>
      </x:c>
      <x:c r="P530" s="47" t="n">
        <x:v>0.6178626545222998</x:v>
      </x:c>
      <x:c r="Q530" s="47" t="n">
        <x:v>1</x:v>
      </x:c>
      <x:c r="R530" s="47" t="n">
        <x:v>0.9021797990606071</x:v>
      </x:c>
      <x:c r="S530" s="27" t="n">
        <x:v>0</x:v>
      </x:c>
    </x:row>
    <x:row r="531" ht="21.600000381469727" hidden="0" customHeight="1">
      <x:c r="A531" s="29" t="n">
        <x:v>176</x:v>
      </x:c>
      <x:c r="B531" s="29" t="str">
        <x:v>A2</x:v>
      </x:c>
      <x:c r="C531" s="48" t="n">
        <x:v>0.966269413212165</x:v>
      </x:c>
      <x:c r="D531" s="48" t="n">
        <x:v>0.7815382618179213</x:v>
      </x:c>
      <x:c r="E531" s="48" t="n">
        <x:v>1.0495538644148452</x:v>
      </x:c>
      <x:c r="F531" s="48" t="n">
        <x:v>0.021350703610616806</x:v>
      </x:c>
      <x:c r="G531" s="48" t="n">
        <x:v>-0.08519617423040084</x:v>
      </x:c>
      <x:c r="H531" s="48" t="n">
        <x:v>0.7057203960122032</x:v>
      </x:c>
      <x:c r="I531" s="48" t="n">
        <x:v>0.6680058556726586</x:v>
      </x:c>
      <x:c r="J531" s="48" t="n">
        <x:v>0.8660813670617542</x:v>
      </x:c>
      <x:c r="K531" s="48" t="n">
        <x:v>0.7920853394637769</x:v>
      </x:c>
      <x:c r="L531" s="48" t="n">
        <x:v>0.6561471261752628</x:v>
      </x:c>
      <x:c r="M531" s="48" t="n">
        <x:v>0.002397935227007295</x:v>
      </x:c>
      <x:c r="N531" s="48" t="n">
        <x:v>0.6953477949897406</x:v>
      </x:c>
      <x:c r="O531" s="48" t="n">
        <x:v>0.959851361674193</x:v>
      </x:c>
      <x:c r="P531" s="48" t="n">
        <x:v>0.7061199621595253</x:v>
      </x:c>
      <x:c r="Q531" s="48" t="n">
        <x:v>1</x:v>
      </x:c>
      <x:c r="R531" s="48" t="n">
        <x:v>0.9504227332557014</x:v>
      </x:c>
      <x:c r="S531" s="29" t="n">
        <x:v>0</x:v>
      </x:c>
    </x:row>
    <x:row r="532" ht="21.600000381469727" hidden="0" customHeight="1">
      <x:c r="A532" s="27" t="n">
        <x:v>176</x:v>
      </x:c>
      <x:c r="B532" s="27" t="str">
        <x:v>A3</x:v>
      </x:c>
      <x:c r="C532" s="47" t="n">
        <x:v>0.966269413212165</x:v>
      </x:c>
      <x:c r="D532" s="47" t="n">
        <x:v>0.7815382618179213</x:v>
      </x:c>
      <x:c r="E532" s="47" t="n">
        <x:v>1.0495538644148452</x:v>
      </x:c>
      <x:c r="F532" s="47" t="n">
        <x:v>0.021350703610616806</x:v>
      </x:c>
      <x:c r="G532" s="47" t="n">
        <x:v>-0.08519617423040084</x:v>
      </x:c>
      <x:c r="H532" s="47" t="n">
        <x:v>0.7057203960122032</x:v>
      </x:c>
      <x:c r="I532" s="47" t="n">
        <x:v>0.6680058556726586</x:v>
      </x:c>
      <x:c r="J532" s="47" t="n">
        <x:v>0.8660813670617542</x:v>
      </x:c>
      <x:c r="K532" s="47" t="n">
        <x:v>0.7920853394637769</x:v>
      </x:c>
      <x:c r="L532" s="47" t="n">
        <x:v>0.6561471261752628</x:v>
      </x:c>
      <x:c r="M532" s="47" t="n">
        <x:v>0.002397935227007295</x:v>
      </x:c>
      <x:c r="N532" s="47" t="n">
        <x:v>0.6953477949897406</x:v>
      </x:c>
      <x:c r="O532" s="47" t="n">
        <x:v>1</x:v>
      </x:c>
      <x:c r="P532" s="47" t="n">
        <x:v>1</x:v>
      </x:c>
      <x:c r="Q532" s="47" t="n">
        <x:v>1</x:v>
      </x:c>
      <x:c r="R532" s="47" t="n">
        <x:v>1</x:v>
      </x:c>
      <x:c r="S532" s="27" t="n">
        <x:v>1</x:v>
      </x:c>
    </x:row>
    <x:row r="533" ht="21.600000381469727" hidden="0" customHeight="1">
      <x:c r="A533" s="29" t="n">
        <x:v>177</x:v>
      </x:c>
      <x:c r="B533" s="29" t="str">
        <x:v>A1</x:v>
      </x:c>
      <x:c r="C533" s="48" t="n">
        <x:v>1.2028946783808523</x:v>
      </x:c>
      <x:c r="D533" s="48" t="n">
        <x:v>0.8095701070288903</x:v>
      </x:c>
      <x:c r="E533" s="48" t="n">
        <x:v>0.5724171220306027</x:v>
      </x:c>
      <x:c r="F533" s="48" t="n">
        <x:v>-0.03524681275092828</x:v>
      </x:c>
      <x:c r="G533" s="48" t="n">
        <x:v>-0.0584071309101874</x:v>
      </x:c>
      <x:c r="H533" s="48" t="n">
        <x:v>1.031606824040489</x:v>
      </x:c>
      <x:c r="I533" s="48" t="n">
        <x:v>0.7510763005310267</x:v>
      </x:c>
      <x:c r="J533" s="48" t="n">
        <x:v>0.5020256825034838</x:v>
      </x:c>
      <x:c r="K533" s="48" t="n">
        <x:v>0.8597525376738198</x:v>
      </x:c>
      <x:c r="L533" s="48" t="n">
        <x:v>0.813394309052297</x:v>
      </x:c>
      <x:c r="M533" s="48" t="n">
        <x:v>0.057884080930103776</x:v>
      </x:c>
      <x:c r="N533" s="48" t="n">
        <x:v>0.921329348929459</x:v>
      </x:c>
      <x:c r="O533" s="48" t="n">
        <x:v>0.7868456832454436</x:v>
      </x:c>
      <x:c r="P533" s="48" t="n">
        <x:v>0.51503492310545</x:v>
      </x:c>
      <x:c r="Q533" s="48" t="n">
        <x:v>1</x:v>
      </x:c>
      <x:c r="R533" s="48" t="n">
        <x:v>0.7367878747547294</x:v>
      </x:c>
      <x:c r="S533" s="29" t="n">
        <x:v>0</x:v>
      </x:c>
    </x:row>
    <x:row r="534" ht="21.600000381469727" hidden="0" customHeight="1">
      <x:c r="A534" s="27" t="n">
        <x:v>177</x:v>
      </x:c>
      <x:c r="B534" s="27" t="str">
        <x:v>A2</x:v>
      </x:c>
      <x:c r="C534" s="47" t="n">
        <x:v>1.2028946783808523</x:v>
      </x:c>
      <x:c r="D534" s="47" t="n">
        <x:v>0.8095701070288903</x:v>
      </x:c>
      <x:c r="E534" s="47" t="n">
        <x:v>0.5724171220306027</x:v>
      </x:c>
      <x:c r="F534" s="47" t="n">
        <x:v>-0.03524681275092828</x:v>
      </x:c>
      <x:c r="G534" s="47" t="n">
        <x:v>-0.0584071309101874</x:v>
      </x:c>
      <x:c r="H534" s="47" t="n">
        <x:v>1.031606824040489</x:v>
      </x:c>
      <x:c r="I534" s="47" t="n">
        <x:v>0.7510763005310267</x:v>
      </x:c>
      <x:c r="J534" s="47" t="n">
        <x:v>0.5020256825034838</x:v>
      </x:c>
      <x:c r="K534" s="47" t="n">
        <x:v>0.8597525376738198</x:v>
      </x:c>
      <x:c r="L534" s="47" t="n">
        <x:v>0.813394309052297</x:v>
      </x:c>
      <x:c r="M534" s="47" t="n">
        <x:v>0.057884080930103776</x:v>
      </x:c>
      <x:c r="N534" s="47" t="n">
        <x:v>0.921329348929459</x:v>
      </x:c>
      <x:c r="O534" s="47" t="n">
        <x:v>0.8540640180082023</x:v>
      </x:c>
      <x:c r="P534" s="47" t="n">
        <x:v>0.4782646740816386</x:v>
      </x:c>
      <x:c r="Q534" s="47" t="n">
        <x:v>1</x:v>
      </x:c>
      <x:c r="R534" s="47" t="n">
        <x:v>0.8197919678349865</x:v>
      </x:c>
      <x:c r="S534" s="27" t="n">
        <x:v>0</x:v>
      </x:c>
    </x:row>
    <x:row r="535" ht="21.600000381469727" hidden="0" customHeight="1">
      <x:c r="A535" s="29" t="n">
        <x:v>177</x:v>
      </x:c>
      <x:c r="B535" s="29" t="str">
        <x:v>A3</x:v>
      </x:c>
      <x:c r="C535" s="48" t="n">
        <x:v>1.2028946783808523</x:v>
      </x:c>
      <x:c r="D535" s="48" t="n">
        <x:v>0.8095701070288903</x:v>
      </x:c>
      <x:c r="E535" s="48" t="n">
        <x:v>0.5724171220306027</x:v>
      </x:c>
      <x:c r="F535" s="48" t="n">
        <x:v>-0.03524681275092828</x:v>
      </x:c>
      <x:c r="G535" s="48" t="n">
        <x:v>-0.0584071309101874</x:v>
      </x:c>
      <x:c r="H535" s="48" t="n">
        <x:v>1.031606824040489</x:v>
      </x:c>
      <x:c r="I535" s="48" t="n">
        <x:v>0.7510763005310267</x:v>
      </x:c>
      <x:c r="J535" s="48" t="n">
        <x:v>0.5020256825034838</x:v>
      </x:c>
      <x:c r="K535" s="48" t="n">
        <x:v>0.8597525376738198</x:v>
      </x:c>
      <x:c r="L535" s="48" t="n">
        <x:v>0.813394309052297</x:v>
      </x:c>
      <x:c r="M535" s="48" t="n">
        <x:v>0.057884080930103776</x:v>
      </x:c>
      <x:c r="N535" s="48" t="n">
        <x:v>0.921329348929459</x:v>
      </x:c>
      <x:c r="O535" s="48" t="n">
        <x:v>1</x:v>
      </x:c>
      <x:c r="P535" s="48" t="n">
        <x:v>1</x:v>
      </x:c>
      <x:c r="Q535" s="48" t="n">
        <x:v>1</x:v>
      </x:c>
      <x:c r="R535" s="48" t="n">
        <x:v>1</x:v>
      </x:c>
      <x:c r="S535" s="29" t="n">
        <x:v>1</x:v>
      </x:c>
    </x:row>
    <x:row r="536" ht="21.600000381469727" hidden="0" customHeight="1">
      <x:c r="A536" s="27" t="n">
        <x:v>178</x:v>
      </x:c>
      <x:c r="B536" s="27" t="str">
        <x:v>A1</x:v>
      </x:c>
      <x:c r="C536" s="47" t="n">
        <x:v>1.3476264525233672</x:v>
      </x:c>
      <x:c r="D536" s="47" t="n">
        <x:v>0.896209534676549</x:v>
      </x:c>
      <x:c r="E536" s="47" t="n">
        <x:v>1.0835942998650885</x:v>
      </x:c>
      <x:c r="F536" s="47" t="n">
        <x:v>-0.16774113151969167</x:v>
      </x:c>
      <x:c r="G536" s="47" t="n">
        <x:v>-0.11481606997844726</x:v>
      </x:c>
      <x:c r="H536" s="47" t="n">
        <x:v>0.9039578828633632</x:v>
      </x:c>
      <x:c r="I536" s="47" t="n">
        <x:v>0.8576600712408247</x:v>
      </x:c>
      <x:c r="J536" s="47" t="n">
        <x:v>0.7487905990569417</x:v>
      </x:c>
      <x:c r="K536" s="47" t="n">
        <x:v>0.7648909861263427</x:v>
      </x:c>
      <x:c r="L536" s="47" t="n">
        <x:v>0.6096552356798184</x:v>
      </x:c>
      <x:c r="M536" s="47" t="n">
        <x:v>0.15332890145756356</x:v>
      </x:c>
      <x:c r="N536" s="47" t="n">
        <x:v>0.9568751047014015</x:v>
      </x:c>
      <x:c r="O536" s="47" t="n">
        <x:v>0.798629668896419</x:v>
      </x:c>
      <x:c r="P536" s="47" t="n">
        <x:v>0.5521614723181922</x:v>
      </x:c>
      <x:c r="Q536" s="47" t="n">
        <x:v>1</x:v>
      </x:c>
      <x:c r="R536" s="47" t="n">
        <x:v>0.7513392474610329</x:v>
      </x:c>
      <x:c r="S536" s="27" t="n">
        <x:v>0</x:v>
      </x:c>
    </x:row>
    <x:row r="537" ht="21.600000381469727" hidden="0" customHeight="1">
      <x:c r="A537" s="29" t="n">
        <x:v>178</x:v>
      </x:c>
      <x:c r="B537" s="29" t="str">
        <x:v>A2</x:v>
      </x:c>
      <x:c r="C537" s="48" t="n">
        <x:v>1.3476264525233672</x:v>
      </x:c>
      <x:c r="D537" s="48" t="n">
        <x:v>0.896209534676549</x:v>
      </x:c>
      <x:c r="E537" s="48" t="n">
        <x:v>1.0835942998650885</x:v>
      </x:c>
      <x:c r="F537" s="48" t="n">
        <x:v>-0.16774113151969167</x:v>
      </x:c>
      <x:c r="G537" s="48" t="n">
        <x:v>-0.11481606997844726</x:v>
      </x:c>
      <x:c r="H537" s="48" t="n">
        <x:v>0.9039578828633632</x:v>
      </x:c>
      <x:c r="I537" s="48" t="n">
        <x:v>0.8576600712408247</x:v>
      </x:c>
      <x:c r="J537" s="48" t="n">
        <x:v>0.7487905990569417</x:v>
      </x:c>
      <x:c r="K537" s="48" t="n">
        <x:v>0.7648909861263427</x:v>
      </x:c>
      <x:c r="L537" s="48" t="n">
        <x:v>0.6096552356798184</x:v>
      </x:c>
      <x:c r="M537" s="48" t="n">
        <x:v>0.15332890145756356</x:v>
      </x:c>
      <x:c r="N537" s="48" t="n">
        <x:v>0.9568751047014015</x:v>
      </x:c>
      <x:c r="O537" s="48" t="n">
        <x:v>0.8955360342299472</x:v>
      </x:c>
      <x:c r="P537" s="48" t="n">
        <x:v>0.5916688419801923</x:v>
      </x:c>
      <x:c r="Q537" s="48" t="n">
        <x:v>1</x:v>
      </x:c>
      <x:c r="R537" s="48" t="n">
        <x:v>0.871003398568061</x:v>
      </x:c>
      <x:c r="S537" s="29" t="n">
        <x:v>0</x:v>
      </x:c>
    </x:row>
    <x:row r="538" ht="21.600000381469727" hidden="0" customHeight="1">
      <x:c r="A538" s="27" t="n">
        <x:v>178</x:v>
      </x:c>
      <x:c r="B538" s="27" t="str">
        <x:v>A3</x:v>
      </x:c>
      <x:c r="C538" s="47" t="n">
        <x:v>1.3476264525233672</x:v>
      </x:c>
      <x:c r="D538" s="47" t="n">
        <x:v>0.896209534676549</x:v>
      </x:c>
      <x:c r="E538" s="47" t="n">
        <x:v>1.0835942998650885</x:v>
      </x:c>
      <x:c r="F538" s="47" t="n">
        <x:v>-0.16774113151969167</x:v>
      </x:c>
      <x:c r="G538" s="47" t="n">
        <x:v>-0.11481606997844726</x:v>
      </x:c>
      <x:c r="H538" s="47" t="n">
        <x:v>0.9039578828633632</x:v>
      </x:c>
      <x:c r="I538" s="47" t="n">
        <x:v>0.8576600712408247</x:v>
      </x:c>
      <x:c r="J538" s="47" t="n">
        <x:v>0.7487905990569417</x:v>
      </x:c>
      <x:c r="K538" s="47" t="n">
        <x:v>0.7648909861263427</x:v>
      </x:c>
      <x:c r="L538" s="47" t="n">
        <x:v>0.6096552356798184</x:v>
      </x:c>
      <x:c r="M538" s="47" t="n">
        <x:v>0.15332890145756356</x:v>
      </x:c>
      <x:c r="N538" s="47" t="n">
        <x:v>0.9568751047014015</x:v>
      </x:c>
      <x:c r="O538" s="47" t="n">
        <x:v>1</x:v>
      </x:c>
      <x:c r="P538" s="47" t="n">
        <x:v>1</x:v>
      </x:c>
      <x:c r="Q538" s="47" t="n">
        <x:v>1</x:v>
      </x:c>
      <x:c r="R538" s="47" t="n">
        <x:v>1</x:v>
      </x:c>
      <x:c r="S538" s="27" t="n">
        <x:v>1</x:v>
      </x:c>
    </x:row>
    <x:row r="539" ht="21.600000381469727" hidden="0" customHeight="1">
      <x:c r="A539" s="29" t="n">
        <x:v>179</x:v>
      </x:c>
      <x:c r="B539" s="29" t="str">
        <x:v>A1</x:v>
      </x:c>
      <x:c r="C539" s="48" t="n">
        <x:v>0.9527214030063588</x:v>
      </x:c>
      <x:c r="D539" s="48" t="n">
        <x:v>0.88022006753834</x:v>
      </x:c>
      <x:c r="E539" s="48" t="n">
        <x:v>0.9806003668212726</x:v>
      </x:c>
      <x:c r="F539" s="48" t="n">
        <x:v>-0.1729049924808348</x:v>
      </x:c>
      <x:c r="G539" s="48" t="n">
        <x:v>0.024351002406103023</x:v>
      </x:c>
      <x:c r="H539" s="48" t="n">
        <x:v>0.6547671496998615</x:v>
      </x:c>
      <x:c r="I539" s="48" t="n">
        <x:v>0.6954504472676386</x:v>
      </x:c>
      <x:c r="J539" s="48" t="n">
        <x:v>0.4465618131523713</x:v>
      </x:c>
      <x:c r="K539" s="48" t="n">
        <x:v>0.751493610032667</x:v>
      </x:c>
      <x:c r="L539" s="48" t="n">
        <x:v>0.9742557149678408</x:v>
      </x:c>
      <x:c r="M539" s="48" t="n">
        <x:v>0.022412847327520496</x:v>
      </x:c>
      <x:c r="N539" s="48" t="n">
        <x:v>0.7013593619040193</x:v>
      </x:c>
      <x:c r="O539" s="48" t="n">
        <x:v>0.9246711662118778</x:v>
      </x:c>
      <x:c r="P539" s="48" t="n">
        <x:v>0.6700469428719555</x:v>
      </x:c>
      <x:c r="Q539" s="48" t="n">
        <x:v>0.9999999999999999</x:v>
      </x:c>
      <x:c r="R539" s="48" t="n">
        <x:v>0.9069807136186204</x:v>
      </x:c>
      <x:c r="S539" s="29" t="n">
        <x:v>0</x:v>
      </x:c>
    </x:row>
    <x:row r="540" ht="21.600000381469727" hidden="0" customHeight="1">
      <x:c r="A540" s="27" t="n">
        <x:v>179</x:v>
      </x:c>
      <x:c r="B540" s="27" t="str">
        <x:v>A2</x:v>
      </x:c>
      <x:c r="C540" s="47" t="n">
        <x:v>0.9527214030063588</x:v>
      </x:c>
      <x:c r="D540" s="47" t="n">
        <x:v>0.88022006753834</x:v>
      </x:c>
      <x:c r="E540" s="47" t="n">
        <x:v>0.9806003668212726</x:v>
      </x:c>
      <x:c r="F540" s="47" t="n">
        <x:v>-0.1729049924808348</x:v>
      </x:c>
      <x:c r="G540" s="47" t="n">
        <x:v>0.024351002406103023</x:v>
      </x:c>
      <x:c r="H540" s="47" t="n">
        <x:v>0.6547671496998615</x:v>
      </x:c>
      <x:c r="I540" s="47" t="n">
        <x:v>0.6954504472676386</x:v>
      </x:c>
      <x:c r="J540" s="47" t="n">
        <x:v>0.4465618131523713</x:v>
      </x:c>
      <x:c r="K540" s="47" t="n">
        <x:v>0.751493610032667</x:v>
      </x:c>
      <x:c r="L540" s="47" t="n">
        <x:v>0.9742557149678408</x:v>
      </x:c>
      <x:c r="M540" s="47" t="n">
        <x:v>0.022412847327520496</x:v>
      </x:c>
      <x:c r="N540" s="47" t="n">
        <x:v>0.7013593619040193</x:v>
      </x:c>
      <x:c r="O540" s="47" t="n">
        <x:v>0.9888906485741129</x:v>
      </x:c>
      <x:c r="P540" s="47" t="n">
        <x:v>0.9168854570414411</x:v>
      </x:c>
      <x:c r="Q540" s="47" t="n">
        <x:v>1</x:v>
      </x:c>
      <x:c r="R540" s="47" t="n">
        <x:v>0.986281694673482</x:v>
      </x:c>
      <x:c r="S540" s="27" t="n">
        <x:v>0</x:v>
      </x:c>
    </x:row>
    <x:row r="541" ht="21.600000381469727" hidden="0" customHeight="1">
      <x:c r="A541" s="29" t="n">
        <x:v>179</x:v>
      </x:c>
      <x:c r="B541" s="29" t="str">
        <x:v>A3</x:v>
      </x:c>
      <x:c r="C541" s="48" t="n">
        <x:v>0.9527214030063588</x:v>
      </x:c>
      <x:c r="D541" s="48" t="n">
        <x:v>0.88022006753834</x:v>
      </x:c>
      <x:c r="E541" s="48" t="n">
        <x:v>0.9806003668212726</x:v>
      </x:c>
      <x:c r="F541" s="48" t="n">
        <x:v>-0.1729049924808348</x:v>
      </x:c>
      <x:c r="G541" s="48" t="n">
        <x:v>0.024351002406103023</x:v>
      </x:c>
      <x:c r="H541" s="48" t="n">
        <x:v>0.6547671496998615</x:v>
      </x:c>
      <x:c r="I541" s="48" t="n">
        <x:v>0.6954504472676386</x:v>
      </x:c>
      <x:c r="J541" s="48" t="n">
        <x:v>0.4465618131523713</x:v>
      </x:c>
      <x:c r="K541" s="48" t="n">
        <x:v>0.751493610032667</x:v>
      </x:c>
      <x:c r="L541" s="48" t="n">
        <x:v>0.9742557149678408</x:v>
      </x:c>
      <x:c r="M541" s="48" t="n">
        <x:v>0.022412847327520496</x:v>
      </x:c>
      <x:c r="N541" s="48" t="n">
        <x:v>0.7013593619040193</x:v>
      </x:c>
      <x:c r="O541" s="48" t="n">
        <x:v>1</x:v>
      </x:c>
      <x:c r="P541" s="48" t="n">
        <x:v>1</x:v>
      </x:c>
      <x:c r="Q541" s="48" t="n">
        <x:v>1</x:v>
      </x:c>
      <x:c r="R541" s="48" t="n">
        <x:v>1</x:v>
      </x:c>
      <x:c r="S541" s="29" t="n">
        <x:v>1</x:v>
      </x:c>
    </x:row>
    <x:row r="542" ht="21.600000381469727" hidden="0" customHeight="1">
      <x:c r="A542" s="27" t="n">
        <x:v>180</x:v>
      </x:c>
      <x:c r="B542" s="27" t="str">
        <x:v>A1</x:v>
      </x:c>
      <x:c r="C542" s="47" t="n">
        <x:v>1.0119826492284512</x:v>
      </x:c>
      <x:c r="D542" s="47" t="n">
        <x:v>0.7825522570038173</x:v>
      </x:c>
      <x:c r="E542" s="47" t="n">
        <x:v>0.5591773938673024</x:v>
      </x:c>
      <x:c r="F542" s="47" t="n">
        <x:v>-0.05126529418422349</x:v>
      </x:c>
      <x:c r="G542" s="47" t="n">
        <x:v>-0.09965770877243263</x:v>
      </x:c>
      <x:c r="H542" s="47" t="n">
        <x:v>0.9912748134584304</x:v>
      </x:c>
      <x:c r="I542" s="47" t="n">
        <x:v>1.0077952709797535</x:v>
      </x:c>
      <x:c r="J542" s="47" t="n">
        <x:v>0.641150497075128</x:v>
      </x:c>
      <x:c r="K542" s="47" t="n">
        <x:v>0.7364399265791647</x:v>
      </x:c>
      <x:c r="L542" s="47" t="n">
        <x:v>0.8634881456248513</x:v>
      </x:c>
      <x:c r="M542" s="47" t="n">
        <x:v>0.08070972311637467</x:v>
      </x:c>
      <x:c r="N542" s="47" t="n">
        <x:v>0.8375516608452708</x:v>
      </x:c>
      <x:c r="O542" s="47" t="n">
        <x:v>0.8907919826666735</x:v>
      </x:c>
      <x:c r="P542" s="47" t="n">
        <x:v>0.6578007304329104</x:v>
      </x:c>
      <x:c r="Q542" s="47" t="n">
        <x:v>0.9999999999999999</x:v>
      </x:c>
      <x:c r="R542" s="47" t="n">
        <x:v>0.8651452394969489</x:v>
      </x:c>
      <x:c r="S542" s="27" t="n">
        <x:v>0</x:v>
      </x:c>
    </x:row>
    <x:row r="543" ht="21.600000381469727" hidden="0" customHeight="1">
      <x:c r="A543" s="29" t="n">
        <x:v>180</x:v>
      </x:c>
      <x:c r="B543" s="29" t="str">
        <x:v>A2</x:v>
      </x:c>
      <x:c r="C543" s="48" t="n">
        <x:v>1.0119826492284512</x:v>
      </x:c>
      <x:c r="D543" s="48" t="n">
        <x:v>0.7825522570038173</x:v>
      </x:c>
      <x:c r="E543" s="48" t="n">
        <x:v>0.5591773938673024</x:v>
      </x:c>
      <x:c r="F543" s="48" t="n">
        <x:v>-0.05126529418422349</x:v>
      </x:c>
      <x:c r="G543" s="48" t="n">
        <x:v>-0.09965770877243263</x:v>
      </x:c>
      <x:c r="H543" s="48" t="n">
        <x:v>0.9912748134584304</x:v>
      </x:c>
      <x:c r="I543" s="48" t="n">
        <x:v>1.0077952709797535</x:v>
      </x:c>
      <x:c r="J543" s="48" t="n">
        <x:v>0.641150497075128</x:v>
      </x:c>
      <x:c r="K543" s="48" t="n">
        <x:v>0.7364399265791647</x:v>
      </x:c>
      <x:c r="L543" s="48" t="n">
        <x:v>0.8634881456248513</x:v>
      </x:c>
      <x:c r="M543" s="48" t="n">
        <x:v>0.08070972311637467</x:v>
      </x:c>
      <x:c r="N543" s="48" t="n">
        <x:v>0.8375516608452708</x:v>
      </x:c>
      <x:c r="O543" s="48" t="n">
        <x:v>0.9728222711884138</x:v>
      </x:c>
      <x:c r="P543" s="48" t="n">
        <x:v>0.7539494196683281</x:v>
      </x:c>
      <x:c r="Q543" s="48" t="n">
        <x:v>1</x:v>
      </x:c>
      <x:c r="R543" s="48" t="n">
        <x:v>0.9664397706377471</x:v>
      </x:c>
      <x:c r="S543" s="29" t="n">
        <x:v>0</x:v>
      </x:c>
    </x:row>
    <x:row r="544" ht="21.600000381469727" hidden="0" customHeight="1">
      <x:c r="A544" s="27" t="n">
        <x:v>180</x:v>
      </x:c>
      <x:c r="B544" s="27" t="str">
        <x:v>A3</x:v>
      </x:c>
      <x:c r="C544" s="47" t="n">
        <x:v>1.0119826492284512</x:v>
      </x:c>
      <x:c r="D544" s="47" t="n">
        <x:v>0.7825522570038173</x:v>
      </x:c>
      <x:c r="E544" s="47" t="n">
        <x:v>0.5591773938673024</x:v>
      </x:c>
      <x:c r="F544" s="47" t="n">
        <x:v>-0.05126529418422349</x:v>
      </x:c>
      <x:c r="G544" s="47" t="n">
        <x:v>-0.09965770877243263</x:v>
      </x:c>
      <x:c r="H544" s="47" t="n">
        <x:v>0.9912748134584304</x:v>
      </x:c>
      <x:c r="I544" s="47" t="n">
        <x:v>1.0077952709797535</x:v>
      </x:c>
      <x:c r="J544" s="47" t="n">
        <x:v>0.641150497075128</x:v>
      </x:c>
      <x:c r="K544" s="47" t="n">
        <x:v>0.7364399265791647</x:v>
      </x:c>
      <x:c r="L544" s="47" t="n">
        <x:v>0.8634881456248513</x:v>
      </x:c>
      <x:c r="M544" s="47" t="n">
        <x:v>0.08070972311637467</x:v>
      </x:c>
      <x:c r="N544" s="47" t="n">
        <x:v>0.8375516608452708</x:v>
      </x:c>
      <x:c r="O544" s="47" t="n">
        <x:v>1</x:v>
      </x:c>
      <x:c r="P544" s="47" t="n">
        <x:v>1</x:v>
      </x:c>
      <x:c r="Q544" s="47" t="n">
        <x:v>1</x:v>
      </x:c>
      <x:c r="R544" s="47" t="n">
        <x:v>1</x:v>
      </x:c>
      <x:c r="S544" s="27" t="n">
        <x:v>1</x:v>
      </x:c>
    </x:row>
    <x:row r="545" ht="15" hidden="0" customHeight="1">
      <x:c r="A545" s="29" t="n">
        <x:v>181</x:v>
      </x:c>
      <x:c r="B545" s="29" t="str">
        <x:v>A1</x:v>
      </x:c>
      <x:c r="C545" s="48" t="n">
        <x:v>1.339926457526233</x:v>
      </x:c>
      <x:c r="D545" s="48" t="n">
        <x:v>0.7837097935219403</x:v>
      </x:c>
      <x:c r="E545" s="48" t="n">
        <x:v>0.5217631031519996</x:v>
      </x:c>
      <x:c r="F545" s="48" t="n">
        <x:v>-0.126482819949653</x:v>
      </x:c>
      <x:c r="G545" s="48" t="n">
        <x:v>0.00361093668089002</x:v>
      </x:c>
      <x:c r="H545" s="48" t="n">
        <x:v>0.6455974457273417</x:v>
      </x:c>
      <x:c r="I545" s="48" t="n">
        <x:v>0.7381764740748948</x:v>
      </x:c>
      <x:c r="J545" s="48" t="n">
        <x:v>0.7762909164019123</x:v>
      </x:c>
      <x:c r="K545" s="48" t="n">
        <x:v>0.7882569325334976</x:v>
      </x:c>
      <x:c r="L545" s="48" t="n">
        <x:v>0.8421143556081601</x:v>
      </x:c>
      <x:c r="M545" s="48" t="n">
        <x:v>0.09562163958543808</x:v>
      </x:c>
      <x:c r="N545" s="48" t="n">
        <x:v>0.6943707604040761</x:v>
      </x:c>
      <x:c r="O545" s="48" t="n">
        <x:v>0.7120503626258666</x:v>
      </x:c>
      <x:c r="P545" s="48" t="n">
        <x:v>0.3756701959071126</x:v>
      </x:c>
      <x:c r="Q545" s="48" t="n">
        <x:v>0.9413553880159574</x:v>
      </x:c>
      <x:c r="R545" s="48" t="n">
        <x:v>0.6448629383411689</x:v>
      </x:c>
      <x:c r="S545" s="29" t="n">
        <x:v>0</x:v>
      </x:c>
    </x:row>
    <x:row r="546" ht="15" hidden="0" customHeight="1">
      <x:c r="A546" s="27" t="n">
        <x:v>181</x:v>
      </x:c>
      <x:c r="B546" s="27" t="str">
        <x:v>A2</x:v>
      </x:c>
      <x:c r="C546" s="47" t="n">
        <x:v>1.339926457526233</x:v>
      </x:c>
      <x:c r="D546" s="47" t="n">
        <x:v>0.7837097935219403</x:v>
      </x:c>
      <x:c r="E546" s="47" t="n">
        <x:v>0.5217631031519996</x:v>
      </x:c>
      <x:c r="F546" s="47" t="n">
        <x:v>-0.126482819949653</x:v>
      </x:c>
      <x:c r="G546" s="47" t="n">
        <x:v>0.00361093668089002</x:v>
      </x:c>
      <x:c r="H546" s="47" t="n">
        <x:v>0.6455974457273417</x:v>
      </x:c>
      <x:c r="I546" s="47" t="n">
        <x:v>0.7381764740748948</x:v>
      </x:c>
      <x:c r="J546" s="47" t="n">
        <x:v>0.7762909164019123</x:v>
      </x:c>
      <x:c r="K546" s="47" t="n">
        <x:v>0.7882569325334976</x:v>
      </x:c>
      <x:c r="L546" s="47" t="n">
        <x:v>0.8421143556081601</x:v>
      </x:c>
      <x:c r="M546" s="47" t="n">
        <x:v>0.09562163958543808</x:v>
      </x:c>
      <x:c r="N546" s="47" t="n">
        <x:v>0.6943707604040761</x:v>
      </x:c>
      <x:c r="O546" s="47" t="n">
        <x:v>0.7858219257476853</x:v>
      </x:c>
      <x:c r="P546" s="47" t="n">
        <x:v>0.47493918266385193</x:v>
      </x:c>
      <x:c r="Q546" s="47" t="n">
        <x:v>1</x:v>
      </x:c>
      <x:c r="R546" s="47" t="n">
        <x:v>0.7355236949303489</x:v>
      </x:c>
      <x:c r="S546" s="27" t="n">
        <x:v>0</x:v>
      </x:c>
    </x:row>
    <x:row r="547" ht="15" hidden="0" customHeight="1">
      <x:c r="A547" s="29" t="n">
        <x:v>181</x:v>
      </x:c>
      <x:c r="B547" s="29" t="str">
        <x:v>A3</x:v>
      </x:c>
      <x:c r="C547" s="48" t="n">
        <x:v>1.339926457526233</x:v>
      </x:c>
      <x:c r="D547" s="48" t="n">
        <x:v>0.7837097935219403</x:v>
      </x:c>
      <x:c r="E547" s="48" t="n">
        <x:v>0.5217631031519996</x:v>
      </x:c>
      <x:c r="F547" s="48" t="n">
        <x:v>-0.126482819949653</x:v>
      </x:c>
      <x:c r="G547" s="48" t="n">
        <x:v>0.00361093668089002</x:v>
      </x:c>
      <x:c r="H547" s="48" t="n">
        <x:v>0.6455974457273417</x:v>
      </x:c>
      <x:c r="I547" s="48" t="n">
        <x:v>0.7381764740748948</x:v>
      </x:c>
      <x:c r="J547" s="48" t="n">
        <x:v>0.7762909164019123</x:v>
      </x:c>
      <x:c r="K547" s="48" t="n">
        <x:v>0.7882569325334976</x:v>
      </x:c>
      <x:c r="L547" s="48" t="n">
        <x:v>0.8421143556081601</x:v>
      </x:c>
      <x:c r="M547" s="48" t="n">
        <x:v>0.09562163958543808</x:v>
      </x:c>
      <x:c r="N547" s="48" t="n">
        <x:v>0.6943707604040761</x:v>
      </x:c>
      <x:c r="O547" s="48" t="n">
        <x:v>1</x:v>
      </x:c>
      <x:c r="P547" s="48" t="n">
        <x:v>1</x:v>
      </x:c>
      <x:c r="Q547" s="48" t="n">
        <x:v>1</x:v>
      </x:c>
      <x:c r="R547" s="48" t="n">
        <x:v>1</x:v>
      </x:c>
      <x:c r="S547" s="29" t="n">
        <x:v>1</x:v>
      </x:c>
    </x:row>
    <x:row r="548" ht="21.600000381469727" hidden="0" customHeight="1">
      <x:c r="A548" s="27" t="n">
        <x:v>182</x:v>
      </x:c>
      <x:c r="B548" s="27" t="str">
        <x:v>A1</x:v>
      </x:c>
      <x:c r="C548" s="47" t="n">
        <x:v>0.9295938833079036</x:v>
      </x:c>
      <x:c r="D548" s="47" t="n">
        <x:v>0.9575199084261173</x:v>
      </x:c>
      <x:c r="E548" s="47" t="n">
        <x:v>0.5774015829013018</x:v>
      </x:c>
      <x:c r="F548" s="47" t="n">
        <x:v>-0.13440516870490568</x:v>
      </x:c>
      <x:c r="G548" s="47" t="n">
        <x:v>0.003255559845941308</x:v>
      </x:c>
      <x:c r="H548" s="47" t="n">
        <x:v>0.5966202477706072</x:v>
      </x:c>
      <x:c r="I548" s="47" t="n">
        <x:v>0.9714369045717297</x:v>
      </x:c>
      <x:c r="J548" s="47" t="n">
        <x:v>0.5093659379005102</x:v>
      </x:c>
      <x:c r="K548" s="47" t="n">
        <x:v>0.7797888055351064</x:v>
      </x:c>
      <x:c r="L548" s="47" t="n">
        <x:v>0.633400260281231</x:v>
      </x:c>
      <x:c r="M548" s="47" t="n">
        <x:v>0.006094844787999781</x:v>
      </x:c>
      <x:c r="N548" s="47" t="n">
        <x:v>0.984533369073467</x:v>
      </x:c>
      <x:c r="O548" s="47" t="n">
        <x:v>0.9298996517545104</x:v>
      </x:c>
      <x:c r="P548" s="47" t="n">
        <x:v>0.7389015229662501</x:v>
      </x:c>
      <x:c r="Q548" s="47" t="n">
        <x:v>1</x:v>
      </x:c>
      <x:c r="R548" s="47" t="n">
        <x:v>0.9134370726191992</x:v>
      </x:c>
      <x:c r="S548" s="27" t="n">
        <x:v>0</x:v>
      </x:c>
    </x:row>
    <x:row r="549" ht="21.600000381469727" hidden="0" customHeight="1">
      <x:c r="A549" s="29" t="n">
        <x:v>182</x:v>
      </x:c>
      <x:c r="B549" s="29" t="str">
        <x:v>A2</x:v>
      </x:c>
      <x:c r="C549" s="48" t="n">
        <x:v>0.9295938833079036</x:v>
      </x:c>
      <x:c r="D549" s="48" t="n">
        <x:v>0.9575199084261173</x:v>
      </x:c>
      <x:c r="E549" s="48" t="n">
        <x:v>0.5774015829013018</x:v>
      </x:c>
      <x:c r="F549" s="48" t="n">
        <x:v>-0.13440516870490568</x:v>
      </x:c>
      <x:c r="G549" s="48" t="n">
        <x:v>0.003255559845941308</x:v>
      </x:c>
      <x:c r="H549" s="48" t="n">
        <x:v>0.5966202477706072</x:v>
      </x:c>
      <x:c r="I549" s="48" t="n">
        <x:v>0.9714369045717297</x:v>
      </x:c>
      <x:c r="J549" s="48" t="n">
        <x:v>0.5093659379005102</x:v>
      </x:c>
      <x:c r="K549" s="48" t="n">
        <x:v>0.7797888055351064</x:v>
      </x:c>
      <x:c r="L549" s="48" t="n">
        <x:v>0.633400260281231</x:v>
      </x:c>
      <x:c r="M549" s="48" t="n">
        <x:v>0.006094844787999781</x:v>
      </x:c>
      <x:c r="N549" s="48" t="n">
        <x:v>0.984533369073467</x:v>
      </x:c>
      <x:c r="O549" s="48" t="n">
        <x:v>0.9918599887859095</x:v>
      </x:c>
      <x:c r="P549" s="48" t="n">
        <x:v>0.9254823436579983</x:v>
      </x:c>
      <x:c r="Q549" s="48" t="n">
        <x:v>1</x:v>
      </x:c>
      <x:c r="R549" s="48" t="n">
        <x:v>0.9899483637779282</x:v>
      </x:c>
      <x:c r="S549" s="29" t="n">
        <x:v>0</x:v>
      </x:c>
    </x:row>
    <x:row r="550" ht="21.600000381469727" hidden="0" customHeight="1">
      <x:c r="A550" s="27" t="n">
        <x:v>182</x:v>
      </x:c>
      <x:c r="B550" s="27" t="str">
        <x:v>A3</x:v>
      </x:c>
      <x:c r="C550" s="47" t="n">
        <x:v>0.9295938833079036</x:v>
      </x:c>
      <x:c r="D550" s="47" t="n">
        <x:v>0.9575199084261173</x:v>
      </x:c>
      <x:c r="E550" s="47" t="n">
        <x:v>0.5774015829013018</x:v>
      </x:c>
      <x:c r="F550" s="47" t="n">
        <x:v>-0.13440516870490568</x:v>
      </x:c>
      <x:c r="G550" s="47" t="n">
        <x:v>0.003255559845941308</x:v>
      </x:c>
      <x:c r="H550" s="47" t="n">
        <x:v>0.5966202477706072</x:v>
      </x:c>
      <x:c r="I550" s="47" t="n">
        <x:v>0.9714369045717297</x:v>
      </x:c>
      <x:c r="J550" s="47" t="n">
        <x:v>0.5093659379005102</x:v>
      </x:c>
      <x:c r="K550" s="47" t="n">
        <x:v>0.7797888055351064</x:v>
      </x:c>
      <x:c r="L550" s="47" t="n">
        <x:v>0.633400260281231</x:v>
      </x:c>
      <x:c r="M550" s="47" t="n">
        <x:v>0.006094844787999781</x:v>
      </x:c>
      <x:c r="N550" s="47" t="n">
        <x:v>0.984533369073467</x:v>
      </x:c>
      <x:c r="O550" s="47" t="n">
        <x:v>1</x:v>
      </x:c>
      <x:c r="P550" s="47" t="n">
        <x:v>1</x:v>
      </x:c>
      <x:c r="Q550" s="47" t="n">
        <x:v>1</x:v>
      </x:c>
      <x:c r="R550" s="47" t="n">
        <x:v>1</x:v>
      </x:c>
      <x:c r="S550" s="27" t="n">
        <x:v>1</x:v>
      </x:c>
    </x:row>
    <x:row r="551" ht="21.600000381469727" hidden="0" customHeight="1">
      <x:c r="A551" s="29" t="n">
        <x:v>183</x:v>
      </x:c>
      <x:c r="B551" s="29" t="str">
        <x:v>A1</x:v>
      </x:c>
      <x:c r="C551" s="48" t="n">
        <x:v>1.3013378093586532</x:v>
      </x:c>
      <x:c r="D551" s="48" t="n">
        <x:v>0.8065948020573533</x:v>
      </x:c>
      <x:c r="E551" s="48" t="n">
        <x:v>0.6678481118999359</x:v>
      </x:c>
      <x:c r="F551" s="48" t="n">
        <x:v>-0.07828453155370359</x:v>
      </x:c>
      <x:c r="G551" s="48" t="n">
        <x:v>-0.055431896918061</x:v>
      </x:c>
      <x:c r="H551" s="48" t="n">
        <x:v>0.49922347046951576</x:v>
      </x:c>
      <x:c r="I551" s="48" t="n">
        <x:v>0.8356810781310062</x:v>
      </x:c>
      <x:c r="J551" s="48" t="n">
        <x:v>0.7173321466521501</x:v>
      </x:c>
      <x:c r="K551" s="48" t="n">
        <x:v>0.6583064829673557</x:v>
      </x:c>
      <x:c r="L551" s="48" t="n">
        <x:v>0.615532176641851</x:v>
      </x:c>
      <x:c r="M551" s="48" t="n">
        <x:v>0.05128166225403457</x:v>
      </x:c>
      <x:c r="N551" s="48" t="n">
        <x:v>0.8679303868249386</x:v>
      </x:c>
      <x:c r="O551" s="48" t="n">
        <x:v>0.6978991245232748</x:v>
      </x:c>
      <x:c r="P551" s="48" t="n">
        <x:v>0.379013605176624</x:v>
      </x:c>
      <x:c r="Q551" s="48" t="n">
        <x:v>0.8820823087075433</x:v>
      </x:c>
      <x:c r="R551" s="48" t="n">
        <x:v>0.6282220543464844</x:v>
      </x:c>
      <x:c r="S551" s="29" t="n">
        <x:v>0</x:v>
      </x:c>
    </x:row>
    <x:row r="552" ht="21.600000381469727" hidden="0" customHeight="1">
      <x:c r="A552" s="27" t="n">
        <x:v>183</x:v>
      </x:c>
      <x:c r="B552" s="27" t="str">
        <x:v>A2</x:v>
      </x:c>
      <x:c r="C552" s="47" t="n">
        <x:v>1.3013378093586532</x:v>
      </x:c>
      <x:c r="D552" s="47" t="n">
        <x:v>0.8065948020573533</x:v>
      </x:c>
      <x:c r="E552" s="47" t="n">
        <x:v>0.6678481118999359</x:v>
      </x:c>
      <x:c r="F552" s="47" t="n">
        <x:v>-0.07828453155370359</x:v>
      </x:c>
      <x:c r="G552" s="47" t="n">
        <x:v>-0.055431896918061</x:v>
      </x:c>
      <x:c r="H552" s="47" t="n">
        <x:v>0.49922347046951576</x:v>
      </x:c>
      <x:c r="I552" s="47" t="n">
        <x:v>0.8356810781310062</x:v>
      </x:c>
      <x:c r="J552" s="47" t="n">
        <x:v>0.7173321466521501</x:v>
      </x:c>
      <x:c r="K552" s="47" t="n">
        <x:v>0.6583064829673557</x:v>
      </x:c>
      <x:c r="L552" s="47" t="n">
        <x:v>0.615532176641851</x:v>
      </x:c>
      <x:c r="M552" s="47" t="n">
        <x:v>0.05128166225403457</x:v>
      </x:c>
      <x:c r="N552" s="47" t="n">
        <x:v>0.8679303868249386</x:v>
      </x:c>
      <x:c r="O552" s="47" t="n">
        <x:v>0.7583342834505369</x:v>
      </x:c>
      <x:c r="P552" s="47" t="n">
        <x:v>0.4113927923729074</x:v>
      </x:c>
      <x:c r="Q552" s="47" t="n">
        <x:v>1</x:v>
      </x:c>
      <x:c r="R552" s="47" t="n">
        <x:v>0.7015807710563494</x:v>
      </x:c>
      <x:c r="S552" s="27" t="n">
        <x:v>0</x:v>
      </x:c>
    </x:row>
    <x:row r="553" ht="21.600000381469727" hidden="0" customHeight="1">
      <x:c r="A553" s="29" t="n">
        <x:v>183</x:v>
      </x:c>
      <x:c r="B553" s="29" t="str">
        <x:v>A3</x:v>
      </x:c>
      <x:c r="C553" s="48" t="n">
        <x:v>1.3013378093586532</x:v>
      </x:c>
      <x:c r="D553" s="48" t="n">
        <x:v>0.8065948020573533</x:v>
      </x:c>
      <x:c r="E553" s="48" t="n">
        <x:v>0.6678481118999359</x:v>
      </x:c>
      <x:c r="F553" s="48" t="n">
        <x:v>-0.07828453155370359</x:v>
      </x:c>
      <x:c r="G553" s="48" t="n">
        <x:v>-0.055431896918061</x:v>
      </x:c>
      <x:c r="H553" s="48" t="n">
        <x:v>0.49922347046951576</x:v>
      </x:c>
      <x:c r="I553" s="48" t="n">
        <x:v>0.8356810781310062</x:v>
      </x:c>
      <x:c r="J553" s="48" t="n">
        <x:v>0.7173321466521501</x:v>
      </x:c>
      <x:c r="K553" s="48" t="n">
        <x:v>0.6583064829673557</x:v>
      </x:c>
      <x:c r="L553" s="48" t="n">
        <x:v>0.615532176641851</x:v>
      </x:c>
      <x:c r="M553" s="48" t="n">
        <x:v>0.05128166225403457</x:v>
      </x:c>
      <x:c r="N553" s="48" t="n">
        <x:v>0.8679303868249386</x:v>
      </x:c>
      <x:c r="O553" s="48" t="n">
        <x:v>1.0000000000000002</x:v>
      </x:c>
      <x:c r="P553" s="48" t="n">
        <x:v>1</x:v>
      </x:c>
      <x:c r="Q553" s="48" t="n">
        <x:v>1</x:v>
      </x:c>
      <x:c r="R553" s="48" t="n">
        <x:v>1</x:v>
      </x:c>
      <x:c r="S553" s="29" t="n">
        <x:v>1</x:v>
      </x:c>
    </x:row>
    <x:row r="554" ht="21.600000381469727" hidden="0" customHeight="1">
      <x:c r="A554" s="27" t="n">
        <x:v>184</x:v>
      </x:c>
      <x:c r="B554" s="27" t="str">
        <x:v>A1</x:v>
      </x:c>
      <x:c r="C554" s="47" t="n">
        <x:v>1.009022756690271</x:v>
      </x:c>
      <x:c r="D554" s="47" t="n">
        <x:v>0.7424783681124465</x:v>
      </x:c>
      <x:c r="E554" s="47" t="n">
        <x:v>0.6837376350179928</x:v>
      </x:c>
      <x:c r="F554" s="47" t="n">
        <x:v>-0.17728645192209408</x:v>
      </x:c>
      <x:c r="G554" s="47" t="n">
        <x:v>-0.01761490538030258</x:v>
      </x:c>
      <x:c r="H554" s="47" t="n">
        <x:v>0.8950999507758595</x:v>
      </x:c>
      <x:c r="I554" s="47" t="n">
        <x:v>0.8453339729020758</x:v>
      </x:c>
      <x:c r="J554" s="47" t="n">
        <x:v>0.4224163146475772</x:v>
      </x:c>
      <x:c r="K554" s="47" t="n">
        <x:v>0.7408239691308535</x:v>
      </x:c>
      <x:c r="L554" s="47" t="n">
        <x:v>0.9480298313831939</x:v>
      </x:c>
      <x:c r="M554" s="47" t="n">
        <x:v>0.006493872743914101</x:v>
      </x:c>
      <x:c r="N554" s="47" t="n">
        <x:v>0.905373636352693</x:v>
      </x:c>
      <x:c r="O554" s="47" t="n">
        <x:v>0.8209015747670155</x:v>
      </x:c>
      <x:c r="P554" s="47" t="n">
        <x:v>0.5706296556220469</x:v>
      </x:c>
      <x:c r="Q554" s="47" t="n">
        <x:v>1</x:v>
      </x:c>
      <x:c r="R554" s="47" t="n">
        <x:v>0.7788415554917567</x:v>
      </x:c>
      <x:c r="S554" s="27" t="n">
        <x:v>0</x:v>
      </x:c>
    </x:row>
    <x:row r="555" ht="21.600000381469727" hidden="0" customHeight="1">
      <x:c r="A555" s="29" t="n">
        <x:v>184</x:v>
      </x:c>
      <x:c r="B555" s="29" t="str">
        <x:v>A2</x:v>
      </x:c>
      <x:c r="C555" s="48" t="n">
        <x:v>1.009022756690271</x:v>
      </x:c>
      <x:c r="D555" s="48" t="n">
        <x:v>0.7424783681124465</x:v>
      </x:c>
      <x:c r="E555" s="48" t="n">
        <x:v>0.6837376350179928</x:v>
      </x:c>
      <x:c r="F555" s="48" t="n">
        <x:v>-0.17728645192209408</x:v>
      </x:c>
      <x:c r="G555" s="48" t="n">
        <x:v>-0.01761490538030258</x:v>
      </x:c>
      <x:c r="H555" s="48" t="n">
        <x:v>0.8950999507758595</x:v>
      </x:c>
      <x:c r="I555" s="48" t="n">
        <x:v>0.8453339729020758</x:v>
      </x:c>
      <x:c r="J555" s="48" t="n">
        <x:v>0.4224163146475772</x:v>
      </x:c>
      <x:c r="K555" s="48" t="n">
        <x:v>0.7408239691308535</x:v>
      </x:c>
      <x:c r="L555" s="48" t="n">
        <x:v>0.9480298313831939</x:v>
      </x:c>
      <x:c r="M555" s="48" t="n">
        <x:v>0.006493872743914101</x:v>
      </x:c>
      <x:c r="N555" s="48" t="n">
        <x:v>0.905373636352693</x:v>
      </x:c>
      <x:c r="O555" s="48" t="n">
        <x:v>0.9082620853066476</x:v>
      </x:c>
      <x:c r="P555" s="48" t="n">
        <x:v>0.7056365329970404</x:v>
      </x:c>
      <x:c r="Q555" s="48" t="n">
        <x:v>1</x:v>
      </x:c>
      <x:c r="R555" s="48" t="n">
        <x:v>0.8867180742118823</x:v>
      </x:c>
      <x:c r="S555" s="29" t="n">
        <x:v>0</x:v>
      </x:c>
    </x:row>
    <x:row r="556" ht="21.600000381469727" hidden="0" customHeight="1">
      <x:c r="A556" s="27" t="n">
        <x:v>184</x:v>
      </x:c>
      <x:c r="B556" s="27" t="str">
        <x:v>A3</x:v>
      </x:c>
      <x:c r="C556" s="47" t="n">
        <x:v>1.009022756690271</x:v>
      </x:c>
      <x:c r="D556" s="47" t="n">
        <x:v>0.7424783681124465</x:v>
      </x:c>
      <x:c r="E556" s="47" t="n">
        <x:v>0.6837376350179928</x:v>
      </x:c>
      <x:c r="F556" s="47" t="n">
        <x:v>-0.17728645192209408</x:v>
      </x:c>
      <x:c r="G556" s="47" t="n">
        <x:v>-0.01761490538030258</x:v>
      </x:c>
      <x:c r="H556" s="47" t="n">
        <x:v>0.8950999507758595</x:v>
      </x:c>
      <x:c r="I556" s="47" t="n">
        <x:v>0.8453339729020758</x:v>
      </x:c>
      <x:c r="J556" s="47" t="n">
        <x:v>0.4224163146475772</x:v>
      </x:c>
      <x:c r="K556" s="47" t="n">
        <x:v>0.7408239691308535</x:v>
      </x:c>
      <x:c r="L556" s="47" t="n">
        <x:v>0.9480298313831939</x:v>
      </x:c>
      <x:c r="M556" s="47" t="n">
        <x:v>0.006493872743914101</x:v>
      </x:c>
      <x:c r="N556" s="47" t="n">
        <x:v>0.905373636352693</x:v>
      </x:c>
      <x:c r="O556" s="47" t="n">
        <x:v>1</x:v>
      </x:c>
      <x:c r="P556" s="47" t="n">
        <x:v>1</x:v>
      </x:c>
      <x:c r="Q556" s="47" t="n">
        <x:v>1</x:v>
      </x:c>
      <x:c r="R556" s="47" t="n">
        <x:v>1</x:v>
      </x:c>
      <x:c r="S556" s="27" t="n">
        <x:v>1</x:v>
      </x:c>
    </x:row>
    <x:row r="557" ht="21.600000381469727" hidden="0" customHeight="1">
      <x:c r="A557" s="29" t="n">
        <x:v>185</x:v>
      </x:c>
      <x:c r="B557" s="29" t="str">
        <x:v>A1</x:v>
      </x:c>
      <x:c r="C557" s="48" t="n">
        <x:v>1.2450620248042212</x:v>
      </x:c>
      <x:c r="D557" s="48" t="n">
        <x:v>0.7594992418366406</x:v>
      </x:c>
      <x:c r="E557" s="48" t="n">
        <x:v>0.9748771462473844</x:v>
      </x:c>
      <x:c r="F557" s="48" t="n">
        <x:v>-0.09611937546722592</x:v>
      </x:c>
      <x:c r="G557" s="48" t="n">
        <x:v>-0.146987853083759</x:v>
      </x:c>
      <x:c r="H557" s="48" t="n">
        <x:v>0.5583377535982135</x:v>
      </x:c>
      <x:c r="I557" s="48" t="n">
        <x:v>0.7144510742441557</x:v>
      </x:c>
      <x:c r="J557" s="48" t="n">
        <x:v>0.8387120221916351</x:v>
      </x:c>
      <x:c r="K557" s="48" t="n">
        <x:v>0.9380737240383639</x:v>
      </x:c>
      <x:c r="L557" s="48" t="n">
        <x:v>0.9840842224153246</x:v>
      </x:c>
      <x:c r="M557" s="48" t="n">
        <x:v>0.13268424589233666</x:v>
      </x:c>
      <x:c r="N557" s="48" t="n">
        <x:v>0.9934784365133225</x:v>
      </x:c>
      <x:c r="O557" s="48" t="n">
        <x:v>0.8301474729018309</x:v>
      </x:c>
      <x:c r="P557" s="48" t="n">
        <x:v>0.41624810609647783</x:v>
      </x:c>
      <x:c r="Q557" s="48" t="n">
        <x:v>1</x:v>
      </x:c>
      <x:c r="R557" s="48" t="n">
        <x:v>0.7902587884848298</x:v>
      </x:c>
      <x:c r="S557" s="29" t="n">
        <x:v>0</x:v>
      </x:c>
    </x:row>
    <x:row r="558" ht="21.600000381469727" hidden="0" customHeight="1">
      <x:c r="A558" s="27" t="n">
        <x:v>185</x:v>
      </x:c>
      <x:c r="B558" s="27" t="str">
        <x:v>A2</x:v>
      </x:c>
      <x:c r="C558" s="47" t="n">
        <x:v>1.2450620248042212</x:v>
      </x:c>
      <x:c r="D558" s="47" t="n">
        <x:v>0.7594992418366406</x:v>
      </x:c>
      <x:c r="E558" s="47" t="n">
        <x:v>0.9748771462473844</x:v>
      </x:c>
      <x:c r="F558" s="47" t="n">
        <x:v>-0.09611937546722592</x:v>
      </x:c>
      <x:c r="G558" s="47" t="n">
        <x:v>-0.146987853083759</x:v>
      </x:c>
      <x:c r="H558" s="47" t="n">
        <x:v>0.5583377535982135</x:v>
      </x:c>
      <x:c r="I558" s="47" t="n">
        <x:v>0.7144510742441557</x:v>
      </x:c>
      <x:c r="J558" s="47" t="n">
        <x:v>0.8387120221916351</x:v>
      </x:c>
      <x:c r="K558" s="47" t="n">
        <x:v>0.9380737240383639</x:v>
      </x:c>
      <x:c r="L558" s="47" t="n">
        <x:v>0.9840842224153246</x:v>
      </x:c>
      <x:c r="M558" s="47" t="n">
        <x:v>0.13268424589233666</x:v>
      </x:c>
      <x:c r="N558" s="47" t="n">
        <x:v>0.9934784365133225</x:v>
      </x:c>
      <x:c r="O558" s="47" t="n">
        <x:v>0.8904817424097479</x:v>
      </x:c>
      <x:c r="P558" s="47" t="n">
        <x:v>0.4534782827632611</x:v>
      </x:c>
      <x:c r="Q558" s="47" t="n">
        <x:v>1</x:v>
      </x:c>
      <x:c r="R558" s="47" t="n">
        <x:v>0.8647621414738575</x:v>
      </x:c>
      <x:c r="S558" s="27" t="n">
        <x:v>0</x:v>
      </x:c>
    </x:row>
    <x:row r="559" ht="21.600000381469727" hidden="0" customHeight="1">
      <x:c r="A559" s="29" t="n">
        <x:v>185</x:v>
      </x:c>
      <x:c r="B559" s="29" t="str">
        <x:v>A3</x:v>
      </x:c>
      <x:c r="C559" s="48" t="n">
        <x:v>1.2450620248042212</x:v>
      </x:c>
      <x:c r="D559" s="48" t="n">
        <x:v>0.7594992418366406</x:v>
      </x:c>
      <x:c r="E559" s="48" t="n">
        <x:v>0.9748771462473844</x:v>
      </x:c>
      <x:c r="F559" s="48" t="n">
        <x:v>-0.09611937546722592</x:v>
      </x:c>
      <x:c r="G559" s="48" t="n">
        <x:v>-0.146987853083759</x:v>
      </x:c>
      <x:c r="H559" s="48" t="n">
        <x:v>0.5583377535982135</x:v>
      </x:c>
      <x:c r="I559" s="48" t="n">
        <x:v>0.7144510742441557</x:v>
      </x:c>
      <x:c r="J559" s="48" t="n">
        <x:v>0.8387120221916351</x:v>
      </x:c>
      <x:c r="K559" s="48" t="n">
        <x:v>0.9380737240383639</x:v>
      </x:c>
      <x:c r="L559" s="48" t="n">
        <x:v>0.9840842224153246</x:v>
      </x:c>
      <x:c r="M559" s="48" t="n">
        <x:v>0.13268424589233666</x:v>
      </x:c>
      <x:c r="N559" s="48" t="n">
        <x:v>0.9934784365133225</x:v>
      </x:c>
      <x:c r="O559" s="48" t="n">
        <x:v>1</x:v>
      </x:c>
      <x:c r="P559" s="48" t="n">
        <x:v>1</x:v>
      </x:c>
      <x:c r="Q559" s="48" t="n">
        <x:v>1</x:v>
      </x:c>
      <x:c r="R559" s="48" t="n">
        <x:v>1</x:v>
      </x:c>
      <x:c r="S559" s="29" t="n">
        <x:v>1</x:v>
      </x:c>
    </x:row>
    <x:row r="560" ht="21.600000381469727" hidden="0" customHeight="1">
      <x:c r="A560" s="27" t="n">
        <x:v>186</x:v>
      </x:c>
      <x:c r="B560" s="27" t="str">
        <x:v>A1</x:v>
      </x:c>
      <x:c r="C560" s="47" t="n">
        <x:v>0.9443579696873505</x:v>
      </x:c>
      <x:c r="D560" s="47" t="n">
        <x:v>0.9218037812008257</x:v>
      </x:c>
      <x:c r="E560" s="47" t="n">
        <x:v>0.9821272641729926</x:v>
      </x:c>
      <x:c r="F560" s="47" t="n">
        <x:v>-0.10831026690866816</x:v>
      </x:c>
      <x:c r="G560" s="47" t="n">
        <x:v>-0.15581140673364638</x:v>
      </x:c>
      <x:c r="H560" s="47" t="n">
        <x:v>0.6648852342184628</x:v>
      </x:c>
      <x:c r="I560" s="47" t="n">
        <x:v>0.7343873514256953</x:v>
      </x:c>
      <x:c r="J560" s="47" t="n">
        <x:v>0.41946268345395554</x:v>
      </x:c>
      <x:c r="K560" s="47" t="n">
        <x:v>0.9176397119111609</x:v>
      </x:c>
      <x:c r="L560" s="47" t="n">
        <x:v>0.5687566854915154</x:v>
      </x:c>
      <x:c r="M560" s="47" t="n">
        <x:v>0.12136040837111653</x:v>
      </x:c>
      <x:c r="N560" s="47" t="n">
        <x:v>0.986145242824914</x:v>
      </x:c>
      <x:c r="O560" s="47" t="n">
        <x:v>0.9134862420696085</x:v>
      </x:c>
      <x:c r="P560" s="47" t="n">
        <x:v>0.7354690645798969</x:v>
      </x:c>
      <x:c r="Q560" s="47" t="n">
        <x:v>1</x:v>
      </x:c>
      <x:c r="R560" s="47" t="n">
        <x:v>0.8931690878489962</x:v>
      </x:c>
      <x:c r="S560" s="27" t="n">
        <x:v>0</x:v>
      </x:c>
    </x:row>
    <x:row r="561" ht="21.600000381469727" hidden="0" customHeight="1">
      <x:c r="A561" s="29" t="n">
        <x:v>186</x:v>
      </x:c>
      <x:c r="B561" s="29" t="str">
        <x:v>A2</x:v>
      </x:c>
      <x:c r="C561" s="48" t="n">
        <x:v>0.9443579696873505</x:v>
      </x:c>
      <x:c r="D561" s="48" t="n">
        <x:v>0.9218037812008257</x:v>
      </x:c>
      <x:c r="E561" s="48" t="n">
        <x:v>0.9821272641729926</x:v>
      </x:c>
      <x:c r="F561" s="48" t="n">
        <x:v>-0.10831026690866816</x:v>
      </x:c>
      <x:c r="G561" s="48" t="n">
        <x:v>-0.15581140673364638</x:v>
      </x:c>
      <x:c r="H561" s="48" t="n">
        <x:v>0.6648852342184628</x:v>
      </x:c>
      <x:c r="I561" s="48" t="n">
        <x:v>0.7343873514256953</x:v>
      </x:c>
      <x:c r="J561" s="48" t="n">
        <x:v>0.41946268345395554</x:v>
      </x:c>
      <x:c r="K561" s="48" t="n">
        <x:v>0.9176397119111609</x:v>
      </x:c>
      <x:c r="L561" s="48" t="n">
        <x:v>0.5687566854915154</x:v>
      </x:c>
      <x:c r="M561" s="48" t="n">
        <x:v>0.12136040837111653</x:v>
      </x:c>
      <x:c r="N561" s="48" t="n">
        <x:v>0.986145242824914</x:v>
      </x:c>
      <x:c r="O561" s="48" t="n">
        <x:v>0.9965687068131059</x:v>
      </x:c>
      <x:c r="P561" s="48" t="n">
        <x:v>0.978378002803284</x:v>
      </x:c>
      <x:c r="Q561" s="48" t="n">
        <x:v>1</x:v>
      </x:c>
      <x:c r="R561" s="48" t="n">
        <x:v>0.9957628914778115</x:v>
      </x:c>
      <x:c r="S561" s="29" t="n">
        <x:v>1</x:v>
      </x:c>
    </x:row>
    <x:row r="562" ht="21.600000381469727" hidden="0" customHeight="1">
      <x:c r="A562" s="27" t="n">
        <x:v>186</x:v>
      </x:c>
      <x:c r="B562" s="27" t="str">
        <x:v>A3</x:v>
      </x:c>
      <x:c r="C562" s="47" t="n">
        <x:v>0.9443579696873505</x:v>
      </x:c>
      <x:c r="D562" s="47" t="n">
        <x:v>0.9218037812008257</x:v>
      </x:c>
      <x:c r="E562" s="47" t="n">
        <x:v>0.9821272641729926</x:v>
      </x:c>
      <x:c r="F562" s="47" t="n">
        <x:v>-0.10831026690866816</x:v>
      </x:c>
      <x:c r="G562" s="47" t="n">
        <x:v>-0.15581140673364638</x:v>
      </x:c>
      <x:c r="H562" s="47" t="n">
        <x:v>0.6648852342184628</x:v>
      </x:c>
      <x:c r="I562" s="47" t="n">
        <x:v>0.7343873514256953</x:v>
      </x:c>
      <x:c r="J562" s="47" t="n">
        <x:v>0.41946268345395554</x:v>
      </x:c>
      <x:c r="K562" s="47" t="n">
        <x:v>0.9176397119111609</x:v>
      </x:c>
      <x:c r="L562" s="47" t="n">
        <x:v>0.5687566854915154</x:v>
      </x:c>
      <x:c r="M562" s="47" t="n">
        <x:v>0.12136040837111653</x:v>
      </x:c>
      <x:c r="N562" s="47" t="n">
        <x:v>0.986145242824914</x:v>
      </x:c>
      <x:c r="O562" s="47" t="n">
        <x:v>1</x:v>
      </x:c>
      <x:c r="P562" s="47" t="n">
        <x:v>1</x:v>
      </x:c>
      <x:c r="Q562" s="47" t="n">
        <x:v>1</x:v>
      </x:c>
      <x:c r="R562" s="47" t="n">
        <x:v>1.0000000000000002</x:v>
      </x:c>
      <x:c r="S562" s="27" t="n">
        <x:v>1</x:v>
      </x:c>
    </x:row>
    <x:row r="563" ht="21.600000381469727" hidden="0" customHeight="1">
      <x:c r="A563" s="29" t="n">
        <x:v>187</x:v>
      </x:c>
      <x:c r="B563" s="29" t="str">
        <x:v>A1</x:v>
      </x:c>
      <x:c r="C563" s="48" t="n">
        <x:v>1.2941320325150392</x:v>
      </x:c>
      <x:c r="D563" s="48" t="n">
        <x:v>0.8291169622420711</x:v>
      </x:c>
      <x:c r="E563" s="48" t="n">
        <x:v>0.6746134420473237</x:v>
      </x:c>
      <x:c r="F563" s="48" t="n">
        <x:v>0.026052070824321344</x:v>
      </x:c>
      <x:c r="G563" s="48" t="n">
        <x:v>-0.008599689069219596</x:v>
      </x:c>
      <x:c r="H563" s="48" t="n">
        <x:v>0.8002461863790744</x:v>
      </x:c>
      <x:c r="I563" s="48" t="n">
        <x:v>0.8333039702838488</x:v>
      </x:c>
      <x:c r="J563" s="48" t="n">
        <x:v>0.8482189157424989</x:v>
      </x:c>
      <x:c r="K563" s="48" t="n">
        <x:v>0.7866617618691559</x:v>
      </x:c>
      <x:c r="L563" s="48" t="n">
        <x:v>0.6490022907548851</x:v>
      </x:c>
      <x:c r="M563" s="48" t="n">
        <x:v>0.05989934363687035</x:v>
      </x:c>
      <x:c r="N563" s="48" t="n">
        <x:v>0.9275794281425155</x:v>
      </x:c>
      <x:c r="O563" s="48" t="n">
        <x:v>0.7638529083446912</x:v>
      </x:c>
      <x:c r="P563" s="48" t="n">
        <x:v>0.4329693994669599</x:v>
      </x:c>
      <x:c r="Q563" s="48" t="n">
        <x:v>0.8935034252401505</x:v>
      </x:c>
      <x:c r="R563" s="48" t="n">
        <x:v>0.7091863410780456</x:v>
      </x:c>
      <x:c r="S563" s="29" t="n">
        <x:v>0</x:v>
      </x:c>
    </x:row>
    <x:row r="564" ht="21.600000381469727" hidden="0" customHeight="1">
      <x:c r="A564" s="27" t="n">
        <x:v>187</x:v>
      </x:c>
      <x:c r="B564" s="27" t="str">
        <x:v>A2</x:v>
      </x:c>
      <x:c r="C564" s="47" t="n">
        <x:v>1.2941320325150392</x:v>
      </x:c>
      <x:c r="D564" s="47" t="n">
        <x:v>0.8291169622420711</x:v>
      </x:c>
      <x:c r="E564" s="47" t="n">
        <x:v>0.6746134420473237</x:v>
      </x:c>
      <x:c r="F564" s="47" t="n">
        <x:v>0.026052070824321344</x:v>
      </x:c>
      <x:c r="G564" s="47" t="n">
        <x:v>-0.008599689069219596</x:v>
      </x:c>
      <x:c r="H564" s="47" t="n">
        <x:v>0.8002461863790744</x:v>
      </x:c>
      <x:c r="I564" s="47" t="n">
        <x:v>0.8333039702838488</x:v>
      </x:c>
      <x:c r="J564" s="47" t="n">
        <x:v>0.8482189157424989</x:v>
      </x:c>
      <x:c r="K564" s="47" t="n">
        <x:v>0.7866617618691559</x:v>
      </x:c>
      <x:c r="L564" s="47" t="n">
        <x:v>0.6490022907548851</x:v>
      </x:c>
      <x:c r="M564" s="47" t="n">
        <x:v>0.05989934363687035</x:v>
      </x:c>
      <x:c r="N564" s="47" t="n">
        <x:v>0.9275794281425155</x:v>
      </x:c>
      <x:c r="O564" s="47" t="n">
        <x:v>0.8433339049209526</x:v>
      </x:c>
      <x:c r="P564" s="47" t="n">
        <x:v>0.473404600633265</x:v>
      </x:c>
      <x:c r="Q564" s="47" t="n">
        <x:v>1</x:v>
      </x:c>
      <x:c r="R564" s="47" t="n">
        <x:v>0.8065419623327791</x:v>
      </x:c>
      <x:c r="S564" s="27" t="n">
        <x:v>0</x:v>
      </x:c>
    </x:row>
    <x:row r="565" ht="21.600000381469727" hidden="0" customHeight="1">
      <x:c r="A565" s="29" t="n">
        <x:v>187</x:v>
      </x:c>
      <x:c r="B565" s="29" t="str">
        <x:v>A3</x:v>
      </x:c>
      <x:c r="C565" s="48" t="n">
        <x:v>1.2941320325150392</x:v>
      </x:c>
      <x:c r="D565" s="48" t="n">
        <x:v>0.8291169622420711</x:v>
      </x:c>
      <x:c r="E565" s="48" t="n">
        <x:v>0.6746134420473237</x:v>
      </x:c>
      <x:c r="F565" s="48" t="n">
        <x:v>0.026052070824321344</x:v>
      </x:c>
      <x:c r="G565" s="48" t="n">
        <x:v>-0.008599689069219596</x:v>
      </x:c>
      <x:c r="H565" s="48" t="n">
        <x:v>0.8002461863790744</x:v>
      </x:c>
      <x:c r="I565" s="48" t="n">
        <x:v>0.8333039702838488</x:v>
      </x:c>
      <x:c r="J565" s="48" t="n">
        <x:v>0.8482189157424989</x:v>
      </x:c>
      <x:c r="K565" s="48" t="n">
        <x:v>0.7866617618691559</x:v>
      </x:c>
      <x:c r="L565" s="48" t="n">
        <x:v>0.6490022907548851</x:v>
      </x:c>
      <x:c r="M565" s="48" t="n">
        <x:v>0.05989934363687035</x:v>
      </x:c>
      <x:c r="N565" s="48" t="n">
        <x:v>0.9275794281425155</x:v>
      </x:c>
      <x:c r="O565" s="48" t="n">
        <x:v>1</x:v>
      </x:c>
      <x:c r="P565" s="48" t="n">
        <x:v>1</x:v>
      </x:c>
      <x:c r="Q565" s="48" t="n">
        <x:v>1</x:v>
      </x:c>
      <x:c r="R565" s="48" t="n">
        <x:v>1</x:v>
      </x:c>
      <x:c r="S565" s="29" t="n">
        <x:v>1</x:v>
      </x:c>
    </x:row>
    <x:row r="566" ht="15" hidden="0" customHeight="1">
      <x:c r="A566" s="27" t="n">
        <x:v>188</x:v>
      </x:c>
      <x:c r="B566" s="27" t="str">
        <x:v>A1</x:v>
      </x:c>
      <x:c r="C566" s="47" t="n">
        <x:v>0.9064543080109566</x:v>
      </x:c>
      <x:c r="D566" s="47" t="n">
        <x:v>0.9210111654904379</x:v>
      </x:c>
      <x:c r="E566" s="47" t="n">
        <x:v>0.7773767511561516</x:v>
      </x:c>
      <x:c r="F566" s="47" t="n">
        <x:v>0.03279658200089347</x:v>
      </x:c>
      <x:c r="G566" s="47" t="n">
        <x:v>0.014102059234890302</x:v>
      </x:c>
      <x:c r="H566" s="47" t="n">
        <x:v>1.064270591912418</x:v>
      </x:c>
      <x:c r="I566" s="47" t="n">
        <x:v>0.9905766696867814</x:v>
      </x:c>
      <x:c r="J566" s="47" t="n">
        <x:v>0.48966496023334033</x:v>
      </x:c>
      <x:c r="K566" s="47" t="n">
        <x:v>0.8334298480882352</x:v>
      </x:c>
      <x:c r="L566" s="47" t="n">
        <x:v>0.8210729357115685</x:v>
      </x:c>
      <x:c r="M566" s="47" t="n">
        <x:v>0.05666128674647373</x:v>
      </x:c>
      <x:c r="N566" s="47" t="n">
        <x:v>0.8520423322229698</x:v>
      </x:c>
      <x:c r="O566" s="47" t="n">
        <x:v>0.9307880329448884</x:v>
      </x:c>
      <x:c r="P566" s="47" t="n">
        <x:v>0.7458553453327385</x:v>
      </x:c>
      <x:c r="Q566" s="47" t="n">
        <x:v>1</x:v>
      </x:c>
      <x:c r="R566" s="47" t="n">
        <x:v>0.9145340839521507</x:v>
      </x:c>
      <x:c r="S566" s="27" t="n">
        <x:v>0</x:v>
      </x:c>
    </x:row>
    <x:row r="567" ht="15" hidden="0" customHeight="1">
      <x:c r="A567" s="29" t="n">
        <x:v>188</x:v>
      </x:c>
      <x:c r="B567" s="29" t="str">
        <x:v>A2</x:v>
      </x:c>
      <x:c r="C567" s="48" t="n">
        <x:v>0.9064543080109566</x:v>
      </x:c>
      <x:c r="D567" s="48" t="n">
        <x:v>0.9210111654904379</x:v>
      </x:c>
      <x:c r="E567" s="48" t="n">
        <x:v>0.7773767511561516</x:v>
      </x:c>
      <x:c r="F567" s="48" t="n">
        <x:v>0.03279658200089347</x:v>
      </x:c>
      <x:c r="G567" s="48" t="n">
        <x:v>0.014102059234890302</x:v>
      </x:c>
      <x:c r="H567" s="48" t="n">
        <x:v>1.064270591912418</x:v>
      </x:c>
      <x:c r="I567" s="48" t="n">
        <x:v>0.9905766696867814</x:v>
      </x:c>
      <x:c r="J567" s="48" t="n">
        <x:v>0.48966496023334033</x:v>
      </x:c>
      <x:c r="K567" s="48" t="n">
        <x:v>0.8334298480882352</x:v>
      </x:c>
      <x:c r="L567" s="48" t="n">
        <x:v>0.8210729357115685</x:v>
      </x:c>
      <x:c r="M567" s="48" t="n">
        <x:v>0.05666128674647373</x:v>
      </x:c>
      <x:c r="N567" s="48" t="n">
        <x:v>0.8520423322229698</x:v>
      </x:c>
      <x:c r="O567" s="48" t="n">
        <x:v>1</x:v>
      </x:c>
      <x:c r="P567" s="48" t="n">
        <x:v>1</x:v>
      </x:c>
      <x:c r="Q567" s="48" t="n">
        <x:v>1</x:v>
      </x:c>
      <x:c r="R567" s="48" t="n">
        <x:v>1</x:v>
      </x:c>
      <x:c r="S567" s="29" t="n">
        <x:v>1</x:v>
      </x:c>
    </x:row>
    <x:row r="568" ht="15" hidden="0" customHeight="1">
      <x:c r="A568" s="27" t="n">
        <x:v>188</x:v>
      </x:c>
      <x:c r="B568" s="27" t="str">
        <x:v>A3</x:v>
      </x:c>
      <x:c r="C568" s="47" t="n">
        <x:v>0.9064543080109566</x:v>
      </x:c>
      <x:c r="D568" s="47" t="n">
        <x:v>0.9210111654904379</x:v>
      </x:c>
      <x:c r="E568" s="47" t="n">
        <x:v>0.7773767511561516</x:v>
      </x:c>
      <x:c r="F568" s="47" t="n">
        <x:v>0.03279658200089347</x:v>
      </x:c>
      <x:c r="G568" s="47" t="n">
        <x:v>0.014102059234890302</x:v>
      </x:c>
      <x:c r="H568" s="47" t="n">
        <x:v>1.064270591912418</x:v>
      </x:c>
      <x:c r="I568" s="47" t="n">
        <x:v>0.9905766696867814</x:v>
      </x:c>
      <x:c r="J568" s="47" t="n">
        <x:v>0.48966496023334033</x:v>
      </x:c>
      <x:c r="K568" s="47" t="n">
        <x:v>0.8334298480882352</x:v>
      </x:c>
      <x:c r="L568" s="47" t="n">
        <x:v>0.8210729357115685</x:v>
      </x:c>
      <x:c r="M568" s="47" t="n">
        <x:v>0.05666128674647373</x:v>
      </x:c>
      <x:c r="N568" s="47" t="n">
        <x:v>0.8520423322229698</x:v>
      </x:c>
      <x:c r="O568" s="47" t="n">
        <x:v>1</x:v>
      </x:c>
      <x:c r="P568" s="47" t="n">
        <x:v>1</x:v>
      </x:c>
      <x:c r="Q568" s="47" t="n">
        <x:v>1</x:v>
      </x:c>
      <x:c r="R568" s="47" t="n">
        <x:v>1.0000000000000002</x:v>
      </x:c>
      <x:c r="S568" s="27" t="n">
        <x:v>1</x:v>
      </x:c>
    </x:row>
    <x:row r="569" ht="21.600000381469727" hidden="0" customHeight="1">
      <x:c r="A569" s="29" t="n">
        <x:v>189</x:v>
      </x:c>
      <x:c r="B569" s="29" t="str">
        <x:v>A1</x:v>
      </x:c>
      <x:c r="C569" s="48" t="n">
        <x:v>0.9914338181647205</x:v>
      </x:c>
      <x:c r="D569" s="48" t="n">
        <x:v>0.7599795846684035</x:v>
      </x:c>
      <x:c r="E569" s="48" t="n">
        <x:v>0.7391766447602579</x:v>
      </x:c>
      <x:c r="F569" s="48" t="n">
        <x:v>-0.16702746220361622</x:v>
      </x:c>
      <x:c r="G569" s="48" t="n">
        <x:v>-0.12240692360933794</x:v>
      </x:c>
      <x:c r="H569" s="48" t="n">
        <x:v>0.3066068689067429</x:v>
      </x:c>
      <x:c r="I569" s="48" t="n">
        <x:v>0.8266458424189348</x:v>
      </x:c>
      <x:c r="J569" s="48" t="n">
        <x:v>0.580899762057209</x:v>
      </x:c>
      <x:c r="K569" s="48" t="n">
        <x:v>0.9892746628154225</x:v>
      </x:c>
      <x:c r="L569" s="48" t="n">
        <x:v>0.7401138030161964</x:v>
      </x:c>
      <x:c r="M569" s="48" t="n">
        <x:v>0.07707902321657713</x:v>
      </x:c>
      <x:c r="N569" s="48" t="n">
        <x:v>0.8929391028111477</x:v>
      </x:c>
      <x:c r="O569" s="48" t="n">
        <x:v>0.8536606795818749</x:v>
      </x:c>
      <x:c r="P569" s="48" t="n">
        <x:v>0.504452829065547</x:v>
      </x:c>
      <x:c r="Q569" s="48" t="n">
        <x:v>1</x:v>
      </x:c>
      <x:c r="R569" s="48" t="n">
        <x:v>0.8192939081850428</x:v>
      </x:c>
      <x:c r="S569" s="29" t="n">
        <x:v>0</x:v>
      </x:c>
    </x:row>
    <x:row r="570" ht="21.600000381469727" hidden="0" customHeight="1">
      <x:c r="A570" s="27" t="n">
        <x:v>189</x:v>
      </x:c>
      <x:c r="B570" s="27" t="str">
        <x:v>A2</x:v>
      </x:c>
      <x:c r="C570" s="47" t="n">
        <x:v>0.9914338181647205</x:v>
      </x:c>
      <x:c r="D570" s="47" t="n">
        <x:v>0.7599795846684035</x:v>
      </x:c>
      <x:c r="E570" s="47" t="n">
        <x:v>0.7391766447602579</x:v>
      </x:c>
      <x:c r="F570" s="47" t="n">
        <x:v>-0.16702746220361622</x:v>
      </x:c>
      <x:c r="G570" s="47" t="n">
        <x:v>-0.12240692360933794</x:v>
      </x:c>
      <x:c r="H570" s="47" t="n">
        <x:v>0.3066068689067429</x:v>
      </x:c>
      <x:c r="I570" s="47" t="n">
        <x:v>0.8266458424189348</x:v>
      </x:c>
      <x:c r="J570" s="47" t="n">
        <x:v>0.580899762057209</x:v>
      </x:c>
      <x:c r="K570" s="47" t="n">
        <x:v>0.9892746628154225</x:v>
      </x:c>
      <x:c r="L570" s="47" t="n">
        <x:v>0.7401138030161964</x:v>
      </x:c>
      <x:c r="M570" s="47" t="n">
        <x:v>0.07707902321657713</x:v>
      </x:c>
      <x:c r="N570" s="47" t="n">
        <x:v>0.8929391028111477</x:v>
      </x:c>
      <x:c r="O570" s="47" t="n">
        <x:v>0.9331865908023688</x:v>
      </x:c>
      <x:c r="P570" s="47" t="n">
        <x:v>0.6360233526496496</x:v>
      </x:c>
      <x:c r="Q570" s="47" t="n">
        <x:v>1</x:v>
      </x:c>
      <x:c r="R570" s="47" t="n">
        <x:v>0.9174959264369928</x:v>
      </x:c>
      <x:c r="S570" s="27" t="n">
        <x:v>0</x:v>
      </x:c>
    </x:row>
    <x:row r="571" ht="21.600000381469727" hidden="0" customHeight="1">
      <x:c r="A571" s="29" t="n">
        <x:v>189</x:v>
      </x:c>
      <x:c r="B571" s="29" t="str">
        <x:v>A3</x:v>
      </x:c>
      <x:c r="C571" s="48" t="n">
        <x:v>0.9914338181647205</x:v>
      </x:c>
      <x:c r="D571" s="48" t="n">
        <x:v>0.7599795846684035</x:v>
      </x:c>
      <x:c r="E571" s="48" t="n">
        <x:v>0.7391766447602579</x:v>
      </x:c>
      <x:c r="F571" s="48" t="n">
        <x:v>-0.16702746220361622</x:v>
      </x:c>
      <x:c r="G571" s="48" t="n">
        <x:v>-0.12240692360933794</x:v>
      </x:c>
      <x:c r="H571" s="48" t="n">
        <x:v>0.3066068689067429</x:v>
      </x:c>
      <x:c r="I571" s="48" t="n">
        <x:v>0.8266458424189348</x:v>
      </x:c>
      <x:c r="J571" s="48" t="n">
        <x:v>0.580899762057209</x:v>
      </x:c>
      <x:c r="K571" s="48" t="n">
        <x:v>0.9892746628154225</x:v>
      </x:c>
      <x:c r="L571" s="48" t="n">
        <x:v>0.7401138030161964</x:v>
      </x:c>
      <x:c r="M571" s="48" t="n">
        <x:v>0.07707902321657713</x:v>
      </x:c>
      <x:c r="N571" s="48" t="n">
        <x:v>0.8929391028111477</x:v>
      </x:c>
      <x:c r="O571" s="48" t="n">
        <x:v>1</x:v>
      </x:c>
      <x:c r="P571" s="48" t="n">
        <x:v>1</x:v>
      </x:c>
      <x:c r="Q571" s="48" t="n">
        <x:v>1</x:v>
      </x:c>
      <x:c r="R571" s="48" t="n">
        <x:v>1</x:v>
      </x:c>
      <x:c r="S571" s="29" t="n">
        <x:v>1</x:v>
      </x:c>
    </x:row>
    <x:row r="572" ht="21.600000381469727" hidden="0" customHeight="1">
      <x:c r="A572" s="27" t="n">
        <x:v>190</x:v>
      </x:c>
      <x:c r="B572" s="27" t="str">
        <x:v>A1</x:v>
      </x:c>
      <x:c r="C572" s="47" t="n">
        <x:v>1.1504208273280743</x:v>
      </x:c>
      <x:c r="D572" s="47" t="n">
        <x:v>0.8919972491615871</x:v>
      </x:c>
      <x:c r="E572" s="47" t="n">
        <x:v>0.6850040365595947</x:v>
      </x:c>
      <x:c r="F572" s="47" t="n">
        <x:v>-0.17482784263159007</x:v>
      </x:c>
      <x:c r="G572" s="47" t="n">
        <x:v>-0.10980780545580819</x:v>
      </x:c>
      <x:c r="H572" s="47" t="n">
        <x:v>0.8850988547809178</x:v>
      </x:c>
      <x:c r="I572" s="47" t="n">
        <x:v>0.6838667521100779</x:v>
      </x:c>
      <x:c r="J572" s="47" t="n">
        <x:v>0.9347707512419964</x:v>
      </x:c>
      <x:c r="K572" s="47" t="n">
        <x:v>0.7500841944722532</x:v>
      </x:c>
      <x:c r="L572" s="47" t="n">
        <x:v>0.6614880997143902</x:v>
      </x:c>
      <x:c r="M572" s="47" t="n">
        <x:v>0.17197344596611477</x:v>
      </x:c>
      <x:c r="N572" s="47" t="n">
        <x:v>0.7373084566903114</x:v>
      </x:c>
      <x:c r="O572" s="47" t="n">
        <x:v>0.8500965160579718</x:v>
      </x:c>
      <x:c r="P572" s="47" t="n">
        <x:v>0.46696587663088557</x:v>
      </x:c>
      <x:c r="Q572" s="47" t="n">
        <x:v>1</x:v>
      </x:c>
      <x:c r="R572" s="47" t="n">
        <x:v>0.8148927256515056</x:v>
      </x:c>
      <x:c r="S572" s="27" t="n">
        <x:v>0</x:v>
      </x:c>
    </x:row>
    <x:row r="573" ht="21.600000381469727" hidden="0" customHeight="1">
      <x:c r="A573" s="29" t="n">
        <x:v>190</x:v>
      </x:c>
      <x:c r="B573" s="29" t="str">
        <x:v>A2</x:v>
      </x:c>
      <x:c r="C573" s="48" t="n">
        <x:v>1.1504208273280743</x:v>
      </x:c>
      <x:c r="D573" s="48" t="n">
        <x:v>0.8919972491615871</x:v>
      </x:c>
      <x:c r="E573" s="48" t="n">
        <x:v>0.6850040365595947</x:v>
      </x:c>
      <x:c r="F573" s="48" t="n">
        <x:v>-0.17482784263159007</x:v>
      </x:c>
      <x:c r="G573" s="48" t="n">
        <x:v>-0.10980780545580819</x:v>
      </x:c>
      <x:c r="H573" s="48" t="n">
        <x:v>0.8850988547809178</x:v>
      </x:c>
      <x:c r="I573" s="48" t="n">
        <x:v>0.6838667521100779</x:v>
      </x:c>
      <x:c r="J573" s="48" t="n">
        <x:v>0.9347707512419964</x:v>
      </x:c>
      <x:c r="K573" s="48" t="n">
        <x:v>0.7500841944722532</x:v>
      </x:c>
      <x:c r="L573" s="48" t="n">
        <x:v>0.6614880997143902</x:v>
      </x:c>
      <x:c r="M573" s="48" t="n">
        <x:v>0.17197344596611477</x:v>
      </x:c>
      <x:c r="N573" s="48" t="n">
        <x:v>0.7373084566903114</x:v>
      </x:c>
      <x:c r="O573" s="48" t="n">
        <x:v>0.9278646758856935</x:v>
      </x:c>
      <x:c r="P573" s="48" t="n">
        <x:v>0.6275276634296323</x:v>
      </x:c>
      <x:c r="Q573" s="48" t="n">
        <x:v>1</x:v>
      </x:c>
      <x:c r="R573" s="48" t="n">
        <x:v>0.9109241968238153</x:v>
      </x:c>
      <x:c r="S573" s="29" t="n">
        <x:v>0</x:v>
      </x:c>
    </x:row>
    <x:row r="574" ht="21.600000381469727" hidden="0" customHeight="1">
      <x:c r="A574" s="27" t="n">
        <x:v>190</x:v>
      </x:c>
      <x:c r="B574" s="27" t="str">
        <x:v>A3</x:v>
      </x:c>
      <x:c r="C574" s="47" t="n">
        <x:v>1.1504208273280743</x:v>
      </x:c>
      <x:c r="D574" s="47" t="n">
        <x:v>0.8919972491615871</x:v>
      </x:c>
      <x:c r="E574" s="47" t="n">
        <x:v>0.6850040365595947</x:v>
      </x:c>
      <x:c r="F574" s="47" t="n">
        <x:v>-0.17482784263159007</x:v>
      </x:c>
      <x:c r="G574" s="47" t="n">
        <x:v>-0.10980780545580819</x:v>
      </x:c>
      <x:c r="H574" s="47" t="n">
        <x:v>0.8850988547809178</x:v>
      </x:c>
      <x:c r="I574" s="47" t="n">
        <x:v>0.6838667521100779</x:v>
      </x:c>
      <x:c r="J574" s="47" t="n">
        <x:v>0.9347707512419964</x:v>
      </x:c>
      <x:c r="K574" s="47" t="n">
        <x:v>0.7500841944722532</x:v>
      </x:c>
      <x:c r="L574" s="47" t="n">
        <x:v>0.6614880997143902</x:v>
      </x:c>
      <x:c r="M574" s="47" t="n">
        <x:v>0.17197344596611477</x:v>
      </x:c>
      <x:c r="N574" s="47" t="n">
        <x:v>0.7373084566903114</x:v>
      </x:c>
      <x:c r="O574" s="47" t="n">
        <x:v>1</x:v>
      </x:c>
      <x:c r="P574" s="47" t="n">
        <x:v>1</x:v>
      </x:c>
      <x:c r="Q574" s="47" t="n">
        <x:v>1</x:v>
      </x:c>
      <x:c r="R574" s="47" t="n">
        <x:v>1</x:v>
      </x:c>
      <x:c r="S574" s="27" t="n">
        <x:v>1</x:v>
      </x:c>
    </x:row>
    <x:row r="575" ht="21.600000381469727" hidden="0" customHeight="1">
      <x:c r="A575" s="29" t="n">
        <x:v>191</x:v>
      </x:c>
      <x:c r="B575" s="29" t="str">
        <x:v>A1</x:v>
      </x:c>
      <x:c r="C575" s="48" t="n">
        <x:v>0.9347631230083188</x:v>
      </x:c>
      <x:c r="D575" s="48" t="n">
        <x:v>0.8448774653104009</x:v>
      </x:c>
      <x:c r="E575" s="48" t="n">
        <x:v>0.6673065857781212</x:v>
      </x:c>
      <x:c r="F575" s="48" t="n">
        <x:v>-0.04950358192469642</x:v>
      </x:c>
      <x:c r="G575" s="48" t="n">
        <x:v>-0.06703623924443039</x:v>
      </x:c>
      <x:c r="H575" s="48" t="n">
        <x:v>0.5684788799750079</x:v>
      </x:c>
      <x:c r="I575" s="48" t="n">
        <x:v>0.6240097439401188</x:v>
      </x:c>
      <x:c r="J575" s="48" t="n">
        <x:v>0.4107576485982031</x:v>
      </x:c>
      <x:c r="K575" s="48" t="n">
        <x:v>0.724654663202043</x:v>
      </x:c>
      <x:c r="L575" s="48" t="n">
        <x:v>0.9245733675844843</x:v>
      </x:c>
      <x:c r="M575" s="48" t="n">
        <x:v>0.1752555456796932</x:v>
      </x:c>
      <x:c r="N575" s="48" t="n">
        <x:v>0.8897315527656864</x:v>
      </x:c>
      <x:c r="O575" s="48" t="n">
        <x:v>0.8744751653543003</x:v>
      </x:c>
      <x:c r="P575" s="48" t="n">
        <x:v>0.5253621669618255</x:v>
      </x:c>
      <x:c r="Q575" s="48" t="n">
        <x:v>1</x:v>
      </x:c>
      <x:c r="R575" s="48" t="n">
        <x:v>0.8449965311460221</x:v>
      </x:c>
      <x:c r="S575" s="29" t="n">
        <x:v>0</x:v>
      </x:c>
    </x:row>
    <x:row r="576" ht="21.600000381469727" hidden="0" customHeight="1">
      <x:c r="A576" s="27" t="n">
        <x:v>191</x:v>
      </x:c>
      <x:c r="B576" s="27" t="str">
        <x:v>A2</x:v>
      </x:c>
      <x:c r="C576" s="47" t="n">
        <x:v>0.9347631230083188</x:v>
      </x:c>
      <x:c r="D576" s="47" t="n">
        <x:v>0.8448774653104009</x:v>
      </x:c>
      <x:c r="E576" s="47" t="n">
        <x:v>0.6673065857781212</x:v>
      </x:c>
      <x:c r="F576" s="47" t="n">
        <x:v>-0.04950358192469642</x:v>
      </x:c>
      <x:c r="G576" s="47" t="n">
        <x:v>-0.06703623924443039</x:v>
      </x:c>
      <x:c r="H576" s="47" t="n">
        <x:v>0.5684788799750079</x:v>
      </x:c>
      <x:c r="I576" s="47" t="n">
        <x:v>0.6240097439401188</x:v>
      </x:c>
      <x:c r="J576" s="47" t="n">
        <x:v>0.4107576485982031</x:v>
      </x:c>
      <x:c r="K576" s="47" t="n">
        <x:v>0.724654663202043</x:v>
      </x:c>
      <x:c r="L576" s="47" t="n">
        <x:v>0.9245733675844843</x:v>
      </x:c>
      <x:c r="M576" s="47" t="n">
        <x:v>0.1752555456796932</x:v>
      </x:c>
      <x:c r="N576" s="47" t="n">
        <x:v>0.8897315527656864</x:v>
      </x:c>
      <x:c r="O576" s="47" t="n">
        <x:v>0.9642286597242887</x:v>
      </x:c>
      <x:c r="P576" s="47" t="n">
        <x:v>0.8375806493717202</x:v>
      </x:c>
      <x:c r="Q576" s="47" t="n">
        <x:v>1</x:v>
      </x:c>
      <x:c r="R576" s="47" t="n">
        <x:v>0.955828009302371</x:v>
      </x:c>
      <x:c r="S576" s="27" t="n">
        <x:v>0</x:v>
      </x:c>
    </x:row>
    <x:row r="577" ht="21.600000381469727" hidden="0" customHeight="1">
      <x:c r="A577" s="29" t="n">
        <x:v>191</x:v>
      </x:c>
      <x:c r="B577" s="29" t="str">
        <x:v>A3</x:v>
      </x:c>
      <x:c r="C577" s="48" t="n">
        <x:v>0.9347631230083188</x:v>
      </x:c>
      <x:c r="D577" s="48" t="n">
        <x:v>0.8448774653104009</x:v>
      </x:c>
      <x:c r="E577" s="48" t="n">
        <x:v>0.6673065857781212</x:v>
      </x:c>
      <x:c r="F577" s="48" t="n">
        <x:v>-0.04950358192469642</x:v>
      </x:c>
      <x:c r="G577" s="48" t="n">
        <x:v>-0.06703623924443039</x:v>
      </x:c>
      <x:c r="H577" s="48" t="n">
        <x:v>0.5684788799750079</x:v>
      </x:c>
      <x:c r="I577" s="48" t="n">
        <x:v>0.6240097439401188</x:v>
      </x:c>
      <x:c r="J577" s="48" t="n">
        <x:v>0.4107576485982031</x:v>
      </x:c>
      <x:c r="K577" s="48" t="n">
        <x:v>0.724654663202043</x:v>
      </x:c>
      <x:c r="L577" s="48" t="n">
        <x:v>0.9245733675844843</x:v>
      </x:c>
      <x:c r="M577" s="48" t="n">
        <x:v>0.1752555456796932</x:v>
      </x:c>
      <x:c r="N577" s="48" t="n">
        <x:v>0.8897315527656864</x:v>
      </x:c>
      <x:c r="O577" s="48" t="n">
        <x:v>1</x:v>
      </x:c>
      <x:c r="P577" s="48" t="n">
        <x:v>1</x:v>
      </x:c>
      <x:c r="Q577" s="48" t="n">
        <x:v>1</x:v>
      </x:c>
      <x:c r="R577" s="48" t="n">
        <x:v>1</x:v>
      </x:c>
      <x:c r="S577" s="29" t="n">
        <x:v>1</x:v>
      </x:c>
    </x:row>
    <x:row r="578" ht="21.600000381469727" hidden="0" customHeight="1">
      <x:c r="A578" s="27" t="n">
        <x:v>192</x:v>
      </x:c>
      <x:c r="B578" s="27" t="str">
        <x:v>A1</x:v>
      </x:c>
      <x:c r="C578" s="47" t="n">
        <x:v>1.2569320727228566</x:v>
      </x:c>
      <x:c r="D578" s="47" t="n">
        <x:v>0.9813210227706106</x:v>
      </x:c>
      <x:c r="E578" s="47" t="n">
        <x:v>0.9427231542055765</x:v>
      </x:c>
      <x:c r="F578" s="47" t="n">
        <x:v>0.02825602685476461</x:v>
      </x:c>
      <x:c r="G578" s="47" t="n">
        <x:v>-0.07207534175167785</x:v>
      </x:c>
      <x:c r="H578" s="47" t="n">
        <x:v>1.0692326908149088</x:v>
      </x:c>
      <x:c r="I578" s="47" t="n">
        <x:v>0.8884889097803783</x:v>
      </x:c>
      <x:c r="J578" s="47" t="n">
        <x:v>0.8453837814741285</x:v>
      </x:c>
      <x:c r="K578" s="47" t="n">
        <x:v>0.8279896257493373</x:v>
      </x:c>
      <x:c r="L578" s="47" t="n">
        <x:v>0.8878810462088476</x:v>
      </x:c>
      <x:c r="M578" s="47" t="n">
        <x:v>0.17569245440796244</x:v>
      </x:c>
      <x:c r="N578" s="47" t="n">
        <x:v>0.7616097676992705</x:v>
      </x:c>
      <x:c r="O578" s="47" t="n">
        <x:v>0.868154741610429</x:v>
      </x:c>
      <x:c r="P578" s="47" t="n">
        <x:v>0.5667631161616181</x:v>
      </x:c>
      <x:c r="Q578" s="47" t="n">
        <x:v>1</x:v>
      </x:c>
      <x:c r="R578" s="47" t="n">
        <x:v>0.8371917998536663</x:v>
      </x:c>
      <x:c r="S578" s="27" t="n">
        <x:v>0</x:v>
      </x:c>
    </x:row>
    <x:row r="579" ht="21.600000381469727" hidden="0" customHeight="1">
      <x:c r="A579" s="29" t="n">
        <x:v>192</x:v>
      </x:c>
      <x:c r="B579" s="29" t="str">
        <x:v>A2</x:v>
      </x:c>
      <x:c r="C579" s="48" t="n">
        <x:v>1.2569320727228566</x:v>
      </x:c>
      <x:c r="D579" s="48" t="n">
        <x:v>0.9813210227706106</x:v>
      </x:c>
      <x:c r="E579" s="48" t="n">
        <x:v>0.9427231542055765</x:v>
      </x:c>
      <x:c r="F579" s="48" t="n">
        <x:v>0.02825602685476461</x:v>
      </x:c>
      <x:c r="G579" s="48" t="n">
        <x:v>-0.07207534175167785</x:v>
      </x:c>
      <x:c r="H579" s="48" t="n">
        <x:v>1.0692326908149088</x:v>
      </x:c>
      <x:c r="I579" s="48" t="n">
        <x:v>0.8884889097803783</x:v>
      </x:c>
      <x:c r="J579" s="48" t="n">
        <x:v>0.8453837814741285</x:v>
      </x:c>
      <x:c r="K579" s="48" t="n">
        <x:v>0.8279896257493373</x:v>
      </x:c>
      <x:c r="L579" s="48" t="n">
        <x:v>0.8878810462088476</x:v>
      </x:c>
      <x:c r="M579" s="48" t="n">
        <x:v>0.17569245440796244</x:v>
      </x:c>
      <x:c r="N579" s="48" t="n">
        <x:v>0.7616097676992705</x:v>
      </x:c>
      <x:c r="O579" s="48" t="n">
        <x:v>0.9376577813184924</x:v>
      </x:c>
      <x:c r="P579" s="48" t="n">
        <x:v>0.6504192401050457</x:v>
      </x:c>
      <x:c r="Q579" s="48" t="n">
        <x:v>1</x:v>
      </x:c>
      <x:c r="R579" s="48" t="n">
        <x:v>0.9230171449421785</x:v>
      </x:c>
      <x:c r="S579" s="29" t="n">
        <x:v>0</x:v>
      </x:c>
    </x:row>
    <x:row r="580" ht="21.600000381469727" hidden="0" customHeight="1">
      <x:c r="A580" s="27" t="n">
        <x:v>192</x:v>
      </x:c>
      <x:c r="B580" s="27" t="str">
        <x:v>A3</x:v>
      </x:c>
      <x:c r="C580" s="47" t="n">
        <x:v>1.2569320727228566</x:v>
      </x:c>
      <x:c r="D580" s="47" t="n">
        <x:v>0.9813210227706106</x:v>
      </x:c>
      <x:c r="E580" s="47" t="n">
        <x:v>0.9427231542055765</x:v>
      </x:c>
      <x:c r="F580" s="47" t="n">
        <x:v>0.02825602685476461</x:v>
      </x:c>
      <x:c r="G580" s="47" t="n">
        <x:v>-0.07207534175167785</x:v>
      </x:c>
      <x:c r="H580" s="47" t="n">
        <x:v>1.0692326908149088</x:v>
      </x:c>
      <x:c r="I580" s="47" t="n">
        <x:v>0.8884889097803783</x:v>
      </x:c>
      <x:c r="J580" s="47" t="n">
        <x:v>0.8453837814741285</x:v>
      </x:c>
      <x:c r="K580" s="47" t="n">
        <x:v>0.8279896257493373</x:v>
      </x:c>
      <x:c r="L580" s="47" t="n">
        <x:v>0.8878810462088476</x:v>
      </x:c>
      <x:c r="M580" s="47" t="n">
        <x:v>0.17569245440796244</x:v>
      </x:c>
      <x:c r="N580" s="47" t="n">
        <x:v>0.7616097676992705</x:v>
      </x:c>
      <x:c r="O580" s="47" t="n">
        <x:v>1</x:v>
      </x:c>
      <x:c r="P580" s="47" t="n">
        <x:v>1</x:v>
      </x:c>
      <x:c r="Q580" s="47" t="n">
        <x:v>1</x:v>
      </x:c>
      <x:c r="R580" s="47" t="n">
        <x:v>1</x:v>
      </x:c>
      <x:c r="S580" s="27" t="n">
        <x:v>1</x:v>
      </x:c>
    </x:row>
    <x:row r="581" ht="21.600000381469727" hidden="0" customHeight="1">
      <x:c r="A581" s="29" t="n">
        <x:v>193</x:v>
      </x:c>
      <x:c r="B581" s="29" t="str">
        <x:v>A1</x:v>
      </x:c>
      <x:c r="C581" s="48" t="n">
        <x:v>1.216203005916398</x:v>
      </x:c>
      <x:c r="D581" s="48" t="n">
        <x:v>0.8925381114532166</x:v>
      </x:c>
      <x:c r="E581" s="48" t="n">
        <x:v>0.5452285354345575</x:v>
      </x:c>
      <x:c r="F581" s="48" t="n">
        <x:v>0.03949349438354238</x:v>
      </x:c>
      <x:c r="G581" s="48" t="n">
        <x:v>-0.10333140871835562</x:v>
      </x:c>
      <x:c r="H581" s="48" t="n">
        <x:v>0.9944264224542627</x:v>
      </x:c>
      <x:c r="I581" s="48" t="n">
        <x:v>0.8144923955958062</x:v>
      </x:c>
      <x:c r="J581" s="48" t="n">
        <x:v>0.8595573872071025</x:v>
      </x:c>
      <x:c r="K581" s="48" t="n">
        <x:v>0.805632437995498</x:v>
      </x:c>
      <x:c r="L581" s="48" t="n">
        <x:v>0.8716692140370743</x:v>
      </x:c>
      <x:c r="M581" s="48" t="n">
        <x:v>0.07064611645001781</x:v>
      </x:c>
      <x:c r="N581" s="48" t="n">
        <x:v>0.9774326112058731</x:v>
      </x:c>
      <x:c r="O581" s="48" t="n">
        <x:v>0.8576786971705321</x:v>
      </x:c>
      <x:c r="P581" s="48" t="n">
        <x:v>0.4831753097364147</x:v>
      </x:c>
      <x:c r="Q581" s="48" t="n">
        <x:v>1</x:v>
      </x:c>
      <x:c r="R581" s="48" t="n">
        <x:v>0.8242555292532251</x:v>
      </x:c>
      <x:c r="S581" s="29" t="n">
        <x:v>0</x:v>
      </x:c>
    </x:row>
    <x:row r="582" ht="21.600000381469727" hidden="0" customHeight="1">
      <x:c r="A582" s="27" t="n">
        <x:v>193</x:v>
      </x:c>
      <x:c r="B582" s="27" t="str">
        <x:v>A2</x:v>
      </x:c>
      <x:c r="C582" s="47" t="n">
        <x:v>1.216203005916398</x:v>
      </x:c>
      <x:c r="D582" s="47" t="n">
        <x:v>0.8925381114532166</x:v>
      </x:c>
      <x:c r="E582" s="47" t="n">
        <x:v>0.5452285354345575</x:v>
      </x:c>
      <x:c r="F582" s="47" t="n">
        <x:v>0.03949349438354238</x:v>
      </x:c>
      <x:c r="G582" s="47" t="n">
        <x:v>-0.10333140871835562</x:v>
      </x:c>
      <x:c r="H582" s="47" t="n">
        <x:v>0.9944264224542627</x:v>
      </x:c>
      <x:c r="I582" s="47" t="n">
        <x:v>0.8144923955958062</x:v>
      </x:c>
      <x:c r="J582" s="47" t="n">
        <x:v>0.8595573872071025</x:v>
      </x:c>
      <x:c r="K582" s="47" t="n">
        <x:v>0.805632437995498</x:v>
      </x:c>
      <x:c r="L582" s="47" t="n">
        <x:v>0.8716692140370743</x:v>
      </x:c>
      <x:c r="M582" s="47" t="n">
        <x:v>0.07064611645001781</x:v>
      </x:c>
      <x:c r="N582" s="47" t="n">
        <x:v>0.9774326112058731</x:v>
      </x:c>
      <x:c r="O582" s="47" t="n">
        <x:v>0.9125725173585181</x:v>
      </x:c>
      <x:c r="P582" s="47" t="n">
        <x:v>0.4792970156592883</x:v>
      </x:c>
      <x:c r="Q582" s="47" t="n">
        <x:v>1</x:v>
      </x:c>
      <x:c r="R582" s="47" t="n">
        <x:v>0.8920407812457942</x:v>
      </x:c>
      <x:c r="S582" s="27" t="n">
        <x:v>0</x:v>
      </x:c>
    </x:row>
    <x:row r="583" ht="21.600000381469727" hidden="0" customHeight="1">
      <x:c r="A583" s="29" t="n">
        <x:v>193</x:v>
      </x:c>
      <x:c r="B583" s="29" t="str">
        <x:v>A3</x:v>
      </x:c>
      <x:c r="C583" s="48" t="n">
        <x:v>1.216203005916398</x:v>
      </x:c>
      <x:c r="D583" s="48" t="n">
        <x:v>0.8925381114532166</x:v>
      </x:c>
      <x:c r="E583" s="48" t="n">
        <x:v>0.5452285354345575</x:v>
      </x:c>
      <x:c r="F583" s="48" t="n">
        <x:v>0.03949349438354238</x:v>
      </x:c>
      <x:c r="G583" s="48" t="n">
        <x:v>-0.10333140871835562</x:v>
      </x:c>
      <x:c r="H583" s="48" t="n">
        <x:v>0.9944264224542627</x:v>
      </x:c>
      <x:c r="I583" s="48" t="n">
        <x:v>0.8144923955958062</x:v>
      </x:c>
      <x:c r="J583" s="48" t="n">
        <x:v>0.8595573872071025</x:v>
      </x:c>
      <x:c r="K583" s="48" t="n">
        <x:v>0.805632437995498</x:v>
      </x:c>
      <x:c r="L583" s="48" t="n">
        <x:v>0.8716692140370743</x:v>
      </x:c>
      <x:c r="M583" s="48" t="n">
        <x:v>0.07064611645001781</x:v>
      </x:c>
      <x:c r="N583" s="48" t="n">
        <x:v>0.9774326112058731</x:v>
      </x:c>
      <x:c r="O583" s="48" t="n">
        <x:v>1</x:v>
      </x:c>
      <x:c r="P583" s="48" t="n">
        <x:v>1</x:v>
      </x:c>
      <x:c r="Q583" s="48" t="n">
        <x:v>1</x:v>
      </x:c>
      <x:c r="R583" s="48" t="n">
        <x:v>1</x:v>
      </x:c>
      <x:c r="S583" s="29" t="n">
        <x:v>1</x:v>
      </x:c>
    </x:row>
    <x:row r="584" ht="21.600000381469727" hidden="0" customHeight="1">
      <x:c r="A584" s="27" t="n">
        <x:v>194</x:v>
      </x:c>
      <x:c r="B584" s="27" t="str">
        <x:v>A1</x:v>
      </x:c>
      <x:c r="C584" s="47" t="n">
        <x:v>1.1721311750342482</x:v>
      </x:c>
      <x:c r="D584" s="47" t="n">
        <x:v>0.9384657555664764</x:v>
      </x:c>
      <x:c r="E584" s="47" t="n">
        <x:v>1.023218812428789</x:v>
      </x:c>
      <x:c r="F584" s="47" t="n">
        <x:v>-0.009583336592133895</x:v>
      </x:c>
      <x:c r="G584" s="47" t="n">
        <x:v>-0.05223247710465878</x:v>
      </x:c>
      <x:c r="H584" s="47" t="n">
        <x:v>0.6156278723983974</x:v>
      </x:c>
      <x:c r="I584" s="47" t="n">
        <x:v>0.8024003049222806</x:v>
      </x:c>
      <x:c r="J584" s="47" t="n">
        <x:v>0.565862056372378</x:v>
      </x:c>
      <x:c r="K584" s="47" t="n">
        <x:v>0.9340946002172468</x:v>
      </x:c>
      <x:c r="L584" s="47" t="n">
        <x:v>0.6952523680909941</x:v>
      </x:c>
      <x:c r="M584" s="47" t="n">
        <x:v>0.17481970874816635</x:v>
      </x:c>
      <x:c r="N584" s="47" t="n">
        <x:v>0.9309982497708278</x:v>
      </x:c>
      <x:c r="O584" s="47" t="n">
        <x:v>0.8805220499812418</x:v>
      </x:c>
      <x:c r="P584" s="47" t="n">
        <x:v>0.6683774576887491</x:v>
      </x:c>
      <x:c r="Q584" s="47" t="n">
        <x:v>1</x:v>
      </x:c>
      <x:c r="R584" s="47" t="n">
        <x:v>0.852463484562701</x:v>
      </x:c>
      <x:c r="S584" s="27" t="n">
        <x:v>0</x:v>
      </x:c>
    </x:row>
    <x:row r="585" ht="21.600000381469727" hidden="0" customHeight="1">
      <x:c r="A585" s="29" t="n">
        <x:v>194</x:v>
      </x:c>
      <x:c r="B585" s="29" t="str">
        <x:v>A2</x:v>
      </x:c>
      <x:c r="C585" s="48" t="n">
        <x:v>1.1721311750342482</x:v>
      </x:c>
      <x:c r="D585" s="48" t="n">
        <x:v>0.9384657555664764</x:v>
      </x:c>
      <x:c r="E585" s="48" t="n">
        <x:v>1.023218812428789</x:v>
      </x:c>
      <x:c r="F585" s="48" t="n">
        <x:v>-0.009583336592133895</x:v>
      </x:c>
      <x:c r="G585" s="48" t="n">
        <x:v>-0.05223247710465878</x:v>
      </x:c>
      <x:c r="H585" s="48" t="n">
        <x:v>0.6156278723983974</x:v>
      </x:c>
      <x:c r="I585" s="48" t="n">
        <x:v>0.8024003049222806</x:v>
      </x:c>
      <x:c r="J585" s="48" t="n">
        <x:v>0.565862056372378</x:v>
      </x:c>
      <x:c r="K585" s="48" t="n">
        <x:v>0.9340946002172468</x:v>
      </x:c>
      <x:c r="L585" s="48" t="n">
        <x:v>0.6952523680909941</x:v>
      </x:c>
      <x:c r="M585" s="48" t="n">
        <x:v>0.17481970874816635</x:v>
      </x:c>
      <x:c r="N585" s="48" t="n">
        <x:v>0.9309982497708278</x:v>
      </x:c>
      <x:c r="O585" s="48" t="n">
        <x:v>0.9656251965062778</x:v>
      </x:c>
      <x:c r="P585" s="48" t="n">
        <x:v>0.7670353851768713</x:v>
      </x:c>
      <x:c r="Q585" s="48" t="n">
        <x:v>1</x:v>
      </x:c>
      <x:c r="R585" s="48" t="n">
        <x:v>0.9575525130326606</x:v>
      </x:c>
      <x:c r="S585" s="29" t="n">
        <x:v>0</x:v>
      </x:c>
    </x:row>
    <x:row r="586" ht="21.600000381469727" hidden="0" customHeight="1">
      <x:c r="A586" s="27" t="n">
        <x:v>194</x:v>
      </x:c>
      <x:c r="B586" s="27" t="str">
        <x:v>A3</x:v>
      </x:c>
      <x:c r="C586" s="47" t="n">
        <x:v>1.1721311750342482</x:v>
      </x:c>
      <x:c r="D586" s="47" t="n">
        <x:v>0.9384657555664764</x:v>
      </x:c>
      <x:c r="E586" s="47" t="n">
        <x:v>1.023218812428789</x:v>
      </x:c>
      <x:c r="F586" s="47" t="n">
        <x:v>-0.009583336592133895</x:v>
      </x:c>
      <x:c r="G586" s="47" t="n">
        <x:v>-0.05223247710465878</x:v>
      </x:c>
      <x:c r="H586" s="47" t="n">
        <x:v>0.6156278723983974</x:v>
      </x:c>
      <x:c r="I586" s="47" t="n">
        <x:v>0.8024003049222806</x:v>
      </x:c>
      <x:c r="J586" s="47" t="n">
        <x:v>0.565862056372378</x:v>
      </x:c>
      <x:c r="K586" s="47" t="n">
        <x:v>0.9340946002172468</x:v>
      </x:c>
      <x:c r="L586" s="47" t="n">
        <x:v>0.6952523680909941</x:v>
      </x:c>
      <x:c r="M586" s="47" t="n">
        <x:v>0.17481970874816635</x:v>
      </x:c>
      <x:c r="N586" s="47" t="n">
        <x:v>0.9309982497708278</x:v>
      </x:c>
      <x:c r="O586" s="47" t="n">
        <x:v>1</x:v>
      </x:c>
      <x:c r="P586" s="47" t="n">
        <x:v>1</x:v>
      </x:c>
      <x:c r="Q586" s="47" t="n">
        <x:v>1</x:v>
      </x:c>
      <x:c r="R586" s="47" t="n">
        <x:v>1</x:v>
      </x:c>
      <x:c r="S586" s="27" t="n">
        <x:v>1</x:v>
      </x:c>
    </x:row>
    <x:row r="587" ht="21.600000381469727" hidden="0" customHeight="1">
      <x:c r="A587" s="29" t="n">
        <x:v>195</x:v>
      </x:c>
      <x:c r="B587" s="29" t="str">
        <x:v>A1</x:v>
      </x:c>
      <x:c r="C587" s="48" t="n">
        <x:v>1.2428067987882208</x:v>
      </x:c>
      <x:c r="D587" s="48" t="n">
        <x:v>0.9968513012150622</x:v>
      </x:c>
      <x:c r="E587" s="48" t="n">
        <x:v>0.5330734134925085</x:v>
      </x:c>
      <x:c r="F587" s="48" t="n">
        <x:v>-0.16885292964064058</x:v>
      </x:c>
      <x:c r="G587" s="48" t="n">
        <x:v>-0.17650061946515028</x:v>
      </x:c>
      <x:c r="H587" s="48" t="n">
        <x:v>0.8470190424693771</x:v>
      </x:c>
      <x:c r="I587" s="48" t="n">
        <x:v>0.716954745917911</x:v>
      </x:c>
      <x:c r="J587" s="48" t="n">
        <x:v>0.9932651370989306</x:v>
      </x:c>
      <x:c r="K587" s="48" t="n">
        <x:v>0.8419811484961395</x:v>
      </x:c>
      <x:c r="L587" s="48" t="n">
        <x:v>0.7763442533219513</x:v>
      </x:c>
      <x:c r="M587" s="48" t="n">
        <x:v>0.1507475329925767</x:v>
      </x:c>
      <x:c r="N587" s="48" t="n">
        <x:v>0.7748498856219381</x:v>
      </x:c>
      <x:c r="O587" s="48" t="n">
        <x:v>0.874694994457014</x:v>
      </x:c>
      <x:c r="P587" s="48" t="n">
        <x:v>0.5283698084305781</x:v>
      </x:c>
      <x:c r="Q587" s="48" t="n">
        <x:v>1</x:v>
      </x:c>
      <x:c r="R587" s="48" t="n">
        <x:v>0.8452679855842764</x:v>
      </x:c>
      <x:c r="S587" s="29" t="n">
        <x:v>0</x:v>
      </x:c>
    </x:row>
    <x:row r="588" ht="21.600000381469727" hidden="0" customHeight="1">
      <x:c r="A588" s="27" t="n">
        <x:v>195</x:v>
      </x:c>
      <x:c r="B588" s="27" t="str">
        <x:v>A2</x:v>
      </x:c>
      <x:c r="C588" s="47" t="n">
        <x:v>1.2428067987882208</x:v>
      </x:c>
      <x:c r="D588" s="47" t="n">
        <x:v>0.9968513012150622</x:v>
      </x:c>
      <x:c r="E588" s="47" t="n">
        <x:v>0.5330734134925085</x:v>
      </x:c>
      <x:c r="F588" s="47" t="n">
        <x:v>-0.16885292964064058</x:v>
      </x:c>
      <x:c r="G588" s="47" t="n">
        <x:v>-0.17650061946515028</x:v>
      </x:c>
      <x:c r="H588" s="47" t="n">
        <x:v>0.8470190424693771</x:v>
      </x:c>
      <x:c r="I588" s="47" t="n">
        <x:v>0.716954745917911</x:v>
      </x:c>
      <x:c r="J588" s="47" t="n">
        <x:v>0.9932651370989306</x:v>
      </x:c>
      <x:c r="K588" s="47" t="n">
        <x:v>0.8419811484961395</x:v>
      </x:c>
      <x:c r="L588" s="47" t="n">
        <x:v>0.7763442533219513</x:v>
      </x:c>
      <x:c r="M588" s="47" t="n">
        <x:v>0.1507475329925767</x:v>
      </x:c>
      <x:c r="N588" s="47" t="n">
        <x:v>0.7748498856219381</x:v>
      </x:c>
      <x:c r="O588" s="47" t="n">
        <x:v>0.930829377020393</x:v>
      </x:c>
      <x:c r="P588" s="47" t="n">
        <x:v>0.64439691096136</x:v>
      </x:c>
      <x:c r="Q588" s="47" t="n">
        <x:v>1</x:v>
      </x:c>
      <x:c r="R588" s="47" t="n">
        <x:v>0.9145851373961793</x:v>
      </x:c>
      <x:c r="S588" s="27" t="n">
        <x:v>0</x:v>
      </x:c>
    </x:row>
    <x:row r="589" ht="21.600000381469727" hidden="0" customHeight="1">
      <x:c r="A589" s="29" t="n">
        <x:v>195</x:v>
      </x:c>
      <x:c r="B589" s="29" t="str">
        <x:v>A3</x:v>
      </x:c>
      <x:c r="C589" s="48" t="n">
        <x:v>1.2428067987882208</x:v>
      </x:c>
      <x:c r="D589" s="48" t="n">
        <x:v>0.9968513012150622</x:v>
      </x:c>
      <x:c r="E589" s="48" t="n">
        <x:v>0.5330734134925085</x:v>
      </x:c>
      <x:c r="F589" s="48" t="n">
        <x:v>-0.16885292964064058</x:v>
      </x:c>
      <x:c r="G589" s="48" t="n">
        <x:v>-0.17650061946515028</x:v>
      </x:c>
      <x:c r="H589" s="48" t="n">
        <x:v>0.8470190424693771</x:v>
      </x:c>
      <x:c r="I589" s="48" t="n">
        <x:v>0.716954745917911</x:v>
      </x:c>
      <x:c r="J589" s="48" t="n">
        <x:v>0.9932651370989306</x:v>
      </x:c>
      <x:c r="K589" s="48" t="n">
        <x:v>0.8419811484961395</x:v>
      </x:c>
      <x:c r="L589" s="48" t="n">
        <x:v>0.7763442533219513</x:v>
      </x:c>
      <x:c r="M589" s="48" t="n">
        <x:v>0.1507475329925767</x:v>
      </x:c>
      <x:c r="N589" s="48" t="n">
        <x:v>0.7748498856219381</x:v>
      </x:c>
      <x:c r="O589" s="48" t="n">
        <x:v>1</x:v>
      </x:c>
      <x:c r="P589" s="48" t="n">
        <x:v>1</x:v>
      </x:c>
      <x:c r="Q589" s="48" t="n">
        <x:v>1</x:v>
      </x:c>
      <x:c r="R589" s="48" t="n">
        <x:v>1</x:v>
      </x:c>
      <x:c r="S589" s="29" t="n">
        <x:v>1</x:v>
      </x:c>
    </x:row>
    <x:row r="590" ht="21.600000381469727" hidden="0" customHeight="1">
      <x:c r="A590" s="27" t="n">
        <x:v>196</x:v>
      </x:c>
      <x:c r="B590" s="27" t="str">
        <x:v>A1</x:v>
      </x:c>
      <x:c r="C590" s="47" t="n">
        <x:v>1.1671884197712734</x:v>
      </x:c>
      <x:c r="D590" s="47" t="n">
        <x:v>0.8754495797689176</x:v>
      </x:c>
      <x:c r="E590" s="47" t="n">
        <x:v>0.7657293670165879</x:v>
      </x:c>
      <x:c r="F590" s="47" t="n">
        <x:v>-0.10581662850727822</x:v>
      </x:c>
      <x:c r="G590" s="47" t="n">
        <x:v>-0.165728874134793</x:v>
      </x:c>
      <x:c r="H590" s="47" t="n">
        <x:v>0.7045471381559198</x:v>
      </x:c>
      <x:c r="I590" s="47" t="n">
        <x:v>0.6533273422338866</x:v>
      </x:c>
      <x:c r="J590" s="47" t="n">
        <x:v>0.4874079864080268</x:v>
      </x:c>
      <x:c r="K590" s="47" t="n">
        <x:v>0.791292529545195</x:v>
      </x:c>
      <x:c r="L590" s="47" t="n">
        <x:v>0.7141746666627675</x:v>
      </x:c>
      <x:c r="M590" s="47" t="n">
        <x:v>0.0998069198346921</x:v>
      </x:c>
      <x:c r="N590" s="47" t="n">
        <x:v>0.7312213252755873</x:v>
      </x:c>
      <x:c r="O590" s="47" t="n">
        <x:v>0.8123655962872933</x:v>
      </x:c>
      <x:c r="P590" s="47" t="n">
        <x:v>0.5336745023831551</x:v>
      </x:c>
      <x:c r="Q590" s="47" t="n">
        <x:v>1</x:v>
      </x:c>
      <x:c r="R590" s="47" t="n">
        <x:v>0.7683009618462494</x:v>
      </x:c>
      <x:c r="S590" s="27" t="n">
        <x:v>0</x:v>
      </x:c>
    </x:row>
    <x:row r="591" ht="21.600000381469727" hidden="0" customHeight="1">
      <x:c r="A591" s="29" t="n">
        <x:v>196</x:v>
      </x:c>
      <x:c r="B591" s="29" t="str">
        <x:v>A2</x:v>
      </x:c>
      <x:c r="C591" s="48" t="n">
        <x:v>1.1671884197712734</x:v>
      </x:c>
      <x:c r="D591" s="48" t="n">
        <x:v>0.8754495797689176</x:v>
      </x:c>
      <x:c r="E591" s="48" t="n">
        <x:v>0.7657293670165879</x:v>
      </x:c>
      <x:c r="F591" s="48" t="n">
        <x:v>-0.10581662850727822</x:v>
      </x:c>
      <x:c r="G591" s="48" t="n">
        <x:v>-0.165728874134793</x:v>
      </x:c>
      <x:c r="H591" s="48" t="n">
        <x:v>0.7045471381559198</x:v>
      </x:c>
      <x:c r="I591" s="48" t="n">
        <x:v>0.6533273422338866</x:v>
      </x:c>
      <x:c r="J591" s="48" t="n">
        <x:v>0.4874079864080268</x:v>
      </x:c>
      <x:c r="K591" s="48" t="n">
        <x:v>0.791292529545195</x:v>
      </x:c>
      <x:c r="L591" s="48" t="n">
        <x:v>0.7141746666627675</x:v>
      </x:c>
      <x:c r="M591" s="48" t="n">
        <x:v>0.0998069198346921</x:v>
      </x:c>
      <x:c r="N591" s="48" t="n">
        <x:v>0.7312213252755873</x:v>
      </x:c>
      <x:c r="O591" s="48" t="n">
        <x:v>0.9016037096203751</x:v>
      </x:c>
      <x:c r="P591" s="48" t="n">
        <x:v>0.6251795500705071</x:v>
      </x:c>
      <x:c r="Q591" s="48" t="n">
        <x:v>1</x:v>
      </x:c>
      <x:c r="R591" s="48" t="n">
        <x:v>0.8784960253144006</x:v>
      </x:c>
      <x:c r="S591" s="29" t="n">
        <x:v>0</x:v>
      </x:c>
    </x:row>
    <x:row r="592" ht="21.600000381469727" hidden="0" customHeight="1">
      <x:c r="A592" s="27" t="n">
        <x:v>196</x:v>
      </x:c>
      <x:c r="B592" s="27" t="str">
        <x:v>A3</x:v>
      </x:c>
      <x:c r="C592" s="47" t="n">
        <x:v>1.1671884197712734</x:v>
      </x:c>
      <x:c r="D592" s="47" t="n">
        <x:v>0.8754495797689176</x:v>
      </x:c>
      <x:c r="E592" s="47" t="n">
        <x:v>0.7657293670165879</x:v>
      </x:c>
      <x:c r="F592" s="47" t="n">
        <x:v>-0.10581662850727822</x:v>
      </x:c>
      <x:c r="G592" s="47" t="n">
        <x:v>-0.165728874134793</x:v>
      </x:c>
      <x:c r="H592" s="47" t="n">
        <x:v>0.7045471381559198</x:v>
      </x:c>
      <x:c r="I592" s="47" t="n">
        <x:v>0.6533273422338866</x:v>
      </x:c>
      <x:c r="J592" s="47" t="n">
        <x:v>0.4874079864080268</x:v>
      </x:c>
      <x:c r="K592" s="47" t="n">
        <x:v>0.791292529545195</x:v>
      </x:c>
      <x:c r="L592" s="47" t="n">
        <x:v>0.7141746666627675</x:v>
      </x:c>
      <x:c r="M592" s="47" t="n">
        <x:v>0.0998069198346921</x:v>
      </x:c>
      <x:c r="N592" s="47" t="n">
        <x:v>0.7312213252755873</x:v>
      </x:c>
      <x:c r="O592" s="47" t="n">
        <x:v>1</x:v>
      </x:c>
      <x:c r="P592" s="47" t="n">
        <x:v>1</x:v>
      </x:c>
      <x:c r="Q592" s="47" t="n">
        <x:v>1</x:v>
      </x:c>
      <x:c r="R592" s="47" t="n">
        <x:v>1</x:v>
      </x:c>
      <x:c r="S592" s="27" t="n">
        <x:v>1</x:v>
      </x:c>
    </x:row>
    <x:row r="593" ht="21.600000381469727" hidden="0" customHeight="1">
      <x:c r="A593" s="29" t="n">
        <x:v>197</x:v>
      </x:c>
      <x:c r="B593" s="29" t="str">
        <x:v>A1</x:v>
      </x:c>
      <x:c r="C593" s="48" t="n">
        <x:v>1.061718215334977</x:v>
      </x:c>
      <x:c r="D593" s="48" t="n">
        <x:v>0.8683514266748817</x:v>
      </x:c>
      <x:c r="E593" s="48" t="n">
        <x:v>0.5868101832648283</x:v>
      </x:c>
      <x:c r="F593" s="48" t="n">
        <x:v>0.010422001327130614</x:v>
      </x:c>
      <x:c r="G593" s="48" t="n">
        <x:v>-0.18608074234243302</x:v>
      </x:c>
      <x:c r="H593" s="48" t="n">
        <x:v>0.6288532249758189</x:v>
      </x:c>
      <x:c r="I593" s="48" t="n">
        <x:v>0.7944438327456851</x:v>
      </x:c>
      <x:c r="J593" s="48" t="n">
        <x:v>0.968768146144301</x:v>
      </x:c>
      <x:c r="K593" s="48" t="n">
        <x:v>0.6622083316339225</x:v>
      </x:c>
      <x:c r="L593" s="48" t="n">
        <x:v>0.8521275658037676</x:v>
      </x:c>
      <x:c r="M593" s="48" t="n">
        <x:v>0.09389483163247161</x:v>
      </x:c>
      <x:c r="N593" s="48" t="n">
        <x:v>0.7435330955734786</x:v>
      </x:c>
      <x:c r="O593" s="48" t="n">
        <x:v>0.9103891879261642</x:v>
      </x:c>
      <x:c r="P593" s="48" t="n">
        <x:v>0.6168180243604564</x:v>
      </x:c>
      <x:c r="Q593" s="48" t="n">
        <x:v>1</x:v>
      </x:c>
      <x:c r="R593" s="48" t="n">
        <x:v>0.889344712084492</x:v>
      </x:c>
      <x:c r="S593" s="29" t="n">
        <x:v>0</x:v>
      </x:c>
    </x:row>
    <x:row r="594" ht="21.600000381469727" hidden="0" customHeight="1">
      <x:c r="A594" s="27" t="n">
        <x:v>197</x:v>
      </x:c>
      <x:c r="B594" s="27" t="str">
        <x:v>A2</x:v>
      </x:c>
      <x:c r="C594" s="47" t="n">
        <x:v>1.061718215334977</x:v>
      </x:c>
      <x:c r="D594" s="47" t="n">
        <x:v>0.8683514266748817</x:v>
      </x:c>
      <x:c r="E594" s="47" t="n">
        <x:v>0.5868101832648283</x:v>
      </x:c>
      <x:c r="F594" s="47" t="n">
        <x:v>0.010422001327130614</x:v>
      </x:c>
      <x:c r="G594" s="47" t="n">
        <x:v>-0.18608074234243302</x:v>
      </x:c>
      <x:c r="H594" s="47" t="n">
        <x:v>0.6288532249758189</x:v>
      </x:c>
      <x:c r="I594" s="47" t="n">
        <x:v>0.7944438327456851</x:v>
      </x:c>
      <x:c r="J594" s="47" t="n">
        <x:v>0.968768146144301</x:v>
      </x:c>
      <x:c r="K594" s="47" t="n">
        <x:v>0.6622083316339225</x:v>
      </x:c>
      <x:c r="L594" s="47" t="n">
        <x:v>0.8521275658037676</x:v>
      </x:c>
      <x:c r="M594" s="47" t="n">
        <x:v>0.09389483163247161</x:v>
      </x:c>
      <x:c r="N594" s="47" t="n">
        <x:v>0.7435330955734786</x:v>
      </x:c>
      <x:c r="O594" s="47" t="n">
        <x:v>0.9485233931590538</x:v>
      </x:c>
      <x:c r="P594" s="47" t="n">
        <x:v>0.6614358003307821</x:v>
      </x:c>
      <x:c r="Q594" s="47" t="n">
        <x:v>1</x:v>
      </x:c>
      <x:c r="R594" s="47" t="n">
        <x:v>0.9364344701373212</x:v>
      </x:c>
      <x:c r="S594" s="27" t="n">
        <x:v>0</x:v>
      </x:c>
    </x:row>
    <x:row r="595" ht="21.600000381469727" hidden="0" customHeight="1">
      <x:c r="A595" s="29" t="n">
        <x:v>197</x:v>
      </x:c>
      <x:c r="B595" s="29" t="str">
        <x:v>A3</x:v>
      </x:c>
      <x:c r="C595" s="48" t="n">
        <x:v>1.061718215334977</x:v>
      </x:c>
      <x:c r="D595" s="48" t="n">
        <x:v>0.8683514266748817</x:v>
      </x:c>
      <x:c r="E595" s="48" t="n">
        <x:v>0.5868101832648283</x:v>
      </x:c>
      <x:c r="F595" s="48" t="n">
        <x:v>0.010422001327130614</x:v>
      </x:c>
      <x:c r="G595" s="48" t="n">
        <x:v>-0.18608074234243302</x:v>
      </x:c>
      <x:c r="H595" s="48" t="n">
        <x:v>0.6288532249758189</x:v>
      </x:c>
      <x:c r="I595" s="48" t="n">
        <x:v>0.7944438327456851</x:v>
      </x:c>
      <x:c r="J595" s="48" t="n">
        <x:v>0.968768146144301</x:v>
      </x:c>
      <x:c r="K595" s="48" t="n">
        <x:v>0.6622083316339225</x:v>
      </x:c>
      <x:c r="L595" s="48" t="n">
        <x:v>0.8521275658037676</x:v>
      </x:c>
      <x:c r="M595" s="48" t="n">
        <x:v>0.09389483163247161</x:v>
      </x:c>
      <x:c r="N595" s="48" t="n">
        <x:v>0.7435330955734786</x:v>
      </x:c>
      <x:c r="O595" s="48" t="n">
        <x:v>1</x:v>
      </x:c>
      <x:c r="P595" s="48" t="n">
        <x:v>1</x:v>
      </x:c>
      <x:c r="Q595" s="48" t="n">
        <x:v>1</x:v>
      </x:c>
      <x:c r="R595" s="48" t="n">
        <x:v>1</x:v>
      </x:c>
      <x:c r="S595" s="29" t="n">
        <x:v>1</x:v>
      </x:c>
    </x:row>
    <x:row r="596" ht="21.600000381469727" hidden="0" customHeight="1">
      <x:c r="A596" s="27" t="n">
        <x:v>198</x:v>
      </x:c>
      <x:c r="B596" s="27" t="str">
        <x:v>A1</x:v>
      </x:c>
      <x:c r="C596" s="47" t="n">
        <x:v>1.0079320019437894</x:v>
      </x:c>
      <x:c r="D596" s="47" t="n">
        <x:v>0.8413909224145613</x:v>
      </x:c>
      <x:c r="E596" s="47" t="n">
        <x:v>0.47668662214683954</x:v>
      </x:c>
      <x:c r="F596" s="47" t="n">
        <x:v>-0.004337708621163838</x:v>
      </x:c>
      <x:c r="G596" s="47" t="n">
        <x:v>-0.17486253323535647</x:v>
      </x:c>
      <x:c r="H596" s="47" t="n">
        <x:v>0.9139174245771216</x:v>
      </x:c>
      <x:c r="I596" s="47" t="n">
        <x:v>0.724798081441683</x:v>
      </x:c>
      <x:c r="J596" s="47" t="n">
        <x:v>0.6332293871176049</x:v>
      </x:c>
      <x:c r="K596" s="47" t="n">
        <x:v>0.8380101638556698</x:v>
      </x:c>
      <x:c r="L596" s="47" t="n">
        <x:v>0.7908305364295649</x:v>
      </x:c>
      <x:c r="M596" s="47" t="n">
        <x:v>0.020667592580895195</x:v>
      </x:c>
      <x:c r="N596" s="47" t="n">
        <x:v>0.8671366843821183</x:v>
      </x:c>
      <x:c r="O596" s="47" t="n">
        <x:v>0.8662705779678701</x:v>
      </x:c>
      <x:c r="P596" s="47" t="n">
        <x:v>0.591561421903512</x:v>
      </x:c>
      <x:c r="Q596" s="47" t="n">
        <x:v>1</x:v>
      </x:c>
      <x:c r="R596" s="47" t="n">
        <x:v>0.8348651534867579</x:v>
      </x:c>
      <x:c r="S596" s="27" t="n">
        <x:v>0</x:v>
      </x:c>
    </x:row>
    <x:row r="597" ht="21.600000381469727" hidden="0" customHeight="1">
      <x:c r="A597" s="29" t="n">
        <x:v>198</x:v>
      </x:c>
      <x:c r="B597" s="29" t="str">
        <x:v>A2</x:v>
      </x:c>
      <x:c r="C597" s="48" t="n">
        <x:v>1.0079320019437894</x:v>
      </x:c>
      <x:c r="D597" s="48" t="n">
        <x:v>0.8413909224145613</x:v>
      </x:c>
      <x:c r="E597" s="48" t="n">
        <x:v>0.47668662214683954</x:v>
      </x:c>
      <x:c r="F597" s="48" t="n">
        <x:v>-0.004337708621163838</x:v>
      </x:c>
      <x:c r="G597" s="48" t="n">
        <x:v>-0.17486253323535647</x:v>
      </x:c>
      <x:c r="H597" s="48" t="n">
        <x:v>0.9139174245771216</x:v>
      </x:c>
      <x:c r="I597" s="48" t="n">
        <x:v>0.724798081441683</x:v>
      </x:c>
      <x:c r="J597" s="48" t="n">
        <x:v>0.6332293871176049</x:v>
      </x:c>
      <x:c r="K597" s="48" t="n">
        <x:v>0.8380101638556698</x:v>
      </x:c>
      <x:c r="L597" s="48" t="n">
        <x:v>0.7908305364295649</x:v>
      </x:c>
      <x:c r="M597" s="48" t="n">
        <x:v>0.020667592580895195</x:v>
      </x:c>
      <x:c r="N597" s="48" t="n">
        <x:v>0.8671366843821183</x:v>
      </x:c>
      <x:c r="O597" s="48" t="n">
        <x:v>0.9367211263890628</x:v>
      </x:c>
      <x:c r="P597" s="48" t="n">
        <x:v>0.6496073390915345</x:v>
      </x:c>
      <x:c r="Q597" s="48" t="n">
        <x:v>1</x:v>
      </x:c>
      <x:c r="R597" s="48" t="n">
        <x:v>0.9218605231183731</x:v>
      </x:c>
      <x:c r="S597" s="29" t="n">
        <x:v>0</x:v>
      </x:c>
    </x:row>
    <x:row r="598" ht="21.600000381469727" hidden="0" customHeight="1">
      <x:c r="A598" s="27" t="n">
        <x:v>198</x:v>
      </x:c>
      <x:c r="B598" s="27" t="str">
        <x:v>A3</x:v>
      </x:c>
      <x:c r="C598" s="47" t="n">
        <x:v>1.0079320019437894</x:v>
      </x:c>
      <x:c r="D598" s="47" t="n">
        <x:v>0.8413909224145613</x:v>
      </x:c>
      <x:c r="E598" s="47" t="n">
        <x:v>0.47668662214683954</x:v>
      </x:c>
      <x:c r="F598" s="47" t="n">
        <x:v>-0.004337708621163838</x:v>
      </x:c>
      <x:c r="G598" s="47" t="n">
        <x:v>-0.17486253323535647</x:v>
      </x:c>
      <x:c r="H598" s="47" t="n">
        <x:v>0.9139174245771216</x:v>
      </x:c>
      <x:c r="I598" s="47" t="n">
        <x:v>0.724798081441683</x:v>
      </x:c>
      <x:c r="J598" s="47" t="n">
        <x:v>0.6332293871176049</x:v>
      </x:c>
      <x:c r="K598" s="47" t="n">
        <x:v>0.8380101638556698</x:v>
      </x:c>
      <x:c r="L598" s="47" t="n">
        <x:v>0.7908305364295649</x:v>
      </x:c>
      <x:c r="M598" s="47" t="n">
        <x:v>0.020667592580895195</x:v>
      </x:c>
      <x:c r="N598" s="47" t="n">
        <x:v>0.8671366843821183</x:v>
      </x:c>
      <x:c r="O598" s="47" t="n">
        <x:v>1</x:v>
      </x:c>
      <x:c r="P598" s="47" t="n">
        <x:v>1</x:v>
      </x:c>
      <x:c r="Q598" s="47" t="n">
        <x:v>1</x:v>
      </x:c>
      <x:c r="R598" s="47" t="n">
        <x:v>1</x:v>
      </x:c>
      <x:c r="S598" s="27" t="n">
        <x:v>1</x:v>
      </x:c>
    </x:row>
    <x:row r="599" ht="21.600000381469727" hidden="0" customHeight="1">
      <x:c r="A599" s="29" t="n">
        <x:v>199</x:v>
      </x:c>
      <x:c r="B599" s="29" t="str">
        <x:v>A1</x:v>
      </x:c>
      <x:c r="C599" s="48" t="n">
        <x:v>1.1963506285512884</x:v>
      </x:c>
      <x:c r="D599" s="48" t="n">
        <x:v>0.8432197987692027</x:v>
      </x:c>
      <x:c r="E599" s="48" t="n">
        <x:v>0.5764081163650533</x:v>
      </x:c>
      <x:c r="F599" s="48" t="n">
        <x:v>0.03782799750717897</x:v>
      </x:c>
      <x:c r="G599" s="48" t="n">
        <x:v>-0.03421845501395204</x:v>
      </x:c>
      <x:c r="H599" s="48" t="n">
        <x:v>0.5339199343975879</x:v>
      </x:c>
      <x:c r="I599" s="48" t="n">
        <x:v>0.7097112693674213</x:v>
      </x:c>
      <x:c r="J599" s="48" t="n">
        <x:v>0.7185333848086776</x:v>
      </x:c>
      <x:c r="K599" s="48" t="n">
        <x:v>0.6284104107467177</x:v>
      </x:c>
      <x:c r="L599" s="48" t="n">
        <x:v>0.7525923698749457</x:v>
      </x:c>
      <x:c r="M599" s="48" t="n">
        <x:v>0.12951143934125128</x:v>
      </x:c>
      <x:c r="N599" s="48" t="n">
        <x:v>0.8224950259564094</x:v>
      </x:c>
      <x:c r="O599" s="48" t="n">
        <x:v>0.8026366609212046</x:v>
      </x:c>
      <x:c r="P599" s="48" t="n">
        <x:v>0.4959032101982958</x:v>
      </x:c>
      <x:c r="Q599" s="48" t="n">
        <x:v>1</x:v>
      </x:c>
      <x:c r="R599" s="48" t="n">
        <x:v>0.756287253688367</x:v>
      </x:c>
      <x:c r="S599" s="29" t="n">
        <x:v>0</x:v>
      </x:c>
    </x:row>
    <x:row r="600" ht="21.600000381469727" hidden="0" customHeight="1">
      <x:c r="A600" s="27" t="n">
        <x:v>199</x:v>
      </x:c>
      <x:c r="B600" s="27" t="str">
        <x:v>A2</x:v>
      </x:c>
      <x:c r="C600" s="47" t="n">
        <x:v>1.1963506285512884</x:v>
      </x:c>
      <x:c r="D600" s="47" t="n">
        <x:v>0.8432197987692027</x:v>
      </x:c>
      <x:c r="E600" s="47" t="n">
        <x:v>0.5764081163650533</x:v>
      </x:c>
      <x:c r="F600" s="47" t="n">
        <x:v>0.03782799750717897</x:v>
      </x:c>
      <x:c r="G600" s="47" t="n">
        <x:v>-0.03421845501395204</x:v>
      </x:c>
      <x:c r="H600" s="47" t="n">
        <x:v>0.5339199343975879</x:v>
      </x:c>
      <x:c r="I600" s="47" t="n">
        <x:v>0.7097112693674213</x:v>
      </x:c>
      <x:c r="J600" s="47" t="n">
        <x:v>0.7185333848086776</x:v>
      </x:c>
      <x:c r="K600" s="47" t="n">
        <x:v>0.6284104107467177</x:v>
      </x:c>
      <x:c r="L600" s="47" t="n">
        <x:v>0.7525923698749457</x:v>
      </x:c>
      <x:c r="M600" s="47" t="n">
        <x:v>0.12951143934125128</x:v>
      </x:c>
      <x:c r="N600" s="47" t="n">
        <x:v>0.8224950259564094</x:v>
      </x:c>
      <x:c r="O600" s="47" t="n">
        <x:v>0.8830145331901149</x:v>
      </x:c>
      <x:c r="P600" s="47" t="n">
        <x:v>0.48144741505322086</x:v>
      </x:c>
      <x:c r="Q600" s="47" t="n">
        <x:v>1</x:v>
      </x:c>
      <x:c r="R600" s="47" t="n">
        <x:v>0.8555413101143228</x:v>
      </x:c>
      <x:c r="S600" s="27" t="n">
        <x:v>0</x:v>
      </x:c>
    </x:row>
    <x:row r="601" ht="21.600000381469727" hidden="0" customHeight="1">
      <x:c r="A601" s="29" t="n">
        <x:v>199</x:v>
      </x:c>
      <x:c r="B601" s="29" t="str">
        <x:v>A3</x:v>
      </x:c>
      <x:c r="C601" s="48" t="n">
        <x:v>1.1963506285512884</x:v>
      </x:c>
      <x:c r="D601" s="48" t="n">
        <x:v>0.8432197987692027</x:v>
      </x:c>
      <x:c r="E601" s="48" t="n">
        <x:v>0.5764081163650533</x:v>
      </x:c>
      <x:c r="F601" s="48" t="n">
        <x:v>0.03782799750717897</x:v>
      </x:c>
      <x:c r="G601" s="48" t="n">
        <x:v>-0.03421845501395204</x:v>
      </x:c>
      <x:c r="H601" s="48" t="n">
        <x:v>0.5339199343975879</x:v>
      </x:c>
      <x:c r="I601" s="48" t="n">
        <x:v>0.7097112693674213</x:v>
      </x:c>
      <x:c r="J601" s="48" t="n">
        <x:v>0.7185333848086776</x:v>
      </x:c>
      <x:c r="K601" s="48" t="n">
        <x:v>0.6284104107467177</x:v>
      </x:c>
      <x:c r="L601" s="48" t="n">
        <x:v>0.7525923698749457</x:v>
      </x:c>
      <x:c r="M601" s="48" t="n">
        <x:v>0.12951143934125128</x:v>
      </x:c>
      <x:c r="N601" s="48" t="n">
        <x:v>0.8224950259564094</x:v>
      </x:c>
      <x:c r="O601" s="48" t="n">
        <x:v>1</x:v>
      </x:c>
      <x:c r="P601" s="48" t="n">
        <x:v>1</x:v>
      </x:c>
      <x:c r="Q601" s="48" t="n">
        <x:v>1</x:v>
      </x:c>
      <x:c r="R601" s="48" t="n">
        <x:v>1</x:v>
      </x:c>
      <x:c r="S601" s="29" t="n">
        <x:v>1</x:v>
      </x:c>
    </x:row>
    <x:row r="602" ht="21.600000381469727" hidden="0" customHeight="1">
      <x:c r="A602" s="27" t="n">
        <x:v>200</x:v>
      </x:c>
      <x:c r="B602" s="27" t="str">
        <x:v>A1</x:v>
      </x:c>
      <x:c r="C602" s="47" t="n">
        <x:v>1.2862146269834713</x:v>
      </x:c>
      <x:c r="D602" s="47" t="n">
        <x:v>0.9846483620574253</x:v>
      </x:c>
      <x:c r="E602" s="47" t="n">
        <x:v>0.47004112061491554</x:v>
      </x:c>
      <x:c r="F602" s="47" t="n">
        <x:v>-0.18928062169480162</x:v>
      </x:c>
      <x:c r="G602" s="47" t="n">
        <x:v>-0.12984961846464826</x:v>
      </x:c>
      <x:c r="H602" s="47" t="n">
        <x:v>0.9359577029699757</x:v>
      </x:c>
      <x:c r="I602" s="47" t="n">
        <x:v>0.8395618115220835</x:v>
      </x:c>
      <x:c r="J602" s="47" t="n">
        <x:v>0.9427543393676088</x:v>
      </x:c>
      <x:c r="K602" s="47" t="n">
        <x:v>0.6364709202581031</x:v>
      </x:c>
      <x:c r="L602" s="47" t="n">
        <x:v>0.9124617624296316</x:v>
      </x:c>
      <x:c r="M602" s="47" t="n">
        <x:v>0.17059909342596305</x:v>
      </x:c>
      <x:c r="N602" s="47" t="n">
        <x:v>0.8509190002606521</x:v>
      </x:c>
      <x:c r="O602" s="47" t="n">
        <x:v>0.8350638318498799</x:v>
      </x:c>
      <x:c r="P602" s="47" t="n">
        <x:v>0.515050011769709</x:v>
      </x:c>
      <x:c r="Q602" s="47" t="n">
        <x:v>1</x:v>
      </x:c>
      <x:c r="R602" s="47" t="n">
        <x:v>0.7963297201313826</x:v>
      </x:c>
      <x:c r="S602" s="27" t="n">
        <x:v>0</x:v>
      </x:c>
    </x:row>
    <x:row r="603" ht="21.600000381469727" hidden="0" customHeight="1">
      <x:c r="A603" s="29" t="n">
        <x:v>200</x:v>
      </x:c>
      <x:c r="B603" s="29" t="str">
        <x:v>A2</x:v>
      </x:c>
      <x:c r="C603" s="48" t="n">
        <x:v>1.2862146269834713</x:v>
      </x:c>
      <x:c r="D603" s="48" t="n">
        <x:v>0.9846483620574253</x:v>
      </x:c>
      <x:c r="E603" s="48" t="n">
        <x:v>0.47004112061491554</x:v>
      </x:c>
      <x:c r="F603" s="48" t="n">
        <x:v>-0.18928062169480162</x:v>
      </x:c>
      <x:c r="G603" s="48" t="n">
        <x:v>-0.12984961846464826</x:v>
      </x:c>
      <x:c r="H603" s="48" t="n">
        <x:v>0.9359577029699757</x:v>
      </x:c>
      <x:c r="I603" s="48" t="n">
        <x:v>0.8395618115220835</x:v>
      </x:c>
      <x:c r="J603" s="48" t="n">
        <x:v>0.9427543393676088</x:v>
      </x:c>
      <x:c r="K603" s="48" t="n">
        <x:v>0.6364709202581031</x:v>
      </x:c>
      <x:c r="L603" s="48" t="n">
        <x:v>0.9124617624296316</x:v>
      </x:c>
      <x:c r="M603" s="48" t="n">
        <x:v>0.17059909342596305</x:v>
      </x:c>
      <x:c r="N603" s="48" t="n">
        <x:v>0.8509190002606521</x:v>
      </x:c>
      <x:c r="O603" s="48" t="n">
        <x:v>0.9330334569827078</x:v>
      </x:c>
      <x:c r="P603" s="48" t="n">
        <x:v>0.6226381792567491</x:v>
      </x:c>
      <x:c r="Q603" s="48" t="n">
        <x:v>1</x:v>
      </x:c>
      <x:c r="R603" s="48" t="n">
        <x:v>0.9173068302050537</x:v>
      </x:c>
      <x:c r="S603" s="29" t="n">
        <x:v>0</x:v>
      </x:c>
    </x:row>
    <x:row r="604" ht="21.600000381469727" hidden="0" customHeight="1">
      <x:c r="A604" s="27" t="n">
        <x:v>200</x:v>
      </x:c>
      <x:c r="B604" s="27" t="str">
        <x:v>A3</x:v>
      </x:c>
      <x:c r="C604" s="47" t="n">
        <x:v>1.2862146269834713</x:v>
      </x:c>
      <x:c r="D604" s="47" t="n">
        <x:v>0.9846483620574253</x:v>
      </x:c>
      <x:c r="E604" s="47" t="n">
        <x:v>0.47004112061491554</x:v>
      </x:c>
      <x:c r="F604" s="47" t="n">
        <x:v>-0.18928062169480162</x:v>
      </x:c>
      <x:c r="G604" s="47" t="n">
        <x:v>-0.12984961846464826</x:v>
      </x:c>
      <x:c r="H604" s="47" t="n">
        <x:v>0.9359577029699757</x:v>
      </x:c>
      <x:c r="I604" s="47" t="n">
        <x:v>0.8395618115220835</x:v>
      </x:c>
      <x:c r="J604" s="47" t="n">
        <x:v>0.9427543393676088</x:v>
      </x:c>
      <x:c r="K604" s="47" t="n">
        <x:v>0.6364709202581031</x:v>
      </x:c>
      <x:c r="L604" s="47" t="n">
        <x:v>0.9124617624296316</x:v>
      </x:c>
      <x:c r="M604" s="47" t="n">
        <x:v>0.17059909342596305</x:v>
      </x:c>
      <x:c r="N604" s="47" t="n">
        <x:v>0.8509190002606521</x:v>
      </x:c>
      <x:c r="O604" s="47" t="n">
        <x:v>1</x:v>
      </x:c>
      <x:c r="P604" s="47" t="n">
        <x:v>1</x:v>
      </x:c>
      <x:c r="Q604" s="47" t="n">
        <x:v>1</x:v>
      </x:c>
      <x:c r="R604" s="47" t="n">
        <x:v>1</x:v>
      </x:c>
      <x:c r="S604" s="27" t="n">
        <x:v>1</x:v>
      </x:c>
    </x:row>
    <x:row r="605" ht="21.600000381469727" hidden="0" customHeight="1">
      <x:c r="A605" s="29" t="n">
        <x:v>201</x:v>
      </x:c>
      <x:c r="B605" s="29" t="str">
        <x:v>A1</x:v>
      </x:c>
      <x:c r="C605" s="48" t="n">
        <x:v>1.088103095728705</x:v>
      </x:c>
      <x:c r="D605" s="48" t="n">
        <x:v>0.8083179865896591</x:v>
      </x:c>
      <x:c r="E605" s="48" t="n">
        <x:v>1.0284592459378175</x:v>
      </x:c>
      <x:c r="F605" s="48" t="n">
        <x:v>-0.19646492651059902</x:v>
      </x:c>
      <x:c r="G605" s="48" t="n">
        <x:v>-0.16462054668833837</x:v>
      </x:c>
      <x:c r="H605" s="48" t="n">
        <x:v>0.9999718142628438</x:v>
      </x:c>
      <x:c r="I605" s="48" t="n">
        <x:v>0.6683967530122581</x:v>
      </x:c>
      <x:c r="J605" s="48" t="n">
        <x:v>0.6581139055656673</x:v>
      </x:c>
      <x:c r="K605" s="48" t="n">
        <x:v>0.6054813058953196</x:v>
      </x:c>
      <x:c r="L605" s="48" t="n">
        <x:v>0.9431886431948755</x:v>
      </x:c>
      <x:c r="M605" s="48" t="n">
        <x:v>0.06227158944631434</x:v>
      </x:c>
      <x:c r="N605" s="48" t="n">
        <x:v>0.8015586894123456</x:v>
      </x:c>
      <x:c r="O605" s="48" t="n">
        <x:v>0.8637313865842163</x:v>
      </x:c>
      <x:c r="P605" s="48" t="n">
        <x:v>0.6148787281066861</x:v>
      </x:c>
      <x:c r="Q605" s="48" t="n">
        <x:v>1</x:v>
      </x:c>
      <x:c r="R605" s="48" t="n">
        <x:v>0.8317296506704319</x:v>
      </x:c>
      <x:c r="S605" s="29" t="n">
        <x:v>0</x:v>
      </x:c>
    </x:row>
    <x:row r="606" ht="21.600000381469727" hidden="0" customHeight="1">
      <x:c r="A606" s="27" t="n">
        <x:v>201</x:v>
      </x:c>
      <x:c r="B606" s="27" t="str">
        <x:v>A2</x:v>
      </x:c>
      <x:c r="C606" s="47" t="n">
        <x:v>1.088103095728705</x:v>
      </x:c>
      <x:c r="D606" s="47" t="n">
        <x:v>0.8083179865896591</x:v>
      </x:c>
      <x:c r="E606" s="47" t="n">
        <x:v>1.0284592459378175</x:v>
      </x:c>
      <x:c r="F606" s="47" t="n">
        <x:v>-0.19646492651059902</x:v>
      </x:c>
      <x:c r="G606" s="47" t="n">
        <x:v>-0.16462054668833837</x:v>
      </x:c>
      <x:c r="H606" s="47" t="n">
        <x:v>0.9999718142628438</x:v>
      </x:c>
      <x:c r="I606" s="47" t="n">
        <x:v>0.6683967530122581</x:v>
      </x:c>
      <x:c r="J606" s="47" t="n">
        <x:v>0.6581139055656673</x:v>
      </x:c>
      <x:c r="K606" s="47" t="n">
        <x:v>0.6054813058953196</x:v>
      </x:c>
      <x:c r="L606" s="47" t="n">
        <x:v>0.9431886431948755</x:v>
      </x:c>
      <x:c r="M606" s="47" t="n">
        <x:v>0.06227158944631434</x:v>
      </x:c>
      <x:c r="N606" s="47" t="n">
        <x:v>0.8015586894123456</x:v>
      </x:c>
      <x:c r="O606" s="47" t="n">
        <x:v>0.9419740389635554</x:v>
      </x:c>
      <x:c r="P606" s="47" t="n">
        <x:v>0.6191003596911482</x:v>
      </x:c>
      <x:c r="Q606" s="47" t="n">
        <x:v>1</x:v>
      </x:c>
      <x:c r="R606" s="47" t="n">
        <x:v>0.9283470456693185</x:v>
      </x:c>
      <x:c r="S606" s="27" t="n">
        <x:v>0</x:v>
      </x:c>
    </x:row>
    <x:row r="607" ht="21.600000381469727" hidden="0" customHeight="1">
      <x:c r="A607" s="29" t="n">
        <x:v>201</x:v>
      </x:c>
      <x:c r="B607" s="29" t="str">
        <x:v>A3</x:v>
      </x:c>
      <x:c r="C607" s="48" t="n">
        <x:v>1.088103095728705</x:v>
      </x:c>
      <x:c r="D607" s="48" t="n">
        <x:v>0.8083179865896591</x:v>
      </x:c>
      <x:c r="E607" s="48" t="n">
        <x:v>1.0284592459378175</x:v>
      </x:c>
      <x:c r="F607" s="48" t="n">
        <x:v>-0.19646492651059902</x:v>
      </x:c>
      <x:c r="G607" s="48" t="n">
        <x:v>-0.16462054668833837</x:v>
      </x:c>
      <x:c r="H607" s="48" t="n">
        <x:v>0.9999718142628438</x:v>
      </x:c>
      <x:c r="I607" s="48" t="n">
        <x:v>0.6683967530122581</x:v>
      </x:c>
      <x:c r="J607" s="48" t="n">
        <x:v>0.6581139055656673</x:v>
      </x:c>
      <x:c r="K607" s="48" t="n">
        <x:v>0.6054813058953196</x:v>
      </x:c>
      <x:c r="L607" s="48" t="n">
        <x:v>0.9431886431948755</x:v>
      </x:c>
      <x:c r="M607" s="48" t="n">
        <x:v>0.06227158944631434</x:v>
      </x:c>
      <x:c r="N607" s="48" t="n">
        <x:v>0.8015586894123456</x:v>
      </x:c>
      <x:c r="O607" s="48" t="n">
        <x:v>1</x:v>
      </x:c>
      <x:c r="P607" s="48" t="n">
        <x:v>1</x:v>
      </x:c>
      <x:c r="Q607" s="48" t="n">
        <x:v>1</x:v>
      </x:c>
      <x:c r="R607" s="48" t="n">
        <x:v>1</x:v>
      </x:c>
      <x:c r="S607" s="29" t="n">
        <x:v>1</x:v>
      </x:c>
    </x:row>
    <x:row r="608" ht="21.600000381469727" hidden="0" customHeight="1">
      <x:c r="A608" s="27" t="n">
        <x:v>202</x:v>
      </x:c>
      <x:c r="B608" s="27" t="str">
        <x:v>A1</x:v>
      </x:c>
      <x:c r="C608" s="47" t="n">
        <x:v>1.1224912080914837</x:v>
      </x:c>
      <x:c r="D608" s="47" t="n">
        <x:v>0.9888442853265476</x:v>
      </x:c>
      <x:c r="E608" s="47" t="n">
        <x:v>1.0434921513950444</x:v>
      </x:c>
      <x:c r="F608" s="47" t="n">
        <x:v>-0.1575809839588438</x:v>
      </x:c>
      <x:c r="G608" s="47" t="n">
        <x:v>0.0007713140340634417</x:v>
      </x:c>
      <x:c r="H608" s="47" t="n">
        <x:v>0.38324832135173975</x:v>
      </x:c>
      <x:c r="I608" s="47" t="n">
        <x:v>0.7101585828561405</x:v>
      </x:c>
      <x:c r="J608" s="47" t="n">
        <x:v>0.6562048788334173</x:v>
      </x:c>
      <x:c r="K608" s="47" t="n">
        <x:v>0.9091950972171176</x:v>
      </x:c>
      <x:c r="L608" s="47" t="n">
        <x:v>0.7119950924076123</x:v>
      </x:c>
      <x:c r="M608" s="47" t="n">
        <x:v>0.16638344286313742</x:v>
      </x:c>
      <x:c r="N608" s="47" t="n">
        <x:v>0.8885271600569795</x:v>
      </x:c>
      <x:c r="O608" s="47" t="n">
        <x:v>0.9052812814463107</x:v>
      </x:c>
      <x:c r="P608" s="47" t="n">
        <x:v>0.6679317731639683</x:v>
      </x:c>
      <x:c r="Q608" s="47" t="n">
        <x:v>1</x:v>
      </x:c>
      <x:c r="R608" s="47" t="n">
        <x:v>0.8830372493007828</x:v>
      </x:c>
      <x:c r="S608" s="27" t="n">
        <x:v>0</x:v>
      </x:c>
    </x:row>
    <x:row r="609" ht="21.600000381469727" hidden="0" customHeight="1">
      <x:c r="A609" s="29" t="n">
        <x:v>202</x:v>
      </x:c>
      <x:c r="B609" s="29" t="str">
        <x:v>A2</x:v>
      </x:c>
      <x:c r="C609" s="48" t="n">
        <x:v>1.1224912080914837</x:v>
      </x:c>
      <x:c r="D609" s="48" t="n">
        <x:v>0.9888442853265476</x:v>
      </x:c>
      <x:c r="E609" s="48" t="n">
        <x:v>1.0434921513950444</x:v>
      </x:c>
      <x:c r="F609" s="48" t="n">
        <x:v>-0.1575809839588438</x:v>
      </x:c>
      <x:c r="G609" s="48" t="n">
        <x:v>0.0007713140340634417</x:v>
      </x:c>
      <x:c r="H609" s="48" t="n">
        <x:v>0.38324832135173975</x:v>
      </x:c>
      <x:c r="I609" s="48" t="n">
        <x:v>0.7101585828561405</x:v>
      </x:c>
      <x:c r="J609" s="48" t="n">
        <x:v>0.6562048788334173</x:v>
      </x:c>
      <x:c r="K609" s="48" t="n">
        <x:v>0.9091950972171176</x:v>
      </x:c>
      <x:c r="L609" s="48" t="n">
        <x:v>0.7119950924076123</x:v>
      </x:c>
      <x:c r="M609" s="48" t="n">
        <x:v>0.16638344286313742</x:v>
      </x:c>
      <x:c r="N609" s="48" t="n">
        <x:v>0.8885271600569795</x:v>
      </x:c>
      <x:c r="O609" s="48" t="n">
        <x:v>0.986876214110254</x:v>
      </x:c>
      <x:c r="P609" s="48" t="n">
        <x:v>0.8687621411025404</x:v>
      </x:c>
      <x:c r="Q609" s="48" t="n">
        <x:v>1</x:v>
      </x:c>
      <x:c r="R609" s="48" t="n">
        <x:v>0.9837941842891152</x:v>
      </x:c>
      <x:c r="S609" s="29" t="n">
        <x:v>0</x:v>
      </x:c>
    </x:row>
    <x:row r="610" ht="21.600000381469727" hidden="0" customHeight="1">
      <x:c r="A610" s="27" t="n">
        <x:v>202</x:v>
      </x:c>
      <x:c r="B610" s="27" t="str">
        <x:v>A3</x:v>
      </x:c>
      <x:c r="C610" s="47" t="n">
        <x:v>1.1224912080914837</x:v>
      </x:c>
      <x:c r="D610" s="47" t="n">
        <x:v>0.9888442853265476</x:v>
      </x:c>
      <x:c r="E610" s="47" t="n">
        <x:v>1.0434921513950444</x:v>
      </x:c>
      <x:c r="F610" s="47" t="n">
        <x:v>-0.1575809839588438</x:v>
      </x:c>
      <x:c r="G610" s="47" t="n">
        <x:v>0.0007713140340634417</x:v>
      </x:c>
      <x:c r="H610" s="47" t="n">
        <x:v>0.38324832135173975</x:v>
      </x:c>
      <x:c r="I610" s="47" t="n">
        <x:v>0.7101585828561405</x:v>
      </x:c>
      <x:c r="J610" s="47" t="n">
        <x:v>0.6562048788334173</x:v>
      </x:c>
      <x:c r="K610" s="47" t="n">
        <x:v>0.9091950972171176</x:v>
      </x:c>
      <x:c r="L610" s="47" t="n">
        <x:v>0.7119950924076123</x:v>
      </x:c>
      <x:c r="M610" s="47" t="n">
        <x:v>0.16638344286313742</x:v>
      </x:c>
      <x:c r="N610" s="47" t="n">
        <x:v>0.8885271600569795</x:v>
      </x:c>
      <x:c r="O610" s="47" t="n">
        <x:v>1</x:v>
      </x:c>
      <x:c r="P610" s="47" t="n">
        <x:v>1</x:v>
      </x:c>
      <x:c r="Q610" s="47" t="n">
        <x:v>1</x:v>
      </x:c>
      <x:c r="R610" s="47" t="n">
        <x:v>1</x:v>
      </x:c>
      <x:c r="S610" s="27" t="n">
        <x:v>1</x:v>
      </x:c>
    </x:row>
    <x:row r="611" ht="21.600000381469727" hidden="0" customHeight="1">
      <x:c r="A611" s="29" t="n">
        <x:v>203</x:v>
      </x:c>
      <x:c r="B611" s="29" t="str">
        <x:v>A1</x:v>
      </x:c>
      <x:c r="C611" s="48" t="n">
        <x:v>1.0144231806215214</x:v>
      </x:c>
      <x:c r="D611" s="48" t="n">
        <x:v>0.9797787233292645</x:v>
      </x:c>
      <x:c r="E611" s="48" t="n">
        <x:v>1.0614395112648358</x:v>
      </x:c>
      <x:c r="F611" s="48" t="n">
        <x:v>-0.03591370246046449</x:v>
      </x:c>
      <x:c r="G611" s="48" t="n">
        <x:v>-0.019357515181245344</x:v>
      </x:c>
      <x:c r="H611" s="48" t="n">
        <x:v>0.9233928500199633</x:v>
      </x:c>
      <x:c r="I611" s="48" t="n">
        <x:v>0.8695112608054241</x:v>
      </x:c>
      <x:c r="J611" s="48" t="n">
        <x:v>0.9672157630911488</x:v>
      </x:c>
      <x:c r="K611" s="48" t="n">
        <x:v>0.8613256160548038</x:v>
      </x:c>
      <x:c r="L611" s="48" t="n">
        <x:v>0.9822713416918492</x:v>
      </x:c>
      <x:c r="M611" s="48" t="n">
        <x:v>0.035238276533168245</x:v>
      </x:c>
      <x:c r="N611" s="48" t="n">
        <x:v>0.7825155198453398</x:v>
      </x:c>
      <x:c r="O611" s="48" t="n">
        <x:v>0.9710700903273001</x:v>
      </x:c>
      <x:c r="P611" s="48" t="n">
        <x:v>0.7941791270110672</x:v>
      </x:c>
      <x:c r="Q611" s="48" t="n">
        <x:v>1</x:v>
      </x:c>
      <x:c r="R611" s="48" t="n">
        <x:v>0.9642761022903737</x:v>
      </x:c>
      <x:c r="S611" s="29" t="n">
        <x:v>0</x:v>
      </x:c>
    </x:row>
    <x:row r="612" ht="21.600000381469727" hidden="0" customHeight="1">
      <x:c r="A612" s="27" t="n">
        <x:v>203</x:v>
      </x:c>
      <x:c r="B612" s="27" t="str">
        <x:v>A2</x:v>
      </x:c>
      <x:c r="C612" s="47" t="n">
        <x:v>1.0144231806215214</x:v>
      </x:c>
      <x:c r="D612" s="47" t="n">
        <x:v>0.9797787233292645</x:v>
      </x:c>
      <x:c r="E612" s="47" t="n">
        <x:v>1.0614395112648358</x:v>
      </x:c>
      <x:c r="F612" s="47" t="n">
        <x:v>-0.03591370246046449</x:v>
      </x:c>
      <x:c r="G612" s="47" t="n">
        <x:v>-0.019357515181245344</x:v>
      </x:c>
      <x:c r="H612" s="47" t="n">
        <x:v>0.9233928500199633</x:v>
      </x:c>
      <x:c r="I612" s="47" t="n">
        <x:v>0.8695112608054241</x:v>
      </x:c>
      <x:c r="J612" s="47" t="n">
        <x:v>0.9672157630911488</x:v>
      </x:c>
      <x:c r="K612" s="47" t="n">
        <x:v>0.8613256160548038</x:v>
      </x:c>
      <x:c r="L612" s="47" t="n">
        <x:v>0.9822713416918492</x:v>
      </x:c>
      <x:c r="M612" s="47" t="n">
        <x:v>0.035238276533168245</x:v>
      </x:c>
      <x:c r="N612" s="47" t="n">
        <x:v>0.7825155198453398</x:v>
      </x:c>
      <x:c r="O612" s="47" t="n">
        <x:v>1</x:v>
      </x:c>
      <x:c r="P612" s="47" t="n">
        <x:v>0.9999999999999999</x:v>
      </x:c>
      <x:c r="Q612" s="47" t="n">
        <x:v>1</x:v>
      </x:c>
      <x:c r="R612" s="47" t="n">
        <x:v>1</x:v>
      </x:c>
      <x:c r="S612" s="27" t="n">
        <x:v>1</x:v>
      </x:c>
    </x:row>
    <x:row r="613" ht="21.600000381469727" hidden="0" customHeight="1">
      <x:c r="A613" s="29" t="n">
        <x:v>203</x:v>
      </x:c>
      <x:c r="B613" s="29" t="str">
        <x:v>A3</x:v>
      </x:c>
      <x:c r="C613" s="48" t="n">
        <x:v>1.0144231806215214</x:v>
      </x:c>
      <x:c r="D613" s="48" t="n">
        <x:v>0.9797787233292645</x:v>
      </x:c>
      <x:c r="E613" s="48" t="n">
        <x:v>1.0614395112648358</x:v>
      </x:c>
      <x:c r="F613" s="48" t="n">
        <x:v>-0.03591370246046449</x:v>
      </x:c>
      <x:c r="G613" s="48" t="n">
        <x:v>-0.019357515181245344</x:v>
      </x:c>
      <x:c r="H613" s="48" t="n">
        <x:v>0.9233928500199633</x:v>
      </x:c>
      <x:c r="I613" s="48" t="n">
        <x:v>0.8695112608054241</x:v>
      </x:c>
      <x:c r="J613" s="48" t="n">
        <x:v>0.9672157630911488</x:v>
      </x:c>
      <x:c r="K613" s="48" t="n">
        <x:v>0.8613256160548038</x:v>
      </x:c>
      <x:c r="L613" s="48" t="n">
        <x:v>0.9822713416918492</x:v>
      </x:c>
      <x:c r="M613" s="48" t="n">
        <x:v>0.035238276533168245</x:v>
      </x:c>
      <x:c r="N613" s="48" t="n">
        <x:v>0.7825155198453398</x:v>
      </x:c>
      <x:c r="O613" s="48" t="n">
        <x:v>1</x:v>
      </x:c>
      <x:c r="P613" s="48" t="n">
        <x:v>1</x:v>
      </x:c>
      <x:c r="Q613" s="48" t="n">
        <x:v>1</x:v>
      </x:c>
      <x:c r="R613" s="48" t="n">
        <x:v>1</x:v>
      </x:c>
      <x:c r="S613" s="29" t="n">
        <x:v>1</x:v>
      </x:c>
    </x:row>
    <x:row r="614" ht="21.600000381469727" hidden="0" customHeight="1">
      <x:c r="A614" s="27" t="n">
        <x:v>204</x:v>
      </x:c>
      <x:c r="B614" s="27" t="str">
        <x:v>A1</x:v>
      </x:c>
      <x:c r="C614" s="47" t="n">
        <x:v>1.194669302007863</x:v>
      </x:c>
      <x:c r="D614" s="47" t="n">
        <x:v>0.9116542048990259</x:v>
      </x:c>
      <x:c r="E614" s="47" t="n">
        <x:v>0.6973081135283847</x:v>
      </x:c>
      <x:c r="F614" s="47" t="n">
        <x:v>-0.027480271334654832</x:v>
      </x:c>
      <x:c r="G614" s="47" t="n">
        <x:v>-0.16172106396928168</x:v>
      </x:c>
      <x:c r="H614" s="47" t="n">
        <x:v>0.5183085258326048</x:v>
      </x:c>
      <x:c r="I614" s="47" t="n">
        <x:v>0.7734230720846254</x:v>
      </x:c>
      <x:c r="J614" s="47" t="n">
        <x:v>0.8360491375258668</x:v>
      </x:c>
      <x:c r="K614" s="47" t="n">
        <x:v>0.5811704332299247</x:v>
      </x:c>
      <x:c r="L614" s="47" t="n">
        <x:v>0.925239119696844</x:v>
      </x:c>
      <x:c r="M614" s="47" t="n">
        <x:v>0.1210012759703563</x:v>
      </x:c>
      <x:c r="N614" s="47" t="n">
        <x:v>0.7537526370682863</x:v>
      </x:c>
      <x:c r="O614" s="47" t="n">
        <x:v>0.827089450779778</x:v>
      </x:c>
      <x:c r="P614" s="47" t="n">
        <x:v>0.45441311662656486</x:v>
      </x:c>
      <x:c r="Q614" s="47" t="n">
        <x:v>1</x:v>
      </x:c>
      <x:c r="R614" s="47" t="n">
        <x:v>0.786482611140416</x:v>
      </x:c>
      <x:c r="S614" s="27" t="n">
        <x:v>0</x:v>
      </x:c>
    </x:row>
    <x:row r="615" ht="21.600000381469727" hidden="0" customHeight="1">
      <x:c r="A615" s="29" t="n">
        <x:v>204</x:v>
      </x:c>
      <x:c r="B615" s="29" t="str">
        <x:v>A2</x:v>
      </x:c>
      <x:c r="C615" s="48" t="n">
        <x:v>1.194669302007863</x:v>
      </x:c>
      <x:c r="D615" s="48" t="n">
        <x:v>0.9116542048990259</x:v>
      </x:c>
      <x:c r="E615" s="48" t="n">
        <x:v>0.6973081135283847</x:v>
      </x:c>
      <x:c r="F615" s="48" t="n">
        <x:v>-0.027480271334654832</x:v>
      </x:c>
      <x:c r="G615" s="48" t="n">
        <x:v>-0.16172106396928168</x:v>
      </x:c>
      <x:c r="H615" s="48" t="n">
        <x:v>0.5183085258326048</x:v>
      </x:c>
      <x:c r="I615" s="48" t="n">
        <x:v>0.7734230720846254</x:v>
      </x:c>
      <x:c r="J615" s="48" t="n">
        <x:v>0.8360491375258668</x:v>
      </x:c>
      <x:c r="K615" s="48" t="n">
        <x:v>0.5811704332299247</x:v>
      </x:c>
      <x:c r="L615" s="48" t="n">
        <x:v>0.925239119696844</x:v>
      </x:c>
      <x:c r="M615" s="48" t="n">
        <x:v>0.1210012759703563</x:v>
      </x:c>
      <x:c r="N615" s="48" t="n">
        <x:v>0.7537526370682863</x:v>
      </x:c>
      <x:c r="O615" s="48" t="n">
        <x:v>0.9221664916424119</x:v>
      </x:c>
      <x:c r="P615" s="48" t="n">
        <x:v>0.5301487508784207</x:v>
      </x:c>
      <x:c r="Q615" s="48" t="n">
        <x:v>1</x:v>
      </x:c>
      <x:c r="R615" s="48" t="n">
        <x:v>0.9038878336501796</x:v>
      </x:c>
      <x:c r="S615" s="29" t="n">
        <x:v>0</x:v>
      </x:c>
    </x:row>
    <x:row r="616" ht="21.600000381469727" hidden="0" customHeight="1">
      <x:c r="A616" s="27" t="n">
        <x:v>204</x:v>
      </x:c>
      <x:c r="B616" s="27" t="str">
        <x:v>A3</x:v>
      </x:c>
      <x:c r="C616" s="47" t="n">
        <x:v>1.194669302007863</x:v>
      </x:c>
      <x:c r="D616" s="47" t="n">
        <x:v>0.9116542048990259</x:v>
      </x:c>
      <x:c r="E616" s="47" t="n">
        <x:v>0.6973081135283847</x:v>
      </x:c>
      <x:c r="F616" s="47" t="n">
        <x:v>-0.027480271334654832</x:v>
      </x:c>
      <x:c r="G616" s="47" t="n">
        <x:v>-0.16172106396928168</x:v>
      </x:c>
      <x:c r="H616" s="47" t="n">
        <x:v>0.5183085258326048</x:v>
      </x:c>
      <x:c r="I616" s="47" t="n">
        <x:v>0.7734230720846254</x:v>
      </x:c>
      <x:c r="J616" s="47" t="n">
        <x:v>0.8360491375258668</x:v>
      </x:c>
      <x:c r="K616" s="47" t="n">
        <x:v>0.5811704332299247</x:v>
      </x:c>
      <x:c r="L616" s="47" t="n">
        <x:v>0.925239119696844</x:v>
      </x:c>
      <x:c r="M616" s="47" t="n">
        <x:v>0.1210012759703563</x:v>
      </x:c>
      <x:c r="N616" s="47" t="n">
        <x:v>0.7537526370682863</x:v>
      </x:c>
      <x:c r="O616" s="47" t="n">
        <x:v>1</x:v>
      </x:c>
      <x:c r="P616" s="47" t="n">
        <x:v>1</x:v>
      </x:c>
      <x:c r="Q616" s="47" t="n">
        <x:v>1</x:v>
      </x:c>
      <x:c r="R616" s="47" t="n">
        <x:v>1</x:v>
      </x:c>
      <x:c r="S616" s="27" t="n">
        <x:v>1</x:v>
      </x:c>
    </x:row>
    <x:row r="617" ht="21.600000381469727" hidden="0" customHeight="1">
      <x:c r="A617" s="29" t="n">
        <x:v>205</x:v>
      </x:c>
      <x:c r="B617" s="29" t="str">
        <x:v>A1</x:v>
      </x:c>
      <x:c r="C617" s="48" t="n">
        <x:v>0.9658257004634443</x:v>
      </x:c>
      <x:c r="D617" s="48" t="n">
        <x:v>0.755677696873683</x:v>
      </x:c>
      <x:c r="E617" s="48" t="n">
        <x:v>1.023812086143779</x:v>
      </x:c>
      <x:c r="F617" s="48" t="n">
        <x:v>-0.12605007032810667</x:v>
      </x:c>
      <x:c r="G617" s="48" t="n">
        <x:v>-0.06420106223935898</x:v>
      </x:c>
      <x:c r="H617" s="48" t="n">
        <x:v>1.0931085022173073</x:v>
      </x:c>
      <x:c r="I617" s="48" t="n">
        <x:v>0.6737130289407608</x:v>
      </x:c>
      <x:c r="J617" s="48" t="n">
        <x:v>0.6082865627493454</x:v>
      </x:c>
      <x:c r="K617" s="48" t="n">
        <x:v>0.7653293666575695</x:v>
      </x:c>
      <x:c r="L617" s="48" t="n">
        <x:v>0.8866274918619084</x:v>
      </x:c>
      <x:c r="M617" s="48" t="n">
        <x:v>0.06648923437743298</x:v>
      </x:c>
      <x:c r="N617" s="48" t="n">
        <x:v>0.9790691765039744</x:v>
      </x:c>
      <x:c r="O617" s="48" t="n">
        <x:v>0.8690617990264625</x:v>
      </x:c>
      <x:c r="P617" s="48" t="n">
        <x:v>0.5314333524733887</x:v>
      </x:c>
      <x:c r="Q617" s="48" t="n">
        <x:v>1</x:v>
      </x:c>
      <x:c r="R617" s="48" t="n">
        <x:v>0.8383118733939483</x:v>
      </x:c>
      <x:c r="S617" s="29" t="n">
        <x:v>0</x:v>
      </x:c>
    </x:row>
    <x:row r="618" ht="21.600000381469727" hidden="0" customHeight="1">
      <x:c r="A618" s="27" t="n">
        <x:v>205</x:v>
      </x:c>
      <x:c r="B618" s="27" t="str">
        <x:v>A2</x:v>
      </x:c>
      <x:c r="C618" s="47" t="n">
        <x:v>0.9658257004634443</x:v>
      </x:c>
      <x:c r="D618" s="47" t="n">
        <x:v>0.755677696873683</x:v>
      </x:c>
      <x:c r="E618" s="47" t="n">
        <x:v>1.023812086143779</x:v>
      </x:c>
      <x:c r="F618" s="47" t="n">
        <x:v>-0.12605007032810667</x:v>
      </x:c>
      <x:c r="G618" s="47" t="n">
        <x:v>-0.06420106223935898</x:v>
      </x:c>
      <x:c r="H618" s="47" t="n">
        <x:v>1.0931085022173073</x:v>
      </x:c>
      <x:c r="I618" s="47" t="n">
        <x:v>0.6737130289407608</x:v>
      </x:c>
      <x:c r="J618" s="47" t="n">
        <x:v>0.6082865627493454</x:v>
      </x:c>
      <x:c r="K618" s="47" t="n">
        <x:v>0.7653293666575695</x:v>
      </x:c>
      <x:c r="L618" s="47" t="n">
        <x:v>0.8866274918619084</x:v>
      </x:c>
      <x:c r="M618" s="47" t="n">
        <x:v>0.06648923437743298</x:v>
      </x:c>
      <x:c r="N618" s="47" t="n">
        <x:v>0.9790691765039744</x:v>
      </x:c>
      <x:c r="O618" s="47" t="n">
        <x:v>0.9311659137068822</x:v>
      </x:c>
      <x:c r="P618" s="47" t="n">
        <x:v>0.6391438676529017</x:v>
      </x:c>
      <x:c r="Q618" s="47" t="n">
        <x:v>1</x:v>
      </x:c>
      <x:c r="R618" s="47" t="n">
        <x:v>0.9150007073823869</x:v>
      </x:c>
      <x:c r="S618" s="27" t="n">
        <x:v>0</x:v>
      </x:c>
    </x:row>
    <x:row r="619" ht="21.600000381469727" hidden="0" customHeight="1">
      <x:c r="A619" s="29" t="n">
        <x:v>205</x:v>
      </x:c>
      <x:c r="B619" s="29" t="str">
        <x:v>A3</x:v>
      </x:c>
      <x:c r="C619" s="48" t="n">
        <x:v>0.9658257004634443</x:v>
      </x:c>
      <x:c r="D619" s="48" t="n">
        <x:v>0.755677696873683</x:v>
      </x:c>
      <x:c r="E619" s="48" t="n">
        <x:v>1.023812086143779</x:v>
      </x:c>
      <x:c r="F619" s="48" t="n">
        <x:v>-0.12605007032810667</x:v>
      </x:c>
      <x:c r="G619" s="48" t="n">
        <x:v>-0.06420106223935898</x:v>
      </x:c>
      <x:c r="H619" s="48" t="n">
        <x:v>1.0931085022173073</x:v>
      </x:c>
      <x:c r="I619" s="48" t="n">
        <x:v>0.6737130289407608</x:v>
      </x:c>
      <x:c r="J619" s="48" t="n">
        <x:v>0.6082865627493454</x:v>
      </x:c>
      <x:c r="K619" s="48" t="n">
        <x:v>0.7653293666575695</x:v>
      </x:c>
      <x:c r="L619" s="48" t="n">
        <x:v>0.8866274918619084</x:v>
      </x:c>
      <x:c r="M619" s="48" t="n">
        <x:v>0.06648923437743298</x:v>
      </x:c>
      <x:c r="N619" s="48" t="n">
        <x:v>0.9790691765039744</x:v>
      </x:c>
      <x:c r="O619" s="48" t="n">
        <x:v>1</x:v>
      </x:c>
      <x:c r="P619" s="48" t="n">
        <x:v>1</x:v>
      </x:c>
      <x:c r="Q619" s="48" t="n">
        <x:v>1</x:v>
      </x:c>
      <x:c r="R619" s="48" t="n">
        <x:v>1</x:v>
      </x:c>
      <x:c r="S619" s="29" t="n">
        <x:v>1</x:v>
      </x:c>
    </x:row>
    <x:row r="620" ht="21.600000381469727" hidden="0" customHeight="1">
      <x:c r="A620" s="27" t="n">
        <x:v>206</x:v>
      </x:c>
      <x:c r="B620" s="27" t="str">
        <x:v>A1</x:v>
      </x:c>
      <x:c r="C620" s="47" t="n">
        <x:v>1.1413030938806243</x:v>
      </x:c>
      <x:c r="D620" s="47" t="n">
        <x:v>0.8229298833639149</x:v>
      </x:c>
      <x:c r="E620" s="47" t="n">
        <x:v>1.0901243924295847</x:v>
      </x:c>
      <x:c r="F620" s="47" t="n">
        <x:v>-0.14544808519750863</x:v>
      </x:c>
      <x:c r="G620" s="47" t="n">
        <x:v>0.002680909561431022</x:v>
      </x:c>
      <x:c r="H620" s="47" t="n">
        <x:v>0.8971039233195719</x:v>
      </x:c>
      <x:c r="I620" s="47" t="n">
        <x:v>0.9047266741803714</x:v>
      </x:c>
      <x:c r="J620" s="47" t="n">
        <x:v>0.4228963981203172</x:v>
      </x:c>
      <x:c r="K620" s="47" t="n">
        <x:v>0.798023573660864</x:v>
      </x:c>
      <x:c r="L620" s="47" t="n">
        <x:v>0.8840604958200451</x:v>
      </x:c>
      <x:c r="M620" s="47" t="n">
        <x:v>0.023464652605896443</x:v>
      </x:c>
      <x:c r="N620" s="47" t="n">
        <x:v>0.7370103648644705</x:v>
      </x:c>
      <x:c r="O620" s="47" t="n">
        <x:v>0.8268652728238758</x:v>
      </x:c>
      <x:c r="P620" s="47" t="n">
        <x:v>0.5358397573551947</x:v>
      </x:c>
      <x:c r="Q620" s="47" t="n">
        <x:v>0.9999999999999999</x:v>
      </x:c>
      <x:c r="R620" s="47" t="n">
        <x:v>0.7862057865510544</x:v>
      </x:c>
      <x:c r="S620" s="27" t="n">
        <x:v>0</x:v>
      </x:c>
    </x:row>
    <x:row r="621" ht="21.600000381469727" hidden="0" customHeight="1">
      <x:c r="A621" s="29" t="n">
        <x:v>206</x:v>
      </x:c>
      <x:c r="B621" s="29" t="str">
        <x:v>A2</x:v>
      </x:c>
      <x:c r="C621" s="48" t="n">
        <x:v>1.1413030938806243</x:v>
      </x:c>
      <x:c r="D621" s="48" t="n">
        <x:v>0.8229298833639149</x:v>
      </x:c>
      <x:c r="E621" s="48" t="n">
        <x:v>1.0901243924295847</x:v>
      </x:c>
      <x:c r="F621" s="48" t="n">
        <x:v>-0.14544808519750863</x:v>
      </x:c>
      <x:c r="G621" s="48" t="n">
        <x:v>0.002680909561431022</x:v>
      </x:c>
      <x:c r="H621" s="48" t="n">
        <x:v>0.8971039233195719</x:v>
      </x:c>
      <x:c r="I621" s="48" t="n">
        <x:v>0.9047266741803714</x:v>
      </x:c>
      <x:c r="J621" s="48" t="n">
        <x:v>0.4228963981203172</x:v>
      </x:c>
      <x:c r="K621" s="48" t="n">
        <x:v>0.798023573660864</x:v>
      </x:c>
      <x:c r="L621" s="48" t="n">
        <x:v>0.8840604958200451</x:v>
      </x:c>
      <x:c r="M621" s="48" t="n">
        <x:v>0.023464652605896443</x:v>
      </x:c>
      <x:c r="N621" s="48" t="n">
        <x:v>0.7370103648644705</x:v>
      </x:c>
      <x:c r="O621" s="48" t="n">
        <x:v>0.9324622344790713</x:v>
      </x:c>
      <x:c r="P621" s="48" t="n">
        <x:v>0.7377509805333347</x:v>
      </x:c>
      <x:c r="Q621" s="48" t="n">
        <x:v>0.9999999999999998</x:v>
      </x:c>
      <x:c r="R621" s="48" t="n">
        <x:v>0.9166014600701236</x:v>
      </x:c>
      <x:c r="S621" s="29" t="n">
        <x:v>0</x:v>
      </x:c>
    </x:row>
    <x:row r="622" ht="21.600000381469727" hidden="0" customHeight="1">
      <x:c r="A622" s="27" t="n">
        <x:v>206</x:v>
      </x:c>
      <x:c r="B622" s="27" t="str">
        <x:v>A3</x:v>
      </x:c>
      <x:c r="C622" s="47" t="n">
        <x:v>1.1413030938806243</x:v>
      </x:c>
      <x:c r="D622" s="47" t="n">
        <x:v>0.8229298833639149</x:v>
      </x:c>
      <x:c r="E622" s="47" t="n">
        <x:v>1.0901243924295847</x:v>
      </x:c>
      <x:c r="F622" s="47" t="n">
        <x:v>-0.14544808519750863</x:v>
      </x:c>
      <x:c r="G622" s="47" t="n">
        <x:v>0.002680909561431022</x:v>
      </x:c>
      <x:c r="H622" s="47" t="n">
        <x:v>0.8971039233195719</x:v>
      </x:c>
      <x:c r="I622" s="47" t="n">
        <x:v>0.9047266741803714</x:v>
      </x:c>
      <x:c r="J622" s="47" t="n">
        <x:v>0.4228963981203172</x:v>
      </x:c>
      <x:c r="K622" s="47" t="n">
        <x:v>0.798023573660864</x:v>
      </x:c>
      <x:c r="L622" s="47" t="n">
        <x:v>0.8840604958200451</x:v>
      </x:c>
      <x:c r="M622" s="47" t="n">
        <x:v>0.023464652605896443</x:v>
      </x:c>
      <x:c r="N622" s="47" t="n">
        <x:v>0.7370103648644705</x:v>
      </x:c>
      <x:c r="O622" s="47" t="n">
        <x:v>1</x:v>
      </x:c>
      <x:c r="P622" s="47" t="n">
        <x:v>1</x:v>
      </x:c>
      <x:c r="Q622" s="47" t="n">
        <x:v>1</x:v>
      </x:c>
      <x:c r="R622" s="47" t="n">
        <x:v>1</x:v>
      </x:c>
      <x:c r="S622" s="27" t="n">
        <x:v>1</x:v>
      </x:c>
    </x:row>
    <x:row r="623" ht="21.600000381469727" hidden="0" customHeight="1">
      <x:c r="A623" s="29" t="n">
        <x:v>207</x:v>
      </x:c>
      <x:c r="B623" s="29" t="str">
        <x:v>A1</x:v>
      </x:c>
      <x:c r="C623" s="48" t="n">
        <x:v>1.2817468675622912</x:v>
      </x:c>
      <x:c r="D623" s="48" t="n">
        <x:v>0.7359074064312233</x:v>
      </x:c>
      <x:c r="E623" s="48" t="n">
        <x:v>0.6842110976487791</x:v>
      </x:c>
      <x:c r="F623" s="48" t="n">
        <x:v>0.006975975408233942</x:v>
      </x:c>
      <x:c r="G623" s="48" t="n">
        <x:v>-0.0988080076386058</x:v>
      </x:c>
      <x:c r="H623" s="48" t="n">
        <x:v>0.6350059421952937</x:v>
      </x:c>
      <x:c r="I623" s="48" t="n">
        <x:v>1.0174710132773104</x:v>
      </x:c>
      <x:c r="J623" s="48" t="n">
        <x:v>0.613383412631056</x:v>
      </x:c>
      <x:c r="K623" s="48" t="n">
        <x:v>0.8840986015286755</x:v>
      </x:c>
      <x:c r="L623" s="48" t="n">
        <x:v>0.7596201660246924</x:v>
      </x:c>
      <x:c r="M623" s="48" t="n">
        <x:v>0.009790239130231</x:v>
      </x:c>
      <x:c r="N623" s="48" t="n">
        <x:v>0.9565606756420916</x:v>
      </x:c>
      <x:c r="O623" s="48" t="n">
        <x:v>0.7238204998977713</x:v>
      </x:c>
      <x:c r="P623" s="48" t="n">
        <x:v>0.4991560894143677</x:v>
      </x:c>
      <x:c r="Q623" s="48" t="n">
        <x:v>0.9895603957119388</x:v>
      </x:c>
      <x:c r="R623" s="48" t="n">
        <x:v>0.6590391989417743</x:v>
      </x:c>
      <x:c r="S623" s="29" t="n">
        <x:v>0</x:v>
      </x:c>
    </x:row>
    <x:row r="624" ht="21.600000381469727" hidden="0" customHeight="1">
      <x:c r="A624" s="27" t="n">
        <x:v>207</x:v>
      </x:c>
      <x:c r="B624" s="27" t="str">
        <x:v>A2</x:v>
      </x:c>
      <x:c r="C624" s="47" t="n">
        <x:v>1.2817468675622912</x:v>
      </x:c>
      <x:c r="D624" s="47" t="n">
        <x:v>0.7359074064312233</x:v>
      </x:c>
      <x:c r="E624" s="47" t="n">
        <x:v>0.6842110976487791</x:v>
      </x:c>
      <x:c r="F624" s="47" t="n">
        <x:v>0.006975975408233942</x:v>
      </x:c>
      <x:c r="G624" s="47" t="n">
        <x:v>-0.0988080076386058</x:v>
      </x:c>
      <x:c r="H624" s="47" t="n">
        <x:v>0.6350059421952937</x:v>
      </x:c>
      <x:c r="I624" s="47" t="n">
        <x:v>1.0174710132773104</x:v>
      </x:c>
      <x:c r="J624" s="47" t="n">
        <x:v>0.613383412631056</x:v>
      </x:c>
      <x:c r="K624" s="47" t="n">
        <x:v>0.8840986015286755</x:v>
      </x:c>
      <x:c r="L624" s="47" t="n">
        <x:v>0.7596201660246924</x:v>
      </x:c>
      <x:c r="M624" s="47" t="n">
        <x:v>0.009790239130231</x:v>
      </x:c>
      <x:c r="N624" s="47" t="n">
        <x:v>0.9565606756420916</x:v>
      </x:c>
      <x:c r="O624" s="47" t="n">
        <x:v>0.8002679283415989</x:v>
      </x:c>
      <x:c r="P624" s="47" t="n">
        <x:v>0.47268313809597523</x:v>
      </x:c>
      <x:c r="Q624" s="47" t="n">
        <x:v>1</x:v>
      </x:c>
      <x:c r="R624" s="47" t="n">
        <x:v>0.7533622407404299</x:v>
      </x:c>
      <x:c r="S624" s="27" t="n">
        <x:v>0</x:v>
      </x:c>
    </x:row>
    <x:row r="625" ht="21.600000381469727" hidden="0" customHeight="1">
      <x:c r="A625" s="29" t="n">
        <x:v>207</x:v>
      </x:c>
      <x:c r="B625" s="29" t="str">
        <x:v>A3</x:v>
      </x:c>
      <x:c r="C625" s="48" t="n">
        <x:v>1.2817468675622912</x:v>
      </x:c>
      <x:c r="D625" s="48" t="n">
        <x:v>0.7359074064312233</x:v>
      </x:c>
      <x:c r="E625" s="48" t="n">
        <x:v>0.6842110976487791</x:v>
      </x:c>
      <x:c r="F625" s="48" t="n">
        <x:v>0.006975975408233942</x:v>
      </x:c>
      <x:c r="G625" s="48" t="n">
        <x:v>-0.0988080076386058</x:v>
      </x:c>
      <x:c r="H625" s="48" t="n">
        <x:v>0.6350059421952937</x:v>
      </x:c>
      <x:c r="I625" s="48" t="n">
        <x:v>1.0174710132773104</x:v>
      </x:c>
      <x:c r="J625" s="48" t="n">
        <x:v>0.613383412631056</x:v>
      </x:c>
      <x:c r="K625" s="48" t="n">
        <x:v>0.8840986015286755</x:v>
      </x:c>
      <x:c r="L625" s="48" t="n">
        <x:v>0.7596201660246924</x:v>
      </x:c>
      <x:c r="M625" s="48" t="n">
        <x:v>0.009790239130231</x:v>
      </x:c>
      <x:c r="N625" s="48" t="n">
        <x:v>0.9565606756420916</x:v>
      </x:c>
      <x:c r="O625" s="48" t="n">
        <x:v>1</x:v>
      </x:c>
      <x:c r="P625" s="48" t="n">
        <x:v>1</x:v>
      </x:c>
      <x:c r="Q625" s="48" t="n">
        <x:v>1</x:v>
      </x:c>
      <x:c r="R625" s="48" t="n">
        <x:v>1</x:v>
      </x:c>
      <x:c r="S625" s="29" t="n">
        <x:v>1</x:v>
      </x:c>
    </x:row>
    <x:row r="626" ht="21.600000381469727" hidden="0" customHeight="1">
      <x:c r="A626" s="27" t="n">
        <x:v>208</x:v>
      </x:c>
      <x:c r="B626" s="27" t="str">
        <x:v>A1</x:v>
      </x:c>
      <x:c r="C626" s="47" t="n">
        <x:v>1.3151391386736588</x:v>
      </x:c>
      <x:c r="D626" s="47" t="n">
        <x:v>0.8821794156814408</x:v>
      </x:c>
      <x:c r="E626" s="47" t="n">
        <x:v>0.5487942654728023</x:v>
      </x:c>
      <x:c r="F626" s="47" t="n">
        <x:v>-0.10693761587604579</x:v>
      </x:c>
      <x:c r="G626" s="47" t="n">
        <x:v>-0.13348776011921676</x:v>
      </x:c>
      <x:c r="H626" s="47" t="n">
        <x:v>0.7505780739723906</x:v>
      </x:c>
      <x:c r="I626" s="47" t="n">
        <x:v>0.7387863628845069</x:v>
      </x:c>
      <x:c r="J626" s="47" t="n">
        <x:v>0.7602355701150234</x:v>
      </x:c>
      <x:c r="K626" s="47" t="n">
        <x:v>0.9482329015570585</x:v>
      </x:c>
      <x:c r="L626" s="47" t="n">
        <x:v>0.5906045849657539</x:v>
      </x:c>
      <x:c r="M626" s="47" t="n">
        <x:v>0.1586073317049788</x:v>
      </x:c>
      <x:c r="N626" s="47" t="n">
        <x:v>0.8446524357786316</x:v>
      </x:c>
      <x:c r="O626" s="47" t="n">
        <x:v>0.7832813978634539</x:v>
      </x:c>
      <x:c r="P626" s="47" t="n">
        <x:v>0.4228746663678761</x:v>
      </x:c>
      <x:c r="Q626" s="47" t="n">
        <x:v>1</x:v>
      </x:c>
      <x:c r="R626" s="47" t="n">
        <x:v>0.7323865417455817</x:v>
      </x:c>
      <x:c r="S626" s="27" t="n">
        <x:v>0</x:v>
      </x:c>
    </x:row>
    <x:row r="627" ht="21.600000381469727" hidden="0" customHeight="1">
      <x:c r="A627" s="29" t="n">
        <x:v>208</x:v>
      </x:c>
      <x:c r="B627" s="29" t="str">
        <x:v>A2</x:v>
      </x:c>
      <x:c r="C627" s="48" t="n">
        <x:v>1.3151391386736588</x:v>
      </x:c>
      <x:c r="D627" s="48" t="n">
        <x:v>0.8821794156814408</x:v>
      </x:c>
      <x:c r="E627" s="48" t="n">
        <x:v>0.5487942654728023</x:v>
      </x:c>
      <x:c r="F627" s="48" t="n">
        <x:v>-0.10693761587604579</x:v>
      </x:c>
      <x:c r="G627" s="48" t="n">
        <x:v>-0.13348776011921676</x:v>
      </x:c>
      <x:c r="H627" s="48" t="n">
        <x:v>0.7505780739723906</x:v>
      </x:c>
      <x:c r="I627" s="48" t="n">
        <x:v>0.7387863628845069</x:v>
      </x:c>
      <x:c r="J627" s="48" t="n">
        <x:v>0.7602355701150234</x:v>
      </x:c>
      <x:c r="K627" s="48" t="n">
        <x:v>0.9482329015570585</x:v>
      </x:c>
      <x:c r="L627" s="48" t="n">
        <x:v>0.5906045849657539</x:v>
      </x:c>
      <x:c r="M627" s="48" t="n">
        <x:v>0.1586073317049788</x:v>
      </x:c>
      <x:c r="N627" s="48" t="n">
        <x:v>0.8446524357786316</x:v>
      </x:c>
      <x:c r="O627" s="48" t="n">
        <x:v>0.8617717492981255</x:v>
      </x:c>
      <x:c r="P627" s="48" t="n">
        <x:v>0.46436087000452314</x:v>
      </x:c>
      <x:c r="Q627" s="48" t="n">
        <x:v>1</x:v>
      </x:c>
      <x:c r="R627" s="48" t="n">
        <x:v>0.8293098061998375</x:v>
      </x:c>
      <x:c r="S627" s="29" t="n">
        <x:v>0</x:v>
      </x:c>
    </x:row>
    <x:row r="628" ht="21.600000381469727" hidden="0" customHeight="1">
      <x:c r="A628" s="27" t="n">
        <x:v>208</x:v>
      </x:c>
      <x:c r="B628" s="27" t="str">
        <x:v>A3</x:v>
      </x:c>
      <x:c r="C628" s="47" t="n">
        <x:v>1.3151391386736588</x:v>
      </x:c>
      <x:c r="D628" s="47" t="n">
        <x:v>0.8821794156814408</x:v>
      </x:c>
      <x:c r="E628" s="47" t="n">
        <x:v>0.5487942654728023</x:v>
      </x:c>
      <x:c r="F628" s="47" t="n">
        <x:v>-0.10693761587604579</x:v>
      </x:c>
      <x:c r="G628" s="47" t="n">
        <x:v>-0.13348776011921676</x:v>
      </x:c>
      <x:c r="H628" s="47" t="n">
        <x:v>0.7505780739723906</x:v>
      </x:c>
      <x:c r="I628" s="47" t="n">
        <x:v>0.7387863628845069</x:v>
      </x:c>
      <x:c r="J628" s="47" t="n">
        <x:v>0.7602355701150234</x:v>
      </x:c>
      <x:c r="K628" s="47" t="n">
        <x:v>0.9482329015570585</x:v>
      </x:c>
      <x:c r="L628" s="47" t="n">
        <x:v>0.5906045849657539</x:v>
      </x:c>
      <x:c r="M628" s="47" t="n">
        <x:v>0.1586073317049788</x:v>
      </x:c>
      <x:c r="N628" s="47" t="n">
        <x:v>0.8446524357786316</x:v>
      </x:c>
      <x:c r="O628" s="47" t="n">
        <x:v>1</x:v>
      </x:c>
      <x:c r="P628" s="47" t="n">
        <x:v>1</x:v>
      </x:c>
      <x:c r="Q628" s="47" t="n">
        <x:v>1</x:v>
      </x:c>
      <x:c r="R628" s="47" t="n">
        <x:v>1</x:v>
      </x:c>
      <x:c r="S628" s="27" t="n">
        <x:v>1</x:v>
      </x:c>
    </x:row>
    <x:row r="629" ht="21.600000381469727" hidden="0" customHeight="1">
      <x:c r="A629" s="29" t="n">
        <x:v>209</x:v>
      </x:c>
      <x:c r="B629" s="29" t="str">
        <x:v>A1</x:v>
      </x:c>
      <x:c r="C629" s="48" t="n">
        <x:v>1.0975261362513864</x:v>
      </x:c>
      <x:c r="D629" s="48" t="n">
        <x:v>0.8538438319655819</x:v>
      </x:c>
      <x:c r="E629" s="48" t="n">
        <x:v>1.078354107965844</x:v>
      </x:c>
      <x:c r="F629" s="48" t="n">
        <x:v>-0.019178836573060076</x:v>
      </x:c>
      <x:c r="G629" s="48" t="n">
        <x:v>-0.11321667494266638</x:v>
      </x:c>
      <x:c r="H629" s="48" t="n">
        <x:v>0.31573728869360734</x:v>
      </x:c>
      <x:c r="I629" s="48" t="n">
        <x:v>0.9021211550004681</x:v>
      </x:c>
      <x:c r="J629" s="48" t="n">
        <x:v>0.9969013371238536</x:v>
      </x:c>
      <x:c r="K629" s="48" t="n">
        <x:v>0.8311894806398612</x:v>
      </x:c>
      <x:c r="L629" s="48" t="n">
        <x:v>0.5461410736094525</x:v>
      </x:c>
      <x:c r="M629" s="48" t="n">
        <x:v>0.12187044181460457</x:v>
      </x:c>
      <x:c r="N629" s="48" t="n">
        <x:v>0.932843967438392</x:v>
      </x:c>
      <x:c r="O629" s="48" t="n">
        <x:v>0.8849202577248841</x:v>
      </x:c>
      <x:c r="P629" s="48" t="n">
        <x:v>0.5830707958477542</x:v>
      </x:c>
      <x:c r="Q629" s="48" t="n">
        <x:v>1</x:v>
      </x:c>
      <x:c r="R629" s="48" t="n">
        <x:v>0.8578945807989892</x:v>
      </x:c>
      <x:c r="S629" s="29" t="n">
        <x:v>0</x:v>
      </x:c>
    </x:row>
    <x:row r="630" ht="21.600000381469727" hidden="0" customHeight="1">
      <x:c r="A630" s="27" t="n">
        <x:v>209</x:v>
      </x:c>
      <x:c r="B630" s="27" t="str">
        <x:v>A2</x:v>
      </x:c>
      <x:c r="C630" s="47" t="n">
        <x:v>1.0975261362513864</x:v>
      </x:c>
      <x:c r="D630" s="47" t="n">
        <x:v>0.8538438319655819</x:v>
      </x:c>
      <x:c r="E630" s="47" t="n">
        <x:v>1.078354107965844</x:v>
      </x:c>
      <x:c r="F630" s="47" t="n">
        <x:v>-0.019178836573060076</x:v>
      </x:c>
      <x:c r="G630" s="47" t="n">
        <x:v>-0.11321667494266638</x:v>
      </x:c>
      <x:c r="H630" s="47" t="n">
        <x:v>0.31573728869360734</x:v>
      </x:c>
      <x:c r="I630" s="47" t="n">
        <x:v>0.9021211550004681</x:v>
      </x:c>
      <x:c r="J630" s="47" t="n">
        <x:v>0.9969013371238536</x:v>
      </x:c>
      <x:c r="K630" s="47" t="n">
        <x:v>0.8311894806398612</x:v>
      </x:c>
      <x:c r="L630" s="47" t="n">
        <x:v>0.5461410736094525</x:v>
      </x:c>
      <x:c r="M630" s="47" t="n">
        <x:v>0.12187044181460457</x:v>
      </x:c>
      <x:c r="N630" s="47" t="n">
        <x:v>0.932843967438392</x:v>
      </x:c>
      <x:c r="O630" s="47" t="n">
        <x:v>0.9395465240003941</x:v>
      </x:c>
      <x:c r="P630" s="47" t="n">
        <x:v>0.5718489233191653</x:v>
      </x:c>
      <x:c r="Q630" s="47" t="n">
        <x:v>1</x:v>
      </x:c>
      <x:c r="R630" s="47" t="n">
        <x:v>0.925349445703965</x:v>
      </x:c>
      <x:c r="S630" s="27" t="n">
        <x:v>0</x:v>
      </x:c>
    </x:row>
    <x:row r="631" ht="21.600000381469727" hidden="0" customHeight="1">
      <x:c r="A631" s="29" t="n">
        <x:v>209</x:v>
      </x:c>
      <x:c r="B631" s="29" t="str">
        <x:v>A3</x:v>
      </x:c>
      <x:c r="C631" s="48" t="n">
        <x:v>1.0975261362513864</x:v>
      </x:c>
      <x:c r="D631" s="48" t="n">
        <x:v>0.8538438319655819</x:v>
      </x:c>
      <x:c r="E631" s="48" t="n">
        <x:v>1.078354107965844</x:v>
      </x:c>
      <x:c r="F631" s="48" t="n">
        <x:v>-0.019178836573060076</x:v>
      </x:c>
      <x:c r="G631" s="48" t="n">
        <x:v>-0.11321667494266638</x:v>
      </x:c>
      <x:c r="H631" s="48" t="n">
        <x:v>0.31573728869360734</x:v>
      </x:c>
      <x:c r="I631" s="48" t="n">
        <x:v>0.9021211550004681</x:v>
      </x:c>
      <x:c r="J631" s="48" t="n">
        <x:v>0.9969013371238536</x:v>
      </x:c>
      <x:c r="K631" s="48" t="n">
        <x:v>0.8311894806398612</x:v>
      </x:c>
      <x:c r="L631" s="48" t="n">
        <x:v>0.5461410736094525</x:v>
      </x:c>
      <x:c r="M631" s="48" t="n">
        <x:v>0.12187044181460457</x:v>
      </x:c>
      <x:c r="N631" s="48" t="n">
        <x:v>0.932843967438392</x:v>
      </x:c>
      <x:c r="O631" s="48" t="n">
        <x:v>1</x:v>
      </x:c>
      <x:c r="P631" s="48" t="n">
        <x:v>1</x:v>
      </x:c>
      <x:c r="Q631" s="48" t="n">
        <x:v>1</x:v>
      </x:c>
      <x:c r="R631" s="48" t="n">
        <x:v>1</x:v>
      </x:c>
      <x:c r="S631" s="29" t="n">
        <x:v>1</x:v>
      </x:c>
    </x:row>
    <x:row r="632" ht="21.600000381469727" hidden="0" customHeight="1">
      <x:c r="A632" s="27" t="n">
        <x:v>210</x:v>
      </x:c>
      <x:c r="B632" s="27" t="str">
        <x:v>A1</x:v>
      </x:c>
      <x:c r="C632" s="47" t="n">
        <x:v>1.052470785017507</x:v>
      </x:c>
      <x:c r="D632" s="47" t="n">
        <x:v>0.8724327973328674</x:v>
      </x:c>
      <x:c r="E632" s="47" t="n">
        <x:v>0.4688356557506318</x:v>
      </x:c>
      <x:c r="F632" s="47" t="n">
        <x:v>-0.15067855777162248</x:v>
      </x:c>
      <x:c r="G632" s="47" t="n">
        <x:v>0.01231082867906183</x:v>
      </x:c>
      <x:c r="H632" s="47" t="n">
        <x:v>0.3195111250143967</x:v>
      </x:c>
      <x:c r="I632" s="47" t="n">
        <x:v>0.8586581370640747</x:v>
      </x:c>
      <x:c r="J632" s="47" t="n">
        <x:v>0.703425388592323</x:v>
      </x:c>
      <x:c r="K632" s="47" t="n">
        <x:v>0.881090880852764</x:v>
      </x:c>
      <x:c r="L632" s="47" t="n">
        <x:v>0.6671735282610927</x:v>
      </x:c>
      <x:c r="M632" s="47" t="n">
        <x:v>0.1222432226250675</x:v>
      </x:c>
      <x:c r="N632" s="47" t="n">
        <x:v>0.8241796087244708</x:v>
      </x:c>
      <x:c r="O632" s="47" t="n">
        <x:v>0.8579834680334537</x:v>
      </x:c>
      <x:c r="P632" s="47" t="n">
        <x:v>0.47230250872352614</x:v>
      </x:c>
      <x:c r="Q632" s="47" t="n">
        <x:v>1</x:v>
      </x:c>
      <x:c r="R632" s="47" t="n">
        <x:v>0.8246318734331778</x:v>
      </x:c>
      <x:c r="S632" s="27" t="n">
        <x:v>0</x:v>
      </x:c>
    </x:row>
    <x:row r="633" ht="21.600000381469727" hidden="0" customHeight="1">
      <x:c r="A633" s="29" t="n">
        <x:v>210</x:v>
      </x:c>
      <x:c r="B633" s="29" t="str">
        <x:v>A2</x:v>
      </x:c>
      <x:c r="C633" s="48" t="n">
        <x:v>1.052470785017507</x:v>
      </x:c>
      <x:c r="D633" s="48" t="n">
        <x:v>0.8724327973328674</x:v>
      </x:c>
      <x:c r="E633" s="48" t="n">
        <x:v>0.4688356557506318</x:v>
      </x:c>
      <x:c r="F633" s="48" t="n">
        <x:v>-0.15067855777162248</x:v>
      </x:c>
      <x:c r="G633" s="48" t="n">
        <x:v>0.01231082867906183</x:v>
      </x:c>
      <x:c r="H633" s="48" t="n">
        <x:v>0.3195111250143967</x:v>
      </x:c>
      <x:c r="I633" s="48" t="n">
        <x:v>0.8586581370640747</x:v>
      </x:c>
      <x:c r="J633" s="48" t="n">
        <x:v>0.703425388592323</x:v>
      </x:c>
      <x:c r="K633" s="48" t="n">
        <x:v>0.881090880852764</x:v>
      </x:c>
      <x:c r="L633" s="48" t="n">
        <x:v>0.6671735282610927</x:v>
      </x:c>
      <x:c r="M633" s="48" t="n">
        <x:v>0.1222432226250675</x:v>
      </x:c>
      <x:c r="N633" s="48" t="n">
        <x:v>0.8241796087244708</x:v>
      </x:c>
      <x:c r="O633" s="48" t="n">
        <x:v>0.9170256173418617</x:v>
      </x:c>
      <x:c r="P633" s="48" t="n">
        <x:v>0.6385550289606674</x:v>
      </x:c>
      <x:c r="Q633" s="48" t="n">
        <x:v>1</x:v>
      </x:c>
      <x:c r="R633" s="48" t="n">
        <x:v>0.8975396607824221</x:v>
      </x:c>
      <x:c r="S633" s="29" t="n">
        <x:v>0</x:v>
      </x:c>
    </x:row>
    <x:row r="634" ht="21.600000381469727" hidden="0" customHeight="1">
      <x:c r="A634" s="27" t="n">
        <x:v>210</x:v>
      </x:c>
      <x:c r="B634" s="27" t="str">
        <x:v>A3</x:v>
      </x:c>
      <x:c r="C634" s="47" t="n">
        <x:v>1.052470785017507</x:v>
      </x:c>
      <x:c r="D634" s="47" t="n">
        <x:v>0.8724327973328674</x:v>
      </x:c>
      <x:c r="E634" s="47" t="n">
        <x:v>0.4688356557506318</x:v>
      </x:c>
      <x:c r="F634" s="47" t="n">
        <x:v>-0.15067855777162248</x:v>
      </x:c>
      <x:c r="G634" s="47" t="n">
        <x:v>0.01231082867906183</x:v>
      </x:c>
      <x:c r="H634" s="47" t="n">
        <x:v>0.3195111250143967</x:v>
      </x:c>
      <x:c r="I634" s="47" t="n">
        <x:v>0.8586581370640747</x:v>
      </x:c>
      <x:c r="J634" s="47" t="n">
        <x:v>0.703425388592323</x:v>
      </x:c>
      <x:c r="K634" s="47" t="n">
        <x:v>0.881090880852764</x:v>
      </x:c>
      <x:c r="L634" s="47" t="n">
        <x:v>0.6671735282610927</x:v>
      </x:c>
      <x:c r="M634" s="47" t="n">
        <x:v>0.1222432226250675</x:v>
      </x:c>
      <x:c r="N634" s="47" t="n">
        <x:v>0.8241796087244708</x:v>
      </x:c>
      <x:c r="O634" s="47" t="n">
        <x:v>1</x:v>
      </x:c>
      <x:c r="P634" s="47" t="n">
        <x:v>1</x:v>
      </x:c>
      <x:c r="Q634" s="47" t="n">
        <x:v>1</x:v>
      </x:c>
      <x:c r="R634" s="47" t="n">
        <x:v>1</x:v>
      </x:c>
      <x:c r="S634" s="27" t="n">
        <x:v>1</x:v>
      </x:c>
    </x:row>
    <x:row r="635" ht="21.600000381469727" hidden="0" customHeight="1">
      <x:c r="A635" s="29" t="n">
        <x:v>211</x:v>
      </x:c>
      <x:c r="B635" s="29" t="str">
        <x:v>A1</x:v>
      </x:c>
      <x:c r="C635" s="48" t="n">
        <x:v>1.016445723818143</x:v>
      </x:c>
      <x:c r="D635" s="48" t="n">
        <x:v>0.974758367507137</x:v>
      </x:c>
      <x:c r="E635" s="48" t="n">
        <x:v>0.5110063785769378</x:v>
      </x:c>
      <x:c r="F635" s="48" t="n">
        <x:v>-0.1780598969218521</x:v>
      </x:c>
      <x:c r="G635" s="48" t="n">
        <x:v>-0.09038714563716259</x:v>
      </x:c>
      <x:c r="H635" s="48" t="n">
        <x:v>0.36666445067759906</x:v>
      </x:c>
      <x:c r="I635" s="48" t="n">
        <x:v>0.9743277949238288</x:v>
      </x:c>
      <x:c r="J635" s="48" t="n">
        <x:v>0.706444208140006</x:v>
      </x:c>
      <x:c r="K635" s="48" t="n">
        <x:v>0.8869746286863289</x:v>
      </x:c>
      <x:c r="L635" s="48" t="n">
        <x:v>0.9237783648304139</x:v>
      </x:c>
      <x:c r="M635" s="48" t="n">
        <x:v>0.05259054249821657</x:v>
      </x:c>
      <x:c r="N635" s="48" t="n">
        <x:v>0.7924978267516822</x:v>
      </x:c>
      <x:c r="O635" s="48" t="n">
        <x:v>0.9457029192852733</x:v>
      </x:c>
      <x:c r="P635" s="48" t="n">
        <x:v>0.7847406116570265</x:v>
      </x:c>
      <x:c r="Q635" s="48" t="n">
        <x:v>1</x:v>
      </x:c>
      <x:c r="R635" s="48" t="n">
        <x:v>0.9329516275947919</x:v>
      </x:c>
      <x:c r="S635" s="29" t="n">
        <x:v>0</x:v>
      </x:c>
    </x:row>
    <x:row r="636" ht="21.600000381469727" hidden="0" customHeight="1">
      <x:c r="A636" s="27" t="n">
        <x:v>211</x:v>
      </x:c>
      <x:c r="B636" s="27" t="str">
        <x:v>A2</x:v>
      </x:c>
      <x:c r="C636" s="47" t="n">
        <x:v>1.016445723818143</x:v>
      </x:c>
      <x:c r="D636" s="47" t="n">
        <x:v>0.974758367507137</x:v>
      </x:c>
      <x:c r="E636" s="47" t="n">
        <x:v>0.5110063785769378</x:v>
      </x:c>
      <x:c r="F636" s="47" t="n">
        <x:v>-0.1780598969218521</x:v>
      </x:c>
      <x:c r="G636" s="47" t="n">
        <x:v>-0.09038714563716259</x:v>
      </x:c>
      <x:c r="H636" s="47" t="n">
        <x:v>0.36666445067759906</x:v>
      </x:c>
      <x:c r="I636" s="47" t="n">
        <x:v>0.9743277949238288</x:v>
      </x:c>
      <x:c r="J636" s="47" t="n">
        <x:v>0.706444208140006</x:v>
      </x:c>
      <x:c r="K636" s="47" t="n">
        <x:v>0.8869746286863289</x:v>
      </x:c>
      <x:c r="L636" s="47" t="n">
        <x:v>0.9237783648304139</x:v>
      </x:c>
      <x:c r="M636" s="47" t="n">
        <x:v>0.05259054249821657</x:v>
      </x:c>
      <x:c r="N636" s="47" t="n">
        <x:v>0.7924978267516822</x:v>
      </x:c>
      <x:c r="O636" s="47" t="n">
        <x:v>1</x:v>
      </x:c>
      <x:c r="P636" s="47" t="n">
        <x:v>0.9999999999999999</x:v>
      </x:c>
      <x:c r="Q636" s="47" t="n">
        <x:v>1</x:v>
      </x:c>
      <x:c r="R636" s="47" t="n">
        <x:v>1</x:v>
      </x:c>
      <x:c r="S636" s="27" t="n">
        <x:v>1</x:v>
      </x:c>
    </x:row>
    <x:row r="637" ht="21.600000381469727" hidden="0" customHeight="1">
      <x:c r="A637" s="29" t="n">
        <x:v>211</x:v>
      </x:c>
      <x:c r="B637" s="29" t="str">
        <x:v>A3</x:v>
      </x:c>
      <x:c r="C637" s="48" t="n">
        <x:v>1.016445723818143</x:v>
      </x:c>
      <x:c r="D637" s="48" t="n">
        <x:v>0.974758367507137</x:v>
      </x:c>
      <x:c r="E637" s="48" t="n">
        <x:v>0.5110063785769378</x:v>
      </x:c>
      <x:c r="F637" s="48" t="n">
        <x:v>-0.1780598969218521</x:v>
      </x:c>
      <x:c r="G637" s="48" t="n">
        <x:v>-0.09038714563716259</x:v>
      </x:c>
      <x:c r="H637" s="48" t="n">
        <x:v>0.36666445067759906</x:v>
      </x:c>
      <x:c r="I637" s="48" t="n">
        <x:v>0.9743277949238288</x:v>
      </x:c>
      <x:c r="J637" s="48" t="n">
        <x:v>0.706444208140006</x:v>
      </x:c>
      <x:c r="K637" s="48" t="n">
        <x:v>0.8869746286863289</x:v>
      </x:c>
      <x:c r="L637" s="48" t="n">
        <x:v>0.9237783648304139</x:v>
      </x:c>
      <x:c r="M637" s="48" t="n">
        <x:v>0.05259054249821657</x:v>
      </x:c>
      <x:c r="N637" s="48" t="n">
        <x:v>0.7924978267516822</x:v>
      </x:c>
      <x:c r="O637" s="48" t="n">
        <x:v>1</x:v>
      </x:c>
      <x:c r="P637" s="48" t="n">
        <x:v>1</x:v>
      </x:c>
      <x:c r="Q637" s="48" t="n">
        <x:v>1</x:v>
      </x:c>
      <x:c r="R637" s="48" t="n">
        <x:v>1</x:v>
      </x:c>
      <x:c r="S637" s="29" t="n">
        <x:v>1</x:v>
      </x:c>
    </x:row>
    <x:row r="638" ht="21.600000381469727" hidden="0" customHeight="1">
      <x:c r="A638" s="27" t="n">
        <x:v>212</x:v>
      </x:c>
      <x:c r="B638" s="27" t="str">
        <x:v>A1</x:v>
      </x:c>
      <x:c r="C638" s="47" t="n">
        <x:v>0.92320386820844</x:v>
      </x:c>
      <x:c r="D638" s="47" t="n">
        <x:v>0.7484689057500453</x:v>
      </x:c>
      <x:c r="E638" s="47" t="n">
        <x:v>0.7207503779337601</x:v>
      </x:c>
      <x:c r="F638" s="47" t="n">
        <x:v>0.00818918871936869</x:v>
      </x:c>
      <x:c r="G638" s="47" t="n">
        <x:v>-0.05714033512283748</x:v>
      </x:c>
      <x:c r="H638" s="47" t="n">
        <x:v>1.073595992224301</x:v>
      </x:c>
      <x:c r="I638" s="47" t="n">
        <x:v>0.976879326451661</x:v>
      </x:c>
      <x:c r="J638" s="47" t="n">
        <x:v>0.546704635763253</x:v>
      </x:c>
      <x:c r="K638" s="47" t="n">
        <x:v>0.6788717279263576</x:v>
      </x:c>
      <x:c r="L638" s="47" t="n">
        <x:v>0.9412503903211887</x:v>
      </x:c>
      <x:c r="M638" s="47" t="n">
        <x:v>0.045853524929788884</x:v>
      </x:c>
      <x:c r="N638" s="47" t="n">
        <x:v>0.733693890654182</x:v>
      </x:c>
      <x:c r="O638" s="47" t="n">
        <x:v>0.88597403206917</x:v>
      </x:c>
      <x:c r="P638" s="47" t="n">
        <x:v>0.6815625445766721</x:v>
      </x:c>
      <x:c r="Q638" s="47" t="n">
        <x:v>1</x:v>
      </x:c>
      <x:c r="R638" s="47" t="n">
        <x:v>0.8591958267174936</x:v>
      </x:c>
      <x:c r="S638" s="27" t="n">
        <x:v>0</x:v>
      </x:c>
    </x:row>
    <x:row r="639" ht="21.600000381469727" hidden="0" customHeight="1">
      <x:c r="A639" s="29" t="n">
        <x:v>212</x:v>
      </x:c>
      <x:c r="B639" s="29" t="str">
        <x:v>A2</x:v>
      </x:c>
      <x:c r="C639" s="48" t="n">
        <x:v>0.92320386820844</x:v>
      </x:c>
      <x:c r="D639" s="48" t="n">
        <x:v>0.7484689057500453</x:v>
      </x:c>
      <x:c r="E639" s="48" t="n">
        <x:v>0.7207503779337601</x:v>
      </x:c>
      <x:c r="F639" s="48" t="n">
        <x:v>0.00818918871936869</x:v>
      </x:c>
      <x:c r="G639" s="48" t="n">
        <x:v>-0.05714033512283748</x:v>
      </x:c>
      <x:c r="H639" s="48" t="n">
        <x:v>1.073595992224301</x:v>
      </x:c>
      <x:c r="I639" s="48" t="n">
        <x:v>0.976879326451661</x:v>
      </x:c>
      <x:c r="J639" s="48" t="n">
        <x:v>0.546704635763253</x:v>
      </x:c>
      <x:c r="K639" s="48" t="n">
        <x:v>0.6788717279263576</x:v>
      </x:c>
      <x:c r="L639" s="48" t="n">
        <x:v>0.9412503903211887</x:v>
      </x:c>
      <x:c r="M639" s="48" t="n">
        <x:v>0.045853524929788884</x:v>
      </x:c>
      <x:c r="N639" s="48" t="n">
        <x:v>0.733693890654182</x:v>
      </x:c>
      <x:c r="O639" s="48" t="n">
        <x:v>0.9742898956192909</x:v>
      </x:c>
      <x:c r="P639" s="48" t="n">
        <x:v>0.7810472835998052</x:v>
      </x:c>
      <x:c r="Q639" s="48" t="n">
        <x:v>1</x:v>
      </x:c>
      <x:c r="R639" s="48" t="n">
        <x:v>0.9682520564567475</x:v>
      </x:c>
      <x:c r="S639" s="29" t="n">
        <x:v>0</x:v>
      </x:c>
    </x:row>
    <x:row r="640" ht="21.600000381469727" hidden="0" customHeight="1">
      <x:c r="A640" s="27" t="n">
        <x:v>212</x:v>
      </x:c>
      <x:c r="B640" s="27" t="str">
        <x:v>A3</x:v>
      </x:c>
      <x:c r="C640" s="47" t="n">
        <x:v>0.92320386820844</x:v>
      </x:c>
      <x:c r="D640" s="47" t="n">
        <x:v>0.7484689057500453</x:v>
      </x:c>
      <x:c r="E640" s="47" t="n">
        <x:v>0.7207503779337601</x:v>
      </x:c>
      <x:c r="F640" s="47" t="n">
        <x:v>0.00818918871936869</x:v>
      </x:c>
      <x:c r="G640" s="47" t="n">
        <x:v>-0.05714033512283748</x:v>
      </x:c>
      <x:c r="H640" s="47" t="n">
        <x:v>1.073595992224301</x:v>
      </x:c>
      <x:c r="I640" s="47" t="n">
        <x:v>0.976879326451661</x:v>
      </x:c>
      <x:c r="J640" s="47" t="n">
        <x:v>0.546704635763253</x:v>
      </x:c>
      <x:c r="K640" s="47" t="n">
        <x:v>0.6788717279263576</x:v>
      </x:c>
      <x:c r="L640" s="47" t="n">
        <x:v>0.9412503903211887</x:v>
      </x:c>
      <x:c r="M640" s="47" t="n">
        <x:v>0.045853524929788884</x:v>
      </x:c>
      <x:c r="N640" s="47" t="n">
        <x:v>0.733693890654182</x:v>
      </x:c>
      <x:c r="O640" s="47" t="n">
        <x:v>1</x:v>
      </x:c>
      <x:c r="P640" s="47" t="n">
        <x:v>1</x:v>
      </x:c>
      <x:c r="Q640" s="47" t="n">
        <x:v>1</x:v>
      </x:c>
      <x:c r="R640" s="47" t="n">
        <x:v>1</x:v>
      </x:c>
      <x:c r="S640" s="27" t="n">
        <x:v>1</x:v>
      </x:c>
    </x:row>
    <x:row r="641" ht="21.600000381469727" hidden="0" customHeight="1">
      <x:c r="A641" s="29" t="n">
        <x:v>213</x:v>
      </x:c>
      <x:c r="B641" s="29" t="str">
        <x:v>A1</x:v>
      </x:c>
      <x:c r="C641" s="48" t="n">
        <x:v>1.2241115217073204</x:v>
      </x:c>
      <x:c r="D641" s="48" t="n">
        <x:v>0.8828225916246715</x:v>
      </x:c>
      <x:c r="E641" s="48" t="n">
        <x:v>0.4809876752851046</x:v>
      </x:c>
      <x:c r="F641" s="48" t="n">
        <x:v>-0.08876405692851984</x:v>
      </x:c>
      <x:c r="G641" s="48" t="n">
        <x:v>-0.023698368402839565</x:v>
      </x:c>
      <x:c r="H641" s="48" t="n">
        <x:v>1.069613987999616</x:v>
      </x:c>
      <x:c r="I641" s="48" t="n">
        <x:v>0.6018693385687136</x:v>
      </x:c>
      <x:c r="J641" s="48" t="n">
        <x:v>0.7988482868718401</x:v>
      </x:c>
      <x:c r="K641" s="48" t="n">
        <x:v>0.7155263594149773</x:v>
      </x:c>
      <x:c r="L641" s="48" t="n">
        <x:v>0.7895952308528016</x:v>
      </x:c>
      <x:c r="M641" s="48" t="n">
        <x:v>0.10901213616796805</x:v>
      </x:c>
      <x:c r="N641" s="48" t="n">
        <x:v>0.8109697532776781</x:v>
      </x:c>
      <x:c r="O641" s="48" t="n">
        <x:v>0.8256345835930559</x:v>
      </x:c>
      <x:c r="P641" s="48" t="n">
        <x:v>0.5356518026439336</x:v>
      </x:c>
      <x:c r="Q641" s="48" t="n">
        <x:v>1</x:v>
      </x:c>
      <x:c r="R641" s="48" t="n">
        <x:v>0.7846860785156148</x:v>
      </x:c>
      <x:c r="S641" s="29" t="n">
        <x:v>0</x:v>
      </x:c>
    </x:row>
    <x:row r="642" ht="21.600000381469727" hidden="0" customHeight="1">
      <x:c r="A642" s="27" t="n">
        <x:v>213</x:v>
      </x:c>
      <x:c r="B642" s="27" t="str">
        <x:v>A2</x:v>
      </x:c>
      <x:c r="C642" s="47" t="n">
        <x:v>1.2241115217073204</x:v>
      </x:c>
      <x:c r="D642" s="47" t="n">
        <x:v>0.8828225916246715</x:v>
      </x:c>
      <x:c r="E642" s="47" t="n">
        <x:v>0.4809876752851046</x:v>
      </x:c>
      <x:c r="F642" s="47" t="n">
        <x:v>-0.08876405692851984</x:v>
      </x:c>
      <x:c r="G642" s="47" t="n">
        <x:v>-0.023698368402839565</x:v>
      </x:c>
      <x:c r="H642" s="47" t="n">
        <x:v>1.069613987999616</x:v>
      </x:c>
      <x:c r="I642" s="47" t="n">
        <x:v>0.6018693385687136</x:v>
      </x:c>
      <x:c r="J642" s="47" t="n">
        <x:v>0.7988482868718401</x:v>
      </x:c>
      <x:c r="K642" s="47" t="n">
        <x:v>0.7155263594149773</x:v>
      </x:c>
      <x:c r="L642" s="47" t="n">
        <x:v>0.7895952308528016</x:v>
      </x:c>
      <x:c r="M642" s="47" t="n">
        <x:v>0.10901213616796805</x:v>
      </x:c>
      <x:c r="N642" s="47" t="n">
        <x:v>0.8109697532776781</x:v>
      </x:c>
      <x:c r="O642" s="47" t="n">
        <x:v>0.8888653212410603</x:v>
      </x:c>
      <x:c r="P642" s="47" t="n">
        <x:v>0.5866172198631338</x:v>
      </x:c>
      <x:c r="Q642" s="47" t="n">
        <x:v>1</x:v>
      </x:c>
      <x:c r="R642" s="47" t="n">
        <x:v>0.86276611503827</x:v>
      </x:c>
      <x:c r="S642" s="27" t="n">
        <x:v>0</x:v>
      </x:c>
    </x:row>
    <x:row r="643" ht="21.600000381469727" hidden="0" customHeight="1">
      <x:c r="A643" s="29" t="n">
        <x:v>213</x:v>
      </x:c>
      <x:c r="B643" s="29" t="str">
        <x:v>A3</x:v>
      </x:c>
      <x:c r="C643" s="48" t="n">
        <x:v>1.2241115217073204</x:v>
      </x:c>
      <x:c r="D643" s="48" t="n">
        <x:v>0.8828225916246715</x:v>
      </x:c>
      <x:c r="E643" s="48" t="n">
        <x:v>0.4809876752851046</x:v>
      </x:c>
      <x:c r="F643" s="48" t="n">
        <x:v>-0.08876405692851984</x:v>
      </x:c>
      <x:c r="G643" s="48" t="n">
        <x:v>-0.023698368402839565</x:v>
      </x:c>
      <x:c r="H643" s="48" t="n">
        <x:v>1.069613987999616</x:v>
      </x:c>
      <x:c r="I643" s="48" t="n">
        <x:v>0.6018693385687136</x:v>
      </x:c>
      <x:c r="J643" s="48" t="n">
        <x:v>0.7988482868718401</x:v>
      </x:c>
      <x:c r="K643" s="48" t="n">
        <x:v>0.7155263594149773</x:v>
      </x:c>
      <x:c r="L643" s="48" t="n">
        <x:v>0.7895952308528016</x:v>
      </x:c>
      <x:c r="M643" s="48" t="n">
        <x:v>0.10901213616796805</x:v>
      </x:c>
      <x:c r="N643" s="48" t="n">
        <x:v>0.8109697532776781</x:v>
      </x:c>
      <x:c r="O643" s="48" t="n">
        <x:v>1</x:v>
      </x:c>
      <x:c r="P643" s="48" t="n">
        <x:v>1</x:v>
      </x:c>
      <x:c r="Q643" s="48" t="n">
        <x:v>1</x:v>
      </x:c>
      <x:c r="R643" s="48" t="n">
        <x:v>1</x:v>
      </x:c>
      <x:c r="S643" s="29" t="n">
        <x:v>1</x:v>
      </x:c>
    </x:row>
    <x:row r="644" ht="21.600000381469727" hidden="0" customHeight="1">
      <x:c r="A644" s="27" t="n">
        <x:v>214</x:v>
      </x:c>
      <x:c r="B644" s="27" t="str">
        <x:v>A1</x:v>
      </x:c>
      <x:c r="C644" s="47" t="n">
        <x:v>1.2805878311641017</x:v>
      </x:c>
      <x:c r="D644" s="47" t="n">
        <x:v>0.8461597689164091</x:v>
      </x:c>
      <x:c r="E644" s="47" t="n">
        <x:v>0.6578841200955957</x:v>
      </x:c>
      <x:c r="F644" s="47" t="n">
        <x:v>-0.1443962395276061</x:v>
      </x:c>
      <x:c r="G644" s="47" t="n">
        <x:v>-0.014880363501718646</x:v>
      </x:c>
      <x:c r="H644" s="47" t="n">
        <x:v>0.9455177945382205</x:v>
      </x:c>
      <x:c r="I644" s="47" t="n">
        <x:v>0.7352806857745403</x:v>
      </x:c>
      <x:c r="J644" s="47" t="n">
        <x:v>0.8724037735066672</x:v>
      </x:c>
      <x:c r="K644" s="47" t="n">
        <x:v>0.5786337765510882</x:v>
      </x:c>
      <x:c r="L644" s="47" t="n">
        <x:v>0.5697611880858404</x:v>
      </x:c>
      <x:c r="M644" s="47" t="n">
        <x:v>0.029901191781388663</x:v>
      </x:c>
      <x:c r="N644" s="47" t="n">
        <x:v>0.7761732115096682</x:v>
      </x:c>
      <x:c r="O644" s="47" t="n">
        <x:v>0.7159520730304271</x:v>
      </x:c>
      <x:c r="P644" s="47" t="n">
        <x:v>0.42095878086539157</x:v>
      </x:c>
      <x:c r="Q644" s="47" t="n">
        <x:v>0.9443537348902351</x:v>
      </x:c>
      <x:c r="R644" s="47" t="n">
        <x:v>0.6496586700091145</x:v>
      </x:c>
      <x:c r="S644" s="27" t="n">
        <x:v>0</x:v>
      </x:c>
    </x:row>
    <x:row r="645" ht="21.600000381469727" hidden="0" customHeight="1">
      <x:c r="A645" s="29" t="n">
        <x:v>214</x:v>
      </x:c>
      <x:c r="B645" s="29" t="str">
        <x:v>A2</x:v>
      </x:c>
      <x:c r="C645" s="48" t="n">
        <x:v>1.2805878311641017</x:v>
      </x:c>
      <x:c r="D645" s="48" t="n">
        <x:v>0.8461597689164091</x:v>
      </x:c>
      <x:c r="E645" s="48" t="n">
        <x:v>0.6578841200955957</x:v>
      </x:c>
      <x:c r="F645" s="48" t="n">
        <x:v>-0.1443962395276061</x:v>
      </x:c>
      <x:c r="G645" s="48" t="n">
        <x:v>-0.014880363501718646</x:v>
      </x:c>
      <x:c r="H645" s="48" t="n">
        <x:v>0.9455177945382205</x:v>
      </x:c>
      <x:c r="I645" s="48" t="n">
        <x:v>0.7352806857745403</x:v>
      </x:c>
      <x:c r="J645" s="48" t="n">
        <x:v>0.8724037735066672</x:v>
      </x:c>
      <x:c r="K645" s="48" t="n">
        <x:v>0.5786337765510882</x:v>
      </x:c>
      <x:c r="L645" s="48" t="n">
        <x:v>0.5697611880858404</x:v>
      </x:c>
      <x:c r="M645" s="48" t="n">
        <x:v>0.029901191781388663</x:v>
      </x:c>
      <x:c r="N645" s="48" t="n">
        <x:v>0.7761732115096682</x:v>
      </x:c>
      <x:c r="O645" s="48" t="n">
        <x:v>0.7757018563114139</x:v>
      </x:c>
      <x:c r="P645" s="48" t="n">
        <x:v>0.4423167434407449</x:v>
      </x:c>
      <x:c r="Q645" s="48" t="n">
        <x:v>1</x:v>
      </x:c>
      <x:c r="R645" s="48" t="n">
        <x:v>0.7230269975868088</x:v>
      </x:c>
      <x:c r="S645" s="29" t="n">
        <x:v>0</x:v>
      </x:c>
    </x:row>
    <x:row r="646" ht="21.600000381469727" hidden="0" customHeight="1">
      <x:c r="A646" s="27" t="n">
        <x:v>214</x:v>
      </x:c>
      <x:c r="B646" s="27" t="str">
        <x:v>A3</x:v>
      </x:c>
      <x:c r="C646" s="47" t="n">
        <x:v>1.2805878311641017</x:v>
      </x:c>
      <x:c r="D646" s="47" t="n">
        <x:v>0.8461597689164091</x:v>
      </x:c>
      <x:c r="E646" s="47" t="n">
        <x:v>0.6578841200955957</x:v>
      </x:c>
      <x:c r="F646" s="47" t="n">
        <x:v>-0.1443962395276061</x:v>
      </x:c>
      <x:c r="G646" s="47" t="n">
        <x:v>-0.014880363501718646</x:v>
      </x:c>
      <x:c r="H646" s="47" t="n">
        <x:v>0.9455177945382205</x:v>
      </x:c>
      <x:c r="I646" s="47" t="n">
        <x:v>0.7352806857745403</x:v>
      </x:c>
      <x:c r="J646" s="47" t="n">
        <x:v>0.8724037735066672</x:v>
      </x:c>
      <x:c r="K646" s="47" t="n">
        <x:v>0.5786337765510882</x:v>
      </x:c>
      <x:c r="L646" s="47" t="n">
        <x:v>0.5697611880858404</x:v>
      </x:c>
      <x:c r="M646" s="47" t="n">
        <x:v>0.029901191781388663</x:v>
      </x:c>
      <x:c r="N646" s="47" t="n">
        <x:v>0.7761732115096682</x:v>
      </x:c>
      <x:c r="O646" s="47" t="n">
        <x:v>1</x:v>
      </x:c>
      <x:c r="P646" s="47" t="n">
        <x:v>1</x:v>
      </x:c>
      <x:c r="Q646" s="47" t="n">
        <x:v>1</x:v>
      </x:c>
      <x:c r="R646" s="47" t="n">
        <x:v>1</x:v>
      </x:c>
      <x:c r="S646" s="27" t="n">
        <x:v>1</x:v>
      </x:c>
    </x:row>
    <x:row r="647" ht="21.600000381469727" hidden="0" customHeight="1">
      <x:c r="A647" s="29" t="n">
        <x:v>215</x:v>
      </x:c>
      <x:c r="B647" s="29" t="str">
        <x:v>A1</x:v>
      </x:c>
      <x:c r="C647" s="48" t="n">
        <x:v>1.1078570041899505</x:v>
      </x:c>
      <x:c r="D647" s="48" t="n">
        <x:v>0.7823606167623094</x:v>
      </x:c>
      <x:c r="E647" s="48" t="n">
        <x:v>0.8652939963354624</x:v>
      </x:c>
      <x:c r="F647" s="48" t="n">
        <x:v>0.005978296998972926</x:v>
      </x:c>
      <x:c r="G647" s="48" t="n">
        <x:v>-0.12791705517439245</x:v>
      </x:c>
      <x:c r="H647" s="48" t="n">
        <x:v>0.46857775108073946</x:v>
      </x:c>
      <x:c r="I647" s="48" t="n">
        <x:v>0.9893770496635068</x:v>
      </x:c>
      <x:c r="J647" s="48" t="n">
        <x:v>0.6442434734415021</x:v>
      </x:c>
      <x:c r="K647" s="48" t="n">
        <x:v>0.6033908606646511</x:v>
      </x:c>
      <x:c r="L647" s="48" t="n">
        <x:v>0.7356482056079918</x:v>
      </x:c>
      <x:c r="M647" s="48" t="n">
        <x:v>0.07943393987009956</x:v>
      </x:c>
      <x:c r="N647" s="48" t="n">
        <x:v>0.7581859658902943</x:v>
      </x:c>
      <x:c r="O647" s="48" t="n">
        <x:v>0.798705359437321</x:v>
      </x:c>
      <x:c r="P647" s="48" t="n">
        <x:v>0.5095974114291041</x:v>
      </x:c>
      <x:c r="Q647" s="48" t="n">
        <x:v>0.9337597016195699</x:v>
      </x:c>
      <x:c r="R647" s="48" t="n">
        <x:v>0.7519246703921884</x:v>
      </x:c>
      <x:c r="S647" s="29" t="n">
        <x:v>0</x:v>
      </x:c>
    </x:row>
    <x:row r="648" ht="21.600000381469727" hidden="0" customHeight="1">
      <x:c r="A648" s="27" t="n">
        <x:v>215</x:v>
      </x:c>
      <x:c r="B648" s="27" t="str">
        <x:v>A2</x:v>
      </x:c>
      <x:c r="C648" s="47" t="n">
        <x:v>1.1078570041899505</x:v>
      </x:c>
      <x:c r="D648" s="47" t="n">
        <x:v>0.7823606167623094</x:v>
      </x:c>
      <x:c r="E648" s="47" t="n">
        <x:v>0.8652939963354624</x:v>
      </x:c>
      <x:c r="F648" s="47" t="n">
        <x:v>0.005978296998972926</x:v>
      </x:c>
      <x:c r="G648" s="47" t="n">
        <x:v>-0.12791705517439245</x:v>
      </x:c>
      <x:c r="H648" s="47" t="n">
        <x:v>0.46857775108073946</x:v>
      </x:c>
      <x:c r="I648" s="47" t="n">
        <x:v>0.9893770496635068</x:v>
      </x:c>
      <x:c r="J648" s="47" t="n">
        <x:v>0.6442434734415021</x:v>
      </x:c>
      <x:c r="K648" s="47" t="n">
        <x:v>0.6033908606646511</x:v>
      </x:c>
      <x:c r="L648" s="47" t="n">
        <x:v>0.7356482056079918</x:v>
      </x:c>
      <x:c r="M648" s="47" t="n">
        <x:v>0.07943393987009956</x:v>
      </x:c>
      <x:c r="N648" s="47" t="n">
        <x:v>0.7581859658902943</x:v>
      </x:c>
      <x:c r="O648" s="47" t="n">
        <x:v>0.8882755252477886</x:v>
      </x:c>
      <x:c r="P648" s="47" t="n">
        <x:v>0.5618258738164855</x:v>
      </x:c>
      <x:c r="Q648" s="47" t="n">
        <x:v>1</x:v>
      </x:c>
      <x:c r="R648" s="47" t="n">
        <x:v>0.8620378095588698</x:v>
      </x:c>
      <x:c r="S648" s="27" t="n">
        <x:v>0</x:v>
      </x:c>
    </x:row>
    <x:row r="649" ht="21.600000381469727" hidden="0" customHeight="1">
      <x:c r="A649" s="29" t="n">
        <x:v>215</x:v>
      </x:c>
      <x:c r="B649" s="29" t="str">
        <x:v>A3</x:v>
      </x:c>
      <x:c r="C649" s="48" t="n">
        <x:v>1.1078570041899505</x:v>
      </x:c>
      <x:c r="D649" s="48" t="n">
        <x:v>0.7823606167623094</x:v>
      </x:c>
      <x:c r="E649" s="48" t="n">
        <x:v>0.8652939963354624</x:v>
      </x:c>
      <x:c r="F649" s="48" t="n">
        <x:v>0.005978296998972926</x:v>
      </x:c>
      <x:c r="G649" s="48" t="n">
        <x:v>-0.12791705517439245</x:v>
      </x:c>
      <x:c r="H649" s="48" t="n">
        <x:v>0.46857775108073946</x:v>
      </x:c>
      <x:c r="I649" s="48" t="n">
        <x:v>0.9893770496635068</x:v>
      </x:c>
      <x:c r="J649" s="48" t="n">
        <x:v>0.6442434734415021</x:v>
      </x:c>
      <x:c r="K649" s="48" t="n">
        <x:v>0.6033908606646511</x:v>
      </x:c>
      <x:c r="L649" s="48" t="n">
        <x:v>0.7356482056079918</x:v>
      </x:c>
      <x:c r="M649" s="48" t="n">
        <x:v>0.07943393987009956</x:v>
      </x:c>
      <x:c r="N649" s="48" t="n">
        <x:v>0.7581859658902943</x:v>
      </x:c>
      <x:c r="O649" s="48" t="n">
        <x:v>1.0000000000000002</x:v>
      </x:c>
      <x:c r="P649" s="48" t="n">
        <x:v>1</x:v>
      </x:c>
      <x:c r="Q649" s="48" t="n">
        <x:v>1</x:v>
      </x:c>
      <x:c r="R649" s="48" t="n">
        <x:v>1</x:v>
      </x:c>
      <x:c r="S649" s="29" t="n">
        <x:v>1</x:v>
      </x:c>
    </x:row>
    <x:row r="650" ht="15" hidden="0" customHeight="1">
      <x:c r="A650" s="27" t="n">
        <x:v>216</x:v>
      </x:c>
      <x:c r="B650" s="27" t="str">
        <x:v>A1</x:v>
      </x:c>
      <x:c r="C650" s="47" t="n">
        <x:v>1.0327501273518573</x:v>
      </x:c>
      <x:c r="D650" s="47" t="n">
        <x:v>0.8645343472350024</x:v>
      </x:c>
      <x:c r="E650" s="47" t="n">
        <x:v>0.6584161727536013</x:v>
      </x:c>
      <x:c r="F650" s="47" t="n">
        <x:v>0.013631141540553116</x:v>
      </x:c>
      <x:c r="G650" s="47" t="n">
        <x:v>-0.1566832701188422</x:v>
      </x:c>
      <x:c r="H650" s="47" t="n">
        <x:v>0.740698666903811</x:v>
      </x:c>
      <x:c r="I650" s="47" t="n">
        <x:v>0.8387168023237955</x:v>
      </x:c>
      <x:c r="J650" s="47" t="n">
        <x:v>0.8092491369472308</x:v>
      </x:c>
      <x:c r="K650" s="47" t="n">
        <x:v>0.6780683331122725</x:v>
      </x:c>
      <x:c r="L650" s="47" t="n">
        <x:v>0.6457053888130077</x:v>
      </x:c>
      <x:c r="M650" s="47" t="n">
        <x:v>0.13615810115885327</x:v>
      </x:c>
      <x:c r="N650" s="47" t="n">
        <x:v>0.7149843946529524</x:v>
      </x:c>
      <x:c r="O650" s="47" t="n">
        <x:v>0.8783301414883152</x:v>
      </x:c>
      <x:c r="P650" s="47" t="n">
        <x:v>0.6141742156304777</x:v>
      </x:c>
      <x:c r="Q650" s="47" t="n">
        <x:v>1</x:v>
      </x:c>
      <x:c r="R650" s="47" t="n">
        <x:v>0.8497568216081303</x:v>
      </x:c>
      <x:c r="S650" s="27" t="n">
        <x:v>0</x:v>
      </x:c>
    </x:row>
    <x:row r="651" ht="15" hidden="0" customHeight="1">
      <x:c r="A651" s="29" t="n">
        <x:v>216</x:v>
      </x:c>
      <x:c r="B651" s="29" t="str">
        <x:v>A2</x:v>
      </x:c>
      <x:c r="C651" s="48" t="n">
        <x:v>1.0327501273518573</x:v>
      </x:c>
      <x:c r="D651" s="48" t="n">
        <x:v>0.8645343472350024</x:v>
      </x:c>
      <x:c r="E651" s="48" t="n">
        <x:v>0.6584161727536013</x:v>
      </x:c>
      <x:c r="F651" s="48" t="n">
        <x:v>0.013631141540553116</x:v>
      </x:c>
      <x:c r="G651" s="48" t="n">
        <x:v>-0.1566832701188422</x:v>
      </x:c>
      <x:c r="H651" s="48" t="n">
        <x:v>0.740698666903811</x:v>
      </x:c>
      <x:c r="I651" s="48" t="n">
        <x:v>0.8387168023237955</x:v>
      </x:c>
      <x:c r="J651" s="48" t="n">
        <x:v>0.8092491369472308</x:v>
      </x:c>
      <x:c r="K651" s="48" t="n">
        <x:v>0.6780683331122725</x:v>
      </x:c>
      <x:c r="L651" s="48" t="n">
        <x:v>0.6457053888130077</x:v>
      </x:c>
      <x:c r="M651" s="48" t="n">
        <x:v>0.13615810115885327</x:v>
      </x:c>
      <x:c r="N651" s="48" t="n">
        <x:v>0.7149843946529524</x:v>
      </x:c>
      <x:c r="O651" s="48" t="n">
        <x:v>0.9541707156505776</x:v>
      </x:c>
      <x:c r="P651" s="48" t="n">
        <x:v>0.6679081856160158</x:v>
      </x:c>
      <x:c r="Q651" s="48" t="n">
        <x:v>1</x:v>
      </x:c>
      <x:c r="R651" s="48" t="n">
        <x:v>0.9434080270306164</x:v>
      </x:c>
      <x:c r="S651" s="29" t="n">
        <x:v>0</x:v>
      </x:c>
    </x:row>
    <x:row r="652" ht="15" hidden="0" customHeight="1">
      <x:c r="A652" s="27" t="n">
        <x:v>216</x:v>
      </x:c>
      <x:c r="B652" s="27" t="str">
        <x:v>A3</x:v>
      </x:c>
      <x:c r="C652" s="47" t="n">
        <x:v>1.0327501273518573</x:v>
      </x:c>
      <x:c r="D652" s="47" t="n">
        <x:v>0.8645343472350024</x:v>
      </x:c>
      <x:c r="E652" s="47" t="n">
        <x:v>0.6584161727536013</x:v>
      </x:c>
      <x:c r="F652" s="47" t="n">
        <x:v>0.013631141540553116</x:v>
      </x:c>
      <x:c r="G652" s="47" t="n">
        <x:v>-0.1566832701188422</x:v>
      </x:c>
      <x:c r="H652" s="47" t="n">
        <x:v>0.740698666903811</x:v>
      </x:c>
      <x:c r="I652" s="47" t="n">
        <x:v>0.8387168023237955</x:v>
      </x:c>
      <x:c r="J652" s="47" t="n">
        <x:v>0.8092491369472308</x:v>
      </x:c>
      <x:c r="K652" s="47" t="n">
        <x:v>0.6780683331122725</x:v>
      </x:c>
      <x:c r="L652" s="47" t="n">
        <x:v>0.6457053888130077</x:v>
      </x:c>
      <x:c r="M652" s="47" t="n">
        <x:v>0.13615810115885327</x:v>
      </x:c>
      <x:c r="N652" s="47" t="n">
        <x:v>0.7149843946529524</x:v>
      </x:c>
      <x:c r="O652" s="47" t="n">
        <x:v>1</x:v>
      </x:c>
      <x:c r="P652" s="47" t="n">
        <x:v>1</x:v>
      </x:c>
      <x:c r="Q652" s="47" t="n">
        <x:v>1</x:v>
      </x:c>
      <x:c r="R652" s="47" t="n">
        <x:v>1</x:v>
      </x:c>
      <x:c r="S652" s="27" t="n">
        <x:v>1</x:v>
      </x:c>
    </x:row>
    <x:row r="653" ht="21.600000381469727" hidden="0" customHeight="1">
      <x:c r="A653" s="29" t="n">
        <x:v>217</x:v>
      </x:c>
      <x:c r="B653" s="29" t="str">
        <x:v>A1</x:v>
      </x:c>
      <x:c r="C653" s="48" t="n">
        <x:v>1.3208422738850119</x:v>
      </x:c>
      <x:c r="D653" s="48" t="n">
        <x:v>0.8410478521236364</x:v>
      </x:c>
      <x:c r="E653" s="48" t="n">
        <x:v>1.0871371562812668</x:v>
      </x:c>
      <x:c r="F653" s="48" t="n">
        <x:v>0.014525510464038771</x:v>
      </x:c>
      <x:c r="G653" s="48" t="n">
        <x:v>-0.1620191375101772</x:v>
      </x:c>
      <x:c r="H653" s="48" t="n">
        <x:v>0.44053536723325415</x:v>
      </x:c>
      <x:c r="I653" s="48" t="n">
        <x:v>1.0186482860282564</x:v>
      </x:c>
      <x:c r="J653" s="48" t="n">
        <x:v>0.4822612014781005</x:v>
      </x:c>
      <x:c r="K653" s="48" t="n">
        <x:v>0.9808580407506118</x:v>
      </x:c>
      <x:c r="L653" s="48" t="n">
        <x:v>0.6210454157204285</x:v>
      </x:c>
      <x:c r="M653" s="48" t="n">
        <x:v>0.07887670095121337</x:v>
      </x:c>
      <x:c r="N653" s="48" t="n">
        <x:v>0.8298132547448315</x:v>
      </x:c>
      <x:c r="O653" s="48" t="n">
        <x:v>0.8033342021584862</x:v>
      </x:c>
      <x:c r="P653" s="48" t="n">
        <x:v>0.5198910385014628</x:v>
      </x:c>
      <x:c r="Q653" s="48" t="n">
        <x:v>0.951348282938476</x:v>
      </x:c>
      <x:c r="R653" s="48" t="n">
        <x:v>0.7575099368089702</x:v>
      </x:c>
      <x:c r="S653" s="29" t="n">
        <x:v>0</x:v>
      </x:c>
    </x:row>
    <x:row r="654" ht="21.600000381469727" hidden="0" customHeight="1">
      <x:c r="A654" s="27" t="n">
        <x:v>217</x:v>
      </x:c>
      <x:c r="B654" s="27" t="str">
        <x:v>A2</x:v>
      </x:c>
      <x:c r="C654" s="47" t="n">
        <x:v>1.3208422738850119</x:v>
      </x:c>
      <x:c r="D654" s="47" t="n">
        <x:v>0.8410478521236364</x:v>
      </x:c>
      <x:c r="E654" s="47" t="n">
        <x:v>1.0871371562812668</x:v>
      </x:c>
      <x:c r="F654" s="47" t="n">
        <x:v>0.014525510464038771</x:v>
      </x:c>
      <x:c r="G654" s="47" t="n">
        <x:v>-0.1620191375101772</x:v>
      </x:c>
      <x:c r="H654" s="47" t="n">
        <x:v>0.44053536723325415</x:v>
      </x:c>
      <x:c r="I654" s="47" t="n">
        <x:v>1.0186482860282564</x:v>
      </x:c>
      <x:c r="J654" s="47" t="n">
        <x:v>0.4822612014781005</x:v>
      </x:c>
      <x:c r="K654" s="47" t="n">
        <x:v>0.9808580407506118</x:v>
      </x:c>
      <x:c r="L654" s="47" t="n">
        <x:v>0.6210454157204285</x:v>
      </x:c>
      <x:c r="M654" s="47" t="n">
        <x:v>0.07887670095121337</x:v>
      </x:c>
      <x:c r="N654" s="47" t="n">
        <x:v>0.8298132547448315</x:v>
      </x:c>
      <x:c r="O654" s="47" t="n">
        <x:v>0.8959245977544388</x:v>
      </x:c>
      <x:c r="P654" s="47" t="n">
        <x:v>0.6625019801017344</x:v>
      </x:c>
      <x:c r="Q654" s="47" t="n">
        <x:v>1</x:v>
      </x:c>
      <x:c r="R654" s="47" t="n">
        <x:v>0.8714832135332535</x:v>
      </x:c>
      <x:c r="S654" s="27" t="n">
        <x:v>0</x:v>
      </x:c>
    </x:row>
    <x:row r="655" ht="21.600000381469727" hidden="0" customHeight="1">
      <x:c r="A655" s="29" t="n">
        <x:v>217</x:v>
      </x:c>
      <x:c r="B655" s="29" t="str">
        <x:v>A3</x:v>
      </x:c>
      <x:c r="C655" s="48" t="n">
        <x:v>1.3208422738850119</x:v>
      </x:c>
      <x:c r="D655" s="48" t="n">
        <x:v>0.8410478521236364</x:v>
      </x:c>
      <x:c r="E655" s="48" t="n">
        <x:v>1.0871371562812668</x:v>
      </x:c>
      <x:c r="F655" s="48" t="n">
        <x:v>0.014525510464038771</x:v>
      </x:c>
      <x:c r="G655" s="48" t="n">
        <x:v>-0.1620191375101772</x:v>
      </x:c>
      <x:c r="H655" s="48" t="n">
        <x:v>0.44053536723325415</x:v>
      </x:c>
      <x:c r="I655" s="48" t="n">
        <x:v>1.0186482860282564</x:v>
      </x:c>
      <x:c r="J655" s="48" t="n">
        <x:v>0.4822612014781005</x:v>
      </x:c>
      <x:c r="K655" s="48" t="n">
        <x:v>0.9808580407506118</x:v>
      </x:c>
      <x:c r="L655" s="48" t="n">
        <x:v>0.6210454157204285</x:v>
      </x:c>
      <x:c r="M655" s="48" t="n">
        <x:v>0.07887670095121337</x:v>
      </x:c>
      <x:c r="N655" s="48" t="n">
        <x:v>0.8298132547448315</x:v>
      </x:c>
      <x:c r="O655" s="48" t="n">
        <x:v>1</x:v>
      </x:c>
      <x:c r="P655" s="48" t="n">
        <x:v>1</x:v>
      </x:c>
      <x:c r="Q655" s="48" t="n">
        <x:v>1</x:v>
      </x:c>
      <x:c r="R655" s="48" t="n">
        <x:v>1</x:v>
      </x:c>
      <x:c r="S655" s="29" t="n">
        <x:v>1</x:v>
      </x:c>
    </x:row>
    <x:row r="656" ht="21.600000381469727" hidden="0" customHeight="1">
      <x:c r="A656" s="27" t="n">
        <x:v>218</x:v>
      </x:c>
      <x:c r="B656" s="27" t="str">
        <x:v>A1</x:v>
      </x:c>
      <x:c r="C656" s="47" t="n">
        <x:v>1.3327288084630509</x:v>
      </x:c>
      <x:c r="D656" s="47" t="n">
        <x:v>0.903712578417546</x:v>
      </x:c>
      <x:c r="E656" s="47" t="n">
        <x:v>0.8441849526018725</x:v>
      </x:c>
      <x:c r="F656" s="47" t="n">
        <x:v>-0.15990566052664487</x:v>
      </x:c>
      <x:c r="G656" s="47" t="n">
        <x:v>-0.09324843584806881</x:v>
      </x:c>
      <x:c r="H656" s="47" t="n">
        <x:v>0.8122376930818958</x:v>
      </x:c>
      <x:c r="I656" s="47" t="n">
        <x:v>0.9229350874321238</x:v>
      </x:c>
      <x:c r="J656" s="47" t="n">
        <x:v>0.8738282990720527</x:v>
      </x:c>
      <x:c r="K656" s="47" t="n">
        <x:v>0.6693466872543605</x:v>
      </x:c>
      <x:c r="L656" s="47" t="n">
        <x:v>0.7594129106263743</x:v>
      </x:c>
      <x:c r="M656" s="47" t="n">
        <x:v>0.12299449578655497</x:v>
      </x:c>
      <x:c r="N656" s="47" t="n">
        <x:v>0.8747298508960184</x:v>
      </x:c>
      <x:c r="O656" s="47" t="n">
        <x:v>0.7925346174902321</x:v>
      </x:c>
      <x:c r="P656" s="47" t="n">
        <x:v>0.4596144974305703</x:v>
      </x:c>
      <x:c r="Q656" s="47" t="n">
        <x:v>0.894435789489942</x:v>
      </x:c>
      <x:c r="R656" s="47" t="n">
        <x:v>0.7445968255605949</x:v>
      </x:c>
      <x:c r="S656" s="27" t="n">
        <x:v>0</x:v>
      </x:c>
    </x:row>
    <x:row r="657" ht="21.600000381469727" hidden="0" customHeight="1">
      <x:c r="A657" s="29" t="n">
        <x:v>218</x:v>
      </x:c>
      <x:c r="B657" s="29" t="str">
        <x:v>A2</x:v>
      </x:c>
      <x:c r="C657" s="48" t="n">
        <x:v>1.3327288084630509</x:v>
      </x:c>
      <x:c r="D657" s="48" t="n">
        <x:v>0.903712578417546</x:v>
      </x:c>
      <x:c r="E657" s="48" t="n">
        <x:v>0.8441849526018725</x:v>
      </x:c>
      <x:c r="F657" s="48" t="n">
        <x:v>-0.15990566052664487</x:v>
      </x:c>
      <x:c r="G657" s="48" t="n">
        <x:v>-0.09324843584806881</x:v>
      </x:c>
      <x:c r="H657" s="48" t="n">
        <x:v>0.8122376930818958</x:v>
      </x:c>
      <x:c r="I657" s="48" t="n">
        <x:v>0.9229350874321238</x:v>
      </x:c>
      <x:c r="J657" s="48" t="n">
        <x:v>0.8738282990720527</x:v>
      </x:c>
      <x:c r="K657" s="48" t="n">
        <x:v>0.6693466872543605</x:v>
      </x:c>
      <x:c r="L657" s="48" t="n">
        <x:v>0.7594129106263743</x:v>
      </x:c>
      <x:c r="M657" s="48" t="n">
        <x:v>0.12299449578655497</x:v>
      </x:c>
      <x:c r="N657" s="48" t="n">
        <x:v>0.8747298508960184</x:v>
      </x:c>
      <x:c r="O657" s="48" t="n">
        <x:v>0.8767838393108314</x:v>
      </x:c>
      <x:c r="P657" s="48" t="n">
        <x:v>0.46717472816423106</x:v>
      </x:c>
      <x:c r="Q657" s="48" t="n">
        <x:v>1</x:v>
      </x:c>
      <x:c r="R657" s="48" t="n">
        <x:v>0.8478473811210508</x:v>
      </x:c>
      <x:c r="S657" s="29" t="n">
        <x:v>0</x:v>
      </x:c>
    </x:row>
    <x:row r="658" ht="21.600000381469727" hidden="0" customHeight="1">
      <x:c r="A658" s="27" t="n">
        <x:v>218</x:v>
      </x:c>
      <x:c r="B658" s="27" t="str">
        <x:v>A3</x:v>
      </x:c>
      <x:c r="C658" s="47" t="n">
        <x:v>1.3327288084630509</x:v>
      </x:c>
      <x:c r="D658" s="47" t="n">
        <x:v>0.903712578417546</x:v>
      </x:c>
      <x:c r="E658" s="47" t="n">
        <x:v>0.8441849526018725</x:v>
      </x:c>
      <x:c r="F658" s="47" t="n">
        <x:v>-0.15990566052664487</x:v>
      </x:c>
      <x:c r="G658" s="47" t="n">
        <x:v>-0.09324843584806881</x:v>
      </x:c>
      <x:c r="H658" s="47" t="n">
        <x:v>0.8122376930818958</x:v>
      </x:c>
      <x:c r="I658" s="47" t="n">
        <x:v>0.9229350874321238</x:v>
      </x:c>
      <x:c r="J658" s="47" t="n">
        <x:v>0.8738282990720527</x:v>
      </x:c>
      <x:c r="K658" s="47" t="n">
        <x:v>0.6693466872543605</x:v>
      </x:c>
      <x:c r="L658" s="47" t="n">
        <x:v>0.7594129106263743</x:v>
      </x:c>
      <x:c r="M658" s="47" t="n">
        <x:v>0.12299449578655497</x:v>
      </x:c>
      <x:c r="N658" s="47" t="n">
        <x:v>0.8747298508960184</x:v>
      </x:c>
      <x:c r="O658" s="47" t="n">
        <x:v>1</x:v>
      </x:c>
      <x:c r="P658" s="47" t="n">
        <x:v>1</x:v>
      </x:c>
      <x:c r="Q658" s="47" t="n">
        <x:v>1</x:v>
      </x:c>
      <x:c r="R658" s="47" t="n">
        <x:v>1</x:v>
      </x:c>
      <x:c r="S658" s="27" t="n">
        <x:v>1</x:v>
      </x:c>
    </x:row>
    <x:row r="659" ht="21.600000381469727" hidden="0" customHeight="1">
      <x:c r="A659" s="29" t="n">
        <x:v>219</x:v>
      </x:c>
      <x:c r="B659" s="29" t="str">
        <x:v>A1</x:v>
      </x:c>
      <x:c r="C659" s="48" t="n">
        <x:v>1.1364299153346347</x:v>
      </x:c>
      <x:c r="D659" s="48" t="n">
        <x:v>0.8049726996259338</x:v>
      </x:c>
      <x:c r="E659" s="48" t="n">
        <x:v>0.8809028054644839</x:v>
      </x:c>
      <x:c r="F659" s="48" t="n">
        <x:v>-0.05340409221388656</x:v>
      </x:c>
      <x:c r="G659" s="48" t="n">
        <x:v>0.012128835607832733</x:v>
      </x:c>
      <x:c r="H659" s="48" t="n">
        <x:v>0.543126042784373</x:v>
      </x:c>
      <x:c r="I659" s="48" t="n">
        <x:v>0.8720676321855012</x:v>
      </x:c>
      <x:c r="J659" s="48" t="n">
        <x:v>0.4683695436471946</x:v>
      </x:c>
      <x:c r="K659" s="48" t="n">
        <x:v>0.568140207986154</x:v>
      </x:c>
      <x:c r="L659" s="48" t="n">
        <x:v>0.5519169219209239</x:v>
      </x:c>
      <x:c r="M659" s="48" t="n">
        <x:v>0.17769973679440362</x:v>
      </x:c>
      <x:c r="N659" s="48" t="n">
        <x:v>0.6633493384023659</x:v>
      </x:c>
      <x:c r="O659" s="48" t="n">
        <x:v>0.750012649848531</x:v>
      </x:c>
      <x:c r="P659" s="48" t="n">
        <x:v>0.49681138064516134</x:v>
      </x:c>
      <x:c r="Q659" s="48" t="n">
        <x:v>0.9286769171856686</x:v>
      </x:c>
      <x:c r="R659" s="48" t="n">
        <x:v>0.6918345657807393</x:v>
      </x:c>
      <x:c r="S659" s="29" t="n">
        <x:v>0</x:v>
      </x:c>
    </x:row>
    <x:row r="660" ht="21.600000381469727" hidden="0" customHeight="1">
      <x:c r="A660" s="27" t="n">
        <x:v>219</x:v>
      </x:c>
      <x:c r="B660" s="27" t="str">
        <x:v>A2</x:v>
      </x:c>
      <x:c r="C660" s="47" t="n">
        <x:v>1.1364299153346347</x:v>
      </x:c>
      <x:c r="D660" s="47" t="n">
        <x:v>0.8049726996259338</x:v>
      </x:c>
      <x:c r="E660" s="47" t="n">
        <x:v>0.8809028054644839</x:v>
      </x:c>
      <x:c r="F660" s="47" t="n">
        <x:v>-0.05340409221388656</x:v>
      </x:c>
      <x:c r="G660" s="47" t="n">
        <x:v>0.012128835607832733</x:v>
      </x:c>
      <x:c r="H660" s="47" t="n">
        <x:v>0.543126042784373</x:v>
      </x:c>
      <x:c r="I660" s="47" t="n">
        <x:v>0.8720676321855012</x:v>
      </x:c>
      <x:c r="J660" s="47" t="n">
        <x:v>0.4683695436471946</x:v>
      </x:c>
      <x:c r="K660" s="47" t="n">
        <x:v>0.568140207986154</x:v>
      </x:c>
      <x:c r="L660" s="47" t="n">
        <x:v>0.5519169219209239</x:v>
      </x:c>
      <x:c r="M660" s="47" t="n">
        <x:v>0.17769973679440362</x:v>
      </x:c>
      <x:c r="N660" s="47" t="n">
        <x:v>0.6633493384023659</x:v>
      </x:c>
      <x:c r="O660" s="47" t="n">
        <x:v>0.8297460500699977</x:v>
      </x:c>
      <x:c r="P660" s="47" t="n">
        <x:v>0.5646749454308755</x:v>
      </x:c>
      <x:c r="Q660" s="47" t="n">
        <x:v>1</x:v>
      </x:c>
      <x:c r="R660" s="47" t="n">
        <x:v>0.7897630942934217</x:v>
      </x:c>
      <x:c r="S660" s="27" t="n">
        <x:v>0</x:v>
      </x:c>
    </x:row>
    <x:row r="661" ht="21.600000381469727" hidden="0" customHeight="1">
      <x:c r="A661" s="29" t="n">
        <x:v>219</x:v>
      </x:c>
      <x:c r="B661" s="29" t="str">
        <x:v>A3</x:v>
      </x:c>
      <x:c r="C661" s="48" t="n">
        <x:v>1.1364299153346347</x:v>
      </x:c>
      <x:c r="D661" s="48" t="n">
        <x:v>0.8049726996259338</x:v>
      </x:c>
      <x:c r="E661" s="48" t="n">
        <x:v>0.8809028054644839</x:v>
      </x:c>
      <x:c r="F661" s="48" t="n">
        <x:v>-0.05340409221388656</x:v>
      </x:c>
      <x:c r="G661" s="48" t="n">
        <x:v>0.012128835607832733</x:v>
      </x:c>
      <x:c r="H661" s="48" t="n">
        <x:v>0.543126042784373</x:v>
      </x:c>
      <x:c r="I661" s="48" t="n">
        <x:v>0.8720676321855012</x:v>
      </x:c>
      <x:c r="J661" s="48" t="n">
        <x:v>0.4683695436471946</x:v>
      </x:c>
      <x:c r="K661" s="48" t="n">
        <x:v>0.568140207986154</x:v>
      </x:c>
      <x:c r="L661" s="48" t="n">
        <x:v>0.5519169219209239</x:v>
      </x:c>
      <x:c r="M661" s="48" t="n">
        <x:v>0.17769973679440362</x:v>
      </x:c>
      <x:c r="N661" s="48" t="n">
        <x:v>0.6633493384023659</x:v>
      </x:c>
      <x:c r="O661" s="48" t="n">
        <x:v>1</x:v>
      </x:c>
      <x:c r="P661" s="48" t="n">
        <x:v>1</x:v>
      </x:c>
      <x:c r="Q661" s="48" t="n">
        <x:v>1</x:v>
      </x:c>
      <x:c r="R661" s="48" t="n">
        <x:v>1</x:v>
      </x:c>
      <x:c r="S661" s="29" t="n">
        <x:v>1</x:v>
      </x:c>
    </x:row>
    <x:row r="662" ht="21.600000381469727" hidden="0" customHeight="1">
      <x:c r="A662" s="27" t="n">
        <x:v>220</x:v>
      </x:c>
      <x:c r="B662" s="27" t="str">
        <x:v>A1</x:v>
      </x:c>
      <x:c r="C662" s="47" t="n">
        <x:v>0.9176478661289462</x:v>
      </x:c>
      <x:c r="D662" s="47" t="n">
        <x:v>0.9808191633114407</x:v>
      </x:c>
      <x:c r="E662" s="47" t="n">
        <x:v>0.5463621749441694</x:v>
      </x:c>
      <x:c r="F662" s="47" t="n">
        <x:v>-0.11309286417231518</x:v>
      </x:c>
      <x:c r="G662" s="47" t="n">
        <x:v>-0.1754690456849125</x:v>
      </x:c>
      <x:c r="H662" s="47" t="n">
        <x:v>0.3505711196641115</x:v>
      </x:c>
      <x:c r="I662" s="47" t="n">
        <x:v>0.8937812973871094</x:v>
      </x:c>
      <x:c r="J662" s="47" t="n">
        <x:v>0.45772506798930324</x:v>
      </x:c>
      <x:c r="K662" s="47" t="n">
        <x:v>0.6407318271531056</x:v>
      </x:c>
      <x:c r="L662" s="47" t="n">
        <x:v>0.6405531880725086</x:v>
      </x:c>
      <x:c r="M662" s="47" t="n">
        <x:v>0.09771632069940044</x:v>
      </x:c>
      <x:c r="N662" s="47" t="n">
        <x:v>0.819502125375705</x:v>
      </x:c>
      <x:c r="O662" s="47" t="n">
        <x:v>0.9293604526630478</x:v>
      </x:c>
      <x:c r="P662" s="47" t="n">
        <x:v>0.7603426497236665</x:v>
      </x:c>
      <x:c r="Q662" s="47" t="n">
        <x:v>1</x:v>
      </x:c>
      <x:c r="R662" s="47" t="n">
        <x:v>0.9127712463720226</x:v>
      </x:c>
      <x:c r="S662" s="27" t="n">
        <x:v>0</x:v>
      </x:c>
    </x:row>
    <x:row r="663" ht="21.600000381469727" hidden="0" customHeight="1">
      <x:c r="A663" s="29" t="n">
        <x:v>220</x:v>
      </x:c>
      <x:c r="B663" s="29" t="str">
        <x:v>A2</x:v>
      </x:c>
      <x:c r="C663" s="48" t="n">
        <x:v>0.9176478661289462</x:v>
      </x:c>
      <x:c r="D663" s="48" t="n">
        <x:v>0.9808191633114407</x:v>
      </x:c>
      <x:c r="E663" s="48" t="n">
        <x:v>0.5463621749441694</x:v>
      </x:c>
      <x:c r="F663" s="48" t="n">
        <x:v>-0.11309286417231518</x:v>
      </x:c>
      <x:c r="G663" s="48" t="n">
        <x:v>-0.1754690456849125</x:v>
      </x:c>
      <x:c r="H663" s="48" t="n">
        <x:v>0.3505711196641115</x:v>
      </x:c>
      <x:c r="I663" s="48" t="n">
        <x:v>0.8937812973871094</x:v>
      </x:c>
      <x:c r="J663" s="48" t="n">
        <x:v>0.45772506798930324</x:v>
      </x:c>
      <x:c r="K663" s="48" t="n">
        <x:v>0.6407318271531056</x:v>
      </x:c>
      <x:c r="L663" s="48" t="n">
        <x:v>0.6405531880725086</x:v>
      </x:c>
      <x:c r="M663" s="48" t="n">
        <x:v>0.09771632069940044</x:v>
      </x:c>
      <x:c r="N663" s="48" t="n">
        <x:v>0.819502125375705</x:v>
      </x:c>
      <x:c r="O663" s="48" t="n">
        <x:v>0.9943144576633038</x:v>
      </x:c>
      <x:c r="P663" s="48" t="n">
        <x:v>0.9445868362175127</x:v>
      </x:c>
      <x:c r="Q663" s="48" t="n">
        <x:v>1</x:v>
      </x:c>
      <x:c r="R663" s="48" t="n">
        <x:v>0.9929792475967685</x:v>
      </x:c>
      <x:c r="S663" s="29" t="n">
        <x:v>0</x:v>
      </x:c>
    </x:row>
    <x:row r="664" ht="21.600000381469727" hidden="0" customHeight="1">
      <x:c r="A664" s="27" t="n">
        <x:v>220</x:v>
      </x:c>
      <x:c r="B664" s="27" t="str">
        <x:v>A3</x:v>
      </x:c>
      <x:c r="C664" s="47" t="n">
        <x:v>0.9176478661289462</x:v>
      </x:c>
      <x:c r="D664" s="47" t="n">
        <x:v>0.9808191633114407</x:v>
      </x:c>
      <x:c r="E664" s="47" t="n">
        <x:v>0.5463621749441694</x:v>
      </x:c>
      <x:c r="F664" s="47" t="n">
        <x:v>-0.11309286417231518</x:v>
      </x:c>
      <x:c r="G664" s="47" t="n">
        <x:v>-0.1754690456849125</x:v>
      </x:c>
      <x:c r="H664" s="47" t="n">
        <x:v>0.3505711196641115</x:v>
      </x:c>
      <x:c r="I664" s="47" t="n">
        <x:v>0.8937812973871094</x:v>
      </x:c>
      <x:c r="J664" s="47" t="n">
        <x:v>0.45772506798930324</x:v>
      </x:c>
      <x:c r="K664" s="47" t="n">
        <x:v>0.6407318271531056</x:v>
      </x:c>
      <x:c r="L664" s="47" t="n">
        <x:v>0.6405531880725086</x:v>
      </x:c>
      <x:c r="M664" s="47" t="n">
        <x:v>0.09771632069940044</x:v>
      </x:c>
      <x:c r="N664" s="47" t="n">
        <x:v>0.819502125375705</x:v>
      </x:c>
      <x:c r="O664" s="47" t="n">
        <x:v>1</x:v>
      </x:c>
      <x:c r="P664" s="47" t="n">
        <x:v>1</x:v>
      </x:c>
      <x:c r="Q664" s="47" t="n">
        <x:v>1</x:v>
      </x:c>
      <x:c r="R664" s="47" t="n">
        <x:v>1.0000000000000002</x:v>
      </x:c>
      <x:c r="S664" s="27" t="n">
        <x:v>1</x:v>
      </x:c>
    </x:row>
    <x:row r="665" ht="21.600000381469727" hidden="0" customHeight="1">
      <x:c r="A665" s="29" t="n">
        <x:v>221</x:v>
      </x:c>
      <x:c r="B665" s="29" t="str">
        <x:v>A1</x:v>
      </x:c>
      <x:c r="C665" s="48" t="n">
        <x:v>1.2833898377965476</x:v>
      </x:c>
      <x:c r="D665" s="48" t="n">
        <x:v>0.8281020005304959</x:v>
      </x:c>
      <x:c r="E665" s="48" t="n">
        <x:v>0.7415533370877399</x:v>
      </x:c>
      <x:c r="F665" s="48" t="n">
        <x:v>-0.1742429405358211</x:v>
      </x:c>
      <x:c r="G665" s="48" t="n">
        <x:v>-0.17317890245614867</x:v>
      </x:c>
      <x:c r="H665" s="48" t="n">
        <x:v>0.8158575757234585</x:v>
      </x:c>
      <x:c r="I665" s="48" t="n">
        <x:v>0.8051909523148172</x:v>
      </x:c>
      <x:c r="J665" s="48" t="n">
        <x:v>0.8876399776318751</x:v>
      </x:c>
      <x:c r="K665" s="48" t="n">
        <x:v>0.5544544317293447</x:v>
      </x:c>
      <x:c r="L665" s="48" t="n">
        <x:v>0.5359241627023555</x:v>
      </x:c>
      <x:c r="M665" s="48" t="n">
        <x:v>0.1266475913941189</x:v>
      </x:c>
      <x:c r="N665" s="48" t="n">
        <x:v>0.9907793230912882</x:v>
      </x:c>
      <x:c r="O665" s="48" t="n">
        <x:v>0.7297177919138336</x:v>
      </x:c>
      <x:c r="P665" s="48" t="n">
        <x:v>0.44182415713007267</x:v>
      </x:c>
      <x:c r="Q665" s="48" t="n">
        <x:v>0.8765362484776403</x:v>
      </x:c>
      <x:c r="R665" s="48" t="n">
        <x:v>0.667160842749392</x:v>
      </x:c>
      <x:c r="S665" s="29" t="n">
        <x:v>0</x:v>
      </x:c>
    </x:row>
    <x:row r="666" ht="21.600000381469727" hidden="0" customHeight="1">
      <x:c r="A666" s="27" t="n">
        <x:v>221</x:v>
      </x:c>
      <x:c r="B666" s="27" t="str">
        <x:v>A2</x:v>
      </x:c>
      <x:c r="C666" s="47" t="n">
        <x:v>1.2833898377965476</x:v>
      </x:c>
      <x:c r="D666" s="47" t="n">
        <x:v>0.8281020005304959</x:v>
      </x:c>
      <x:c r="E666" s="47" t="n">
        <x:v>0.7415533370877399</x:v>
      </x:c>
      <x:c r="F666" s="47" t="n">
        <x:v>-0.1742429405358211</x:v>
      </x:c>
      <x:c r="G666" s="47" t="n">
        <x:v>-0.17317890245614867</x:v>
      </x:c>
      <x:c r="H666" s="47" t="n">
        <x:v>0.8158575757234585</x:v>
      </x:c>
      <x:c r="I666" s="47" t="n">
        <x:v>0.8051909523148172</x:v>
      </x:c>
      <x:c r="J666" s="47" t="n">
        <x:v>0.8876399776318751</x:v>
      </x:c>
      <x:c r="K666" s="47" t="n">
        <x:v>0.5544544317293447</x:v>
      </x:c>
      <x:c r="L666" s="47" t="n">
        <x:v>0.5359241627023555</x:v>
      </x:c>
      <x:c r="M666" s="47" t="n">
        <x:v>0.1266475913941189</x:v>
      </x:c>
      <x:c r="N666" s="47" t="n">
        <x:v>0.9907793230912882</x:v>
      </x:c>
      <x:c r="O666" s="47" t="n">
        <x:v>0.7890034991693232</x:v>
      </x:c>
      <x:c r="P666" s="47" t="n">
        <x:v>0.478863611742758</x:v>
      </x:c>
      <x:c r="Q666" s="47" t="n">
        <x:v>1</x:v>
      </x:c>
      <x:c r="R666" s="47" t="n">
        <x:v>0.7394524387375759</x:v>
      </x:c>
      <x:c r="S666" s="27" t="n">
        <x:v>0</x:v>
      </x:c>
    </x:row>
    <x:row r="667" ht="21.600000381469727" hidden="0" customHeight="1">
      <x:c r="A667" s="29" t="n">
        <x:v>221</x:v>
      </x:c>
      <x:c r="B667" s="29" t="str">
        <x:v>A3</x:v>
      </x:c>
      <x:c r="C667" s="48" t="n">
        <x:v>1.2833898377965476</x:v>
      </x:c>
      <x:c r="D667" s="48" t="n">
        <x:v>0.8281020005304959</x:v>
      </x:c>
      <x:c r="E667" s="48" t="n">
        <x:v>0.7415533370877399</x:v>
      </x:c>
      <x:c r="F667" s="48" t="n">
        <x:v>-0.1742429405358211</x:v>
      </x:c>
      <x:c r="G667" s="48" t="n">
        <x:v>-0.17317890245614867</x:v>
      </x:c>
      <x:c r="H667" s="48" t="n">
        <x:v>0.8158575757234585</x:v>
      </x:c>
      <x:c r="I667" s="48" t="n">
        <x:v>0.8051909523148172</x:v>
      </x:c>
      <x:c r="J667" s="48" t="n">
        <x:v>0.8876399776318751</x:v>
      </x:c>
      <x:c r="K667" s="48" t="n">
        <x:v>0.5544544317293447</x:v>
      </x:c>
      <x:c r="L667" s="48" t="n">
        <x:v>0.5359241627023555</x:v>
      </x:c>
      <x:c r="M667" s="48" t="n">
        <x:v>0.1266475913941189</x:v>
      </x:c>
      <x:c r="N667" s="48" t="n">
        <x:v>0.9907793230912882</x:v>
      </x:c>
      <x:c r="O667" s="48" t="n">
        <x:v>1</x:v>
      </x:c>
      <x:c r="P667" s="48" t="n">
        <x:v>1</x:v>
      </x:c>
      <x:c r="Q667" s="48" t="n">
        <x:v>1</x:v>
      </x:c>
      <x:c r="R667" s="48" t="n">
        <x:v>1</x:v>
      </x:c>
      <x:c r="S667" s="29" t="n">
        <x:v>1</x:v>
      </x:c>
    </x:row>
    <x:row r="668" ht="21.600000381469727" hidden="0" customHeight="1">
      <x:c r="A668" s="27" t="n">
        <x:v>222</x:v>
      </x:c>
      <x:c r="B668" s="27" t="str">
        <x:v>A1</x:v>
      </x:c>
      <x:c r="C668" s="47" t="n">
        <x:v>1.3198491710154563</x:v>
      </x:c>
      <x:c r="D668" s="47" t="n">
        <x:v>0.751237397581087</x:v>
      </x:c>
      <x:c r="E668" s="47" t="n">
        <x:v>0.950338942133778</x:v>
      </x:c>
      <x:c r="F668" s="47" t="n">
        <x:v>-0.04076587127776232</x:v>
      </x:c>
      <x:c r="G668" s="47" t="n">
        <x:v>-0.13109222625565387</x:v>
      </x:c>
      <x:c r="H668" s="47" t="n">
        <x:v>0.6664773508953554</x:v>
      </x:c>
      <x:c r="I668" s="47" t="n">
        <x:v>0.6893920418548095</x:v>
      </x:c>
      <x:c r="J668" s="47" t="n">
        <x:v>0.9903880778257534</x:v>
      </x:c>
      <x:c r="K668" s="47" t="n">
        <x:v>0.9117742202617959</x:v>
      </x:c>
      <x:c r="L668" s="47" t="n">
        <x:v>0.9865490634160794</x:v>
      </x:c>
      <x:c r="M668" s="47" t="n">
        <x:v>0.12497989611813395</x:v>
      </x:c>
      <x:c r="N668" s="47" t="n">
        <x:v>0.8726175155628043</x:v>
      </x:c>
      <x:c r="O668" s="47" t="n">
        <x:v>0.789955744270364</x:v>
      </x:c>
      <x:c r="P668" s="47" t="n">
        <x:v>0.417923980394045</x:v>
      </x:c>
      <x:c r="Q668" s="47" t="n">
        <x:v>1</x:v>
      </x:c>
      <x:c r="R668" s="47" t="n">
        <x:v>0.7406283119763427</x:v>
      </x:c>
      <x:c r="S668" s="27" t="n">
        <x:v>0</x:v>
      </x:c>
    </x:row>
    <x:row r="669" ht="21.600000381469727" hidden="0" customHeight="1">
      <x:c r="A669" s="29" t="n">
        <x:v>222</x:v>
      </x:c>
      <x:c r="B669" s="29" t="str">
        <x:v>A2</x:v>
      </x:c>
      <x:c r="C669" s="48" t="n">
        <x:v>1.3198491710154563</x:v>
      </x:c>
      <x:c r="D669" s="48" t="n">
        <x:v>0.751237397581087</x:v>
      </x:c>
      <x:c r="E669" s="48" t="n">
        <x:v>0.950338942133778</x:v>
      </x:c>
      <x:c r="F669" s="48" t="n">
        <x:v>-0.04076587127776232</x:v>
      </x:c>
      <x:c r="G669" s="48" t="n">
        <x:v>-0.13109222625565387</x:v>
      </x:c>
      <x:c r="H669" s="48" t="n">
        <x:v>0.6664773508953554</x:v>
      </x:c>
      <x:c r="I669" s="48" t="n">
        <x:v>0.6893920418548095</x:v>
      </x:c>
      <x:c r="J669" s="48" t="n">
        <x:v>0.9903880778257534</x:v>
      </x:c>
      <x:c r="K669" s="48" t="n">
        <x:v>0.9117742202617959</x:v>
      </x:c>
      <x:c r="L669" s="48" t="n">
        <x:v>0.9865490634160794</x:v>
      </x:c>
      <x:c r="M669" s="48" t="n">
        <x:v>0.12497989611813395</x:v>
      </x:c>
      <x:c r="N669" s="48" t="n">
        <x:v>0.8726175155628043</x:v>
      </x:c>
      <x:c r="O669" s="48" t="n">
        <x:v>0.8940503813266906</x:v>
      </x:c>
      <x:c r="P669" s="48" t="n">
        <x:v>0.5406868271282463</x:v>
      </x:c>
      <x:c r="Q669" s="48" t="n">
        <x:v>1</x:v>
      </x:c>
      <x:c r="R669" s="48" t="n">
        <x:v>0.8691688504153569</x:v>
      </x:c>
      <x:c r="S669" s="29" t="n">
        <x:v>0</x:v>
      </x:c>
    </x:row>
    <x:row r="670" ht="21.600000381469727" hidden="0" customHeight="1">
      <x:c r="A670" s="27" t="n">
        <x:v>222</x:v>
      </x:c>
      <x:c r="B670" s="27" t="str">
        <x:v>A3</x:v>
      </x:c>
      <x:c r="C670" s="47" t="n">
        <x:v>1.3198491710154563</x:v>
      </x:c>
      <x:c r="D670" s="47" t="n">
        <x:v>0.751237397581087</x:v>
      </x:c>
      <x:c r="E670" s="47" t="n">
        <x:v>0.950338942133778</x:v>
      </x:c>
      <x:c r="F670" s="47" t="n">
        <x:v>-0.04076587127776232</x:v>
      </x:c>
      <x:c r="G670" s="47" t="n">
        <x:v>-0.13109222625565387</x:v>
      </x:c>
      <x:c r="H670" s="47" t="n">
        <x:v>0.6664773508953554</x:v>
      </x:c>
      <x:c r="I670" s="47" t="n">
        <x:v>0.6893920418548095</x:v>
      </x:c>
      <x:c r="J670" s="47" t="n">
        <x:v>0.9903880778257534</x:v>
      </x:c>
      <x:c r="K670" s="47" t="n">
        <x:v>0.9117742202617959</x:v>
      </x:c>
      <x:c r="L670" s="47" t="n">
        <x:v>0.9865490634160794</x:v>
      </x:c>
      <x:c r="M670" s="47" t="n">
        <x:v>0.12497989611813395</x:v>
      </x:c>
      <x:c r="N670" s="47" t="n">
        <x:v>0.8726175155628043</x:v>
      </x:c>
      <x:c r="O670" s="47" t="n">
        <x:v>1</x:v>
      </x:c>
      <x:c r="P670" s="47" t="n">
        <x:v>1</x:v>
      </x:c>
      <x:c r="Q670" s="47" t="n">
        <x:v>1</x:v>
      </x:c>
      <x:c r="R670" s="47" t="n">
        <x:v>1</x:v>
      </x:c>
      <x:c r="S670" s="27" t="n">
        <x:v>1</x:v>
      </x:c>
    </x:row>
    <x:row r="671" ht="21.600000381469727" hidden="0" customHeight="1">
      <x:c r="A671" s="29" t="n">
        <x:v>223</x:v>
      </x:c>
      <x:c r="B671" s="29" t="str">
        <x:v>A1</x:v>
      </x:c>
      <x:c r="C671" s="48" t="n">
        <x:v>1.2086060643791068</x:v>
      </x:c>
      <x:c r="D671" s="48" t="n">
        <x:v>0.7862084083648768</x:v>
      </x:c>
      <x:c r="E671" s="48" t="n">
        <x:v>0.5700219540072854</x:v>
      </x:c>
      <x:c r="F671" s="48" t="n">
        <x:v>0.021735947618344298</x:v>
      </x:c>
      <x:c r="G671" s="48" t="n">
        <x:v>-0.11009724773608251</x:v>
      </x:c>
      <x:c r="H671" s="48" t="n">
        <x:v>0.6763164152908883</x:v>
      </x:c>
      <x:c r="I671" s="48" t="n">
        <x:v>0.636735023054732</x:v>
      </x:c>
      <x:c r="J671" s="48" t="n">
        <x:v>0.5748125598522084</x:v>
      </x:c>
      <x:c r="K671" s="48" t="n">
        <x:v>0.6208540510288943</x:v>
      </x:c>
      <x:c r="L671" s="48" t="n">
        <x:v>0.980365303538892</x:v>
      </x:c>
      <x:c r="M671" s="48" t="n">
        <x:v>0.041871337277093225</x:v>
      </x:c>
      <x:c r="N671" s="48" t="n">
        <x:v>0.767782163536722</x:v>
      </x:c>
      <x:c r="O671" s="48" t="n">
        <x:v>0.7595108280847769</x:v>
      </x:c>
      <x:c r="P671" s="48" t="n">
        <x:v>0.35868677354870077</x:v>
      </x:c>
      <x:c r="Q671" s="48" t="n">
        <x:v>1</x:v>
      </x:c>
      <x:c r="R671" s="48" t="n">
        <x:v>0.7030336190133573</x:v>
      </x:c>
      <x:c r="S671" s="29" t="n">
        <x:v>0</x:v>
      </x:c>
    </x:row>
    <x:row r="672" ht="21.600000381469727" hidden="0" customHeight="1">
      <x:c r="A672" s="27" t="n">
        <x:v>223</x:v>
      </x:c>
      <x:c r="B672" s="27" t="str">
        <x:v>A2</x:v>
      </x:c>
      <x:c r="C672" s="47" t="n">
        <x:v>1.2086060643791068</x:v>
      </x:c>
      <x:c r="D672" s="47" t="n">
        <x:v>0.7862084083648768</x:v>
      </x:c>
      <x:c r="E672" s="47" t="n">
        <x:v>0.5700219540072854</x:v>
      </x:c>
      <x:c r="F672" s="47" t="n">
        <x:v>0.021735947618344298</x:v>
      </x:c>
      <x:c r="G672" s="47" t="n">
        <x:v>-0.11009724773608251</x:v>
      </x:c>
      <x:c r="H672" s="47" t="n">
        <x:v>0.6763164152908883</x:v>
      </x:c>
      <x:c r="I672" s="47" t="n">
        <x:v>0.636735023054732</x:v>
      </x:c>
      <x:c r="J672" s="47" t="n">
        <x:v>0.5748125598522084</x:v>
      </x:c>
      <x:c r="K672" s="47" t="n">
        <x:v>0.6208540510288943</x:v>
      </x:c>
      <x:c r="L672" s="47" t="n">
        <x:v>0.980365303538892</x:v>
      </x:c>
      <x:c r="M672" s="47" t="n">
        <x:v>0.041871337277093225</x:v>
      </x:c>
      <x:c r="N672" s="47" t="n">
        <x:v>0.767782163536722</x:v>
      </x:c>
      <x:c r="O672" s="47" t="n">
        <x:v>0.8434239076000187</x:v>
      </x:c>
      <x:c r="P672" s="47" t="n">
        <x:v>0.42319555321437424</x:v>
      </x:c>
      <x:c r="Q672" s="47" t="n">
        <x:v>1</x:v>
      </x:c>
      <x:c r="R672" s="47" t="n">
        <x:v>0.8066531015149243</x:v>
      </x:c>
      <x:c r="S672" s="27" t="n">
        <x:v>0</x:v>
      </x:c>
    </x:row>
    <x:row r="673" ht="21.600000381469727" hidden="0" customHeight="1">
      <x:c r="A673" s="29" t="n">
        <x:v>223</x:v>
      </x:c>
      <x:c r="B673" s="29" t="str">
        <x:v>A3</x:v>
      </x:c>
      <x:c r="C673" s="48" t="n">
        <x:v>1.2086060643791068</x:v>
      </x:c>
      <x:c r="D673" s="48" t="n">
        <x:v>0.7862084083648768</x:v>
      </x:c>
      <x:c r="E673" s="48" t="n">
        <x:v>0.5700219540072854</x:v>
      </x:c>
      <x:c r="F673" s="48" t="n">
        <x:v>0.021735947618344298</x:v>
      </x:c>
      <x:c r="G673" s="48" t="n">
        <x:v>-0.11009724773608251</x:v>
      </x:c>
      <x:c r="H673" s="48" t="n">
        <x:v>0.6763164152908883</x:v>
      </x:c>
      <x:c r="I673" s="48" t="n">
        <x:v>0.636735023054732</x:v>
      </x:c>
      <x:c r="J673" s="48" t="n">
        <x:v>0.5748125598522084</x:v>
      </x:c>
      <x:c r="K673" s="48" t="n">
        <x:v>0.6208540510288943</x:v>
      </x:c>
      <x:c r="L673" s="48" t="n">
        <x:v>0.980365303538892</x:v>
      </x:c>
      <x:c r="M673" s="48" t="n">
        <x:v>0.041871337277093225</x:v>
      </x:c>
      <x:c r="N673" s="48" t="n">
        <x:v>0.767782163536722</x:v>
      </x:c>
      <x:c r="O673" s="48" t="n">
        <x:v>1</x:v>
      </x:c>
      <x:c r="P673" s="48" t="n">
        <x:v>1</x:v>
      </x:c>
      <x:c r="Q673" s="48" t="n">
        <x:v>1</x:v>
      </x:c>
      <x:c r="R673" s="48" t="n">
        <x:v>1</x:v>
      </x:c>
      <x:c r="S673" s="29" t="n">
        <x:v>1</x:v>
      </x:c>
    </x:row>
    <x:row r="674" ht="21.600000381469727" hidden="0" customHeight="1">
      <x:c r="A674" s="27" t="n">
        <x:v>224</x:v>
      </x:c>
      <x:c r="B674" s="27" t="str">
        <x:v>A1</x:v>
      </x:c>
      <x:c r="C674" s="47" t="n">
        <x:v>1.3264807623418284</x:v>
      </x:c>
      <x:c r="D674" s="47" t="n">
        <x:v>0.80604839413909</x:v>
      </x:c>
      <x:c r="E674" s="47" t="n">
        <x:v>0.932538631534336</x:v>
      </x:c>
      <x:c r="F674" s="47" t="n">
        <x:v>-0.15482364468530974</x:v>
      </x:c>
      <x:c r="G674" s="47" t="n">
        <x:v>0.01630816013489264</x:v>
      </x:c>
      <x:c r="H674" s="47" t="n">
        <x:v>0.5490672325360532</x:v>
      </x:c>
      <x:c r="I674" s="47" t="n">
        <x:v>0.9579312437900723</x:v>
      </x:c>
      <x:c r="J674" s="47" t="n">
        <x:v>0.9906037523658986</x:v>
      </x:c>
      <x:c r="K674" s="47" t="n">
        <x:v>0.9099496662599709</x:v>
      </x:c>
      <x:c r="L674" s="47" t="n">
        <x:v>0.9650989847215208</x:v>
      </x:c>
      <x:c r="M674" s="47" t="n">
        <x:v>0.17976629664129215</x:v>
      </x:c>
      <x:c r="N674" s="47" t="n">
        <x:v>0.9058155750865692</x:v>
      </x:c>
      <x:c r="O674" s="47" t="n">
        <x:v>0.8085464246478965</x:v>
      </x:c>
      <x:c r="P674" s="47" t="n">
        <x:v>0.44477628296888755</x:v>
      </x:c>
      <x:c r="Q674" s="47" t="n">
        <x:v>1</x:v>
      </x:c>
      <x:c r="R674" s="47" t="n">
        <x:v>0.7635848843152481</x:v>
      </x:c>
      <x:c r="S674" s="27" t="n">
        <x:v>0</x:v>
      </x:c>
    </x:row>
    <x:row r="675" ht="21.600000381469727" hidden="0" customHeight="1">
      <x:c r="A675" s="29" t="n">
        <x:v>224</x:v>
      </x:c>
      <x:c r="B675" s="29" t="str">
        <x:v>A2</x:v>
      </x:c>
      <x:c r="C675" s="48" t="n">
        <x:v>1.3264807623418284</x:v>
      </x:c>
      <x:c r="D675" s="48" t="n">
        <x:v>0.80604839413909</x:v>
      </x:c>
      <x:c r="E675" s="48" t="n">
        <x:v>0.932538631534336</x:v>
      </x:c>
      <x:c r="F675" s="48" t="n">
        <x:v>-0.15482364468530974</x:v>
      </x:c>
      <x:c r="G675" s="48" t="n">
        <x:v>0.01630816013489264</x:v>
      </x:c>
      <x:c r="H675" s="48" t="n">
        <x:v>0.5490672325360532</x:v>
      </x:c>
      <x:c r="I675" s="48" t="n">
        <x:v>0.9579312437900723</x:v>
      </x:c>
      <x:c r="J675" s="48" t="n">
        <x:v>0.9906037523658986</x:v>
      </x:c>
      <x:c r="K675" s="48" t="n">
        <x:v>0.9099496662599709</x:v>
      </x:c>
      <x:c r="L675" s="48" t="n">
        <x:v>0.9650989847215208</x:v>
      </x:c>
      <x:c r="M675" s="48" t="n">
        <x:v>0.17976629664129215</x:v>
      </x:c>
      <x:c r="N675" s="48" t="n">
        <x:v>0.9058155750865692</x:v>
      </x:c>
      <x:c r="O675" s="48" t="n">
        <x:v>0.8952436252127448</x:v>
      </x:c>
      <x:c r="P675" s="48" t="n">
        <x:v>0.5695552155128843</x:v>
      </x:c>
      <x:c r="Q675" s="48" t="n">
        <x:v>1</x:v>
      </x:c>
      <x:c r="R675" s="48" t="n">
        <x:v>0.8706423193272996</x:v>
      </x:c>
      <x:c r="S675" s="29" t="n">
        <x:v>0</x:v>
      </x:c>
    </x:row>
    <x:row r="676" ht="21.600000381469727" hidden="0" customHeight="1">
      <x:c r="A676" s="27" t="n">
        <x:v>224</x:v>
      </x:c>
      <x:c r="B676" s="27" t="str">
        <x:v>A3</x:v>
      </x:c>
      <x:c r="C676" s="47" t="n">
        <x:v>1.3264807623418284</x:v>
      </x:c>
      <x:c r="D676" s="47" t="n">
        <x:v>0.80604839413909</x:v>
      </x:c>
      <x:c r="E676" s="47" t="n">
        <x:v>0.932538631534336</x:v>
      </x:c>
      <x:c r="F676" s="47" t="n">
        <x:v>-0.15482364468530974</x:v>
      </x:c>
      <x:c r="G676" s="47" t="n">
        <x:v>0.01630816013489264</x:v>
      </x:c>
      <x:c r="H676" s="47" t="n">
        <x:v>0.5490672325360532</x:v>
      </x:c>
      <x:c r="I676" s="47" t="n">
        <x:v>0.9579312437900723</x:v>
      </x:c>
      <x:c r="J676" s="47" t="n">
        <x:v>0.9906037523658986</x:v>
      </x:c>
      <x:c r="K676" s="47" t="n">
        <x:v>0.9099496662599709</x:v>
      </x:c>
      <x:c r="L676" s="47" t="n">
        <x:v>0.9650989847215208</x:v>
      </x:c>
      <x:c r="M676" s="47" t="n">
        <x:v>0.17976629664129215</x:v>
      </x:c>
      <x:c r="N676" s="47" t="n">
        <x:v>0.9058155750865692</x:v>
      </x:c>
      <x:c r="O676" s="47" t="n">
        <x:v>1</x:v>
      </x:c>
      <x:c r="P676" s="47" t="n">
        <x:v>1</x:v>
      </x:c>
      <x:c r="Q676" s="47" t="n">
        <x:v>1</x:v>
      </x:c>
      <x:c r="R676" s="47" t="n">
        <x:v>1</x:v>
      </x:c>
      <x:c r="S676" s="27" t="n">
        <x:v>1</x:v>
      </x:c>
    </x:row>
    <x:row r="677" ht="21.600000381469727" hidden="0" customHeight="1">
      <x:c r="A677" s="29" t="n">
        <x:v>225</x:v>
      </x:c>
      <x:c r="B677" s="29" t="str">
        <x:v>A1</x:v>
      </x:c>
      <x:c r="C677" s="48" t="n">
        <x:v>1.0212668101450315</x:v>
      </x:c>
      <x:c r="D677" s="48" t="n">
        <x:v>0.9360844021509929</x:v>
      </x:c>
      <x:c r="E677" s="48" t="n">
        <x:v>0.4516754519046967</x:v>
      </x:c>
      <x:c r="F677" s="48" t="n">
        <x:v>-0.04806407221271969</x:v>
      </x:c>
      <x:c r="G677" s="48" t="n">
        <x:v>-0.05830220463035879</x:v>
      </x:c>
      <x:c r="H677" s="48" t="n">
        <x:v>0.6438815075052073</x:v>
      </x:c>
      <x:c r="I677" s="48" t="n">
        <x:v>0.8218302446856306</x:v>
      </x:c>
      <x:c r="J677" s="48" t="n">
        <x:v>0.7074500058119517</x:v>
      </x:c>
      <x:c r="K677" s="48" t="n">
        <x:v>0.5717963055612747</x:v>
      </x:c>
      <x:c r="L677" s="48" t="n">
        <x:v>0.5651975332549599</x:v>
      </x:c>
      <x:c r="M677" s="48" t="n">
        <x:v>0.166844421112353</x:v>
      </x:c>
      <x:c r="N677" s="48" t="n">
        <x:v>0.7870952625210754</x:v>
      </x:c>
      <x:c r="O677" s="48" t="n">
        <x:v>0.8738559628422018</x:v>
      </x:c>
      <x:c r="P677" s="48" t="n">
        <x:v>0.5316416162576475</x:v>
      </x:c>
      <x:c r="Q677" s="48" t="n">
        <x:v>1</x:v>
      </x:c>
      <x:c r="R677" s="48" t="n">
        <x:v>0.844231913231414</x:v>
      </x:c>
      <x:c r="S677" s="29" t="n">
        <x:v>0</x:v>
      </x:c>
    </x:row>
    <x:row r="678" ht="21.600000381469727" hidden="0" customHeight="1">
      <x:c r="A678" s="27" t="n">
        <x:v>225</x:v>
      </x:c>
      <x:c r="B678" s="27" t="str">
        <x:v>A2</x:v>
      </x:c>
      <x:c r="C678" s="47" t="n">
        <x:v>1.0212668101450315</x:v>
      </x:c>
      <x:c r="D678" s="47" t="n">
        <x:v>0.9360844021509929</x:v>
      </x:c>
      <x:c r="E678" s="47" t="n">
        <x:v>0.4516754519046967</x:v>
      </x:c>
      <x:c r="F678" s="47" t="n">
        <x:v>-0.04806407221271969</x:v>
      </x:c>
      <x:c r="G678" s="47" t="n">
        <x:v>-0.05830220463035879</x:v>
      </x:c>
      <x:c r="H678" s="47" t="n">
        <x:v>0.6438815075052073</x:v>
      </x:c>
      <x:c r="I678" s="47" t="n">
        <x:v>0.8218302446856306</x:v>
      </x:c>
      <x:c r="J678" s="47" t="n">
        <x:v>0.7074500058119517</x:v>
      </x:c>
      <x:c r="K678" s="47" t="n">
        <x:v>0.5717963055612747</x:v>
      </x:c>
      <x:c r="L678" s="47" t="n">
        <x:v>0.5651975332549599</x:v>
      </x:c>
      <x:c r="M678" s="47" t="n">
        <x:v>0.166844421112353</x:v>
      </x:c>
      <x:c r="N678" s="47" t="n">
        <x:v>0.7870952625210754</x:v>
      </x:c>
      <x:c r="O678" s="47" t="n">
        <x:v>0.9005251590634897</x:v>
      </x:c>
      <x:c r="P678" s="47" t="n">
        <x:v>0.5744617234513032</x:v>
      </x:c>
      <x:c r="Q678" s="47" t="n">
        <x:v>1</x:v>
      </x:c>
      <x:c r="R678" s="47" t="n">
        <x:v>0.8771641846621228</x:v>
      </x:c>
      <x:c r="S678" s="27" t="n">
        <x:v>0</x:v>
      </x:c>
    </x:row>
    <x:row r="679" ht="21.600000381469727" hidden="0" customHeight="1">
      <x:c r="A679" s="29" t="n">
        <x:v>225</x:v>
      </x:c>
      <x:c r="B679" s="29" t="str">
        <x:v>A3</x:v>
      </x:c>
      <x:c r="C679" s="48" t="n">
        <x:v>1.0212668101450315</x:v>
      </x:c>
      <x:c r="D679" s="48" t="n">
        <x:v>0.9360844021509929</x:v>
      </x:c>
      <x:c r="E679" s="48" t="n">
        <x:v>0.4516754519046967</x:v>
      </x:c>
      <x:c r="F679" s="48" t="n">
        <x:v>-0.04806407221271969</x:v>
      </x:c>
      <x:c r="G679" s="48" t="n">
        <x:v>-0.05830220463035879</x:v>
      </x:c>
      <x:c r="H679" s="48" t="n">
        <x:v>0.6438815075052073</x:v>
      </x:c>
      <x:c r="I679" s="48" t="n">
        <x:v>0.8218302446856306</x:v>
      </x:c>
      <x:c r="J679" s="48" t="n">
        <x:v>0.7074500058119517</x:v>
      </x:c>
      <x:c r="K679" s="48" t="n">
        <x:v>0.5717963055612747</x:v>
      </x:c>
      <x:c r="L679" s="48" t="n">
        <x:v>0.5651975332549599</x:v>
      </x:c>
      <x:c r="M679" s="48" t="n">
        <x:v>0.166844421112353</x:v>
      </x:c>
      <x:c r="N679" s="48" t="n">
        <x:v>0.7870952625210754</x:v>
      </x:c>
      <x:c r="O679" s="48" t="n">
        <x:v>1</x:v>
      </x:c>
      <x:c r="P679" s="48" t="n">
        <x:v>1</x:v>
      </x:c>
      <x:c r="Q679" s="48" t="n">
        <x:v>1</x:v>
      </x:c>
      <x:c r="R679" s="48" t="n">
        <x:v>1</x:v>
      </x:c>
      <x:c r="S679" s="29" t="n">
        <x:v>1</x:v>
      </x:c>
    </x:row>
    <x:row r="680" ht="21.600000381469727" hidden="0" customHeight="1">
      <x:c r="A680" s="27" t="n">
        <x:v>226</x:v>
      </x:c>
      <x:c r="B680" s="27" t="str">
        <x:v>A1</x:v>
      </x:c>
      <x:c r="C680" s="47" t="n">
        <x:v>1.2702254724153181</x:v>
      </x:c>
      <x:c r="D680" s="47" t="n">
        <x:v>0.8201224089040964</x:v>
      </x:c>
      <x:c r="E680" s="47" t="n">
        <x:v>0.8447149462842084</x:v>
      </x:c>
      <x:c r="F680" s="47" t="n">
        <x:v>-0.17001114265324402</x:v>
      </x:c>
      <x:c r="G680" s="47" t="n">
        <x:v>-0.1873825963752089</x:v>
      </x:c>
      <x:c r="H680" s="47" t="n">
        <x:v>0.5789562452160266</x:v>
      </x:c>
      <x:c r="I680" s="47" t="n">
        <x:v>0.8347640356655268</x:v>
      </x:c>
      <x:c r="J680" s="47" t="n">
        <x:v>0.5304868978537904</x:v>
      </x:c>
      <x:c r="K680" s="47" t="n">
        <x:v>0.875599260471595</x:v>
      </x:c>
      <x:c r="L680" s="47" t="n">
        <x:v>0.5703911965315098</x:v>
      </x:c>
      <x:c r="M680" s="47" t="n">
        <x:v>0.07208785165231214</x:v>
      </x:c>
      <x:c r="N680" s="47" t="n">
        <x:v>0.725873222613599</x:v>
      </x:c>
      <x:c r="O680" s="47" t="n">
        <x:v>0.7560142875441421</x:v>
      </x:c>
      <x:c r="P680" s="47" t="n">
        <x:v>0.4948560399117121</x:v>
      </x:c>
      <x:c r="Q680" s="47" t="n">
        <x:v>1</x:v>
      </x:c>
      <x:c r="R680" s="47" t="n">
        <x:v>0.6987159402502926</x:v>
      </x:c>
      <x:c r="S680" s="27" t="n">
        <x:v>0</x:v>
      </x:c>
    </x:row>
    <x:row r="681" ht="21.600000381469727" hidden="0" customHeight="1">
      <x:c r="A681" s="29" t="n">
        <x:v>226</x:v>
      </x:c>
      <x:c r="B681" s="29" t="str">
        <x:v>A2</x:v>
      </x:c>
      <x:c r="C681" s="48" t="n">
        <x:v>1.2702254724153181</x:v>
      </x:c>
      <x:c r="D681" s="48" t="n">
        <x:v>0.8201224089040964</x:v>
      </x:c>
      <x:c r="E681" s="48" t="n">
        <x:v>0.8447149462842084</x:v>
      </x:c>
      <x:c r="F681" s="48" t="n">
        <x:v>-0.17001114265324402</x:v>
      </x:c>
      <x:c r="G681" s="48" t="n">
        <x:v>-0.1873825963752089</x:v>
      </x:c>
      <x:c r="H681" s="48" t="n">
        <x:v>0.5789562452160266</x:v>
      </x:c>
      <x:c r="I681" s="48" t="n">
        <x:v>0.8347640356655268</x:v>
      </x:c>
      <x:c r="J681" s="48" t="n">
        <x:v>0.5304868978537904</x:v>
      </x:c>
      <x:c r="K681" s="48" t="n">
        <x:v>0.875599260471595</x:v>
      </x:c>
      <x:c r="L681" s="48" t="n">
        <x:v>0.5703911965315098</x:v>
      </x:c>
      <x:c r="M681" s="48" t="n">
        <x:v>0.07208785165231214</x:v>
      </x:c>
      <x:c r="N681" s="48" t="n">
        <x:v>0.725873222613599</x:v>
      </x:c>
      <x:c r="O681" s="48" t="n">
        <x:v>0.841429159671797</x:v>
      </x:c>
      <x:c r="P681" s="48" t="n">
        <x:v>0.4701732104238486</x:v>
      </x:c>
      <x:c r="Q681" s="48" t="n">
        <x:v>1</x:v>
      </x:c>
      <x:c r="R681" s="48" t="n">
        <x:v>0.80418990091214</x:v>
      </x:c>
      <x:c r="S681" s="29" t="n">
        <x:v>0</x:v>
      </x:c>
    </x:row>
    <x:row r="682" ht="21.600000381469727" hidden="0" customHeight="1">
      <x:c r="A682" s="27" t="n">
        <x:v>226</x:v>
      </x:c>
      <x:c r="B682" s="27" t="str">
        <x:v>A3</x:v>
      </x:c>
      <x:c r="C682" s="47" t="n">
        <x:v>1.2702254724153181</x:v>
      </x:c>
      <x:c r="D682" s="47" t="n">
        <x:v>0.8201224089040964</x:v>
      </x:c>
      <x:c r="E682" s="47" t="n">
        <x:v>0.8447149462842084</x:v>
      </x:c>
      <x:c r="F682" s="47" t="n">
        <x:v>-0.17001114265324402</x:v>
      </x:c>
      <x:c r="G682" s="47" t="n">
        <x:v>-0.1873825963752089</x:v>
      </x:c>
      <x:c r="H682" s="47" t="n">
        <x:v>0.5789562452160266</x:v>
      </x:c>
      <x:c r="I682" s="47" t="n">
        <x:v>0.8347640356655268</x:v>
      </x:c>
      <x:c r="J682" s="47" t="n">
        <x:v>0.5304868978537904</x:v>
      </x:c>
      <x:c r="K682" s="47" t="n">
        <x:v>0.875599260471595</x:v>
      </x:c>
      <x:c r="L682" s="47" t="n">
        <x:v>0.5703911965315098</x:v>
      </x:c>
      <x:c r="M682" s="47" t="n">
        <x:v>0.07208785165231214</x:v>
      </x:c>
      <x:c r="N682" s="47" t="n">
        <x:v>0.725873222613599</x:v>
      </x:c>
      <x:c r="O682" s="47" t="n">
        <x:v>1</x:v>
      </x:c>
      <x:c r="P682" s="47" t="n">
        <x:v>1</x:v>
      </x:c>
      <x:c r="Q682" s="47" t="n">
        <x:v>1</x:v>
      </x:c>
      <x:c r="R682" s="47" t="n">
        <x:v>1</x:v>
      </x:c>
      <x:c r="S682" s="27" t="n">
        <x:v>1</x:v>
      </x:c>
    </x:row>
    <x:row r="683" ht="15" hidden="0" customHeight="1">
      <x:c r="A683" s="29" t="n">
        <x:v>227</x:v>
      </x:c>
      <x:c r="B683" s="29" t="str">
        <x:v>A1</x:v>
      </x:c>
      <x:c r="C683" s="48" t="n">
        <x:v>1.2418282701016534</x:v>
      </x:c>
      <x:c r="D683" s="48" t="n">
        <x:v>0.8019841338494915</x:v>
      </x:c>
      <x:c r="E683" s="48" t="n">
        <x:v>0.5937336025650509</x:v>
      </x:c>
      <x:c r="F683" s="48" t="n">
        <x:v>0.01146758174840698</x:v>
      </x:c>
      <x:c r="G683" s="48" t="n">
        <x:v>0.014675351823185773</x:v>
      </x:c>
      <x:c r="H683" s="48" t="n">
        <x:v>0.7257918412612636</x:v>
      </x:c>
      <x:c r="I683" s="48" t="n">
        <x:v>0.7969241128763357</x:v>
      </x:c>
      <x:c r="J683" s="48" t="n">
        <x:v>0.6593449879204683</x:v>
      </x:c>
      <x:c r="K683" s="48" t="n">
        <x:v>0.6800675896198863</x:v>
      </x:c>
      <x:c r="L683" s="48" t="n">
        <x:v>0.6521598582011501</x:v>
      </x:c>
      <x:c r="M683" s="48" t="n">
        <x:v>0.1555579685487424</x:v>
      </x:c>
      <x:c r="N683" s="48" t="n">
        <x:v>0.7832070444709911</x:v>
      </x:c>
      <x:c r="O683" s="48" t="n">
        <x:v>0.7190641001632544</x:v>
      </x:c>
      <x:c r="P683" s="48" t="n">
        <x:v>0.450281754443497</x:v>
      </x:c>
      <x:c r="Q683" s="48" t="n">
        <x:v>0.9214275293832268</x:v>
      </x:c>
      <x:c r="R683" s="48" t="n">
        <x:v>0.6536718046354936</x:v>
      </x:c>
      <x:c r="S683" s="29" t="n">
        <x:v>0</x:v>
      </x:c>
    </x:row>
    <x:row r="684" ht="15" hidden="0" customHeight="1">
      <x:c r="A684" s="27" t="n">
        <x:v>227</x:v>
      </x:c>
      <x:c r="B684" s="27" t="str">
        <x:v>A2</x:v>
      </x:c>
      <x:c r="C684" s="47" t="n">
        <x:v>1.2418282701016534</x:v>
      </x:c>
      <x:c r="D684" s="47" t="n">
        <x:v>0.8019841338494915</x:v>
      </x:c>
      <x:c r="E684" s="47" t="n">
        <x:v>0.5937336025650509</x:v>
      </x:c>
      <x:c r="F684" s="47" t="n">
        <x:v>0.01146758174840698</x:v>
      </x:c>
      <x:c r="G684" s="47" t="n">
        <x:v>0.014675351823185773</x:v>
      </x:c>
      <x:c r="H684" s="47" t="n">
        <x:v>0.7257918412612636</x:v>
      </x:c>
      <x:c r="I684" s="47" t="n">
        <x:v>0.7969241128763357</x:v>
      </x:c>
      <x:c r="J684" s="47" t="n">
        <x:v>0.6593449879204683</x:v>
      </x:c>
      <x:c r="K684" s="47" t="n">
        <x:v>0.6800675896198863</x:v>
      </x:c>
      <x:c r="L684" s="47" t="n">
        <x:v>0.6521598582011501</x:v>
      </x:c>
      <x:c r="M684" s="47" t="n">
        <x:v>0.1555579685487424</x:v>
      </x:c>
      <x:c r="N684" s="47" t="n">
        <x:v>0.7832070444709911</x:v>
      </x:c>
      <x:c r="O684" s="47" t="n">
        <x:v>0.7880770071170197</x:v>
      </x:c>
      <x:c r="P684" s="47" t="n">
        <x:v>0.422722026518509</x:v>
      </x:c>
      <x:c r="Q684" s="47" t="n">
        <x:v>1</x:v>
      </x:c>
      <x:c r="R684" s="47" t="n">
        <x:v>0.7383083664718922</x:v>
      </x:c>
      <x:c r="S684" s="27" t="n">
        <x:v>0</x:v>
      </x:c>
    </x:row>
    <x:row r="685" ht="15" hidden="0" customHeight="1">
      <x:c r="A685" s="29" t="n">
        <x:v>227</x:v>
      </x:c>
      <x:c r="B685" s="29" t="str">
        <x:v>A3</x:v>
      </x:c>
      <x:c r="C685" s="48" t="n">
        <x:v>1.2418282701016534</x:v>
      </x:c>
      <x:c r="D685" s="48" t="n">
        <x:v>0.8019841338494915</x:v>
      </x:c>
      <x:c r="E685" s="48" t="n">
        <x:v>0.5937336025650509</x:v>
      </x:c>
      <x:c r="F685" s="48" t="n">
        <x:v>0.01146758174840698</x:v>
      </x:c>
      <x:c r="G685" s="48" t="n">
        <x:v>0.014675351823185773</x:v>
      </x:c>
      <x:c r="H685" s="48" t="n">
        <x:v>0.7257918412612636</x:v>
      </x:c>
      <x:c r="I685" s="48" t="n">
        <x:v>0.7969241128763357</x:v>
      </x:c>
      <x:c r="J685" s="48" t="n">
        <x:v>0.6593449879204683</x:v>
      </x:c>
      <x:c r="K685" s="48" t="n">
        <x:v>0.6800675896198863</x:v>
      </x:c>
      <x:c r="L685" s="48" t="n">
        <x:v>0.6521598582011501</x:v>
      </x:c>
      <x:c r="M685" s="48" t="n">
        <x:v>0.1555579685487424</x:v>
      </x:c>
      <x:c r="N685" s="48" t="n">
        <x:v>0.7832070444709911</x:v>
      </x:c>
      <x:c r="O685" s="48" t="n">
        <x:v>1</x:v>
      </x:c>
      <x:c r="P685" s="48" t="n">
        <x:v>1</x:v>
      </x:c>
      <x:c r="Q685" s="48" t="n">
        <x:v>1</x:v>
      </x:c>
      <x:c r="R685" s="48" t="n">
        <x:v>1</x:v>
      </x:c>
      <x:c r="S685" s="29" t="n">
        <x:v>1</x:v>
      </x:c>
    </x:row>
    <x:row r="686" ht="21.600000381469727" hidden="0" customHeight="1">
      <x:c r="A686" s="27" t="n">
        <x:v>228</x:v>
      </x:c>
      <x:c r="B686" s="27" t="str">
        <x:v>A1</x:v>
      </x:c>
      <x:c r="C686" s="47" t="n">
        <x:v>0.9825585899720399</x:v>
      </x:c>
      <x:c r="D686" s="47" t="n">
        <x:v>0.8097303902424282</x:v>
      </x:c>
      <x:c r="E686" s="47" t="n">
        <x:v>1.092961709976467</x:v>
      </x:c>
      <x:c r="F686" s="47" t="n">
        <x:v>-0.09202735188324643</x:v>
      </x:c>
      <x:c r="G686" s="47" t="n">
        <x:v>-0.06750069308503842</x:v>
      </x:c>
      <x:c r="H686" s="47" t="n">
        <x:v>0.8321842408657638</x:v>
      </x:c>
      <x:c r="I686" s="47" t="n">
        <x:v>0.8017657833362732</x:v>
      </x:c>
      <x:c r="J686" s="47" t="n">
        <x:v>0.638572043189711</x:v>
      </x:c>
      <x:c r="K686" s="47" t="n">
        <x:v>0.6040961742331675</x:v>
      </x:c>
      <x:c r="L686" s="47" t="n">
        <x:v>0.5734793106852446</x:v>
      </x:c>
      <x:c r="M686" s="47" t="n">
        <x:v>0.040077606431564314</x:v>
      </x:c>
      <x:c r="N686" s="47" t="n">
        <x:v>0.6637645385351783</x:v>
      </x:c>
      <x:c r="O686" s="47" t="n">
        <x:v>0.8867301103989823</x:v>
      </x:c>
      <x:c r="P686" s="47" t="n">
        <x:v>0.6622005749751982</x:v>
      </x:c>
      <x:c r="Q686" s="47" t="n">
        <x:v>1</x:v>
      </x:c>
      <x:c r="R686" s="47" t="n">
        <x:v>0.8601294647834351</x:v>
      </x:c>
      <x:c r="S686" s="27" t="n">
        <x:v>0</x:v>
      </x:c>
    </x:row>
    <x:row r="687" ht="21.600000381469727" hidden="0" customHeight="1">
      <x:c r="A687" s="29" t="n">
        <x:v>228</x:v>
      </x:c>
      <x:c r="B687" s="29" t="str">
        <x:v>A2</x:v>
      </x:c>
      <x:c r="C687" s="48" t="n">
        <x:v>0.9825585899720399</x:v>
      </x:c>
      <x:c r="D687" s="48" t="n">
        <x:v>0.8097303902424282</x:v>
      </x:c>
      <x:c r="E687" s="48" t="n">
        <x:v>1.092961709976467</x:v>
      </x:c>
      <x:c r="F687" s="48" t="n">
        <x:v>-0.09202735188324643</x:v>
      </x:c>
      <x:c r="G687" s="48" t="n">
        <x:v>-0.06750069308503842</x:v>
      </x:c>
      <x:c r="H687" s="48" t="n">
        <x:v>0.8321842408657638</x:v>
      </x:c>
      <x:c r="I687" s="48" t="n">
        <x:v>0.8017657833362732</x:v>
      </x:c>
      <x:c r="J687" s="48" t="n">
        <x:v>0.638572043189711</x:v>
      </x:c>
      <x:c r="K687" s="48" t="n">
        <x:v>0.6040961742331675</x:v>
      </x:c>
      <x:c r="L687" s="48" t="n">
        <x:v>0.5734793106852446</x:v>
      </x:c>
      <x:c r="M687" s="48" t="n">
        <x:v>0.040077606431564314</x:v>
      </x:c>
      <x:c r="N687" s="48" t="n">
        <x:v>0.6637645385351783</x:v>
      </x:c>
      <x:c r="O687" s="48" t="n">
        <x:v>0.9802391034717023</x:v>
      </x:c>
      <x:c r="P687" s="48" t="n">
        <x:v>0.8061805908850015</x:v>
      </x:c>
      <x:c r="Q687" s="48" t="n">
        <x:v>1</x:v>
      </x:c>
      <x:c r="R687" s="48" t="n">
        <x:v>0.9755983943878823</x:v>
      </x:c>
      <x:c r="S687" s="29" t="n">
        <x:v>0</x:v>
      </x:c>
    </x:row>
    <x:row r="688" ht="21.600000381469727" hidden="0" customHeight="1">
      <x:c r="A688" s="27" t="n">
        <x:v>228</x:v>
      </x:c>
      <x:c r="B688" s="27" t="str">
        <x:v>A3</x:v>
      </x:c>
      <x:c r="C688" s="47" t="n">
        <x:v>0.9825585899720399</x:v>
      </x:c>
      <x:c r="D688" s="47" t="n">
        <x:v>0.8097303902424282</x:v>
      </x:c>
      <x:c r="E688" s="47" t="n">
        <x:v>1.092961709976467</x:v>
      </x:c>
      <x:c r="F688" s="47" t="n">
        <x:v>-0.09202735188324643</x:v>
      </x:c>
      <x:c r="G688" s="47" t="n">
        <x:v>-0.06750069308503842</x:v>
      </x:c>
      <x:c r="H688" s="47" t="n">
        <x:v>0.8321842408657638</x:v>
      </x:c>
      <x:c r="I688" s="47" t="n">
        <x:v>0.8017657833362732</x:v>
      </x:c>
      <x:c r="J688" s="47" t="n">
        <x:v>0.638572043189711</x:v>
      </x:c>
      <x:c r="K688" s="47" t="n">
        <x:v>0.6040961742331675</x:v>
      </x:c>
      <x:c r="L688" s="47" t="n">
        <x:v>0.5734793106852446</x:v>
      </x:c>
      <x:c r="M688" s="47" t="n">
        <x:v>0.040077606431564314</x:v>
      </x:c>
      <x:c r="N688" s="47" t="n">
        <x:v>0.6637645385351783</x:v>
      </x:c>
      <x:c r="O688" s="47" t="n">
        <x:v>1</x:v>
      </x:c>
      <x:c r="P688" s="47" t="n">
        <x:v>1</x:v>
      </x:c>
      <x:c r="Q688" s="47" t="n">
        <x:v>1</x:v>
      </x:c>
      <x:c r="R688" s="47" t="n">
        <x:v>1</x:v>
      </x:c>
      <x:c r="S688" s="27" t="n">
        <x:v>1</x:v>
      </x:c>
    </x:row>
    <x:row r="689" ht="21.600000381469727" hidden="0" customHeight="1">
      <x:c r="A689" s="29" t="n">
        <x:v>229</x:v>
      </x:c>
      <x:c r="B689" s="29" t="str">
        <x:v>A1</x:v>
      </x:c>
      <x:c r="C689" s="48" t="n">
        <x:v>1.1965614632223154</x:v>
      </x:c>
      <x:c r="D689" s="48" t="n">
        <x:v>0.8307442139414998</x:v>
      </x:c>
      <x:c r="E689" s="48" t="n">
        <x:v>0.45028104961616655</x:v>
      </x:c>
      <x:c r="F689" s="48" t="n">
        <x:v>-0.07048835005052867</x:v>
      </x:c>
      <x:c r="G689" s="48" t="n">
        <x:v>-0.08602939937022847</x:v>
      </x:c>
      <x:c r="H689" s="48" t="n">
        <x:v>0.5147267277893932</x:v>
      </x:c>
      <x:c r="I689" s="48" t="n">
        <x:v>0.6521284981350126</x:v>
      </x:c>
      <x:c r="J689" s="48" t="n">
        <x:v>0.7607772866254225</x:v>
      </x:c>
      <x:c r="K689" s="48" t="n">
        <x:v>0.7940946161364549</x:v>
      </x:c>
      <x:c r="L689" s="48" t="n">
        <x:v>0.515787887943813</x:v>
      </x:c>
      <x:c r="M689" s="48" t="n">
        <x:v>0.11848426410880332</x:v>
      </x:c>
      <x:c r="N689" s="48" t="n">
        <x:v>0.7519167682366187</x:v>
      </x:c>
      <x:c r="O689" s="48" t="n">
        <x:v>0.7565316607762164</x:v>
      </x:c>
      <x:c r="P689" s="48" t="n">
        <x:v>0.40385775157407133</x:v>
      </x:c>
      <x:c r="Q689" s="48" t="n">
        <x:v>0.9458143888158551</x:v>
      </x:c>
      <x:c r="R689" s="48" t="n">
        <x:v>0.6997572435840465</x:v>
      </x:c>
      <x:c r="S689" s="29" t="n">
        <x:v>0</x:v>
      </x:c>
    </x:row>
    <x:row r="690" ht="21.600000381469727" hidden="0" customHeight="1">
      <x:c r="A690" s="27" t="n">
        <x:v>229</x:v>
      </x:c>
      <x:c r="B690" s="27" t="str">
        <x:v>A2</x:v>
      </x:c>
      <x:c r="C690" s="47" t="n">
        <x:v>1.1965614632223154</x:v>
      </x:c>
      <x:c r="D690" s="47" t="n">
        <x:v>0.8307442139414998</x:v>
      </x:c>
      <x:c r="E690" s="47" t="n">
        <x:v>0.45028104961616655</x:v>
      </x:c>
      <x:c r="F690" s="47" t="n">
        <x:v>-0.07048835005052867</x:v>
      </x:c>
      <x:c r="G690" s="47" t="n">
        <x:v>-0.08602939937022847</x:v>
      </x:c>
      <x:c r="H690" s="47" t="n">
        <x:v>0.5147267277893932</x:v>
      </x:c>
      <x:c r="I690" s="47" t="n">
        <x:v>0.6521284981350126</x:v>
      </x:c>
      <x:c r="J690" s="47" t="n">
        <x:v>0.7607772866254225</x:v>
      </x:c>
      <x:c r="K690" s="47" t="n">
        <x:v>0.7940946161364549</x:v>
      </x:c>
      <x:c r="L690" s="47" t="n">
        <x:v>0.515787887943813</x:v>
      </x:c>
      <x:c r="M690" s="47" t="n">
        <x:v>0.11848426410880332</x:v>
      </x:c>
      <x:c r="N690" s="47" t="n">
        <x:v>0.7519167682366187</x:v>
      </x:c>
      <x:c r="O690" s="47" t="n">
        <x:v>0.8227483727974148</x:v>
      </x:c>
      <x:c r="P690" s="47" t="n">
        <x:v>0.5072163157376101</x:v>
      </x:c>
      <x:c r="Q690" s="47" t="n">
        <x:v>0.9999999999999999</x:v>
      </x:c>
      <x:c r="R690" s="47" t="n">
        <x:v>0.7811220611924221</x:v>
      </x:c>
      <x:c r="S690" s="27" t="n">
        <x:v>0</x:v>
      </x:c>
    </x:row>
    <x:row r="691" ht="21.600000381469727" hidden="0" customHeight="1">
      <x:c r="A691" s="29" t="n">
        <x:v>229</x:v>
      </x:c>
      <x:c r="B691" s="29" t="str">
        <x:v>A3</x:v>
      </x:c>
      <x:c r="C691" s="48" t="n">
        <x:v>1.1965614632223154</x:v>
      </x:c>
      <x:c r="D691" s="48" t="n">
        <x:v>0.8307442139414998</x:v>
      </x:c>
      <x:c r="E691" s="48" t="n">
        <x:v>0.45028104961616655</x:v>
      </x:c>
      <x:c r="F691" s="48" t="n">
        <x:v>-0.07048835005052867</x:v>
      </x:c>
      <x:c r="G691" s="48" t="n">
        <x:v>-0.08602939937022847</x:v>
      </x:c>
      <x:c r="H691" s="48" t="n">
        <x:v>0.5147267277893932</x:v>
      </x:c>
      <x:c r="I691" s="48" t="n">
        <x:v>0.6521284981350126</x:v>
      </x:c>
      <x:c r="J691" s="48" t="n">
        <x:v>0.7607772866254225</x:v>
      </x:c>
      <x:c r="K691" s="48" t="n">
        <x:v>0.7940946161364549</x:v>
      </x:c>
      <x:c r="L691" s="48" t="n">
        <x:v>0.515787887943813</x:v>
      </x:c>
      <x:c r="M691" s="48" t="n">
        <x:v>0.11848426410880332</x:v>
      </x:c>
      <x:c r="N691" s="48" t="n">
        <x:v>0.7519167682366187</x:v>
      </x:c>
      <x:c r="O691" s="48" t="n">
        <x:v>1</x:v>
      </x:c>
      <x:c r="P691" s="48" t="n">
        <x:v>1</x:v>
      </x:c>
      <x:c r="Q691" s="48" t="n">
        <x:v>1</x:v>
      </x:c>
      <x:c r="R691" s="48" t="n">
        <x:v>1</x:v>
      </x:c>
      <x:c r="S691" s="29" t="n">
        <x:v>1</x:v>
      </x:c>
    </x:row>
    <x:row r="692" ht="21.600000381469727" hidden="0" customHeight="1">
      <x:c r="A692" s="27" t="n">
        <x:v>230</x:v>
      </x:c>
      <x:c r="B692" s="27" t="str">
        <x:v>A1</x:v>
      </x:c>
      <x:c r="C692" s="47" t="n">
        <x:v>1.3158650871545219</x:v>
      </x:c>
      <x:c r="D692" s="47" t="n">
        <x:v>0.9765677373434007</x:v>
      </x:c>
      <x:c r="E692" s="47" t="n">
        <x:v>0.8249917838735201</x:v>
      </x:c>
      <x:c r="F692" s="47" t="n">
        <x:v>-0.013762063634445793</x:v>
      </x:c>
      <x:c r="G692" s="47" t="n">
        <x:v>-0.028688487510226734</x:v>
      </x:c>
      <x:c r="H692" s="47" t="n">
        <x:v>0.9313273441538794</x:v>
      </x:c>
      <x:c r="I692" s="47" t="n">
        <x:v>0.7203318923230893</x:v>
      </x:c>
      <x:c r="J692" s="47" t="n">
        <x:v>0.7142780786965963</x:v>
      </x:c>
      <x:c r="K692" s="47" t="n">
        <x:v>0.9714022091461592</x:v>
      </x:c>
      <x:c r="L692" s="47" t="n">
        <x:v>0.537563686099404</x:v>
      </x:c>
      <x:c r="M692" s="47" t="n">
        <x:v>0.10311184848817563</x:v>
      </x:c>
      <x:c r="N692" s="47" t="n">
        <x:v>0.7112404186202818</x:v>
      </x:c>
      <x:c r="O692" s="47" t="n">
        <x:v>0.8353961667073047</x:v>
      </x:c>
      <x:c r="P692" s="47" t="n">
        <x:v>0.532704369426151</x:v>
      </x:c>
      <x:c r="Q692" s="47" t="n">
        <x:v>1</x:v>
      </x:c>
      <x:c r="R692" s="47" t="n">
        <x:v>0.7967401015182</x:v>
      </x:c>
      <x:c r="S692" s="27" t="n">
        <x:v>0</x:v>
      </x:c>
    </x:row>
    <x:row r="693" ht="21.600000381469727" hidden="0" customHeight="1">
      <x:c r="A693" s="29" t="n">
        <x:v>230</x:v>
      </x:c>
      <x:c r="B693" s="29" t="str">
        <x:v>A2</x:v>
      </x:c>
      <x:c r="C693" s="48" t="n">
        <x:v>1.3158650871545219</x:v>
      </x:c>
      <x:c r="D693" s="48" t="n">
        <x:v>0.9765677373434007</x:v>
      </x:c>
      <x:c r="E693" s="48" t="n">
        <x:v>0.8249917838735201</x:v>
      </x:c>
      <x:c r="F693" s="48" t="n">
        <x:v>-0.013762063634445793</x:v>
      </x:c>
      <x:c r="G693" s="48" t="n">
        <x:v>-0.028688487510226734</x:v>
      </x:c>
      <x:c r="H693" s="48" t="n">
        <x:v>0.9313273441538794</x:v>
      </x:c>
      <x:c r="I693" s="48" t="n">
        <x:v>0.7203318923230893</x:v>
      </x:c>
      <x:c r="J693" s="48" t="n">
        <x:v>0.7142780786965963</x:v>
      </x:c>
      <x:c r="K693" s="48" t="n">
        <x:v>0.9714022091461592</x:v>
      </x:c>
      <x:c r="L693" s="48" t="n">
        <x:v>0.537563686099404</x:v>
      </x:c>
      <x:c r="M693" s="48" t="n">
        <x:v>0.10311184848817563</x:v>
      </x:c>
      <x:c r="N693" s="48" t="n">
        <x:v>0.7112404186202818</x:v>
      </x:c>
      <x:c r="O693" s="48" t="n">
        <x:v>0.8972877061216176</x:v>
      </x:c>
      <x:c r="P693" s="48" t="n">
        <x:v>0.5395571809587065</x:v>
      </x:c>
      <x:c r="Q693" s="48" t="n">
        <x:v>1</x:v>
      </x:c>
      <x:c r="R693" s="48" t="n">
        <x:v>0.8731664384180577</x:v>
      </x:c>
      <x:c r="S693" s="29" t="n">
        <x:v>0</x:v>
      </x:c>
    </x:row>
    <x:row r="694" ht="21.600000381469727" hidden="0" customHeight="1">
      <x:c r="A694" s="27" t="n">
        <x:v>230</x:v>
      </x:c>
      <x:c r="B694" s="27" t="str">
        <x:v>A3</x:v>
      </x:c>
      <x:c r="C694" s="47" t="n">
        <x:v>1.3158650871545219</x:v>
      </x:c>
      <x:c r="D694" s="47" t="n">
        <x:v>0.9765677373434007</x:v>
      </x:c>
      <x:c r="E694" s="47" t="n">
        <x:v>0.8249917838735201</x:v>
      </x:c>
      <x:c r="F694" s="47" t="n">
        <x:v>-0.013762063634445793</x:v>
      </x:c>
      <x:c r="G694" s="47" t="n">
        <x:v>-0.028688487510226734</x:v>
      </x:c>
      <x:c r="H694" s="47" t="n">
        <x:v>0.9313273441538794</x:v>
      </x:c>
      <x:c r="I694" s="47" t="n">
        <x:v>0.7203318923230893</x:v>
      </x:c>
      <x:c r="J694" s="47" t="n">
        <x:v>0.7142780786965963</x:v>
      </x:c>
      <x:c r="K694" s="47" t="n">
        <x:v>0.9714022091461592</x:v>
      </x:c>
      <x:c r="L694" s="47" t="n">
        <x:v>0.537563686099404</x:v>
      </x:c>
      <x:c r="M694" s="47" t="n">
        <x:v>0.10311184848817563</x:v>
      </x:c>
      <x:c r="N694" s="47" t="n">
        <x:v>0.7112404186202818</x:v>
      </x:c>
      <x:c r="O694" s="47" t="n">
        <x:v>1</x:v>
      </x:c>
      <x:c r="P694" s="47" t="n">
        <x:v>1</x:v>
      </x:c>
      <x:c r="Q694" s="47" t="n">
        <x:v>1</x:v>
      </x:c>
      <x:c r="R694" s="47" t="n">
        <x:v>1</x:v>
      </x:c>
      <x:c r="S694" s="27" t="n">
        <x:v>1</x:v>
      </x:c>
    </x:row>
    <x:row r="695" ht="21.600000381469727" hidden="0" customHeight="1">
      <x:c r="A695" s="29" t="n">
        <x:v>231</x:v>
      </x:c>
      <x:c r="B695" s="29" t="str">
        <x:v>A1</x:v>
      </x:c>
      <x:c r="C695" s="48" t="n">
        <x:v>0.9892482676034547</x:v>
      </x:c>
      <x:c r="D695" s="48" t="n">
        <x:v>0.7840728363583465</x:v>
      </x:c>
      <x:c r="E695" s="48" t="n">
        <x:v>0.7278079861823249</x:v>
      </x:c>
      <x:c r="F695" s="48" t="n">
        <x:v>-0.09650987560874659</x:v>
      </x:c>
      <x:c r="G695" s="48" t="n">
        <x:v>-0.12609804122220236</x:v>
      </x:c>
      <x:c r="H695" s="48" t="n">
        <x:v>0.4293089441248156</x:v>
      </x:c>
      <x:c r="I695" s="48" t="n">
        <x:v>0.9043396910050793</x:v>
      </x:c>
      <x:c r="J695" s="48" t="n">
        <x:v>0.685279801277467</x:v>
      </x:c>
      <x:c r="K695" s="48" t="n">
        <x:v>0.5818531852933819</x:v>
      </x:c>
      <x:c r="L695" s="48" t="n">
        <x:v>0.7643720587262932</x:v>
      </x:c>
      <x:c r="M695" s="48" t="n">
        <x:v>0.05724296367869021</x:v>
      </x:c>
      <x:c r="N695" s="48" t="n">
        <x:v>0.8784746843888378</x:v>
      </x:c>
      <x:c r="O695" s="48" t="n">
        <x:v>0.8534374607242643</x:v>
      </x:c>
      <x:c r="P695" s="48" t="n">
        <x:v>0.6061770516458939</x:v>
      </x:c>
      <x:c r="Q695" s="48" t="n">
        <x:v>1</x:v>
      </x:c>
      <x:c r="R695" s="48" t="n">
        <x:v>0.8190182679315351</x:v>
      </x:c>
      <x:c r="S695" s="29" t="n">
        <x:v>0</x:v>
      </x:c>
    </x:row>
    <x:row r="696" ht="21.600000381469727" hidden="0" customHeight="1">
      <x:c r="A696" s="27" t="n">
        <x:v>231</x:v>
      </x:c>
      <x:c r="B696" s="27" t="str">
        <x:v>A2</x:v>
      </x:c>
      <x:c r="C696" s="47" t="n">
        <x:v>0.9892482676034547</x:v>
      </x:c>
      <x:c r="D696" s="47" t="n">
        <x:v>0.7840728363583465</x:v>
      </x:c>
      <x:c r="E696" s="47" t="n">
        <x:v>0.7278079861823249</x:v>
      </x:c>
      <x:c r="F696" s="47" t="n">
        <x:v>-0.09650987560874659</x:v>
      </x:c>
      <x:c r="G696" s="47" t="n">
        <x:v>-0.12609804122220236</x:v>
      </x:c>
      <x:c r="H696" s="47" t="n">
        <x:v>0.4293089441248156</x:v>
      </x:c>
      <x:c r="I696" s="47" t="n">
        <x:v>0.9043396910050793</x:v>
      </x:c>
      <x:c r="J696" s="47" t="n">
        <x:v>0.685279801277467</x:v>
      </x:c>
      <x:c r="K696" s="47" t="n">
        <x:v>0.5818531852933819</x:v>
      </x:c>
      <x:c r="L696" s="47" t="n">
        <x:v>0.7643720587262932</x:v>
      </x:c>
      <x:c r="M696" s="47" t="n">
        <x:v>0.05724296367869021</x:v>
      </x:c>
      <x:c r="N696" s="47" t="n">
        <x:v>0.8784746843888378</x:v>
      </x:c>
      <x:c r="O696" s="47" t="n">
        <x:v>0.9550025643713445</x:v>
      </x:c>
      <x:c r="P696" s="47" t="n">
        <x:v>0.7001887307868111</x:v>
      </x:c>
      <x:c r="Q696" s="47" t="n">
        <x:v>1</x:v>
      </x:c>
      <x:c r="R696" s="47" t="n">
        <x:v>0.9444352296367348</x:v>
      </x:c>
      <x:c r="S696" s="27" t="n">
        <x:v>0</x:v>
      </x:c>
    </x:row>
    <x:row r="697" ht="21.600000381469727" hidden="0" customHeight="1">
      <x:c r="A697" s="29" t="n">
        <x:v>231</x:v>
      </x:c>
      <x:c r="B697" s="29" t="str">
        <x:v>A3</x:v>
      </x:c>
      <x:c r="C697" s="48" t="n">
        <x:v>0.9892482676034547</x:v>
      </x:c>
      <x:c r="D697" s="48" t="n">
        <x:v>0.7840728363583465</x:v>
      </x:c>
      <x:c r="E697" s="48" t="n">
        <x:v>0.7278079861823249</x:v>
      </x:c>
      <x:c r="F697" s="48" t="n">
        <x:v>-0.09650987560874659</x:v>
      </x:c>
      <x:c r="G697" s="48" t="n">
        <x:v>-0.12609804122220236</x:v>
      </x:c>
      <x:c r="H697" s="48" t="n">
        <x:v>0.4293089441248156</x:v>
      </x:c>
      <x:c r="I697" s="48" t="n">
        <x:v>0.9043396910050793</x:v>
      </x:c>
      <x:c r="J697" s="48" t="n">
        <x:v>0.685279801277467</x:v>
      </x:c>
      <x:c r="K697" s="48" t="n">
        <x:v>0.5818531852933819</x:v>
      </x:c>
      <x:c r="L697" s="48" t="n">
        <x:v>0.7643720587262932</x:v>
      </x:c>
      <x:c r="M697" s="48" t="n">
        <x:v>0.05724296367869021</x:v>
      </x:c>
      <x:c r="N697" s="48" t="n">
        <x:v>0.8784746843888378</x:v>
      </x:c>
      <x:c r="O697" s="48" t="n">
        <x:v>1</x:v>
      </x:c>
      <x:c r="P697" s="48" t="n">
        <x:v>1</x:v>
      </x:c>
      <x:c r="Q697" s="48" t="n">
        <x:v>1</x:v>
      </x:c>
      <x:c r="R697" s="48" t="n">
        <x:v>1</x:v>
      </x:c>
      <x:c r="S697" s="29" t="n">
        <x:v>1</x:v>
      </x:c>
    </x:row>
    <x:row r="698" ht="21.600000381469727" hidden="0" customHeight="1">
      <x:c r="A698" s="27" t="n">
        <x:v>232</x:v>
      </x:c>
      <x:c r="B698" s="27" t="str">
        <x:v>A1</x:v>
      </x:c>
      <x:c r="C698" s="47" t="n">
        <x:v>1.189140090512747</x:v>
      </x:c>
      <x:c r="D698" s="47" t="n">
        <x:v>0.7269606350109659</x:v>
      </x:c>
      <x:c r="E698" s="47" t="n">
        <x:v>0.8199040625111427</x:v>
      </x:c>
      <x:c r="F698" s="47" t="n">
        <x:v>0.0005508506365298482</x:v>
      </x:c>
      <x:c r="G698" s="47" t="n">
        <x:v>-0.12415618413070605</x:v>
      </x:c>
      <x:c r="H698" s="47" t="n">
        <x:v>0.6274444926350491</x:v>
      </x:c>
      <x:c r="I698" s="47" t="n">
        <x:v>0.638712191914095</x:v>
      </x:c>
      <x:c r="J698" s="47" t="n">
        <x:v>0.640351331784286</x:v>
      </x:c>
      <x:c r="K698" s="47" t="n">
        <x:v>0.8782046909717518</x:v>
      </x:c>
      <x:c r="L698" s="47" t="n">
        <x:v>0.7983901452216444</x:v>
      </x:c>
      <x:c r="M698" s="47" t="n">
        <x:v>0.1792945586844925</x:v>
      </x:c>
      <x:c r="N698" s="47" t="n">
        <x:v>0.7262351994161527</x:v>
      </x:c>
      <x:c r="O698" s="47" t="n">
        <x:v>0.7927836983619746</x:v>
      </x:c>
      <x:c r="P698" s="47" t="n">
        <x:v>0.4551371961220126</x:v>
      </x:c>
      <x:c r="Q698" s="47" t="n">
        <x:v>1</x:v>
      </x:c>
      <x:c r="R698" s="47" t="n">
        <x:v>0.7441203914138239</x:v>
      </x:c>
      <x:c r="S698" s="27" t="n">
        <x:v>0</x:v>
      </x:c>
    </x:row>
    <x:row r="699" ht="21.600000381469727" hidden="0" customHeight="1">
      <x:c r="A699" s="29" t="n">
        <x:v>232</x:v>
      </x:c>
      <x:c r="B699" s="29" t="str">
        <x:v>A2</x:v>
      </x:c>
      <x:c r="C699" s="48" t="n">
        <x:v>1.189140090512747</x:v>
      </x:c>
      <x:c r="D699" s="48" t="n">
        <x:v>0.7269606350109659</x:v>
      </x:c>
      <x:c r="E699" s="48" t="n">
        <x:v>0.8199040625111427</x:v>
      </x:c>
      <x:c r="F699" s="48" t="n">
        <x:v>0.0005508506365298482</x:v>
      </x:c>
      <x:c r="G699" s="48" t="n">
        <x:v>-0.12415618413070605</x:v>
      </x:c>
      <x:c r="H699" s="48" t="n">
        <x:v>0.6274444926350491</x:v>
      </x:c>
      <x:c r="I699" s="48" t="n">
        <x:v>0.638712191914095</x:v>
      </x:c>
      <x:c r="J699" s="48" t="n">
        <x:v>0.640351331784286</x:v>
      </x:c>
      <x:c r="K699" s="48" t="n">
        <x:v>0.8782046909717518</x:v>
      </x:c>
      <x:c r="L699" s="48" t="n">
        <x:v>0.7983901452216444</x:v>
      </x:c>
      <x:c r="M699" s="48" t="n">
        <x:v>0.1792945586844925</x:v>
      </x:c>
      <x:c r="N699" s="48" t="n">
        <x:v>0.7262351994161527</x:v>
      </x:c>
      <x:c r="O699" s="48" t="n">
        <x:v>0.8752922760320236</x:v>
      </x:c>
      <x:c r="P699" s="48" t="n">
        <x:v>0.5108171244372445</x:v>
      </x:c>
      <x:c r="Q699" s="48" t="n">
        <x:v>1</x:v>
      </x:c>
      <x:c r="R699" s="48" t="n">
        <x:v>0.8460055345822126</x:v>
      </x:c>
      <x:c r="S699" s="29" t="n">
        <x:v>0</x:v>
      </x:c>
    </x:row>
    <x:row r="700" ht="21.600000381469727" hidden="0" customHeight="1">
      <x:c r="A700" s="27" t="n">
        <x:v>232</x:v>
      </x:c>
      <x:c r="B700" s="27" t="str">
        <x:v>A3</x:v>
      </x:c>
      <x:c r="C700" s="47" t="n">
        <x:v>1.189140090512747</x:v>
      </x:c>
      <x:c r="D700" s="47" t="n">
        <x:v>0.7269606350109659</x:v>
      </x:c>
      <x:c r="E700" s="47" t="n">
        <x:v>0.8199040625111427</x:v>
      </x:c>
      <x:c r="F700" s="47" t="n">
        <x:v>0.0005508506365298482</x:v>
      </x:c>
      <x:c r="G700" s="47" t="n">
        <x:v>-0.12415618413070605</x:v>
      </x:c>
      <x:c r="H700" s="47" t="n">
        <x:v>0.6274444926350491</x:v>
      </x:c>
      <x:c r="I700" s="47" t="n">
        <x:v>0.638712191914095</x:v>
      </x:c>
      <x:c r="J700" s="47" t="n">
        <x:v>0.640351331784286</x:v>
      </x:c>
      <x:c r="K700" s="47" t="n">
        <x:v>0.8782046909717518</x:v>
      </x:c>
      <x:c r="L700" s="47" t="n">
        <x:v>0.7983901452216444</x:v>
      </x:c>
      <x:c r="M700" s="47" t="n">
        <x:v>0.1792945586844925</x:v>
      </x:c>
      <x:c r="N700" s="47" t="n">
        <x:v>0.7262351994161527</x:v>
      </x:c>
      <x:c r="O700" s="47" t="n">
        <x:v>1</x:v>
      </x:c>
      <x:c r="P700" s="47" t="n">
        <x:v>1</x:v>
      </x:c>
      <x:c r="Q700" s="47" t="n">
        <x:v>1</x:v>
      </x:c>
      <x:c r="R700" s="47" t="n">
        <x:v>1</x:v>
      </x:c>
      <x:c r="S700" s="27" t="n">
        <x:v>1</x:v>
      </x:c>
    </x:row>
    <x:row r="701" ht="21.600000381469727" hidden="0" customHeight="1">
      <x:c r="A701" s="29" t="n">
        <x:v>233</x:v>
      </x:c>
      <x:c r="B701" s="29" t="str">
        <x:v>A1</x:v>
      </x:c>
      <x:c r="C701" s="48" t="n">
        <x:v>1.068269430242457</x:v>
      </x:c>
      <x:c r="D701" s="48" t="n">
        <x:v>0.8078379254651655</x:v>
      </x:c>
      <x:c r="E701" s="48" t="n">
        <x:v>1.0482896656307616</x:v>
      </x:c>
      <x:c r="F701" s="48" t="n">
        <x:v>-0.13329331667633942</x:v>
      </x:c>
      <x:c r="G701" s="48" t="n">
        <x:v>-0.047703123736996894</x:v>
      </x:c>
      <x:c r="H701" s="48" t="n">
        <x:v>0.8772687544954023</x:v>
      </x:c>
      <x:c r="I701" s="48" t="n">
        <x:v>0.939150214440187</x:v>
      </x:c>
      <x:c r="J701" s="48" t="n">
        <x:v>0.7813027991315091</x:v>
      </x:c>
      <x:c r="K701" s="48" t="n">
        <x:v>0.6513423764046595</x:v>
      </x:c>
      <x:c r="L701" s="48" t="n">
        <x:v>0.5351013092033046</x:v>
      </x:c>
      <x:c r="M701" s="48" t="n">
        <x:v>0.03725886831683213</x:v>
      </x:c>
      <x:c r="N701" s="48" t="n">
        <x:v>0.7819670952684168</x:v>
      </x:c>
      <x:c r="O701" s="48" t="n">
        <x:v>0.8285248021401462</x:v>
      </x:c>
      <x:c r="P701" s="48" t="n">
        <x:v>0.5322840734944142</x:v>
      </x:c>
      <x:c r="Q701" s="48" t="n">
        <x:v>1</x:v>
      </x:c>
      <x:c r="R701" s="48" t="n">
        <x:v>0.7882550447828046</x:v>
      </x:c>
      <x:c r="S701" s="29" t="n">
        <x:v>0</x:v>
      </x:c>
    </x:row>
    <x:row r="702" ht="21.600000381469727" hidden="0" customHeight="1">
      <x:c r="A702" s="27" t="n">
        <x:v>233</x:v>
      </x:c>
      <x:c r="B702" s="27" t="str">
        <x:v>A2</x:v>
      </x:c>
      <x:c r="C702" s="47" t="n">
        <x:v>1.068269430242457</x:v>
      </x:c>
      <x:c r="D702" s="47" t="n">
        <x:v>0.8078379254651655</x:v>
      </x:c>
      <x:c r="E702" s="47" t="n">
        <x:v>1.0482896656307616</x:v>
      </x:c>
      <x:c r="F702" s="47" t="n">
        <x:v>-0.13329331667633942</x:v>
      </x:c>
      <x:c r="G702" s="47" t="n">
        <x:v>-0.047703123736996894</x:v>
      </x:c>
      <x:c r="H702" s="47" t="n">
        <x:v>0.8772687544954023</x:v>
      </x:c>
      <x:c r="I702" s="47" t="n">
        <x:v>0.939150214440187</x:v>
      </x:c>
      <x:c r="J702" s="47" t="n">
        <x:v>0.7813027991315091</x:v>
      </x:c>
      <x:c r="K702" s="47" t="n">
        <x:v>0.6513423764046595</x:v>
      </x:c>
      <x:c r="L702" s="47" t="n">
        <x:v>0.5351013092033046</x:v>
      </x:c>
      <x:c r="M702" s="47" t="n">
        <x:v>0.03725886831683213</x:v>
      </x:c>
      <x:c r="N702" s="47" t="n">
        <x:v>0.7819670952684168</x:v>
      </x:c>
      <x:c r="O702" s="47" t="n">
        <x:v>0.924072929305091</x:v>
      </x:c>
      <x:c r="P702" s="47" t="n">
        <x:v>0.6251804579100438</x:v>
      </x:c>
      <x:c r="Q702" s="47" t="n">
        <x:v>1</x:v>
      </x:c>
      <x:c r="R702" s="47" t="n">
        <x:v>0.9062419849358846</x:v>
      </x:c>
      <x:c r="S702" s="27" t="n">
        <x:v>0</x:v>
      </x:c>
    </x:row>
    <x:row r="703" ht="21.600000381469727" hidden="0" customHeight="1">
      <x:c r="A703" s="29" t="n">
        <x:v>233</x:v>
      </x:c>
      <x:c r="B703" s="29" t="str">
        <x:v>A3</x:v>
      </x:c>
      <x:c r="C703" s="48" t="n">
        <x:v>1.068269430242457</x:v>
      </x:c>
      <x:c r="D703" s="48" t="n">
        <x:v>0.8078379254651655</x:v>
      </x:c>
      <x:c r="E703" s="48" t="n">
        <x:v>1.0482896656307616</x:v>
      </x:c>
      <x:c r="F703" s="48" t="n">
        <x:v>-0.13329331667633942</x:v>
      </x:c>
      <x:c r="G703" s="48" t="n">
        <x:v>-0.047703123736996894</x:v>
      </x:c>
      <x:c r="H703" s="48" t="n">
        <x:v>0.8772687544954023</x:v>
      </x:c>
      <x:c r="I703" s="48" t="n">
        <x:v>0.939150214440187</x:v>
      </x:c>
      <x:c r="J703" s="48" t="n">
        <x:v>0.7813027991315091</x:v>
      </x:c>
      <x:c r="K703" s="48" t="n">
        <x:v>0.6513423764046595</x:v>
      </x:c>
      <x:c r="L703" s="48" t="n">
        <x:v>0.5351013092033046</x:v>
      </x:c>
      <x:c r="M703" s="48" t="n">
        <x:v>0.03725886831683213</x:v>
      </x:c>
      <x:c r="N703" s="48" t="n">
        <x:v>0.7819670952684168</x:v>
      </x:c>
      <x:c r="O703" s="48" t="n">
        <x:v>1</x:v>
      </x:c>
      <x:c r="P703" s="48" t="n">
        <x:v>1</x:v>
      </x:c>
      <x:c r="Q703" s="48" t="n">
        <x:v>1</x:v>
      </x:c>
      <x:c r="R703" s="48" t="n">
        <x:v>1</x:v>
      </x:c>
      <x:c r="S703" s="29" t="n">
        <x:v>1</x:v>
      </x:c>
    </x:row>
    <x:row r="704" ht="15" hidden="0" customHeight="1">
      <x:c r="A704" s="27" t="n">
        <x:v>234</x:v>
      </x:c>
      <x:c r="B704" s="27" t="str">
        <x:v>A1</x:v>
      </x:c>
      <x:c r="C704" s="47" t="n">
        <x:v>0.9550159990583001</x:v>
      </x:c>
      <x:c r="D704" s="47" t="n">
        <x:v>0.8443899875462847</x:v>
      </x:c>
      <x:c r="E704" s="47" t="n">
        <x:v>0.8742807387652958</x:v>
      </x:c>
      <x:c r="F704" s="47" t="n">
        <x:v>0.002388270404034859</x:v>
      </x:c>
      <x:c r="G704" s="47" t="n">
        <x:v>-0.041005890058567834</x:v>
      </x:c>
      <x:c r="H704" s="47" t="n">
        <x:v>0.716585555680262</x:v>
      </x:c>
      <x:c r="I704" s="47" t="n">
        <x:v>0.6479447489703691</x:v>
      </x:c>
      <x:c r="J704" s="47" t="n">
        <x:v>0.48142319752116647</x:v>
      </x:c>
      <x:c r="K704" s="47" t="n">
        <x:v>0.783186678696564</x:v>
      </x:c>
      <x:c r="L704" s="47" t="n">
        <x:v>0.6781179078882835</x:v>
      </x:c>
      <x:c r="M704" s="47" t="n">
        <x:v>0.06387082706927542</x:v>
      </x:c>
      <x:c r="N704" s="47" t="n">
        <x:v>0.9253754097410526</x:v>
      </x:c>
      <x:c r="O704" s="47" t="n">
        <x:v>0.8835475649620427</x:v>
      </x:c>
      <x:c r="P704" s="47" t="n">
        <x:v>0.6726310219067025</x:v>
      </x:c>
      <x:c r="Q704" s="47" t="n">
        <x:v>1</x:v>
      </x:c>
      <x:c r="R704" s="47" t="n">
        <x:v>0.8561995206898741</x:v>
      </x:c>
      <x:c r="S704" s="27" t="n">
        <x:v>0</x:v>
      </x:c>
    </x:row>
    <x:row r="705" ht="15" hidden="0" customHeight="1">
      <x:c r="A705" s="29" t="n">
        <x:v>234</x:v>
      </x:c>
      <x:c r="B705" s="29" t="str">
        <x:v>A2</x:v>
      </x:c>
      <x:c r="C705" s="48" t="n">
        <x:v>0.9550159990583001</x:v>
      </x:c>
      <x:c r="D705" s="48" t="n">
        <x:v>0.8443899875462847</x:v>
      </x:c>
      <x:c r="E705" s="48" t="n">
        <x:v>0.8742807387652958</x:v>
      </x:c>
      <x:c r="F705" s="48" t="n">
        <x:v>0.002388270404034859</x:v>
      </x:c>
      <x:c r="G705" s="48" t="n">
        <x:v>-0.041005890058567834</x:v>
      </x:c>
      <x:c r="H705" s="48" t="n">
        <x:v>0.716585555680262</x:v>
      </x:c>
      <x:c r="I705" s="48" t="n">
        <x:v>0.6479447489703691</x:v>
      </x:c>
      <x:c r="J705" s="48" t="n">
        <x:v>0.48142319752116647</x:v>
      </x:c>
      <x:c r="K705" s="48" t="n">
        <x:v>0.783186678696564</x:v>
      </x:c>
      <x:c r="L705" s="48" t="n">
        <x:v>0.6781179078882835</x:v>
      </x:c>
      <x:c r="M705" s="48" t="n">
        <x:v>0.06387082706927542</x:v>
      </x:c>
      <x:c r="N705" s="48" t="n">
        <x:v>0.9253754097410526</x:v>
      </x:c>
      <x:c r="O705" s="48" t="n">
        <x:v>0.9532844040278164</x:v>
      </x:c>
      <x:c r="P705" s="48" t="n">
        <x:v>0.680119363823615</x:v>
      </x:c>
      <x:c r="Q705" s="48" t="n">
        <x:v>0.9999999999999999</x:v>
      </x:c>
      <x:c r="R705" s="48" t="n">
        <x:v>0.9423135712888396</x:v>
      </x:c>
      <x:c r="S705" s="29" t="n">
        <x:v>0</x:v>
      </x:c>
    </x:row>
    <x:row r="706" ht="15" hidden="0" customHeight="1">
      <x:c r="A706" s="27" t="n">
        <x:v>234</x:v>
      </x:c>
      <x:c r="B706" s="27" t="str">
        <x:v>A3</x:v>
      </x:c>
      <x:c r="C706" s="47" t="n">
        <x:v>0.9550159990583001</x:v>
      </x:c>
      <x:c r="D706" s="47" t="n">
        <x:v>0.8443899875462847</x:v>
      </x:c>
      <x:c r="E706" s="47" t="n">
        <x:v>0.8742807387652958</x:v>
      </x:c>
      <x:c r="F706" s="47" t="n">
        <x:v>0.002388270404034859</x:v>
      </x:c>
      <x:c r="G706" s="47" t="n">
        <x:v>-0.041005890058567834</x:v>
      </x:c>
      <x:c r="H706" s="47" t="n">
        <x:v>0.716585555680262</x:v>
      </x:c>
      <x:c r="I706" s="47" t="n">
        <x:v>0.6479447489703691</x:v>
      </x:c>
      <x:c r="J706" s="47" t="n">
        <x:v>0.48142319752116647</x:v>
      </x:c>
      <x:c r="K706" s="47" t="n">
        <x:v>0.783186678696564</x:v>
      </x:c>
      <x:c r="L706" s="47" t="n">
        <x:v>0.6781179078882835</x:v>
      </x:c>
      <x:c r="M706" s="47" t="n">
        <x:v>0.06387082706927542</x:v>
      </x:c>
      <x:c r="N706" s="47" t="n">
        <x:v>0.9253754097410526</x:v>
      </x:c>
      <x:c r="O706" s="47" t="n">
        <x:v>1</x:v>
      </x:c>
      <x:c r="P706" s="47" t="n">
        <x:v>1</x:v>
      </x:c>
      <x:c r="Q706" s="47" t="n">
        <x:v>1</x:v>
      </x:c>
      <x:c r="R706" s="47" t="n">
        <x:v>1</x:v>
      </x:c>
      <x:c r="S706" s="27" t="n">
        <x:v>1</x:v>
      </x:c>
    </x:row>
    <x:row r="707" ht="21.600000381469727" hidden="0" customHeight="1">
      <x:c r="A707" s="29" t="n">
        <x:v>235</x:v>
      </x:c>
      <x:c r="B707" s="29" t="str">
        <x:v>A1</x:v>
      </x:c>
      <x:c r="C707" s="48" t="n">
        <x:v>1.171108239861623</x:v>
      </x:c>
      <x:c r="D707" s="48" t="n">
        <x:v>0.9474405719921364</x:v>
      </x:c>
      <x:c r="E707" s="48" t="n">
        <x:v>0.8597506257164217</x:v>
      </x:c>
      <x:c r="F707" s="48" t="n">
        <x:v>-0.0132821525524289</x:v>
      </x:c>
      <x:c r="G707" s="48" t="n">
        <x:v>-0.11503989044464406</x:v>
      </x:c>
      <x:c r="H707" s="48" t="n">
        <x:v>0.7888739132514984</x:v>
      </x:c>
      <x:c r="I707" s="48" t="n">
        <x:v>0.7376659467109348</x:v>
      </x:c>
      <x:c r="J707" s="48" t="n">
        <x:v>0.5460551617189744</x:v>
      </x:c>
      <x:c r="K707" s="48" t="n">
        <x:v>0.92410435401082</x:v>
      </x:c>
      <x:c r="L707" s="48" t="n">
        <x:v>0.6639392256740885</x:v>
      </x:c>
      <x:c r="M707" s="48" t="n">
        <x:v>0.11930752314607622</x:v>
      </x:c>
      <x:c r="N707" s="48" t="n">
        <x:v>0.7645519498717969</x:v>
      </x:c>
      <x:c r="O707" s="48" t="n">
        <x:v>0.8503284376453322</x:v>
      </x:c>
      <x:c r="P707" s="48" t="n">
        <x:v>0.556993026882535</x:v>
      </x:c>
      <x:c r="Q707" s="48" t="n">
        <x:v>1</x:v>
      </x:c>
      <x:c r="R707" s="48" t="n">
        <x:v>0.8151791124103049</x:v>
      </x:c>
      <x:c r="S707" s="29" t="n">
        <x:v>0</x:v>
      </x:c>
    </x:row>
    <x:row r="708" ht="21.600000381469727" hidden="0" customHeight="1">
      <x:c r="A708" s="27" t="n">
        <x:v>235</x:v>
      </x:c>
      <x:c r="B708" s="27" t="str">
        <x:v>A2</x:v>
      </x:c>
      <x:c r="C708" s="47" t="n">
        <x:v>1.171108239861623</x:v>
      </x:c>
      <x:c r="D708" s="47" t="n">
        <x:v>0.9474405719921364</x:v>
      </x:c>
      <x:c r="E708" s="47" t="n">
        <x:v>0.8597506257164217</x:v>
      </x:c>
      <x:c r="F708" s="47" t="n">
        <x:v>-0.0132821525524289</x:v>
      </x:c>
      <x:c r="G708" s="47" t="n">
        <x:v>-0.11503989044464406</x:v>
      </x:c>
      <x:c r="H708" s="47" t="n">
        <x:v>0.7888739132514984</x:v>
      </x:c>
      <x:c r="I708" s="47" t="n">
        <x:v>0.7376659467109348</x:v>
      </x:c>
      <x:c r="J708" s="47" t="n">
        <x:v>0.5460551617189744</x:v>
      </x:c>
      <x:c r="K708" s="47" t="n">
        <x:v>0.92410435401082</x:v>
      </x:c>
      <x:c r="L708" s="47" t="n">
        <x:v>0.6639392256740885</x:v>
      </x:c>
      <x:c r="M708" s="47" t="n">
        <x:v>0.11930752314607622</x:v>
      </x:c>
      <x:c r="N708" s="47" t="n">
        <x:v>0.7645519498717969</x:v>
      </x:c>
      <x:c r="O708" s="47" t="n">
        <x:v>0.9395243955831308</x:v>
      </x:c>
      <x:c r="P708" s="47" t="n">
        <x:v>0.7552598639969541</x:v>
      </x:c>
      <x:c r="Q708" s="47" t="n">
        <x:v>1</x:v>
      </x:c>
      <x:c r="R708" s="47" t="n">
        <x:v>0.925322120581843</x:v>
      </x:c>
      <x:c r="S708" s="27" t="n">
        <x:v>0</x:v>
      </x:c>
    </x:row>
    <x:row r="709" ht="21.600000381469727" hidden="0" customHeight="1">
      <x:c r="A709" s="29" t="n">
        <x:v>235</x:v>
      </x:c>
      <x:c r="B709" s="29" t="str">
        <x:v>A3</x:v>
      </x:c>
      <x:c r="C709" s="48" t="n">
        <x:v>1.171108239861623</x:v>
      </x:c>
      <x:c r="D709" s="48" t="n">
        <x:v>0.9474405719921364</x:v>
      </x:c>
      <x:c r="E709" s="48" t="n">
        <x:v>0.8597506257164217</x:v>
      </x:c>
      <x:c r="F709" s="48" t="n">
        <x:v>-0.0132821525524289</x:v>
      </x:c>
      <x:c r="G709" s="48" t="n">
        <x:v>-0.11503989044464406</x:v>
      </x:c>
      <x:c r="H709" s="48" t="n">
        <x:v>0.7888739132514984</x:v>
      </x:c>
      <x:c r="I709" s="48" t="n">
        <x:v>0.7376659467109348</x:v>
      </x:c>
      <x:c r="J709" s="48" t="n">
        <x:v>0.5460551617189744</x:v>
      </x:c>
      <x:c r="K709" s="48" t="n">
        <x:v>0.92410435401082</x:v>
      </x:c>
      <x:c r="L709" s="48" t="n">
        <x:v>0.6639392256740885</x:v>
      </x:c>
      <x:c r="M709" s="48" t="n">
        <x:v>0.11930752314607622</x:v>
      </x:c>
      <x:c r="N709" s="48" t="n">
        <x:v>0.7645519498717969</x:v>
      </x:c>
      <x:c r="O709" s="48" t="n">
        <x:v>1</x:v>
      </x:c>
      <x:c r="P709" s="48" t="n">
        <x:v>1</x:v>
      </x:c>
      <x:c r="Q709" s="48" t="n">
        <x:v>1</x:v>
      </x:c>
      <x:c r="R709" s="48" t="n">
        <x:v>1</x:v>
      </x:c>
      <x:c r="S709" s="29" t="n">
        <x:v>1</x:v>
      </x:c>
    </x:row>
    <x:row r="710" ht="21.600000381469727" hidden="0" customHeight="1">
      <x:c r="A710" s="27" t="n">
        <x:v>236</x:v>
      </x:c>
      <x:c r="B710" s="27" t="str">
        <x:v>A1</x:v>
      </x:c>
      <x:c r="C710" s="47" t="n">
        <x:v>1.0358758414209455</x:v>
      </x:c>
      <x:c r="D710" s="47" t="n">
        <x:v>0.9406865417982565</x:v>
      </x:c>
      <x:c r="E710" s="47" t="n">
        <x:v>1.0533504012555805</x:v>
      </x:c>
      <x:c r="F710" s="47" t="n">
        <x:v>-0.12190028465739454</x:v>
      </x:c>
      <x:c r="G710" s="47" t="n">
        <x:v>-0.03113122138710306</x:v>
      </x:c>
      <x:c r="H710" s="47" t="n">
        <x:v>0.5361937315770338</x:v>
      </x:c>
      <x:c r="I710" s="47" t="n">
        <x:v>0.7767684823322604</x:v>
      </x:c>
      <x:c r="J710" s="47" t="n">
        <x:v>0.8176585915685184</x:v>
      </x:c>
      <x:c r="K710" s="47" t="n">
        <x:v>0.7590225728130787</x:v>
      </x:c>
      <x:c r="L710" s="47" t="n">
        <x:v>0.6106653941057542</x:v>
      </x:c>
      <x:c r="M710" s="47" t="n">
        <x:v>0.09235840038258952</x:v>
      </x:c>
      <x:c r="N710" s="47" t="n">
        <x:v>0.7105713146276212</x:v>
      </x:c>
      <x:c r="O710" s="47" t="n">
        <x:v>0.9336491283245171</x:v>
      </x:c>
      <x:c r="P710" s="47" t="n">
        <x:v>0.6653725319858252</x:v>
      </x:c>
      <x:c r="Q710" s="47" t="n">
        <x:v>1</x:v>
      </x:c>
      <x:c r="R710" s="47" t="n">
        <x:v>0.9180670876785951</x:v>
      </x:c>
      <x:c r="S710" s="27" t="n">
        <x:v>0</x:v>
      </x:c>
    </x:row>
    <x:row r="711" ht="21.600000381469727" hidden="0" customHeight="1">
      <x:c r="A711" s="29" t="n">
        <x:v>236</x:v>
      </x:c>
      <x:c r="B711" s="29" t="str">
        <x:v>A2</x:v>
      </x:c>
      <x:c r="C711" s="48" t="n">
        <x:v>1.0358758414209455</x:v>
      </x:c>
      <x:c r="D711" s="48" t="n">
        <x:v>0.9406865417982565</x:v>
      </x:c>
      <x:c r="E711" s="48" t="n">
        <x:v>1.0533504012555805</x:v>
      </x:c>
      <x:c r="F711" s="48" t="n">
        <x:v>-0.12190028465739454</x:v>
      </x:c>
      <x:c r="G711" s="48" t="n">
        <x:v>-0.03113122138710306</x:v>
      </x:c>
      <x:c r="H711" s="48" t="n">
        <x:v>0.5361937315770338</x:v>
      </x:c>
      <x:c r="I711" s="48" t="n">
        <x:v>0.7767684823322604</x:v>
      </x:c>
      <x:c r="J711" s="48" t="n">
        <x:v>0.8176585915685184</x:v>
      </x:c>
      <x:c r="K711" s="48" t="n">
        <x:v>0.7590225728130787</x:v>
      </x:c>
      <x:c r="L711" s="48" t="n">
        <x:v>0.6106653941057542</x:v>
      </x:c>
      <x:c r="M711" s="48" t="n">
        <x:v>0.09235840038258952</x:v>
      </x:c>
      <x:c r="N711" s="48" t="n">
        <x:v>0.7105713146276212</x:v>
      </x:c>
      <x:c r="O711" s="48" t="n">
        <x:v>0.9846313773151281</x:v>
      </x:c>
      <x:c r="P711" s="48" t="n">
        <x:v>0.8463137731512808</x:v>
      </x:c>
      <x:c r="Q711" s="48" t="n">
        <x:v>1</x:v>
      </x:c>
      <x:c r="R711" s="48" t="n">
        <x:v>0.9810221631887671</x:v>
      </x:c>
      <x:c r="S711" s="29" t="n">
        <x:v>0</x:v>
      </x:c>
    </x:row>
    <x:row r="712" ht="21.600000381469727" hidden="0" customHeight="1">
      <x:c r="A712" s="27" t="n">
        <x:v>236</x:v>
      </x:c>
      <x:c r="B712" s="27" t="str">
        <x:v>A3</x:v>
      </x:c>
      <x:c r="C712" s="47" t="n">
        <x:v>1.0358758414209455</x:v>
      </x:c>
      <x:c r="D712" s="47" t="n">
        <x:v>0.9406865417982565</x:v>
      </x:c>
      <x:c r="E712" s="47" t="n">
        <x:v>1.0533504012555805</x:v>
      </x:c>
      <x:c r="F712" s="47" t="n">
        <x:v>-0.12190028465739454</x:v>
      </x:c>
      <x:c r="G712" s="47" t="n">
        <x:v>-0.03113122138710306</x:v>
      </x:c>
      <x:c r="H712" s="47" t="n">
        <x:v>0.5361937315770338</x:v>
      </x:c>
      <x:c r="I712" s="47" t="n">
        <x:v>0.7767684823322604</x:v>
      </x:c>
      <x:c r="J712" s="47" t="n">
        <x:v>0.8176585915685184</x:v>
      </x:c>
      <x:c r="K712" s="47" t="n">
        <x:v>0.7590225728130787</x:v>
      </x:c>
      <x:c r="L712" s="47" t="n">
        <x:v>0.6106653941057542</x:v>
      </x:c>
      <x:c r="M712" s="47" t="n">
        <x:v>0.09235840038258952</x:v>
      </x:c>
      <x:c r="N712" s="47" t="n">
        <x:v>0.7105713146276212</x:v>
      </x:c>
      <x:c r="O712" s="47" t="n">
        <x:v>1</x:v>
      </x:c>
      <x:c r="P712" s="47" t="n">
        <x:v>1</x:v>
      </x:c>
      <x:c r="Q712" s="47" t="n">
        <x:v>1</x:v>
      </x:c>
      <x:c r="R712" s="47" t="n">
        <x:v>1.0000000000000002</x:v>
      </x:c>
      <x:c r="S712" s="27" t="n">
        <x:v>1</x:v>
      </x:c>
    </x:row>
    <x:row r="713" ht="21.600000381469727" hidden="0" customHeight="1">
      <x:c r="A713" s="29" t="n">
        <x:v>237</x:v>
      </x:c>
      <x:c r="B713" s="29" t="str">
        <x:v>A1</x:v>
      </x:c>
      <x:c r="C713" s="48" t="n">
        <x:v>1.0435397311086245</x:v>
      </x:c>
      <x:c r="D713" s="48" t="n">
        <x:v>0.7240084702690962</x:v>
      </x:c>
      <x:c r="E713" s="48" t="n">
        <x:v>0.7252944704205321</x:v>
      </x:c>
      <x:c r="F713" s="48" t="n">
        <x:v>-0.1531605932397269</x:v>
      </x:c>
      <x:c r="G713" s="48" t="n">
        <x:v>-0.1523140865012047</x:v>
      </x:c>
      <x:c r="H713" s="48" t="n">
        <x:v>0.803653324033724</x:v>
      </x:c>
      <x:c r="I713" s="48" t="n">
        <x:v>0.7611333159705487</x:v>
      </x:c>
      <x:c r="J713" s="48" t="n">
        <x:v>0.5509716846506393</x:v>
      </x:c>
      <x:c r="K713" s="48" t="n">
        <x:v>0.9448853129407655</x:v>
      </x:c>
      <x:c r="L713" s="48" t="n">
        <x:v>0.8097295123000888</x:v>
      </x:c>
      <x:c r="M713" s="48" t="n">
        <x:v>0.017204685454664678</x:v>
      </x:c>
      <x:c r="N713" s="48" t="n">
        <x:v>0.8644622974511063</x:v>
      </x:c>
      <x:c r="O713" s="48" t="n">
        <x:v>0.8305049853254871</x:v>
      </x:c>
      <x:c r="P713" s="48" t="n">
        <x:v>0.5842011191055703</x:v>
      </x:c>
      <x:c r="Q713" s="48" t="n">
        <x:v>1</x:v>
      </x:c>
      <x:c r="R713" s="48" t="n">
        <x:v>0.7907002602141616</x:v>
      </x:c>
      <x:c r="S713" s="29" t="n">
        <x:v>0</x:v>
      </x:c>
    </x:row>
    <x:row r="714" ht="21.600000381469727" hidden="0" customHeight="1">
      <x:c r="A714" s="27" t="n">
        <x:v>237</x:v>
      </x:c>
      <x:c r="B714" s="27" t="str">
        <x:v>A2</x:v>
      </x:c>
      <x:c r="C714" s="47" t="n">
        <x:v>1.0435397311086245</x:v>
      </x:c>
      <x:c r="D714" s="47" t="n">
        <x:v>0.7240084702690962</x:v>
      </x:c>
      <x:c r="E714" s="47" t="n">
        <x:v>0.7252944704205321</x:v>
      </x:c>
      <x:c r="F714" s="47" t="n">
        <x:v>-0.1531605932397269</x:v>
      </x:c>
      <x:c r="G714" s="47" t="n">
        <x:v>-0.1523140865012047</x:v>
      </x:c>
      <x:c r="H714" s="47" t="n">
        <x:v>0.803653324033724</x:v>
      </x:c>
      <x:c r="I714" s="47" t="n">
        <x:v>0.7611333159705487</x:v>
      </x:c>
      <x:c r="J714" s="47" t="n">
        <x:v>0.5509716846506393</x:v>
      </x:c>
      <x:c r="K714" s="47" t="n">
        <x:v>0.9448853129407655</x:v>
      </x:c>
      <x:c r="L714" s="47" t="n">
        <x:v>0.8097295123000888</x:v>
      </x:c>
      <x:c r="M714" s="47" t="n">
        <x:v>0.017204685454664678</x:v>
      </x:c>
      <x:c r="N714" s="47" t="n">
        <x:v>0.8644622974511063</x:v>
      </x:c>
      <x:c r="O714" s="47" t="n">
        <x:v>0.9352047239944565</x:v>
      </x:c>
      <x:c r="P714" s="47" t="n">
        <x:v>0.6830975200014118</x:v>
      </x:c>
      <x:c r="Q714" s="47" t="n">
        <x:v>1</x:v>
      </x:c>
      <x:c r="R714" s="47" t="n">
        <x:v>0.9199880041701834</x:v>
      </x:c>
      <x:c r="S714" s="27" t="n">
        <x:v>0</x:v>
      </x:c>
    </x:row>
    <x:row r="715" ht="21.600000381469727" hidden="0" customHeight="1">
      <x:c r="A715" s="29" t="n">
        <x:v>237</x:v>
      </x:c>
      <x:c r="B715" s="29" t="str">
        <x:v>A3</x:v>
      </x:c>
      <x:c r="C715" s="48" t="n">
        <x:v>1.0435397311086245</x:v>
      </x:c>
      <x:c r="D715" s="48" t="n">
        <x:v>0.7240084702690962</x:v>
      </x:c>
      <x:c r="E715" s="48" t="n">
        <x:v>0.7252944704205321</x:v>
      </x:c>
      <x:c r="F715" s="48" t="n">
        <x:v>-0.1531605932397269</x:v>
      </x:c>
      <x:c r="G715" s="48" t="n">
        <x:v>-0.1523140865012047</x:v>
      </x:c>
      <x:c r="H715" s="48" t="n">
        <x:v>0.803653324033724</x:v>
      </x:c>
      <x:c r="I715" s="48" t="n">
        <x:v>0.7611333159705487</x:v>
      </x:c>
      <x:c r="J715" s="48" t="n">
        <x:v>0.5509716846506393</x:v>
      </x:c>
      <x:c r="K715" s="48" t="n">
        <x:v>0.9448853129407655</x:v>
      </x:c>
      <x:c r="L715" s="48" t="n">
        <x:v>0.8097295123000888</x:v>
      </x:c>
      <x:c r="M715" s="48" t="n">
        <x:v>0.017204685454664678</x:v>
      </x:c>
      <x:c r="N715" s="48" t="n">
        <x:v>0.8644622974511063</x:v>
      </x:c>
      <x:c r="O715" s="48" t="n">
        <x:v>1</x:v>
      </x:c>
      <x:c r="P715" s="48" t="n">
        <x:v>1</x:v>
      </x:c>
      <x:c r="Q715" s="48" t="n">
        <x:v>1</x:v>
      </x:c>
      <x:c r="R715" s="48" t="n">
        <x:v>1</x:v>
      </x:c>
      <x:c r="S715" s="29" t="n">
        <x:v>1</x:v>
      </x:c>
    </x:row>
    <x:row r="716" ht="21.600000381469727" hidden="0" customHeight="1">
      <x:c r="A716" s="27" t="n">
        <x:v>238</x:v>
      </x:c>
      <x:c r="B716" s="27" t="str">
        <x:v>A1</x:v>
      </x:c>
      <x:c r="C716" s="47" t="n">
        <x:v>1.1434244315583848</x:v>
      </x:c>
      <x:c r="D716" s="47" t="n">
        <x:v>0.9485391359958811</x:v>
      </x:c>
      <x:c r="E716" s="47" t="n">
        <x:v>0.6354944627496404</x:v>
      </x:c>
      <x:c r="F716" s="47" t="n">
        <x:v>0.03287625013326537</x:v>
      </x:c>
      <x:c r="G716" s="47" t="n">
        <x:v>-0.09209897921549888</x:v>
      </x:c>
      <x:c r="H716" s="47" t="n">
        <x:v>0.9445496541604799</x:v>
      </x:c>
      <x:c r="I716" s="47" t="n">
        <x:v>0.6381667237923463</x:v>
      </x:c>
      <x:c r="J716" s="47" t="n">
        <x:v>0.677779087969202</x:v>
      </x:c>
      <x:c r="K716" s="47" t="n">
        <x:v>0.9181575405703137</x:v>
      </x:c>
      <x:c r="L716" s="47" t="n">
        <x:v>0.8964936989114446</x:v>
      </x:c>
      <x:c r="M716" s="47" t="n">
        <x:v>0.12985804060313624</x:v>
      </x:c>
      <x:c r="N716" s="47" t="n">
        <x:v>0.926364831573844</x:v>
      </x:c>
      <x:c r="O716" s="47" t="n">
        <x:v>0.9012964352164886</x:v>
      </x:c>
      <x:c r="P716" s="47" t="n">
        <x:v>0.6840996491546365</x:v>
      </x:c>
      <x:c r="Q716" s="47" t="n">
        <x:v>1</x:v>
      </x:c>
      <x:c r="R716" s="47" t="n">
        <x:v>0.878116589654303</x:v>
      </x:c>
      <x:c r="S716" s="27" t="n">
        <x:v>0</x:v>
      </x:c>
    </x:row>
    <x:row r="717" ht="21.600000381469727" hidden="0" customHeight="1">
      <x:c r="A717" s="29" t="n">
        <x:v>238</x:v>
      </x:c>
      <x:c r="B717" s="29" t="str">
        <x:v>A2</x:v>
      </x:c>
      <x:c r="C717" s="48" t="n">
        <x:v>1.1434244315583848</x:v>
      </x:c>
      <x:c r="D717" s="48" t="n">
        <x:v>0.9485391359958811</x:v>
      </x:c>
      <x:c r="E717" s="48" t="n">
        <x:v>0.6354944627496404</x:v>
      </x:c>
      <x:c r="F717" s="48" t="n">
        <x:v>0.03287625013326537</x:v>
      </x:c>
      <x:c r="G717" s="48" t="n">
        <x:v>-0.09209897921549888</x:v>
      </x:c>
      <x:c r="H717" s="48" t="n">
        <x:v>0.9445496541604799</x:v>
      </x:c>
      <x:c r="I717" s="48" t="n">
        <x:v>0.6381667237923463</x:v>
      </x:c>
      <x:c r="J717" s="48" t="n">
        <x:v>0.677779087969202</x:v>
      </x:c>
      <x:c r="K717" s="48" t="n">
        <x:v>0.9181575405703137</x:v>
      </x:c>
      <x:c r="L717" s="48" t="n">
        <x:v>0.8964936989114446</x:v>
      </x:c>
      <x:c r="M717" s="48" t="n">
        <x:v>0.12985804060313624</x:v>
      </x:c>
      <x:c r="N717" s="48" t="n">
        <x:v>0.926364831573844</x:v>
      </x:c>
      <x:c r="O717" s="48" t="n">
        <x:v>0.9705060201970511</x:v>
      </x:c>
      <x:c r="P717" s="48" t="n">
        <x:v>0.7993803818094714</x:v>
      </x:c>
      <x:c r="Q717" s="48" t="n">
        <x:v>1</x:v>
      </x:c>
      <x:c r="R717" s="48" t="n">
        <x:v>0.9635795642139661</x:v>
      </x:c>
      <x:c r="S717" s="29" t="n">
        <x:v>0</x:v>
      </x:c>
    </x:row>
    <x:row r="718" ht="21.600000381469727" hidden="0" customHeight="1">
      <x:c r="A718" s="27" t="n">
        <x:v>238</x:v>
      </x:c>
      <x:c r="B718" s="27" t="str">
        <x:v>A3</x:v>
      </x:c>
      <x:c r="C718" s="47" t="n">
        <x:v>1.1434244315583848</x:v>
      </x:c>
      <x:c r="D718" s="47" t="n">
        <x:v>0.9485391359958811</x:v>
      </x:c>
      <x:c r="E718" s="47" t="n">
        <x:v>0.6354944627496404</x:v>
      </x:c>
      <x:c r="F718" s="47" t="n">
        <x:v>0.03287625013326537</x:v>
      </x:c>
      <x:c r="G718" s="47" t="n">
        <x:v>-0.09209897921549888</x:v>
      </x:c>
      <x:c r="H718" s="47" t="n">
        <x:v>0.9445496541604799</x:v>
      </x:c>
      <x:c r="I718" s="47" t="n">
        <x:v>0.6381667237923463</x:v>
      </x:c>
      <x:c r="J718" s="47" t="n">
        <x:v>0.677779087969202</x:v>
      </x:c>
      <x:c r="K718" s="47" t="n">
        <x:v>0.9181575405703137</x:v>
      </x:c>
      <x:c r="L718" s="47" t="n">
        <x:v>0.8964936989114446</x:v>
      </x:c>
      <x:c r="M718" s="47" t="n">
        <x:v>0.12985804060313624</x:v>
      </x:c>
      <x:c r="N718" s="47" t="n">
        <x:v>0.926364831573844</x:v>
      </x:c>
      <x:c r="O718" s="47" t="n">
        <x:v>1</x:v>
      </x:c>
      <x:c r="P718" s="47" t="n">
        <x:v>1</x:v>
      </x:c>
      <x:c r="Q718" s="47" t="n">
        <x:v>1</x:v>
      </x:c>
      <x:c r="R718" s="47" t="n">
        <x:v>1</x:v>
      </x:c>
      <x:c r="S718" s="27" t="n">
        <x:v>1</x:v>
      </x:c>
    </x:row>
    <x:row r="719" ht="15" hidden="0" customHeight="1">
      <x:c r="A719" s="29" t="n">
        <x:v>239</x:v>
      </x:c>
      <x:c r="B719" s="29" t="str">
        <x:v>A1</x:v>
      </x:c>
      <x:c r="C719" s="48" t="n">
        <x:v>0.9920399909090993</x:v>
      </x:c>
      <x:c r="D719" s="48" t="n">
        <x:v>0.8458204284266635</x:v>
      </x:c>
      <x:c r="E719" s="48" t="n">
        <x:v>0.7708525133056745</x:v>
      </x:c>
      <x:c r="F719" s="48" t="n">
        <x:v>-0.019712489912339842</x:v>
      </x:c>
      <x:c r="G719" s="48" t="n">
        <x:v>0.008583918222172499</x:v>
      </x:c>
      <x:c r="H719" s="48" t="n">
        <x:v>0.6142785307254328</x:v>
      </x:c>
      <x:c r="I719" s="48" t="n">
        <x:v>0.7164102285650399</x:v>
      </x:c>
      <x:c r="J719" s="48" t="n">
        <x:v>0.8613636300959548</x:v>
      </x:c>
      <x:c r="K719" s="48" t="n">
        <x:v>0.8791699191177847</x:v>
      </x:c>
      <x:c r="L719" s="48" t="n">
        <x:v>0.5293814892057251</x:v>
      </x:c>
      <x:c r="M719" s="48" t="n">
        <x:v>0.08444311048886928</x:v>
      </x:c>
      <x:c r="N719" s="48" t="n">
        <x:v>0.9522908790772595</x:v>
      </x:c>
      <x:c r="O719" s="48" t="n">
        <x:v>0.9061232177091053</x:v>
      </x:c>
      <x:c r="P719" s="48" t="n">
        <x:v>0.4934671922884584</x:v>
      </x:c>
      <x:c r="Q719" s="48" t="n">
        <x:v>1</x:v>
      </x:c>
      <x:c r="R719" s="48" t="n">
        <x:v>0.8840769084380001</x:v>
      </x:c>
      <x:c r="S719" s="29" t="n">
        <x:v>0</x:v>
      </x:c>
    </x:row>
    <x:row r="720" ht="15" hidden="0" customHeight="1">
      <x:c r="A720" s="27" t="n">
        <x:v>239</x:v>
      </x:c>
      <x:c r="B720" s="27" t="str">
        <x:v>A2</x:v>
      </x:c>
      <x:c r="C720" s="47" t="n">
        <x:v>0.9920399909090993</x:v>
      </x:c>
      <x:c r="D720" s="47" t="n">
        <x:v>0.8458204284266635</x:v>
      </x:c>
      <x:c r="E720" s="47" t="n">
        <x:v>0.7708525133056745</x:v>
      </x:c>
      <x:c r="F720" s="47" t="n">
        <x:v>-0.019712489912339842</x:v>
      </x:c>
      <x:c r="G720" s="47" t="n">
        <x:v>0.008583918222172499</x:v>
      </x:c>
      <x:c r="H720" s="47" t="n">
        <x:v>0.6142785307254328</x:v>
      </x:c>
      <x:c r="I720" s="47" t="n">
        <x:v>0.7164102285650399</x:v>
      </x:c>
      <x:c r="J720" s="47" t="n">
        <x:v>0.8613636300959548</x:v>
      </x:c>
      <x:c r="K720" s="47" t="n">
        <x:v>0.8791699191177847</x:v>
      </x:c>
      <x:c r="L720" s="47" t="n">
        <x:v>0.5293814892057251</x:v>
      </x:c>
      <x:c r="M720" s="47" t="n">
        <x:v>0.08444311048886928</x:v>
      </x:c>
      <x:c r="N720" s="47" t="n">
        <x:v>0.9522908790772595</x:v>
      </x:c>
      <x:c r="O720" s="47" t="n">
        <x:v>0.9788936528870341</x:v>
      </x:c>
      <x:c r="P720" s="47" t="n">
        <x:v>0.797119258518002</x:v>
      </x:c>
      <x:c r="Q720" s="47" t="n">
        <x:v>1</x:v>
      </x:c>
      <x:c r="R720" s="47" t="n">
        <x:v>0.9739369740929753</x:v>
      </x:c>
      <x:c r="S720" s="27" t="n">
        <x:v>0</x:v>
      </x:c>
    </x:row>
    <x:row r="721" ht="15" hidden="0" customHeight="1">
      <x:c r="A721" s="29" t="n">
        <x:v>239</x:v>
      </x:c>
      <x:c r="B721" s="29" t="str">
        <x:v>A3</x:v>
      </x:c>
      <x:c r="C721" s="48" t="n">
        <x:v>0.9920399909090993</x:v>
      </x:c>
      <x:c r="D721" s="48" t="n">
        <x:v>0.8458204284266635</x:v>
      </x:c>
      <x:c r="E721" s="48" t="n">
        <x:v>0.7708525133056745</x:v>
      </x:c>
      <x:c r="F721" s="48" t="n">
        <x:v>-0.019712489912339842</x:v>
      </x:c>
      <x:c r="G721" s="48" t="n">
        <x:v>0.008583918222172499</x:v>
      </x:c>
      <x:c r="H721" s="48" t="n">
        <x:v>0.6142785307254328</x:v>
      </x:c>
      <x:c r="I721" s="48" t="n">
        <x:v>0.7164102285650399</x:v>
      </x:c>
      <x:c r="J721" s="48" t="n">
        <x:v>0.8613636300959548</x:v>
      </x:c>
      <x:c r="K721" s="48" t="n">
        <x:v>0.8791699191177847</x:v>
      </x:c>
      <x:c r="L721" s="48" t="n">
        <x:v>0.5293814892057251</x:v>
      </x:c>
      <x:c r="M721" s="48" t="n">
        <x:v>0.08444311048886928</x:v>
      </x:c>
      <x:c r="N721" s="48" t="n">
        <x:v>0.9522908790772595</x:v>
      </x:c>
      <x:c r="O721" s="48" t="n">
        <x:v>1</x:v>
      </x:c>
      <x:c r="P721" s="48" t="n">
        <x:v>1</x:v>
      </x:c>
      <x:c r="Q721" s="48" t="n">
        <x:v>1</x:v>
      </x:c>
      <x:c r="R721" s="48" t="n">
        <x:v>1</x:v>
      </x:c>
      <x:c r="S721" s="29" t="n">
        <x:v>1</x:v>
      </x:c>
    </x:row>
    <x:row r="722" ht="21.600000381469727" hidden="0" customHeight="1">
      <x:c r="A722" s="27" t="n">
        <x:v>240</x:v>
      </x:c>
      <x:c r="B722" s="27" t="str">
        <x:v>A1</x:v>
      </x:c>
      <x:c r="C722" s="47" t="n">
        <x:v>1.1284523260194845</x:v>
      </x:c>
      <x:c r="D722" s="47" t="n">
        <x:v>0.9005553698027324</x:v>
      </x:c>
      <x:c r="E722" s="47" t="n">
        <x:v>0.9772745298375884</x:v>
      </x:c>
      <x:c r="F722" s="47" t="n">
        <x:v>0.023749442676646415</x:v>
      </x:c>
      <x:c r="G722" s="47" t="n">
        <x:v>-0.017238096097056288</x:v>
      </x:c>
      <x:c r="H722" s="47" t="n">
        <x:v>1.0428155411372146</x:v>
      </x:c>
      <x:c r="I722" s="47" t="n">
        <x:v>0.6559158760634975</x:v>
      </x:c>
      <x:c r="J722" s="47" t="n">
        <x:v>0.7888102871269291</x:v>
      </x:c>
      <x:c r="K722" s="47" t="n">
        <x:v>0.8817585944450714</x:v>
      </x:c>
      <x:c r="L722" s="47" t="n">
        <x:v>0.5967682251097574</x:v>
      </x:c>
      <x:c r="M722" s="47" t="n">
        <x:v>0.09005723074544686</x:v>
      </x:c>
      <x:c r="N722" s="47" t="n">
        <x:v>0.8454045655714357</x:v>
      </x:c>
      <x:c r="O722" s="47" t="n">
        <x:v>0.8760366484347168</x:v>
      </x:c>
      <x:c r="P722" s="47" t="n">
        <x:v>0.5075606425731785</x:v>
      </x:c>
      <x:c r="Q722" s="47" t="n">
        <x:v>1</x:v>
      </x:c>
      <x:c r="R722" s="47" t="n">
        <x:v>0.8469247176654828</x:v>
      </x:c>
      <x:c r="S722" s="27" t="n">
        <x:v>0</x:v>
      </x:c>
    </x:row>
    <x:row r="723" ht="21.600000381469727" hidden="0" customHeight="1">
      <x:c r="A723" s="29" t="n">
        <x:v>240</x:v>
      </x:c>
      <x:c r="B723" s="29" t="str">
        <x:v>A2</x:v>
      </x:c>
      <x:c r="C723" s="48" t="n">
        <x:v>1.1284523260194845</x:v>
      </x:c>
      <x:c r="D723" s="48" t="n">
        <x:v>0.9005553698027324</x:v>
      </x:c>
      <x:c r="E723" s="48" t="n">
        <x:v>0.9772745298375884</x:v>
      </x:c>
      <x:c r="F723" s="48" t="n">
        <x:v>0.023749442676646415</x:v>
      </x:c>
      <x:c r="G723" s="48" t="n">
        <x:v>-0.017238096097056288</x:v>
      </x:c>
      <x:c r="H723" s="48" t="n">
        <x:v>1.0428155411372146</x:v>
      </x:c>
      <x:c r="I723" s="48" t="n">
        <x:v>0.6559158760634975</x:v>
      </x:c>
      <x:c r="J723" s="48" t="n">
        <x:v>0.7888102871269291</x:v>
      </x:c>
      <x:c r="K723" s="48" t="n">
        <x:v>0.8817585944450714</x:v>
      </x:c>
      <x:c r="L723" s="48" t="n">
        <x:v>0.5967682251097574</x:v>
      </x:c>
      <x:c r="M723" s="48" t="n">
        <x:v>0.09005723074544686</x:v>
      </x:c>
      <x:c r="N723" s="48" t="n">
        <x:v>0.8454045655714357</x:v>
      </x:c>
      <x:c r="O723" s="48" t="n">
        <x:v>0.9277222911407543</x:v>
      </x:c>
      <x:c r="P723" s="48" t="n">
        <x:v>0.595890436641852</x:v>
      </x:c>
      <x:c r="Q723" s="48" t="n">
        <x:v>1</x:v>
      </x:c>
      <x:c r="R723" s="48" t="n">
        <x:v>0.9107483740120204</x:v>
      </x:c>
      <x:c r="S723" s="29" t="n">
        <x:v>0</x:v>
      </x:c>
    </x:row>
    <x:row r="724" ht="21.600000381469727" hidden="0" customHeight="1">
      <x:c r="A724" s="27" t="n">
        <x:v>240</x:v>
      </x:c>
      <x:c r="B724" s="27" t="str">
        <x:v>A3</x:v>
      </x:c>
      <x:c r="C724" s="47" t="n">
        <x:v>1.1284523260194845</x:v>
      </x:c>
      <x:c r="D724" s="47" t="n">
        <x:v>0.9005553698027324</x:v>
      </x:c>
      <x:c r="E724" s="47" t="n">
        <x:v>0.9772745298375884</x:v>
      </x:c>
      <x:c r="F724" s="47" t="n">
        <x:v>0.023749442676646415</x:v>
      </x:c>
      <x:c r="G724" s="47" t="n">
        <x:v>-0.017238096097056288</x:v>
      </x:c>
      <x:c r="H724" s="47" t="n">
        <x:v>1.0428155411372146</x:v>
      </x:c>
      <x:c r="I724" s="47" t="n">
        <x:v>0.6559158760634975</x:v>
      </x:c>
      <x:c r="J724" s="47" t="n">
        <x:v>0.7888102871269291</x:v>
      </x:c>
      <x:c r="K724" s="47" t="n">
        <x:v>0.8817585944450714</x:v>
      </x:c>
      <x:c r="L724" s="47" t="n">
        <x:v>0.5967682251097574</x:v>
      </x:c>
      <x:c r="M724" s="47" t="n">
        <x:v>0.09005723074544686</x:v>
      </x:c>
      <x:c r="N724" s="47" t="n">
        <x:v>0.8454045655714357</x:v>
      </x:c>
      <x:c r="O724" s="47" t="n">
        <x:v>1</x:v>
      </x:c>
      <x:c r="P724" s="47" t="n">
        <x:v>1</x:v>
      </x:c>
      <x:c r="Q724" s="47" t="n">
        <x:v>1</x:v>
      </x:c>
      <x:c r="R724" s="47" t="n">
        <x:v>1</x:v>
      </x:c>
      <x:c r="S724" s="27" t="n">
        <x:v>1</x:v>
      </x:c>
    </x:row>
    <x:row r="725" ht="21.600000381469727" hidden="0" customHeight="1">
      <x:c r="A725" s="29" t="n">
        <x:v>241</x:v>
      </x:c>
      <x:c r="B725" s="29" t="str">
        <x:v>A1</x:v>
      </x:c>
      <x:c r="C725" s="48" t="n">
        <x:v>1.1898910402611034</x:v>
      </x:c>
      <x:c r="D725" s="48" t="n">
        <x:v>0.9822449477287791</x:v>
      </x:c>
      <x:c r="E725" s="48" t="n">
        <x:v>0.6083618468312945</x:v>
      </x:c>
      <x:c r="F725" s="48" t="n">
        <x:v>-0.023318598224533027</x:v>
      </x:c>
      <x:c r="G725" s="48" t="n">
        <x:v>-0.155406714565945</x:v>
      </x:c>
      <x:c r="H725" s="48" t="n">
        <x:v>0.4148774168304423</x:v>
      </x:c>
      <x:c r="I725" s="48" t="n">
        <x:v>0.8104937089484495</x:v>
      </x:c>
      <x:c r="J725" s="48" t="n">
        <x:v>0.7441277781248732</x:v>
      </x:c>
      <x:c r="K725" s="48" t="n">
        <x:v>0.5592640870147533</x:v>
      </x:c>
      <x:c r="L725" s="48" t="n">
        <x:v>0.9813235360847488</x:v>
      </x:c>
      <x:c r="M725" s="48" t="n">
        <x:v>0.023846476204755388</x:v>
      </x:c>
      <x:c r="N725" s="48" t="n">
        <x:v>0.8966566180444169</x:v>
      </x:c>
      <x:c r="O725" s="48" t="n">
        <x:v>0.8826772876693605</x:v>
      </x:c>
      <x:c r="P725" s="48" t="n">
        <x:v>0.6334409904904374</x:v>
      </x:c>
      <x:c r="Q725" s="48" t="n">
        <x:v>1</x:v>
      </x:c>
      <x:c r="R725" s="48" t="n">
        <x:v>0.8551248648290533</x:v>
      </x:c>
      <x:c r="S725" s="29" t="n">
        <x:v>0</x:v>
      </x:c>
    </x:row>
    <x:row r="726" ht="21.600000381469727" hidden="0" customHeight="1">
      <x:c r="A726" s="27" t="n">
        <x:v>241</x:v>
      </x:c>
      <x:c r="B726" s="27" t="str">
        <x:v>A2</x:v>
      </x:c>
      <x:c r="C726" s="47" t="n">
        <x:v>1.1898910402611034</x:v>
      </x:c>
      <x:c r="D726" s="47" t="n">
        <x:v>0.9822449477287791</x:v>
      </x:c>
      <x:c r="E726" s="47" t="n">
        <x:v>0.6083618468312945</x:v>
      </x:c>
      <x:c r="F726" s="47" t="n">
        <x:v>-0.023318598224533027</x:v>
      </x:c>
      <x:c r="G726" s="47" t="n">
        <x:v>-0.155406714565945</x:v>
      </x:c>
      <x:c r="H726" s="47" t="n">
        <x:v>0.4148774168304423</x:v>
      </x:c>
      <x:c r="I726" s="47" t="n">
        <x:v>0.8104937089484495</x:v>
      </x:c>
      <x:c r="J726" s="47" t="n">
        <x:v>0.7441277781248732</x:v>
      </x:c>
      <x:c r="K726" s="47" t="n">
        <x:v>0.5592640870147533</x:v>
      </x:c>
      <x:c r="L726" s="47" t="n">
        <x:v>0.9813235360847488</x:v>
      </x:c>
      <x:c r="M726" s="47" t="n">
        <x:v>0.023846476204755388</x:v>
      </x:c>
      <x:c r="N726" s="47" t="n">
        <x:v>0.8966566180444169</x:v>
      </x:c>
      <x:c r="O726" s="47" t="n">
        <x:v>0.9475590707765691</x:v>
      </x:c>
      <x:c r="P726" s="47" t="n">
        <x:v>0.6442000363449014</x:v>
      </x:c>
      <x:c r="Q726" s="47" t="n">
        <x:v>1</x:v>
      </x:c>
      <x:c r="R726" s="47" t="n">
        <x:v>0.9352436833515784</x:v>
      </x:c>
      <x:c r="S726" s="27" t="n">
        <x:v>0</x:v>
      </x:c>
    </x:row>
    <x:row r="727" ht="21.600000381469727" hidden="0" customHeight="1">
      <x:c r="A727" s="29" t="n">
        <x:v>241</x:v>
      </x:c>
      <x:c r="B727" s="29" t="str">
        <x:v>A3</x:v>
      </x:c>
      <x:c r="C727" s="48" t="n">
        <x:v>1.1898910402611034</x:v>
      </x:c>
      <x:c r="D727" s="48" t="n">
        <x:v>0.9822449477287791</x:v>
      </x:c>
      <x:c r="E727" s="48" t="n">
        <x:v>0.6083618468312945</x:v>
      </x:c>
      <x:c r="F727" s="48" t="n">
        <x:v>-0.023318598224533027</x:v>
      </x:c>
      <x:c r="G727" s="48" t="n">
        <x:v>-0.155406714565945</x:v>
      </x:c>
      <x:c r="H727" s="48" t="n">
        <x:v>0.4148774168304423</x:v>
      </x:c>
      <x:c r="I727" s="48" t="n">
        <x:v>0.8104937089484495</x:v>
      </x:c>
      <x:c r="J727" s="48" t="n">
        <x:v>0.7441277781248732</x:v>
      </x:c>
      <x:c r="K727" s="48" t="n">
        <x:v>0.5592640870147533</x:v>
      </x:c>
      <x:c r="L727" s="48" t="n">
        <x:v>0.9813235360847488</x:v>
      </x:c>
      <x:c r="M727" s="48" t="n">
        <x:v>0.023846476204755388</x:v>
      </x:c>
      <x:c r="N727" s="48" t="n">
        <x:v>0.8966566180444169</x:v>
      </x:c>
      <x:c r="O727" s="48" t="n">
        <x:v>1</x:v>
      </x:c>
      <x:c r="P727" s="48" t="n">
        <x:v>1</x:v>
      </x:c>
      <x:c r="Q727" s="48" t="n">
        <x:v>1</x:v>
      </x:c>
      <x:c r="R727" s="48" t="n">
        <x:v>1</x:v>
      </x:c>
      <x:c r="S727" s="29" t="n">
        <x:v>1</x:v>
      </x:c>
    </x:row>
    <x:row r="728" ht="21.600000381469727" hidden="0" customHeight="1">
      <x:c r="A728" s="27" t="n">
        <x:v>242</x:v>
      </x:c>
      <x:c r="B728" s="27" t="str">
        <x:v>A1</x:v>
      </x:c>
      <x:c r="C728" s="47" t="n">
        <x:v>1.2385324453707203</x:v>
      </x:c>
      <x:c r="D728" s="47" t="n">
        <x:v>0.8494834902140453</x:v>
      </x:c>
      <x:c r="E728" s="47" t="n">
        <x:v>1.091570156973941</x:v>
      </x:c>
      <x:c r="F728" s="47" t="n">
        <x:v>-0.00271419066443504</x:v>
      </x:c>
      <x:c r="G728" s="47" t="n">
        <x:v>-0.12503443407034848</x:v>
      </x:c>
      <x:c r="H728" s="47" t="n">
        <x:v>1.049117943755779</x:v>
      </x:c>
      <x:c r="I728" s="47" t="n">
        <x:v>0.7647288446861567</x:v>
      </x:c>
      <x:c r="J728" s="47" t="n">
        <x:v>0.8144397004182529</x:v>
      </x:c>
      <x:c r="K728" s="47" t="n">
        <x:v>0.7324201520100397</x:v>
      </x:c>
      <x:c r="L728" s="47" t="n">
        <x:v>0.6914075106690635</x:v>
      </x:c>
      <x:c r="M728" s="47" t="n">
        <x:v>0.035921400199370124</x:v>
      </x:c>
      <x:c r="N728" s="47" t="n">
        <x:v>0.9611222657199177</x:v>
      </x:c>
      <x:c r="O728" s="47" t="n">
        <x:v>0.8314264553064371</x:v>
      </x:c>
      <x:c r="P728" s="47" t="n">
        <x:v>0.45975022391737835</x:v>
      </x:c>
      <x:c r="Q728" s="47" t="n">
        <x:v>1</x:v>
      </x:c>
      <x:c r="R728" s="47" t="n">
        <x:v>0.7918381310099701</x:v>
      </x:c>
      <x:c r="S728" s="27" t="n">
        <x:v>0</x:v>
      </x:c>
    </x:row>
    <x:row r="729" ht="21.600000381469727" hidden="0" customHeight="1">
      <x:c r="A729" s="29" t="n">
        <x:v>242</x:v>
      </x:c>
      <x:c r="B729" s="29" t="str">
        <x:v>A2</x:v>
      </x:c>
      <x:c r="C729" s="48" t="n">
        <x:v>1.2385324453707203</x:v>
      </x:c>
      <x:c r="D729" s="48" t="n">
        <x:v>0.8494834902140453</x:v>
      </x:c>
      <x:c r="E729" s="48" t="n">
        <x:v>1.091570156973941</x:v>
      </x:c>
      <x:c r="F729" s="48" t="n">
        <x:v>-0.00271419066443504</x:v>
      </x:c>
      <x:c r="G729" s="48" t="n">
        <x:v>-0.12503443407034848</x:v>
      </x:c>
      <x:c r="H729" s="48" t="n">
        <x:v>1.049117943755779</x:v>
      </x:c>
      <x:c r="I729" s="48" t="n">
        <x:v>0.7647288446861567</x:v>
      </x:c>
      <x:c r="J729" s="48" t="n">
        <x:v>0.8144397004182529</x:v>
      </x:c>
      <x:c r="K729" s="48" t="n">
        <x:v>0.7324201520100397</x:v>
      </x:c>
      <x:c r="L729" s="48" t="n">
        <x:v>0.6914075106690635</x:v>
      </x:c>
      <x:c r="M729" s="48" t="n">
        <x:v>0.035921400199370124</x:v>
      </x:c>
      <x:c r="N729" s="48" t="n">
        <x:v>0.9611222657199177</x:v>
      </x:c>
      <x:c r="O729" s="48" t="n">
        <x:v>0.922625320110053</x:v>
      </x:c>
      <x:c r="P729" s="48" t="n">
        <x:v>0.5953553976015674</x:v>
      </x:c>
      <x:c r="Q729" s="48" t="n">
        <x:v>1</x:v>
      </x:c>
      <x:c r="R729" s="48" t="n">
        <x:v>0.9044544147916251</x:v>
      </x:c>
      <x:c r="S729" s="29" t="n">
        <x:v>0</x:v>
      </x:c>
    </x:row>
    <x:row r="730" ht="21.600000381469727" hidden="0" customHeight="1">
      <x:c r="A730" s="27" t="n">
        <x:v>242</x:v>
      </x:c>
      <x:c r="B730" s="27" t="str">
        <x:v>A3</x:v>
      </x:c>
      <x:c r="C730" s="47" t="n">
        <x:v>1.2385324453707203</x:v>
      </x:c>
      <x:c r="D730" s="47" t="n">
        <x:v>0.8494834902140453</x:v>
      </x:c>
      <x:c r="E730" s="47" t="n">
        <x:v>1.091570156973941</x:v>
      </x:c>
      <x:c r="F730" s="47" t="n">
        <x:v>-0.00271419066443504</x:v>
      </x:c>
      <x:c r="G730" s="47" t="n">
        <x:v>-0.12503443407034848</x:v>
      </x:c>
      <x:c r="H730" s="47" t="n">
        <x:v>1.049117943755779</x:v>
      </x:c>
      <x:c r="I730" s="47" t="n">
        <x:v>0.7647288446861567</x:v>
      </x:c>
      <x:c r="J730" s="47" t="n">
        <x:v>0.8144397004182529</x:v>
      </x:c>
      <x:c r="K730" s="47" t="n">
        <x:v>0.7324201520100397</x:v>
      </x:c>
      <x:c r="L730" s="47" t="n">
        <x:v>0.6914075106690635</x:v>
      </x:c>
      <x:c r="M730" s="47" t="n">
        <x:v>0.035921400199370124</x:v>
      </x:c>
      <x:c r="N730" s="47" t="n">
        <x:v>0.9611222657199177</x:v>
      </x:c>
      <x:c r="O730" s="47" t="n">
        <x:v>1</x:v>
      </x:c>
      <x:c r="P730" s="47" t="n">
        <x:v>1</x:v>
      </x:c>
      <x:c r="Q730" s="47" t="n">
        <x:v>1</x:v>
      </x:c>
      <x:c r="R730" s="47" t="n">
        <x:v>1</x:v>
      </x:c>
      <x:c r="S730" s="27" t="n">
        <x:v>1</x:v>
      </x:c>
    </x:row>
    <x:row r="731" ht="21.600000381469727" hidden="0" customHeight="1">
      <x:c r="A731" s="29" t="n">
        <x:v>243</x:v>
      </x:c>
      <x:c r="B731" s="29" t="str">
        <x:v>A1</x:v>
      </x:c>
      <x:c r="C731" s="48" t="n">
        <x:v>1.1153611199605928</x:v>
      </x:c>
      <x:c r="D731" s="48" t="n">
        <x:v>0.8509095369592583</x:v>
      </x:c>
      <x:c r="E731" s="48" t="n">
        <x:v>0.7090902876144916</x:v>
      </x:c>
      <x:c r="F731" s="48" t="n">
        <x:v>-0.03678332536210224</x:v>
      </x:c>
      <x:c r="G731" s="48" t="n">
        <x:v>-0.04918077623025999</x:v>
      </x:c>
      <x:c r="H731" s="48" t="n">
        <x:v>0.39624773279480785</x:v>
      </x:c>
      <x:c r="I731" s="48" t="n">
        <x:v>0.7230567854989899</x:v>
      </x:c>
      <x:c r="J731" s="48" t="n">
        <x:v>0.6241150150825796</x:v>
      </x:c>
      <x:c r="K731" s="48" t="n">
        <x:v>0.8222095777883118</x:v>
      </x:c>
      <x:c r="L731" s="48" t="n">
        <x:v>0.6339568738850541</x:v>
      </x:c>
      <x:c r="M731" s="48" t="n">
        <x:v>0.15508569212027626</x:v>
      </x:c>
      <x:c r="N731" s="48" t="n">
        <x:v>0.8014378730170637</x:v>
      </x:c>
      <x:c r="O731" s="48" t="n">
        <x:v>0.8172757831483515</x:v>
      </x:c>
      <x:c r="P731" s="48" t="n">
        <x:v>0.45058221265861503</x:v>
      </x:c>
      <x:c r="Q731" s="48" t="n">
        <x:v>0.9472322799093199</x:v>
      </x:c>
      <x:c r="R731" s="48" t="n">
        <x:v>0.7747561700618696</x:v>
      </x:c>
      <x:c r="S731" s="29" t="n">
        <x:v>0</x:v>
      </x:c>
    </x:row>
    <x:row r="732" ht="21.600000381469727" hidden="0" customHeight="1">
      <x:c r="A732" s="27" t="n">
        <x:v>243</x:v>
      </x:c>
      <x:c r="B732" s="27" t="str">
        <x:v>A2</x:v>
      </x:c>
      <x:c r="C732" s="47" t="n">
        <x:v>1.1153611199605928</x:v>
      </x:c>
      <x:c r="D732" s="47" t="n">
        <x:v>0.8509095369592583</x:v>
      </x:c>
      <x:c r="E732" s="47" t="n">
        <x:v>0.7090902876144916</x:v>
      </x:c>
      <x:c r="F732" s="47" t="n">
        <x:v>-0.03678332536210224</x:v>
      </x:c>
      <x:c r="G732" s="47" t="n">
        <x:v>-0.04918077623025999</x:v>
      </x:c>
      <x:c r="H732" s="47" t="n">
        <x:v>0.39624773279480785</x:v>
      </x:c>
      <x:c r="I732" s="47" t="n">
        <x:v>0.7230567854989899</x:v>
      </x:c>
      <x:c r="J732" s="47" t="n">
        <x:v>0.6241150150825796</x:v>
      </x:c>
      <x:c r="K732" s="47" t="n">
        <x:v>0.8222095777883118</x:v>
      </x:c>
      <x:c r="L732" s="47" t="n">
        <x:v>0.6339568738850541</x:v>
      </x:c>
      <x:c r="M732" s="47" t="n">
        <x:v>0.15508569212027626</x:v>
      </x:c>
      <x:c r="N732" s="47" t="n">
        <x:v>0.8014378730170637</x:v>
      </x:c>
      <x:c r="O732" s="47" t="n">
        <x:v>0.9005917634225313</x:v>
      </x:c>
      <x:c r="P732" s="47" t="n">
        <x:v>0.6215918835537726</x:v>
      </x:c>
      <x:c r="Q732" s="47" t="n">
        <x:v>1</x:v>
      </x:c>
      <x:c r="R732" s="47" t="n">
        <x:v>0.8772464305915545</x:v>
      </x:c>
      <x:c r="S732" s="27" t="n">
        <x:v>0</x:v>
      </x:c>
    </x:row>
    <x:row r="733" ht="21.600000381469727" hidden="0" customHeight="1">
      <x:c r="A733" s="29" t="n">
        <x:v>243</x:v>
      </x:c>
      <x:c r="B733" s="29" t="str">
        <x:v>A3</x:v>
      </x:c>
      <x:c r="C733" s="48" t="n">
        <x:v>1.1153611199605928</x:v>
      </x:c>
      <x:c r="D733" s="48" t="n">
        <x:v>0.8509095369592583</x:v>
      </x:c>
      <x:c r="E733" s="48" t="n">
        <x:v>0.7090902876144916</x:v>
      </x:c>
      <x:c r="F733" s="48" t="n">
        <x:v>-0.03678332536210224</x:v>
      </x:c>
      <x:c r="G733" s="48" t="n">
        <x:v>-0.04918077623025999</x:v>
      </x:c>
      <x:c r="H733" s="48" t="n">
        <x:v>0.39624773279480785</x:v>
      </x:c>
      <x:c r="I733" s="48" t="n">
        <x:v>0.7230567854989899</x:v>
      </x:c>
      <x:c r="J733" s="48" t="n">
        <x:v>0.6241150150825796</x:v>
      </x:c>
      <x:c r="K733" s="48" t="n">
        <x:v>0.8222095777883118</x:v>
      </x:c>
      <x:c r="L733" s="48" t="n">
        <x:v>0.6339568738850541</x:v>
      </x:c>
      <x:c r="M733" s="48" t="n">
        <x:v>0.15508569212027626</x:v>
      </x:c>
      <x:c r="N733" s="48" t="n">
        <x:v>0.8014378730170637</x:v>
      </x:c>
      <x:c r="O733" s="48" t="n">
        <x:v>1</x:v>
      </x:c>
      <x:c r="P733" s="48" t="n">
        <x:v>1</x:v>
      </x:c>
      <x:c r="Q733" s="48" t="n">
        <x:v>1</x:v>
      </x:c>
      <x:c r="R733" s="48" t="n">
        <x:v>1</x:v>
      </x:c>
      <x:c r="S733" s="29" t="n">
        <x:v>1</x:v>
      </x:c>
    </x:row>
    <x:row r="734" ht="21.600000381469727" hidden="0" customHeight="1">
      <x:c r="A734" s="27" t="n">
        <x:v>244</x:v>
      </x:c>
      <x:c r="B734" s="27" t="str">
        <x:v>A1</x:v>
      </x:c>
      <x:c r="C734" s="47" t="n">
        <x:v>1.0749431656384172</x:v>
      </x:c>
      <x:c r="D734" s="47" t="n">
        <x:v>0.9644823667423863</x:v>
      </x:c>
      <x:c r="E734" s="47" t="n">
        <x:v>0.7173143629031262</x:v>
      </x:c>
      <x:c r="F734" s="47" t="n">
        <x:v>-0.011192971309019834</x:v>
      </x:c>
      <x:c r="G734" s="47" t="n">
        <x:v>-0.03467921937913643</x:v>
      </x:c>
      <x:c r="H734" s="47" t="n">
        <x:v>0.4472047784308105</x:v>
      </x:c>
      <x:c r="I734" s="47" t="n">
        <x:v>0.8408530803861439</x:v>
      </x:c>
      <x:c r="J734" s="47" t="n">
        <x:v>0.6125568702850507</x:v>
      </x:c>
      <x:c r="K734" s="47" t="n">
        <x:v>0.8343742865354232</x:v>
      </x:c>
      <x:c r="L734" s="47" t="n">
        <x:v>0.8368455348161381</x:v>
      </x:c>
      <x:c r="M734" s="47" t="n">
        <x:v>0.17165754873686814</x:v>
      </x:c>
      <x:c r="N734" s="47" t="n">
        <x:v>0.945806596955217</x:v>
      </x:c>
      <x:c r="O734" s="47" t="n">
        <x:v>0.8592949963718712</x:v>
      </x:c>
      <x:c r="P734" s="47" t="n">
        <x:v>0.5050521261390668</x:v>
      </x:c>
      <x:c r="Q734" s="47" t="n">
        <x:v>1</x:v>
      </x:c>
      <x:c r="R734" s="47" t="n">
        <x:v>0.8262514050782807</x:v>
      </x:c>
      <x:c r="S734" s="27" t="n">
        <x:v>0</x:v>
      </x:c>
    </x:row>
    <x:row r="735" ht="21.600000381469727" hidden="0" customHeight="1">
      <x:c r="A735" s="29" t="n">
        <x:v>244</x:v>
      </x:c>
      <x:c r="B735" s="29" t="str">
        <x:v>A2</x:v>
      </x:c>
      <x:c r="C735" s="48" t="n">
        <x:v>1.0749431656384172</x:v>
      </x:c>
      <x:c r="D735" s="48" t="n">
        <x:v>0.9644823667423863</x:v>
      </x:c>
      <x:c r="E735" s="48" t="n">
        <x:v>0.7173143629031262</x:v>
      </x:c>
      <x:c r="F735" s="48" t="n">
        <x:v>-0.011192971309019834</x:v>
      </x:c>
      <x:c r="G735" s="48" t="n">
        <x:v>-0.03467921937913643</x:v>
      </x:c>
      <x:c r="H735" s="48" t="n">
        <x:v>0.4472047784308105</x:v>
      </x:c>
      <x:c r="I735" s="48" t="n">
        <x:v>0.8408530803861439</x:v>
      </x:c>
      <x:c r="J735" s="48" t="n">
        <x:v>0.6125568702850507</x:v>
      </x:c>
      <x:c r="K735" s="48" t="n">
        <x:v>0.8343742865354232</x:v>
      </x:c>
      <x:c r="L735" s="48" t="n">
        <x:v>0.8368455348161381</x:v>
      </x:c>
      <x:c r="M735" s="48" t="n">
        <x:v>0.17165754873686814</x:v>
      </x:c>
      <x:c r="N735" s="48" t="n">
        <x:v>0.945806596955217</x:v>
      </x:c>
      <x:c r="O735" s="48" t="n">
        <x:v>0.9714460335504816</x:v>
      </x:c>
      <x:c r="P735" s="48" t="n">
        <x:v>0.7519953686107662</x:v>
      </x:c>
      <x:c r="Q735" s="48" t="n">
        <x:v>1</x:v>
      </x:c>
      <x:c r="R735" s="48" t="n">
        <x:v>0.9647403331642861</x:v>
      </x:c>
      <x:c r="S735" s="29" t="n">
        <x:v>0</x:v>
      </x:c>
    </x:row>
    <x:row r="736" ht="21.600000381469727" hidden="0" customHeight="1">
      <x:c r="A736" s="27" t="n">
        <x:v>244</x:v>
      </x:c>
      <x:c r="B736" s="27" t="str">
        <x:v>A3</x:v>
      </x:c>
      <x:c r="C736" s="47" t="n">
        <x:v>1.0749431656384172</x:v>
      </x:c>
      <x:c r="D736" s="47" t="n">
        <x:v>0.9644823667423863</x:v>
      </x:c>
      <x:c r="E736" s="47" t="n">
        <x:v>0.7173143629031262</x:v>
      </x:c>
      <x:c r="F736" s="47" t="n">
        <x:v>-0.011192971309019834</x:v>
      </x:c>
      <x:c r="G736" s="47" t="n">
        <x:v>-0.03467921937913643</x:v>
      </x:c>
      <x:c r="H736" s="47" t="n">
        <x:v>0.4472047784308105</x:v>
      </x:c>
      <x:c r="I736" s="47" t="n">
        <x:v>0.8408530803861439</x:v>
      </x:c>
      <x:c r="J736" s="47" t="n">
        <x:v>0.6125568702850507</x:v>
      </x:c>
      <x:c r="K736" s="47" t="n">
        <x:v>0.8343742865354232</x:v>
      </x:c>
      <x:c r="L736" s="47" t="n">
        <x:v>0.8368455348161381</x:v>
      </x:c>
      <x:c r="M736" s="47" t="n">
        <x:v>0.17165754873686814</x:v>
      </x:c>
      <x:c r="N736" s="47" t="n">
        <x:v>0.945806596955217</x:v>
      </x:c>
      <x:c r="O736" s="47" t="n">
        <x:v>1</x:v>
      </x:c>
      <x:c r="P736" s="47" t="n">
        <x:v>1</x:v>
      </x:c>
      <x:c r="Q736" s="47" t="n">
        <x:v>1</x:v>
      </x:c>
      <x:c r="R736" s="47" t="n">
        <x:v>1</x:v>
      </x:c>
      <x:c r="S736" s="27" t="n">
        <x:v>1</x:v>
      </x:c>
    </x:row>
    <x:row r="737" ht="21.600000381469727" hidden="0" customHeight="1">
      <x:c r="A737" s="29" t="n">
        <x:v>245</x:v>
      </x:c>
      <x:c r="B737" s="29" t="str">
        <x:v>A1</x:v>
      </x:c>
      <x:c r="C737" s="48" t="n">
        <x:v>1.0766161181698322</x:v>
      </x:c>
      <x:c r="D737" s="48" t="n">
        <x:v>0.8767032741184944</x:v>
      </x:c>
      <x:c r="E737" s="48" t="n">
        <x:v>0.7742439542059039</x:v>
      </x:c>
      <x:c r="F737" s="48" t="n">
        <x:v>-0.18053100677077089</x:v>
      </x:c>
      <x:c r="G737" s="48" t="n">
        <x:v>-0.09550088564245607</x:v>
      </x:c>
      <x:c r="H737" s="48" t="n">
        <x:v>0.8014997110986641</x:v>
      </x:c>
      <x:c r="I737" s="48" t="n">
        <x:v>0.9666807279994483</x:v>
      </x:c>
      <x:c r="J737" s="48" t="n">
        <x:v>0.584368183555996</x:v>
      </x:c>
      <x:c r="K737" s="48" t="n">
        <x:v>0.650421782591913</x:v>
      </x:c>
      <x:c r="L737" s="48" t="n">
        <x:v>0.6919379306132849</x:v>
      </x:c>
      <x:c r="M737" s="48" t="n">
        <x:v>0.07116496290789985</x:v>
      </x:c>
      <x:c r="N737" s="48" t="n">
        <x:v>0.7818143633807746</x:v>
      </x:c>
      <x:c r="O737" s="48" t="n">
        <x:v>0.8749434928292076</x:v>
      </x:c>
      <x:c r="P737" s="48" t="n">
        <x:v>0.6333990600802237</x:v>
      </x:c>
      <x:c r="Q737" s="48" t="n">
        <x:v>1</x:v>
      </x:c>
      <x:c r="R737" s="48" t="n">
        <x:v>0.8455748420705109</x:v>
      </x:c>
      <x:c r="S737" s="29" t="n">
        <x:v>0</x:v>
      </x:c>
    </x:row>
    <x:row r="738" ht="21.600000381469727" hidden="0" customHeight="1">
      <x:c r="A738" s="27" t="n">
        <x:v>245</x:v>
      </x:c>
      <x:c r="B738" s="27" t="str">
        <x:v>A2</x:v>
      </x:c>
      <x:c r="C738" s="47" t="n">
        <x:v>1.0766161181698322</x:v>
      </x:c>
      <x:c r="D738" s="47" t="n">
        <x:v>0.8767032741184944</x:v>
      </x:c>
      <x:c r="E738" s="47" t="n">
        <x:v>0.7742439542059039</x:v>
      </x:c>
      <x:c r="F738" s="47" t="n">
        <x:v>-0.18053100677077089</x:v>
      </x:c>
      <x:c r="G738" s="47" t="n">
        <x:v>-0.09550088564245607</x:v>
      </x:c>
      <x:c r="H738" s="47" t="n">
        <x:v>0.8014997110986641</x:v>
      </x:c>
      <x:c r="I738" s="47" t="n">
        <x:v>0.9666807279994483</x:v>
      </x:c>
      <x:c r="J738" s="47" t="n">
        <x:v>0.584368183555996</x:v>
      </x:c>
      <x:c r="K738" s="47" t="n">
        <x:v>0.650421782591913</x:v>
      </x:c>
      <x:c r="L738" s="47" t="n">
        <x:v>0.6919379306132849</x:v>
      </x:c>
      <x:c r="M738" s="47" t="n">
        <x:v>0.07116496290789985</x:v>
      </x:c>
      <x:c r="N738" s="47" t="n">
        <x:v>0.7818143633807746</x:v>
      </x:c>
      <x:c r="O738" s="47" t="n">
        <x:v>0.9684810634259845</x:v>
      </x:c>
      <x:c r="P738" s="47" t="n">
        <x:v>0.7561101540207501</x:v>
      </x:c>
      <x:c r="Q738" s="47" t="n">
        <x:v>1</x:v>
      </x:c>
      <x:c r="R738" s="47" t="n">
        <x:v>0.9610790604317414</x:v>
      </x:c>
      <x:c r="S738" s="27" t="n">
        <x:v>0</x:v>
      </x:c>
    </x:row>
    <x:row r="739" ht="21.600000381469727" hidden="0" customHeight="1">
      <x:c r="A739" s="29" t="n">
        <x:v>245</x:v>
      </x:c>
      <x:c r="B739" s="29" t="str">
        <x:v>A3</x:v>
      </x:c>
      <x:c r="C739" s="48" t="n">
        <x:v>1.0766161181698322</x:v>
      </x:c>
      <x:c r="D739" s="48" t="n">
        <x:v>0.8767032741184944</x:v>
      </x:c>
      <x:c r="E739" s="48" t="n">
        <x:v>0.7742439542059039</x:v>
      </x:c>
      <x:c r="F739" s="48" t="n">
        <x:v>-0.18053100677077089</x:v>
      </x:c>
      <x:c r="G739" s="48" t="n">
        <x:v>-0.09550088564245607</x:v>
      </x:c>
      <x:c r="H739" s="48" t="n">
        <x:v>0.8014997110986641</x:v>
      </x:c>
      <x:c r="I739" s="48" t="n">
        <x:v>0.9666807279994483</x:v>
      </x:c>
      <x:c r="J739" s="48" t="n">
        <x:v>0.584368183555996</x:v>
      </x:c>
      <x:c r="K739" s="48" t="n">
        <x:v>0.650421782591913</x:v>
      </x:c>
      <x:c r="L739" s="48" t="n">
        <x:v>0.6919379306132849</x:v>
      </x:c>
      <x:c r="M739" s="48" t="n">
        <x:v>0.07116496290789985</x:v>
      </x:c>
      <x:c r="N739" s="48" t="n">
        <x:v>0.7818143633807746</x:v>
      </x:c>
      <x:c r="O739" s="48" t="n">
        <x:v>1</x:v>
      </x:c>
      <x:c r="P739" s="48" t="n">
        <x:v>1</x:v>
      </x:c>
      <x:c r="Q739" s="48" t="n">
        <x:v>1</x:v>
      </x:c>
      <x:c r="R739" s="48" t="n">
        <x:v>1</x:v>
      </x:c>
      <x:c r="S739" s="29" t="n">
        <x:v>1</x:v>
      </x:c>
    </x:row>
    <x:row r="740" ht="15" hidden="0" customHeight="1">
      <x:c r="A740" s="27" t="n">
        <x:v>246</x:v>
      </x:c>
      <x:c r="B740" s="27" t="str">
        <x:v>A1</x:v>
      </x:c>
      <x:c r="C740" s="47" t="n">
        <x:v>0.9227241798469313</x:v>
      </x:c>
      <x:c r="D740" s="47" t="n">
        <x:v>0.8719510142669167</x:v>
      </x:c>
      <x:c r="E740" s="47" t="n">
        <x:v>0.7715416075440653</x:v>
      </x:c>
      <x:c r="F740" s="47" t="n">
        <x:v>0.011181954472547134</x:v>
      </x:c>
      <x:c r="G740" s="47" t="n">
        <x:v>-0.10192983952433614</x:v>
      </x:c>
      <x:c r="H740" s="47" t="n">
        <x:v>0.5627462151458372</x:v>
      </x:c>
      <x:c r="I740" s="47" t="n">
        <x:v>0.8629982150360351</x:v>
      </x:c>
      <x:c r="J740" s="47" t="n">
        <x:v>0.799653794527263</x:v>
      </x:c>
      <x:c r="K740" s="47" t="n">
        <x:v>0.8175379453837442</x:v>
      </x:c>
      <x:c r="L740" s="47" t="n">
        <x:v>0.8290955387940027</x:v>
      </x:c>
      <x:c r="M740" s="47" t="n">
        <x:v>0.013656851425363816</x:v>
      </x:c>
      <x:c r="N740" s="47" t="n">
        <x:v>0.8283441158810384</x:v>
      </x:c>
      <x:c r="O740" s="47" t="n">
        <x:v>0.9571837971190903</x:v>
      </x:c>
      <x:c r="P740" s="47" t="n">
        <x:v>0.7816605660628122</x:v>
      </x:c>
      <x:c r="Q740" s="47" t="n">
        <x:v>1</x:v>
      </x:c>
      <x:c r="R740" s="47" t="n">
        <x:v>0.947128709721634</x:v>
      </x:c>
      <x:c r="S740" s="27" t="n">
        <x:v>0</x:v>
      </x:c>
    </x:row>
    <x:row r="741" ht="15" hidden="0" customHeight="1">
      <x:c r="A741" s="29" t="n">
        <x:v>246</x:v>
      </x:c>
      <x:c r="B741" s="29" t="str">
        <x:v>A2</x:v>
      </x:c>
      <x:c r="C741" s="48" t="n">
        <x:v>0.9227241798469313</x:v>
      </x:c>
      <x:c r="D741" s="48" t="n">
        <x:v>0.8719510142669167</x:v>
      </x:c>
      <x:c r="E741" s="48" t="n">
        <x:v>0.7715416075440653</x:v>
      </x:c>
      <x:c r="F741" s="48" t="n">
        <x:v>0.011181954472547134</x:v>
      </x:c>
      <x:c r="G741" s="48" t="n">
        <x:v>-0.10192983952433614</x:v>
      </x:c>
      <x:c r="H741" s="48" t="n">
        <x:v>0.5627462151458372</x:v>
      </x:c>
      <x:c r="I741" s="48" t="n">
        <x:v>0.8629982150360351</x:v>
      </x:c>
      <x:c r="J741" s="48" t="n">
        <x:v>0.799653794527263</x:v>
      </x:c>
      <x:c r="K741" s="48" t="n">
        <x:v>0.8175379453837442</x:v>
      </x:c>
      <x:c r="L741" s="48" t="n">
        <x:v>0.8290955387940027</x:v>
      </x:c>
      <x:c r="M741" s="48" t="n">
        <x:v>0.013656851425363816</x:v>
      </x:c>
      <x:c r="N741" s="48" t="n">
        <x:v>0.8283441158810384</x:v>
      </x:c>
      <x:c r="O741" s="48" t="n">
        <x:v>0.9860807313032444</x:v>
      </x:c>
      <x:c r="P741" s="48" t="n">
        <x:v>0.8608073130324426</x:v>
      </x:c>
      <x:c r="Q741" s="48" t="n">
        <x:v>1</x:v>
      </x:c>
      <x:c r="R741" s="48" t="n">
        <x:v>0.982811887878622</x:v>
      </x:c>
      <x:c r="S741" s="29" t="n">
        <x:v>0</x:v>
      </x:c>
    </x:row>
    <x:row r="742" ht="15" hidden="0" customHeight="1">
      <x:c r="A742" s="27" t="n">
        <x:v>246</x:v>
      </x:c>
      <x:c r="B742" s="27" t="str">
        <x:v>A3</x:v>
      </x:c>
      <x:c r="C742" s="47" t="n">
        <x:v>0.9227241798469313</x:v>
      </x:c>
      <x:c r="D742" s="47" t="n">
        <x:v>0.8719510142669167</x:v>
      </x:c>
      <x:c r="E742" s="47" t="n">
        <x:v>0.7715416075440653</x:v>
      </x:c>
      <x:c r="F742" s="47" t="n">
        <x:v>0.011181954472547134</x:v>
      </x:c>
      <x:c r="G742" s="47" t="n">
        <x:v>-0.10192983952433614</x:v>
      </x:c>
      <x:c r="H742" s="47" t="n">
        <x:v>0.5627462151458372</x:v>
      </x:c>
      <x:c r="I742" s="47" t="n">
        <x:v>0.8629982150360351</x:v>
      </x:c>
      <x:c r="J742" s="47" t="n">
        <x:v>0.799653794527263</x:v>
      </x:c>
      <x:c r="K742" s="47" t="n">
        <x:v>0.8175379453837442</x:v>
      </x:c>
      <x:c r="L742" s="47" t="n">
        <x:v>0.8290955387940027</x:v>
      </x:c>
      <x:c r="M742" s="47" t="n">
        <x:v>0.013656851425363816</x:v>
      </x:c>
      <x:c r="N742" s="47" t="n">
        <x:v>0.8283441158810384</x:v>
      </x:c>
      <x:c r="O742" s="47" t="n">
        <x:v>1</x:v>
      </x:c>
      <x:c r="P742" s="47" t="n">
        <x:v>1</x:v>
      </x:c>
      <x:c r="Q742" s="47" t="n">
        <x:v>1</x:v>
      </x:c>
      <x:c r="R742" s="47" t="n">
        <x:v>1</x:v>
      </x:c>
      <x:c r="S742" s="27" t="n">
        <x:v>1</x:v>
      </x:c>
    </x:row>
    <x:row r="743" ht="21.600000381469727" hidden="0" customHeight="1">
      <x:c r="A743" s="29" t="n">
        <x:v>247</x:v>
      </x:c>
      <x:c r="B743" s="29" t="str">
        <x:v>A1</x:v>
      </x:c>
      <x:c r="C743" s="48" t="n">
        <x:v>1.3258250295545762</x:v>
      </x:c>
      <x:c r="D743" s="48" t="n">
        <x:v>0.92623648570248</x:v>
      </x:c>
      <x:c r="E743" s="48" t="n">
        <x:v>0.8241875435144232</x:v>
      </x:c>
      <x:c r="F743" s="48" t="n">
        <x:v>-0.06865325486147389</x:v>
      </x:c>
      <x:c r="G743" s="48" t="n">
        <x:v>-0.08172926610438135</x:v>
      </x:c>
      <x:c r="H743" s="48" t="n">
        <x:v>0.5957228763717104</x:v>
      </x:c>
      <x:c r="I743" s="48" t="n">
        <x:v>0.853283174436746</x:v>
      </x:c>
      <x:c r="J743" s="48" t="n">
        <x:v>0.9772309732964526</x:v>
      </x:c>
      <x:c r="K743" s="48" t="n">
        <x:v>0.9768874173827067</x:v>
      </x:c>
      <x:c r="L743" s="48" t="n">
        <x:v>0.8700092198924376</x:v>
      </x:c>
      <x:c r="M743" s="48" t="n">
        <x:v>0.03538598242266208</x:v>
      </x:c>
      <x:c r="N743" s="48" t="n">
        <x:v>0.7348105861329666</x:v>
      </x:c>
      <x:c r="O743" s="48" t="n">
        <x:v>0.8668701112505589</x:v>
      </x:c>
      <x:c r="P743" s="48" t="n">
        <x:v>0.5406955302869559</x:v>
      </x:c>
      <x:c r="Q743" s="48" t="n">
        <x:v>1</x:v>
      </x:c>
      <x:c r="R743" s="48" t="n">
        <x:v>0.8356054829902584</x:v>
      </x:c>
      <x:c r="S743" s="29" t="n">
        <x:v>0</x:v>
      </x:c>
    </x:row>
    <x:row r="744" ht="21.600000381469727" hidden="0" customHeight="1">
      <x:c r="A744" s="27" t="n">
        <x:v>247</x:v>
      </x:c>
      <x:c r="B744" s="27" t="str">
        <x:v>A2</x:v>
      </x:c>
      <x:c r="C744" s="47" t="n">
        <x:v>1.3258250295545762</x:v>
      </x:c>
      <x:c r="D744" s="47" t="n">
        <x:v>0.92623648570248</x:v>
      </x:c>
      <x:c r="E744" s="47" t="n">
        <x:v>0.8241875435144232</x:v>
      </x:c>
      <x:c r="F744" s="47" t="n">
        <x:v>-0.06865325486147389</x:v>
      </x:c>
      <x:c r="G744" s="47" t="n">
        <x:v>-0.08172926610438135</x:v>
      </x:c>
      <x:c r="H744" s="47" t="n">
        <x:v>0.5957228763717104</x:v>
      </x:c>
      <x:c r="I744" s="47" t="n">
        <x:v>0.853283174436746</x:v>
      </x:c>
      <x:c r="J744" s="47" t="n">
        <x:v>0.9772309732964526</x:v>
      </x:c>
      <x:c r="K744" s="47" t="n">
        <x:v>0.9768874173827067</x:v>
      </x:c>
      <x:c r="L744" s="47" t="n">
        <x:v>0.8700092198924376</x:v>
      </x:c>
      <x:c r="M744" s="47" t="n">
        <x:v>0.03538598242266208</x:v>
      </x:c>
      <x:c r="N744" s="47" t="n">
        <x:v>0.7348105861329666</x:v>
      </x:c>
      <x:c r="O744" s="47" t="n">
        <x:v>0.9309969010958558</x:v>
      </x:c>
      <x:c r="P744" s="47" t="n">
        <x:v>0.6367605211946489</x:v>
      </x:c>
      <x:c r="Q744" s="47" t="n">
        <x:v>1</x:v>
      </x:c>
      <x:c r="R744" s="47" t="n">
        <x:v>0.9147920033353903</x:v>
      </x:c>
      <x:c r="S744" s="27" t="n">
        <x:v>0</x:v>
      </x:c>
    </x:row>
    <x:row r="745" ht="21.600000381469727" hidden="0" customHeight="1">
      <x:c r="A745" s="29" t="n">
        <x:v>247</x:v>
      </x:c>
      <x:c r="B745" s="29" t="str">
        <x:v>A3</x:v>
      </x:c>
      <x:c r="C745" s="48" t="n">
        <x:v>1.3258250295545762</x:v>
      </x:c>
      <x:c r="D745" s="48" t="n">
        <x:v>0.92623648570248</x:v>
      </x:c>
      <x:c r="E745" s="48" t="n">
        <x:v>0.8241875435144232</x:v>
      </x:c>
      <x:c r="F745" s="48" t="n">
        <x:v>-0.06865325486147389</x:v>
      </x:c>
      <x:c r="G745" s="48" t="n">
        <x:v>-0.08172926610438135</x:v>
      </x:c>
      <x:c r="H745" s="48" t="n">
        <x:v>0.5957228763717104</x:v>
      </x:c>
      <x:c r="I745" s="48" t="n">
        <x:v>0.853283174436746</x:v>
      </x:c>
      <x:c r="J745" s="48" t="n">
        <x:v>0.9772309732964526</x:v>
      </x:c>
      <x:c r="K745" s="48" t="n">
        <x:v>0.9768874173827067</x:v>
      </x:c>
      <x:c r="L745" s="48" t="n">
        <x:v>0.8700092198924376</x:v>
      </x:c>
      <x:c r="M745" s="48" t="n">
        <x:v>0.03538598242266208</x:v>
      </x:c>
      <x:c r="N745" s="48" t="n">
        <x:v>0.7348105861329666</x:v>
      </x:c>
      <x:c r="O745" s="48" t="n">
        <x:v>1</x:v>
      </x:c>
      <x:c r="P745" s="48" t="n">
        <x:v>1</x:v>
      </x:c>
      <x:c r="Q745" s="48" t="n">
        <x:v>1</x:v>
      </x:c>
      <x:c r="R745" s="48" t="n">
        <x:v>1</x:v>
      </x:c>
      <x:c r="S745" s="29" t="n">
        <x:v>1</x:v>
      </x:c>
    </x:row>
    <x:row r="746" ht="21.600000381469727" hidden="0" customHeight="1">
      <x:c r="A746" s="27" t="n">
        <x:v>248</x:v>
      </x:c>
      <x:c r="B746" s="27" t="str">
        <x:v>A1</x:v>
      </x:c>
      <x:c r="C746" s="47" t="n">
        <x:v>1.2489215435975694</x:v>
      </x:c>
      <x:c r="D746" s="47" t="n">
        <x:v>0.8845031637689877</x:v>
      </x:c>
      <x:c r="E746" s="47" t="n">
        <x:v>0.9939681170344852</x:v>
      </x:c>
      <x:c r="F746" s="47" t="n">
        <x:v>-0.12982855192382012</x:v>
      </x:c>
      <x:c r="G746" s="47" t="n">
        <x:v>-0.158371287060761</x:v>
      </x:c>
      <x:c r="H746" s="47" t="n">
        <x:v>0.3913335136967842</x:v>
      </x:c>
      <x:c r="I746" s="47" t="n">
        <x:v>0.6348124800273807</x:v>
      </x:c>
      <x:c r="J746" s="47" t="n">
        <x:v>0.7484365269840636</x:v>
      </x:c>
      <x:c r="K746" s="47" t="n">
        <x:v>0.9359560498422508</x:v>
      </x:c>
      <x:c r="L746" s="47" t="n">
        <x:v>0.7294369664908031</x:v>
      </x:c>
      <x:c r="M746" s="47" t="n">
        <x:v>0.14613085133343662</x:v>
      </x:c>
      <x:c r="N746" s="47" t="n">
        <x:v>0.8542911941093685</x:v>
      </x:c>
      <x:c r="O746" s="47" t="n">
        <x:v>0.8634195215902335</x:v>
      </x:c>
      <x:c r="P746" s="47" t="n">
        <x:v>0.6090382325767155</x:v>
      </x:c>
      <x:c r="Q746" s="47" t="n">
        <x:v>1</x:v>
      </x:c>
      <x:c r="R746" s="47" t="n">
        <x:v>0.8313445463520881</x:v>
      </x:c>
      <x:c r="S746" s="27" t="n">
        <x:v>0</x:v>
      </x:c>
    </x:row>
    <x:row r="747" ht="21.600000381469727" hidden="0" customHeight="1">
      <x:c r="A747" s="29" t="n">
        <x:v>248</x:v>
      </x:c>
      <x:c r="B747" s="29" t="str">
        <x:v>A2</x:v>
      </x:c>
      <x:c r="C747" s="48" t="n">
        <x:v>1.2489215435975694</x:v>
      </x:c>
      <x:c r="D747" s="48" t="n">
        <x:v>0.8845031637689877</x:v>
      </x:c>
      <x:c r="E747" s="48" t="n">
        <x:v>0.9939681170344852</x:v>
      </x:c>
      <x:c r="F747" s="48" t="n">
        <x:v>-0.12982855192382012</x:v>
      </x:c>
      <x:c r="G747" s="48" t="n">
        <x:v>-0.158371287060761</x:v>
      </x:c>
      <x:c r="H747" s="48" t="n">
        <x:v>0.3913335136967842</x:v>
      </x:c>
      <x:c r="I747" s="48" t="n">
        <x:v>0.6348124800273807</x:v>
      </x:c>
      <x:c r="J747" s="48" t="n">
        <x:v>0.7484365269840636</x:v>
      </x:c>
      <x:c r="K747" s="48" t="n">
        <x:v>0.9359560498422508</x:v>
      </x:c>
      <x:c r="L747" s="48" t="n">
        <x:v>0.7294369664908031</x:v>
      </x:c>
      <x:c r="M747" s="48" t="n">
        <x:v>0.14613085133343662</x:v>
      </x:c>
      <x:c r="N747" s="48" t="n">
        <x:v>0.8542911941093685</x:v>
      </x:c>
      <x:c r="O747" s="48" t="n">
        <x:v>0.937976664562176</x:v>
      </x:c>
      <x:c r="P747" s="48" t="n">
        <x:v>0.6361785019806498</x:v>
      </x:c>
      <x:c r="Q747" s="48" t="n">
        <x:v>1</x:v>
      </x:c>
      <x:c r="R747" s="48" t="n">
        <x:v>0.9234109156973429</x:v>
      </x:c>
      <x:c r="S747" s="29" t="n">
        <x:v>0</x:v>
      </x:c>
    </x:row>
    <x:row r="748" ht="21.600000381469727" hidden="0" customHeight="1">
      <x:c r="A748" s="27" t="n">
        <x:v>248</x:v>
      </x:c>
      <x:c r="B748" s="27" t="str">
        <x:v>A3</x:v>
      </x:c>
      <x:c r="C748" s="47" t="n">
        <x:v>1.2489215435975694</x:v>
      </x:c>
      <x:c r="D748" s="47" t="n">
        <x:v>0.8845031637689877</x:v>
      </x:c>
      <x:c r="E748" s="47" t="n">
        <x:v>0.9939681170344852</x:v>
      </x:c>
      <x:c r="F748" s="47" t="n">
        <x:v>-0.12982855192382012</x:v>
      </x:c>
      <x:c r="G748" s="47" t="n">
        <x:v>-0.158371287060761</x:v>
      </x:c>
      <x:c r="H748" s="47" t="n">
        <x:v>0.3913335136967842</x:v>
      </x:c>
      <x:c r="I748" s="47" t="n">
        <x:v>0.6348124800273807</x:v>
      </x:c>
      <x:c r="J748" s="47" t="n">
        <x:v>0.7484365269840636</x:v>
      </x:c>
      <x:c r="K748" s="47" t="n">
        <x:v>0.9359560498422508</x:v>
      </x:c>
      <x:c r="L748" s="47" t="n">
        <x:v>0.7294369664908031</x:v>
      </x:c>
      <x:c r="M748" s="47" t="n">
        <x:v>0.14613085133343662</x:v>
      </x:c>
      <x:c r="N748" s="47" t="n">
        <x:v>0.8542911941093685</x:v>
      </x:c>
      <x:c r="O748" s="47" t="n">
        <x:v>1</x:v>
      </x:c>
      <x:c r="P748" s="47" t="n">
        <x:v>1</x:v>
      </x:c>
      <x:c r="Q748" s="47" t="n">
        <x:v>1</x:v>
      </x:c>
      <x:c r="R748" s="47" t="n">
        <x:v>1</x:v>
      </x:c>
      <x:c r="S748" s="27" t="n">
        <x:v>1</x:v>
      </x:c>
    </x:row>
    <x:row r="749" ht="21.600000381469727" hidden="0" customHeight="1">
      <x:c r="A749" s="29" t="n">
        <x:v>249</x:v>
      </x:c>
      <x:c r="B749" s="29" t="str">
        <x:v>A1</x:v>
      </x:c>
      <x:c r="C749" s="48" t="n">
        <x:v>1.1725451591804823</x:v>
      </x:c>
      <x:c r="D749" s="48" t="n">
        <x:v>0.7919396139089592</x:v>
      </x:c>
      <x:c r="E749" s="48" t="n">
        <x:v>0.8101859863964662</x:v>
      </x:c>
      <x:c r="F749" s="48" t="n">
        <x:v>-0.1686339607169166</x:v>
      </x:c>
      <x:c r="G749" s="48" t="n">
        <x:v>-0.011324633930938827</x:v>
      </x:c>
      <x:c r="H749" s="48" t="n">
        <x:v>0.3254145092706735</x:v>
      </x:c>
      <x:c r="I749" s="48" t="n">
        <x:v>0.9787197589864436</x:v>
      </x:c>
      <x:c r="J749" s="48" t="n">
        <x:v>0.47092165917228235</x:v>
      </x:c>
      <x:c r="K749" s="48" t="n">
        <x:v>0.6316476433521812</x:v>
      </x:c>
      <x:c r="L749" s="48" t="n">
        <x:v>0.6207695146824354</x:v>
      </x:c>
      <x:c r="M749" s="48" t="n">
        <x:v>0.12430967311493506</x:v>
      </x:c>
      <x:c r="N749" s="48" t="n">
        <x:v>0.8104209158923112</x:v>
      </x:c>
      <x:c r="O749" s="48" t="n">
        <x:v>0.7725930660111907</x:v>
      </x:c>
      <x:c r="P749" s="48" t="n">
        <x:v>0.5270030854756865</x:v>
      </x:c>
      <x:c r="Q749" s="48" t="n">
        <x:v>1</x:v>
      </x:c>
      <x:c r="R749" s="48" t="n">
        <x:v>0.7191881295107482</x:v>
      </x:c>
      <x:c r="S749" s="29" t="n">
        <x:v>0</x:v>
      </x:c>
    </x:row>
    <x:row r="750" ht="21.600000381469727" hidden="0" customHeight="1">
      <x:c r="A750" s="27" t="n">
        <x:v>249</x:v>
      </x:c>
      <x:c r="B750" s="27" t="str">
        <x:v>A2</x:v>
      </x:c>
      <x:c r="C750" s="47" t="n">
        <x:v>1.1725451591804823</x:v>
      </x:c>
      <x:c r="D750" s="47" t="n">
        <x:v>0.7919396139089592</x:v>
      </x:c>
      <x:c r="E750" s="47" t="n">
        <x:v>0.8101859863964662</x:v>
      </x:c>
      <x:c r="F750" s="47" t="n">
        <x:v>-0.1686339607169166</x:v>
      </x:c>
      <x:c r="G750" s="47" t="n">
        <x:v>-0.011324633930938827</x:v>
      </x:c>
      <x:c r="H750" s="47" t="n">
        <x:v>0.3254145092706735</x:v>
      </x:c>
      <x:c r="I750" s="47" t="n">
        <x:v>0.9787197589864436</x:v>
      </x:c>
      <x:c r="J750" s="47" t="n">
        <x:v>0.47092165917228235</x:v>
      </x:c>
      <x:c r="K750" s="47" t="n">
        <x:v>0.6316476433521812</x:v>
      </x:c>
      <x:c r="L750" s="47" t="n">
        <x:v>0.6207695146824354</x:v>
      </x:c>
      <x:c r="M750" s="47" t="n">
        <x:v>0.12430967311493506</x:v>
      </x:c>
      <x:c r="N750" s="47" t="n">
        <x:v>0.8104209158923112</x:v>
      </x:c>
      <x:c r="O750" s="47" t="n">
        <x:v>0.8442671434958944</x:v>
      </x:c>
      <x:c r="P750" s="47" t="n">
        <x:v>0.6432569633966458</x:v>
      </x:c>
      <x:c r="Q750" s="47" t="n">
        <x:v>1</x:v>
      </x:c>
      <x:c r="R750" s="47" t="n">
        <x:v>0.8076943654950111</x:v>
      </x:c>
      <x:c r="S750" s="27" t="n">
        <x:v>0</x:v>
      </x:c>
    </x:row>
    <x:row r="751" ht="21.600000381469727" hidden="0" customHeight="1">
      <x:c r="A751" s="29" t="n">
        <x:v>249</x:v>
      </x:c>
      <x:c r="B751" s="29" t="str">
        <x:v>A3</x:v>
      </x:c>
      <x:c r="C751" s="48" t="n">
        <x:v>1.1725451591804823</x:v>
      </x:c>
      <x:c r="D751" s="48" t="n">
        <x:v>0.7919396139089592</x:v>
      </x:c>
      <x:c r="E751" s="48" t="n">
        <x:v>0.8101859863964662</x:v>
      </x:c>
      <x:c r="F751" s="48" t="n">
        <x:v>-0.1686339607169166</x:v>
      </x:c>
      <x:c r="G751" s="48" t="n">
        <x:v>-0.011324633930938827</x:v>
      </x:c>
      <x:c r="H751" s="48" t="n">
        <x:v>0.3254145092706735</x:v>
      </x:c>
      <x:c r="I751" s="48" t="n">
        <x:v>0.9787197589864436</x:v>
      </x:c>
      <x:c r="J751" s="48" t="n">
        <x:v>0.47092165917228235</x:v>
      </x:c>
      <x:c r="K751" s="48" t="n">
        <x:v>0.6316476433521812</x:v>
      </x:c>
      <x:c r="L751" s="48" t="n">
        <x:v>0.6207695146824354</x:v>
      </x:c>
      <x:c r="M751" s="48" t="n">
        <x:v>0.12430967311493506</x:v>
      </x:c>
      <x:c r="N751" s="48" t="n">
        <x:v>0.8104209158923112</x:v>
      </x:c>
      <x:c r="O751" s="48" t="n">
        <x:v>1</x:v>
      </x:c>
      <x:c r="P751" s="48" t="n">
        <x:v>1</x:v>
      </x:c>
      <x:c r="Q751" s="48" t="n">
        <x:v>1</x:v>
      </x:c>
      <x:c r="R751" s="48" t="n">
        <x:v>1</x:v>
      </x:c>
      <x:c r="S751" s="29" t="n">
        <x:v>1</x:v>
      </x:c>
    </x:row>
    <x:row r="752" ht="21.600000381469727" hidden="0" customHeight="1">
      <x:c r="A752" s="27" t="n">
        <x:v>250</x:v>
      </x:c>
      <x:c r="B752" s="27" t="str">
        <x:v>A1</x:v>
      </x:c>
      <x:c r="C752" s="47" t="n">
        <x:v>1.1273259497657826</x:v>
      </x:c>
      <x:c r="D752" s="47" t="n">
        <x:v>0.9937585292860972</x:v>
      </x:c>
      <x:c r="E752" s="47" t="n">
        <x:v>0.4510212430206764</x:v>
      </x:c>
      <x:c r="F752" s="47" t="n">
        <x:v>-0.06920140334949851</x:v>
      </x:c>
      <x:c r="G752" s="47" t="n">
        <x:v>-0.049531240840973934</x:v>
      </x:c>
      <x:c r="H752" s="47" t="n">
        <x:v>0.8408533686973354</x:v>
      </x:c>
      <x:c r="I752" s="47" t="n">
        <x:v>0.7931801979010284</x:v>
      </x:c>
      <x:c r="J752" s="47" t="n">
        <x:v>0.842916649008207</x:v>
      </x:c>
      <x:c r="K752" s="47" t="n">
        <x:v>0.5766793608527777</x:v>
      </x:c>
      <x:c r="L752" s="47" t="n">
        <x:v>0.8529374168908248</x:v>
      </x:c>
      <x:c r="M752" s="47" t="n">
        <x:v>0.1194831884963853</x:v>
      </x:c>
      <x:c r="N752" s="47" t="n">
        <x:v>0.6741996116509554</x:v>
      </x:c>
      <x:c r="O752" s="47" t="n">
        <x:v>0.8883615277931566</x:v>
      </x:c>
      <x:c r="P752" s="47" t="n">
        <x:v>0.5620340997047383</x:v>
      </x:c>
      <x:c r="Q752" s="47" t="n">
        <x:v>1</x:v>
      </x:c>
      <x:c r="R752" s="47" t="n">
        <x:v>0.8621440092037441</x:v>
      </x:c>
      <x:c r="S752" s="27" t="n">
        <x:v>0</x:v>
      </x:c>
    </x:row>
    <x:row r="753" ht="21.600000381469727" hidden="0" customHeight="1">
      <x:c r="A753" s="29" t="n">
        <x:v>250</x:v>
      </x:c>
      <x:c r="B753" s="29" t="str">
        <x:v>A2</x:v>
      </x:c>
      <x:c r="C753" s="48" t="n">
        <x:v>1.1273259497657826</x:v>
      </x:c>
      <x:c r="D753" s="48" t="n">
        <x:v>0.9937585292860972</x:v>
      </x:c>
      <x:c r="E753" s="48" t="n">
        <x:v>0.4510212430206764</x:v>
      </x:c>
      <x:c r="F753" s="48" t="n">
        <x:v>-0.06920140334949851</x:v>
      </x:c>
      <x:c r="G753" s="48" t="n">
        <x:v>-0.049531240840973934</x:v>
      </x:c>
      <x:c r="H753" s="48" t="n">
        <x:v>0.8408533686973354</x:v>
      </x:c>
      <x:c r="I753" s="48" t="n">
        <x:v>0.7931801979010284</x:v>
      </x:c>
      <x:c r="J753" s="48" t="n">
        <x:v>0.842916649008207</x:v>
      </x:c>
      <x:c r="K753" s="48" t="n">
        <x:v>0.5766793608527777</x:v>
      </x:c>
      <x:c r="L753" s="48" t="n">
        <x:v>0.8529374168908248</x:v>
      </x:c>
      <x:c r="M753" s="48" t="n">
        <x:v>0.1194831884963853</x:v>
      </x:c>
      <x:c r="N753" s="48" t="n">
        <x:v>0.6741996116509554</x:v>
      </x:c>
      <x:c r="O753" s="48" t="n">
        <x:v>0.9236526133502289</x:v>
      </x:c>
      <x:c r="P753" s="48" t="n">
        <x:v>0.5583225799751356</x:v>
      </x:c>
      <x:c r="Q753" s="48" t="n">
        <x:v>1</x:v>
      </x:c>
      <x:c r="R753" s="48" t="n">
        <x:v>0.9057229607029336</x:v>
      </x:c>
      <x:c r="S753" s="29" t="n">
        <x:v>0</x:v>
      </x:c>
    </x:row>
    <x:row r="754" ht="21.600000381469727" hidden="0" customHeight="1">
      <x:c r="A754" s="27" t="n">
        <x:v>250</x:v>
      </x:c>
      <x:c r="B754" s="27" t="str">
        <x:v>A3</x:v>
      </x:c>
      <x:c r="C754" s="47" t="n">
        <x:v>1.1273259497657826</x:v>
      </x:c>
      <x:c r="D754" s="47" t="n">
        <x:v>0.9937585292860972</x:v>
      </x:c>
      <x:c r="E754" s="47" t="n">
        <x:v>0.4510212430206764</x:v>
      </x:c>
      <x:c r="F754" s="47" t="n">
        <x:v>-0.06920140334949851</x:v>
      </x:c>
      <x:c r="G754" s="47" t="n">
        <x:v>-0.049531240840973934</x:v>
      </x:c>
      <x:c r="H754" s="47" t="n">
        <x:v>0.8408533686973354</x:v>
      </x:c>
      <x:c r="I754" s="47" t="n">
        <x:v>0.7931801979010284</x:v>
      </x:c>
      <x:c r="J754" s="47" t="n">
        <x:v>0.842916649008207</x:v>
      </x:c>
      <x:c r="K754" s="47" t="n">
        <x:v>0.5766793608527777</x:v>
      </x:c>
      <x:c r="L754" s="47" t="n">
        <x:v>0.8529374168908248</x:v>
      </x:c>
      <x:c r="M754" s="47" t="n">
        <x:v>0.1194831884963853</x:v>
      </x:c>
      <x:c r="N754" s="47" t="n">
        <x:v>0.6741996116509554</x:v>
      </x:c>
      <x:c r="O754" s="47" t="n">
        <x:v>1</x:v>
      </x:c>
      <x:c r="P754" s="47" t="n">
        <x:v>1</x:v>
      </x:c>
      <x:c r="Q754" s="47" t="n">
        <x:v>1</x:v>
      </x:c>
      <x:c r="R754" s="47" t="n">
        <x:v>1</x:v>
      </x:c>
      <x:c r="S754" s="27" t="n">
        <x:v>1</x:v>
      </x:c>
    </x:row>
    <x:row r="755" ht="21.600000381469727" hidden="0" customHeight="1">
      <x:c r="A755" s="29" t="n">
        <x:v>251</x:v>
      </x:c>
      <x:c r="B755" s="29" t="str">
        <x:v>A1</x:v>
      </x:c>
      <x:c r="C755" s="48" t="n">
        <x:v>1.334950280087827</x:v>
      </x:c>
      <x:c r="D755" s="48" t="n">
        <x:v>0.9919240814802173</x:v>
      </x:c>
      <x:c r="E755" s="48" t="n">
        <x:v>0.6016755301371832</x:v>
      </x:c>
      <x:c r="F755" s="48" t="n">
        <x:v>-0.11739480759321717</x:v>
      </x:c>
      <x:c r="G755" s="48" t="n">
        <x:v>-0.11737041991269014</x:v>
      </x:c>
      <x:c r="H755" s="48" t="n">
        <x:v>0.8049470308568176</x:v>
      </x:c>
      <x:c r="I755" s="48" t="n">
        <x:v>0.6803200375030615</x:v>
      </x:c>
      <x:c r="J755" s="48" t="n">
        <x:v>0.5156707173687831</x:v>
      </x:c>
      <x:c r="K755" s="48" t="n">
        <x:v>0.7810299499636842</x:v>
      </x:c>
      <x:c r="L755" s="48" t="n">
        <x:v>0.8775596634020789</x:v>
      </x:c>
      <x:c r="M755" s="48" t="n">
        <x:v>0.007243874514907869</x:v>
      </x:c>
      <x:c r="N755" s="48" t="n">
        <x:v>0.8244838468038702</x:v>
      </x:c>
      <x:c r="O755" s="48" t="n">
        <x:v>0.8249398718719996</x:v>
      </x:c>
      <x:c r="P755" s="48" t="n">
        <x:v>0.5243081477290072</x:v>
      </x:c>
      <x:c r="Q755" s="48" t="n">
        <x:v>1</x:v>
      </x:c>
      <x:c r="R755" s="48" t="n">
        <x:v>0.7838282185796014</x:v>
      </x:c>
      <x:c r="S755" s="29" t="n">
        <x:v>0</x:v>
      </x:c>
    </x:row>
    <x:row r="756" ht="21.600000381469727" hidden="0" customHeight="1">
      <x:c r="A756" s="27" t="n">
        <x:v>251</x:v>
      </x:c>
      <x:c r="B756" s="27" t="str">
        <x:v>A2</x:v>
      </x:c>
      <x:c r="C756" s="47" t="n">
        <x:v>1.334950280087827</x:v>
      </x:c>
      <x:c r="D756" s="47" t="n">
        <x:v>0.9919240814802173</x:v>
      </x:c>
      <x:c r="E756" s="47" t="n">
        <x:v>0.6016755301371832</x:v>
      </x:c>
      <x:c r="F756" s="47" t="n">
        <x:v>-0.11739480759321717</x:v>
      </x:c>
      <x:c r="G756" s="47" t="n">
        <x:v>-0.11737041991269014</x:v>
      </x:c>
      <x:c r="H756" s="47" t="n">
        <x:v>0.8049470308568176</x:v>
      </x:c>
      <x:c r="I756" s="47" t="n">
        <x:v>0.6803200375030615</x:v>
      </x:c>
      <x:c r="J756" s="47" t="n">
        <x:v>0.5156707173687831</x:v>
      </x:c>
      <x:c r="K756" s="47" t="n">
        <x:v>0.7810299499636842</x:v>
      </x:c>
      <x:c r="L756" s="47" t="n">
        <x:v>0.8775596634020789</x:v>
      </x:c>
      <x:c r="M756" s="47" t="n">
        <x:v>0.007243874514907869</x:v>
      </x:c>
      <x:c r="N756" s="47" t="n">
        <x:v>0.8244838468038702</x:v>
      </x:c>
      <x:c r="O756" s="47" t="n">
        <x:v>0.8719529366469029</x:v>
      </x:c>
      <x:c r="P756" s="47" t="n">
        <x:v>0.4869633838037653</x:v>
      </x:c>
      <x:c r="Q756" s="47" t="n">
        <x:v>1</x:v>
      </x:c>
      <x:c r="R756" s="47" t="n">
        <x:v>0.8418819745724712</x:v>
      </x:c>
      <x:c r="S756" s="27" t="n">
        <x:v>0</x:v>
      </x:c>
    </x:row>
    <x:row r="757" ht="21.600000381469727" hidden="0" customHeight="1">
      <x:c r="A757" s="29" t="n">
        <x:v>251</x:v>
      </x:c>
      <x:c r="B757" s="29" t="str">
        <x:v>A3</x:v>
      </x:c>
      <x:c r="C757" s="48" t="n">
        <x:v>1.334950280087827</x:v>
      </x:c>
      <x:c r="D757" s="48" t="n">
        <x:v>0.9919240814802173</x:v>
      </x:c>
      <x:c r="E757" s="48" t="n">
        <x:v>0.6016755301371832</x:v>
      </x:c>
      <x:c r="F757" s="48" t="n">
        <x:v>-0.11739480759321717</x:v>
      </x:c>
      <x:c r="G757" s="48" t="n">
        <x:v>-0.11737041991269014</x:v>
      </x:c>
      <x:c r="H757" s="48" t="n">
        <x:v>0.8049470308568176</x:v>
      </x:c>
      <x:c r="I757" s="48" t="n">
        <x:v>0.6803200375030615</x:v>
      </x:c>
      <x:c r="J757" s="48" t="n">
        <x:v>0.5156707173687831</x:v>
      </x:c>
      <x:c r="K757" s="48" t="n">
        <x:v>0.7810299499636842</x:v>
      </x:c>
      <x:c r="L757" s="48" t="n">
        <x:v>0.8775596634020789</x:v>
      </x:c>
      <x:c r="M757" s="48" t="n">
        <x:v>0.007243874514907869</x:v>
      </x:c>
      <x:c r="N757" s="48" t="n">
        <x:v>0.8244838468038702</x:v>
      </x:c>
      <x:c r="O757" s="48" t="n">
        <x:v>1</x:v>
      </x:c>
      <x:c r="P757" s="48" t="n">
        <x:v>1</x:v>
      </x:c>
      <x:c r="Q757" s="48" t="n">
        <x:v>1</x:v>
      </x:c>
      <x:c r="R757" s="48" t="n">
        <x:v>1</x:v>
      </x:c>
      <x:c r="S757" s="29" t="n">
        <x:v>1</x:v>
      </x:c>
    </x:row>
    <x:row r="758" ht="21.600000381469727" hidden="0" customHeight="1">
      <x:c r="A758" s="27" t="n">
        <x:v>252</x:v>
      </x:c>
      <x:c r="B758" s="27" t="str">
        <x:v>A1</x:v>
      </x:c>
      <x:c r="C758" s="47" t="n">
        <x:v>1.2246310156159015</x:v>
      </x:c>
      <x:c r="D758" s="47" t="n">
        <x:v>0.8953207714244216</x:v>
      </x:c>
      <x:c r="E758" s="47" t="n">
        <x:v>1.0450264191384506</x:v>
      </x:c>
      <x:c r="F758" s="47" t="n">
        <x:v>-0.10757825503603669</x:v>
      </x:c>
      <x:c r="G758" s="47" t="n">
        <x:v>-0.007774674544422044</x:v>
      </x:c>
      <x:c r="H758" s="47" t="n">
        <x:v>0.9097486267276109</x:v>
      </x:c>
      <x:c r="I758" s="47" t="n">
        <x:v>0.657564280807809</x:v>
      </x:c>
      <x:c r="J758" s="47" t="n">
        <x:v>0.6606761469283096</x:v>
      </x:c>
      <x:c r="K758" s="47" t="n">
        <x:v>0.6443956372823243</x:v>
      </x:c>
      <x:c r="L758" s="47" t="n">
        <x:v>0.54442534104647</x:v>
      </x:c>
      <x:c r="M758" s="47" t="n">
        <x:v>0.004887794268779185</x:v>
      </x:c>
      <x:c r="N758" s="47" t="n">
        <x:v>0.8514240916535509</x:v>
      </x:c>
      <x:c r="O758" s="47" t="n">
        <x:v>0.7880149738128702</x:v>
      </x:c>
      <x:c r="P758" s="47" t="n">
        <x:v>0.5074914248317508</x:v>
      </x:c>
      <x:c r="Q758" s="47" t="n">
        <x:v>1</x:v>
      </x:c>
      <x:c r="R758" s="47" t="n">
        <x:v>0.7382317650777952</x:v>
      </x:c>
      <x:c r="S758" s="27" t="n">
        <x:v>0</x:v>
      </x:c>
    </x:row>
    <x:row r="759" ht="21.600000381469727" hidden="0" customHeight="1">
      <x:c r="A759" s="29" t="n">
        <x:v>252</x:v>
      </x:c>
      <x:c r="B759" s="29" t="str">
        <x:v>A2</x:v>
      </x:c>
      <x:c r="C759" s="48" t="n">
        <x:v>1.2246310156159015</x:v>
      </x:c>
      <x:c r="D759" s="48" t="n">
        <x:v>0.8953207714244216</x:v>
      </x:c>
      <x:c r="E759" s="48" t="n">
        <x:v>1.0450264191384506</x:v>
      </x:c>
      <x:c r="F759" s="48" t="n">
        <x:v>-0.10757825503603669</x:v>
      </x:c>
      <x:c r="G759" s="48" t="n">
        <x:v>-0.007774674544422044</x:v>
      </x:c>
      <x:c r="H759" s="48" t="n">
        <x:v>0.9097486267276109</x:v>
      </x:c>
      <x:c r="I759" s="48" t="n">
        <x:v>0.657564280807809</x:v>
      </x:c>
      <x:c r="J759" s="48" t="n">
        <x:v>0.6606761469283096</x:v>
      </x:c>
      <x:c r="K759" s="48" t="n">
        <x:v>0.6443956372823243</x:v>
      </x:c>
      <x:c r="L759" s="48" t="n">
        <x:v>0.54442534104647</x:v>
      </x:c>
      <x:c r="M759" s="48" t="n">
        <x:v>0.004887794268779185</x:v>
      </x:c>
      <x:c r="N759" s="48" t="n">
        <x:v>0.8514240916535509</x:v>
      </x:c>
      <x:c r="O759" s="48" t="n">
        <x:v>0.8804334256967769</x:v>
      </x:c>
      <x:c r="P759" s="48" t="n">
        <x:v>0.6016258644509875</x:v>
      </x:c>
      <x:c r="Q759" s="48" t="n">
        <x:v>1</x:v>
      </x:c>
      <x:c r="R759" s="48" t="n">
        <x:v>0.8523540474815404</x:v>
      </x:c>
      <x:c r="S759" s="29" t="n">
        <x:v>0</x:v>
      </x:c>
    </x:row>
    <x:row r="760" ht="21.600000381469727" hidden="0" customHeight="1">
      <x:c r="A760" s="27" t="n">
        <x:v>252</x:v>
      </x:c>
      <x:c r="B760" s="27" t="str">
        <x:v>A3</x:v>
      </x:c>
      <x:c r="C760" s="47" t="n">
        <x:v>1.2246310156159015</x:v>
      </x:c>
      <x:c r="D760" s="47" t="n">
        <x:v>0.8953207714244216</x:v>
      </x:c>
      <x:c r="E760" s="47" t="n">
        <x:v>1.0450264191384506</x:v>
      </x:c>
      <x:c r="F760" s="47" t="n">
        <x:v>-0.10757825503603669</x:v>
      </x:c>
      <x:c r="G760" s="47" t="n">
        <x:v>-0.007774674544422044</x:v>
      </x:c>
      <x:c r="H760" s="47" t="n">
        <x:v>0.9097486267276109</x:v>
      </x:c>
      <x:c r="I760" s="47" t="n">
        <x:v>0.657564280807809</x:v>
      </x:c>
      <x:c r="J760" s="47" t="n">
        <x:v>0.6606761469283096</x:v>
      </x:c>
      <x:c r="K760" s="47" t="n">
        <x:v>0.6443956372823243</x:v>
      </x:c>
      <x:c r="L760" s="47" t="n">
        <x:v>0.54442534104647</x:v>
      </x:c>
      <x:c r="M760" s="47" t="n">
        <x:v>0.004887794268779185</x:v>
      </x:c>
      <x:c r="N760" s="47" t="n">
        <x:v>0.8514240916535509</x:v>
      </x:c>
      <x:c r="O760" s="47" t="n">
        <x:v>1</x:v>
      </x:c>
      <x:c r="P760" s="47" t="n">
        <x:v>1</x:v>
      </x:c>
      <x:c r="Q760" s="47" t="n">
        <x:v>1</x:v>
      </x:c>
      <x:c r="R760" s="47" t="n">
        <x:v>1</x:v>
      </x:c>
      <x:c r="S760" s="27" t="n">
        <x:v>1</x:v>
      </x:c>
    </x:row>
    <x:row r="761" ht="21.600000381469727" hidden="0" customHeight="1">
      <x:c r="A761" s="29" t="n">
        <x:v>253</x:v>
      </x:c>
      <x:c r="B761" s="29" t="str">
        <x:v>A1</x:v>
      </x:c>
      <x:c r="C761" s="48" t="n">
        <x:v>1.3410718299361686</x:v>
      </x:c>
      <x:c r="D761" s="48" t="n">
        <x:v>0.7991280155586497</x:v>
      </x:c>
      <x:c r="E761" s="48" t="n">
        <x:v>0.7272913841698161</x:v>
      </x:c>
      <x:c r="F761" s="48" t="n">
        <x:v>-0.09757784114854265</x:v>
      </x:c>
      <x:c r="G761" s="48" t="n">
        <x:v>-0.034004274973285814</x:v>
      </x:c>
      <x:c r="H761" s="48" t="n">
        <x:v>0.9638051858339218</x:v>
      </x:c>
      <x:c r="I761" s="48" t="n">
        <x:v>0.7519165907506099</x:v>
      </x:c>
      <x:c r="J761" s="48" t="n">
        <x:v>0.9089306141587405</x:v>
      </x:c>
      <x:c r="K761" s="48" t="n">
        <x:v>0.9525156216719747</x:v>
      </x:c>
      <x:c r="L761" s="48" t="n">
        <x:v>0.9380501821537219</x:v>
      </x:c>
      <x:c r="M761" s="48" t="n">
        <x:v>0.021870188290598454</x:v>
      </x:c>
      <x:c r="N761" s="48" t="n">
        <x:v>0.8859335331719022</x:v>
      </x:c>
      <x:c r="O761" s="48" t="n">
        <x:v>0.8015407416857709</x:v>
      </x:c>
      <x:c r="P761" s="48" t="n">
        <x:v>0.45620550045493935</x:v>
      </x:c>
      <x:c r="Q761" s="48" t="n">
        <x:v>1</x:v>
      </x:c>
      <x:c r="R761" s="48" t="n">
        <x:v>0.754933965444208</x:v>
      </x:c>
      <x:c r="S761" s="29" t="n">
        <x:v>0</x:v>
      </x:c>
    </x:row>
    <x:row r="762" ht="21.600000381469727" hidden="0" customHeight="1">
      <x:c r="A762" s="27" t="n">
        <x:v>253</x:v>
      </x:c>
      <x:c r="B762" s="27" t="str">
        <x:v>A2</x:v>
      </x:c>
      <x:c r="C762" s="47" t="n">
        <x:v>1.3410718299361686</x:v>
      </x:c>
      <x:c r="D762" s="47" t="n">
        <x:v>0.7991280155586497</x:v>
      </x:c>
      <x:c r="E762" s="47" t="n">
        <x:v>0.7272913841698161</x:v>
      </x:c>
      <x:c r="F762" s="47" t="n">
        <x:v>-0.09757784114854265</x:v>
      </x:c>
      <x:c r="G762" s="47" t="n">
        <x:v>-0.034004274973285814</x:v>
      </x:c>
      <x:c r="H762" s="47" t="n">
        <x:v>0.9638051858339218</x:v>
      </x:c>
      <x:c r="I762" s="47" t="n">
        <x:v>0.7519165907506099</x:v>
      </x:c>
      <x:c r="J762" s="47" t="n">
        <x:v>0.9089306141587405</x:v>
      </x:c>
      <x:c r="K762" s="47" t="n">
        <x:v>0.9525156216719747</x:v>
      </x:c>
      <x:c r="L762" s="47" t="n">
        <x:v>0.9380501821537219</x:v>
      </x:c>
      <x:c r="M762" s="47" t="n">
        <x:v>0.021870188290598454</x:v>
      </x:c>
      <x:c r="N762" s="47" t="n">
        <x:v>0.8859335331719022</x:v>
      </x:c>
      <x:c r="O762" s="47" t="n">
        <x:v>0.8952175021838643</x:v>
      </x:c>
      <x:c r="P762" s="47" t="n">
        <x:v>0.5516905885739142</x:v>
      </x:c>
      <x:c r="Q762" s="47" t="n">
        <x:v>1</x:v>
      </x:c>
      <x:c r="R762" s="47" t="n">
        <x:v>0.8706100614868105</x:v>
      </x:c>
      <x:c r="S762" s="27" t="n">
        <x:v>0</x:v>
      </x:c>
    </x:row>
    <x:row r="763" ht="21.600000381469727" hidden="0" customHeight="1">
      <x:c r="A763" s="29" t="n">
        <x:v>253</x:v>
      </x:c>
      <x:c r="B763" s="29" t="str">
        <x:v>A3</x:v>
      </x:c>
      <x:c r="C763" s="48" t="n">
        <x:v>1.3410718299361686</x:v>
      </x:c>
      <x:c r="D763" s="48" t="n">
        <x:v>0.7991280155586497</x:v>
      </x:c>
      <x:c r="E763" s="48" t="n">
        <x:v>0.7272913841698161</x:v>
      </x:c>
      <x:c r="F763" s="48" t="n">
        <x:v>-0.09757784114854265</x:v>
      </x:c>
      <x:c r="G763" s="48" t="n">
        <x:v>-0.034004274973285814</x:v>
      </x:c>
      <x:c r="H763" s="48" t="n">
        <x:v>0.9638051858339218</x:v>
      </x:c>
      <x:c r="I763" s="48" t="n">
        <x:v>0.7519165907506099</x:v>
      </x:c>
      <x:c r="J763" s="48" t="n">
        <x:v>0.9089306141587405</x:v>
      </x:c>
      <x:c r="K763" s="48" t="n">
        <x:v>0.9525156216719747</x:v>
      </x:c>
      <x:c r="L763" s="48" t="n">
        <x:v>0.9380501821537219</x:v>
      </x:c>
      <x:c r="M763" s="48" t="n">
        <x:v>0.021870188290598454</x:v>
      </x:c>
      <x:c r="N763" s="48" t="n">
        <x:v>0.8859335331719022</x:v>
      </x:c>
      <x:c r="O763" s="48" t="n">
        <x:v>1</x:v>
      </x:c>
      <x:c r="P763" s="48" t="n">
        <x:v>1</x:v>
      </x:c>
      <x:c r="Q763" s="48" t="n">
        <x:v>1</x:v>
      </x:c>
      <x:c r="R763" s="48" t="n">
        <x:v>1</x:v>
      </x:c>
      <x:c r="S763" s="29" t="n">
        <x:v>1</x:v>
      </x:c>
    </x:row>
    <x:row r="764" ht="21.600000381469727" hidden="0" customHeight="1">
      <x:c r="A764" s="27" t="n">
        <x:v>254</x:v>
      </x:c>
      <x:c r="B764" s="27" t="str">
        <x:v>A1</x:v>
      </x:c>
      <x:c r="C764" s="47" t="n">
        <x:v>0.9666265891737617</x:v>
      </x:c>
      <x:c r="D764" s="47" t="n">
        <x:v>0.8011467053551875</x:v>
      </x:c>
      <x:c r="E764" s="47" t="n">
        <x:v>0.7971467386483843</x:v>
      </x:c>
      <x:c r="F764" s="47" t="n">
        <x:v>0.029908657396753913</x:v>
      </x:c>
      <x:c r="G764" s="47" t="n">
        <x:v>-0.0890538287893831</x:v>
      </x:c>
      <x:c r="H764" s="47" t="n">
        <x:v>0.45652535469005445</x:v>
      </x:c>
      <x:c r="I764" s="47" t="n">
        <x:v>0.6943287132654566</x:v>
      </x:c>
      <x:c r="J764" s="47" t="n">
        <x:v>0.5085843426704442</x:v>
      </x:c>
      <x:c r="K764" s="47" t="n">
        <x:v>0.941433137001465</x:v>
      </x:c>
      <x:c r="L764" s="47" t="n">
        <x:v>0.8344116934316423</x:v>
      </x:c>
      <x:c r="M764" s="47" t="n">
        <x:v>0.01743953331362867</x:v>
      </x:c>
      <x:c r="N764" s="47" t="n">
        <x:v>0.6866788603798736</x:v>
      </x:c>
      <x:c r="O764" s="47" t="n">
        <x:v>0.893001343413123</x:v>
      </x:c>
      <x:c r="P764" s="47" t="n">
        <x:v>0.6487947097844108</x:v>
      </x:c>
      <x:c r="Q764" s="47" t="n">
        <x:v>1</x:v>
      </x:c>
      <x:c r="R764" s="47" t="n">
        <x:v>0.8678734532453761</x:v>
      </x:c>
      <x:c r="S764" s="27" t="n">
        <x:v>0</x:v>
      </x:c>
    </x:row>
    <x:row r="765" ht="21.600000381469727" hidden="0" customHeight="1">
      <x:c r="A765" s="29" t="n">
        <x:v>254</x:v>
      </x:c>
      <x:c r="B765" s="29" t="str">
        <x:v>A2</x:v>
      </x:c>
      <x:c r="C765" s="48" t="n">
        <x:v>0.9666265891737617</x:v>
      </x:c>
      <x:c r="D765" s="48" t="n">
        <x:v>0.8011467053551875</x:v>
      </x:c>
      <x:c r="E765" s="48" t="n">
        <x:v>0.7971467386483843</x:v>
      </x:c>
      <x:c r="F765" s="48" t="n">
        <x:v>0.029908657396753913</x:v>
      </x:c>
      <x:c r="G765" s="48" t="n">
        <x:v>-0.0890538287893831</x:v>
      </x:c>
      <x:c r="H765" s="48" t="n">
        <x:v>0.45652535469005445</x:v>
      </x:c>
      <x:c r="I765" s="48" t="n">
        <x:v>0.6943287132654566</x:v>
      </x:c>
      <x:c r="J765" s="48" t="n">
        <x:v>0.5085843426704442</x:v>
      </x:c>
      <x:c r="K765" s="48" t="n">
        <x:v>0.941433137001465</x:v>
      </x:c>
      <x:c r="L765" s="48" t="n">
        <x:v>0.8344116934316423</x:v>
      </x:c>
      <x:c r="M765" s="48" t="n">
        <x:v>0.01743953331362867</x:v>
      </x:c>
      <x:c r="N765" s="48" t="n">
        <x:v>0.6866788603798736</x:v>
      </x:c>
      <x:c r="O765" s="48" t="n">
        <x:v>0.9480392917722718</x:v>
      </x:c>
      <x:c r="P765" s="48" t="n">
        <x:v>0.6666962910544946</x:v>
      </x:c>
      <x:c r="Q765" s="48" t="n">
        <x:v>1</x:v>
      </x:c>
      <x:c r="R765" s="48" t="n">
        <x:v>0.9358366809074843</x:v>
      </x:c>
      <x:c r="S765" s="29" t="n">
        <x:v>0</x:v>
      </x:c>
    </x:row>
    <x:row r="766" ht="21.600000381469727" hidden="0" customHeight="1">
      <x:c r="A766" s="27" t="n">
        <x:v>254</x:v>
      </x:c>
      <x:c r="B766" s="27" t="str">
        <x:v>A3</x:v>
      </x:c>
      <x:c r="C766" s="47" t="n">
        <x:v>0.9666265891737617</x:v>
      </x:c>
      <x:c r="D766" s="47" t="n">
        <x:v>0.8011467053551875</x:v>
      </x:c>
      <x:c r="E766" s="47" t="n">
        <x:v>0.7971467386483843</x:v>
      </x:c>
      <x:c r="F766" s="47" t="n">
        <x:v>0.029908657396753913</x:v>
      </x:c>
      <x:c r="G766" s="47" t="n">
        <x:v>-0.0890538287893831</x:v>
      </x:c>
      <x:c r="H766" s="47" t="n">
        <x:v>0.45652535469005445</x:v>
      </x:c>
      <x:c r="I766" s="47" t="n">
        <x:v>0.6943287132654566</x:v>
      </x:c>
      <x:c r="J766" s="47" t="n">
        <x:v>0.5085843426704442</x:v>
      </x:c>
      <x:c r="K766" s="47" t="n">
        <x:v>0.941433137001465</x:v>
      </x:c>
      <x:c r="L766" s="47" t="n">
        <x:v>0.8344116934316423</x:v>
      </x:c>
      <x:c r="M766" s="47" t="n">
        <x:v>0.01743953331362867</x:v>
      </x:c>
      <x:c r="N766" s="47" t="n">
        <x:v>0.6866788603798736</x:v>
      </x:c>
      <x:c r="O766" s="47" t="n">
        <x:v>1</x:v>
      </x:c>
      <x:c r="P766" s="47" t="n">
        <x:v>1</x:v>
      </x:c>
      <x:c r="Q766" s="47" t="n">
        <x:v>1</x:v>
      </x:c>
      <x:c r="R766" s="47" t="n">
        <x:v>1</x:v>
      </x:c>
      <x:c r="S766" s="27" t="n">
        <x:v>1</x:v>
      </x:c>
    </x:row>
    <x:row r="767" ht="21.600000381469727" hidden="0" customHeight="1">
      <x:c r="A767" s="29" t="n">
        <x:v>255</x:v>
      </x:c>
      <x:c r="B767" s="29" t="str">
        <x:v>A1</x:v>
      </x:c>
      <x:c r="C767" s="48" t="n">
        <x:v>1.2744524416163994</x:v>
      </x:c>
      <x:c r="D767" s="48" t="n">
        <x:v>0.8788496149157776</x:v>
      </x:c>
      <x:c r="E767" s="48" t="n">
        <x:v>1.0213352241883915</x:v>
      </x:c>
      <x:c r="F767" s="48" t="n">
        <x:v>-0.017058554182823593</x:v>
      </x:c>
      <x:c r="G767" s="48" t="n">
        <x:v>-0.14736197480602858</x:v>
      </x:c>
      <x:c r="H767" s="48" t="n">
        <x:v>0.7741233201679687</x:v>
      </x:c>
      <x:c r="I767" s="48" t="n">
        <x:v>0.8791359525671218</x:v>
      </x:c>
      <x:c r="J767" s="48" t="n">
        <x:v>0.42581908276504565</x:v>
      </x:c>
      <x:c r="K767" s="48" t="n">
        <x:v>0.661443003030691</x:v>
      </x:c>
      <x:c r="L767" s="48" t="n">
        <x:v>0.8446317167973563</x:v>
      </x:c>
      <x:c r="M767" s="48" t="n">
        <x:v>0.08519489317191643</x:v>
      </x:c>
      <x:c r="N767" s="48" t="n">
        <x:v>0.7771160566216976</x:v>
      </x:c>
      <x:c r="O767" s="48" t="n">
        <x:v>0.7935698364455451</x:v>
      </x:c>
      <x:c r="P767" s="48" t="n">
        <x:v>0.47092745874052555</x:v>
      </x:c>
      <x:c r="Q767" s="48" t="n">
        <x:v>1</x:v>
      </x:c>
      <x:c r="R767" s="48" t="n">
        <x:v>0.7450911485575841</x:v>
      </x:c>
      <x:c r="S767" s="29" t="n">
        <x:v>0</x:v>
      </x:c>
    </x:row>
    <x:row r="768" ht="21.600000381469727" hidden="0" customHeight="1">
      <x:c r="A768" s="27" t="n">
        <x:v>255</x:v>
      </x:c>
      <x:c r="B768" s="27" t="str">
        <x:v>A2</x:v>
      </x:c>
      <x:c r="C768" s="47" t="n">
        <x:v>1.2744524416163994</x:v>
      </x:c>
      <x:c r="D768" s="47" t="n">
        <x:v>0.8788496149157776</x:v>
      </x:c>
      <x:c r="E768" s="47" t="n">
        <x:v>1.0213352241883915</x:v>
      </x:c>
      <x:c r="F768" s="47" t="n">
        <x:v>-0.017058554182823593</x:v>
      </x:c>
      <x:c r="G768" s="47" t="n">
        <x:v>-0.14736197480602858</x:v>
      </x:c>
      <x:c r="H768" s="47" t="n">
        <x:v>0.7741233201679687</x:v>
      </x:c>
      <x:c r="I768" s="47" t="n">
        <x:v>0.8791359525671218</x:v>
      </x:c>
      <x:c r="J768" s="47" t="n">
        <x:v>0.42581908276504565</x:v>
      </x:c>
      <x:c r="K768" s="47" t="n">
        <x:v>0.661443003030691</x:v>
      </x:c>
      <x:c r="L768" s="47" t="n">
        <x:v>0.8446317167973563</x:v>
      </x:c>
      <x:c r="M768" s="47" t="n">
        <x:v>0.08519489317191643</x:v>
      </x:c>
      <x:c r="N768" s="47" t="n">
        <x:v>0.7771160566216976</x:v>
      </x:c>
      <x:c r="O768" s="47" t="n">
        <x:v>0.8732714561448309</x:v>
      </x:c>
      <x:c r="P768" s="47" t="n">
        <x:v>0.5954933704185817</x:v>
      </x:c>
      <x:c r="Q768" s="47" t="n">
        <x:v>1</x:v>
      </x:c>
      <x:c r="R768" s="47" t="n">
        <x:v>0.8435101392022617</x:v>
      </x:c>
      <x:c r="S768" s="27" t="n">
        <x:v>0</x:v>
      </x:c>
    </x:row>
    <x:row r="769" ht="21.600000381469727" hidden="0" customHeight="1">
      <x:c r="A769" s="29" t="n">
        <x:v>255</x:v>
      </x:c>
      <x:c r="B769" s="29" t="str">
        <x:v>A3</x:v>
      </x:c>
      <x:c r="C769" s="48" t="n">
        <x:v>1.2744524416163994</x:v>
      </x:c>
      <x:c r="D769" s="48" t="n">
        <x:v>0.8788496149157776</x:v>
      </x:c>
      <x:c r="E769" s="48" t="n">
        <x:v>1.0213352241883915</x:v>
      </x:c>
      <x:c r="F769" s="48" t="n">
        <x:v>-0.017058554182823593</x:v>
      </x:c>
      <x:c r="G769" s="48" t="n">
        <x:v>-0.14736197480602858</x:v>
      </x:c>
      <x:c r="H769" s="48" t="n">
        <x:v>0.7741233201679687</x:v>
      </x:c>
      <x:c r="I769" s="48" t="n">
        <x:v>0.8791359525671218</x:v>
      </x:c>
      <x:c r="J769" s="48" t="n">
        <x:v>0.42581908276504565</x:v>
      </x:c>
      <x:c r="K769" s="48" t="n">
        <x:v>0.661443003030691</x:v>
      </x:c>
      <x:c r="L769" s="48" t="n">
        <x:v>0.8446317167973563</x:v>
      </x:c>
      <x:c r="M769" s="48" t="n">
        <x:v>0.08519489317191643</x:v>
      </x:c>
      <x:c r="N769" s="48" t="n">
        <x:v>0.7771160566216976</x:v>
      </x:c>
      <x:c r="O769" s="48" t="n">
        <x:v>1</x:v>
      </x:c>
      <x:c r="P769" s="48" t="n">
        <x:v>1</x:v>
      </x:c>
      <x:c r="Q769" s="48" t="n">
        <x:v>1</x:v>
      </x:c>
      <x:c r="R769" s="48" t="n">
        <x:v>1</x:v>
      </x:c>
      <x:c r="S769" s="29" t="n">
        <x:v>1</x:v>
      </x:c>
    </x:row>
    <x:row r="770" ht="21.600000381469727" hidden="0" customHeight="1">
      <x:c r="A770" s="27" t="n">
        <x:v>256</x:v>
      </x:c>
      <x:c r="B770" s="27" t="str">
        <x:v>A1</x:v>
      </x:c>
      <x:c r="C770" s="47" t="n">
        <x:v>1.2821293485048721</x:v>
      </x:c>
      <x:c r="D770" s="47" t="n">
        <x:v>0.8376250797906037</x:v>
      </x:c>
      <x:c r="E770" s="47" t="n">
        <x:v>0.6249811498001152</x:v>
      </x:c>
      <x:c r="F770" s="47" t="n">
        <x:v>-0.11243323034320842</x:v>
      </x:c>
      <x:c r="G770" s="47" t="n">
        <x:v>-0.0962218356448081</x:v>
      </x:c>
      <x:c r="H770" s="47" t="n">
        <x:v>0.9607173556187096</x:v>
      </x:c>
      <x:c r="I770" s="47" t="n">
        <x:v>0.6491044787233909</x:v>
      </x:c>
      <x:c r="J770" s="47" t="n">
        <x:v>0.4138834000154647</x:v>
      </x:c>
      <x:c r="K770" s="47" t="n">
        <x:v>0.8272277590417112</x:v>
      </x:c>
      <x:c r="L770" s="47" t="n">
        <x:v>0.6089072230177213</x:v>
      </x:c>
      <x:c r="M770" s="47" t="n">
        <x:v>0.0002048530148269041</x:v>
      </x:c>
      <x:c r="N770" s="47" t="n">
        <x:v>0.873122184485843</x:v>
      </x:c>
      <x:c r="O770" s="47" t="n">
        <x:v>0.7447961958793463</x:v>
      </x:c>
      <x:c r="P770" s="47" t="n">
        <x:v>0.44689781643814663</x:v>
      </x:c>
      <x:c r="Q770" s="47" t="n">
        <x:v>0.8752800375405498</x:v>
      </x:c>
      <x:c r="R770" s="47" t="n">
        <x:v>0.6857896346885398</x:v>
      </x:c>
      <x:c r="S770" s="27" t="n">
        <x:v>0</x:v>
      </x:c>
    </x:row>
    <x:row r="771" ht="21.600000381469727" hidden="0" customHeight="1">
      <x:c r="A771" s="29" t="n">
        <x:v>256</x:v>
      </x:c>
      <x:c r="B771" s="29" t="str">
        <x:v>A2</x:v>
      </x:c>
      <x:c r="C771" s="48" t="n">
        <x:v>1.2821293485048721</x:v>
      </x:c>
      <x:c r="D771" s="48" t="n">
        <x:v>0.8376250797906037</x:v>
      </x:c>
      <x:c r="E771" s="48" t="n">
        <x:v>0.6249811498001152</x:v>
      </x:c>
      <x:c r="F771" s="48" t="n">
        <x:v>-0.11243323034320842</x:v>
      </x:c>
      <x:c r="G771" s="48" t="n">
        <x:v>-0.0962218356448081</x:v>
      </x:c>
      <x:c r="H771" s="48" t="n">
        <x:v>0.9607173556187096</x:v>
      </x:c>
      <x:c r="I771" s="48" t="n">
        <x:v>0.6491044787233909</x:v>
      </x:c>
      <x:c r="J771" s="48" t="n">
        <x:v>0.4138834000154647</x:v>
      </x:c>
      <x:c r="K771" s="48" t="n">
        <x:v>0.8272277590417112</x:v>
      </x:c>
      <x:c r="L771" s="48" t="n">
        <x:v>0.6089072230177213</x:v>
      </x:c>
      <x:c r="M771" s="48" t="n">
        <x:v>0.0002048530148269041</x:v>
      </x:c>
      <x:c r="N771" s="48" t="n">
        <x:v>0.873122184485843</x:v>
      </x:c>
      <x:c r="O771" s="48" t="n">
        <x:v>0.8280022494104898</x:v>
      </x:c>
      <x:c r="P771" s="48" t="n">
        <x:v>0.4783537489023549</x:v>
      </x:c>
      <x:c r="Q771" s="48" t="n">
        <x:v>0.9594367332363225</x:v>
      </x:c>
      <x:c r="R771" s="48" t="n">
        <x:v>0.7879110316202932</x:v>
      </x:c>
      <x:c r="S771" s="29" t="n">
        <x:v>0</x:v>
      </x:c>
    </x:row>
    <x:row r="772" ht="21.600000381469727" hidden="0" customHeight="1">
      <x:c r="A772" s="27" t="n">
        <x:v>256</x:v>
      </x:c>
      <x:c r="B772" s="27" t="str">
        <x:v>A3</x:v>
      </x:c>
      <x:c r="C772" s="47" t="n">
        <x:v>1.2821293485048721</x:v>
      </x:c>
      <x:c r="D772" s="47" t="n">
        <x:v>0.8376250797906037</x:v>
      </x:c>
      <x:c r="E772" s="47" t="n">
        <x:v>0.6249811498001152</x:v>
      </x:c>
      <x:c r="F772" s="47" t="n">
        <x:v>-0.11243323034320842</x:v>
      </x:c>
      <x:c r="G772" s="47" t="n">
        <x:v>-0.0962218356448081</x:v>
      </x:c>
      <x:c r="H772" s="47" t="n">
        <x:v>0.9607173556187096</x:v>
      </x:c>
      <x:c r="I772" s="47" t="n">
        <x:v>0.6491044787233909</x:v>
      </x:c>
      <x:c r="J772" s="47" t="n">
        <x:v>0.4138834000154647</x:v>
      </x:c>
      <x:c r="K772" s="47" t="n">
        <x:v>0.8272277590417112</x:v>
      </x:c>
      <x:c r="L772" s="47" t="n">
        <x:v>0.6089072230177213</x:v>
      </x:c>
      <x:c r="M772" s="47" t="n">
        <x:v>0.0002048530148269041</x:v>
      </x:c>
      <x:c r="N772" s="47" t="n">
        <x:v>0.873122184485843</x:v>
      </x:c>
      <x:c r="O772" s="47" t="n">
        <x:v>1</x:v>
      </x:c>
      <x:c r="P772" s="47" t="n">
        <x:v>1</x:v>
      </x:c>
      <x:c r="Q772" s="47" t="n">
        <x:v>1</x:v>
      </x:c>
      <x:c r="R772" s="47" t="n">
        <x:v>1</x:v>
      </x:c>
      <x:c r="S772" s="27" t="n">
        <x:v>1</x:v>
      </x:c>
    </x:row>
    <x:row r="773" ht="21.600000381469727" hidden="0" customHeight="1">
      <x:c r="A773" s="29" t="n">
        <x:v>257</x:v>
      </x:c>
      <x:c r="B773" s="29" t="str">
        <x:v>A1</x:v>
      </x:c>
      <x:c r="C773" s="48" t="n">
        <x:v>1.2053837763392723</x:v>
      </x:c>
      <x:c r="D773" s="48" t="n">
        <x:v>0.9598175859557989</x:v>
      </x:c>
      <x:c r="E773" s="48" t="n">
        <x:v>0.4646991431040727</x:v>
      </x:c>
      <x:c r="F773" s="48" t="n">
        <x:v>-0.1389308513154691</x:v>
      </x:c>
      <x:c r="G773" s="48" t="n">
        <x:v>-0.10345331209898478</x:v>
      </x:c>
      <x:c r="H773" s="48" t="n">
        <x:v>0.8899904915180552</x:v>
      </x:c>
      <x:c r="I773" s="48" t="n">
        <x:v>0.6904281435758541</x:v>
      </x:c>
      <x:c r="J773" s="48" t="n">
        <x:v>0.8923320981858798</x:v>
      </x:c>
      <x:c r="K773" s="48" t="n">
        <x:v>0.8449664661646477</x:v>
      </x:c>
      <x:c r="L773" s="48" t="n">
        <x:v>0.7254592039287064</x:v>
      </x:c>
      <x:c r="M773" s="48" t="n">
        <x:v>0.11539250640209542</x:v>
      </x:c>
      <x:c r="N773" s="48" t="n">
        <x:v>0.6899175370451338</x:v>
      </x:c>
      <x:c r="O773" s="48" t="n">
        <x:v>0.8891056098661424</x:v>
      </x:c>
      <x:c r="P773" s="48" t="n">
        <x:v>0.5295394408992791</x:v>
      </x:c>
      <x:c r="Q773" s="48" t="n">
        <x:v>1</x:v>
      </x:c>
      <x:c r="R773" s="48" t="n">
        <x:v>0.8630628337753948</x:v>
      </x:c>
      <x:c r="S773" s="29" t="n">
        <x:v>0</x:v>
      </x:c>
    </x:row>
    <x:row r="774" ht="21.600000381469727" hidden="0" customHeight="1">
      <x:c r="A774" s="27" t="n">
        <x:v>257</x:v>
      </x:c>
      <x:c r="B774" s="27" t="str">
        <x:v>A2</x:v>
      </x:c>
      <x:c r="C774" s="47" t="n">
        <x:v>1.2053837763392723</x:v>
      </x:c>
      <x:c r="D774" s="47" t="n">
        <x:v>0.9598175859557989</x:v>
      </x:c>
      <x:c r="E774" s="47" t="n">
        <x:v>0.4646991431040727</x:v>
      </x:c>
      <x:c r="F774" s="47" t="n">
        <x:v>-0.1389308513154691</x:v>
      </x:c>
      <x:c r="G774" s="47" t="n">
        <x:v>-0.10345331209898478</x:v>
      </x:c>
      <x:c r="H774" s="47" t="n">
        <x:v>0.8899904915180552</x:v>
      </x:c>
      <x:c r="I774" s="47" t="n">
        <x:v>0.6904281435758541</x:v>
      </x:c>
      <x:c r="J774" s="47" t="n">
        <x:v>0.8923320981858798</x:v>
      </x:c>
      <x:c r="K774" s="47" t="n">
        <x:v>0.8449664661646477</x:v>
      </x:c>
      <x:c r="L774" s="47" t="n">
        <x:v>0.7254592039287064</x:v>
      </x:c>
      <x:c r="M774" s="47" t="n">
        <x:v>0.11539250640209542</x:v>
      </x:c>
      <x:c r="N774" s="47" t="n">
        <x:v>0.6899175370451338</x:v>
      </x:c>
      <x:c r="O774" s="47" t="n">
        <x:v>0.9334846607545233</x:v>
      </x:c>
      <x:c r="P774" s="47" t="n">
        <x:v>0.5197953695444426</x:v>
      </x:c>
      <x:c r="Q774" s="47" t="n">
        <x:v>1</x:v>
      </x:c>
      <x:c r="R774" s="47" t="n">
        <x:v>0.9178639960438998</x:v>
      </x:c>
      <x:c r="S774" s="27" t="n">
        <x:v>0</x:v>
      </x:c>
    </x:row>
    <x:row r="775" ht="21.600000381469727" hidden="0" customHeight="1">
      <x:c r="A775" s="29" t="n">
        <x:v>257</x:v>
      </x:c>
      <x:c r="B775" s="29" t="str">
        <x:v>A3</x:v>
      </x:c>
      <x:c r="C775" s="48" t="n">
        <x:v>1.2053837763392723</x:v>
      </x:c>
      <x:c r="D775" s="48" t="n">
        <x:v>0.9598175859557989</x:v>
      </x:c>
      <x:c r="E775" s="48" t="n">
        <x:v>0.4646991431040727</x:v>
      </x:c>
      <x:c r="F775" s="48" t="n">
        <x:v>-0.1389308513154691</x:v>
      </x:c>
      <x:c r="G775" s="48" t="n">
        <x:v>-0.10345331209898478</x:v>
      </x:c>
      <x:c r="H775" s="48" t="n">
        <x:v>0.8899904915180552</x:v>
      </x:c>
      <x:c r="I775" s="48" t="n">
        <x:v>0.6904281435758541</x:v>
      </x:c>
      <x:c r="J775" s="48" t="n">
        <x:v>0.8923320981858798</x:v>
      </x:c>
      <x:c r="K775" s="48" t="n">
        <x:v>0.8449664661646477</x:v>
      </x:c>
      <x:c r="L775" s="48" t="n">
        <x:v>0.7254592039287064</x:v>
      </x:c>
      <x:c r="M775" s="48" t="n">
        <x:v>0.11539250640209542</x:v>
      </x:c>
      <x:c r="N775" s="48" t="n">
        <x:v>0.6899175370451338</x:v>
      </x:c>
      <x:c r="O775" s="48" t="n">
        <x:v>1</x:v>
      </x:c>
      <x:c r="P775" s="48" t="n">
        <x:v>1</x:v>
      </x:c>
      <x:c r="Q775" s="48" t="n">
        <x:v>1</x:v>
      </x:c>
      <x:c r="R775" s="48" t="n">
        <x:v>1</x:v>
      </x:c>
      <x:c r="S775" s="29" t="n">
        <x:v>1</x:v>
      </x:c>
    </x:row>
    <x:row r="776" ht="21.600000381469727" hidden="0" customHeight="1">
      <x:c r="A776" s="27" t="n">
        <x:v>258</x:v>
      </x:c>
      <x:c r="B776" s="27" t="str">
        <x:v>A1</x:v>
      </x:c>
      <x:c r="C776" s="47" t="n">
        <x:v>0.9521795819219285</x:v>
      </x:c>
      <x:c r="D776" s="47" t="n">
        <x:v>0.7468819075710716</x:v>
      </x:c>
      <x:c r="E776" s="47" t="n">
        <x:v>0.6826454171028555</x:v>
      </x:c>
      <x:c r="F776" s="47" t="n">
        <x:v>-0.13699413429554586</x:v>
      </x:c>
      <x:c r="G776" s="47" t="n">
        <x:v>-0.0845773448843031</x:v>
      </x:c>
      <x:c r="H776" s="47" t="n">
        <x:v>0.5462422516509094</x:v>
      </x:c>
      <x:c r="I776" s="47" t="n">
        <x:v>0.8158031580500653</x:v>
      </x:c>
      <x:c r="J776" s="47" t="n">
        <x:v>0.5226941730042147</x:v>
      </x:c>
      <x:c r="K776" s="47" t="n">
        <x:v>0.6147966699509688</x:v>
      </x:c>
      <x:c r="L776" s="47" t="n">
        <x:v>0.9647985878973117</x:v>
      </x:c>
      <x:c r="M776" s="47" t="n">
        <x:v>0.015521901381122579</x:v>
      </x:c>
      <x:c r="N776" s="47" t="n">
        <x:v>0.717455621758149</x:v>
      </x:c>
      <x:c r="O776" s="47" t="n">
        <x:v>0.85567117807311</x:v>
      </x:c>
      <x:c r="P776" s="47" t="n">
        <x:v>0.6239648656785654</x:v>
      </x:c>
      <x:c r="Q776" s="47" t="n">
        <x:v>1</x:v>
      </x:c>
      <x:c r="R776" s="47" t="n">
        <x:v>0.8217765582609958</x:v>
      </x:c>
      <x:c r="S776" s="27" t="n">
        <x:v>0</x:v>
      </x:c>
    </x:row>
    <x:row r="777" ht="21.600000381469727" hidden="0" customHeight="1">
      <x:c r="A777" s="29" t="n">
        <x:v>258</x:v>
      </x:c>
      <x:c r="B777" s="29" t="str">
        <x:v>A2</x:v>
      </x:c>
      <x:c r="C777" s="48" t="n">
        <x:v>0.9521795819219285</x:v>
      </x:c>
      <x:c r="D777" s="48" t="n">
        <x:v>0.7468819075710716</x:v>
      </x:c>
      <x:c r="E777" s="48" t="n">
        <x:v>0.6826454171028555</x:v>
      </x:c>
      <x:c r="F777" s="48" t="n">
        <x:v>-0.13699413429554586</x:v>
      </x:c>
      <x:c r="G777" s="48" t="n">
        <x:v>-0.0845773448843031</x:v>
      </x:c>
      <x:c r="H777" s="48" t="n">
        <x:v>0.5462422516509094</x:v>
      </x:c>
      <x:c r="I777" s="48" t="n">
        <x:v>0.8158031580500653</x:v>
      </x:c>
      <x:c r="J777" s="48" t="n">
        <x:v>0.5226941730042147</x:v>
      </x:c>
      <x:c r="K777" s="48" t="n">
        <x:v>0.6147966699509688</x:v>
      </x:c>
      <x:c r="L777" s="48" t="n">
        <x:v>0.9647985878973117</x:v>
      </x:c>
      <x:c r="M777" s="48" t="n">
        <x:v>0.015521901381122579</x:v>
      </x:c>
      <x:c r="N777" s="48" t="n">
        <x:v>0.717455621758149</x:v>
      </x:c>
      <x:c r="O777" s="48" t="n">
        <x:v>0.9230292650150105</x:v>
      </x:c>
      <x:c r="P777" s="48" t="n">
        <x:v>0.6075335089678197</x:v>
      </x:c>
      <x:c r="Q777" s="48" t="n">
        <x:v>1</x:v>
      </x:c>
      <x:c r="R777" s="48" t="n">
        <x:v>0.9049532233474858</x:v>
      </x:c>
      <x:c r="S777" s="29" t="n">
        <x:v>0</x:v>
      </x:c>
    </x:row>
    <x:row r="778" ht="21.600000381469727" hidden="0" customHeight="1">
      <x:c r="A778" s="27" t="n">
        <x:v>258</x:v>
      </x:c>
      <x:c r="B778" s="27" t="str">
        <x:v>A3</x:v>
      </x:c>
      <x:c r="C778" s="47" t="n">
        <x:v>0.9521795819219285</x:v>
      </x:c>
      <x:c r="D778" s="47" t="n">
        <x:v>0.7468819075710716</x:v>
      </x:c>
      <x:c r="E778" s="47" t="n">
        <x:v>0.6826454171028555</x:v>
      </x:c>
      <x:c r="F778" s="47" t="n">
        <x:v>-0.13699413429554586</x:v>
      </x:c>
      <x:c r="G778" s="47" t="n">
        <x:v>-0.0845773448843031</x:v>
      </x:c>
      <x:c r="H778" s="47" t="n">
        <x:v>0.5462422516509094</x:v>
      </x:c>
      <x:c r="I778" s="47" t="n">
        <x:v>0.8158031580500653</x:v>
      </x:c>
      <x:c r="J778" s="47" t="n">
        <x:v>0.5226941730042147</x:v>
      </x:c>
      <x:c r="K778" s="47" t="n">
        <x:v>0.6147966699509688</x:v>
      </x:c>
      <x:c r="L778" s="47" t="n">
        <x:v>0.9647985878973117</x:v>
      </x:c>
      <x:c r="M778" s="47" t="n">
        <x:v>0.015521901381122579</x:v>
      </x:c>
      <x:c r="N778" s="47" t="n">
        <x:v>0.717455621758149</x:v>
      </x:c>
      <x:c r="O778" s="47" t="n">
        <x:v>1</x:v>
      </x:c>
      <x:c r="P778" s="47" t="n">
        <x:v>1</x:v>
      </x:c>
      <x:c r="Q778" s="47" t="n">
        <x:v>1</x:v>
      </x:c>
      <x:c r="R778" s="47" t="n">
        <x:v>1</x:v>
      </x:c>
      <x:c r="S778" s="27" t="n">
        <x:v>1</x:v>
      </x:c>
    </x:row>
    <x:row r="779" ht="21.600000381469727" hidden="0" customHeight="1">
      <x:c r="A779" s="29" t="n">
        <x:v>259</x:v>
      </x:c>
      <x:c r="B779" s="29" t="str">
        <x:v>A1</x:v>
      </x:c>
      <x:c r="C779" s="48" t="n">
        <x:v>0.9171382012537452</x:v>
      </x:c>
      <x:c r="D779" s="48" t="n">
        <x:v>0.8873232981006929</x:v>
      </x:c>
      <x:c r="E779" s="48" t="n">
        <x:v>0.6798026945494116</x:v>
      </x:c>
      <x:c r="F779" s="48" t="n">
        <x:v>-0.14206399582467424</x:v>
      </x:c>
      <x:c r="G779" s="48" t="n">
        <x:v>-0.06102336452832344</x:v>
      </x:c>
      <x:c r="H779" s="48" t="n">
        <x:v>0.9579256829374432</x:v>
      </x:c>
      <x:c r="I779" s="48" t="n">
        <x:v>0.6979617277704672</x:v>
      </x:c>
      <x:c r="J779" s="48" t="n">
        <x:v>0.504557088092369</x:v>
      </x:c>
      <x:c r="K779" s="48" t="n">
        <x:v>0.9953033390908484</x:v>
      </x:c>
      <x:c r="L779" s="48" t="n">
        <x:v>0.5602741869924409</x:v>
      </x:c>
      <x:c r="M779" s="48" t="n">
        <x:v>0.0026552060968782275</x:v>
      </x:c>
      <x:c r="N779" s="48" t="n">
        <x:v>0.9388978507918957</x:v>
      </x:c>
      <x:c r="O779" s="48" t="n">
        <x:v>0.8973927744257095</x:v>
      </x:c>
      <x:c r="P779" s="48" t="n">
        <x:v>0.7057043151088328</x:v>
      </x:c>
      <x:c r="Q779" s="48" t="n">
        <x:v>1</x:v>
      </x:c>
      <x:c r="R779" s="48" t="n">
        <x:v>0.8732961812824622</x:v>
      </x:c>
      <x:c r="S779" s="29" t="n">
        <x:v>0</x:v>
      </x:c>
    </x:row>
    <x:row r="780" ht="21.600000381469727" hidden="0" customHeight="1">
      <x:c r="A780" s="27" t="n">
        <x:v>259</x:v>
      </x:c>
      <x:c r="B780" s="27" t="str">
        <x:v>A2</x:v>
      </x:c>
      <x:c r="C780" s="47" t="n">
        <x:v>0.9171382012537452</x:v>
      </x:c>
      <x:c r="D780" s="47" t="n">
        <x:v>0.8873232981006929</x:v>
      </x:c>
      <x:c r="E780" s="47" t="n">
        <x:v>0.6798026945494116</x:v>
      </x:c>
      <x:c r="F780" s="47" t="n">
        <x:v>-0.14206399582467424</x:v>
      </x:c>
      <x:c r="G780" s="47" t="n">
        <x:v>-0.06102336452832344</x:v>
      </x:c>
      <x:c r="H780" s="47" t="n">
        <x:v>0.9579256829374432</x:v>
      </x:c>
      <x:c r="I780" s="47" t="n">
        <x:v>0.6979617277704672</x:v>
      </x:c>
      <x:c r="J780" s="47" t="n">
        <x:v>0.504557088092369</x:v>
      </x:c>
      <x:c r="K780" s="47" t="n">
        <x:v>0.9953033390908484</x:v>
      </x:c>
      <x:c r="L780" s="47" t="n">
        <x:v>0.5602741869924409</x:v>
      </x:c>
      <x:c r="M780" s="47" t="n">
        <x:v>0.0026552060968782275</x:v>
      </x:c>
      <x:c r="N780" s="47" t="n">
        <x:v>0.9388978507918957</x:v>
      </x:c>
      <x:c r="O780" s="47" t="n">
        <x:v>0.9697707026816339</x:v>
      </x:c>
      <x:c r="P780" s="47" t="n">
        <x:v>0.7556609205636972</x:v>
      </x:c>
      <x:c r="Q780" s="47" t="n">
        <x:v>1</x:v>
      </x:c>
      <x:c r="R780" s="47" t="n">
        <x:v>0.9626715624952585</x:v>
      </x:c>
      <x:c r="S780" s="27" t="n">
        <x:v>0</x:v>
      </x:c>
    </x:row>
    <x:row r="781" ht="21.600000381469727" hidden="0" customHeight="1">
      <x:c r="A781" s="29" t="n">
        <x:v>259</x:v>
      </x:c>
      <x:c r="B781" s="29" t="str">
        <x:v>A3</x:v>
      </x:c>
      <x:c r="C781" s="48" t="n">
        <x:v>0.9171382012537452</x:v>
      </x:c>
      <x:c r="D781" s="48" t="n">
        <x:v>0.8873232981006929</x:v>
      </x:c>
      <x:c r="E781" s="48" t="n">
        <x:v>0.6798026945494116</x:v>
      </x:c>
      <x:c r="F781" s="48" t="n">
        <x:v>-0.14206399582467424</x:v>
      </x:c>
      <x:c r="G781" s="48" t="n">
        <x:v>-0.06102336452832344</x:v>
      </x:c>
      <x:c r="H781" s="48" t="n">
        <x:v>0.9579256829374432</x:v>
      </x:c>
      <x:c r="I781" s="48" t="n">
        <x:v>0.6979617277704672</x:v>
      </x:c>
      <x:c r="J781" s="48" t="n">
        <x:v>0.504557088092369</x:v>
      </x:c>
      <x:c r="K781" s="48" t="n">
        <x:v>0.9953033390908484</x:v>
      </x:c>
      <x:c r="L781" s="48" t="n">
        <x:v>0.5602741869924409</x:v>
      </x:c>
      <x:c r="M781" s="48" t="n">
        <x:v>0.0026552060968782275</x:v>
      </x:c>
      <x:c r="N781" s="48" t="n">
        <x:v>0.9388978507918957</x:v>
      </x:c>
      <x:c r="O781" s="48" t="n">
        <x:v>1</x:v>
      </x:c>
      <x:c r="P781" s="48" t="n">
        <x:v>1</x:v>
      </x:c>
      <x:c r="Q781" s="48" t="n">
        <x:v>1</x:v>
      </x:c>
      <x:c r="R781" s="48" t="n">
        <x:v>1</x:v>
      </x:c>
      <x:c r="S781" s="29" t="n">
        <x:v>1</x:v>
      </x:c>
    </x:row>
    <x:row r="782" ht="21.600000381469727" hidden="0" customHeight="1">
      <x:c r="A782" s="27" t="n">
        <x:v>260</x:v>
      </x:c>
      <x:c r="B782" s="27" t="str">
        <x:v>A1</x:v>
      </x:c>
      <x:c r="C782" s="47" t="n">
        <x:v>1.255696048437473</x:v>
      </x:c>
      <x:c r="D782" s="47" t="n">
        <x:v>0.9886067022787661</x:v>
      </x:c>
      <x:c r="E782" s="47" t="n">
        <x:v>0.9768752123174866</x:v>
      </x:c>
      <x:c r="F782" s="47" t="n">
        <x:v>0.009154177651866324</x:v>
      </x:c>
      <x:c r="G782" s="47" t="n">
        <x:v>-0.021135818261000916</x:v>
      </x:c>
      <x:c r="H782" s="47" t="n">
        <x:v>0.43578947813248803</x:v>
      </x:c>
      <x:c r="I782" s="47" t="n">
        <x:v>0.6260502971607097</x:v>
      </x:c>
      <x:c r="J782" s="47" t="n">
        <x:v>0.5318357538351914</x:v>
      </x:c>
      <x:c r="K782" s="47" t="n">
        <x:v>0.8392652276485232</x:v>
      </x:c>
      <x:c r="L782" s="47" t="n">
        <x:v>0.9422583260088218</x:v>
      </x:c>
      <x:c r="M782" s="47" t="n">
        <x:v>0.06039183713298072</x:v>
      </x:c>
      <x:c r="N782" s="47" t="n">
        <x:v>0.6849216774952361</x:v>
      </x:c>
      <x:c r="O782" s="47" t="n">
        <x:v>0.8618857028247264</x:v>
      </x:c>
      <x:c r="P782" s="47" t="n">
        <x:v>0.6259134114221042</x:v>
      </x:c>
      <x:c r="Q782" s="47" t="n">
        <x:v>1</x:v>
      </x:c>
      <x:c r="R782" s="47" t="n">
        <x:v>0.8294505209194479</x:v>
      </x:c>
      <x:c r="S782" s="27" t="n">
        <x:v>0</x:v>
      </x:c>
    </x:row>
    <x:row r="783" ht="21.600000381469727" hidden="0" customHeight="1">
      <x:c r="A783" s="29" t="n">
        <x:v>260</x:v>
      </x:c>
      <x:c r="B783" s="29" t="str">
        <x:v>A2</x:v>
      </x:c>
      <x:c r="C783" s="48" t="n">
        <x:v>1.255696048437473</x:v>
      </x:c>
      <x:c r="D783" s="48" t="n">
        <x:v>0.9886067022787661</x:v>
      </x:c>
      <x:c r="E783" s="48" t="n">
        <x:v>0.9768752123174866</x:v>
      </x:c>
      <x:c r="F783" s="48" t="n">
        <x:v>0.009154177651866324</x:v>
      </x:c>
      <x:c r="G783" s="48" t="n">
        <x:v>-0.021135818261000916</x:v>
      </x:c>
      <x:c r="H783" s="48" t="n">
        <x:v>0.43578947813248803</x:v>
      </x:c>
      <x:c r="I783" s="48" t="n">
        <x:v>0.6260502971607097</x:v>
      </x:c>
      <x:c r="J783" s="48" t="n">
        <x:v>0.5318357538351914</x:v>
      </x:c>
      <x:c r="K783" s="48" t="n">
        <x:v>0.8392652276485232</x:v>
      </x:c>
      <x:c r="L783" s="48" t="n">
        <x:v>0.9422583260088218</x:v>
      </x:c>
      <x:c r="M783" s="48" t="n">
        <x:v>0.06039183713298072</x:v>
      </x:c>
      <x:c r="N783" s="48" t="n">
        <x:v>0.6849216774952361</x:v>
      </x:c>
      <x:c r="O783" s="48" t="n">
        <x:v>0.9481505082256372</x:v>
      </x:c>
      <x:c r="P783" s="48" t="n">
        <x:v>0.6849072203597265</x:v>
      </x:c>
      <x:c r="Q783" s="48" t="n">
        <x:v>1</x:v>
      </x:c>
      <x:c r="R783" s="48" t="n">
        <x:v>0.93597401577125</x:v>
      </x:c>
      <x:c r="S783" s="29" t="n">
        <x:v>0</x:v>
      </x:c>
    </x:row>
    <x:row r="784" ht="21.600000381469727" hidden="0" customHeight="1">
      <x:c r="A784" s="27" t="n">
        <x:v>260</x:v>
      </x:c>
      <x:c r="B784" s="27" t="str">
        <x:v>A3</x:v>
      </x:c>
      <x:c r="C784" s="47" t="n">
        <x:v>1.255696048437473</x:v>
      </x:c>
      <x:c r="D784" s="47" t="n">
        <x:v>0.9886067022787661</x:v>
      </x:c>
      <x:c r="E784" s="47" t="n">
        <x:v>0.9768752123174866</x:v>
      </x:c>
      <x:c r="F784" s="47" t="n">
        <x:v>0.009154177651866324</x:v>
      </x:c>
      <x:c r="G784" s="47" t="n">
        <x:v>-0.021135818261000916</x:v>
      </x:c>
      <x:c r="H784" s="47" t="n">
        <x:v>0.43578947813248803</x:v>
      </x:c>
      <x:c r="I784" s="47" t="n">
        <x:v>0.6260502971607097</x:v>
      </x:c>
      <x:c r="J784" s="47" t="n">
        <x:v>0.5318357538351914</x:v>
      </x:c>
      <x:c r="K784" s="47" t="n">
        <x:v>0.8392652276485232</x:v>
      </x:c>
      <x:c r="L784" s="47" t="n">
        <x:v>0.9422583260088218</x:v>
      </x:c>
      <x:c r="M784" s="47" t="n">
        <x:v>0.06039183713298072</x:v>
      </x:c>
      <x:c r="N784" s="47" t="n">
        <x:v>0.6849216774952361</x:v>
      </x:c>
      <x:c r="O784" s="47" t="n">
        <x:v>1</x:v>
      </x:c>
      <x:c r="P784" s="47" t="n">
        <x:v>1</x:v>
      </x:c>
      <x:c r="Q784" s="47" t="n">
        <x:v>1</x:v>
      </x:c>
      <x:c r="R784" s="47" t="n">
        <x:v>1</x:v>
      </x:c>
      <x:c r="S784" s="27" t="n">
        <x:v>1</x:v>
      </x:c>
    </x:row>
    <x:row r="785" ht="21.600000381469727" hidden="0" customHeight="1">
      <x:c r="A785" s="29" t="n">
        <x:v>261</x:v>
      </x:c>
      <x:c r="B785" s="29" t="str">
        <x:v>A1</x:v>
      </x:c>
      <x:c r="C785" s="48" t="n">
        <x:v>1.1249061387705799</x:v>
      </x:c>
      <x:c r="D785" s="48" t="n">
        <x:v>0.8375891797546893</x:v>
      </x:c>
      <x:c r="E785" s="48" t="n">
        <x:v>0.5789651787179867</x:v>
      </x:c>
      <x:c r="F785" s="48" t="n">
        <x:v>-0.005907155198463104</x:v>
      </x:c>
      <x:c r="G785" s="48" t="n">
        <x:v>-0.056419330054430505</x:v>
      </x:c>
      <x:c r="H785" s="48" t="n">
        <x:v>0.9874050402402632</x:v>
      </x:c>
      <x:c r="I785" s="48" t="n">
        <x:v>0.9948565098599875</x:v>
      </x:c>
      <x:c r="J785" s="48" t="n">
        <x:v>0.863190564739055</x:v>
      </x:c>
      <x:c r="K785" s="48" t="n">
        <x:v>0.8075109113939802</x:v>
      </x:c>
      <x:c r="L785" s="48" t="n">
        <x:v>0.7347020612881277</x:v>
      </x:c>
      <x:c r="M785" s="48" t="n">
        <x:v>0.12548004844099514</x:v>
      </x:c>
      <x:c r="N785" s="48" t="n">
        <x:v>0.9145929628141478</x:v>
      </x:c>
      <x:c r="O785" s="48" t="n">
        <x:v>0.8667843230841669</x:v>
      </x:c>
      <x:c r="P785" s="48" t="n">
        <x:v>0.570700878869696</x:v>
      </x:c>
      <x:c r="Q785" s="48" t="n">
        <x:v>1</x:v>
      </x:c>
      <x:c r="R785" s="48" t="n">
        <x:v>0.8354995480697708</x:v>
      </x:c>
      <x:c r="S785" s="29" t="n">
        <x:v>0</x:v>
      </x:c>
    </x:row>
    <x:row r="786" ht="21.600000381469727" hidden="0" customHeight="1">
      <x:c r="A786" s="27" t="n">
        <x:v>261</x:v>
      </x:c>
      <x:c r="B786" s="27" t="str">
        <x:v>A2</x:v>
      </x:c>
      <x:c r="C786" s="47" t="n">
        <x:v>1.1249061387705799</x:v>
      </x:c>
      <x:c r="D786" s="47" t="n">
        <x:v>0.8375891797546893</x:v>
      </x:c>
      <x:c r="E786" s="47" t="n">
        <x:v>0.5789651787179867</x:v>
      </x:c>
      <x:c r="F786" s="47" t="n">
        <x:v>-0.005907155198463104</x:v>
      </x:c>
      <x:c r="G786" s="47" t="n">
        <x:v>-0.056419330054430505</x:v>
      </x:c>
      <x:c r="H786" s="47" t="n">
        <x:v>0.9874050402402632</x:v>
      </x:c>
      <x:c r="I786" s="47" t="n">
        <x:v>0.9948565098599875</x:v>
      </x:c>
      <x:c r="J786" s="47" t="n">
        <x:v>0.863190564739055</x:v>
      </x:c>
      <x:c r="K786" s="47" t="n">
        <x:v>0.8075109113939802</x:v>
      </x:c>
      <x:c r="L786" s="47" t="n">
        <x:v>0.7347020612881277</x:v>
      </x:c>
      <x:c r="M786" s="47" t="n">
        <x:v>0.12548004844099514</x:v>
      </x:c>
      <x:c r="N786" s="47" t="n">
        <x:v>0.9145929628141478</x:v>
      </x:c>
      <x:c r="O786" s="47" t="n">
        <x:v>0.9507261185088344</x:v>
      </x:c>
      <x:c r="P786" s="47" t="n">
        <x:v>0.6364500500486563</x:v>
      </x:c>
      <x:c r="Q786" s="47" t="n">
        <x:v>1</x:v>
      </x:c>
      <x:c r="R786" s="47" t="n">
        <x:v>0.9391544902123308</x:v>
      </x:c>
      <x:c r="S786" s="27" t="n">
        <x:v>0</x:v>
      </x:c>
    </x:row>
    <x:row r="787" ht="21.600000381469727" hidden="0" customHeight="1">
      <x:c r="A787" s="29" t="n">
        <x:v>261</x:v>
      </x:c>
      <x:c r="B787" s="29" t="str">
        <x:v>A3</x:v>
      </x:c>
      <x:c r="C787" s="48" t="n">
        <x:v>1.1249061387705799</x:v>
      </x:c>
      <x:c r="D787" s="48" t="n">
        <x:v>0.8375891797546893</x:v>
      </x:c>
      <x:c r="E787" s="48" t="n">
        <x:v>0.5789651787179867</x:v>
      </x:c>
      <x:c r="F787" s="48" t="n">
        <x:v>-0.005907155198463104</x:v>
      </x:c>
      <x:c r="G787" s="48" t="n">
        <x:v>-0.056419330054430505</x:v>
      </x:c>
      <x:c r="H787" s="48" t="n">
        <x:v>0.9874050402402632</x:v>
      </x:c>
      <x:c r="I787" s="48" t="n">
        <x:v>0.9948565098599875</x:v>
      </x:c>
      <x:c r="J787" s="48" t="n">
        <x:v>0.863190564739055</x:v>
      </x:c>
      <x:c r="K787" s="48" t="n">
        <x:v>0.8075109113939802</x:v>
      </x:c>
      <x:c r="L787" s="48" t="n">
        <x:v>0.7347020612881277</x:v>
      </x:c>
      <x:c r="M787" s="48" t="n">
        <x:v>0.12548004844099514</x:v>
      </x:c>
      <x:c r="N787" s="48" t="n">
        <x:v>0.9145929628141478</x:v>
      </x:c>
      <x:c r="O787" s="48" t="n">
        <x:v>1</x:v>
      </x:c>
      <x:c r="P787" s="48" t="n">
        <x:v>1</x:v>
      </x:c>
      <x:c r="Q787" s="48" t="n">
        <x:v>1</x:v>
      </x:c>
      <x:c r="R787" s="48" t="n">
        <x:v>1</x:v>
      </x:c>
      <x:c r="S787" s="29" t="n">
        <x:v>1</x:v>
      </x:c>
    </x:row>
    <x:row r="788" ht="21.600000381469727" hidden="0" customHeight="1">
      <x:c r="A788" s="27" t="n">
        <x:v>262</x:v>
      </x:c>
      <x:c r="B788" s="27" t="str">
        <x:v>A1</x:v>
      </x:c>
      <x:c r="C788" s="47" t="n">
        <x:v>1.1859769549175905</x:v>
      </x:c>
      <x:c r="D788" s="47" t="n">
        <x:v>0.804691930082371</x:v>
      </x:c>
      <x:c r="E788" s="47" t="n">
        <x:v>0.4708333018594465</x:v>
      </x:c>
      <x:c r="F788" s="47" t="n">
        <x:v>0.01811406395642018</x:v>
      </x:c>
      <x:c r="G788" s="47" t="n">
        <x:v>-0.09526982177462291</x:v>
      </x:c>
      <x:c r="H788" s="47" t="n">
        <x:v>1.0438127357063902</x:v>
      </x:c>
      <x:c r="I788" s="47" t="n">
        <x:v>0.8715944355341332</x:v>
      </x:c>
      <x:c r="J788" s="47" t="n">
        <x:v>0.9147652709650838</x:v>
      </x:c>
      <x:c r="K788" s="47" t="n">
        <x:v>0.5807154726904393</x:v>
      </x:c>
      <x:c r="L788" s="47" t="n">
        <x:v>0.624281924776606</x:v>
      </x:c>
      <x:c r="M788" s="47" t="n">
        <x:v>0.092265910139119</x:v>
      </x:c>
      <x:c r="N788" s="47" t="n">
        <x:v>0.8933899824944543</x:v>
      </x:c>
      <x:c r="O788" s="47" t="n">
        <x:v>0.739340998271388</x:v>
      </x:c>
      <x:c r="P788" s="47" t="n">
        <x:v>0.48443713323946674</x:v>
      </x:c>
      <x:c r="Q788" s="47" t="n">
        <x:v>0.9490320210371982</x:v>
      </x:c>
      <x:c r="R788" s="47" t="n">
        <x:v>0.6785055766928916</x:v>
      </x:c>
      <x:c r="S788" s="27" t="n">
        <x:v>0</x:v>
      </x:c>
    </x:row>
    <x:row r="789" ht="21.600000381469727" hidden="0" customHeight="1">
      <x:c r="A789" s="29" t="n">
        <x:v>262</x:v>
      </x:c>
      <x:c r="B789" s="29" t="str">
        <x:v>A2</x:v>
      </x:c>
      <x:c r="C789" s="48" t="n">
        <x:v>1.1859769549175905</x:v>
      </x:c>
      <x:c r="D789" s="48" t="n">
        <x:v>0.804691930082371</x:v>
      </x:c>
      <x:c r="E789" s="48" t="n">
        <x:v>0.4708333018594465</x:v>
      </x:c>
      <x:c r="F789" s="48" t="n">
        <x:v>0.01811406395642018</x:v>
      </x:c>
      <x:c r="G789" s="48" t="n">
        <x:v>-0.09526982177462291</x:v>
      </x:c>
      <x:c r="H789" s="48" t="n">
        <x:v>1.0438127357063902</x:v>
      </x:c>
      <x:c r="I789" s="48" t="n">
        <x:v>0.8715944355341332</x:v>
      </x:c>
      <x:c r="J789" s="48" t="n">
        <x:v>0.9147652709650838</x:v>
      </x:c>
      <x:c r="K789" s="48" t="n">
        <x:v>0.5807154726904393</x:v>
      </x:c>
      <x:c r="L789" s="48" t="n">
        <x:v>0.624281924776606</x:v>
      </x:c>
      <x:c r="M789" s="48" t="n">
        <x:v>0.092265910139119</x:v>
      </x:c>
      <x:c r="N789" s="48" t="n">
        <x:v>0.8933899824944543</x:v>
      </x:c>
      <x:c r="O789" s="48" t="n">
        <x:v>0.7977585288937024</x:v>
      </x:c>
      <x:c r="P789" s="48" t="n">
        <x:v>0.4725908151257046</x:v>
      </x:c>
      <x:c r="Q789" s="48" t="n">
        <x:v>0.9999999999999999</x:v>
      </x:c>
      <x:c r="R789" s="48" t="n">
        <x:v>0.7502635262887272</x:v>
      </x:c>
      <x:c r="S789" s="29" t="n">
        <x:v>0</x:v>
      </x:c>
    </x:row>
    <x:row r="790" ht="21.600000381469727" hidden="0" customHeight="1">
      <x:c r="A790" s="27" t="n">
        <x:v>262</x:v>
      </x:c>
      <x:c r="B790" s="27" t="str">
        <x:v>A3</x:v>
      </x:c>
      <x:c r="C790" s="47" t="n">
        <x:v>1.1859769549175905</x:v>
      </x:c>
      <x:c r="D790" s="47" t="n">
        <x:v>0.804691930082371</x:v>
      </x:c>
      <x:c r="E790" s="47" t="n">
        <x:v>0.4708333018594465</x:v>
      </x:c>
      <x:c r="F790" s="47" t="n">
        <x:v>0.01811406395642018</x:v>
      </x:c>
      <x:c r="G790" s="47" t="n">
        <x:v>-0.09526982177462291</x:v>
      </x:c>
      <x:c r="H790" s="47" t="n">
        <x:v>1.0438127357063902</x:v>
      </x:c>
      <x:c r="I790" s="47" t="n">
        <x:v>0.8715944355341332</x:v>
      </x:c>
      <x:c r="J790" s="47" t="n">
        <x:v>0.9147652709650838</x:v>
      </x:c>
      <x:c r="K790" s="47" t="n">
        <x:v>0.5807154726904393</x:v>
      </x:c>
      <x:c r="L790" s="47" t="n">
        <x:v>0.624281924776606</x:v>
      </x:c>
      <x:c r="M790" s="47" t="n">
        <x:v>0.092265910139119</x:v>
      </x:c>
      <x:c r="N790" s="47" t="n">
        <x:v>0.8933899824944543</x:v>
      </x:c>
      <x:c r="O790" s="47" t="n">
        <x:v>1</x:v>
      </x:c>
      <x:c r="P790" s="47" t="n">
        <x:v>1</x:v>
      </x:c>
      <x:c r="Q790" s="47" t="n">
        <x:v>1</x:v>
      </x:c>
      <x:c r="R790" s="47" t="n">
        <x:v>1</x:v>
      </x:c>
      <x:c r="S790" s="27" t="n">
        <x:v>1</x:v>
      </x:c>
    </x:row>
    <x:row r="791" ht="21.600000381469727" hidden="0" customHeight="1">
      <x:c r="A791" s="29" t="n">
        <x:v>263</x:v>
      </x:c>
      <x:c r="B791" s="29" t="str">
        <x:v>A1</x:v>
      </x:c>
      <x:c r="C791" s="48" t="n">
        <x:v>1.2884994355324455</x:v>
      </x:c>
      <x:c r="D791" s="48" t="n">
        <x:v>0.7273038343482839</x:v>
      </x:c>
      <x:c r="E791" s="48" t="n">
        <x:v>1.0769253443788485</x:v>
      </x:c>
      <x:c r="F791" s="48" t="n">
        <x:v>-0.19901705476639042</x:v>
      </x:c>
      <x:c r="G791" s="48" t="n">
        <x:v>-0.09355812476421249</x:v>
      </x:c>
      <x:c r="H791" s="48" t="n">
        <x:v>0.6842200596276746</x:v>
      </x:c>
      <x:c r="I791" s="48" t="n">
        <x:v>0.9779959176883993</x:v>
      </x:c>
      <x:c r="J791" s="48" t="n">
        <x:v>0.6470438700201616</x:v>
      </x:c>
      <x:c r="K791" s="48" t="n">
        <x:v>0.6591679889478308</x:v>
      </x:c>
      <x:c r="L791" s="48" t="n">
        <x:v>0.9309882654390658</x:v>
      </x:c>
      <x:c r="M791" s="48" t="n">
        <x:v>0.10590288032890409</x:v>
      </x:c>
      <x:c r="N791" s="48" t="n">
        <x:v>0.6970889111657931</x:v>
      </x:c>
      <x:c r="O791" s="48" t="n">
        <x:v>0.7393925344184009</x:v>
      </x:c>
      <x:c r="P791" s="48" t="n">
        <x:v>0.4730863581050825</x:v>
      </x:c>
      <x:c r="Q791" s="48" t="n">
        <x:v>0.9244492028452483</x:v>
      </x:c>
      <x:c r="R791" s="48" t="n">
        <x:v>0.6787517887353672</x:v>
      </x:c>
      <x:c r="S791" s="29" t="n">
        <x:v>0</x:v>
      </x:c>
    </x:row>
    <x:row r="792" ht="21.600000381469727" hidden="0" customHeight="1">
      <x:c r="A792" s="27" t="n">
        <x:v>263</x:v>
      </x:c>
      <x:c r="B792" s="27" t="str">
        <x:v>A2</x:v>
      </x:c>
      <x:c r="C792" s="47" t="n">
        <x:v>1.2884994355324455</x:v>
      </x:c>
      <x:c r="D792" s="47" t="n">
        <x:v>0.7273038343482839</x:v>
      </x:c>
      <x:c r="E792" s="47" t="n">
        <x:v>1.0769253443788485</x:v>
      </x:c>
      <x:c r="F792" s="47" t="n">
        <x:v>-0.19901705476639042</x:v>
      </x:c>
      <x:c r="G792" s="47" t="n">
        <x:v>-0.09355812476421249</x:v>
      </x:c>
      <x:c r="H792" s="47" t="n">
        <x:v>0.6842200596276746</x:v>
      </x:c>
      <x:c r="I792" s="47" t="n">
        <x:v>0.9779959176883993</x:v>
      </x:c>
      <x:c r="J792" s="47" t="n">
        <x:v>0.6470438700201616</x:v>
      </x:c>
      <x:c r="K792" s="47" t="n">
        <x:v>0.6591679889478308</x:v>
      </x:c>
      <x:c r="L792" s="47" t="n">
        <x:v>0.9309882654390658</x:v>
      </x:c>
      <x:c r="M792" s="47" t="n">
        <x:v>0.10590288032890409</x:v>
      </x:c>
      <x:c r="N792" s="47" t="n">
        <x:v>0.6970889111657931</x:v>
      </x:c>
      <x:c r="O792" s="47" t="n">
        <x:v>0.833875141147665</x:v>
      </x:c>
      <x:c r="P792" s="47" t="n">
        <x:v>0.5255962178189718</x:v>
      </x:c>
      <x:c r="Q792" s="47" t="n">
        <x:v>1</x:v>
      </x:c>
      <x:c r="R792" s="47" t="n">
        <x:v>0.7948618736868298</x:v>
      </x:c>
      <x:c r="S792" s="27" t="n">
        <x:v>0</x:v>
      </x:c>
    </x:row>
    <x:row r="793" ht="21.600000381469727" hidden="0" customHeight="1">
      <x:c r="A793" s="29" t="n">
        <x:v>263</x:v>
      </x:c>
      <x:c r="B793" s="29" t="str">
        <x:v>A3</x:v>
      </x:c>
      <x:c r="C793" s="48" t="n">
        <x:v>1.2884994355324455</x:v>
      </x:c>
      <x:c r="D793" s="48" t="n">
        <x:v>0.7273038343482839</x:v>
      </x:c>
      <x:c r="E793" s="48" t="n">
        <x:v>1.0769253443788485</x:v>
      </x:c>
      <x:c r="F793" s="48" t="n">
        <x:v>-0.19901705476639042</x:v>
      </x:c>
      <x:c r="G793" s="48" t="n">
        <x:v>-0.09355812476421249</x:v>
      </x:c>
      <x:c r="H793" s="48" t="n">
        <x:v>0.6842200596276746</x:v>
      </x:c>
      <x:c r="I793" s="48" t="n">
        <x:v>0.9779959176883993</x:v>
      </x:c>
      <x:c r="J793" s="48" t="n">
        <x:v>0.6470438700201616</x:v>
      </x:c>
      <x:c r="K793" s="48" t="n">
        <x:v>0.6591679889478308</x:v>
      </x:c>
      <x:c r="L793" s="48" t="n">
        <x:v>0.9309882654390658</x:v>
      </x:c>
      <x:c r="M793" s="48" t="n">
        <x:v>0.10590288032890409</x:v>
      </x:c>
      <x:c r="N793" s="48" t="n">
        <x:v>0.6970889111657931</x:v>
      </x:c>
      <x:c r="O793" s="48" t="n">
        <x:v>1</x:v>
      </x:c>
      <x:c r="P793" s="48" t="n">
        <x:v>1</x:v>
      </x:c>
      <x:c r="Q793" s="48" t="n">
        <x:v>1</x:v>
      </x:c>
      <x:c r="R793" s="48" t="n">
        <x:v>1</x:v>
      </x:c>
      <x:c r="S793" s="29" t="n">
        <x:v>1</x:v>
      </x:c>
    </x:row>
    <x:row r="794" ht="21.600000381469727" hidden="0" customHeight="1">
      <x:c r="A794" s="27" t="n">
        <x:v>264</x:v>
      </x:c>
      <x:c r="B794" s="27" t="str">
        <x:v>A1</x:v>
      </x:c>
      <x:c r="C794" s="47" t="n">
        <x:v>0.9263723794152139</x:v>
      </x:c>
      <x:c r="D794" s="47" t="n">
        <x:v>0.9102980923620183</x:v>
      </x:c>
      <x:c r="E794" s="47" t="n">
        <x:v>0.7057851106923985</x:v>
      </x:c>
      <x:c r="F794" s="47" t="n">
        <x:v>-0.0833612122419767</x:v>
      </x:c>
      <x:c r="G794" s="47" t="n">
        <x:v>-0.08993339105070476</x:v>
      </x:c>
      <x:c r="H794" s="47" t="n">
        <x:v>0.8354774095177744</x:v>
      </x:c>
      <x:c r="I794" s="47" t="n">
        <x:v>0.9518050334573886</x:v>
      </x:c>
      <x:c r="J794" s="47" t="n">
        <x:v>0.679150654580196</x:v>
      </x:c>
      <x:c r="K794" s="47" t="n">
        <x:v>0.6967013848859029</x:v>
      </x:c>
      <x:c r="L794" s="47" t="n">
        <x:v>0.8539945003922991</x:v>
      </x:c>
      <x:c r="M794" s="47" t="n">
        <x:v>0.02307334130337425</x:v>
      </x:c>
      <x:c r="N794" s="47" t="n">
        <x:v>0.8249285880884638</x:v>
      </x:c>
      <x:c r="O794" s="47" t="n">
        <x:v>0.9557104888581177</x:v>
      </x:c>
      <x:c r="P794" s="47" t="n">
        <x:v>0.7881001900575079</x:v>
      </x:c>
      <x:c r="Q794" s="47" t="n">
        <x:v>1</x:v>
      </x:c>
      <x:c r="R794" s="47" t="n">
        <x:v>0.9453094052645793</x:v>
      </x:c>
      <x:c r="S794" s="27" t="n">
        <x:v>0</x:v>
      </x:c>
    </x:row>
    <x:row r="795" ht="21.600000381469727" hidden="0" customHeight="1">
      <x:c r="A795" s="29" t="n">
        <x:v>264</x:v>
      </x:c>
      <x:c r="B795" s="29" t="str">
        <x:v>A2</x:v>
      </x:c>
      <x:c r="C795" s="48" t="n">
        <x:v>0.9263723794152139</x:v>
      </x:c>
      <x:c r="D795" s="48" t="n">
        <x:v>0.9102980923620183</x:v>
      </x:c>
      <x:c r="E795" s="48" t="n">
        <x:v>0.7057851106923985</x:v>
      </x:c>
      <x:c r="F795" s="48" t="n">
        <x:v>-0.0833612122419767</x:v>
      </x:c>
      <x:c r="G795" s="48" t="n">
        <x:v>-0.08993339105070476</x:v>
      </x:c>
      <x:c r="H795" s="48" t="n">
        <x:v>0.8354774095177744</x:v>
      </x:c>
      <x:c r="I795" s="48" t="n">
        <x:v>0.9518050334573886</x:v>
      </x:c>
      <x:c r="J795" s="48" t="n">
        <x:v>0.679150654580196</x:v>
      </x:c>
      <x:c r="K795" s="48" t="n">
        <x:v>0.6967013848859029</x:v>
      </x:c>
      <x:c r="L795" s="48" t="n">
        <x:v>0.8539945003922991</x:v>
      </x:c>
      <x:c r="M795" s="48" t="n">
        <x:v>0.02307334130337425</x:v>
      </x:c>
      <x:c r="N795" s="48" t="n">
        <x:v>0.8249285880884638</x:v>
      </x:c>
      <x:c r="O795" s="48" t="n">
        <x:v>0.9952446111862495</x:v>
      </x:c>
      <x:c r="P795" s="48" t="n">
        <x:v>0.9524461118624942</x:v>
      </x:c>
      <x:c r="Q795" s="48" t="n">
        <x:v>1</x:v>
      </x:c>
      <x:c r="R795" s="48" t="n">
        <x:v>0.9941278412040035</x:v>
      </x:c>
      <x:c r="S795" s="29" t="n">
        <x:v>1</x:v>
      </x:c>
    </x:row>
    <x:row r="796" ht="21.600000381469727" hidden="0" customHeight="1">
      <x:c r="A796" s="27" t="n">
        <x:v>264</x:v>
      </x:c>
      <x:c r="B796" s="27" t="str">
        <x:v>A3</x:v>
      </x:c>
      <x:c r="C796" s="47" t="n">
        <x:v>0.9263723794152139</x:v>
      </x:c>
      <x:c r="D796" s="47" t="n">
        <x:v>0.9102980923620183</x:v>
      </x:c>
      <x:c r="E796" s="47" t="n">
        <x:v>0.7057851106923985</x:v>
      </x:c>
      <x:c r="F796" s="47" t="n">
        <x:v>-0.0833612122419767</x:v>
      </x:c>
      <x:c r="G796" s="47" t="n">
        <x:v>-0.08993339105070476</x:v>
      </x:c>
      <x:c r="H796" s="47" t="n">
        <x:v>0.8354774095177744</x:v>
      </x:c>
      <x:c r="I796" s="47" t="n">
        <x:v>0.9518050334573886</x:v>
      </x:c>
      <x:c r="J796" s="47" t="n">
        <x:v>0.679150654580196</x:v>
      </x:c>
      <x:c r="K796" s="47" t="n">
        <x:v>0.6967013848859029</x:v>
      </x:c>
      <x:c r="L796" s="47" t="n">
        <x:v>0.8539945003922991</x:v>
      </x:c>
      <x:c r="M796" s="47" t="n">
        <x:v>0.02307334130337425</x:v>
      </x:c>
      <x:c r="N796" s="47" t="n">
        <x:v>0.8249285880884638</x:v>
      </x:c>
      <x:c r="O796" s="47" t="n">
        <x:v>1</x:v>
      </x:c>
      <x:c r="P796" s="47" t="n">
        <x:v>1</x:v>
      </x:c>
      <x:c r="Q796" s="47" t="n">
        <x:v>1</x:v>
      </x:c>
      <x:c r="R796" s="47" t="n">
        <x:v>1</x:v>
      </x:c>
      <x:c r="S796" s="27" t="n">
        <x:v>1</x:v>
      </x:c>
    </x:row>
    <x:row r="797" ht="21.600000381469727" hidden="0" customHeight="1">
      <x:c r="A797" s="29" t="n">
        <x:v>265</x:v>
      </x:c>
      <x:c r="B797" s="29" t="str">
        <x:v>A1</x:v>
      </x:c>
      <x:c r="C797" s="48" t="n">
        <x:v>1.0094864104010306</x:v>
      </x:c>
      <x:c r="D797" s="48" t="n">
        <x:v>0.7226068972849232</x:v>
      </x:c>
      <x:c r="E797" s="48" t="n">
        <x:v>1.0954549105341094</x:v>
      </x:c>
      <x:c r="F797" s="48" t="n">
        <x:v>-0.10077285637138864</x:v>
      </x:c>
      <x:c r="G797" s="48" t="n">
        <x:v>-0.03550300611113749</x:v>
      </x:c>
      <x:c r="H797" s="48" t="n">
        <x:v>0.4089920918542865</x:v>
      </x:c>
      <x:c r="I797" s="48" t="n">
        <x:v>0.6495791973062766</x:v>
      </x:c>
      <x:c r="J797" s="48" t="n">
        <x:v>0.44801797052929343</x:v>
      </x:c>
      <x:c r="K797" s="48" t="n">
        <x:v>0.7646410500565479</x:v>
      </x:c>
      <x:c r="L797" s="48" t="n">
        <x:v>0.5490009382563015</x:v>
      </x:c>
      <x:c r="M797" s="48" t="n">
        <x:v>0.03706223988596952</x:v>
      </x:c>
      <x:c r="N797" s="48" t="n">
        <x:v>0.9436670143096593</x:v>
      </x:c>
      <x:c r="O797" s="48" t="n">
        <x:v>0.8225264265581939</x:v>
      </x:c>
      <x:c r="P797" s="48" t="n">
        <x:v>0.5538140032819515</x:v>
      </x:c>
      <x:c r="Q797" s="48" t="n">
        <x:v>0.9486697835278941</x:v>
      </x:c>
      <x:c r="R797" s="48" t="n">
        <x:v>0.7812292144218211</x:v>
      </x:c>
      <x:c r="S797" s="29" t="n">
        <x:v>0</x:v>
      </x:c>
    </x:row>
    <x:row r="798" ht="21.600000381469727" hidden="0" customHeight="1">
      <x:c r="A798" s="27" t="n">
        <x:v>265</x:v>
      </x:c>
      <x:c r="B798" s="27" t="str">
        <x:v>A2</x:v>
      </x:c>
      <x:c r="C798" s="47" t="n">
        <x:v>1.0094864104010306</x:v>
      </x:c>
      <x:c r="D798" s="47" t="n">
        <x:v>0.7226068972849232</x:v>
      </x:c>
      <x:c r="E798" s="47" t="n">
        <x:v>1.0954549105341094</x:v>
      </x:c>
      <x:c r="F798" s="47" t="n">
        <x:v>-0.10077285637138864</x:v>
      </x:c>
      <x:c r="G798" s="47" t="n">
        <x:v>-0.03550300611113749</x:v>
      </x:c>
      <x:c r="H798" s="47" t="n">
        <x:v>0.4089920918542865</x:v>
      </x:c>
      <x:c r="I798" s="47" t="n">
        <x:v>0.6495791973062766</x:v>
      </x:c>
      <x:c r="J798" s="47" t="n">
        <x:v>0.44801797052929343</x:v>
      </x:c>
      <x:c r="K798" s="47" t="n">
        <x:v>0.7646410500565479</x:v>
      </x:c>
      <x:c r="L798" s="47" t="n">
        <x:v>0.5490009382563015</x:v>
      </x:c>
      <x:c r="M798" s="47" t="n">
        <x:v>0.03706223988596952</x:v>
      </x:c>
      <x:c r="N798" s="47" t="n">
        <x:v>0.9436670143096593</x:v>
      </x:c>
      <x:c r="O798" s="47" t="n">
        <x:v>0.9222059591031961</x:v>
      </x:c>
      <x:c r="P798" s="47" t="n">
        <x:v>0.6531860804701375</x:v>
      </x:c>
      <x:c r="Q798" s="47" t="n">
        <x:v>1</x:v>
      </x:c>
      <x:c r="R798" s="47" t="n">
        <x:v>0.903936569769575</x:v>
      </x:c>
      <x:c r="S798" s="27" t="n">
        <x:v>0</x:v>
      </x:c>
    </x:row>
    <x:row r="799" ht="21.600000381469727" hidden="0" customHeight="1">
      <x:c r="A799" s="29" t="n">
        <x:v>265</x:v>
      </x:c>
      <x:c r="B799" s="29" t="str">
        <x:v>A3</x:v>
      </x:c>
      <x:c r="C799" s="48" t="n">
        <x:v>1.0094864104010306</x:v>
      </x:c>
      <x:c r="D799" s="48" t="n">
        <x:v>0.7226068972849232</x:v>
      </x:c>
      <x:c r="E799" s="48" t="n">
        <x:v>1.0954549105341094</x:v>
      </x:c>
      <x:c r="F799" s="48" t="n">
        <x:v>-0.10077285637138864</x:v>
      </x:c>
      <x:c r="G799" s="48" t="n">
        <x:v>-0.03550300611113749</x:v>
      </x:c>
      <x:c r="H799" s="48" t="n">
        <x:v>0.4089920918542865</x:v>
      </x:c>
      <x:c r="I799" s="48" t="n">
        <x:v>0.6495791973062766</x:v>
      </x:c>
      <x:c r="J799" s="48" t="n">
        <x:v>0.44801797052929343</x:v>
      </x:c>
      <x:c r="K799" s="48" t="n">
        <x:v>0.7646410500565479</x:v>
      </x:c>
      <x:c r="L799" s="48" t="n">
        <x:v>0.5490009382563015</x:v>
      </x:c>
      <x:c r="M799" s="48" t="n">
        <x:v>0.03706223988596952</x:v>
      </x:c>
      <x:c r="N799" s="48" t="n">
        <x:v>0.9436670143096593</x:v>
      </x:c>
      <x:c r="O799" s="48" t="n">
        <x:v>1</x:v>
      </x:c>
      <x:c r="P799" s="48" t="n">
        <x:v>1</x:v>
      </x:c>
      <x:c r="Q799" s="48" t="n">
        <x:v>1</x:v>
      </x:c>
      <x:c r="R799" s="48" t="n">
        <x:v>1</x:v>
      </x:c>
      <x:c r="S799" s="29" t="n">
        <x:v>1</x:v>
      </x:c>
    </x:row>
    <x:row r="800" ht="21.600000381469727" hidden="0" customHeight="1">
      <x:c r="A800" s="27" t="n">
        <x:v>266</x:v>
      </x:c>
      <x:c r="B800" s="27" t="str">
        <x:v>A1</x:v>
      </x:c>
      <x:c r="C800" s="47" t="n">
        <x:v>0.9243061546889871</x:v>
      </x:c>
      <x:c r="D800" s="47" t="n">
        <x:v>0.963416196716567</x:v>
      </x:c>
      <x:c r="E800" s="47" t="n">
        <x:v>1.0572917941312947</x:v>
      </x:c>
      <x:c r="F800" s="47" t="n">
        <x:v>-0.033746762837650934</x:v>
      </x:c>
      <x:c r="G800" s="47" t="n">
        <x:v>0.017106991300381152</x:v>
      </x:c>
      <x:c r="H800" s="47" t="n">
        <x:v>0.6004843375120679</x:v>
      </x:c>
      <x:c r="I800" s="47" t="n">
        <x:v>0.7793126712177323</x:v>
      </x:c>
      <x:c r="J800" s="47" t="n">
        <x:v>0.8158757421453658</x:v>
      </x:c>
      <x:c r="K800" s="47" t="n">
        <x:v>0.8029409195916996</x:v>
      </x:c>
      <x:c r="L800" s="47" t="n">
        <x:v>0.732455704179055</x:v>
      </x:c>
      <x:c r="M800" s="47" t="n">
        <x:v>0.09614904103907601</x:v>
      </x:c>
      <x:c r="N800" s="47" t="n">
        <x:v>0.9998875288388673</x:v>
      </x:c>
      <x:c r="O800" s="47" t="n">
        <x:v>0.9440071195112525</x:v>
      </x:c>
      <x:c r="P800" s="47" t="n">
        <x:v>0.6028195872548695</x:v>
      </x:c>
      <x:c r="Q800" s="47" t="n">
        <x:v>1</x:v>
      </x:c>
      <x:c r="R800" s="47" t="n">
        <x:v>0.9308575810406026</x:v>
      </x:c>
      <x:c r="S800" s="27" t="n">
        <x:v>0</x:v>
      </x:c>
    </x:row>
    <x:row r="801" ht="21.600000381469727" hidden="0" customHeight="1">
      <x:c r="A801" s="29" t="n">
        <x:v>266</x:v>
      </x:c>
      <x:c r="B801" s="29" t="str">
        <x:v>A2</x:v>
      </x:c>
      <x:c r="C801" s="48" t="n">
        <x:v>0.9243061546889871</x:v>
      </x:c>
      <x:c r="D801" s="48" t="n">
        <x:v>0.963416196716567</x:v>
      </x:c>
      <x:c r="E801" s="48" t="n">
        <x:v>1.0572917941312947</x:v>
      </x:c>
      <x:c r="F801" s="48" t="n">
        <x:v>-0.033746762837650934</x:v>
      </x:c>
      <x:c r="G801" s="48" t="n">
        <x:v>0.017106991300381152</x:v>
      </x:c>
      <x:c r="H801" s="48" t="n">
        <x:v>0.6004843375120679</x:v>
      </x:c>
      <x:c r="I801" s="48" t="n">
        <x:v>0.7793126712177323</x:v>
      </x:c>
      <x:c r="J801" s="48" t="n">
        <x:v>0.8158757421453658</x:v>
      </x:c>
      <x:c r="K801" s="48" t="n">
        <x:v>0.8029409195916996</x:v>
      </x:c>
      <x:c r="L801" s="48" t="n">
        <x:v>0.732455704179055</x:v>
      </x:c>
      <x:c r="M801" s="48" t="n">
        <x:v>0.09614904103907601</x:v>
      </x:c>
      <x:c r="N801" s="48" t="n">
        <x:v>0.9998875288388673</x:v>
      </x:c>
      <x:c r="O801" s="48" t="n">
        <x:v>1</x:v>
      </x:c>
      <x:c r="P801" s="48" t="n">
        <x:v>0.9999999999999999</x:v>
      </x:c>
      <x:c r="Q801" s="48" t="n">
        <x:v>1</x:v>
      </x:c>
      <x:c r="R801" s="48" t="n">
        <x:v>1</x:v>
      </x:c>
      <x:c r="S801" s="29" t="n">
        <x:v>1</x:v>
      </x:c>
    </x:row>
    <x:row r="802" ht="21.600000381469727" hidden="0" customHeight="1">
      <x:c r="A802" s="27" t="n">
        <x:v>266</x:v>
      </x:c>
      <x:c r="B802" s="27" t="str">
        <x:v>A3</x:v>
      </x:c>
      <x:c r="C802" s="47" t="n">
        <x:v>0.9243061546889871</x:v>
      </x:c>
      <x:c r="D802" s="47" t="n">
        <x:v>0.963416196716567</x:v>
      </x:c>
      <x:c r="E802" s="47" t="n">
        <x:v>1.0572917941312947</x:v>
      </x:c>
      <x:c r="F802" s="47" t="n">
        <x:v>-0.033746762837650934</x:v>
      </x:c>
      <x:c r="G802" s="47" t="n">
        <x:v>0.017106991300381152</x:v>
      </x:c>
      <x:c r="H802" s="47" t="n">
        <x:v>0.6004843375120679</x:v>
      </x:c>
      <x:c r="I802" s="47" t="n">
        <x:v>0.7793126712177323</x:v>
      </x:c>
      <x:c r="J802" s="47" t="n">
        <x:v>0.8158757421453658</x:v>
      </x:c>
      <x:c r="K802" s="47" t="n">
        <x:v>0.8029409195916996</x:v>
      </x:c>
      <x:c r="L802" s="47" t="n">
        <x:v>0.732455704179055</x:v>
      </x:c>
      <x:c r="M802" s="47" t="n">
        <x:v>0.09614904103907601</x:v>
      </x:c>
      <x:c r="N802" s="47" t="n">
        <x:v>0.9998875288388673</x:v>
      </x:c>
      <x:c r="O802" s="47" t="n">
        <x:v>1</x:v>
      </x:c>
      <x:c r="P802" s="47" t="n">
        <x:v>1</x:v>
      </x:c>
      <x:c r="Q802" s="47" t="n">
        <x:v>1</x:v>
      </x:c>
      <x:c r="R802" s="47" t="n">
        <x:v>1</x:v>
      </x:c>
      <x:c r="S802" s="27" t="n">
        <x:v>1</x:v>
      </x:c>
    </x:row>
    <x:row r="803" ht="21.600000381469727" hidden="0" customHeight="1">
      <x:c r="A803" s="29" t="n">
        <x:v>267</x:v>
      </x:c>
      <x:c r="B803" s="29" t="str">
        <x:v>A1</x:v>
      </x:c>
      <x:c r="C803" s="48" t="n">
        <x:v>1.126543979477163</x:v>
      </x:c>
      <x:c r="D803" s="48" t="n">
        <x:v>0.9316425307549698</x:v>
      </x:c>
      <x:c r="E803" s="48" t="n">
        <x:v>0.7099066838028124</x:v>
      </x:c>
      <x:c r="F803" s="48" t="n">
        <x:v>0.03227641685926638</x:v>
      </x:c>
      <x:c r="G803" s="48" t="n">
        <x:v>-0.12809828656450634</x:v>
      </x:c>
      <x:c r="H803" s="48" t="n">
        <x:v>0.8624304813602637</x:v>
      </x:c>
      <x:c r="I803" s="48" t="n">
        <x:v>0.7581268460780931</x:v>
      </x:c>
      <x:c r="J803" s="48" t="n">
        <x:v>0.6217280003279839</x:v>
      </x:c>
      <x:c r="K803" s="48" t="n">
        <x:v>0.812420198509904</x:v>
      </x:c>
      <x:c r="L803" s="48" t="n">
        <x:v>0.8069619737558158</x:v>
      </x:c>
      <x:c r="M803" s="48" t="n">
        <x:v>0.13920916905871716</x:v>
      </x:c>
      <x:c r="N803" s="48" t="n">
        <x:v>0.7775305709566689</x:v>
      </x:c>
      <x:c r="O803" s="48" t="n">
        <x:v>0.8991790982540582</x:v>
      </x:c>
      <x:c r="P803" s="48" t="n">
        <x:v>0.6988953907295683</x:v>
      </x:c>
      <x:c r="Q803" s="48" t="n">
        <x:v>1</x:v>
      </x:c>
      <x:c r="R803" s="48" t="n">
        <x:v>0.8755020108354117</x:v>
      </x:c>
      <x:c r="S803" s="29" t="n">
        <x:v>0</x:v>
      </x:c>
    </x:row>
    <x:row r="804" ht="21.600000381469727" hidden="0" customHeight="1">
      <x:c r="A804" s="27" t="n">
        <x:v>267</x:v>
      </x:c>
      <x:c r="B804" s="27" t="str">
        <x:v>A2</x:v>
      </x:c>
      <x:c r="C804" s="47" t="n">
        <x:v>1.126543979477163</x:v>
      </x:c>
      <x:c r="D804" s="47" t="n">
        <x:v>0.9316425307549698</x:v>
      </x:c>
      <x:c r="E804" s="47" t="n">
        <x:v>0.7099066838028124</x:v>
      </x:c>
      <x:c r="F804" s="47" t="n">
        <x:v>0.03227641685926638</x:v>
      </x:c>
      <x:c r="G804" s="47" t="n">
        <x:v>-0.12809828656450634</x:v>
      </x:c>
      <x:c r="H804" s="47" t="n">
        <x:v>0.8624304813602637</x:v>
      </x:c>
      <x:c r="I804" s="47" t="n">
        <x:v>0.7581268460780931</x:v>
      </x:c>
      <x:c r="J804" s="47" t="n">
        <x:v>0.6217280003279839</x:v>
      </x:c>
      <x:c r="K804" s="47" t="n">
        <x:v>0.812420198509904</x:v>
      </x:c>
      <x:c r="L804" s="47" t="n">
        <x:v>0.8069619737558158</x:v>
      </x:c>
      <x:c r="M804" s="47" t="n">
        <x:v>0.13920916905871716</x:v>
      </x:c>
      <x:c r="N804" s="47" t="n">
        <x:v>0.7775305709566689</x:v>
      </x:c>
      <x:c r="O804" s="47" t="n">
        <x:v>0.944474901819246</x:v>
      </x:c>
      <x:c r="P804" s="47" t="n">
        <x:v>0.6750121788702877</x:v>
      </x:c>
      <x:c r="Q804" s="47" t="n">
        <x:v>1</x:v>
      </x:c>
      <x:c r="R804" s="47" t="n">
        <x:v>0.93143521876952</x:v>
      </x:c>
      <x:c r="S804" s="27" t="n">
        <x:v>0</x:v>
      </x:c>
    </x:row>
    <x:row r="805" ht="21.600000381469727" hidden="0" customHeight="1">
      <x:c r="A805" s="29" t="n">
        <x:v>267</x:v>
      </x:c>
      <x:c r="B805" s="29" t="str">
        <x:v>A3</x:v>
      </x:c>
      <x:c r="C805" s="48" t="n">
        <x:v>1.126543979477163</x:v>
      </x:c>
      <x:c r="D805" s="48" t="n">
        <x:v>0.9316425307549698</x:v>
      </x:c>
      <x:c r="E805" s="48" t="n">
        <x:v>0.7099066838028124</x:v>
      </x:c>
      <x:c r="F805" s="48" t="n">
        <x:v>0.03227641685926638</x:v>
      </x:c>
      <x:c r="G805" s="48" t="n">
        <x:v>-0.12809828656450634</x:v>
      </x:c>
      <x:c r="H805" s="48" t="n">
        <x:v>0.8624304813602637</x:v>
      </x:c>
      <x:c r="I805" s="48" t="n">
        <x:v>0.7581268460780931</x:v>
      </x:c>
      <x:c r="J805" s="48" t="n">
        <x:v>0.6217280003279839</x:v>
      </x:c>
      <x:c r="K805" s="48" t="n">
        <x:v>0.812420198509904</x:v>
      </x:c>
      <x:c r="L805" s="48" t="n">
        <x:v>0.8069619737558158</x:v>
      </x:c>
      <x:c r="M805" s="48" t="n">
        <x:v>0.13920916905871716</x:v>
      </x:c>
      <x:c r="N805" s="48" t="n">
        <x:v>0.7775305709566689</x:v>
      </x:c>
      <x:c r="O805" s="48" t="n">
        <x:v>1</x:v>
      </x:c>
      <x:c r="P805" s="48" t="n">
        <x:v>1</x:v>
      </x:c>
      <x:c r="Q805" s="48" t="n">
        <x:v>1</x:v>
      </x:c>
      <x:c r="R805" s="48" t="n">
        <x:v>1</x:v>
      </x:c>
      <x:c r="S805" s="29" t="n">
        <x:v>1</x:v>
      </x:c>
    </x:row>
    <x:row r="806" ht="21.600000381469727" hidden="0" customHeight="1">
      <x:c r="A806" s="27" t="n">
        <x:v>268</x:v>
      </x:c>
      <x:c r="B806" s="27" t="str">
        <x:v>A1</x:v>
      </x:c>
      <x:c r="C806" s="47" t="n">
        <x:v>0.9300924278925199</x:v>
      </x:c>
      <x:c r="D806" s="47" t="n">
        <x:v>0.7246615192645811</x:v>
      </x:c>
      <x:c r="E806" s="47" t="n">
        <x:v>1.0129032595031087</x:v>
      </x:c>
      <x:c r="F806" s="47" t="n">
        <x:v>-0.11821431535126577</x:v>
      </x:c>
      <x:c r="G806" s="47" t="n">
        <x:v>-0.06631260182398521</x:v>
      </x:c>
      <x:c r="H806" s="47" t="n">
        <x:v>0.9347509332430461</x:v>
      </x:c>
      <x:c r="I806" s="47" t="n">
        <x:v>0.7705113118656931</x:v>
      </x:c>
      <x:c r="J806" s="47" t="n">
        <x:v>0.5539349761130852</x:v>
      </x:c>
      <x:c r="K806" s="47" t="n">
        <x:v>0.7639004487365473</x:v>
      </x:c>
      <x:c r="L806" s="47" t="n">
        <x:v>0.9296931363238996</x:v>
      </x:c>
      <x:c r="M806" s="47" t="n">
        <x:v>0.03173423463326312</x:v>
      </x:c>
      <x:c r="N806" s="47" t="n">
        <x:v>0.980742287967781</x:v>
      </x:c>
      <x:c r="O806" s="47" t="n">
        <x:v>0.8805006184026951</x:v>
      </x:c>
      <x:c r="P806" s="47" t="n">
        <x:v>0.6478251591379931</x:v>
      </x:c>
      <x:c r="Q806" s="47" t="n">
        <x:v>1</x:v>
      </x:c>
      <x:c r="R806" s="47" t="n">
        <x:v>0.8524370199270204</x:v>
      </x:c>
      <x:c r="S806" s="27" t="n">
        <x:v>0</x:v>
      </x:c>
    </x:row>
    <x:row r="807" ht="21.600000381469727" hidden="0" customHeight="1">
      <x:c r="A807" s="29" t="n">
        <x:v>268</x:v>
      </x:c>
      <x:c r="B807" s="29" t="str">
        <x:v>A2</x:v>
      </x:c>
      <x:c r="C807" s="48" t="n">
        <x:v>0.9300924278925199</x:v>
      </x:c>
      <x:c r="D807" s="48" t="n">
        <x:v>0.7246615192645811</x:v>
      </x:c>
      <x:c r="E807" s="48" t="n">
        <x:v>1.0129032595031087</x:v>
      </x:c>
      <x:c r="F807" s="48" t="n">
        <x:v>-0.11821431535126577</x:v>
      </x:c>
      <x:c r="G807" s="48" t="n">
        <x:v>-0.06631260182398521</x:v>
      </x:c>
      <x:c r="H807" s="48" t="n">
        <x:v>0.9347509332430461</x:v>
      </x:c>
      <x:c r="I807" s="48" t="n">
        <x:v>0.7705113118656931</x:v>
      </x:c>
      <x:c r="J807" s="48" t="n">
        <x:v>0.5539349761130852</x:v>
      </x:c>
      <x:c r="K807" s="48" t="n">
        <x:v>0.7639004487365473</x:v>
      </x:c>
      <x:c r="L807" s="48" t="n">
        <x:v>0.9296931363238996</x:v>
      </x:c>
      <x:c r="M807" s="48" t="n">
        <x:v>0.03173423463326312</x:v>
      </x:c>
      <x:c r="N807" s="48" t="n">
        <x:v>0.980742287967781</x:v>
      </x:c>
      <x:c r="O807" s="48" t="n">
        <x:v>0.9618934136775457</x:v>
      </x:c>
      <x:c r="P807" s="48" t="n">
        <x:v>0.6721624937150001</x:v>
      </x:c>
      <x:c r="Q807" s="48" t="n">
        <x:v>1</x:v>
      </x:c>
      <x:c r="R807" s="48" t="n">
        <x:v>0.9529443469665921</x:v>
      </x:c>
      <x:c r="S807" s="29" t="n">
        <x:v>0</x:v>
      </x:c>
    </x:row>
    <x:row r="808" ht="21.600000381469727" hidden="0" customHeight="1">
      <x:c r="A808" s="27" t="n">
        <x:v>268</x:v>
      </x:c>
      <x:c r="B808" s="27" t="str">
        <x:v>A3</x:v>
      </x:c>
      <x:c r="C808" s="47" t="n">
        <x:v>0.9300924278925199</x:v>
      </x:c>
      <x:c r="D808" s="47" t="n">
        <x:v>0.7246615192645811</x:v>
      </x:c>
      <x:c r="E808" s="47" t="n">
        <x:v>1.0129032595031087</x:v>
      </x:c>
      <x:c r="F808" s="47" t="n">
        <x:v>-0.11821431535126577</x:v>
      </x:c>
      <x:c r="G808" s="47" t="n">
        <x:v>-0.06631260182398521</x:v>
      </x:c>
      <x:c r="H808" s="47" t="n">
        <x:v>0.9347509332430461</x:v>
      </x:c>
      <x:c r="I808" s="47" t="n">
        <x:v>0.7705113118656931</x:v>
      </x:c>
      <x:c r="J808" s="47" t="n">
        <x:v>0.5539349761130852</x:v>
      </x:c>
      <x:c r="K808" s="47" t="n">
        <x:v>0.7639004487365473</x:v>
      </x:c>
      <x:c r="L808" s="47" t="n">
        <x:v>0.9296931363238996</x:v>
      </x:c>
      <x:c r="M808" s="47" t="n">
        <x:v>0.03173423463326312</x:v>
      </x:c>
      <x:c r="N808" s="47" t="n">
        <x:v>0.980742287967781</x:v>
      </x:c>
      <x:c r="O808" s="47" t="n">
        <x:v>1</x:v>
      </x:c>
      <x:c r="P808" s="47" t="n">
        <x:v>1</x:v>
      </x:c>
      <x:c r="Q808" s="47" t="n">
        <x:v>1</x:v>
      </x:c>
      <x:c r="R808" s="47" t="n">
        <x:v>1.0000000000000002</x:v>
      </x:c>
      <x:c r="S808" s="27" t="n">
        <x:v>1</x:v>
      </x:c>
    </x:row>
    <x:row r="809" ht="21.600000381469727" hidden="0" customHeight="1">
      <x:c r="A809" s="29" t="n">
        <x:v>269</x:v>
      </x:c>
      <x:c r="B809" s="29" t="str">
        <x:v>A1</x:v>
      </x:c>
      <x:c r="C809" s="48" t="n">
        <x:v>1.247261931687043</x:v>
      </x:c>
      <x:c r="D809" s="48" t="n">
        <x:v>0.8154994001049886</x:v>
      </x:c>
      <x:c r="E809" s="48" t="n">
        <x:v>1.0605396343941682</x:v>
      </x:c>
      <x:c r="F809" s="48" t="n">
        <x:v>-0.14431023634060103</x:v>
      </x:c>
      <x:c r="G809" s="48" t="n">
        <x:v>-0.08888759758367737</x:v>
      </x:c>
      <x:c r="H809" s="48" t="n">
        <x:v>0.8335101227299431</x:v>
      </x:c>
      <x:c r="I809" s="48" t="n">
        <x:v>0.9338006317590789</x:v>
      </x:c>
      <x:c r="J809" s="48" t="n">
        <x:v>0.8126472280452406</x:v>
      </x:c>
      <x:c r="K809" s="48" t="n">
        <x:v>0.5862198936134598</x:v>
      </x:c>
      <x:c r="L809" s="48" t="n">
        <x:v>0.861295947305128</x:v>
      </x:c>
      <x:c r="M809" s="48" t="n">
        <x:v>0.06829314376946473</x:v>
      </x:c>
      <x:c r="N809" s="48" t="n">
        <x:v>0.8592669948156718</x:v>
      </x:c>
      <x:c r="O809" s="48" t="n">
        <x:v>0.7937812121348945</x:v>
      </x:c>
      <x:c r="P809" s="48" t="n">
        <x:v>0.5313647502397432</x:v>
      </x:c>
      <x:c r="Q809" s="48" t="n">
        <x:v>0.9448194363043845</x:v>
      </x:c>
      <x:c r="R809" s="48" t="n">
        <x:v>0.7457619823209264</x:v>
      </x:c>
      <x:c r="S809" s="29" t="n">
        <x:v>0</x:v>
      </x:c>
    </x:row>
    <x:row r="810" ht="21.600000381469727" hidden="0" customHeight="1">
      <x:c r="A810" s="27" t="n">
        <x:v>269</x:v>
      </x:c>
      <x:c r="B810" s="27" t="str">
        <x:v>A2</x:v>
      </x:c>
      <x:c r="C810" s="47" t="n">
        <x:v>1.247261931687043</x:v>
      </x:c>
      <x:c r="D810" s="47" t="n">
        <x:v>0.8154994001049886</x:v>
      </x:c>
      <x:c r="E810" s="47" t="n">
        <x:v>1.0605396343941682</x:v>
      </x:c>
      <x:c r="F810" s="47" t="n">
        <x:v>-0.14431023634060103</x:v>
      </x:c>
      <x:c r="G810" s="47" t="n">
        <x:v>-0.08888759758367737</x:v>
      </x:c>
      <x:c r="H810" s="47" t="n">
        <x:v>0.8335101227299431</x:v>
      </x:c>
      <x:c r="I810" s="47" t="n">
        <x:v>0.9338006317590789</x:v>
      </x:c>
      <x:c r="J810" s="47" t="n">
        <x:v>0.8126472280452406</x:v>
      </x:c>
      <x:c r="K810" s="47" t="n">
        <x:v>0.5862198936134598</x:v>
      </x:c>
      <x:c r="L810" s="47" t="n">
        <x:v>0.861295947305128</x:v>
      </x:c>
      <x:c r="M810" s="47" t="n">
        <x:v>0.06829314376946473</x:v>
      </x:c>
      <x:c r="N810" s="47" t="n">
        <x:v>0.8592669948156718</x:v>
      </x:c>
      <x:c r="O810" s="47" t="n">
        <x:v>0.891262873631082</x:v>
      </x:c>
      <x:c r="P810" s="47" t="n">
        <x:v>0.5778387829112892</x:v>
      </x:c>
      <x:c r="Q810" s="47" t="n">
        <x:v>1</x:v>
      </x:c>
      <x:c r="R810" s="47" t="n">
        <x:v>0.8657267159286154</x:v>
      </x:c>
      <x:c r="S810" s="27" t="n">
        <x:v>0</x:v>
      </x:c>
    </x:row>
    <x:row r="811" ht="21.600000381469727" hidden="0" customHeight="1">
      <x:c r="A811" s="29" t="n">
        <x:v>269</x:v>
      </x:c>
      <x:c r="B811" s="29" t="str">
        <x:v>A3</x:v>
      </x:c>
      <x:c r="C811" s="48" t="n">
        <x:v>1.247261931687043</x:v>
      </x:c>
      <x:c r="D811" s="48" t="n">
        <x:v>0.8154994001049886</x:v>
      </x:c>
      <x:c r="E811" s="48" t="n">
        <x:v>1.0605396343941682</x:v>
      </x:c>
      <x:c r="F811" s="48" t="n">
        <x:v>-0.14431023634060103</x:v>
      </x:c>
      <x:c r="G811" s="48" t="n">
        <x:v>-0.08888759758367737</x:v>
      </x:c>
      <x:c r="H811" s="48" t="n">
        <x:v>0.8335101227299431</x:v>
      </x:c>
      <x:c r="I811" s="48" t="n">
        <x:v>0.9338006317590789</x:v>
      </x:c>
      <x:c r="J811" s="48" t="n">
        <x:v>0.8126472280452406</x:v>
      </x:c>
      <x:c r="K811" s="48" t="n">
        <x:v>0.5862198936134598</x:v>
      </x:c>
      <x:c r="L811" s="48" t="n">
        <x:v>0.861295947305128</x:v>
      </x:c>
      <x:c r="M811" s="48" t="n">
        <x:v>0.06829314376946473</x:v>
      </x:c>
      <x:c r="N811" s="48" t="n">
        <x:v>0.8592669948156718</x:v>
      </x:c>
      <x:c r="O811" s="48" t="n">
        <x:v>1</x:v>
      </x:c>
      <x:c r="P811" s="48" t="n">
        <x:v>1</x:v>
      </x:c>
      <x:c r="Q811" s="48" t="n">
        <x:v>1</x:v>
      </x:c>
      <x:c r="R811" s="48" t="n">
        <x:v>1</x:v>
      </x:c>
      <x:c r="S811" s="29" t="n">
        <x:v>1</x:v>
      </x:c>
    </x:row>
    <x:row r="812" ht="21.600000381469727" hidden="0" customHeight="1">
      <x:c r="A812" s="27" t="n">
        <x:v>270</x:v>
      </x:c>
      <x:c r="B812" s="27" t="str">
        <x:v>A1</x:v>
      </x:c>
      <x:c r="C812" s="47" t="n">
        <x:v>0.9099383471725891</x:v>
      </x:c>
      <x:c r="D812" s="47" t="n">
        <x:v>0.8612509075733314</x:v>
      </x:c>
      <x:c r="E812" s="47" t="n">
        <x:v>0.5887260601473431</x:v>
      </x:c>
      <x:c r="F812" s="47" t="n">
        <x:v>-0.14707133355634236</x:v>
      </x:c>
      <x:c r="G812" s="47" t="n">
        <x:v>-0.08654501580498274</x:v>
      </x:c>
      <x:c r="H812" s="47" t="n">
        <x:v>0.7659850068519579</x:v>
      </x:c>
      <x:c r="I812" s="47" t="n">
        <x:v>0.9152463379098612</x:v>
      </x:c>
      <x:c r="J812" s="47" t="n">
        <x:v>0.891035604864388</x:v>
      </x:c>
      <x:c r="K812" s="47" t="n">
        <x:v>0.834492922543767</x:v>
      </x:c>
      <x:c r="L812" s="47" t="n">
        <x:v>0.7190674808993783</x:v>
      </x:c>
      <x:c r="M812" s="47" t="n">
        <x:v>0.13786672866407046</x:v>
      </x:c>
      <x:c r="N812" s="47" t="n">
        <x:v>0.6886097547249501</x:v>
      </x:c>
      <x:c r="O812" s="47" t="n">
        <x:v>0.9678042340795452</x:v>
      </x:c>
      <x:c r="P812" s="47" t="n">
        <x:v>0.7393283913270047</x:v>
      </x:c>
      <x:c r="Q812" s="47" t="n">
        <x:v>1</x:v>
      </x:c>
      <x:c r="R812" s="47" t="n">
        <x:v>0.9602432824216258</x:v>
      </x:c>
      <x:c r="S812" s="27" t="n">
        <x:v>0</x:v>
      </x:c>
    </x:row>
    <x:row r="813" ht="21.600000381469727" hidden="0" customHeight="1">
      <x:c r="A813" s="29" t="n">
        <x:v>270</x:v>
      </x:c>
      <x:c r="B813" s="29" t="str">
        <x:v>A2</x:v>
      </x:c>
      <x:c r="C813" s="48" t="n">
        <x:v>0.9099383471725891</x:v>
      </x:c>
      <x:c r="D813" s="48" t="n">
        <x:v>0.8612509075733314</x:v>
      </x:c>
      <x:c r="E813" s="48" t="n">
        <x:v>0.5887260601473431</x:v>
      </x:c>
      <x:c r="F813" s="48" t="n">
        <x:v>-0.14707133355634236</x:v>
      </x:c>
      <x:c r="G813" s="48" t="n">
        <x:v>-0.08654501580498274</x:v>
      </x:c>
      <x:c r="H813" s="48" t="n">
        <x:v>0.7659850068519579</x:v>
      </x:c>
      <x:c r="I813" s="48" t="n">
        <x:v>0.9152463379098612</x:v>
      </x:c>
      <x:c r="J813" s="48" t="n">
        <x:v>0.891035604864388</x:v>
      </x:c>
      <x:c r="K813" s="48" t="n">
        <x:v>0.834492922543767</x:v>
      </x:c>
      <x:c r="L813" s="48" t="n">
        <x:v>0.7190674808993783</x:v>
      </x:c>
      <x:c r="M813" s="48" t="n">
        <x:v>0.13786672866407046</x:v>
      </x:c>
      <x:c r="N813" s="48" t="n">
        <x:v>0.6886097547249501</x:v>
      </x:c>
      <x:c r="O813" s="48" t="n">
        <x:v>0.9853956330621075</x:v>
      </x:c>
      <x:c r="P813" s="48" t="n">
        <x:v>0.8539563306210742</x:v>
      </x:c>
      <x:c r="Q813" s="48" t="n">
        <x:v>1</x:v>
      </x:c>
      <x:c r="R813" s="48" t="n">
        <x:v>0.9819658990814113</x:v>
      </x:c>
      <x:c r="S813" s="29" t="n">
        <x:v>0</x:v>
      </x:c>
    </x:row>
    <x:row r="814" ht="21.600000381469727" hidden="0" customHeight="1">
      <x:c r="A814" s="27" t="n">
        <x:v>270</x:v>
      </x:c>
      <x:c r="B814" s="27" t="str">
        <x:v>A3</x:v>
      </x:c>
      <x:c r="C814" s="47" t="n">
        <x:v>0.9099383471725891</x:v>
      </x:c>
      <x:c r="D814" s="47" t="n">
        <x:v>0.8612509075733314</x:v>
      </x:c>
      <x:c r="E814" s="47" t="n">
        <x:v>0.5887260601473431</x:v>
      </x:c>
      <x:c r="F814" s="47" t="n">
        <x:v>-0.14707133355634236</x:v>
      </x:c>
      <x:c r="G814" s="47" t="n">
        <x:v>-0.08654501580498274</x:v>
      </x:c>
      <x:c r="H814" s="47" t="n">
        <x:v>0.7659850068519579</x:v>
      </x:c>
      <x:c r="I814" s="47" t="n">
        <x:v>0.9152463379098612</x:v>
      </x:c>
      <x:c r="J814" s="47" t="n">
        <x:v>0.891035604864388</x:v>
      </x:c>
      <x:c r="K814" s="47" t="n">
        <x:v>0.834492922543767</x:v>
      </x:c>
      <x:c r="L814" s="47" t="n">
        <x:v>0.7190674808993783</x:v>
      </x:c>
      <x:c r="M814" s="47" t="n">
        <x:v>0.13786672866407046</x:v>
      </x:c>
      <x:c r="N814" s="47" t="n">
        <x:v>0.6886097547249501</x:v>
      </x:c>
      <x:c r="O814" s="47" t="n">
        <x:v>1</x:v>
      </x:c>
      <x:c r="P814" s="47" t="n">
        <x:v>1</x:v>
      </x:c>
      <x:c r="Q814" s="47" t="n">
        <x:v>1</x:v>
      </x:c>
      <x:c r="R814" s="47" t="n">
        <x:v>1</x:v>
      </x:c>
      <x:c r="S814" s="27" t="n">
        <x:v>1</x:v>
      </x:c>
    </x:row>
    <x:row r="815" ht="21.600000381469727" hidden="0" customHeight="1">
      <x:c r="A815" s="29" t="n">
        <x:v>271</x:v>
      </x:c>
      <x:c r="B815" s="29" t="str">
        <x:v>A1</x:v>
      </x:c>
      <x:c r="C815" s="48" t="n">
        <x:v>1.2215691425218305</x:v>
      </x:c>
      <x:c r="D815" s="48" t="n">
        <x:v>0.9621205600461293</x:v>
      </x:c>
      <x:c r="E815" s="48" t="n">
        <x:v>0.833343256443602</x:v>
      </x:c>
      <x:c r="F815" s="48" t="n">
        <x:v>0.024203561831233317</x:v>
      </x:c>
      <x:c r="G815" s="48" t="n">
        <x:v>-0.08979612645984802</x:v>
      </x:c>
      <x:c r="H815" s="48" t="n">
        <x:v>0.41903576586581553</x:v>
      </x:c>
      <x:c r="I815" s="48" t="n">
        <x:v>0.6418831628765996</x:v>
      </x:c>
      <x:c r="J815" s="48" t="n">
        <x:v>0.9036389825747688</x:v>
      </x:c>
      <x:c r="K815" s="48" t="n">
        <x:v>0.6494308563075641</x:v>
      </x:c>
      <x:c r="L815" s="48" t="n">
        <x:v>0.9731636941462685</x:v>
      </x:c>
      <x:c r="M815" s="48" t="n">
        <x:v>0.012154142730746883</x:v>
      </x:c>
      <x:c r="N815" s="48" t="n">
        <x:v>0.6928053282909257</x:v>
      </x:c>
      <x:c r="O815" s="48" t="n">
        <x:v>0.8744237984797399</x:v>
      </x:c>
      <x:c r="P815" s="48" t="n">
        <x:v>0.4952679843637274</x:v>
      </x:c>
      <x:c r="Q815" s="48" t="n">
        <x:v>1</x:v>
      </x:c>
      <x:c r="R815" s="48" t="n">
        <x:v>0.8449331011183031</x:v>
      </x:c>
      <x:c r="S815" s="29" t="n">
        <x:v>0</x:v>
      </x:c>
    </x:row>
    <x:row r="816" ht="21.600000381469727" hidden="0" customHeight="1">
      <x:c r="A816" s="27" t="n">
        <x:v>271</x:v>
      </x:c>
      <x:c r="B816" s="27" t="str">
        <x:v>A2</x:v>
      </x:c>
      <x:c r="C816" s="47" t="n">
        <x:v>1.2215691425218305</x:v>
      </x:c>
      <x:c r="D816" s="47" t="n">
        <x:v>0.9621205600461293</x:v>
      </x:c>
      <x:c r="E816" s="47" t="n">
        <x:v>0.833343256443602</x:v>
      </x:c>
      <x:c r="F816" s="47" t="n">
        <x:v>0.024203561831233317</x:v>
      </x:c>
      <x:c r="G816" s="47" t="n">
        <x:v>-0.08979612645984802</x:v>
      </x:c>
      <x:c r="H816" s="47" t="n">
        <x:v>0.41903576586581553</x:v>
      </x:c>
      <x:c r="I816" s="47" t="n">
        <x:v>0.6418831628765996</x:v>
      </x:c>
      <x:c r="J816" s="47" t="n">
        <x:v>0.9036389825747688</x:v>
      </x:c>
      <x:c r="K816" s="47" t="n">
        <x:v>0.6494308563075641</x:v>
      </x:c>
      <x:c r="L816" s="47" t="n">
        <x:v>0.9731636941462685</x:v>
      </x:c>
      <x:c r="M816" s="47" t="n">
        <x:v>0.012154142730746883</x:v>
      </x:c>
      <x:c r="N816" s="47" t="n">
        <x:v>0.6928053282909257</x:v>
      </x:c>
      <x:c r="O816" s="47" t="n">
        <x:v>0.9514741443759871</x:v>
      </x:c>
      <x:c r="P816" s="47" t="n">
        <x:v>0.7061413393500322</x:v>
      </x:c>
      <x:c r="Q816" s="47" t="n">
        <x:v>1</x:v>
      </x:c>
      <x:c r="R816" s="47" t="n">
        <x:v>0.9400781847507739</x:v>
      </x:c>
      <x:c r="S816" s="27" t="n">
        <x:v>0</x:v>
      </x:c>
    </x:row>
    <x:row r="817" ht="21.600000381469727" hidden="0" customHeight="1">
      <x:c r="A817" s="29" t="n">
        <x:v>271</x:v>
      </x:c>
      <x:c r="B817" s="29" t="str">
        <x:v>A3</x:v>
      </x:c>
      <x:c r="C817" s="48" t="n">
        <x:v>1.2215691425218305</x:v>
      </x:c>
      <x:c r="D817" s="48" t="n">
        <x:v>0.9621205600461293</x:v>
      </x:c>
      <x:c r="E817" s="48" t="n">
        <x:v>0.833343256443602</x:v>
      </x:c>
      <x:c r="F817" s="48" t="n">
        <x:v>0.024203561831233317</x:v>
      </x:c>
      <x:c r="G817" s="48" t="n">
        <x:v>-0.08979612645984802</x:v>
      </x:c>
      <x:c r="H817" s="48" t="n">
        <x:v>0.41903576586581553</x:v>
      </x:c>
      <x:c r="I817" s="48" t="n">
        <x:v>0.6418831628765996</x:v>
      </x:c>
      <x:c r="J817" s="48" t="n">
        <x:v>0.9036389825747688</x:v>
      </x:c>
      <x:c r="K817" s="48" t="n">
        <x:v>0.6494308563075641</x:v>
      </x:c>
      <x:c r="L817" s="48" t="n">
        <x:v>0.9731636941462685</x:v>
      </x:c>
      <x:c r="M817" s="48" t="n">
        <x:v>0.012154142730746883</x:v>
      </x:c>
      <x:c r="N817" s="48" t="n">
        <x:v>0.6928053282909257</x:v>
      </x:c>
      <x:c r="O817" s="48" t="n">
        <x:v>1</x:v>
      </x:c>
      <x:c r="P817" s="48" t="n">
        <x:v>1</x:v>
      </x:c>
      <x:c r="Q817" s="48" t="n">
        <x:v>1</x:v>
      </x:c>
      <x:c r="R817" s="48" t="n">
        <x:v>1</x:v>
      </x:c>
      <x:c r="S817" s="29" t="n">
        <x:v>1</x:v>
      </x:c>
    </x:row>
    <x:row r="818" ht="15" hidden="0" customHeight="1">
      <x:c r="A818" s="27" t="n">
        <x:v>272</x:v>
      </x:c>
      <x:c r="B818" s="27" t="str">
        <x:v>A1</x:v>
      </x:c>
      <x:c r="C818" s="47" t="n">
        <x:v>0.9677677806386991</x:v>
      </x:c>
      <x:c r="D818" s="47" t="n">
        <x:v>0.7524989637983914</x:v>
      </x:c>
      <x:c r="E818" s="47" t="n">
        <x:v>1.045970437659536</x:v>
      </x:c>
      <x:c r="F818" s="47" t="n">
        <x:v>0.03123465287199234</x:v>
      </x:c>
      <x:c r="G818" s="47" t="n">
        <x:v>0.020189758862234314</x:v>
      </x:c>
      <x:c r="H818" s="47" t="n">
        <x:v>1.036302775868159</x:v>
      </x:c>
      <x:c r="I818" s="47" t="n">
        <x:v>0.6311238963508434</x:v>
      </x:c>
      <x:c r="J818" s="47" t="n">
        <x:v>0.6415369978665411</x:v>
      </x:c>
      <x:c r="K818" s="47" t="n">
        <x:v>0.6372193339205735</x:v>
      </x:c>
      <x:c r="L818" s="47" t="n">
        <x:v>0.8893300894750209</x:v>
      </x:c>
      <x:c r="M818" s="47" t="n">
        <x:v>0.013252390701639805</x:v>
      </x:c>
      <x:c r="N818" s="47" t="n">
        <x:v>0.6656089838367719</x:v>
      </x:c>
      <x:c r="O818" s="47" t="n">
        <x:v>0.8942849394509681</x:v>
      </x:c>
      <x:c r="P818" s="47" t="n">
        <x:v>0.6063965346572855</x:v>
      </x:c>
      <x:c r="Q818" s="47" t="n">
        <x:v>1</x:v>
      </x:c>
      <x:c r="R818" s="47" t="n">
        <x:v>0.8694584928834274</x:v>
      </x:c>
      <x:c r="S818" s="27" t="n">
        <x:v>0</x:v>
      </x:c>
    </x:row>
    <x:row r="819" ht="15" hidden="0" customHeight="1">
      <x:c r="A819" s="29" t="n">
        <x:v>272</x:v>
      </x:c>
      <x:c r="B819" s="29" t="str">
        <x:v>A2</x:v>
      </x:c>
      <x:c r="C819" s="48" t="n">
        <x:v>0.9677677806386991</x:v>
      </x:c>
      <x:c r="D819" s="48" t="n">
        <x:v>0.7524989637983914</x:v>
      </x:c>
      <x:c r="E819" s="48" t="n">
        <x:v>1.045970437659536</x:v>
      </x:c>
      <x:c r="F819" s="48" t="n">
        <x:v>0.03123465287199234</x:v>
      </x:c>
      <x:c r="G819" s="48" t="n">
        <x:v>0.020189758862234314</x:v>
      </x:c>
      <x:c r="H819" s="48" t="n">
        <x:v>1.036302775868159</x:v>
      </x:c>
      <x:c r="I819" s="48" t="n">
        <x:v>0.6311238963508434</x:v>
      </x:c>
      <x:c r="J819" s="48" t="n">
        <x:v>0.6415369978665411</x:v>
      </x:c>
      <x:c r="K819" s="48" t="n">
        <x:v>0.6372193339205735</x:v>
      </x:c>
      <x:c r="L819" s="48" t="n">
        <x:v>0.8893300894750209</x:v>
      </x:c>
      <x:c r="M819" s="48" t="n">
        <x:v>0.013252390701639805</x:v>
      </x:c>
      <x:c r="N819" s="48" t="n">
        <x:v>0.6656089838367719</x:v>
      </x:c>
      <x:c r="O819" s="48" t="n">
        <x:v>0.9388676886335124</x:v>
      </x:c>
      <x:c r="P819" s="48" t="n">
        <x:v>0.6647658420274383</x:v>
      </x:c>
      <x:c r="Q819" s="48" t="n">
        <x:v>1</x:v>
      </x:c>
      <x:c r="R819" s="48" t="n">
        <x:v>0.9245111905734612</x:v>
      </x:c>
      <x:c r="S819" s="29" t="n">
        <x:v>0</x:v>
      </x:c>
    </x:row>
    <x:row r="820" ht="15" hidden="0" customHeight="1">
      <x:c r="A820" s="27" t="n">
        <x:v>272</x:v>
      </x:c>
      <x:c r="B820" s="27" t="str">
        <x:v>A3</x:v>
      </x:c>
      <x:c r="C820" s="47" t="n">
        <x:v>0.9677677806386991</x:v>
      </x:c>
      <x:c r="D820" s="47" t="n">
        <x:v>0.7524989637983914</x:v>
      </x:c>
      <x:c r="E820" s="47" t="n">
        <x:v>1.045970437659536</x:v>
      </x:c>
      <x:c r="F820" s="47" t="n">
        <x:v>0.03123465287199234</x:v>
      </x:c>
      <x:c r="G820" s="47" t="n">
        <x:v>0.020189758862234314</x:v>
      </x:c>
      <x:c r="H820" s="47" t="n">
        <x:v>1.036302775868159</x:v>
      </x:c>
      <x:c r="I820" s="47" t="n">
        <x:v>0.6311238963508434</x:v>
      </x:c>
      <x:c r="J820" s="47" t="n">
        <x:v>0.6415369978665411</x:v>
      </x:c>
      <x:c r="K820" s="47" t="n">
        <x:v>0.6372193339205735</x:v>
      </x:c>
      <x:c r="L820" s="47" t="n">
        <x:v>0.8893300894750209</x:v>
      </x:c>
      <x:c r="M820" s="47" t="n">
        <x:v>0.013252390701639805</x:v>
      </x:c>
      <x:c r="N820" s="47" t="n">
        <x:v>0.6656089838367719</x:v>
      </x:c>
      <x:c r="O820" s="47" t="n">
        <x:v>1</x:v>
      </x:c>
      <x:c r="P820" s="47" t="n">
        <x:v>1</x:v>
      </x:c>
      <x:c r="Q820" s="47" t="n">
        <x:v>1</x:v>
      </x:c>
      <x:c r="R820" s="47" t="n">
        <x:v>1</x:v>
      </x:c>
      <x:c r="S820" s="27" t="n">
        <x:v>1</x:v>
      </x:c>
    </x:row>
    <x:row r="821" ht="21.600000381469727" hidden="0" customHeight="1">
      <x:c r="A821" s="29" t="n">
        <x:v>273</x:v>
      </x:c>
      <x:c r="B821" s="29" t="str">
        <x:v>A1</x:v>
      </x:c>
      <x:c r="C821" s="48" t="n">
        <x:v>1.2078133721745692</x:v>
      </x:c>
      <x:c r="D821" s="48" t="n">
        <x:v>0.7255822300823771</x:v>
      </x:c>
      <x:c r="E821" s="48" t="n">
        <x:v>0.6927940378312962</x:v>
      </x:c>
      <x:c r="F821" s="48" t="n">
        <x:v>-0.13112220703681932</x:v>
      </x:c>
      <x:c r="G821" s="48" t="n">
        <x:v>-0.07618833062779982</x:v>
      </x:c>
      <x:c r="H821" s="48" t="n">
        <x:v>0.5746602686421323</x:v>
      </x:c>
      <x:c r="I821" s="48" t="n">
        <x:v>0.9737975159941394</x:v>
      </x:c>
      <x:c r="J821" s="48" t="n">
        <x:v>0.7748609561959117</x:v>
      </x:c>
      <x:c r="K821" s="48" t="n">
        <x:v>0.7905718739258245</x:v>
      </x:c>
      <x:c r="L821" s="48" t="n">
        <x:v>0.919218775890131</x:v>
      </x:c>
      <x:c r="M821" s="48" t="n">
        <x:v>0.06401423122206741</x:v>
      </x:c>
      <x:c r="N821" s="48" t="n">
        <x:v>0.767199609663291</x:v>
      </x:c>
      <x:c r="O821" s="48" t="n">
        <x:v>0.7747766432093655</x:v>
      </x:c>
      <x:c r="P821" s="48" t="n">
        <x:v>0.4854978712270996</x:v>
      </x:c>
      <x:c r="Q821" s="48" t="n">
        <x:v>1</x:v>
      </x:c>
      <x:c r="R821" s="48" t="n">
        <x:v>0.7218845046239507</x:v>
      </x:c>
      <x:c r="S821" s="29" t="n">
        <x:v>0</x:v>
      </x:c>
    </x:row>
    <x:row r="822" ht="21.600000381469727" hidden="0" customHeight="1">
      <x:c r="A822" s="27" t="n">
        <x:v>273</x:v>
      </x:c>
      <x:c r="B822" s="27" t="str">
        <x:v>A2</x:v>
      </x:c>
      <x:c r="C822" s="47" t="n">
        <x:v>1.2078133721745692</x:v>
      </x:c>
      <x:c r="D822" s="47" t="n">
        <x:v>0.7255822300823771</x:v>
      </x:c>
      <x:c r="E822" s="47" t="n">
        <x:v>0.6927940378312962</x:v>
      </x:c>
      <x:c r="F822" s="47" t="n">
        <x:v>-0.13112220703681932</x:v>
      </x:c>
      <x:c r="G822" s="47" t="n">
        <x:v>-0.07618833062779982</x:v>
      </x:c>
      <x:c r="H822" s="47" t="n">
        <x:v>0.5746602686421323</x:v>
      </x:c>
      <x:c r="I822" s="47" t="n">
        <x:v>0.9737975159941394</x:v>
      </x:c>
      <x:c r="J822" s="47" t="n">
        <x:v>0.7748609561959117</x:v>
      </x:c>
      <x:c r="K822" s="47" t="n">
        <x:v>0.7905718739258245</x:v>
      </x:c>
      <x:c r="L822" s="47" t="n">
        <x:v>0.919218775890131</x:v>
      </x:c>
      <x:c r="M822" s="47" t="n">
        <x:v>0.06401423122206741</x:v>
      </x:c>
      <x:c r="N822" s="47" t="n">
        <x:v>0.767199609663291</x:v>
      </x:c>
      <x:c r="O822" s="47" t="n">
        <x:v>0.8717851476505764</x:v>
      </x:c>
      <x:c r="P822" s="47" t="n">
        <x:v>0.6022674921194461</x:v>
      </x:c>
      <x:c r="Q822" s="47" t="n">
        <x:v>1</x:v>
      </x:c>
      <x:c r="R822" s="47" t="n">
        <x:v>0.8416747814975742</x:v>
      </x:c>
      <x:c r="S822" s="27" t="n">
        <x:v>0</x:v>
      </x:c>
    </x:row>
    <x:row r="823" ht="21.600000381469727" hidden="0" customHeight="1">
      <x:c r="A823" s="29" t="n">
        <x:v>273</x:v>
      </x:c>
      <x:c r="B823" s="29" t="str">
        <x:v>A3</x:v>
      </x:c>
      <x:c r="C823" s="48" t="n">
        <x:v>1.2078133721745692</x:v>
      </x:c>
      <x:c r="D823" s="48" t="n">
        <x:v>0.7255822300823771</x:v>
      </x:c>
      <x:c r="E823" s="48" t="n">
        <x:v>0.6927940378312962</x:v>
      </x:c>
      <x:c r="F823" s="48" t="n">
        <x:v>-0.13112220703681932</x:v>
      </x:c>
      <x:c r="G823" s="48" t="n">
        <x:v>-0.07618833062779982</x:v>
      </x:c>
      <x:c r="H823" s="48" t="n">
        <x:v>0.5746602686421323</x:v>
      </x:c>
      <x:c r="I823" s="48" t="n">
        <x:v>0.9737975159941394</x:v>
      </x:c>
      <x:c r="J823" s="48" t="n">
        <x:v>0.7748609561959117</x:v>
      </x:c>
      <x:c r="K823" s="48" t="n">
        <x:v>0.7905718739258245</x:v>
      </x:c>
      <x:c r="L823" s="48" t="n">
        <x:v>0.919218775890131</x:v>
      </x:c>
      <x:c r="M823" s="48" t="n">
        <x:v>0.06401423122206741</x:v>
      </x:c>
      <x:c r="N823" s="48" t="n">
        <x:v>0.767199609663291</x:v>
      </x:c>
      <x:c r="O823" s="48" t="n">
        <x:v>1</x:v>
      </x:c>
      <x:c r="P823" s="48" t="n">
        <x:v>1</x:v>
      </x:c>
      <x:c r="Q823" s="48" t="n">
        <x:v>1</x:v>
      </x:c>
      <x:c r="R823" s="48" t="n">
        <x:v>1</x:v>
      </x:c>
      <x:c r="S823" s="29" t="n">
        <x:v>1</x:v>
      </x:c>
    </x:row>
    <x:row r="824" ht="15" hidden="0" customHeight="1">
      <x:c r="A824" s="27" t="n">
        <x:v>274</x:v>
      </x:c>
      <x:c r="B824" s="27" t="str">
        <x:v>A1</x:v>
      </x:c>
      <x:c r="C824" s="47" t="n">
        <x:v>1.1058288615705967</x:v>
      </x:c>
      <x:c r="D824" s="47" t="n">
        <x:v>0.7633284296830931</x:v>
      </x:c>
      <x:c r="E824" s="47" t="n">
        <x:v>0.7845834797617518</x:v>
      </x:c>
      <x:c r="F824" s="47" t="n">
        <x:v>-0.05864713033924834</x:v>
      </x:c>
      <x:c r="G824" s="47" t="n">
        <x:v>-0.18260850024125314</x:v>
      </x:c>
      <x:c r="H824" s="47" t="n">
        <x:v>0.9803295678016037</x:v>
      </x:c>
      <x:c r="I824" s="47" t="n">
        <x:v>0.8317421770348289</x:v>
      </x:c>
      <x:c r="J824" s="47" t="n">
        <x:v>0.5622791741570567</x:v>
      </x:c>
      <x:c r="K824" s="47" t="n">
        <x:v>0.7350817745485123</x:v>
      </x:c>
      <x:c r="L824" s="47" t="n">
        <x:v>0.9767142808771716</x:v>
      </x:c>
      <x:c r="M824" s="47" t="n">
        <x:v>0.05372389742440543</x:v>
      </x:c>
      <x:c r="N824" s="47" t="n">
        <x:v>0.8634051870322261</x:v>
      </x:c>
      <x:c r="O824" s="47" t="n">
        <x:v>0.83308393775831</x:v>
      </x:c>
      <x:c r="P824" s="47" t="n">
        <x:v>0.567828007959634</x:v>
      </x:c>
      <x:c r="Q824" s="47" t="n">
        <x:v>1</x:v>
      </x:c>
      <x:c r="R824" s="47" t="n">
        <x:v>0.793884861685458</x:v>
      </x:c>
      <x:c r="S824" s="27" t="n">
        <x:v>0</x:v>
      </x:c>
    </x:row>
    <x:row r="825" ht="15" hidden="0" customHeight="1">
      <x:c r="A825" s="29" t="n">
        <x:v>274</x:v>
      </x:c>
      <x:c r="B825" s="29" t="str">
        <x:v>A2</x:v>
      </x:c>
      <x:c r="C825" s="48" t="n">
        <x:v>1.1058288615705967</x:v>
      </x:c>
      <x:c r="D825" s="48" t="n">
        <x:v>0.7633284296830931</x:v>
      </x:c>
      <x:c r="E825" s="48" t="n">
        <x:v>0.7845834797617518</x:v>
      </x:c>
      <x:c r="F825" s="48" t="n">
        <x:v>-0.05864713033924834</x:v>
      </x:c>
      <x:c r="G825" s="48" t="n">
        <x:v>-0.18260850024125314</x:v>
      </x:c>
      <x:c r="H825" s="48" t="n">
        <x:v>0.9803295678016037</x:v>
      </x:c>
      <x:c r="I825" s="48" t="n">
        <x:v>0.8317421770348289</x:v>
      </x:c>
      <x:c r="J825" s="48" t="n">
        <x:v>0.5622791741570567</x:v>
      </x:c>
      <x:c r="K825" s="48" t="n">
        <x:v>0.7350817745485123</x:v>
      </x:c>
      <x:c r="L825" s="48" t="n">
        <x:v>0.9767142808771716</x:v>
      </x:c>
      <x:c r="M825" s="48" t="n">
        <x:v>0.05372389742440543</x:v>
      </x:c>
      <x:c r="N825" s="48" t="n">
        <x:v>0.8634051870322261</x:v>
      </x:c>
      <x:c r="O825" s="48" t="n">
        <x:v>0.9224187644789988</x:v>
      </x:c>
      <x:c r="P825" s="48" t="n">
        <x:v>0.5985201553865366</x:v>
      </x:c>
      <x:c r="Q825" s="48" t="n">
        <x:v>1</x:v>
      </x:c>
      <x:c r="R825" s="48" t="n">
        <x:v>0.9041993510075131</x:v>
      </x:c>
      <x:c r="S825" s="29" t="n">
        <x:v>0</x:v>
      </x:c>
    </x:row>
    <x:row r="826" ht="15" hidden="0" customHeight="1">
      <x:c r="A826" s="27" t="n">
        <x:v>274</x:v>
      </x:c>
      <x:c r="B826" s="27" t="str">
        <x:v>A3</x:v>
      </x:c>
      <x:c r="C826" s="47" t="n">
        <x:v>1.1058288615705967</x:v>
      </x:c>
      <x:c r="D826" s="47" t="n">
        <x:v>0.7633284296830931</x:v>
      </x:c>
      <x:c r="E826" s="47" t="n">
        <x:v>0.7845834797617518</x:v>
      </x:c>
      <x:c r="F826" s="47" t="n">
        <x:v>-0.05864713033924834</x:v>
      </x:c>
      <x:c r="G826" s="47" t="n">
        <x:v>-0.18260850024125314</x:v>
      </x:c>
      <x:c r="H826" s="47" t="n">
        <x:v>0.9803295678016037</x:v>
      </x:c>
      <x:c r="I826" s="47" t="n">
        <x:v>0.8317421770348289</x:v>
      </x:c>
      <x:c r="J826" s="47" t="n">
        <x:v>0.5622791741570567</x:v>
      </x:c>
      <x:c r="K826" s="47" t="n">
        <x:v>0.7350817745485123</x:v>
      </x:c>
      <x:c r="L826" s="47" t="n">
        <x:v>0.9767142808771716</x:v>
      </x:c>
      <x:c r="M826" s="47" t="n">
        <x:v>0.05372389742440543</x:v>
      </x:c>
      <x:c r="N826" s="47" t="n">
        <x:v>0.8634051870322261</x:v>
      </x:c>
      <x:c r="O826" s="47" t="n">
        <x:v>1.0000000000000002</x:v>
      </x:c>
      <x:c r="P826" s="47" t="n">
        <x:v>1</x:v>
      </x:c>
      <x:c r="Q826" s="47" t="n">
        <x:v>1</x:v>
      </x:c>
      <x:c r="R826" s="47" t="n">
        <x:v>1</x:v>
      </x:c>
      <x:c r="S826" s="27" t="n">
        <x:v>1</x:v>
      </x:c>
    </x:row>
    <x:row r="827" ht="21.600000381469727" hidden="0" customHeight="1">
      <x:c r="A827" s="29" t="n">
        <x:v>275</x:v>
      </x:c>
      <x:c r="B827" s="29" t="str">
        <x:v>A1</x:v>
      </x:c>
      <x:c r="C827" s="48" t="n">
        <x:v>0.9562690096706913</x:v>
      </x:c>
      <x:c r="D827" s="48" t="n">
        <x:v>0.8230691278197378</x:v>
      </x:c>
      <x:c r="E827" s="48" t="n">
        <x:v>0.8258789495925005</x:v>
      </x:c>
      <x:c r="F827" s="48" t="n">
        <x:v>-0.03366697020557169</x:v>
      </x:c>
      <x:c r="G827" s="48" t="n">
        <x:v>-0.08181554877194314</x:v>
      </x:c>
      <x:c r="H827" s="48" t="n">
        <x:v>0.8667883874334439</x:v>
      </x:c>
      <x:c r="I827" s="48" t="n">
        <x:v>0.7293788354987851</x:v>
      </x:c>
      <x:c r="J827" s="48" t="n">
        <x:v>0.4559850430920728</x:v>
      </x:c>
      <x:c r="K827" s="48" t="n">
        <x:v>0.5753678330058012</x:v>
      </x:c>
      <x:c r="L827" s="48" t="n">
        <x:v>0.5202089785756268</x:v>
      </x:c>
      <x:c r="M827" s="48" t="n">
        <x:v>0.12095488773043607</x:v>
      </x:c>
      <x:c r="N827" s="48" t="n">
        <x:v>0.7935789175249417</x:v>
      </x:c>
      <x:c r="O827" s="48" t="n">
        <x:v>0.8461772058999584</x:v>
      </x:c>
      <x:c r="P827" s="48" t="n">
        <x:v>0.6711635172040582</x:v>
      </x:c>
      <x:c r="Q827" s="48" t="n">
        <x:v>1</x:v>
      </x:c>
      <x:c r="R827" s="48" t="n">
        <x:v>0.8100529927674001</x:v>
      </x:c>
      <x:c r="S827" s="29" t="n">
        <x:v>0</x:v>
      </x:c>
    </x:row>
    <x:row r="828" ht="21.600000381469727" hidden="0" customHeight="1">
      <x:c r="A828" s="27" t="n">
        <x:v>275</x:v>
      </x:c>
      <x:c r="B828" s="27" t="str">
        <x:v>A2</x:v>
      </x:c>
      <x:c r="C828" s="47" t="n">
        <x:v>0.9562690096706913</x:v>
      </x:c>
      <x:c r="D828" s="47" t="n">
        <x:v>0.8230691278197378</x:v>
      </x:c>
      <x:c r="E828" s="47" t="n">
        <x:v>0.8258789495925005</x:v>
      </x:c>
      <x:c r="F828" s="47" t="n">
        <x:v>-0.03366697020557169</x:v>
      </x:c>
      <x:c r="G828" s="47" t="n">
        <x:v>-0.08181554877194314</x:v>
      </x:c>
      <x:c r="H828" s="47" t="n">
        <x:v>0.8667883874334439</x:v>
      </x:c>
      <x:c r="I828" s="47" t="n">
        <x:v>0.7293788354987851</x:v>
      </x:c>
      <x:c r="J828" s="47" t="n">
        <x:v>0.4559850430920728</x:v>
      </x:c>
      <x:c r="K828" s="47" t="n">
        <x:v>0.5753678330058012</x:v>
      </x:c>
      <x:c r="L828" s="47" t="n">
        <x:v>0.5202089785756268</x:v>
      </x:c>
      <x:c r="M828" s="47" t="n">
        <x:v>0.12095488773043607</x:v>
      </x:c>
      <x:c r="N828" s="47" t="n">
        <x:v>0.7935789175249417</x:v>
      </x:c>
      <x:c r="O828" s="47" t="n">
        <x:v>0.9463192559183463</x:v>
      </x:c>
      <x:c r="P828" s="47" t="n">
        <x:v>0.70698767676257</x:v>
      </x:c>
      <x:c r="Q828" s="47" t="n">
        <x:v>1</x:v>
      </x:c>
      <x:c r="R828" s="47" t="n">
        <x:v>0.9337127065986222</x:v>
      </x:c>
      <x:c r="S828" s="27" t="n">
        <x:v>0</x:v>
      </x:c>
    </x:row>
    <x:row r="829" ht="21.600000381469727" hidden="0" customHeight="1">
      <x:c r="A829" s="29" t="n">
        <x:v>275</x:v>
      </x:c>
      <x:c r="B829" s="29" t="str">
        <x:v>A3</x:v>
      </x:c>
      <x:c r="C829" s="48" t="n">
        <x:v>0.9562690096706913</x:v>
      </x:c>
      <x:c r="D829" s="48" t="n">
        <x:v>0.8230691278197378</x:v>
      </x:c>
      <x:c r="E829" s="48" t="n">
        <x:v>0.8258789495925005</x:v>
      </x:c>
      <x:c r="F829" s="48" t="n">
        <x:v>-0.03366697020557169</x:v>
      </x:c>
      <x:c r="G829" s="48" t="n">
        <x:v>-0.08181554877194314</x:v>
      </x:c>
      <x:c r="H829" s="48" t="n">
        <x:v>0.8667883874334439</x:v>
      </x:c>
      <x:c r="I829" s="48" t="n">
        <x:v>0.7293788354987851</x:v>
      </x:c>
      <x:c r="J829" s="48" t="n">
        <x:v>0.4559850430920728</x:v>
      </x:c>
      <x:c r="K829" s="48" t="n">
        <x:v>0.5753678330058012</x:v>
      </x:c>
      <x:c r="L829" s="48" t="n">
        <x:v>0.5202089785756268</x:v>
      </x:c>
      <x:c r="M829" s="48" t="n">
        <x:v>0.12095488773043607</x:v>
      </x:c>
      <x:c r="N829" s="48" t="n">
        <x:v>0.7935789175249417</x:v>
      </x:c>
      <x:c r="O829" s="48" t="n">
        <x:v>1</x:v>
      </x:c>
      <x:c r="P829" s="48" t="n">
        <x:v>1</x:v>
      </x:c>
      <x:c r="Q829" s="48" t="n">
        <x:v>1</x:v>
      </x:c>
      <x:c r="R829" s="48" t="n">
        <x:v>1</x:v>
      </x:c>
      <x:c r="S829" s="29" t="n">
        <x:v>1</x:v>
      </x:c>
    </x:row>
    <x:row r="830" ht="21.600000381469727" hidden="0" customHeight="1">
      <x:c r="A830" s="27" t="n">
        <x:v>276</x:v>
      </x:c>
      <x:c r="B830" s="27" t="str">
        <x:v>A1</x:v>
      </x:c>
      <x:c r="C830" s="47" t="n">
        <x:v>1.2275265994374975</x:v>
      </x:c>
      <x:c r="D830" s="47" t="n">
        <x:v>0.7679362890850475</x:v>
      </x:c>
      <x:c r="E830" s="47" t="n">
        <x:v>1.0713468616144621</x:v>
      </x:c>
      <x:c r="F830" s="47" t="n">
        <x:v>-0.011368526832047199</x:v>
      </x:c>
      <x:c r="G830" s="47" t="n">
        <x:v>0.02967576351930995</x:v>
      </x:c>
      <x:c r="H830" s="47" t="n">
        <x:v>1.0572416560950353</x:v>
      </x:c>
      <x:c r="I830" s="47" t="n">
        <x:v>0.9755202815017565</x:v>
      </x:c>
      <x:c r="J830" s="47" t="n">
        <x:v>0.41371900344216916</x:v>
      </x:c>
      <x:c r="K830" s="47" t="n">
        <x:v>0.7457793739639165</x:v>
      </x:c>
      <x:c r="L830" s="47" t="n">
        <x:v>0.5152254406690209</x:v>
      </x:c>
      <x:c r="M830" s="47" t="n">
        <x:v>0.16581863276891626</x:v>
      </x:c>
      <x:c r="N830" s="47" t="n">
        <x:v>0.8490028130959874</x:v>
      </x:c>
      <x:c r="O830" s="47" t="n">
        <x:v>0.7454942747641439</x:v>
      </x:c>
      <x:c r="P830" s="47" t="n">
        <x:v>0.4688217507664784</x:v>
      </x:c>
      <x:c r="Q830" s="47" t="n">
        <x:v>0.9461767447652109</x:v>
      </x:c>
      <x:c r="R830" s="47" t="n">
        <x:v>0.6861251130835945</x:v>
      </x:c>
      <x:c r="S830" s="27" t="n">
        <x:v>0</x:v>
      </x:c>
    </x:row>
    <x:row r="831" ht="21.600000381469727" hidden="0" customHeight="1">
      <x:c r="A831" s="29" t="n">
        <x:v>276</x:v>
      </x:c>
      <x:c r="B831" s="29" t="str">
        <x:v>A2</x:v>
      </x:c>
      <x:c r="C831" s="48" t="n">
        <x:v>1.2275265994374975</x:v>
      </x:c>
      <x:c r="D831" s="48" t="n">
        <x:v>0.7679362890850475</x:v>
      </x:c>
      <x:c r="E831" s="48" t="n">
        <x:v>1.0713468616144621</x:v>
      </x:c>
      <x:c r="F831" s="48" t="n">
        <x:v>-0.011368526832047199</x:v>
      </x:c>
      <x:c r="G831" s="48" t="n">
        <x:v>0.02967576351930995</x:v>
      </x:c>
      <x:c r="H831" s="48" t="n">
        <x:v>1.0572416560950353</x:v>
      </x:c>
      <x:c r="I831" s="48" t="n">
        <x:v>0.9755202815017565</x:v>
      </x:c>
      <x:c r="J831" s="48" t="n">
        <x:v>0.41371900344216916</x:v>
      </x:c>
      <x:c r="K831" s="48" t="n">
        <x:v>0.7457793739639165</x:v>
      </x:c>
      <x:c r="L831" s="48" t="n">
        <x:v>0.5152254406690209</x:v>
      </x:c>
      <x:c r="M831" s="48" t="n">
        <x:v>0.16581863276891626</x:v>
      </x:c>
      <x:c r="N831" s="48" t="n">
        <x:v>0.8490028130959874</x:v>
      </x:c>
      <x:c r="O831" s="48" t="n">
        <x:v>0.8251232706361055</x:v>
      </x:c>
      <x:c r="P831" s="48" t="n">
        <x:v>0.5094884235638444</x:v>
      </x:c>
      <x:c r="Q831" s="48" t="n">
        <x:v>1</x:v>
      </x:c>
      <x:c r="R831" s="48" t="n">
        <x:v>0.7840546872676517</x:v>
      </x:c>
      <x:c r="S831" s="29" t="n">
        <x:v>0</x:v>
      </x:c>
    </x:row>
    <x:row r="832" ht="21.600000381469727" hidden="0" customHeight="1">
      <x:c r="A832" s="27" t="n">
        <x:v>276</x:v>
      </x:c>
      <x:c r="B832" s="27" t="str">
        <x:v>A3</x:v>
      </x:c>
      <x:c r="C832" s="47" t="n">
        <x:v>1.2275265994374975</x:v>
      </x:c>
      <x:c r="D832" s="47" t="n">
        <x:v>0.7679362890850475</x:v>
      </x:c>
      <x:c r="E832" s="47" t="n">
        <x:v>1.0713468616144621</x:v>
      </x:c>
      <x:c r="F832" s="47" t="n">
        <x:v>-0.011368526832047199</x:v>
      </x:c>
      <x:c r="G832" s="47" t="n">
        <x:v>0.02967576351930995</x:v>
      </x:c>
      <x:c r="H832" s="47" t="n">
        <x:v>1.0572416560950353</x:v>
      </x:c>
      <x:c r="I832" s="47" t="n">
        <x:v>0.9755202815017565</x:v>
      </x:c>
      <x:c r="J832" s="47" t="n">
        <x:v>0.41371900344216916</x:v>
      </x:c>
      <x:c r="K832" s="47" t="n">
        <x:v>0.7457793739639165</x:v>
      </x:c>
      <x:c r="L832" s="47" t="n">
        <x:v>0.5152254406690209</x:v>
      </x:c>
      <x:c r="M832" s="47" t="n">
        <x:v>0.16581863276891626</x:v>
      </x:c>
      <x:c r="N832" s="47" t="n">
        <x:v>0.8490028130959874</x:v>
      </x:c>
      <x:c r="O832" s="47" t="n">
        <x:v>1</x:v>
      </x:c>
      <x:c r="P832" s="47" t="n">
        <x:v>1</x:v>
      </x:c>
      <x:c r="Q832" s="47" t="n">
        <x:v>1</x:v>
      </x:c>
      <x:c r="R832" s="47" t="n">
        <x:v>1</x:v>
      </x:c>
      <x:c r="S832" s="27" t="n">
        <x:v>1</x:v>
      </x:c>
    </x:row>
    <x:row r="833" ht="21.600000381469727" hidden="0" customHeight="1">
      <x:c r="A833" s="29" t="n">
        <x:v>277</x:v>
      </x:c>
      <x:c r="B833" s="29" t="str">
        <x:v>A1</x:v>
      </x:c>
      <x:c r="C833" s="48" t="n">
        <x:v>1.3076096154965302</x:v>
      </x:c>
      <x:c r="D833" s="48" t="n">
        <x:v>0.7857128687431116</x:v>
      </x:c>
      <x:c r="E833" s="48" t="n">
        <x:v>1.063084124516452</x:v>
      </x:c>
      <x:c r="F833" s="48" t="n">
        <x:v>0.026775809838529896</x:v>
      </x:c>
      <x:c r="G833" s="48" t="n">
        <x:v>-0.15122668420172342</x:v>
      </x:c>
      <x:c r="H833" s="48" t="n">
        <x:v>0.3828688519075816</x:v>
      </x:c>
      <x:c r="I833" s="48" t="n">
        <x:v>0.7655736873825604</x:v>
      </x:c>
      <x:c r="J833" s="48" t="n">
        <x:v>0.8292513001026294</x:v>
      </x:c>
      <x:c r="K833" s="48" t="n">
        <x:v>0.992867099917467</x:v>
      </x:c>
      <x:c r="L833" s="48" t="n">
        <x:v>0.6596056834981305</x:v>
      </x:c>
      <x:c r="M833" s="48" t="n">
        <x:v>0.1687498404473818</x:v>
      </x:c>
      <x:c r="N833" s="48" t="n">
        <x:v>0.7070758234400362</x:v>
      </x:c>
      <x:c r="O833" s="48" t="n">
        <x:v>0.7758632107182332</x:v>
      </x:c>
      <x:c r="P833" s="48" t="n">
        <x:v>0.5141764287418362</x:v>
      </x:c>
      <x:c r="Q833" s="48" t="n">
        <x:v>1</x:v>
      </x:c>
      <x:c r="R833" s="48" t="n">
        <x:v>0.7232262449536146</x:v>
      </x:c>
      <x:c r="S833" s="29" t="n">
        <x:v>0</x:v>
      </x:c>
    </x:row>
    <x:row r="834" ht="21.600000381469727" hidden="0" customHeight="1">
      <x:c r="A834" s="27" t="n">
        <x:v>277</x:v>
      </x:c>
      <x:c r="B834" s="27" t="str">
        <x:v>A2</x:v>
      </x:c>
      <x:c r="C834" s="47" t="n">
        <x:v>1.3076096154965302</x:v>
      </x:c>
      <x:c r="D834" s="47" t="n">
        <x:v>0.7857128687431116</x:v>
      </x:c>
      <x:c r="E834" s="47" t="n">
        <x:v>1.063084124516452</x:v>
      </x:c>
      <x:c r="F834" s="47" t="n">
        <x:v>0.026775809838529896</x:v>
      </x:c>
      <x:c r="G834" s="47" t="n">
        <x:v>-0.15122668420172342</x:v>
      </x:c>
      <x:c r="H834" s="47" t="n">
        <x:v>0.3828688519075816</x:v>
      </x:c>
      <x:c r="I834" s="47" t="n">
        <x:v>0.7655736873825604</x:v>
      </x:c>
      <x:c r="J834" s="47" t="n">
        <x:v>0.8292513001026294</x:v>
      </x:c>
      <x:c r="K834" s="47" t="n">
        <x:v>0.992867099917467</x:v>
      </x:c>
      <x:c r="L834" s="47" t="n">
        <x:v>0.6596056834981305</x:v>
      </x:c>
      <x:c r="M834" s="47" t="n">
        <x:v>0.1687498404473818</x:v>
      </x:c>
      <x:c r="N834" s="47" t="n">
        <x:v>0.7070758234400362</x:v>
      </x:c>
      <x:c r="O834" s="47" t="n">
        <x:v>0.8757615815257435</x:v>
      </x:c>
      <x:c r="P834" s="47" t="n">
        <x:v>0.46437749758319274</x:v>
      </x:c>
      <x:c r="Q834" s="47" t="n">
        <x:v>1</x:v>
      </x:c>
      <x:c r="R834" s="47" t="n">
        <x:v>0.8465850532064285</x:v>
      </x:c>
      <x:c r="S834" s="27" t="n">
        <x:v>0</x:v>
      </x:c>
    </x:row>
    <x:row r="835" ht="21.600000381469727" hidden="0" customHeight="1">
      <x:c r="A835" s="29" t="n">
        <x:v>277</x:v>
      </x:c>
      <x:c r="B835" s="29" t="str">
        <x:v>A3</x:v>
      </x:c>
      <x:c r="C835" s="48" t="n">
        <x:v>1.3076096154965302</x:v>
      </x:c>
      <x:c r="D835" s="48" t="n">
        <x:v>0.7857128687431116</x:v>
      </x:c>
      <x:c r="E835" s="48" t="n">
        <x:v>1.063084124516452</x:v>
      </x:c>
      <x:c r="F835" s="48" t="n">
        <x:v>0.026775809838529896</x:v>
      </x:c>
      <x:c r="G835" s="48" t="n">
        <x:v>-0.15122668420172342</x:v>
      </x:c>
      <x:c r="H835" s="48" t="n">
        <x:v>0.3828688519075816</x:v>
      </x:c>
      <x:c r="I835" s="48" t="n">
        <x:v>0.7655736873825604</x:v>
      </x:c>
      <x:c r="J835" s="48" t="n">
        <x:v>0.8292513001026294</x:v>
      </x:c>
      <x:c r="K835" s="48" t="n">
        <x:v>0.992867099917467</x:v>
      </x:c>
      <x:c r="L835" s="48" t="n">
        <x:v>0.6596056834981305</x:v>
      </x:c>
      <x:c r="M835" s="48" t="n">
        <x:v>0.1687498404473818</x:v>
      </x:c>
      <x:c r="N835" s="48" t="n">
        <x:v>0.7070758234400362</x:v>
      </x:c>
      <x:c r="O835" s="48" t="n">
        <x:v>1</x:v>
      </x:c>
      <x:c r="P835" s="48" t="n">
        <x:v>1</x:v>
      </x:c>
      <x:c r="Q835" s="48" t="n">
        <x:v>1</x:v>
      </x:c>
      <x:c r="R835" s="48" t="n">
        <x:v>1</x:v>
      </x:c>
      <x:c r="S835" s="29" t="n">
        <x:v>1</x:v>
      </x:c>
    </x:row>
    <x:row r="836" ht="21.600000381469727" hidden="0" customHeight="1">
      <x:c r="A836" s="27" t="n">
        <x:v>278</x:v>
      </x:c>
      <x:c r="B836" s="27" t="str">
        <x:v>A1</x:v>
      </x:c>
      <x:c r="C836" s="47" t="n">
        <x:v>1.2742036556734992</x:v>
      </x:c>
      <x:c r="D836" s="47" t="n">
        <x:v>0.9164441982576793</x:v>
      </x:c>
      <x:c r="E836" s="47" t="n">
        <x:v>0.995318488941044</x:v>
      </x:c>
      <x:c r="F836" s="47" t="n">
        <x:v>-0.10907930742036452</x:v>
      </x:c>
      <x:c r="G836" s="47" t="n">
        <x:v>-0.011535288932515625</x:v>
      </x:c>
      <x:c r="H836" s="47" t="n">
        <x:v>0.36896485659995</x:v>
      </x:c>
      <x:c r="I836" s="47" t="n">
        <x:v>0.9936661527049023</x:v>
      </x:c>
      <x:c r="J836" s="47" t="n">
        <x:v>0.8843801569417589</x:v>
      </x:c>
      <x:c r="K836" s="47" t="n">
        <x:v>0.6458364531707265</x:v>
      </x:c>
      <x:c r="L836" s="47" t="n">
        <x:v>0.7492705736081994</x:v>
      </x:c>
      <x:c r="M836" s="47" t="n">
        <x:v>0.12073649202909598</x:v>
      </x:c>
      <x:c r="N836" s="47" t="n">
        <x:v>0.8539951705688971</x:v>
      </x:c>
      <x:c r="O836" s="47" t="n">
        <x:v>0.8447735187706024</x:v>
      </x:c>
      <x:c r="P836" s="47" t="n">
        <x:v>0.48725315566241695</x:v>
      </x:c>
      <x:c r="Q836" s="47" t="n">
        <x:v>1</x:v>
      </x:c>
      <x:c r="R836" s="47" t="n">
        <x:v>0.8083196594804056</x:v>
      </x:c>
      <x:c r="S836" s="27" t="n">
        <x:v>0</x:v>
      </x:c>
    </x:row>
    <x:row r="837" ht="21.600000381469727" hidden="0" customHeight="1">
      <x:c r="A837" s="29" t="n">
        <x:v>278</x:v>
      </x:c>
      <x:c r="B837" s="29" t="str">
        <x:v>A2</x:v>
      </x:c>
      <x:c r="C837" s="48" t="n">
        <x:v>1.2742036556734992</x:v>
      </x:c>
      <x:c r="D837" s="48" t="n">
        <x:v>0.9164441982576793</x:v>
      </x:c>
      <x:c r="E837" s="48" t="n">
        <x:v>0.995318488941044</x:v>
      </x:c>
      <x:c r="F837" s="48" t="n">
        <x:v>-0.10907930742036452</x:v>
      </x:c>
      <x:c r="G837" s="48" t="n">
        <x:v>-0.011535288932515625</x:v>
      </x:c>
      <x:c r="H837" s="48" t="n">
        <x:v>0.36896485659995</x:v>
      </x:c>
      <x:c r="I837" s="48" t="n">
        <x:v>0.9936661527049023</x:v>
      </x:c>
      <x:c r="J837" s="48" t="n">
        <x:v>0.8843801569417589</x:v>
      </x:c>
      <x:c r="K837" s="48" t="n">
        <x:v>0.6458364531707265</x:v>
      </x:c>
      <x:c r="L837" s="48" t="n">
        <x:v>0.7492705736081994</x:v>
      </x:c>
      <x:c r="M837" s="48" t="n">
        <x:v>0.12073649202909598</x:v>
      </x:c>
      <x:c r="N837" s="48" t="n">
        <x:v>0.8539951705688971</x:v>
      </x:c>
      <x:c r="O837" s="48" t="n">
        <x:v>0.8990698581585227</x:v>
      </x:c>
      <x:c r="P837" s="48" t="n">
        <x:v>0.625237103297269</x:v>
      </x:c>
      <x:c r="Q837" s="48" t="n">
        <x:v>1</x:v>
      </x:c>
      <x:c r="R837" s="48" t="n">
        <x:v>0.875367116463364</x:v>
      </x:c>
      <x:c r="S837" s="29" t="n">
        <x:v>0</x:v>
      </x:c>
    </x:row>
    <x:row r="838" ht="21.600000381469727" hidden="0" customHeight="1">
      <x:c r="A838" s="27" t="n">
        <x:v>278</x:v>
      </x:c>
      <x:c r="B838" s="27" t="str">
        <x:v>A3</x:v>
      </x:c>
      <x:c r="C838" s="47" t="n">
        <x:v>1.2742036556734992</x:v>
      </x:c>
      <x:c r="D838" s="47" t="n">
        <x:v>0.9164441982576793</x:v>
      </x:c>
      <x:c r="E838" s="47" t="n">
        <x:v>0.995318488941044</x:v>
      </x:c>
      <x:c r="F838" s="47" t="n">
        <x:v>-0.10907930742036452</x:v>
      </x:c>
      <x:c r="G838" s="47" t="n">
        <x:v>-0.011535288932515625</x:v>
      </x:c>
      <x:c r="H838" s="47" t="n">
        <x:v>0.36896485659995</x:v>
      </x:c>
      <x:c r="I838" s="47" t="n">
        <x:v>0.9936661527049023</x:v>
      </x:c>
      <x:c r="J838" s="47" t="n">
        <x:v>0.8843801569417589</x:v>
      </x:c>
      <x:c r="K838" s="47" t="n">
        <x:v>0.6458364531707265</x:v>
      </x:c>
      <x:c r="L838" s="47" t="n">
        <x:v>0.7492705736081994</x:v>
      </x:c>
      <x:c r="M838" s="47" t="n">
        <x:v>0.12073649202909598</x:v>
      </x:c>
      <x:c r="N838" s="47" t="n">
        <x:v>0.8539951705688971</x:v>
      </x:c>
      <x:c r="O838" s="47" t="n">
        <x:v>1</x:v>
      </x:c>
      <x:c r="P838" s="47" t="n">
        <x:v>1</x:v>
      </x:c>
      <x:c r="Q838" s="47" t="n">
        <x:v>1</x:v>
      </x:c>
      <x:c r="R838" s="47" t="n">
        <x:v>1</x:v>
      </x:c>
      <x:c r="S838" s="27" t="n">
        <x:v>1</x:v>
      </x:c>
    </x:row>
    <x:row r="839" ht="21.600000381469727" hidden="0" customHeight="1">
      <x:c r="A839" s="29" t="n">
        <x:v>279</x:v>
      </x:c>
      <x:c r="B839" s="29" t="str">
        <x:v>A1</x:v>
      </x:c>
      <x:c r="C839" s="48" t="n">
        <x:v>1.0769240494907892</x:v>
      </x:c>
      <x:c r="D839" s="48" t="n">
        <x:v>0.9880237142996198</x:v>
      </x:c>
      <x:c r="E839" s="48" t="n">
        <x:v>0.6316721268287369</x:v>
      </x:c>
      <x:c r="F839" s="48" t="n">
        <x:v>-0.032146350196641055</x:v>
      </x:c>
      <x:c r="G839" s="48" t="n">
        <x:v>-0.048746201931936795</x:v>
      </x:c>
      <x:c r="H839" s="48" t="n">
        <x:v>0.42109028745754695</x:v>
      </x:c>
      <x:c r="I839" s="48" t="n">
        <x:v>0.854661223925471</x:v>
      </x:c>
      <x:c r="J839" s="48" t="n">
        <x:v>0.49345488048922015</x:v>
      </x:c>
      <x:c r="K839" s="48" t="n">
        <x:v>0.7202191570695963</x:v>
      </x:c>
      <x:c r="L839" s="48" t="n">
        <x:v>0.5854275468826243</x:v>
      </x:c>
      <x:c r="M839" s="48" t="n">
        <x:v>0.020845959583625052</x:v>
      </x:c>
      <x:c r="N839" s="48" t="n">
        <x:v>0.9846832346911072</x:v>
      </x:c>
      <x:c r="O839" s="48" t="n">
        <x:v>0.8749523787971354</x:v>
      </x:c>
      <x:c r="P839" s="48" t="n">
        <x:v>0.6679644635897507</x:v>
      </x:c>
      <x:c r="Q839" s="48" t="n">
        <x:v>1</x:v>
      </x:c>
      <x:c r="R839" s="48" t="n">
        <x:v>0.845585814846192</x:v>
      </x:c>
      <x:c r="S839" s="29" t="n">
        <x:v>0</x:v>
      </x:c>
    </x:row>
    <x:row r="840" ht="21.600000381469727" hidden="0" customHeight="1">
      <x:c r="A840" s="27" t="n">
        <x:v>279</x:v>
      </x:c>
      <x:c r="B840" s="27" t="str">
        <x:v>A2</x:v>
      </x:c>
      <x:c r="C840" s="47" t="n">
        <x:v>1.0769240494907892</x:v>
      </x:c>
      <x:c r="D840" s="47" t="n">
        <x:v>0.9880237142996198</x:v>
      </x:c>
      <x:c r="E840" s="47" t="n">
        <x:v>0.6316721268287369</x:v>
      </x:c>
      <x:c r="F840" s="47" t="n">
        <x:v>-0.032146350196641055</x:v>
      </x:c>
      <x:c r="G840" s="47" t="n">
        <x:v>-0.048746201931936795</x:v>
      </x:c>
      <x:c r="H840" s="47" t="n">
        <x:v>0.42109028745754695</x:v>
      </x:c>
      <x:c r="I840" s="47" t="n">
        <x:v>0.854661223925471</x:v>
      </x:c>
      <x:c r="J840" s="47" t="n">
        <x:v>0.49345488048922015</x:v>
      </x:c>
      <x:c r="K840" s="47" t="n">
        <x:v>0.7202191570695963</x:v>
      </x:c>
      <x:c r="L840" s="47" t="n">
        <x:v>0.5854275468826243</x:v>
      </x:c>
      <x:c r="M840" s="47" t="n">
        <x:v>0.020845959583625052</x:v>
      </x:c>
      <x:c r="N840" s="47" t="n">
        <x:v>0.9846832346911072</x:v>
      </x:c>
      <x:c r="O840" s="47" t="n">
        <x:v>0.9617713823914503</x:v>
      </x:c>
      <x:c r="P840" s="47" t="n">
        <x:v>0.7733952130323177</x:v>
      </x:c>
      <x:c r="Q840" s="47" t="n">
        <x:v>1</x:v>
      </x:c>
      <x:c r="R840" s="47" t="n">
        <x:v>0.9527936574818626</x:v>
      </x:c>
      <x:c r="S840" s="27" t="n">
        <x:v>0</x:v>
      </x:c>
    </x:row>
    <x:row r="841" ht="21.600000381469727" hidden="0" customHeight="1">
      <x:c r="A841" s="29" t="n">
        <x:v>279</x:v>
      </x:c>
      <x:c r="B841" s="29" t="str">
        <x:v>A3</x:v>
      </x:c>
      <x:c r="C841" s="48" t="n">
        <x:v>1.0769240494907892</x:v>
      </x:c>
      <x:c r="D841" s="48" t="n">
        <x:v>0.9880237142996198</x:v>
      </x:c>
      <x:c r="E841" s="48" t="n">
        <x:v>0.6316721268287369</x:v>
      </x:c>
      <x:c r="F841" s="48" t="n">
        <x:v>-0.032146350196641055</x:v>
      </x:c>
      <x:c r="G841" s="48" t="n">
        <x:v>-0.048746201931936795</x:v>
      </x:c>
      <x:c r="H841" s="48" t="n">
        <x:v>0.42109028745754695</x:v>
      </x:c>
      <x:c r="I841" s="48" t="n">
        <x:v>0.854661223925471</x:v>
      </x:c>
      <x:c r="J841" s="48" t="n">
        <x:v>0.49345488048922015</x:v>
      </x:c>
      <x:c r="K841" s="48" t="n">
        <x:v>0.7202191570695963</x:v>
      </x:c>
      <x:c r="L841" s="48" t="n">
        <x:v>0.5854275468826243</x:v>
      </x:c>
      <x:c r="M841" s="48" t="n">
        <x:v>0.020845959583625052</x:v>
      </x:c>
      <x:c r="N841" s="48" t="n">
        <x:v>0.9846832346911072</x:v>
      </x:c>
      <x:c r="O841" s="48" t="n">
        <x:v>1</x:v>
      </x:c>
      <x:c r="P841" s="48" t="n">
        <x:v>1</x:v>
      </x:c>
      <x:c r="Q841" s="48" t="n">
        <x:v>1</x:v>
      </x:c>
      <x:c r="R841" s="48" t="n">
        <x:v>1</x:v>
      </x:c>
      <x:c r="S841" s="29" t="n">
        <x:v>1</x:v>
      </x:c>
    </x:row>
    <x:row r="842" ht="21.600000381469727" hidden="0" customHeight="1">
      <x:c r="A842" s="27" t="n">
        <x:v>280</x:v>
      </x:c>
      <x:c r="B842" s="27" t="str">
        <x:v>A1</x:v>
      </x:c>
      <x:c r="C842" s="47" t="n">
        <x:v>0.9495549870247413</x:v>
      </x:c>
      <x:c r="D842" s="47" t="n">
        <x:v>0.7687127184164998</x:v>
      </x:c>
      <x:c r="E842" s="47" t="n">
        <x:v>0.47843581103945443</x:v>
      </x:c>
      <x:c r="F842" s="47" t="n">
        <x:v>-0.09472594774517838</x:v>
      </x:c>
      <x:c r="G842" s="47" t="n">
        <x:v>-0.10706110440573421</x:v>
      </x:c>
      <x:c r="H842" s="47" t="n">
        <x:v>0.8030427399641868</x:v>
      </x:c>
      <x:c r="I842" s="47" t="n">
        <x:v>1.0194828097796487</x:v>
      </x:c>
      <x:c r="J842" s="47" t="n">
        <x:v>0.7211229607391153</x:v>
      </x:c>
      <x:c r="K842" s="47" t="n">
        <x:v>0.7694847372175329</x:v>
      </x:c>
      <x:c r="L842" s="47" t="n">
        <x:v>0.5680834954684612</x:v>
      </x:c>
      <x:c r="M842" s="47" t="n">
        <x:v>0.010850477387191549</x:v>
      </x:c>
      <x:c r="N842" s="47" t="n">
        <x:v>0.7478231991127819</x:v>
      </x:c>
      <x:c r="O842" s="47" t="n">
        <x:v>0.8299724343665749</x:v>
      </x:c>
      <x:c r="P842" s="47" t="n">
        <x:v>0.520327346973636</x:v>
      </x:c>
      <x:c r="Q842" s="47" t="n">
        <x:v>1</x:v>
      </x:c>
      <x:c r="R842" s="47" t="n">
        <x:v>0.7900426433672171</x:v>
      </x:c>
      <x:c r="S842" s="27" t="n">
        <x:v>0</x:v>
      </x:c>
    </x:row>
    <x:row r="843" ht="21.600000381469727" hidden="0" customHeight="1">
      <x:c r="A843" s="29" t="n">
        <x:v>280</x:v>
      </x:c>
      <x:c r="B843" s="29" t="str">
        <x:v>A2</x:v>
      </x:c>
      <x:c r="C843" s="48" t="n">
        <x:v>0.9495549870247413</x:v>
      </x:c>
      <x:c r="D843" s="48" t="n">
        <x:v>0.7687127184164998</x:v>
      </x:c>
      <x:c r="E843" s="48" t="n">
        <x:v>0.47843581103945443</x:v>
      </x:c>
      <x:c r="F843" s="48" t="n">
        <x:v>-0.09472594774517838</x:v>
      </x:c>
      <x:c r="G843" s="48" t="n">
        <x:v>-0.10706110440573421</x:v>
      </x:c>
      <x:c r="H843" s="48" t="n">
        <x:v>0.8030427399641868</x:v>
      </x:c>
      <x:c r="I843" s="48" t="n">
        <x:v>1.0194828097796487</x:v>
      </x:c>
      <x:c r="J843" s="48" t="n">
        <x:v>0.7211229607391153</x:v>
      </x:c>
      <x:c r="K843" s="48" t="n">
        <x:v>0.7694847372175329</x:v>
      </x:c>
      <x:c r="L843" s="48" t="n">
        <x:v>0.5680834954684612</x:v>
      </x:c>
      <x:c r="M843" s="48" t="n">
        <x:v>0.010850477387191549</x:v>
      </x:c>
      <x:c r="N843" s="48" t="n">
        <x:v>0.7478231991127819</x:v>
      </x:c>
      <x:c r="O843" s="48" t="n">
        <x:v>0.8845027084693958</x:v>
      </x:c>
      <x:c r="P843" s="48" t="n">
        <x:v>0.49286156672953046</x:v>
      </x:c>
      <x:c r="Q843" s="48" t="n">
        <x:v>1</x:v>
      </x:c>
      <x:c r="R843" s="48" t="n">
        <x:v>0.8573789730055135</x:v>
      </x:c>
      <x:c r="S843" s="29" t="n">
        <x:v>0</x:v>
      </x:c>
    </x:row>
    <x:row r="844" ht="21.600000381469727" hidden="0" customHeight="1">
      <x:c r="A844" s="27" t="n">
        <x:v>280</x:v>
      </x:c>
      <x:c r="B844" s="27" t="str">
        <x:v>A3</x:v>
      </x:c>
      <x:c r="C844" s="47" t="n">
        <x:v>0.9495549870247413</x:v>
      </x:c>
      <x:c r="D844" s="47" t="n">
        <x:v>0.7687127184164998</x:v>
      </x:c>
      <x:c r="E844" s="47" t="n">
        <x:v>0.47843581103945443</x:v>
      </x:c>
      <x:c r="F844" s="47" t="n">
        <x:v>-0.09472594774517838</x:v>
      </x:c>
      <x:c r="G844" s="47" t="n">
        <x:v>-0.10706110440573421</x:v>
      </x:c>
      <x:c r="H844" s="47" t="n">
        <x:v>0.8030427399641868</x:v>
      </x:c>
      <x:c r="I844" s="47" t="n">
        <x:v>1.0194828097796487</x:v>
      </x:c>
      <x:c r="J844" s="47" t="n">
        <x:v>0.7211229607391153</x:v>
      </x:c>
      <x:c r="K844" s="47" t="n">
        <x:v>0.7694847372175329</x:v>
      </x:c>
      <x:c r="L844" s="47" t="n">
        <x:v>0.5680834954684612</x:v>
      </x:c>
      <x:c r="M844" s="47" t="n">
        <x:v>0.010850477387191549</x:v>
      </x:c>
      <x:c r="N844" s="47" t="n">
        <x:v>0.7478231991127819</x:v>
      </x:c>
      <x:c r="O844" s="47" t="n">
        <x:v>1</x:v>
      </x:c>
      <x:c r="P844" s="47" t="n">
        <x:v>1</x:v>
      </x:c>
      <x:c r="Q844" s="47" t="n">
        <x:v>1</x:v>
      </x:c>
      <x:c r="R844" s="47" t="n">
        <x:v>1</x:v>
      </x:c>
      <x:c r="S844" s="27" t="n">
        <x:v>1</x:v>
      </x:c>
    </x:row>
    <x:row r="845" ht="21.600000381469727" hidden="0" customHeight="1">
      <x:c r="A845" s="29" t="n">
        <x:v>281</x:v>
      </x:c>
      <x:c r="B845" s="29" t="str">
        <x:v>A1</x:v>
      </x:c>
      <x:c r="C845" s="48" t="n">
        <x:v>1.2252088003278003</x:v>
      </x:c>
      <x:c r="D845" s="48" t="n">
        <x:v>0.9093640170699114</x:v>
      </x:c>
      <x:c r="E845" s="48" t="n">
        <x:v>0.5648383719530211</x:v>
      </x:c>
      <x:c r="F845" s="48" t="n">
        <x:v>-0.03027171208580115</x:v>
      </x:c>
      <x:c r="G845" s="48" t="n">
        <x:v>-0.16804502717280195</x:v>
      </x:c>
      <x:c r="H845" s="48" t="n">
        <x:v>0.5226943025367937</x:v>
      </x:c>
      <x:c r="I845" s="48" t="n">
        <x:v>0.8946230515727234</x:v>
      </x:c>
      <x:c r="J845" s="48" t="n">
        <x:v>0.5285409620893816</x:v>
      </x:c>
      <x:c r="K845" s="48" t="n">
        <x:v>0.9813978792117456</x:v>
      </x:c>
      <x:c r="L845" s="48" t="n">
        <x:v>0.7726469035075512</x:v>
      </x:c>
      <x:c r="M845" s="48" t="n">
        <x:v>0.11339049435954067</x:v>
      </x:c>
      <x:c r="N845" s="48" t="n">
        <x:v>0.9194451647807853</x:v>
      </x:c>
      <x:c r="O845" s="48" t="n">
        <x:v>0.8205910835250753</x:v>
      </x:c>
      <x:c r="P845" s="48" t="n">
        <x:v>0.49733819354852593</x:v>
      </x:c>
      <x:c r="Q845" s="48" t="n">
        <x:v>1</x:v>
      </x:c>
      <x:c r="R845" s="48" t="n">
        <x:v>0.7784581475415663</x:v>
      </x:c>
      <x:c r="S845" s="29" t="n">
        <x:v>0</x:v>
      </x:c>
    </x:row>
    <x:row r="846" ht="21.600000381469727" hidden="0" customHeight="1">
      <x:c r="A846" s="27" t="n">
        <x:v>281</x:v>
      </x:c>
      <x:c r="B846" s="27" t="str">
        <x:v>A2</x:v>
      </x:c>
      <x:c r="C846" s="47" t="n">
        <x:v>1.2252088003278003</x:v>
      </x:c>
      <x:c r="D846" s="47" t="n">
        <x:v>0.9093640170699114</x:v>
      </x:c>
      <x:c r="E846" s="47" t="n">
        <x:v>0.5648383719530211</x:v>
      </x:c>
      <x:c r="F846" s="47" t="n">
        <x:v>-0.03027171208580115</x:v>
      </x:c>
      <x:c r="G846" s="47" t="n">
        <x:v>-0.16804502717280195</x:v>
      </x:c>
      <x:c r="H846" s="47" t="n">
        <x:v>0.5226943025367937</x:v>
      </x:c>
      <x:c r="I846" s="47" t="n">
        <x:v>0.8946230515727234</x:v>
      </x:c>
      <x:c r="J846" s="47" t="n">
        <x:v>0.5285409620893816</x:v>
      </x:c>
      <x:c r="K846" s="47" t="n">
        <x:v>0.9813978792117456</x:v>
      </x:c>
      <x:c r="L846" s="47" t="n">
        <x:v>0.7726469035075512</x:v>
      </x:c>
      <x:c r="M846" s="47" t="n">
        <x:v>0.11339049435954067</x:v>
      </x:c>
      <x:c r="N846" s="47" t="n">
        <x:v>0.9194451647807853</x:v>
      </x:c>
      <x:c r="O846" s="47" t="n">
        <x:v>0.8869895533377113</x:v>
      </x:c>
      <x:c r="P846" s="47" t="n">
        <x:v>0.5711407656383274</x:v>
      </x:c>
      <x:c r="Q846" s="47" t="n">
        <x:v>1</x:v>
      </x:c>
      <x:c r="R846" s="47" t="n">
        <x:v>0.8604498360915204</x:v>
      </x:c>
      <x:c r="S846" s="27" t="n">
        <x:v>0</x:v>
      </x:c>
    </x:row>
    <x:row r="847" ht="21.600000381469727" hidden="0" customHeight="1">
      <x:c r="A847" s="29" t="n">
        <x:v>281</x:v>
      </x:c>
      <x:c r="B847" s="29" t="str">
        <x:v>A3</x:v>
      </x:c>
      <x:c r="C847" s="48" t="n">
        <x:v>1.2252088003278003</x:v>
      </x:c>
      <x:c r="D847" s="48" t="n">
        <x:v>0.9093640170699114</x:v>
      </x:c>
      <x:c r="E847" s="48" t="n">
        <x:v>0.5648383719530211</x:v>
      </x:c>
      <x:c r="F847" s="48" t="n">
        <x:v>-0.03027171208580115</x:v>
      </x:c>
      <x:c r="G847" s="48" t="n">
        <x:v>-0.16804502717280195</x:v>
      </x:c>
      <x:c r="H847" s="48" t="n">
        <x:v>0.5226943025367937</x:v>
      </x:c>
      <x:c r="I847" s="48" t="n">
        <x:v>0.8946230515727234</x:v>
      </x:c>
      <x:c r="J847" s="48" t="n">
        <x:v>0.5285409620893816</x:v>
      </x:c>
      <x:c r="K847" s="48" t="n">
        <x:v>0.9813978792117456</x:v>
      </x:c>
      <x:c r="L847" s="48" t="n">
        <x:v>0.7726469035075512</x:v>
      </x:c>
      <x:c r="M847" s="48" t="n">
        <x:v>0.11339049435954067</x:v>
      </x:c>
      <x:c r="N847" s="48" t="n">
        <x:v>0.9194451647807853</x:v>
      </x:c>
      <x:c r="O847" s="48" t="n">
        <x:v>1</x:v>
      </x:c>
      <x:c r="P847" s="48" t="n">
        <x:v>1</x:v>
      </x:c>
      <x:c r="Q847" s="48" t="n">
        <x:v>1</x:v>
      </x:c>
      <x:c r="R847" s="48" t="n">
        <x:v>1</x:v>
      </x:c>
      <x:c r="S847" s="29" t="n">
        <x:v>1</x:v>
      </x:c>
    </x:row>
    <x:row r="848" ht="21.600000381469727" hidden="0" customHeight="1">
      <x:c r="A848" s="27" t="n">
        <x:v>282</x:v>
      </x:c>
      <x:c r="B848" s="27" t="str">
        <x:v>A1</x:v>
      </x:c>
      <x:c r="C848" s="47" t="n">
        <x:v>0.9199683958545335</x:v>
      </x:c>
      <x:c r="D848" s="47" t="n">
        <x:v>0.905738633184029</x:v>
      </x:c>
      <x:c r="E848" s="47" t="n">
        <x:v>1.0868164289991635</x:v>
      </x:c>
      <x:c r="F848" s="47" t="n">
        <x:v>-0.012054301623778213</x:v>
      </x:c>
      <x:c r="G848" s="47" t="n">
        <x:v>-0.06483733141395459</x:v>
      </x:c>
      <x:c r="H848" s="47" t="n">
        <x:v>0.550043424810266</x:v>
      </x:c>
      <x:c r="I848" s="47" t="n">
        <x:v>0.6706130968839559</x:v>
      </x:c>
      <x:c r="J848" s="47" t="n">
        <x:v>0.8715135873263945</x:v>
      </x:c>
      <x:c r="K848" s="47" t="n">
        <x:v>0.795556485791155</x:v>
      </x:c>
      <x:c r="L848" s="47" t="n">
        <x:v>0.7436777104083585</x:v>
      </x:c>
      <x:c r="M848" s="47" t="n">
        <x:v>0.16351738771184707</x:v>
      </x:c>
      <x:c r="N848" s="47" t="n">
        <x:v>0.9504888916020918</x:v>
      </x:c>
      <x:c r="O848" s="47" t="n">
        <x:v>0.9574469077199526</x:v>
      </x:c>
      <x:c r="P848" s="47" t="n">
        <x:v>0.7221242444940524</x:v>
      </x:c>
      <x:c r="Q848" s="47" t="n">
        <x:v>1</x:v>
      </x:c>
      <x:c r="R848" s="47" t="n">
        <x:v>0.9474536100167907</x:v>
      </x:c>
      <x:c r="S848" s="27" t="n">
        <x:v>0</x:v>
      </x:c>
    </x:row>
    <x:row r="849" ht="21.600000381469727" hidden="0" customHeight="1">
      <x:c r="A849" s="29" t="n">
        <x:v>282</x:v>
      </x:c>
      <x:c r="B849" s="29" t="str">
        <x:v>A2</x:v>
      </x:c>
      <x:c r="C849" s="48" t="n">
        <x:v>0.9199683958545335</x:v>
      </x:c>
      <x:c r="D849" s="48" t="n">
        <x:v>0.905738633184029</x:v>
      </x:c>
      <x:c r="E849" s="48" t="n">
        <x:v>1.0868164289991635</x:v>
      </x:c>
      <x:c r="F849" s="48" t="n">
        <x:v>-0.012054301623778213</x:v>
      </x:c>
      <x:c r="G849" s="48" t="n">
        <x:v>-0.06483733141395459</x:v>
      </x:c>
      <x:c r="H849" s="48" t="n">
        <x:v>0.550043424810266</x:v>
      </x:c>
      <x:c r="I849" s="48" t="n">
        <x:v>0.6706130968839559</x:v>
      </x:c>
      <x:c r="J849" s="48" t="n">
        <x:v>0.8715135873263945</x:v>
      </x:c>
      <x:c r="K849" s="48" t="n">
        <x:v>0.795556485791155</x:v>
      </x:c>
      <x:c r="L849" s="48" t="n">
        <x:v>0.7436777104083585</x:v>
      </x:c>
      <x:c r="M849" s="48" t="n">
        <x:v>0.16351738771184707</x:v>
      </x:c>
      <x:c r="N849" s="48" t="n">
        <x:v>0.9504888916020918</x:v>
      </x:c>
      <x:c r="O849" s="48" t="n">
        <x:v>1</x:v>
      </x:c>
      <x:c r="P849" s="48" t="n">
        <x:v>0.9999999999999999</x:v>
      </x:c>
      <x:c r="Q849" s="48" t="n">
        <x:v>1</x:v>
      </x:c>
      <x:c r="R849" s="48" t="n">
        <x:v>1</x:v>
      </x:c>
      <x:c r="S849" s="29" t="n">
        <x:v>1</x:v>
      </x:c>
    </x:row>
    <x:row r="850" ht="21.600000381469727" hidden="0" customHeight="1">
      <x:c r="A850" s="27" t="n">
        <x:v>282</x:v>
      </x:c>
      <x:c r="B850" s="27" t="str">
        <x:v>A3</x:v>
      </x:c>
      <x:c r="C850" s="47" t="n">
        <x:v>0.9199683958545335</x:v>
      </x:c>
      <x:c r="D850" s="47" t="n">
        <x:v>0.905738633184029</x:v>
      </x:c>
      <x:c r="E850" s="47" t="n">
        <x:v>1.0868164289991635</x:v>
      </x:c>
      <x:c r="F850" s="47" t="n">
        <x:v>-0.012054301623778213</x:v>
      </x:c>
      <x:c r="G850" s="47" t="n">
        <x:v>-0.06483733141395459</x:v>
      </x:c>
      <x:c r="H850" s="47" t="n">
        <x:v>0.550043424810266</x:v>
      </x:c>
      <x:c r="I850" s="47" t="n">
        <x:v>0.6706130968839559</x:v>
      </x:c>
      <x:c r="J850" s="47" t="n">
        <x:v>0.8715135873263945</x:v>
      </x:c>
      <x:c r="K850" s="47" t="n">
        <x:v>0.795556485791155</x:v>
      </x:c>
      <x:c r="L850" s="47" t="n">
        <x:v>0.7436777104083585</x:v>
      </x:c>
      <x:c r="M850" s="47" t="n">
        <x:v>0.16351738771184707</x:v>
      </x:c>
      <x:c r="N850" s="47" t="n">
        <x:v>0.9504888916020918</x:v>
      </x:c>
      <x:c r="O850" s="47" t="n">
        <x:v>1</x:v>
      </x:c>
      <x:c r="P850" s="47" t="n">
        <x:v>1</x:v>
      </x:c>
      <x:c r="Q850" s="47" t="n">
        <x:v>1</x:v>
      </x:c>
      <x:c r="R850" s="47" t="n">
        <x:v>1</x:v>
      </x:c>
      <x:c r="S850" s="27" t="n">
        <x:v>1</x:v>
      </x:c>
    </x:row>
    <x:row r="851" ht="21.600000381469727" hidden="0" customHeight="1">
      <x:c r="A851" s="29" t="n">
        <x:v>283</x:v>
      </x:c>
      <x:c r="B851" s="29" t="str">
        <x:v>A1</x:v>
      </x:c>
      <x:c r="C851" s="48" t="n">
        <x:v>1.1592455330165063</x:v>
      </x:c>
      <x:c r="D851" s="48" t="n">
        <x:v>0.7806431499595752</x:v>
      </x:c>
      <x:c r="E851" s="48" t="n">
        <x:v>1.0720082002695375</x:v>
      </x:c>
      <x:c r="F851" s="48" t="n">
        <x:v>-0.040383930518041844</x:v>
      </x:c>
      <x:c r="G851" s="48" t="n">
        <x:v>-0.030233442449055653</x:v>
      </x:c>
      <x:c r="H851" s="48" t="n">
        <x:v>0.7931633162560345</x:v>
      </x:c>
      <x:c r="I851" s="48" t="n">
        <x:v>0.9709206411017193</x:v>
      </x:c>
      <x:c r="J851" s="48" t="n">
        <x:v>0.5698152744195061</x:v>
      </x:c>
      <x:c r="K851" s="48" t="n">
        <x:v>0.9192536680457124</x:v>
      </x:c>
      <x:c r="L851" s="48" t="n">
        <x:v>0.889648534536947</x:v>
      </x:c>
      <x:c r="M851" s="48" t="n">
        <x:v>0.03338942546386089</x:v>
      </x:c>
      <x:c r="N851" s="48" t="n">
        <x:v>0.6661774484264325</x:v>
      </x:c>
      <x:c r="O851" s="48" t="n">
        <x:v>0.8430147925658181</x:v>
      </x:c>
      <x:c r="P851" s="48" t="n">
        <x:v>0.6228964585160315</x:v>
      </x:c>
      <x:c r="Q851" s="48" t="n">
        <x:v>1</x:v>
      </x:c>
      <x:c r="R851" s="48" t="n">
        <x:v>0.806147908660933</x:v>
      </x:c>
      <x:c r="S851" s="29" t="n">
        <x:v>0</x:v>
      </x:c>
    </x:row>
    <x:row r="852" ht="21.600000381469727" hidden="0" customHeight="1">
      <x:c r="A852" s="27" t="n">
        <x:v>283</x:v>
      </x:c>
      <x:c r="B852" s="27" t="str">
        <x:v>A2</x:v>
      </x:c>
      <x:c r="C852" s="47" t="n">
        <x:v>1.1592455330165063</x:v>
      </x:c>
      <x:c r="D852" s="47" t="n">
        <x:v>0.7806431499595752</x:v>
      </x:c>
      <x:c r="E852" s="47" t="n">
        <x:v>1.0720082002695375</x:v>
      </x:c>
      <x:c r="F852" s="47" t="n">
        <x:v>-0.040383930518041844</x:v>
      </x:c>
      <x:c r="G852" s="47" t="n">
        <x:v>-0.030233442449055653</x:v>
      </x:c>
      <x:c r="H852" s="47" t="n">
        <x:v>0.7931633162560345</x:v>
      </x:c>
      <x:c r="I852" s="47" t="n">
        <x:v>0.9709206411017193</x:v>
      </x:c>
      <x:c r="J852" s="47" t="n">
        <x:v>0.5698152744195061</x:v>
      </x:c>
      <x:c r="K852" s="47" t="n">
        <x:v>0.9192536680457124</x:v>
      </x:c>
      <x:c r="L852" s="47" t="n">
        <x:v>0.889648534536947</x:v>
      </x:c>
      <x:c r="M852" s="47" t="n">
        <x:v>0.03338942546386089</x:v>
      </x:c>
      <x:c r="N852" s="47" t="n">
        <x:v>0.6661774484264325</x:v>
      </x:c>
      <x:c r="O852" s="47" t="n">
        <x:v>0.9306723203638921</x:v>
      </x:c>
      <x:c r="P852" s="47" t="n">
        <x:v>0.630060969824122</x:v>
      </x:c>
      <x:c r="Q852" s="47" t="n">
        <x:v>1</x:v>
      </x:c>
      <x:c r="R852" s="47" t="n">
        <x:v>0.9143911970764573</x:v>
      </x:c>
      <x:c r="S852" s="27" t="n">
        <x:v>0</x:v>
      </x:c>
    </x:row>
    <x:row r="853" ht="21.600000381469727" hidden="0" customHeight="1">
      <x:c r="A853" s="29" t="n">
        <x:v>283</x:v>
      </x:c>
      <x:c r="B853" s="29" t="str">
        <x:v>A3</x:v>
      </x:c>
      <x:c r="C853" s="48" t="n">
        <x:v>1.1592455330165063</x:v>
      </x:c>
      <x:c r="D853" s="48" t="n">
        <x:v>0.7806431499595752</x:v>
      </x:c>
      <x:c r="E853" s="48" t="n">
        <x:v>1.0720082002695375</x:v>
      </x:c>
      <x:c r="F853" s="48" t="n">
        <x:v>-0.040383930518041844</x:v>
      </x:c>
      <x:c r="G853" s="48" t="n">
        <x:v>-0.030233442449055653</x:v>
      </x:c>
      <x:c r="H853" s="48" t="n">
        <x:v>0.7931633162560345</x:v>
      </x:c>
      <x:c r="I853" s="48" t="n">
        <x:v>0.9709206411017193</x:v>
      </x:c>
      <x:c r="J853" s="48" t="n">
        <x:v>0.5698152744195061</x:v>
      </x:c>
      <x:c r="K853" s="48" t="n">
        <x:v>0.9192536680457124</x:v>
      </x:c>
      <x:c r="L853" s="48" t="n">
        <x:v>0.889648534536947</x:v>
      </x:c>
      <x:c r="M853" s="48" t="n">
        <x:v>0.03338942546386089</x:v>
      </x:c>
      <x:c r="N853" s="48" t="n">
        <x:v>0.6661774484264325</x:v>
      </x:c>
      <x:c r="O853" s="48" t="n">
        <x:v>1</x:v>
      </x:c>
      <x:c r="P853" s="48" t="n">
        <x:v>1</x:v>
      </x:c>
      <x:c r="Q853" s="48" t="n">
        <x:v>1</x:v>
      </x:c>
      <x:c r="R853" s="48" t="n">
        <x:v>1</x:v>
      </x:c>
      <x:c r="S853" s="29" t="n">
        <x:v>1</x:v>
      </x:c>
    </x:row>
    <x:row r="854" ht="21.600000381469727" hidden="0" customHeight="1">
      <x:c r="A854" s="27" t="n">
        <x:v>284</x:v>
      </x:c>
      <x:c r="B854" s="27" t="str">
        <x:v>A1</x:v>
      </x:c>
      <x:c r="C854" s="47" t="n">
        <x:v>1.0150980524283975</x:v>
      </x:c>
      <x:c r="D854" s="47" t="n">
        <x:v>0.9313688384354044</x:v>
      </x:c>
      <x:c r="E854" s="47" t="n">
        <x:v>1.0470054760962417</x:v>
      </x:c>
      <x:c r="F854" s="47" t="n">
        <x:v>-0.10009060150176187</x:v>
      </x:c>
      <x:c r="G854" s="47" t="n">
        <x:v>-0.06783861024952179</x:v>
      </x:c>
      <x:c r="H854" s="47" t="n">
        <x:v>0.7001267551488574</x:v>
      </x:c>
      <x:c r="I854" s="47" t="n">
        <x:v>0.7579163147039842</x:v>
      </x:c>
      <x:c r="J854" s="47" t="n">
        <x:v>0.6347277972494149</x:v>
      </x:c>
      <x:c r="K854" s="47" t="n">
        <x:v>0.5538674854999719</x:v>
      </x:c>
      <x:c r="L854" s="47" t="n">
        <x:v>0.559603738414049</x:v>
      </x:c>
      <x:c r="M854" s="47" t="n">
        <x:v>0.034046611442684206</x:v>
      </x:c>
      <x:c r="N854" s="47" t="n">
        <x:v>0.6623282990146088</x:v>
      </x:c>
      <x:c r="O854" s="47" t="n">
        <x:v>0.9096337063760322</x:v>
      </x:c>
      <x:c r="P854" s="47" t="n">
        <x:v>0.7387390920158954</x:v>
      </x:c>
      <x:c r="Q854" s="47" t="n">
        <x:v>1</x:v>
      </x:c>
      <x:c r="R854" s="47" t="n">
        <x:v>0.8884118109477871</x:v>
      </x:c>
      <x:c r="S854" s="27" t="n">
        <x:v>0</x:v>
      </x:c>
    </x:row>
    <x:row r="855" ht="21.600000381469727" hidden="0" customHeight="1">
      <x:c r="A855" s="29" t="n">
        <x:v>284</x:v>
      </x:c>
      <x:c r="B855" s="29" t="str">
        <x:v>A2</x:v>
      </x:c>
      <x:c r="C855" s="48" t="n">
        <x:v>1.0150980524283975</x:v>
      </x:c>
      <x:c r="D855" s="48" t="n">
        <x:v>0.9313688384354044</x:v>
      </x:c>
      <x:c r="E855" s="48" t="n">
        <x:v>1.0470054760962417</x:v>
      </x:c>
      <x:c r="F855" s="48" t="n">
        <x:v>-0.10009060150176187</x:v>
      </x:c>
      <x:c r="G855" s="48" t="n">
        <x:v>-0.06783861024952179</x:v>
      </x:c>
      <x:c r="H855" s="48" t="n">
        <x:v>0.7001267551488574</x:v>
      </x:c>
      <x:c r="I855" s="48" t="n">
        <x:v>0.7579163147039842</x:v>
      </x:c>
      <x:c r="J855" s="48" t="n">
        <x:v>0.6347277972494149</x:v>
      </x:c>
      <x:c r="K855" s="48" t="n">
        <x:v>0.5538674854999719</x:v>
      </x:c>
      <x:c r="L855" s="48" t="n">
        <x:v>0.559603738414049</x:v>
      </x:c>
      <x:c r="M855" s="48" t="n">
        <x:v>0.034046611442684206</x:v>
      </x:c>
      <x:c r="N855" s="48" t="n">
        <x:v>0.6623282990146088</x:v>
      </x:c>
      <x:c r="O855" s="48" t="n">
        <x:v>0.9726830841997743</x:v>
      </x:c>
      <x:c r="P855" s="48" t="n">
        <x:v>0.7497093274272821</x:v>
      </x:c>
      <x:c r="Q855" s="48" t="n">
        <x:v>1</x:v>
      </x:c>
      <x:c r="R855" s="48" t="n">
        <x:v>0.9662678965530741</x:v>
      </x:c>
      <x:c r="S855" s="29" t="n">
        <x:v>0</x:v>
      </x:c>
    </x:row>
    <x:row r="856" ht="21.600000381469727" hidden="0" customHeight="1">
      <x:c r="A856" s="27" t="n">
        <x:v>284</x:v>
      </x:c>
      <x:c r="B856" s="27" t="str">
        <x:v>A3</x:v>
      </x:c>
      <x:c r="C856" s="47" t="n">
        <x:v>1.0150980524283975</x:v>
      </x:c>
      <x:c r="D856" s="47" t="n">
        <x:v>0.9313688384354044</x:v>
      </x:c>
      <x:c r="E856" s="47" t="n">
        <x:v>1.0470054760962417</x:v>
      </x:c>
      <x:c r="F856" s="47" t="n">
        <x:v>-0.10009060150176187</x:v>
      </x:c>
      <x:c r="G856" s="47" t="n">
        <x:v>-0.06783861024952179</x:v>
      </x:c>
      <x:c r="H856" s="47" t="n">
        <x:v>0.7001267551488574</x:v>
      </x:c>
      <x:c r="I856" s="47" t="n">
        <x:v>0.7579163147039842</x:v>
      </x:c>
      <x:c r="J856" s="47" t="n">
        <x:v>0.6347277972494149</x:v>
      </x:c>
      <x:c r="K856" s="47" t="n">
        <x:v>0.5538674854999719</x:v>
      </x:c>
      <x:c r="L856" s="47" t="n">
        <x:v>0.559603738414049</x:v>
      </x:c>
      <x:c r="M856" s="47" t="n">
        <x:v>0.034046611442684206</x:v>
      </x:c>
      <x:c r="N856" s="47" t="n">
        <x:v>0.6623282990146088</x:v>
      </x:c>
      <x:c r="O856" s="47" t="n">
        <x:v>1</x:v>
      </x:c>
      <x:c r="P856" s="47" t="n">
        <x:v>1</x:v>
      </x:c>
      <x:c r="Q856" s="47" t="n">
        <x:v>1</x:v>
      </x:c>
      <x:c r="R856" s="47" t="n">
        <x:v>1</x:v>
      </x:c>
      <x:c r="S856" s="27" t="n">
        <x:v>1</x:v>
      </x:c>
    </x:row>
    <x:row r="857" ht="21.600000381469727" hidden="0" customHeight="1">
      <x:c r="A857" s="29" t="n">
        <x:v>285</x:v>
      </x:c>
      <x:c r="B857" s="29" t="str">
        <x:v>A1</x:v>
      </x:c>
      <x:c r="C857" s="48" t="n">
        <x:v>1.3385430944323926</x:v>
      </x:c>
      <x:c r="D857" s="48" t="n">
        <x:v>0.8979580350095703</x:v>
      </x:c>
      <x:c r="E857" s="48" t="n">
        <x:v>0.8318208036358372</x:v>
      </x:c>
      <x:c r="F857" s="48" t="n">
        <x:v>-0.13140961071877738</x:v>
      </x:c>
      <x:c r="G857" s="48" t="n">
        <x:v>-0.026476167604116446</x:v>
      </x:c>
      <x:c r="H857" s="48" t="n">
        <x:v>0.8207503074475038</x:v>
      </x:c>
      <x:c r="I857" s="48" t="n">
        <x:v>0.6144233680644826</x:v>
      </x:c>
      <x:c r="J857" s="48" t="n">
        <x:v>0.6909829923308773</x:v>
      </x:c>
      <x:c r="K857" s="48" t="n">
        <x:v>0.7226637024535989</x:v>
      </x:c>
      <x:c r="L857" s="48" t="n">
        <x:v>0.5885762158311573</x:v>
      </x:c>
      <x:c r="M857" s="48" t="n">
        <x:v>0.05685954799127129</x:v>
      </x:c>
      <x:c r="N857" s="48" t="n">
        <x:v>0.7361346330775673</x:v>
      </x:c>
      <x:c r="O857" s="48" t="n">
        <x:v>0.767860220104933</x:v>
      </x:c>
      <x:c r="P857" s="48" t="n">
        <x:v>0.48052944065872694</x:v>
      </x:c>
      <x:c r="Q857" s="48" t="n">
        <x:v>0.9811884025162525</x:v>
      </x:c>
      <x:c r="R857" s="48" t="n">
        <x:v>0.7134835186462589</x:v>
      </x:c>
      <x:c r="S857" s="29" t="n">
        <x:v>0</x:v>
      </x:c>
    </x:row>
    <x:row r="858" ht="21.600000381469727" hidden="0" customHeight="1">
      <x:c r="A858" s="27" t="n">
        <x:v>285</x:v>
      </x:c>
      <x:c r="B858" s="27" t="str">
        <x:v>A2</x:v>
      </x:c>
      <x:c r="C858" s="47" t="n">
        <x:v>1.3385430944323926</x:v>
      </x:c>
      <x:c r="D858" s="47" t="n">
        <x:v>0.8979580350095703</x:v>
      </x:c>
      <x:c r="E858" s="47" t="n">
        <x:v>0.8318208036358372</x:v>
      </x:c>
      <x:c r="F858" s="47" t="n">
        <x:v>-0.13140961071877738</x:v>
      </x:c>
      <x:c r="G858" s="47" t="n">
        <x:v>-0.026476167604116446</x:v>
      </x:c>
      <x:c r="H858" s="47" t="n">
        <x:v>0.8207503074475038</x:v>
      </x:c>
      <x:c r="I858" s="47" t="n">
        <x:v>0.6144233680644826</x:v>
      </x:c>
      <x:c r="J858" s="47" t="n">
        <x:v>0.6909829923308773</x:v>
      </x:c>
      <x:c r="K858" s="47" t="n">
        <x:v>0.7226637024535989</x:v>
      </x:c>
      <x:c r="L858" s="47" t="n">
        <x:v>0.5885762158311573</x:v>
      </x:c>
      <x:c r="M858" s="47" t="n">
        <x:v>0.05685954799127129</x:v>
      </x:c>
      <x:c r="N858" s="47" t="n">
        <x:v>0.7361346330775673</x:v>
      </x:c>
      <x:c r="O858" s="47" t="n">
        <x:v>0.8541224008222246</x:v>
      </x:c>
      <x:c r="P858" s="47" t="n">
        <x:v>0.5663976847895705</x:v>
      </x:c>
      <x:c r="Q858" s="47" t="n">
        <x:v>1</x:v>
      </x:c>
      <x:c r="R858" s="47" t="n">
        <x:v>0.8198640614467441</x:v>
      </x:c>
      <x:c r="S858" s="27" t="n">
        <x:v>0</x:v>
      </x:c>
    </x:row>
    <x:row r="859" ht="21.600000381469727" hidden="0" customHeight="1">
      <x:c r="A859" s="29" t="n">
        <x:v>285</x:v>
      </x:c>
      <x:c r="B859" s="29" t="str">
        <x:v>A3</x:v>
      </x:c>
      <x:c r="C859" s="48" t="n">
        <x:v>1.3385430944323926</x:v>
      </x:c>
      <x:c r="D859" s="48" t="n">
        <x:v>0.8979580350095703</x:v>
      </x:c>
      <x:c r="E859" s="48" t="n">
        <x:v>0.8318208036358372</x:v>
      </x:c>
      <x:c r="F859" s="48" t="n">
        <x:v>-0.13140961071877738</x:v>
      </x:c>
      <x:c r="G859" s="48" t="n">
        <x:v>-0.026476167604116446</x:v>
      </x:c>
      <x:c r="H859" s="48" t="n">
        <x:v>0.8207503074475038</x:v>
      </x:c>
      <x:c r="I859" s="48" t="n">
        <x:v>0.6144233680644826</x:v>
      </x:c>
      <x:c r="J859" s="48" t="n">
        <x:v>0.6909829923308773</x:v>
      </x:c>
      <x:c r="K859" s="48" t="n">
        <x:v>0.7226637024535989</x:v>
      </x:c>
      <x:c r="L859" s="48" t="n">
        <x:v>0.5885762158311573</x:v>
      </x:c>
      <x:c r="M859" s="48" t="n">
        <x:v>0.05685954799127129</x:v>
      </x:c>
      <x:c r="N859" s="48" t="n">
        <x:v>0.7361346330775673</x:v>
      </x:c>
      <x:c r="O859" s="48" t="n">
        <x:v>1</x:v>
      </x:c>
      <x:c r="P859" s="48" t="n">
        <x:v>1</x:v>
      </x:c>
      <x:c r="Q859" s="48" t="n">
        <x:v>1</x:v>
      </x:c>
      <x:c r="R859" s="48" t="n">
        <x:v>1</x:v>
      </x:c>
      <x:c r="S859" s="29" t="n">
        <x:v>1</x:v>
      </x:c>
    </x:row>
    <x:row r="860" ht="15" hidden="0" customHeight="1">
      <x:c r="A860" s="27" t="n">
        <x:v>286</x:v>
      </x:c>
      <x:c r="B860" s="27" t="str">
        <x:v>A1</x:v>
      </x:c>
      <x:c r="C860" s="47" t="n">
        <x:v>1.3389471659033105</x:v>
      </x:c>
      <x:c r="D860" s="47" t="n">
        <x:v>0.9054517631345766</x:v>
      </x:c>
      <x:c r="E860" s="47" t="n">
        <x:v>0.7671810093327281</x:v>
      </x:c>
      <x:c r="F860" s="47" t="n">
        <x:v>0.038864732738877916</x:v>
      </x:c>
      <x:c r="G860" s="47" t="n">
        <x:v>0.0004578586073873403</x:v>
      </x:c>
      <x:c r="H860" s="47" t="n">
        <x:v>0.6377578227431964</x:v>
      </x:c>
      <x:c r="I860" s="47" t="n">
        <x:v>0.9271707876782606</x:v>
      </x:c>
      <x:c r="J860" s="47" t="n">
        <x:v>0.7474893411538778</x:v>
      </x:c>
      <x:c r="K860" s="47" t="n">
        <x:v>0.7132530340729077</x:v>
      </x:c>
      <x:c r="L860" s="47" t="n">
        <x:v>0.6687474710068781</x:v>
      </x:c>
      <x:c r="M860" s="47" t="n">
        <x:v>0.16781097002851125</x:v>
      </x:c>
      <x:c r="N860" s="47" t="n">
        <x:v>0.7076435708086177</x:v>
      </x:c>
      <x:c r="O860" s="47" t="n">
        <x:v>0.7801839444521542</x:v>
      </x:c>
      <x:c r="P860" s="47" t="n">
        <x:v>0.5840086352182287</x:v>
      </x:c>
      <x:c r="Q860" s="47" t="n">
        <x:v>0.9436949556473823</x:v>
      </x:c>
      <x:c r="R860" s="47" t="n">
        <x:v>0.7289798422648456</x:v>
      </x:c>
      <x:c r="S860" s="27" t="n">
        <x:v>0</x:v>
      </x:c>
    </x:row>
    <x:row r="861" ht="15" hidden="0" customHeight="1">
      <x:c r="A861" s="29" t="n">
        <x:v>286</x:v>
      </x:c>
      <x:c r="B861" s="29" t="str">
        <x:v>A2</x:v>
      </x:c>
      <x:c r="C861" s="48" t="n">
        <x:v>1.3389471659033105</x:v>
      </x:c>
      <x:c r="D861" s="48" t="n">
        <x:v>0.9054517631345766</x:v>
      </x:c>
      <x:c r="E861" s="48" t="n">
        <x:v>0.7671810093327281</x:v>
      </x:c>
      <x:c r="F861" s="48" t="n">
        <x:v>0.038864732738877916</x:v>
      </x:c>
      <x:c r="G861" s="48" t="n">
        <x:v>0.0004578586073873403</x:v>
      </x:c>
      <x:c r="H861" s="48" t="n">
        <x:v>0.6377578227431964</x:v>
      </x:c>
      <x:c r="I861" s="48" t="n">
        <x:v>0.9271707876782606</x:v>
      </x:c>
      <x:c r="J861" s="48" t="n">
        <x:v>0.7474893411538778</x:v>
      </x:c>
      <x:c r="K861" s="48" t="n">
        <x:v>0.7132530340729077</x:v>
      </x:c>
      <x:c r="L861" s="48" t="n">
        <x:v>0.6687474710068781</x:v>
      </x:c>
      <x:c r="M861" s="48" t="n">
        <x:v>0.16781097002851125</x:v>
      </x:c>
      <x:c r="N861" s="48" t="n">
        <x:v>0.7076435708086177</x:v>
      </x:c>
      <x:c r="O861" s="48" t="n">
        <x:v>0.8622505914896408</x:v>
      </x:c>
      <x:c r="P861" s="48" t="n">
        <x:v>0.5475025789615484</x:v>
      </x:c>
      <x:c r="Q861" s="48" t="n">
        <x:v>1</x:v>
      </x:c>
      <x:c r="R861" s="48" t="n">
        <x:v>0.8299011011489844</x:v>
      </x:c>
      <x:c r="S861" s="29" t="n">
        <x:v>0</x:v>
      </x:c>
    </x:row>
    <x:row r="862" ht="15" hidden="0" customHeight="1">
      <x:c r="A862" s="27" t="n">
        <x:v>286</x:v>
      </x:c>
      <x:c r="B862" s="27" t="str">
        <x:v>A3</x:v>
      </x:c>
      <x:c r="C862" s="47" t="n">
        <x:v>1.3389471659033105</x:v>
      </x:c>
      <x:c r="D862" s="47" t="n">
        <x:v>0.9054517631345766</x:v>
      </x:c>
      <x:c r="E862" s="47" t="n">
        <x:v>0.7671810093327281</x:v>
      </x:c>
      <x:c r="F862" s="47" t="n">
        <x:v>0.038864732738877916</x:v>
      </x:c>
      <x:c r="G862" s="47" t="n">
        <x:v>0.0004578586073873403</x:v>
      </x:c>
      <x:c r="H862" s="47" t="n">
        <x:v>0.6377578227431964</x:v>
      </x:c>
      <x:c r="I862" s="47" t="n">
        <x:v>0.9271707876782606</x:v>
      </x:c>
      <x:c r="J862" s="47" t="n">
        <x:v>0.7474893411538778</x:v>
      </x:c>
      <x:c r="K862" s="47" t="n">
        <x:v>0.7132530340729077</x:v>
      </x:c>
      <x:c r="L862" s="47" t="n">
        <x:v>0.6687474710068781</x:v>
      </x:c>
      <x:c r="M862" s="47" t="n">
        <x:v>0.16781097002851125</x:v>
      </x:c>
      <x:c r="N862" s="47" t="n">
        <x:v>0.7076435708086177</x:v>
      </x:c>
      <x:c r="O862" s="47" t="n">
        <x:v>1</x:v>
      </x:c>
      <x:c r="P862" s="47" t="n">
        <x:v>1</x:v>
      </x:c>
      <x:c r="Q862" s="47" t="n">
        <x:v>1</x:v>
      </x:c>
      <x:c r="R862" s="47" t="n">
        <x:v>1</x:v>
      </x:c>
      <x:c r="S862" s="27" t="n">
        <x:v>1</x:v>
      </x:c>
    </x:row>
    <x:row r="863" ht="21.600000381469727" hidden="0" customHeight="1">
      <x:c r="A863" s="29" t="n">
        <x:v>287</x:v>
      </x:c>
      <x:c r="B863" s="29" t="str">
        <x:v>A1</x:v>
      </x:c>
      <x:c r="C863" s="48" t="n">
        <x:v>1.069025789052444</x:v>
      </x:c>
      <x:c r="D863" s="48" t="n">
        <x:v>0.856952710048647</x:v>
      </x:c>
      <x:c r="E863" s="48" t="n">
        <x:v>1.0741078640383732</x:v>
      </x:c>
      <x:c r="F863" s="48" t="n">
        <x:v>-0.049253448399233346</x:v>
      </x:c>
      <x:c r="G863" s="48" t="n">
        <x:v>0.020904468662428677</x:v>
      </x:c>
      <x:c r="H863" s="48" t="n">
        <x:v>0.9826467864844122</x:v>
      </x:c>
      <x:c r="I863" s="48" t="n">
        <x:v>0.8449121090422377</x:v>
      </x:c>
      <x:c r="J863" s="48" t="n">
        <x:v>0.8046406064614091</x:v>
      </x:c>
      <x:c r="K863" s="48" t="n">
        <x:v>0.6535673507339231</x:v>
      </x:c>
      <x:c r="L863" s="48" t="n">
        <x:v>0.9905034899639793</x:v>
      </x:c>
      <x:c r="M863" s="48" t="n">
        <x:v>0.09581280830950085</x:v>
      </x:c>
      <x:c r="N863" s="48" t="n">
        <x:v>0.7686840288842318</x:v>
      </x:c>
      <x:c r="O863" s="48" t="n">
        <x:v>0.8991456110170115</x:v>
      </x:c>
      <x:c r="P863" s="48" t="n">
        <x:v>0.6048635178808628</x:v>
      </x:c>
      <x:c r="Q863" s="48" t="n">
        <x:v>1</x:v>
      </x:c>
      <x:c r="R863" s="48" t="n">
        <x:v>0.8754606593536973</x:v>
      </x:c>
      <x:c r="S863" s="29" t="n">
        <x:v>0</x:v>
      </x:c>
    </x:row>
    <x:row r="864" ht="21.600000381469727" hidden="0" customHeight="1">
      <x:c r="A864" s="27" t="n">
        <x:v>287</x:v>
      </x:c>
      <x:c r="B864" s="27" t="str">
        <x:v>A2</x:v>
      </x:c>
      <x:c r="C864" s="47" t="n">
        <x:v>1.069025789052444</x:v>
      </x:c>
      <x:c r="D864" s="47" t="n">
        <x:v>0.856952710048647</x:v>
      </x:c>
      <x:c r="E864" s="47" t="n">
        <x:v>1.0741078640383732</x:v>
      </x:c>
      <x:c r="F864" s="47" t="n">
        <x:v>-0.049253448399233346</x:v>
      </x:c>
      <x:c r="G864" s="47" t="n">
        <x:v>0.020904468662428677</x:v>
      </x:c>
      <x:c r="H864" s="47" t="n">
        <x:v>0.9826467864844122</x:v>
      </x:c>
      <x:c r="I864" s="47" t="n">
        <x:v>0.8449121090422377</x:v>
      </x:c>
      <x:c r="J864" s="47" t="n">
        <x:v>0.8046406064614091</x:v>
      </x:c>
      <x:c r="K864" s="47" t="n">
        <x:v>0.6535673507339231</x:v>
      </x:c>
      <x:c r="L864" s="47" t="n">
        <x:v>0.9905034899639793</x:v>
      </x:c>
      <x:c r="M864" s="47" t="n">
        <x:v>0.09581280830950085</x:v>
      </x:c>
      <x:c r="N864" s="47" t="n">
        <x:v>0.7686840288842318</x:v>
      </x:c>
      <x:c r="O864" s="47" t="n">
        <x:v>0.960692779592282</x:v>
      </x:c>
      <x:c r="P864" s="47" t="n">
        <x:v>0.7505487501396291</x:v>
      </x:c>
      <x:c r="Q864" s="47" t="n">
        <x:v>1</x:v>
      </x:c>
      <x:c r="R864" s="47" t="n">
        <x:v>0.9514617523185647</x:v>
      </x:c>
      <x:c r="S864" s="27" t="n">
        <x:v>0</x:v>
      </x:c>
    </x:row>
    <x:row r="865" ht="21.600000381469727" hidden="0" customHeight="1">
      <x:c r="A865" s="29" t="n">
        <x:v>287</x:v>
      </x:c>
      <x:c r="B865" s="29" t="str">
        <x:v>A3</x:v>
      </x:c>
      <x:c r="C865" s="48" t="n">
        <x:v>1.069025789052444</x:v>
      </x:c>
      <x:c r="D865" s="48" t="n">
        <x:v>0.856952710048647</x:v>
      </x:c>
      <x:c r="E865" s="48" t="n">
        <x:v>1.0741078640383732</x:v>
      </x:c>
      <x:c r="F865" s="48" t="n">
        <x:v>-0.049253448399233346</x:v>
      </x:c>
      <x:c r="G865" s="48" t="n">
        <x:v>0.020904468662428677</x:v>
      </x:c>
      <x:c r="H865" s="48" t="n">
        <x:v>0.9826467864844122</x:v>
      </x:c>
      <x:c r="I865" s="48" t="n">
        <x:v>0.8449121090422377</x:v>
      </x:c>
      <x:c r="J865" s="48" t="n">
        <x:v>0.8046406064614091</x:v>
      </x:c>
      <x:c r="K865" s="48" t="n">
        <x:v>0.6535673507339231</x:v>
      </x:c>
      <x:c r="L865" s="48" t="n">
        <x:v>0.9905034899639793</x:v>
      </x:c>
      <x:c r="M865" s="48" t="n">
        <x:v>0.09581280830950085</x:v>
      </x:c>
      <x:c r="N865" s="48" t="n">
        <x:v>0.7686840288842318</x:v>
      </x:c>
      <x:c r="O865" s="48" t="n">
        <x:v>1</x:v>
      </x:c>
      <x:c r="P865" s="48" t="n">
        <x:v>1</x:v>
      </x:c>
      <x:c r="Q865" s="48" t="n">
        <x:v>1</x:v>
      </x:c>
      <x:c r="R865" s="48" t="n">
        <x:v>1</x:v>
      </x:c>
      <x:c r="S865" s="29" t="n">
        <x:v>1</x:v>
      </x:c>
    </x:row>
    <x:row r="866" ht="21.600000381469727" hidden="0" customHeight="1">
      <x:c r="A866" s="27" t="n">
        <x:v>288</x:v>
      </x:c>
      <x:c r="B866" s="27" t="str">
        <x:v>A1</x:v>
      </x:c>
      <x:c r="C866" s="47" t="n">
        <x:v>0.9334368883493354</x:v>
      </x:c>
      <x:c r="D866" s="47" t="n">
        <x:v>0.9070520545730217</x:v>
      </x:c>
      <x:c r="E866" s="47" t="n">
        <x:v>0.6269292269756626</x:v>
      </x:c>
      <x:c r="F866" s="47" t="n">
        <x:v>-0.18093254071498588</x:v>
      </x:c>
      <x:c r="G866" s="47" t="n">
        <x:v>-0.04859537828147972</x:v>
      </x:c>
      <x:c r="H866" s="47" t="n">
        <x:v>0.43824056529855215</x:v>
      </x:c>
      <x:c r="I866" s="47" t="n">
        <x:v>0.7707918437126551</x:v>
      </x:c>
      <x:c r="J866" s="47" t="n">
        <x:v>0.5450210471016076</x:v>
      </x:c>
      <x:c r="K866" s="47" t="n">
        <x:v>0.6342661374375254</x:v>
      </x:c>
      <x:c r="L866" s="47" t="n">
        <x:v>0.6888584005600736</x:v>
      </x:c>
      <x:c r="M866" s="47" t="n">
        <x:v>0.040895104581647856</x:v>
      </x:c>
      <x:c r="N866" s="47" t="n">
        <x:v>0.8091411034100953</x:v>
      </x:c>
      <x:c r="O866" s="47" t="n">
        <x:v>0.9166693819554481</x:v>
      </x:c>
      <x:c r="P866" s="47" t="n">
        <x:v>0.7290852276965242</x:v>
      </x:c>
      <x:c r="Q866" s="47" t="n">
        <x:v>1</x:v>
      </x:c>
      <x:c r="R866" s="47" t="n">
        <x:v>0.8970997659936457</x:v>
      </x:c>
      <x:c r="S866" s="27" t="n">
        <x:v>0</x:v>
      </x:c>
    </x:row>
    <x:row r="867" ht="21.600000381469727" hidden="0" customHeight="1">
      <x:c r="A867" s="29" t="n">
        <x:v>288</x:v>
      </x:c>
      <x:c r="B867" s="29" t="str">
        <x:v>A2</x:v>
      </x:c>
      <x:c r="C867" s="48" t="n">
        <x:v>0.9334368883493354</x:v>
      </x:c>
      <x:c r="D867" s="48" t="n">
        <x:v>0.9070520545730217</x:v>
      </x:c>
      <x:c r="E867" s="48" t="n">
        <x:v>0.6269292269756626</x:v>
      </x:c>
      <x:c r="F867" s="48" t="n">
        <x:v>-0.18093254071498588</x:v>
      </x:c>
      <x:c r="G867" s="48" t="n">
        <x:v>-0.04859537828147972</x:v>
      </x:c>
      <x:c r="H867" s="48" t="n">
        <x:v>0.43824056529855215</x:v>
      </x:c>
      <x:c r="I867" s="48" t="n">
        <x:v>0.7707918437126551</x:v>
      </x:c>
      <x:c r="J867" s="48" t="n">
        <x:v>0.5450210471016076</x:v>
      </x:c>
      <x:c r="K867" s="48" t="n">
        <x:v>0.6342661374375254</x:v>
      </x:c>
      <x:c r="L867" s="48" t="n">
        <x:v>0.6888584005600736</x:v>
      </x:c>
      <x:c r="M867" s="48" t="n">
        <x:v>0.040895104581647856</x:v>
      </x:c>
      <x:c r="N867" s="48" t="n">
        <x:v>0.8091411034100953</x:v>
      </x:c>
      <x:c r="O867" s="48" t="n">
        <x:v>0.9891357054858312</x:v>
      </x:c>
      <x:c r="P867" s="48" t="n">
        <x:v>0.8948784807940022</x:v>
      </x:c>
      <x:c r="Q867" s="48" t="n">
        <x:v>1</x:v>
      </x:c>
      <x:c r="R867" s="48" t="n">
        <x:v>0.9865843014961891</x:v>
      </x:c>
      <x:c r="S867" s="29" t="n">
        <x:v>0</x:v>
      </x:c>
    </x:row>
    <x:row r="868" ht="21.600000381469727" hidden="0" customHeight="1">
      <x:c r="A868" s="27" t="n">
        <x:v>288</x:v>
      </x:c>
      <x:c r="B868" s="27" t="str">
        <x:v>A3</x:v>
      </x:c>
      <x:c r="C868" s="47" t="n">
        <x:v>0.9334368883493354</x:v>
      </x:c>
      <x:c r="D868" s="47" t="n">
        <x:v>0.9070520545730217</x:v>
      </x:c>
      <x:c r="E868" s="47" t="n">
        <x:v>0.6269292269756626</x:v>
      </x:c>
      <x:c r="F868" s="47" t="n">
        <x:v>-0.18093254071498588</x:v>
      </x:c>
      <x:c r="G868" s="47" t="n">
        <x:v>-0.04859537828147972</x:v>
      </x:c>
      <x:c r="H868" s="47" t="n">
        <x:v>0.43824056529855215</x:v>
      </x:c>
      <x:c r="I868" s="47" t="n">
        <x:v>0.7707918437126551</x:v>
      </x:c>
      <x:c r="J868" s="47" t="n">
        <x:v>0.5450210471016076</x:v>
      </x:c>
      <x:c r="K868" s="47" t="n">
        <x:v>0.6342661374375254</x:v>
      </x:c>
      <x:c r="L868" s="47" t="n">
        <x:v>0.6888584005600736</x:v>
      </x:c>
      <x:c r="M868" s="47" t="n">
        <x:v>0.040895104581647856</x:v>
      </x:c>
      <x:c r="N868" s="47" t="n">
        <x:v>0.8091411034100953</x:v>
      </x:c>
      <x:c r="O868" s="47" t="n">
        <x:v>1</x:v>
      </x:c>
      <x:c r="P868" s="47" t="n">
        <x:v>1</x:v>
      </x:c>
      <x:c r="Q868" s="47" t="n">
        <x:v>1</x:v>
      </x:c>
      <x:c r="R868" s="47" t="n">
        <x:v>1</x:v>
      </x:c>
      <x:c r="S868" s="27" t="n">
        <x:v>1</x:v>
      </x:c>
    </x:row>
    <x:row r="869" ht="21.600000381469727" hidden="0" customHeight="1">
      <x:c r="A869" s="29" t="n">
        <x:v>289</x:v>
      </x:c>
      <x:c r="B869" s="29" t="str">
        <x:v>A1</x:v>
      </x:c>
      <x:c r="C869" s="48" t="n">
        <x:v>1.1007088401058376</x:v>
      </x:c>
      <x:c r="D869" s="48" t="n">
        <x:v>0.891514405778207</x:v>
      </x:c>
      <x:c r="E869" s="48" t="n">
        <x:v>0.5369527359418979</x:v>
      </x:c>
      <x:c r="F869" s="48" t="n">
        <x:v>0.009970254505943299</x:v>
      </x:c>
      <x:c r="G869" s="48" t="n">
        <x:v>-0.06993321774095829</x:v>
      </x:c>
      <x:c r="H869" s="48" t="n">
        <x:v>0.5314222707044668</x:v>
      </x:c>
      <x:c r="I869" s="48" t="n">
        <x:v>0.8199788740678386</x:v>
      </x:c>
      <x:c r="J869" s="48" t="n">
        <x:v>0.9921782414042785</x:v>
      </x:c>
      <x:c r="K869" s="48" t="n">
        <x:v>0.612572908847235</x:v>
      </x:c>
      <x:c r="L869" s="48" t="n">
        <x:v>0.583622056653665</x:v>
      </x:c>
      <x:c r="M869" s="48" t="n">
        <x:v>0.13153704590584345</x:v>
      </x:c>
      <x:c r="N869" s="48" t="n">
        <x:v>0.9026562844421289</x:v>
      </x:c>
      <x:c r="O869" s="48" t="n">
        <x:v>0.8104949252267821</x:v>
      </x:c>
      <x:c r="P869" s="48" t="n">
        <x:v>0.5564416920966091</x:v>
      </x:c>
      <x:c r="Q869" s="48" t="n">
        <x:v>1</x:v>
      </x:c>
      <x:c r="R869" s="48" t="n">
        <x:v>0.765990976700422</x:v>
      </x:c>
      <x:c r="S869" s="29" t="n">
        <x:v>0</x:v>
      </x:c>
    </x:row>
    <x:row r="870" ht="21.600000381469727" hidden="0" customHeight="1">
      <x:c r="A870" s="27" t="n">
        <x:v>289</x:v>
      </x:c>
      <x:c r="B870" s="27" t="str">
        <x:v>A2</x:v>
      </x:c>
      <x:c r="C870" s="47" t="n">
        <x:v>1.1007088401058376</x:v>
      </x:c>
      <x:c r="D870" s="47" t="n">
        <x:v>0.891514405778207</x:v>
      </x:c>
      <x:c r="E870" s="47" t="n">
        <x:v>0.5369527359418979</x:v>
      </x:c>
      <x:c r="F870" s="47" t="n">
        <x:v>0.009970254505943299</x:v>
      </x:c>
      <x:c r="G870" s="47" t="n">
        <x:v>-0.06993321774095829</x:v>
      </x:c>
      <x:c r="H870" s="47" t="n">
        <x:v>0.5314222707044668</x:v>
      </x:c>
      <x:c r="I870" s="47" t="n">
        <x:v>0.8199788740678386</x:v>
      </x:c>
      <x:c r="J870" s="47" t="n">
        <x:v>0.9921782414042785</x:v>
      </x:c>
      <x:c r="K870" s="47" t="n">
        <x:v>0.612572908847235</x:v>
      </x:c>
      <x:c r="L870" s="47" t="n">
        <x:v>0.583622056653665</x:v>
      </x:c>
      <x:c r="M870" s="47" t="n">
        <x:v>0.13153704590584345</x:v>
      </x:c>
      <x:c r="N870" s="47" t="n">
        <x:v>0.9026562844421289</x:v>
      </x:c>
      <x:c r="O870" s="47" t="n">
        <x:v>0.8882263129104149</x:v>
      </x:c>
      <x:c r="P870" s="47" t="n">
        <x:v>0.581478804952278</x:v>
      </x:c>
      <x:c r="Q870" s="47" t="n">
        <x:v>1</x:v>
      </x:c>
      <x:c r="R870" s="47" t="n">
        <x:v>0.8619770400464072</x:v>
      </x:c>
      <x:c r="S870" s="27" t="n">
        <x:v>0</x:v>
      </x:c>
    </x:row>
    <x:row r="871" ht="21.600000381469727" hidden="0" customHeight="1">
      <x:c r="A871" s="29" t="n">
        <x:v>289</x:v>
      </x:c>
      <x:c r="B871" s="29" t="str">
        <x:v>A3</x:v>
      </x:c>
      <x:c r="C871" s="48" t="n">
        <x:v>1.1007088401058376</x:v>
      </x:c>
      <x:c r="D871" s="48" t="n">
        <x:v>0.891514405778207</x:v>
      </x:c>
      <x:c r="E871" s="48" t="n">
        <x:v>0.5369527359418979</x:v>
      </x:c>
      <x:c r="F871" s="48" t="n">
        <x:v>0.009970254505943299</x:v>
      </x:c>
      <x:c r="G871" s="48" t="n">
        <x:v>-0.06993321774095829</x:v>
      </x:c>
      <x:c r="H871" s="48" t="n">
        <x:v>0.5314222707044668</x:v>
      </x:c>
      <x:c r="I871" s="48" t="n">
        <x:v>0.8199788740678386</x:v>
      </x:c>
      <x:c r="J871" s="48" t="n">
        <x:v>0.9921782414042785</x:v>
      </x:c>
      <x:c r="K871" s="48" t="n">
        <x:v>0.612572908847235</x:v>
      </x:c>
      <x:c r="L871" s="48" t="n">
        <x:v>0.583622056653665</x:v>
      </x:c>
      <x:c r="M871" s="48" t="n">
        <x:v>0.13153704590584345</x:v>
      </x:c>
      <x:c r="N871" s="48" t="n">
        <x:v>0.9026562844421289</x:v>
      </x:c>
      <x:c r="O871" s="48" t="n">
        <x:v>1</x:v>
      </x:c>
      <x:c r="P871" s="48" t="n">
        <x:v>1</x:v>
      </x:c>
      <x:c r="Q871" s="48" t="n">
        <x:v>1</x:v>
      </x:c>
      <x:c r="R871" s="48" t="n">
        <x:v>1</x:v>
      </x:c>
      <x:c r="S871" s="29" t="n">
        <x:v>1</x:v>
      </x:c>
    </x:row>
    <x:row r="872" ht="21.600000381469727" hidden="0" customHeight="1">
      <x:c r="A872" s="27" t="n">
        <x:v>290</x:v>
      </x:c>
      <x:c r="B872" s="27" t="str">
        <x:v>A1</x:v>
      </x:c>
      <x:c r="C872" s="47" t="n">
        <x:v>1.1691513719714672</x:v>
      </x:c>
      <x:c r="D872" s="47" t="n">
        <x:v>0.8366379953832211</x:v>
      </x:c>
      <x:c r="E872" s="47" t="n">
        <x:v>0.9347475084558545</x:v>
      </x:c>
      <x:c r="F872" s="47" t="n">
        <x:v>-0.03233340776380486</x:v>
      </x:c>
      <x:c r="G872" s="47" t="n">
        <x:v>-0.03835576733869028</x:v>
      </x:c>
      <x:c r="H872" s="47" t="n">
        <x:v>0.9060693568863551</x:v>
      </x:c>
      <x:c r="I872" s="47" t="n">
        <x:v>0.8669206911709257</x:v>
      </x:c>
      <x:c r="J872" s="47" t="n">
        <x:v>0.5032990268535947</x:v>
      </x:c>
      <x:c r="K872" s="47" t="n">
        <x:v>0.7301707584412372</x:v>
      </x:c>
      <x:c r="L872" s="47" t="n">
        <x:v>0.7011576995696931</x:v>
      </x:c>
      <x:c r="M872" s="47" t="n">
        <x:v>0.14230723008066212</x:v>
      </x:c>
      <x:c r="N872" s="47" t="n">
        <x:v>0.7913158648180298</x:v>
      </x:c>
      <x:c r="O872" s="47" t="n">
        <x:v>0.8281597601620997</x:v>
      </x:c>
      <x:c r="P872" s="47" t="n">
        <x:v>0.5673429501303919</x:v>
      </x:c>
      <x:c r="Q872" s="47" t="n">
        <x:v>1</x:v>
      </x:c>
      <x:c r="R872" s="47" t="n">
        <x:v>0.7878042752356134</x:v>
      </x:c>
      <x:c r="S872" s="27" t="n">
        <x:v>0</x:v>
      </x:c>
    </x:row>
    <x:row r="873" ht="21.600000381469727" hidden="0" customHeight="1">
      <x:c r="A873" s="29" t="n">
        <x:v>290</x:v>
      </x:c>
      <x:c r="B873" s="29" t="str">
        <x:v>A2</x:v>
      </x:c>
      <x:c r="C873" s="48" t="n">
        <x:v>1.1691513719714672</x:v>
      </x:c>
      <x:c r="D873" s="48" t="n">
        <x:v>0.8366379953832211</x:v>
      </x:c>
      <x:c r="E873" s="48" t="n">
        <x:v>0.9347475084558545</x:v>
      </x:c>
      <x:c r="F873" s="48" t="n">
        <x:v>-0.03233340776380486</x:v>
      </x:c>
      <x:c r="G873" s="48" t="n">
        <x:v>-0.03835576733869028</x:v>
      </x:c>
      <x:c r="H873" s="48" t="n">
        <x:v>0.9060693568863551</x:v>
      </x:c>
      <x:c r="I873" s="48" t="n">
        <x:v>0.8669206911709257</x:v>
      </x:c>
      <x:c r="J873" s="48" t="n">
        <x:v>0.5032990268535947</x:v>
      </x:c>
      <x:c r="K873" s="48" t="n">
        <x:v>0.7301707584412372</x:v>
      </x:c>
      <x:c r="L873" s="48" t="n">
        <x:v>0.7011576995696931</x:v>
      </x:c>
      <x:c r="M873" s="48" t="n">
        <x:v>0.14230723008066212</x:v>
      </x:c>
      <x:c r="N873" s="48" t="n">
        <x:v>0.7913158648180298</x:v>
      </x:c>
      <x:c r="O873" s="48" t="n">
        <x:v>0.9139902702155099</x:v>
      </x:c>
      <x:c r="P873" s="48" t="n">
        <x:v>0.6700168935245898</x:v>
      </x:c>
      <x:c r="Q873" s="48" t="n">
        <x:v>1</x:v>
      </x:c>
      <x:c r="R873" s="48" t="n">
        <x:v>0.893791483498712</x:v>
      </x:c>
      <x:c r="S873" s="29" t="n">
        <x:v>0</x:v>
      </x:c>
    </x:row>
    <x:row r="874" ht="21.600000381469727" hidden="0" customHeight="1">
      <x:c r="A874" s="27" t="n">
        <x:v>290</x:v>
      </x:c>
      <x:c r="B874" s="27" t="str">
        <x:v>A3</x:v>
      </x:c>
      <x:c r="C874" s="47" t="n">
        <x:v>1.1691513719714672</x:v>
      </x:c>
      <x:c r="D874" s="47" t="n">
        <x:v>0.8366379953832211</x:v>
      </x:c>
      <x:c r="E874" s="47" t="n">
        <x:v>0.9347475084558545</x:v>
      </x:c>
      <x:c r="F874" s="47" t="n">
        <x:v>-0.03233340776380486</x:v>
      </x:c>
      <x:c r="G874" s="47" t="n">
        <x:v>-0.03835576733869028</x:v>
      </x:c>
      <x:c r="H874" s="47" t="n">
        <x:v>0.9060693568863551</x:v>
      </x:c>
      <x:c r="I874" s="47" t="n">
        <x:v>0.8669206911709257</x:v>
      </x:c>
      <x:c r="J874" s="47" t="n">
        <x:v>0.5032990268535947</x:v>
      </x:c>
      <x:c r="K874" s="47" t="n">
        <x:v>0.7301707584412372</x:v>
      </x:c>
      <x:c r="L874" s="47" t="n">
        <x:v>0.7011576995696931</x:v>
      </x:c>
      <x:c r="M874" s="47" t="n">
        <x:v>0.14230723008066212</x:v>
      </x:c>
      <x:c r="N874" s="47" t="n">
        <x:v>0.7913158648180298</x:v>
      </x:c>
      <x:c r="O874" s="47" t="n">
        <x:v>1</x:v>
      </x:c>
      <x:c r="P874" s="47" t="n">
        <x:v>1</x:v>
      </x:c>
      <x:c r="Q874" s="47" t="n">
        <x:v>1</x:v>
      </x:c>
      <x:c r="R874" s="47" t="n">
        <x:v>1</x:v>
      </x:c>
      <x:c r="S874" s="27" t="n">
        <x:v>1</x:v>
      </x:c>
    </x:row>
    <x:row r="875" ht="21.600000381469727" hidden="0" customHeight="1">
      <x:c r="A875" s="29" t="n">
        <x:v>291</x:v>
      </x:c>
      <x:c r="B875" s="29" t="str">
        <x:v>A1</x:v>
      </x:c>
      <x:c r="C875" s="48" t="n">
        <x:v>0.9953190875515843</x:v>
      </x:c>
      <x:c r="D875" s="48" t="n">
        <x:v>0.8502448673618188</x:v>
      </x:c>
      <x:c r="E875" s="48" t="n">
        <x:v>0.858144518933367</x:v>
      </x:c>
      <x:c r="F875" s="48" t="n">
        <x:v>-0.007079071639378903</x:v>
      </x:c>
      <x:c r="G875" s="48" t="n">
        <x:v>0.01665815817381522</x:v>
      </x:c>
      <x:c r="H875" s="48" t="n">
        <x:v>0.45866267813027417</x:v>
      </x:c>
      <x:c r="I875" s="48" t="n">
        <x:v>0.737140114122405</x:v>
      </x:c>
      <x:c r="J875" s="48" t="n">
        <x:v>0.8462908628634515</x:v>
      </x:c>
      <x:c r="K875" s="48" t="n">
        <x:v>0.9902446249252665</x:v>
      </x:c>
      <x:c r="L875" s="48" t="n">
        <x:v>0.5607679232155337</x:v>
      </x:c>
      <x:c r="M875" s="48" t="n">
        <x:v>0.0829602504145571</x:v>
      </x:c>
      <x:c r="N875" s="48" t="n">
        <x:v>0.6960626509469564</x:v>
      </x:c>
      <x:c r="O875" s="48" t="n">
        <x:v>0.9135261511462301</x:v>
      </x:c>
      <x:c r="P875" s="48" t="n">
        <x:v>0.5971721361333722</x:v>
      </x:c>
      <x:c r="Q875" s="48" t="n">
        <x:v>1</x:v>
      </x:c>
      <x:c r="R875" s="48" t="n">
        <x:v>0.8932183692946367</x:v>
      </x:c>
      <x:c r="S875" s="29" t="n">
        <x:v>0</x:v>
      </x:c>
    </x:row>
    <x:row r="876" ht="21.600000381469727" hidden="0" customHeight="1">
      <x:c r="A876" s="27" t="n">
        <x:v>291</x:v>
      </x:c>
      <x:c r="B876" s="27" t="str">
        <x:v>A2</x:v>
      </x:c>
      <x:c r="C876" s="47" t="n">
        <x:v>0.9953190875515843</x:v>
      </x:c>
      <x:c r="D876" s="47" t="n">
        <x:v>0.8502448673618188</x:v>
      </x:c>
      <x:c r="E876" s="47" t="n">
        <x:v>0.858144518933367</x:v>
      </x:c>
      <x:c r="F876" s="47" t="n">
        <x:v>-0.007079071639378903</x:v>
      </x:c>
      <x:c r="G876" s="47" t="n">
        <x:v>0.01665815817381522</x:v>
      </x:c>
      <x:c r="H876" s="47" t="n">
        <x:v>0.45866267813027417</x:v>
      </x:c>
      <x:c r="I876" s="47" t="n">
        <x:v>0.737140114122405</x:v>
      </x:c>
      <x:c r="J876" s="47" t="n">
        <x:v>0.8462908628634515</x:v>
      </x:c>
      <x:c r="K876" s="47" t="n">
        <x:v>0.9902446249252665</x:v>
      </x:c>
      <x:c r="L876" s="47" t="n">
        <x:v>0.5607679232155337</x:v>
      </x:c>
      <x:c r="M876" s="47" t="n">
        <x:v>0.0829602504145571</x:v>
      </x:c>
      <x:c r="N876" s="47" t="n">
        <x:v>0.6960626509469564</x:v>
      </x:c>
      <x:c r="O876" s="47" t="n">
        <x:v>0.9547666002868095</x:v>
      </x:c>
      <x:c r="P876" s="47" t="n">
        <x:v>0.6926473862294532</x:v>
      </x:c>
      <x:c r="Q876" s="47" t="n">
        <x:v>1</x:v>
      </x:c>
      <x:c r="R876" s="47" t="n">
        <x:v>0.9441438510284206</x:v>
      </x:c>
      <x:c r="S876" s="27" t="n">
        <x:v>0</x:v>
      </x:c>
    </x:row>
    <x:row r="877" ht="21.600000381469727" hidden="0" customHeight="1">
      <x:c r="A877" s="29" t="n">
        <x:v>291</x:v>
      </x:c>
      <x:c r="B877" s="29" t="str">
        <x:v>A3</x:v>
      </x:c>
      <x:c r="C877" s="48" t="n">
        <x:v>0.9953190875515843</x:v>
      </x:c>
      <x:c r="D877" s="48" t="n">
        <x:v>0.8502448673618188</x:v>
      </x:c>
      <x:c r="E877" s="48" t="n">
        <x:v>0.858144518933367</x:v>
      </x:c>
      <x:c r="F877" s="48" t="n">
        <x:v>-0.007079071639378903</x:v>
      </x:c>
      <x:c r="G877" s="48" t="n">
        <x:v>0.01665815817381522</x:v>
      </x:c>
      <x:c r="H877" s="48" t="n">
        <x:v>0.45866267813027417</x:v>
      </x:c>
      <x:c r="I877" s="48" t="n">
        <x:v>0.737140114122405</x:v>
      </x:c>
      <x:c r="J877" s="48" t="n">
        <x:v>0.8462908628634515</x:v>
      </x:c>
      <x:c r="K877" s="48" t="n">
        <x:v>0.9902446249252665</x:v>
      </x:c>
      <x:c r="L877" s="48" t="n">
        <x:v>0.5607679232155337</x:v>
      </x:c>
      <x:c r="M877" s="48" t="n">
        <x:v>0.0829602504145571</x:v>
      </x:c>
      <x:c r="N877" s="48" t="n">
        <x:v>0.6960626509469564</x:v>
      </x:c>
      <x:c r="O877" s="48" t="n">
        <x:v>1</x:v>
      </x:c>
      <x:c r="P877" s="48" t="n">
        <x:v>1</x:v>
      </x:c>
      <x:c r="Q877" s="48" t="n">
        <x:v>1</x:v>
      </x:c>
      <x:c r="R877" s="48" t="n">
        <x:v>1</x:v>
      </x:c>
      <x:c r="S877" s="29" t="n">
        <x:v>1</x:v>
      </x:c>
    </x:row>
    <x:row r="878" ht="21.600000381469727" hidden="0" customHeight="1">
      <x:c r="A878" s="27" t="n">
        <x:v>292</x:v>
      </x:c>
      <x:c r="B878" s="27" t="str">
        <x:v>A1</x:v>
      </x:c>
      <x:c r="C878" s="47" t="n">
        <x:v>1.3218115953975071</x:v>
      </x:c>
      <x:c r="D878" s="47" t="n">
        <x:v>0.9157253462709007</x:v>
      </x:c>
      <x:c r="E878" s="47" t="n">
        <x:v>0.5204981840881302</x:v>
      </x:c>
      <x:c r="F878" s="47" t="n">
        <x:v>-0.027081809385848088</x:v>
      </x:c>
      <x:c r="G878" s="47" t="n">
        <x:v>-0.0008771152251799419</x:v>
      </x:c>
      <x:c r="H878" s="47" t="n">
        <x:v>0.6817457349691015</x:v>
      </x:c>
      <x:c r="I878" s="47" t="n">
        <x:v>0.7479833559507313</x:v>
      </x:c>
      <x:c r="J878" s="47" t="n">
        <x:v>0.6180804570270555</x:v>
      </x:c>
      <x:c r="K878" s="47" t="n">
        <x:v>0.7148983315057229</x:v>
      </x:c>
      <x:c r="L878" s="47" t="n">
        <x:v>0.8497598483006326</x:v>
      </x:c>
      <x:c r="M878" s="47" t="n">
        <x:v>0.15020177616433816</x:v>
      </x:c>
      <x:c r="N878" s="47" t="n">
        <x:v>0.6998546080414866</x:v>
      </x:c>
      <x:c r="O878" s="47" t="n">
        <x:v>0.7987200575817788</x:v>
      </x:c>
      <x:c r="P878" s="47" t="n">
        <x:v>0.5096621361794033</x:v>
      </x:c>
      <x:c r="Q878" s="47" t="n">
        <x:v>1</x:v>
      </x:c>
      <x:c r="R878" s="47" t="n">
        <x:v>0.7514508633003644</x:v>
      </x:c>
      <x:c r="S878" s="27" t="n">
        <x:v>0</x:v>
      </x:c>
    </x:row>
    <x:row r="879" ht="21.600000381469727" hidden="0" customHeight="1">
      <x:c r="A879" s="29" t="n">
        <x:v>292</x:v>
      </x:c>
      <x:c r="B879" s="29" t="str">
        <x:v>A2</x:v>
      </x:c>
      <x:c r="C879" s="48" t="n">
        <x:v>1.3218115953975071</x:v>
      </x:c>
      <x:c r="D879" s="48" t="n">
        <x:v>0.9157253462709007</x:v>
      </x:c>
      <x:c r="E879" s="48" t="n">
        <x:v>0.5204981840881302</x:v>
      </x:c>
      <x:c r="F879" s="48" t="n">
        <x:v>-0.027081809385848088</x:v>
      </x:c>
      <x:c r="G879" s="48" t="n">
        <x:v>-0.0008771152251799419</x:v>
      </x:c>
      <x:c r="H879" s="48" t="n">
        <x:v>0.6817457349691015</x:v>
      </x:c>
      <x:c r="I879" s="48" t="n">
        <x:v>0.7479833559507313</x:v>
      </x:c>
      <x:c r="J879" s="48" t="n">
        <x:v>0.6180804570270555</x:v>
      </x:c>
      <x:c r="K879" s="48" t="n">
        <x:v>0.7148983315057229</x:v>
      </x:c>
      <x:c r="L879" s="48" t="n">
        <x:v>0.8497598483006326</x:v>
      </x:c>
      <x:c r="M879" s="48" t="n">
        <x:v>0.15020177616433816</x:v>
      </x:c>
      <x:c r="N879" s="48" t="n">
        <x:v>0.6998546080414866</x:v>
      </x:c>
      <x:c r="O879" s="48" t="n">
        <x:v>0.8625886469019514</x:v>
      </x:c>
      <x:c r="P879" s="48" t="n">
        <x:v>0.490842865239892</x:v>
      </x:c>
      <x:c r="Q879" s="48" t="n">
        <x:v>1</x:v>
      </x:c>
      <x:c r="R879" s="48" t="n">
        <x:v>0.8303185465232078</x:v>
      </x:c>
      <x:c r="S879" s="29" t="n">
        <x:v>0</x:v>
      </x:c>
    </x:row>
    <x:row r="880" ht="21.600000381469727" hidden="0" customHeight="1">
      <x:c r="A880" s="27" t="n">
        <x:v>292</x:v>
      </x:c>
      <x:c r="B880" s="27" t="str">
        <x:v>A3</x:v>
      </x:c>
      <x:c r="C880" s="47" t="n">
        <x:v>1.3218115953975071</x:v>
      </x:c>
      <x:c r="D880" s="47" t="n">
        <x:v>0.9157253462709007</x:v>
      </x:c>
      <x:c r="E880" s="47" t="n">
        <x:v>0.5204981840881302</x:v>
      </x:c>
      <x:c r="F880" s="47" t="n">
        <x:v>-0.027081809385848088</x:v>
      </x:c>
      <x:c r="G880" s="47" t="n">
        <x:v>-0.0008771152251799419</x:v>
      </x:c>
      <x:c r="H880" s="47" t="n">
        <x:v>0.6817457349691015</x:v>
      </x:c>
      <x:c r="I880" s="47" t="n">
        <x:v>0.7479833559507313</x:v>
      </x:c>
      <x:c r="J880" s="47" t="n">
        <x:v>0.6180804570270555</x:v>
      </x:c>
      <x:c r="K880" s="47" t="n">
        <x:v>0.7148983315057229</x:v>
      </x:c>
      <x:c r="L880" s="47" t="n">
        <x:v>0.8497598483006326</x:v>
      </x:c>
      <x:c r="M880" s="47" t="n">
        <x:v>0.15020177616433816</x:v>
      </x:c>
      <x:c r="N880" s="47" t="n">
        <x:v>0.6998546080414866</x:v>
      </x:c>
      <x:c r="O880" s="47" t="n">
        <x:v>1</x:v>
      </x:c>
      <x:c r="P880" s="47" t="n">
        <x:v>1</x:v>
      </x:c>
      <x:c r="Q880" s="47" t="n">
        <x:v>1</x:v>
      </x:c>
      <x:c r="R880" s="47" t="n">
        <x:v>1</x:v>
      </x:c>
      <x:c r="S880" s="27" t="n">
        <x:v>1</x:v>
      </x:c>
    </x:row>
    <x:row r="881" ht="21.600000381469727" hidden="0" customHeight="1">
      <x:c r="A881" s="29" t="n">
        <x:v>293</x:v>
      </x:c>
      <x:c r="B881" s="29" t="str">
        <x:v>A1</x:v>
      </x:c>
      <x:c r="C881" s="48" t="n">
        <x:v>1.1250606054275425</x:v>
      </x:c>
      <x:c r="D881" s="48" t="n">
        <x:v>0.8590981299854309</x:v>
      </x:c>
      <x:c r="E881" s="48" t="n">
        <x:v>0.6986609517784329</x:v>
      </x:c>
      <x:c r="F881" s="48" t="n">
        <x:v>-0.18768644919148694</x:v>
      </x:c>
      <x:c r="G881" s="48" t="n">
        <x:v>-0.16919607853669086</x:v>
      </x:c>
      <x:c r="H881" s="48" t="n">
        <x:v>0.8209643687308998</x:v>
      </x:c>
      <x:c r="I881" s="48" t="n">
        <x:v>0.6189265541197134</x:v>
      </x:c>
      <x:c r="J881" s="48" t="n">
        <x:v>0.6896735465358711</x:v>
      </x:c>
      <x:c r="K881" s="48" t="n">
        <x:v>0.7321218147847932</x:v>
      </x:c>
      <x:c r="L881" s="48" t="n">
        <x:v>0.8215387591723806</x:v>
      </x:c>
      <x:c r="M881" s="48" t="n">
        <x:v>0.1651999171351864</x:v>
      </x:c>
      <x:c r="N881" s="48" t="n">
        <x:v>0.9141485322400839</x:v>
      </x:c>
      <x:c r="O881" s="48" t="n">
        <x:v>0.8552782204923118</x:v>
      </x:c>
      <x:c r="P881" s="48" t="n">
        <x:v>0.5541069063583334</x:v>
      </x:c>
      <x:c r="Q881" s="48" t="n">
        <x:v>0.9999999999999999</x:v>
      </x:c>
      <x:c r="R881" s="48" t="n">
        <x:v>0.8212913173259402</x:v>
      </x:c>
      <x:c r="S881" s="29" t="n">
        <x:v>0</x:v>
      </x:c>
    </x:row>
    <x:row r="882" ht="21.600000381469727" hidden="0" customHeight="1">
      <x:c r="A882" s="27" t="n">
        <x:v>293</x:v>
      </x:c>
      <x:c r="B882" s="27" t="str">
        <x:v>A2</x:v>
      </x:c>
      <x:c r="C882" s="47" t="n">
        <x:v>1.1250606054275425</x:v>
      </x:c>
      <x:c r="D882" s="47" t="n">
        <x:v>0.8590981299854309</x:v>
      </x:c>
      <x:c r="E882" s="47" t="n">
        <x:v>0.6986609517784329</x:v>
      </x:c>
      <x:c r="F882" s="47" t="n">
        <x:v>-0.18768644919148694</x:v>
      </x:c>
      <x:c r="G882" s="47" t="n">
        <x:v>-0.16919607853669086</x:v>
      </x:c>
      <x:c r="H882" s="47" t="n">
        <x:v>0.8209643687308998</x:v>
      </x:c>
      <x:c r="I882" s="47" t="n">
        <x:v>0.6189265541197134</x:v>
      </x:c>
      <x:c r="J882" s="47" t="n">
        <x:v>0.6896735465358711</x:v>
      </x:c>
      <x:c r="K882" s="47" t="n">
        <x:v>0.7321218147847932</x:v>
      </x:c>
      <x:c r="L882" s="47" t="n">
        <x:v>0.8215387591723806</x:v>
      </x:c>
      <x:c r="M882" s="47" t="n">
        <x:v>0.1651999171351864</x:v>
      </x:c>
      <x:c r="N882" s="47" t="n">
        <x:v>0.9141485322400839</x:v>
      </x:c>
      <x:c r="O882" s="47" t="n">
        <x:v>0.925239321049911</x:v>
      </x:c>
      <x:c r="P882" s="47" t="n">
        <x:v>0.6368102411887913</x:v>
      </x:c>
      <x:c r="Q882" s="47" t="n">
        <x:v>1</x:v>
      </x:c>
      <x:c r="R882" s="47" t="n">
        <x:v>0.9076822956680203</x:v>
      </x:c>
      <x:c r="S882" s="27" t="n">
        <x:v>0</x:v>
      </x:c>
    </x:row>
    <x:row r="883" ht="21.600000381469727" hidden="0" customHeight="1">
      <x:c r="A883" s="29" t="n">
        <x:v>293</x:v>
      </x:c>
      <x:c r="B883" s="29" t="str">
        <x:v>A3</x:v>
      </x:c>
      <x:c r="C883" s="48" t="n">
        <x:v>1.1250606054275425</x:v>
      </x:c>
      <x:c r="D883" s="48" t="n">
        <x:v>0.8590981299854309</x:v>
      </x:c>
      <x:c r="E883" s="48" t="n">
        <x:v>0.6986609517784329</x:v>
      </x:c>
      <x:c r="F883" s="48" t="n">
        <x:v>-0.18768644919148694</x:v>
      </x:c>
      <x:c r="G883" s="48" t="n">
        <x:v>-0.16919607853669086</x:v>
      </x:c>
      <x:c r="H883" s="48" t="n">
        <x:v>0.8209643687308998</x:v>
      </x:c>
      <x:c r="I883" s="48" t="n">
        <x:v>0.6189265541197134</x:v>
      </x:c>
      <x:c r="J883" s="48" t="n">
        <x:v>0.6896735465358711</x:v>
      </x:c>
      <x:c r="K883" s="48" t="n">
        <x:v>0.7321218147847932</x:v>
      </x:c>
      <x:c r="L883" s="48" t="n">
        <x:v>0.8215387591723806</x:v>
      </x:c>
      <x:c r="M883" s="48" t="n">
        <x:v>0.1651999171351864</x:v>
      </x:c>
      <x:c r="N883" s="48" t="n">
        <x:v>0.9141485322400839</x:v>
      </x:c>
      <x:c r="O883" s="48" t="n">
        <x:v>1</x:v>
      </x:c>
      <x:c r="P883" s="48" t="n">
        <x:v>1</x:v>
      </x:c>
      <x:c r="Q883" s="48" t="n">
        <x:v>1</x:v>
      </x:c>
      <x:c r="R883" s="48" t="n">
        <x:v>1</x:v>
      </x:c>
      <x:c r="S883" s="29" t="n">
        <x:v>1</x:v>
      </x:c>
    </x:row>
    <x:row r="884" ht="21.600000381469727" hidden="0" customHeight="1">
      <x:c r="A884" s="27" t="n">
        <x:v>294</x:v>
      </x:c>
      <x:c r="B884" s="27" t="str">
        <x:v>A1</x:v>
      </x:c>
      <x:c r="C884" s="47" t="n">
        <x:v>1.3083672759930154</x:v>
      </x:c>
      <x:c r="D884" s="47" t="n">
        <x:v>0.7904476717245117</x:v>
      </x:c>
      <x:c r="E884" s="47" t="n">
        <x:v>0.6989817482693249</x:v>
      </x:c>
      <x:c r="F884" s="47" t="n">
        <x:v>-0.06908965849795567</x:v>
      </x:c>
      <x:c r="G884" s="47" t="n">
        <x:v>-0.059152521191929486</x:v>
      </x:c>
      <x:c r="H884" s="47" t="n">
        <x:v>0.37117935523394296</x:v>
      </x:c>
      <x:c r="I884" s="47" t="n">
        <x:v>0.9360997804223159</x:v>
      </x:c>
      <x:c r="J884" s="47" t="n">
        <x:v>0.5754911806428017</x:v>
      </x:c>
      <x:c r="K884" s="47" t="n">
        <x:v>0.6839186898401846</x:v>
      </x:c>
      <x:c r="L884" s="47" t="n">
        <x:v>0.9828290669184659</x:v>
      </x:c>
      <x:c r="M884" s="47" t="n">
        <x:v>0.04083357783164641</x:v>
      </x:c>
      <x:c r="N884" s="47" t="n">
        <x:v>0.6990530748076562</x:v>
      </x:c>
      <x:c r="O884" s="47" t="n">
        <x:v>0.7617325425040485</x:v>
      </x:c>
      <x:c r="P884" s="47" t="n">
        <x:v>0.42902619644511464</x:v>
      </x:c>
      <x:c r="Q884" s="47" t="n">
        <x:v>1</x:v>
      </x:c>
      <x:c r="R884" s="47" t="n">
        <x:v>0.7057770876087314</x:v>
      </x:c>
      <x:c r="S884" s="27" t="n">
        <x:v>0</x:v>
      </x:c>
    </x:row>
    <x:row r="885" ht="21.600000381469727" hidden="0" customHeight="1">
      <x:c r="A885" s="29" t="n">
        <x:v>294</x:v>
      </x:c>
      <x:c r="B885" s="29" t="str">
        <x:v>A2</x:v>
      </x:c>
      <x:c r="C885" s="48" t="n">
        <x:v>1.3083672759930154</x:v>
      </x:c>
      <x:c r="D885" s="48" t="n">
        <x:v>0.7904476717245117</x:v>
      </x:c>
      <x:c r="E885" s="48" t="n">
        <x:v>0.6989817482693249</x:v>
      </x:c>
      <x:c r="F885" s="48" t="n">
        <x:v>-0.06908965849795567</x:v>
      </x:c>
      <x:c r="G885" s="48" t="n">
        <x:v>-0.059152521191929486</x:v>
      </x:c>
      <x:c r="H885" s="48" t="n">
        <x:v>0.37117935523394296</x:v>
      </x:c>
      <x:c r="I885" s="48" t="n">
        <x:v>0.9360997804223159</x:v>
      </x:c>
      <x:c r="J885" s="48" t="n">
        <x:v>0.5754911806428017</x:v>
      </x:c>
      <x:c r="K885" s="48" t="n">
        <x:v>0.6839186898401846</x:v>
      </x:c>
      <x:c r="L885" s="48" t="n">
        <x:v>0.9828290669184659</x:v>
      </x:c>
      <x:c r="M885" s="48" t="n">
        <x:v>0.04083357783164641</x:v>
      </x:c>
      <x:c r="N885" s="48" t="n">
        <x:v>0.6990530748076562</x:v>
      </x:c>
      <x:c r="O885" s="48" t="n">
        <x:v>0.8354920380675015</x:v>
      </x:c>
      <x:c r="P885" s="48" t="n">
        <x:v>0.49852380446244915</x:v>
      </x:c>
      <x:c r="Q885" s="48" t="n">
        <x:v>1</x:v>
      </x:c>
      <x:c r="R885" s="48" t="n">
        <x:v>0.796858487600414</x:v>
      </x:c>
      <x:c r="S885" s="29" t="n">
        <x:v>0</x:v>
      </x:c>
    </x:row>
    <x:row r="886" ht="21.600000381469727" hidden="0" customHeight="1">
      <x:c r="A886" s="27" t="n">
        <x:v>294</x:v>
      </x:c>
      <x:c r="B886" s="27" t="str">
        <x:v>A3</x:v>
      </x:c>
      <x:c r="C886" s="47" t="n">
        <x:v>1.3083672759930154</x:v>
      </x:c>
      <x:c r="D886" s="47" t="n">
        <x:v>0.7904476717245117</x:v>
      </x:c>
      <x:c r="E886" s="47" t="n">
        <x:v>0.6989817482693249</x:v>
      </x:c>
      <x:c r="F886" s="47" t="n">
        <x:v>-0.06908965849795567</x:v>
      </x:c>
      <x:c r="G886" s="47" t="n">
        <x:v>-0.059152521191929486</x:v>
      </x:c>
      <x:c r="H886" s="47" t="n">
        <x:v>0.37117935523394296</x:v>
      </x:c>
      <x:c r="I886" s="47" t="n">
        <x:v>0.9360997804223159</x:v>
      </x:c>
      <x:c r="J886" s="47" t="n">
        <x:v>0.5754911806428017</x:v>
      </x:c>
      <x:c r="K886" s="47" t="n">
        <x:v>0.6839186898401846</x:v>
      </x:c>
      <x:c r="L886" s="47" t="n">
        <x:v>0.9828290669184659</x:v>
      </x:c>
      <x:c r="M886" s="47" t="n">
        <x:v>0.04083357783164641</x:v>
      </x:c>
      <x:c r="N886" s="47" t="n">
        <x:v>0.6990530748076562</x:v>
      </x:c>
      <x:c r="O886" s="47" t="n">
        <x:v>1</x:v>
      </x:c>
      <x:c r="P886" s="47" t="n">
        <x:v>1</x:v>
      </x:c>
      <x:c r="Q886" s="47" t="n">
        <x:v>1</x:v>
      </x:c>
      <x:c r="R886" s="47" t="n">
        <x:v>1</x:v>
      </x:c>
      <x:c r="S886" s="27" t="n">
        <x:v>1</x:v>
      </x:c>
    </x:row>
    <x:row r="887" ht="21.600000381469727" hidden="0" customHeight="1">
      <x:c r="A887" s="29" t="n">
        <x:v>295</x:v>
      </x:c>
      <x:c r="B887" s="29" t="str">
        <x:v>A1</x:v>
      </x:c>
      <x:c r="C887" s="48" t="n">
        <x:v>1.2464667927383988</x:v>
      </x:c>
      <x:c r="D887" s="48" t="n">
        <x:v>0.7287425592871422</x:v>
      </x:c>
      <x:c r="E887" s="48" t="n">
        <x:v>0.8111392286660588</x:v>
      </x:c>
      <x:c r="F887" s="48" t="n">
        <x:v>-0.03765538574626065</x:v>
      </x:c>
      <x:c r="G887" s="48" t="n">
        <x:v>-0.029434237356387255</x:v>
      </x:c>
      <x:c r="H887" s="48" t="n">
        <x:v>0.6298502939158845</x:v>
      </x:c>
      <x:c r="I887" s="48" t="n">
        <x:v>0.6959066755753718</x:v>
      </x:c>
      <x:c r="J887" s="48" t="n">
        <x:v>0.9472049474140597</x:v>
      </x:c>
      <x:c r="K887" s="48" t="n">
        <x:v>0.9647782595925936</x:v>
      </x:c>
      <x:c r="L887" s="48" t="n">
        <x:v>0.6424378416000164</x:v>
      </x:c>
      <x:c r="M887" s="48" t="n">
        <x:v>0.03199037770368817</x:v>
      </x:c>
      <x:c r="N887" s="48" t="n">
        <x:v>0.6968462511288906</x:v>
      </x:c>
      <x:c r="O887" s="48" t="n">
        <x:v>0.7324231330500612</x:v>
      </x:c>
      <x:c r="P887" s="48" t="n">
        <x:v>0.3995132158911818</x:v>
      </x:c>
      <x:c r="Q887" s="48" t="n">
        <x:v>0.9412657277694735</x:v>
      </x:c>
      <x:c r="R887" s="48" t="n">
        <x:v>0.6700207780706773</x:v>
      </x:c>
      <x:c r="S887" s="29" t="n">
        <x:v>0</x:v>
      </x:c>
    </x:row>
    <x:row r="888" ht="21.600000381469727" hidden="0" customHeight="1">
      <x:c r="A888" s="27" t="n">
        <x:v>295</x:v>
      </x:c>
      <x:c r="B888" s="27" t="str">
        <x:v>A2</x:v>
      </x:c>
      <x:c r="C888" s="47" t="n">
        <x:v>1.2464667927383988</x:v>
      </x:c>
      <x:c r="D888" s="47" t="n">
        <x:v>0.7287425592871422</x:v>
      </x:c>
      <x:c r="E888" s="47" t="n">
        <x:v>0.8111392286660588</x:v>
      </x:c>
      <x:c r="F888" s="47" t="n">
        <x:v>-0.03765538574626065</x:v>
      </x:c>
      <x:c r="G888" s="47" t="n">
        <x:v>-0.029434237356387255</x:v>
      </x:c>
      <x:c r="H888" s="47" t="n">
        <x:v>0.6298502939158845</x:v>
      </x:c>
      <x:c r="I888" s="47" t="n">
        <x:v>0.6959066755753718</x:v>
      </x:c>
      <x:c r="J888" s="47" t="n">
        <x:v>0.9472049474140597</x:v>
      </x:c>
      <x:c r="K888" s="47" t="n">
        <x:v>0.9647782595925936</x:v>
      </x:c>
      <x:c r="L888" s="47" t="n">
        <x:v>0.6424378416000164</x:v>
      </x:c>
      <x:c r="M888" s="47" t="n">
        <x:v>0.03199037770368817</x:v>
      </x:c>
      <x:c r="N888" s="47" t="n">
        <x:v>0.6968462511288906</x:v>
      </x:c>
      <x:c r="O888" s="47" t="n">
        <x:v>0.8145874625567034</x:v>
      </x:c>
      <x:c r="P888" s="47" t="n">
        <x:v>0.4180619189395418</x:v>
      </x:c>
      <x:c r="Q888" s="47" t="n">
        <x:v>1</x:v>
      </x:c>
      <x:c r="R888" s="47" t="n">
        <x:v>0.7710446179527106</x:v>
      </x:c>
      <x:c r="S888" s="27" t="n">
        <x:v>0</x:v>
      </x:c>
    </x:row>
    <x:row r="889" ht="21.600000381469727" hidden="0" customHeight="1">
      <x:c r="A889" s="29" t="n">
        <x:v>295</x:v>
      </x:c>
      <x:c r="B889" s="29" t="str">
        <x:v>A3</x:v>
      </x:c>
      <x:c r="C889" s="48" t="n">
        <x:v>1.2464667927383988</x:v>
      </x:c>
      <x:c r="D889" s="48" t="n">
        <x:v>0.7287425592871422</x:v>
      </x:c>
      <x:c r="E889" s="48" t="n">
        <x:v>0.8111392286660588</x:v>
      </x:c>
      <x:c r="F889" s="48" t="n">
        <x:v>-0.03765538574626065</x:v>
      </x:c>
      <x:c r="G889" s="48" t="n">
        <x:v>-0.029434237356387255</x:v>
      </x:c>
      <x:c r="H889" s="48" t="n">
        <x:v>0.6298502939158845</x:v>
      </x:c>
      <x:c r="I889" s="48" t="n">
        <x:v>0.6959066755753718</x:v>
      </x:c>
      <x:c r="J889" s="48" t="n">
        <x:v>0.9472049474140597</x:v>
      </x:c>
      <x:c r="K889" s="48" t="n">
        <x:v>0.9647782595925936</x:v>
      </x:c>
      <x:c r="L889" s="48" t="n">
        <x:v>0.6424378416000164</x:v>
      </x:c>
      <x:c r="M889" s="48" t="n">
        <x:v>0.03199037770368817</x:v>
      </x:c>
      <x:c r="N889" s="48" t="n">
        <x:v>0.6968462511288906</x:v>
      </x:c>
      <x:c r="O889" s="48" t="n">
        <x:v>1</x:v>
      </x:c>
      <x:c r="P889" s="48" t="n">
        <x:v>1</x:v>
      </x:c>
      <x:c r="Q889" s="48" t="n">
        <x:v>1</x:v>
      </x:c>
      <x:c r="R889" s="48" t="n">
        <x:v>1</x:v>
      </x:c>
      <x:c r="S889" s="29" t="n">
        <x:v>1</x:v>
      </x:c>
    </x:row>
    <x:row r="890" ht="21.600000381469727" hidden="0" customHeight="1">
      <x:c r="A890" s="27" t="n">
        <x:v>296</x:v>
      </x:c>
      <x:c r="B890" s="27" t="str">
        <x:v>A1</x:v>
      </x:c>
      <x:c r="C890" s="47" t="n">
        <x:v>1.325565425178483</x:v>
      </x:c>
      <x:c r="D890" s="47" t="n">
        <x:v>0.9685781251689587</x:v>
      </x:c>
      <x:c r="E890" s="47" t="n">
        <x:v>0.8534875358063498</x:v>
      </x:c>
      <x:c r="F890" s="47" t="n">
        <x:v>-0.054103136995283685</x:v>
      </x:c>
      <x:c r="G890" s="47" t="n">
        <x:v>-0.19712157015093124</x:v>
      </x:c>
      <x:c r="H890" s="47" t="n">
        <x:v>0.5335869841697394</x:v>
      </x:c>
      <x:c r="I890" s="47" t="n">
        <x:v>0.6302424220288545</x:v>
      </x:c>
      <x:c r="J890" s="47" t="n">
        <x:v>0.6024311161539442</x:v>
      </x:c>
      <x:c r="K890" s="47" t="n">
        <x:v>0.7586097856094418</x:v>
      </x:c>
      <x:c r="L890" s="47" t="n">
        <x:v>0.6274558009354119</x:v>
      </x:c>
      <x:c r="M890" s="47" t="n">
        <x:v>0.15737962344930823</x:v>
      </x:c>
      <x:c r="N890" s="47" t="n">
        <x:v>0.8457842214177885</x:v>
      </x:c>
      <x:c r="O890" s="47" t="n">
        <x:v>0.812528863307825</x:v>
      </x:c>
      <x:c r="P890" s="47" t="n">
        <x:v>0.4760127090264559</x:v>
      </x:c>
      <x:c r="Q890" s="47" t="n">
        <x:v>1</x:v>
      </x:c>
      <x:c r="R890" s="47" t="n">
        <x:v>0.7685025709907928</x:v>
      </x:c>
      <x:c r="S890" s="27" t="n">
        <x:v>0</x:v>
      </x:c>
    </x:row>
    <x:row r="891" ht="21.600000381469727" hidden="0" customHeight="1">
      <x:c r="A891" s="29" t="n">
        <x:v>296</x:v>
      </x:c>
      <x:c r="B891" s="29" t="str">
        <x:v>A2</x:v>
      </x:c>
      <x:c r="C891" s="48" t="n">
        <x:v>1.325565425178483</x:v>
      </x:c>
      <x:c r="D891" s="48" t="n">
        <x:v>0.9685781251689587</x:v>
      </x:c>
      <x:c r="E891" s="48" t="n">
        <x:v>0.8534875358063498</x:v>
      </x:c>
      <x:c r="F891" s="48" t="n">
        <x:v>-0.054103136995283685</x:v>
      </x:c>
      <x:c r="G891" s="48" t="n">
        <x:v>-0.19712157015093124</x:v>
      </x:c>
      <x:c r="H891" s="48" t="n">
        <x:v>0.5335869841697394</x:v>
      </x:c>
      <x:c r="I891" s="48" t="n">
        <x:v>0.6302424220288545</x:v>
      </x:c>
      <x:c r="J891" s="48" t="n">
        <x:v>0.6024311161539442</x:v>
      </x:c>
      <x:c r="K891" s="48" t="n">
        <x:v>0.7586097856094418</x:v>
      </x:c>
      <x:c r="L891" s="48" t="n">
        <x:v>0.6274558009354119</x:v>
      </x:c>
      <x:c r="M891" s="48" t="n">
        <x:v>0.15737962344930823</x:v>
      </x:c>
      <x:c r="N891" s="48" t="n">
        <x:v>0.8457842214177885</x:v>
      </x:c>
      <x:c r="O891" s="48" t="n">
        <x:v>0.8899704997324578</x:v>
      </x:c>
      <x:c r="P891" s="48" t="n">
        <x:v>0.5204875612342694</x:v>
      </x:c>
      <x:c r="Q891" s="48" t="n">
        <x:v>1</x:v>
      </x:c>
      <x:c r="R891" s="48" t="n">
        <x:v>0.8641308370102442</x:v>
      </x:c>
      <x:c r="S891" s="29" t="n">
        <x:v>0</x:v>
      </x:c>
    </x:row>
    <x:row r="892" ht="21.600000381469727" hidden="0" customHeight="1">
      <x:c r="A892" s="27" t="n">
        <x:v>296</x:v>
      </x:c>
      <x:c r="B892" s="27" t="str">
        <x:v>A3</x:v>
      </x:c>
      <x:c r="C892" s="47" t="n">
        <x:v>1.325565425178483</x:v>
      </x:c>
      <x:c r="D892" s="47" t="n">
        <x:v>0.9685781251689587</x:v>
      </x:c>
      <x:c r="E892" s="47" t="n">
        <x:v>0.8534875358063498</x:v>
      </x:c>
      <x:c r="F892" s="47" t="n">
        <x:v>-0.054103136995283685</x:v>
      </x:c>
      <x:c r="G892" s="47" t="n">
        <x:v>-0.19712157015093124</x:v>
      </x:c>
      <x:c r="H892" s="47" t="n">
        <x:v>0.5335869841697394</x:v>
      </x:c>
      <x:c r="I892" s="47" t="n">
        <x:v>0.6302424220288545</x:v>
      </x:c>
      <x:c r="J892" s="47" t="n">
        <x:v>0.6024311161539442</x:v>
      </x:c>
      <x:c r="K892" s="47" t="n">
        <x:v>0.7586097856094418</x:v>
      </x:c>
      <x:c r="L892" s="47" t="n">
        <x:v>0.6274558009354119</x:v>
      </x:c>
      <x:c r="M892" s="47" t="n">
        <x:v>0.15737962344930823</x:v>
      </x:c>
      <x:c r="N892" s="47" t="n">
        <x:v>0.8457842214177885</x:v>
      </x:c>
      <x:c r="O892" s="47" t="n">
        <x:v>1</x:v>
      </x:c>
      <x:c r="P892" s="47" t="n">
        <x:v>1</x:v>
      </x:c>
      <x:c r="Q892" s="47" t="n">
        <x:v>1</x:v>
      </x:c>
      <x:c r="R892" s="47" t="n">
        <x:v>1</x:v>
      </x:c>
      <x:c r="S892" s="27" t="n">
        <x:v>1</x:v>
      </x:c>
    </x:row>
    <x:row r="893" ht="21.600000381469727" hidden="0" customHeight="1">
      <x:c r="A893" s="29" t="n">
        <x:v>297</x:v>
      </x:c>
      <x:c r="B893" s="29" t="str">
        <x:v>A1</x:v>
      </x:c>
      <x:c r="C893" s="48" t="n">
        <x:v>0.9045101558281202</x:v>
      </x:c>
      <x:c r="D893" s="48" t="n">
        <x:v>0.8334179810370448</x:v>
      </x:c>
      <x:c r="E893" s="48" t="n">
        <x:v>0.9720632963111697</x:v>
      </x:c>
      <x:c r="F893" s="48" t="n">
        <x:v>-0.11533638503919438</x:v>
      </x:c>
      <x:c r="G893" s="48" t="n">
        <x:v>-0.03632242478426678</x:v>
      </x:c>
      <x:c r="H893" s="48" t="n">
        <x:v>0.7020909622401362</x:v>
      </x:c>
      <x:c r="I893" s="48" t="n">
        <x:v>0.8481503735193731</x:v>
      </x:c>
      <x:c r="J893" s="48" t="n">
        <x:v>0.49820966358297913</x:v>
      </x:c>
      <x:c r="K893" s="48" t="n">
        <x:v>0.9981468790922849</x:v>
      </x:c>
      <x:c r="L893" s="48" t="n">
        <x:v>0.7800175762054934</x:v>
      </x:c>
      <x:c r="M893" s="48" t="n">
        <x:v>0.05604829602290768</x:v>
      </x:c>
      <x:c r="N893" s="48" t="n">
        <x:v>0.6573832826982328</x:v>
      </x:c>
      <x:c r="O893" s="48" t="n">
        <x:v>0.9200480336593346</x:v>
      </x:c>
      <x:c r="P893" s="48" t="n">
        <x:v>0.7236443235324663</x:v>
      </x:c>
      <x:c r="Q893" s="48" t="n">
        <x:v>1</x:v>
      </x:c>
      <x:c r="R893" s="48" t="n">
        <x:v>0.9012718705467406</x:v>
      </x:c>
      <x:c r="S893" s="29" t="n">
        <x:v>0</x:v>
      </x:c>
    </x:row>
    <x:row r="894" ht="21.600000381469727" hidden="0" customHeight="1">
      <x:c r="A894" s="27" t="n">
        <x:v>297</x:v>
      </x:c>
      <x:c r="B894" s="27" t="str">
        <x:v>A2</x:v>
      </x:c>
      <x:c r="C894" s="47" t="n">
        <x:v>0.9045101558281202</x:v>
      </x:c>
      <x:c r="D894" s="47" t="n">
        <x:v>0.8334179810370448</x:v>
      </x:c>
      <x:c r="E894" s="47" t="n">
        <x:v>0.9720632963111697</x:v>
      </x:c>
      <x:c r="F894" s="47" t="n">
        <x:v>-0.11533638503919438</x:v>
      </x:c>
      <x:c r="G894" s="47" t="n">
        <x:v>-0.03632242478426678</x:v>
      </x:c>
      <x:c r="H894" s="47" t="n">
        <x:v>0.7020909622401362</x:v>
      </x:c>
      <x:c r="I894" s="47" t="n">
        <x:v>0.8481503735193731</x:v>
      </x:c>
      <x:c r="J894" s="47" t="n">
        <x:v>0.49820966358297913</x:v>
      </x:c>
      <x:c r="K894" s="47" t="n">
        <x:v>0.9981468790922849</x:v>
      </x:c>
      <x:c r="L894" s="47" t="n">
        <x:v>0.7800175762054934</x:v>
      </x:c>
      <x:c r="M894" s="47" t="n">
        <x:v>0.05604829602290768</x:v>
      </x:c>
      <x:c r="N894" s="47" t="n">
        <x:v>0.6573832826982328</x:v>
      </x:c>
      <x:c r="O894" s="47" t="n">
        <x:v>0.999312956810545</x:v>
      </x:c>
      <x:c r="P894" s="47" t="n">
        <x:v>0.993129568105449</x:v>
      </x:c>
      <x:c r="Q894" s="47" t="n">
        <x:v>1</x:v>
      </x:c>
      <x:c r="R894" s="47" t="n">
        <x:v>0.9991516094968886</x:v>
      </x:c>
      <x:c r="S894" s="27" t="n">
        <x:v>1</x:v>
      </x:c>
    </x:row>
    <x:row r="895" ht="21.600000381469727" hidden="0" customHeight="1">
      <x:c r="A895" s="29" t="n">
        <x:v>297</x:v>
      </x:c>
      <x:c r="B895" s="29" t="str">
        <x:v>A3</x:v>
      </x:c>
      <x:c r="C895" s="48" t="n">
        <x:v>0.9045101558281202</x:v>
      </x:c>
      <x:c r="D895" s="48" t="n">
        <x:v>0.8334179810370448</x:v>
      </x:c>
      <x:c r="E895" s="48" t="n">
        <x:v>0.9720632963111697</x:v>
      </x:c>
      <x:c r="F895" s="48" t="n">
        <x:v>-0.11533638503919438</x:v>
      </x:c>
      <x:c r="G895" s="48" t="n">
        <x:v>-0.03632242478426678</x:v>
      </x:c>
      <x:c r="H895" s="48" t="n">
        <x:v>0.7020909622401362</x:v>
      </x:c>
      <x:c r="I895" s="48" t="n">
        <x:v>0.8481503735193731</x:v>
      </x:c>
      <x:c r="J895" s="48" t="n">
        <x:v>0.49820966358297913</x:v>
      </x:c>
      <x:c r="K895" s="48" t="n">
        <x:v>0.9981468790922849</x:v>
      </x:c>
      <x:c r="L895" s="48" t="n">
        <x:v>0.7800175762054934</x:v>
      </x:c>
      <x:c r="M895" s="48" t="n">
        <x:v>0.05604829602290768</x:v>
      </x:c>
      <x:c r="N895" s="48" t="n">
        <x:v>0.6573832826982328</x:v>
      </x:c>
      <x:c r="O895" s="48" t="n">
        <x:v>1</x:v>
      </x:c>
      <x:c r="P895" s="48" t="n">
        <x:v>1</x:v>
      </x:c>
      <x:c r="Q895" s="48" t="n">
        <x:v>1</x:v>
      </x:c>
      <x:c r="R895" s="48" t="n">
        <x:v>1</x:v>
      </x:c>
      <x:c r="S895" s="29" t="n">
        <x:v>1</x:v>
      </x:c>
    </x:row>
    <x:row r="896" ht="21.600000381469727" hidden="0" customHeight="1">
      <x:c r="A896" s="27" t="n">
        <x:v>298</x:v>
      </x:c>
      <x:c r="B896" s="27" t="str">
        <x:v>A1</x:v>
      </x:c>
      <x:c r="C896" s="47" t="n">
        <x:v>0.98562023744544</x:v>
      </x:c>
      <x:c r="D896" s="47" t="n">
        <x:v>0.8305517016325166</x:v>
      </x:c>
      <x:c r="E896" s="47" t="n">
        <x:v>0.6143479539512835</x:v>
      </x:c>
      <x:c r="F896" s="47" t="n">
        <x:v>-0.06504891665881565</x:v>
      </x:c>
      <x:c r="G896" s="47" t="n">
        <x:v>-0.08446794229797659</x:v>
      </x:c>
      <x:c r="H896" s="47" t="n">
        <x:v>0.784698415660785</x:v>
      </x:c>
      <x:c r="I896" s="47" t="n">
        <x:v>0.7383442160833011</x:v>
      </x:c>
      <x:c r="J896" s="47" t="n">
        <x:v>0.7526338782596003</x:v>
      </x:c>
      <x:c r="K896" s="47" t="n">
        <x:v>0.6425579935001869</x:v>
      </x:c>
      <x:c r="L896" s="47" t="n">
        <x:v>0.7600730250023284</x:v>
      </x:c>
      <x:c r="M896" s="47" t="n">
        <x:v>0.17679751187279724</x:v>
      </x:c>
      <x:c r="N896" s="47" t="n">
        <x:v>0.8355877097695696</x:v>
      </x:c>
      <x:c r="O896" s="47" t="n">
        <x:v>0.8663911030073427</x:v>
      </x:c>
      <x:c r="P896" s="47" t="n">
        <x:v>0.4473984348662918</x:v>
      </x:c>
      <x:c r="Q896" s="47" t="n">
        <x:v>1</x:v>
      </x:c>
      <x:c r="R896" s="47" t="n">
        <x:v>0.8350139829933235</x:v>
      </x:c>
      <x:c r="S896" s="27" t="n">
        <x:v>0</x:v>
      </x:c>
    </x:row>
    <x:row r="897" ht="21.600000381469727" hidden="0" customHeight="1">
      <x:c r="A897" s="29" t="n">
        <x:v>298</x:v>
      </x:c>
      <x:c r="B897" s="29" t="str">
        <x:v>A2</x:v>
      </x:c>
      <x:c r="C897" s="48" t="n">
        <x:v>0.98562023744544</x:v>
      </x:c>
      <x:c r="D897" s="48" t="n">
        <x:v>0.8305517016325166</x:v>
      </x:c>
      <x:c r="E897" s="48" t="n">
        <x:v>0.6143479539512835</x:v>
      </x:c>
      <x:c r="F897" s="48" t="n">
        <x:v>-0.06504891665881565</x:v>
      </x:c>
      <x:c r="G897" s="48" t="n">
        <x:v>-0.08446794229797659</x:v>
      </x:c>
      <x:c r="H897" s="48" t="n">
        <x:v>0.784698415660785</x:v>
      </x:c>
      <x:c r="I897" s="48" t="n">
        <x:v>0.7383442160833011</x:v>
      </x:c>
      <x:c r="J897" s="48" t="n">
        <x:v>0.7526338782596003</x:v>
      </x:c>
      <x:c r="K897" s="48" t="n">
        <x:v>0.6425579935001869</x:v>
      </x:c>
      <x:c r="L897" s="48" t="n">
        <x:v>0.7600730250023284</x:v>
      </x:c>
      <x:c r="M897" s="48" t="n">
        <x:v>0.17679751187279724</x:v>
      </x:c>
      <x:c r="N897" s="48" t="n">
        <x:v>0.8355877097695696</x:v>
      </x:c>
      <x:c r="O897" s="48" t="n">
        <x:v>0.8892646971474404</x:v>
      </x:c>
      <x:c r="P897" s="48" t="n">
        <x:v>0.4932050699262687</x:v>
      </x:c>
      <x:c r="Q897" s="48" t="n">
        <x:v>1</x:v>
      </x:c>
      <x:c r="R897" s="48" t="n">
        <x:v>0.8632592815980216</x:v>
      </x:c>
      <x:c r="S897" s="29" t="n">
        <x:v>0</x:v>
      </x:c>
    </x:row>
    <x:row r="898" ht="21.600000381469727" hidden="0" customHeight="1">
      <x:c r="A898" s="27" t="n">
        <x:v>298</x:v>
      </x:c>
      <x:c r="B898" s="27" t="str">
        <x:v>A3</x:v>
      </x:c>
      <x:c r="C898" s="47" t="n">
        <x:v>0.98562023744544</x:v>
      </x:c>
      <x:c r="D898" s="47" t="n">
        <x:v>0.8305517016325166</x:v>
      </x:c>
      <x:c r="E898" s="47" t="n">
        <x:v>0.6143479539512835</x:v>
      </x:c>
      <x:c r="F898" s="47" t="n">
        <x:v>-0.06504891665881565</x:v>
      </x:c>
      <x:c r="G898" s="47" t="n">
        <x:v>-0.08446794229797659</x:v>
      </x:c>
      <x:c r="H898" s="47" t="n">
        <x:v>0.784698415660785</x:v>
      </x:c>
      <x:c r="I898" s="47" t="n">
        <x:v>0.7383442160833011</x:v>
      </x:c>
      <x:c r="J898" s="47" t="n">
        <x:v>0.7526338782596003</x:v>
      </x:c>
      <x:c r="K898" s="47" t="n">
        <x:v>0.6425579935001869</x:v>
      </x:c>
      <x:c r="L898" s="47" t="n">
        <x:v>0.7600730250023284</x:v>
      </x:c>
      <x:c r="M898" s="47" t="n">
        <x:v>0.17679751187279724</x:v>
      </x:c>
      <x:c r="N898" s="47" t="n">
        <x:v>0.8355877097695696</x:v>
      </x:c>
      <x:c r="O898" s="47" t="n">
        <x:v>1</x:v>
      </x:c>
      <x:c r="P898" s="47" t="n">
        <x:v>1</x:v>
      </x:c>
      <x:c r="Q898" s="47" t="n">
        <x:v>1</x:v>
      </x:c>
      <x:c r="R898" s="47" t="n">
        <x:v>1</x:v>
      </x:c>
      <x:c r="S898" s="27" t="n">
        <x:v>1</x:v>
      </x:c>
    </x:row>
    <x:row r="899" ht="21.600000381469727" hidden="0" customHeight="1">
      <x:c r="A899" s="29" t="n">
        <x:v>299</x:v>
      </x:c>
      <x:c r="B899" s="29" t="str">
        <x:v>A1</x:v>
      </x:c>
      <x:c r="C899" s="48" t="n">
        <x:v>0.9589658981227633</x:v>
      </x:c>
      <x:c r="D899" s="48" t="n">
        <x:v>0.7318018097824752</x:v>
      </x:c>
      <x:c r="E899" s="48" t="n">
        <x:v>0.659062458150528</x:v>
      </x:c>
      <x:c r="F899" s="48" t="n">
        <x:v>-0.19417568403920182</x:v>
      </x:c>
      <x:c r="G899" s="48" t="n">
        <x:v>-0.18225528594983606</x:v>
      </x:c>
      <x:c r="H899" s="48" t="n">
        <x:v>0.6118391503234442</x:v>
      </x:c>
      <x:c r="I899" s="48" t="n">
        <x:v>0.8428993268063901</x:v>
      </x:c>
      <x:c r="J899" s="48" t="n">
        <x:v>0.45543250890715165</x:v>
      </x:c>
      <x:c r="K899" s="48" t="n">
        <x:v>0.9031372154084141</x:v>
      </x:c>
      <x:c r="L899" s="48" t="n">
        <x:v>0.6705309844451824</x:v>
      </x:c>
      <x:c r="M899" s="48" t="n">
        <x:v>0.11188372378303311</x:v>
      </x:c>
      <x:c r="N899" s="48" t="n">
        <x:v>0.8594284583983102</x:v>
      </x:c>
      <x:c r="O899" s="48" t="n">
        <x:v>0.8169793171742104</x:v>
      </x:c>
      <x:c r="P899" s="48" t="n">
        <x:v>0.54150186408701</x:v>
      </x:c>
      <x:c r="Q899" s="48" t="n">
        <x:v>0.9999999999999998</x:v>
      </x:c>
      <x:c r="R899" s="48" t="n">
        <x:v>0.7739981829883026</x:v>
      </x:c>
      <x:c r="S899" s="29" t="n">
        <x:v>0</x:v>
      </x:c>
    </x:row>
    <x:row r="900" ht="21.600000381469727" hidden="0" customHeight="1">
      <x:c r="A900" s="27" t="n">
        <x:v>299</x:v>
      </x:c>
      <x:c r="B900" s="27" t="str">
        <x:v>A2</x:v>
      </x:c>
      <x:c r="C900" s="47" t="n">
        <x:v>0.9589658981227633</x:v>
      </x:c>
      <x:c r="D900" s="47" t="n">
        <x:v>0.7318018097824752</x:v>
      </x:c>
      <x:c r="E900" s="47" t="n">
        <x:v>0.659062458150528</x:v>
      </x:c>
      <x:c r="F900" s="47" t="n">
        <x:v>-0.19417568403920182</x:v>
      </x:c>
      <x:c r="G900" s="47" t="n">
        <x:v>-0.18225528594983606</x:v>
      </x:c>
      <x:c r="H900" s="47" t="n">
        <x:v>0.6118391503234442</x:v>
      </x:c>
      <x:c r="I900" s="47" t="n">
        <x:v>0.8428993268063901</x:v>
      </x:c>
      <x:c r="J900" s="47" t="n">
        <x:v>0.45543250890715165</x:v>
      </x:c>
      <x:c r="K900" s="47" t="n">
        <x:v>0.9031372154084141</x:v>
      </x:c>
      <x:c r="L900" s="47" t="n">
        <x:v>0.6705309844451824</x:v>
      </x:c>
      <x:c r="M900" s="47" t="n">
        <x:v>0.11188372378303311</x:v>
      </x:c>
      <x:c r="N900" s="47" t="n">
        <x:v>0.8594284583983102</x:v>
      </x:c>
      <x:c r="O900" s="47" t="n">
        <x:v>0.8793358934888262</x:v>
      </x:c>
      <x:c r="P900" s="47" t="n">
        <x:v>0.5617542552560724</x:v>
      </x:c>
      <x:c r="Q900" s="47" t="n">
        <x:v>1</x:v>
      </x:c>
      <x:c r="R900" s="47" t="n">
        <x:v>0.8509987674694897</x:v>
      </x:c>
      <x:c r="S900" s="27" t="n">
        <x:v>0</x:v>
      </x:c>
    </x:row>
    <x:row r="901" ht="21.600000381469727" hidden="0" customHeight="1">
      <x:c r="A901" s="29" t="n">
        <x:v>299</x:v>
      </x:c>
      <x:c r="B901" s="29" t="str">
        <x:v>A3</x:v>
      </x:c>
      <x:c r="C901" s="48" t="n">
        <x:v>0.9589658981227633</x:v>
      </x:c>
      <x:c r="D901" s="48" t="n">
        <x:v>0.7318018097824752</x:v>
      </x:c>
      <x:c r="E901" s="48" t="n">
        <x:v>0.659062458150528</x:v>
      </x:c>
      <x:c r="F901" s="48" t="n">
        <x:v>-0.19417568403920182</x:v>
      </x:c>
      <x:c r="G901" s="48" t="n">
        <x:v>-0.18225528594983606</x:v>
      </x:c>
      <x:c r="H901" s="48" t="n">
        <x:v>0.6118391503234442</x:v>
      </x:c>
      <x:c r="I901" s="48" t="n">
        <x:v>0.8428993268063901</x:v>
      </x:c>
      <x:c r="J901" s="48" t="n">
        <x:v>0.45543250890715165</x:v>
      </x:c>
      <x:c r="K901" s="48" t="n">
        <x:v>0.9031372154084141</x:v>
      </x:c>
      <x:c r="L901" s="48" t="n">
        <x:v>0.6705309844451824</x:v>
      </x:c>
      <x:c r="M901" s="48" t="n">
        <x:v>0.11188372378303311</x:v>
      </x:c>
      <x:c r="N901" s="48" t="n">
        <x:v>0.8594284583983102</x:v>
      </x:c>
      <x:c r="O901" s="48" t="n">
        <x:v>1</x:v>
      </x:c>
      <x:c r="P901" s="48" t="n">
        <x:v>1</x:v>
      </x:c>
      <x:c r="Q901" s="48" t="n">
        <x:v>1</x:v>
      </x:c>
      <x:c r="R901" s="48" t="n">
        <x:v>1</x:v>
      </x:c>
      <x:c r="S901" s="29" t="n">
        <x:v>1</x:v>
      </x:c>
    </x:row>
    <x:row r="902" ht="21.600000381469727" hidden="0" customHeight="1">
      <x:c r="A902" s="27" t="n">
        <x:v>300</x:v>
      </x:c>
      <x:c r="B902" s="27" t="str">
        <x:v>A1</x:v>
      </x:c>
      <x:c r="C902" s="47" t="n">
        <x:v>1.1064735236771959</x:v>
      </x:c>
      <x:c r="D902" s="47" t="n">
        <x:v>0.8182362815311311</x:v>
      </x:c>
      <x:c r="E902" s="47" t="n">
        <x:v>0.6286933977010813</x:v>
      </x:c>
      <x:c r="F902" s="47" t="n">
        <x:v>-0.19358059709225794</x:v>
      </x:c>
      <x:c r="G902" s="47" t="n">
        <x:v>-0.1496627160113609</x:v>
      </x:c>
      <x:c r="H902" s="47" t="n">
        <x:v>0.49056012007085464</x:v>
      </x:c>
      <x:c r="I902" s="47" t="n">
        <x:v>0.8721829802470606</x:v>
      </x:c>
      <x:c r="J902" s="47" t="n">
        <x:v>0.8669932508807112</x:v>
      </x:c>
      <x:c r="K902" s="47" t="n">
        <x:v>0.6409809006348439</x:v>
      </x:c>
      <x:c r="L902" s="47" t="n">
        <x:v>0.8171462631462498</x:v>
      </x:c>
      <x:c r="M902" s="47" t="n">
        <x:v>0.053282572610683226</x:v>
      </x:c>
      <x:c r="N902" s="47" t="n">
        <x:v>0.8535669009774092</x:v>
      </x:c>
      <x:c r="O902" s="47" t="n">
        <x:v>0.8191111287289488</x:v>
      </x:c>
      <x:c r="P902" s="47" t="n">
        <x:v>0.5985938233923171</x:v>
      </x:c>
      <x:c r="Q902" s="47" t="n">
        <x:v>1</x:v>
      </x:c>
      <x:c r="R902" s="47" t="n">
        <x:v>0.7766306356568132</x:v>
      </x:c>
      <x:c r="S902" s="27" t="n">
        <x:v>0</x:v>
      </x:c>
    </x:row>
    <x:row r="903" ht="21.600000381469727" hidden="0" customHeight="1">
      <x:c r="A903" s="29" t="n">
        <x:v>300</x:v>
      </x:c>
      <x:c r="B903" s="29" t="str">
        <x:v>A2</x:v>
      </x:c>
      <x:c r="C903" s="48" t="n">
        <x:v>1.1064735236771959</x:v>
      </x:c>
      <x:c r="D903" s="48" t="n">
        <x:v>0.8182362815311311</x:v>
      </x:c>
      <x:c r="E903" s="48" t="n">
        <x:v>0.6286933977010813</x:v>
      </x:c>
      <x:c r="F903" s="48" t="n">
        <x:v>-0.19358059709225794</x:v>
      </x:c>
      <x:c r="G903" s="48" t="n">
        <x:v>-0.1496627160113609</x:v>
      </x:c>
      <x:c r="H903" s="48" t="n">
        <x:v>0.49056012007085464</x:v>
      </x:c>
      <x:c r="I903" s="48" t="n">
        <x:v>0.8721829802470606</x:v>
      </x:c>
      <x:c r="J903" s="48" t="n">
        <x:v>0.8669932508807112</x:v>
      </x:c>
      <x:c r="K903" s="48" t="n">
        <x:v>0.6409809006348439</x:v>
      </x:c>
      <x:c r="L903" s="48" t="n">
        <x:v>0.8171462631462498</x:v>
      </x:c>
      <x:c r="M903" s="48" t="n">
        <x:v>0.053282572610683226</x:v>
      </x:c>
      <x:c r="N903" s="48" t="n">
        <x:v>0.8535669009774092</x:v>
      </x:c>
      <x:c r="O903" s="48" t="n">
        <x:v>0.9127697237486632</x:v>
      </x:c>
      <x:c r="P903" s="48" t="n">
        <x:v>0.6148751513817369</x:v>
      </x:c>
      <x:c r="Q903" s="48" t="n">
        <x:v>1</x:v>
      </x:c>
      <x:c r="R903" s="48" t="n">
        <x:v>0.892284300184807</x:v>
      </x:c>
      <x:c r="S903" s="29" t="n">
        <x:v>0</x:v>
      </x:c>
    </x:row>
    <x:row r="904" ht="21.600000381469727" hidden="0" customHeight="1">
      <x:c r="A904" s="27" t="n">
        <x:v>300</x:v>
      </x:c>
      <x:c r="B904" s="27" t="str">
        <x:v>A3</x:v>
      </x:c>
      <x:c r="C904" s="47" t="n">
        <x:v>1.1064735236771959</x:v>
      </x:c>
      <x:c r="D904" s="47" t="n">
        <x:v>0.8182362815311311</x:v>
      </x:c>
      <x:c r="E904" s="47" t="n">
        <x:v>0.6286933977010813</x:v>
      </x:c>
      <x:c r="F904" s="47" t="n">
        <x:v>-0.19358059709225794</x:v>
      </x:c>
      <x:c r="G904" s="47" t="n">
        <x:v>-0.1496627160113609</x:v>
      </x:c>
      <x:c r="H904" s="47" t="n">
        <x:v>0.49056012007085464</x:v>
      </x:c>
      <x:c r="I904" s="47" t="n">
        <x:v>0.8721829802470606</x:v>
      </x:c>
      <x:c r="J904" s="47" t="n">
        <x:v>0.8669932508807112</x:v>
      </x:c>
      <x:c r="K904" s="47" t="n">
        <x:v>0.6409809006348439</x:v>
      </x:c>
      <x:c r="L904" s="47" t="n">
        <x:v>0.8171462631462498</x:v>
      </x:c>
      <x:c r="M904" s="47" t="n">
        <x:v>0.053282572610683226</x:v>
      </x:c>
      <x:c r="N904" s="47" t="n">
        <x:v>0.8535669009774092</x:v>
      </x:c>
      <x:c r="O904" s="47" t="n">
        <x:v>1</x:v>
      </x:c>
      <x:c r="P904" s="47" t="n">
        <x:v>1</x:v>
      </x:c>
      <x:c r="Q904" s="47" t="n">
        <x:v>1</x:v>
      </x:c>
      <x:c r="R904" s="47" t="n">
        <x:v>1</x:v>
      </x:c>
      <x:c r="S904" s="27" t="n">
        <x:v>1</x:v>
      </x:c>
    </x:row>
    <x:row r="905" ht="21.600000381469727" hidden="0" customHeight="1">
      <x:c r="A905" s="29" t="n">
        <x:v>301</x:v>
      </x:c>
      <x:c r="B905" s="29" t="str">
        <x:v>A1</x:v>
      </x:c>
      <x:c r="C905" s="48" t="n">
        <x:v>1.083828885212959</x:v>
      </x:c>
      <x:c r="D905" s="48" t="n">
        <x:v>0.9972198692617931</x:v>
      </x:c>
      <x:c r="E905" s="48" t="n">
        <x:v>0.4856313365564519</x:v>
      </x:c>
      <x:c r="F905" s="48" t="n">
        <x:v>0.01861275254303371</x:v>
      </x:c>
      <x:c r="G905" s="48" t="n">
        <x:v>-0.07726280557058425</x:v>
      </x:c>
      <x:c r="H905" s="48" t="n">
        <x:v>0.9460882166076705</x:v>
      </x:c>
      <x:c r="I905" s="48" t="n">
        <x:v>0.9818163705891081</x:v>
      </x:c>
      <x:c r="J905" s="48" t="n">
        <x:v>0.8615919294092107</x:v>
      </x:c>
      <x:c r="K905" s="48" t="n">
        <x:v>0.85595885833996</x:v>
      </x:c>
      <x:c r="L905" s="48" t="n">
        <x:v>0.5618024970491317</x:v>
      </x:c>
      <x:c r="M905" s="48" t="n">
        <x:v>0.14172128640889212</x:v>
      </x:c>
      <x:c r="N905" s="48" t="n">
        <x:v>0.9794956640611299</x:v>
      </x:c>
      <x:c r="O905" s="48" t="n">
        <x:v>0.9125180565601481</x:v>
      </x:c>
      <x:c r="P905" s="48" t="n">
        <x:v>0.6425813874652065</x:v>
      </x:c>
      <x:c r="Q905" s="48" t="n">
        <x:v>1</x:v>
      </x:c>
      <x:c r="R905" s="48" t="n">
        <x:v>0.8919735307077812</x:v>
      </x:c>
      <x:c r="S905" s="29" t="n">
        <x:v>0</x:v>
      </x:c>
    </x:row>
    <x:row r="906" ht="21.600000381469727" hidden="0" customHeight="1">
      <x:c r="A906" s="27" t="n">
        <x:v>301</x:v>
      </x:c>
      <x:c r="B906" s="27" t="str">
        <x:v>A2</x:v>
      </x:c>
      <x:c r="C906" s="47" t="n">
        <x:v>1.083828885212959</x:v>
      </x:c>
      <x:c r="D906" s="47" t="n">
        <x:v>0.9972198692617931</x:v>
      </x:c>
      <x:c r="E906" s="47" t="n">
        <x:v>0.4856313365564519</x:v>
      </x:c>
      <x:c r="F906" s="47" t="n">
        <x:v>0.01861275254303371</x:v>
      </x:c>
      <x:c r="G906" s="47" t="n">
        <x:v>-0.07726280557058425</x:v>
      </x:c>
      <x:c r="H906" s="47" t="n">
        <x:v>0.9460882166076705</x:v>
      </x:c>
      <x:c r="I906" s="47" t="n">
        <x:v>0.9818163705891081</x:v>
      </x:c>
      <x:c r="J906" s="47" t="n">
        <x:v>0.8615919294092107</x:v>
      </x:c>
      <x:c r="K906" s="47" t="n">
        <x:v>0.85595885833996</x:v>
      </x:c>
      <x:c r="L906" s="47" t="n">
        <x:v>0.5618024970491317</x:v>
      </x:c>
      <x:c r="M906" s="47" t="n">
        <x:v>0.14172128640889212</x:v>
      </x:c>
      <x:c r="N906" s="47" t="n">
        <x:v>0.9794956640611299</x:v>
      </x:c>
      <x:c r="O906" s="47" t="n">
        <x:v>0.9723037314360486</x:v>
      </x:c>
      <x:c r="P906" s="47" t="n">
        <x:v>0.7501920887269349</x:v>
      </x:c>
      <x:c r="Q906" s="47" t="n">
        <x:v>1</x:v>
      </x:c>
      <x:c r="R906" s="47" t="n">
        <x:v>0.9657994554317392</x:v>
      </x:c>
      <x:c r="S906" s="27" t="n">
        <x:v>0</x:v>
      </x:c>
    </x:row>
    <x:row r="907" ht="21.600000381469727" hidden="0" customHeight="1">
      <x:c r="A907" s="29" t="n">
        <x:v>301</x:v>
      </x:c>
      <x:c r="B907" s="29" t="str">
        <x:v>A3</x:v>
      </x:c>
      <x:c r="C907" s="48" t="n">
        <x:v>1.083828885212959</x:v>
      </x:c>
      <x:c r="D907" s="48" t="n">
        <x:v>0.9972198692617931</x:v>
      </x:c>
      <x:c r="E907" s="48" t="n">
        <x:v>0.4856313365564519</x:v>
      </x:c>
      <x:c r="F907" s="48" t="n">
        <x:v>0.01861275254303371</x:v>
      </x:c>
      <x:c r="G907" s="48" t="n">
        <x:v>-0.07726280557058425</x:v>
      </x:c>
      <x:c r="H907" s="48" t="n">
        <x:v>0.9460882166076705</x:v>
      </x:c>
      <x:c r="I907" s="48" t="n">
        <x:v>0.9818163705891081</x:v>
      </x:c>
      <x:c r="J907" s="48" t="n">
        <x:v>0.8615919294092107</x:v>
      </x:c>
      <x:c r="K907" s="48" t="n">
        <x:v>0.85595885833996</x:v>
      </x:c>
      <x:c r="L907" s="48" t="n">
        <x:v>0.5618024970491317</x:v>
      </x:c>
      <x:c r="M907" s="48" t="n">
        <x:v>0.14172128640889212</x:v>
      </x:c>
      <x:c r="N907" s="48" t="n">
        <x:v>0.9794956640611299</x:v>
      </x:c>
      <x:c r="O907" s="48" t="n">
        <x:v>1</x:v>
      </x:c>
      <x:c r="P907" s="48" t="n">
        <x:v>1</x:v>
      </x:c>
      <x:c r="Q907" s="48" t="n">
        <x:v>1</x:v>
      </x:c>
      <x:c r="R907" s="48" t="n">
        <x:v>1</x:v>
      </x:c>
      <x:c r="S907" s="29" t="n">
        <x:v>1</x:v>
      </x:c>
    </x:row>
    <x:row r="908" ht="21.600000381469727" hidden="0" customHeight="1">
      <x:c r="A908" s="27" t="n">
        <x:v>302</x:v>
      </x:c>
      <x:c r="B908" s="27" t="str">
        <x:v>A1</x:v>
      </x:c>
      <x:c r="C908" s="47" t="n">
        <x:v>1.0898917154486896</x:v>
      </x:c>
      <x:c r="D908" s="47" t="n">
        <x:v>0.9403175207494361</x:v>
      </x:c>
      <x:c r="E908" s="47" t="n">
        <x:v>0.8265153127968752</x:v>
      </x:c>
      <x:c r="F908" s="47" t="n">
        <x:v>-0.015618963612854392</x:v>
      </x:c>
      <x:c r="G908" s="47" t="n">
        <x:v>-0.10553601435809154</x:v>
      </x:c>
      <x:c r="H908" s="47" t="n">
        <x:v>0.9474693824648077</x:v>
      </x:c>
      <x:c r="I908" s="47" t="n">
        <x:v>0.6581121986635006</x:v>
      </x:c>
      <x:c r="J908" s="47" t="n">
        <x:v>0.5494374020050753</x:v>
      </x:c>
      <x:c r="K908" s="47" t="n">
        <x:v>0.7506188423935409</x:v>
      </x:c>
      <x:c r="L908" s="47" t="n">
        <x:v>0.6619631449451202</x:v>
      </x:c>
      <x:c r="M908" s="47" t="n">
        <x:v>0.02328799585591099</x:v>
      </x:c>
      <x:c r="N908" s="47" t="n">
        <x:v>0.9202275175931216</x:v>
      </x:c>
      <x:c r="O908" s="47" t="n">
        <x:v>0.8915218119489794</x:v>
      </x:c>
      <x:c r="P908" s="47" t="n">
        <x:v>0.6738965529359023</x:v>
      </x:c>
      <x:c r="Q908" s="47" t="n">
        <x:v>1</x:v>
      </x:c>
      <x:c r="R908" s="47" t="n">
        <x:v>0.8660464641091772</x:v>
      </x:c>
      <x:c r="S908" s="27" t="n">
        <x:v>0</x:v>
      </x:c>
    </x:row>
    <x:row r="909" ht="21.600000381469727" hidden="0" customHeight="1">
      <x:c r="A909" s="29" t="n">
        <x:v>302</x:v>
      </x:c>
      <x:c r="B909" s="29" t="str">
        <x:v>A2</x:v>
      </x:c>
      <x:c r="C909" s="48" t="n">
        <x:v>1.0898917154486896</x:v>
      </x:c>
      <x:c r="D909" s="48" t="n">
        <x:v>0.9403175207494361</x:v>
      </x:c>
      <x:c r="E909" s="48" t="n">
        <x:v>0.8265153127968752</x:v>
      </x:c>
      <x:c r="F909" s="48" t="n">
        <x:v>-0.015618963612854392</x:v>
      </x:c>
      <x:c r="G909" s="48" t="n">
        <x:v>-0.10553601435809154</x:v>
      </x:c>
      <x:c r="H909" s="48" t="n">
        <x:v>0.9474693824648077</x:v>
      </x:c>
      <x:c r="I909" s="48" t="n">
        <x:v>0.6581121986635006</x:v>
      </x:c>
      <x:c r="J909" s="48" t="n">
        <x:v>0.5494374020050753</x:v>
      </x:c>
      <x:c r="K909" s="48" t="n">
        <x:v>0.7506188423935409</x:v>
      </x:c>
      <x:c r="L909" s="48" t="n">
        <x:v>0.6619631449451202</x:v>
      </x:c>
      <x:c r="M909" s="48" t="n">
        <x:v>0.02328799585591099</x:v>
      </x:c>
      <x:c r="N909" s="48" t="n">
        <x:v>0.9202275175931216</x:v>
      </x:c>
      <x:c r="O909" s="48" t="n">
        <x:v>0.9612589232402204</x:v>
      </x:c>
      <x:c r="P909" s="48" t="n">
        <x:v>0.715052546585085</x:v>
      </x:c>
      <x:c r="Q909" s="48" t="n">
        <x:v>1</x:v>
      </x:c>
      <x:c r="R909" s="48" t="n">
        <x:v>0.9521608508638669</x:v>
      </x:c>
      <x:c r="S909" s="29" t="n">
        <x:v>0</x:v>
      </x:c>
    </x:row>
    <x:row r="910" ht="21.600000381469727" hidden="0" customHeight="1">
      <x:c r="A910" s="27" t="n">
        <x:v>302</x:v>
      </x:c>
      <x:c r="B910" s="27" t="str">
        <x:v>A3</x:v>
      </x:c>
      <x:c r="C910" s="47" t="n">
        <x:v>1.0898917154486896</x:v>
      </x:c>
      <x:c r="D910" s="47" t="n">
        <x:v>0.9403175207494361</x:v>
      </x:c>
      <x:c r="E910" s="47" t="n">
        <x:v>0.8265153127968752</x:v>
      </x:c>
      <x:c r="F910" s="47" t="n">
        <x:v>-0.015618963612854392</x:v>
      </x:c>
      <x:c r="G910" s="47" t="n">
        <x:v>-0.10553601435809154</x:v>
      </x:c>
      <x:c r="H910" s="47" t="n">
        <x:v>0.9474693824648077</x:v>
      </x:c>
      <x:c r="I910" s="47" t="n">
        <x:v>0.6581121986635006</x:v>
      </x:c>
      <x:c r="J910" s="47" t="n">
        <x:v>0.5494374020050753</x:v>
      </x:c>
      <x:c r="K910" s="47" t="n">
        <x:v>0.7506188423935409</x:v>
      </x:c>
      <x:c r="L910" s="47" t="n">
        <x:v>0.6619631449451202</x:v>
      </x:c>
      <x:c r="M910" s="47" t="n">
        <x:v>0.02328799585591099</x:v>
      </x:c>
      <x:c r="N910" s="47" t="n">
        <x:v>0.9202275175931216</x:v>
      </x:c>
      <x:c r="O910" s="47" t="n">
        <x:v>1</x:v>
      </x:c>
      <x:c r="P910" s="47" t="n">
        <x:v>1</x:v>
      </x:c>
      <x:c r="Q910" s="47" t="n">
        <x:v>1</x:v>
      </x:c>
      <x:c r="R910" s="47" t="n">
        <x:v>1</x:v>
      </x:c>
      <x:c r="S910" s="27" t="n">
        <x:v>1</x:v>
      </x:c>
    </x:row>
    <x:row r="911" ht="21.600000381469727" hidden="0" customHeight="1">
      <x:c r="A911" s="29" t="n">
        <x:v>303</x:v>
      </x:c>
      <x:c r="B911" s="29" t="str">
        <x:v>A1</x:v>
      </x:c>
      <x:c r="C911" s="48" t="n">
        <x:v>0.9571975775483569</x:v>
      </x:c>
      <x:c r="D911" s="48" t="n">
        <x:v>0.8959538726885652</x:v>
      </x:c>
      <x:c r="E911" s="48" t="n">
        <x:v>0.5971549639638328</x:v>
      </x:c>
      <x:c r="F911" s="48" t="n">
        <x:v>-0.14143353980341097</x:v>
      </x:c>
      <x:c r="G911" s="48" t="n">
        <x:v>-0.11202199861545543</x:v>
      </x:c>
      <x:c r="H911" s="48" t="n">
        <x:v>0.6170664417561467</x:v>
      </x:c>
      <x:c r="I911" s="48" t="n">
        <x:v>0.7450701085021596</x:v>
      </x:c>
      <x:c r="J911" s="48" t="n">
        <x:v>0.4418388139290156</x:v>
      </x:c>
      <x:c r="K911" s="48" t="n">
        <x:v>0.6843259680867377</x:v>
      </x:c>
      <x:c r="L911" s="48" t="n">
        <x:v>0.5961265256717274</x:v>
      </x:c>
      <x:c r="M911" s="48" t="n">
        <x:v>0.08663874717962976</x:v>
      </x:c>
      <x:c r="N911" s="48" t="n">
        <x:v>0.8531011609375014</x:v>
      </x:c>
      <x:c r="O911" s="48" t="n">
        <x:v>0.8681686034749394</x:v>
      </x:c>
      <x:c r="P911" s="48" t="n">
        <x:v>0.6145815581453791</x:v>
      </x:c>
      <x:c r="Q911" s="48" t="n">
        <x:v>1</x:v>
      </x:c>
      <x:c r="R911" s="48" t="n">
        <x:v>0.8372089170806274</x:v>
      </x:c>
      <x:c r="S911" s="29" t="n">
        <x:v>0</x:v>
      </x:c>
    </x:row>
    <x:row r="912" ht="21.600000381469727" hidden="0" customHeight="1">
      <x:c r="A912" s="27" t="n">
        <x:v>303</x:v>
      </x:c>
      <x:c r="B912" s="27" t="str">
        <x:v>A2</x:v>
      </x:c>
      <x:c r="C912" s="47" t="n">
        <x:v>0.9571975775483569</x:v>
      </x:c>
      <x:c r="D912" s="47" t="n">
        <x:v>0.8959538726885652</x:v>
      </x:c>
      <x:c r="E912" s="47" t="n">
        <x:v>0.5971549639638328</x:v>
      </x:c>
      <x:c r="F912" s="47" t="n">
        <x:v>-0.14143353980341097</x:v>
      </x:c>
      <x:c r="G912" s="47" t="n">
        <x:v>-0.11202199861545543</x:v>
      </x:c>
      <x:c r="H912" s="47" t="n">
        <x:v>0.6170664417561467</x:v>
      </x:c>
      <x:c r="I912" s="47" t="n">
        <x:v>0.7450701085021596</x:v>
      </x:c>
      <x:c r="J912" s="47" t="n">
        <x:v>0.4418388139290156</x:v>
      </x:c>
      <x:c r="K912" s="47" t="n">
        <x:v>0.6843259680867377</x:v>
      </x:c>
      <x:c r="L912" s="47" t="n">
        <x:v>0.5961265256717274</x:v>
      </x:c>
      <x:c r="M912" s="47" t="n">
        <x:v>0.08663874717962976</x:v>
      </x:c>
      <x:c r="N912" s="47" t="n">
        <x:v>0.8531011609375014</x:v>
      </x:c>
      <x:c r="O912" s="47" t="n">
        <x:v>0.9549360265753203</x:v>
      </x:c>
      <x:c r="P912" s="47" t="n">
        <x:v>0.7920371131016838</x:v>
      </x:c>
      <x:c r="Q912" s="47" t="n">
        <x:v>1</x:v>
      </x:c>
      <x:c r="R912" s="47" t="n">
        <x:v>0.9443530659021813</x:v>
      </x:c>
      <x:c r="S912" s="27" t="n">
        <x:v>0</x:v>
      </x:c>
    </x:row>
    <x:row r="913" ht="21.600000381469727" hidden="0" customHeight="1">
      <x:c r="A913" s="29" t="n">
        <x:v>303</x:v>
      </x:c>
      <x:c r="B913" s="29" t="str">
        <x:v>A3</x:v>
      </x:c>
      <x:c r="C913" s="48" t="n">
        <x:v>0.9571975775483569</x:v>
      </x:c>
      <x:c r="D913" s="48" t="n">
        <x:v>0.8959538726885652</x:v>
      </x:c>
      <x:c r="E913" s="48" t="n">
        <x:v>0.5971549639638328</x:v>
      </x:c>
      <x:c r="F913" s="48" t="n">
        <x:v>-0.14143353980341097</x:v>
      </x:c>
      <x:c r="G913" s="48" t="n">
        <x:v>-0.11202199861545543</x:v>
      </x:c>
      <x:c r="H913" s="48" t="n">
        <x:v>0.6170664417561467</x:v>
      </x:c>
      <x:c r="I913" s="48" t="n">
        <x:v>0.7450701085021596</x:v>
      </x:c>
      <x:c r="J913" s="48" t="n">
        <x:v>0.4418388139290156</x:v>
      </x:c>
      <x:c r="K913" s="48" t="n">
        <x:v>0.6843259680867377</x:v>
      </x:c>
      <x:c r="L913" s="48" t="n">
        <x:v>0.5961265256717274</x:v>
      </x:c>
      <x:c r="M913" s="48" t="n">
        <x:v>0.08663874717962976</x:v>
      </x:c>
      <x:c r="N913" s="48" t="n">
        <x:v>0.8531011609375014</x:v>
      </x:c>
      <x:c r="O913" s="48" t="n">
        <x:v>1</x:v>
      </x:c>
      <x:c r="P913" s="48" t="n">
        <x:v>1</x:v>
      </x:c>
      <x:c r="Q913" s="48" t="n">
        <x:v>1</x:v>
      </x:c>
      <x:c r="R913" s="48" t="n">
        <x:v>1.0000000000000002</x:v>
      </x:c>
      <x:c r="S913" s="29" t="n">
        <x:v>1</x:v>
      </x:c>
    </x:row>
    <x:row r="914" ht="21.600000381469727" hidden="0" customHeight="1">
      <x:c r="A914" s="27" t="n">
        <x:v>304</x:v>
      </x:c>
      <x:c r="B914" s="27" t="str">
        <x:v>A1</x:v>
      </x:c>
      <x:c r="C914" s="47" t="n">
        <x:v>1.0867481679488171</x:v>
      </x:c>
      <x:c r="D914" s="47" t="n">
        <x:v>0.9644007824750831</x:v>
      </x:c>
      <x:c r="E914" s="47" t="n">
        <x:v>0.8021926849024034</x:v>
      </x:c>
      <x:c r="F914" s="47" t="n">
        <x:v>-0.09743541452827957</x:v>
      </x:c>
      <x:c r="G914" s="47" t="n">
        <x:v>-0.16422972100317906</x:v>
      </x:c>
      <x:c r="H914" s="47" t="n">
        <x:v>0.7884189013478706</x:v>
      </x:c>
      <x:c r="I914" s="47" t="n">
        <x:v>0.895764687718984</x:v>
      </x:c>
      <x:c r="J914" s="47" t="n">
        <x:v>0.9213397218336725</x:v>
      </x:c>
      <x:c r="K914" s="47" t="n">
        <x:v>0.9987796406309246</x:v>
      </x:c>
      <x:c r="L914" s="47" t="n">
        <x:v>0.9029673239617824</x:v>
      </x:c>
      <x:c r="M914" s="47" t="n">
        <x:v>0.07965782245900162</x:v>
      </x:c>
      <x:c r="N914" s="47" t="n">
        <x:v>0.6876219594217379</x:v>
      </x:c>
      <x:c r="O914" s="47" t="n">
        <x:v>0.9515824444583555</x:v>
      </x:c>
      <x:c r="P914" s="47" t="n">
        <x:v>0.7507627533768028</x:v>
      </x:c>
      <x:c r="Q914" s="47" t="n">
        <x:v>1</x:v>
      </x:c>
      <x:c r="R914" s="47" t="n">
        <x:v>0.9402119183541012</x:v>
      </x:c>
      <x:c r="S914" s="27" t="n">
        <x:v>0</x:v>
      </x:c>
    </x:row>
    <x:row r="915" ht="21.600000381469727" hidden="0" customHeight="1">
      <x:c r="A915" s="29" t="n">
        <x:v>304</x:v>
      </x:c>
      <x:c r="B915" s="29" t="str">
        <x:v>A2</x:v>
      </x:c>
      <x:c r="C915" s="48" t="n">
        <x:v>1.0867481679488171</x:v>
      </x:c>
      <x:c r="D915" s="48" t="n">
        <x:v>0.9644007824750831</x:v>
      </x:c>
      <x:c r="E915" s="48" t="n">
        <x:v>0.8021926849024034</x:v>
      </x:c>
      <x:c r="F915" s="48" t="n">
        <x:v>-0.09743541452827957</x:v>
      </x:c>
      <x:c r="G915" s="48" t="n">
        <x:v>-0.16422972100317906</x:v>
      </x:c>
      <x:c r="H915" s="48" t="n">
        <x:v>0.7884189013478706</x:v>
      </x:c>
      <x:c r="I915" s="48" t="n">
        <x:v>0.895764687718984</x:v>
      </x:c>
      <x:c r="J915" s="48" t="n">
        <x:v>0.9213397218336725</x:v>
      </x:c>
      <x:c r="K915" s="48" t="n">
        <x:v>0.9987796406309246</x:v>
      </x:c>
      <x:c r="L915" s="48" t="n">
        <x:v>0.9029673239617824</x:v>
      </x:c>
      <x:c r="M915" s="48" t="n">
        <x:v>0.07965782245900162</x:v>
      </x:c>
      <x:c r="N915" s="48" t="n">
        <x:v>0.6876219594217379</x:v>
      </x:c>
      <x:c r="O915" s="48" t="n">
        <x:v>1</x:v>
      </x:c>
      <x:c r="P915" s="48" t="n">
        <x:v>1</x:v>
      </x:c>
      <x:c r="Q915" s="48" t="n">
        <x:v>1</x:v>
      </x:c>
      <x:c r="R915" s="48" t="n">
        <x:v>1</x:v>
      </x:c>
      <x:c r="S915" s="29" t="n">
        <x:v>1</x:v>
      </x:c>
    </x:row>
    <x:row r="916" ht="21.600000381469727" hidden="0" customHeight="1">
      <x:c r="A916" s="27" t="n">
        <x:v>304</x:v>
      </x:c>
      <x:c r="B916" s="27" t="str">
        <x:v>A3</x:v>
      </x:c>
      <x:c r="C916" s="47" t="n">
        <x:v>1.0867481679488171</x:v>
      </x:c>
      <x:c r="D916" s="47" t="n">
        <x:v>0.9644007824750831</x:v>
      </x:c>
      <x:c r="E916" s="47" t="n">
        <x:v>0.8021926849024034</x:v>
      </x:c>
      <x:c r="F916" s="47" t="n">
        <x:v>-0.09743541452827957</x:v>
      </x:c>
      <x:c r="G916" s="47" t="n">
        <x:v>-0.16422972100317906</x:v>
      </x:c>
      <x:c r="H916" s="47" t="n">
        <x:v>0.7884189013478706</x:v>
      </x:c>
      <x:c r="I916" s="47" t="n">
        <x:v>0.895764687718984</x:v>
      </x:c>
      <x:c r="J916" s="47" t="n">
        <x:v>0.9213397218336725</x:v>
      </x:c>
      <x:c r="K916" s="47" t="n">
        <x:v>0.9987796406309246</x:v>
      </x:c>
      <x:c r="L916" s="47" t="n">
        <x:v>0.9029673239617824</x:v>
      </x:c>
      <x:c r="M916" s="47" t="n">
        <x:v>0.07965782245900162</x:v>
      </x:c>
      <x:c r="N916" s="47" t="n">
        <x:v>0.6876219594217379</x:v>
      </x:c>
      <x:c r="O916" s="47" t="n">
        <x:v>1</x:v>
      </x:c>
      <x:c r="P916" s="47" t="n">
        <x:v>1</x:v>
      </x:c>
      <x:c r="Q916" s="47" t="n">
        <x:v>1</x:v>
      </x:c>
      <x:c r="R916" s="47" t="n">
        <x:v>1</x:v>
      </x:c>
      <x:c r="S916" s="27" t="n">
        <x:v>1</x:v>
      </x:c>
    </x:row>
    <x:row r="917" ht="21.600000381469727" hidden="0" customHeight="1">
      <x:c r="A917" s="29" t="n">
        <x:v>305</x:v>
      </x:c>
      <x:c r="B917" s="29" t="str">
        <x:v>A1</x:v>
      </x:c>
      <x:c r="C917" s="48" t="n">
        <x:v>0.993579791954455</x:v>
      </x:c>
      <x:c r="D917" s="48" t="n">
        <x:v>0.8405507578195468</x:v>
      </x:c>
      <x:c r="E917" s="48" t="n">
        <x:v>0.8456591801036002</x:v>
      </x:c>
      <x:c r="F917" s="48" t="n">
        <x:v>-0.0034772740056889795</x:v>
      </x:c>
      <x:c r="G917" s="48" t="n">
        <x:v>-0.06343261597161659</x:v>
      </x:c>
      <x:c r="H917" s="48" t="n">
        <x:v>0.9594196038758014</x:v>
      </x:c>
      <x:c r="I917" s="48" t="n">
        <x:v>0.9138536573874294</x:v>
      </x:c>
      <x:c r="J917" s="48" t="n">
        <x:v>0.6233655110194123</x:v>
      </x:c>
      <x:c r="K917" s="48" t="n">
        <x:v>0.7817152477904452</x:v>
      </x:c>
      <x:c r="L917" s="48" t="n">
        <x:v>0.8476520076882881</x:v>
      </x:c>
      <x:c r="M917" s="48" t="n">
        <x:v>0.06581032511494456</x:v>
      </x:c>
      <x:c r="N917" s="48" t="n">
        <x:v>0.7905557348825956</x:v>
      </x:c>
      <x:c r="O917" s="48" t="n">
        <x:v>0.8831803175598508</x:v>
      </x:c>
      <x:c r="P917" s="48" t="n">
        <x:v>0.6511069211161584</x:v>
      </x:c>
      <x:c r="Q917" s="48" t="n">
        <x:v>1</x:v>
      </x:c>
      <x:c r="R917" s="48" t="n">
        <x:v>0.855746027790019</x:v>
      </x:c>
      <x:c r="S917" s="29" t="n">
        <x:v>0</x:v>
      </x:c>
    </x:row>
    <x:row r="918" ht="21.600000381469727" hidden="0" customHeight="1">
      <x:c r="A918" s="27" t="n">
        <x:v>305</x:v>
      </x:c>
      <x:c r="B918" s="27" t="str">
        <x:v>A2</x:v>
      </x:c>
      <x:c r="C918" s="47" t="n">
        <x:v>0.993579791954455</x:v>
      </x:c>
      <x:c r="D918" s="47" t="n">
        <x:v>0.8405507578195468</x:v>
      </x:c>
      <x:c r="E918" s="47" t="n">
        <x:v>0.8456591801036002</x:v>
      </x:c>
      <x:c r="F918" s="47" t="n">
        <x:v>-0.0034772740056889795</x:v>
      </x:c>
      <x:c r="G918" s="47" t="n">
        <x:v>-0.06343261597161659</x:v>
      </x:c>
      <x:c r="H918" s="47" t="n">
        <x:v>0.9594196038758014</x:v>
      </x:c>
      <x:c r="I918" s="47" t="n">
        <x:v>0.9138536573874294</x:v>
      </x:c>
      <x:c r="J918" s="47" t="n">
        <x:v>0.6233655110194123</x:v>
      </x:c>
      <x:c r="K918" s="47" t="n">
        <x:v>0.7817152477904452</x:v>
      </x:c>
      <x:c r="L918" s="47" t="n">
        <x:v>0.8476520076882881</x:v>
      </x:c>
      <x:c r="M918" s="47" t="n">
        <x:v>0.06581032511494456</x:v>
      </x:c>
      <x:c r="N918" s="47" t="n">
        <x:v>0.7905557348825956</x:v>
      </x:c>
      <x:c r="O918" s="47" t="n">
        <x:v>0.9966505120932908</x:v>
      </x:c>
      <x:c r="P918" s="47" t="n">
        <x:v>0.9665051209329077</x:v>
      </x:c>
      <x:c r="Q918" s="47" t="n">
        <x:v>1</x:v>
      </x:c>
      <x:c r="R918" s="47" t="n">
        <x:v>0.9958639081589727</x:v>
      </x:c>
      <x:c r="S918" s="27" t="n">
        <x:v>1</x:v>
      </x:c>
    </x:row>
    <x:row r="919" ht="21.600000381469727" hidden="0" customHeight="1">
      <x:c r="A919" s="29" t="n">
        <x:v>305</x:v>
      </x:c>
      <x:c r="B919" s="29" t="str">
        <x:v>A3</x:v>
      </x:c>
      <x:c r="C919" s="48" t="n">
        <x:v>0.993579791954455</x:v>
      </x:c>
      <x:c r="D919" s="48" t="n">
        <x:v>0.8405507578195468</x:v>
      </x:c>
      <x:c r="E919" s="48" t="n">
        <x:v>0.8456591801036002</x:v>
      </x:c>
      <x:c r="F919" s="48" t="n">
        <x:v>-0.0034772740056889795</x:v>
      </x:c>
      <x:c r="G919" s="48" t="n">
        <x:v>-0.06343261597161659</x:v>
      </x:c>
      <x:c r="H919" s="48" t="n">
        <x:v>0.9594196038758014</x:v>
      </x:c>
      <x:c r="I919" s="48" t="n">
        <x:v>0.9138536573874294</x:v>
      </x:c>
      <x:c r="J919" s="48" t="n">
        <x:v>0.6233655110194123</x:v>
      </x:c>
      <x:c r="K919" s="48" t="n">
        <x:v>0.7817152477904452</x:v>
      </x:c>
      <x:c r="L919" s="48" t="n">
        <x:v>0.8476520076882881</x:v>
      </x:c>
      <x:c r="M919" s="48" t="n">
        <x:v>0.06581032511494456</x:v>
      </x:c>
      <x:c r="N919" s="48" t="n">
        <x:v>0.7905557348825956</x:v>
      </x:c>
      <x:c r="O919" s="48" t="n">
        <x:v>1</x:v>
      </x:c>
      <x:c r="P919" s="48" t="n">
        <x:v>1</x:v>
      </x:c>
      <x:c r="Q919" s="48" t="n">
        <x:v>1</x:v>
      </x:c>
      <x:c r="R919" s="48" t="n">
        <x:v>1</x:v>
      </x:c>
      <x:c r="S919" s="29" t="n">
        <x:v>1</x:v>
      </x:c>
    </x:row>
    <x:row r="920" ht="15" hidden="0" customHeight="1">
      <x:c r="A920" s="27" t="n">
        <x:v>306</x:v>
      </x:c>
      <x:c r="B920" s="27" t="str">
        <x:v>A1</x:v>
      </x:c>
      <x:c r="C920" s="47" t="n">
        <x:v>0.9968662968171538</x:v>
      </x:c>
      <x:c r="D920" s="47" t="n">
        <x:v>0.9030042848949824</x:v>
      </x:c>
      <x:c r="E920" s="47" t="n">
        <x:v>0.9282297715268786</x:v>
      </x:c>
      <x:c r="F920" s="47" t="n">
        <x:v>0.02020860019104595</x:v>
      </x:c>
      <x:c r="G920" s="47" t="n">
        <x:v>-0.04310595006210452</x:v>
      </x:c>
      <x:c r="H920" s="47" t="n">
        <x:v>0.7793608724326984</x:v>
      </x:c>
      <x:c r="I920" s="47" t="n">
        <x:v>0.9050114921494705</x:v>
      </x:c>
      <x:c r="J920" s="47" t="n">
        <x:v>0.8366115682371884</x:v>
      </x:c>
      <x:c r="K920" s="47" t="n">
        <x:v>0.9655396431289678</x:v>
      </x:c>
      <x:c r="L920" s="47" t="n">
        <x:v>0.7069528437257586</x:v>
      </x:c>
      <x:c r="M920" s="47" t="n">
        <x:v>0.09396499261435352</x:v>
      </x:c>
      <x:c r="N920" s="47" t="n">
        <x:v>0.9654907529181274</x:v>
      </x:c>
      <x:c r="O920" s="47" t="n">
        <x:v>0.922022419881785</x:v>
      </x:c>
      <x:c r="P920" s="47" t="n">
        <x:v>0.6187974526971449</x:v>
      </x:c>
      <x:c r="Q920" s="47" t="n">
        <x:v>1</x:v>
      </x:c>
      <x:c r="R920" s="47" t="n">
        <x:v>0.9037099276387983</x:v>
      </x:c>
      <x:c r="S920" s="27" t="n">
        <x:v>0</x:v>
      </x:c>
    </x:row>
    <x:row r="921" ht="15" hidden="0" customHeight="1">
      <x:c r="A921" s="29" t="n">
        <x:v>306</x:v>
      </x:c>
      <x:c r="B921" s="29" t="str">
        <x:v>A2</x:v>
      </x:c>
      <x:c r="C921" s="48" t="n">
        <x:v>0.9968662968171538</x:v>
      </x:c>
      <x:c r="D921" s="48" t="n">
        <x:v>0.9030042848949824</x:v>
      </x:c>
      <x:c r="E921" s="48" t="n">
        <x:v>0.9282297715268786</x:v>
      </x:c>
      <x:c r="F921" s="48" t="n">
        <x:v>0.02020860019104595</x:v>
      </x:c>
      <x:c r="G921" s="48" t="n">
        <x:v>-0.04310595006210452</x:v>
      </x:c>
      <x:c r="H921" s="48" t="n">
        <x:v>0.7793608724326984</x:v>
      </x:c>
      <x:c r="I921" s="48" t="n">
        <x:v>0.9050114921494705</x:v>
      </x:c>
      <x:c r="J921" s="48" t="n">
        <x:v>0.8366115682371884</x:v>
      </x:c>
      <x:c r="K921" s="48" t="n">
        <x:v>0.9655396431289678</x:v>
      </x:c>
      <x:c r="L921" s="48" t="n">
        <x:v>0.7069528437257586</x:v>
      </x:c>
      <x:c r="M921" s="48" t="n">
        <x:v>0.09396499261435352</x:v>
      </x:c>
      <x:c r="N921" s="48" t="n">
        <x:v>0.9654907529181274</x:v>
      </x:c>
      <x:c r="O921" s="48" t="n">
        <x:v>0.9906886696441567</x:v>
      </x:c>
      <x:c r="P921" s="48" t="n">
        <x:v>0.9204449697941451</x:v>
      </x:c>
      <x:c r="Q921" s="48" t="n">
        <x:v>1</x:v>
      </x:c>
      <x:c r="R921" s="48" t="n">
        <x:v>0.9885019684839672</x:v>
      </x:c>
      <x:c r="S921" s="29" t="n">
        <x:v>0</x:v>
      </x:c>
    </x:row>
    <x:row r="922" ht="15" hidden="0" customHeight="1">
      <x:c r="A922" s="27" t="n">
        <x:v>306</x:v>
      </x:c>
      <x:c r="B922" s="27" t="str">
        <x:v>A3</x:v>
      </x:c>
      <x:c r="C922" s="47" t="n">
        <x:v>0.9968662968171538</x:v>
      </x:c>
      <x:c r="D922" s="47" t="n">
        <x:v>0.9030042848949824</x:v>
      </x:c>
      <x:c r="E922" s="47" t="n">
        <x:v>0.9282297715268786</x:v>
      </x:c>
      <x:c r="F922" s="47" t="n">
        <x:v>0.02020860019104595</x:v>
      </x:c>
      <x:c r="G922" s="47" t="n">
        <x:v>-0.04310595006210452</x:v>
      </x:c>
      <x:c r="H922" s="47" t="n">
        <x:v>0.7793608724326984</x:v>
      </x:c>
      <x:c r="I922" s="47" t="n">
        <x:v>0.9050114921494705</x:v>
      </x:c>
      <x:c r="J922" s="47" t="n">
        <x:v>0.8366115682371884</x:v>
      </x:c>
      <x:c r="K922" s="47" t="n">
        <x:v>0.9655396431289678</x:v>
      </x:c>
      <x:c r="L922" s="47" t="n">
        <x:v>0.7069528437257586</x:v>
      </x:c>
      <x:c r="M922" s="47" t="n">
        <x:v>0.09396499261435352</x:v>
      </x:c>
      <x:c r="N922" s="47" t="n">
        <x:v>0.9654907529181274</x:v>
      </x:c>
      <x:c r="O922" s="47" t="n">
        <x:v>1.0000000000000002</x:v>
      </x:c>
      <x:c r="P922" s="47" t="n">
        <x:v>1</x:v>
      </x:c>
      <x:c r="Q922" s="47" t="n">
        <x:v>1</x:v>
      </x:c>
      <x:c r="R922" s="47" t="n">
        <x:v>1</x:v>
      </x:c>
      <x:c r="S922" s="27" t="n">
        <x:v>1</x:v>
      </x:c>
    </x:row>
    <x:row r="923" ht="21.600000381469727" hidden="0" customHeight="1">
      <x:c r="A923" s="29" t="n">
        <x:v>307</x:v>
      </x:c>
      <x:c r="B923" s="29" t="str">
        <x:v>A1</x:v>
      </x:c>
      <x:c r="C923" s="48" t="n">
        <x:v>1.0675454191043696</x:v>
      </x:c>
      <x:c r="D923" s="48" t="n">
        <x:v>0.7285899350972047</x:v>
      </x:c>
      <x:c r="E923" s="48" t="n">
        <x:v>0.903558458234021</x:v>
      </x:c>
      <x:c r="F923" s="48" t="n">
        <x:v>-0.14921953561928866</x:v>
      </x:c>
      <x:c r="G923" s="48" t="n">
        <x:v>-0.15894017310033545</x:v>
      </x:c>
      <x:c r="H923" s="48" t="n">
        <x:v>0.6980794235913788</x:v>
      </x:c>
      <x:c r="I923" s="48" t="n">
        <x:v>0.7175865645381689</x:v>
      </x:c>
      <x:c r="J923" s="48" t="n">
        <x:v>0.8989131694762048</x:v>
      </x:c>
      <x:c r="K923" s="48" t="n">
        <x:v>0.9863522427924956</x:v>
      </x:c>
      <x:c r="L923" s="48" t="n">
        <x:v>0.5947544270655372</x:v>
      </x:c>
      <x:c r="M923" s="48" t="n">
        <x:v>0.008798175743517966</x:v>
      </x:c>
      <x:c r="N923" s="48" t="n">
        <x:v>0.7540624683319311</x:v>
      </x:c>
      <x:c r="O923" s="48" t="n">
        <x:v>0.8441490513170911</x:v>
      </x:c>
      <x:c r="P923" s="48" t="n">
        <x:v>0.49097603998834416</x:v>
      </x:c>
      <x:c r="Q923" s="48" t="n">
        <x:v>1</x:v>
      </x:c>
      <x:c r="R923" s="48" t="n">
        <x:v>0.807548540189519</x:v>
      </x:c>
      <x:c r="S923" s="29" t="n">
        <x:v>0</x:v>
      </x:c>
    </x:row>
    <x:row r="924" ht="21.600000381469727" hidden="0" customHeight="1">
      <x:c r="A924" s="27" t="n">
        <x:v>307</x:v>
      </x:c>
      <x:c r="B924" s="27" t="str">
        <x:v>A2</x:v>
      </x:c>
      <x:c r="C924" s="47" t="n">
        <x:v>1.0675454191043696</x:v>
      </x:c>
      <x:c r="D924" s="47" t="n">
        <x:v>0.7285899350972047</x:v>
      </x:c>
      <x:c r="E924" s="47" t="n">
        <x:v>0.903558458234021</x:v>
      </x:c>
      <x:c r="F924" s="47" t="n">
        <x:v>-0.14921953561928866</x:v>
      </x:c>
      <x:c r="G924" s="47" t="n">
        <x:v>-0.15894017310033545</x:v>
      </x:c>
      <x:c r="H924" s="47" t="n">
        <x:v>0.6980794235913788</x:v>
      </x:c>
      <x:c r="I924" s="47" t="n">
        <x:v>0.7175865645381689</x:v>
      </x:c>
      <x:c r="J924" s="47" t="n">
        <x:v>0.8989131694762048</x:v>
      </x:c>
      <x:c r="K924" s="47" t="n">
        <x:v>0.9863522427924956</x:v>
      </x:c>
      <x:c r="L924" s="47" t="n">
        <x:v>0.5947544270655372</x:v>
      </x:c>
      <x:c r="M924" s="47" t="n">
        <x:v>0.008798175743517966</x:v>
      </x:c>
      <x:c r="N924" s="47" t="n">
        <x:v>0.7540624683319311</x:v>
      </x:c>
      <x:c r="O924" s="47" t="n">
        <x:v>0.9333730802008736</x:v>
      </x:c>
      <x:c r="P924" s="47" t="n">
        <x:v>0.6140088249742062</x:v>
      </x:c>
      <x:c r="Q924" s="47" t="n">
        <x:v>1</x:v>
      </x:c>
      <x:c r="R924" s="47" t="n">
        <x:v>0.9177262115734311</x:v>
      </x:c>
      <x:c r="S924" s="27" t="n">
        <x:v>0</x:v>
      </x:c>
    </x:row>
    <x:row r="925" ht="21.600000381469727" hidden="0" customHeight="1">
      <x:c r="A925" s="29" t="n">
        <x:v>307</x:v>
      </x:c>
      <x:c r="B925" s="29" t="str">
        <x:v>A3</x:v>
      </x:c>
      <x:c r="C925" s="48" t="n">
        <x:v>1.0675454191043696</x:v>
      </x:c>
      <x:c r="D925" s="48" t="n">
        <x:v>0.7285899350972047</x:v>
      </x:c>
      <x:c r="E925" s="48" t="n">
        <x:v>0.903558458234021</x:v>
      </x:c>
      <x:c r="F925" s="48" t="n">
        <x:v>-0.14921953561928866</x:v>
      </x:c>
      <x:c r="G925" s="48" t="n">
        <x:v>-0.15894017310033545</x:v>
      </x:c>
      <x:c r="H925" s="48" t="n">
        <x:v>0.6980794235913788</x:v>
      </x:c>
      <x:c r="I925" s="48" t="n">
        <x:v>0.7175865645381689</x:v>
      </x:c>
      <x:c r="J925" s="48" t="n">
        <x:v>0.8989131694762048</x:v>
      </x:c>
      <x:c r="K925" s="48" t="n">
        <x:v>0.9863522427924956</x:v>
      </x:c>
      <x:c r="L925" s="48" t="n">
        <x:v>0.5947544270655372</x:v>
      </x:c>
      <x:c r="M925" s="48" t="n">
        <x:v>0.008798175743517966</x:v>
      </x:c>
      <x:c r="N925" s="48" t="n">
        <x:v>0.7540624683319311</x:v>
      </x:c>
      <x:c r="O925" s="48" t="n">
        <x:v>1</x:v>
      </x:c>
      <x:c r="P925" s="48" t="n">
        <x:v>1</x:v>
      </x:c>
      <x:c r="Q925" s="48" t="n">
        <x:v>1</x:v>
      </x:c>
      <x:c r="R925" s="48" t="n">
        <x:v>1</x:v>
      </x:c>
      <x:c r="S925" s="29" t="n">
        <x:v>1</x:v>
      </x:c>
    </x:row>
    <x:row r="926" ht="21.600000381469727" hidden="0" customHeight="1">
      <x:c r="A926" s="27" t="n">
        <x:v>308</x:v>
      </x:c>
      <x:c r="B926" s="27" t="str">
        <x:v>A1</x:v>
      </x:c>
      <x:c r="C926" s="47" t="n">
        <x:v>1.2848762882979101</x:v>
      </x:c>
      <x:c r="D926" s="47" t="n">
        <x:v>0.7934291683852213</x:v>
      </x:c>
      <x:c r="E926" s="47" t="n">
        <x:v>0.937598614146496</x:v>
      </x:c>
      <x:c r="F926" s="47" t="n">
        <x:v>-0.18028293384220104</x:v>
      </x:c>
      <x:c r="G926" s="47" t="n">
        <x:v>-0.18038318368232986</x:v>
      </x:c>
      <x:c r="H926" s="47" t="n">
        <x:v>0.5504550766168579</x:v>
      </x:c>
      <x:c r="I926" s="47" t="n">
        <x:v>0.8986302199426661</x:v>
      </x:c>
      <x:c r="J926" s="47" t="n">
        <x:v>0.5397343711511153</x:v>
      </x:c>
      <x:c r="K926" s="47" t="n">
        <x:v>0.7594851754096046</x:v>
      </x:c>
      <x:c r="L926" s="47" t="n">
        <x:v>0.8276916146605444</x:v>
      </x:c>
      <x:c r="M926" s="47" t="n">
        <x:v>0.13819795997983844</x:v>
      </x:c>
      <x:c r="N926" s="47" t="n">
        <x:v>0.9288281092343759</x:v>
      </x:c>
      <x:c r="O926" s="47" t="n">
        <x:v>0.7615993195291361</x:v>
      </x:c>
      <x:c r="P926" s="47" t="n">
        <x:v>0.45194748003001095</x:v>
      </x:c>
      <x:c r="Q926" s="47" t="n">
        <x:v>1</x:v>
      </x:c>
      <x:c r="R926" s="47" t="n">
        <x:v>0.7056125781449207</x:v>
      </x:c>
      <x:c r="S926" s="27" t="n">
        <x:v>0</x:v>
      </x:c>
    </x:row>
    <x:row r="927" ht="21.600000381469727" hidden="0" customHeight="1">
      <x:c r="A927" s="29" t="n">
        <x:v>308</x:v>
      </x:c>
      <x:c r="B927" s="29" t="str">
        <x:v>A2</x:v>
      </x:c>
      <x:c r="C927" s="48" t="n">
        <x:v>1.2848762882979101</x:v>
      </x:c>
      <x:c r="D927" s="48" t="n">
        <x:v>0.7934291683852213</x:v>
      </x:c>
      <x:c r="E927" s="48" t="n">
        <x:v>0.937598614146496</x:v>
      </x:c>
      <x:c r="F927" s="48" t="n">
        <x:v>-0.18028293384220104</x:v>
      </x:c>
      <x:c r="G927" s="48" t="n">
        <x:v>-0.18038318368232986</x:v>
      </x:c>
      <x:c r="H927" s="48" t="n">
        <x:v>0.5504550766168579</x:v>
      </x:c>
      <x:c r="I927" s="48" t="n">
        <x:v>0.8986302199426661</x:v>
      </x:c>
      <x:c r="J927" s="48" t="n">
        <x:v>0.5397343711511153</x:v>
      </x:c>
      <x:c r="K927" s="48" t="n">
        <x:v>0.7594851754096046</x:v>
      </x:c>
      <x:c r="L927" s="48" t="n">
        <x:v>0.8276916146605444</x:v>
      </x:c>
      <x:c r="M927" s="48" t="n">
        <x:v>0.13819795997983844</x:v>
      </x:c>
      <x:c r="N927" s="48" t="n">
        <x:v>0.9288281092343759</x:v>
      </x:c>
      <x:c r="O927" s="48" t="n">
        <x:v>0.8549751182557632</x:v>
      </x:c>
      <x:c r="P927" s="48" t="n">
        <x:v>0.563884465657237</x:v>
      </x:c>
      <x:c r="Q927" s="48" t="n">
        <x:v>1</x:v>
      </x:c>
      <x:c r="R927" s="48" t="n">
        <x:v>0.8209170336376561</x:v>
      </x:c>
      <x:c r="S927" s="29" t="n">
        <x:v>0</x:v>
      </x:c>
    </x:row>
    <x:row r="928" ht="21.600000381469727" hidden="0" customHeight="1">
      <x:c r="A928" s="27" t="n">
        <x:v>308</x:v>
      </x:c>
      <x:c r="B928" s="27" t="str">
        <x:v>A3</x:v>
      </x:c>
      <x:c r="C928" s="47" t="n">
        <x:v>1.2848762882979101</x:v>
      </x:c>
      <x:c r="D928" s="47" t="n">
        <x:v>0.7934291683852213</x:v>
      </x:c>
      <x:c r="E928" s="47" t="n">
        <x:v>0.937598614146496</x:v>
      </x:c>
      <x:c r="F928" s="47" t="n">
        <x:v>-0.18028293384220104</x:v>
      </x:c>
      <x:c r="G928" s="47" t="n">
        <x:v>-0.18038318368232986</x:v>
      </x:c>
      <x:c r="H928" s="47" t="n">
        <x:v>0.5504550766168579</x:v>
      </x:c>
      <x:c r="I928" s="47" t="n">
        <x:v>0.8986302199426661</x:v>
      </x:c>
      <x:c r="J928" s="47" t="n">
        <x:v>0.5397343711511153</x:v>
      </x:c>
      <x:c r="K928" s="47" t="n">
        <x:v>0.7594851754096046</x:v>
      </x:c>
      <x:c r="L928" s="47" t="n">
        <x:v>0.8276916146605444</x:v>
      </x:c>
      <x:c r="M928" s="47" t="n">
        <x:v>0.13819795997983844</x:v>
      </x:c>
      <x:c r="N928" s="47" t="n">
        <x:v>0.9288281092343759</x:v>
      </x:c>
      <x:c r="O928" s="47" t="n">
        <x:v>1</x:v>
      </x:c>
      <x:c r="P928" s="47" t="n">
        <x:v>1</x:v>
      </x:c>
      <x:c r="Q928" s="47" t="n">
        <x:v>1</x:v>
      </x:c>
      <x:c r="R928" s="47" t="n">
        <x:v>1</x:v>
      </x:c>
      <x:c r="S928" s="27" t="n">
        <x:v>1</x:v>
      </x:c>
    </x:row>
    <x:row r="929" ht="21.600000381469727" hidden="0" customHeight="1">
      <x:c r="A929" s="29" t="n">
        <x:v>309</x:v>
      </x:c>
      <x:c r="B929" s="29" t="str">
        <x:v>A1</x:v>
      </x:c>
      <x:c r="C929" s="48" t="n">
        <x:v>1.1441305127926178</x:v>
      </x:c>
      <x:c r="D929" s="48" t="n">
        <x:v>0.9716260560036164</x:v>
      </x:c>
      <x:c r="E929" s="48" t="n">
        <x:v>0.7673935132441412</x:v>
      </x:c>
      <x:c r="F929" s="48" t="n">
        <x:v>-0.0682867262938627</x:v>
      </x:c>
      <x:c r="G929" s="48" t="n">
        <x:v>-0.022917716511793945</x:v>
      </x:c>
      <x:c r="H929" s="48" t="n">
        <x:v>0.3141417932705538</x:v>
      </x:c>
      <x:c r="I929" s="48" t="n">
        <x:v>1.0053928432194454</x:v>
      </x:c>
      <x:c r="J929" s="48" t="n">
        <x:v>0.5078849561235624</x:v>
      </x:c>
      <x:c r="K929" s="48" t="n">
        <x:v>0.5838732742817723</x:v>
      </x:c>
      <x:c r="L929" s="48" t="n">
        <x:v>0.6735311544477752</x:v>
      </x:c>
      <x:c r="M929" s="48" t="n">
        <x:v>0.1530734311037912</x:v>
      </x:c>
      <x:c r="N929" s="48" t="n">
        <x:v>0.8505261233390894</x:v>
      </x:c>
      <x:c r="O929" s="48" t="n">
        <x:v>0.8687019751256109</x:v>
      </x:c>
      <x:c r="P929" s="48" t="n">
        <x:v>0.6766909235658692</x:v>
      </x:c>
      <x:c r="Q929" s="48" t="n">
        <x:v>1</x:v>
      </x:c>
      <x:c r="R929" s="48" t="n">
        <x:v>0.8378675473530818</x:v>
      </x:c>
      <x:c r="S929" s="29" t="n">
        <x:v>0</x:v>
      </x:c>
    </x:row>
    <x:row r="930" ht="21.600000381469727" hidden="0" customHeight="1">
      <x:c r="A930" s="27" t="n">
        <x:v>309</x:v>
      </x:c>
      <x:c r="B930" s="27" t="str">
        <x:v>A2</x:v>
      </x:c>
      <x:c r="C930" s="47" t="n">
        <x:v>1.1441305127926178</x:v>
      </x:c>
      <x:c r="D930" s="47" t="n">
        <x:v>0.9716260560036164</x:v>
      </x:c>
      <x:c r="E930" s="47" t="n">
        <x:v>0.7673935132441412</x:v>
      </x:c>
      <x:c r="F930" s="47" t="n">
        <x:v>-0.0682867262938627</x:v>
      </x:c>
      <x:c r="G930" s="47" t="n">
        <x:v>-0.022917716511793945</x:v>
      </x:c>
      <x:c r="H930" s="47" t="n">
        <x:v>0.3141417932705538</x:v>
      </x:c>
      <x:c r="I930" s="47" t="n">
        <x:v>1.0053928432194454</x:v>
      </x:c>
      <x:c r="J930" s="47" t="n">
        <x:v>0.5078849561235624</x:v>
      </x:c>
      <x:c r="K930" s="47" t="n">
        <x:v>0.5838732742817723</x:v>
      </x:c>
      <x:c r="L930" s="47" t="n">
        <x:v>0.6735311544477752</x:v>
      </x:c>
      <x:c r="M930" s="47" t="n">
        <x:v>0.1530734311037912</x:v>
      </x:c>
      <x:c r="N930" s="47" t="n">
        <x:v>0.8505261233390894</x:v>
      </x:c>
      <x:c r="O930" s="47" t="n">
        <x:v>0.9603676889520013</x:v>
      </x:c>
      <x:c r="P930" s="47" t="n">
        <x:v>0.7845044698291039</x:v>
      </x:c>
      <x:c r="Q930" s="47" t="n">
        <x:v>1</x:v>
      </x:c>
      <x:c r="R930" s="47" t="n">
        <x:v>0.9510603164028938</x:v>
      </x:c>
      <x:c r="S930" s="27" t="n">
        <x:v>0</x:v>
      </x:c>
    </x:row>
    <x:row r="931" ht="21.600000381469727" hidden="0" customHeight="1">
      <x:c r="A931" s="29" t="n">
        <x:v>309</x:v>
      </x:c>
      <x:c r="B931" s="29" t="str">
        <x:v>A3</x:v>
      </x:c>
      <x:c r="C931" s="48" t="n">
        <x:v>1.1441305127926178</x:v>
      </x:c>
      <x:c r="D931" s="48" t="n">
        <x:v>0.9716260560036164</x:v>
      </x:c>
      <x:c r="E931" s="48" t="n">
        <x:v>0.7673935132441412</x:v>
      </x:c>
      <x:c r="F931" s="48" t="n">
        <x:v>-0.0682867262938627</x:v>
      </x:c>
      <x:c r="G931" s="48" t="n">
        <x:v>-0.022917716511793945</x:v>
      </x:c>
      <x:c r="H931" s="48" t="n">
        <x:v>0.3141417932705538</x:v>
      </x:c>
      <x:c r="I931" s="48" t="n">
        <x:v>1.0053928432194454</x:v>
      </x:c>
      <x:c r="J931" s="48" t="n">
        <x:v>0.5078849561235624</x:v>
      </x:c>
      <x:c r="K931" s="48" t="n">
        <x:v>0.5838732742817723</x:v>
      </x:c>
      <x:c r="L931" s="48" t="n">
        <x:v>0.6735311544477752</x:v>
      </x:c>
      <x:c r="M931" s="48" t="n">
        <x:v>0.1530734311037912</x:v>
      </x:c>
      <x:c r="N931" s="48" t="n">
        <x:v>0.8505261233390894</x:v>
      </x:c>
      <x:c r="O931" s="48" t="n">
        <x:v>1</x:v>
      </x:c>
      <x:c r="P931" s="48" t="n">
        <x:v>1</x:v>
      </x:c>
      <x:c r="Q931" s="48" t="n">
        <x:v>1</x:v>
      </x:c>
      <x:c r="R931" s="48" t="n">
        <x:v>1</x:v>
      </x:c>
      <x:c r="S931" s="29" t="n">
        <x:v>1</x:v>
      </x:c>
    </x:row>
    <x:row r="932" ht="21.600000381469727" hidden="0" customHeight="1">
      <x:c r="A932" s="27" t="n">
        <x:v>310</x:v>
      </x:c>
      <x:c r="B932" s="27" t="str">
        <x:v>A1</x:v>
      </x:c>
      <x:c r="C932" s="47" t="n">
        <x:v>0.9843190024844715</x:v>
      </x:c>
      <x:c r="D932" s="47" t="n">
        <x:v>0.780007165331675</x:v>
      </x:c>
      <x:c r="E932" s="47" t="n">
        <x:v>0.8426161281021276</x:v>
      </x:c>
      <x:c r="F932" s="47" t="n">
        <x:v>0.005692131271697182</x:v>
      </x:c>
      <x:c r="G932" s="47" t="n">
        <x:v>-0.063842119024205</x:v>
      </x:c>
      <x:c r="H932" s="47" t="n">
        <x:v>0.3074517548545647</x:v>
      </x:c>
      <x:c r="I932" s="47" t="n">
        <x:v>0.625757801875459</x:v>
      </x:c>
      <x:c r="J932" s="47" t="n">
        <x:v>0.5912864823882902</x:v>
      </x:c>
      <x:c r="K932" s="47" t="n">
        <x:v>0.7265966790446423</x:v>
      </x:c>
      <x:c r="L932" s="47" t="n">
        <x:v>0.742981075973909</x:v>
      </x:c>
      <x:c r="M932" s="47" t="n">
        <x:v>0.16337047540348376</x:v>
      </x:c>
      <x:c r="N932" s="47" t="n">
        <x:v>0.9817303827978957</x:v>
      </x:c>
      <x:c r="O932" s="47" t="n">
        <x:v>0.8555432312134865</x:v>
      </x:c>
      <x:c r="P932" s="47" t="n">
        <x:v>0.5288275883313276</x:v>
      </x:c>
      <x:c r="Q932" s="47" t="n">
        <x:v>1</x:v>
      </x:c>
      <x:c r="R932" s="47" t="n">
        <x:v>0.8216185639714468</x:v>
      </x:c>
      <x:c r="S932" s="27" t="n">
        <x:v>0</x:v>
      </x:c>
    </x:row>
    <x:row r="933" ht="21.600000381469727" hidden="0" customHeight="1">
      <x:c r="A933" s="29" t="n">
        <x:v>310</x:v>
      </x:c>
      <x:c r="B933" s="29" t="str">
        <x:v>A2</x:v>
      </x:c>
      <x:c r="C933" s="48" t="n">
        <x:v>0.9843190024844715</x:v>
      </x:c>
      <x:c r="D933" s="48" t="n">
        <x:v>0.780007165331675</x:v>
      </x:c>
      <x:c r="E933" s="48" t="n">
        <x:v>0.8426161281021276</x:v>
      </x:c>
      <x:c r="F933" s="48" t="n">
        <x:v>0.005692131271697182</x:v>
      </x:c>
      <x:c r="G933" s="48" t="n">
        <x:v>-0.063842119024205</x:v>
      </x:c>
      <x:c r="H933" s="48" t="n">
        <x:v>0.3074517548545647</x:v>
      </x:c>
      <x:c r="I933" s="48" t="n">
        <x:v>0.625757801875459</x:v>
      </x:c>
      <x:c r="J933" s="48" t="n">
        <x:v>0.5912864823882902</x:v>
      </x:c>
      <x:c r="K933" s="48" t="n">
        <x:v>0.7265966790446423</x:v>
      </x:c>
      <x:c r="L933" s="48" t="n">
        <x:v>0.742981075973909</x:v>
      </x:c>
      <x:c r="M933" s="48" t="n">
        <x:v>0.16337047540348376</x:v>
      </x:c>
      <x:c r="N933" s="48" t="n">
        <x:v>0.9817303827978957</x:v>
      </x:c>
      <x:c r="O933" s="48" t="n">
        <x:v>0.9275566748395734</x:v>
      </x:c>
      <x:c r="P933" s="48" t="n">
        <x:v>0.6317250429494247</x:v>
      </x:c>
      <x:c r="Q933" s="48" t="n">
        <x:v>1</x:v>
      </x:c>
      <x:c r="R933" s="48" t="n">
        <x:v>0.91054386387461</x:v>
      </x:c>
      <x:c r="S933" s="29" t="n">
        <x:v>0</x:v>
      </x:c>
    </x:row>
    <x:row r="934" ht="21.600000381469727" hidden="0" customHeight="1">
      <x:c r="A934" s="27" t="n">
        <x:v>310</x:v>
      </x:c>
      <x:c r="B934" s="27" t="str">
        <x:v>A3</x:v>
      </x:c>
      <x:c r="C934" s="47" t="n">
        <x:v>0.9843190024844715</x:v>
      </x:c>
      <x:c r="D934" s="47" t="n">
        <x:v>0.780007165331675</x:v>
      </x:c>
      <x:c r="E934" s="47" t="n">
        <x:v>0.8426161281021276</x:v>
      </x:c>
      <x:c r="F934" s="47" t="n">
        <x:v>0.005692131271697182</x:v>
      </x:c>
      <x:c r="G934" s="47" t="n">
        <x:v>-0.063842119024205</x:v>
      </x:c>
      <x:c r="H934" s="47" t="n">
        <x:v>0.3074517548545647</x:v>
      </x:c>
      <x:c r="I934" s="47" t="n">
        <x:v>0.625757801875459</x:v>
      </x:c>
      <x:c r="J934" s="47" t="n">
        <x:v>0.5912864823882902</x:v>
      </x:c>
      <x:c r="K934" s="47" t="n">
        <x:v>0.7265966790446423</x:v>
      </x:c>
      <x:c r="L934" s="47" t="n">
        <x:v>0.742981075973909</x:v>
      </x:c>
      <x:c r="M934" s="47" t="n">
        <x:v>0.16337047540348376</x:v>
      </x:c>
      <x:c r="N934" s="47" t="n">
        <x:v>0.9817303827978957</x:v>
      </x:c>
      <x:c r="O934" s="47" t="n">
        <x:v>1</x:v>
      </x:c>
      <x:c r="P934" s="47" t="n">
        <x:v>1</x:v>
      </x:c>
      <x:c r="Q934" s="47" t="n">
        <x:v>1</x:v>
      </x:c>
      <x:c r="R934" s="47" t="n">
        <x:v>1</x:v>
      </x:c>
      <x:c r="S934" s="27" t="n">
        <x:v>1</x:v>
      </x:c>
    </x:row>
    <x:row r="935" ht="21.600000381469727" hidden="0" customHeight="1">
      <x:c r="A935" s="29" t="n">
        <x:v>311</x:v>
      </x:c>
      <x:c r="B935" s="29" t="str">
        <x:v>A1</x:v>
      </x:c>
      <x:c r="C935" s="48" t="n">
        <x:v>1.258721009991206</x:v>
      </x:c>
      <x:c r="D935" s="48" t="n">
        <x:v>0.8497722734014926</x:v>
      </x:c>
      <x:c r="E935" s="48" t="n">
        <x:v>0.4620869814816103</x:v>
      </x:c>
      <x:c r="F935" s="48" t="n">
        <x:v>-0.11032173963970787</x:v>
      </x:c>
      <x:c r="G935" s="48" t="n">
        <x:v>-0.19197907156987773</x:v>
      </x:c>
      <x:c r="H935" s="48" t="n">
        <x:v>1.0417815346598662</x:v>
      </x:c>
      <x:c r="I935" s="48" t="n">
        <x:v>0.6656555690374341</x:v>
      </x:c>
      <x:c r="J935" s="48" t="n">
        <x:v>0.5578239411344789</x:v>
      </x:c>
      <x:c r="K935" s="48" t="n">
        <x:v>0.747398871699815</x:v>
      </x:c>
      <x:c r="L935" s="48" t="n">
        <x:v>0.951224202302718</x:v>
      </x:c>
      <x:c r="M935" s="48" t="n">
        <x:v>0.09662096071988006</x:v>
      </x:c>
      <x:c r="N935" s="48" t="n">
        <x:v>0.9784725651795223</x:v>
      </x:c>
      <x:c r="O935" s="48" t="n">
        <x:v>0.7844995580891396</x:v>
      </x:c>
      <x:c r="P935" s="48" t="n">
        <x:v>0.4452168994994954</x:v>
      </x:c>
      <x:c r="Q935" s="48" t="n">
        <x:v>1</x:v>
      </x:c>
      <x:c r="R935" s="48" t="n">
        <x:v>0.7338907784261889</x:v>
      </x:c>
      <x:c r="S935" s="29" t="n">
        <x:v>0</x:v>
      </x:c>
    </x:row>
    <x:row r="936" ht="21.600000381469727" hidden="0" customHeight="1">
      <x:c r="A936" s="27" t="n">
        <x:v>311</x:v>
      </x:c>
      <x:c r="B936" s="27" t="str">
        <x:v>A2</x:v>
      </x:c>
      <x:c r="C936" s="47" t="n">
        <x:v>1.258721009991206</x:v>
      </x:c>
      <x:c r="D936" s="47" t="n">
        <x:v>0.8497722734014926</x:v>
      </x:c>
      <x:c r="E936" s="47" t="n">
        <x:v>0.4620869814816103</x:v>
      </x:c>
      <x:c r="F936" s="47" t="n">
        <x:v>-0.11032173963970787</x:v>
      </x:c>
      <x:c r="G936" s="47" t="n">
        <x:v>-0.19197907156987773</x:v>
      </x:c>
      <x:c r="H936" s="47" t="n">
        <x:v>1.0417815346598662</x:v>
      </x:c>
      <x:c r="I936" s="47" t="n">
        <x:v>0.6656555690374341</x:v>
      </x:c>
      <x:c r="J936" s="47" t="n">
        <x:v>0.5578239411344789</x:v>
      </x:c>
      <x:c r="K936" s="47" t="n">
        <x:v>0.747398871699815</x:v>
      </x:c>
      <x:c r="L936" s="47" t="n">
        <x:v>0.951224202302718</x:v>
      </x:c>
      <x:c r="M936" s="47" t="n">
        <x:v>0.09662096071988006</x:v>
      </x:c>
      <x:c r="N936" s="47" t="n">
        <x:v>0.9784725651795223</x:v>
      </x:c>
      <x:c r="O936" s="47" t="n">
        <x:v>0.86613089954935</x:v>
      </x:c>
      <x:c r="P936" s="47" t="n">
        <x:v>0.5671302650165125</x:v>
      </x:c>
      <x:c r="Q936" s="47" t="n">
        <x:v>1</x:v>
      </x:c>
      <x:c r="R936" s="47" t="n">
        <x:v>0.8346926725633155</x:v>
      </x:c>
      <x:c r="S936" s="27" t="n">
        <x:v>0</x:v>
      </x:c>
    </x:row>
    <x:row r="937" ht="21.600000381469727" hidden="0" customHeight="1">
      <x:c r="A937" s="29" t="n">
        <x:v>311</x:v>
      </x:c>
      <x:c r="B937" s="29" t="str">
        <x:v>A3</x:v>
      </x:c>
      <x:c r="C937" s="48" t="n">
        <x:v>1.258721009991206</x:v>
      </x:c>
      <x:c r="D937" s="48" t="n">
        <x:v>0.8497722734014926</x:v>
      </x:c>
      <x:c r="E937" s="48" t="n">
        <x:v>0.4620869814816103</x:v>
      </x:c>
      <x:c r="F937" s="48" t="n">
        <x:v>-0.11032173963970787</x:v>
      </x:c>
      <x:c r="G937" s="48" t="n">
        <x:v>-0.19197907156987773</x:v>
      </x:c>
      <x:c r="H937" s="48" t="n">
        <x:v>1.0417815346598662</x:v>
      </x:c>
      <x:c r="I937" s="48" t="n">
        <x:v>0.6656555690374341</x:v>
      </x:c>
      <x:c r="J937" s="48" t="n">
        <x:v>0.5578239411344789</x:v>
      </x:c>
      <x:c r="K937" s="48" t="n">
        <x:v>0.747398871699815</x:v>
      </x:c>
      <x:c r="L937" s="48" t="n">
        <x:v>0.951224202302718</x:v>
      </x:c>
      <x:c r="M937" s="48" t="n">
        <x:v>0.09662096071988006</x:v>
      </x:c>
      <x:c r="N937" s="48" t="n">
        <x:v>0.9784725651795223</x:v>
      </x:c>
      <x:c r="O937" s="48" t="n">
        <x:v>1</x:v>
      </x:c>
      <x:c r="P937" s="48" t="n">
        <x:v>1</x:v>
      </x:c>
      <x:c r="Q937" s="48" t="n">
        <x:v>1</x:v>
      </x:c>
      <x:c r="R937" s="48" t="n">
        <x:v>1</x:v>
      </x:c>
      <x:c r="S937" s="29" t="n">
        <x:v>1</x:v>
      </x:c>
    </x:row>
    <x:row r="938" ht="21.600000381469727" hidden="0" customHeight="1">
      <x:c r="A938" s="27" t="n">
        <x:v>312</x:v>
      </x:c>
      <x:c r="B938" s="27" t="str">
        <x:v>A1</x:v>
      </x:c>
      <x:c r="C938" s="47" t="n">
        <x:v>1.3200353014174888</x:v>
      </x:c>
      <x:c r="D938" s="47" t="n">
        <x:v>0.8760208060902894</x:v>
      </x:c>
      <x:c r="E938" s="47" t="n">
        <x:v>0.4582334454651312</x:v>
      </x:c>
      <x:c r="F938" s="47" t="n">
        <x:v>-0.13255579480804636</x:v>
      </x:c>
      <x:c r="G938" s="47" t="n">
        <x:v>-0.0031045842615416708</x:v>
      </x:c>
      <x:c r="H938" s="47" t="n">
        <x:v>0.38189226911836854</x:v>
      </x:c>
      <x:c r="I938" s="47" t="n">
        <x:v>1.004440549662438</x:v>
      </x:c>
      <x:c r="J938" s="47" t="n">
        <x:v>0.9134518190957477</x:v>
      </x:c>
      <x:c r="K938" s="47" t="n">
        <x:v>0.6974944328475084</x:v>
      </x:c>
      <x:c r="L938" s="47" t="n">
        <x:v>0.6320143461648123</x:v>
      </x:c>
      <x:c r="M938" s="47" t="n">
        <x:v>0.11484525760126922</x:v>
      </x:c>
      <x:c r="N938" s="47" t="n">
        <x:v>0.9423445491685595</x:v>
      </x:c>
      <x:c r="O938" s="47" t="n">
        <x:v>0.737896420007662</x:v>
      </x:c>
      <x:c r="P938" s="47" t="n">
        <x:v>0.4281759488999745</x:v>
      </x:c>
      <x:c r="Q938" s="47" t="n">
        <x:v>1</x:v>
      </x:c>
      <x:c r="R938" s="47" t="n">
        <x:v>0.6763432175590582</x:v>
      </x:c>
      <x:c r="S938" s="27" t="n">
        <x:v>0</x:v>
      </x:c>
    </x:row>
    <x:row r="939" ht="21.600000381469727" hidden="0" customHeight="1">
      <x:c r="A939" s="29" t="n">
        <x:v>312</x:v>
      </x:c>
      <x:c r="B939" s="29" t="str">
        <x:v>A2</x:v>
      </x:c>
      <x:c r="C939" s="48" t="n">
        <x:v>1.3200353014174888</x:v>
      </x:c>
      <x:c r="D939" s="48" t="n">
        <x:v>0.8760208060902894</x:v>
      </x:c>
      <x:c r="E939" s="48" t="n">
        <x:v>0.4582334454651312</x:v>
      </x:c>
      <x:c r="F939" s="48" t="n">
        <x:v>-0.13255579480804636</x:v>
      </x:c>
      <x:c r="G939" s="48" t="n">
        <x:v>-0.0031045842615416708</x:v>
      </x:c>
      <x:c r="H939" s="48" t="n">
        <x:v>0.38189226911836854</x:v>
      </x:c>
      <x:c r="I939" s="48" t="n">
        <x:v>1.004440549662438</x:v>
      </x:c>
      <x:c r="J939" s="48" t="n">
        <x:v>0.9134518190957477</x:v>
      </x:c>
      <x:c r="K939" s="48" t="n">
        <x:v>0.6974944328475084</x:v>
      </x:c>
      <x:c r="L939" s="48" t="n">
        <x:v>0.6320143461648123</x:v>
      </x:c>
      <x:c r="M939" s="48" t="n">
        <x:v>0.11484525760126922</x:v>
      </x:c>
      <x:c r="N939" s="48" t="n">
        <x:v>0.9423445491685595</x:v>
      </x:c>
      <x:c r="O939" s="48" t="n">
        <x:v>0.8056916809700253</x:v>
      </x:c>
      <x:c r="P939" s="48" t="n">
        <x:v>0.4515135552019666</x:v>
      </x:c>
      <x:c r="Q939" s="48" t="n">
        <x:v>1</x:v>
      </x:c>
      <x:c r="R939" s="48" t="n">
        <x:v>0.7600597239435339</x:v>
      </x:c>
      <x:c r="S939" s="29" t="n">
        <x:v>0</x:v>
      </x:c>
    </x:row>
    <x:row r="940" ht="21.600000381469727" hidden="0" customHeight="1">
      <x:c r="A940" s="27" t="n">
        <x:v>312</x:v>
      </x:c>
      <x:c r="B940" s="27" t="str">
        <x:v>A3</x:v>
      </x:c>
      <x:c r="C940" s="47" t="n">
        <x:v>1.3200353014174888</x:v>
      </x:c>
      <x:c r="D940" s="47" t="n">
        <x:v>0.8760208060902894</x:v>
      </x:c>
      <x:c r="E940" s="47" t="n">
        <x:v>0.4582334454651312</x:v>
      </x:c>
      <x:c r="F940" s="47" t="n">
        <x:v>-0.13255579480804636</x:v>
      </x:c>
      <x:c r="G940" s="47" t="n">
        <x:v>-0.0031045842615416708</x:v>
      </x:c>
      <x:c r="H940" s="47" t="n">
        <x:v>0.38189226911836854</x:v>
      </x:c>
      <x:c r="I940" s="47" t="n">
        <x:v>1.004440549662438</x:v>
      </x:c>
      <x:c r="J940" s="47" t="n">
        <x:v>0.9134518190957477</x:v>
      </x:c>
      <x:c r="K940" s="47" t="n">
        <x:v>0.6974944328475084</x:v>
      </x:c>
      <x:c r="L940" s="47" t="n">
        <x:v>0.6320143461648123</x:v>
      </x:c>
      <x:c r="M940" s="47" t="n">
        <x:v>0.11484525760126922</x:v>
      </x:c>
      <x:c r="N940" s="47" t="n">
        <x:v>0.9423445491685595</x:v>
      </x:c>
      <x:c r="O940" s="47" t="n">
        <x:v>1</x:v>
      </x:c>
      <x:c r="P940" s="47" t="n">
        <x:v>1</x:v>
      </x:c>
      <x:c r="Q940" s="47" t="n">
        <x:v>1</x:v>
      </x:c>
      <x:c r="R940" s="47" t="n">
        <x:v>1</x:v>
      </x:c>
      <x:c r="S940" s="27" t="n">
        <x:v>1</x:v>
      </x:c>
    </x:row>
    <x:row r="941" ht="21.600000381469727" hidden="0" customHeight="1">
      <x:c r="A941" s="29" t="n">
        <x:v>313</x:v>
      </x:c>
      <x:c r="B941" s="29" t="str">
        <x:v>A1</x:v>
      </x:c>
      <x:c r="C941" s="48" t="n">
        <x:v>1.2883142236982115</x:v>
      </x:c>
      <x:c r="D941" s="48" t="n">
        <x:v>0.8099399212784886</x:v>
      </x:c>
      <x:c r="E941" s="48" t="n">
        <x:v>0.9096707710038783</x:v>
      </x:c>
      <x:c r="F941" s="48" t="n">
        <x:v>-0.03699328402220281</x:v>
      </x:c>
      <x:c r="G941" s="48" t="n">
        <x:v>0.010148298603937345</x:v>
      </x:c>
      <x:c r="H941" s="48" t="n">
        <x:v>0.5282813369450994</x:v>
      </x:c>
      <x:c r="I941" s="48" t="n">
        <x:v>0.6597833543828935</x:v>
      </x:c>
      <x:c r="J941" s="48" t="n">
        <x:v>0.8188660061524837</x:v>
      </x:c>
      <x:c r="K941" s="48" t="n">
        <x:v>0.8592092449192131</x:v>
      </x:c>
      <x:c r="L941" s="48" t="n">
        <x:v>0.5883492091118174</x:v>
      </x:c>
      <x:c r="M941" s="48" t="n">
        <x:v>0.08416404592459432</x:v>
      </x:c>
      <x:c r="N941" s="48" t="n">
        <x:v>0.8600421546080881</x:v>
      </x:c>
      <x:c r="O941" s="48" t="n">
        <x:v>0.7451998090745457</x:v>
      </x:c>
      <x:c r="P941" s="48" t="n">
        <x:v>0.3836478018846188</x:v>
      </x:c>
      <x:c r="Q941" s="48" t="n">
        <x:v>0.8859401712429567</x:v>
      </x:c>
      <x:c r="R941" s="48" t="n">
        <x:v>0.6862088623833912</x:v>
      </x:c>
      <x:c r="S941" s="29" t="n">
        <x:v>0</x:v>
      </x:c>
    </x:row>
    <x:row r="942" ht="21.600000381469727" hidden="0" customHeight="1">
      <x:c r="A942" s="27" t="n">
        <x:v>313</x:v>
      </x:c>
      <x:c r="B942" s="27" t="str">
        <x:v>A2</x:v>
      </x:c>
      <x:c r="C942" s="47" t="n">
        <x:v>1.2883142236982115</x:v>
      </x:c>
      <x:c r="D942" s="47" t="n">
        <x:v>0.8099399212784886</x:v>
      </x:c>
      <x:c r="E942" s="47" t="n">
        <x:v>0.9096707710038783</x:v>
      </x:c>
      <x:c r="F942" s="47" t="n">
        <x:v>-0.03699328402220281</x:v>
      </x:c>
      <x:c r="G942" s="47" t="n">
        <x:v>0.010148298603937345</x:v>
      </x:c>
      <x:c r="H942" s="47" t="n">
        <x:v>0.5282813369450994</x:v>
      </x:c>
      <x:c r="I942" s="47" t="n">
        <x:v>0.6597833543828935</x:v>
      </x:c>
      <x:c r="J942" s="47" t="n">
        <x:v>0.8188660061524837</x:v>
      </x:c>
      <x:c r="K942" s="47" t="n">
        <x:v>0.8592092449192131</x:v>
      </x:c>
      <x:c r="L942" s="47" t="n">
        <x:v>0.5883492091118174</x:v>
      </x:c>
      <x:c r="M942" s="47" t="n">
        <x:v>0.08416404592459432</x:v>
      </x:c>
      <x:c r="N942" s="47" t="n">
        <x:v>0.8600421546080881</x:v>
      </x:c>
      <x:c r="O942" s="47" t="n">
        <x:v>0.8317505310722629</x:v>
      </x:c>
      <x:c r="P942" s="47" t="n">
        <x:v>0.44579575332990184</x:v>
      </x:c>
      <x:c r="Q942" s="47" t="n">
        <x:v>1</x:v>
      </x:c>
      <x:c r="R942" s="47" t="n">
        <x:v>0.7922383137149807</x:v>
      </x:c>
      <x:c r="S942" s="27" t="n">
        <x:v>0</x:v>
      </x:c>
    </x:row>
    <x:row r="943" ht="21.600000381469727" hidden="0" customHeight="1">
      <x:c r="A943" s="29" t="n">
        <x:v>313</x:v>
      </x:c>
      <x:c r="B943" s="29" t="str">
        <x:v>A3</x:v>
      </x:c>
      <x:c r="C943" s="48" t="n">
        <x:v>1.2883142236982115</x:v>
      </x:c>
      <x:c r="D943" s="48" t="n">
        <x:v>0.8099399212784886</x:v>
      </x:c>
      <x:c r="E943" s="48" t="n">
        <x:v>0.9096707710038783</x:v>
      </x:c>
      <x:c r="F943" s="48" t="n">
        <x:v>-0.03699328402220281</x:v>
      </x:c>
      <x:c r="G943" s="48" t="n">
        <x:v>0.010148298603937345</x:v>
      </x:c>
      <x:c r="H943" s="48" t="n">
        <x:v>0.5282813369450994</x:v>
      </x:c>
      <x:c r="I943" s="48" t="n">
        <x:v>0.6597833543828935</x:v>
      </x:c>
      <x:c r="J943" s="48" t="n">
        <x:v>0.8188660061524837</x:v>
      </x:c>
      <x:c r="K943" s="48" t="n">
        <x:v>0.8592092449192131</x:v>
      </x:c>
      <x:c r="L943" s="48" t="n">
        <x:v>0.5883492091118174</x:v>
      </x:c>
      <x:c r="M943" s="48" t="n">
        <x:v>0.08416404592459432</x:v>
      </x:c>
      <x:c r="N943" s="48" t="n">
        <x:v>0.8600421546080881</x:v>
      </x:c>
      <x:c r="O943" s="48" t="n">
        <x:v>1</x:v>
      </x:c>
      <x:c r="P943" s="48" t="n">
        <x:v>1</x:v>
      </x:c>
      <x:c r="Q943" s="48" t="n">
        <x:v>1</x:v>
      </x:c>
      <x:c r="R943" s="48" t="n">
        <x:v>1</x:v>
      </x:c>
      <x:c r="S943" s="29" t="n">
        <x:v>1</x:v>
      </x:c>
    </x:row>
    <x:row r="944" ht="21.600000381469727" hidden="0" customHeight="1">
      <x:c r="A944" s="27" t="n">
        <x:v>314</x:v>
      </x:c>
      <x:c r="B944" s="27" t="str">
        <x:v>A1</x:v>
      </x:c>
      <x:c r="C944" s="47" t="n">
        <x:v>1.1584660210720807</x:v>
      </x:c>
      <x:c r="D944" s="47" t="n">
        <x:v>0.8132475023565491</x:v>
      </x:c>
      <x:c r="E944" s="47" t="n">
        <x:v>0.8707937452491088</x:v>
      </x:c>
      <x:c r="F944" s="47" t="n">
        <x:v>-0.1573919607273773</x:v>
      </x:c>
      <x:c r="G944" s="47" t="n">
        <x:v>-0.16777305289938754</x:v>
      </x:c>
      <x:c r="H944" s="47" t="n">
        <x:v>0.4697959432666977</x:v>
      </x:c>
      <x:c r="I944" s="47" t="n">
        <x:v>0.7200449734774765</x:v>
      </x:c>
      <x:c r="J944" s="47" t="n">
        <x:v>0.9864275615911896</x:v>
      </x:c>
      <x:c r="K944" s="47" t="n">
        <x:v>0.6224623966060062</x:v>
      </x:c>
      <x:c r="L944" s="47" t="n">
        <x:v>0.5298331181911863</x:v>
      </x:c>
      <x:c r="M944" s="47" t="n">
        <x:v>0.1520102808321651</x:v>
      </x:c>
      <x:c r="N944" s="47" t="n">
        <x:v>0.8570293414035477</x:v>
      </x:c>
      <x:c r="O944" s="47" t="n">
        <x:v>0.8009250391204553</x:v>
      </x:c>
      <x:c r="P944" s="47" t="n">
        <x:v>0.547630175034123</x:v>
      </x:c>
      <x:c r="Q944" s="47" t="n">
        <x:v>0.9497655245664548</x:v>
      </x:c>
      <x:c r="R944" s="47" t="n">
        <x:v>0.7545467535052879</x:v>
      </x:c>
      <x:c r="S944" s="27" t="n">
        <x:v>0</x:v>
      </x:c>
    </x:row>
    <x:row r="945" ht="21.600000381469727" hidden="0" customHeight="1">
      <x:c r="A945" s="29" t="n">
        <x:v>314</x:v>
      </x:c>
      <x:c r="B945" s="29" t="str">
        <x:v>A2</x:v>
      </x:c>
      <x:c r="C945" s="48" t="n">
        <x:v>1.1584660210720807</x:v>
      </x:c>
      <x:c r="D945" s="48" t="n">
        <x:v>0.8132475023565491</x:v>
      </x:c>
      <x:c r="E945" s="48" t="n">
        <x:v>0.8707937452491088</x:v>
      </x:c>
      <x:c r="F945" s="48" t="n">
        <x:v>-0.1573919607273773</x:v>
      </x:c>
      <x:c r="G945" s="48" t="n">
        <x:v>-0.16777305289938754</x:v>
      </x:c>
      <x:c r="H945" s="48" t="n">
        <x:v>0.4697959432666977</x:v>
      </x:c>
      <x:c r="I945" s="48" t="n">
        <x:v>0.7200449734774765</x:v>
      </x:c>
      <x:c r="J945" s="48" t="n">
        <x:v>0.9864275615911896</x:v>
      </x:c>
      <x:c r="K945" s="48" t="n">
        <x:v>0.6224623966060062</x:v>
      </x:c>
      <x:c r="L945" s="48" t="n">
        <x:v>0.5298331181911863</x:v>
      </x:c>
      <x:c r="M945" s="48" t="n">
        <x:v>0.1520102808321651</x:v>
      </x:c>
      <x:c r="N945" s="48" t="n">
        <x:v>0.8570293414035477</x:v>
      </x:c>
      <x:c r="O945" s="48" t="n">
        <x:v>0.8785336457345857</x:v>
      </x:c>
      <x:c r="P945" s="48" t="n">
        <x:v>0.6037500020411685</x:v>
      </x:c>
      <x:c r="Q945" s="48" t="n">
        <x:v>1</x:v>
      </x:c>
      <x:c r="R945" s="48" t="n">
        <x:v>0.8500081174109686</x:v>
      </x:c>
      <x:c r="S945" s="29" t="n">
        <x:v>0</x:v>
      </x:c>
    </x:row>
    <x:row r="946" ht="21.600000381469727" hidden="0" customHeight="1">
      <x:c r="A946" s="27" t="n">
        <x:v>314</x:v>
      </x:c>
      <x:c r="B946" s="27" t="str">
        <x:v>A3</x:v>
      </x:c>
      <x:c r="C946" s="47" t="n">
        <x:v>1.1584660210720807</x:v>
      </x:c>
      <x:c r="D946" s="47" t="n">
        <x:v>0.8132475023565491</x:v>
      </x:c>
      <x:c r="E946" s="47" t="n">
        <x:v>0.8707937452491088</x:v>
      </x:c>
      <x:c r="F946" s="47" t="n">
        <x:v>-0.1573919607273773</x:v>
      </x:c>
      <x:c r="G946" s="47" t="n">
        <x:v>-0.16777305289938754</x:v>
      </x:c>
      <x:c r="H946" s="47" t="n">
        <x:v>0.4697959432666977</x:v>
      </x:c>
      <x:c r="I946" s="47" t="n">
        <x:v>0.7200449734774765</x:v>
      </x:c>
      <x:c r="J946" s="47" t="n">
        <x:v>0.9864275615911896</x:v>
      </x:c>
      <x:c r="K946" s="47" t="n">
        <x:v>0.6224623966060062</x:v>
      </x:c>
      <x:c r="L946" s="47" t="n">
        <x:v>0.5298331181911863</x:v>
      </x:c>
      <x:c r="M946" s="47" t="n">
        <x:v>0.1520102808321651</x:v>
      </x:c>
      <x:c r="N946" s="47" t="n">
        <x:v>0.8570293414035477</x:v>
      </x:c>
      <x:c r="O946" s="47" t="n">
        <x:v>1</x:v>
      </x:c>
      <x:c r="P946" s="47" t="n">
        <x:v>1</x:v>
      </x:c>
      <x:c r="Q946" s="47" t="n">
        <x:v>1</x:v>
      </x:c>
      <x:c r="R946" s="47" t="n">
        <x:v>1</x:v>
      </x:c>
      <x:c r="S946" s="27" t="n">
        <x:v>1</x:v>
      </x:c>
    </x:row>
    <x:row r="947" ht="21.600000381469727" hidden="0" customHeight="1">
      <x:c r="A947" s="29" t="n">
        <x:v>315</x:v>
      </x:c>
      <x:c r="B947" s="29" t="str">
        <x:v>A1</x:v>
      </x:c>
      <x:c r="C947" s="48" t="n">
        <x:v>0.9256326575641033</x:v>
      </x:c>
      <x:c r="D947" s="48" t="n">
        <x:v>0.7326655695214478</x:v>
      </x:c>
      <x:c r="E947" s="48" t="n">
        <x:v>0.6861066395813633</x:v>
      </x:c>
      <x:c r="F947" s="48" t="n">
        <x:v>-0.08978866374854136</x:v>
      </x:c>
      <x:c r="G947" s="48" t="n">
        <x:v>0.02194285857664449</x:v>
      </x:c>
      <x:c r="H947" s="48" t="n">
        <x:v>0.3301373120643781</x:v>
      </x:c>
      <x:c r="I947" s="48" t="n">
        <x:v>0.8122020639299546</x:v>
      </x:c>
      <x:c r="J947" s="48" t="n">
        <x:v>0.7255732524702492</x:v>
      </x:c>
      <x:c r="K947" s="48" t="n">
        <x:v>0.6782814516778258</x:v>
      </x:c>
      <x:c r="L947" s="48" t="n">
        <x:v>0.5148971540697637</x:v>
      </x:c>
      <x:c r="M947" s="48" t="n">
        <x:v>0.013001651077917103</x:v>
      </x:c>
      <x:c r="N947" s="48" t="n">
        <x:v>0.933851649686841</x:v>
      </x:c>
      <x:c r="O947" s="48" t="n">
        <x:v>0.8097980725908294</x:v>
      </x:c>
      <x:c r="P947" s="48" t="n">
        <x:v>0.5107893616426507</x:v>
      </x:c>
      <x:c r="Q947" s="48" t="n">
        <x:v>1</x:v>
      </x:c>
      <x:c r="R947" s="48" t="n">
        <x:v>0.7651304730705422</x:v>
      </x:c>
      <x:c r="S947" s="29" t="n">
        <x:v>0</x:v>
      </x:c>
    </x:row>
    <x:row r="948" ht="21.600000381469727" hidden="0" customHeight="1">
      <x:c r="A948" s="27" t="n">
        <x:v>315</x:v>
      </x:c>
      <x:c r="B948" s="27" t="str">
        <x:v>A2</x:v>
      </x:c>
      <x:c r="C948" s="47" t="n">
        <x:v>0.9256326575641033</x:v>
      </x:c>
      <x:c r="D948" s="47" t="n">
        <x:v>0.7326655695214478</x:v>
      </x:c>
      <x:c r="E948" s="47" t="n">
        <x:v>0.6861066395813633</x:v>
      </x:c>
      <x:c r="F948" s="47" t="n">
        <x:v>-0.08978866374854136</x:v>
      </x:c>
      <x:c r="G948" s="47" t="n">
        <x:v>0.02194285857664449</x:v>
      </x:c>
      <x:c r="H948" s="47" t="n">
        <x:v>0.3301373120643781</x:v>
      </x:c>
      <x:c r="I948" s="47" t="n">
        <x:v>0.8122020639299546</x:v>
      </x:c>
      <x:c r="J948" s="47" t="n">
        <x:v>0.7255732524702492</x:v>
      </x:c>
      <x:c r="K948" s="47" t="n">
        <x:v>0.6782814516778258</x:v>
      </x:c>
      <x:c r="L948" s="47" t="n">
        <x:v>0.5148971540697637</x:v>
      </x:c>
      <x:c r="M948" s="47" t="n">
        <x:v>0.013001651077917103</x:v>
      </x:c>
      <x:c r="N948" s="47" t="n">
        <x:v>0.933851649686841</x:v>
      </x:c>
      <x:c r="O948" s="47" t="n">
        <x:v>0.8988054101742452</x:v>
      </x:c>
      <x:c r="P948" s="47" t="n">
        <x:v>0.5890305613732488</x:v>
      </x:c>
      <x:c r="Q948" s="47" t="n">
        <x:v>1</x:v>
      </x:c>
      <x:c r="R948" s="47" t="n">
        <x:v>0.8750405647096003</x:v>
      </x:c>
      <x:c r="S948" s="27" t="n">
        <x:v>0</x:v>
      </x:c>
    </x:row>
    <x:row r="949" ht="21.600000381469727" hidden="0" customHeight="1">
      <x:c r="A949" s="29" t="n">
        <x:v>315</x:v>
      </x:c>
      <x:c r="B949" s="29" t="str">
        <x:v>A3</x:v>
      </x:c>
      <x:c r="C949" s="48" t="n">
        <x:v>0.9256326575641033</x:v>
      </x:c>
      <x:c r="D949" s="48" t="n">
        <x:v>0.7326655695214478</x:v>
      </x:c>
      <x:c r="E949" s="48" t="n">
        <x:v>0.6861066395813633</x:v>
      </x:c>
      <x:c r="F949" s="48" t="n">
        <x:v>-0.08978866374854136</x:v>
      </x:c>
      <x:c r="G949" s="48" t="n">
        <x:v>0.02194285857664449</x:v>
      </x:c>
      <x:c r="H949" s="48" t="n">
        <x:v>0.3301373120643781</x:v>
      </x:c>
      <x:c r="I949" s="48" t="n">
        <x:v>0.8122020639299546</x:v>
      </x:c>
      <x:c r="J949" s="48" t="n">
        <x:v>0.7255732524702492</x:v>
      </x:c>
      <x:c r="K949" s="48" t="n">
        <x:v>0.6782814516778258</x:v>
      </x:c>
      <x:c r="L949" s="48" t="n">
        <x:v>0.5148971540697637</x:v>
      </x:c>
      <x:c r="M949" s="48" t="n">
        <x:v>0.013001651077917103</x:v>
      </x:c>
      <x:c r="N949" s="48" t="n">
        <x:v>0.933851649686841</x:v>
      </x:c>
      <x:c r="O949" s="48" t="n">
        <x:v>1</x:v>
      </x:c>
      <x:c r="P949" s="48" t="n">
        <x:v>1</x:v>
      </x:c>
      <x:c r="Q949" s="48" t="n">
        <x:v>1</x:v>
      </x:c>
      <x:c r="R949" s="48" t="n">
        <x:v>1</x:v>
      </x:c>
      <x:c r="S949" s="29" t="n">
        <x:v>1</x:v>
      </x:c>
    </x:row>
    <x:row r="950" ht="21.600000381469727" hidden="0" customHeight="1">
      <x:c r="A950" s="27" t="n">
        <x:v>316</x:v>
      </x:c>
      <x:c r="B950" s="27" t="str">
        <x:v>A1</x:v>
      </x:c>
      <x:c r="C950" s="47" t="n">
        <x:v>1.3193409584292581</x:v>
      </x:c>
      <x:c r="D950" s="47" t="n">
        <x:v>0.973826463596325</x:v>
      </x:c>
      <x:c r="E950" s="47" t="n">
        <x:v>0.5683004204271266</x:v>
      </x:c>
      <x:c r="F950" s="47" t="n">
        <x:v>-0.18673246536407384</x:v>
      </x:c>
      <x:c r="G950" s="47" t="n">
        <x:v>-0.14502379313708558</x:v>
      </x:c>
      <x:c r="H950" s="47" t="n">
        <x:v>0.9055665164679036</x:v>
      </x:c>
      <x:c r="I950" s="47" t="n">
        <x:v>0.9731350542844177</x:v>
      </x:c>
      <x:c r="J950" s="47" t="n">
        <x:v>0.9240483735973839</x:v>
      </x:c>
      <x:c r="K950" s="47" t="n">
        <x:v>0.6118472219439489</x:v>
      </x:c>
      <x:c r="L950" s="47" t="n">
        <x:v>0.610116834277954</x:v>
      </x:c>
      <x:c r="M950" s="47" t="n">
        <x:v>0.05420455595837608</x:v>
      </x:c>
      <x:c r="N950" s="47" t="n">
        <x:v>0.9102950962203612</x:v>
      </x:c>
      <x:c r="O950" s="47" t="n">
        <x:v>0.7746534990884903</x:v>
      </x:c>
      <x:c r="P950" s="47" t="n">
        <x:v>0.4415543993076341</x:v>
      </x:c>
      <x:c r="Q950" s="47" t="n">
        <x:v>0.8835055777747357</x:v>
      </x:c>
      <x:c r="R950" s="47" t="n">
        <x:v>0.7225976279728192</x:v>
      </x:c>
      <x:c r="S950" s="27" t="n">
        <x:v>0</x:v>
      </x:c>
    </x:row>
    <x:row r="951" ht="21.600000381469727" hidden="0" customHeight="1">
      <x:c r="A951" s="29" t="n">
        <x:v>316</x:v>
      </x:c>
      <x:c r="B951" s="29" t="str">
        <x:v>A2</x:v>
      </x:c>
      <x:c r="C951" s="48" t="n">
        <x:v>1.3193409584292581</x:v>
      </x:c>
      <x:c r="D951" s="48" t="n">
        <x:v>0.973826463596325</x:v>
      </x:c>
      <x:c r="E951" s="48" t="n">
        <x:v>0.5683004204271266</x:v>
      </x:c>
      <x:c r="F951" s="48" t="n">
        <x:v>-0.18673246536407384</x:v>
      </x:c>
      <x:c r="G951" s="48" t="n">
        <x:v>-0.14502379313708558</x:v>
      </x:c>
      <x:c r="H951" s="48" t="n">
        <x:v>0.9055665164679036</x:v>
      </x:c>
      <x:c r="I951" s="48" t="n">
        <x:v>0.9731350542844177</x:v>
      </x:c>
      <x:c r="J951" s="48" t="n">
        <x:v>0.9240483735973839</x:v>
      </x:c>
      <x:c r="K951" s="48" t="n">
        <x:v>0.6118472219439489</x:v>
      </x:c>
      <x:c r="L951" s="48" t="n">
        <x:v>0.610116834277954</x:v>
      </x:c>
      <x:c r="M951" s="48" t="n">
        <x:v>0.05420455595837608</x:v>
      </x:c>
      <x:c r="N951" s="48" t="n">
        <x:v>0.9102950962203612</x:v>
      </x:c>
      <x:c r="O951" s="48" t="n">
        <x:v>0.8538851327011422</x:v>
      </x:c>
      <x:c r="P951" s="48" t="n">
        <x:v>0.572376562782017</x:v>
      </x:c>
      <x:c r="Q951" s="48" t="n">
        <x:v>1</x:v>
      </x:c>
      <x:c r="R951" s="48" t="n">
        <x:v>0.8195710725579715</x:v>
      </x:c>
      <x:c r="S951" s="29" t="n">
        <x:v>0</x:v>
      </x:c>
    </x:row>
    <x:row r="952" ht="21.600000381469727" hidden="0" customHeight="1">
      <x:c r="A952" s="27" t="n">
        <x:v>316</x:v>
      </x:c>
      <x:c r="B952" s="27" t="str">
        <x:v>A3</x:v>
      </x:c>
      <x:c r="C952" s="47" t="n">
        <x:v>1.3193409584292581</x:v>
      </x:c>
      <x:c r="D952" s="47" t="n">
        <x:v>0.973826463596325</x:v>
      </x:c>
      <x:c r="E952" s="47" t="n">
        <x:v>0.5683004204271266</x:v>
      </x:c>
      <x:c r="F952" s="47" t="n">
        <x:v>-0.18673246536407384</x:v>
      </x:c>
      <x:c r="G952" s="47" t="n">
        <x:v>-0.14502379313708558</x:v>
      </x:c>
      <x:c r="H952" s="47" t="n">
        <x:v>0.9055665164679036</x:v>
      </x:c>
      <x:c r="I952" s="47" t="n">
        <x:v>0.9731350542844177</x:v>
      </x:c>
      <x:c r="J952" s="47" t="n">
        <x:v>0.9240483735973839</x:v>
      </x:c>
      <x:c r="K952" s="47" t="n">
        <x:v>0.6118472219439489</x:v>
      </x:c>
      <x:c r="L952" s="47" t="n">
        <x:v>0.610116834277954</x:v>
      </x:c>
      <x:c r="M952" s="47" t="n">
        <x:v>0.05420455595837608</x:v>
      </x:c>
      <x:c r="N952" s="47" t="n">
        <x:v>0.9102950962203612</x:v>
      </x:c>
      <x:c r="O952" s="47" t="n">
        <x:v>1</x:v>
      </x:c>
      <x:c r="P952" s="47" t="n">
        <x:v>1</x:v>
      </x:c>
      <x:c r="Q952" s="47" t="n">
        <x:v>1</x:v>
      </x:c>
      <x:c r="R952" s="47" t="n">
        <x:v>1</x:v>
      </x:c>
      <x:c r="S952" s="27" t="n">
        <x:v>1</x:v>
      </x:c>
    </x:row>
    <x:row r="953" ht="21.600000381469727" hidden="0" customHeight="1">
      <x:c r="A953" s="29" t="n">
        <x:v>317</x:v>
      </x:c>
      <x:c r="B953" s="29" t="str">
        <x:v>A1</x:v>
      </x:c>
      <x:c r="C953" s="48" t="n">
        <x:v>1.1403345480062022</x:v>
      </x:c>
      <x:c r="D953" s="48" t="n">
        <x:v>0.7797954869033894</x:v>
      </x:c>
      <x:c r="E953" s="48" t="n">
        <x:v>0.7195174444333219</x:v>
      </x:c>
      <x:c r="F953" s="48" t="n">
        <x:v>-0.053304369389042205</x:v>
      </x:c>
      <x:c r="G953" s="48" t="n">
        <x:v>-0.050861251035456384</x:v>
      </x:c>
      <x:c r="H953" s="48" t="n">
        <x:v>0.7357569549513054</x:v>
      </x:c>
      <x:c r="I953" s="48" t="n">
        <x:v>0.8330022456992308</x:v>
      </x:c>
      <x:c r="J953" s="48" t="n">
        <x:v>0.47821048656485654</x:v>
      </x:c>
      <x:c r="K953" s="48" t="n">
        <x:v>0.9847319363609323</x:v>
      </x:c>
      <x:c r="L953" s="48" t="n">
        <x:v>0.8155161822314491</x:v>
      </x:c>
      <x:c r="M953" s="48" t="n">
        <x:v>0.11644447710545318</x:v>
      </x:c>
      <x:c r="N953" s="48" t="n">
        <x:v>0.7272555652996462</x:v>
      </x:c>
      <x:c r="O953" s="48" t="n">
        <x:v>0.7966760263933249</x:v>
      </x:c>
      <x:c r="P953" s="48" t="n">
        <x:v>0.5455788597250972</x:v>
      </x:c>
      <x:c r="Q953" s="48" t="n">
        <x:v>0.9999999999999998</x:v>
      </x:c>
      <x:c r="R953" s="48" t="n">
        <x:v>0.7489268056065195</x:v>
      </x:c>
      <x:c r="S953" s="29" t="n">
        <x:v>0</x:v>
      </x:c>
    </x:row>
    <x:row r="954" ht="21.600000381469727" hidden="0" customHeight="1">
      <x:c r="A954" s="27" t="n">
        <x:v>317</x:v>
      </x:c>
      <x:c r="B954" s="27" t="str">
        <x:v>A2</x:v>
      </x:c>
      <x:c r="C954" s="47" t="n">
        <x:v>1.1403345480062022</x:v>
      </x:c>
      <x:c r="D954" s="47" t="n">
        <x:v>0.7797954869033894</x:v>
      </x:c>
      <x:c r="E954" s="47" t="n">
        <x:v>0.7195174444333219</x:v>
      </x:c>
      <x:c r="F954" s="47" t="n">
        <x:v>-0.053304369389042205</x:v>
      </x:c>
      <x:c r="G954" s="47" t="n">
        <x:v>-0.050861251035456384</x:v>
      </x:c>
      <x:c r="H954" s="47" t="n">
        <x:v>0.7357569549513054</x:v>
      </x:c>
      <x:c r="I954" s="47" t="n">
        <x:v>0.8330022456992308</x:v>
      </x:c>
      <x:c r="J954" s="47" t="n">
        <x:v>0.47821048656485654</x:v>
      </x:c>
      <x:c r="K954" s="47" t="n">
        <x:v>0.9847319363609323</x:v>
      </x:c>
      <x:c r="L954" s="47" t="n">
        <x:v>0.8155161822314491</x:v>
      </x:c>
      <x:c r="M954" s="47" t="n">
        <x:v>0.11644447710545318</x:v>
      </x:c>
      <x:c r="N954" s="47" t="n">
        <x:v>0.7272555652996462</x:v>
      </x:c>
      <x:c r="O954" s="47" t="n">
        <x:v>0.894470371859713</x:v>
      </x:c>
      <x:c r="P954" s="47" t="n">
        <x:v>0.6272226584900913</x:v>
      </x:c>
      <x:c r="Q954" s="47" t="n">
        <x:v>1</x:v>
      </x:c>
      <x:c r="R954" s="47" t="n">
        <x:v>0.8696874728034132</x:v>
      </x:c>
      <x:c r="S954" s="27" t="n">
        <x:v>0</x:v>
      </x:c>
    </x:row>
    <x:row r="955" ht="21.600000381469727" hidden="0" customHeight="1">
      <x:c r="A955" s="29" t="n">
        <x:v>317</x:v>
      </x:c>
      <x:c r="B955" s="29" t="str">
        <x:v>A3</x:v>
      </x:c>
      <x:c r="C955" s="48" t="n">
        <x:v>1.1403345480062022</x:v>
      </x:c>
      <x:c r="D955" s="48" t="n">
        <x:v>0.7797954869033894</x:v>
      </x:c>
      <x:c r="E955" s="48" t="n">
        <x:v>0.7195174444333219</x:v>
      </x:c>
      <x:c r="F955" s="48" t="n">
        <x:v>-0.053304369389042205</x:v>
      </x:c>
      <x:c r="G955" s="48" t="n">
        <x:v>-0.050861251035456384</x:v>
      </x:c>
      <x:c r="H955" s="48" t="n">
        <x:v>0.7357569549513054</x:v>
      </x:c>
      <x:c r="I955" s="48" t="n">
        <x:v>0.8330022456992308</x:v>
      </x:c>
      <x:c r="J955" s="48" t="n">
        <x:v>0.47821048656485654</x:v>
      </x:c>
      <x:c r="K955" s="48" t="n">
        <x:v>0.9847319363609323</x:v>
      </x:c>
      <x:c r="L955" s="48" t="n">
        <x:v>0.8155161822314491</x:v>
      </x:c>
      <x:c r="M955" s="48" t="n">
        <x:v>0.11644447710545318</x:v>
      </x:c>
      <x:c r="N955" s="48" t="n">
        <x:v>0.7272555652996462</x:v>
      </x:c>
      <x:c r="O955" s="48" t="n">
        <x:v>1</x:v>
      </x:c>
      <x:c r="P955" s="48" t="n">
        <x:v>1</x:v>
      </x:c>
      <x:c r="Q955" s="48" t="n">
        <x:v>1</x:v>
      </x:c>
      <x:c r="R955" s="48" t="n">
        <x:v>1</x:v>
      </x:c>
      <x:c r="S955" s="29" t="n">
        <x:v>1</x:v>
      </x:c>
    </x:row>
    <x:row r="956" ht="21.600000381469727" hidden="0" customHeight="1">
      <x:c r="A956" s="27" t="n">
        <x:v>318</x:v>
      </x:c>
      <x:c r="B956" s="27" t="str">
        <x:v>A1</x:v>
      </x:c>
      <x:c r="C956" s="47" t="n">
        <x:v>0.9259202872960058</x:v>
      </x:c>
      <x:c r="D956" s="47" t="n">
        <x:v>0.8994631511759216</x:v>
      </x:c>
      <x:c r="E956" s="47" t="n">
        <x:v>0.609115388942268</x:v>
      </x:c>
      <x:c r="F956" s="47" t="n">
        <x:v>-0.14972087114357524</x:v>
      </x:c>
      <x:c r="G956" s="47" t="n">
        <x:v>-0.041273753701933036</x:v>
      </x:c>
      <x:c r="H956" s="47" t="n">
        <x:v>0.5536525735170998</x:v>
      </x:c>
      <x:c r="I956" s="47" t="n">
        <x:v>0.654672039419021</x:v>
      </x:c>
      <x:c r="J956" s="47" t="n">
        <x:v>0.5116279711071833</x:v>
      </x:c>
      <x:c r="K956" s="47" t="n">
        <x:v>0.9832449707328537</x:v>
      </x:c>
      <x:c r="L956" s="47" t="n">
        <x:v>0.5740511555365329</x:v>
      </x:c>
      <x:c r="M956" s="47" t="n">
        <x:v>0.08114888087694408</x:v>
      </x:c>
      <x:c r="N956" s="47" t="n">
        <x:v>0.9060280034514</x:v>
      </x:c>
      <x:c r="O956" s="47" t="n">
        <x:v>0.8884824073998244</x:v>
      </x:c>
      <x:c r="P956" s="47" t="n">
        <x:v>0.6364295186286406</x:v>
      </x:c>
      <x:c r="Q956" s="47" t="n">
        <x:v>1</x:v>
      </x:c>
      <x:c r="R956" s="47" t="n">
        <x:v>0.862293276545144</x:v>
      </x:c>
      <x:c r="S956" s="27" t="n">
        <x:v>0</x:v>
      </x:c>
    </x:row>
    <x:row r="957" ht="21.600000381469727" hidden="0" customHeight="1">
      <x:c r="A957" s="29" t="n">
        <x:v>318</x:v>
      </x:c>
      <x:c r="B957" s="29" t="str">
        <x:v>A2</x:v>
      </x:c>
      <x:c r="C957" s="48" t="n">
        <x:v>0.9259202872960058</x:v>
      </x:c>
      <x:c r="D957" s="48" t="n">
        <x:v>0.8994631511759216</x:v>
      </x:c>
      <x:c r="E957" s="48" t="n">
        <x:v>0.609115388942268</x:v>
      </x:c>
      <x:c r="F957" s="48" t="n">
        <x:v>-0.14972087114357524</x:v>
      </x:c>
      <x:c r="G957" s="48" t="n">
        <x:v>-0.041273753701933036</x:v>
      </x:c>
      <x:c r="H957" s="48" t="n">
        <x:v>0.5536525735170998</x:v>
      </x:c>
      <x:c r="I957" s="48" t="n">
        <x:v>0.654672039419021</x:v>
      </x:c>
      <x:c r="J957" s="48" t="n">
        <x:v>0.5116279711071833</x:v>
      </x:c>
      <x:c r="K957" s="48" t="n">
        <x:v>0.9832449707328537</x:v>
      </x:c>
      <x:c r="L957" s="48" t="n">
        <x:v>0.5740511555365329</x:v>
      </x:c>
      <x:c r="M957" s="48" t="n">
        <x:v>0.08114888087694408</x:v>
      </x:c>
      <x:c r="N957" s="48" t="n">
        <x:v>0.9060280034514</x:v>
      </x:c>
      <x:c r="O957" s="48" t="n">
        <x:v>0.9703866451267488</x:v>
      </x:c>
      <x:c r="P957" s="48" t="n">
        <x:v>0.7637035394999311</x:v>
      </x:c>
      <x:c r="Q957" s="48" t="n">
        <x:v>1</x:v>
      </x:c>
      <x:c r="R957" s="48" t="n">
        <x:v>0.963432154738831</x:v>
      </x:c>
      <x:c r="S957" s="29" t="n">
        <x:v>0</x:v>
      </x:c>
    </x:row>
    <x:row r="958" ht="21.600000381469727" hidden="0" customHeight="1">
      <x:c r="A958" s="27" t="n">
        <x:v>318</x:v>
      </x:c>
      <x:c r="B958" s="27" t="str">
        <x:v>A3</x:v>
      </x:c>
      <x:c r="C958" s="47" t="n">
        <x:v>0.9259202872960058</x:v>
      </x:c>
      <x:c r="D958" s="47" t="n">
        <x:v>0.8994631511759216</x:v>
      </x:c>
      <x:c r="E958" s="47" t="n">
        <x:v>0.609115388942268</x:v>
      </x:c>
      <x:c r="F958" s="47" t="n">
        <x:v>-0.14972087114357524</x:v>
      </x:c>
      <x:c r="G958" s="47" t="n">
        <x:v>-0.041273753701933036</x:v>
      </x:c>
      <x:c r="H958" s="47" t="n">
        <x:v>0.5536525735170998</x:v>
      </x:c>
      <x:c r="I958" s="47" t="n">
        <x:v>0.654672039419021</x:v>
      </x:c>
      <x:c r="J958" s="47" t="n">
        <x:v>0.5116279711071833</x:v>
      </x:c>
      <x:c r="K958" s="47" t="n">
        <x:v>0.9832449707328537</x:v>
      </x:c>
      <x:c r="L958" s="47" t="n">
        <x:v>0.5740511555365329</x:v>
      </x:c>
      <x:c r="M958" s="47" t="n">
        <x:v>0.08114888087694408</x:v>
      </x:c>
      <x:c r="N958" s="47" t="n">
        <x:v>0.9060280034514</x:v>
      </x:c>
      <x:c r="O958" s="47" t="n">
        <x:v>1</x:v>
      </x:c>
      <x:c r="P958" s="47" t="n">
        <x:v>1</x:v>
      </x:c>
      <x:c r="Q958" s="47" t="n">
        <x:v>1</x:v>
      </x:c>
      <x:c r="R958" s="47" t="n">
        <x:v>1</x:v>
      </x:c>
      <x:c r="S958" s="27" t="n">
        <x:v>1</x:v>
      </x:c>
    </x:row>
    <x:row r="959" ht="21.600000381469727" hidden="0" customHeight="1">
      <x:c r="A959" s="29" t="n">
        <x:v>319</x:v>
      </x:c>
      <x:c r="B959" s="29" t="str">
        <x:v>A1</x:v>
      </x:c>
      <x:c r="C959" s="48" t="n">
        <x:v>1.349383208223291</x:v>
      </x:c>
      <x:c r="D959" s="48" t="n">
        <x:v>0.8537654902488357</x:v>
      </x:c>
      <x:c r="E959" s="48" t="n">
        <x:v>0.5243286259302445</x:v>
      </x:c>
      <x:c r="F959" s="48" t="n">
        <x:v>-0.12548731574262567</x:v>
      </x:c>
      <x:c r="G959" s="48" t="n">
        <x:v>0.027853109688615374</x:v>
      </x:c>
      <x:c r="H959" s="48" t="n">
        <x:v>0.5196766398131931</x:v>
      </x:c>
      <x:c r="I959" s="48" t="n">
        <x:v>0.8213989030907981</x:v>
      </x:c>
      <x:c r="J959" s="48" t="n">
        <x:v>0.6168580896470726</x:v>
      </x:c>
      <x:c r="K959" s="48" t="n">
        <x:v>0.9041935526501286</x:v>
      </x:c>
      <x:c r="L959" s="48" t="n">
        <x:v>0.7989267616597542</x:v>
      </x:c>
      <x:c r="M959" s="48" t="n">
        <x:v>0.011604463703051087</x:v>
      </x:c>
      <x:c r="N959" s="48" t="n">
        <x:v>0.9516680787220707</x:v>
      </x:c>
      <x:c r="O959" s="48" t="n">
        <x:v>0.7690487108946168</x:v>
      </x:c>
      <x:c r="P959" s="48" t="n">
        <x:v>0.41306752742142266</x:v>
      </x:c>
      <x:c r="Q959" s="48" t="n">
        <x:v>1</x:v>
      </x:c>
      <x:c r="R959" s="48" t="n">
        <x:v>0.714811407251205</x:v>
      </x:c>
      <x:c r="S959" s="29" t="n">
        <x:v>0</x:v>
      </x:c>
    </x:row>
    <x:row r="960" ht="21.600000381469727" hidden="0" customHeight="1">
      <x:c r="A960" s="27" t="n">
        <x:v>319</x:v>
      </x:c>
      <x:c r="B960" s="27" t="str">
        <x:v>A2</x:v>
      </x:c>
      <x:c r="C960" s="47" t="n">
        <x:v>1.349383208223291</x:v>
      </x:c>
      <x:c r="D960" s="47" t="n">
        <x:v>0.8537654902488357</x:v>
      </x:c>
      <x:c r="E960" s="47" t="n">
        <x:v>0.5243286259302445</x:v>
      </x:c>
      <x:c r="F960" s="47" t="n">
        <x:v>-0.12548731574262567</x:v>
      </x:c>
      <x:c r="G960" s="47" t="n">
        <x:v>0.027853109688615374</x:v>
      </x:c>
      <x:c r="H960" s="47" t="n">
        <x:v>0.5196766398131931</x:v>
      </x:c>
      <x:c r="I960" s="47" t="n">
        <x:v>0.8213989030907981</x:v>
      </x:c>
      <x:c r="J960" s="47" t="n">
        <x:v>0.6168580896470726</x:v>
      </x:c>
      <x:c r="K960" s="47" t="n">
        <x:v>0.9041935526501286</x:v>
      </x:c>
      <x:c r="L960" s="47" t="n">
        <x:v>0.7989267616597542</x:v>
      </x:c>
      <x:c r="M960" s="47" t="n">
        <x:v>0.011604463703051087</x:v>
      </x:c>
      <x:c r="N960" s="47" t="n">
        <x:v>0.9516680787220707</x:v>
      </x:c>
      <x:c r="O960" s="47" t="n">
        <x:v>0.8509344922730093</x:v>
      </x:c>
      <x:c r="P960" s="47" t="n">
        <x:v>0.522745084581875</x:v>
      </x:c>
      <x:c r="Q960" s="47" t="n">
        <x:v>1</x:v>
      </x:c>
      <x:c r="R960" s="47" t="n">
        <x:v>0.8159274947512983</x:v>
      </x:c>
      <x:c r="S960" s="27" t="n">
        <x:v>0</x:v>
      </x:c>
    </x:row>
    <x:row r="961" ht="21.600000381469727" hidden="0" customHeight="1">
      <x:c r="A961" s="29" t="n">
        <x:v>319</x:v>
      </x:c>
      <x:c r="B961" s="29" t="str">
        <x:v>A3</x:v>
      </x:c>
      <x:c r="C961" s="48" t="n">
        <x:v>1.349383208223291</x:v>
      </x:c>
      <x:c r="D961" s="48" t="n">
        <x:v>0.8537654902488357</x:v>
      </x:c>
      <x:c r="E961" s="48" t="n">
        <x:v>0.5243286259302445</x:v>
      </x:c>
      <x:c r="F961" s="48" t="n">
        <x:v>-0.12548731574262567</x:v>
      </x:c>
      <x:c r="G961" s="48" t="n">
        <x:v>0.027853109688615374</x:v>
      </x:c>
      <x:c r="H961" s="48" t="n">
        <x:v>0.5196766398131931</x:v>
      </x:c>
      <x:c r="I961" s="48" t="n">
        <x:v>0.8213989030907981</x:v>
      </x:c>
      <x:c r="J961" s="48" t="n">
        <x:v>0.6168580896470726</x:v>
      </x:c>
      <x:c r="K961" s="48" t="n">
        <x:v>0.9041935526501286</x:v>
      </x:c>
      <x:c r="L961" s="48" t="n">
        <x:v>0.7989267616597542</x:v>
      </x:c>
      <x:c r="M961" s="48" t="n">
        <x:v>0.011604463703051087</x:v>
      </x:c>
      <x:c r="N961" s="48" t="n">
        <x:v>0.9516680787220707</x:v>
      </x:c>
      <x:c r="O961" s="48" t="n">
        <x:v>1</x:v>
      </x:c>
      <x:c r="P961" s="48" t="n">
        <x:v>1</x:v>
      </x:c>
      <x:c r="Q961" s="48" t="n">
        <x:v>1</x:v>
      </x:c>
      <x:c r="R961" s="48" t="n">
        <x:v>1</x:v>
      </x:c>
      <x:c r="S961" s="29" t="n">
        <x:v>1</x:v>
      </x:c>
    </x:row>
    <x:row r="962" ht="21.600000381469727" hidden="0" customHeight="1">
      <x:c r="A962" s="27" t="n">
        <x:v>320</x:v>
      </x:c>
      <x:c r="B962" s="27" t="str">
        <x:v>A1</x:v>
      </x:c>
      <x:c r="C962" s="47" t="n">
        <x:v>1.1093690431538024</x:v>
      </x:c>
      <x:c r="D962" s="47" t="n">
        <x:v>0.88985521750931</x:v>
      </x:c>
      <x:c r="E962" s="47" t="n">
        <x:v>0.8400581909836966</x:v>
      </x:c>
      <x:c r="F962" s="47" t="n">
        <x:v>-0.14886146307861395</x:v>
      </x:c>
      <x:c r="G962" s="47" t="n">
        <x:v>-0.06040041690658848</x:v>
      </x:c>
      <x:c r="H962" s="47" t="n">
        <x:v>1.035803768869869</x:v>
      </x:c>
      <x:c r="I962" s="47" t="n">
        <x:v>0.6215879533333089</x:v>
      </x:c>
      <x:c r="J962" s="47" t="n">
        <x:v>0.43713259935718873</x:v>
      </x:c>
      <x:c r="K962" s="47" t="n">
        <x:v>0.5745671427028956</x:v>
      </x:c>
      <x:c r="L962" s="47" t="n">
        <x:v>0.5768536080876687</x:v>
      </x:c>
      <x:c r="M962" s="47" t="n">
        <x:v>0.0523304835705245</x:v>
      </x:c>
      <x:c r="N962" s="47" t="n">
        <x:v>0.7160103189752907</x:v>
      </x:c>
      <x:c r="O962" s="47" t="n">
        <x:v>0.8201438018568041</x:v>
      </x:c>
      <x:c r="P962" s="47" t="n">
        <x:v>0.47696779069452133</x:v>
      </x:c>
      <x:c r="Q962" s="47" t="n">
        <x:v>1</x:v>
      </x:c>
      <x:c r="R962" s="47" t="n">
        <x:v>0.7779058248849979</x:v>
      </x:c>
      <x:c r="S962" s="27" t="n">
        <x:v>0</x:v>
      </x:c>
    </x:row>
    <x:row r="963" ht="21.600000381469727" hidden="0" customHeight="1">
      <x:c r="A963" s="29" t="n">
        <x:v>320</x:v>
      </x:c>
      <x:c r="B963" s="29" t="str">
        <x:v>A2</x:v>
      </x:c>
      <x:c r="C963" s="48" t="n">
        <x:v>1.1093690431538024</x:v>
      </x:c>
      <x:c r="D963" s="48" t="n">
        <x:v>0.88985521750931</x:v>
      </x:c>
      <x:c r="E963" s="48" t="n">
        <x:v>0.8400581909836966</x:v>
      </x:c>
      <x:c r="F963" s="48" t="n">
        <x:v>-0.14886146307861395</x:v>
      </x:c>
      <x:c r="G963" s="48" t="n">
        <x:v>-0.06040041690658848</x:v>
      </x:c>
      <x:c r="H963" s="48" t="n">
        <x:v>1.035803768869869</x:v>
      </x:c>
      <x:c r="I963" s="48" t="n">
        <x:v>0.6215879533333089</x:v>
      </x:c>
      <x:c r="J963" s="48" t="n">
        <x:v>0.43713259935718873</x:v>
      </x:c>
      <x:c r="K963" s="48" t="n">
        <x:v>0.5745671427028956</x:v>
      </x:c>
      <x:c r="L963" s="48" t="n">
        <x:v>0.5768536080876687</x:v>
      </x:c>
      <x:c r="M963" s="48" t="n">
        <x:v>0.0523304835705245</x:v>
      </x:c>
      <x:c r="N963" s="48" t="n">
        <x:v>0.7160103189752907</x:v>
      </x:c>
      <x:c r="O963" s="48" t="n">
        <x:v>0.9111851676225602</x:v>
      </x:c>
      <x:c r="P963" s="48" t="n">
        <x:v>0.677300776732913</x:v>
      </x:c>
      <x:c r="Q963" s="48" t="n">
        <x:v>1</x:v>
      </x:c>
      <x:c r="R963" s="48" t="n">
        <x:v>0.8903276220753867</x:v>
      </x:c>
      <x:c r="S963" s="29" t="n">
        <x:v>0</x:v>
      </x:c>
    </x:row>
    <x:row r="964" ht="21.600000381469727" hidden="0" customHeight="1">
      <x:c r="A964" s="27" t="n">
        <x:v>320</x:v>
      </x:c>
      <x:c r="B964" s="27" t="str">
        <x:v>A3</x:v>
      </x:c>
      <x:c r="C964" s="47" t="n">
        <x:v>1.1093690431538024</x:v>
      </x:c>
      <x:c r="D964" s="47" t="n">
        <x:v>0.88985521750931</x:v>
      </x:c>
      <x:c r="E964" s="47" t="n">
        <x:v>0.8400581909836966</x:v>
      </x:c>
      <x:c r="F964" s="47" t="n">
        <x:v>-0.14886146307861395</x:v>
      </x:c>
      <x:c r="G964" s="47" t="n">
        <x:v>-0.06040041690658848</x:v>
      </x:c>
      <x:c r="H964" s="47" t="n">
        <x:v>1.035803768869869</x:v>
      </x:c>
      <x:c r="I964" s="47" t="n">
        <x:v>0.6215879533333089</x:v>
      </x:c>
      <x:c r="J964" s="47" t="n">
        <x:v>0.43713259935718873</x:v>
      </x:c>
      <x:c r="K964" s="47" t="n">
        <x:v>0.5745671427028956</x:v>
      </x:c>
      <x:c r="L964" s="47" t="n">
        <x:v>0.5768536080876687</x:v>
      </x:c>
      <x:c r="M964" s="47" t="n">
        <x:v>0.0523304835705245</x:v>
      </x:c>
      <x:c r="N964" s="47" t="n">
        <x:v>0.7160103189752907</x:v>
      </x:c>
      <x:c r="O964" s="47" t="n">
        <x:v>1</x:v>
      </x:c>
      <x:c r="P964" s="47" t="n">
        <x:v>1</x:v>
      </x:c>
      <x:c r="Q964" s="47" t="n">
        <x:v>1</x:v>
      </x:c>
      <x:c r="R964" s="47" t="n">
        <x:v>1</x:v>
      </x:c>
      <x:c r="S964" s="27" t="n">
        <x:v>1</x:v>
      </x:c>
    </x:row>
    <x:row r="965" ht="21.600000381469727" hidden="0" customHeight="1">
      <x:c r="A965" s="29" t="n">
        <x:v>321</x:v>
      </x:c>
      <x:c r="B965" s="29" t="str">
        <x:v>A1</x:v>
      </x:c>
      <x:c r="C965" s="48" t="n">
        <x:v>0.997398146211036</x:v>
      </x:c>
      <x:c r="D965" s="48" t="n">
        <x:v>0.803004039081193</x:v>
      </x:c>
      <x:c r="E965" s="48" t="n">
        <x:v>0.7840921323902392</x:v>
      </x:c>
      <x:c r="F965" s="48" t="n">
        <x:v>-0.1461722033419026</x:v>
      </x:c>
      <x:c r="G965" s="48" t="n">
        <x:v>-0.10596253131752127</x:v>
      </x:c>
      <x:c r="H965" s="48" t="n">
        <x:v>0.41724603000070437</x:v>
      </x:c>
      <x:c r="I965" s="48" t="n">
        <x:v>0.717810276248133</x:v>
      </x:c>
      <x:c r="J965" s="48" t="n">
        <x:v>0.44331833223108846</x:v>
      </x:c>
      <x:c r="K965" s="48" t="n">
        <x:v>0.5739063330207913</x:v>
      </x:c>
      <x:c r="L965" s="48" t="n">
        <x:v>0.8554841318039801</x:v>
      </x:c>
      <x:c r="M965" s="48" t="n">
        <x:v>0.13401011487434739</x:v>
      </x:c>
      <x:c r="N965" s="48" t="n">
        <x:v>0.8584056687696745</x:v>
      </x:c>
      <x:c r="O965" s="48" t="n">
        <x:v>0.852947720763847</x:v>
      </x:c>
      <x:c r="P965" s="48" t="n">
        <x:v>0.6196336951369262</x:v>
      </x:c>
      <x:c r="Q965" s="48" t="n">
        <x:v>1</x:v>
      </x:c>
      <x:c r="R965" s="48" t="n">
        <x:v>0.8184135159482693</x:v>
      </x:c>
      <x:c r="S965" s="29" t="n">
        <x:v>0</x:v>
      </x:c>
    </x:row>
    <x:row r="966" ht="21.600000381469727" hidden="0" customHeight="1">
      <x:c r="A966" s="27" t="n">
        <x:v>321</x:v>
      </x:c>
      <x:c r="B966" s="27" t="str">
        <x:v>A2</x:v>
      </x:c>
      <x:c r="C966" s="47" t="n">
        <x:v>0.997398146211036</x:v>
      </x:c>
      <x:c r="D966" s="47" t="n">
        <x:v>0.803004039081193</x:v>
      </x:c>
      <x:c r="E966" s="47" t="n">
        <x:v>0.7840921323902392</x:v>
      </x:c>
      <x:c r="F966" s="47" t="n">
        <x:v>-0.1461722033419026</x:v>
      </x:c>
      <x:c r="G966" s="47" t="n">
        <x:v>-0.10596253131752127</x:v>
      </x:c>
      <x:c r="H966" s="47" t="n">
        <x:v>0.41724603000070437</x:v>
      </x:c>
      <x:c r="I966" s="47" t="n">
        <x:v>0.717810276248133</x:v>
      </x:c>
      <x:c r="J966" s="47" t="n">
        <x:v>0.44331833223108846</x:v>
      </x:c>
      <x:c r="K966" s="47" t="n">
        <x:v>0.5739063330207913</x:v>
      </x:c>
      <x:c r="L966" s="47" t="n">
        <x:v>0.8554841318039801</x:v>
      </x:c>
      <x:c r="M966" s="47" t="n">
        <x:v>0.13401011487434739</x:v>
      </x:c>
      <x:c r="N966" s="47" t="n">
        <x:v>0.8584056687696745</x:v>
      </x:c>
      <x:c r="O966" s="47" t="n">
        <x:v>0.9384766986319575</x:v>
      </x:c>
      <x:c r="P966" s="47" t="n">
        <x:v>0.718567239049756</x:v>
      </x:c>
      <x:c r="Q966" s="47" t="n">
        <x:v>1</x:v>
      </x:c>
      <x:c r="R966" s="47" t="n">
        <x:v>0.9240283792899467</x:v>
      </x:c>
      <x:c r="S966" s="27" t="n">
        <x:v>0</x:v>
      </x:c>
    </x:row>
    <x:row r="967" ht="21.600000381469727" hidden="0" customHeight="1">
      <x:c r="A967" s="29" t="n">
        <x:v>321</x:v>
      </x:c>
      <x:c r="B967" s="29" t="str">
        <x:v>A3</x:v>
      </x:c>
      <x:c r="C967" s="48" t="n">
        <x:v>0.997398146211036</x:v>
      </x:c>
      <x:c r="D967" s="48" t="n">
        <x:v>0.803004039081193</x:v>
      </x:c>
      <x:c r="E967" s="48" t="n">
        <x:v>0.7840921323902392</x:v>
      </x:c>
      <x:c r="F967" s="48" t="n">
        <x:v>-0.1461722033419026</x:v>
      </x:c>
      <x:c r="G967" s="48" t="n">
        <x:v>-0.10596253131752127</x:v>
      </x:c>
      <x:c r="H967" s="48" t="n">
        <x:v>0.41724603000070437</x:v>
      </x:c>
      <x:c r="I967" s="48" t="n">
        <x:v>0.717810276248133</x:v>
      </x:c>
      <x:c r="J967" s="48" t="n">
        <x:v>0.44331833223108846</x:v>
      </x:c>
      <x:c r="K967" s="48" t="n">
        <x:v>0.5739063330207913</x:v>
      </x:c>
      <x:c r="L967" s="48" t="n">
        <x:v>0.8554841318039801</x:v>
      </x:c>
      <x:c r="M967" s="48" t="n">
        <x:v>0.13401011487434739</x:v>
      </x:c>
      <x:c r="N967" s="48" t="n">
        <x:v>0.8584056687696745</x:v>
      </x:c>
      <x:c r="O967" s="48" t="n">
        <x:v>1</x:v>
      </x:c>
      <x:c r="P967" s="48" t="n">
        <x:v>1</x:v>
      </x:c>
      <x:c r="Q967" s="48" t="n">
        <x:v>1</x:v>
      </x:c>
      <x:c r="R967" s="48" t="n">
        <x:v>1.0000000000000002</x:v>
      </x:c>
      <x:c r="S967" s="29" t="n">
        <x:v>1</x:v>
      </x:c>
    </x:row>
    <x:row r="968" ht="21.600000381469727" hidden="0" customHeight="1">
      <x:c r="A968" s="27" t="n">
        <x:v>322</x:v>
      </x:c>
      <x:c r="B968" s="27" t="str">
        <x:v>A1</x:v>
      </x:c>
      <x:c r="C968" s="47" t="n">
        <x:v>1.0337419055966988</x:v>
      </x:c>
      <x:c r="D968" s="47" t="n">
        <x:v>0.9690781477853436</x:v>
      </x:c>
      <x:c r="E968" s="47" t="n">
        <x:v>0.695179090979307</x:v>
      </x:c>
      <x:c r="F968" s="47" t="n">
        <x:v>0.028736578184250405</x:v>
      </x:c>
      <x:c r="G968" s="47" t="n">
        <x:v>-0.13851955220053094</x:v>
      </x:c>
      <x:c r="H968" s="47" t="n">
        <x:v>0.6219794855398151</x:v>
      </x:c>
      <x:c r="I968" s="47" t="n">
        <x:v>0.9030166220488733</x:v>
      </x:c>
      <x:c r="J968" s="47" t="n">
        <x:v>0.5105317617377348</x:v>
      </x:c>
      <x:c r="K968" s="47" t="n">
        <x:v>0.6103053191596296</x:v>
      </x:c>
      <x:c r="L968" s="47" t="n">
        <x:v>0.8482371342354006</x:v>
      </x:c>
      <x:c r="M968" s="47" t="n">
        <x:v>0.10094527687708901</x:v>
      </x:c>
      <x:c r="N968" s="47" t="n">
        <x:v>0.7506453408888043</x:v>
      </x:c>
      <x:c r="O968" s="47" t="n">
        <x:v>0.8886083099347787</x:v>
      </x:c>
      <x:c r="P968" s="47" t="n">
        <x:v>0.7006060607910595</x:v>
      </x:c>
      <x:c r="Q968" s="47" t="n">
        <x:v>1</x:v>
      </x:c>
      <x:c r="R968" s="47" t="n">
        <x:v>0.8624487464145967</x:v>
      </x:c>
      <x:c r="S968" s="27" t="n">
        <x:v>0</x:v>
      </x:c>
    </x:row>
    <x:row r="969" ht="21.600000381469727" hidden="0" customHeight="1">
      <x:c r="A969" s="29" t="n">
        <x:v>322</x:v>
      </x:c>
      <x:c r="B969" s="29" t="str">
        <x:v>A2</x:v>
      </x:c>
      <x:c r="C969" s="48" t="n">
        <x:v>1.0337419055966988</x:v>
      </x:c>
      <x:c r="D969" s="48" t="n">
        <x:v>0.9690781477853436</x:v>
      </x:c>
      <x:c r="E969" s="48" t="n">
        <x:v>0.695179090979307</x:v>
      </x:c>
      <x:c r="F969" s="48" t="n">
        <x:v>0.028736578184250405</x:v>
      </x:c>
      <x:c r="G969" s="48" t="n">
        <x:v>-0.13851955220053094</x:v>
      </x:c>
      <x:c r="H969" s="48" t="n">
        <x:v>0.6219794855398151</x:v>
      </x:c>
      <x:c r="I969" s="48" t="n">
        <x:v>0.9030166220488733</x:v>
      </x:c>
      <x:c r="J969" s="48" t="n">
        <x:v>0.5105317617377348</x:v>
      </x:c>
      <x:c r="K969" s="48" t="n">
        <x:v>0.6103053191596296</x:v>
      </x:c>
      <x:c r="L969" s="48" t="n">
        <x:v>0.8482371342354006</x:v>
      </x:c>
      <x:c r="M969" s="48" t="n">
        <x:v>0.10094527687708901</x:v>
      </x:c>
      <x:c r="N969" s="48" t="n">
        <x:v>0.7506453408888043</x:v>
      </x:c>
      <x:c r="O969" s="48" t="n">
        <x:v>0.9758291409550275</x:v>
      </x:c>
      <x:c r="P969" s="48" t="n">
        <x:v>0.8421771299273592</x:v>
      </x:c>
      <x:c r="Q969" s="48" t="n">
        <x:v>1</x:v>
      </x:c>
      <x:c r="R969" s="48" t="n">
        <x:v>0.9701527828518862</x:v>
      </x:c>
      <x:c r="S969" s="29" t="n">
        <x:v>0</x:v>
      </x:c>
    </x:row>
    <x:row r="970" ht="21.600000381469727" hidden="0" customHeight="1">
      <x:c r="A970" s="27" t="n">
        <x:v>322</x:v>
      </x:c>
      <x:c r="B970" s="27" t="str">
        <x:v>A3</x:v>
      </x:c>
      <x:c r="C970" s="47" t="n">
        <x:v>1.0337419055966988</x:v>
      </x:c>
      <x:c r="D970" s="47" t="n">
        <x:v>0.9690781477853436</x:v>
      </x:c>
      <x:c r="E970" s="47" t="n">
        <x:v>0.695179090979307</x:v>
      </x:c>
      <x:c r="F970" s="47" t="n">
        <x:v>0.028736578184250405</x:v>
      </x:c>
      <x:c r="G970" s="47" t="n">
        <x:v>-0.13851955220053094</x:v>
      </x:c>
      <x:c r="H970" s="47" t="n">
        <x:v>0.6219794855398151</x:v>
      </x:c>
      <x:c r="I970" s="47" t="n">
        <x:v>0.9030166220488733</x:v>
      </x:c>
      <x:c r="J970" s="47" t="n">
        <x:v>0.5105317617377348</x:v>
      </x:c>
      <x:c r="K970" s="47" t="n">
        <x:v>0.6103053191596296</x:v>
      </x:c>
      <x:c r="L970" s="47" t="n">
        <x:v>0.8482371342354006</x:v>
      </x:c>
      <x:c r="M970" s="47" t="n">
        <x:v>0.10094527687708901</x:v>
      </x:c>
      <x:c r="N970" s="47" t="n">
        <x:v>0.7506453408888043</x:v>
      </x:c>
      <x:c r="O970" s="47" t="n">
        <x:v>1</x:v>
      </x:c>
      <x:c r="P970" s="47" t="n">
        <x:v>1</x:v>
      </x:c>
      <x:c r="Q970" s="47" t="n">
        <x:v>1</x:v>
      </x:c>
      <x:c r="R970" s="47" t="n">
        <x:v>1</x:v>
      </x:c>
      <x:c r="S970" s="27" t="n">
        <x:v>1</x:v>
      </x:c>
    </x:row>
    <x:row r="971" ht="21.600000381469727" hidden="0" customHeight="1">
      <x:c r="A971" s="29" t="n">
        <x:v>323</x:v>
      </x:c>
      <x:c r="B971" s="29" t="str">
        <x:v>A1</x:v>
      </x:c>
      <x:c r="C971" s="48" t="n">
        <x:v>1.3086174253452922</x:v>
      </x:c>
      <x:c r="D971" s="48" t="n">
        <x:v>0.8103021859489464</x:v>
      </x:c>
      <x:c r="E971" s="48" t="n">
        <x:v>0.7641498431022236</x:v>
      </x:c>
      <x:c r="F971" s="48" t="n">
        <x:v>-0.0466795537111768</x:v>
      </x:c>
      <x:c r="G971" s="48" t="n">
        <x:v>-0.17779779409058613</x:v>
      </x:c>
      <x:c r="H971" s="48" t="n">
        <x:v>0.9131002765121956</x:v>
      </x:c>
      <x:c r="I971" s="48" t="n">
        <x:v>0.6563423358330851</x:v>
      </x:c>
      <x:c r="J971" s="48" t="n">
        <x:v>0.7830675483422099</x:v>
      </x:c>
      <x:c r="K971" s="48" t="n">
        <x:v>0.9907123612988777</x:v>
      </x:c>
      <x:c r="L971" s="48" t="n">
        <x:v>0.7667784001759558</x:v>
      </x:c>
      <x:c r="M971" s="48" t="n">
        <x:v>0.09924265680910631</x:v>
      </x:c>
      <x:c r="N971" s="48" t="n">
        <x:v>0.9894416744346117</x:v>
      </x:c>
      <x:c r="O971" s="48" t="n">
        <x:v>0.77574807487824</x:v>
      </x:c>
      <x:c r="P971" s="48" t="n">
        <x:v>0.37917978279054254</x:v>
      </x:c>
      <x:c r="Q971" s="48" t="n">
        <x:v>1</x:v>
      </x:c>
      <x:c r="R971" s="48" t="n">
        <x:v>0.7230840702625367</x:v>
      </x:c>
      <x:c r="S971" s="29" t="n">
        <x:v>0</x:v>
      </x:c>
    </x:row>
    <x:row r="972" ht="21.600000381469727" hidden="0" customHeight="1">
      <x:c r="A972" s="27" t="n">
        <x:v>323</x:v>
      </x:c>
      <x:c r="B972" s="27" t="str">
        <x:v>A2</x:v>
      </x:c>
      <x:c r="C972" s="47" t="n">
        <x:v>1.3086174253452922</x:v>
      </x:c>
      <x:c r="D972" s="47" t="n">
        <x:v>0.8103021859489464</x:v>
      </x:c>
      <x:c r="E972" s="47" t="n">
        <x:v>0.7641498431022236</x:v>
      </x:c>
      <x:c r="F972" s="47" t="n">
        <x:v>-0.0466795537111768</x:v>
      </x:c>
      <x:c r="G972" s="47" t="n">
        <x:v>-0.17779779409058613</x:v>
      </x:c>
      <x:c r="H972" s="47" t="n">
        <x:v>0.9131002765121956</x:v>
      </x:c>
      <x:c r="I972" s="47" t="n">
        <x:v>0.6563423358330851</x:v>
      </x:c>
      <x:c r="J972" s="47" t="n">
        <x:v>0.7830675483422099</x:v>
      </x:c>
      <x:c r="K972" s="47" t="n">
        <x:v>0.9907123612988777</x:v>
      </x:c>
      <x:c r="L972" s="47" t="n">
        <x:v>0.7667784001759558</x:v>
      </x:c>
      <x:c r="M972" s="47" t="n">
        <x:v>0.09924265680910631</x:v>
      </x:c>
      <x:c r="N972" s="47" t="n">
        <x:v>0.9894416744346117</x:v>
      </x:c>
      <x:c r="O972" s="47" t="n">
        <x:v>0.8629834074347876</x:v>
      </x:c>
      <x:c r="P972" s="47" t="n">
        <x:v>0.4396580414935943</x:v>
      </x:c>
      <x:c r="Q972" s="47" t="n">
        <x:v>1</x:v>
      </x:c>
      <x:c r="R972" s="47" t="n">
        <x:v>0.8308060138210457</x:v>
      </x:c>
      <x:c r="S972" s="27" t="n">
        <x:v>0</x:v>
      </x:c>
    </x:row>
    <x:row r="973" ht="21.600000381469727" hidden="0" customHeight="1">
      <x:c r="A973" s="29" t="n">
        <x:v>323</x:v>
      </x:c>
      <x:c r="B973" s="29" t="str">
        <x:v>A3</x:v>
      </x:c>
      <x:c r="C973" s="48" t="n">
        <x:v>1.3086174253452922</x:v>
      </x:c>
      <x:c r="D973" s="48" t="n">
        <x:v>0.8103021859489464</x:v>
      </x:c>
      <x:c r="E973" s="48" t="n">
        <x:v>0.7641498431022236</x:v>
      </x:c>
      <x:c r="F973" s="48" t="n">
        <x:v>-0.0466795537111768</x:v>
      </x:c>
      <x:c r="G973" s="48" t="n">
        <x:v>-0.17779779409058613</x:v>
      </x:c>
      <x:c r="H973" s="48" t="n">
        <x:v>0.9131002765121956</x:v>
      </x:c>
      <x:c r="I973" s="48" t="n">
        <x:v>0.6563423358330851</x:v>
      </x:c>
      <x:c r="J973" s="48" t="n">
        <x:v>0.7830675483422099</x:v>
      </x:c>
      <x:c r="K973" s="48" t="n">
        <x:v>0.9907123612988777</x:v>
      </x:c>
      <x:c r="L973" s="48" t="n">
        <x:v>0.7667784001759558</x:v>
      </x:c>
      <x:c r="M973" s="48" t="n">
        <x:v>0.09924265680910631</x:v>
      </x:c>
      <x:c r="N973" s="48" t="n">
        <x:v>0.9894416744346117</x:v>
      </x:c>
      <x:c r="O973" s="48" t="n">
        <x:v>1</x:v>
      </x:c>
      <x:c r="P973" s="48" t="n">
        <x:v>1</x:v>
      </x:c>
      <x:c r="Q973" s="48" t="n">
        <x:v>1</x:v>
      </x:c>
      <x:c r="R973" s="48" t="n">
        <x:v>1</x:v>
      </x:c>
      <x:c r="S973" s="29" t="n">
        <x:v>1</x:v>
      </x:c>
    </x:row>
    <x:row r="974" ht="21.600000381469727" hidden="0" customHeight="1">
      <x:c r="A974" s="27" t="n">
        <x:v>324</x:v>
      </x:c>
      <x:c r="B974" s="27" t="str">
        <x:v>A1</x:v>
      </x:c>
      <x:c r="C974" s="47" t="n">
        <x:v>1.2925698058217718</x:v>
      </x:c>
      <x:c r="D974" s="47" t="n">
        <x:v>0.9999679592223596</x:v>
      </x:c>
      <x:c r="E974" s="47" t="n">
        <x:v>0.5274063205854368</x:v>
      </x:c>
      <x:c r="F974" s="47" t="n">
        <x:v>-0.1222311244176354</x:v>
      </x:c>
      <x:c r="G974" s="47" t="n">
        <x:v>-0.14408245880982265</x:v>
      </x:c>
      <x:c r="H974" s="47" t="n">
        <x:v>0.37914248946676155</x:v>
      </x:c>
      <x:c r="I974" s="47" t="n">
        <x:v>0.8462988407228175</x:v>
      </x:c>
      <x:c r="J974" s="47" t="n">
        <x:v>0.6715277470893869</x:v>
      </x:c>
      <x:c r="K974" s="47" t="n">
        <x:v>0.9574562954346166</x:v>
      </x:c>
      <x:c r="L974" s="47" t="n">
        <x:v>0.8438682056945577</x:v>
      </x:c>
      <x:c r="M974" s="47" t="n">
        <x:v>0.1769579084605878</x:v>
      </x:c>
      <x:c r="N974" s="47" t="n">
        <x:v>0.7652975263214403</x:v>
      </x:c>
      <x:c r="O974" s="47" t="n">
        <x:v>0.8661558137111945</x:v>
      </x:c>
      <x:c r="P974" s="47" t="n">
        <x:v>0.6103889967246686</x:v>
      </x:c>
      <x:c r="Q974" s="47" t="n">
        <x:v>1</x:v>
      </x:c>
      <x:c r="R974" s="47" t="n">
        <x:v>0.834723437642755</x:v>
      </x:c>
      <x:c r="S974" s="27" t="n">
        <x:v>0</x:v>
      </x:c>
    </x:row>
    <x:row r="975" ht="21.600000381469727" hidden="0" customHeight="1">
      <x:c r="A975" s="29" t="n">
        <x:v>324</x:v>
      </x:c>
      <x:c r="B975" s="29" t="str">
        <x:v>A2</x:v>
      </x:c>
      <x:c r="C975" s="48" t="n">
        <x:v>1.2925698058217718</x:v>
      </x:c>
      <x:c r="D975" s="48" t="n">
        <x:v>0.9999679592223596</x:v>
      </x:c>
      <x:c r="E975" s="48" t="n">
        <x:v>0.5274063205854368</x:v>
      </x:c>
      <x:c r="F975" s="48" t="n">
        <x:v>-0.1222311244176354</x:v>
      </x:c>
      <x:c r="G975" s="48" t="n">
        <x:v>-0.14408245880982265</x:v>
      </x:c>
      <x:c r="H975" s="48" t="n">
        <x:v>0.37914248946676155</x:v>
      </x:c>
      <x:c r="I975" s="48" t="n">
        <x:v>0.8462988407228175</x:v>
      </x:c>
      <x:c r="J975" s="48" t="n">
        <x:v>0.6715277470893869</x:v>
      </x:c>
      <x:c r="K975" s="48" t="n">
        <x:v>0.9574562954346166</x:v>
      </x:c>
      <x:c r="L975" s="48" t="n">
        <x:v>0.8438682056945577</x:v>
      </x:c>
      <x:c r="M975" s="48" t="n">
        <x:v>0.1769579084605878</x:v>
      </x:c>
      <x:c r="N975" s="48" t="n">
        <x:v>0.7652975263214403</x:v>
      </x:c>
      <x:c r="O975" s="48" t="n">
        <x:v>0.9425376891777032</x:v>
      </x:c>
      <x:c r="P975" s="48" t="n">
        <x:v>0.7331625664403143</x:v>
      </x:c>
      <x:c r="Q975" s="48" t="n">
        <x:v>1</x:v>
      </x:c>
      <x:c r="R975" s="48" t="n">
        <x:v>0.9290430652152497</x:v>
      </x:c>
      <x:c r="S975" s="29" t="n">
        <x:v>0</x:v>
      </x:c>
    </x:row>
    <x:row r="976" ht="21.600000381469727" hidden="0" customHeight="1">
      <x:c r="A976" s="27" t="n">
        <x:v>324</x:v>
      </x:c>
      <x:c r="B976" s="27" t="str">
        <x:v>A3</x:v>
      </x:c>
      <x:c r="C976" s="47" t="n">
        <x:v>1.2925698058217718</x:v>
      </x:c>
      <x:c r="D976" s="47" t="n">
        <x:v>0.9999679592223596</x:v>
      </x:c>
      <x:c r="E976" s="47" t="n">
        <x:v>0.5274063205854368</x:v>
      </x:c>
      <x:c r="F976" s="47" t="n">
        <x:v>-0.1222311244176354</x:v>
      </x:c>
      <x:c r="G976" s="47" t="n">
        <x:v>-0.14408245880982265</x:v>
      </x:c>
      <x:c r="H976" s="47" t="n">
        <x:v>0.37914248946676155</x:v>
      </x:c>
      <x:c r="I976" s="47" t="n">
        <x:v>0.8462988407228175</x:v>
      </x:c>
      <x:c r="J976" s="47" t="n">
        <x:v>0.6715277470893869</x:v>
      </x:c>
      <x:c r="K976" s="47" t="n">
        <x:v>0.9574562954346166</x:v>
      </x:c>
      <x:c r="L976" s="47" t="n">
        <x:v>0.8438682056945577</x:v>
      </x:c>
      <x:c r="M976" s="47" t="n">
        <x:v>0.1769579084605878</x:v>
      </x:c>
      <x:c r="N976" s="47" t="n">
        <x:v>0.7652975263214403</x:v>
      </x:c>
      <x:c r="O976" s="47" t="n">
        <x:v>1</x:v>
      </x:c>
      <x:c r="P976" s="47" t="n">
        <x:v>1</x:v>
      </x:c>
      <x:c r="Q976" s="47" t="n">
        <x:v>1</x:v>
      </x:c>
      <x:c r="R976" s="47" t="n">
        <x:v>1</x:v>
      </x:c>
      <x:c r="S976" s="27" t="n">
        <x:v>1</x:v>
      </x:c>
    </x:row>
    <x:row r="977" ht="21.600000381469727" hidden="0" customHeight="1">
      <x:c r="A977" s="29" t="n">
        <x:v>325</x:v>
      </x:c>
      <x:c r="B977" s="29" t="str">
        <x:v>A1</x:v>
      </x:c>
      <x:c r="C977" s="48" t="n">
        <x:v>1.3122131728597153</x:v>
      </x:c>
      <x:c r="D977" s="48" t="n">
        <x:v>0.9089608128575708</x:v>
      </x:c>
      <x:c r="E977" s="48" t="n">
        <x:v>0.579818508771342</x:v>
      </x:c>
      <x:c r="F977" s="48" t="n">
        <x:v>-0.13930642011392252</x:v>
      </x:c>
      <x:c r="G977" s="48" t="n">
        <x:v>-0.16798523613474842</x:v>
      </x:c>
      <x:c r="H977" s="48" t="n">
        <x:v>0.5882355844908392</x:v>
      </x:c>
      <x:c r="I977" s="48" t="n">
        <x:v>0.8300034260141119</x:v>
      </x:c>
      <x:c r="J977" s="48" t="n">
        <x:v>0.7303207487615688</x:v>
      </x:c>
      <x:c r="K977" s="48" t="n">
        <x:v>0.6610292641499727</x:v>
      </x:c>
      <x:c r="L977" s="48" t="n">
        <x:v>0.6945620988683427</x:v>
      </x:c>
      <x:c r="M977" s="48" t="n">
        <x:v>0.059410691499988275</x:v>
      </x:c>
      <x:c r="N977" s="48" t="n">
        <x:v>0.7226585220100185</x:v>
      </x:c>
      <x:c r="O977" s="48" t="n">
        <x:v>0.7800859650152406</x:v>
      </x:c>
      <x:c r="P977" s="48" t="n">
        <x:v>0.49926287337941216</x:v>
      </x:c>
      <x:c r="Q977" s="48" t="n">
        <x:v>0.8711039222167947</x:v>
      </x:c>
      <x:c r="R977" s="48" t="n">
        <x:v>0.7293979760109918</x:v>
      </x:c>
      <x:c r="S977" s="29" t="n">
        <x:v>0</x:v>
      </x:c>
    </x:row>
    <x:row r="978" ht="21.600000381469727" hidden="0" customHeight="1">
      <x:c r="A978" s="27" t="n">
        <x:v>325</x:v>
      </x:c>
      <x:c r="B978" s="27" t="str">
        <x:v>A2</x:v>
      </x:c>
      <x:c r="C978" s="47" t="n">
        <x:v>1.3122131728597153</x:v>
      </x:c>
      <x:c r="D978" s="47" t="n">
        <x:v>0.9089608128575708</x:v>
      </x:c>
      <x:c r="E978" s="47" t="n">
        <x:v>0.579818508771342</x:v>
      </x:c>
      <x:c r="F978" s="47" t="n">
        <x:v>-0.13930642011392252</x:v>
      </x:c>
      <x:c r="G978" s="47" t="n">
        <x:v>-0.16798523613474842</x:v>
      </x:c>
      <x:c r="H978" s="47" t="n">
        <x:v>0.5882355844908392</x:v>
      </x:c>
      <x:c r="I978" s="47" t="n">
        <x:v>0.8300034260141119</x:v>
      </x:c>
      <x:c r="J978" s="47" t="n">
        <x:v>0.7303207487615688</x:v>
      </x:c>
      <x:c r="K978" s="47" t="n">
        <x:v>0.6610292641499727</x:v>
      </x:c>
      <x:c r="L978" s="47" t="n">
        <x:v>0.6945620988683427</x:v>
      </x:c>
      <x:c r="M978" s="47" t="n">
        <x:v>0.059410691499988275</x:v>
      </x:c>
      <x:c r="N978" s="47" t="n">
        <x:v>0.7226585220100185</x:v>
      </x:c>
      <x:c r="O978" s="47" t="n">
        <x:v>0.853271283153116</x:v>
      </x:c>
      <x:c r="P978" s="47" t="n">
        <x:v>0.4478038683588136</x:v>
      </x:c>
      <x:c r="Q978" s="47" t="n">
        <x:v>1</x:v>
      </x:c>
      <x:c r="R978" s="47" t="n">
        <x:v>0.8188130647138099</x:v>
      </x:c>
      <x:c r="S978" s="27" t="n">
        <x:v>0</x:v>
      </x:c>
    </x:row>
    <x:row r="979" ht="21.600000381469727" hidden="0" customHeight="1">
      <x:c r="A979" s="29" t="n">
        <x:v>325</x:v>
      </x:c>
      <x:c r="B979" s="29" t="str">
        <x:v>A3</x:v>
      </x:c>
      <x:c r="C979" s="48" t="n">
        <x:v>1.3122131728597153</x:v>
      </x:c>
      <x:c r="D979" s="48" t="n">
        <x:v>0.9089608128575708</x:v>
      </x:c>
      <x:c r="E979" s="48" t="n">
        <x:v>0.579818508771342</x:v>
      </x:c>
      <x:c r="F979" s="48" t="n">
        <x:v>-0.13930642011392252</x:v>
      </x:c>
      <x:c r="G979" s="48" t="n">
        <x:v>-0.16798523613474842</x:v>
      </x:c>
      <x:c r="H979" s="48" t="n">
        <x:v>0.5882355844908392</x:v>
      </x:c>
      <x:c r="I979" s="48" t="n">
        <x:v>0.8300034260141119</x:v>
      </x:c>
      <x:c r="J979" s="48" t="n">
        <x:v>0.7303207487615688</x:v>
      </x:c>
      <x:c r="K979" s="48" t="n">
        <x:v>0.6610292641499727</x:v>
      </x:c>
      <x:c r="L979" s="48" t="n">
        <x:v>0.6945620988683427</x:v>
      </x:c>
      <x:c r="M979" s="48" t="n">
        <x:v>0.059410691499988275</x:v>
      </x:c>
      <x:c r="N979" s="48" t="n">
        <x:v>0.7226585220100185</x:v>
      </x:c>
      <x:c r="O979" s="48" t="n">
        <x:v>1</x:v>
      </x:c>
      <x:c r="P979" s="48" t="n">
        <x:v>1</x:v>
      </x:c>
      <x:c r="Q979" s="48" t="n">
        <x:v>1</x:v>
      </x:c>
      <x:c r="R979" s="48" t="n">
        <x:v>1</x:v>
      </x:c>
      <x:c r="S979" s="29" t="n">
        <x:v>1</x:v>
      </x:c>
    </x:row>
    <x:row r="980" ht="21.600000381469727" hidden="0" customHeight="1">
      <x:c r="A980" s="27" t="n">
        <x:v>326</x:v>
      </x:c>
      <x:c r="B980" s="27" t="str">
        <x:v>A1</x:v>
      </x:c>
      <x:c r="C980" s="47" t="n">
        <x:v>1.2783826677364765</x:v>
      </x:c>
      <x:c r="D980" s="47" t="n">
        <x:v>0.9824347986981742</x:v>
      </x:c>
      <x:c r="E980" s="47" t="n">
        <x:v>0.5082129793314273</x:v>
      </x:c>
      <x:c r="F980" s="47" t="n">
        <x:v>0.03186447753322161</x:v>
      </x:c>
      <x:c r="G980" s="47" t="n">
        <x:v>-0.13437578331362282</x:v>
      </x:c>
      <x:c r="H980" s="47" t="n">
        <x:v>0.7802115792241093</x:v>
      </x:c>
      <x:c r="I980" s="47" t="n">
        <x:v>0.6669869303917365</x:v>
      </x:c>
      <x:c r="J980" s="47" t="n">
        <x:v>0.5534709309758887</x:v>
      </x:c>
      <x:c r="K980" s="47" t="n">
        <x:v>0.8854095221043079</x:v>
      </x:c>
      <x:c r="L980" s="47" t="n">
        <x:v>0.6434489464151742</x:v>
      </x:c>
      <x:c r="M980" s="47" t="n">
        <x:v>0.15909447780277394</x:v>
      </x:c>
      <x:c r="N980" s="47" t="n">
        <x:v>0.83361829037796</x:v>
      </x:c>
      <x:c r="O980" s="47" t="n">
        <x:v>0.8077518007181484</x:v>
      </x:c>
      <x:c r="P980" s="47" t="n">
        <x:v>0.45014256769693145</x:v>
      </x:c>
      <x:c r="Q980" s="47" t="n">
        <x:v>1</x:v>
      </x:c>
      <x:c r="R980" s="47" t="n">
        <x:v>0.7626036484833667</x:v>
      </x:c>
      <x:c r="S980" s="27" t="n">
        <x:v>0</x:v>
      </x:c>
    </x:row>
    <x:row r="981" ht="21.600000381469727" hidden="0" customHeight="1">
      <x:c r="A981" s="29" t="n">
        <x:v>326</x:v>
      </x:c>
      <x:c r="B981" s="29" t="str">
        <x:v>A2</x:v>
      </x:c>
      <x:c r="C981" s="48" t="n">
        <x:v>1.2783826677364765</x:v>
      </x:c>
      <x:c r="D981" s="48" t="n">
        <x:v>0.9824347986981742</x:v>
      </x:c>
      <x:c r="E981" s="48" t="n">
        <x:v>0.5082129793314273</x:v>
      </x:c>
      <x:c r="F981" s="48" t="n">
        <x:v>0.03186447753322161</x:v>
      </x:c>
      <x:c r="G981" s="48" t="n">
        <x:v>-0.13437578331362282</x:v>
      </x:c>
      <x:c r="H981" s="48" t="n">
        <x:v>0.7802115792241093</x:v>
      </x:c>
      <x:c r="I981" s="48" t="n">
        <x:v>0.6669869303917365</x:v>
      </x:c>
      <x:c r="J981" s="48" t="n">
        <x:v>0.5534709309758887</x:v>
      </x:c>
      <x:c r="K981" s="48" t="n">
        <x:v>0.8854095221043079</x:v>
      </x:c>
      <x:c r="L981" s="48" t="n">
        <x:v>0.6434489464151742</x:v>
      </x:c>
      <x:c r="M981" s="48" t="n">
        <x:v>0.15909447780277394</x:v>
      </x:c>
      <x:c r="N981" s="48" t="n">
        <x:v>0.83361829037796</x:v>
      </x:c>
      <x:c r="O981" s="48" t="n">
        <x:v>0.8871619865802932</x:v>
      </x:c>
      <x:c r="P981" s="48" t="n">
        <x:v>0.5947395021430275</x:v>
      </x:c>
      <x:c r="Q981" s="48" t="n">
        <x:v>1</x:v>
      </x:c>
      <x:c r="R981" s="48" t="n">
        <x:v>0.860662764081598</x:v>
      </x:c>
      <x:c r="S981" s="29" t="n">
        <x:v>0</x:v>
      </x:c>
    </x:row>
    <x:row r="982" ht="21.600000381469727" hidden="0" customHeight="1">
      <x:c r="A982" s="27" t="n">
        <x:v>326</x:v>
      </x:c>
      <x:c r="B982" s="27" t="str">
        <x:v>A3</x:v>
      </x:c>
      <x:c r="C982" s="47" t="n">
        <x:v>1.2783826677364765</x:v>
      </x:c>
      <x:c r="D982" s="47" t="n">
        <x:v>0.9824347986981742</x:v>
      </x:c>
      <x:c r="E982" s="47" t="n">
        <x:v>0.5082129793314273</x:v>
      </x:c>
      <x:c r="F982" s="47" t="n">
        <x:v>0.03186447753322161</x:v>
      </x:c>
      <x:c r="G982" s="47" t="n">
        <x:v>-0.13437578331362282</x:v>
      </x:c>
      <x:c r="H982" s="47" t="n">
        <x:v>0.7802115792241093</x:v>
      </x:c>
      <x:c r="I982" s="47" t="n">
        <x:v>0.6669869303917365</x:v>
      </x:c>
      <x:c r="J982" s="47" t="n">
        <x:v>0.5534709309758887</x:v>
      </x:c>
      <x:c r="K982" s="47" t="n">
        <x:v>0.8854095221043079</x:v>
      </x:c>
      <x:c r="L982" s="47" t="n">
        <x:v>0.6434489464151742</x:v>
      </x:c>
      <x:c r="M982" s="47" t="n">
        <x:v>0.15909447780277394</x:v>
      </x:c>
      <x:c r="N982" s="47" t="n">
        <x:v>0.83361829037796</x:v>
      </x:c>
      <x:c r="O982" s="47" t="n">
        <x:v>1</x:v>
      </x:c>
      <x:c r="P982" s="47" t="n">
        <x:v>1</x:v>
      </x:c>
      <x:c r="Q982" s="47" t="n">
        <x:v>1</x:v>
      </x:c>
      <x:c r="R982" s="47" t="n">
        <x:v>1</x:v>
      </x:c>
      <x:c r="S982" s="27" t="n">
        <x:v>1</x:v>
      </x:c>
    </x:row>
    <x:row r="983" ht="21.600000381469727" hidden="0" customHeight="1">
      <x:c r="A983" s="29" t="n">
        <x:v>327</x:v>
      </x:c>
      <x:c r="B983" s="29" t="str">
        <x:v>A1</x:v>
      </x:c>
      <x:c r="C983" s="48" t="n">
        <x:v>1.2505732778112844</x:v>
      </x:c>
      <x:c r="D983" s="48" t="n">
        <x:v>0.8417663017307433</x:v>
      </x:c>
      <x:c r="E983" s="48" t="n">
        <x:v>0.9924786127893657</x:v>
      </x:c>
      <x:c r="F983" s="48" t="n">
        <x:v>-0.1490996873292864</x:v>
      </x:c>
      <x:c r="G983" s="48" t="n">
        <x:v>-0.17187557312290852</x:v>
      </x:c>
      <x:c r="H983" s="48" t="n">
        <x:v>1.099393536557487</x:v>
      </x:c>
      <x:c r="I983" s="48" t="n">
        <x:v>0.9180547133716606</x:v>
      </x:c>
      <x:c r="J983" s="48" t="n">
        <x:v>0.8089030412494518</x:v>
      </x:c>
      <x:c r="K983" s="48" t="n">
        <x:v>0.9891236767099336</x:v>
      </x:c>
      <x:c r="L983" s="48" t="n">
        <x:v>0.8568146446556903</x:v>
      </x:c>
      <x:c r="M983" s="48" t="n">
        <x:v>0.015457382754073571</x:v>
      </x:c>
      <x:c r="N983" s="48" t="n">
        <x:v>0.8937011724357604</x:v>
      </x:c>
      <x:c r="O983" s="48" t="n">
        <x:v>0.8478048485202742</x:v>
      </x:c>
      <x:c r="P983" s="48" t="n">
        <x:v>0.5695955736039594</x:v>
      </x:c>
      <x:c r="Q983" s="48" t="n">
        <x:v>1</x:v>
      </x:c>
      <x:c r="R983" s="48" t="n">
        <x:v>0.8120628759344691</x:v>
      </x:c>
      <x:c r="S983" s="29" t="n">
        <x:v>0</x:v>
      </x:c>
    </x:row>
    <x:row r="984" ht="21.600000381469727" hidden="0" customHeight="1">
      <x:c r="A984" s="27" t="n">
        <x:v>327</x:v>
      </x:c>
      <x:c r="B984" s="27" t="str">
        <x:v>A2</x:v>
      </x:c>
      <x:c r="C984" s="47" t="n">
        <x:v>1.2505732778112844</x:v>
      </x:c>
      <x:c r="D984" s="47" t="n">
        <x:v>0.8417663017307433</x:v>
      </x:c>
      <x:c r="E984" s="47" t="n">
        <x:v>0.9924786127893657</x:v>
      </x:c>
      <x:c r="F984" s="47" t="n">
        <x:v>-0.1490996873292864</x:v>
      </x:c>
      <x:c r="G984" s="47" t="n">
        <x:v>-0.17187557312290852</x:v>
      </x:c>
      <x:c r="H984" s="47" t="n">
        <x:v>1.099393536557487</x:v>
      </x:c>
      <x:c r="I984" s="47" t="n">
        <x:v>0.9180547133716606</x:v>
      </x:c>
      <x:c r="J984" s="47" t="n">
        <x:v>0.8089030412494518</x:v>
      </x:c>
      <x:c r="K984" s="47" t="n">
        <x:v>0.9891236767099336</x:v>
      </x:c>
      <x:c r="L984" s="47" t="n">
        <x:v>0.8568146446556903</x:v>
      </x:c>
      <x:c r="M984" s="47" t="n">
        <x:v>0.015457382754073571</x:v>
      </x:c>
      <x:c r="N984" s="47" t="n">
        <x:v>0.8937011724357604</x:v>
      </x:c>
      <x:c r="O984" s="47" t="n">
        <x:v>0.9203333596436108</x:v>
      </x:c>
      <x:c r="P984" s="47" t="n">
        <x:v>0.578488260674598</x:v>
      </x:c>
      <x:c r="Q984" s="47" t="n">
        <x:v>1</x:v>
      </x:c>
      <x:c r="R984" s="47" t="n">
        <x:v>0.901624203353566</x:v>
      </x:c>
      <x:c r="S984" s="27" t="n">
        <x:v>0</x:v>
      </x:c>
    </x:row>
    <x:row r="985" ht="21.600000381469727" hidden="0" customHeight="1">
      <x:c r="A985" s="29" t="n">
        <x:v>327</x:v>
      </x:c>
      <x:c r="B985" s="29" t="str">
        <x:v>A3</x:v>
      </x:c>
      <x:c r="C985" s="48" t="n">
        <x:v>1.2505732778112844</x:v>
      </x:c>
      <x:c r="D985" s="48" t="n">
        <x:v>0.8417663017307433</x:v>
      </x:c>
      <x:c r="E985" s="48" t="n">
        <x:v>0.9924786127893657</x:v>
      </x:c>
      <x:c r="F985" s="48" t="n">
        <x:v>-0.1490996873292864</x:v>
      </x:c>
      <x:c r="G985" s="48" t="n">
        <x:v>-0.17187557312290852</x:v>
      </x:c>
      <x:c r="H985" s="48" t="n">
        <x:v>1.099393536557487</x:v>
      </x:c>
      <x:c r="I985" s="48" t="n">
        <x:v>0.9180547133716606</x:v>
      </x:c>
      <x:c r="J985" s="48" t="n">
        <x:v>0.8089030412494518</x:v>
      </x:c>
      <x:c r="K985" s="48" t="n">
        <x:v>0.9891236767099336</x:v>
      </x:c>
      <x:c r="L985" s="48" t="n">
        <x:v>0.8568146446556903</x:v>
      </x:c>
      <x:c r="M985" s="48" t="n">
        <x:v>0.015457382754073571</x:v>
      </x:c>
      <x:c r="N985" s="48" t="n">
        <x:v>0.8937011724357604</x:v>
      </x:c>
      <x:c r="O985" s="48" t="n">
        <x:v>1</x:v>
      </x:c>
      <x:c r="P985" s="48" t="n">
        <x:v>1</x:v>
      </x:c>
      <x:c r="Q985" s="48" t="n">
        <x:v>1</x:v>
      </x:c>
      <x:c r="R985" s="48" t="n">
        <x:v>1</x:v>
      </x:c>
      <x:c r="S985" s="29" t="n">
        <x:v>1</x:v>
      </x:c>
    </x:row>
    <x:row r="986" ht="21.600000381469727" hidden="0" customHeight="1">
      <x:c r="A986" s="27" t="n">
        <x:v>328</x:v>
      </x:c>
      <x:c r="B986" s="27" t="str">
        <x:v>A1</x:v>
      </x:c>
      <x:c r="C986" s="47" t="n">
        <x:v>0.9385073879389954</x:v>
      </x:c>
      <x:c r="D986" s="47" t="n">
        <x:v>0.934015682424779</x:v>
      </x:c>
      <x:c r="E986" s="47" t="n">
        <x:v>0.7818066710057718</x:v>
      </x:c>
      <x:c r="F986" s="47" t="n">
        <x:v>-0.16400294273304886</x:v>
      </x:c>
      <x:c r="G986" s="47" t="n">
        <x:v>-0.02555554185668904</x:v>
      </x:c>
      <x:c r="H986" s="47" t="n">
        <x:v>0.7080786444153203</x:v>
      </x:c>
      <x:c r="I986" s="47" t="n">
        <x:v>0.9697758196348235</x:v>
      </x:c>
      <x:c r="J986" s="47" t="n">
        <x:v>0.6322448647673342</x:v>
      </x:c>
      <x:c r="K986" s="47" t="n">
        <x:v>0.7143503066684292</x:v>
      </x:c>
      <x:c r="L986" s="47" t="n">
        <x:v>0.8814425638433514</x:v>
      </x:c>
      <x:c r="M986" s="47" t="n">
        <x:v>0.03677424864881056</x:v>
      </x:c>
      <x:c r="N986" s="47" t="n">
        <x:v>0.7320781794761005</x:v>
      </x:c>
      <x:c r="O986" s="47" t="n">
        <x:v>0.9596841251275334</x:v>
      </x:c>
      <x:c r="P986" s="47" t="n">
        <x:v>0.8007363500717039</x:v>
      </x:c>
      <x:c r="Q986" s="47" t="n">
        <x:v>1</x:v>
      </x:c>
      <x:c r="R986" s="47" t="n">
        <x:v>0.9502162223694327</x:v>
      </x:c>
      <x:c r="S986" s="27" t="n">
        <x:v>0</x:v>
      </x:c>
    </x:row>
    <x:row r="987" ht="21.600000381469727" hidden="0" customHeight="1">
      <x:c r="A987" s="29" t="n">
        <x:v>328</x:v>
      </x:c>
      <x:c r="B987" s="29" t="str">
        <x:v>A2</x:v>
      </x:c>
      <x:c r="C987" s="48" t="n">
        <x:v>0.9385073879389954</x:v>
      </x:c>
      <x:c r="D987" s="48" t="n">
        <x:v>0.934015682424779</x:v>
      </x:c>
      <x:c r="E987" s="48" t="n">
        <x:v>0.7818066710057718</x:v>
      </x:c>
      <x:c r="F987" s="48" t="n">
        <x:v>-0.16400294273304886</x:v>
      </x:c>
      <x:c r="G987" s="48" t="n">
        <x:v>-0.02555554185668904</x:v>
      </x:c>
      <x:c r="H987" s="48" t="n">
        <x:v>0.7080786444153203</x:v>
      </x:c>
      <x:c r="I987" s="48" t="n">
        <x:v>0.9697758196348235</x:v>
      </x:c>
      <x:c r="J987" s="48" t="n">
        <x:v>0.6322448647673342</x:v>
      </x:c>
      <x:c r="K987" s="48" t="n">
        <x:v>0.7143503066684292</x:v>
      </x:c>
      <x:c r="L987" s="48" t="n">
        <x:v>0.8814425638433514</x:v>
      </x:c>
      <x:c r="M987" s="48" t="n">
        <x:v>0.03677424864881056</x:v>
      </x:c>
      <x:c r="N987" s="48" t="n">
        <x:v>0.7320781794761005</x:v>
      </x:c>
      <x:c r="O987" s="48" t="n">
        <x:v>0.9963746874399136</x:v>
      </x:c>
      <x:c r="P987" s="48" t="n">
        <x:v>0.9637468743991362</x:v>
      </x:c>
      <x:c r="Q987" s="48" t="n">
        <x:v>1</x:v>
      </x:c>
      <x:c r="R987" s="48" t="n">
        <x:v>0.9955233080045126</x:v>
      </x:c>
      <x:c r="S987" s="29" t="n">
        <x:v>1</x:v>
      </x:c>
    </x:row>
    <x:row r="988" ht="21.600000381469727" hidden="0" customHeight="1">
      <x:c r="A988" s="27" t="n">
        <x:v>328</x:v>
      </x:c>
      <x:c r="B988" s="27" t="str">
        <x:v>A3</x:v>
      </x:c>
      <x:c r="C988" s="47" t="n">
        <x:v>0.9385073879389954</x:v>
      </x:c>
      <x:c r="D988" s="47" t="n">
        <x:v>0.934015682424779</x:v>
      </x:c>
      <x:c r="E988" s="47" t="n">
        <x:v>0.7818066710057718</x:v>
      </x:c>
      <x:c r="F988" s="47" t="n">
        <x:v>-0.16400294273304886</x:v>
      </x:c>
      <x:c r="G988" s="47" t="n">
        <x:v>-0.02555554185668904</x:v>
      </x:c>
      <x:c r="H988" s="47" t="n">
        <x:v>0.7080786444153203</x:v>
      </x:c>
      <x:c r="I988" s="47" t="n">
        <x:v>0.9697758196348235</x:v>
      </x:c>
      <x:c r="J988" s="47" t="n">
        <x:v>0.6322448647673342</x:v>
      </x:c>
      <x:c r="K988" s="47" t="n">
        <x:v>0.7143503066684292</x:v>
      </x:c>
      <x:c r="L988" s="47" t="n">
        <x:v>0.8814425638433514</x:v>
      </x:c>
      <x:c r="M988" s="47" t="n">
        <x:v>0.03677424864881056</x:v>
      </x:c>
      <x:c r="N988" s="47" t="n">
        <x:v>0.7320781794761005</x:v>
      </x:c>
      <x:c r="O988" s="47" t="n">
        <x:v>1</x:v>
      </x:c>
      <x:c r="P988" s="47" t="n">
        <x:v>1</x:v>
      </x:c>
      <x:c r="Q988" s="47" t="n">
        <x:v>1</x:v>
      </x:c>
      <x:c r="R988" s="47" t="n">
        <x:v>1</x:v>
      </x:c>
      <x:c r="S988" s="27" t="n">
        <x:v>1</x:v>
      </x:c>
    </x:row>
    <x:row r="989" ht="21.600000381469727" hidden="0" customHeight="1">
      <x:c r="A989" s="29" t="n">
        <x:v>329</x:v>
      </x:c>
      <x:c r="B989" s="29" t="str">
        <x:v>A1</x:v>
      </x:c>
      <x:c r="C989" s="48" t="n">
        <x:v>0.9901262927568256</x:v>
      </x:c>
      <x:c r="D989" s="48" t="n">
        <x:v>0.9324086852375641</x:v>
      </x:c>
      <x:c r="E989" s="48" t="n">
        <x:v>0.7136021239701005</x:v>
      </x:c>
      <x:c r="F989" s="48" t="n">
        <x:v>0.004908790730269397</x:v>
      </x:c>
      <x:c r="G989" s="48" t="n">
        <x:v>-0.1261730473273962</x:v>
      </x:c>
      <x:c r="H989" s="48" t="n">
        <x:v>0.4121979416233165</x:v>
      </x:c>
      <x:c r="I989" s="48" t="n">
        <x:v>0.9606393736106323</x:v>
      </x:c>
      <x:c r="J989" s="48" t="n">
        <x:v>0.5382719878197691</x:v>
      </x:c>
      <x:c r="K989" s="48" t="n">
        <x:v>0.8998583289409392</x:v>
      </x:c>
      <x:c r="L989" s="48" t="n">
        <x:v>0.5630534245336687</x:v>
      </x:c>
      <x:c r="M989" s="48" t="n">
        <x:v>0.06800409248320767</x:v>
      </x:c>
      <x:c r="N989" s="48" t="n">
        <x:v>0.9703052911288718</x:v>
      </x:c>
      <x:c r="O989" s="48" t="n">
        <x:v>0.902866714712901</x:v>
      </x:c>
      <x:c r="P989" s="48" t="n">
        <x:v>0.7112568863168266</x:v>
      </x:c>
      <x:c r="Q989" s="48" t="n">
        <x:v>1</x:v>
      </x:c>
      <x:c r="R989" s="48" t="n">
        <x:v>0.8800556383668641</x:v>
      </x:c>
      <x:c r="S989" s="29" t="n">
        <x:v>0</x:v>
      </x:c>
    </x:row>
    <x:row r="990" ht="21.600000381469727" hidden="0" customHeight="1">
      <x:c r="A990" s="27" t="n">
        <x:v>329</x:v>
      </x:c>
      <x:c r="B990" s="27" t="str">
        <x:v>A2</x:v>
      </x:c>
      <x:c r="C990" s="47" t="n">
        <x:v>0.9901262927568256</x:v>
      </x:c>
      <x:c r="D990" s="47" t="n">
        <x:v>0.9324086852375641</x:v>
      </x:c>
      <x:c r="E990" s="47" t="n">
        <x:v>0.7136021239701005</x:v>
      </x:c>
      <x:c r="F990" s="47" t="n">
        <x:v>0.004908790730269397</x:v>
      </x:c>
      <x:c r="G990" s="47" t="n">
        <x:v>-0.1261730473273962</x:v>
      </x:c>
      <x:c r="H990" s="47" t="n">
        <x:v>0.4121979416233165</x:v>
      </x:c>
      <x:c r="I990" s="47" t="n">
        <x:v>0.9606393736106323</x:v>
      </x:c>
      <x:c r="J990" s="47" t="n">
        <x:v>0.5382719878197691</x:v>
      </x:c>
      <x:c r="K990" s="47" t="n">
        <x:v>0.8998583289409392</x:v>
      </x:c>
      <x:c r="L990" s="47" t="n">
        <x:v>0.5630534245336687</x:v>
      </x:c>
      <x:c r="M990" s="47" t="n">
        <x:v>0.06800409248320767</x:v>
      </x:c>
      <x:c r="N990" s="47" t="n">
        <x:v>0.9703052911288718</x:v>
      </x:c>
      <x:c r="O990" s="47" t="n">
        <x:v>0.9848475003777128</x:v>
      </x:c>
      <x:c r="P990" s="47" t="n">
        <x:v>0.8778861333445739</x:v>
      </x:c>
      <x:c r="Q990" s="47" t="n">
        <x:v>1</x:v>
      </x:c>
      <x:c r="R990" s="47" t="n">
        <x:v>0.9812890412491487</x:v>
      </x:c>
      <x:c r="S990" s="27" t="n">
        <x:v>0</x:v>
      </x:c>
    </x:row>
    <x:row r="991" ht="21.600000381469727" hidden="0" customHeight="1">
      <x:c r="A991" s="29" t="n">
        <x:v>329</x:v>
      </x:c>
      <x:c r="B991" s="29" t="str">
        <x:v>A3</x:v>
      </x:c>
      <x:c r="C991" s="48" t="n">
        <x:v>0.9901262927568256</x:v>
      </x:c>
      <x:c r="D991" s="48" t="n">
        <x:v>0.9324086852375641</x:v>
      </x:c>
      <x:c r="E991" s="48" t="n">
        <x:v>0.7136021239701005</x:v>
      </x:c>
      <x:c r="F991" s="48" t="n">
        <x:v>0.004908790730269397</x:v>
      </x:c>
      <x:c r="G991" s="48" t="n">
        <x:v>-0.1261730473273962</x:v>
      </x:c>
      <x:c r="H991" s="48" t="n">
        <x:v>0.4121979416233165</x:v>
      </x:c>
      <x:c r="I991" s="48" t="n">
        <x:v>0.9606393736106323</x:v>
      </x:c>
      <x:c r="J991" s="48" t="n">
        <x:v>0.5382719878197691</x:v>
      </x:c>
      <x:c r="K991" s="48" t="n">
        <x:v>0.8998583289409392</x:v>
      </x:c>
      <x:c r="L991" s="48" t="n">
        <x:v>0.5630534245336687</x:v>
      </x:c>
      <x:c r="M991" s="48" t="n">
        <x:v>0.06800409248320767</x:v>
      </x:c>
      <x:c r="N991" s="48" t="n">
        <x:v>0.9703052911288718</x:v>
      </x:c>
      <x:c r="O991" s="48" t="n">
        <x:v>1</x:v>
      </x:c>
      <x:c r="P991" s="48" t="n">
        <x:v>1</x:v>
      </x:c>
      <x:c r="Q991" s="48" t="n">
        <x:v>1</x:v>
      </x:c>
      <x:c r="R991" s="48" t="n">
        <x:v>1</x:v>
      </x:c>
      <x:c r="S991" s="29" t="n">
        <x:v>1</x:v>
      </x:c>
    </x:row>
    <x:row r="992" ht="21.600000381469727" hidden="0" customHeight="1">
      <x:c r="A992" s="27" t="n">
        <x:v>330</x:v>
      </x:c>
      <x:c r="B992" s="27" t="str">
        <x:v>A1</x:v>
      </x:c>
      <x:c r="C992" s="47" t="n">
        <x:v>0.9464230724358376</x:v>
      </x:c>
      <x:c r="D992" s="47" t="n">
        <x:v>0.8070230934135857</x:v>
      </x:c>
      <x:c r="E992" s="47" t="n">
        <x:v>0.7454497336197622</x:v>
      </x:c>
      <x:c r="F992" s="47" t="n">
        <x:v>-0.06485663203044745</x:v>
      </x:c>
      <x:c r="G992" s="47" t="n">
        <x:v>-0.16275983165305244</x:v>
      </x:c>
      <x:c r="H992" s="47" t="n">
        <x:v>0.8317781009941054</x:v>
      </x:c>
      <x:c r="I992" s="47" t="n">
        <x:v>0.8427354447919846</x:v>
      </x:c>
      <x:c r="J992" s="47" t="n">
        <x:v>0.8228544149557965</x:v>
      </x:c>
      <x:c r="K992" s="47" t="n">
        <x:v>0.8531332487096417</x:v>
      </x:c>
      <x:c r="L992" s="47" t="n">
        <x:v>0.7303698547273366</x:v>
      </x:c>
      <x:c r="M992" s="47" t="n">
        <x:v>0.08433509393093895</x:v>
      </x:c>
      <x:c r="N992" s="47" t="n">
        <x:v>0.9950747448778987</x:v>
      </x:c>
      <x:c r="O992" s="47" t="n">
        <x:v>0.9474823823620837</x:v>
      </x:c>
      <x:c r="P992" s="47" t="n">
        <x:v>0.6773407833097888</x:v>
      </x:c>
      <x:c r="Q992" s="47" t="n">
        <x:v>1</x:v>
      </x:c>
      <x:c r="R992" s="47" t="n">
        <x:v>0.9351489851964306</x:v>
      </x:c>
      <x:c r="S992" s="27" t="n">
        <x:v>0</x:v>
      </x:c>
    </x:row>
    <x:row r="993" ht="21.600000381469727" hidden="0" customHeight="1">
      <x:c r="A993" s="29" t="n">
        <x:v>330</x:v>
      </x:c>
      <x:c r="B993" s="29" t="str">
        <x:v>A2</x:v>
      </x:c>
      <x:c r="C993" s="48" t="n">
        <x:v>0.9464230724358376</x:v>
      </x:c>
      <x:c r="D993" s="48" t="n">
        <x:v>0.8070230934135857</x:v>
      </x:c>
      <x:c r="E993" s="48" t="n">
        <x:v>0.7454497336197622</x:v>
      </x:c>
      <x:c r="F993" s="48" t="n">
        <x:v>-0.06485663203044745</x:v>
      </x:c>
      <x:c r="G993" s="48" t="n">
        <x:v>-0.16275983165305244</x:v>
      </x:c>
      <x:c r="H993" s="48" t="n">
        <x:v>0.8317781009941054</x:v>
      </x:c>
      <x:c r="I993" s="48" t="n">
        <x:v>0.8427354447919846</x:v>
      </x:c>
      <x:c r="J993" s="48" t="n">
        <x:v>0.8228544149557965</x:v>
      </x:c>
      <x:c r="K993" s="48" t="n">
        <x:v>0.8531332487096417</x:v>
      </x:c>
      <x:c r="L993" s="48" t="n">
        <x:v>0.7303698547273366</x:v>
      </x:c>
      <x:c r="M993" s="48" t="n">
        <x:v>0.08433509393093895</x:v>
      </x:c>
      <x:c r="N993" s="48" t="n">
        <x:v>0.9950747448778987</x:v>
      </x:c>
      <x:c r="O993" s="48" t="n">
        <x:v>0.981256628269824</x:v>
      </x:c>
      <x:c r="P993" s="48" t="n">
        <x:v>0.8125662826982392</x:v>
      </x:c>
      <x:c r="Q993" s="48" t="n">
        <x:v>1</x:v>
      </x:c>
      <x:c r="R993" s="48" t="n">
        <x:v>0.976854877806474</x:v>
      </x:c>
      <x:c r="S993" s="29" t="n">
        <x:v>0</x:v>
      </x:c>
    </x:row>
    <x:row r="994" ht="21.600000381469727" hidden="0" customHeight="1">
      <x:c r="A994" s="27" t="n">
        <x:v>330</x:v>
      </x:c>
      <x:c r="B994" s="27" t="str">
        <x:v>A3</x:v>
      </x:c>
      <x:c r="C994" s="47" t="n">
        <x:v>0.9464230724358376</x:v>
      </x:c>
      <x:c r="D994" s="47" t="n">
        <x:v>0.8070230934135857</x:v>
      </x:c>
      <x:c r="E994" s="47" t="n">
        <x:v>0.7454497336197622</x:v>
      </x:c>
      <x:c r="F994" s="47" t="n">
        <x:v>-0.06485663203044745</x:v>
      </x:c>
      <x:c r="G994" s="47" t="n">
        <x:v>-0.16275983165305244</x:v>
      </x:c>
      <x:c r="H994" s="47" t="n">
        <x:v>0.8317781009941054</x:v>
      </x:c>
      <x:c r="I994" s="47" t="n">
        <x:v>0.8427354447919846</x:v>
      </x:c>
      <x:c r="J994" s="47" t="n">
        <x:v>0.8228544149557965</x:v>
      </x:c>
      <x:c r="K994" s="47" t="n">
        <x:v>0.8531332487096417</x:v>
      </x:c>
      <x:c r="L994" s="47" t="n">
        <x:v>0.7303698547273366</x:v>
      </x:c>
      <x:c r="M994" s="47" t="n">
        <x:v>0.08433509393093895</x:v>
      </x:c>
      <x:c r="N994" s="47" t="n">
        <x:v>0.9950747448778987</x:v>
      </x:c>
      <x:c r="O994" s="47" t="n">
        <x:v>1</x:v>
      </x:c>
      <x:c r="P994" s="47" t="n">
        <x:v>1</x:v>
      </x:c>
      <x:c r="Q994" s="47" t="n">
        <x:v>1</x:v>
      </x:c>
      <x:c r="R994" s="47" t="n">
        <x:v>1</x:v>
      </x:c>
      <x:c r="S994" s="27" t="n">
        <x:v>1</x:v>
      </x:c>
    </x:row>
    <x:row r="995" ht="21.600000381469727" hidden="0" customHeight="1">
      <x:c r="A995" s="29" t="n">
        <x:v>331</x:v>
      </x:c>
      <x:c r="B995" s="29" t="str">
        <x:v>A1</x:v>
      </x:c>
      <x:c r="C995" s="48" t="n">
        <x:v>0.9190793056792406</x:v>
      </x:c>
      <x:c r="D995" s="48" t="n">
        <x:v>0.7496707305081421</x:v>
      </x:c>
      <x:c r="E995" s="48" t="n">
        <x:v>0.6738471952860071</x:v>
      </x:c>
      <x:c r="F995" s="48" t="n">
        <x:v>-0.03858286238092162</x:v>
      </x:c>
      <x:c r="G995" s="48" t="n">
        <x:v>-0.12158468213117062</x:v>
      </x:c>
      <x:c r="H995" s="48" t="n">
        <x:v>0.9937465077601626</x:v>
      </x:c>
      <x:c r="I995" s="48" t="n">
        <x:v>0.9067924134866896</x:v>
      </x:c>
      <x:c r="J995" s="48" t="n">
        <x:v>0.8260881427319315</x:v>
      </x:c>
      <x:c r="K995" s="48" t="n">
        <x:v>0.5885748619531693</x:v>
      </x:c>
      <x:c r="L995" s="48" t="n">
        <x:v>0.734087471818773</x:v>
      </x:c>
      <x:c r="M995" s="48" t="n">
        <x:v>0.12055911115552367</x:v>
      </x:c>
      <x:c r="N995" s="48" t="n">
        <x:v>0.7716872976963453</x:v>
      </x:c>
      <x:c r="O995" s="48" t="n">
        <x:v>0.8696052453938478</x:v>
      </x:c>
      <x:c r="P995" s="48" t="n">
        <x:v>0.47314860033730377</x:v>
      </x:c>
      <x:c r="Q995" s="48" t="n">
        <x:v>1</x:v>
      </x:c>
      <x:c r="R995" s="48" t="n">
        <x:v>0.838982944360252</x:v>
      </x:c>
      <x:c r="S995" s="29" t="n">
        <x:v>0</x:v>
      </x:c>
    </x:row>
    <x:row r="996" ht="21.600000381469727" hidden="0" customHeight="1">
      <x:c r="A996" s="27" t="n">
        <x:v>331</x:v>
      </x:c>
      <x:c r="B996" s="27" t="str">
        <x:v>A2</x:v>
      </x:c>
      <x:c r="C996" s="47" t="n">
        <x:v>0.9190793056792406</x:v>
      </x:c>
      <x:c r="D996" s="47" t="n">
        <x:v>0.7496707305081421</x:v>
      </x:c>
      <x:c r="E996" s="47" t="n">
        <x:v>0.6738471952860071</x:v>
      </x:c>
      <x:c r="F996" s="47" t="n">
        <x:v>-0.03858286238092162</x:v>
      </x:c>
      <x:c r="G996" s="47" t="n">
        <x:v>-0.12158468213117062</x:v>
      </x:c>
      <x:c r="H996" s="47" t="n">
        <x:v>0.9937465077601626</x:v>
      </x:c>
      <x:c r="I996" s="47" t="n">
        <x:v>0.9067924134866896</x:v>
      </x:c>
      <x:c r="J996" s="47" t="n">
        <x:v>0.8260881427319315</x:v>
      </x:c>
      <x:c r="K996" s="47" t="n">
        <x:v>0.5885748619531693</x:v>
      </x:c>
      <x:c r="L996" s="47" t="n">
        <x:v>0.734087471818773</x:v>
      </x:c>
      <x:c r="M996" s="47" t="n">
        <x:v>0.12055911115552367</x:v>
      </x:c>
      <x:c r="N996" s="47" t="n">
        <x:v>0.7716872976963453</x:v>
      </x:c>
      <x:c r="O996" s="47" t="n">
        <x:v>0.9090515358162256</x:v>
      </x:c>
      <x:c r="P996" s="47" t="n">
        <x:v>0.5083687923999114</x:v>
      </x:c>
      <x:c r="Q996" s="47" t="n">
        <x:v>1</x:v>
      </x:c>
      <x:c r="R996" s="47" t="n">
        <x:v>0.8876929216818551</x:v>
      </x:c>
      <x:c r="S996" s="27" t="n">
        <x:v>0</x:v>
      </x:c>
    </x:row>
    <x:row r="997" ht="21.600000381469727" hidden="0" customHeight="1">
      <x:c r="A997" s="29" t="n">
        <x:v>331</x:v>
      </x:c>
      <x:c r="B997" s="29" t="str">
        <x:v>A3</x:v>
      </x:c>
      <x:c r="C997" s="48" t="n">
        <x:v>0.9190793056792406</x:v>
      </x:c>
      <x:c r="D997" s="48" t="n">
        <x:v>0.7496707305081421</x:v>
      </x:c>
      <x:c r="E997" s="48" t="n">
        <x:v>0.6738471952860071</x:v>
      </x:c>
      <x:c r="F997" s="48" t="n">
        <x:v>-0.03858286238092162</x:v>
      </x:c>
      <x:c r="G997" s="48" t="n">
        <x:v>-0.12158468213117062</x:v>
      </x:c>
      <x:c r="H997" s="48" t="n">
        <x:v>0.9937465077601626</x:v>
      </x:c>
      <x:c r="I997" s="48" t="n">
        <x:v>0.9067924134866896</x:v>
      </x:c>
      <x:c r="J997" s="48" t="n">
        <x:v>0.8260881427319315</x:v>
      </x:c>
      <x:c r="K997" s="48" t="n">
        <x:v>0.5885748619531693</x:v>
      </x:c>
      <x:c r="L997" s="48" t="n">
        <x:v>0.734087471818773</x:v>
      </x:c>
      <x:c r="M997" s="48" t="n">
        <x:v>0.12055911115552367</x:v>
      </x:c>
      <x:c r="N997" s="48" t="n">
        <x:v>0.7716872976963453</x:v>
      </x:c>
      <x:c r="O997" s="48" t="n">
        <x:v>1</x:v>
      </x:c>
      <x:c r="P997" s="48" t="n">
        <x:v>1</x:v>
      </x:c>
      <x:c r="Q997" s="48" t="n">
        <x:v>1</x:v>
      </x:c>
      <x:c r="R997" s="48" t="n">
        <x:v>1.0000000000000002</x:v>
      </x:c>
      <x:c r="S997" s="29" t="n">
        <x:v>1</x:v>
      </x:c>
    </x:row>
    <x:row r="998" ht="21.600000381469727" hidden="0" customHeight="1">
      <x:c r="A998" s="27" t="n">
        <x:v>332</x:v>
      </x:c>
      <x:c r="B998" s="27" t="str">
        <x:v>A1</x:v>
      </x:c>
      <x:c r="C998" s="47" t="n">
        <x:v>1.0454321000079783</x:v>
      </x:c>
      <x:c r="D998" s="47" t="n">
        <x:v>0.9894428113604833</x:v>
      </x:c>
      <x:c r="E998" s="47" t="n">
        <x:v>0.9133487572620348</x:v>
      </x:c>
      <x:c r="F998" s="47" t="n">
        <x:v>-0.09096473561566516</x:v>
      </x:c>
      <x:c r="G998" s="47" t="n">
        <x:v>-0.15248551071356095</x:v>
      </x:c>
      <x:c r="H998" s="47" t="n">
        <x:v>0.5851048251182696</x:v>
      </x:c>
      <x:c r="I998" s="47" t="n">
        <x:v>0.6950765057990616</x:v>
      </x:c>
      <x:c r="J998" s="47" t="n">
        <x:v>0.6314086335168678</x:v>
      </x:c>
      <x:c r="K998" s="47" t="n">
        <x:v>0.703233418885361</x:v>
      </x:c>
      <x:c r="L998" s="47" t="n">
        <x:v>0.7353695777584462</x:v>
      </x:c>
      <x:c r="M998" s="47" t="n">
        <x:v>0.07254554852350352</x:v>
      </x:c>
      <x:c r="N998" s="47" t="n">
        <x:v>0.9902256929914905</x:v>
      </x:c>
      <x:c r="O998" s="47" t="n">
        <x:v>0.9085336929747843</x:v>
      </x:c>
      <x:c r="P998" s="47" t="n">
        <x:v>0.6247018268776217</x:v>
      </x:c>
      <x:c r="Q998" s="47" t="n">
        <x:v>1</x:v>
      </x:c>
      <x:c r="R998" s="47" t="n">
        <x:v>0.8870534670514533</x:v>
      </x:c>
      <x:c r="S998" s="27" t="n">
        <x:v>0</x:v>
      </x:c>
    </x:row>
    <x:row r="999" ht="21.600000381469727" hidden="0" customHeight="1">
      <x:c r="A999" s="29" t="n">
        <x:v>332</x:v>
      </x:c>
      <x:c r="B999" s="29" t="str">
        <x:v>A2</x:v>
      </x:c>
      <x:c r="C999" s="48" t="n">
        <x:v>1.0454321000079783</x:v>
      </x:c>
      <x:c r="D999" s="48" t="n">
        <x:v>0.9894428113604833</x:v>
      </x:c>
      <x:c r="E999" s="48" t="n">
        <x:v>0.9133487572620348</x:v>
      </x:c>
      <x:c r="F999" s="48" t="n">
        <x:v>-0.09096473561566516</x:v>
      </x:c>
      <x:c r="G999" s="48" t="n">
        <x:v>-0.15248551071356095</x:v>
      </x:c>
      <x:c r="H999" s="48" t="n">
        <x:v>0.5851048251182696</x:v>
      </x:c>
      <x:c r="I999" s="48" t="n">
        <x:v>0.6950765057990616</x:v>
      </x:c>
      <x:c r="J999" s="48" t="n">
        <x:v>0.6314086335168678</x:v>
      </x:c>
      <x:c r="K999" s="48" t="n">
        <x:v>0.703233418885361</x:v>
      </x:c>
      <x:c r="L999" s="48" t="n">
        <x:v>0.7353695777584462</x:v>
      </x:c>
      <x:c r="M999" s="48" t="n">
        <x:v>0.07254554852350352</x:v>
      </x:c>
      <x:c r="N999" s="48" t="n">
        <x:v>0.9902256929914905</x:v>
      </x:c>
      <x:c r="O999" s="48" t="n">
        <x:v>0.9667048696879335</x:v>
      </x:c>
      <x:c r="P999" s="48" t="n">
        <x:v>0.7364008612375772</x:v>
      </x:c>
      <x:c r="Q999" s="48" t="n">
        <x:v>1</x:v>
      </x:c>
      <x:c r="R999" s="48" t="n">
        <x:v>0.9588857399503268</x:v>
      </x:c>
      <x:c r="S999" s="29" t="n">
        <x:v>0</x:v>
      </x:c>
    </x:row>
    <x:row r="1000" ht="21.600000381469727" hidden="0" customHeight="1">
      <x:c r="A1000" s="27" t="n">
        <x:v>332</x:v>
      </x:c>
      <x:c r="B1000" s="27" t="str">
        <x:v>A3</x:v>
      </x:c>
      <x:c r="C1000" s="47" t="n">
        <x:v>1.0454321000079783</x:v>
      </x:c>
      <x:c r="D1000" s="47" t="n">
        <x:v>0.9894428113604833</x:v>
      </x:c>
      <x:c r="E1000" s="47" t="n">
        <x:v>0.9133487572620348</x:v>
      </x:c>
      <x:c r="F1000" s="47" t="n">
        <x:v>-0.09096473561566516</x:v>
      </x:c>
      <x:c r="G1000" s="47" t="n">
        <x:v>-0.15248551071356095</x:v>
      </x:c>
      <x:c r="H1000" s="47" t="n">
        <x:v>0.5851048251182696</x:v>
      </x:c>
      <x:c r="I1000" s="47" t="n">
        <x:v>0.6950765057990616</x:v>
      </x:c>
      <x:c r="J1000" s="47" t="n">
        <x:v>0.6314086335168678</x:v>
      </x:c>
      <x:c r="K1000" s="47" t="n">
        <x:v>0.703233418885361</x:v>
      </x:c>
      <x:c r="L1000" s="47" t="n">
        <x:v>0.7353695777584462</x:v>
      </x:c>
      <x:c r="M1000" s="47" t="n">
        <x:v>0.07254554852350352</x:v>
      </x:c>
      <x:c r="N1000" s="47" t="n">
        <x:v>0.9902256929914905</x:v>
      </x:c>
      <x:c r="O1000" s="47" t="n">
        <x:v>1</x:v>
      </x:c>
      <x:c r="P1000" s="47" t="n">
        <x:v>1</x:v>
      </x:c>
      <x:c r="Q1000" s="47" t="n">
        <x:v>1</x:v>
      </x:c>
      <x:c r="R1000" s="47" t="n">
        <x:v>1</x:v>
      </x:c>
      <x:c r="S1000" s="27" t="n">
        <x:v>1</x:v>
      </x:c>
    </x:row>
    <x:row r="1001" ht="21.600000381469727" hidden="0" customHeight="1">
      <x:c r="A1001" s="29" t="n">
        <x:v>333</x:v>
      </x:c>
      <x:c r="B1001" s="29" t="str">
        <x:v>A1</x:v>
      </x:c>
      <x:c r="C1001" s="48" t="n">
        <x:v>1.2050444272903762</x:v>
      </x:c>
      <x:c r="D1001" s="48" t="n">
        <x:v>0.9241201616266826</x:v>
      </x:c>
      <x:c r="E1001" s="48" t="n">
        <x:v>0.5895558001911289</x:v>
      </x:c>
      <x:c r="F1001" s="48" t="n">
        <x:v>-0.1582469670207124</x:v>
      </x:c>
      <x:c r="G1001" s="48" t="n">
        <x:v>-0.13561736973876007</x:v>
      </x:c>
      <x:c r="H1001" s="48" t="n">
        <x:v>0.9119274149666041</x:v>
      </x:c>
      <x:c r="I1001" s="48" t="n">
        <x:v>0.6309363977982647</x:v>
      </x:c>
      <x:c r="J1001" s="48" t="n">
        <x:v>0.5866818604201842</x:v>
      </x:c>
      <x:c r="K1001" s="48" t="n">
        <x:v>0.9503651423735839</x:v>
      </x:c>
      <x:c r="L1001" s="48" t="n">
        <x:v>0.6896834589126943</x:v>
      </x:c>
      <x:c r="M1001" s="48" t="n">
        <x:v>0.03616849126463379</x:v>
      </x:c>
      <x:c r="N1001" s="48" t="n">
        <x:v>0.8734733650145352</x:v>
      </x:c>
      <x:c r="O1001" s="48" t="n">
        <x:v>0.8288061535192539</x:v>
      </x:c>
      <x:c r="P1001" s="48" t="n">
        <x:v>0.5266213590676945</x:v>
      </x:c>
      <x:c r="Q1001" s="48" t="n">
        <x:v>1</x:v>
      </x:c>
      <x:c r="R1001" s="48" t="n">
        <x:v>0.7886024695760867</x:v>
      </x:c>
      <x:c r="S1001" s="29" t="n">
        <x:v>0</x:v>
      </x:c>
    </x:row>
    <x:row r="1002" ht="21.600000381469727" hidden="0" customHeight="1">
      <x:c r="A1002" s="27" t="n">
        <x:v>333</x:v>
      </x:c>
      <x:c r="B1002" s="27" t="str">
        <x:v>A2</x:v>
      </x:c>
      <x:c r="C1002" s="47" t="n">
        <x:v>1.2050444272903762</x:v>
      </x:c>
      <x:c r="D1002" s="47" t="n">
        <x:v>0.9241201616266826</x:v>
      </x:c>
      <x:c r="E1002" s="47" t="n">
        <x:v>0.5895558001911289</x:v>
      </x:c>
      <x:c r="F1002" s="47" t="n">
        <x:v>-0.1582469670207124</x:v>
      </x:c>
      <x:c r="G1002" s="47" t="n">
        <x:v>-0.13561736973876007</x:v>
      </x:c>
      <x:c r="H1002" s="47" t="n">
        <x:v>0.9119274149666041</x:v>
      </x:c>
      <x:c r="I1002" s="47" t="n">
        <x:v>0.6309363977982647</x:v>
      </x:c>
      <x:c r="J1002" s="47" t="n">
        <x:v>0.5866818604201842</x:v>
      </x:c>
      <x:c r="K1002" s="47" t="n">
        <x:v>0.9503651423735839</x:v>
      </x:c>
      <x:c r="L1002" s="47" t="n">
        <x:v>0.6896834589126943</x:v>
      </x:c>
      <x:c r="M1002" s="47" t="n">
        <x:v>0.03616849126463379</x:v>
      </x:c>
      <x:c r="N1002" s="47" t="n">
        <x:v>0.8734733650145352</x:v>
      </x:c>
      <x:c r="O1002" s="47" t="n">
        <x:v>0.9246562126332895</x:v>
      </x:c>
      <x:c r="P1002" s="47" t="n">
        <x:v>0.6778112320936905</x:v>
      </x:c>
      <x:c r="Q1002" s="47" t="n">
        <x:v>1</x:v>
      </x:c>
      <x:c r="R1002" s="47" t="n">
        <x:v>0.9069622482961245</x:v>
      </x:c>
      <x:c r="S1002" s="27" t="n">
        <x:v>0</x:v>
      </x:c>
    </x:row>
    <x:row r="1003" ht="21.600000381469727" hidden="0" customHeight="1">
      <x:c r="A1003" s="29" t="n">
        <x:v>333</x:v>
      </x:c>
      <x:c r="B1003" s="29" t="str">
        <x:v>A3</x:v>
      </x:c>
      <x:c r="C1003" s="48" t="n">
        <x:v>1.2050444272903762</x:v>
      </x:c>
      <x:c r="D1003" s="48" t="n">
        <x:v>0.9241201616266826</x:v>
      </x:c>
      <x:c r="E1003" s="48" t="n">
        <x:v>0.5895558001911289</x:v>
      </x:c>
      <x:c r="F1003" s="48" t="n">
        <x:v>-0.1582469670207124</x:v>
      </x:c>
      <x:c r="G1003" s="48" t="n">
        <x:v>-0.13561736973876007</x:v>
      </x:c>
      <x:c r="H1003" s="48" t="n">
        <x:v>0.9119274149666041</x:v>
      </x:c>
      <x:c r="I1003" s="48" t="n">
        <x:v>0.6309363977982647</x:v>
      </x:c>
      <x:c r="J1003" s="48" t="n">
        <x:v>0.5866818604201842</x:v>
      </x:c>
      <x:c r="K1003" s="48" t="n">
        <x:v>0.9503651423735839</x:v>
      </x:c>
      <x:c r="L1003" s="48" t="n">
        <x:v>0.6896834589126943</x:v>
      </x:c>
      <x:c r="M1003" s="48" t="n">
        <x:v>0.03616849126463379</x:v>
      </x:c>
      <x:c r="N1003" s="48" t="n">
        <x:v>0.8734733650145352</x:v>
      </x:c>
      <x:c r="O1003" s="48" t="n">
        <x:v>1</x:v>
      </x:c>
      <x:c r="P1003" s="48" t="n">
        <x:v>1</x:v>
      </x:c>
      <x:c r="Q1003" s="48" t="n">
        <x:v>1</x:v>
      </x:c>
      <x:c r="R1003" s="48" t="n">
        <x:v>1</x:v>
      </x:c>
      <x:c r="S1003" s="29" t="n">
        <x:v>1</x:v>
      </x:c>
    </x:row>
    <x:row r="1004" ht="21.600000381469727" hidden="0" customHeight="1">
      <x:c r="A1004" s="27" t="n">
        <x:v>334</x:v>
      </x:c>
      <x:c r="B1004" s="27" t="str">
        <x:v>A1</x:v>
      </x:c>
      <x:c r="C1004" s="47" t="n">
        <x:v>1.0070844376526484</x:v>
      </x:c>
      <x:c r="D1004" s="47" t="n">
        <x:v>0.9045921397087</x:v>
      </x:c>
      <x:c r="E1004" s="47" t="n">
        <x:v>0.8461187104470452</x:v>
      </x:c>
      <x:c r="F1004" s="47" t="n">
        <x:v>-0.1904916124394332</x:v>
      </x:c>
      <x:c r="G1004" s="47" t="n">
        <x:v>-0.12330513822402632</x:v>
      </x:c>
      <x:c r="H1004" s="47" t="n">
        <x:v>0.4260106484823333</x:v>
      </x:c>
      <x:c r="I1004" s="47" t="n">
        <x:v>0.7124780901206984</x:v>
      </x:c>
      <x:c r="J1004" s="47" t="n">
        <x:v>0.94408971759238</x:v>
      </x:c>
      <x:c r="K1004" s="47" t="n">
        <x:v>0.8452001837948971</x:v>
      </x:c>
      <x:c r="L1004" s="47" t="n">
        <x:v>0.5915415195271659</x:v>
      </x:c>
      <x:c r="M1004" s="47" t="n">
        <x:v>0.1322839401852204</x:v>
      </x:c>
      <x:c r="N1004" s="47" t="n">
        <x:v>0.7359154809646478</x:v>
      </x:c>
      <x:c r="O1004" s="47" t="n">
        <x:v>0.9238698345797751</x:v>
      </x:c>
      <x:c r="P1004" s="47" t="n">
        <x:v>0.5702319653379057</x:v>
      </x:c>
      <x:c r="Q1004" s="47" t="n">
        <x:v>1</x:v>
      </x:c>
      <x:c r="R1004" s="47" t="n">
        <x:v>0.9059911948271483</x:v>
      </x:c>
      <x:c r="S1004" s="27" t="n">
        <x:v>0</x:v>
      </x:c>
    </x:row>
    <x:row r="1005" ht="21.600000381469727" hidden="0" customHeight="1">
      <x:c r="A1005" s="29" t="n">
        <x:v>334</x:v>
      </x:c>
      <x:c r="B1005" s="29" t="str">
        <x:v>A2</x:v>
      </x:c>
      <x:c r="C1005" s="48" t="n">
        <x:v>1.0070844376526484</x:v>
      </x:c>
      <x:c r="D1005" s="48" t="n">
        <x:v>0.9045921397087</x:v>
      </x:c>
      <x:c r="E1005" s="48" t="n">
        <x:v>0.8461187104470452</x:v>
      </x:c>
      <x:c r="F1005" s="48" t="n">
        <x:v>-0.1904916124394332</x:v>
      </x:c>
      <x:c r="G1005" s="48" t="n">
        <x:v>-0.12330513822402632</x:v>
      </x:c>
      <x:c r="H1005" s="48" t="n">
        <x:v>0.4260106484823333</x:v>
      </x:c>
      <x:c r="I1005" s="48" t="n">
        <x:v>0.7124780901206984</x:v>
      </x:c>
      <x:c r="J1005" s="48" t="n">
        <x:v>0.94408971759238</x:v>
      </x:c>
      <x:c r="K1005" s="48" t="n">
        <x:v>0.8452001837948971</x:v>
      </x:c>
      <x:c r="L1005" s="48" t="n">
        <x:v>0.5915415195271659</x:v>
      </x:c>
      <x:c r="M1005" s="48" t="n">
        <x:v>0.1322839401852204</x:v>
      </x:c>
      <x:c r="N1005" s="48" t="n">
        <x:v>0.7359154809646478</x:v>
      </x:c>
      <x:c r="O1005" s="48" t="n">
        <x:v>0.9735549143191616</x:v>
      </x:c>
      <x:c r="P1005" s="48" t="n">
        <x:v>0.7594409930180918</x:v>
      </x:c>
      <x:c r="Q1005" s="48" t="n">
        <x:v>1</x:v>
      </x:c>
      <x:c r="R1005" s="48" t="n">
        <x:v>0.9673444699111496</x:v>
      </x:c>
      <x:c r="S1005" s="29" t="n">
        <x:v>0</x:v>
      </x:c>
    </x:row>
    <x:row r="1006" ht="21.600000381469727" hidden="0" customHeight="1">
      <x:c r="A1006" s="27" t="n">
        <x:v>334</x:v>
      </x:c>
      <x:c r="B1006" s="27" t="str">
        <x:v>A3</x:v>
      </x:c>
      <x:c r="C1006" s="47" t="n">
        <x:v>1.0070844376526484</x:v>
      </x:c>
      <x:c r="D1006" s="47" t="n">
        <x:v>0.9045921397087</x:v>
      </x:c>
      <x:c r="E1006" s="47" t="n">
        <x:v>0.8461187104470452</x:v>
      </x:c>
      <x:c r="F1006" s="47" t="n">
        <x:v>-0.1904916124394332</x:v>
      </x:c>
      <x:c r="G1006" s="47" t="n">
        <x:v>-0.12330513822402632</x:v>
      </x:c>
      <x:c r="H1006" s="47" t="n">
        <x:v>0.4260106484823333</x:v>
      </x:c>
      <x:c r="I1006" s="47" t="n">
        <x:v>0.7124780901206984</x:v>
      </x:c>
      <x:c r="J1006" s="47" t="n">
        <x:v>0.94408971759238</x:v>
      </x:c>
      <x:c r="K1006" s="47" t="n">
        <x:v>0.8452001837948971</x:v>
      </x:c>
      <x:c r="L1006" s="47" t="n">
        <x:v>0.5915415195271659</x:v>
      </x:c>
      <x:c r="M1006" s="47" t="n">
        <x:v>0.1322839401852204</x:v>
      </x:c>
      <x:c r="N1006" s="47" t="n">
        <x:v>0.7359154809646478</x:v>
      </x:c>
      <x:c r="O1006" s="47" t="n">
        <x:v>1</x:v>
      </x:c>
      <x:c r="P1006" s="47" t="n">
        <x:v>1</x:v>
      </x:c>
      <x:c r="Q1006" s="47" t="n">
        <x:v>1</x:v>
      </x:c>
      <x:c r="R1006" s="47" t="n">
        <x:v>1</x:v>
      </x:c>
      <x:c r="S1006" s="27" t="n">
        <x:v>1</x:v>
      </x:c>
    </x:row>
    <x:row r="1007" ht="21.600000381469727" hidden="0" customHeight="1">
      <x:c r="A1007" s="29" t="n">
        <x:v>335</x:v>
      </x:c>
      <x:c r="B1007" s="29" t="str">
        <x:v>A1</x:v>
      </x:c>
      <x:c r="C1007" s="48" t="n">
        <x:v>0.9887438176591388</x:v>
      </x:c>
      <x:c r="D1007" s="48" t="n">
        <x:v>0.9446435375549742</x:v>
      </x:c>
      <x:c r="E1007" s="48" t="n">
        <x:v>0.8991340584264682</x:v>
      </x:c>
      <x:c r="F1007" s="48" t="n">
        <x:v>0.027423034543964553</x:v>
      </x:c>
      <x:c r="G1007" s="48" t="n">
        <x:v>-0.05482248469861695</x:v>
      </x:c>
      <x:c r="H1007" s="48" t="n">
        <x:v>0.36108963199435684</x:v>
      </x:c>
      <x:c r="I1007" s="48" t="n">
        <x:v>0.6087038992086534</x:v>
      </x:c>
      <x:c r="J1007" s="48" t="n">
        <x:v>0.7731445518347397</x:v>
      </x:c>
      <x:c r="K1007" s="48" t="n">
        <x:v>0.6392479217077384</x:v>
      </x:c>
      <x:c r="L1007" s="48" t="n">
        <x:v>0.6402305067961176</x:v>
      </x:c>
      <x:c r="M1007" s="48" t="n">
        <x:v>0.12829856983565277</x:v>
      </x:c>
      <x:c r="N1007" s="48" t="n">
        <x:v>0.7022909374086966</x:v>
      </x:c>
      <x:c r="O1007" s="48" t="n">
        <x:v>0.9396131059087807</x:v>
      </x:c>
      <x:c r="P1007" s="48" t="n">
        <x:v>0.6916106510925359</x:v>
      </x:c>
      <x:c r="Q1007" s="48" t="n">
        <x:v>1</x:v>
      </x:c>
      <x:c r="R1007" s="48" t="n">
        <x:v>0.9254316639103621</x:v>
      </x:c>
      <x:c r="S1007" s="29" t="n">
        <x:v>0</x:v>
      </x:c>
    </x:row>
    <x:row r="1008" ht="21.600000381469727" hidden="0" customHeight="1">
      <x:c r="A1008" s="27" t="n">
        <x:v>335</x:v>
      </x:c>
      <x:c r="B1008" s="27" t="str">
        <x:v>A2</x:v>
      </x:c>
      <x:c r="C1008" s="47" t="n">
        <x:v>0.9887438176591388</x:v>
      </x:c>
      <x:c r="D1008" s="47" t="n">
        <x:v>0.9446435375549742</x:v>
      </x:c>
      <x:c r="E1008" s="47" t="n">
        <x:v>0.8991340584264682</x:v>
      </x:c>
      <x:c r="F1008" s="47" t="n">
        <x:v>0.027423034543964553</x:v>
      </x:c>
      <x:c r="G1008" s="47" t="n">
        <x:v>-0.05482248469861695</x:v>
      </x:c>
      <x:c r="H1008" s="47" t="n">
        <x:v>0.36108963199435684</x:v>
      </x:c>
      <x:c r="I1008" s="47" t="n">
        <x:v>0.6087038992086534</x:v>
      </x:c>
      <x:c r="J1008" s="47" t="n">
        <x:v>0.7731445518347397</x:v>
      </x:c>
      <x:c r="K1008" s="47" t="n">
        <x:v>0.6392479217077384</x:v>
      </x:c>
      <x:c r="L1008" s="47" t="n">
        <x:v>0.6402305067961176</x:v>
      </x:c>
      <x:c r="M1008" s="47" t="n">
        <x:v>0.12829856983565277</x:v>
      </x:c>
      <x:c r="N1008" s="47" t="n">
        <x:v>0.7022909374086966</x:v>
      </x:c>
      <x:c r="O1008" s="47" t="n">
        <x:v>0.9652268646148849</x:v>
      </x:c>
      <x:c r="P1008" s="47" t="n">
        <x:v>0.7589016617764079</x:v>
      </x:c>
      <x:c r="Q1008" s="47" t="n">
        <x:v>1</x:v>
      </x:c>
      <x:c r="R1008" s="47" t="n">
        <x:v>0.9570606356675531</x:v>
      </x:c>
      <x:c r="S1008" s="27" t="n">
        <x:v>0</x:v>
      </x:c>
    </x:row>
    <x:row r="1009" ht="21.600000381469727" hidden="0" customHeight="1">
      <x:c r="A1009" s="29" t="n">
        <x:v>335</x:v>
      </x:c>
      <x:c r="B1009" s="29" t="str">
        <x:v>A3</x:v>
      </x:c>
      <x:c r="C1009" s="48" t="n">
        <x:v>0.9887438176591388</x:v>
      </x:c>
      <x:c r="D1009" s="48" t="n">
        <x:v>0.9446435375549742</x:v>
      </x:c>
      <x:c r="E1009" s="48" t="n">
        <x:v>0.8991340584264682</x:v>
      </x:c>
      <x:c r="F1009" s="48" t="n">
        <x:v>0.027423034543964553</x:v>
      </x:c>
      <x:c r="G1009" s="48" t="n">
        <x:v>-0.05482248469861695</x:v>
      </x:c>
      <x:c r="H1009" s="48" t="n">
        <x:v>0.36108963199435684</x:v>
      </x:c>
      <x:c r="I1009" s="48" t="n">
        <x:v>0.6087038992086534</x:v>
      </x:c>
      <x:c r="J1009" s="48" t="n">
        <x:v>0.7731445518347397</x:v>
      </x:c>
      <x:c r="K1009" s="48" t="n">
        <x:v>0.6392479217077384</x:v>
      </x:c>
      <x:c r="L1009" s="48" t="n">
        <x:v>0.6402305067961176</x:v>
      </x:c>
      <x:c r="M1009" s="48" t="n">
        <x:v>0.12829856983565277</x:v>
      </x:c>
      <x:c r="N1009" s="48" t="n">
        <x:v>0.7022909374086966</x:v>
      </x:c>
      <x:c r="O1009" s="48" t="n">
        <x:v>1</x:v>
      </x:c>
      <x:c r="P1009" s="48" t="n">
        <x:v>1</x:v>
      </x:c>
      <x:c r="Q1009" s="48" t="n">
        <x:v>1</x:v>
      </x:c>
      <x:c r="R1009" s="48" t="n">
        <x:v>1</x:v>
      </x:c>
      <x:c r="S1009" s="29" t="n">
        <x:v>1</x:v>
      </x:c>
    </x:row>
    <x:row r="1010" ht="21.600000381469727" hidden="0" customHeight="1">
      <x:c r="A1010" s="27" t="n">
        <x:v>336</x:v>
      </x:c>
      <x:c r="B1010" s="27" t="str">
        <x:v>A1</x:v>
      </x:c>
      <x:c r="C1010" s="47" t="n">
        <x:v>1.0427096527773374</x:v>
      </x:c>
      <x:c r="D1010" s="47" t="n">
        <x:v>0.7878083845209428</x:v>
      </x:c>
      <x:c r="E1010" s="47" t="n">
        <x:v>0.6503594308254869</x:v>
      </x:c>
      <x:c r="F1010" s="47" t="n">
        <x:v>0.006282379321813886</x:v>
      </x:c>
      <x:c r="G1010" s="47" t="n">
        <x:v>-0.06068218284221316</x:v>
      </x:c>
      <x:c r="H1010" s="47" t="n">
        <x:v>0.5422841391505188</x:v>
      </x:c>
      <x:c r="I1010" s="47" t="n">
        <x:v>0.6051965945974828</x:v>
      </x:c>
      <x:c r="J1010" s="47" t="n">
        <x:v>0.40021140562449004</x:v>
      </x:c>
      <x:c r="K1010" s="47" t="n">
        <x:v>0.6176766661321351</x:v>
      </x:c>
      <x:c r="L1010" s="47" t="n">
        <x:v>0.5929457560200272</x:v>
      </x:c>
      <x:c r="M1010" s="47" t="n">
        <x:v>0.15685780917473852</x:v>
      </x:c>
      <x:c r="N1010" s="47" t="n">
        <x:v>0.9991331407619587</x:v>
      </x:c>
      <x:c r="O1010" s="47" t="n">
        <x:v>0.7876840333448447</x:v>
      </x:c>
      <x:c r="P1010" s="47" t="n">
        <x:v>0.5459358725223238</x:v>
      </x:c>
      <x:c r="Q1010" s="47" t="n">
        <x:v>0.899018349883521</x:v>
      </x:c>
      <x:c r="R1010" s="47" t="n">
        <x:v>0.7385730814667545</x:v>
      </x:c>
      <x:c r="S1010" s="27" t="n">
        <x:v>0</x:v>
      </x:c>
    </x:row>
    <x:row r="1011" ht="21.600000381469727" hidden="0" customHeight="1">
      <x:c r="A1011" s="29" t="n">
        <x:v>336</x:v>
      </x:c>
      <x:c r="B1011" s="29" t="str">
        <x:v>A2</x:v>
      </x:c>
      <x:c r="C1011" s="48" t="n">
        <x:v>1.0427096527773374</x:v>
      </x:c>
      <x:c r="D1011" s="48" t="n">
        <x:v>0.7878083845209428</x:v>
      </x:c>
      <x:c r="E1011" s="48" t="n">
        <x:v>0.6503594308254869</x:v>
      </x:c>
      <x:c r="F1011" s="48" t="n">
        <x:v>0.006282379321813886</x:v>
      </x:c>
      <x:c r="G1011" s="48" t="n">
        <x:v>-0.06068218284221316</x:v>
      </x:c>
      <x:c r="H1011" s="48" t="n">
        <x:v>0.5422841391505188</x:v>
      </x:c>
      <x:c r="I1011" s="48" t="n">
        <x:v>0.6051965945974828</x:v>
      </x:c>
      <x:c r="J1011" s="48" t="n">
        <x:v>0.40021140562449004</x:v>
      </x:c>
      <x:c r="K1011" s="48" t="n">
        <x:v>0.6176766661321351</x:v>
      </x:c>
      <x:c r="L1011" s="48" t="n">
        <x:v>0.5929457560200272</x:v>
      </x:c>
      <x:c r="M1011" s="48" t="n">
        <x:v>0.15685780917473852</x:v>
      </x:c>
      <x:c r="N1011" s="48" t="n">
        <x:v>0.9991331407619587</x:v>
      </x:c>
      <x:c r="O1011" s="48" t="n">
        <x:v>0.8668124520007998</x:v>
      </x:c>
      <x:c r="P1011" s="48" t="n">
        <x:v>0.5700758500984429</x:v>
      </x:c>
      <x:c r="Q1011" s="48" t="n">
        <x:v>1</x:v>
      </x:c>
      <x:c r="R1011" s="48" t="n">
        <x:v>0.8355342828667974</x:v>
      </x:c>
      <x:c r="S1011" s="29" t="n">
        <x:v>0</x:v>
      </x:c>
    </x:row>
    <x:row r="1012" ht="21.600000381469727" hidden="0" customHeight="1">
      <x:c r="A1012" s="27" t="n">
        <x:v>336</x:v>
      </x:c>
      <x:c r="B1012" s="27" t="str">
        <x:v>A3</x:v>
      </x:c>
      <x:c r="C1012" s="47" t="n">
        <x:v>1.0427096527773374</x:v>
      </x:c>
      <x:c r="D1012" s="47" t="n">
        <x:v>0.7878083845209428</x:v>
      </x:c>
      <x:c r="E1012" s="47" t="n">
        <x:v>0.6503594308254869</x:v>
      </x:c>
      <x:c r="F1012" s="47" t="n">
        <x:v>0.006282379321813886</x:v>
      </x:c>
      <x:c r="G1012" s="47" t="n">
        <x:v>-0.06068218284221316</x:v>
      </x:c>
      <x:c r="H1012" s="47" t="n">
        <x:v>0.5422841391505188</x:v>
      </x:c>
      <x:c r="I1012" s="47" t="n">
        <x:v>0.6051965945974828</x:v>
      </x:c>
      <x:c r="J1012" s="47" t="n">
        <x:v>0.40021140562449004</x:v>
      </x:c>
      <x:c r="K1012" s="47" t="n">
        <x:v>0.6176766661321351</x:v>
      </x:c>
      <x:c r="L1012" s="47" t="n">
        <x:v>0.5929457560200272</x:v>
      </x:c>
      <x:c r="M1012" s="47" t="n">
        <x:v>0.15685780917473852</x:v>
      </x:c>
      <x:c r="N1012" s="47" t="n">
        <x:v>0.9991331407619587</x:v>
      </x:c>
      <x:c r="O1012" s="47" t="n">
        <x:v>1</x:v>
      </x:c>
      <x:c r="P1012" s="47" t="n">
        <x:v>1</x:v>
      </x:c>
      <x:c r="Q1012" s="47" t="n">
        <x:v>1</x:v>
      </x:c>
      <x:c r="R1012" s="47" t="n">
        <x:v>1</x:v>
      </x:c>
      <x:c r="S1012" s="27" t="n">
        <x:v>1</x:v>
      </x:c>
    </x:row>
    <x:row r="1013" ht="21.600000381469727" hidden="0" customHeight="1">
      <x:c r="A1013" s="29" t="n">
        <x:v>337</x:v>
      </x:c>
      <x:c r="B1013" s="29" t="str">
        <x:v>A1</x:v>
      </x:c>
      <x:c r="C1013" s="48" t="n">
        <x:v>0.9909377184634067</x:v>
      </x:c>
      <x:c r="D1013" s="48" t="n">
        <x:v>0.9526247692282825</x:v>
      </x:c>
      <x:c r="E1013" s="48" t="n">
        <x:v>0.7537756293353688</x:v>
      </x:c>
      <x:c r="F1013" s="48" t="n">
        <x:v>-0.04721401322368693</x:v>
      </x:c>
      <x:c r="G1013" s="48" t="n">
        <x:v>-0.17940756472092598</x:v>
      </x:c>
      <x:c r="H1013" s="48" t="n">
        <x:v>0.4689989347916421</x:v>
      </x:c>
      <x:c r="I1013" s="48" t="n">
        <x:v>0.8489517769428203</x:v>
      </x:c>
      <x:c r="J1013" s="48" t="n">
        <x:v>0.4475190135941884</x:v>
      </x:c>
      <x:c r="K1013" s="48" t="n">
        <x:v>0.9642205237874377</x:v>
      </x:c>
      <x:c r="L1013" s="48" t="n">
        <x:v>0.8179470533819321</x:v>
      </x:c>
      <x:c r="M1013" s="48" t="n">
        <x:v>0.1352353590815053</x:v>
      </x:c>
      <x:c r="N1013" s="48" t="n">
        <x:v>0.6763037749575337</x:v>
      </x:c>
      <x:c r="O1013" s="48" t="n">
        <x:v>0.9085943072662626</x:v>
      </x:c>
      <x:c r="P1013" s="48" t="n">
        <x:v>0.7214723104299593</x:v>
      </x:c>
      <x:c r="Q1013" s="48" t="n">
        <x:v>1</x:v>
      </x:c>
      <x:c r="R1013" s="48" t="n">
        <x:v>0.8871283161876244</x:v>
      </x:c>
      <x:c r="S1013" s="29" t="n">
        <x:v>0</x:v>
      </x:c>
    </x:row>
    <x:row r="1014" ht="21.600000381469727" hidden="0" customHeight="1">
      <x:c r="A1014" s="27" t="n">
        <x:v>337</x:v>
      </x:c>
      <x:c r="B1014" s="27" t="str">
        <x:v>A2</x:v>
      </x:c>
      <x:c r="C1014" s="47" t="n">
        <x:v>0.9909377184634067</x:v>
      </x:c>
      <x:c r="D1014" s="47" t="n">
        <x:v>0.9526247692282825</x:v>
      </x:c>
      <x:c r="E1014" s="47" t="n">
        <x:v>0.7537756293353688</x:v>
      </x:c>
      <x:c r="F1014" s="47" t="n">
        <x:v>-0.04721401322368693</x:v>
      </x:c>
      <x:c r="G1014" s="47" t="n">
        <x:v>-0.17940756472092598</x:v>
      </x:c>
      <x:c r="H1014" s="47" t="n">
        <x:v>0.4689989347916421</x:v>
      </x:c>
      <x:c r="I1014" s="47" t="n">
        <x:v>0.8489517769428203</x:v>
      </x:c>
      <x:c r="J1014" s="47" t="n">
        <x:v>0.4475190135941884</x:v>
      </x:c>
      <x:c r="K1014" s="47" t="n">
        <x:v>0.9642205237874377</x:v>
      </x:c>
      <x:c r="L1014" s="47" t="n">
        <x:v>0.8179470533819321</x:v>
      </x:c>
      <x:c r="M1014" s="47" t="n">
        <x:v>0.1352353590815053</x:v>
      </x:c>
      <x:c r="N1014" s="47" t="n">
        <x:v>0.6763037749575337</x:v>
      </x:c>
      <x:c r="O1014" s="47" t="n">
        <x:v>0.9911034906326828</x:v>
      </x:c>
      <x:c r="P1014" s="47" t="n">
        <x:v>0.9529093380278434</x:v>
      </x:c>
      <x:c r="Q1014" s="47" t="n">
        <x:v>1</x:v>
      </x:c>
      <x:c r="R1014" s="47" t="n">
        <x:v>0.9890142072959639</x:v>
      </x:c>
      <x:c r="S1014" s="27" t="n">
        <x:v>1</x:v>
      </x:c>
    </x:row>
    <x:row r="1015" ht="21.600000381469727" hidden="0" customHeight="1">
      <x:c r="A1015" s="29" t="n">
        <x:v>337</x:v>
      </x:c>
      <x:c r="B1015" s="29" t="str">
        <x:v>A3</x:v>
      </x:c>
      <x:c r="C1015" s="48" t="n">
        <x:v>0.9909377184634067</x:v>
      </x:c>
      <x:c r="D1015" s="48" t="n">
        <x:v>0.9526247692282825</x:v>
      </x:c>
      <x:c r="E1015" s="48" t="n">
        <x:v>0.7537756293353688</x:v>
      </x:c>
      <x:c r="F1015" s="48" t="n">
        <x:v>-0.04721401322368693</x:v>
      </x:c>
      <x:c r="G1015" s="48" t="n">
        <x:v>-0.17940756472092598</x:v>
      </x:c>
      <x:c r="H1015" s="48" t="n">
        <x:v>0.4689989347916421</x:v>
      </x:c>
      <x:c r="I1015" s="48" t="n">
        <x:v>0.8489517769428203</x:v>
      </x:c>
      <x:c r="J1015" s="48" t="n">
        <x:v>0.4475190135941884</x:v>
      </x:c>
      <x:c r="K1015" s="48" t="n">
        <x:v>0.9642205237874377</x:v>
      </x:c>
      <x:c r="L1015" s="48" t="n">
        <x:v>0.8179470533819321</x:v>
      </x:c>
      <x:c r="M1015" s="48" t="n">
        <x:v>0.1352353590815053</x:v>
      </x:c>
      <x:c r="N1015" s="48" t="n">
        <x:v>0.6763037749575337</x:v>
      </x:c>
      <x:c r="O1015" s="48" t="n">
        <x:v>1</x:v>
      </x:c>
      <x:c r="P1015" s="48" t="n">
        <x:v>1</x:v>
      </x:c>
      <x:c r="Q1015" s="48" t="n">
        <x:v>1</x:v>
      </x:c>
      <x:c r="R1015" s="48" t="n">
        <x:v>1</x:v>
      </x:c>
      <x:c r="S1015" s="29" t="n">
        <x:v>1</x:v>
      </x:c>
    </x:row>
    <x:row r="1016" ht="21.600000381469727" hidden="0" customHeight="1">
      <x:c r="A1016" s="27" t="n">
        <x:v>338</x:v>
      </x:c>
      <x:c r="B1016" s="27" t="str">
        <x:v>A1</x:v>
      </x:c>
      <x:c r="C1016" s="47" t="n">
        <x:v>1.300493708781651</x:v>
      </x:c>
      <x:c r="D1016" s="47" t="n">
        <x:v>0.9924661485468432</x:v>
      </x:c>
      <x:c r="E1016" s="47" t="n">
        <x:v>0.637929989708566</x:v>
      </x:c>
      <x:c r="F1016" s="47" t="n">
        <x:v>-0.025511051161354825</x:v>
      </x:c>
      <x:c r="G1016" s="47" t="n">
        <x:v>-0.08318937287497817</x:v>
      </x:c>
      <x:c r="H1016" s="47" t="n">
        <x:v>0.5983455082385445</x:v>
      </x:c>
      <x:c r="I1016" s="47" t="n">
        <x:v>0.907437151135623</x:v>
      </x:c>
      <x:c r="J1016" s="47" t="n">
        <x:v>0.8236556065126881</x:v>
      </x:c>
      <x:c r="K1016" s="47" t="n">
        <x:v>0.9910304670309854</x:v>
      </x:c>
      <x:c r="L1016" s="47" t="n">
        <x:v>0.6252773567553519</x:v>
      </x:c>
      <x:c r="M1016" s="47" t="n">
        <x:v>0.025109944309527548</x:v>
      </x:c>
      <x:c r="N1016" s="47" t="n">
        <x:v>0.9247597623871426</x:v>
      </x:c>
      <x:c r="O1016" s="47" t="n">
        <x:v>0.8623140782808426</x:v>
      </x:c>
      <x:c r="P1016" s="47" t="n">
        <x:v>0.5314647619652294</x:v>
      </x:c>
      <x:c r="Q1016" s="47" t="n">
        <x:v>1</x:v>
      </x:c>
      <x:c r="R1016" s="47" t="n">
        <x:v>0.8299794973714568</x:v>
      </x:c>
      <x:c r="S1016" s="27" t="n">
        <x:v>0</x:v>
      </x:c>
    </x:row>
    <x:row r="1017" ht="21.600000381469727" hidden="0" customHeight="1">
      <x:c r="A1017" s="29" t="n">
        <x:v>338</x:v>
      </x:c>
      <x:c r="B1017" s="29" t="str">
        <x:v>A2</x:v>
      </x:c>
      <x:c r="C1017" s="48" t="n">
        <x:v>1.300493708781651</x:v>
      </x:c>
      <x:c r="D1017" s="48" t="n">
        <x:v>0.9924661485468432</x:v>
      </x:c>
      <x:c r="E1017" s="48" t="n">
        <x:v>0.637929989708566</x:v>
      </x:c>
      <x:c r="F1017" s="48" t="n">
        <x:v>-0.025511051161354825</x:v>
      </x:c>
      <x:c r="G1017" s="48" t="n">
        <x:v>-0.08318937287497817</x:v>
      </x:c>
      <x:c r="H1017" s="48" t="n">
        <x:v>0.5983455082385445</x:v>
      </x:c>
      <x:c r="I1017" s="48" t="n">
        <x:v>0.907437151135623</x:v>
      </x:c>
      <x:c r="J1017" s="48" t="n">
        <x:v>0.8236556065126881</x:v>
      </x:c>
      <x:c r="K1017" s="48" t="n">
        <x:v>0.9910304670309854</x:v>
      </x:c>
      <x:c r="L1017" s="48" t="n">
        <x:v>0.6252773567553519</x:v>
      </x:c>
      <x:c r="M1017" s="48" t="n">
        <x:v>0.025109944309527548</x:v>
      </x:c>
      <x:c r="N1017" s="48" t="n">
        <x:v>0.9247597623871426</x:v>
      </x:c>
      <x:c r="O1017" s="48" t="n">
        <x:v>0.9280788328322719</x:v>
      </x:c>
      <x:c r="P1017" s="48" t="n">
        <x:v>0.6197029516487789</x:v>
      </x:c>
      <x:c r="Q1017" s="48" t="n">
        <x:v>1</x:v>
      </x:c>
      <x:c r="R1017" s="48" t="n">
        <x:v>0.9111886470395236</x:v>
      </x:c>
      <x:c r="S1017" s="29" t="n">
        <x:v>0</x:v>
      </x:c>
    </x:row>
    <x:row r="1018" ht="21.600000381469727" hidden="0" customHeight="1">
      <x:c r="A1018" s="27" t="n">
        <x:v>338</x:v>
      </x:c>
      <x:c r="B1018" s="27" t="str">
        <x:v>A3</x:v>
      </x:c>
      <x:c r="C1018" s="47" t="n">
        <x:v>1.300493708781651</x:v>
      </x:c>
      <x:c r="D1018" s="47" t="n">
        <x:v>0.9924661485468432</x:v>
      </x:c>
      <x:c r="E1018" s="47" t="n">
        <x:v>0.637929989708566</x:v>
      </x:c>
      <x:c r="F1018" s="47" t="n">
        <x:v>-0.025511051161354825</x:v>
      </x:c>
      <x:c r="G1018" s="47" t="n">
        <x:v>-0.08318937287497817</x:v>
      </x:c>
      <x:c r="H1018" s="47" t="n">
        <x:v>0.5983455082385445</x:v>
      </x:c>
      <x:c r="I1018" s="47" t="n">
        <x:v>0.907437151135623</x:v>
      </x:c>
      <x:c r="J1018" s="47" t="n">
        <x:v>0.8236556065126881</x:v>
      </x:c>
      <x:c r="K1018" s="47" t="n">
        <x:v>0.9910304670309854</x:v>
      </x:c>
      <x:c r="L1018" s="47" t="n">
        <x:v>0.6252773567553519</x:v>
      </x:c>
      <x:c r="M1018" s="47" t="n">
        <x:v>0.025109944309527548</x:v>
      </x:c>
      <x:c r="N1018" s="47" t="n">
        <x:v>0.9247597623871426</x:v>
      </x:c>
      <x:c r="O1018" s="47" t="n">
        <x:v>1</x:v>
      </x:c>
      <x:c r="P1018" s="47" t="n">
        <x:v>1</x:v>
      </x:c>
      <x:c r="Q1018" s="47" t="n">
        <x:v>1</x:v>
      </x:c>
      <x:c r="R1018" s="47" t="n">
        <x:v>1</x:v>
      </x:c>
      <x:c r="S1018" s="27" t="n">
        <x:v>1</x:v>
      </x:c>
    </x:row>
    <x:row r="1019" ht="21.600000381469727" hidden="0" customHeight="1">
      <x:c r="A1019" s="29" t="n">
        <x:v>339</x:v>
      </x:c>
      <x:c r="B1019" s="29" t="str">
        <x:v>A1</x:v>
      </x:c>
      <x:c r="C1019" s="48" t="n">
        <x:v>1.134208975074762</x:v>
      </x:c>
      <x:c r="D1019" s="48" t="n">
        <x:v>0.7752946013360973</x:v>
      </x:c>
      <x:c r="E1019" s="48" t="n">
        <x:v>1.0578493002504956</x:v>
      </x:c>
      <x:c r="F1019" s="48" t="n">
        <x:v>-0.11866808550137473</x:v>
      </x:c>
      <x:c r="G1019" s="48" t="n">
        <x:v>-0.07067458204772029</x:v>
      </x:c>
      <x:c r="H1019" s="48" t="n">
        <x:v>0.5619891325221806</x:v>
      </x:c>
      <x:c r="I1019" s="48" t="n">
        <x:v>1.015129887752816</x:v>
      </x:c>
      <x:c r="J1019" s="48" t="n">
        <x:v>0.5768624018791499</x:v>
      </x:c>
      <x:c r="K1019" s="48" t="n">
        <x:v>0.7786144888647443</x:v>
      </x:c>
      <x:c r="L1019" s="48" t="n">
        <x:v>0.8712440572678151</x:v>
      </x:c>
      <x:c r="M1019" s="48" t="n">
        <x:v>0.15409462918391162</x:v>
      </x:c>
      <x:c r="N1019" s="48" t="n">
        <x:v>0.8947081570248301</x:v>
      </x:c>
      <x:c r="O1019" s="48" t="n">
        <x:v>0.8297836109694274</x:v>
      </x:c>
      <x:c r="P1019" s="48" t="n">
        <x:v>0.502767881288151</x:v>
      </x:c>
      <x:c r="Q1019" s="48" t="n">
        <x:v>1</x:v>
      </x:c>
      <x:c r="R1019" s="48" t="n">
        <x:v>0.7898094761087916</x:v>
      </x:c>
      <x:c r="S1019" s="29" t="n">
        <x:v>0</x:v>
      </x:c>
    </x:row>
    <x:row r="1020" ht="21.600000381469727" hidden="0" customHeight="1">
      <x:c r="A1020" s="27" t="n">
        <x:v>339</x:v>
      </x:c>
      <x:c r="B1020" s="27" t="str">
        <x:v>A2</x:v>
      </x:c>
      <x:c r="C1020" s="47" t="n">
        <x:v>1.134208975074762</x:v>
      </x:c>
      <x:c r="D1020" s="47" t="n">
        <x:v>0.7752946013360973</x:v>
      </x:c>
      <x:c r="E1020" s="47" t="n">
        <x:v>1.0578493002504956</x:v>
      </x:c>
      <x:c r="F1020" s="47" t="n">
        <x:v>-0.11866808550137473</x:v>
      </x:c>
      <x:c r="G1020" s="47" t="n">
        <x:v>-0.07067458204772029</x:v>
      </x:c>
      <x:c r="H1020" s="47" t="n">
        <x:v>0.5619891325221806</x:v>
      </x:c>
      <x:c r="I1020" s="47" t="n">
        <x:v>1.015129887752816</x:v>
      </x:c>
      <x:c r="J1020" s="47" t="n">
        <x:v>0.5768624018791499</x:v>
      </x:c>
      <x:c r="K1020" s="47" t="n">
        <x:v>0.7786144888647443</x:v>
      </x:c>
      <x:c r="L1020" s="47" t="n">
        <x:v>0.8712440572678151</x:v>
      </x:c>
      <x:c r="M1020" s="47" t="n">
        <x:v>0.15409462918391162</x:v>
      </x:c>
      <x:c r="N1020" s="47" t="n">
        <x:v>0.8947081570248301</x:v>
      </x:c>
      <x:c r="O1020" s="47" t="n">
        <x:v>0.897566136338279</x:v>
      </x:c>
      <x:c r="P1020" s="47" t="n">
        <x:v>0.5193697846645919</x:v>
      </x:c>
      <x:c r="Q1020" s="47" t="n">
        <x:v>1</x:v>
      </x:c>
      <x:c r="R1020" s="47" t="n">
        <x:v>0.8735102560342138</x:v>
      </x:c>
      <x:c r="S1020" s="27" t="n">
        <x:v>0</x:v>
      </x:c>
    </x:row>
    <x:row r="1021" ht="21.600000381469727" hidden="0" customHeight="1">
      <x:c r="A1021" s="29" t="n">
        <x:v>339</x:v>
      </x:c>
      <x:c r="B1021" s="29" t="str">
        <x:v>A3</x:v>
      </x:c>
      <x:c r="C1021" s="48" t="n">
        <x:v>1.134208975074762</x:v>
      </x:c>
      <x:c r="D1021" s="48" t="n">
        <x:v>0.7752946013360973</x:v>
      </x:c>
      <x:c r="E1021" s="48" t="n">
        <x:v>1.0578493002504956</x:v>
      </x:c>
      <x:c r="F1021" s="48" t="n">
        <x:v>-0.11866808550137473</x:v>
      </x:c>
      <x:c r="G1021" s="48" t="n">
        <x:v>-0.07067458204772029</x:v>
      </x:c>
      <x:c r="H1021" s="48" t="n">
        <x:v>0.5619891325221806</x:v>
      </x:c>
      <x:c r="I1021" s="48" t="n">
        <x:v>1.015129887752816</x:v>
      </x:c>
      <x:c r="J1021" s="48" t="n">
        <x:v>0.5768624018791499</x:v>
      </x:c>
      <x:c r="K1021" s="48" t="n">
        <x:v>0.7786144888647443</x:v>
      </x:c>
      <x:c r="L1021" s="48" t="n">
        <x:v>0.8712440572678151</x:v>
      </x:c>
      <x:c r="M1021" s="48" t="n">
        <x:v>0.15409462918391162</x:v>
      </x:c>
      <x:c r="N1021" s="48" t="n">
        <x:v>0.8947081570248301</x:v>
      </x:c>
      <x:c r="O1021" s="48" t="n">
        <x:v>1</x:v>
      </x:c>
      <x:c r="P1021" s="48" t="n">
        <x:v>1</x:v>
      </x:c>
      <x:c r="Q1021" s="48" t="n">
        <x:v>1</x:v>
      </x:c>
      <x:c r="R1021" s="48" t="n">
        <x:v>1</x:v>
      </x:c>
      <x:c r="S1021" s="29" t="n">
        <x:v>1</x:v>
      </x:c>
    </x:row>
    <x:row r="1022" ht="21.600000381469727" hidden="0" customHeight="1">
      <x:c r="A1022" s="27" t="n">
        <x:v>340</x:v>
      </x:c>
      <x:c r="B1022" s="27" t="str">
        <x:v>A1</x:v>
      </x:c>
      <x:c r="C1022" s="47" t="n">
        <x:v>1.2013615418137837</x:v>
      </x:c>
      <x:c r="D1022" s="47" t="n">
        <x:v>0.8388034923965365</x:v>
      </x:c>
      <x:c r="E1022" s="47" t="n">
        <x:v>0.8214211160211901</x:v>
      </x:c>
      <x:c r="F1022" s="47" t="n">
        <x:v>-0.07477898708461922</x:v>
      </x:c>
      <x:c r="G1022" s="47" t="n">
        <x:v>-0.10445092256298227</x:v>
      </x:c>
      <x:c r="H1022" s="47" t="n">
        <x:v>0.3120871548629511</x:v>
      </x:c>
      <x:c r="I1022" s="47" t="n">
        <x:v>0.8612089746055148</x:v>
      </x:c>
      <x:c r="J1022" s="47" t="n">
        <x:v>0.6757006251503654</x:v>
      </x:c>
      <x:c r="K1022" s="47" t="n">
        <x:v>0.858978437595967</x:v>
      </x:c>
      <x:c r="L1022" s="47" t="n">
        <x:v>0.9438126219140022</x:v>
      </x:c>
      <x:c r="M1022" s="47" t="n">
        <x:v>0.17630443986443778</x:v>
      </x:c>
      <x:c r="N1022" s="47" t="n">
        <x:v>0.7378417004326676</x:v>
      </x:c>
      <x:c r="O1022" s="47" t="n">
        <x:v>0.8434120841889274</x:v>
      </x:c>
      <x:c r="P1022" s="47" t="n">
        <x:v>0.601990739453586</x:v>
      </x:c>
      <x:c r="Q1022" s="47" t="n">
        <x:v>0.9464235149190999</x:v>
      </x:c>
      <x:c r="R1022" s="47" t="n">
        <x:v>0.8070364061648545</x:v>
      </x:c>
      <x:c r="S1022" s="27" t="n">
        <x:v>0</x:v>
      </x:c>
    </x:row>
    <x:row r="1023" ht="21.600000381469727" hidden="0" customHeight="1">
      <x:c r="A1023" s="29" t="n">
        <x:v>340</x:v>
      </x:c>
      <x:c r="B1023" s="29" t="str">
        <x:v>A2</x:v>
      </x:c>
      <x:c r="C1023" s="48" t="n">
        <x:v>1.2013615418137837</x:v>
      </x:c>
      <x:c r="D1023" s="48" t="n">
        <x:v>0.8388034923965365</x:v>
      </x:c>
      <x:c r="E1023" s="48" t="n">
        <x:v>0.8214211160211901</x:v>
      </x:c>
      <x:c r="F1023" s="48" t="n">
        <x:v>-0.07477898708461922</x:v>
      </x:c>
      <x:c r="G1023" s="48" t="n">
        <x:v>-0.10445092256298227</x:v>
      </x:c>
      <x:c r="H1023" s="48" t="n">
        <x:v>0.3120871548629511</x:v>
      </x:c>
      <x:c r="I1023" s="48" t="n">
        <x:v>0.8612089746055148</x:v>
      </x:c>
      <x:c r="J1023" s="48" t="n">
        <x:v>0.6757006251503654</x:v>
      </x:c>
      <x:c r="K1023" s="48" t="n">
        <x:v>0.858978437595967</x:v>
      </x:c>
      <x:c r="L1023" s="48" t="n">
        <x:v>0.9438126219140022</x:v>
      </x:c>
      <x:c r="M1023" s="48" t="n">
        <x:v>0.17630443986443778</x:v>
      </x:c>
      <x:c r="N1023" s="48" t="n">
        <x:v>0.7378417004326676</x:v>
      </x:c>
      <x:c r="O1023" s="48" t="n">
        <x:v>0.9470192306713823</x:v>
      </x:c>
      <x:c r="P1023" s="48" t="n">
        <x:v>0.6960837742173461</x:v>
      </x:c>
      <x:c r="Q1023" s="48" t="n">
        <x:v>1</x:v>
      </x:c>
      <x:c r="R1023" s="48" t="n">
        <x:v>0.9345770655530633</x:v>
      </x:c>
      <x:c r="S1023" s="29" t="n">
        <x:v>0</x:v>
      </x:c>
    </x:row>
    <x:row r="1024" ht="21.600000381469727" hidden="0" customHeight="1">
      <x:c r="A1024" s="27" t="n">
        <x:v>340</x:v>
      </x:c>
      <x:c r="B1024" s="27" t="str">
        <x:v>A3</x:v>
      </x:c>
      <x:c r="C1024" s="47" t="n">
        <x:v>1.2013615418137837</x:v>
      </x:c>
      <x:c r="D1024" s="47" t="n">
        <x:v>0.8388034923965365</x:v>
      </x:c>
      <x:c r="E1024" s="47" t="n">
        <x:v>0.8214211160211901</x:v>
      </x:c>
      <x:c r="F1024" s="47" t="n">
        <x:v>-0.07477898708461922</x:v>
      </x:c>
      <x:c r="G1024" s="47" t="n">
        <x:v>-0.10445092256298227</x:v>
      </x:c>
      <x:c r="H1024" s="47" t="n">
        <x:v>0.3120871548629511</x:v>
      </x:c>
      <x:c r="I1024" s="47" t="n">
        <x:v>0.8612089746055148</x:v>
      </x:c>
      <x:c r="J1024" s="47" t="n">
        <x:v>0.6757006251503654</x:v>
      </x:c>
      <x:c r="K1024" s="47" t="n">
        <x:v>0.858978437595967</x:v>
      </x:c>
      <x:c r="L1024" s="47" t="n">
        <x:v>0.9438126219140022</x:v>
      </x:c>
      <x:c r="M1024" s="47" t="n">
        <x:v>0.17630443986443778</x:v>
      </x:c>
      <x:c r="N1024" s="47" t="n">
        <x:v>0.7378417004326676</x:v>
      </x:c>
      <x:c r="O1024" s="47" t="n">
        <x:v>1</x:v>
      </x:c>
      <x:c r="P1024" s="47" t="n">
        <x:v>1</x:v>
      </x:c>
      <x:c r="Q1024" s="47" t="n">
        <x:v>1</x:v>
      </x:c>
      <x:c r="R1024" s="47" t="n">
        <x:v>1</x:v>
      </x:c>
      <x:c r="S1024" s="27" t="n">
        <x:v>1</x:v>
      </x:c>
    </x:row>
    <x:row r="1025" ht="21.600000381469727" hidden="0" customHeight="1">
      <x:c r="A1025" s="29" t="n">
        <x:v>341</x:v>
      </x:c>
      <x:c r="B1025" s="29" t="str">
        <x:v>A1</x:v>
      </x:c>
      <x:c r="C1025" s="48" t="n">
        <x:v>0.923881862385713</x:v>
      </x:c>
      <x:c r="D1025" s="48" t="n">
        <x:v>0.8126545484686807</x:v>
      </x:c>
      <x:c r="E1025" s="48" t="n">
        <x:v>0.47914207679963644</x:v>
      </x:c>
      <x:c r="F1025" s="48" t="n">
        <x:v>-0.1870285840671814</x:v>
      </x:c>
      <x:c r="G1025" s="48" t="n">
        <x:v>-0.04578013935035827</x:v>
      </x:c>
      <x:c r="H1025" s="48" t="n">
        <x:v>1.0924936136412091</x:v>
      </x:c>
      <x:c r="I1025" s="48" t="n">
        <x:v>1.0005463707996463</x:v>
      </x:c>
      <x:c r="J1025" s="48" t="n">
        <x:v>0.7390069593418128</x:v>
      </x:c>
      <x:c r="K1025" s="48" t="n">
        <x:v>0.5574118929596554</x:v>
      </x:c>
      <x:c r="L1025" s="48" t="n">
        <x:v>0.9816931289908035</x:v>
      </x:c>
      <x:c r="M1025" s="48" t="n">
        <x:v>0.12485682409585398</x:v>
      </x:c>
      <x:c r="N1025" s="48" t="n">
        <x:v>0.9047371452976956</x:v>
      </x:c>
      <x:c r="O1025" s="48" t="n">
        <x:v>0.9455027015186637</x:v>
      </x:c>
      <x:c r="P1025" s="48" t="n">
        <x:v>0.7230914530562279</x:v>
      </x:c>
      <x:c r="Q1025" s="48" t="n">
        <x:v>1</x:v>
      </x:c>
      <x:c r="R1025" s="48" t="n">
        <x:v>0.9327043900785005</x:v>
      </x:c>
      <x:c r="S1025" s="29" t="n">
        <x:v>0</x:v>
      </x:c>
    </x:row>
    <x:row r="1026" ht="21.600000381469727" hidden="0" customHeight="1">
      <x:c r="A1026" s="27" t="n">
        <x:v>341</x:v>
      </x:c>
      <x:c r="B1026" s="27" t="str">
        <x:v>A2</x:v>
      </x:c>
      <x:c r="C1026" s="47" t="n">
        <x:v>0.923881862385713</x:v>
      </x:c>
      <x:c r="D1026" s="47" t="n">
        <x:v>0.8126545484686807</x:v>
      </x:c>
      <x:c r="E1026" s="47" t="n">
        <x:v>0.47914207679963644</x:v>
      </x:c>
      <x:c r="F1026" s="47" t="n">
        <x:v>-0.1870285840671814</x:v>
      </x:c>
      <x:c r="G1026" s="47" t="n">
        <x:v>-0.04578013935035827</x:v>
      </x:c>
      <x:c r="H1026" s="47" t="n">
        <x:v>1.0924936136412091</x:v>
      </x:c>
      <x:c r="I1026" s="47" t="n">
        <x:v>1.0005463707996463</x:v>
      </x:c>
      <x:c r="J1026" s="47" t="n">
        <x:v>0.7390069593418128</x:v>
      </x:c>
      <x:c r="K1026" s="47" t="n">
        <x:v>0.5574118929596554</x:v>
      </x:c>
      <x:c r="L1026" s="47" t="n">
        <x:v>0.9816931289908035</x:v>
      </x:c>
      <x:c r="M1026" s="47" t="n">
        <x:v>0.12485682409585398</x:v>
      </x:c>
      <x:c r="N1026" s="47" t="n">
        <x:v>0.9047371452976956</x:v>
      </x:c>
      <x:c r="O1026" s="47" t="n">
        <x:v>0.9798886195409217</x:v>
      </x:c>
      <x:c r="P1026" s="47" t="n">
        <x:v>0.7988861954092183</x:v>
      </x:c>
      <x:c r="Q1026" s="47" t="n">
        <x:v>1</x:v>
      </x:c>
      <x:c r="R1026" s="47" t="n">
        <x:v>0.9751656017440846</x:v>
      </x:c>
      <x:c r="S1026" s="27" t="n">
        <x:v>0</x:v>
      </x:c>
    </x:row>
    <x:row r="1027" ht="21.600000381469727" hidden="0" customHeight="1">
      <x:c r="A1027" s="29" t="n">
        <x:v>341</x:v>
      </x:c>
      <x:c r="B1027" s="29" t="str">
        <x:v>A3</x:v>
      </x:c>
      <x:c r="C1027" s="48" t="n">
        <x:v>0.923881862385713</x:v>
      </x:c>
      <x:c r="D1027" s="48" t="n">
        <x:v>0.8126545484686807</x:v>
      </x:c>
      <x:c r="E1027" s="48" t="n">
        <x:v>0.47914207679963644</x:v>
      </x:c>
      <x:c r="F1027" s="48" t="n">
        <x:v>-0.1870285840671814</x:v>
      </x:c>
      <x:c r="G1027" s="48" t="n">
        <x:v>-0.04578013935035827</x:v>
      </x:c>
      <x:c r="H1027" s="48" t="n">
        <x:v>1.0924936136412091</x:v>
      </x:c>
      <x:c r="I1027" s="48" t="n">
        <x:v>1.0005463707996463</x:v>
      </x:c>
      <x:c r="J1027" s="48" t="n">
        <x:v>0.7390069593418128</x:v>
      </x:c>
      <x:c r="K1027" s="48" t="n">
        <x:v>0.5574118929596554</x:v>
      </x:c>
      <x:c r="L1027" s="48" t="n">
        <x:v>0.9816931289908035</x:v>
      </x:c>
      <x:c r="M1027" s="48" t="n">
        <x:v>0.12485682409585398</x:v>
      </x:c>
      <x:c r="N1027" s="48" t="n">
        <x:v>0.9047371452976956</x:v>
      </x:c>
      <x:c r="O1027" s="48" t="n">
        <x:v>1</x:v>
      </x:c>
      <x:c r="P1027" s="48" t="n">
        <x:v>1</x:v>
      </x:c>
      <x:c r="Q1027" s="48" t="n">
        <x:v>1</x:v>
      </x:c>
      <x:c r="R1027" s="48" t="n">
        <x:v>1</x:v>
      </x:c>
      <x:c r="S1027" s="29" t="n">
        <x:v>1</x:v>
      </x:c>
    </x:row>
    <x:row r="1028" ht="21.600000381469727" hidden="0" customHeight="1">
      <x:c r="A1028" s="27" t="n">
        <x:v>342</x:v>
      </x:c>
      <x:c r="B1028" s="27" t="str">
        <x:v>A1</x:v>
      </x:c>
      <x:c r="C1028" s="47" t="n">
        <x:v>1.0914346939422677</x:v>
      </x:c>
      <x:c r="D1028" s="47" t="n">
        <x:v>0.7260024466732529</x:v>
      </x:c>
      <x:c r="E1028" s="47" t="n">
        <x:v>0.4577386080113915</x:v>
      </x:c>
      <x:c r="F1028" s="47" t="n">
        <x:v>-0.01499143797943947</x:v>
      </x:c>
      <x:c r="G1028" s="47" t="n">
        <x:v>-0.028597908994438453</x:v>
      </x:c>
      <x:c r="H1028" s="47" t="n">
        <x:v>0.6514085246143536</x:v>
      </x:c>
      <x:c r="I1028" s="47" t="n">
        <x:v>1.0198231357220082</x:v>
      </x:c>
      <x:c r="J1028" s="47" t="n">
        <x:v>0.41518476985924735</x:v>
      </x:c>
      <x:c r="K1028" s="47" t="n">
        <x:v>0.8286244977653894</x:v>
      </x:c>
      <x:c r="L1028" s="47" t="n">
        <x:v>0.6773440449303431</x:v>
      </x:c>
      <x:c r="M1028" s="47" t="n">
        <x:v>0.10279902293198115</x:v>
      </x:c>
      <x:c r="N1028" s="47" t="n">
        <x:v>0.9672748610213102</x:v>
      </x:c>
      <x:c r="O1028" s="47" t="n">
        <x:v>0.7688354765145701</x:v>
      </x:c>
      <x:c r="P1028" s="47" t="n">
        <x:v>0.5004041567860469</x:v>
      </x:c>
      <x:c r="Q1028" s="47" t="n">
        <x:v>1</x:v>
      </x:c>
      <x:c r="R1028" s="47" t="n">
        <x:v>0.7145480962603604</x:v>
      </x:c>
      <x:c r="S1028" s="27" t="n">
        <x:v>0</x:v>
      </x:c>
    </x:row>
    <x:row r="1029" ht="21.600000381469727" hidden="0" customHeight="1">
      <x:c r="A1029" s="29" t="n">
        <x:v>342</x:v>
      </x:c>
      <x:c r="B1029" s="29" t="str">
        <x:v>A2</x:v>
      </x:c>
      <x:c r="C1029" s="48" t="n">
        <x:v>1.0914346939422677</x:v>
      </x:c>
      <x:c r="D1029" s="48" t="n">
        <x:v>0.7260024466732529</x:v>
      </x:c>
      <x:c r="E1029" s="48" t="n">
        <x:v>0.4577386080113915</x:v>
      </x:c>
      <x:c r="F1029" s="48" t="n">
        <x:v>-0.01499143797943947</x:v>
      </x:c>
      <x:c r="G1029" s="48" t="n">
        <x:v>-0.028597908994438453</x:v>
      </x:c>
      <x:c r="H1029" s="48" t="n">
        <x:v>0.6514085246143536</x:v>
      </x:c>
      <x:c r="I1029" s="48" t="n">
        <x:v>1.0198231357220082</x:v>
      </x:c>
      <x:c r="J1029" s="48" t="n">
        <x:v>0.41518476985924735</x:v>
      </x:c>
      <x:c r="K1029" s="48" t="n">
        <x:v>0.8286244977653894</x:v>
      </x:c>
      <x:c r="L1029" s="48" t="n">
        <x:v>0.6773440449303431</x:v>
      </x:c>
      <x:c r="M1029" s="48" t="n">
        <x:v>0.10279902293198115</x:v>
      </x:c>
      <x:c r="N1029" s="48" t="n">
        <x:v>0.9672748610213102</x:v>
      </x:c>
      <x:c r="O1029" s="48" t="n">
        <x:v>0.8475287518375116</x:v>
      </x:c>
      <x:c r="P1029" s="48" t="n">
        <x:v>0.6151126635364804</x:v>
      </x:c>
      <x:c r="Q1029" s="48" t="n">
        <x:v>1</x:v>
      </x:c>
      <x:c r="R1029" s="48" t="n">
        <x:v>0.8117219398664147</x:v>
      </x:c>
      <x:c r="S1029" s="29" t="n">
        <x:v>0</x:v>
      </x:c>
    </x:row>
    <x:row r="1030" ht="21.600000381469727" hidden="0" customHeight="1">
      <x:c r="A1030" s="27" t="n">
        <x:v>342</x:v>
      </x:c>
      <x:c r="B1030" s="27" t="str">
        <x:v>A3</x:v>
      </x:c>
      <x:c r="C1030" s="47" t="n">
        <x:v>1.0914346939422677</x:v>
      </x:c>
      <x:c r="D1030" s="47" t="n">
        <x:v>0.7260024466732529</x:v>
      </x:c>
      <x:c r="E1030" s="47" t="n">
        <x:v>0.4577386080113915</x:v>
      </x:c>
      <x:c r="F1030" s="47" t="n">
        <x:v>-0.01499143797943947</x:v>
      </x:c>
      <x:c r="G1030" s="47" t="n">
        <x:v>-0.028597908994438453</x:v>
      </x:c>
      <x:c r="H1030" s="47" t="n">
        <x:v>0.6514085246143536</x:v>
      </x:c>
      <x:c r="I1030" s="47" t="n">
        <x:v>1.0198231357220082</x:v>
      </x:c>
      <x:c r="J1030" s="47" t="n">
        <x:v>0.41518476985924735</x:v>
      </x:c>
      <x:c r="K1030" s="47" t="n">
        <x:v>0.8286244977653894</x:v>
      </x:c>
      <x:c r="L1030" s="47" t="n">
        <x:v>0.6773440449303431</x:v>
      </x:c>
      <x:c r="M1030" s="47" t="n">
        <x:v>0.10279902293198115</x:v>
      </x:c>
      <x:c r="N1030" s="47" t="n">
        <x:v>0.9672748610213102</x:v>
      </x:c>
      <x:c r="O1030" s="47" t="n">
        <x:v>1</x:v>
      </x:c>
      <x:c r="P1030" s="47" t="n">
        <x:v>1</x:v>
      </x:c>
      <x:c r="Q1030" s="47" t="n">
        <x:v>1</x:v>
      </x:c>
      <x:c r="R1030" s="47" t="n">
        <x:v>1</x:v>
      </x:c>
      <x:c r="S1030" s="27" t="n">
        <x:v>1</x:v>
      </x:c>
    </x:row>
    <x:row r="1031" ht="21.600000381469727" hidden="0" customHeight="1">
      <x:c r="A1031" s="29" t="n">
        <x:v>343</x:v>
      </x:c>
      <x:c r="B1031" s="29" t="str">
        <x:v>A1</x:v>
      </x:c>
      <x:c r="C1031" s="48" t="n">
        <x:v>1.3243057500840574</x:v>
      </x:c>
      <x:c r="D1031" s="48" t="n">
        <x:v>0.9269417020973136</x:v>
      </x:c>
      <x:c r="E1031" s="48" t="n">
        <x:v>0.6803725193848161</x:v>
      </x:c>
      <x:c r="F1031" s="48" t="n">
        <x:v>-0.12028874447975281</x:v>
      </x:c>
      <x:c r="G1031" s="48" t="n">
        <x:v>-0.006758446367601811</x:v>
      </x:c>
      <x:c r="H1031" s="48" t="n">
        <x:v>0.33504848171114543</x:v>
      </x:c>
      <x:c r="I1031" s="48" t="n">
        <x:v>0.8444043248157582</x:v>
      </x:c>
      <x:c r="J1031" s="48" t="n">
        <x:v>0.7380480526296349</x:v>
      </x:c>
      <x:c r="K1031" s="48" t="n">
        <x:v>0.7677774111766736</x:v>
      </x:c>
      <x:c r="L1031" s="48" t="n">
        <x:v>0.5128301349739932</x:v>
      </x:c>
      <x:c r="M1031" s="48" t="n">
        <x:v>0.05397854719572006</x:v>
      </x:c>
      <x:c r="N1031" s="48" t="n">
        <x:v>0.771116522107959</x:v>
      </x:c>
      <x:c r="O1031" s="48" t="n">
        <x:v>0.7779858397290376</x:v>
      </x:c>
      <x:c r="P1031" s="48" t="n">
        <x:v>0.5006228988694332</x:v>
      </x:c>
      <x:c r="Q1031" s="48" t="n">
        <x:v>0.9307541960965587</x:v>
      </x:c>
      <x:c r="R1031" s="48" t="n">
        <x:v>0.7263616370641632</x:v>
      </x:c>
      <x:c r="S1031" s="29" t="n">
        <x:v>0</x:v>
      </x:c>
    </x:row>
    <x:row r="1032" ht="21.600000381469727" hidden="0" customHeight="1">
      <x:c r="A1032" s="27" t="n">
        <x:v>343</x:v>
      </x:c>
      <x:c r="B1032" s="27" t="str">
        <x:v>A2</x:v>
      </x:c>
      <x:c r="C1032" s="47" t="n">
        <x:v>1.3243057500840574</x:v>
      </x:c>
      <x:c r="D1032" s="47" t="n">
        <x:v>0.9269417020973136</x:v>
      </x:c>
      <x:c r="E1032" s="47" t="n">
        <x:v>0.6803725193848161</x:v>
      </x:c>
      <x:c r="F1032" s="47" t="n">
        <x:v>-0.12028874447975281</x:v>
      </x:c>
      <x:c r="G1032" s="47" t="n">
        <x:v>-0.006758446367601811</x:v>
      </x:c>
      <x:c r="H1032" s="47" t="n">
        <x:v>0.33504848171114543</x:v>
      </x:c>
      <x:c r="I1032" s="47" t="n">
        <x:v>0.8444043248157582</x:v>
      </x:c>
      <x:c r="J1032" s="47" t="n">
        <x:v>0.7380480526296349</x:v>
      </x:c>
      <x:c r="K1032" s="47" t="n">
        <x:v>0.7677774111766736</x:v>
      </x:c>
      <x:c r="L1032" s="47" t="n">
        <x:v>0.5128301349739932</x:v>
      </x:c>
      <x:c r="M1032" s="47" t="n">
        <x:v>0.05397854719572006</x:v>
      </x:c>
      <x:c r="N1032" s="47" t="n">
        <x:v>0.771116522107959</x:v>
      </x:c>
      <x:c r="O1032" s="47" t="n">
        <x:v>0.8508134689818704</x:v>
      </x:c>
      <x:c r="P1032" s="47" t="n">
        <x:v>0.550796182236295</x:v>
      </x:c>
      <x:c r="Q1032" s="47" t="n">
        <x:v>1</x:v>
      </x:c>
      <x:c r="R1032" s="47" t="n">
        <x:v>0.8157780499821288</x:v>
      </x:c>
      <x:c r="S1032" s="27" t="n">
        <x:v>0</x:v>
      </x:c>
    </x:row>
    <x:row r="1033" ht="21.600000381469727" hidden="0" customHeight="1">
      <x:c r="A1033" s="29" t="n">
        <x:v>343</x:v>
      </x:c>
      <x:c r="B1033" s="29" t="str">
        <x:v>A3</x:v>
      </x:c>
      <x:c r="C1033" s="48" t="n">
        <x:v>1.3243057500840574</x:v>
      </x:c>
      <x:c r="D1033" s="48" t="n">
        <x:v>0.9269417020973136</x:v>
      </x:c>
      <x:c r="E1033" s="48" t="n">
        <x:v>0.6803725193848161</x:v>
      </x:c>
      <x:c r="F1033" s="48" t="n">
        <x:v>-0.12028874447975281</x:v>
      </x:c>
      <x:c r="G1033" s="48" t="n">
        <x:v>-0.006758446367601811</x:v>
      </x:c>
      <x:c r="H1033" s="48" t="n">
        <x:v>0.33504848171114543</x:v>
      </x:c>
      <x:c r="I1033" s="48" t="n">
        <x:v>0.8444043248157582</x:v>
      </x:c>
      <x:c r="J1033" s="48" t="n">
        <x:v>0.7380480526296349</x:v>
      </x:c>
      <x:c r="K1033" s="48" t="n">
        <x:v>0.7677774111766736</x:v>
      </x:c>
      <x:c r="L1033" s="48" t="n">
        <x:v>0.5128301349739932</x:v>
      </x:c>
      <x:c r="M1033" s="48" t="n">
        <x:v>0.05397854719572006</x:v>
      </x:c>
      <x:c r="N1033" s="48" t="n">
        <x:v>0.771116522107959</x:v>
      </x:c>
      <x:c r="O1033" s="48" t="n">
        <x:v>1</x:v>
      </x:c>
      <x:c r="P1033" s="48" t="n">
        <x:v>1</x:v>
      </x:c>
      <x:c r="Q1033" s="48" t="n">
        <x:v>1</x:v>
      </x:c>
      <x:c r="R1033" s="48" t="n">
        <x:v>1</x:v>
      </x:c>
      <x:c r="S1033" s="29" t="n">
        <x:v>1</x:v>
      </x:c>
    </x:row>
    <x:row r="1034" ht="21.600000381469727" hidden="0" customHeight="1">
      <x:c r="A1034" s="27" t="n">
        <x:v>344</x:v>
      </x:c>
      <x:c r="B1034" s="27" t="str">
        <x:v>A1</x:v>
      </x:c>
      <x:c r="C1034" s="47" t="n">
        <x:v>0.9641004084246881</x:v>
      </x:c>
      <x:c r="D1034" s="47" t="n">
        <x:v>0.9901656567223474</x:v>
      </x:c>
      <x:c r="E1034" s="47" t="n">
        <x:v>0.8679318626853358</x:v>
      </x:c>
      <x:c r="F1034" s="47" t="n">
        <x:v>-0.1884651976364926</x:v>
      </x:c>
      <x:c r="G1034" s="47" t="n">
        <x:v>-0.05182443263751105</x:v>
      </x:c>
      <x:c r="H1034" s="47" t="n">
        <x:v>0.4481076946383725</x:v>
      </x:c>
      <x:c r="I1034" s="47" t="n">
        <x:v>0.8273025001510407</x:v>
      </x:c>
      <x:c r="J1034" s="47" t="n">
        <x:v>0.45239666254607386</x:v>
      </x:c>
      <x:c r="K1034" s="47" t="n">
        <x:v>0.6076827145221159</x:v>
      </x:c>
      <x:c r="L1034" s="47" t="n">
        <x:v>0.5867700386721604</x:v>
      </x:c>
      <x:c r="M1034" s="47" t="n">
        <x:v>0.01105962088278195</x:v>
      </x:c>
      <x:c r="N1034" s="47" t="n">
        <x:v>0.8151515709583317</x:v>
      </x:c>
      <x:c r="O1034" s="47" t="n">
        <x:v>0.9119276220266276</x:v>
      </x:c>
      <x:c r="P1034" s="47" t="n">
        <x:v>0.6679675897011469</x:v>
      </x:c>
      <x:c r="Q1034" s="47" t="n">
        <x:v>1</x:v>
      </x:c>
      <x:c r="R1034" s="47" t="n">
        <x:v>0.8912444367313963</x:v>
      </x:c>
      <x:c r="S1034" s="27" t="n">
        <x:v>0</x:v>
      </x:c>
    </x:row>
    <x:row r="1035" ht="21.600000381469727" hidden="0" customHeight="1">
      <x:c r="A1035" s="29" t="n">
        <x:v>344</x:v>
      </x:c>
      <x:c r="B1035" s="29" t="str">
        <x:v>A2</x:v>
      </x:c>
      <x:c r="C1035" s="48" t="n">
        <x:v>0.9641004084246881</x:v>
      </x:c>
      <x:c r="D1035" s="48" t="n">
        <x:v>0.9901656567223474</x:v>
      </x:c>
      <x:c r="E1035" s="48" t="n">
        <x:v>0.8679318626853358</x:v>
      </x:c>
      <x:c r="F1035" s="48" t="n">
        <x:v>-0.1884651976364926</x:v>
      </x:c>
      <x:c r="G1035" s="48" t="n">
        <x:v>-0.05182443263751105</x:v>
      </x:c>
      <x:c r="H1035" s="48" t="n">
        <x:v>0.4481076946383725</x:v>
      </x:c>
      <x:c r="I1035" s="48" t="n">
        <x:v>0.8273025001510407</x:v>
      </x:c>
      <x:c r="J1035" s="48" t="n">
        <x:v>0.45239666254607386</x:v>
      </x:c>
      <x:c r="K1035" s="48" t="n">
        <x:v>0.6076827145221159</x:v>
      </x:c>
      <x:c r="L1035" s="48" t="n">
        <x:v>0.5867700386721604</x:v>
      </x:c>
      <x:c r="M1035" s="48" t="n">
        <x:v>0.01105962088278195</x:v>
      </x:c>
      <x:c r="N1035" s="48" t="n">
        <x:v>0.8151515709583317</x:v>
      </x:c>
      <x:c r="O1035" s="48" t="n">
        <x:v>0.98853673350818</x:v>
      </x:c>
      <x:c r="P1035" s="48" t="n">
        <x:v>0.9009842215460745</x:v>
      </x:c>
      <x:c r="Q1035" s="48" t="n">
        <x:v>1</x:v>
      </x:c>
      <x:c r="R1035" s="48" t="n">
        <x:v>0.9858446651163101</x:v>
      </x:c>
      <x:c r="S1035" s="29" t="n">
        <x:v>0</x:v>
      </x:c>
    </x:row>
    <x:row r="1036" ht="21.600000381469727" hidden="0" customHeight="1">
      <x:c r="A1036" s="27" t="n">
        <x:v>344</x:v>
      </x:c>
      <x:c r="B1036" s="27" t="str">
        <x:v>A3</x:v>
      </x:c>
      <x:c r="C1036" s="47" t="n">
        <x:v>0.9641004084246881</x:v>
      </x:c>
      <x:c r="D1036" s="47" t="n">
        <x:v>0.9901656567223474</x:v>
      </x:c>
      <x:c r="E1036" s="47" t="n">
        <x:v>0.8679318626853358</x:v>
      </x:c>
      <x:c r="F1036" s="47" t="n">
        <x:v>-0.1884651976364926</x:v>
      </x:c>
      <x:c r="G1036" s="47" t="n">
        <x:v>-0.05182443263751105</x:v>
      </x:c>
      <x:c r="H1036" s="47" t="n">
        <x:v>0.4481076946383725</x:v>
      </x:c>
      <x:c r="I1036" s="47" t="n">
        <x:v>0.8273025001510407</x:v>
      </x:c>
      <x:c r="J1036" s="47" t="n">
        <x:v>0.45239666254607386</x:v>
      </x:c>
      <x:c r="K1036" s="47" t="n">
        <x:v>0.6076827145221159</x:v>
      </x:c>
      <x:c r="L1036" s="47" t="n">
        <x:v>0.5867700386721604</x:v>
      </x:c>
      <x:c r="M1036" s="47" t="n">
        <x:v>0.01105962088278195</x:v>
      </x:c>
      <x:c r="N1036" s="47" t="n">
        <x:v>0.8151515709583317</x:v>
      </x:c>
      <x:c r="O1036" s="47" t="n">
        <x:v>1.0000000000000002</x:v>
      </x:c>
      <x:c r="P1036" s="47" t="n">
        <x:v>1</x:v>
      </x:c>
      <x:c r="Q1036" s="47" t="n">
        <x:v>1</x:v>
      </x:c>
      <x:c r="R1036" s="47" t="n">
        <x:v>1</x:v>
      </x:c>
      <x:c r="S1036" s="27" t="n">
        <x:v>1</x:v>
      </x:c>
    </x:row>
    <x:row r="1037" ht="21.600000381469727" hidden="0" customHeight="1">
      <x:c r="A1037" s="29" t="n">
        <x:v>345</x:v>
      </x:c>
      <x:c r="B1037" s="29" t="str">
        <x:v>A1</x:v>
      </x:c>
      <x:c r="C1037" s="48" t="n">
        <x:v>0.9115226614959594</x:v>
      </x:c>
      <x:c r="D1037" s="48" t="n">
        <x:v>0.9220694382351939</x:v>
      </x:c>
      <x:c r="E1037" s="48" t="n">
        <x:v>0.7382455141262966</x:v>
      </x:c>
      <x:c r="F1037" s="48" t="n">
        <x:v>-0.09292238473412803</x:v>
      </x:c>
      <x:c r="G1037" s="48" t="n">
        <x:v>-0.049652217339400506</x:v>
      </x:c>
      <x:c r="H1037" s="48" t="n">
        <x:v>0.40718235156405025</x:v>
      </x:c>
      <x:c r="I1037" s="48" t="n">
        <x:v>0.8278845751117296</x:v>
      </x:c>
      <x:c r="J1037" s="48" t="n">
        <x:v>0.4742818597157852</x:v>
      </x:c>
      <x:c r="K1037" s="48" t="n">
        <x:v>0.9206711429579024</x:v>
      </x:c>
      <x:c r="L1037" s="48" t="n">
        <x:v>0.8138825438953856</x:v>
      </x:c>
      <x:c r="M1037" s="48" t="n">
        <x:v>0.05895456266545673</x:v>
      </x:c>
      <x:c r="N1037" s="48" t="n">
        <x:v>0.9385259817903067</x:v>
      </x:c>
      <x:c r="O1037" s="48" t="n">
        <x:v>0.934991880408814</x:v>
      </x:c>
      <x:c r="P1037" s="48" t="n">
        <x:v>0.7549320497578419</x:v>
      </x:c>
      <x:c r="Q1037" s="48" t="n">
        <x:v>1</x:v>
      </x:c>
      <x:c r="R1037" s="48" t="n">
        <x:v>0.9197251757490903</x:v>
      </x:c>
      <x:c r="S1037" s="29" t="n">
        <x:v>0</x:v>
      </x:c>
    </x:row>
    <x:row r="1038" ht="21.600000381469727" hidden="0" customHeight="1">
      <x:c r="A1038" s="27" t="n">
        <x:v>345</x:v>
      </x:c>
      <x:c r="B1038" s="27" t="str">
        <x:v>A2</x:v>
      </x:c>
      <x:c r="C1038" s="47" t="n">
        <x:v>0.9115226614959594</x:v>
      </x:c>
      <x:c r="D1038" s="47" t="n">
        <x:v>0.9220694382351939</x:v>
      </x:c>
      <x:c r="E1038" s="47" t="n">
        <x:v>0.7382455141262966</x:v>
      </x:c>
      <x:c r="F1038" s="47" t="n">
        <x:v>-0.09292238473412803</x:v>
      </x:c>
      <x:c r="G1038" s="47" t="n">
        <x:v>-0.049652217339400506</x:v>
      </x:c>
      <x:c r="H1038" s="47" t="n">
        <x:v>0.40718235156405025</x:v>
      </x:c>
      <x:c r="I1038" s="47" t="n">
        <x:v>0.8278845751117296</x:v>
      </x:c>
      <x:c r="J1038" s="47" t="n">
        <x:v>0.4742818597157852</x:v>
      </x:c>
      <x:c r="K1038" s="47" t="n">
        <x:v>0.9206711429579024</x:v>
      </x:c>
      <x:c r="L1038" s="47" t="n">
        <x:v>0.8138825438953856</x:v>
      </x:c>
      <x:c r="M1038" s="47" t="n">
        <x:v>0.05895456266545673</x:v>
      </x:c>
      <x:c r="N1038" s="47" t="n">
        <x:v>0.9385259817903067</x:v>
      </x:c>
      <x:c r="O1038" s="47" t="n">
        <x:v>1</x:v>
      </x:c>
      <x:c r="P1038" s="47" t="n">
        <x:v>1</x:v>
      </x:c>
      <x:c r="Q1038" s="47" t="n">
        <x:v>1</x:v>
      </x:c>
      <x:c r="R1038" s="47" t="n">
        <x:v>1</x:v>
      </x:c>
      <x:c r="S1038" s="27" t="n">
        <x:v>1</x:v>
      </x:c>
    </x:row>
    <x:row r="1039" ht="21.600000381469727" hidden="0" customHeight="1">
      <x:c r="A1039" s="29" t="n">
        <x:v>345</x:v>
      </x:c>
      <x:c r="B1039" s="29" t="str">
        <x:v>A3</x:v>
      </x:c>
      <x:c r="C1039" s="48" t="n">
        <x:v>0.9115226614959594</x:v>
      </x:c>
      <x:c r="D1039" s="48" t="n">
        <x:v>0.9220694382351939</x:v>
      </x:c>
      <x:c r="E1039" s="48" t="n">
        <x:v>0.7382455141262966</x:v>
      </x:c>
      <x:c r="F1039" s="48" t="n">
        <x:v>-0.09292238473412803</x:v>
      </x:c>
      <x:c r="G1039" s="48" t="n">
        <x:v>-0.049652217339400506</x:v>
      </x:c>
      <x:c r="H1039" s="48" t="n">
        <x:v>0.40718235156405025</x:v>
      </x:c>
      <x:c r="I1039" s="48" t="n">
        <x:v>0.8278845751117296</x:v>
      </x:c>
      <x:c r="J1039" s="48" t="n">
        <x:v>0.4742818597157852</x:v>
      </x:c>
      <x:c r="K1039" s="48" t="n">
        <x:v>0.9206711429579024</x:v>
      </x:c>
      <x:c r="L1039" s="48" t="n">
        <x:v>0.8138825438953856</x:v>
      </x:c>
      <x:c r="M1039" s="48" t="n">
        <x:v>0.05895456266545673</x:v>
      </x:c>
      <x:c r="N1039" s="48" t="n">
        <x:v>0.9385259817903067</x:v>
      </x:c>
      <x:c r="O1039" s="48" t="n">
        <x:v>1</x:v>
      </x:c>
      <x:c r="P1039" s="48" t="n">
        <x:v>1</x:v>
      </x:c>
      <x:c r="Q1039" s="48" t="n">
        <x:v>1</x:v>
      </x:c>
      <x:c r="R1039" s="48" t="n">
        <x:v>1</x:v>
      </x:c>
      <x:c r="S1039" s="29" t="n">
        <x:v>1</x:v>
      </x:c>
    </x:row>
    <x:row r="1040" ht="21.600000381469727" hidden="0" customHeight="1">
      <x:c r="A1040" s="27" t="n">
        <x:v>346</x:v>
      </x:c>
      <x:c r="B1040" s="27" t="str">
        <x:v>A1</x:v>
      </x:c>
      <x:c r="C1040" s="47" t="n">
        <x:v>1.0306874863110025</x:v>
      </x:c>
      <x:c r="D1040" s="47" t="n">
        <x:v>0.7351624616261769</x:v>
      </x:c>
      <x:c r="E1040" s="47" t="n">
        <x:v>0.6631334797715833</x:v>
      </x:c>
      <x:c r="F1040" s="47" t="n">
        <x:v>-0.13645381944372648</x:v>
      </x:c>
      <x:c r="G1040" s="47" t="n">
        <x:v>-0.15352271331292497</x:v>
      </x:c>
      <x:c r="H1040" s="47" t="n">
        <x:v>0.8815892115222388</x:v>
      </x:c>
      <x:c r="I1040" s="47" t="n">
        <x:v>1.015764422682342</x:v>
      </x:c>
      <x:c r="J1040" s="47" t="n">
        <x:v>0.48921119381300104</x:v>
      </x:c>
      <x:c r="K1040" s="47" t="n">
        <x:v>0.749050136956195</x:v>
      </x:c>
      <x:c r="L1040" s="47" t="n">
        <x:v>0.6396258535741866</x:v>
      </x:c>
      <x:c r="M1040" s="47" t="n">
        <x:v>0.14702005457946285</x:v>
      </x:c>
      <x:c r="N1040" s="47" t="n">
        <x:v>0.6566210639140463</x:v>
      </x:c>
      <x:c r="O1040" s="47" t="n">
        <x:v>0.8019030804152009</x:v>
      </x:c>
      <x:c r="P1040" s="47" t="n">
        <x:v>0.5907717077070462</x:v>
      </x:c>
      <x:c r="Q1040" s="47" t="n">
        <x:v>1</x:v>
      </x:c>
      <x:c r="R1040" s="47" t="n">
        <x:v>0.7553813969036504</x:v>
      </x:c>
      <x:c r="S1040" s="27" t="n">
        <x:v>0</x:v>
      </x:c>
    </x:row>
    <x:row r="1041" ht="21.600000381469727" hidden="0" customHeight="1">
      <x:c r="A1041" s="29" t="n">
        <x:v>346</x:v>
      </x:c>
      <x:c r="B1041" s="29" t="str">
        <x:v>A2</x:v>
      </x:c>
      <x:c r="C1041" s="48" t="n">
        <x:v>1.0306874863110025</x:v>
      </x:c>
      <x:c r="D1041" s="48" t="n">
        <x:v>0.7351624616261769</x:v>
      </x:c>
      <x:c r="E1041" s="48" t="n">
        <x:v>0.6631334797715833</x:v>
      </x:c>
      <x:c r="F1041" s="48" t="n">
        <x:v>-0.13645381944372648</x:v>
      </x:c>
      <x:c r="G1041" s="48" t="n">
        <x:v>-0.15352271331292497</x:v>
      </x:c>
      <x:c r="H1041" s="48" t="n">
        <x:v>0.8815892115222388</x:v>
      </x:c>
      <x:c r="I1041" s="48" t="n">
        <x:v>1.015764422682342</x:v>
      </x:c>
      <x:c r="J1041" s="48" t="n">
        <x:v>0.48921119381300104</x:v>
      </x:c>
      <x:c r="K1041" s="48" t="n">
        <x:v>0.749050136956195</x:v>
      </x:c>
      <x:c r="L1041" s="48" t="n">
        <x:v>0.6396258535741866</x:v>
      </x:c>
      <x:c r="M1041" s="48" t="n">
        <x:v>0.14702005457946285</x:v>
      </x:c>
      <x:c r="N1041" s="48" t="n">
        <x:v>0.6566210639140463</x:v>
      </x:c>
      <x:c r="O1041" s="48" t="n">
        <x:v>0.8944123018220644</x:v>
      </x:c>
      <x:c r="P1041" s="48" t="n">
        <x:v>0.662084058760148</x:v>
      </x:c>
      <x:c r="Q1041" s="48" t="n">
        <x:v>1</x:v>
      </x:c>
      <x:c r="R1041" s="48" t="n">
        <x:v>0.8696157654213844</x:v>
      </x:c>
      <x:c r="S1041" s="29" t="n">
        <x:v>0</x:v>
      </x:c>
    </x:row>
    <x:row r="1042" ht="21.600000381469727" hidden="0" customHeight="1">
      <x:c r="A1042" s="27" t="n">
        <x:v>346</x:v>
      </x:c>
      <x:c r="B1042" s="27" t="str">
        <x:v>A3</x:v>
      </x:c>
      <x:c r="C1042" s="47" t="n">
        <x:v>1.0306874863110025</x:v>
      </x:c>
      <x:c r="D1042" s="47" t="n">
        <x:v>0.7351624616261769</x:v>
      </x:c>
      <x:c r="E1042" s="47" t="n">
        <x:v>0.6631334797715833</x:v>
      </x:c>
      <x:c r="F1042" s="47" t="n">
        <x:v>-0.13645381944372648</x:v>
      </x:c>
      <x:c r="G1042" s="47" t="n">
        <x:v>-0.15352271331292497</x:v>
      </x:c>
      <x:c r="H1042" s="47" t="n">
        <x:v>0.8815892115222388</x:v>
      </x:c>
      <x:c r="I1042" s="47" t="n">
        <x:v>1.015764422682342</x:v>
      </x:c>
      <x:c r="J1042" s="47" t="n">
        <x:v>0.48921119381300104</x:v>
      </x:c>
      <x:c r="K1042" s="47" t="n">
        <x:v>0.749050136956195</x:v>
      </x:c>
      <x:c r="L1042" s="47" t="n">
        <x:v>0.6396258535741866</x:v>
      </x:c>
      <x:c r="M1042" s="47" t="n">
        <x:v>0.14702005457946285</x:v>
      </x:c>
      <x:c r="N1042" s="47" t="n">
        <x:v>0.6566210639140463</x:v>
      </x:c>
      <x:c r="O1042" s="47" t="n">
        <x:v>1</x:v>
      </x:c>
      <x:c r="P1042" s="47" t="n">
        <x:v>1</x:v>
      </x:c>
      <x:c r="Q1042" s="47" t="n">
        <x:v>1</x:v>
      </x:c>
      <x:c r="R1042" s="47" t="n">
        <x:v>1</x:v>
      </x:c>
      <x:c r="S1042" s="27" t="n">
        <x:v>1</x:v>
      </x:c>
    </x:row>
    <x:row r="1043" ht="21.600000381469727" hidden="0" customHeight="1">
      <x:c r="A1043" s="29" t="n">
        <x:v>347</x:v>
      </x:c>
      <x:c r="B1043" s="29" t="str">
        <x:v>A1</x:v>
      </x:c>
      <x:c r="C1043" s="48" t="n">
        <x:v>0.9955841951546228</x:v>
      </x:c>
      <x:c r="D1043" s="48" t="n">
        <x:v>0.8969229761644767</x:v>
      </x:c>
      <x:c r="E1043" s="48" t="n">
        <x:v>1.0168503996646492</x:v>
      </x:c>
      <x:c r="F1043" s="48" t="n">
        <x:v>-0.08493972526798141</x:v>
      </x:c>
      <x:c r="G1043" s="48" t="n">
        <x:v>0.026558798659681165</x:v>
      </x:c>
      <x:c r="H1043" s="48" t="n">
        <x:v>0.6163082085370999</x:v>
      </x:c>
      <x:c r="I1043" s="48" t="n">
        <x:v>0.8969488709838886</x:v>
      </x:c>
      <x:c r="J1043" s="48" t="n">
        <x:v>0.48663664821158564</x:v>
      </x:c>
      <x:c r="K1043" s="48" t="n">
        <x:v>0.9528130606043086</x:v>
      </x:c>
      <x:c r="L1043" s="48" t="n">
        <x:v>0.5830493320943134</x:v>
      </x:c>
      <x:c r="M1043" s="48" t="n">
        <x:v>0.10761008849868256</x:v>
      </x:c>
      <x:c r="N1043" s="48" t="n">
        <x:v>0.9687260350984545</x:v>
      </x:c>
      <x:c r="O1043" s="48" t="n">
        <x:v>0.9188319701110405</x:v>
      </x:c>
      <x:c r="P1043" s="48" t="n">
        <x:v>0.7130912606576887</x:v>
      </x:c>
      <x:c r="Q1043" s="48" t="n">
        <x:v>1</x:v>
      </x:c>
      <x:c r="R1043" s="48" t="n">
        <x:v>0.899770222933625</x:v>
      </x:c>
      <x:c r="S1043" s="29" t="n">
        <x:v>0</x:v>
      </x:c>
    </x:row>
    <x:row r="1044" ht="21.600000381469727" hidden="0" customHeight="1">
      <x:c r="A1044" s="27" t="n">
        <x:v>347</x:v>
      </x:c>
      <x:c r="B1044" s="27" t="str">
        <x:v>A2</x:v>
      </x:c>
      <x:c r="C1044" s="47" t="n">
        <x:v>0.9955841951546228</x:v>
      </x:c>
      <x:c r="D1044" s="47" t="n">
        <x:v>0.8969229761644767</x:v>
      </x:c>
      <x:c r="E1044" s="47" t="n">
        <x:v>1.0168503996646492</x:v>
      </x:c>
      <x:c r="F1044" s="47" t="n">
        <x:v>-0.08493972526798141</x:v>
      </x:c>
      <x:c r="G1044" s="47" t="n">
        <x:v>0.026558798659681165</x:v>
      </x:c>
      <x:c r="H1044" s="47" t="n">
        <x:v>0.6163082085370999</x:v>
      </x:c>
      <x:c r="I1044" s="47" t="n">
        <x:v>0.8969488709838886</x:v>
      </x:c>
      <x:c r="J1044" s="47" t="n">
        <x:v>0.48663664821158564</x:v>
      </x:c>
      <x:c r="K1044" s="47" t="n">
        <x:v>0.9528130606043086</x:v>
      </x:c>
      <x:c r="L1044" s="47" t="n">
        <x:v>0.5830493320943134</x:v>
      </x:c>
      <x:c r="M1044" s="47" t="n">
        <x:v>0.10761008849868256</x:v>
      </x:c>
      <x:c r="N1044" s="47" t="n">
        <x:v>0.9687260350984545</x:v>
      </x:c>
      <x:c r="O1044" s="47" t="n">
        <x:v>0.9966646416669566</x:v>
      </x:c>
      <x:c r="P1044" s="47" t="n">
        <x:v>0.9666464166695649</x:v>
      </x:c>
      <x:c r="Q1044" s="47" t="n">
        <x:v>1</x:v>
      </x:c>
      <x:c r="R1044" s="47" t="n">
        <x:v>0.995881355964722</x:v>
      </x:c>
      <x:c r="S1044" s="27" t="n">
        <x:v>1</x:v>
      </x:c>
    </x:row>
    <x:row r="1045" ht="21.600000381469727" hidden="0" customHeight="1">
      <x:c r="A1045" s="29" t="n">
        <x:v>347</x:v>
      </x:c>
      <x:c r="B1045" s="29" t="str">
        <x:v>A3</x:v>
      </x:c>
      <x:c r="C1045" s="48" t="n">
        <x:v>0.9955841951546228</x:v>
      </x:c>
      <x:c r="D1045" s="48" t="n">
        <x:v>0.8969229761644767</x:v>
      </x:c>
      <x:c r="E1045" s="48" t="n">
        <x:v>1.0168503996646492</x:v>
      </x:c>
      <x:c r="F1045" s="48" t="n">
        <x:v>-0.08493972526798141</x:v>
      </x:c>
      <x:c r="G1045" s="48" t="n">
        <x:v>0.026558798659681165</x:v>
      </x:c>
      <x:c r="H1045" s="48" t="n">
        <x:v>0.6163082085370999</x:v>
      </x:c>
      <x:c r="I1045" s="48" t="n">
        <x:v>0.8969488709838886</x:v>
      </x:c>
      <x:c r="J1045" s="48" t="n">
        <x:v>0.48663664821158564</x:v>
      </x:c>
      <x:c r="K1045" s="48" t="n">
        <x:v>0.9528130606043086</x:v>
      </x:c>
      <x:c r="L1045" s="48" t="n">
        <x:v>0.5830493320943134</x:v>
      </x:c>
      <x:c r="M1045" s="48" t="n">
        <x:v>0.10761008849868256</x:v>
      </x:c>
      <x:c r="N1045" s="48" t="n">
        <x:v>0.9687260350984545</x:v>
      </x:c>
      <x:c r="O1045" s="48" t="n">
        <x:v>1</x:v>
      </x:c>
      <x:c r="P1045" s="48" t="n">
        <x:v>1</x:v>
      </x:c>
      <x:c r="Q1045" s="48" t="n">
        <x:v>1</x:v>
      </x:c>
      <x:c r="R1045" s="48" t="n">
        <x:v>1</x:v>
      </x:c>
      <x:c r="S1045" s="29" t="n">
        <x:v>1</x:v>
      </x:c>
    </x:row>
    <x:row r="1046" ht="21.600000381469727" hidden="0" customHeight="1">
      <x:c r="A1046" s="27" t="n">
        <x:v>348</x:v>
      </x:c>
      <x:c r="B1046" s="27" t="str">
        <x:v>A1</x:v>
      </x:c>
      <x:c r="C1046" s="47" t="n">
        <x:v>1.17289859092223</x:v>
      </x:c>
      <x:c r="D1046" s="47" t="n">
        <x:v>0.7611008309714185</x:v>
      </x:c>
      <x:c r="E1046" s="47" t="n">
        <x:v>0.5954983438638276</x:v>
      </x:c>
      <x:c r="F1046" s="47" t="n">
        <x:v>-0.06887570940911603</x:v>
      </x:c>
      <x:c r="G1046" s="47" t="n">
        <x:v>-0.038198328260373365</x:v>
      </x:c>
      <x:c r="H1046" s="47" t="n">
        <x:v>0.49652728567335935</x:v>
      </x:c>
      <x:c r="I1046" s="47" t="n">
        <x:v>0.9826680684493292</x:v>
      </x:c>
      <x:c r="J1046" s="47" t="n">
        <x:v>0.86549685907515</x:v>
      </x:c>
      <x:c r="K1046" s="47" t="n">
        <x:v>0.6155865822097952</x:v>
      </x:c>
      <x:c r="L1046" s="47" t="n">
        <x:v>0.5956141307071853</x:v>
      </x:c>
      <x:c r="M1046" s="47" t="n">
        <x:v>0.1175376993267005</x:v>
      </x:c>
      <x:c r="N1046" s="47" t="n">
        <x:v>0.8138930372036917</x:v>
      </x:c>
      <x:c r="O1046" s="47" t="n">
        <x:v>0.7345955760642041</x:v>
      </x:c>
      <x:c r="P1046" s="47" t="n">
        <x:v>0.42815207999628985</x:v>
      </x:c>
      <x:c r="Q1046" s="47" t="n">
        <x:v>0.8741071360872137</x:v>
      </x:c>
      <x:c r="R1046" s="47" t="n">
        <x:v>0.6732021812372854</x:v>
      </x:c>
      <x:c r="S1046" s="27" t="n">
        <x:v>0</x:v>
      </x:c>
    </x:row>
    <x:row r="1047" ht="21.600000381469727" hidden="0" customHeight="1">
      <x:c r="A1047" s="29" t="n">
        <x:v>348</x:v>
      </x:c>
      <x:c r="B1047" s="29" t="str">
        <x:v>A2</x:v>
      </x:c>
      <x:c r="C1047" s="48" t="n">
        <x:v>1.17289859092223</x:v>
      </x:c>
      <x:c r="D1047" s="48" t="n">
        <x:v>0.7611008309714185</x:v>
      </x:c>
      <x:c r="E1047" s="48" t="n">
        <x:v>0.5954983438638276</x:v>
      </x:c>
      <x:c r="F1047" s="48" t="n">
        <x:v>-0.06887570940911603</x:v>
      </x:c>
      <x:c r="G1047" s="48" t="n">
        <x:v>-0.038198328260373365</x:v>
      </x:c>
      <x:c r="H1047" s="48" t="n">
        <x:v>0.49652728567335935</x:v>
      </x:c>
      <x:c r="I1047" s="48" t="n">
        <x:v>0.9826680684493292</x:v>
      </x:c>
      <x:c r="J1047" s="48" t="n">
        <x:v>0.86549685907515</x:v>
      </x:c>
      <x:c r="K1047" s="48" t="n">
        <x:v>0.6155865822097952</x:v>
      </x:c>
      <x:c r="L1047" s="48" t="n">
        <x:v>0.5956141307071853</x:v>
      </x:c>
      <x:c r="M1047" s="48" t="n">
        <x:v>0.1175376993267005</x:v>
      </x:c>
      <x:c r="N1047" s="48" t="n">
        <x:v>0.8138930372036917</x:v>
      </x:c>
      <x:c r="O1047" s="48" t="n">
        <x:v>0.7934584971185804</x:v>
      </x:c>
      <x:c r="P1047" s="48" t="n">
        <x:v>0.5114045194465122</x:v>
      </x:c>
      <x:c r="Q1047" s="48" t="n">
        <x:v>1</x:v>
      </x:c>
      <x:c r="R1047" s="48" t="n">
        <x:v>0.744953661964209</x:v>
      </x:c>
      <x:c r="S1047" s="29" t="n">
        <x:v>0</x:v>
      </x:c>
    </x:row>
    <x:row r="1048" ht="21.600000381469727" hidden="0" customHeight="1">
      <x:c r="A1048" s="27" t="n">
        <x:v>348</x:v>
      </x:c>
      <x:c r="B1048" s="27" t="str">
        <x:v>A3</x:v>
      </x:c>
      <x:c r="C1048" s="47" t="n">
        <x:v>1.17289859092223</x:v>
      </x:c>
      <x:c r="D1048" s="47" t="n">
        <x:v>0.7611008309714185</x:v>
      </x:c>
      <x:c r="E1048" s="47" t="n">
        <x:v>0.5954983438638276</x:v>
      </x:c>
      <x:c r="F1048" s="47" t="n">
        <x:v>-0.06887570940911603</x:v>
      </x:c>
      <x:c r="G1048" s="47" t="n">
        <x:v>-0.038198328260373365</x:v>
      </x:c>
      <x:c r="H1048" s="47" t="n">
        <x:v>0.49652728567335935</x:v>
      </x:c>
      <x:c r="I1048" s="47" t="n">
        <x:v>0.9826680684493292</x:v>
      </x:c>
      <x:c r="J1048" s="47" t="n">
        <x:v>0.86549685907515</x:v>
      </x:c>
      <x:c r="K1048" s="47" t="n">
        <x:v>0.6155865822097952</x:v>
      </x:c>
      <x:c r="L1048" s="47" t="n">
        <x:v>0.5956141307071853</x:v>
      </x:c>
      <x:c r="M1048" s="47" t="n">
        <x:v>0.1175376993267005</x:v>
      </x:c>
      <x:c r="N1048" s="47" t="n">
        <x:v>0.8138930372036917</x:v>
      </x:c>
      <x:c r="O1048" s="47" t="n">
        <x:v>1</x:v>
      </x:c>
      <x:c r="P1048" s="47" t="n">
        <x:v>1</x:v>
      </x:c>
      <x:c r="Q1048" s="47" t="n">
        <x:v>1</x:v>
      </x:c>
      <x:c r="R1048" s="47" t="n">
        <x:v>1</x:v>
      </x:c>
      <x:c r="S1048" s="27" t="n">
        <x:v>1</x:v>
      </x:c>
    </x:row>
    <x:row r="1049" ht="21.600000381469727" hidden="0" customHeight="1">
      <x:c r="A1049" s="29" t="n">
        <x:v>349</x:v>
      </x:c>
      <x:c r="B1049" s="29" t="str">
        <x:v>A1</x:v>
      </x:c>
      <x:c r="C1049" s="48" t="n">
        <x:v>1.3174890421028154</x:v>
      </x:c>
      <x:c r="D1049" s="48" t="n">
        <x:v>0.9712474112660525</x:v>
      </x:c>
      <x:c r="E1049" s="48" t="n">
        <x:v>0.612768200265945</x:v>
      </x:c>
      <x:c r="F1049" s="48" t="n">
        <x:v>-0.12631698677850062</x:v>
      </x:c>
      <x:c r="G1049" s="48" t="n">
        <x:v>-0.02277852531597868</x:v>
      </x:c>
      <x:c r="H1049" s="48" t="n">
        <x:v>0.9900542237851513</x:v>
      </x:c>
      <x:c r="I1049" s="48" t="n">
        <x:v>0.6716757260893575</x:v>
      </x:c>
      <x:c r="J1049" s="48" t="n">
        <x:v>0.8022447696143966</x:v>
      </x:c>
      <x:c r="K1049" s="48" t="n">
        <x:v>0.9683198290366186</x:v>
      </x:c>
      <x:c r="L1049" s="48" t="n">
        <x:v>0.7488304599206239</x:v>
      </x:c>
      <x:c r="M1049" s="48" t="n">
        <x:v>0.038809595545925425</x:v>
      </x:c>
      <x:c r="N1049" s="48" t="n">
        <x:v>0.7333451566587523</x:v>
      </x:c>
      <x:c r="O1049" s="48" t="n">
        <x:v>0.8421487007042217</x:v>
      </x:c>
      <x:c r="P1049" s="48" t="n">
        <x:v>0.47036712346420206</x:v>
      </x:c>
      <x:c r="Q1049" s="48" t="n">
        <x:v>1</x:v>
      </x:c>
      <x:c r="R1049" s="48" t="n">
        <x:v>0.8050784211505724</x:v>
      </x:c>
      <x:c r="S1049" s="29" t="n">
        <x:v>0</x:v>
      </x:c>
    </x:row>
    <x:row r="1050" ht="21.600000381469727" hidden="0" customHeight="1">
      <x:c r="A1050" s="27" t="n">
        <x:v>349</x:v>
      </x:c>
      <x:c r="B1050" s="27" t="str">
        <x:v>A2</x:v>
      </x:c>
      <x:c r="C1050" s="47" t="n">
        <x:v>1.3174890421028154</x:v>
      </x:c>
      <x:c r="D1050" s="47" t="n">
        <x:v>0.9712474112660525</x:v>
      </x:c>
      <x:c r="E1050" s="47" t="n">
        <x:v>0.612768200265945</x:v>
      </x:c>
      <x:c r="F1050" s="47" t="n">
        <x:v>-0.12631698677850062</x:v>
      </x:c>
      <x:c r="G1050" s="47" t="n">
        <x:v>-0.02277852531597868</x:v>
      </x:c>
      <x:c r="H1050" s="47" t="n">
        <x:v>0.9900542237851513</x:v>
      </x:c>
      <x:c r="I1050" s="47" t="n">
        <x:v>0.6716757260893575</x:v>
      </x:c>
      <x:c r="J1050" s="47" t="n">
        <x:v>0.8022447696143966</x:v>
      </x:c>
      <x:c r="K1050" s="47" t="n">
        <x:v>0.9683198290366186</x:v>
      </x:c>
      <x:c r="L1050" s="47" t="n">
        <x:v>0.7488304599206239</x:v>
      </x:c>
      <x:c r="M1050" s="47" t="n">
        <x:v>0.038809595545925425</x:v>
      </x:c>
      <x:c r="N1050" s="47" t="n">
        <x:v>0.7333451566587523</x:v>
      </x:c>
      <x:c r="O1050" s="47" t="n">
        <x:v>0.9205068950726397</x:v>
      </x:c>
      <x:c r="P1050" s="47" t="n">
        <x:v>0.6498280240035942</x:v>
      </x:c>
      <x:c r="Q1050" s="47" t="n">
        <x:v>1</x:v>
      </x:c>
      <x:c r="R1050" s="47" t="n">
        <x:v>0.9018384923709102</x:v>
      </x:c>
      <x:c r="S1050" s="27" t="n">
        <x:v>0</x:v>
      </x:c>
    </x:row>
    <x:row r="1051" ht="21.600000381469727" hidden="0" customHeight="1">
      <x:c r="A1051" s="29" t="n">
        <x:v>349</x:v>
      </x:c>
      <x:c r="B1051" s="29" t="str">
        <x:v>A3</x:v>
      </x:c>
      <x:c r="C1051" s="48" t="n">
        <x:v>1.3174890421028154</x:v>
      </x:c>
      <x:c r="D1051" s="48" t="n">
        <x:v>0.9712474112660525</x:v>
      </x:c>
      <x:c r="E1051" s="48" t="n">
        <x:v>0.612768200265945</x:v>
      </x:c>
      <x:c r="F1051" s="48" t="n">
        <x:v>-0.12631698677850062</x:v>
      </x:c>
      <x:c r="G1051" s="48" t="n">
        <x:v>-0.02277852531597868</x:v>
      </x:c>
      <x:c r="H1051" s="48" t="n">
        <x:v>0.9900542237851513</x:v>
      </x:c>
      <x:c r="I1051" s="48" t="n">
        <x:v>0.6716757260893575</x:v>
      </x:c>
      <x:c r="J1051" s="48" t="n">
        <x:v>0.8022447696143966</x:v>
      </x:c>
      <x:c r="K1051" s="48" t="n">
        <x:v>0.9683198290366186</x:v>
      </x:c>
      <x:c r="L1051" s="48" t="n">
        <x:v>0.7488304599206239</x:v>
      </x:c>
      <x:c r="M1051" s="48" t="n">
        <x:v>0.038809595545925425</x:v>
      </x:c>
      <x:c r="N1051" s="48" t="n">
        <x:v>0.7333451566587523</x:v>
      </x:c>
      <x:c r="O1051" s="48" t="n">
        <x:v>1</x:v>
      </x:c>
      <x:c r="P1051" s="48" t="n">
        <x:v>1</x:v>
      </x:c>
      <x:c r="Q1051" s="48" t="n">
        <x:v>1</x:v>
      </x:c>
      <x:c r="R1051" s="48" t="n">
        <x:v>1</x:v>
      </x:c>
      <x:c r="S1051" s="29" t="n">
        <x:v>1</x:v>
      </x:c>
    </x:row>
    <x:row r="1052" ht="21.600000381469727" hidden="0" customHeight="1">
      <x:c r="A1052" s="27" t="n">
        <x:v>350</x:v>
      </x:c>
      <x:c r="B1052" s="27" t="str">
        <x:v>A1</x:v>
      </x:c>
      <x:c r="C1052" s="47" t="n">
        <x:v>1.3238278642617844</x:v>
      </x:c>
      <x:c r="D1052" s="47" t="n">
        <x:v>0.7950900944299372</x:v>
      </x:c>
      <x:c r="E1052" s="47" t="n">
        <x:v>0.6189777587593727</x:v>
      </x:c>
      <x:c r="F1052" s="47" t="n">
        <x:v>-0.18567801710616894</x:v>
      </x:c>
      <x:c r="G1052" s="47" t="n">
        <x:v>-0.11230306475890618</x:v>
      </x:c>
      <x:c r="H1052" s="47" t="n">
        <x:v>0.4157752018463953</x:v>
      </x:c>
      <x:c r="I1052" s="47" t="n">
        <x:v>0.7770872463118922</x:v>
      </x:c>
      <x:c r="J1052" s="47" t="n">
        <x:v>0.6938911472983829</x:v>
      </x:c>
      <x:c r="K1052" s="47" t="n">
        <x:v>0.6121884827154087</x:v>
      </x:c>
      <x:c r="L1052" s="47" t="n">
        <x:v>0.9631609938810455</x:v>
      </x:c>
      <x:c r="M1052" s="47" t="n">
        <x:v>0.0066837546472354615</x:v>
      </x:c>
      <x:c r="N1052" s="47" t="n">
        <x:v>0.9348306506475077</x:v>
      </x:c>
      <x:c r="O1052" s="47" t="n">
        <x:v>0.7234802619405964</x:v>
      </x:c>
      <x:c r="P1052" s="47" t="n">
        <x:v>0.3967504749948988</x:v>
      </x:c>
      <x:c r="Q1052" s="47" t="n">
        <x:v>0.9452631222555756</x:v>
      </x:c>
      <x:c r="R1052" s="47" t="n">
        <x:v>0.6589480478285497</x:v>
      </x:c>
      <x:c r="S1052" s="27" t="n">
        <x:v>0</x:v>
      </x:c>
    </x:row>
    <x:row r="1053" ht="21.600000381469727" hidden="0" customHeight="1">
      <x:c r="A1053" s="29" t="n">
        <x:v>350</x:v>
      </x:c>
      <x:c r="B1053" s="29" t="str">
        <x:v>A2</x:v>
      </x:c>
      <x:c r="C1053" s="48" t="n">
        <x:v>1.3238278642617844</x:v>
      </x:c>
      <x:c r="D1053" s="48" t="n">
        <x:v>0.7950900944299372</x:v>
      </x:c>
      <x:c r="E1053" s="48" t="n">
        <x:v>0.6189777587593727</x:v>
      </x:c>
      <x:c r="F1053" s="48" t="n">
        <x:v>-0.18567801710616894</x:v>
      </x:c>
      <x:c r="G1053" s="48" t="n">
        <x:v>-0.11230306475890618</x:v>
      </x:c>
      <x:c r="H1053" s="48" t="n">
        <x:v>0.4157752018463953</x:v>
      </x:c>
      <x:c r="I1053" s="48" t="n">
        <x:v>0.7770872463118922</x:v>
      </x:c>
      <x:c r="J1053" s="48" t="n">
        <x:v>0.6938911472983829</x:v>
      </x:c>
      <x:c r="K1053" s="48" t="n">
        <x:v>0.6121884827154087</x:v>
      </x:c>
      <x:c r="L1053" s="48" t="n">
        <x:v>0.9631609938810455</x:v>
      </x:c>
      <x:c r="M1053" s="48" t="n">
        <x:v>0.0066837546472354615</x:v>
      </x:c>
      <x:c r="N1053" s="48" t="n">
        <x:v>0.9348306506475077</x:v>
      </x:c>
      <x:c r="O1053" s="48" t="n">
        <x:v>0.7938296478573393</x:v>
      </x:c>
      <x:c r="P1053" s="48" t="n">
        <x:v>0.442863515757156</x:v>
      </x:c>
      <x:c r="Q1053" s="48" t="n">
        <x:v>1</x:v>
      </x:c>
      <x:c r="R1053" s="48" t="n">
        <x:v>0.7454119748720711</x:v>
      </x:c>
      <x:c r="S1053" s="29" t="n">
        <x:v>0</x:v>
      </x:c>
    </x:row>
    <x:row r="1054" ht="21.600000381469727" hidden="0" customHeight="1">
      <x:c r="A1054" s="27" t="n">
        <x:v>350</x:v>
      </x:c>
      <x:c r="B1054" s="27" t="str">
        <x:v>A3</x:v>
      </x:c>
      <x:c r="C1054" s="47" t="n">
        <x:v>1.3238278642617844</x:v>
      </x:c>
      <x:c r="D1054" s="47" t="n">
        <x:v>0.7950900944299372</x:v>
      </x:c>
      <x:c r="E1054" s="47" t="n">
        <x:v>0.6189777587593727</x:v>
      </x:c>
      <x:c r="F1054" s="47" t="n">
        <x:v>-0.18567801710616894</x:v>
      </x:c>
      <x:c r="G1054" s="47" t="n">
        <x:v>-0.11230306475890618</x:v>
      </x:c>
      <x:c r="H1054" s="47" t="n">
        <x:v>0.4157752018463953</x:v>
      </x:c>
      <x:c r="I1054" s="47" t="n">
        <x:v>0.7770872463118922</x:v>
      </x:c>
      <x:c r="J1054" s="47" t="n">
        <x:v>0.6938911472983829</x:v>
      </x:c>
      <x:c r="K1054" s="47" t="n">
        <x:v>0.6121884827154087</x:v>
      </x:c>
      <x:c r="L1054" s="47" t="n">
        <x:v>0.9631609938810455</x:v>
      </x:c>
      <x:c r="M1054" s="47" t="n">
        <x:v>0.0066837546472354615</x:v>
      </x:c>
      <x:c r="N1054" s="47" t="n">
        <x:v>0.9348306506475077</x:v>
      </x:c>
      <x:c r="O1054" s="47" t="n">
        <x:v>1</x:v>
      </x:c>
      <x:c r="P1054" s="47" t="n">
        <x:v>1</x:v>
      </x:c>
      <x:c r="Q1054" s="47" t="n">
        <x:v>1</x:v>
      </x:c>
      <x:c r="R1054" s="47" t="n">
        <x:v>1.0000000000000002</x:v>
      </x:c>
      <x:c r="S1054" s="27" t="n">
        <x:v>1</x:v>
      </x:c>
    </x:row>
    <x:row r="1055" ht="21.600000381469727" hidden="0" customHeight="1">
      <x:c r="A1055" s="29" t="n">
        <x:v>351</x:v>
      </x:c>
      <x:c r="B1055" s="29" t="str">
        <x:v>A1</x:v>
      </x:c>
      <x:c r="C1055" s="48" t="n">
        <x:v>1.3497130979205691</x:v>
      </x:c>
      <x:c r="D1055" s="48" t="n">
        <x:v>0.8833127646511116</x:v>
      </x:c>
      <x:c r="E1055" s="48" t="n">
        <x:v>1.0142579727676237</x:v>
      </x:c>
      <x:c r="F1055" s="48" t="n">
        <x:v>-0.0536140313635626</x:v>
      </x:c>
      <x:c r="G1055" s="48" t="n">
        <x:v>-0.16089926580740366</x:v>
      </x:c>
      <x:c r="H1055" s="48" t="n">
        <x:v>0.30905339232621043</x:v>
      </x:c>
      <x:c r="I1055" s="48" t="n">
        <x:v>0.7700426692773816</x:v>
      </x:c>
      <x:c r="J1055" s="48" t="n">
        <x:v>0.8137828946224774</x:v>
      </x:c>
      <x:c r="K1055" s="48" t="n">
        <x:v>0.960691684719034</x:v>
      </x:c>
      <x:c r="L1055" s="48" t="n">
        <x:v>0.80724400672309</x:v>
      </x:c>
      <x:c r="M1055" s="48" t="n">
        <x:v>0.04988538775301623</x:v>
      </x:c>
      <x:c r="N1055" s="48" t="n">
        <x:v>0.8544810559721916</x:v>
      </x:c>
      <x:c r="O1055" s="48" t="n">
        <x:v>0.8409034080345485</x:v>
      </x:c>
      <x:c r="P1055" s="48" t="n">
        <x:v>0.5969119395118613</x:v>
      </x:c>
      <x:c r="Q1055" s="48" t="n">
        <x:v>1</x:v>
      </x:c>
      <x:c r="R1055" s="48" t="n">
        <x:v>0.8035406801602529</x:v>
      </x:c>
      <x:c r="S1055" s="29" t="n">
        <x:v>0</x:v>
      </x:c>
    </x:row>
    <x:row r="1056" ht="21.600000381469727" hidden="0" customHeight="1">
      <x:c r="A1056" s="27" t="n">
        <x:v>351</x:v>
      </x:c>
      <x:c r="B1056" s="27" t="str">
        <x:v>A2</x:v>
      </x:c>
      <x:c r="C1056" s="47" t="n">
        <x:v>1.3497130979205691</x:v>
      </x:c>
      <x:c r="D1056" s="47" t="n">
        <x:v>0.8833127646511116</x:v>
      </x:c>
      <x:c r="E1056" s="47" t="n">
        <x:v>1.0142579727676237</x:v>
      </x:c>
      <x:c r="F1056" s="47" t="n">
        <x:v>-0.0536140313635626</x:v>
      </x:c>
      <x:c r="G1056" s="47" t="n">
        <x:v>-0.16089926580740366</x:v>
      </x:c>
      <x:c r="H1056" s="47" t="n">
        <x:v>0.30905339232621043</x:v>
      </x:c>
      <x:c r="I1056" s="47" t="n">
        <x:v>0.7700426692773816</x:v>
      </x:c>
      <x:c r="J1056" s="47" t="n">
        <x:v>0.8137828946224774</x:v>
      </x:c>
      <x:c r="K1056" s="47" t="n">
        <x:v>0.960691684719034</x:v>
      </x:c>
      <x:c r="L1056" s="47" t="n">
        <x:v>0.80724400672309</x:v>
      </x:c>
      <x:c r="M1056" s="47" t="n">
        <x:v>0.04988538775301623</x:v>
      </x:c>
      <x:c r="N1056" s="47" t="n">
        <x:v>0.8544810559721916</x:v>
      </x:c>
      <x:c r="O1056" s="47" t="n">
        <x:v>0.9318632892163726</x:v>
      </x:c>
      <x:c r="P1056" s="47" t="n">
        <x:v>0.6307701381287675</x:v>
      </x:c>
      <x:c r="Q1056" s="47" t="n">
        <x:v>1</x:v>
      </x:c>
      <x:c r="R1056" s="47" t="n">
        <x:v>0.9158618566790179</x:v>
      </x:c>
      <x:c r="S1056" s="27" t="n">
        <x:v>0</x:v>
      </x:c>
    </x:row>
    <x:row r="1057" ht="21.600000381469727" hidden="0" customHeight="1">
      <x:c r="A1057" s="29" t="n">
        <x:v>351</x:v>
      </x:c>
      <x:c r="B1057" s="29" t="str">
        <x:v>A3</x:v>
      </x:c>
      <x:c r="C1057" s="48" t="n">
        <x:v>1.3497130979205691</x:v>
      </x:c>
      <x:c r="D1057" s="48" t="n">
        <x:v>0.8833127646511116</x:v>
      </x:c>
      <x:c r="E1057" s="48" t="n">
        <x:v>1.0142579727676237</x:v>
      </x:c>
      <x:c r="F1057" s="48" t="n">
        <x:v>-0.0536140313635626</x:v>
      </x:c>
      <x:c r="G1057" s="48" t="n">
        <x:v>-0.16089926580740366</x:v>
      </x:c>
      <x:c r="H1057" s="48" t="n">
        <x:v>0.30905339232621043</x:v>
      </x:c>
      <x:c r="I1057" s="48" t="n">
        <x:v>0.7700426692773816</x:v>
      </x:c>
      <x:c r="J1057" s="48" t="n">
        <x:v>0.8137828946224774</x:v>
      </x:c>
      <x:c r="K1057" s="48" t="n">
        <x:v>0.960691684719034</x:v>
      </x:c>
      <x:c r="L1057" s="48" t="n">
        <x:v>0.80724400672309</x:v>
      </x:c>
      <x:c r="M1057" s="48" t="n">
        <x:v>0.04988538775301623</x:v>
      </x:c>
      <x:c r="N1057" s="48" t="n">
        <x:v>0.8544810559721916</x:v>
      </x:c>
      <x:c r="O1057" s="48" t="n">
        <x:v>1</x:v>
      </x:c>
      <x:c r="P1057" s="48" t="n">
        <x:v>1</x:v>
      </x:c>
      <x:c r="Q1057" s="48" t="n">
        <x:v>1</x:v>
      </x:c>
      <x:c r="R1057" s="48" t="n">
        <x:v>1</x:v>
      </x:c>
      <x:c r="S1057" s="29" t="n">
        <x:v>1</x:v>
      </x:c>
    </x:row>
    <x:row r="1058" ht="21.600000381469727" hidden="0" customHeight="1">
      <x:c r="A1058" s="27" t="n">
        <x:v>352</x:v>
      </x:c>
      <x:c r="B1058" s="27" t="str">
        <x:v>A1</x:v>
      </x:c>
      <x:c r="C1058" s="47" t="n">
        <x:v>1.0740032910626078</x:v>
      </x:c>
      <x:c r="D1058" s="47" t="n">
        <x:v>0.8489678149877986</x:v>
      </x:c>
      <x:c r="E1058" s="47" t="n">
        <x:v>1.0895954222141773</x:v>
      </x:c>
      <x:c r="F1058" s="47" t="n">
        <x:v>0.02110221568441495</x:v>
      </x:c>
      <x:c r="G1058" s="47" t="n">
        <x:v>-0.17927944106013005</x:v>
      </x:c>
      <x:c r="H1058" s="47" t="n">
        <x:v>0.48642159880839664</x:v>
      </x:c>
      <x:c r="I1058" s="47" t="n">
        <x:v>0.8502503599017973</x:v>
      </x:c>
      <x:c r="J1058" s="47" t="n">
        <x:v>0.7771877880740632</x:v>
      </x:c>
      <x:c r="K1058" s="47" t="n">
        <x:v>0.711753780012515</x:v>
      </x:c>
      <x:c r="L1058" s="47" t="n">
        <x:v>0.7259521069710524</x:v>
      </x:c>
      <x:c r="M1058" s="47" t="n">
        <x:v>0.010754063794702132</x:v>
      </x:c>
      <x:c r="N1058" s="47" t="n">
        <x:v>0.972020811974095</x:v>
      </x:c>
      <x:c r="O1058" s="47" t="n">
        <x:v>0.894341678591696</x:v>
      </x:c>
      <x:c r="P1058" s="47" t="n">
        <x:v>0.5954125175870358</x:v>
      </x:c>
      <x:c r="Q1058" s="47" t="n">
        <x:v>1</x:v>
      </x:c>
      <x:c r="R1058" s="47" t="n">
        <x:v>0.8695285568166514</x:v>
      </x:c>
      <x:c r="S1058" s="27" t="n">
        <x:v>0</x:v>
      </x:c>
    </x:row>
    <x:row r="1059" ht="21.600000381469727" hidden="0" customHeight="1">
      <x:c r="A1059" s="29" t="n">
        <x:v>352</x:v>
      </x:c>
      <x:c r="B1059" s="29" t="str">
        <x:v>A2</x:v>
      </x:c>
      <x:c r="C1059" s="48" t="n">
        <x:v>1.0740032910626078</x:v>
      </x:c>
      <x:c r="D1059" s="48" t="n">
        <x:v>0.8489678149877986</x:v>
      </x:c>
      <x:c r="E1059" s="48" t="n">
        <x:v>1.0895954222141773</x:v>
      </x:c>
      <x:c r="F1059" s="48" t="n">
        <x:v>0.02110221568441495</x:v>
      </x:c>
      <x:c r="G1059" s="48" t="n">
        <x:v>-0.17927944106013005</x:v>
      </x:c>
      <x:c r="H1059" s="48" t="n">
        <x:v>0.48642159880839664</x:v>
      </x:c>
      <x:c r="I1059" s="48" t="n">
        <x:v>0.8502503599017973</x:v>
      </x:c>
      <x:c r="J1059" s="48" t="n">
        <x:v>0.7771877880740632</x:v>
      </x:c>
      <x:c r="K1059" s="48" t="n">
        <x:v>0.711753780012515</x:v>
      </x:c>
      <x:c r="L1059" s="48" t="n">
        <x:v>0.7259521069710524</x:v>
      </x:c>
      <x:c r="M1059" s="48" t="n">
        <x:v>0.010754063794702132</x:v>
      </x:c>
      <x:c r="N1059" s="48" t="n">
        <x:v>0.972020811974095</x:v>
      </x:c>
      <x:c r="O1059" s="48" t="n">
        <x:v>0.965527670935559</x:v>
      </x:c>
      <x:c r="P1059" s="48" t="n">
        <x:v>0.6913384172374359</x:v>
      </x:c>
      <x:c r="Q1059" s="48" t="n">
        <x:v>1</x:v>
      </x:c>
      <x:c r="R1059" s="48" t="n">
        <x:v>0.9574320842600911</x:v>
      </x:c>
      <x:c r="S1059" s="29" t="n">
        <x:v>0</x:v>
      </x:c>
    </x:row>
    <x:row r="1060" ht="21.600000381469727" hidden="0" customHeight="1">
      <x:c r="A1060" s="27" t="n">
        <x:v>352</x:v>
      </x:c>
      <x:c r="B1060" s="27" t="str">
        <x:v>A3</x:v>
      </x:c>
      <x:c r="C1060" s="47" t="n">
        <x:v>1.0740032910626078</x:v>
      </x:c>
      <x:c r="D1060" s="47" t="n">
        <x:v>0.8489678149877986</x:v>
      </x:c>
      <x:c r="E1060" s="47" t="n">
        <x:v>1.0895954222141773</x:v>
      </x:c>
      <x:c r="F1060" s="47" t="n">
        <x:v>0.02110221568441495</x:v>
      </x:c>
      <x:c r="G1060" s="47" t="n">
        <x:v>-0.17927944106013005</x:v>
      </x:c>
      <x:c r="H1060" s="47" t="n">
        <x:v>0.48642159880839664</x:v>
      </x:c>
      <x:c r="I1060" s="47" t="n">
        <x:v>0.8502503599017973</x:v>
      </x:c>
      <x:c r="J1060" s="47" t="n">
        <x:v>0.7771877880740632</x:v>
      </x:c>
      <x:c r="K1060" s="47" t="n">
        <x:v>0.711753780012515</x:v>
      </x:c>
      <x:c r="L1060" s="47" t="n">
        <x:v>0.7259521069710524</x:v>
      </x:c>
      <x:c r="M1060" s="47" t="n">
        <x:v>0.010754063794702132</x:v>
      </x:c>
      <x:c r="N1060" s="47" t="n">
        <x:v>0.972020811974095</x:v>
      </x:c>
      <x:c r="O1060" s="47" t="n">
        <x:v>1</x:v>
      </x:c>
      <x:c r="P1060" s="47" t="n">
        <x:v>1</x:v>
      </x:c>
      <x:c r="Q1060" s="47" t="n">
        <x:v>1</x:v>
      </x:c>
      <x:c r="R1060" s="47" t="n">
        <x:v>1</x:v>
      </x:c>
      <x:c r="S1060" s="27" t="n">
        <x:v>1</x:v>
      </x:c>
    </x:row>
    <x:row r="1061" ht="21.600000381469727" hidden="0" customHeight="1">
      <x:c r="A1061" s="29" t="n">
        <x:v>353</x:v>
      </x:c>
      <x:c r="B1061" s="29" t="str">
        <x:v>A1</x:v>
      </x:c>
      <x:c r="C1061" s="48" t="n">
        <x:v>1.294307971154483</x:v>
      </x:c>
      <x:c r="D1061" s="48" t="n">
        <x:v>0.7600537171894266</x:v>
      </x:c>
      <x:c r="E1061" s="48" t="n">
        <x:v>0.8863609169464509</x:v>
      </x:c>
      <x:c r="F1061" s="48" t="n">
        <x:v>-0.17369216377461436</x:v>
      </x:c>
      <x:c r="G1061" s="48" t="n">
        <x:v>-0.0322689661179594</x:v>
      </x:c>
      <x:c r="H1061" s="48" t="n">
        <x:v>0.7717744676766483</x:v>
      </x:c>
      <x:c r="I1061" s="48" t="n">
        <x:v>0.7153924574580511</x:v>
      </x:c>
      <x:c r="J1061" s="48" t="n">
        <x:v>0.5099901124082058</x:v>
      </x:c>
      <x:c r="K1061" s="48" t="n">
        <x:v>0.9974522241551793</x:v>
      </x:c>
      <x:c r="L1061" s="48" t="n">
        <x:v>0.823558744359316</x:v>
      </x:c>
      <x:c r="M1061" s="48" t="n">
        <x:v>0.13301536061322192</x:v>
      </x:c>
      <x:c r="N1061" s="48" t="n">
        <x:v>0.8795359231529711</x:v>
      </x:c>
      <x:c r="O1061" s="48" t="n">
        <x:v>0.7628663606154514</x:v>
      </x:c>
      <x:c r="P1061" s="48" t="n">
        <x:v>0.48686742329942057</x:v>
      </x:c>
      <x:c r="Q1061" s="48" t="n">
        <x:v>1</x:v>
      </x:c>
      <x:c r="R1061" s="48" t="n">
        <x:v>0.7071771750162389</x:v>
      </x:c>
      <x:c r="S1061" s="29" t="n">
        <x:v>0</x:v>
      </x:c>
    </x:row>
    <x:row r="1062" ht="21.600000381469727" hidden="0" customHeight="1">
      <x:c r="A1062" s="27" t="n">
        <x:v>353</x:v>
      </x:c>
      <x:c r="B1062" s="27" t="str">
        <x:v>A2</x:v>
      </x:c>
      <x:c r="C1062" s="47" t="n">
        <x:v>1.294307971154483</x:v>
      </x:c>
      <x:c r="D1062" s="47" t="n">
        <x:v>0.7600537171894266</x:v>
      </x:c>
      <x:c r="E1062" s="47" t="n">
        <x:v>0.8863609169464509</x:v>
      </x:c>
      <x:c r="F1062" s="47" t="n">
        <x:v>-0.17369216377461436</x:v>
      </x:c>
      <x:c r="G1062" s="47" t="n">
        <x:v>-0.0322689661179594</x:v>
      </x:c>
      <x:c r="H1062" s="47" t="n">
        <x:v>0.7717744676766483</x:v>
      </x:c>
      <x:c r="I1062" s="47" t="n">
        <x:v>0.7153924574580511</x:v>
      </x:c>
      <x:c r="J1062" s="47" t="n">
        <x:v>0.5099901124082058</x:v>
      </x:c>
      <x:c r="K1062" s="47" t="n">
        <x:v>0.9974522241551793</x:v>
      </x:c>
      <x:c r="L1062" s="47" t="n">
        <x:v>0.823558744359316</x:v>
      </x:c>
      <x:c r="M1062" s="47" t="n">
        <x:v>0.13301536061322192</x:v>
      </x:c>
      <x:c r="N1062" s="47" t="n">
        <x:v>0.8795359231529711</x:v>
      </x:c>
      <x:c r="O1062" s="47" t="n">
        <x:v>0.8614468621415786</x:v>
      </x:c>
      <x:c r="P1062" s="47" t="n">
        <x:v>0.5920560533811324</x:v>
      </x:c>
      <x:c r="Q1062" s="47" t="n">
        <x:v>1</x:v>
      </x:c>
      <x:c r="R1062" s="47" t="n">
        <x:v>0.8289086215546395</x:v>
      </x:c>
      <x:c r="S1062" s="27" t="n">
        <x:v>0</x:v>
      </x:c>
    </x:row>
    <x:row r="1063" ht="21.600000381469727" hidden="0" customHeight="1">
      <x:c r="A1063" s="29" t="n">
        <x:v>353</x:v>
      </x:c>
      <x:c r="B1063" s="29" t="str">
        <x:v>A3</x:v>
      </x:c>
      <x:c r="C1063" s="48" t="n">
        <x:v>1.294307971154483</x:v>
      </x:c>
      <x:c r="D1063" s="48" t="n">
        <x:v>0.7600537171894266</x:v>
      </x:c>
      <x:c r="E1063" s="48" t="n">
        <x:v>0.8863609169464509</x:v>
      </x:c>
      <x:c r="F1063" s="48" t="n">
        <x:v>-0.17369216377461436</x:v>
      </x:c>
      <x:c r="G1063" s="48" t="n">
        <x:v>-0.0322689661179594</x:v>
      </x:c>
      <x:c r="H1063" s="48" t="n">
        <x:v>0.7717744676766483</x:v>
      </x:c>
      <x:c r="I1063" s="48" t="n">
        <x:v>0.7153924574580511</x:v>
      </x:c>
      <x:c r="J1063" s="48" t="n">
        <x:v>0.5099901124082058</x:v>
      </x:c>
      <x:c r="K1063" s="48" t="n">
        <x:v>0.9974522241551793</x:v>
      </x:c>
      <x:c r="L1063" s="48" t="n">
        <x:v>0.823558744359316</x:v>
      </x:c>
      <x:c r="M1063" s="48" t="n">
        <x:v>0.13301536061322192</x:v>
      </x:c>
      <x:c r="N1063" s="48" t="n">
        <x:v>0.8795359231529711</x:v>
      </x:c>
      <x:c r="O1063" s="48" t="n">
        <x:v>1</x:v>
      </x:c>
      <x:c r="P1063" s="48" t="n">
        <x:v>1</x:v>
      </x:c>
      <x:c r="Q1063" s="48" t="n">
        <x:v>1</x:v>
      </x:c>
      <x:c r="R1063" s="48" t="n">
        <x:v>1</x:v>
      </x:c>
      <x:c r="S1063" s="29" t="n">
        <x:v>1</x:v>
      </x:c>
    </x:row>
    <x:row r="1064" ht="21.600000381469727" hidden="0" customHeight="1">
      <x:c r="A1064" s="27" t="n">
        <x:v>354</x:v>
      </x:c>
      <x:c r="B1064" s="27" t="str">
        <x:v>A1</x:v>
      </x:c>
      <x:c r="C1064" s="47" t="n">
        <x:v>1.197719004587042</x:v>
      </x:c>
      <x:c r="D1064" s="47" t="n">
        <x:v>0.9902626049517169</x:v>
      </x:c>
      <x:c r="E1064" s="47" t="n">
        <x:v>1.0361052132215607</x:v>
      </x:c>
      <x:c r="F1064" s="47" t="n">
        <x:v>0.011427159838606454</x:v>
      </x:c>
      <x:c r="G1064" s="47" t="n">
        <x:v>-0.1892472418019169</x:v>
      </x:c>
      <x:c r="H1064" s="47" t="n">
        <x:v>0.8454900701425587</x:v>
      </x:c>
      <x:c r="I1064" s="47" t="n">
        <x:v>0.6151867797240168</x:v>
      </x:c>
      <x:c r="J1064" s="47" t="n">
        <x:v>0.7207256533216383</x:v>
      </x:c>
      <x:c r="K1064" s="47" t="n">
        <x:v>0.8539035224349502</x:v>
      </x:c>
      <x:c r="L1064" s="47" t="n">
        <x:v>0.8984736208062916</x:v>
      </x:c>
      <x:c r="M1064" s="47" t="n">
        <x:v>0.10882188265211211</x:v>
      </x:c>
      <x:c r="N1064" s="47" t="n">
        <x:v>0.8773060075638539</x:v>
      </x:c>
      <x:c r="O1064" s="47" t="n">
        <x:v>0.8904619465675014</x:v>
      </x:c>
      <x:c r="P1064" s="47" t="n">
        <x:v>0.6165140833602426</x:v>
      </x:c>
      <x:c r="Q1064" s="47" t="n">
        <x:v>1</x:v>
      </x:c>
      <x:c r="R1064" s="47" t="n">
        <x:v>0.8647376967157685</x:v>
      </x:c>
      <x:c r="S1064" s="27" t="n">
        <x:v>0</x:v>
      </x:c>
    </x:row>
    <x:row r="1065" ht="21.600000381469727" hidden="0" customHeight="1">
      <x:c r="A1065" s="29" t="n">
        <x:v>354</x:v>
      </x:c>
      <x:c r="B1065" s="29" t="str">
        <x:v>A2</x:v>
      </x:c>
      <x:c r="C1065" s="48" t="n">
        <x:v>1.197719004587042</x:v>
      </x:c>
      <x:c r="D1065" s="48" t="n">
        <x:v>0.9902626049517169</x:v>
      </x:c>
      <x:c r="E1065" s="48" t="n">
        <x:v>1.0361052132215607</x:v>
      </x:c>
      <x:c r="F1065" s="48" t="n">
        <x:v>0.011427159838606454</x:v>
      </x:c>
      <x:c r="G1065" s="48" t="n">
        <x:v>-0.1892472418019169</x:v>
      </x:c>
      <x:c r="H1065" s="48" t="n">
        <x:v>0.8454900701425587</x:v>
      </x:c>
      <x:c r="I1065" s="48" t="n">
        <x:v>0.6151867797240168</x:v>
      </x:c>
      <x:c r="J1065" s="48" t="n">
        <x:v>0.7207256533216383</x:v>
      </x:c>
      <x:c r="K1065" s="48" t="n">
        <x:v>0.8539035224349502</x:v>
      </x:c>
      <x:c r="L1065" s="48" t="n">
        <x:v>0.8984736208062916</x:v>
      </x:c>
      <x:c r="M1065" s="48" t="n">
        <x:v>0.10882188265211211</x:v>
      </x:c>
      <x:c r="N1065" s="48" t="n">
        <x:v>0.8773060075638539</x:v>
      </x:c>
      <x:c r="O1065" s="48" t="n">
        <x:v>0.9773757560849134</x:v>
      </x:c>
      <x:c r="P1065" s="48" t="n">
        <x:v>0.817949671055386</x:v>
      </x:c>
      <x:c r="Q1065" s="48" t="n">
        <x:v>1</x:v>
      </x:c>
      <x:c r="R1065" s="48" t="n">
        <x:v>0.9720626097860623</x:v>
      </x:c>
      <x:c r="S1065" s="29" t="n">
        <x:v>0</x:v>
      </x:c>
    </x:row>
    <x:row r="1066" ht="21.600000381469727" hidden="0" customHeight="1">
      <x:c r="A1066" s="27" t="n">
        <x:v>354</x:v>
      </x:c>
      <x:c r="B1066" s="27" t="str">
        <x:v>A3</x:v>
      </x:c>
      <x:c r="C1066" s="47" t="n">
        <x:v>1.197719004587042</x:v>
      </x:c>
      <x:c r="D1066" s="47" t="n">
        <x:v>0.9902626049517169</x:v>
      </x:c>
      <x:c r="E1066" s="47" t="n">
        <x:v>1.0361052132215607</x:v>
      </x:c>
      <x:c r="F1066" s="47" t="n">
        <x:v>0.011427159838606454</x:v>
      </x:c>
      <x:c r="G1066" s="47" t="n">
        <x:v>-0.1892472418019169</x:v>
      </x:c>
      <x:c r="H1066" s="47" t="n">
        <x:v>0.8454900701425587</x:v>
      </x:c>
      <x:c r="I1066" s="47" t="n">
        <x:v>0.6151867797240168</x:v>
      </x:c>
      <x:c r="J1066" s="47" t="n">
        <x:v>0.7207256533216383</x:v>
      </x:c>
      <x:c r="K1066" s="47" t="n">
        <x:v>0.8539035224349502</x:v>
      </x:c>
      <x:c r="L1066" s="47" t="n">
        <x:v>0.8984736208062916</x:v>
      </x:c>
      <x:c r="M1066" s="47" t="n">
        <x:v>0.10882188265211211</x:v>
      </x:c>
      <x:c r="N1066" s="47" t="n">
        <x:v>0.8773060075638539</x:v>
      </x:c>
      <x:c r="O1066" s="47" t="n">
        <x:v>1</x:v>
      </x:c>
      <x:c r="P1066" s="47" t="n">
        <x:v>1</x:v>
      </x:c>
      <x:c r="Q1066" s="47" t="n">
        <x:v>1</x:v>
      </x:c>
      <x:c r="R1066" s="47" t="n">
        <x:v>1</x:v>
      </x:c>
      <x:c r="S1066" s="27" t="n">
        <x:v>1</x:v>
      </x:c>
    </x:row>
    <x:row r="1067" ht="21.600000381469727" hidden="0" customHeight="1">
      <x:c r="A1067" s="29" t="n">
        <x:v>355</x:v>
      </x:c>
      <x:c r="B1067" s="29" t="str">
        <x:v>A1</x:v>
      </x:c>
      <x:c r="C1067" s="48" t="n">
        <x:v>1.130640537883775</x:v>
      </x:c>
      <x:c r="D1067" s="48" t="n">
        <x:v>0.8622346269054986</x:v>
      </x:c>
      <x:c r="E1067" s="48" t="n">
        <x:v>0.46052042006978255</x:v>
      </x:c>
      <x:c r="F1067" s="48" t="n">
        <x:v>-0.022634792276838844</x:v>
      </x:c>
      <x:c r="G1067" s="48" t="n">
        <x:v>0.02885108714698517</x:v>
      </x:c>
      <x:c r="H1067" s="48" t="n">
        <x:v>0.7384623377456202</x:v>
      </x:c>
      <x:c r="I1067" s="48" t="n">
        <x:v>0.9923825114478549</x:v>
      </x:c>
      <x:c r="J1067" s="48" t="n">
        <x:v>0.9518424565279984</x:v>
      </x:c>
      <x:c r="K1067" s="48" t="n">
        <x:v>0.6854539296385378</x:v>
      </x:c>
      <x:c r="L1067" s="48" t="n">
        <x:v>0.6050979388445074</x:v>
      </x:c>
      <x:c r="M1067" s="48" t="n">
        <x:v>0.021756220893653262</x:v>
      </x:c>
      <x:c r="N1067" s="48" t="n">
        <x:v>0.9807935635240612</x:v>
      </x:c>
      <x:c r="O1067" s="48" t="n">
        <x:v>0.8057301078018158</x:v>
      </x:c>
      <x:c r="P1067" s="48" t="n">
        <x:v>0.4882951002719759</x:v>
      </x:c>
      <x:c r="Q1067" s="48" t="n">
        <x:v>1</x:v>
      </x:c>
      <x:c r="R1067" s="48" t="n">
        <x:v>0.7601071750494557</x:v>
      </x:c>
      <x:c r="S1067" s="29" t="n">
        <x:v>0</x:v>
      </x:c>
    </x:row>
    <x:row r="1068" ht="21.600000381469727" hidden="0" customHeight="1">
      <x:c r="A1068" s="27" t="n">
        <x:v>355</x:v>
      </x:c>
      <x:c r="B1068" s="27" t="str">
        <x:v>A2</x:v>
      </x:c>
      <x:c r="C1068" s="47" t="n">
        <x:v>1.130640537883775</x:v>
      </x:c>
      <x:c r="D1068" s="47" t="n">
        <x:v>0.8622346269054986</x:v>
      </x:c>
      <x:c r="E1068" s="47" t="n">
        <x:v>0.46052042006978255</x:v>
      </x:c>
      <x:c r="F1068" s="47" t="n">
        <x:v>-0.022634792276838844</x:v>
      </x:c>
      <x:c r="G1068" s="47" t="n">
        <x:v>0.02885108714698517</x:v>
      </x:c>
      <x:c r="H1068" s="47" t="n">
        <x:v>0.7384623377456202</x:v>
      </x:c>
      <x:c r="I1068" s="47" t="n">
        <x:v>0.9923825114478549</x:v>
      </x:c>
      <x:c r="J1068" s="47" t="n">
        <x:v>0.9518424565279984</x:v>
      </x:c>
      <x:c r="K1068" s="47" t="n">
        <x:v>0.6854539296385378</x:v>
      </x:c>
      <x:c r="L1068" s="47" t="n">
        <x:v>0.6050979388445074</x:v>
      </x:c>
      <x:c r="M1068" s="47" t="n">
        <x:v>0.021756220893653262</x:v>
      </x:c>
      <x:c r="N1068" s="47" t="n">
        <x:v>0.9807935635240612</x:v>
      </x:c>
      <x:c r="O1068" s="47" t="n">
        <x:v>0.8730260101916932</x:v>
      </x:c>
      <x:c r="P1068" s="47" t="n">
        <x:v>0.5306974305437393</x:v>
      </x:c>
      <x:c r="Q1068" s="47" t="n">
        <x:v>1</x:v>
      </x:c>
      <x:c r="R1068" s="47" t="n">
        <x:v>0.8432070519744642</x:v>
      </x:c>
      <x:c r="S1068" s="27" t="n">
        <x:v>0</x:v>
      </x:c>
    </x:row>
    <x:row r="1069" ht="21.600000381469727" hidden="0" customHeight="1">
      <x:c r="A1069" s="29" t="n">
        <x:v>355</x:v>
      </x:c>
      <x:c r="B1069" s="29" t="str">
        <x:v>A3</x:v>
      </x:c>
      <x:c r="C1069" s="48" t="n">
        <x:v>1.130640537883775</x:v>
      </x:c>
      <x:c r="D1069" s="48" t="n">
        <x:v>0.8622346269054986</x:v>
      </x:c>
      <x:c r="E1069" s="48" t="n">
        <x:v>0.46052042006978255</x:v>
      </x:c>
      <x:c r="F1069" s="48" t="n">
        <x:v>-0.022634792276838844</x:v>
      </x:c>
      <x:c r="G1069" s="48" t="n">
        <x:v>0.02885108714698517</x:v>
      </x:c>
      <x:c r="H1069" s="48" t="n">
        <x:v>0.7384623377456202</x:v>
      </x:c>
      <x:c r="I1069" s="48" t="n">
        <x:v>0.9923825114478549</x:v>
      </x:c>
      <x:c r="J1069" s="48" t="n">
        <x:v>0.9518424565279984</x:v>
      </x:c>
      <x:c r="K1069" s="48" t="n">
        <x:v>0.6854539296385378</x:v>
      </x:c>
      <x:c r="L1069" s="48" t="n">
        <x:v>0.6050979388445074</x:v>
      </x:c>
      <x:c r="M1069" s="48" t="n">
        <x:v>0.021756220893653262</x:v>
      </x:c>
      <x:c r="N1069" s="48" t="n">
        <x:v>0.9807935635240612</x:v>
      </x:c>
      <x:c r="O1069" s="48" t="n">
        <x:v>1</x:v>
      </x:c>
      <x:c r="P1069" s="48" t="n">
        <x:v>1</x:v>
      </x:c>
      <x:c r="Q1069" s="48" t="n">
        <x:v>1</x:v>
      </x:c>
      <x:c r="R1069" s="48" t="n">
        <x:v>1</x:v>
      </x:c>
      <x:c r="S1069" s="29" t="n">
        <x:v>1</x:v>
      </x:c>
    </x:row>
    <x:row r="1070" ht="21.600000381469727" hidden="0" customHeight="1">
      <x:c r="A1070" s="27" t="n">
        <x:v>356</x:v>
      </x:c>
      <x:c r="B1070" s="27" t="str">
        <x:v>A1</x:v>
      </x:c>
      <x:c r="C1070" s="47" t="n">
        <x:v>0.9039752998576178</x:v>
      </x:c>
      <x:c r="D1070" s="47" t="n">
        <x:v>0.9768415184586201</x:v>
      </x:c>
      <x:c r="E1070" s="47" t="n">
        <x:v>0.6528222678195998</x:v>
      </x:c>
      <x:c r="F1070" s="47" t="n">
        <x:v>-0.16269116838266678</x:v>
      </x:c>
      <x:c r="G1070" s="47" t="n">
        <x:v>-0.15056580510462075</x:v>
      </x:c>
      <x:c r="H1070" s="47" t="n">
        <x:v>1.0198118390386495</x:v>
      </x:c>
      <x:c r="I1070" s="47" t="n">
        <x:v>0.7289741651626785</x:v>
      </x:c>
      <x:c r="J1070" s="47" t="n">
        <x:v>0.8819997254770553</x:v>
      </x:c>
      <x:c r="K1070" s="47" t="n">
        <x:v>0.9585714496978104</x:v>
      </x:c>
      <x:c r="L1070" s="47" t="n">
        <x:v>0.7234255468943456</x:v>
      </x:c>
      <x:c r="M1070" s="47" t="n">
        <x:v>0.08505158164273714</x:v>
      </x:c>
      <x:c r="N1070" s="47" t="n">
        <x:v>0.9364257726013803</x:v>
      </x:c>
      <x:c r="O1070" s="47" t="n">
        <x:v>0.9704634080914106</x:v>
      </x:c>
      <x:c r="P1070" s="47" t="n">
        <x:v>0.7276191042354432</x:v>
      </x:c>
      <x:c r="Q1070" s="47" t="n">
        <x:v>1</x:v>
      </x:c>
      <x:c r="R1070" s="47" t="n">
        <x:v>0.9635269449517452</x:v>
      </x:c>
      <x:c r="S1070" s="27" t="n">
        <x:v>0</x:v>
      </x:c>
    </x:row>
    <x:row r="1071" ht="21.600000381469727" hidden="0" customHeight="1">
      <x:c r="A1071" s="29" t="n">
        <x:v>356</x:v>
      </x:c>
      <x:c r="B1071" s="29" t="str">
        <x:v>A2</x:v>
      </x:c>
      <x:c r="C1071" s="48" t="n">
        <x:v>0.9039752998576178</x:v>
      </x:c>
      <x:c r="D1071" s="48" t="n">
        <x:v>0.9768415184586201</x:v>
      </x:c>
      <x:c r="E1071" s="48" t="n">
        <x:v>0.6528222678195998</x:v>
      </x:c>
      <x:c r="F1071" s="48" t="n">
        <x:v>-0.16269116838266678</x:v>
      </x:c>
      <x:c r="G1071" s="48" t="n">
        <x:v>-0.15056580510462075</x:v>
      </x:c>
      <x:c r="H1071" s="48" t="n">
        <x:v>1.0198118390386495</x:v>
      </x:c>
      <x:c r="I1071" s="48" t="n">
        <x:v>0.7289741651626785</x:v>
      </x:c>
      <x:c r="J1071" s="48" t="n">
        <x:v>0.8819997254770553</x:v>
      </x:c>
      <x:c r="K1071" s="48" t="n">
        <x:v>0.9585714496978104</x:v>
      </x:c>
      <x:c r="L1071" s="48" t="n">
        <x:v>0.7234255468943456</x:v>
      </x:c>
      <x:c r="M1071" s="48" t="n">
        <x:v>0.08505158164273714</x:v>
      </x:c>
      <x:c r="N1071" s="48" t="n">
        <x:v>0.9364257726013803</x:v>
      </x:c>
      <x:c r="O1071" s="48" t="n">
        <x:v>0.9997078259286815</x:v>
      </x:c>
      <x:c r="P1071" s="48" t="n">
        <x:v>0.9970782592868136</x:v>
      </x:c>
      <x:c r="Q1071" s="48" t="n">
        <x:v>1</x:v>
      </x:c>
      <x:c r="R1071" s="48" t="n">
        <x:v>0.9996392108805288</x:v>
      </x:c>
      <x:c r="S1071" s="29" t="n">
        <x:v>1</x:v>
      </x:c>
    </x:row>
    <x:row r="1072" ht="21.600000381469727" hidden="0" customHeight="1">
      <x:c r="A1072" s="27" t="n">
        <x:v>356</x:v>
      </x:c>
      <x:c r="B1072" s="27" t="str">
        <x:v>A3</x:v>
      </x:c>
      <x:c r="C1072" s="47" t="n">
        <x:v>0.9039752998576178</x:v>
      </x:c>
      <x:c r="D1072" s="47" t="n">
        <x:v>0.9768415184586201</x:v>
      </x:c>
      <x:c r="E1072" s="47" t="n">
        <x:v>0.6528222678195998</x:v>
      </x:c>
      <x:c r="F1072" s="47" t="n">
        <x:v>-0.16269116838266678</x:v>
      </x:c>
      <x:c r="G1072" s="47" t="n">
        <x:v>-0.15056580510462075</x:v>
      </x:c>
      <x:c r="H1072" s="47" t="n">
        <x:v>1.0198118390386495</x:v>
      </x:c>
      <x:c r="I1072" s="47" t="n">
        <x:v>0.7289741651626785</x:v>
      </x:c>
      <x:c r="J1072" s="47" t="n">
        <x:v>0.8819997254770553</x:v>
      </x:c>
      <x:c r="K1072" s="47" t="n">
        <x:v>0.9585714496978104</x:v>
      </x:c>
      <x:c r="L1072" s="47" t="n">
        <x:v>0.7234255468943456</x:v>
      </x:c>
      <x:c r="M1072" s="47" t="n">
        <x:v>0.08505158164273714</x:v>
      </x:c>
      <x:c r="N1072" s="47" t="n">
        <x:v>0.9364257726013803</x:v>
      </x:c>
      <x:c r="O1072" s="47" t="n">
        <x:v>1</x:v>
      </x:c>
      <x:c r="P1072" s="47" t="n">
        <x:v>1</x:v>
      </x:c>
      <x:c r="Q1072" s="47" t="n">
        <x:v>1</x:v>
      </x:c>
      <x:c r="R1072" s="47" t="n">
        <x:v>1</x:v>
      </x:c>
      <x:c r="S1072" s="27" t="n">
        <x:v>1</x:v>
      </x:c>
    </x:row>
    <x:row r="1073" ht="21.600000381469727" hidden="0" customHeight="1">
      <x:c r="A1073" s="29" t="n">
        <x:v>357</x:v>
      </x:c>
      <x:c r="B1073" s="29" t="str">
        <x:v>A1</x:v>
      </x:c>
      <x:c r="C1073" s="48" t="n">
        <x:v>1.1984704105012276</x:v>
      </x:c>
      <x:c r="D1073" s="48" t="n">
        <x:v>0.9412383144777476</x:v>
      </x:c>
      <x:c r="E1073" s="48" t="n">
        <x:v>0.6444450673532633</x:v>
      </x:c>
      <x:c r="F1073" s="48" t="n">
        <x:v>-0.10027032912201314</x:v>
      </x:c>
      <x:c r="G1073" s="48" t="n">
        <x:v>-0.0884529417169998</x:v>
      </x:c>
      <x:c r="H1073" s="48" t="n">
        <x:v>0.8376017383277858</x:v>
      </x:c>
      <x:c r="I1073" s="48" t="n">
        <x:v>0.7283727261118639</x:v>
      </x:c>
      <x:c r="J1073" s="48" t="n">
        <x:v>0.9226744150694759</x:v>
      </x:c>
      <x:c r="K1073" s="48" t="n">
        <x:v>0.5848349991791801</x:v>
      </x:c>
      <x:c r="L1073" s="48" t="n">
        <x:v>0.8301380100419211</x:v>
      </x:c>
      <x:c r="M1073" s="48" t="n">
        <x:v>0.056326570396553415</x:v>
      </x:c>
      <x:c r="N1073" s="48" t="n">
        <x:v>0.9941593817273155</x:v>
      </x:c>
      <x:c r="O1073" s="48" t="n">
        <x:v>0.8525369275787007</x:v>
      </x:c>
      <x:c r="P1073" s="48" t="n">
        <x:v>0.5299984142010847</x:v>
      </x:c>
      <x:c r="Q1073" s="48" t="n">
        <x:v>1</x:v>
      </x:c>
      <x:c r="R1073" s="48" t="n">
        <x:v>0.8179062508412569</x:v>
      </x:c>
      <x:c r="S1073" s="29" t="n">
        <x:v>0</x:v>
      </x:c>
    </x:row>
    <x:row r="1074" ht="21.600000381469727" hidden="0" customHeight="1">
      <x:c r="A1074" s="27" t="n">
        <x:v>357</x:v>
      </x:c>
      <x:c r="B1074" s="27" t="str">
        <x:v>A2</x:v>
      </x:c>
      <x:c r="C1074" s="47" t="n">
        <x:v>1.1984704105012276</x:v>
      </x:c>
      <x:c r="D1074" s="47" t="n">
        <x:v>0.9412383144777476</x:v>
      </x:c>
      <x:c r="E1074" s="47" t="n">
        <x:v>0.6444450673532633</x:v>
      </x:c>
      <x:c r="F1074" s="47" t="n">
        <x:v>-0.10027032912201314</x:v>
      </x:c>
      <x:c r="G1074" s="47" t="n">
        <x:v>-0.0884529417169998</x:v>
      </x:c>
      <x:c r="H1074" s="47" t="n">
        <x:v>0.8376017383277858</x:v>
      </x:c>
      <x:c r="I1074" s="47" t="n">
        <x:v>0.7283727261118639</x:v>
      </x:c>
      <x:c r="J1074" s="47" t="n">
        <x:v>0.9226744150694759</x:v>
      </x:c>
      <x:c r="K1074" s="47" t="n">
        <x:v>0.5848349991791801</x:v>
      </x:c>
      <x:c r="L1074" s="47" t="n">
        <x:v>0.8301380100419211</x:v>
      </x:c>
      <x:c r="M1074" s="47" t="n">
        <x:v>0.056326570396553415</x:v>
      </x:c>
      <x:c r="N1074" s="47" t="n">
        <x:v>0.9941593817273155</x:v>
      </x:c>
      <x:c r="O1074" s="47" t="n">
        <x:v>0.9307530923446744</x:v>
      </x:c>
      <x:c r="P1074" s="47" t="n">
        <x:v>0.578744940014755</x:v>
      </x:c>
      <x:c r="Q1074" s="47" t="n">
        <x:v>1</x:v>
      </x:c>
      <x:c r="R1074" s="47" t="n">
        <x:v>0.9144909377950394</x:v>
      </x:c>
      <x:c r="S1074" s="27" t="n">
        <x:v>0</x:v>
      </x:c>
    </x:row>
    <x:row r="1075" ht="21.600000381469727" hidden="0" customHeight="1">
      <x:c r="A1075" s="29" t="n">
        <x:v>357</x:v>
      </x:c>
      <x:c r="B1075" s="29" t="str">
        <x:v>A3</x:v>
      </x:c>
      <x:c r="C1075" s="48" t="n">
        <x:v>1.1984704105012276</x:v>
      </x:c>
      <x:c r="D1075" s="48" t="n">
        <x:v>0.9412383144777476</x:v>
      </x:c>
      <x:c r="E1075" s="48" t="n">
        <x:v>0.6444450673532633</x:v>
      </x:c>
      <x:c r="F1075" s="48" t="n">
        <x:v>-0.10027032912201314</x:v>
      </x:c>
      <x:c r="G1075" s="48" t="n">
        <x:v>-0.0884529417169998</x:v>
      </x:c>
      <x:c r="H1075" s="48" t="n">
        <x:v>0.8376017383277858</x:v>
      </x:c>
      <x:c r="I1075" s="48" t="n">
        <x:v>0.7283727261118639</x:v>
      </x:c>
      <x:c r="J1075" s="48" t="n">
        <x:v>0.9226744150694759</x:v>
      </x:c>
      <x:c r="K1075" s="48" t="n">
        <x:v>0.5848349991791801</x:v>
      </x:c>
      <x:c r="L1075" s="48" t="n">
        <x:v>0.8301380100419211</x:v>
      </x:c>
      <x:c r="M1075" s="48" t="n">
        <x:v>0.056326570396553415</x:v>
      </x:c>
      <x:c r="N1075" s="48" t="n">
        <x:v>0.9941593817273155</x:v>
      </x:c>
      <x:c r="O1075" s="48" t="n">
        <x:v>1</x:v>
      </x:c>
      <x:c r="P1075" s="48" t="n">
        <x:v>1</x:v>
      </x:c>
      <x:c r="Q1075" s="48" t="n">
        <x:v>1</x:v>
      </x:c>
      <x:c r="R1075" s="48" t="n">
        <x:v>1</x:v>
      </x:c>
      <x:c r="S1075" s="29" t="n">
        <x:v>1</x:v>
      </x:c>
    </x:row>
    <x:row r="1076" ht="21.600000381469727" hidden="0" customHeight="1">
      <x:c r="A1076" s="27" t="n">
        <x:v>358</x:v>
      </x:c>
      <x:c r="B1076" s="27" t="str">
        <x:v>A1</x:v>
      </x:c>
      <x:c r="C1076" s="47" t="n">
        <x:v>1.202445204738213</x:v>
      </x:c>
      <x:c r="D1076" s="47" t="n">
        <x:v>0.8808469216628623</x:v>
      </x:c>
      <x:c r="E1076" s="47" t="n">
        <x:v>1.0667761613946278</x:v>
      </x:c>
      <x:c r="F1076" s="47" t="n">
        <x:v>-0.018246538376728766</x:v>
      </x:c>
      <x:c r="G1076" s="47" t="n">
        <x:v>-0.07346981716076159</x:v>
      </x:c>
      <x:c r="H1076" s="47" t="n">
        <x:v>0.6588352451082133</x:v>
      </x:c>
      <x:c r="I1076" s="47" t="n">
        <x:v>0.6718532659503198</x:v>
      </x:c>
      <x:c r="J1076" s="47" t="n">
        <x:v>0.9569862643519419</x:v>
      </x:c>
      <x:c r="K1076" s="47" t="n">
        <x:v>0.7902390174372212</x:v>
      </x:c>
      <x:c r="L1076" s="47" t="n">
        <x:v>0.5344923022440285</x:v>
      </x:c>
      <x:c r="M1076" s="47" t="n">
        <x:v>0.16051240958333685</x:v>
      </x:c>
      <x:c r="N1076" s="47" t="n">
        <x:v>0.7092494230938068</x:v>
      </x:c>
      <x:c r="O1076" s="47" t="n">
        <x:v>0.831225839363615</x:v>
      </x:c>
      <x:c r="P1076" s="47" t="n">
        <x:v>0.4790027772565238</x:v>
      </x:c>
      <x:c r="Q1076" s="47" t="n">
        <x:v>1</x:v>
      </x:c>
      <x:c r="R1076" s="47" t="n">
        <x:v>0.7915904018085529</x:v>
      </x:c>
      <x:c r="S1076" s="27" t="n">
        <x:v>0</x:v>
      </x:c>
    </x:row>
    <x:row r="1077" ht="21.600000381469727" hidden="0" customHeight="1">
      <x:c r="A1077" s="29" t="n">
        <x:v>358</x:v>
      </x:c>
      <x:c r="B1077" s="29" t="str">
        <x:v>A2</x:v>
      </x:c>
      <x:c r="C1077" s="48" t="n">
        <x:v>1.202445204738213</x:v>
      </x:c>
      <x:c r="D1077" s="48" t="n">
        <x:v>0.8808469216628623</x:v>
      </x:c>
      <x:c r="E1077" s="48" t="n">
        <x:v>1.0667761613946278</x:v>
      </x:c>
      <x:c r="F1077" s="48" t="n">
        <x:v>-0.018246538376728766</x:v>
      </x:c>
      <x:c r="G1077" s="48" t="n">
        <x:v>-0.07346981716076159</x:v>
      </x:c>
      <x:c r="H1077" s="48" t="n">
        <x:v>0.6588352451082133</x:v>
      </x:c>
      <x:c r="I1077" s="48" t="n">
        <x:v>0.6718532659503198</x:v>
      </x:c>
      <x:c r="J1077" s="48" t="n">
        <x:v>0.9569862643519419</x:v>
      </x:c>
      <x:c r="K1077" s="48" t="n">
        <x:v>0.7902390174372212</x:v>
      </x:c>
      <x:c r="L1077" s="48" t="n">
        <x:v>0.5344923022440285</x:v>
      </x:c>
      <x:c r="M1077" s="48" t="n">
        <x:v>0.16051240958333685</x:v>
      </x:c>
      <x:c r="N1077" s="48" t="n">
        <x:v>0.7092494230938068</x:v>
      </x:c>
      <x:c r="O1077" s="48" t="n">
        <x:v>0.931663653028571</x:v>
      </x:c>
      <x:c r="P1077" s="48" t="n">
        <x:v>0.5471615565436074</x:v>
      </x:c>
      <x:c r="Q1077" s="48" t="n">
        <x:v>1</x:v>
      </x:c>
      <x:c r="R1077" s="48" t="n">
        <x:v>0.915615337321272</x:v>
      </x:c>
      <x:c r="S1077" s="29" t="n">
        <x:v>0</x:v>
      </x:c>
    </x:row>
    <x:row r="1078" ht="21.600000381469727" hidden="0" customHeight="1">
      <x:c r="A1078" s="27" t="n">
        <x:v>358</x:v>
      </x:c>
      <x:c r="B1078" s="27" t="str">
        <x:v>A3</x:v>
      </x:c>
      <x:c r="C1078" s="47" t="n">
        <x:v>1.202445204738213</x:v>
      </x:c>
      <x:c r="D1078" s="47" t="n">
        <x:v>0.8808469216628623</x:v>
      </x:c>
      <x:c r="E1078" s="47" t="n">
        <x:v>1.0667761613946278</x:v>
      </x:c>
      <x:c r="F1078" s="47" t="n">
        <x:v>-0.018246538376728766</x:v>
      </x:c>
      <x:c r="G1078" s="47" t="n">
        <x:v>-0.07346981716076159</x:v>
      </x:c>
      <x:c r="H1078" s="47" t="n">
        <x:v>0.6588352451082133</x:v>
      </x:c>
      <x:c r="I1078" s="47" t="n">
        <x:v>0.6718532659503198</x:v>
      </x:c>
      <x:c r="J1078" s="47" t="n">
        <x:v>0.9569862643519419</x:v>
      </x:c>
      <x:c r="K1078" s="47" t="n">
        <x:v>0.7902390174372212</x:v>
      </x:c>
      <x:c r="L1078" s="47" t="n">
        <x:v>0.5344923022440285</x:v>
      </x:c>
      <x:c r="M1078" s="47" t="n">
        <x:v>0.16051240958333685</x:v>
      </x:c>
      <x:c r="N1078" s="47" t="n">
        <x:v>0.7092494230938068</x:v>
      </x:c>
      <x:c r="O1078" s="47" t="n">
        <x:v>1</x:v>
      </x:c>
      <x:c r="P1078" s="47" t="n">
        <x:v>1</x:v>
      </x:c>
      <x:c r="Q1078" s="47" t="n">
        <x:v>1</x:v>
      </x:c>
      <x:c r="R1078" s="47" t="n">
        <x:v>1</x:v>
      </x:c>
      <x:c r="S1078" s="27" t="n">
        <x:v>1</x:v>
      </x:c>
    </x:row>
    <x:row r="1079" ht="21.600000381469727" hidden="0" customHeight="1">
      <x:c r="A1079" s="29" t="n">
        <x:v>359</x:v>
      </x:c>
      <x:c r="B1079" s="29" t="str">
        <x:v>A1</x:v>
      </x:c>
      <x:c r="C1079" s="48" t="n">
        <x:v>1.2194083799740636</x:v>
      </x:c>
      <x:c r="D1079" s="48" t="n">
        <x:v>0.8520178807078612</x:v>
      </x:c>
      <x:c r="E1079" s="48" t="n">
        <x:v>0.7730832217927588</x:v>
      </x:c>
      <x:c r="F1079" s="48" t="n">
        <x:v>-0.11428153759020088</x:v>
      </x:c>
      <x:c r="G1079" s="48" t="n">
        <x:v>-0.09024672565835203</x:v>
      </x:c>
      <x:c r="H1079" s="48" t="n">
        <x:v>0.875248042538382</x:v>
      </x:c>
      <x:c r="I1079" s="48" t="n">
        <x:v>0.8088591519168773</x:v>
      </x:c>
      <x:c r="J1079" s="48" t="n">
        <x:v>0.41168932180645706</x:v>
      </x:c>
      <x:c r="K1079" s="48" t="n">
        <x:v>0.9581010170413664</x:v>
      </x:c>
      <x:c r="L1079" s="48" t="n">
        <x:v>0.7538844548200618</x:v>
      </x:c>
      <x:c r="M1079" s="48" t="n">
        <x:v>0.06931883846776239</x:v>
      </x:c>
      <x:c r="N1079" s="48" t="n">
        <x:v>0.8329010912874625</x:v>
      </x:c>
      <x:c r="O1079" s="48" t="n">
        <x:v>0.8032836063488036</x:v>
      </x:c>
      <x:c r="P1079" s="48" t="n">
        <x:v>0.5156299580484447</x:v>
      </x:c>
      <x:c r="Q1079" s="48" t="n">
        <x:v>1</x:v>
      </x:c>
      <x:c r="R1079" s="48" t="n">
        <x:v>0.7570861297491887</x:v>
      </x:c>
      <x:c r="S1079" s="29" t="n">
        <x:v>0</x:v>
      </x:c>
    </x:row>
    <x:row r="1080" ht="21.600000381469727" hidden="0" customHeight="1">
      <x:c r="A1080" s="27" t="n">
        <x:v>359</x:v>
      </x:c>
      <x:c r="B1080" s="27" t="str">
        <x:v>A2</x:v>
      </x:c>
      <x:c r="C1080" s="47" t="n">
        <x:v>1.2194083799740636</x:v>
      </x:c>
      <x:c r="D1080" s="47" t="n">
        <x:v>0.8520178807078612</x:v>
      </x:c>
      <x:c r="E1080" s="47" t="n">
        <x:v>0.7730832217927588</x:v>
      </x:c>
      <x:c r="F1080" s="47" t="n">
        <x:v>-0.11428153759020088</x:v>
      </x:c>
      <x:c r="G1080" s="47" t="n">
        <x:v>-0.09024672565835203</x:v>
      </x:c>
      <x:c r="H1080" s="47" t="n">
        <x:v>0.875248042538382</x:v>
      </x:c>
      <x:c r="I1080" s="47" t="n">
        <x:v>0.8088591519168773</x:v>
      </x:c>
      <x:c r="J1080" s="47" t="n">
        <x:v>0.41168932180645706</x:v>
      </x:c>
      <x:c r="K1080" s="47" t="n">
        <x:v>0.9581010170413664</x:v>
      </x:c>
      <x:c r="L1080" s="47" t="n">
        <x:v>0.7538844548200618</x:v>
      </x:c>
      <x:c r="M1080" s="47" t="n">
        <x:v>0.06931883846776239</x:v>
      </x:c>
      <x:c r="N1080" s="47" t="n">
        <x:v>0.8329010912874625</x:v>
      </x:c>
      <x:c r="O1080" s="47" t="n">
        <x:v>0.8871879191322348</x:v>
      </x:c>
      <x:c r="P1080" s="47" t="n">
        <x:v>0.7091489992888547</x:v>
      </x:c>
      <x:c r="Q1080" s="47" t="n">
        <x:v>1</x:v>
      </x:c>
      <x:c r="R1080" s="47" t="n">
        <x:v>0.8606947867129645</x:v>
      </x:c>
      <x:c r="S1080" s="27" t="n">
        <x:v>0</x:v>
      </x:c>
    </x:row>
    <x:row r="1081" ht="21.600000381469727" hidden="0" customHeight="1">
      <x:c r="A1081" s="29" t="n">
        <x:v>359</x:v>
      </x:c>
      <x:c r="B1081" s="29" t="str">
        <x:v>A3</x:v>
      </x:c>
      <x:c r="C1081" s="48" t="n">
        <x:v>1.2194083799740636</x:v>
      </x:c>
      <x:c r="D1081" s="48" t="n">
        <x:v>0.8520178807078612</x:v>
      </x:c>
      <x:c r="E1081" s="48" t="n">
        <x:v>0.7730832217927588</x:v>
      </x:c>
      <x:c r="F1081" s="48" t="n">
        <x:v>-0.11428153759020088</x:v>
      </x:c>
      <x:c r="G1081" s="48" t="n">
        <x:v>-0.09024672565835203</x:v>
      </x:c>
      <x:c r="H1081" s="48" t="n">
        <x:v>0.875248042538382</x:v>
      </x:c>
      <x:c r="I1081" s="48" t="n">
        <x:v>0.8088591519168773</x:v>
      </x:c>
      <x:c r="J1081" s="48" t="n">
        <x:v>0.41168932180645706</x:v>
      </x:c>
      <x:c r="K1081" s="48" t="n">
        <x:v>0.9581010170413664</x:v>
      </x:c>
      <x:c r="L1081" s="48" t="n">
        <x:v>0.7538844548200618</x:v>
      </x:c>
      <x:c r="M1081" s="48" t="n">
        <x:v>0.06931883846776239</x:v>
      </x:c>
      <x:c r="N1081" s="48" t="n">
        <x:v>0.8329010912874625</x:v>
      </x:c>
      <x:c r="O1081" s="48" t="n">
        <x:v>1</x:v>
      </x:c>
      <x:c r="P1081" s="48" t="n">
        <x:v>1</x:v>
      </x:c>
      <x:c r="Q1081" s="48" t="n">
        <x:v>1</x:v>
      </x:c>
      <x:c r="R1081" s="48" t="n">
        <x:v>1</x:v>
      </x:c>
      <x:c r="S1081" s="29" t="n">
        <x:v>1</x:v>
      </x:c>
    </x:row>
    <x:row r="1082" ht="21.600000381469727" hidden="0" customHeight="1">
      <x:c r="A1082" s="27" t="n">
        <x:v>360</x:v>
      </x:c>
      <x:c r="B1082" s="27" t="str">
        <x:v>A1</x:v>
      </x:c>
      <x:c r="C1082" s="47" t="n">
        <x:v>1.1487469081348458</x:v>
      </x:c>
      <x:c r="D1082" s="47" t="n">
        <x:v>0.9939194594211593</x:v>
      </x:c>
      <x:c r="E1082" s="47" t="n">
        <x:v>0.9267400286029732</x:v>
      </x:c>
      <x:c r="F1082" s="47" t="n">
        <x:v>-0.19107703440821538</x:v>
      </x:c>
      <x:c r="G1082" s="47" t="n">
        <x:v>-0.08535376948005194</x:v>
      </x:c>
      <x:c r="H1082" s="47" t="n">
        <x:v>0.5396702254797159</x:v>
      </x:c>
      <x:c r="I1082" s="47" t="n">
        <x:v>1.0064730802203345</x:v>
      </x:c>
      <x:c r="J1082" s="47" t="n">
        <x:v>0.5732484156341838</x:v>
      </x:c>
      <x:c r="K1082" s="47" t="n">
        <x:v>0.9619174806517382</x:v>
      </x:c>
      <x:c r="L1082" s="47" t="n">
        <x:v>0.5942832123378717</x:v>
      </x:c>
      <x:c r="M1082" s="47" t="n">
        <x:v>0.011853320035500143</x:v>
      </x:c>
      <x:c r="N1082" s="47" t="n">
        <x:v>0.7851322008309602</x:v>
      </x:c>
      <x:c r="O1082" s="47" t="n">
        <x:v>0.8806333042249201</x:v>
      </x:c>
      <x:c r="P1082" s="47" t="n">
        <x:v>0.6551500530940342</x:v>
      </x:c>
      <x:c r="Q1082" s="47" t="n">
        <x:v>1</x:v>
      </x:c>
      <x:c r="R1082" s="47" t="n">
        <x:v>0.8526008660915715</x:v>
      </x:c>
      <x:c r="S1082" s="27" t="n">
        <x:v>0</x:v>
      </x:c>
    </x:row>
    <x:row r="1083" ht="21.600000381469727" hidden="0" customHeight="1">
      <x:c r="A1083" s="29" t="n">
        <x:v>360</x:v>
      </x:c>
      <x:c r="B1083" s="29" t="str">
        <x:v>A2</x:v>
      </x:c>
      <x:c r="C1083" s="48" t="n">
        <x:v>1.1487469081348458</x:v>
      </x:c>
      <x:c r="D1083" s="48" t="n">
        <x:v>0.9939194594211593</x:v>
      </x:c>
      <x:c r="E1083" s="48" t="n">
        <x:v>0.9267400286029732</x:v>
      </x:c>
      <x:c r="F1083" s="48" t="n">
        <x:v>-0.19107703440821538</x:v>
      </x:c>
      <x:c r="G1083" s="48" t="n">
        <x:v>-0.08535376948005194</x:v>
      </x:c>
      <x:c r="H1083" s="48" t="n">
        <x:v>0.5396702254797159</x:v>
      </x:c>
      <x:c r="I1083" s="48" t="n">
        <x:v>1.0064730802203345</x:v>
      </x:c>
      <x:c r="J1083" s="48" t="n">
        <x:v>0.5732484156341838</x:v>
      </x:c>
      <x:c r="K1083" s="48" t="n">
        <x:v>0.9619174806517382</x:v>
      </x:c>
      <x:c r="L1083" s="48" t="n">
        <x:v>0.5942832123378717</x:v>
      </x:c>
      <x:c r="M1083" s="48" t="n">
        <x:v>0.011853320035500143</x:v>
      </x:c>
      <x:c r="N1083" s="48" t="n">
        <x:v>0.7851322008309602</x:v>
      </x:c>
      <x:c r="O1083" s="48" t="n">
        <x:v>0.9829144027837283</x:v>
      </x:c>
      <x:c r="P1083" s="48" t="n">
        <x:v>0.8880700944363736</x:v>
      </x:c>
      <x:c r="Q1083" s="48" t="n">
        <x:v>1</x:v>
      </x:c>
      <x:c r="R1083" s="48" t="n">
        <x:v>0.9789019691327298</x:v>
      </x:c>
      <x:c r="S1083" s="29" t="n">
        <x:v>0</x:v>
      </x:c>
    </x:row>
    <x:row r="1084" ht="21.600000381469727" hidden="0" customHeight="1">
      <x:c r="A1084" s="27" t="n">
        <x:v>360</x:v>
      </x:c>
      <x:c r="B1084" s="27" t="str">
        <x:v>A3</x:v>
      </x:c>
      <x:c r="C1084" s="47" t="n">
        <x:v>1.1487469081348458</x:v>
      </x:c>
      <x:c r="D1084" s="47" t="n">
        <x:v>0.9939194594211593</x:v>
      </x:c>
      <x:c r="E1084" s="47" t="n">
        <x:v>0.9267400286029732</x:v>
      </x:c>
      <x:c r="F1084" s="47" t="n">
        <x:v>-0.19107703440821538</x:v>
      </x:c>
      <x:c r="G1084" s="47" t="n">
        <x:v>-0.08535376948005194</x:v>
      </x:c>
      <x:c r="H1084" s="47" t="n">
        <x:v>0.5396702254797159</x:v>
      </x:c>
      <x:c r="I1084" s="47" t="n">
        <x:v>1.0064730802203345</x:v>
      </x:c>
      <x:c r="J1084" s="47" t="n">
        <x:v>0.5732484156341838</x:v>
      </x:c>
      <x:c r="K1084" s="47" t="n">
        <x:v>0.9619174806517382</x:v>
      </x:c>
      <x:c r="L1084" s="47" t="n">
        <x:v>0.5942832123378717</x:v>
      </x:c>
      <x:c r="M1084" s="47" t="n">
        <x:v>0.011853320035500143</x:v>
      </x:c>
      <x:c r="N1084" s="47" t="n">
        <x:v>0.7851322008309602</x:v>
      </x:c>
      <x:c r="O1084" s="47" t="n">
        <x:v>1</x:v>
      </x:c>
      <x:c r="P1084" s="47" t="n">
        <x:v>1</x:v>
      </x:c>
      <x:c r="Q1084" s="47" t="n">
        <x:v>1</x:v>
      </x:c>
      <x:c r="R1084" s="47" t="n">
        <x:v>1</x:v>
      </x:c>
      <x:c r="S1084" s="27" t="n">
        <x:v>1</x:v>
      </x:c>
    </x:row>
    <x:row r="1085" ht="21.600000381469727" hidden="0" customHeight="1">
      <x:c r="A1085" s="29" t="n">
        <x:v>361</x:v>
      </x:c>
      <x:c r="B1085" s="29" t="str">
        <x:v>A1</x:v>
      </x:c>
      <x:c r="C1085" s="48" t="n">
        <x:v>1.0242404783296362</x:v>
      </x:c>
      <x:c r="D1085" s="48" t="n">
        <x:v>0.8514206672539786</x:v>
      </x:c>
      <x:c r="E1085" s="48" t="n">
        <x:v>1.0773326648519348</x:v>
      </x:c>
      <x:c r="F1085" s="48" t="n">
        <x:v>0.03757580302548286</x:v>
      </x:c>
      <x:c r="G1085" s="48" t="n">
        <x:v>-0.10167562056852239</x:v>
      </x:c>
      <x:c r="H1085" s="48" t="n">
        <x:v>0.9682196751312797</x:v>
      </x:c>
      <x:c r="I1085" s="48" t="n">
        <x:v>0.8913771464199478</x:v>
      </x:c>
      <x:c r="J1085" s="48" t="n">
        <x:v>0.7921967123097831</x:v>
      </x:c>
      <x:c r="K1085" s="48" t="n">
        <x:v>0.738682363160489</x:v>
      </x:c>
      <x:c r="L1085" s="48" t="n">
        <x:v>0.8399291039648915</x:v>
      </x:c>
      <x:c r="M1085" s="48" t="n">
        <x:v>0.04548100350330037</x:v>
      </x:c>
      <x:c r="N1085" s="48" t="n">
        <x:v>0.7151553299363471</x:v>
      </x:c>
      <x:c r="O1085" s="48" t="n">
        <x:v>0.9403322731651688</x:v>
      </x:c>
      <x:c r="P1085" s="48" t="n">
        <x:v>0.7140355563666402</x:v>
      </x:c>
      <x:c r="Q1085" s="48" t="n">
        <x:v>1</x:v>
      </x:c>
      <x:c r="R1085" s="48" t="n">
        <x:v>0.9263197225940558</x:v>
      </x:c>
      <x:c r="S1085" s="29" t="n">
        <x:v>0</x:v>
      </x:c>
    </x:row>
    <x:row r="1086" ht="21.600000381469727" hidden="0" customHeight="1">
      <x:c r="A1086" s="27" t="n">
        <x:v>361</x:v>
      </x:c>
      <x:c r="B1086" s="27" t="str">
        <x:v>A2</x:v>
      </x:c>
      <x:c r="C1086" s="47" t="n">
        <x:v>1.0242404783296362</x:v>
      </x:c>
      <x:c r="D1086" s="47" t="n">
        <x:v>0.8514206672539786</x:v>
      </x:c>
      <x:c r="E1086" s="47" t="n">
        <x:v>1.0773326648519348</x:v>
      </x:c>
      <x:c r="F1086" s="47" t="n">
        <x:v>0.03757580302548286</x:v>
      </x:c>
      <x:c r="G1086" s="47" t="n">
        <x:v>-0.10167562056852239</x:v>
      </x:c>
      <x:c r="H1086" s="47" t="n">
        <x:v>0.9682196751312797</x:v>
      </x:c>
      <x:c r="I1086" s="47" t="n">
        <x:v>0.8913771464199478</x:v>
      </x:c>
      <x:c r="J1086" s="47" t="n">
        <x:v>0.7921967123097831</x:v>
      </x:c>
      <x:c r="K1086" s="47" t="n">
        <x:v>0.738682363160489</x:v>
      </x:c>
      <x:c r="L1086" s="47" t="n">
        <x:v>0.8399291039648915</x:v>
      </x:c>
      <x:c r="M1086" s="47" t="n">
        <x:v>0.04548100350330037</x:v>
      </x:c>
      <x:c r="N1086" s="47" t="n">
        <x:v>0.7151553299363471</x:v>
      </x:c>
      <x:c r="O1086" s="47" t="n">
        <x:v>0.9896530864791511</x:v>
      </x:c>
      <x:c r="P1086" s="47" t="n">
        <x:v>0.8965308647915096</x:v>
      </x:c>
      <x:c r="Q1086" s="47" t="n">
        <x:v>1</x:v>
      </x:c>
      <x:c r="R1086" s="47" t="n">
        <x:v>0.9872231858166509</x:v>
      </x:c>
      <x:c r="S1086" s="27" t="n">
        <x:v>0</x:v>
      </x:c>
    </x:row>
    <x:row r="1087" ht="21.600000381469727" hidden="0" customHeight="1">
      <x:c r="A1087" s="29" t="n">
        <x:v>361</x:v>
      </x:c>
      <x:c r="B1087" s="29" t="str">
        <x:v>A3</x:v>
      </x:c>
      <x:c r="C1087" s="48" t="n">
        <x:v>1.0242404783296362</x:v>
      </x:c>
      <x:c r="D1087" s="48" t="n">
        <x:v>0.8514206672539786</x:v>
      </x:c>
      <x:c r="E1087" s="48" t="n">
        <x:v>1.0773326648519348</x:v>
      </x:c>
      <x:c r="F1087" s="48" t="n">
        <x:v>0.03757580302548286</x:v>
      </x:c>
      <x:c r="G1087" s="48" t="n">
        <x:v>-0.10167562056852239</x:v>
      </x:c>
      <x:c r="H1087" s="48" t="n">
        <x:v>0.9682196751312797</x:v>
      </x:c>
      <x:c r="I1087" s="48" t="n">
        <x:v>0.8913771464199478</x:v>
      </x:c>
      <x:c r="J1087" s="48" t="n">
        <x:v>0.7921967123097831</x:v>
      </x:c>
      <x:c r="K1087" s="48" t="n">
        <x:v>0.738682363160489</x:v>
      </x:c>
      <x:c r="L1087" s="48" t="n">
        <x:v>0.8399291039648915</x:v>
      </x:c>
      <x:c r="M1087" s="48" t="n">
        <x:v>0.04548100350330037</x:v>
      </x:c>
      <x:c r="N1087" s="48" t="n">
        <x:v>0.7151553299363471</x:v>
      </x:c>
      <x:c r="O1087" s="48" t="n">
        <x:v>1</x:v>
      </x:c>
      <x:c r="P1087" s="48" t="n">
        <x:v>1</x:v>
      </x:c>
      <x:c r="Q1087" s="48" t="n">
        <x:v>1</x:v>
      </x:c>
      <x:c r="R1087" s="48" t="n">
        <x:v>1</x:v>
      </x:c>
      <x:c r="S1087" s="29" t="n">
        <x:v>1</x:v>
      </x:c>
    </x:row>
    <x:row r="1088" ht="15" hidden="0" customHeight="1">
      <x:c r="A1088" s="27" t="n">
        <x:v>362</x:v>
      </x:c>
      <x:c r="B1088" s="27" t="str">
        <x:v>A1</x:v>
      </x:c>
      <x:c r="C1088" s="47" t="n">
        <x:v>1.0381519049144075</x:v>
      </x:c>
      <x:c r="D1088" s="47" t="n">
        <x:v>0.9733828866298366</x:v>
      </x:c>
      <x:c r="E1088" s="47" t="n">
        <x:v>0.5748951641531923</x:v>
      </x:c>
      <x:c r="F1088" s="47" t="n">
        <x:v>-0.18132957030631217</x:v>
      </x:c>
      <x:c r="G1088" s="47" t="n">
        <x:v>0.01500977701690559</x:v>
      </x:c>
      <x:c r="H1088" s="47" t="n">
        <x:v>0.5356480603232081</x:v>
      </x:c>
      <x:c r="I1088" s="47" t="n">
        <x:v>0.6206692042249032</x:v>
      </x:c>
      <x:c r="J1088" s="47" t="n">
        <x:v>0.4804064939482219</x:v>
      </x:c>
      <x:c r="K1088" s="47" t="n">
        <x:v>0.7527640097234709</x:v>
      </x:c>
      <x:c r="L1088" s="47" t="n">
        <x:v>0.7681586053079912</x:v>
      </x:c>
      <x:c r="M1088" s="47" t="n">
        <x:v>0.13951158468232633</x:v>
      </x:c>
      <x:c r="N1088" s="47" t="n">
        <x:v>0.869581957784773</x:v>
      </x:c>
      <x:c r="O1088" s="47" t="n">
        <x:v>0.8667429883417889</x:v>
      </x:c>
      <x:c r="P1088" s="47" t="n">
        <x:v>0.5755634142160914</x:v>
      </x:c>
      <x:c r="Q1088" s="47" t="n">
        <x:v>1</x:v>
      </x:c>
      <x:c r="R1088" s="47" t="n">
        <x:v>0.8354485061506886</x:v>
      </x:c>
      <x:c r="S1088" s="27" t="n">
        <x:v>0</x:v>
      </x:c>
    </x:row>
    <x:row r="1089" ht="15" hidden="0" customHeight="1">
      <x:c r="A1089" s="29" t="n">
        <x:v>362</x:v>
      </x:c>
      <x:c r="B1089" s="29" t="str">
        <x:v>A2</x:v>
      </x:c>
      <x:c r="C1089" s="48" t="n">
        <x:v>1.0381519049144075</x:v>
      </x:c>
      <x:c r="D1089" s="48" t="n">
        <x:v>0.9733828866298366</x:v>
      </x:c>
      <x:c r="E1089" s="48" t="n">
        <x:v>0.5748951641531923</x:v>
      </x:c>
      <x:c r="F1089" s="48" t="n">
        <x:v>-0.18132957030631217</x:v>
      </x:c>
      <x:c r="G1089" s="48" t="n">
        <x:v>0.01500977701690559</x:v>
      </x:c>
      <x:c r="H1089" s="48" t="n">
        <x:v>0.5356480603232081</x:v>
      </x:c>
      <x:c r="I1089" s="48" t="n">
        <x:v>0.6206692042249032</x:v>
      </x:c>
      <x:c r="J1089" s="48" t="n">
        <x:v>0.4804064939482219</x:v>
      </x:c>
      <x:c r="K1089" s="48" t="n">
        <x:v>0.7527640097234709</x:v>
      </x:c>
      <x:c r="L1089" s="48" t="n">
        <x:v>0.7681586053079912</x:v>
      </x:c>
      <x:c r="M1089" s="48" t="n">
        <x:v>0.13951158468232633</x:v>
      </x:c>
      <x:c r="N1089" s="48" t="n">
        <x:v>0.869581957784773</x:v>
      </x:c>
      <x:c r="O1089" s="48" t="n">
        <x:v>0.9400052006738278</x:v>
      </x:c>
      <x:c r="P1089" s="48" t="n">
        <x:v>0.7745782974368579</x:v>
      </x:c>
      <x:c r="Q1089" s="48" t="n">
        <x:v>1</x:v>
      </x:c>
      <x:c r="R1089" s="48" t="n">
        <x:v>0.9259158394033895</x:v>
      </x:c>
      <x:c r="S1089" s="29" t="n">
        <x:v>0</x:v>
      </x:c>
    </x:row>
    <x:row r="1090" ht="15" hidden="0" customHeight="1">
      <x:c r="A1090" s="27" t="n">
        <x:v>362</x:v>
      </x:c>
      <x:c r="B1090" s="27" t="str">
        <x:v>A3</x:v>
      </x:c>
      <x:c r="C1090" s="47" t="n">
        <x:v>1.0381519049144075</x:v>
      </x:c>
      <x:c r="D1090" s="47" t="n">
        <x:v>0.9733828866298366</x:v>
      </x:c>
      <x:c r="E1090" s="47" t="n">
        <x:v>0.5748951641531923</x:v>
      </x:c>
      <x:c r="F1090" s="47" t="n">
        <x:v>-0.18132957030631217</x:v>
      </x:c>
      <x:c r="G1090" s="47" t="n">
        <x:v>0.01500977701690559</x:v>
      </x:c>
      <x:c r="H1090" s="47" t="n">
        <x:v>0.5356480603232081</x:v>
      </x:c>
      <x:c r="I1090" s="47" t="n">
        <x:v>0.6206692042249032</x:v>
      </x:c>
      <x:c r="J1090" s="47" t="n">
        <x:v>0.4804064939482219</x:v>
      </x:c>
      <x:c r="K1090" s="47" t="n">
        <x:v>0.7527640097234709</x:v>
      </x:c>
      <x:c r="L1090" s="47" t="n">
        <x:v>0.7681586053079912</x:v>
      </x:c>
      <x:c r="M1090" s="47" t="n">
        <x:v>0.13951158468232633</x:v>
      </x:c>
      <x:c r="N1090" s="47" t="n">
        <x:v>0.869581957784773</x:v>
      </x:c>
      <x:c r="O1090" s="47" t="n">
        <x:v>1</x:v>
      </x:c>
      <x:c r="P1090" s="47" t="n">
        <x:v>1</x:v>
      </x:c>
      <x:c r="Q1090" s="47" t="n">
        <x:v>1</x:v>
      </x:c>
      <x:c r="R1090" s="47" t="n">
        <x:v>1</x:v>
      </x:c>
      <x:c r="S1090" s="27" t="n">
        <x:v>1</x:v>
      </x:c>
    </x:row>
    <x:row r="1091" ht="21.600000381469727" hidden="0" customHeight="1">
      <x:c r="A1091" s="29" t="n">
        <x:v>363</x:v>
      </x:c>
      <x:c r="B1091" s="29" t="str">
        <x:v>A1</x:v>
      </x:c>
      <x:c r="C1091" s="48" t="n">
        <x:v>1.0669402055857364</x:v>
      </x:c>
      <x:c r="D1091" s="48" t="n">
        <x:v>0.7363362106747053</x:v>
      </x:c>
      <x:c r="E1091" s="48" t="n">
        <x:v>0.5043623302908338</x:v>
      </x:c>
      <x:c r="F1091" s="48" t="n">
        <x:v>-0.02493877791058935</x:v>
      </x:c>
      <x:c r="G1091" s="48" t="n">
        <x:v>-0.0028726375354392597</x:v>
      </x:c>
      <x:c r="H1091" s="48" t="n">
        <x:v>0.4205235650971794</x:v>
      </x:c>
      <x:c r="I1091" s="48" t="n">
        <x:v>0.7679077392444666</x:v>
      </x:c>
      <x:c r="J1091" s="48" t="n">
        <x:v>0.9203981307075878</x:v>
      </x:c>
      <x:c r="K1091" s="48" t="n">
        <x:v>0.6885870730135635</x:v>
      </x:c>
      <x:c r="L1091" s="48" t="n">
        <x:v>0.8320646065018291</x:v>
      </x:c>
      <x:c r="M1091" s="48" t="n">
        <x:v>0.041975831037210094</x:v>
      </x:c>
      <x:c r="N1091" s="48" t="n">
        <x:v>0.7744835940406094</x:v>
      </x:c>
      <x:c r="O1091" s="48" t="n">
        <x:v>0.7968559511932658</x:v>
      </x:c>
      <x:c r="P1091" s="48" t="n">
        <x:v>0.43588879569039035</x:v>
      </x:c>
      <x:c r="Q1091" s="48" t="n">
        <x:v>1</x:v>
      </x:c>
      <x:c r="R1091" s="48" t="n">
        <x:v>0.7491489844940872</x:v>
      </x:c>
      <x:c r="S1091" s="29" t="n">
        <x:v>0</x:v>
      </x:c>
    </x:row>
    <x:row r="1092" ht="21.600000381469727" hidden="0" customHeight="1">
      <x:c r="A1092" s="27" t="n">
        <x:v>363</x:v>
      </x:c>
      <x:c r="B1092" s="27" t="str">
        <x:v>A2</x:v>
      </x:c>
      <x:c r="C1092" s="47" t="n">
        <x:v>1.0669402055857364</x:v>
      </x:c>
      <x:c r="D1092" s="47" t="n">
        <x:v>0.7363362106747053</x:v>
      </x:c>
      <x:c r="E1092" s="47" t="n">
        <x:v>0.5043623302908338</x:v>
      </x:c>
      <x:c r="F1092" s="47" t="n">
        <x:v>-0.02493877791058935</x:v>
      </x:c>
      <x:c r="G1092" s="47" t="n">
        <x:v>-0.0028726375354392597</x:v>
      </x:c>
      <x:c r="H1092" s="47" t="n">
        <x:v>0.4205235650971794</x:v>
      </x:c>
      <x:c r="I1092" s="47" t="n">
        <x:v>0.7679077392444666</x:v>
      </x:c>
      <x:c r="J1092" s="47" t="n">
        <x:v>0.9203981307075878</x:v>
      </x:c>
      <x:c r="K1092" s="47" t="n">
        <x:v>0.6885870730135635</x:v>
      </x:c>
      <x:c r="L1092" s="47" t="n">
        <x:v>0.8320646065018291</x:v>
      </x:c>
      <x:c r="M1092" s="47" t="n">
        <x:v>0.041975831037210094</x:v>
      </x:c>
      <x:c r="N1092" s="47" t="n">
        <x:v>0.7744835940406094</x:v>
      </x:c>
      <x:c r="O1092" s="47" t="n">
        <x:v>0.8763617499397788</x:v>
      </x:c>
      <x:c r="P1092" s="47" t="n">
        <x:v>0.47069839572603517</x:v>
      </x:c>
      <x:c r="Q1092" s="47" t="n">
        <x:v>1</x:v>
      </x:c>
      <x:c r="R1092" s="47" t="n">
        <x:v>0.8473261669974536</x:v>
      </x:c>
      <x:c r="S1092" s="27" t="n">
        <x:v>0</x:v>
      </x:c>
    </x:row>
    <x:row r="1093" ht="21.600000381469727" hidden="0" customHeight="1">
      <x:c r="A1093" s="29" t="n">
        <x:v>363</x:v>
      </x:c>
      <x:c r="B1093" s="29" t="str">
        <x:v>A3</x:v>
      </x:c>
      <x:c r="C1093" s="48" t="n">
        <x:v>1.0669402055857364</x:v>
      </x:c>
      <x:c r="D1093" s="48" t="n">
        <x:v>0.7363362106747053</x:v>
      </x:c>
      <x:c r="E1093" s="48" t="n">
        <x:v>0.5043623302908338</x:v>
      </x:c>
      <x:c r="F1093" s="48" t="n">
        <x:v>-0.02493877791058935</x:v>
      </x:c>
      <x:c r="G1093" s="48" t="n">
        <x:v>-0.0028726375354392597</x:v>
      </x:c>
      <x:c r="H1093" s="48" t="n">
        <x:v>0.4205235650971794</x:v>
      </x:c>
      <x:c r="I1093" s="48" t="n">
        <x:v>0.7679077392444666</x:v>
      </x:c>
      <x:c r="J1093" s="48" t="n">
        <x:v>0.9203981307075878</x:v>
      </x:c>
      <x:c r="K1093" s="48" t="n">
        <x:v>0.6885870730135635</x:v>
      </x:c>
      <x:c r="L1093" s="48" t="n">
        <x:v>0.8320646065018291</x:v>
      </x:c>
      <x:c r="M1093" s="48" t="n">
        <x:v>0.041975831037210094</x:v>
      </x:c>
      <x:c r="N1093" s="48" t="n">
        <x:v>0.7744835940406094</x:v>
      </x:c>
      <x:c r="O1093" s="48" t="n">
        <x:v>1</x:v>
      </x:c>
      <x:c r="P1093" s="48" t="n">
        <x:v>1</x:v>
      </x:c>
      <x:c r="Q1093" s="48" t="n">
        <x:v>1</x:v>
      </x:c>
      <x:c r="R1093" s="48" t="n">
        <x:v>1</x:v>
      </x:c>
      <x:c r="S1093" s="29" t="n">
        <x:v>1</x:v>
      </x:c>
    </x:row>
    <x:row r="1094" ht="21.600000381469727" hidden="0" customHeight="1">
      <x:c r="A1094" s="27" t="n">
        <x:v>364</x:v>
      </x:c>
      <x:c r="B1094" s="27" t="str">
        <x:v>A1</x:v>
      </x:c>
      <x:c r="C1094" s="47" t="n">
        <x:v>0.9758147805956471</x:v>
      </x:c>
      <x:c r="D1094" s="47" t="n">
        <x:v>0.9680922998933785</x:v>
      </x:c>
      <x:c r="E1094" s="47" t="n">
        <x:v>0.5259433787421031</x:v>
      </x:c>
      <x:c r="F1094" s="47" t="n">
        <x:v>0.027055627345143052</x:v>
      </x:c>
      <x:c r="G1094" s="47" t="n">
        <x:v>-0.15637809494131236</x:v>
      </x:c>
      <x:c r="H1094" s="47" t="n">
        <x:v>0.5740819809242321</x:v>
      </x:c>
      <x:c r="I1094" s="47" t="n">
        <x:v>0.8109382808599674</x:v>
      </x:c>
      <x:c r="J1094" s="47" t="n">
        <x:v>0.4702617503996838</x:v>
      </x:c>
      <x:c r="K1094" s="47" t="n">
        <x:v>0.5522997153837147</x:v>
      </x:c>
      <x:c r="L1094" s="47" t="n">
        <x:v>0.6173054746418581</x:v>
      </x:c>
      <x:c r="M1094" s="47" t="n">
        <x:v>0.027712455350534834</x:v>
      </x:c>
      <x:c r="N1094" s="47" t="n">
        <x:v>0.6937139473741998</x:v>
      </x:c>
      <x:c r="O1094" s="47" t="n">
        <x:v>0.8963790892907119</x:v>
      </x:c>
      <x:c r="P1094" s="47" t="n">
        <x:v>0.7119527929318556</x:v>
      </x:c>
      <x:c r="Q1094" s="47" t="n">
        <x:v>1</x:v>
      </x:c>
      <x:c r="R1094" s="47" t="n">
        <x:v>0.8720444392451691</x:v>
      </x:c>
      <x:c r="S1094" s="27" t="n">
        <x:v>0</x:v>
      </x:c>
    </x:row>
    <x:row r="1095" ht="21.600000381469727" hidden="0" customHeight="1">
      <x:c r="A1095" s="29" t="n">
        <x:v>364</x:v>
      </x:c>
      <x:c r="B1095" s="29" t="str">
        <x:v>A2</x:v>
      </x:c>
      <x:c r="C1095" s="48" t="n">
        <x:v>0.9758147805956471</x:v>
      </x:c>
      <x:c r="D1095" s="48" t="n">
        <x:v>0.9680922998933785</x:v>
      </x:c>
      <x:c r="E1095" s="48" t="n">
        <x:v>0.5259433787421031</x:v>
      </x:c>
      <x:c r="F1095" s="48" t="n">
        <x:v>0.027055627345143052</x:v>
      </x:c>
      <x:c r="G1095" s="48" t="n">
        <x:v>-0.15637809494131236</x:v>
      </x:c>
      <x:c r="H1095" s="48" t="n">
        <x:v>0.5740819809242321</x:v>
      </x:c>
      <x:c r="I1095" s="48" t="n">
        <x:v>0.8109382808599674</x:v>
      </x:c>
      <x:c r="J1095" s="48" t="n">
        <x:v>0.4702617503996838</x:v>
      </x:c>
      <x:c r="K1095" s="48" t="n">
        <x:v>0.5522997153837147</x:v>
      </x:c>
      <x:c r="L1095" s="48" t="n">
        <x:v>0.6173054746418581</x:v>
      </x:c>
      <x:c r="M1095" s="48" t="n">
        <x:v>0.027712455350534834</x:v>
      </x:c>
      <x:c r="N1095" s="48" t="n">
        <x:v>0.6937139473741998</x:v>
      </x:c>
      <x:c r="O1095" s="48" t="n">
        <x:v>0.9745996132892016</x:v>
      </x:c>
      <x:c r="P1095" s="48" t="n">
        <x:v>0.8295947379034391</x:v>
      </x:c>
      <x:c r="Q1095" s="48" t="n">
        <x:v>1</x:v>
      </x:c>
      <x:c r="R1095" s="48" t="n">
        <x:v>0.968634509166899</x:v>
      </x:c>
      <x:c r="S1095" s="29" t="n">
        <x:v>0</x:v>
      </x:c>
    </x:row>
    <x:row r="1096" ht="21.600000381469727" hidden="0" customHeight="1">
      <x:c r="A1096" s="27" t="n">
        <x:v>364</x:v>
      </x:c>
      <x:c r="B1096" s="27" t="str">
        <x:v>A3</x:v>
      </x:c>
      <x:c r="C1096" s="47" t="n">
        <x:v>0.9758147805956471</x:v>
      </x:c>
      <x:c r="D1096" s="47" t="n">
        <x:v>0.9680922998933785</x:v>
      </x:c>
      <x:c r="E1096" s="47" t="n">
        <x:v>0.5259433787421031</x:v>
      </x:c>
      <x:c r="F1096" s="47" t="n">
        <x:v>0.027055627345143052</x:v>
      </x:c>
      <x:c r="G1096" s="47" t="n">
        <x:v>-0.15637809494131236</x:v>
      </x:c>
      <x:c r="H1096" s="47" t="n">
        <x:v>0.5740819809242321</x:v>
      </x:c>
      <x:c r="I1096" s="47" t="n">
        <x:v>0.8109382808599674</x:v>
      </x:c>
      <x:c r="J1096" s="47" t="n">
        <x:v>0.4702617503996838</x:v>
      </x:c>
      <x:c r="K1096" s="47" t="n">
        <x:v>0.5522997153837147</x:v>
      </x:c>
      <x:c r="L1096" s="47" t="n">
        <x:v>0.6173054746418581</x:v>
      </x:c>
      <x:c r="M1096" s="47" t="n">
        <x:v>0.027712455350534834</x:v>
      </x:c>
      <x:c r="N1096" s="47" t="n">
        <x:v>0.6937139473741998</x:v>
      </x:c>
      <x:c r="O1096" s="47" t="n">
        <x:v>1</x:v>
      </x:c>
      <x:c r="P1096" s="47" t="n">
        <x:v>1</x:v>
      </x:c>
      <x:c r="Q1096" s="47" t="n">
        <x:v>1</x:v>
      </x:c>
      <x:c r="R1096" s="47" t="n">
        <x:v>1</x:v>
      </x:c>
      <x:c r="S1096" s="27" t="n">
        <x:v>1</x:v>
      </x:c>
    </x:row>
    <x:row r="1097" ht="21.600000381469727" hidden="0" customHeight="1">
      <x:c r="A1097" s="29" t="n">
        <x:v>365</x:v>
      </x:c>
      <x:c r="B1097" s="29" t="str">
        <x:v>A1</x:v>
      </x:c>
      <x:c r="C1097" s="48" t="n">
        <x:v>1.268062996251572</x:v>
      </x:c>
      <x:c r="D1097" s="48" t="n">
        <x:v>0.8977481610260474</x:v>
      </x:c>
      <x:c r="E1097" s="48" t="n">
        <x:v>0.8566192199095143</x:v>
      </x:c>
      <x:c r="F1097" s="48" t="n">
        <x:v>-0.037943154127999396</x:v>
      </x:c>
      <x:c r="G1097" s="48" t="n">
        <x:v>-0.07899395562266363</x:v>
      </x:c>
      <x:c r="H1097" s="48" t="n">
        <x:v>0.870955965103587</x:v>
      </x:c>
      <x:c r="I1097" s="48" t="n">
        <x:v>0.9265457427927148</x:v>
      </x:c>
      <x:c r="J1097" s="48" t="n">
        <x:v>0.47462984164684396</x:v>
      </x:c>
      <x:c r="K1097" s="48" t="n">
        <x:v>0.5823133418132016</x:v>
      </x:c>
      <x:c r="L1097" s="48" t="n">
        <x:v>0.801974675811064</x:v>
      </x:c>
      <x:c r="M1097" s="48" t="n">
        <x:v>0.008098537854786262</x:v>
      </x:c>
      <x:c r="N1097" s="48" t="n">
        <x:v>0.8168950496101579</x:v>
      </x:c>
      <x:c r="O1097" s="48" t="n">
        <x:v>0.8065734701874402</x:v>
      </x:c>
      <x:c r="P1097" s="48" t="n">
        <x:v>0.5389411968163739</x:v>
      </x:c>
      <x:c r="Q1097" s="48" t="n">
        <x:v>1</x:v>
      </x:c>
      <x:c r="R1097" s="48" t="n">
        <x:v>0.7611485952245287</x:v>
      </x:c>
      <x:c r="S1097" s="29" t="n">
        <x:v>0</x:v>
      </x:c>
    </x:row>
    <x:row r="1098" ht="21.600000381469727" hidden="0" customHeight="1">
      <x:c r="A1098" s="27" t="n">
        <x:v>365</x:v>
      </x:c>
      <x:c r="B1098" s="27" t="str">
        <x:v>A2</x:v>
      </x:c>
      <x:c r="C1098" s="47" t="n">
        <x:v>1.268062996251572</x:v>
      </x:c>
      <x:c r="D1098" s="47" t="n">
        <x:v>0.8977481610260474</x:v>
      </x:c>
      <x:c r="E1098" s="47" t="n">
        <x:v>0.8566192199095143</x:v>
      </x:c>
      <x:c r="F1098" s="47" t="n">
        <x:v>-0.037943154127999396</x:v>
      </x:c>
      <x:c r="G1098" s="47" t="n">
        <x:v>-0.07899395562266363</x:v>
      </x:c>
      <x:c r="H1098" s="47" t="n">
        <x:v>0.870955965103587</x:v>
      </x:c>
      <x:c r="I1098" s="47" t="n">
        <x:v>0.9265457427927148</x:v>
      </x:c>
      <x:c r="J1098" s="47" t="n">
        <x:v>0.47462984164684396</x:v>
      </x:c>
      <x:c r="K1098" s="47" t="n">
        <x:v>0.5823133418132016</x:v>
      </x:c>
      <x:c r="L1098" s="47" t="n">
        <x:v>0.801974675811064</x:v>
      </x:c>
      <x:c r="M1098" s="47" t="n">
        <x:v>0.008098537854786262</x:v>
      </x:c>
      <x:c r="N1098" s="47" t="n">
        <x:v>0.8168950496101579</x:v>
      </x:c>
      <x:c r="O1098" s="47" t="n">
        <x:v>0.8897497286279537</x:v>
      </x:c>
      <x:c r="P1098" s="47" t="n">
        <x:v>0.6702322619794884</x:v>
      </x:c>
      <x:c r="Q1098" s="47" t="n">
        <x:v>1</x:v>
      </x:c>
      <x:c r="R1098" s="47" t="n">
        <x:v>0.8638582193476323</x:v>
      </x:c>
      <x:c r="S1098" s="27" t="n">
        <x:v>0</x:v>
      </x:c>
    </x:row>
    <x:row r="1099" ht="21.600000381469727" hidden="0" customHeight="1">
      <x:c r="A1099" s="29" t="n">
        <x:v>365</x:v>
      </x:c>
      <x:c r="B1099" s="29" t="str">
        <x:v>A3</x:v>
      </x:c>
      <x:c r="C1099" s="48" t="n">
        <x:v>1.268062996251572</x:v>
      </x:c>
      <x:c r="D1099" s="48" t="n">
        <x:v>0.8977481610260474</x:v>
      </x:c>
      <x:c r="E1099" s="48" t="n">
        <x:v>0.8566192199095143</x:v>
      </x:c>
      <x:c r="F1099" s="48" t="n">
        <x:v>-0.037943154127999396</x:v>
      </x:c>
      <x:c r="G1099" s="48" t="n">
        <x:v>-0.07899395562266363</x:v>
      </x:c>
      <x:c r="H1099" s="48" t="n">
        <x:v>0.870955965103587</x:v>
      </x:c>
      <x:c r="I1099" s="48" t="n">
        <x:v>0.9265457427927148</x:v>
      </x:c>
      <x:c r="J1099" s="48" t="n">
        <x:v>0.47462984164684396</x:v>
      </x:c>
      <x:c r="K1099" s="48" t="n">
        <x:v>0.5823133418132016</x:v>
      </x:c>
      <x:c r="L1099" s="48" t="n">
        <x:v>0.801974675811064</x:v>
      </x:c>
      <x:c r="M1099" s="48" t="n">
        <x:v>0.008098537854786262</x:v>
      </x:c>
      <x:c r="N1099" s="48" t="n">
        <x:v>0.8168950496101579</x:v>
      </x:c>
      <x:c r="O1099" s="48" t="n">
        <x:v>1</x:v>
      </x:c>
      <x:c r="P1099" s="48" t="n">
        <x:v>1</x:v>
      </x:c>
      <x:c r="Q1099" s="48" t="n">
        <x:v>1</x:v>
      </x:c>
      <x:c r="R1099" s="48" t="n">
        <x:v>1</x:v>
      </x:c>
      <x:c r="S1099" s="29" t="n">
        <x:v>1</x:v>
      </x:c>
    </x:row>
    <x:row r="1100" ht="21.600000381469727" hidden="0" customHeight="1">
      <x:c r="A1100" s="27" t="n">
        <x:v>366</x:v>
      </x:c>
      <x:c r="B1100" s="27" t="str">
        <x:v>A1</x:v>
      </x:c>
      <x:c r="C1100" s="47" t="n">
        <x:v>1.2313026564425045</x:v>
      </x:c>
      <x:c r="D1100" s="47" t="n">
        <x:v>0.9429730817312965</x:v>
      </x:c>
      <x:c r="E1100" s="47" t="n">
        <x:v>0.7848869091237487</x:v>
      </x:c>
      <x:c r="F1100" s="47" t="n">
        <x:v>-0.08216349545882089</x:v>
      </x:c>
      <x:c r="G1100" s="47" t="n">
        <x:v>-0.1340585995237474</x:v>
      </x:c>
      <x:c r="H1100" s="47" t="n">
        <x:v>0.5927102636374418</x:v>
      </x:c>
      <x:c r="I1100" s="47" t="n">
        <x:v>1.0014915328604825</x:v>
      </x:c>
      <x:c r="J1100" s="47" t="n">
        <x:v>0.6926714670273425</x:v>
      </x:c>
      <x:c r="K1100" s="47" t="n">
        <x:v>0.7944669638909958</x:v>
      </x:c>
      <x:c r="L1100" s="47" t="n">
        <x:v>0.8821229661958045</x:v>
      </x:c>
      <x:c r="M1100" s="47" t="n">
        <x:v>0.12922790921639557</x:v>
      </x:c>
      <x:c r="N1100" s="47" t="n">
        <x:v>0.8424350065439393</x:v>
      </x:c>
      <x:c r="O1100" s="47" t="n">
        <x:v>0.8497278015222302</x:v>
      </x:c>
      <x:c r="P1100" s="47" t="n">
        <x:v>0.5585926759642985</x:v>
      </x:c>
      <x:c r="Q1100" s="47" t="n">
        <x:v>1</x:v>
      </x:c>
      <x:c r="R1100" s="47" t="n">
        <x:v>0.8144374210719922</x:v>
      </x:c>
      <x:c r="S1100" s="27" t="n">
        <x:v>0</x:v>
      </x:c>
    </x:row>
    <x:row r="1101" ht="21.600000381469727" hidden="0" customHeight="1">
      <x:c r="A1101" s="29" t="n">
        <x:v>366</x:v>
      </x:c>
      <x:c r="B1101" s="29" t="str">
        <x:v>A2</x:v>
      </x:c>
      <x:c r="C1101" s="48" t="n">
        <x:v>1.2313026564425045</x:v>
      </x:c>
      <x:c r="D1101" s="48" t="n">
        <x:v>0.9429730817312965</x:v>
      </x:c>
      <x:c r="E1101" s="48" t="n">
        <x:v>0.7848869091237487</x:v>
      </x:c>
      <x:c r="F1101" s="48" t="n">
        <x:v>-0.08216349545882089</x:v>
      </x:c>
      <x:c r="G1101" s="48" t="n">
        <x:v>-0.1340585995237474</x:v>
      </x:c>
      <x:c r="H1101" s="48" t="n">
        <x:v>0.5927102636374418</x:v>
      </x:c>
      <x:c r="I1101" s="48" t="n">
        <x:v>1.0014915328604825</x:v>
      </x:c>
      <x:c r="J1101" s="48" t="n">
        <x:v>0.6926714670273425</x:v>
      </x:c>
      <x:c r="K1101" s="48" t="n">
        <x:v>0.7944669638909958</x:v>
      </x:c>
      <x:c r="L1101" s="48" t="n">
        <x:v>0.8821229661958045</x:v>
      </x:c>
      <x:c r="M1101" s="48" t="n">
        <x:v>0.12922790921639557</x:v>
      </x:c>
      <x:c r="N1101" s="48" t="n">
        <x:v>0.8424350065439393</x:v>
      </x:c>
      <x:c r="O1101" s="48" t="n">
        <x:v>0.9302170572587347</x:v>
      </x:c>
      <x:c r="P1101" s="48" t="n">
        <x:v>0.6359862851000062</x:v>
      </x:c>
      <x:c r="Q1101" s="48" t="n">
        <x:v>1</x:v>
      </x:c>
      <x:c r="R1101" s="48" t="n">
        <x:v>0.9138290185980724</x:v>
      </x:c>
      <x:c r="S1101" s="29" t="n">
        <x:v>0</x:v>
      </x:c>
    </x:row>
    <x:row r="1102" ht="21.600000381469727" hidden="0" customHeight="1">
      <x:c r="A1102" s="27" t="n">
        <x:v>366</x:v>
      </x:c>
      <x:c r="B1102" s="27" t="str">
        <x:v>A3</x:v>
      </x:c>
      <x:c r="C1102" s="47" t="n">
        <x:v>1.2313026564425045</x:v>
      </x:c>
      <x:c r="D1102" s="47" t="n">
        <x:v>0.9429730817312965</x:v>
      </x:c>
      <x:c r="E1102" s="47" t="n">
        <x:v>0.7848869091237487</x:v>
      </x:c>
      <x:c r="F1102" s="47" t="n">
        <x:v>-0.08216349545882089</x:v>
      </x:c>
      <x:c r="G1102" s="47" t="n">
        <x:v>-0.1340585995237474</x:v>
      </x:c>
      <x:c r="H1102" s="47" t="n">
        <x:v>0.5927102636374418</x:v>
      </x:c>
      <x:c r="I1102" s="47" t="n">
        <x:v>1.0014915328604825</x:v>
      </x:c>
      <x:c r="J1102" s="47" t="n">
        <x:v>0.6926714670273425</x:v>
      </x:c>
      <x:c r="K1102" s="47" t="n">
        <x:v>0.7944669638909958</x:v>
      </x:c>
      <x:c r="L1102" s="47" t="n">
        <x:v>0.8821229661958045</x:v>
      </x:c>
      <x:c r="M1102" s="47" t="n">
        <x:v>0.12922790921639557</x:v>
      </x:c>
      <x:c r="N1102" s="47" t="n">
        <x:v>0.8424350065439393</x:v>
      </x:c>
      <x:c r="O1102" s="47" t="n">
        <x:v>1</x:v>
      </x:c>
      <x:c r="P1102" s="47" t="n">
        <x:v>1</x:v>
      </x:c>
      <x:c r="Q1102" s="47" t="n">
        <x:v>1</x:v>
      </x:c>
      <x:c r="R1102" s="47" t="n">
        <x:v>1</x:v>
      </x:c>
      <x:c r="S1102" s="27" t="n">
        <x:v>1</x:v>
      </x:c>
    </x:row>
    <x:row r="1103" ht="21.600000381469727" hidden="0" customHeight="1">
      <x:c r="A1103" s="29" t="n">
        <x:v>367</x:v>
      </x:c>
      <x:c r="B1103" s="29" t="str">
        <x:v>A1</x:v>
      </x:c>
      <x:c r="C1103" s="48" t="n">
        <x:v>1.2662048800427839</x:v>
      </x:c>
      <x:c r="D1103" s="48" t="n">
        <x:v>0.8327121644867456</x:v>
      </x:c>
      <x:c r="E1103" s="48" t="n">
        <x:v>0.6606155870185829</x:v>
      </x:c>
      <x:c r="F1103" s="48" t="n">
        <x:v>-0.13036302388944085</x:v>
      </x:c>
      <x:c r="G1103" s="48" t="n">
        <x:v>-0.12748520804148078</x:v>
      </x:c>
      <x:c r="H1103" s="48" t="n">
        <x:v>0.46300841062417153</x:v>
      </x:c>
      <x:c r="I1103" s="48" t="n">
        <x:v>0.9383859344845582</x:v>
      </x:c>
      <x:c r="J1103" s="48" t="n">
        <x:v>0.6090765066243085</x:v>
      </x:c>
      <x:c r="K1103" s="48" t="n">
        <x:v>0.5879007072418233</x:v>
      </x:c>
      <x:c r="L1103" s="48" t="n">
        <x:v>0.584265664211655</x:v>
      </x:c>
      <x:c r="M1103" s="48" t="n">
        <x:v>0.03568303378781485</x:v>
      </x:c>
      <x:c r="N1103" s="48" t="n">
        <x:v>0.903919784994446</x:v>
      </x:c>
      <x:c r="O1103" s="48" t="n">
        <x:v>0.7265637500614666</x:v>
      </x:c>
      <x:c r="P1103" s="48" t="n">
        <x:v>0.4347178672576127</x:v>
      </x:c>
      <x:c r="Q1103" s="48" t="n">
        <x:v>0.947560981162525</x:v>
      </x:c>
      <x:c r="R1103" s="48" t="n">
        <x:v>0.6627386058229358</x:v>
      </x:c>
      <x:c r="S1103" s="29" t="n">
        <x:v>0</x:v>
      </x:c>
    </x:row>
    <x:row r="1104" ht="21.600000381469727" hidden="0" customHeight="1">
      <x:c r="A1104" s="27" t="n">
        <x:v>367</x:v>
      </x:c>
      <x:c r="B1104" s="27" t="str">
        <x:v>A2</x:v>
      </x:c>
      <x:c r="C1104" s="47" t="n">
        <x:v>1.2662048800427839</x:v>
      </x:c>
      <x:c r="D1104" s="47" t="n">
        <x:v>0.8327121644867456</x:v>
      </x:c>
      <x:c r="E1104" s="47" t="n">
        <x:v>0.6606155870185829</x:v>
      </x:c>
      <x:c r="F1104" s="47" t="n">
        <x:v>-0.13036302388944085</x:v>
      </x:c>
      <x:c r="G1104" s="47" t="n">
        <x:v>-0.12748520804148078</x:v>
      </x:c>
      <x:c r="H1104" s="47" t="n">
        <x:v>0.46300841062417153</x:v>
      </x:c>
      <x:c r="I1104" s="47" t="n">
        <x:v>0.9383859344845582</x:v>
      </x:c>
      <x:c r="J1104" s="47" t="n">
        <x:v>0.6090765066243085</x:v>
      </x:c>
      <x:c r="K1104" s="47" t="n">
        <x:v>0.5879007072418233</x:v>
      </x:c>
      <x:c r="L1104" s="47" t="n">
        <x:v>0.584265664211655</x:v>
      </x:c>
      <x:c r="M1104" s="47" t="n">
        <x:v>0.03568303378781485</x:v>
      </x:c>
      <x:c r="N1104" s="47" t="n">
        <x:v>0.903919784994446</x:v>
      </x:c>
      <x:c r="O1104" s="47" t="n">
        <x:v>0.7908469181093526</x:v>
      </x:c>
      <x:c r="P1104" s="47" t="n">
        <x:v>0.510519695381322</x:v>
      </x:c>
      <x:c r="Q1104" s="47" t="n">
        <x:v>1</x:v>
      </x:c>
      <x:c r="R1104" s="47" t="n">
        <x:v>0.7417287717920044</x:v>
      </x:c>
      <x:c r="S1104" s="27" t="n">
        <x:v>0</x:v>
      </x:c>
    </x:row>
    <x:row r="1105" ht="21.600000381469727" hidden="0" customHeight="1">
      <x:c r="A1105" s="29" t="n">
        <x:v>367</x:v>
      </x:c>
      <x:c r="B1105" s="29" t="str">
        <x:v>A3</x:v>
      </x:c>
      <x:c r="C1105" s="48" t="n">
        <x:v>1.2662048800427839</x:v>
      </x:c>
      <x:c r="D1105" s="48" t="n">
        <x:v>0.8327121644867456</x:v>
      </x:c>
      <x:c r="E1105" s="48" t="n">
        <x:v>0.6606155870185829</x:v>
      </x:c>
      <x:c r="F1105" s="48" t="n">
        <x:v>-0.13036302388944085</x:v>
      </x:c>
      <x:c r="G1105" s="48" t="n">
        <x:v>-0.12748520804148078</x:v>
      </x:c>
      <x:c r="H1105" s="48" t="n">
        <x:v>0.46300841062417153</x:v>
      </x:c>
      <x:c r="I1105" s="48" t="n">
        <x:v>0.9383859344845582</x:v>
      </x:c>
      <x:c r="J1105" s="48" t="n">
        <x:v>0.6090765066243085</x:v>
      </x:c>
      <x:c r="K1105" s="48" t="n">
        <x:v>0.5879007072418233</x:v>
      </x:c>
      <x:c r="L1105" s="48" t="n">
        <x:v>0.584265664211655</x:v>
      </x:c>
      <x:c r="M1105" s="48" t="n">
        <x:v>0.03568303378781485</x:v>
      </x:c>
      <x:c r="N1105" s="48" t="n">
        <x:v>0.903919784994446</x:v>
      </x:c>
      <x:c r="O1105" s="48" t="n">
        <x:v>1.0000000000000002</x:v>
      </x:c>
      <x:c r="P1105" s="48" t="n">
        <x:v>1</x:v>
      </x:c>
      <x:c r="Q1105" s="48" t="n">
        <x:v>1</x:v>
      </x:c>
      <x:c r="R1105" s="48" t="n">
        <x:v>1</x:v>
      </x:c>
      <x:c r="S1105" s="29" t="n">
        <x:v>1</x:v>
      </x:c>
    </x:row>
    <x:row r="1106" ht="21.600000381469727" hidden="0" customHeight="1">
      <x:c r="A1106" s="27" t="n">
        <x:v>368</x:v>
      </x:c>
      <x:c r="B1106" s="27" t="str">
        <x:v>A1</x:v>
      </x:c>
      <x:c r="C1106" s="47" t="n">
        <x:v>1.064087592629027</x:v>
      </x:c>
      <x:c r="D1106" s="47" t="n">
        <x:v>0.7949764253278241</x:v>
      </x:c>
      <x:c r="E1106" s="47" t="n">
        <x:v>0.4663881942407745</x:v>
      </x:c>
      <x:c r="F1106" s="47" t="n">
        <x:v>-0.08368781906689758</x:v>
      </x:c>
      <x:c r="G1106" s="47" t="n">
        <x:v>-0.1927196786306874</x:v>
      </x:c>
      <x:c r="H1106" s="47" t="n">
        <x:v>0.6747843493819459</x:v>
      </x:c>
      <x:c r="I1106" s="47" t="n">
        <x:v>0.9701918095923285</x:v>
      </x:c>
      <x:c r="J1106" s="47" t="n">
        <x:v>0.854810816044919</x:v>
      </x:c>
      <x:c r="K1106" s="47" t="n">
        <x:v>0.7843202813332704</x:v>
      </x:c>
      <x:c r="L1106" s="47" t="n">
        <x:v>0.9566656738354948</x:v>
      </x:c>
      <x:c r="M1106" s="47" t="n">
        <x:v>0.1484433513176056</x:v>
      </x:c>
      <x:c r="N1106" s="47" t="n">
        <x:v>0.9645146316137259</x:v>
      </x:c>
      <x:c r="O1106" s="47" t="n">
        <x:v>0.8645200386765935</x:v>
      </x:c>
      <x:c r="P1106" s="47" t="n">
        <x:v>0.5322470709926023</x:v>
      </x:c>
      <x:c r="Q1106" s="47" t="n">
        <x:v>1</x:v>
      </x:c>
      <x:c r="R1106" s="47" t="n">
        <x:v>0.8327035122204784</x:v>
      </x:c>
      <x:c r="S1106" s="27" t="n">
        <x:v>0</x:v>
      </x:c>
    </x:row>
    <x:row r="1107" ht="21.600000381469727" hidden="0" customHeight="1">
      <x:c r="A1107" s="29" t="n">
        <x:v>368</x:v>
      </x:c>
      <x:c r="B1107" s="29" t="str">
        <x:v>A2</x:v>
      </x:c>
      <x:c r="C1107" s="48" t="n">
        <x:v>1.064087592629027</x:v>
      </x:c>
      <x:c r="D1107" s="48" t="n">
        <x:v>0.7949764253278241</x:v>
      </x:c>
      <x:c r="E1107" s="48" t="n">
        <x:v>0.4663881942407745</x:v>
      </x:c>
      <x:c r="F1107" s="48" t="n">
        <x:v>-0.08368781906689758</x:v>
      </x:c>
      <x:c r="G1107" s="48" t="n">
        <x:v>-0.1927196786306874</x:v>
      </x:c>
      <x:c r="H1107" s="48" t="n">
        <x:v>0.6747843493819459</x:v>
      </x:c>
      <x:c r="I1107" s="48" t="n">
        <x:v>0.9701918095923285</x:v>
      </x:c>
      <x:c r="J1107" s="48" t="n">
        <x:v>0.854810816044919</x:v>
      </x:c>
      <x:c r="K1107" s="48" t="n">
        <x:v>0.7843202813332704</x:v>
      </x:c>
      <x:c r="L1107" s="48" t="n">
        <x:v>0.9566656738354948</x:v>
      </x:c>
      <x:c r="M1107" s="48" t="n">
        <x:v>0.1484433513176056</x:v>
      </x:c>
      <x:c r="N1107" s="48" t="n">
        <x:v>0.9645146316137259</x:v>
      </x:c>
      <x:c r="O1107" s="48" t="n">
        <x:v>0.9292055461949894</x:v>
      </x:c>
      <x:c r="P1107" s="48" t="n">
        <x:v>0.6458764148000657</x:v>
      </x:c>
      <x:c r="Q1107" s="48" t="n">
        <x:v>1</x:v>
      </x:c>
      <x:c r="R1107" s="48" t="n">
        <x:v>0.9125799611975409</x:v>
      </x:c>
      <x:c r="S1107" s="29" t="n">
        <x:v>0</x:v>
      </x:c>
    </x:row>
    <x:row r="1108" ht="21.600000381469727" hidden="0" customHeight="1">
      <x:c r="A1108" s="27" t="n">
        <x:v>368</x:v>
      </x:c>
      <x:c r="B1108" s="27" t="str">
        <x:v>A3</x:v>
      </x:c>
      <x:c r="C1108" s="47" t="n">
        <x:v>1.064087592629027</x:v>
      </x:c>
      <x:c r="D1108" s="47" t="n">
        <x:v>0.7949764253278241</x:v>
      </x:c>
      <x:c r="E1108" s="47" t="n">
        <x:v>0.4663881942407745</x:v>
      </x:c>
      <x:c r="F1108" s="47" t="n">
        <x:v>-0.08368781906689758</x:v>
      </x:c>
      <x:c r="G1108" s="47" t="n">
        <x:v>-0.1927196786306874</x:v>
      </x:c>
      <x:c r="H1108" s="47" t="n">
        <x:v>0.6747843493819459</x:v>
      </x:c>
      <x:c r="I1108" s="47" t="n">
        <x:v>0.9701918095923285</x:v>
      </x:c>
      <x:c r="J1108" s="47" t="n">
        <x:v>0.854810816044919</x:v>
      </x:c>
      <x:c r="K1108" s="47" t="n">
        <x:v>0.7843202813332704</x:v>
      </x:c>
      <x:c r="L1108" s="47" t="n">
        <x:v>0.9566656738354948</x:v>
      </x:c>
      <x:c r="M1108" s="47" t="n">
        <x:v>0.1484433513176056</x:v>
      </x:c>
      <x:c r="N1108" s="47" t="n">
        <x:v>0.9645146316137259</x:v>
      </x:c>
      <x:c r="O1108" s="47" t="n">
        <x:v>1</x:v>
      </x:c>
      <x:c r="P1108" s="47" t="n">
        <x:v>1</x:v>
      </x:c>
      <x:c r="Q1108" s="47" t="n">
        <x:v>1</x:v>
      </x:c>
      <x:c r="R1108" s="47" t="n">
        <x:v>1</x:v>
      </x:c>
      <x:c r="S1108" s="27" t="n">
        <x:v>1</x:v>
      </x:c>
    </x:row>
    <x:row r="1109" ht="21.600000381469727" hidden="0" customHeight="1">
      <x:c r="A1109" s="29" t="n">
        <x:v>369</x:v>
      </x:c>
      <x:c r="B1109" s="29" t="str">
        <x:v>A1</x:v>
      </x:c>
      <x:c r="C1109" s="48" t="n">
        <x:v>0.9130468154713356</x:v>
      </x:c>
      <x:c r="D1109" s="48" t="n">
        <x:v>0.8576367834464358</x:v>
      </x:c>
      <x:c r="E1109" s="48" t="n">
        <x:v>0.7215053828395543</x:v>
      </x:c>
      <x:c r="F1109" s="48" t="n">
        <x:v>-0.13110412919007924</x:v>
      </x:c>
      <x:c r="G1109" s="48" t="n">
        <x:v>0.025209850817930757</x:v>
      </x:c>
      <x:c r="H1109" s="48" t="n">
        <x:v>0.6557542725395971</x:v>
      </x:c>
      <x:c r="I1109" s="48" t="n">
        <x:v>0.8623508866928775</x:v>
      </x:c>
      <x:c r="J1109" s="48" t="n">
        <x:v>0.4355821456440269</x:v>
      </x:c>
      <x:c r="K1109" s="48" t="n">
        <x:v>0.878615134395097</x:v>
      </x:c>
      <x:c r="L1109" s="48" t="n">
        <x:v>0.6362636892121106</x:v>
      </x:c>
      <x:c r="M1109" s="48" t="n">
        <x:v>0.05191633624208373</x:v>
      </x:c>
      <x:c r="N1109" s="48" t="n">
        <x:v>0.9462681450975516</x:v>
      </x:c>
      <x:c r="O1109" s="48" t="n">
        <x:v>0.8872778880022553</x:v>
      </x:c>
      <x:c r="P1109" s="48" t="n">
        <x:v>0.6860350002575275</x:v>
      </x:c>
      <x:c r="Q1109" s="48" t="n">
        <x:v>1</x:v>
      </x:c>
      <x:c r="R1109" s="48" t="n">
        <x:v>0.8608058841462447</x:v>
      </x:c>
      <x:c r="S1109" s="29" t="n">
        <x:v>0</x:v>
      </x:c>
    </x:row>
    <x:row r="1110" ht="21.600000381469727" hidden="0" customHeight="1">
      <x:c r="A1110" s="27" t="n">
        <x:v>369</x:v>
      </x:c>
      <x:c r="B1110" s="27" t="str">
        <x:v>A2</x:v>
      </x:c>
      <x:c r="C1110" s="47" t="n">
        <x:v>0.9130468154713356</x:v>
      </x:c>
      <x:c r="D1110" s="47" t="n">
        <x:v>0.8576367834464358</x:v>
      </x:c>
      <x:c r="E1110" s="47" t="n">
        <x:v>0.7215053828395543</x:v>
      </x:c>
      <x:c r="F1110" s="47" t="n">
        <x:v>-0.13110412919007924</x:v>
      </x:c>
      <x:c r="G1110" s="47" t="n">
        <x:v>0.025209850817930757</x:v>
      </x:c>
      <x:c r="H1110" s="47" t="n">
        <x:v>0.6557542725395971</x:v>
      </x:c>
      <x:c r="I1110" s="47" t="n">
        <x:v>0.8623508866928775</x:v>
      </x:c>
      <x:c r="J1110" s="47" t="n">
        <x:v>0.4355821456440269</x:v>
      </x:c>
      <x:c r="K1110" s="47" t="n">
        <x:v>0.878615134395097</x:v>
      </x:c>
      <x:c r="L1110" s="47" t="n">
        <x:v>0.6362636892121106</x:v>
      </x:c>
      <x:c r="M1110" s="47" t="n">
        <x:v>0.05191633624208373</x:v>
      </x:c>
      <x:c r="N1110" s="47" t="n">
        <x:v>0.9462681450975516</x:v>
      </x:c>
      <x:c r="O1110" s="47" t="n">
        <x:v>0.9696946697615673</x:v>
      </x:c>
      <x:c r="P1110" s="47" t="n">
        <x:v>0.8129708127498784</x:v>
      </x:c>
      <x:c r="Q1110" s="47" t="n">
        <x:v>1</x:v>
      </x:c>
      <x:c r="R1110" s="47" t="n">
        <x:v>0.9625776737728341</x:v>
      </x:c>
      <x:c r="S1110" s="27" t="n">
        <x:v>0</x:v>
      </x:c>
    </x:row>
    <x:row r="1111" ht="21.600000381469727" hidden="0" customHeight="1">
      <x:c r="A1111" s="29" t="n">
        <x:v>369</x:v>
      </x:c>
      <x:c r="B1111" s="29" t="str">
        <x:v>A3</x:v>
      </x:c>
      <x:c r="C1111" s="48" t="n">
        <x:v>0.9130468154713356</x:v>
      </x:c>
      <x:c r="D1111" s="48" t="n">
        <x:v>0.8576367834464358</x:v>
      </x:c>
      <x:c r="E1111" s="48" t="n">
        <x:v>0.7215053828395543</x:v>
      </x:c>
      <x:c r="F1111" s="48" t="n">
        <x:v>-0.13110412919007924</x:v>
      </x:c>
      <x:c r="G1111" s="48" t="n">
        <x:v>0.025209850817930757</x:v>
      </x:c>
      <x:c r="H1111" s="48" t="n">
        <x:v>0.6557542725395971</x:v>
      </x:c>
      <x:c r="I1111" s="48" t="n">
        <x:v>0.8623508866928775</x:v>
      </x:c>
      <x:c r="J1111" s="48" t="n">
        <x:v>0.4355821456440269</x:v>
      </x:c>
      <x:c r="K1111" s="48" t="n">
        <x:v>0.878615134395097</x:v>
      </x:c>
      <x:c r="L1111" s="48" t="n">
        <x:v>0.6362636892121106</x:v>
      </x:c>
      <x:c r="M1111" s="48" t="n">
        <x:v>0.05191633624208373</x:v>
      </x:c>
      <x:c r="N1111" s="48" t="n">
        <x:v>0.9462681450975516</x:v>
      </x:c>
      <x:c r="O1111" s="48" t="n">
        <x:v>1</x:v>
      </x:c>
      <x:c r="P1111" s="48" t="n">
        <x:v>1</x:v>
      </x:c>
      <x:c r="Q1111" s="48" t="n">
        <x:v>1</x:v>
      </x:c>
      <x:c r="R1111" s="48" t="n">
        <x:v>1</x:v>
      </x:c>
      <x:c r="S1111" s="29" t="n">
        <x:v>1</x:v>
      </x:c>
    </x:row>
    <x:row r="1112" ht="21.600000381469727" hidden="0" customHeight="1">
      <x:c r="A1112" s="27" t="n">
        <x:v>370</x:v>
      </x:c>
      <x:c r="B1112" s="27" t="str">
        <x:v>A1</x:v>
      </x:c>
      <x:c r="C1112" s="47" t="n">
        <x:v>0.904092314938917</x:v>
      </x:c>
      <x:c r="D1112" s="47" t="n">
        <x:v>0.912698845341508</x:v>
      </x:c>
      <x:c r="E1112" s="47" t="n">
        <x:v>0.8958199448132382</x:v>
      </x:c>
      <x:c r="F1112" s="47" t="n">
        <x:v>-0.13733520821209763</x:v>
      </x:c>
      <x:c r="G1112" s="47" t="n">
        <x:v>0.02202465789618624</x:v>
      </x:c>
      <x:c r="H1112" s="47" t="n">
        <x:v>1.0232713753195866</x:v>
      </x:c>
      <x:c r="I1112" s="47" t="n">
        <x:v>0.8967328450878711</x:v>
      </x:c>
      <x:c r="J1112" s="47" t="n">
        <x:v>0.6354140937497162</x:v>
      </x:c>
      <x:c r="K1112" s="47" t="n">
        <x:v>0.8882108608954192</x:v>
      </x:c>
      <x:c r="L1112" s="47" t="n">
        <x:v>0.9847996604227126</x:v>
      </x:c>
      <x:c r="M1112" s="47" t="n">
        <x:v>0.09812414513156817</x:v>
      </x:c>
      <x:c r="N1112" s="47" t="n">
        <x:v>0.8238602870006368</x:v>
      </x:c>
      <x:c r="O1112" s="47" t="n">
        <x:v>0.9781011873180808</x:v>
      </x:c>
      <x:c r="P1112" s="47" t="n">
        <x:v>0.8589988996229836</x:v>
      </x:c>
      <x:c r="Q1112" s="47" t="n">
        <x:v>0.9999999999999998</x:v>
      </x:c>
      <x:c r="R1112" s="47" t="n">
        <x:v>0.972958403497907</x:v>
      </x:c>
      <x:c r="S1112" s="27" t="n">
        <x:v>0</x:v>
      </x:c>
    </x:row>
    <x:row r="1113" ht="21.600000381469727" hidden="0" customHeight="1">
      <x:c r="A1113" s="29" t="n">
        <x:v>370</x:v>
      </x:c>
      <x:c r="B1113" s="29" t="str">
        <x:v>A2</x:v>
      </x:c>
      <x:c r="C1113" s="48" t="n">
        <x:v>0.904092314938917</x:v>
      </x:c>
      <x:c r="D1113" s="48" t="n">
        <x:v>0.912698845341508</x:v>
      </x:c>
      <x:c r="E1113" s="48" t="n">
        <x:v>0.8958199448132382</x:v>
      </x:c>
      <x:c r="F1113" s="48" t="n">
        <x:v>-0.13733520821209763</x:v>
      </x:c>
      <x:c r="G1113" s="48" t="n">
        <x:v>0.02202465789618624</x:v>
      </x:c>
      <x:c r="H1113" s="48" t="n">
        <x:v>1.0232713753195866</x:v>
      </x:c>
      <x:c r="I1113" s="48" t="n">
        <x:v>0.8967328450878711</x:v>
      </x:c>
      <x:c r="J1113" s="48" t="n">
        <x:v>0.6354140937497162</x:v>
      </x:c>
      <x:c r="K1113" s="48" t="n">
        <x:v>0.8882108608954192</x:v>
      </x:c>
      <x:c r="L1113" s="48" t="n">
        <x:v>0.9847996604227126</x:v>
      </x:c>
      <x:c r="M1113" s="48" t="n">
        <x:v>0.09812414513156817</x:v>
      </x:c>
      <x:c r="N1113" s="48" t="n">
        <x:v>0.8238602870006368</x:v>
      </x:c>
      <x:c r="O1113" s="48" t="n">
        <x:v>1</x:v>
      </x:c>
      <x:c r="P1113" s="48" t="n">
        <x:v>1</x:v>
      </x:c>
      <x:c r="Q1113" s="48" t="n">
        <x:v>1</x:v>
      </x:c>
      <x:c r="R1113" s="48" t="n">
        <x:v>1</x:v>
      </x:c>
      <x:c r="S1113" s="29" t="n">
        <x:v>1</x:v>
      </x:c>
    </x:row>
    <x:row r="1114" ht="21.600000381469727" hidden="0" customHeight="1">
      <x:c r="A1114" s="27" t="n">
        <x:v>370</x:v>
      </x:c>
      <x:c r="B1114" s="27" t="str">
        <x:v>A3</x:v>
      </x:c>
      <x:c r="C1114" s="47" t="n">
        <x:v>0.904092314938917</x:v>
      </x:c>
      <x:c r="D1114" s="47" t="n">
        <x:v>0.912698845341508</x:v>
      </x:c>
      <x:c r="E1114" s="47" t="n">
        <x:v>0.8958199448132382</x:v>
      </x:c>
      <x:c r="F1114" s="47" t="n">
        <x:v>-0.13733520821209763</x:v>
      </x:c>
      <x:c r="G1114" s="47" t="n">
        <x:v>0.02202465789618624</x:v>
      </x:c>
      <x:c r="H1114" s="47" t="n">
        <x:v>1.0232713753195866</x:v>
      </x:c>
      <x:c r="I1114" s="47" t="n">
        <x:v>0.8967328450878711</x:v>
      </x:c>
      <x:c r="J1114" s="47" t="n">
        <x:v>0.6354140937497162</x:v>
      </x:c>
      <x:c r="K1114" s="47" t="n">
        <x:v>0.8882108608954192</x:v>
      </x:c>
      <x:c r="L1114" s="47" t="n">
        <x:v>0.9847996604227126</x:v>
      </x:c>
      <x:c r="M1114" s="47" t="n">
        <x:v>0.09812414513156817</x:v>
      </x:c>
      <x:c r="N1114" s="47" t="n">
        <x:v>0.8238602870006368</x:v>
      </x:c>
      <x:c r="O1114" s="47" t="n">
        <x:v>1</x:v>
      </x:c>
      <x:c r="P1114" s="47" t="n">
        <x:v>1</x:v>
      </x:c>
      <x:c r="Q1114" s="47" t="n">
        <x:v>1</x:v>
      </x:c>
      <x:c r="R1114" s="47" t="n">
        <x:v>1</x:v>
      </x:c>
      <x:c r="S1114" s="27" t="n">
        <x:v>1</x:v>
      </x:c>
    </x:row>
    <x:row r="1115" ht="21.600000381469727" hidden="0" customHeight="1">
      <x:c r="A1115" s="29" t="n">
        <x:v>371</x:v>
      </x:c>
      <x:c r="B1115" s="29" t="str">
        <x:v>A1</x:v>
      </x:c>
      <x:c r="C1115" s="48" t="n">
        <x:v>1.0031109763730415</x:v>
      </x:c>
      <x:c r="D1115" s="48" t="n">
        <x:v>0.7579464740404501</x:v>
      </x:c>
      <x:c r="E1115" s="48" t="n">
        <x:v>0.9190394409692156</x:v>
      </x:c>
      <x:c r="F1115" s="48" t="n">
        <x:v>-0.06020609813202826</x:v>
      </x:c>
      <x:c r="G1115" s="48" t="n">
        <x:v>-0.13676128767384277</x:v>
      </x:c>
      <x:c r="H1115" s="48" t="n">
        <x:v>0.474841521283156</x:v>
      </x:c>
      <x:c r="I1115" s="48" t="n">
        <x:v>0.9199880913145679</x:v>
      </x:c>
      <x:c r="J1115" s="48" t="n">
        <x:v>0.6532148822872759</x:v>
      </x:c>
      <x:c r="K1115" s="48" t="n">
        <x:v>0.707981233033074</x:v>
      </x:c>
      <x:c r="L1115" s="48" t="n">
        <x:v>0.530375720685467</x:v>
      </x:c>
      <x:c r="M1115" s="48" t="n">
        <x:v>0.17336805283166704</x:v>
      </x:c>
      <x:c r="N1115" s="48" t="n">
        <x:v>0.871102219751738</x:v>
      </x:c>
      <x:c r="O1115" s="48" t="n">
        <x:v>0.8286217642383555</x:v>
      </x:c>
      <x:c r="P1115" s="48" t="n">
        <x:v>0.5956718329219577</x:v>
      </x:c>
      <x:c r="Q1115" s="48" t="n">
        <x:v>0.9668316284463034</x:v>
      </x:c>
      <x:c r="R1115" s="48" t="n">
        <x:v>0.788621114392326</x:v>
      </x:c>
      <x:c r="S1115" s="29" t="n">
        <x:v>0</x:v>
      </x:c>
    </x:row>
    <x:row r="1116" ht="21.600000381469727" hidden="0" customHeight="1">
      <x:c r="A1116" s="27" t="n">
        <x:v>371</x:v>
      </x:c>
      <x:c r="B1116" s="27" t="str">
        <x:v>A2</x:v>
      </x:c>
      <x:c r="C1116" s="47" t="n">
        <x:v>1.0031109763730415</x:v>
      </x:c>
      <x:c r="D1116" s="47" t="n">
        <x:v>0.7579464740404501</x:v>
      </x:c>
      <x:c r="E1116" s="47" t="n">
        <x:v>0.9190394409692156</x:v>
      </x:c>
      <x:c r="F1116" s="47" t="n">
        <x:v>-0.06020609813202826</x:v>
      </x:c>
      <x:c r="G1116" s="47" t="n">
        <x:v>-0.13676128767384277</x:v>
      </x:c>
      <x:c r="H1116" s="47" t="n">
        <x:v>0.474841521283156</x:v>
      </x:c>
      <x:c r="I1116" s="47" t="n">
        <x:v>0.9199880913145679</x:v>
      </x:c>
      <x:c r="J1116" s="47" t="n">
        <x:v>0.6532148822872759</x:v>
      </x:c>
      <x:c r="K1116" s="47" t="n">
        <x:v>0.707981233033074</x:v>
      </x:c>
      <x:c r="L1116" s="47" t="n">
        <x:v>0.530375720685467</x:v>
      </x:c>
      <x:c r="M1116" s="47" t="n">
        <x:v>0.17336805283166704</x:v>
      </x:c>
      <x:c r="N1116" s="47" t="n">
        <x:v>0.871102219751738</x:v>
      </x:c>
      <x:c r="O1116" s="47" t="n">
        <x:v>0.9119756052352248</x:v>
      </x:c>
      <x:c r="P1116" s="47" t="n">
        <x:v>0.6135370675682092</x:v>
      </x:c>
      <x:c r="Q1116" s="47" t="n">
        <x:v>1</x:v>
      </x:c>
      <x:c r="R1116" s="47" t="n">
        <x:v>0.8913036884627394</x:v>
      </x:c>
      <x:c r="S1116" s="27" t="n">
        <x:v>0</x:v>
      </x:c>
    </x:row>
    <x:row r="1117" ht="21.600000381469727" hidden="0" customHeight="1">
      <x:c r="A1117" s="29" t="n">
        <x:v>371</x:v>
      </x:c>
      <x:c r="B1117" s="29" t="str">
        <x:v>A3</x:v>
      </x:c>
      <x:c r="C1117" s="48" t="n">
        <x:v>1.0031109763730415</x:v>
      </x:c>
      <x:c r="D1117" s="48" t="n">
        <x:v>0.7579464740404501</x:v>
      </x:c>
      <x:c r="E1117" s="48" t="n">
        <x:v>0.9190394409692156</x:v>
      </x:c>
      <x:c r="F1117" s="48" t="n">
        <x:v>-0.06020609813202826</x:v>
      </x:c>
      <x:c r="G1117" s="48" t="n">
        <x:v>-0.13676128767384277</x:v>
      </x:c>
      <x:c r="H1117" s="48" t="n">
        <x:v>0.474841521283156</x:v>
      </x:c>
      <x:c r="I1117" s="48" t="n">
        <x:v>0.9199880913145679</x:v>
      </x:c>
      <x:c r="J1117" s="48" t="n">
        <x:v>0.6532148822872759</x:v>
      </x:c>
      <x:c r="K1117" s="48" t="n">
        <x:v>0.707981233033074</x:v>
      </x:c>
      <x:c r="L1117" s="48" t="n">
        <x:v>0.530375720685467</x:v>
      </x:c>
      <x:c r="M1117" s="48" t="n">
        <x:v>0.17336805283166704</x:v>
      </x:c>
      <x:c r="N1117" s="48" t="n">
        <x:v>0.871102219751738</x:v>
      </x:c>
      <x:c r="O1117" s="48" t="n">
        <x:v>1.0000000000000002</x:v>
      </x:c>
      <x:c r="P1117" s="48" t="n">
        <x:v>1</x:v>
      </x:c>
      <x:c r="Q1117" s="48" t="n">
        <x:v>1</x:v>
      </x:c>
      <x:c r="R1117" s="48" t="n">
        <x:v>1</x:v>
      </x:c>
      <x:c r="S1117" s="29" t="n">
        <x:v>1</x:v>
      </x:c>
    </x:row>
    <x:row r="1118" ht="21.600000381469727" hidden="0" customHeight="1">
      <x:c r="A1118" s="27" t="n">
        <x:v>372</x:v>
      </x:c>
      <x:c r="B1118" s="27" t="str">
        <x:v>A1</x:v>
      </x:c>
      <x:c r="C1118" s="47" t="n">
        <x:v>1.1846972737832433</x:v>
      </x:c>
      <x:c r="D1118" s="47" t="n">
        <x:v>0.7900890462907596</x:v>
      </x:c>
      <x:c r="E1118" s="47" t="n">
        <x:v>0.5620778417523369</x:v>
      </x:c>
      <x:c r="F1118" s="47" t="n">
        <x:v>-0.17718682036009445</x:v>
      </x:c>
      <x:c r="G1118" s="47" t="n">
        <x:v>-0.1975468313856854</x:v>
      </x:c>
      <x:c r="H1118" s="47" t="n">
        <x:v>1.098893019157901</x:v>
      </x:c>
      <x:c r="I1118" s="47" t="n">
        <x:v>0.7255920590479382</x:v>
      </x:c>
      <x:c r="J1118" s="47" t="n">
        <x:v>0.9491531895871098</x:v>
      </x:c>
      <x:c r="K1118" s="47" t="n">
        <x:v>0.6757785479933762</x:v>
      </x:c>
      <x:c r="L1118" s="47" t="n">
        <x:v>0.8671870600819415</x:v>
      </x:c>
      <x:c r="M1118" s="47" t="n">
        <x:v>0.1654102086682081</x:v>
      </x:c>
      <x:c r="N1118" s="47" t="n">
        <x:v>0.6818538064946178</x:v>
      </x:c>
      <x:c r="O1118" s="47" t="n">
        <x:v>0.7714257521197518</x:v>
      </x:c>
      <x:c r="P1118" s="47" t="n">
        <x:v>0.423443948496531</x:v>
      </x:c>
      <x:c r="Q1118" s="47" t="n">
        <x:v>1</x:v>
      </x:c>
      <x:c r="R1118" s="47" t="n">
        <x:v>0.717746680072275</x:v>
      </x:c>
      <x:c r="S1118" s="27" t="n">
        <x:v>0</x:v>
      </x:c>
    </x:row>
    <x:row r="1119" ht="21.600000381469727" hidden="0" customHeight="1">
      <x:c r="A1119" s="29" t="n">
        <x:v>372</x:v>
      </x:c>
      <x:c r="B1119" s="29" t="str">
        <x:v>A2</x:v>
      </x:c>
      <x:c r="C1119" s="48" t="n">
        <x:v>1.1846972737832433</x:v>
      </x:c>
      <x:c r="D1119" s="48" t="n">
        <x:v>0.7900890462907596</x:v>
      </x:c>
      <x:c r="E1119" s="48" t="n">
        <x:v>0.5620778417523369</x:v>
      </x:c>
      <x:c r="F1119" s="48" t="n">
        <x:v>-0.17718682036009445</x:v>
      </x:c>
      <x:c r="G1119" s="48" t="n">
        <x:v>-0.1975468313856854</x:v>
      </x:c>
      <x:c r="H1119" s="48" t="n">
        <x:v>1.098893019157901</x:v>
      </x:c>
      <x:c r="I1119" s="48" t="n">
        <x:v>0.7255920590479382</x:v>
      </x:c>
      <x:c r="J1119" s="48" t="n">
        <x:v>0.9491531895871098</x:v>
      </x:c>
      <x:c r="K1119" s="48" t="n">
        <x:v>0.6757785479933762</x:v>
      </x:c>
      <x:c r="L1119" s="48" t="n">
        <x:v>0.8671870600819415</x:v>
      </x:c>
      <x:c r="M1119" s="48" t="n">
        <x:v>0.1654102086682081</x:v>
      </x:c>
      <x:c r="N1119" s="48" t="n">
        <x:v>0.6818538064946178</x:v>
      </x:c>
      <x:c r="O1119" s="48" t="n">
        <x:v>0.854065840571446</x:v>
      </x:c>
      <x:c r="P1119" s="48" t="n">
        <x:v>0.4584263952121105</x:v>
      </x:c>
      <x:c r="Q1119" s="48" t="n">
        <x:v>1</x:v>
      </x:c>
      <x:c r="R1119" s="48" t="n">
        <x:v>0.8197942184145292</x:v>
      </x:c>
      <x:c r="S1119" s="29" t="n">
        <x:v>0</x:v>
      </x:c>
    </x:row>
    <x:row r="1120" ht="21.600000381469727" hidden="0" customHeight="1">
      <x:c r="A1120" s="27" t="n">
        <x:v>372</x:v>
      </x:c>
      <x:c r="B1120" s="27" t="str">
        <x:v>A3</x:v>
      </x:c>
      <x:c r="C1120" s="47" t="n">
        <x:v>1.1846972737832433</x:v>
      </x:c>
      <x:c r="D1120" s="47" t="n">
        <x:v>0.7900890462907596</x:v>
      </x:c>
      <x:c r="E1120" s="47" t="n">
        <x:v>0.5620778417523369</x:v>
      </x:c>
      <x:c r="F1120" s="47" t="n">
        <x:v>-0.17718682036009445</x:v>
      </x:c>
      <x:c r="G1120" s="47" t="n">
        <x:v>-0.1975468313856854</x:v>
      </x:c>
      <x:c r="H1120" s="47" t="n">
        <x:v>1.098893019157901</x:v>
      </x:c>
      <x:c r="I1120" s="47" t="n">
        <x:v>0.7255920590479382</x:v>
      </x:c>
      <x:c r="J1120" s="47" t="n">
        <x:v>0.9491531895871098</x:v>
      </x:c>
      <x:c r="K1120" s="47" t="n">
        <x:v>0.6757785479933762</x:v>
      </x:c>
      <x:c r="L1120" s="47" t="n">
        <x:v>0.8671870600819415</x:v>
      </x:c>
      <x:c r="M1120" s="47" t="n">
        <x:v>0.1654102086682081</x:v>
      </x:c>
      <x:c r="N1120" s="47" t="n">
        <x:v>0.6818538064946178</x:v>
      </x:c>
      <x:c r="O1120" s="47" t="n">
        <x:v>1</x:v>
      </x:c>
      <x:c r="P1120" s="47" t="n">
        <x:v>1</x:v>
      </x:c>
      <x:c r="Q1120" s="47" t="n">
        <x:v>1</x:v>
      </x:c>
      <x:c r="R1120" s="47" t="n">
        <x:v>1</x:v>
      </x:c>
      <x:c r="S1120" s="27" t="n">
        <x:v>1</x:v>
      </x:c>
    </x:row>
    <x:row r="1121" ht="21.600000381469727" hidden="0" customHeight="1">
      <x:c r="A1121" s="29" t="n">
        <x:v>373</x:v>
      </x:c>
      <x:c r="B1121" s="29" t="str">
        <x:v>A1</x:v>
      </x:c>
      <x:c r="C1121" s="48" t="n">
        <x:v>0.9747180499626353</x:v>
      </x:c>
      <x:c r="D1121" s="48" t="n">
        <x:v>0.9829122302891451</x:v>
      </x:c>
      <x:c r="E1121" s="48" t="n">
        <x:v>0.8253014287959606</x:v>
      </x:c>
      <x:c r="F1121" s="48" t="n">
        <x:v>-0.13687013093168876</x:v>
      </x:c>
      <x:c r="G1121" s="48" t="n">
        <x:v>-0.07010109833193728</x:v>
      </x:c>
      <x:c r="H1121" s="48" t="n">
        <x:v>0.7815381211206512</x:v>
      </x:c>
      <x:c r="I1121" s="48" t="n">
        <x:v>0.7322804583666782</x:v>
      </x:c>
      <x:c r="J1121" s="48" t="n">
        <x:v>0.7085918244503299</x:v>
      </x:c>
      <x:c r="K1121" s="48" t="n">
        <x:v>0.6421456958065649</x:v>
      </x:c>
      <x:c r="L1121" s="48" t="n">
        <x:v>0.7001381679560755</x:v>
      </x:c>
      <x:c r="M1121" s="48" t="n">
        <x:v>0.105777437189738</x:v>
      </x:c>
      <x:c r="N1121" s="48" t="n">
        <x:v>0.8693450923636753</x:v>
      </x:c>
      <x:c r="O1121" s="48" t="n">
        <x:v>0.931612444849039</x:v>
      </x:c>
      <x:c r="P1121" s="48" t="n">
        <x:v>0.6444957098568134</x:v>
      </x:c>
      <x:c r="Q1121" s="48" t="n">
        <x:v>1</x:v>
      </x:c>
      <x:c r="R1121" s="48" t="n">
        <x:v>0.915552103257004</x:v>
      </x:c>
      <x:c r="S1121" s="29" t="n">
        <x:v>0</x:v>
      </x:c>
    </x:row>
    <x:row r="1122" ht="21.600000381469727" hidden="0" customHeight="1">
      <x:c r="A1122" s="27" t="n">
        <x:v>373</x:v>
      </x:c>
      <x:c r="B1122" s="27" t="str">
        <x:v>A2</x:v>
      </x:c>
      <x:c r="C1122" s="47" t="n">
        <x:v>0.9747180499626353</x:v>
      </x:c>
      <x:c r="D1122" s="47" t="n">
        <x:v>0.9829122302891451</x:v>
      </x:c>
      <x:c r="E1122" s="47" t="n">
        <x:v>0.8253014287959606</x:v>
      </x:c>
      <x:c r="F1122" s="47" t="n">
        <x:v>-0.13687013093168876</x:v>
      </x:c>
      <x:c r="G1122" s="47" t="n">
        <x:v>-0.07010109833193728</x:v>
      </x:c>
      <x:c r="H1122" s="47" t="n">
        <x:v>0.7815381211206512</x:v>
      </x:c>
      <x:c r="I1122" s="47" t="n">
        <x:v>0.7322804583666782</x:v>
      </x:c>
      <x:c r="J1122" s="47" t="n">
        <x:v>0.7085918244503299</x:v>
      </x:c>
      <x:c r="K1122" s="47" t="n">
        <x:v>0.6421456958065649</x:v>
      </x:c>
      <x:c r="L1122" s="47" t="n">
        <x:v>0.7001381679560755</x:v>
      </x:c>
      <x:c r="M1122" s="47" t="n">
        <x:v>0.105777437189738</x:v>
      </x:c>
      <x:c r="N1122" s="47" t="n">
        <x:v>0.8693450923636753</x:v>
      </x:c>
      <x:c r="O1122" s="47" t="n">
        <x:v>0.9947584720096618</x:v>
      </x:c>
      <x:c r="P1122" s="47" t="n">
        <x:v>0.9475847200966171</x:v>
      </x:c>
      <x:c r="Q1122" s="47" t="n">
        <x:v>1</x:v>
      </x:c>
      <x:c r="R1122" s="47" t="n">
        <x:v>0.9935275356236011</x:v>
      </x:c>
      <x:c r="S1122" s="27" t="n">
        <x:v>0</x:v>
      </x:c>
    </x:row>
    <x:row r="1123" ht="21.600000381469727" hidden="0" customHeight="1">
      <x:c r="A1123" s="29" t="n">
        <x:v>373</x:v>
      </x:c>
      <x:c r="B1123" s="29" t="str">
        <x:v>A3</x:v>
      </x:c>
      <x:c r="C1123" s="48" t="n">
        <x:v>0.9747180499626353</x:v>
      </x:c>
      <x:c r="D1123" s="48" t="n">
        <x:v>0.9829122302891451</x:v>
      </x:c>
      <x:c r="E1123" s="48" t="n">
        <x:v>0.8253014287959606</x:v>
      </x:c>
      <x:c r="F1123" s="48" t="n">
        <x:v>-0.13687013093168876</x:v>
      </x:c>
      <x:c r="G1123" s="48" t="n">
        <x:v>-0.07010109833193728</x:v>
      </x:c>
      <x:c r="H1123" s="48" t="n">
        <x:v>0.7815381211206512</x:v>
      </x:c>
      <x:c r="I1123" s="48" t="n">
        <x:v>0.7322804583666782</x:v>
      </x:c>
      <x:c r="J1123" s="48" t="n">
        <x:v>0.7085918244503299</x:v>
      </x:c>
      <x:c r="K1123" s="48" t="n">
        <x:v>0.6421456958065649</x:v>
      </x:c>
      <x:c r="L1123" s="48" t="n">
        <x:v>0.7001381679560755</x:v>
      </x:c>
      <x:c r="M1123" s="48" t="n">
        <x:v>0.105777437189738</x:v>
      </x:c>
      <x:c r="N1123" s="48" t="n">
        <x:v>0.8693450923636753</x:v>
      </x:c>
      <x:c r="O1123" s="48" t="n">
        <x:v>1</x:v>
      </x:c>
      <x:c r="P1123" s="48" t="n">
        <x:v>1</x:v>
      </x:c>
      <x:c r="Q1123" s="48" t="n">
        <x:v>1</x:v>
      </x:c>
      <x:c r="R1123" s="48" t="n">
        <x:v>1</x:v>
      </x:c>
      <x:c r="S1123" s="29" t="n">
        <x:v>1</x:v>
      </x:c>
    </x:row>
    <x:row r="1124" ht="21.600000381469727" hidden="0" customHeight="1">
      <x:c r="A1124" s="27" t="n">
        <x:v>374</x:v>
      </x:c>
      <x:c r="B1124" s="27" t="str">
        <x:v>A1</x:v>
      </x:c>
      <x:c r="C1124" s="47" t="n">
        <x:v>1.104824299067202</x:v>
      </x:c>
      <x:c r="D1124" s="47" t="n">
        <x:v>0.7411370163926737</x:v>
      </x:c>
      <x:c r="E1124" s="47" t="n">
        <x:v>0.6813078167806287</x:v>
      </x:c>
      <x:c r="F1124" s="47" t="n">
        <x:v>-0.07269790858923561</x:v>
      </x:c>
      <x:c r="G1124" s="47" t="n">
        <x:v>-0.005658255993345129</x:v>
      </x:c>
      <x:c r="H1124" s="47" t="n">
        <x:v>0.6824720677208014</x:v>
      </x:c>
      <x:c r="I1124" s="47" t="n">
        <x:v>0.6640922943886838</x:v>
      </x:c>
      <x:c r="J1124" s="47" t="n">
        <x:v>0.49112296240570286</x:v>
      </x:c>
      <x:c r="K1124" s="47" t="n">
        <x:v>0.9313080825929092</x:v>
      </x:c>
      <x:c r="L1124" s="47" t="n">
        <x:v>0.6111052790987701</x:v>
      </x:c>
      <x:c r="M1124" s="47" t="n">
        <x:v>0.1364925173752244</x:v>
      </x:c>
      <x:c r="N1124" s="47" t="n">
        <x:v>0.6614037689710753</x:v>
      </x:c>
      <x:c r="O1124" s="47" t="n">
        <x:v>0.7829727293499006</x:v>
      </x:c>
      <x:c r="P1124" s="47" t="n">
        <x:v>0.5410599347243498</x:v>
      </x:c>
      <x:c r="Q1124" s="47" t="n">
        <x:v>1</x:v>
      </x:c>
      <x:c r="R1124" s="47" t="n">
        <x:v>0.7320053845788599</x:v>
      </x:c>
      <x:c r="S1124" s="27" t="n">
        <x:v>0</x:v>
      </x:c>
    </x:row>
    <x:row r="1125" ht="21.600000381469727" hidden="0" customHeight="1">
      <x:c r="A1125" s="29" t="n">
        <x:v>374</x:v>
      </x:c>
      <x:c r="B1125" s="29" t="str">
        <x:v>A2</x:v>
      </x:c>
      <x:c r="C1125" s="48" t="n">
        <x:v>1.104824299067202</x:v>
      </x:c>
      <x:c r="D1125" s="48" t="n">
        <x:v>0.7411370163926737</x:v>
      </x:c>
      <x:c r="E1125" s="48" t="n">
        <x:v>0.6813078167806287</x:v>
      </x:c>
      <x:c r="F1125" s="48" t="n">
        <x:v>-0.07269790858923561</x:v>
      </x:c>
      <x:c r="G1125" s="48" t="n">
        <x:v>-0.005658255993345129</x:v>
      </x:c>
      <x:c r="H1125" s="48" t="n">
        <x:v>0.6824720677208014</x:v>
      </x:c>
      <x:c r="I1125" s="48" t="n">
        <x:v>0.6640922943886838</x:v>
      </x:c>
      <x:c r="J1125" s="48" t="n">
        <x:v>0.49112296240570286</x:v>
      </x:c>
      <x:c r="K1125" s="48" t="n">
        <x:v>0.9313080825929092</x:v>
      </x:c>
      <x:c r="L1125" s="48" t="n">
        <x:v>0.6111052790987701</x:v>
      </x:c>
      <x:c r="M1125" s="48" t="n">
        <x:v>0.1364925173752244</x:v>
      </x:c>
      <x:c r="N1125" s="48" t="n">
        <x:v>0.6614037689710753</x:v>
      </x:c>
      <x:c r="O1125" s="48" t="n">
        <x:v>0.8588830373084633</x:v>
      </x:c>
      <x:c r="P1125" s="48" t="n">
        <x:v>0.4785144088665476</x:v>
      </x:c>
      <x:c r="Q1125" s="48" t="n">
        <x:v>1</x:v>
      </x:c>
      <x:c r="R1125" s="48" t="n">
        <x:v>0.8257427002946074</x:v>
      </x:c>
      <x:c r="S1125" s="29" t="n">
        <x:v>0</x:v>
      </x:c>
    </x:row>
    <x:row r="1126" ht="21.600000381469727" hidden="0" customHeight="1">
      <x:c r="A1126" s="27" t="n">
        <x:v>374</x:v>
      </x:c>
      <x:c r="B1126" s="27" t="str">
        <x:v>A3</x:v>
      </x:c>
      <x:c r="C1126" s="47" t="n">
        <x:v>1.104824299067202</x:v>
      </x:c>
      <x:c r="D1126" s="47" t="n">
        <x:v>0.7411370163926737</x:v>
      </x:c>
      <x:c r="E1126" s="47" t="n">
        <x:v>0.6813078167806287</x:v>
      </x:c>
      <x:c r="F1126" s="47" t="n">
        <x:v>-0.07269790858923561</x:v>
      </x:c>
      <x:c r="G1126" s="47" t="n">
        <x:v>-0.005658255993345129</x:v>
      </x:c>
      <x:c r="H1126" s="47" t="n">
        <x:v>0.6824720677208014</x:v>
      </x:c>
      <x:c r="I1126" s="47" t="n">
        <x:v>0.6640922943886838</x:v>
      </x:c>
      <x:c r="J1126" s="47" t="n">
        <x:v>0.49112296240570286</x:v>
      </x:c>
      <x:c r="K1126" s="47" t="n">
        <x:v>0.9313080825929092</x:v>
      </x:c>
      <x:c r="L1126" s="47" t="n">
        <x:v>0.6111052790987701</x:v>
      </x:c>
      <x:c r="M1126" s="47" t="n">
        <x:v>0.1364925173752244</x:v>
      </x:c>
      <x:c r="N1126" s="47" t="n">
        <x:v>0.6614037689710753</x:v>
      </x:c>
      <x:c r="O1126" s="47" t="n">
        <x:v>1</x:v>
      </x:c>
      <x:c r="P1126" s="47" t="n">
        <x:v>1</x:v>
      </x:c>
      <x:c r="Q1126" s="47" t="n">
        <x:v>1</x:v>
      </x:c>
      <x:c r="R1126" s="47" t="n">
        <x:v>1</x:v>
      </x:c>
      <x:c r="S1126" s="27" t="n">
        <x:v>1</x:v>
      </x:c>
    </x:row>
    <x:row r="1127" ht="21.600000381469727" hidden="0" customHeight="1">
      <x:c r="A1127" s="29" t="n">
        <x:v>375</x:v>
      </x:c>
      <x:c r="B1127" s="29" t="str">
        <x:v>A1</x:v>
      </x:c>
      <x:c r="C1127" s="48" t="n">
        <x:v>1.0364340862912182</x:v>
      </x:c>
      <x:c r="D1127" s="48" t="n">
        <x:v>0.9788281697226515</x:v>
      </x:c>
      <x:c r="E1127" s="48" t="n">
        <x:v>0.7611320683028919</x:v>
      </x:c>
      <x:c r="F1127" s="48" t="n">
        <x:v>-0.13602486339419045</x:v>
      </x:c>
      <x:c r="G1127" s="48" t="n">
        <x:v>-0.039462512413665995</x:v>
      </x:c>
      <x:c r="H1127" s="48" t="n">
        <x:v>0.45478029393155045</x:v>
      </x:c>
      <x:c r="I1127" s="48" t="n">
        <x:v>0.9875108567134767</x:v>
      </x:c>
      <x:c r="J1127" s="48" t="n">
        <x:v>0.48285559940865475</x:v>
      </x:c>
      <x:c r="K1127" s="48" t="n">
        <x:v>0.946793099758916</x:v>
      </x:c>
      <x:c r="L1127" s="48" t="n">
        <x:v>0.5288413213541536</x:v>
      </x:c>
      <x:c r="M1127" s="48" t="n">
        <x:v>0.12646176234096837</x:v>
      </x:c>
      <x:c r="N1127" s="48" t="n">
        <x:v>0.6858069171168267</x:v>
      </x:c>
      <x:c r="O1127" s="48" t="n">
        <x:v>0.9053484526817088</x:v>
      </x:c>
      <x:c r="P1127" s="48" t="n">
        <x:v>0.6691109410882042</x:v>
      </x:c>
      <x:c r="Q1127" s="48" t="n">
        <x:v>1</x:v>
      </x:c>
      <x:c r="R1127" s="48" t="n">
        <x:v>0.8831201952335401</x:v>
      </x:c>
      <x:c r="S1127" s="29" t="n">
        <x:v>0</x:v>
      </x:c>
    </x:row>
    <x:row r="1128" ht="21.600000381469727" hidden="0" customHeight="1">
      <x:c r="A1128" s="27" t="n">
        <x:v>375</x:v>
      </x:c>
      <x:c r="B1128" s="27" t="str">
        <x:v>A2</x:v>
      </x:c>
      <x:c r="C1128" s="47" t="n">
        <x:v>1.0364340862912182</x:v>
      </x:c>
      <x:c r="D1128" s="47" t="n">
        <x:v>0.9788281697226515</x:v>
      </x:c>
      <x:c r="E1128" s="47" t="n">
        <x:v>0.7611320683028919</x:v>
      </x:c>
      <x:c r="F1128" s="47" t="n">
        <x:v>-0.13602486339419045</x:v>
      </x:c>
      <x:c r="G1128" s="47" t="n">
        <x:v>-0.039462512413665995</x:v>
      </x:c>
      <x:c r="H1128" s="47" t="n">
        <x:v>0.45478029393155045</x:v>
      </x:c>
      <x:c r="I1128" s="47" t="n">
        <x:v>0.9875108567134767</x:v>
      </x:c>
      <x:c r="J1128" s="47" t="n">
        <x:v>0.48285559940865475</x:v>
      </x:c>
      <x:c r="K1128" s="47" t="n">
        <x:v>0.946793099758916</x:v>
      </x:c>
      <x:c r="L1128" s="47" t="n">
        <x:v>0.5288413213541536</x:v>
      </x:c>
      <x:c r="M1128" s="47" t="n">
        <x:v>0.12646176234096837</x:v>
      </x:c>
      <x:c r="N1128" s="47" t="n">
        <x:v>0.6858069171168267</x:v>
      </x:c>
      <x:c r="O1128" s="47" t="n">
        <x:v>0.9845639366529292</x:v>
      </x:c>
      <x:c r="P1128" s="47" t="n">
        <x:v>0.9015726993565344</x:v>
      </x:c>
      <x:c r="Q1128" s="47" t="n">
        <x:v>1</x:v>
      </x:c>
      <x:c r="R1128" s="47" t="n">
        <x:v>0.9809388845561989</x:v>
      </x:c>
      <x:c r="S1128" s="27" t="n">
        <x:v>0</x:v>
      </x:c>
    </x:row>
    <x:row r="1129" ht="21.600000381469727" hidden="0" customHeight="1">
      <x:c r="A1129" s="29" t="n">
        <x:v>375</x:v>
      </x:c>
      <x:c r="B1129" s="29" t="str">
        <x:v>A3</x:v>
      </x:c>
      <x:c r="C1129" s="48" t="n">
        <x:v>1.0364340862912182</x:v>
      </x:c>
      <x:c r="D1129" s="48" t="n">
        <x:v>0.9788281697226515</x:v>
      </x:c>
      <x:c r="E1129" s="48" t="n">
        <x:v>0.7611320683028919</x:v>
      </x:c>
      <x:c r="F1129" s="48" t="n">
        <x:v>-0.13602486339419045</x:v>
      </x:c>
      <x:c r="G1129" s="48" t="n">
        <x:v>-0.039462512413665995</x:v>
      </x:c>
      <x:c r="H1129" s="48" t="n">
        <x:v>0.45478029393155045</x:v>
      </x:c>
      <x:c r="I1129" s="48" t="n">
        <x:v>0.9875108567134767</x:v>
      </x:c>
      <x:c r="J1129" s="48" t="n">
        <x:v>0.48285559940865475</x:v>
      </x:c>
      <x:c r="K1129" s="48" t="n">
        <x:v>0.946793099758916</x:v>
      </x:c>
      <x:c r="L1129" s="48" t="n">
        <x:v>0.5288413213541536</x:v>
      </x:c>
      <x:c r="M1129" s="48" t="n">
        <x:v>0.12646176234096837</x:v>
      </x:c>
      <x:c r="N1129" s="48" t="n">
        <x:v>0.6858069171168267</x:v>
      </x:c>
      <x:c r="O1129" s="48" t="n">
        <x:v>1</x:v>
      </x:c>
      <x:c r="P1129" s="48" t="n">
        <x:v>1</x:v>
      </x:c>
      <x:c r="Q1129" s="48" t="n">
        <x:v>1</x:v>
      </x:c>
      <x:c r="R1129" s="48" t="n">
        <x:v>1</x:v>
      </x:c>
      <x:c r="S1129" s="29" t="n">
        <x:v>1</x:v>
      </x:c>
    </x:row>
    <x:row r="1130" ht="21.600000381469727" hidden="0" customHeight="1">
      <x:c r="A1130" s="27" t="n">
        <x:v>376</x:v>
      </x:c>
      <x:c r="B1130" s="27" t="str">
        <x:v>A1</x:v>
      </x:c>
      <x:c r="C1130" s="47" t="n">
        <x:v>1.096082856843401</x:v>
      </x:c>
      <x:c r="D1130" s="47" t="n">
        <x:v>0.9956391576129916</x:v>
      </x:c>
      <x:c r="E1130" s="47" t="n">
        <x:v>0.9467229706209295</x:v>
      </x:c>
      <x:c r="F1130" s="47" t="n">
        <x:v>-0.19824082567870174</x:v>
      </x:c>
      <x:c r="G1130" s="47" t="n">
        <x:v>0.0010223613773854279</x:v>
      </x:c>
      <x:c r="H1130" s="47" t="n">
        <x:v>0.6931402256034038</x:v>
      </x:c>
      <x:c r="I1130" s="47" t="n">
        <x:v>0.9426312942613799</x:v>
      </x:c>
      <x:c r="J1130" s="47" t="n">
        <x:v>0.4960321782761652</x:v>
      </x:c>
      <x:c r="K1130" s="47" t="n">
        <x:v>0.7259608368168369</x:v>
      </x:c>
      <x:c r="L1130" s="47" t="n">
        <x:v>0.9948906239917354</x:v>
      </x:c>
      <x:c r="M1130" s="47" t="n">
        <x:v>0.0642831004064214</x:v>
      </x:c>
      <x:c r="N1130" s="47" t="n">
        <x:v>0.9540857988959921</x:v>
      </x:c>
      <x:c r="O1130" s="47" t="n">
        <x:v>0.8854088314129859</x:v>
      </x:c>
      <x:c r="P1130" s="47" t="n">
        <x:v>0.6712008969364466</x:v>
      </x:c>
      <x:c r="Q1130" s="47" t="n">
        <x:v>1</x:v>
      </x:c>
      <x:c r="R1130" s="47" t="n">
        <x:v>0.8584978926189992</x:v>
      </x:c>
      <x:c r="S1130" s="27" t="n">
        <x:v>0</x:v>
      </x:c>
    </x:row>
    <x:row r="1131" ht="21.600000381469727" hidden="0" customHeight="1">
      <x:c r="A1131" s="29" t="n">
        <x:v>376</x:v>
      </x:c>
      <x:c r="B1131" s="29" t="str">
        <x:v>A2</x:v>
      </x:c>
      <x:c r="C1131" s="48" t="n">
        <x:v>1.096082856843401</x:v>
      </x:c>
      <x:c r="D1131" s="48" t="n">
        <x:v>0.9956391576129916</x:v>
      </x:c>
      <x:c r="E1131" s="48" t="n">
        <x:v>0.9467229706209295</x:v>
      </x:c>
      <x:c r="F1131" s="48" t="n">
        <x:v>-0.19824082567870174</x:v>
      </x:c>
      <x:c r="G1131" s="48" t="n">
        <x:v>0.0010223613773854279</x:v>
      </x:c>
      <x:c r="H1131" s="48" t="n">
        <x:v>0.6931402256034038</x:v>
      </x:c>
      <x:c r="I1131" s="48" t="n">
        <x:v>0.9426312942613799</x:v>
      </x:c>
      <x:c r="J1131" s="48" t="n">
        <x:v>0.4960321782761652</x:v>
      </x:c>
      <x:c r="K1131" s="48" t="n">
        <x:v>0.7259608368168369</x:v>
      </x:c>
      <x:c r="L1131" s="48" t="n">
        <x:v>0.9948906239917354</x:v>
      </x:c>
      <x:c r="M1131" s="48" t="n">
        <x:v>0.0642831004064214</x:v>
      </x:c>
      <x:c r="N1131" s="48" t="n">
        <x:v>0.9540857988959921</x:v>
      </x:c>
      <x:c r="O1131" s="48" t="n">
        <x:v>0.9726060942209435</x:v>
      </x:c>
      <x:c r="P1131" s="48" t="n">
        <x:v>0.8479282835378983</x:v>
      </x:c>
      <x:c r="Q1131" s="48" t="n">
        <x:v>1</x:v>
      </x:c>
      <x:c r="R1131" s="48" t="n">
        <x:v>0.9661728260132924</x:v>
      </x:c>
      <x:c r="S1131" s="29" t="n">
        <x:v>0</x:v>
      </x:c>
    </x:row>
    <x:row r="1132" ht="21.600000381469727" hidden="0" customHeight="1">
      <x:c r="A1132" s="27" t="n">
        <x:v>376</x:v>
      </x:c>
      <x:c r="B1132" s="27" t="str">
        <x:v>A3</x:v>
      </x:c>
      <x:c r="C1132" s="47" t="n">
        <x:v>1.096082856843401</x:v>
      </x:c>
      <x:c r="D1132" s="47" t="n">
        <x:v>0.9956391576129916</x:v>
      </x:c>
      <x:c r="E1132" s="47" t="n">
        <x:v>0.9467229706209295</x:v>
      </x:c>
      <x:c r="F1132" s="47" t="n">
        <x:v>-0.19824082567870174</x:v>
      </x:c>
      <x:c r="G1132" s="47" t="n">
        <x:v>0.0010223613773854279</x:v>
      </x:c>
      <x:c r="H1132" s="47" t="n">
        <x:v>0.6931402256034038</x:v>
      </x:c>
      <x:c r="I1132" s="47" t="n">
        <x:v>0.9426312942613799</x:v>
      </x:c>
      <x:c r="J1132" s="47" t="n">
        <x:v>0.4960321782761652</x:v>
      </x:c>
      <x:c r="K1132" s="47" t="n">
        <x:v>0.7259608368168369</x:v>
      </x:c>
      <x:c r="L1132" s="47" t="n">
        <x:v>0.9948906239917354</x:v>
      </x:c>
      <x:c r="M1132" s="47" t="n">
        <x:v>0.0642831004064214</x:v>
      </x:c>
      <x:c r="N1132" s="47" t="n">
        <x:v>0.9540857988959921</x:v>
      </x:c>
      <x:c r="O1132" s="47" t="n">
        <x:v>1</x:v>
      </x:c>
      <x:c r="P1132" s="47" t="n">
        <x:v>1</x:v>
      </x:c>
      <x:c r="Q1132" s="47" t="n">
        <x:v>1</x:v>
      </x:c>
      <x:c r="R1132" s="47" t="n">
        <x:v>1</x:v>
      </x:c>
      <x:c r="S1132" s="27" t="n">
        <x:v>1</x:v>
      </x:c>
    </x:row>
    <x:row r="1133" ht="21.600000381469727" hidden="0" customHeight="1">
      <x:c r="A1133" s="29" t="n">
        <x:v>377</x:v>
      </x:c>
      <x:c r="B1133" s="29" t="str">
        <x:v>A1</x:v>
      </x:c>
      <x:c r="C1133" s="48" t="n">
        <x:v>1.2981621748653662</x:v>
      </x:c>
      <x:c r="D1133" s="48" t="n">
        <x:v>0.8233533311783193</x:v>
      </x:c>
      <x:c r="E1133" s="48" t="n">
        <x:v>0.5981755477843289</x:v>
      </x:c>
      <x:c r="F1133" s="48" t="n">
        <x:v>-0.058214911792174945</x:v>
      </x:c>
      <x:c r="G1133" s="48" t="n">
        <x:v>0.013434904121501168</x:v>
      </x:c>
      <x:c r="H1133" s="48" t="n">
        <x:v>0.7876448797866039</x:v>
      </x:c>
      <x:c r="I1133" s="48" t="n">
        <x:v>0.9839909037970433</x:v>
      </x:c>
      <x:c r="J1133" s="48" t="n">
        <x:v>0.43091697417141045</x:v>
      </x:c>
      <x:c r="K1133" s="48" t="n">
        <x:v>0.7432619657909958</x:v>
      </x:c>
      <x:c r="L1133" s="48" t="n">
        <x:v>0.9726024990500142</x:v>
      </x:c>
      <x:c r="M1133" s="48" t="n">
        <x:v>0.10355530008790434</x:v>
      </x:c>
      <x:c r="N1133" s="48" t="n">
        <x:v>0.7183683252107591</x:v>
      </x:c>
      <x:c r="O1133" s="48" t="n">
        <x:v>0.751173371019159</x:v>
      </x:c>
      <x:c r="P1133" s="48" t="n">
        <x:v>0.4481389824337522</x:v>
      </x:c>
      <x:c r="Q1133" s="48" t="n">
        <x:v>0.9999999999999999</x:v>
      </x:c>
      <x:c r="R1133" s="48" t="n">
        <x:v>0.6927381681550507</x:v>
      </x:c>
      <x:c r="S1133" s="29" t="n">
        <x:v>0</x:v>
      </x:c>
    </x:row>
    <x:row r="1134" ht="21.600000381469727" hidden="0" customHeight="1">
      <x:c r="A1134" s="27" t="n">
        <x:v>377</x:v>
      </x:c>
      <x:c r="B1134" s="27" t="str">
        <x:v>A2</x:v>
      </x:c>
      <x:c r="C1134" s="47" t="n">
        <x:v>1.2981621748653662</x:v>
      </x:c>
      <x:c r="D1134" s="47" t="n">
        <x:v>0.8233533311783193</x:v>
      </x:c>
      <x:c r="E1134" s="47" t="n">
        <x:v>0.5981755477843289</x:v>
      </x:c>
      <x:c r="F1134" s="47" t="n">
        <x:v>-0.058214911792174945</x:v>
      </x:c>
      <x:c r="G1134" s="47" t="n">
        <x:v>0.013434904121501168</x:v>
      </x:c>
      <x:c r="H1134" s="47" t="n">
        <x:v>0.7876448797866039</x:v>
      </x:c>
      <x:c r="I1134" s="47" t="n">
        <x:v>0.9839909037970433</x:v>
      </x:c>
      <x:c r="J1134" s="47" t="n">
        <x:v>0.43091697417141045</x:v>
      </x:c>
      <x:c r="K1134" s="47" t="n">
        <x:v>0.7432619657909958</x:v>
      </x:c>
      <x:c r="L1134" s="47" t="n">
        <x:v>0.9726024990500142</x:v>
      </x:c>
      <x:c r="M1134" s="47" t="n">
        <x:v>0.10355530008790434</x:v>
      </x:c>
      <x:c r="N1134" s="47" t="n">
        <x:v>0.7183683252107591</x:v>
      </x:c>
      <x:c r="O1134" s="47" t="n">
        <x:v>0.8401876221871187</x:v>
      </x:c>
      <x:c r="P1134" s="47" t="n">
        <x:v>0.5775230062002927</x:v>
      </x:c>
      <x:c r="Q1134" s="47" t="n">
        <x:v>1</x:v>
      </x:c>
      <x:c r="R1134" s="47" t="n">
        <x:v>0.8026567969858887</x:v>
      </x:c>
      <x:c r="S1134" s="27" t="n">
        <x:v>0</x:v>
      </x:c>
    </x:row>
    <x:row r="1135" ht="21.600000381469727" hidden="0" customHeight="1">
      <x:c r="A1135" s="29" t="n">
        <x:v>377</x:v>
      </x:c>
      <x:c r="B1135" s="29" t="str">
        <x:v>A3</x:v>
      </x:c>
      <x:c r="C1135" s="48" t="n">
        <x:v>1.2981621748653662</x:v>
      </x:c>
      <x:c r="D1135" s="48" t="n">
        <x:v>0.8233533311783193</x:v>
      </x:c>
      <x:c r="E1135" s="48" t="n">
        <x:v>0.5981755477843289</x:v>
      </x:c>
      <x:c r="F1135" s="48" t="n">
        <x:v>-0.058214911792174945</x:v>
      </x:c>
      <x:c r="G1135" s="48" t="n">
        <x:v>0.013434904121501168</x:v>
      </x:c>
      <x:c r="H1135" s="48" t="n">
        <x:v>0.7876448797866039</x:v>
      </x:c>
      <x:c r="I1135" s="48" t="n">
        <x:v>0.9839909037970433</x:v>
      </x:c>
      <x:c r="J1135" s="48" t="n">
        <x:v>0.43091697417141045</x:v>
      </x:c>
      <x:c r="K1135" s="48" t="n">
        <x:v>0.7432619657909958</x:v>
      </x:c>
      <x:c r="L1135" s="48" t="n">
        <x:v>0.9726024990500142</x:v>
      </x:c>
      <x:c r="M1135" s="48" t="n">
        <x:v>0.10355530008790434</x:v>
      </x:c>
      <x:c r="N1135" s="48" t="n">
        <x:v>0.7183683252107591</x:v>
      </x:c>
      <x:c r="O1135" s="48" t="n">
        <x:v>1</x:v>
      </x:c>
      <x:c r="P1135" s="48" t="n">
        <x:v>1</x:v>
      </x:c>
      <x:c r="Q1135" s="48" t="n">
        <x:v>1</x:v>
      </x:c>
      <x:c r="R1135" s="48" t="n">
        <x:v>1</x:v>
      </x:c>
      <x:c r="S1135" s="29" t="n">
        <x:v>1</x:v>
      </x:c>
    </x:row>
    <x:row r="1136" ht="21.600000381469727" hidden="0" customHeight="1">
      <x:c r="A1136" s="27" t="n">
        <x:v>378</x:v>
      </x:c>
      <x:c r="B1136" s="27" t="str">
        <x:v>A1</x:v>
      </x:c>
      <x:c r="C1136" s="47" t="n">
        <x:v>1.110642126471099</x:v>
      </x:c>
      <x:c r="D1136" s="47" t="n">
        <x:v>0.8900432051193972</x:v>
      </x:c>
      <x:c r="E1136" s="47" t="n">
        <x:v>1.0043920576483827</x:v>
      </x:c>
      <x:c r="F1136" s="47" t="n">
        <x:v>-0.010286512490012528</x:v>
      </x:c>
      <x:c r="G1136" s="47" t="n">
        <x:v>-0.09155018118059513</x:v>
      </x:c>
      <x:c r="H1136" s="47" t="n">
        <x:v>0.7904136730743706</x:v>
      </x:c>
      <x:c r="I1136" s="47" t="n">
        <x:v>0.6011210295326225</x:v>
      </x:c>
      <x:c r="J1136" s="47" t="n">
        <x:v>0.564884555625223</x:v>
      </x:c>
      <x:c r="K1136" s="47" t="n">
        <x:v>0.6853536588020328</x:v>
      </x:c>
      <x:c r="L1136" s="47" t="n">
        <x:v>0.7959266286075555</x:v>
      </x:c>
      <x:c r="M1136" s="47" t="n">
        <x:v>0.04917871836217152</x:v>
      </x:c>
      <x:c r="N1136" s="47" t="n">
        <x:v>0.8638328736432166</x:v>
      </x:c>
      <x:c r="O1136" s="47" t="n">
        <x:v>0.8680958173163216</x:v>
      </x:c>
      <x:c r="P1136" s="47" t="n">
        <x:v>0.5731219182290391</x:v>
      </x:c>
      <x:c r="Q1136" s="47" t="n">
        <x:v>1</x:v>
      </x:c>
      <x:c r="R1136" s="47" t="n">
        <x:v>0.8371190375989924</x:v>
      </x:c>
      <x:c r="S1136" s="27" t="n">
        <x:v>0</x:v>
      </x:c>
    </x:row>
    <x:row r="1137" ht="21.600000381469727" hidden="0" customHeight="1">
      <x:c r="A1137" s="29" t="n">
        <x:v>378</x:v>
      </x:c>
      <x:c r="B1137" s="29" t="str">
        <x:v>A2</x:v>
      </x:c>
      <x:c r="C1137" s="48" t="n">
        <x:v>1.110642126471099</x:v>
      </x:c>
      <x:c r="D1137" s="48" t="n">
        <x:v>0.8900432051193972</x:v>
      </x:c>
      <x:c r="E1137" s="48" t="n">
        <x:v>1.0043920576483827</x:v>
      </x:c>
      <x:c r="F1137" s="48" t="n">
        <x:v>-0.010286512490012528</x:v>
      </x:c>
      <x:c r="G1137" s="48" t="n">
        <x:v>-0.09155018118059513</x:v>
      </x:c>
      <x:c r="H1137" s="48" t="n">
        <x:v>0.7904136730743706</x:v>
      </x:c>
      <x:c r="I1137" s="48" t="n">
        <x:v>0.6011210295326225</x:v>
      </x:c>
      <x:c r="J1137" s="48" t="n">
        <x:v>0.564884555625223</x:v>
      </x:c>
      <x:c r="K1137" s="48" t="n">
        <x:v>0.6853536588020328</x:v>
      </x:c>
      <x:c r="L1137" s="48" t="n">
        <x:v>0.7959266286075555</x:v>
      </x:c>
      <x:c r="M1137" s="48" t="n">
        <x:v>0.04917871836217152</x:v>
      </x:c>
      <x:c r="N1137" s="48" t="n">
        <x:v>0.8638328736432166</x:v>
      </x:c>
      <x:c r="O1137" s="48" t="n">
        <x:v>0.9372663388981672</x:v>
      </x:c>
      <x:c r="P1137" s="48" t="n">
        <x:v>0.6953072040730862</x:v>
      </x:c>
      <x:c r="Q1137" s="48" t="n">
        <x:v>1</x:v>
      </x:c>
      <x:c r="R1137" s="48" t="n">
        <x:v>0.9225337749924927</x:v>
      </x:c>
      <x:c r="S1137" s="29" t="n">
        <x:v>0</x:v>
      </x:c>
    </x:row>
    <x:row r="1138" ht="21.600000381469727" hidden="0" customHeight="1">
      <x:c r="A1138" s="27" t="n">
        <x:v>378</x:v>
      </x:c>
      <x:c r="B1138" s="27" t="str">
        <x:v>A3</x:v>
      </x:c>
      <x:c r="C1138" s="47" t="n">
        <x:v>1.110642126471099</x:v>
      </x:c>
      <x:c r="D1138" s="47" t="n">
        <x:v>0.8900432051193972</x:v>
      </x:c>
      <x:c r="E1138" s="47" t="n">
        <x:v>1.0043920576483827</x:v>
      </x:c>
      <x:c r="F1138" s="47" t="n">
        <x:v>-0.010286512490012528</x:v>
      </x:c>
      <x:c r="G1138" s="47" t="n">
        <x:v>-0.09155018118059513</x:v>
      </x:c>
      <x:c r="H1138" s="47" t="n">
        <x:v>0.7904136730743706</x:v>
      </x:c>
      <x:c r="I1138" s="47" t="n">
        <x:v>0.6011210295326225</x:v>
      </x:c>
      <x:c r="J1138" s="47" t="n">
        <x:v>0.564884555625223</x:v>
      </x:c>
      <x:c r="K1138" s="47" t="n">
        <x:v>0.6853536588020328</x:v>
      </x:c>
      <x:c r="L1138" s="47" t="n">
        <x:v>0.7959266286075555</x:v>
      </x:c>
      <x:c r="M1138" s="47" t="n">
        <x:v>0.04917871836217152</x:v>
      </x:c>
      <x:c r="N1138" s="47" t="n">
        <x:v>0.8638328736432166</x:v>
      </x:c>
      <x:c r="O1138" s="47" t="n">
        <x:v>1</x:v>
      </x:c>
      <x:c r="P1138" s="47" t="n">
        <x:v>1</x:v>
      </x:c>
      <x:c r="Q1138" s="47" t="n">
        <x:v>1</x:v>
      </x:c>
      <x:c r="R1138" s="47" t="n">
        <x:v>1.0000000000000002</x:v>
      </x:c>
      <x:c r="S1138" s="27" t="n">
        <x:v>1</x:v>
      </x:c>
    </x:row>
    <x:row r="1139" ht="21.600000381469727" hidden="0" customHeight="1">
      <x:c r="A1139" s="29" t="n">
        <x:v>379</x:v>
      </x:c>
      <x:c r="B1139" s="29" t="str">
        <x:v>A1</x:v>
      </x:c>
      <x:c r="C1139" s="48" t="n">
        <x:v>0.9751539867285705</x:v>
      </x:c>
      <x:c r="D1139" s="48" t="n">
        <x:v>0.9849954469377908</x:v>
      </x:c>
      <x:c r="E1139" s="48" t="n">
        <x:v>1.0223342313673895</x:v>
      </x:c>
      <x:c r="F1139" s="48" t="n">
        <x:v>-0.18963189997435664</x:v>
      </x:c>
      <x:c r="G1139" s="48" t="n">
        <x:v>-0.139697412704126</x:v>
      </x:c>
      <x:c r="H1139" s="48" t="n">
        <x:v>0.9763213789220644</x:v>
      </x:c>
      <x:c r="I1139" s="48" t="n">
        <x:v>0.8063894867369181</x:v>
      </x:c>
      <x:c r="J1139" s="48" t="n">
        <x:v>0.6059325527566793</x:v>
      </x:c>
      <x:c r="K1139" s="48" t="n">
        <x:v>0.7564097751982397</x:v>
      </x:c>
      <x:c r="L1139" s="48" t="n">
        <x:v>0.5522477125176719</x:v>
      </x:c>
      <x:c r="M1139" s="48" t="n">
        <x:v>0.028074196547759417</x:v>
      </x:c>
      <x:c r="N1139" s="48" t="n">
        <x:v>0.7400695177653805</x:v>
      </x:c>
      <x:c r="O1139" s="48" t="n">
        <x:v>0.9436870998870351</x:v>
      </x:c>
      <x:c r="P1139" s="48" t="n">
        <x:v>0.7945045741644543</x:v>
      </x:c>
      <x:c r="Q1139" s="48" t="n">
        <x:v>1</x:v>
      </x:c>
      <x:c r="R1139" s="48" t="n">
        <x:v>0.9304624070338406</x:v>
      </x:c>
      <x:c r="S1139" s="29" t="n">
        <x:v>0</x:v>
      </x:c>
    </x:row>
    <x:row r="1140" ht="21.600000381469727" hidden="0" customHeight="1">
      <x:c r="A1140" s="27" t="n">
        <x:v>379</x:v>
      </x:c>
      <x:c r="B1140" s="27" t="str">
        <x:v>A2</x:v>
      </x:c>
      <x:c r="C1140" s="47" t="n">
        <x:v>0.9751539867285705</x:v>
      </x:c>
      <x:c r="D1140" s="47" t="n">
        <x:v>0.9849954469377908</x:v>
      </x:c>
      <x:c r="E1140" s="47" t="n">
        <x:v>1.0223342313673895</x:v>
      </x:c>
      <x:c r="F1140" s="47" t="n">
        <x:v>-0.18963189997435664</x:v>
      </x:c>
      <x:c r="G1140" s="47" t="n">
        <x:v>-0.139697412704126</x:v>
      </x:c>
      <x:c r="H1140" s="47" t="n">
        <x:v>0.9763213789220644</x:v>
      </x:c>
      <x:c r="I1140" s="47" t="n">
        <x:v>0.8063894867369181</x:v>
      </x:c>
      <x:c r="J1140" s="47" t="n">
        <x:v>0.6059325527566793</x:v>
      </x:c>
      <x:c r="K1140" s="47" t="n">
        <x:v>0.7564097751982397</x:v>
      </x:c>
      <x:c r="L1140" s="47" t="n">
        <x:v>0.5522477125176719</x:v>
      </x:c>
      <x:c r="M1140" s="47" t="n">
        <x:v>0.028074196547759417</x:v>
      </x:c>
      <x:c r="N1140" s="47" t="n">
        <x:v>0.7400695177653805</x:v>
      </x:c>
      <x:c r="O1140" s="47" t="n">
        <x:v>0.9972854878493078</x:v>
      </x:c>
      <x:c r="P1140" s="47" t="n">
        <x:v>0.9728548784930782</x:v>
      </x:c>
      <x:c r="Q1140" s="47" t="n">
        <x:v>1</x:v>
      </x:c>
      <x:c r="R1140" s="47" t="n">
        <x:v>0.996648003554108</x:v>
      </x:c>
      <x:c r="S1140" s="27" t="n">
        <x:v>1</x:v>
      </x:c>
    </x:row>
    <x:row r="1141" ht="21.600000381469727" hidden="0" customHeight="1">
      <x:c r="A1141" s="29" t="n">
        <x:v>379</x:v>
      </x:c>
      <x:c r="B1141" s="29" t="str">
        <x:v>A3</x:v>
      </x:c>
      <x:c r="C1141" s="48" t="n">
        <x:v>0.9751539867285705</x:v>
      </x:c>
      <x:c r="D1141" s="48" t="n">
        <x:v>0.9849954469377908</x:v>
      </x:c>
      <x:c r="E1141" s="48" t="n">
        <x:v>1.0223342313673895</x:v>
      </x:c>
      <x:c r="F1141" s="48" t="n">
        <x:v>-0.18963189997435664</x:v>
      </x:c>
      <x:c r="G1141" s="48" t="n">
        <x:v>-0.139697412704126</x:v>
      </x:c>
      <x:c r="H1141" s="48" t="n">
        <x:v>0.9763213789220644</x:v>
      </x:c>
      <x:c r="I1141" s="48" t="n">
        <x:v>0.8063894867369181</x:v>
      </x:c>
      <x:c r="J1141" s="48" t="n">
        <x:v>0.6059325527566793</x:v>
      </x:c>
      <x:c r="K1141" s="48" t="n">
        <x:v>0.7564097751982397</x:v>
      </x:c>
      <x:c r="L1141" s="48" t="n">
        <x:v>0.5522477125176719</x:v>
      </x:c>
      <x:c r="M1141" s="48" t="n">
        <x:v>0.028074196547759417</x:v>
      </x:c>
      <x:c r="N1141" s="48" t="n">
        <x:v>0.7400695177653805</x:v>
      </x:c>
      <x:c r="O1141" s="48" t="n">
        <x:v>1</x:v>
      </x:c>
      <x:c r="P1141" s="48" t="n">
        <x:v>1</x:v>
      </x:c>
      <x:c r="Q1141" s="48" t="n">
        <x:v>1</x:v>
      </x:c>
      <x:c r="R1141" s="48" t="n">
        <x:v>1</x:v>
      </x:c>
      <x:c r="S1141" s="29" t="n">
        <x:v>1</x:v>
      </x:c>
    </x:row>
    <x:row r="1142" ht="21.600000381469727" hidden="0" customHeight="1">
      <x:c r="A1142" s="27" t="n">
        <x:v>380</x:v>
      </x:c>
      <x:c r="B1142" s="27" t="str">
        <x:v>A1</x:v>
      </x:c>
      <x:c r="C1142" s="47" t="n">
        <x:v>1.2735946882612115</x:v>
      </x:c>
      <x:c r="D1142" s="47" t="n">
        <x:v>0.7662054945381218</x:v>
      </x:c>
      <x:c r="E1142" s="47" t="n">
        <x:v>0.5160294659577084</x:v>
      </x:c>
      <x:c r="F1142" s="47" t="n">
        <x:v>-0.02865293217194312</x:v>
      </x:c>
      <x:c r="G1142" s="47" t="n">
        <x:v>-0.14648302489865894</x:v>
      </x:c>
      <x:c r="H1142" s="47" t="n">
        <x:v>0.6229216725518516</x:v>
      </x:c>
      <x:c r="I1142" s="47" t="n">
        <x:v>0.7415363270428541</x:v>
      </x:c>
      <x:c r="J1142" s="47" t="n">
        <x:v>0.6548542587151163</x:v>
      </x:c>
      <x:c r="K1142" s="47" t="n">
        <x:v>0.7103262592098524</x:v>
      </x:c>
      <x:c r="L1142" s="47" t="n">
        <x:v>0.9211996054291784</x:v>
      </x:c>
      <x:c r="M1142" s="47" t="n">
        <x:v>0.06873500641498383</x:v>
      </x:c>
      <x:c r="N1142" s="47" t="n">
        <x:v>0.8562947128181497</x:v>
      </x:c>
      <x:c r="O1142" s="47" t="n">
        <x:v>0.7317494378177261</x:v>
      </x:c>
      <x:c r="P1142" s="47" t="n">
        <x:v>0.45669916785866754</x:v>
      </x:c>
      <x:c r="Q1142" s="47" t="n">
        <x:v>0.9984144850460646</x:v>
      </x:c>
      <x:c r="R1142" s="47" t="n">
        <x:v>0.6690091701207174</x:v>
      </x:c>
      <x:c r="S1142" s="27" t="n">
        <x:v>0</x:v>
      </x:c>
    </x:row>
    <x:row r="1143" ht="21.600000381469727" hidden="0" customHeight="1">
      <x:c r="A1143" s="29" t="n">
        <x:v>380</x:v>
      </x:c>
      <x:c r="B1143" s="29" t="str">
        <x:v>A2</x:v>
      </x:c>
      <x:c r="C1143" s="48" t="n">
        <x:v>1.2735946882612115</x:v>
      </x:c>
      <x:c r="D1143" s="48" t="n">
        <x:v>0.7662054945381218</x:v>
      </x:c>
      <x:c r="E1143" s="48" t="n">
        <x:v>0.5160294659577084</x:v>
      </x:c>
      <x:c r="F1143" s="48" t="n">
        <x:v>-0.02865293217194312</x:v>
      </x:c>
      <x:c r="G1143" s="48" t="n">
        <x:v>-0.14648302489865894</x:v>
      </x:c>
      <x:c r="H1143" s="48" t="n">
        <x:v>0.6229216725518516</x:v>
      </x:c>
      <x:c r="I1143" s="48" t="n">
        <x:v>0.7415363270428541</x:v>
      </x:c>
      <x:c r="J1143" s="48" t="n">
        <x:v>0.6548542587151163</x:v>
      </x:c>
      <x:c r="K1143" s="48" t="n">
        <x:v>0.7103262592098524</x:v>
      </x:c>
      <x:c r="L1143" s="48" t="n">
        <x:v>0.9211996054291784</x:v>
      </x:c>
      <x:c r="M1143" s="48" t="n">
        <x:v>0.06873500641498383</x:v>
      </x:c>
      <x:c r="N1143" s="48" t="n">
        <x:v>0.8562947128181497</x:v>
      </x:c>
      <x:c r="O1143" s="48" t="n">
        <x:v>0.7930158255886282</x:v>
      </x:c>
      <x:c r="P1143" s="48" t="n">
        <x:v>0.43668101974856444</x:v>
      </x:c>
      <x:c r="Q1143" s="48" t="n">
        <x:v>1</x:v>
      </x:c>
      <x:c r="R1143" s="48" t="n">
        <x:v>0.7444070321048735</x:v>
      </x:c>
      <x:c r="S1143" s="29" t="n">
        <x:v>0</x:v>
      </x:c>
    </x:row>
    <x:row r="1144" ht="21.600000381469727" hidden="0" customHeight="1">
      <x:c r="A1144" s="27" t="n">
        <x:v>380</x:v>
      </x:c>
      <x:c r="B1144" s="27" t="str">
        <x:v>A3</x:v>
      </x:c>
      <x:c r="C1144" s="47" t="n">
        <x:v>1.2735946882612115</x:v>
      </x:c>
      <x:c r="D1144" s="47" t="n">
        <x:v>0.7662054945381218</x:v>
      </x:c>
      <x:c r="E1144" s="47" t="n">
        <x:v>0.5160294659577084</x:v>
      </x:c>
      <x:c r="F1144" s="47" t="n">
        <x:v>-0.02865293217194312</x:v>
      </x:c>
      <x:c r="G1144" s="47" t="n">
        <x:v>-0.14648302489865894</x:v>
      </x:c>
      <x:c r="H1144" s="47" t="n">
        <x:v>0.6229216725518516</x:v>
      </x:c>
      <x:c r="I1144" s="47" t="n">
        <x:v>0.7415363270428541</x:v>
      </x:c>
      <x:c r="J1144" s="47" t="n">
        <x:v>0.6548542587151163</x:v>
      </x:c>
      <x:c r="K1144" s="47" t="n">
        <x:v>0.7103262592098524</x:v>
      </x:c>
      <x:c r="L1144" s="47" t="n">
        <x:v>0.9211996054291784</x:v>
      </x:c>
      <x:c r="M1144" s="47" t="n">
        <x:v>0.06873500641498383</x:v>
      </x:c>
      <x:c r="N1144" s="47" t="n">
        <x:v>0.8562947128181497</x:v>
      </x:c>
      <x:c r="O1144" s="47" t="n">
        <x:v>1</x:v>
      </x:c>
      <x:c r="P1144" s="47" t="n">
        <x:v>1</x:v>
      </x:c>
      <x:c r="Q1144" s="47" t="n">
        <x:v>1</x:v>
      </x:c>
      <x:c r="R1144" s="47" t="n">
        <x:v>1</x:v>
      </x:c>
      <x:c r="S1144" s="27" t="n">
        <x:v>1</x:v>
      </x:c>
    </x:row>
    <x:row r="1145" ht="15" hidden="0" customHeight="1">
      <x:c r="A1145" s="29" t="n">
        <x:v>381</x:v>
      </x:c>
      <x:c r="B1145" s="29" t="str">
        <x:v>A1</x:v>
      </x:c>
      <x:c r="C1145" s="48" t="n">
        <x:v>0.9560255000350728</x:v>
      </x:c>
      <x:c r="D1145" s="48" t="n">
        <x:v>0.8086192580539704</x:v>
      </x:c>
      <x:c r="E1145" s="48" t="n">
        <x:v>0.631126579011058</x:v>
      </x:c>
      <x:c r="F1145" s="48" t="n">
        <x:v>-0.12657866954549993</x:v>
      </x:c>
      <x:c r="G1145" s="48" t="n">
        <x:v>-0.0389461799118857</x:v>
      </x:c>
      <x:c r="H1145" s="48" t="n">
        <x:v>0.34925716529009926</x:v>
      </x:c>
      <x:c r="I1145" s="48" t="n">
        <x:v>0.7807459603752451</x:v>
      </x:c>
      <x:c r="J1145" s="48" t="n">
        <x:v>0.583954113261044</x:v>
      </x:c>
      <x:c r="K1145" s="48" t="n">
        <x:v>0.9487273102194304</x:v>
      </x:c>
      <x:c r="L1145" s="48" t="n">
        <x:v>0.7125558102445366</x:v>
      </x:c>
      <x:c r="M1145" s="48" t="n">
        <x:v>0.0061787191935070715</x:v>
      </x:c>
      <x:c r="N1145" s="48" t="n">
        <x:v>0.7469050540642921</x:v>
      </x:c>
      <x:c r="O1145" s="48" t="n">
        <x:v>0.8967044904839016</x:v>
      </x:c>
      <x:c r="P1145" s="48" t="n">
        <x:v>0.7010806692887673</x:v>
      </x:c>
      <x:c r="Q1145" s="48" t="n">
        <x:v>1</x:v>
      </x:c>
      <x:c r="R1145" s="48" t="n">
        <x:v>0.8724462586449395</x:v>
      </x:c>
      <x:c r="S1145" s="29" t="n">
        <x:v>0</x:v>
      </x:c>
    </x:row>
    <x:row r="1146" ht="15" hidden="0" customHeight="1">
      <x:c r="A1146" s="27" t="n">
        <x:v>381</x:v>
      </x:c>
      <x:c r="B1146" s="27" t="str">
        <x:v>A2</x:v>
      </x:c>
      <x:c r="C1146" s="47" t="n">
        <x:v>0.9560255000350728</x:v>
      </x:c>
      <x:c r="D1146" s="47" t="n">
        <x:v>0.8086192580539704</x:v>
      </x:c>
      <x:c r="E1146" s="47" t="n">
        <x:v>0.631126579011058</x:v>
      </x:c>
      <x:c r="F1146" s="47" t="n">
        <x:v>-0.12657866954549993</x:v>
      </x:c>
      <x:c r="G1146" s="47" t="n">
        <x:v>-0.0389461799118857</x:v>
      </x:c>
      <x:c r="H1146" s="47" t="n">
        <x:v>0.34925716529009926</x:v>
      </x:c>
      <x:c r="I1146" s="47" t="n">
        <x:v>0.7807459603752451</x:v>
      </x:c>
      <x:c r="J1146" s="47" t="n">
        <x:v>0.583954113261044</x:v>
      </x:c>
      <x:c r="K1146" s="47" t="n">
        <x:v>0.9487273102194304</x:v>
      </x:c>
      <x:c r="L1146" s="47" t="n">
        <x:v>0.7125558102445366</x:v>
      </x:c>
      <x:c r="M1146" s="47" t="n">
        <x:v>0.0061787191935070715</x:v>
      </x:c>
      <x:c r="N1146" s="47" t="n">
        <x:v>0.7469050540642921</x:v>
      </x:c>
      <x:c r="O1146" s="47" t="n">
        <x:v>0.9804286353481335</x:v>
      </x:c>
      <x:c r="P1146" s="47" t="n">
        <x:v>0.8245975387447347</x:v>
      </x:c>
      <x:c r="Q1146" s="47" t="n">
        <x:v>1</x:v>
      </x:c>
      <x:c r="R1146" s="47" t="n">
        <x:v>0.9758324365070227</x:v>
      </x:c>
      <x:c r="S1146" s="27" t="n">
        <x:v>0</x:v>
      </x:c>
    </x:row>
    <x:row r="1147" ht="15" hidden="0" customHeight="1">
      <x:c r="A1147" s="29" t="n">
        <x:v>381</x:v>
      </x:c>
      <x:c r="B1147" s="29" t="str">
        <x:v>A3</x:v>
      </x:c>
      <x:c r="C1147" s="48" t="n">
        <x:v>0.9560255000350728</x:v>
      </x:c>
      <x:c r="D1147" s="48" t="n">
        <x:v>0.8086192580539704</x:v>
      </x:c>
      <x:c r="E1147" s="48" t="n">
        <x:v>0.631126579011058</x:v>
      </x:c>
      <x:c r="F1147" s="48" t="n">
        <x:v>-0.12657866954549993</x:v>
      </x:c>
      <x:c r="G1147" s="48" t="n">
        <x:v>-0.0389461799118857</x:v>
      </x:c>
      <x:c r="H1147" s="48" t="n">
        <x:v>0.34925716529009926</x:v>
      </x:c>
      <x:c r="I1147" s="48" t="n">
        <x:v>0.7807459603752451</x:v>
      </x:c>
      <x:c r="J1147" s="48" t="n">
        <x:v>0.583954113261044</x:v>
      </x:c>
      <x:c r="K1147" s="48" t="n">
        <x:v>0.9487273102194304</x:v>
      </x:c>
      <x:c r="L1147" s="48" t="n">
        <x:v>0.7125558102445366</x:v>
      </x:c>
      <x:c r="M1147" s="48" t="n">
        <x:v>0.0061787191935070715</x:v>
      </x:c>
      <x:c r="N1147" s="48" t="n">
        <x:v>0.7469050540642921</x:v>
      </x:c>
      <x:c r="O1147" s="48" t="n">
        <x:v>1</x:v>
      </x:c>
      <x:c r="P1147" s="48" t="n">
        <x:v>1</x:v>
      </x:c>
      <x:c r="Q1147" s="48" t="n">
        <x:v>1</x:v>
      </x:c>
      <x:c r="R1147" s="48" t="n">
        <x:v>1</x:v>
      </x:c>
      <x:c r="S1147" s="29" t="n">
        <x:v>1</x:v>
      </x:c>
    </x:row>
    <x:row r="1148" ht="21.600000381469727" hidden="0" customHeight="1">
      <x:c r="A1148" s="27" t="n">
        <x:v>382</x:v>
      </x:c>
      <x:c r="B1148" s="27" t="str">
        <x:v>A1</x:v>
      </x:c>
      <x:c r="C1148" s="47" t="n">
        <x:v>0.9820962558855295</x:v>
      </x:c>
      <x:c r="D1148" s="47" t="n">
        <x:v>0.8581995507540188</x:v>
      </x:c>
      <x:c r="E1148" s="47" t="n">
        <x:v>0.5535394347201602</x:v>
      </x:c>
      <x:c r="F1148" s="47" t="n">
        <x:v>0.007531564938112079</x:v>
      </x:c>
      <x:c r="G1148" s="47" t="n">
        <x:v>-0.19965974659194605</x:v>
      </x:c>
      <x:c r="H1148" s="47" t="n">
        <x:v>0.8232361489313191</x:v>
      </x:c>
      <x:c r="I1148" s="47" t="n">
        <x:v>0.7403785210998125</x:v>
      </x:c>
      <x:c r="J1148" s="47" t="n">
        <x:v>0.908587232289282</x:v>
      </x:c>
      <x:c r="K1148" s="47" t="n">
        <x:v>0.6994986256543247</x:v>
      </x:c>
      <x:c r="L1148" s="47" t="n">
        <x:v>0.6702569861120599</x:v>
      </x:c>
      <x:c r="M1148" s="47" t="n">
        <x:v>0.1387182579100439</x:v>
      </x:c>
      <x:c r="N1148" s="47" t="n">
        <x:v>0.8901881490800667</x:v>
      </x:c>
      <x:c r="O1148" s="47" t="n">
        <x:v>0.9055240662654098</x:v>
      </x:c>
      <x:c r="P1148" s="47" t="n">
        <x:v>0.49645045659468695</x:v>
      </x:c>
      <x:c r="Q1148" s="47" t="n">
        <x:v>1</x:v>
      </x:c>
      <x:c r="R1148" s="47" t="n">
        <x:v>0.8833370504457247</x:v>
      </x:c>
      <x:c r="S1148" s="27" t="n">
        <x:v>0</x:v>
      </x:c>
    </x:row>
    <x:row r="1149" ht="21.600000381469727" hidden="0" customHeight="1">
      <x:c r="A1149" s="29" t="n">
        <x:v>382</x:v>
      </x:c>
      <x:c r="B1149" s="29" t="str">
        <x:v>A2</x:v>
      </x:c>
      <x:c r="C1149" s="48" t="n">
        <x:v>0.9820962558855295</x:v>
      </x:c>
      <x:c r="D1149" s="48" t="n">
        <x:v>0.8581995507540188</x:v>
      </x:c>
      <x:c r="E1149" s="48" t="n">
        <x:v>0.5535394347201602</x:v>
      </x:c>
      <x:c r="F1149" s="48" t="n">
        <x:v>0.007531564938112079</x:v>
      </x:c>
      <x:c r="G1149" s="48" t="n">
        <x:v>-0.19965974659194605</x:v>
      </x:c>
      <x:c r="H1149" s="48" t="n">
        <x:v>0.8232361489313191</x:v>
      </x:c>
      <x:c r="I1149" s="48" t="n">
        <x:v>0.7403785210998125</x:v>
      </x:c>
      <x:c r="J1149" s="48" t="n">
        <x:v>0.908587232289282</x:v>
      </x:c>
      <x:c r="K1149" s="48" t="n">
        <x:v>0.6994986256543247</x:v>
      </x:c>
      <x:c r="L1149" s="48" t="n">
        <x:v>0.6702569861120599</x:v>
      </x:c>
      <x:c r="M1149" s="48" t="n">
        <x:v>0.1387182579100439</x:v>
      </x:c>
      <x:c r="N1149" s="48" t="n">
        <x:v>0.8901881490800667</x:v>
      </x:c>
      <x:c r="O1149" s="48" t="n">
        <x:v>0.9551353695670696</x:v>
      </x:c>
      <x:c r="P1149" s="48" t="n">
        <x:v>0.7419737860201752</x:v>
      </x:c>
      <x:c r="Q1149" s="48" t="n">
        <x:v>1</x:v>
      </x:c>
      <x:c r="R1149" s="48" t="n">
        <x:v>0.9445992232088218</x:v>
      </x:c>
      <x:c r="S1149" s="29" t="n">
        <x:v>0</x:v>
      </x:c>
    </x:row>
    <x:row r="1150" ht="21.600000381469727" hidden="0" customHeight="1">
      <x:c r="A1150" s="27" t="n">
        <x:v>382</x:v>
      </x:c>
      <x:c r="B1150" s="27" t="str">
        <x:v>A3</x:v>
      </x:c>
      <x:c r="C1150" s="47" t="n">
        <x:v>0.9820962558855295</x:v>
      </x:c>
      <x:c r="D1150" s="47" t="n">
        <x:v>0.8581995507540188</x:v>
      </x:c>
      <x:c r="E1150" s="47" t="n">
        <x:v>0.5535394347201602</x:v>
      </x:c>
      <x:c r="F1150" s="47" t="n">
        <x:v>0.007531564938112079</x:v>
      </x:c>
      <x:c r="G1150" s="47" t="n">
        <x:v>-0.19965974659194605</x:v>
      </x:c>
      <x:c r="H1150" s="47" t="n">
        <x:v>0.8232361489313191</x:v>
      </x:c>
      <x:c r="I1150" s="47" t="n">
        <x:v>0.7403785210998125</x:v>
      </x:c>
      <x:c r="J1150" s="47" t="n">
        <x:v>0.908587232289282</x:v>
      </x:c>
      <x:c r="K1150" s="47" t="n">
        <x:v>0.6994986256543247</x:v>
      </x:c>
      <x:c r="L1150" s="47" t="n">
        <x:v>0.6702569861120599</x:v>
      </x:c>
      <x:c r="M1150" s="47" t="n">
        <x:v>0.1387182579100439</x:v>
      </x:c>
      <x:c r="N1150" s="47" t="n">
        <x:v>0.8901881490800667</x:v>
      </x:c>
      <x:c r="O1150" s="47" t="n">
        <x:v>1</x:v>
      </x:c>
      <x:c r="P1150" s="47" t="n">
        <x:v>1</x:v>
      </x:c>
      <x:c r="Q1150" s="47" t="n">
        <x:v>1</x:v>
      </x:c>
      <x:c r="R1150" s="47" t="n">
        <x:v>1</x:v>
      </x:c>
      <x:c r="S1150" s="27" t="n">
        <x:v>1</x:v>
      </x:c>
    </x:row>
    <x:row r="1151" ht="21.600000381469727" hidden="0" customHeight="1">
      <x:c r="A1151" s="29" t="n">
        <x:v>383</x:v>
      </x:c>
      <x:c r="B1151" s="29" t="str">
        <x:v>A1</x:v>
      </x:c>
      <x:c r="C1151" s="48" t="n">
        <x:v>1.2581775264623807</x:v>
      </x:c>
      <x:c r="D1151" s="48" t="n">
        <x:v>0.7306309568273397</x:v>
      </x:c>
      <x:c r="E1151" s="48" t="n">
        <x:v>0.9756785229545557</x:v>
      </x:c>
      <x:c r="F1151" s="48" t="n">
        <x:v>-0.030780174211733985</x:v>
      </x:c>
      <x:c r="G1151" s="48" t="n">
        <x:v>-0.11043422827819</x:v>
      </x:c>
      <x:c r="H1151" s="48" t="n">
        <x:v>0.6199512546850341</x:v>
      </x:c>
      <x:c r="I1151" s="48" t="n">
        <x:v>0.7613880700259067</x:v>
      </x:c>
      <x:c r="J1151" s="48" t="n">
        <x:v>0.569681581101201</x:v>
      </x:c>
      <x:c r="K1151" s="48" t="n">
        <x:v>0.8966597709595947</x:v>
      </x:c>
      <x:c r="L1151" s="48" t="n">
        <x:v>0.7735464184694696</x:v>
      </x:c>
      <x:c r="M1151" s="48" t="n">
        <x:v>0.0392495232723068</x:v>
      </x:c>
      <x:c r="N1151" s="48" t="n">
        <x:v>0.7456464497013349</x:v>
      </x:c>
      <x:c r="O1151" s="48" t="n">
        <x:v>0.7272267508499711</x:v>
      </x:c>
      <x:c r="P1151" s="48" t="n">
        <x:v>0.48401590328383043</x:v>
      </x:c>
      <x:c r="Q1151" s="48" t="n">
        <x:v>1</x:v>
      </x:c>
      <x:c r="R1151" s="48" t="n">
        <x:v>0.6631678508227908</x:v>
      </x:c>
      <x:c r="S1151" s="29" t="n">
        <x:v>0</x:v>
      </x:c>
    </x:row>
    <x:row r="1152" ht="21.600000381469727" hidden="0" customHeight="1">
      <x:c r="A1152" s="27" t="n">
        <x:v>383</x:v>
      </x:c>
      <x:c r="B1152" s="27" t="str">
        <x:v>A2</x:v>
      </x:c>
      <x:c r="C1152" s="47" t="n">
        <x:v>1.2581775264623807</x:v>
      </x:c>
      <x:c r="D1152" s="47" t="n">
        <x:v>0.7306309568273397</x:v>
      </x:c>
      <x:c r="E1152" s="47" t="n">
        <x:v>0.9756785229545557</x:v>
      </x:c>
      <x:c r="F1152" s="47" t="n">
        <x:v>-0.030780174211733985</x:v>
      </x:c>
      <x:c r="G1152" s="47" t="n">
        <x:v>-0.11043422827819</x:v>
      </x:c>
      <x:c r="H1152" s="47" t="n">
        <x:v>0.6199512546850341</x:v>
      </x:c>
      <x:c r="I1152" s="47" t="n">
        <x:v>0.7613880700259067</x:v>
      </x:c>
      <x:c r="J1152" s="47" t="n">
        <x:v>0.569681581101201</x:v>
      </x:c>
      <x:c r="K1152" s="47" t="n">
        <x:v>0.8966597709595947</x:v>
      </x:c>
      <x:c r="L1152" s="47" t="n">
        <x:v>0.7735464184694696</x:v>
      </x:c>
      <x:c r="M1152" s="47" t="n">
        <x:v>0.0392495232723068</x:v>
      </x:c>
      <x:c r="N1152" s="47" t="n">
        <x:v>0.7456464497013349</x:v>
      </x:c>
      <x:c r="O1152" s="47" t="n">
        <x:v>0.8180918986795587</x:v>
      </x:c>
      <x:c r="P1152" s="47" t="n">
        <x:v>0.4559258302012548</x:v>
      </x:c>
      <x:c r="Q1152" s="47" t="n">
        <x:v>1</x:v>
      </x:c>
      <x:c r="R1152" s="47" t="n">
        <x:v>0.7753720465205549</x:v>
      </x:c>
      <x:c r="S1152" s="27" t="n">
        <x:v>0</x:v>
      </x:c>
    </x:row>
    <x:row r="1153" ht="21.600000381469727" hidden="0" customHeight="1">
      <x:c r="A1153" s="29" t="n">
        <x:v>383</x:v>
      </x:c>
      <x:c r="B1153" s="29" t="str">
        <x:v>A3</x:v>
      </x:c>
      <x:c r="C1153" s="48" t="n">
        <x:v>1.2581775264623807</x:v>
      </x:c>
      <x:c r="D1153" s="48" t="n">
        <x:v>0.7306309568273397</x:v>
      </x:c>
      <x:c r="E1153" s="48" t="n">
        <x:v>0.9756785229545557</x:v>
      </x:c>
      <x:c r="F1153" s="48" t="n">
        <x:v>-0.030780174211733985</x:v>
      </x:c>
      <x:c r="G1153" s="48" t="n">
        <x:v>-0.11043422827819</x:v>
      </x:c>
      <x:c r="H1153" s="48" t="n">
        <x:v>0.6199512546850341</x:v>
      </x:c>
      <x:c r="I1153" s="48" t="n">
        <x:v>0.7613880700259067</x:v>
      </x:c>
      <x:c r="J1153" s="48" t="n">
        <x:v>0.569681581101201</x:v>
      </x:c>
      <x:c r="K1153" s="48" t="n">
        <x:v>0.8966597709595947</x:v>
      </x:c>
      <x:c r="L1153" s="48" t="n">
        <x:v>0.7735464184694696</x:v>
      </x:c>
      <x:c r="M1153" s="48" t="n">
        <x:v>0.0392495232723068</x:v>
      </x:c>
      <x:c r="N1153" s="48" t="n">
        <x:v>0.7456464497013349</x:v>
      </x:c>
      <x:c r="O1153" s="48" t="n">
        <x:v>1</x:v>
      </x:c>
      <x:c r="P1153" s="48" t="n">
        <x:v>1</x:v>
      </x:c>
      <x:c r="Q1153" s="48" t="n">
        <x:v>1</x:v>
      </x:c>
      <x:c r="R1153" s="48" t="n">
        <x:v>1</x:v>
      </x:c>
      <x:c r="S1153" s="29" t="n">
        <x:v>1</x:v>
      </x:c>
    </x:row>
    <x:row r="1154" ht="15" hidden="0" customHeight="1">
      <x:c r="A1154" s="27" t="n">
        <x:v>384</x:v>
      </x:c>
      <x:c r="B1154" s="27" t="str">
        <x:v>A1</x:v>
      </x:c>
      <x:c r="C1154" s="47" t="n">
        <x:v>0.9207079189137878</x:v>
      </x:c>
      <x:c r="D1154" s="47" t="n">
        <x:v>0.8615730596802913</x:v>
      </x:c>
      <x:c r="E1154" s="47" t="n">
        <x:v>0.7506326834752419</x:v>
      </x:c>
      <x:c r="F1154" s="47" t="n">
        <x:v>-0.09128642024737323</x:v>
      </x:c>
      <x:c r="G1154" s="47" t="n">
        <x:v>-0.024158209715493345</x:v>
      </x:c>
      <x:c r="H1154" s="47" t="n">
        <x:v>0.7957060818793457</x:v>
      </x:c>
      <x:c r="I1154" s="47" t="n">
        <x:v>0.9692940017065894</x:v>
      </x:c>
      <x:c r="J1154" s="47" t="n">
        <x:v>0.9690207995017709</x:v>
      </x:c>
      <x:c r="K1154" s="47" t="n">
        <x:v>0.9856264071904708</x:v>
      </x:c>
      <x:c r="L1154" s="47" t="n">
        <x:v>0.526149234578576</x:v>
      </x:c>
      <x:c r="M1154" s="47" t="n">
        <x:v>0.019493243082966044</x:v>
      </x:c>
      <x:c r="N1154" s="47" t="n">
        <x:v>0.8812641595436816</x:v>
      </x:c>
      <x:c r="O1154" s="47" t="n">
        <x:v>0.9613976350965071</x:v>
      </x:c>
      <x:c r="P1154" s="47" t="n">
        <x:v>0.6604034290181218</x:v>
      </x:c>
      <x:c r="Q1154" s="47" t="n">
        <x:v>1</x:v>
      </x:c>
      <x:c r="R1154" s="47" t="n">
        <x:v>0.9523321382346593</x:v>
      </x:c>
      <x:c r="S1154" s="27" t="n">
        <x:v>0</x:v>
      </x:c>
    </x:row>
    <x:row r="1155" ht="15" hidden="0" customHeight="1">
      <x:c r="A1155" s="29" t="n">
        <x:v>384</x:v>
      </x:c>
      <x:c r="B1155" s="29" t="str">
        <x:v>A2</x:v>
      </x:c>
      <x:c r="C1155" s="48" t="n">
        <x:v>0.9207079189137878</x:v>
      </x:c>
      <x:c r="D1155" s="48" t="n">
        <x:v>0.8615730596802913</x:v>
      </x:c>
      <x:c r="E1155" s="48" t="n">
        <x:v>0.7506326834752419</x:v>
      </x:c>
      <x:c r="F1155" s="48" t="n">
        <x:v>-0.09128642024737323</x:v>
      </x:c>
      <x:c r="G1155" s="48" t="n">
        <x:v>-0.024158209715493345</x:v>
      </x:c>
      <x:c r="H1155" s="48" t="n">
        <x:v>0.7957060818793457</x:v>
      </x:c>
      <x:c r="I1155" s="48" t="n">
        <x:v>0.9692940017065894</x:v>
      </x:c>
      <x:c r="J1155" s="48" t="n">
        <x:v>0.9690207995017709</x:v>
      </x:c>
      <x:c r="K1155" s="48" t="n">
        <x:v>0.9856264071904708</x:v>
      </x:c>
      <x:c r="L1155" s="48" t="n">
        <x:v>0.526149234578576</x:v>
      </x:c>
      <x:c r="M1155" s="48" t="n">
        <x:v>0.019493243082966044</x:v>
      </x:c>
      <x:c r="N1155" s="48" t="n">
        <x:v>0.8812641595436816</x:v>
      </x:c>
      <x:c r="O1155" s="48" t="n">
        <x:v>0.985563662006724</x:v>
      </x:c>
      <x:c r="P1155" s="48" t="n">
        <x:v>0.8556366200672396</x:v>
      </x:c>
      <x:c r="Q1155" s="48" t="n">
        <x:v>1</x:v>
      </x:c>
      <x:c r="R1155" s="48" t="n">
        <x:v>0.9821733884547847</x:v>
      </x:c>
      <x:c r="S1155" s="29" t="n">
        <x:v>0</x:v>
      </x:c>
    </x:row>
    <x:row r="1156" ht="15" hidden="0" customHeight="1">
      <x:c r="A1156" s="27" t="n">
        <x:v>384</x:v>
      </x:c>
      <x:c r="B1156" s="27" t="str">
        <x:v>A3</x:v>
      </x:c>
      <x:c r="C1156" s="47" t="n">
        <x:v>0.9207079189137878</x:v>
      </x:c>
      <x:c r="D1156" s="47" t="n">
        <x:v>0.8615730596802913</x:v>
      </x:c>
      <x:c r="E1156" s="47" t="n">
        <x:v>0.7506326834752419</x:v>
      </x:c>
      <x:c r="F1156" s="47" t="n">
        <x:v>-0.09128642024737323</x:v>
      </x:c>
      <x:c r="G1156" s="47" t="n">
        <x:v>-0.024158209715493345</x:v>
      </x:c>
      <x:c r="H1156" s="47" t="n">
        <x:v>0.7957060818793457</x:v>
      </x:c>
      <x:c r="I1156" s="47" t="n">
        <x:v>0.9692940017065894</x:v>
      </x:c>
      <x:c r="J1156" s="47" t="n">
        <x:v>0.9690207995017709</x:v>
      </x:c>
      <x:c r="K1156" s="47" t="n">
        <x:v>0.9856264071904708</x:v>
      </x:c>
      <x:c r="L1156" s="47" t="n">
        <x:v>0.526149234578576</x:v>
      </x:c>
      <x:c r="M1156" s="47" t="n">
        <x:v>0.019493243082966044</x:v>
      </x:c>
      <x:c r="N1156" s="47" t="n">
        <x:v>0.8812641595436816</x:v>
      </x:c>
      <x:c r="O1156" s="47" t="n">
        <x:v>1</x:v>
      </x:c>
      <x:c r="P1156" s="47" t="n">
        <x:v>1</x:v>
      </x:c>
      <x:c r="Q1156" s="47" t="n">
        <x:v>1</x:v>
      </x:c>
      <x:c r="R1156" s="47" t="n">
        <x:v>1</x:v>
      </x:c>
      <x:c r="S1156" s="27" t="n">
        <x:v>1</x:v>
      </x:c>
    </x:row>
    <x:row r="1157" ht="21.600000381469727" hidden="0" customHeight="1">
      <x:c r="A1157" s="29" t="n">
        <x:v>385</x:v>
      </x:c>
      <x:c r="B1157" s="29" t="str">
        <x:v>A1</x:v>
      </x:c>
      <x:c r="C1157" s="48" t="n">
        <x:v>1.0827823590182672</x:v>
      </x:c>
      <x:c r="D1157" s="48" t="n">
        <x:v>0.9708874803704668</x:v>
      </x:c>
      <x:c r="E1157" s="48" t="n">
        <x:v>0.47035319586163105</x:v>
      </x:c>
      <x:c r="F1157" s="48" t="n">
        <x:v>-0.03890698212141869</x:v>
      </x:c>
      <x:c r="G1157" s="48" t="n">
        <x:v>-0.03555614692085579</x:v>
      </x:c>
      <x:c r="H1157" s="48" t="n">
        <x:v>0.5465537766120696</x:v>
      </x:c>
      <x:c r="I1157" s="48" t="n">
        <x:v>0.6642937829652487</x:v>
      </x:c>
      <x:c r="J1157" s="48" t="n">
        <x:v>0.7121898180882216</x:v>
      </x:c>
      <x:c r="K1157" s="48" t="n">
        <x:v>0.842400730010433</x:v>
      </x:c>
      <x:c r="L1157" s="48" t="n">
        <x:v>0.5611641252566555</x:v>
      </x:c>
      <x:c r="M1157" s="48" t="n">
        <x:v>0.1169376808499836</x:v>
      </x:c>
      <x:c r="N1157" s="48" t="n">
        <x:v>0.8648058972187936</x:v>
      </x:c>
      <x:c r="O1157" s="48" t="n">
        <x:v>0.8842896694131714</x:v>
      </x:c>
      <x:c r="P1157" s="48" t="n">
        <x:v>0.6054997927226214</x:v>
      </x:c>
      <x:c r="Q1157" s="48" t="n">
        <x:v>1</x:v>
      </x:c>
      <x:c r="R1157" s="48" t="n">
        <x:v>0.857115903208932</x:v>
      </x:c>
      <x:c r="S1157" s="29" t="n">
        <x:v>0</x:v>
      </x:c>
    </x:row>
    <x:row r="1158" ht="21.600000381469727" hidden="0" customHeight="1">
      <x:c r="A1158" s="27" t="n">
        <x:v>385</x:v>
      </x:c>
      <x:c r="B1158" s="27" t="str">
        <x:v>A2</x:v>
      </x:c>
      <x:c r="C1158" s="47" t="n">
        <x:v>1.0827823590182672</x:v>
      </x:c>
      <x:c r="D1158" s="47" t="n">
        <x:v>0.9708874803704668</x:v>
      </x:c>
      <x:c r="E1158" s="47" t="n">
        <x:v>0.47035319586163105</x:v>
      </x:c>
      <x:c r="F1158" s="47" t="n">
        <x:v>-0.03890698212141869</x:v>
      </x:c>
      <x:c r="G1158" s="47" t="n">
        <x:v>-0.03555614692085579</x:v>
      </x:c>
      <x:c r="H1158" s="47" t="n">
        <x:v>0.5465537766120696</x:v>
      </x:c>
      <x:c r="I1158" s="47" t="n">
        <x:v>0.6642937829652487</x:v>
      </x:c>
      <x:c r="J1158" s="47" t="n">
        <x:v>0.7121898180882216</x:v>
      </x:c>
      <x:c r="K1158" s="47" t="n">
        <x:v>0.842400730010433</x:v>
      </x:c>
      <x:c r="L1158" s="47" t="n">
        <x:v>0.5611641252566555</x:v>
      </x:c>
      <x:c r="M1158" s="47" t="n">
        <x:v>0.1169376808499836</x:v>
      </x:c>
      <x:c r="N1158" s="47" t="n">
        <x:v>0.8648058972187936</x:v>
      </x:c>
      <x:c r="O1158" s="47" t="n">
        <x:v>0.9252024436364282</x:v>
      </x:c>
      <x:c r="P1158" s="47" t="n">
        <x:v>0.5496237230907084</x:v>
      </x:c>
      <x:c r="Q1158" s="47" t="n">
        <x:v>1</x:v>
      </x:c>
      <x:c r="R1158" s="47" t="n">
        <x:v>0.9076367578505171</x:v>
      </x:c>
      <x:c r="S1158" s="27" t="n">
        <x:v>0</x:v>
      </x:c>
    </x:row>
    <x:row r="1159" ht="21.600000381469727" hidden="0" customHeight="1">
      <x:c r="A1159" s="29" t="n">
        <x:v>385</x:v>
      </x:c>
      <x:c r="B1159" s="29" t="str">
        <x:v>A3</x:v>
      </x:c>
      <x:c r="C1159" s="48" t="n">
        <x:v>1.0827823590182672</x:v>
      </x:c>
      <x:c r="D1159" s="48" t="n">
        <x:v>0.9708874803704668</x:v>
      </x:c>
      <x:c r="E1159" s="48" t="n">
        <x:v>0.47035319586163105</x:v>
      </x:c>
      <x:c r="F1159" s="48" t="n">
        <x:v>-0.03890698212141869</x:v>
      </x:c>
      <x:c r="G1159" s="48" t="n">
        <x:v>-0.03555614692085579</x:v>
      </x:c>
      <x:c r="H1159" s="48" t="n">
        <x:v>0.5465537766120696</x:v>
      </x:c>
      <x:c r="I1159" s="48" t="n">
        <x:v>0.6642937829652487</x:v>
      </x:c>
      <x:c r="J1159" s="48" t="n">
        <x:v>0.7121898180882216</x:v>
      </x:c>
      <x:c r="K1159" s="48" t="n">
        <x:v>0.842400730010433</x:v>
      </x:c>
      <x:c r="L1159" s="48" t="n">
        <x:v>0.5611641252566555</x:v>
      </x:c>
      <x:c r="M1159" s="48" t="n">
        <x:v>0.1169376808499836</x:v>
      </x:c>
      <x:c r="N1159" s="48" t="n">
        <x:v>0.8648058972187936</x:v>
      </x:c>
      <x:c r="O1159" s="48" t="n">
        <x:v>1</x:v>
      </x:c>
      <x:c r="P1159" s="48" t="n">
        <x:v>1</x:v>
      </x:c>
      <x:c r="Q1159" s="48" t="n">
        <x:v>1</x:v>
      </x:c>
      <x:c r="R1159" s="48" t="n">
        <x:v>1</x:v>
      </x:c>
      <x:c r="S1159" s="29" t="n">
        <x:v>1</x:v>
      </x:c>
    </x:row>
    <x:row r="1160" ht="21.600000381469727" hidden="0" customHeight="1">
      <x:c r="A1160" s="27" t="n">
        <x:v>386</x:v>
      </x:c>
      <x:c r="B1160" s="27" t="str">
        <x:v>A1</x:v>
      </x:c>
      <x:c r="C1160" s="47" t="n">
        <x:v>0.9379504971000507</x:v>
      </x:c>
      <x:c r="D1160" s="47" t="n">
        <x:v>0.7528414943190881</x:v>
      </x:c>
      <x:c r="E1160" s="47" t="n">
        <x:v>0.5140878760931589</x:v>
      </x:c>
      <x:c r="F1160" s="47" t="n">
        <x:v>0.022793517353687898</x:v>
      </x:c>
      <x:c r="G1160" s="47" t="n">
        <x:v>-0.016660299202333945</x:v>
      </x:c>
      <x:c r="H1160" s="47" t="n">
        <x:v>0.5593386554875447</x:v>
      </x:c>
      <x:c r="I1160" s="47" t="n">
        <x:v>0.8169490130537725</x:v>
      </x:c>
      <x:c r="J1160" s="47" t="n">
        <x:v>0.7174249214107862</x:v>
      </x:c>
      <x:c r="K1160" s="47" t="n">
        <x:v>0.7701983628262068</x:v>
      </x:c>
      <x:c r="L1160" s="47" t="n">
        <x:v>0.6643230798089608</x:v>
      </x:c>
      <x:c r="M1160" s="47" t="n">
        <x:v>0.09130097717385449</x:v>
      </x:c>
      <x:c r="N1160" s="47" t="n">
        <x:v>0.651607303446359</x:v>
      </x:c>
      <x:c r="O1160" s="47" t="n">
        <x:v>0.8784927079853231</x:v>
      </x:c>
      <x:c r="P1160" s="47" t="n">
        <x:v>0.576984705063379</x:v>
      </x:c>
      <x:c r="Q1160" s="47" t="n">
        <x:v>1</x:v>
      </x:c>
      <x:c r="R1160" s="47" t="n">
        <x:v>0.8499575657160735</x:v>
      </x:c>
      <x:c r="S1160" s="27" t="n">
        <x:v>0</x:v>
      </x:c>
    </x:row>
    <x:row r="1161" ht="21.600000381469727" hidden="0" customHeight="1">
      <x:c r="A1161" s="29" t="n">
        <x:v>386</x:v>
      </x:c>
      <x:c r="B1161" s="29" t="str">
        <x:v>A2</x:v>
      </x:c>
      <x:c r="C1161" s="48" t="n">
        <x:v>0.9379504971000507</x:v>
      </x:c>
      <x:c r="D1161" s="48" t="n">
        <x:v>0.7528414943190881</x:v>
      </x:c>
      <x:c r="E1161" s="48" t="n">
        <x:v>0.5140878760931589</x:v>
      </x:c>
      <x:c r="F1161" s="48" t="n">
        <x:v>0.022793517353687898</x:v>
      </x:c>
      <x:c r="G1161" s="48" t="n">
        <x:v>-0.016660299202333945</x:v>
      </x:c>
      <x:c r="H1161" s="48" t="n">
        <x:v>0.5593386554875447</x:v>
      </x:c>
      <x:c r="I1161" s="48" t="n">
        <x:v>0.8169490130537725</x:v>
      </x:c>
      <x:c r="J1161" s="48" t="n">
        <x:v>0.7174249214107862</x:v>
      </x:c>
      <x:c r="K1161" s="48" t="n">
        <x:v>0.7701983628262068</x:v>
      </x:c>
      <x:c r="L1161" s="48" t="n">
        <x:v>0.6643230798089608</x:v>
      </x:c>
      <x:c r="M1161" s="48" t="n">
        <x:v>0.09130097717385449</x:v>
      </x:c>
      <x:c r="N1161" s="48" t="n">
        <x:v>0.651607303446359</x:v>
      </x:c>
      <x:c r="O1161" s="48" t="n">
        <x:v>0.9612037301713114</x:v>
      </x:c>
      <x:c r="P1161" s="48" t="n">
        <x:v>0.6519304233073631</x:v>
      </x:c>
      <x:c r="Q1161" s="48" t="n">
        <x:v>1</x:v>
      </x:c>
      <x:c r="R1161" s="48" t="n">
        <x:v>0.9520926960866731</x:v>
      </x:c>
      <x:c r="S1161" s="29" t="n">
        <x:v>0</x:v>
      </x:c>
    </x:row>
    <x:row r="1162" ht="21.600000381469727" hidden="0" customHeight="1">
      <x:c r="A1162" s="27" t="n">
        <x:v>386</x:v>
      </x:c>
      <x:c r="B1162" s="27" t="str">
        <x:v>A3</x:v>
      </x:c>
      <x:c r="C1162" s="47" t="n">
        <x:v>0.9379504971000507</x:v>
      </x:c>
      <x:c r="D1162" s="47" t="n">
        <x:v>0.7528414943190881</x:v>
      </x:c>
      <x:c r="E1162" s="47" t="n">
        <x:v>0.5140878760931589</x:v>
      </x:c>
      <x:c r="F1162" s="47" t="n">
        <x:v>0.022793517353687898</x:v>
      </x:c>
      <x:c r="G1162" s="47" t="n">
        <x:v>-0.016660299202333945</x:v>
      </x:c>
      <x:c r="H1162" s="47" t="n">
        <x:v>0.5593386554875447</x:v>
      </x:c>
      <x:c r="I1162" s="47" t="n">
        <x:v>0.8169490130537725</x:v>
      </x:c>
      <x:c r="J1162" s="47" t="n">
        <x:v>0.7174249214107862</x:v>
      </x:c>
      <x:c r="K1162" s="47" t="n">
        <x:v>0.7701983628262068</x:v>
      </x:c>
      <x:c r="L1162" s="47" t="n">
        <x:v>0.6643230798089608</x:v>
      </x:c>
      <x:c r="M1162" s="47" t="n">
        <x:v>0.09130097717385449</x:v>
      </x:c>
      <x:c r="N1162" s="47" t="n">
        <x:v>0.651607303446359</x:v>
      </x:c>
      <x:c r="O1162" s="47" t="n">
        <x:v>1</x:v>
      </x:c>
      <x:c r="P1162" s="47" t="n">
        <x:v>1</x:v>
      </x:c>
      <x:c r="Q1162" s="47" t="n">
        <x:v>1</x:v>
      </x:c>
      <x:c r="R1162" s="47" t="n">
        <x:v>1</x:v>
      </x:c>
      <x:c r="S1162" s="27" t="n">
        <x:v>1</x:v>
      </x:c>
    </x:row>
    <x:row r="1163" ht="21.600000381469727" hidden="0" customHeight="1">
      <x:c r="A1163" s="29" t="n">
        <x:v>387</x:v>
      </x:c>
      <x:c r="B1163" s="29" t="str">
        <x:v>A1</x:v>
      </x:c>
      <x:c r="C1163" s="48" t="n">
        <x:v>1.1138596387023774</x:v>
      </x:c>
      <x:c r="D1163" s="48" t="n">
        <x:v>0.834952155786015</x:v>
      </x:c>
      <x:c r="E1163" s="48" t="n">
        <x:v>0.9029547464704635</x:v>
      </x:c>
      <x:c r="F1163" s="48" t="n">
        <x:v>0.012250275824801343</x:v>
      </x:c>
      <x:c r="G1163" s="48" t="n">
        <x:v>-0.19903460919923294</x:v>
      </x:c>
      <x:c r="H1163" s="48" t="n">
        <x:v>0.699246561814177</x:v>
      </x:c>
      <x:c r="I1163" s="48" t="n">
        <x:v>0.856469261065055</x:v>
      </x:c>
      <x:c r="J1163" s="48" t="n">
        <x:v>0.7117190289441198</x:v>
      </x:c>
      <x:c r="K1163" s="48" t="n">
        <x:v>0.7545734246918271</x:v>
      </x:c>
      <x:c r="L1163" s="48" t="n">
        <x:v>0.7862965056282443</x:v>
      </x:c>
      <x:c r="M1163" s="48" t="n">
        <x:v>0.03139802387234009</x:v>
      </x:c>
      <x:c r="N1163" s="48" t="n">
        <x:v>0.7617283398090742</x:v>
      </x:c>
      <x:c r="O1163" s="48" t="n">
        <x:v>0.8779199348766508</x:v>
      </x:c>
      <x:c r="P1163" s="48" t="n">
        <x:v>0.6000431775310957</x:v>
      </x:c>
      <x:c r="Q1163" s="48" t="n">
        <x:v>1</x:v>
      </x:c>
      <x:c r="R1163" s="48" t="n">
        <x:v>0.8492502808273015</x:v>
      </x:c>
      <x:c r="S1163" s="29" t="n">
        <x:v>0</x:v>
      </x:c>
    </x:row>
    <x:row r="1164" ht="21.600000381469727" hidden="0" customHeight="1">
      <x:c r="A1164" s="27" t="n">
        <x:v>387</x:v>
      </x:c>
      <x:c r="B1164" s="27" t="str">
        <x:v>A2</x:v>
      </x:c>
      <x:c r="C1164" s="47" t="n">
        <x:v>1.1138596387023774</x:v>
      </x:c>
      <x:c r="D1164" s="47" t="n">
        <x:v>0.834952155786015</x:v>
      </x:c>
      <x:c r="E1164" s="47" t="n">
        <x:v>0.9029547464704635</x:v>
      </x:c>
      <x:c r="F1164" s="47" t="n">
        <x:v>0.012250275824801343</x:v>
      </x:c>
      <x:c r="G1164" s="47" t="n">
        <x:v>-0.19903460919923294</x:v>
      </x:c>
      <x:c r="H1164" s="47" t="n">
        <x:v>0.699246561814177</x:v>
      </x:c>
      <x:c r="I1164" s="47" t="n">
        <x:v>0.856469261065055</x:v>
      </x:c>
      <x:c r="J1164" s="47" t="n">
        <x:v>0.7117190289441198</x:v>
      </x:c>
      <x:c r="K1164" s="47" t="n">
        <x:v>0.7545734246918271</x:v>
      </x:c>
      <x:c r="L1164" s="47" t="n">
        <x:v>0.7862965056282443</x:v>
      </x:c>
      <x:c r="M1164" s="47" t="n">
        <x:v>0.03139802387234009</x:v>
      </x:c>
      <x:c r="N1164" s="47" t="n">
        <x:v>0.7617283398090742</x:v>
      </x:c>
      <x:c r="O1164" s="47" t="n">
        <x:v>0.9518811517450946</x:v>
      </x:c>
      <x:c r="P1164" s="47" t="n">
        <x:v>0.6355623949811812</x:v>
      </x:c>
      <x:c r="Q1164" s="47" t="n">
        <x:v>1</x:v>
      </x:c>
      <x:c r="R1164" s="47" t="n">
        <x:v>0.9405807749691865</x:v>
      </x:c>
      <x:c r="S1164" s="27" t="n">
        <x:v>0</x:v>
      </x:c>
    </x:row>
    <x:row r="1165" ht="21.600000381469727" hidden="0" customHeight="1">
      <x:c r="A1165" s="29" t="n">
        <x:v>387</x:v>
      </x:c>
      <x:c r="B1165" s="29" t="str">
        <x:v>A3</x:v>
      </x:c>
      <x:c r="C1165" s="48" t="n">
        <x:v>1.1138596387023774</x:v>
      </x:c>
      <x:c r="D1165" s="48" t="n">
        <x:v>0.834952155786015</x:v>
      </x:c>
      <x:c r="E1165" s="48" t="n">
        <x:v>0.9029547464704635</x:v>
      </x:c>
      <x:c r="F1165" s="48" t="n">
        <x:v>0.012250275824801343</x:v>
      </x:c>
      <x:c r="G1165" s="48" t="n">
        <x:v>-0.19903460919923294</x:v>
      </x:c>
      <x:c r="H1165" s="48" t="n">
        <x:v>0.699246561814177</x:v>
      </x:c>
      <x:c r="I1165" s="48" t="n">
        <x:v>0.856469261065055</x:v>
      </x:c>
      <x:c r="J1165" s="48" t="n">
        <x:v>0.7117190289441198</x:v>
      </x:c>
      <x:c r="K1165" s="48" t="n">
        <x:v>0.7545734246918271</x:v>
      </x:c>
      <x:c r="L1165" s="48" t="n">
        <x:v>0.7862965056282443</x:v>
      </x:c>
      <x:c r="M1165" s="48" t="n">
        <x:v>0.03139802387234009</x:v>
      </x:c>
      <x:c r="N1165" s="48" t="n">
        <x:v>0.7617283398090742</x:v>
      </x:c>
      <x:c r="O1165" s="48" t="n">
        <x:v>1</x:v>
      </x:c>
      <x:c r="P1165" s="48" t="n">
        <x:v>1</x:v>
      </x:c>
      <x:c r="Q1165" s="48" t="n">
        <x:v>1</x:v>
      </x:c>
      <x:c r="R1165" s="48" t="n">
        <x:v>1</x:v>
      </x:c>
      <x:c r="S1165" s="29" t="n">
        <x:v>1</x:v>
      </x:c>
    </x:row>
    <x:row r="1166" ht="21.600000381469727" hidden="0" customHeight="1">
      <x:c r="A1166" s="27" t="n">
        <x:v>388</x:v>
      </x:c>
      <x:c r="B1166" s="27" t="str">
        <x:v>A1</x:v>
      </x:c>
      <x:c r="C1166" s="47" t="n">
        <x:v>1.1206131368388355</x:v>
      </x:c>
      <x:c r="D1166" s="47" t="n">
        <x:v>0.9669405547692236</x:v>
      </x:c>
      <x:c r="E1166" s="47" t="n">
        <x:v>0.7346350537672024</x:v>
      </x:c>
      <x:c r="F1166" s="47" t="n">
        <x:v>-0.1076594043158884</x:v>
      </x:c>
      <x:c r="G1166" s="47" t="n">
        <x:v>-0.14156257726904375</x:v>
      </x:c>
      <x:c r="H1166" s="47" t="n">
        <x:v>0.493694890507165</x:v>
      </x:c>
      <x:c r="I1166" s="47" t="n">
        <x:v>0.9185599727824652</x:v>
      </x:c>
      <x:c r="J1166" s="47" t="n">
        <x:v>0.8947197924892882</x:v>
      </x:c>
      <x:c r="K1166" s="47" t="n">
        <x:v>0.550967627588346</x:v>
      </x:c>
      <x:c r="L1166" s="47" t="n">
        <x:v>0.6393768378710988</x:v>
      </x:c>
      <x:c r="M1166" s="47" t="n">
        <x:v>0.16266715512814575</x:v>
      </x:c>
      <x:c r="N1166" s="47" t="n">
        <x:v>0.8844019289209504</x:v>
      </x:c>
      <x:c r="O1166" s="47" t="n">
        <x:v>0.8673221879299974</x:v>
      </x:c>
      <x:c r="P1166" s="47" t="n">
        <x:v>0.48387472531349457</x:v>
      </x:c>
      <x:c r="Q1166" s="47" t="n">
        <x:v>1</x:v>
      </x:c>
      <x:c r="R1166" s="47" t="n">
        <x:v>0.8361637267330103</x:v>
      </x:c>
      <x:c r="S1166" s="27" t="n">
        <x:v>0</x:v>
      </x:c>
    </x:row>
    <x:row r="1167" ht="21.600000381469727" hidden="0" customHeight="1">
      <x:c r="A1167" s="29" t="n">
        <x:v>388</x:v>
      </x:c>
      <x:c r="B1167" s="29" t="str">
        <x:v>A2</x:v>
      </x:c>
      <x:c r="C1167" s="48" t="n">
        <x:v>1.1206131368388355</x:v>
      </x:c>
      <x:c r="D1167" s="48" t="n">
        <x:v>0.9669405547692236</x:v>
      </x:c>
      <x:c r="E1167" s="48" t="n">
        <x:v>0.7346350537672024</x:v>
      </x:c>
      <x:c r="F1167" s="48" t="n">
        <x:v>-0.1076594043158884</x:v>
      </x:c>
      <x:c r="G1167" s="48" t="n">
        <x:v>-0.14156257726904375</x:v>
      </x:c>
      <x:c r="H1167" s="48" t="n">
        <x:v>0.493694890507165</x:v>
      </x:c>
      <x:c r="I1167" s="48" t="n">
        <x:v>0.9185599727824652</x:v>
      </x:c>
      <x:c r="J1167" s="48" t="n">
        <x:v>0.8947197924892882</x:v>
      </x:c>
      <x:c r="K1167" s="48" t="n">
        <x:v>0.550967627588346</x:v>
      </x:c>
      <x:c r="L1167" s="48" t="n">
        <x:v>0.6393768378710988</x:v>
      </x:c>
      <x:c r="M1167" s="48" t="n">
        <x:v>0.16266715512814575</x:v>
      </x:c>
      <x:c r="N1167" s="48" t="n">
        <x:v>0.8844019289209504</x:v>
      </x:c>
      <x:c r="O1167" s="48" t="n">
        <x:v>0.9541565949862204</x:v>
      </x:c>
      <x:c r="P1167" s="48" t="n">
        <x:v>0.7115484643740053</x:v>
      </x:c>
      <x:c r="Q1167" s="48" t="n">
        <x:v>1</x:v>
      </x:c>
      <x:c r="R1167" s="48" t="n">
        <x:v>0.9433905902264649</x:v>
      </x:c>
      <x:c r="S1167" s="29" t="n">
        <x:v>0</x:v>
      </x:c>
    </x:row>
    <x:row r="1168" ht="21.600000381469727" hidden="0" customHeight="1">
      <x:c r="A1168" s="27" t="n">
        <x:v>388</x:v>
      </x:c>
      <x:c r="B1168" s="27" t="str">
        <x:v>A3</x:v>
      </x:c>
      <x:c r="C1168" s="47" t="n">
        <x:v>1.1206131368388355</x:v>
      </x:c>
      <x:c r="D1168" s="47" t="n">
        <x:v>0.9669405547692236</x:v>
      </x:c>
      <x:c r="E1168" s="47" t="n">
        <x:v>0.7346350537672024</x:v>
      </x:c>
      <x:c r="F1168" s="47" t="n">
        <x:v>-0.1076594043158884</x:v>
      </x:c>
      <x:c r="G1168" s="47" t="n">
        <x:v>-0.14156257726904375</x:v>
      </x:c>
      <x:c r="H1168" s="47" t="n">
        <x:v>0.493694890507165</x:v>
      </x:c>
      <x:c r="I1168" s="47" t="n">
        <x:v>0.9185599727824652</x:v>
      </x:c>
      <x:c r="J1168" s="47" t="n">
        <x:v>0.8947197924892882</x:v>
      </x:c>
      <x:c r="K1168" s="47" t="n">
        <x:v>0.550967627588346</x:v>
      </x:c>
      <x:c r="L1168" s="47" t="n">
        <x:v>0.6393768378710988</x:v>
      </x:c>
      <x:c r="M1168" s="47" t="n">
        <x:v>0.16266715512814575</x:v>
      </x:c>
      <x:c r="N1168" s="47" t="n">
        <x:v>0.8844019289209504</x:v>
      </x:c>
      <x:c r="O1168" s="47" t="n">
        <x:v>1</x:v>
      </x:c>
      <x:c r="P1168" s="47" t="n">
        <x:v>1</x:v>
      </x:c>
      <x:c r="Q1168" s="47" t="n">
        <x:v>1</x:v>
      </x:c>
      <x:c r="R1168" s="47" t="n">
        <x:v>1</x:v>
      </x:c>
      <x:c r="S1168" s="27" t="n">
        <x:v>1</x:v>
      </x:c>
    </x:row>
    <x:row r="1169" ht="21.600000381469727" hidden="0" customHeight="1">
      <x:c r="A1169" s="29" t="n">
        <x:v>389</x:v>
      </x:c>
      <x:c r="B1169" s="29" t="str">
        <x:v>A1</x:v>
      </x:c>
      <x:c r="C1169" s="48" t="n">
        <x:v>1.1422043451046282</x:v>
      </x:c>
      <x:c r="D1169" s="48" t="n">
        <x:v>0.9336884768597429</x:v>
      </x:c>
      <x:c r="E1169" s="48" t="n">
        <x:v>0.8934010437590261</x:v>
      </x:c>
      <x:c r="F1169" s="48" t="n">
        <x:v>-0.0005252329300633185</x:v>
      </x:c>
      <x:c r="G1169" s="48" t="n">
        <x:v>0.016679658848332224</x:v>
      </x:c>
      <x:c r="H1169" s="48" t="n">
        <x:v>0.5295688843029499</x:v>
      </x:c>
      <x:c r="I1169" s="48" t="n">
        <x:v>0.6218726284457593</x:v>
      </x:c>
      <x:c r="J1169" s="48" t="n">
        <x:v>0.7367078875733166</x:v>
      </x:c>
      <x:c r="K1169" s="48" t="n">
        <x:v>0.8688995933167057</x:v>
      </x:c>
      <x:c r="L1169" s="48" t="n">
        <x:v>0.9783390026949003</x:v>
      </x:c>
      <x:c r="M1169" s="48" t="n">
        <x:v>0.008569315919644957</x:v>
      </x:c>
      <x:c r="N1169" s="48" t="n">
        <x:v>0.9764419326865675</x:v>
      </x:c>
      <x:c r="O1169" s="48" t="n">
        <x:v>0.9095783333090436</x:v>
      </x:c>
      <x:c r="P1169" s="48" t="n">
        <x:v>0.5701679017666589</x:v>
      </x:c>
      <x:c r="Q1169" s="48" t="n">
        <x:v>1</x:v>
      </x:c>
      <x:c r="R1169" s="48" t="n">
        <x:v>0.8883434339012166</x:v>
      </x:c>
      <x:c r="S1169" s="29" t="n">
        <x:v>0</x:v>
      </x:c>
    </x:row>
    <x:row r="1170" ht="21.600000381469727" hidden="0" customHeight="1">
      <x:c r="A1170" s="27" t="n">
        <x:v>389</x:v>
      </x:c>
      <x:c r="B1170" s="27" t="str">
        <x:v>A2</x:v>
      </x:c>
      <x:c r="C1170" s="47" t="n">
        <x:v>1.1422043451046282</x:v>
      </x:c>
      <x:c r="D1170" s="47" t="n">
        <x:v>0.9336884768597429</x:v>
      </x:c>
      <x:c r="E1170" s="47" t="n">
        <x:v>0.8934010437590261</x:v>
      </x:c>
      <x:c r="F1170" s="47" t="n">
        <x:v>-0.0005252329300633185</x:v>
      </x:c>
      <x:c r="G1170" s="47" t="n">
        <x:v>0.016679658848332224</x:v>
      </x:c>
      <x:c r="H1170" s="47" t="n">
        <x:v>0.5295688843029499</x:v>
      </x:c>
      <x:c r="I1170" s="47" t="n">
        <x:v>0.6218726284457593</x:v>
      </x:c>
      <x:c r="J1170" s="47" t="n">
        <x:v>0.7367078875733166</x:v>
      </x:c>
      <x:c r="K1170" s="47" t="n">
        <x:v>0.8688995933167057</x:v>
      </x:c>
      <x:c r="L1170" s="47" t="n">
        <x:v>0.9783390026949003</x:v>
      </x:c>
      <x:c r="M1170" s="47" t="n">
        <x:v>0.008569315919644957</x:v>
      </x:c>
      <x:c r="N1170" s="47" t="n">
        <x:v>0.9764419326865675</x:v>
      </x:c>
      <x:c r="O1170" s="47" t="n">
        <x:v>0.9622909302313499</x:v>
      </x:c>
      <x:c r="P1170" s="47" t="n">
        <x:v>0.7608123013282482</x:v>
      </x:c>
      <x:c r="Q1170" s="47" t="n">
        <x:v>1</x:v>
      </x:c>
      <x:c r="R1170" s="47" t="n">
        <x:v>0.9534352175177498</x:v>
      </x:c>
      <x:c r="S1170" s="27" t="n">
        <x:v>0</x:v>
      </x:c>
    </x:row>
    <x:row r="1171" ht="21.600000381469727" hidden="0" customHeight="1">
      <x:c r="A1171" s="29" t="n">
        <x:v>389</x:v>
      </x:c>
      <x:c r="B1171" s="29" t="str">
        <x:v>A3</x:v>
      </x:c>
      <x:c r="C1171" s="48" t="n">
        <x:v>1.1422043451046282</x:v>
      </x:c>
      <x:c r="D1171" s="48" t="n">
        <x:v>0.9336884768597429</x:v>
      </x:c>
      <x:c r="E1171" s="48" t="n">
        <x:v>0.8934010437590261</x:v>
      </x:c>
      <x:c r="F1171" s="48" t="n">
        <x:v>-0.0005252329300633185</x:v>
      </x:c>
      <x:c r="G1171" s="48" t="n">
        <x:v>0.016679658848332224</x:v>
      </x:c>
      <x:c r="H1171" s="48" t="n">
        <x:v>0.5295688843029499</x:v>
      </x:c>
      <x:c r="I1171" s="48" t="n">
        <x:v>0.6218726284457593</x:v>
      </x:c>
      <x:c r="J1171" s="48" t="n">
        <x:v>0.7367078875733166</x:v>
      </x:c>
      <x:c r="K1171" s="48" t="n">
        <x:v>0.8688995933167057</x:v>
      </x:c>
      <x:c r="L1171" s="48" t="n">
        <x:v>0.9783390026949003</x:v>
      </x:c>
      <x:c r="M1171" s="48" t="n">
        <x:v>0.008569315919644957</x:v>
      </x:c>
      <x:c r="N1171" s="48" t="n">
        <x:v>0.9764419326865675</x:v>
      </x:c>
      <x:c r="O1171" s="48" t="n">
        <x:v>1</x:v>
      </x:c>
      <x:c r="P1171" s="48" t="n">
        <x:v>1</x:v>
      </x:c>
      <x:c r="Q1171" s="48" t="n">
        <x:v>1</x:v>
      </x:c>
      <x:c r="R1171" s="48" t="n">
        <x:v>1</x:v>
      </x:c>
      <x:c r="S1171" s="29" t="n">
        <x:v>1</x:v>
      </x:c>
    </x:row>
    <x:row r="1172" ht="21.600000381469727" hidden="0" customHeight="1">
      <x:c r="A1172" s="27" t="n">
        <x:v>390</x:v>
      </x:c>
      <x:c r="B1172" s="27" t="str">
        <x:v>A1</x:v>
      </x:c>
      <x:c r="C1172" s="47" t="n">
        <x:v>0.990841150453126</x:v>
      </x:c>
      <x:c r="D1172" s="47" t="n">
        <x:v>0.721060499195996</x:v>
      </x:c>
      <x:c r="E1172" s="47" t="n">
        <x:v>1.0525847927188876</x:v>
      </x:c>
      <x:c r="F1172" s="47" t="n">
        <x:v>-0.12169935646959233</x:v>
      </x:c>
      <x:c r="G1172" s="47" t="n">
        <x:v>-0.17831697616090242</x:v>
      </x:c>
      <x:c r="H1172" s="47" t="n">
        <x:v>0.8909926207077057</x:v>
      </x:c>
      <x:c r="I1172" s="47" t="n">
        <x:v>0.7490784539525305</x:v>
      </x:c>
      <x:c r="J1172" s="47" t="n">
        <x:v>0.4438431403433684</x:v>
      </x:c>
      <x:c r="K1172" s="47" t="n">
        <x:v>0.8912236682705144</x:v>
      </x:c>
      <x:c r="L1172" s="47" t="n">
        <x:v>0.7916524498683782</x:v>
      </x:c>
      <x:c r="M1172" s="47" t="n">
        <x:v>0.08570683299590677</x:v>
      </x:c>
      <x:c r="N1172" s="47" t="n">
        <x:v>0.7792864842484171</x:v>
      </x:c>
      <x:c r="O1172" s="47" t="n">
        <x:v>0.8406031436489789</x:v>
      </x:c>
      <x:c r="P1172" s="47" t="n">
        <x:v>0.6042294925330614</x:v>
      </x:c>
      <x:c r="Q1172" s="47" t="n">
        <x:v>1</x:v>
      </x:c>
      <x:c r="R1172" s="47" t="n">
        <x:v>0.8031699007725093</x:v>
      </x:c>
      <x:c r="S1172" s="27" t="n">
        <x:v>0</x:v>
      </x:c>
    </x:row>
    <x:row r="1173" ht="21.600000381469727" hidden="0" customHeight="1">
      <x:c r="A1173" s="29" t="n">
        <x:v>390</x:v>
      </x:c>
      <x:c r="B1173" s="29" t="str">
        <x:v>A2</x:v>
      </x:c>
      <x:c r="C1173" s="48" t="n">
        <x:v>0.990841150453126</x:v>
      </x:c>
      <x:c r="D1173" s="48" t="n">
        <x:v>0.721060499195996</x:v>
      </x:c>
      <x:c r="E1173" s="48" t="n">
        <x:v>1.0525847927188876</x:v>
      </x:c>
      <x:c r="F1173" s="48" t="n">
        <x:v>-0.12169935646959233</x:v>
      </x:c>
      <x:c r="G1173" s="48" t="n">
        <x:v>-0.17831697616090242</x:v>
      </x:c>
      <x:c r="H1173" s="48" t="n">
        <x:v>0.8909926207077057</x:v>
      </x:c>
      <x:c r="I1173" s="48" t="n">
        <x:v>0.7490784539525305</x:v>
      </x:c>
      <x:c r="J1173" s="48" t="n">
        <x:v>0.4438431403433684</x:v>
      </x:c>
      <x:c r="K1173" s="48" t="n">
        <x:v>0.8912236682705144</x:v>
      </x:c>
      <x:c r="L1173" s="48" t="n">
        <x:v>0.7916524498683782</x:v>
      </x:c>
      <x:c r="M1173" s="48" t="n">
        <x:v>0.08570683299590677</x:v>
      </x:c>
      <x:c r="N1173" s="48" t="n">
        <x:v>0.7792864842484171</x:v>
      </x:c>
      <x:c r="O1173" s="48" t="n">
        <x:v>0.9388254808320466</x:v>
      </x:c>
      <x:c r="P1173" s="48" t="n">
        <x:v>0.7180031961015441</x:v>
      </x:c>
      <x:c r="Q1173" s="48" t="n">
        <x:v>1</x:v>
      </x:c>
      <x:c r="R1173" s="48" t="n">
        <x:v>0.924459070563438</x:v>
      </x:c>
      <x:c r="S1173" s="29" t="n">
        <x:v>0</x:v>
      </x:c>
    </x:row>
    <x:row r="1174" ht="21.600000381469727" hidden="0" customHeight="1">
      <x:c r="A1174" s="27" t="n">
        <x:v>390</x:v>
      </x:c>
      <x:c r="B1174" s="27" t="str">
        <x:v>A3</x:v>
      </x:c>
      <x:c r="C1174" s="47" t="n">
        <x:v>0.990841150453126</x:v>
      </x:c>
      <x:c r="D1174" s="47" t="n">
        <x:v>0.721060499195996</x:v>
      </x:c>
      <x:c r="E1174" s="47" t="n">
        <x:v>1.0525847927188876</x:v>
      </x:c>
      <x:c r="F1174" s="47" t="n">
        <x:v>-0.12169935646959233</x:v>
      </x:c>
      <x:c r="G1174" s="47" t="n">
        <x:v>-0.17831697616090242</x:v>
      </x:c>
      <x:c r="H1174" s="47" t="n">
        <x:v>0.8909926207077057</x:v>
      </x:c>
      <x:c r="I1174" s="47" t="n">
        <x:v>0.7490784539525305</x:v>
      </x:c>
      <x:c r="J1174" s="47" t="n">
        <x:v>0.4438431403433684</x:v>
      </x:c>
      <x:c r="K1174" s="47" t="n">
        <x:v>0.8912236682705144</x:v>
      </x:c>
      <x:c r="L1174" s="47" t="n">
        <x:v>0.7916524498683782</x:v>
      </x:c>
      <x:c r="M1174" s="47" t="n">
        <x:v>0.08570683299590677</x:v>
      </x:c>
      <x:c r="N1174" s="47" t="n">
        <x:v>0.7792864842484171</x:v>
      </x:c>
      <x:c r="O1174" s="47" t="n">
        <x:v>1</x:v>
      </x:c>
      <x:c r="P1174" s="47" t="n">
        <x:v>1</x:v>
      </x:c>
      <x:c r="Q1174" s="47" t="n">
        <x:v>1</x:v>
      </x:c>
      <x:c r="R1174" s="47" t="n">
        <x:v>1</x:v>
      </x:c>
      <x:c r="S1174" s="27" t="n">
        <x:v>1</x:v>
      </x:c>
    </x:row>
    <x:row r="1175" ht="21.600000381469727" hidden="0" customHeight="1">
      <x:c r="A1175" s="29" t="n">
        <x:v>391</x:v>
      </x:c>
      <x:c r="B1175" s="29" t="str">
        <x:v>A1</x:v>
      </x:c>
      <x:c r="C1175" s="48" t="n">
        <x:v>1.2403806940557127</x:v>
      </x:c>
      <x:c r="D1175" s="48" t="n">
        <x:v>0.9553726883416038</x:v>
      </x:c>
      <x:c r="E1175" s="48" t="n">
        <x:v>0.6206218331253818</x:v>
      </x:c>
      <x:c r="F1175" s="48" t="n">
        <x:v>-0.1498648558300984</x:v>
      </x:c>
      <x:c r="G1175" s="48" t="n">
        <x:v>-0.19948156950251916</x:v>
      </x:c>
      <x:c r="H1175" s="48" t="n">
        <x:v>0.6418830225786454</x:v>
      </x:c>
      <x:c r="I1175" s="48" t="n">
        <x:v>0.8405848794338877</x:v>
      </x:c>
      <x:c r="J1175" s="48" t="n">
        <x:v>0.5201489920905612</x:v>
      </x:c>
      <x:c r="K1175" s="48" t="n">
        <x:v>0.6903684117640696</x:v>
      </x:c>
      <x:c r="L1175" s="48" t="n">
        <x:v>0.6236255801162577</x:v>
      </x:c>
      <x:c r="M1175" s="48" t="n">
        <x:v>0.13504569622275533</x:v>
      </x:c>
      <x:c r="N1175" s="48" t="n">
        <x:v>0.9880733425624673</x:v>
      </x:c>
      <x:c r="O1175" s="48" t="n">
        <x:v>0.7931413690759967</x:v>
      </x:c>
      <x:c r="P1175" s="48" t="n">
        <x:v>0.43167482956425096</x:v>
      </x:c>
      <x:c r="Q1175" s="48" t="n">
        <x:v>0.9811308337870703</x:v>
      </x:c>
      <x:c r="R1175" s="48" t="n">
        <x:v>0.74470219714044</x:v>
      </x:c>
      <x:c r="S1175" s="29" t="n">
        <x:v>0</x:v>
      </x:c>
    </x:row>
    <x:row r="1176" ht="21.600000381469727" hidden="0" customHeight="1">
      <x:c r="A1176" s="27" t="n">
        <x:v>391</x:v>
      </x:c>
      <x:c r="B1176" s="27" t="str">
        <x:v>A2</x:v>
      </x:c>
      <x:c r="C1176" s="47" t="n">
        <x:v>1.2403806940557127</x:v>
      </x:c>
      <x:c r="D1176" s="47" t="n">
        <x:v>0.9553726883416038</x:v>
      </x:c>
      <x:c r="E1176" s="47" t="n">
        <x:v>0.6206218331253818</x:v>
      </x:c>
      <x:c r="F1176" s="47" t="n">
        <x:v>-0.1498648558300984</x:v>
      </x:c>
      <x:c r="G1176" s="47" t="n">
        <x:v>-0.19948156950251916</x:v>
      </x:c>
      <x:c r="H1176" s="47" t="n">
        <x:v>0.6418830225786454</x:v>
      </x:c>
      <x:c r="I1176" s="47" t="n">
        <x:v>0.8405848794338877</x:v>
      </x:c>
      <x:c r="J1176" s="47" t="n">
        <x:v>0.5201489920905612</x:v>
      </x:c>
      <x:c r="K1176" s="47" t="n">
        <x:v>0.6903684117640696</x:v>
      </x:c>
      <x:c r="L1176" s="47" t="n">
        <x:v>0.6236255801162577</x:v>
      </x:c>
      <x:c r="M1176" s="47" t="n">
        <x:v>0.13504569622275533</x:v>
      </x:c>
      <x:c r="N1176" s="47" t="n">
        <x:v>0.9880733425624673</x:v>
      </x:c>
      <x:c r="O1176" s="47" t="n">
        <x:v>0.8602027697457187</x:v>
      </x:c>
      <x:c r="P1176" s="47" t="n">
        <x:v>0.5420998146867356</x:v>
      </x:c>
      <x:c r="Q1176" s="47" t="n">
        <x:v>1</x:v>
      </x:c>
      <x:c r="R1176" s="47" t="n">
        <x:v>0.8273723627140886</x:v>
      </x:c>
      <x:c r="S1176" s="27" t="n">
        <x:v>0</x:v>
      </x:c>
    </x:row>
    <x:row r="1177" ht="21.600000381469727" hidden="0" customHeight="1">
      <x:c r="A1177" s="29" t="n">
        <x:v>391</x:v>
      </x:c>
      <x:c r="B1177" s="29" t="str">
        <x:v>A3</x:v>
      </x:c>
      <x:c r="C1177" s="48" t="n">
        <x:v>1.2403806940557127</x:v>
      </x:c>
      <x:c r="D1177" s="48" t="n">
        <x:v>0.9553726883416038</x:v>
      </x:c>
      <x:c r="E1177" s="48" t="n">
        <x:v>0.6206218331253818</x:v>
      </x:c>
      <x:c r="F1177" s="48" t="n">
        <x:v>-0.1498648558300984</x:v>
      </x:c>
      <x:c r="G1177" s="48" t="n">
        <x:v>-0.19948156950251916</x:v>
      </x:c>
      <x:c r="H1177" s="48" t="n">
        <x:v>0.6418830225786454</x:v>
      </x:c>
      <x:c r="I1177" s="48" t="n">
        <x:v>0.8405848794338877</x:v>
      </x:c>
      <x:c r="J1177" s="48" t="n">
        <x:v>0.5201489920905612</x:v>
      </x:c>
      <x:c r="K1177" s="48" t="n">
        <x:v>0.6903684117640696</x:v>
      </x:c>
      <x:c r="L1177" s="48" t="n">
        <x:v>0.6236255801162577</x:v>
      </x:c>
      <x:c r="M1177" s="48" t="n">
        <x:v>0.13504569622275533</x:v>
      </x:c>
      <x:c r="N1177" s="48" t="n">
        <x:v>0.9880733425624673</x:v>
      </x:c>
      <x:c r="O1177" s="48" t="n">
        <x:v>1</x:v>
      </x:c>
      <x:c r="P1177" s="48" t="n">
        <x:v>1</x:v>
      </x:c>
      <x:c r="Q1177" s="48" t="n">
        <x:v>1</x:v>
      </x:c>
      <x:c r="R1177" s="48" t="n">
        <x:v>1</x:v>
      </x:c>
      <x:c r="S1177" s="29" t="n">
        <x:v>1</x:v>
      </x:c>
    </x:row>
    <x:row r="1178" ht="21.600000381469727" hidden="0" customHeight="1">
      <x:c r="A1178" s="27" t="n">
        <x:v>392</x:v>
      </x:c>
      <x:c r="B1178" s="27" t="str">
        <x:v>A1</x:v>
      </x:c>
      <x:c r="C1178" s="47" t="n">
        <x:v>1.1702516463645614</x:v>
      </x:c>
      <x:c r="D1178" s="47" t="n">
        <x:v>0.9606597255315914</x:v>
      </x:c>
      <x:c r="E1178" s="47" t="n">
        <x:v>0.8700769137764686</x:v>
      </x:c>
      <x:c r="F1178" s="47" t="n">
        <x:v>-0.1192043544635875</x:v>
      </x:c>
      <x:c r="G1178" s="47" t="n">
        <x:v>-0.15037446646212274</x:v>
      </x:c>
      <x:c r="H1178" s="47" t="n">
        <x:v>0.3430295112976838</x:v>
      </x:c>
      <x:c r="I1178" s="47" t="n">
        <x:v>0.9450486744326195</x:v>
      </x:c>
      <x:c r="J1178" s="47" t="n">
        <x:v>0.4646325792624617</x:v>
      </x:c>
      <x:c r="K1178" s="47" t="n">
        <x:v>0.9922972619169474</x:v>
      </x:c>
      <x:c r="L1178" s="47" t="n">
        <x:v>0.9243647338336184</x:v>
      </x:c>
      <x:c r="M1178" s="47" t="n">
        <x:v>0.15936379047659388</x:v>
      </x:c>
      <x:c r="N1178" s="47" t="n">
        <x:v>0.7325642218817278</x:v>
      </x:c>
      <x:c r="O1178" s="47" t="n">
        <x:v>0.8589259254950771</x:v>
      </x:c>
      <x:c r="P1178" s="47" t="n">
        <x:v>0.5925175910895661</x:v>
      </x:c>
      <x:c r="Q1178" s="47" t="n">
        <x:v>1</x:v>
      </x:c>
      <x:c r="R1178" s="47" t="n">
        <x:v>0.8257956604734974</x:v>
      </x:c>
      <x:c r="S1178" s="27" t="n">
        <x:v>0</x:v>
      </x:c>
    </x:row>
    <x:row r="1179" ht="21.600000381469727" hidden="0" customHeight="1">
      <x:c r="A1179" s="29" t="n">
        <x:v>392</x:v>
      </x:c>
      <x:c r="B1179" s="29" t="str">
        <x:v>A2</x:v>
      </x:c>
      <x:c r="C1179" s="48" t="n">
        <x:v>1.1702516463645614</x:v>
      </x:c>
      <x:c r="D1179" s="48" t="n">
        <x:v>0.9606597255315914</x:v>
      </x:c>
      <x:c r="E1179" s="48" t="n">
        <x:v>0.8700769137764686</x:v>
      </x:c>
      <x:c r="F1179" s="48" t="n">
        <x:v>-0.1192043544635875</x:v>
      </x:c>
      <x:c r="G1179" s="48" t="n">
        <x:v>-0.15037446646212274</x:v>
      </x:c>
      <x:c r="H1179" s="48" t="n">
        <x:v>0.3430295112976838</x:v>
      </x:c>
      <x:c r="I1179" s="48" t="n">
        <x:v>0.9450486744326195</x:v>
      </x:c>
      <x:c r="J1179" s="48" t="n">
        <x:v>0.4646325792624617</x:v>
      </x:c>
      <x:c r="K1179" s="48" t="n">
        <x:v>0.9922972619169474</x:v>
      </x:c>
      <x:c r="L1179" s="48" t="n">
        <x:v>0.9243647338336184</x:v>
      </x:c>
      <x:c r="M1179" s="48" t="n">
        <x:v>0.15936379047659388</x:v>
      </x:c>
      <x:c r="N1179" s="48" t="n">
        <x:v>0.7325642218817278</x:v>
      </x:c>
      <x:c r="O1179" s="48" t="n">
        <x:v>0.9562135750272576</x:v>
      </x:c>
      <x:c r="P1179" s="48" t="n">
        <x:v>0.7975021890802105</x:v>
      </x:c>
      <x:c r="Q1179" s="48" t="n">
        <x:v>1</x:v>
      </x:c>
      <x:c r="R1179" s="48" t="n">
        <x:v>0.9459306377208437</x:v>
      </x:c>
      <x:c r="S1179" s="29" t="n">
        <x:v>0</x:v>
      </x:c>
    </x:row>
    <x:row r="1180" ht="21.600000381469727" hidden="0" customHeight="1">
      <x:c r="A1180" s="27" t="n">
        <x:v>392</x:v>
      </x:c>
      <x:c r="B1180" s="27" t="str">
        <x:v>A3</x:v>
      </x:c>
      <x:c r="C1180" s="47" t="n">
        <x:v>1.1702516463645614</x:v>
      </x:c>
      <x:c r="D1180" s="47" t="n">
        <x:v>0.9606597255315914</x:v>
      </x:c>
      <x:c r="E1180" s="47" t="n">
        <x:v>0.8700769137764686</x:v>
      </x:c>
      <x:c r="F1180" s="47" t="n">
        <x:v>-0.1192043544635875</x:v>
      </x:c>
      <x:c r="G1180" s="47" t="n">
        <x:v>-0.15037446646212274</x:v>
      </x:c>
      <x:c r="H1180" s="47" t="n">
        <x:v>0.3430295112976838</x:v>
      </x:c>
      <x:c r="I1180" s="47" t="n">
        <x:v>0.9450486744326195</x:v>
      </x:c>
      <x:c r="J1180" s="47" t="n">
        <x:v>0.4646325792624617</x:v>
      </x:c>
      <x:c r="K1180" s="47" t="n">
        <x:v>0.9922972619169474</x:v>
      </x:c>
      <x:c r="L1180" s="47" t="n">
        <x:v>0.9243647338336184</x:v>
      </x:c>
      <x:c r="M1180" s="47" t="n">
        <x:v>0.15936379047659388</x:v>
      </x:c>
      <x:c r="N1180" s="47" t="n">
        <x:v>0.7325642218817278</x:v>
      </x:c>
      <x:c r="O1180" s="47" t="n">
        <x:v>1</x:v>
      </x:c>
      <x:c r="P1180" s="47" t="n">
        <x:v>1</x:v>
      </x:c>
      <x:c r="Q1180" s="47" t="n">
        <x:v>1</x:v>
      </x:c>
      <x:c r="R1180" s="47" t="n">
        <x:v>1</x:v>
      </x:c>
      <x:c r="S1180" s="27" t="n">
        <x:v>1</x:v>
      </x:c>
    </x:row>
    <x:row r="1181" ht="15" hidden="0" customHeight="1">
      <x:c r="A1181" s="29" t="n">
        <x:v>393</x:v>
      </x:c>
      <x:c r="B1181" s="29" t="str">
        <x:v>A1</x:v>
      </x:c>
      <x:c r="C1181" s="48" t="n">
        <x:v>0.9999815827664873</x:v>
      </x:c>
      <x:c r="D1181" s="48" t="n">
        <x:v>0.7487000700638917</x:v>
      </x:c>
      <x:c r="E1181" s="48" t="n">
        <x:v>0.5556875201369238</x:v>
      </x:c>
      <x:c r="F1181" s="48" t="n">
        <x:v>0.013895921018251323</x:v>
      </x:c>
      <x:c r="G1181" s="48" t="n">
        <x:v>0.021264377500668258</x:v>
      </x:c>
      <x:c r="H1181" s="48" t="n">
        <x:v>1.0864665795487303</x:v>
      </x:c>
      <x:c r="I1181" s="48" t="n">
        <x:v>0.9719470637853669</x:v>
      </x:c>
      <x:c r="J1181" s="48" t="n">
        <x:v>0.8969067579181522</x:v>
      </x:c>
      <x:c r="K1181" s="48" t="n">
        <x:v>0.6886997051506191</x:v>
      </x:c>
      <x:c r="L1181" s="48" t="n">
        <x:v>0.7450236424207655</x:v>
      </x:c>
      <x:c r="M1181" s="48" t="n">
        <x:v>0.14285849937372552</x:v>
      </x:c>
      <x:c r="N1181" s="48" t="n">
        <x:v>0.7488986551374092</x:v>
      </x:c>
      <x:c r="O1181" s="48" t="n">
        <x:v>0.82254239067365</x:v>
      </x:c>
      <x:c r="P1181" s="48" t="n">
        <x:v>0.4625937943154539</x:v>
      </x:c>
      <x:c r="Q1181" s="48" t="n">
        <x:v>1</x:v>
      </x:c>
      <x:c r="R1181" s="48" t="n">
        <x:v>0.780867705599797</x:v>
      </x:c>
      <x:c r="S1181" s="29" t="n">
        <x:v>0</x:v>
      </x:c>
    </x:row>
    <x:row r="1182" ht="15" hidden="0" customHeight="1">
      <x:c r="A1182" s="27" t="n">
        <x:v>393</x:v>
      </x:c>
      <x:c r="B1182" s="27" t="str">
        <x:v>A2</x:v>
      </x:c>
      <x:c r="C1182" s="47" t="n">
        <x:v>0.9999815827664873</x:v>
      </x:c>
      <x:c r="D1182" s="47" t="n">
        <x:v>0.7487000700638917</x:v>
      </x:c>
      <x:c r="E1182" s="47" t="n">
        <x:v>0.5556875201369238</x:v>
      </x:c>
      <x:c r="F1182" s="47" t="n">
        <x:v>0.013895921018251323</x:v>
      </x:c>
      <x:c r="G1182" s="47" t="n">
        <x:v>0.021264377500668258</x:v>
      </x:c>
      <x:c r="H1182" s="47" t="n">
        <x:v>1.0864665795487303</x:v>
      </x:c>
      <x:c r="I1182" s="47" t="n">
        <x:v>0.9719470637853669</x:v>
      </x:c>
      <x:c r="J1182" s="47" t="n">
        <x:v>0.8969067579181522</x:v>
      </x:c>
      <x:c r="K1182" s="47" t="n">
        <x:v>0.6886997051506191</x:v>
      </x:c>
      <x:c r="L1182" s="47" t="n">
        <x:v>0.7450236424207655</x:v>
      </x:c>
      <x:c r="M1182" s="47" t="n">
        <x:v>0.14285849937372552</x:v>
      </x:c>
      <x:c r="N1182" s="47" t="n">
        <x:v>0.7488986551374092</x:v>
      </x:c>
      <x:c r="O1182" s="47" t="n">
        <x:v>0.9152253475338898</x:v>
      </x:c>
      <x:c r="P1182" s="47" t="n">
        <x:v>0.6279207655979648</x:v>
      </x:c>
      <x:c r="Q1182" s="47" t="n">
        <x:v>1</x:v>
      </x:c>
      <x:c r="R1182" s="47" t="n">
        <x:v>0.8953166101335498</x:v>
      </x:c>
      <x:c r="S1182" s="27" t="n">
        <x:v>0</x:v>
      </x:c>
    </x:row>
    <x:row r="1183" ht="15" hidden="0" customHeight="1">
      <x:c r="A1183" s="29" t="n">
        <x:v>393</x:v>
      </x:c>
      <x:c r="B1183" s="29" t="str">
        <x:v>A3</x:v>
      </x:c>
      <x:c r="C1183" s="48" t="n">
        <x:v>0.9999815827664873</x:v>
      </x:c>
      <x:c r="D1183" s="48" t="n">
        <x:v>0.7487000700638917</x:v>
      </x:c>
      <x:c r="E1183" s="48" t="n">
        <x:v>0.5556875201369238</x:v>
      </x:c>
      <x:c r="F1183" s="48" t="n">
        <x:v>0.013895921018251323</x:v>
      </x:c>
      <x:c r="G1183" s="48" t="n">
        <x:v>0.021264377500668258</x:v>
      </x:c>
      <x:c r="H1183" s="48" t="n">
        <x:v>1.0864665795487303</x:v>
      </x:c>
      <x:c r="I1183" s="48" t="n">
        <x:v>0.9719470637853669</x:v>
      </x:c>
      <x:c r="J1183" s="48" t="n">
        <x:v>0.8969067579181522</x:v>
      </x:c>
      <x:c r="K1183" s="48" t="n">
        <x:v>0.6886997051506191</x:v>
      </x:c>
      <x:c r="L1183" s="48" t="n">
        <x:v>0.7450236424207655</x:v>
      </x:c>
      <x:c r="M1183" s="48" t="n">
        <x:v>0.14285849937372552</x:v>
      </x:c>
      <x:c r="N1183" s="48" t="n">
        <x:v>0.7488986551374092</x:v>
      </x:c>
      <x:c r="O1183" s="48" t="n">
        <x:v>1</x:v>
      </x:c>
      <x:c r="P1183" s="48" t="n">
        <x:v>1</x:v>
      </x:c>
      <x:c r="Q1183" s="48" t="n">
        <x:v>1</x:v>
      </x:c>
      <x:c r="R1183" s="48" t="n">
        <x:v>1</x:v>
      </x:c>
      <x:c r="S1183" s="29" t="n">
        <x:v>1</x:v>
      </x:c>
    </x:row>
    <x:row r="1184" ht="21.600000381469727" hidden="0" customHeight="1">
      <x:c r="A1184" s="27" t="n">
        <x:v>394</x:v>
      </x:c>
      <x:c r="B1184" s="27" t="str">
        <x:v>A1</x:v>
      </x:c>
      <x:c r="C1184" s="47" t="n">
        <x:v>1.338151810143844</x:v>
      </x:c>
      <x:c r="D1184" s="47" t="n">
        <x:v>0.7368327300703156</x:v>
      </x:c>
      <x:c r="E1184" s="47" t="n">
        <x:v>0.8520183251537521</x:v>
      </x:c>
      <x:c r="F1184" s="47" t="n">
        <x:v>0.002153885810078776</x:v>
      </x:c>
      <x:c r="G1184" s="47" t="n">
        <x:v>-0.04457398097081014</x:v>
      </x:c>
      <x:c r="H1184" s="47" t="n">
        <x:v>1.027832042568683</x:v>
      </x:c>
      <x:c r="I1184" s="47" t="n">
        <x:v>0.9097342373661905</x:v>
      </x:c>
      <x:c r="J1184" s="47" t="n">
        <x:v>0.5865195607295123</x:v>
      </x:c>
      <x:c r="K1184" s="47" t="n">
        <x:v>0.7889016684190687</x:v>
      </x:c>
      <x:c r="L1184" s="47" t="n">
        <x:v>0.5432460039776608</x:v>
      </x:c>
      <x:c r="M1184" s="47" t="n">
        <x:v>0.1449773895078445</x:v>
      </x:c>
      <x:c r="N1184" s="47" t="n">
        <x:v>0.8308574309220416</x:v>
      </x:c>
      <x:c r="O1184" s="47" t="n">
        <x:v>0.6716789563361311</x:v>
      </x:c>
      <x:c r="P1184" s="47" t="n">
        <x:v>0.3817992392330865</x:v>
      </x:c>
      <x:c r="Q1184" s="47" t="n">
        <x:v>0.833555149505654</x:v>
      </x:c>
      <x:c r="R1184" s="47" t="n">
        <x:v>0.5961106238250589</x:v>
      </x:c>
      <x:c r="S1184" s="27" t="n">
        <x:v>0</x:v>
      </x:c>
    </x:row>
    <x:row r="1185" ht="21.600000381469727" hidden="0" customHeight="1">
      <x:c r="A1185" s="29" t="n">
        <x:v>394</x:v>
      </x:c>
      <x:c r="B1185" s="29" t="str">
        <x:v>A2</x:v>
      </x:c>
      <x:c r="C1185" s="48" t="n">
        <x:v>1.338151810143844</x:v>
      </x:c>
      <x:c r="D1185" s="48" t="n">
        <x:v>0.7368327300703156</x:v>
      </x:c>
      <x:c r="E1185" s="48" t="n">
        <x:v>0.8520183251537521</x:v>
      </x:c>
      <x:c r="F1185" s="48" t="n">
        <x:v>0.002153885810078776</x:v>
      </x:c>
      <x:c r="G1185" s="48" t="n">
        <x:v>-0.04457398097081014</x:v>
      </x:c>
      <x:c r="H1185" s="48" t="n">
        <x:v>1.027832042568683</x:v>
      </x:c>
      <x:c r="I1185" s="48" t="n">
        <x:v>0.9097342373661905</x:v>
      </x:c>
      <x:c r="J1185" s="48" t="n">
        <x:v>0.5865195607295123</x:v>
      </x:c>
      <x:c r="K1185" s="48" t="n">
        <x:v>0.7889016684190687</x:v>
      </x:c>
      <x:c r="L1185" s="48" t="n">
        <x:v>0.5432460039776608</x:v>
      </x:c>
      <x:c r="M1185" s="48" t="n">
        <x:v>0.1449773895078445</x:v>
      </x:c>
      <x:c r="N1185" s="48" t="n">
        <x:v>0.8308574309220416</x:v>
      </x:c>
      <x:c r="O1185" s="48" t="n">
        <x:v>0.7323541248256573</x:v>
      </x:c>
      <x:c r="P1185" s="48" t="n">
        <x:v>0.42302061779364175</x:v>
      </x:c>
      <x:c r="Q1185" s="48" t="n">
        <x:v>1</x:v>
      </x:c>
      <x:c r="R1185" s="48" t="n">
        <x:v>0.6694993529083044</x:v>
      </x:c>
      <x:c r="S1185" s="29" t="n">
        <x:v>0</x:v>
      </x:c>
    </x:row>
    <x:row r="1186" ht="21.600000381469727" hidden="0" customHeight="1">
      <x:c r="A1186" s="27" t="n">
        <x:v>394</x:v>
      </x:c>
      <x:c r="B1186" s="27" t="str">
        <x:v>A3</x:v>
      </x:c>
      <x:c r="C1186" s="47" t="n">
        <x:v>1.338151810143844</x:v>
      </x:c>
      <x:c r="D1186" s="47" t="n">
        <x:v>0.7368327300703156</x:v>
      </x:c>
      <x:c r="E1186" s="47" t="n">
        <x:v>0.8520183251537521</x:v>
      </x:c>
      <x:c r="F1186" s="47" t="n">
        <x:v>0.002153885810078776</x:v>
      </x:c>
      <x:c r="G1186" s="47" t="n">
        <x:v>-0.04457398097081014</x:v>
      </x:c>
      <x:c r="H1186" s="47" t="n">
        <x:v>1.027832042568683</x:v>
      </x:c>
      <x:c r="I1186" s="47" t="n">
        <x:v>0.9097342373661905</x:v>
      </x:c>
      <x:c r="J1186" s="47" t="n">
        <x:v>0.5865195607295123</x:v>
      </x:c>
      <x:c r="K1186" s="47" t="n">
        <x:v>0.7889016684190687</x:v>
      </x:c>
      <x:c r="L1186" s="47" t="n">
        <x:v>0.5432460039776608</x:v>
      </x:c>
      <x:c r="M1186" s="47" t="n">
        <x:v>0.1449773895078445</x:v>
      </x:c>
      <x:c r="N1186" s="47" t="n">
        <x:v>0.8308574309220416</x:v>
      </x:c>
      <x:c r="O1186" s="47" t="n">
        <x:v>1</x:v>
      </x:c>
      <x:c r="P1186" s="47" t="n">
        <x:v>1</x:v>
      </x:c>
      <x:c r="Q1186" s="47" t="n">
        <x:v>1</x:v>
      </x:c>
      <x:c r="R1186" s="47" t="n">
        <x:v>1</x:v>
      </x:c>
      <x:c r="S1186" s="27" t="n">
        <x:v>1</x:v>
      </x:c>
    </x:row>
    <x:row r="1187" ht="21.600000381469727" hidden="0" customHeight="1">
      <x:c r="A1187" s="29" t="n">
        <x:v>395</x:v>
      </x:c>
      <x:c r="B1187" s="29" t="str">
        <x:v>A1</x:v>
      </x:c>
      <x:c r="C1187" s="48" t="n">
        <x:v>1.3027669067501495</x:v>
      </x:c>
      <x:c r="D1187" s="48" t="n">
        <x:v>0.7767806567409595</x:v>
      </x:c>
      <x:c r="E1187" s="48" t="n">
        <x:v>0.4977005286875385</x:v>
      </x:c>
      <x:c r="F1187" s="48" t="n">
        <x:v>0.036239495232470054</x:v>
      </x:c>
      <x:c r="G1187" s="48" t="n">
        <x:v>-0.016428781755474492</x:v>
      </x:c>
      <x:c r="H1187" s="48" t="n">
        <x:v>0.4074787539152998</x:v>
      </x:c>
      <x:c r="I1187" s="48" t="n">
        <x:v>0.8336396647968427</x:v>
      </x:c>
      <x:c r="J1187" s="48" t="n">
        <x:v>0.9910433711050791</x:v>
      </x:c>
      <x:c r="K1187" s="48" t="n">
        <x:v>0.7237990545593408</x:v>
      </x:c>
      <x:c r="L1187" s="48" t="n">
        <x:v>0.5625137287025745</x:v>
      </x:c>
      <x:c r="M1187" s="48" t="n">
        <x:v>0.015829898720197723</x:v>
      </x:c>
      <x:c r="N1187" s="48" t="n">
        <x:v>0.8800475043381811</x:v>
      </x:c>
      <x:c r="O1187" s="48" t="n">
        <x:v>0.678235510128652</x:v>
      </x:c>
      <x:c r="P1187" s="48" t="n">
        <x:v>0.37987701469487606</x:v>
      </x:c>
      <x:c r="Q1187" s="48" t="n">
        <x:v>0.8783068245740578</x:v>
      </x:c>
      <x:c r="R1187" s="48" t="n">
        <x:v>0.6040989032473297</x:v>
      </x:c>
      <x:c r="S1187" s="29" t="n">
        <x:v>0</x:v>
      </x:c>
    </x:row>
    <x:row r="1188" ht="21.600000381469727" hidden="0" customHeight="1">
      <x:c r="A1188" s="27" t="n">
        <x:v>395</x:v>
      </x:c>
      <x:c r="B1188" s="27" t="str">
        <x:v>A2</x:v>
      </x:c>
      <x:c r="C1188" s="47" t="n">
        <x:v>1.3027669067501495</x:v>
      </x:c>
      <x:c r="D1188" s="47" t="n">
        <x:v>0.7767806567409595</x:v>
      </x:c>
      <x:c r="E1188" s="47" t="n">
        <x:v>0.4977005286875385</x:v>
      </x:c>
      <x:c r="F1188" s="47" t="n">
        <x:v>0.036239495232470054</x:v>
      </x:c>
      <x:c r="G1188" s="47" t="n">
        <x:v>-0.016428781755474492</x:v>
      </x:c>
      <x:c r="H1188" s="47" t="n">
        <x:v>0.4074787539152998</x:v>
      </x:c>
      <x:c r="I1188" s="47" t="n">
        <x:v>0.8336396647968427</x:v>
      </x:c>
      <x:c r="J1188" s="47" t="n">
        <x:v>0.9910433711050791</x:v>
      </x:c>
      <x:c r="K1188" s="47" t="n">
        <x:v>0.7237990545593408</x:v>
      </x:c>
      <x:c r="L1188" s="47" t="n">
        <x:v>0.5625137287025745</x:v>
      </x:c>
      <x:c r="M1188" s="47" t="n">
        <x:v>0.015829898720197723</x:v>
      </x:c>
      <x:c r="N1188" s="47" t="n">
        <x:v>0.8800475043381811</x:v>
      </x:c>
      <x:c r="O1188" s="47" t="n">
        <x:v>0.7299121189569894</x:v>
      </x:c>
      <x:c r="P1188" s="47" t="n">
        <x:v>0.39041614446324424</x:v>
      </x:c>
      <x:c r="Q1188" s="47" t="n">
        <x:v>0.9999999999999998</x:v>
      </x:c>
      <x:c r="R1188" s="47" t="n">
        <x:v>0.6664838589490916</x:v>
      </x:c>
      <x:c r="S1188" s="27" t="n">
        <x:v>0</x:v>
      </x:c>
    </x:row>
    <x:row r="1189" ht="21.600000381469727" hidden="0" customHeight="1">
      <x:c r="A1189" s="29" t="n">
        <x:v>395</x:v>
      </x:c>
      <x:c r="B1189" s="29" t="str">
        <x:v>A3</x:v>
      </x:c>
      <x:c r="C1189" s="48" t="n">
        <x:v>1.3027669067501495</x:v>
      </x:c>
      <x:c r="D1189" s="48" t="n">
        <x:v>0.7767806567409595</x:v>
      </x:c>
      <x:c r="E1189" s="48" t="n">
        <x:v>0.4977005286875385</x:v>
      </x:c>
      <x:c r="F1189" s="48" t="n">
        <x:v>0.036239495232470054</x:v>
      </x:c>
      <x:c r="G1189" s="48" t="n">
        <x:v>-0.016428781755474492</x:v>
      </x:c>
      <x:c r="H1189" s="48" t="n">
        <x:v>0.4074787539152998</x:v>
      </x:c>
      <x:c r="I1189" s="48" t="n">
        <x:v>0.8336396647968427</x:v>
      </x:c>
      <x:c r="J1189" s="48" t="n">
        <x:v>0.9910433711050791</x:v>
      </x:c>
      <x:c r="K1189" s="48" t="n">
        <x:v>0.7237990545593408</x:v>
      </x:c>
      <x:c r="L1189" s="48" t="n">
        <x:v>0.5625137287025745</x:v>
      </x:c>
      <x:c r="M1189" s="48" t="n">
        <x:v>0.015829898720197723</x:v>
      </x:c>
      <x:c r="N1189" s="48" t="n">
        <x:v>0.8800475043381811</x:v>
      </x:c>
      <x:c r="O1189" s="48" t="n">
        <x:v>1</x:v>
      </x:c>
      <x:c r="P1189" s="48" t="n">
        <x:v>1</x:v>
      </x:c>
      <x:c r="Q1189" s="48" t="n">
        <x:v>1</x:v>
      </x:c>
      <x:c r="R1189" s="48" t="n">
        <x:v>1</x:v>
      </x:c>
      <x:c r="S1189" s="29" t="n">
        <x:v>1</x:v>
      </x:c>
    </x:row>
    <x:row r="1190" ht="21.600000381469727" hidden="0" customHeight="1">
      <x:c r="A1190" s="27" t="n">
        <x:v>396</x:v>
      </x:c>
      <x:c r="B1190" s="27" t="str">
        <x:v>A1</x:v>
      </x:c>
      <x:c r="C1190" s="47" t="n">
        <x:v>1.0406316316022266</x:v>
      </x:c>
      <x:c r="D1190" s="47" t="n">
        <x:v>0.9015510905410591</x:v>
      </x:c>
      <x:c r="E1190" s="47" t="n">
        <x:v>0.6452453016998403</x:v>
      </x:c>
      <x:c r="F1190" s="47" t="n">
        <x:v>-0.18152222873077034</x:v>
      </x:c>
      <x:c r="G1190" s="47" t="n">
        <x:v>-0.1404439957491691</x:v>
      </x:c>
      <x:c r="H1190" s="47" t="n">
        <x:v>0.7296926096199516</x:v>
      </x:c>
      <x:c r="I1190" s="47" t="n">
        <x:v>1.0108977679693802</x:v>
      </x:c>
      <x:c r="J1190" s="47" t="n">
        <x:v>0.8375791484080286</x:v>
      </x:c>
      <x:c r="K1190" s="47" t="n">
        <x:v>0.5727605874226813</x:v>
      </x:c>
      <x:c r="L1190" s="47" t="n">
        <x:v>0.5556750222290746</x:v>
      </x:c>
      <x:c r="M1190" s="47" t="n">
        <x:v>0.13158660671480443</x:v>
      </x:c>
      <x:c r="N1190" s="47" t="n">
        <x:v>0.8994322818693696</x:v>
      </x:c>
      <x:c r="O1190" s="47" t="n">
        <x:v>0.8596061925422462</x:v>
      </x:c>
      <x:c r="P1190" s="47" t="n">
        <x:v>0.5647407556304478</x:v>
      </x:c>
      <x:c r="Q1190" s="47" t="n">
        <x:v>1</x:v>
      </x:c>
      <x:c r="R1190" s="47" t="n">
        <x:v>0.8266356835044449</x:v>
      </x:c>
      <x:c r="S1190" s="27" t="n">
        <x:v>0</x:v>
      </x:c>
    </x:row>
    <x:row r="1191" ht="21.600000381469727" hidden="0" customHeight="1">
      <x:c r="A1191" s="29" t="n">
        <x:v>396</x:v>
      </x:c>
      <x:c r="B1191" s="29" t="str">
        <x:v>A2</x:v>
      </x:c>
      <x:c r="C1191" s="48" t="n">
        <x:v>1.0406316316022266</x:v>
      </x:c>
      <x:c r="D1191" s="48" t="n">
        <x:v>0.9015510905410591</x:v>
      </x:c>
      <x:c r="E1191" s="48" t="n">
        <x:v>0.6452453016998403</x:v>
      </x:c>
      <x:c r="F1191" s="48" t="n">
        <x:v>-0.18152222873077034</x:v>
      </x:c>
      <x:c r="G1191" s="48" t="n">
        <x:v>-0.1404439957491691</x:v>
      </x:c>
      <x:c r="H1191" s="48" t="n">
        <x:v>0.7296926096199516</x:v>
      </x:c>
      <x:c r="I1191" s="48" t="n">
        <x:v>1.0108977679693802</x:v>
      </x:c>
      <x:c r="J1191" s="48" t="n">
        <x:v>0.8375791484080286</x:v>
      </x:c>
      <x:c r="K1191" s="48" t="n">
        <x:v>0.5727605874226813</x:v>
      </x:c>
      <x:c r="L1191" s="48" t="n">
        <x:v>0.5556750222290746</x:v>
      </x:c>
      <x:c r="M1191" s="48" t="n">
        <x:v>0.13158660671480443</x:v>
      </x:c>
      <x:c r="N1191" s="48" t="n">
        <x:v>0.8994322818693696</x:v>
      </x:c>
      <x:c r="O1191" s="48" t="n">
        <x:v>0.9368409581133749</x:v>
      </x:c>
      <x:c r="P1191" s="48" t="n">
        <x:v>0.6260738507114736</x:v>
      </x:c>
      <x:c r="Q1191" s="48" t="n">
        <x:v>1</x:v>
      </x:c>
      <x:c r="R1191" s="48" t="n">
        <x:v>0.9220084964895355</x:v>
      </x:c>
      <x:c r="S1191" s="29" t="n">
        <x:v>0</x:v>
      </x:c>
    </x:row>
    <x:row r="1192" ht="21.600000381469727" hidden="0" customHeight="1">
      <x:c r="A1192" s="27" t="n">
        <x:v>396</x:v>
      </x:c>
      <x:c r="B1192" s="27" t="str">
        <x:v>A3</x:v>
      </x:c>
      <x:c r="C1192" s="47" t="n">
        <x:v>1.0406316316022266</x:v>
      </x:c>
      <x:c r="D1192" s="47" t="n">
        <x:v>0.9015510905410591</x:v>
      </x:c>
      <x:c r="E1192" s="47" t="n">
        <x:v>0.6452453016998403</x:v>
      </x:c>
      <x:c r="F1192" s="47" t="n">
        <x:v>-0.18152222873077034</x:v>
      </x:c>
      <x:c r="G1192" s="47" t="n">
        <x:v>-0.1404439957491691</x:v>
      </x:c>
      <x:c r="H1192" s="47" t="n">
        <x:v>0.7296926096199516</x:v>
      </x:c>
      <x:c r="I1192" s="47" t="n">
        <x:v>1.0108977679693802</x:v>
      </x:c>
      <x:c r="J1192" s="47" t="n">
        <x:v>0.8375791484080286</x:v>
      </x:c>
      <x:c r="K1192" s="47" t="n">
        <x:v>0.5727605874226813</x:v>
      </x:c>
      <x:c r="L1192" s="47" t="n">
        <x:v>0.5556750222290746</x:v>
      </x:c>
      <x:c r="M1192" s="47" t="n">
        <x:v>0.13158660671480443</x:v>
      </x:c>
      <x:c r="N1192" s="47" t="n">
        <x:v>0.8994322818693696</x:v>
      </x:c>
      <x:c r="O1192" s="47" t="n">
        <x:v>1</x:v>
      </x:c>
      <x:c r="P1192" s="47" t="n">
        <x:v>1</x:v>
      </x:c>
      <x:c r="Q1192" s="47" t="n">
        <x:v>1</x:v>
      </x:c>
      <x:c r="R1192" s="47" t="n">
        <x:v>1</x:v>
      </x:c>
      <x:c r="S1192" s="27" t="n">
        <x:v>1</x:v>
      </x:c>
    </x:row>
    <x:row r="1193" ht="21.600000381469727" hidden="0" customHeight="1">
      <x:c r="A1193" s="29" t="n">
        <x:v>397</x:v>
      </x:c>
      <x:c r="B1193" s="29" t="str">
        <x:v>A1</x:v>
      </x:c>
      <x:c r="C1193" s="48" t="n">
        <x:v>1.1580084343881873</x:v>
      </x:c>
      <x:c r="D1193" s="48" t="n">
        <x:v>0.8321171264274454</x:v>
      </x:c>
      <x:c r="E1193" s="48" t="n">
        <x:v>0.8851807374751884</x:v>
      </x:c>
      <x:c r="F1193" s="48" t="n">
        <x:v>0.036834578915531796</x:v>
      </x:c>
      <x:c r="G1193" s="48" t="n">
        <x:v>-0.16905329428377314</x:v>
      </x:c>
      <x:c r="H1193" s="48" t="n">
        <x:v>0.7265231822484342</x:v>
      </x:c>
      <x:c r="I1193" s="48" t="n">
        <x:v>0.7536899641703854</x:v>
      </x:c>
      <x:c r="J1193" s="48" t="n">
        <x:v>0.8664307208020073</x:v>
      </x:c>
      <x:c r="K1193" s="48" t="n">
        <x:v>0.6025776122140409</x:v>
      </x:c>
      <x:c r="L1193" s="48" t="n">
        <x:v>0.7902030136401095</x:v>
      </x:c>
      <x:c r="M1193" s="48" t="n">
        <x:v>0.0006259371390052384</x:v>
      </x:c>
      <x:c r="N1193" s="48" t="n">
        <x:v>0.8404731042050115</x:v>
      </x:c>
      <x:c r="O1193" s="48" t="n">
        <x:v>0.8077727097308149</x:v>
      </x:c>
      <x:c r="P1193" s="48" t="n">
        <x:v>0.4466198406568818</x:v>
      </x:c>
      <x:c r="Q1193" s="48" t="n">
        <x:v>0.9459123013830707</x:v>
      </x:c>
      <x:c r="R1193" s="48" t="n">
        <x:v>0.763031169247123</x:v>
      </x:c>
      <x:c r="S1193" s="29" t="n">
        <x:v>0</x:v>
      </x:c>
    </x:row>
    <x:row r="1194" ht="21.600000381469727" hidden="0" customHeight="1">
      <x:c r="A1194" s="27" t="n">
        <x:v>397</x:v>
      </x:c>
      <x:c r="B1194" s="27" t="str">
        <x:v>A2</x:v>
      </x:c>
      <x:c r="C1194" s="47" t="n">
        <x:v>1.1580084343881873</x:v>
      </x:c>
      <x:c r="D1194" s="47" t="n">
        <x:v>0.8321171264274454</x:v>
      </x:c>
      <x:c r="E1194" s="47" t="n">
        <x:v>0.8851807374751884</x:v>
      </x:c>
      <x:c r="F1194" s="47" t="n">
        <x:v>0.036834578915531796</x:v>
      </x:c>
      <x:c r="G1194" s="47" t="n">
        <x:v>-0.16905329428377314</x:v>
      </x:c>
      <x:c r="H1194" s="47" t="n">
        <x:v>0.7265231822484342</x:v>
      </x:c>
      <x:c r="I1194" s="47" t="n">
        <x:v>0.7536899641703854</x:v>
      </x:c>
      <x:c r="J1194" s="47" t="n">
        <x:v>0.8664307208020073</x:v>
      </x:c>
      <x:c r="K1194" s="47" t="n">
        <x:v>0.6025776122140409</x:v>
      </x:c>
      <x:c r="L1194" s="47" t="n">
        <x:v>0.7902030136401095</x:v>
      </x:c>
      <x:c r="M1194" s="47" t="n">
        <x:v>0.0006259371390052384</x:v>
      </x:c>
      <x:c r="N1194" s="47" t="n">
        <x:v>0.8404731042050115</x:v>
      </x:c>
      <x:c r="O1194" s="47" t="n">
        <x:v>0.8998203231904364</x:v>
      </x:c>
      <x:c r="P1194" s="47" t="n">
        <x:v>0.5465859144440759</x:v>
      </x:c>
      <x:c r="Q1194" s="47" t="n">
        <x:v>1</x:v>
      </x:c>
      <x:c r="R1194" s="47" t="n">
        <x:v>0.8762938229874441</x:v>
      </x:c>
      <x:c r="S1194" s="27" t="n">
        <x:v>0</x:v>
      </x:c>
    </x:row>
    <x:row r="1195" ht="21.600000381469727" hidden="0" customHeight="1">
      <x:c r="A1195" s="29" t="n">
        <x:v>397</x:v>
      </x:c>
      <x:c r="B1195" s="29" t="str">
        <x:v>A3</x:v>
      </x:c>
      <x:c r="C1195" s="48" t="n">
        <x:v>1.1580084343881873</x:v>
      </x:c>
      <x:c r="D1195" s="48" t="n">
        <x:v>0.8321171264274454</x:v>
      </x:c>
      <x:c r="E1195" s="48" t="n">
        <x:v>0.8851807374751884</x:v>
      </x:c>
      <x:c r="F1195" s="48" t="n">
        <x:v>0.036834578915531796</x:v>
      </x:c>
      <x:c r="G1195" s="48" t="n">
        <x:v>-0.16905329428377314</x:v>
      </x:c>
      <x:c r="H1195" s="48" t="n">
        <x:v>0.7265231822484342</x:v>
      </x:c>
      <x:c r="I1195" s="48" t="n">
        <x:v>0.7536899641703854</x:v>
      </x:c>
      <x:c r="J1195" s="48" t="n">
        <x:v>0.8664307208020073</x:v>
      </x:c>
      <x:c r="K1195" s="48" t="n">
        <x:v>0.6025776122140409</x:v>
      </x:c>
      <x:c r="L1195" s="48" t="n">
        <x:v>0.7902030136401095</x:v>
      </x:c>
      <x:c r="M1195" s="48" t="n">
        <x:v>0.0006259371390052384</x:v>
      </x:c>
      <x:c r="N1195" s="48" t="n">
        <x:v>0.8404731042050115</x:v>
      </x:c>
      <x:c r="O1195" s="48" t="n">
        <x:v>1</x:v>
      </x:c>
      <x:c r="P1195" s="48" t="n">
        <x:v>1</x:v>
      </x:c>
      <x:c r="Q1195" s="48" t="n">
        <x:v>1</x:v>
      </x:c>
      <x:c r="R1195" s="48" t="n">
        <x:v>1</x:v>
      </x:c>
      <x:c r="S1195" s="29" t="n">
        <x:v>1</x:v>
      </x:c>
    </x:row>
    <x:row r="1196" ht="21.600000381469727" hidden="0" customHeight="1">
      <x:c r="A1196" s="27" t="n">
        <x:v>398</x:v>
      </x:c>
      <x:c r="B1196" s="27" t="str">
        <x:v>A1</x:v>
      </x:c>
      <x:c r="C1196" s="47" t="n">
        <x:v>1.3371679760972144</x:v>
      </x:c>
      <x:c r="D1196" s="47" t="n">
        <x:v>0.8310523079560597</x:v>
      </x:c>
      <x:c r="E1196" s="47" t="n">
        <x:v>0.5091395094255289</x:v>
      </x:c>
      <x:c r="F1196" s="47" t="n">
        <x:v>-0.18734928220178254</x:v>
      </x:c>
      <x:c r="G1196" s="47" t="n">
        <x:v>-0.026853971910004243</x:v>
      </x:c>
      <x:c r="H1196" s="47" t="n">
        <x:v>0.8480881160865468</x:v>
      </x:c>
      <x:c r="I1196" s="47" t="n">
        <x:v>0.6817460822453304</x:v>
      </x:c>
      <x:c r="J1196" s="47" t="n">
        <x:v>0.6948497009429732</x:v>
      </x:c>
      <x:c r="K1196" s="47" t="n">
        <x:v>0.8206216619266231</x:v>
      </x:c>
      <x:c r="L1196" s="47" t="n">
        <x:v>0.8256634598728299</x:v>
      </x:c>
      <x:c r="M1196" s="47" t="n">
        <x:v>0.12855234226048923</x:v>
      </x:c>
      <x:c r="N1196" s="47" t="n">
        <x:v>0.7469591718776702</x:v>
      </x:c>
      <x:c r="O1196" s="47" t="n">
        <x:v>0.7336737505555347</x:v>
      </x:c>
      <x:c r="P1196" s="47" t="n">
        <x:v>0.3803604503359591</x:v>
      </x:c>
      <x:c r="Q1196" s="47" t="n">
        <x:v>1</x:v>
      </x:c>
      <x:c r="R1196" s="47" t="n">
        <x:v>0.6711288835609223</x:v>
      </x:c>
      <x:c r="S1196" s="27" t="n">
        <x:v>0</x:v>
      </x:c>
    </x:row>
    <x:row r="1197" ht="21.600000381469727" hidden="0" customHeight="1">
      <x:c r="A1197" s="29" t="n">
        <x:v>398</x:v>
      </x:c>
      <x:c r="B1197" s="29" t="str">
        <x:v>A2</x:v>
      </x:c>
      <x:c r="C1197" s="48" t="n">
        <x:v>1.3371679760972144</x:v>
      </x:c>
      <x:c r="D1197" s="48" t="n">
        <x:v>0.8310523079560597</x:v>
      </x:c>
      <x:c r="E1197" s="48" t="n">
        <x:v>0.5091395094255289</x:v>
      </x:c>
      <x:c r="F1197" s="48" t="n">
        <x:v>-0.18734928220178254</x:v>
      </x:c>
      <x:c r="G1197" s="48" t="n">
        <x:v>-0.026853971910004243</x:v>
      </x:c>
      <x:c r="H1197" s="48" t="n">
        <x:v>0.8480881160865468</x:v>
      </x:c>
      <x:c r="I1197" s="48" t="n">
        <x:v>0.6817460822453304</x:v>
      </x:c>
      <x:c r="J1197" s="48" t="n">
        <x:v>0.6948497009429732</x:v>
      </x:c>
      <x:c r="K1197" s="48" t="n">
        <x:v>0.8206216619266231</x:v>
      </x:c>
      <x:c r="L1197" s="48" t="n">
        <x:v>0.8256634598728299</x:v>
      </x:c>
      <x:c r="M1197" s="48" t="n">
        <x:v>0.12855234226048923</x:v>
      </x:c>
      <x:c r="N1197" s="48" t="n">
        <x:v>0.7469591718776702</x:v>
      </x:c>
      <x:c r="O1197" s="48" t="n">
        <x:v>0.8187841592823981</x:v>
      </x:c>
      <x:c r="P1197" s="48" t="n">
        <x:v>0.41669481254813495</x:v>
      </x:c>
      <x:c r="Q1197" s="48" t="n">
        <x:v>1</x:v>
      </x:c>
      <x:c r="R1197" s="48" t="n">
        <x:v>0.7762268797102894</x:v>
      </x:c>
      <x:c r="S1197" s="29" t="n">
        <x:v>0</x:v>
      </x:c>
    </x:row>
    <x:row r="1198" ht="21.600000381469727" hidden="0" customHeight="1">
      <x:c r="A1198" s="27" t="n">
        <x:v>398</x:v>
      </x:c>
      <x:c r="B1198" s="27" t="str">
        <x:v>A3</x:v>
      </x:c>
      <x:c r="C1198" s="47" t="n">
        <x:v>1.3371679760972144</x:v>
      </x:c>
      <x:c r="D1198" s="47" t="n">
        <x:v>0.8310523079560597</x:v>
      </x:c>
      <x:c r="E1198" s="47" t="n">
        <x:v>0.5091395094255289</x:v>
      </x:c>
      <x:c r="F1198" s="47" t="n">
        <x:v>-0.18734928220178254</x:v>
      </x:c>
      <x:c r="G1198" s="47" t="n">
        <x:v>-0.026853971910004243</x:v>
      </x:c>
      <x:c r="H1198" s="47" t="n">
        <x:v>0.8480881160865468</x:v>
      </x:c>
      <x:c r="I1198" s="47" t="n">
        <x:v>0.6817460822453304</x:v>
      </x:c>
      <x:c r="J1198" s="47" t="n">
        <x:v>0.6948497009429732</x:v>
      </x:c>
      <x:c r="K1198" s="47" t="n">
        <x:v>0.8206216619266231</x:v>
      </x:c>
      <x:c r="L1198" s="47" t="n">
        <x:v>0.8256634598728299</x:v>
      </x:c>
      <x:c r="M1198" s="47" t="n">
        <x:v>0.12855234226048923</x:v>
      </x:c>
      <x:c r="N1198" s="47" t="n">
        <x:v>0.7469591718776702</x:v>
      </x:c>
      <x:c r="O1198" s="47" t="n">
        <x:v>1</x:v>
      </x:c>
      <x:c r="P1198" s="47" t="n">
        <x:v>1</x:v>
      </x:c>
      <x:c r="Q1198" s="47" t="n">
        <x:v>1</x:v>
      </x:c>
      <x:c r="R1198" s="47" t="n">
        <x:v>1</x:v>
      </x:c>
      <x:c r="S1198" s="27" t="n">
        <x:v>1</x:v>
      </x:c>
    </x:row>
    <x:row r="1199" ht="21.600000381469727" hidden="0" customHeight="1">
      <x:c r="A1199" s="29" t="n">
        <x:v>399</x:v>
      </x:c>
      <x:c r="B1199" s="29" t="str">
        <x:v>A1</x:v>
      </x:c>
      <x:c r="C1199" s="48" t="n">
        <x:v>1.3310662746477553</x:v>
      </x:c>
      <x:c r="D1199" s="48" t="n">
        <x:v>0.8912462339505252</x:v>
      </x:c>
      <x:c r="E1199" s="48" t="n">
        <x:v>0.8627953852249206</x:v>
      </x:c>
      <x:c r="F1199" s="48" t="n">
        <x:v>-0.05802441680867135</x:v>
      </x:c>
      <x:c r="G1199" s="48" t="n">
        <x:v>0.015794649052199683</x:v>
      </x:c>
      <x:c r="H1199" s="48" t="n">
        <x:v>0.5033111862770514</x:v>
      </x:c>
      <x:c r="I1199" s="48" t="n">
        <x:v>0.777976964132249</x:v>
      </x:c>
      <x:c r="J1199" s="48" t="n">
        <x:v>0.932679460742892</x:v>
      </x:c>
      <x:c r="K1199" s="48" t="n">
        <x:v>0.7475982496451538</x:v>
      </x:c>
      <x:c r="L1199" s="48" t="n">
        <x:v>0.6924365190299506</x:v>
      </x:c>
      <x:c r="M1199" s="48" t="n">
        <x:v>0.14666974697911567</x:v>
      </x:c>
      <x:c r="N1199" s="48" t="n">
        <x:v>0.782783791223035</x:v>
      </x:c>
      <x:c r="O1199" s="48" t="n">
        <x:v>0.8093765591782903</x:v>
      </x:c>
      <x:c r="P1199" s="48" t="n">
        <x:v>0.4312729514546518</x:v>
      </x:c>
      <x:c r="Q1199" s="48" t="n">
        <x:v>0.9481755092754979</x:v>
      </x:c>
      <x:c r="R1199" s="48" t="n">
        <x:v>0.7649948630667215</x:v>
      </x:c>
      <x:c r="S1199" s="29" t="n">
        <x:v>0</x:v>
      </x:c>
    </x:row>
    <x:row r="1200" ht="21.600000381469727" hidden="0" customHeight="1">
      <x:c r="A1200" s="27" t="n">
        <x:v>399</x:v>
      </x:c>
      <x:c r="B1200" s="27" t="str">
        <x:v>A2</x:v>
      </x:c>
      <x:c r="C1200" s="47" t="n">
        <x:v>1.3310662746477553</x:v>
      </x:c>
      <x:c r="D1200" s="47" t="n">
        <x:v>0.8912462339505252</x:v>
      </x:c>
      <x:c r="E1200" s="47" t="n">
        <x:v>0.8627953852249206</x:v>
      </x:c>
      <x:c r="F1200" s="47" t="n">
        <x:v>-0.05802441680867135</x:v>
      </x:c>
      <x:c r="G1200" s="47" t="n">
        <x:v>0.015794649052199683</x:v>
      </x:c>
      <x:c r="H1200" s="47" t="n">
        <x:v>0.5033111862770514</x:v>
      </x:c>
      <x:c r="I1200" s="47" t="n">
        <x:v>0.777976964132249</x:v>
      </x:c>
      <x:c r="J1200" s="47" t="n">
        <x:v>0.932679460742892</x:v>
      </x:c>
      <x:c r="K1200" s="47" t="n">
        <x:v>0.7475982496451538</x:v>
      </x:c>
      <x:c r="L1200" s="47" t="n">
        <x:v>0.6924365190299506</x:v>
      </x:c>
      <x:c r="M1200" s="47" t="n">
        <x:v>0.14666974697911567</x:v>
      </x:c>
      <x:c r="N1200" s="47" t="n">
        <x:v>0.782783791223035</x:v>
      </x:c>
      <x:c r="O1200" s="47" t="n">
        <x:v>0.899908219302529</x:v>
      </x:c>
      <x:c r="P1200" s="47" t="n">
        <x:v>0.4865780853804259</x:v>
      </x:c>
      <x:c r="Q1200" s="47" t="n">
        <x:v>1</x:v>
      </x:c>
      <x:c r="R1200" s="47" t="n">
        <x:v>0.8764023608900159</x:v>
      </x:c>
      <x:c r="S1200" s="27" t="n">
        <x:v>0</x:v>
      </x:c>
    </x:row>
    <x:row r="1201" ht="21.600000381469727" hidden="0" customHeight="1">
      <x:c r="A1201" s="29" t="n">
        <x:v>399</x:v>
      </x:c>
      <x:c r="B1201" s="29" t="str">
        <x:v>A3</x:v>
      </x:c>
      <x:c r="C1201" s="48" t="n">
        <x:v>1.3310662746477553</x:v>
      </x:c>
      <x:c r="D1201" s="48" t="n">
        <x:v>0.8912462339505252</x:v>
      </x:c>
      <x:c r="E1201" s="48" t="n">
        <x:v>0.8627953852249206</x:v>
      </x:c>
      <x:c r="F1201" s="48" t="n">
        <x:v>-0.05802441680867135</x:v>
      </x:c>
      <x:c r="G1201" s="48" t="n">
        <x:v>0.015794649052199683</x:v>
      </x:c>
      <x:c r="H1201" s="48" t="n">
        <x:v>0.5033111862770514</x:v>
      </x:c>
      <x:c r="I1201" s="48" t="n">
        <x:v>0.777976964132249</x:v>
      </x:c>
      <x:c r="J1201" s="48" t="n">
        <x:v>0.932679460742892</x:v>
      </x:c>
      <x:c r="K1201" s="48" t="n">
        <x:v>0.7475982496451538</x:v>
      </x:c>
      <x:c r="L1201" s="48" t="n">
        <x:v>0.6924365190299506</x:v>
      </x:c>
      <x:c r="M1201" s="48" t="n">
        <x:v>0.14666974697911567</x:v>
      </x:c>
      <x:c r="N1201" s="48" t="n">
        <x:v>0.782783791223035</x:v>
      </x:c>
      <x:c r="O1201" s="48" t="n">
        <x:v>1</x:v>
      </x:c>
      <x:c r="P1201" s="48" t="n">
        <x:v>1</x:v>
      </x:c>
      <x:c r="Q1201" s="48" t="n">
        <x:v>1</x:v>
      </x:c>
      <x:c r="R1201" s="48" t="n">
        <x:v>1</x:v>
      </x:c>
      <x:c r="S1201" s="29" t="n">
        <x:v>1</x:v>
      </x:c>
    </x:row>
    <x:row r="1202" ht="21.600000381469727" hidden="0" customHeight="1">
      <x:c r="A1202" s="27" t="n">
        <x:v>400</x:v>
      </x:c>
      <x:c r="B1202" s="27" t="str">
        <x:v>A1</x:v>
      </x:c>
      <x:c r="C1202" s="47" t="n">
        <x:v>0.9389080063328453</x:v>
      </x:c>
      <x:c r="D1202" s="47" t="n">
        <x:v>0.9003180124806591</x:v>
      </x:c>
      <x:c r="E1202" s="47" t="n">
        <x:v>0.5421446937103795</x:v>
      </x:c>
      <x:c r="F1202" s="47" t="n">
        <x:v>0.03534882032999884</x:v>
      </x:c>
      <x:c r="G1202" s="47" t="n">
        <x:v>-0.0065529606080183544</x:v>
      </x:c>
      <x:c r="H1202" s="47" t="n">
        <x:v>0.9422111474591663</x:v>
      </x:c>
      <x:c r="I1202" s="47" t="n">
        <x:v>0.7774103985981475</x:v>
      </x:c>
      <x:c r="J1202" s="47" t="n">
        <x:v>0.9254280844416877</x:v>
      </x:c>
      <x:c r="K1202" s="47" t="n">
        <x:v>0.7136680364448773</x:v>
      </x:c>
      <x:c r="L1202" s="47" t="n">
        <x:v>0.805833242958639</x:v>
      </x:c>
      <x:c r="M1202" s="47" t="n">
        <x:v>0.11616095319927007</x:v>
      </x:c>
      <x:c r="N1202" s="47" t="n">
        <x:v>0.9265513552874209</x:v>
      </x:c>
      <x:c r="O1202" s="47" t="n">
        <x:v>0.9355517342868063</x:v>
      </x:c>
      <x:c r="P1202" s="47" t="n">
        <x:v>0.6454510040619811</x:v>
      </x:c>
      <x:c r="Q1202" s="47" t="n">
        <x:v>1</x:v>
      </x:c>
      <x:c r="R1202" s="47" t="n">
        <x:v>0.9204165074157287</x:v>
      </x:c>
      <x:c r="S1202" s="27" t="n">
        <x:v>0</x:v>
      </x:c>
    </x:row>
    <x:row r="1203" ht="21.600000381469727" hidden="0" customHeight="1">
      <x:c r="A1203" s="29" t="n">
        <x:v>400</x:v>
      </x:c>
      <x:c r="B1203" s="29" t="str">
        <x:v>A2</x:v>
      </x:c>
      <x:c r="C1203" s="48" t="n">
        <x:v>0.9389080063328453</x:v>
      </x:c>
      <x:c r="D1203" s="48" t="n">
        <x:v>0.9003180124806591</x:v>
      </x:c>
      <x:c r="E1203" s="48" t="n">
        <x:v>0.5421446937103795</x:v>
      </x:c>
      <x:c r="F1203" s="48" t="n">
        <x:v>0.03534882032999884</x:v>
      </x:c>
      <x:c r="G1203" s="48" t="n">
        <x:v>-0.0065529606080183544</x:v>
      </x:c>
      <x:c r="H1203" s="48" t="n">
        <x:v>0.9422111474591663</x:v>
      </x:c>
      <x:c r="I1203" s="48" t="n">
        <x:v>0.7774103985981475</x:v>
      </x:c>
      <x:c r="J1203" s="48" t="n">
        <x:v>0.9254280844416877</x:v>
      </x:c>
      <x:c r="K1203" s="48" t="n">
        <x:v>0.7136680364448773</x:v>
      </x:c>
      <x:c r="L1203" s="48" t="n">
        <x:v>0.805833242958639</x:v>
      </x:c>
      <x:c r="M1203" s="48" t="n">
        <x:v>0.11616095319927007</x:v>
      </x:c>
      <x:c r="N1203" s="48" t="n">
        <x:v>0.9265513552874209</x:v>
      </x:c>
      <x:c r="O1203" s="48" t="n">
        <x:v>0.9819308485925217</x:v>
      </x:c>
      <x:c r="P1203" s="48" t="n">
        <x:v>0.8193084859252172</x:v>
      </x:c>
      <x:c r="Q1203" s="48" t="n">
        <x:v>1</x:v>
      </x:c>
      <x:c r="R1203" s="48" t="n">
        <x:v>0.9776874340817717</x:v>
      </x:c>
      <x:c r="S1203" s="29" t="n">
        <x:v>0</x:v>
      </x:c>
    </x:row>
    <x:row r="1204" ht="21.600000381469727" hidden="0" customHeight="1">
      <x:c r="A1204" s="27" t="n">
        <x:v>400</x:v>
      </x:c>
      <x:c r="B1204" s="27" t="str">
        <x:v>A3</x:v>
      </x:c>
      <x:c r="C1204" s="47" t="n">
        <x:v>0.9389080063328453</x:v>
      </x:c>
      <x:c r="D1204" s="47" t="n">
        <x:v>0.9003180124806591</x:v>
      </x:c>
      <x:c r="E1204" s="47" t="n">
        <x:v>0.5421446937103795</x:v>
      </x:c>
      <x:c r="F1204" s="47" t="n">
        <x:v>0.03534882032999884</x:v>
      </x:c>
      <x:c r="G1204" s="47" t="n">
        <x:v>-0.0065529606080183544</x:v>
      </x:c>
      <x:c r="H1204" s="47" t="n">
        <x:v>0.9422111474591663</x:v>
      </x:c>
      <x:c r="I1204" s="47" t="n">
        <x:v>0.7774103985981475</x:v>
      </x:c>
      <x:c r="J1204" s="47" t="n">
        <x:v>0.9254280844416877</x:v>
      </x:c>
      <x:c r="K1204" s="47" t="n">
        <x:v>0.7136680364448773</x:v>
      </x:c>
      <x:c r="L1204" s="47" t="n">
        <x:v>0.805833242958639</x:v>
      </x:c>
      <x:c r="M1204" s="47" t="n">
        <x:v>0.11616095319927007</x:v>
      </x:c>
      <x:c r="N1204" s="47" t="n">
        <x:v>0.9265513552874209</x:v>
      </x:c>
      <x:c r="O1204" s="47" t="n">
        <x:v>1</x:v>
      </x:c>
      <x:c r="P1204" s="47" t="n">
        <x:v>1</x:v>
      </x:c>
      <x:c r="Q1204" s="47" t="n">
        <x:v>1</x:v>
      </x:c>
      <x:c r="R1204" s="47" t="n">
        <x:v>1</x:v>
      </x:c>
      <x:c r="S1204" s="27" t="n">
        <x:v>1</x:v>
      </x:c>
    </x:row>
    <x:row r="1205" ht="21.600000381469727" hidden="0" customHeight="1">
      <x:c r="A1205" s="29" t="n">
        <x:v>401</x:v>
      </x:c>
      <x:c r="B1205" s="29" t="str">
        <x:v>A1</x:v>
      </x:c>
      <x:c r="C1205" s="48" t="n">
        <x:v>0.9331470417978334</x:v>
      </x:c>
      <x:c r="D1205" s="48" t="n">
        <x:v>0.9124975081454205</x:v>
      </x:c>
      <x:c r="E1205" s="48" t="n">
        <x:v>0.7787816977943061</x:v>
      </x:c>
      <x:c r="F1205" s="48" t="n">
        <x:v>0.018785326190755125</x:v>
      </x:c>
      <x:c r="G1205" s="48" t="n">
        <x:v>-0.14267739085617098</x:v>
      </x:c>
      <x:c r="H1205" s="48" t="n">
        <x:v>0.8940696248705975</x:v>
      </x:c>
      <x:c r="I1205" s="48" t="n">
        <x:v>0.7855243286319058</x:v>
      </x:c>
      <x:c r="J1205" s="48" t="n">
        <x:v>0.5452236635739718</x:v>
      </x:c>
      <x:c r="K1205" s="48" t="n">
        <x:v>0.5595968557881005</x:v>
      </x:c>
      <x:c r="L1205" s="48" t="n">
        <x:v>0.8160511527261813</x:v>
      </x:c>
      <x:c r="M1205" s="48" t="n">
        <x:v>0.10943190149482884</x:v>
      </x:c>
      <x:c r="N1205" s="48" t="n">
        <x:v>0.8596645443527224</x:v>
      </x:c>
      <x:c r="O1205" s="48" t="n">
        <x:v>0.910428640579559</x:v>
      </x:c>
      <x:c r="P1205" s="48" t="n">
        <x:v>0.7149470883116472</x:v>
      </x:c>
      <x:c r="Q1205" s="48" t="n">
        <x:v>1</x:v>
      </x:c>
      <x:c r="R1205" s="48" t="n">
        <x:v>0.8893934299190853</x:v>
      </x:c>
      <x:c r="S1205" s="29" t="n">
        <x:v>0</x:v>
      </x:c>
    </x:row>
    <x:row r="1206" ht="21.600000381469727" hidden="0" customHeight="1">
      <x:c r="A1206" s="27" t="n">
        <x:v>401</x:v>
      </x:c>
      <x:c r="B1206" s="27" t="str">
        <x:v>A2</x:v>
      </x:c>
      <x:c r="C1206" s="47" t="n">
        <x:v>0.9331470417978334</x:v>
      </x:c>
      <x:c r="D1206" s="47" t="n">
        <x:v>0.9124975081454205</x:v>
      </x:c>
      <x:c r="E1206" s="47" t="n">
        <x:v>0.7787816977943061</x:v>
      </x:c>
      <x:c r="F1206" s="47" t="n">
        <x:v>0.018785326190755125</x:v>
      </x:c>
      <x:c r="G1206" s="47" t="n">
        <x:v>-0.14267739085617098</x:v>
      </x:c>
      <x:c r="H1206" s="47" t="n">
        <x:v>0.8940696248705975</x:v>
      </x:c>
      <x:c r="I1206" s="47" t="n">
        <x:v>0.7855243286319058</x:v>
      </x:c>
      <x:c r="J1206" s="47" t="n">
        <x:v>0.5452236635739718</x:v>
      </x:c>
      <x:c r="K1206" s="47" t="n">
        <x:v>0.5595968557881005</x:v>
      </x:c>
      <x:c r="L1206" s="47" t="n">
        <x:v>0.8160511527261813</x:v>
      </x:c>
      <x:c r="M1206" s="47" t="n">
        <x:v>0.10943190149482884</x:v>
      </x:c>
      <x:c r="N1206" s="47" t="n">
        <x:v>0.8596645443527224</x:v>
      </x:c>
      <x:c r="O1206" s="47" t="n">
        <x:v>0.9870640785021078</x:v>
      </x:c>
      <x:c r="P1206" s="47" t="n">
        <x:v>0.8797766789079782</x:v>
      </x:c>
      <x:c r="Q1206" s="47" t="n">
        <x:v>1</x:v>
      </x:c>
      <x:c r="R1206" s="47" t="n">
        <x:v>0.9840261673265248</x:v>
      </x:c>
      <x:c r="S1206" s="27" t="n">
        <x:v>0</x:v>
      </x:c>
    </x:row>
    <x:row r="1207" ht="21.600000381469727" hidden="0" customHeight="1">
      <x:c r="A1207" s="29" t="n">
        <x:v>401</x:v>
      </x:c>
      <x:c r="B1207" s="29" t="str">
        <x:v>A3</x:v>
      </x:c>
      <x:c r="C1207" s="48" t="n">
        <x:v>0.9331470417978334</x:v>
      </x:c>
      <x:c r="D1207" s="48" t="n">
        <x:v>0.9124975081454205</x:v>
      </x:c>
      <x:c r="E1207" s="48" t="n">
        <x:v>0.7787816977943061</x:v>
      </x:c>
      <x:c r="F1207" s="48" t="n">
        <x:v>0.018785326190755125</x:v>
      </x:c>
      <x:c r="G1207" s="48" t="n">
        <x:v>-0.14267739085617098</x:v>
      </x:c>
      <x:c r="H1207" s="48" t="n">
        <x:v>0.8940696248705975</x:v>
      </x:c>
      <x:c r="I1207" s="48" t="n">
        <x:v>0.7855243286319058</x:v>
      </x:c>
      <x:c r="J1207" s="48" t="n">
        <x:v>0.5452236635739718</x:v>
      </x:c>
      <x:c r="K1207" s="48" t="n">
        <x:v>0.5595968557881005</x:v>
      </x:c>
      <x:c r="L1207" s="48" t="n">
        <x:v>0.8160511527261813</x:v>
      </x:c>
      <x:c r="M1207" s="48" t="n">
        <x:v>0.10943190149482884</x:v>
      </x:c>
      <x:c r="N1207" s="48" t="n">
        <x:v>0.8596645443527224</x:v>
      </x:c>
      <x:c r="O1207" s="48" t="n">
        <x:v>1</x:v>
      </x:c>
      <x:c r="P1207" s="48" t="n">
        <x:v>1</x:v>
      </x:c>
      <x:c r="Q1207" s="48" t="n">
        <x:v>1</x:v>
      </x:c>
      <x:c r="R1207" s="48" t="n">
        <x:v>1</x:v>
      </x:c>
      <x:c r="S1207" s="29" t="n">
        <x:v>1</x:v>
      </x:c>
    </x:row>
    <x:row r="1208" ht="21.600000381469727" hidden="0" customHeight="1">
      <x:c r="A1208" s="27" t="n">
        <x:v>402</x:v>
      </x:c>
      <x:c r="B1208" s="27" t="str">
        <x:v>A1</x:v>
      </x:c>
      <x:c r="C1208" s="47" t="n">
        <x:v>1.3101563734914907</x:v>
      </x:c>
      <x:c r="D1208" s="47" t="n">
        <x:v>0.8599250614937173</x:v>
      </x:c>
      <x:c r="E1208" s="47" t="n">
        <x:v>0.9996389618458219</x:v>
      </x:c>
      <x:c r="F1208" s="47" t="n">
        <x:v>-0.19219640942259342</x:v>
      </x:c>
      <x:c r="G1208" s="47" t="n">
        <x:v>-0.03377896681416884</x:v>
      </x:c>
      <x:c r="H1208" s="47" t="n">
        <x:v>0.9537768453034272</x:v>
      </x:c>
      <x:c r="I1208" s="47" t="n">
        <x:v>0.7721927128314294</x:v>
      </x:c>
      <x:c r="J1208" s="47" t="n">
        <x:v>0.4718041019369231</x:v>
      </x:c>
      <x:c r="K1208" s="47" t="n">
        <x:v>0.8129306122140798</x:v>
      </x:c>
      <x:c r="L1208" s="47" t="n">
        <x:v>0.6154881496877577</x:v>
      </x:c>
      <x:c r="M1208" s="47" t="n">
        <x:v>0.09264474042098056</x:v>
      </x:c>
      <x:c r="N1208" s="47" t="n">
        <x:v>0.6536443630759199</x:v>
      </x:c>
      <x:c r="O1208" s="47" t="n">
        <x:v>0.7677070651044766</x:v>
      </x:c>
      <x:c r="P1208" s="47" t="n">
        <x:v>0.35282444026087717</x:v>
      </x:c>
      <x:c r="Q1208" s="47" t="n">
        <x:v>0.9443739914262023</x:v>
      </x:c>
      <x:c r="R1208" s="47" t="n">
        <x:v>0.7221778724510403</x:v>
      </x:c>
      <x:c r="S1208" s="27" t="n">
        <x:v>0</x:v>
      </x:c>
    </x:row>
    <x:row r="1209" ht="21.600000381469727" hidden="0" customHeight="1">
      <x:c r="A1209" s="29" t="n">
        <x:v>402</x:v>
      </x:c>
      <x:c r="B1209" s="29" t="str">
        <x:v>A2</x:v>
      </x:c>
      <x:c r="C1209" s="48" t="n">
        <x:v>1.3101563734914907</x:v>
      </x:c>
      <x:c r="D1209" s="48" t="n">
        <x:v>0.8599250614937173</x:v>
      </x:c>
      <x:c r="E1209" s="48" t="n">
        <x:v>0.9996389618458219</x:v>
      </x:c>
      <x:c r="F1209" s="48" t="n">
        <x:v>-0.19219640942259342</x:v>
      </x:c>
      <x:c r="G1209" s="48" t="n">
        <x:v>-0.03377896681416884</x:v>
      </x:c>
      <x:c r="H1209" s="48" t="n">
        <x:v>0.9537768453034272</x:v>
      </x:c>
      <x:c r="I1209" s="48" t="n">
        <x:v>0.7721927128314294</x:v>
      </x:c>
      <x:c r="J1209" s="48" t="n">
        <x:v>0.4718041019369231</x:v>
      </x:c>
      <x:c r="K1209" s="48" t="n">
        <x:v>0.8129306122140798</x:v>
      </x:c>
      <x:c r="L1209" s="48" t="n">
        <x:v>0.6154881496877577</x:v>
      </x:c>
      <x:c r="M1209" s="48" t="n">
        <x:v>0.09264474042098056</x:v>
      </x:c>
      <x:c r="N1209" s="48" t="n">
        <x:v>0.6536443630759199</x:v>
      </x:c>
      <x:c r="O1209" s="48" t="n">
        <x:v>0.8548276879749326</x:v>
      </x:c>
      <x:c r="P1209" s="48" t="n">
        <x:v>0.4841555726418402</x:v>
      </x:c>
      <x:c r="Q1209" s="48" t="n">
        <x:v>1</x:v>
      </x:c>
      <x:c r="R1209" s="48" t="n">
        <x:v>0.820734980380965</x:v>
      </x:c>
      <x:c r="S1209" s="29" t="n">
        <x:v>0</x:v>
      </x:c>
    </x:row>
    <x:row r="1210" ht="21.600000381469727" hidden="0" customHeight="1">
      <x:c r="A1210" s="27" t="n">
        <x:v>402</x:v>
      </x:c>
      <x:c r="B1210" s="27" t="str">
        <x:v>A3</x:v>
      </x:c>
      <x:c r="C1210" s="47" t="n">
        <x:v>1.3101563734914907</x:v>
      </x:c>
      <x:c r="D1210" s="47" t="n">
        <x:v>0.8599250614937173</x:v>
      </x:c>
      <x:c r="E1210" s="47" t="n">
        <x:v>0.9996389618458219</x:v>
      </x:c>
      <x:c r="F1210" s="47" t="n">
        <x:v>-0.19219640942259342</x:v>
      </x:c>
      <x:c r="G1210" s="47" t="n">
        <x:v>-0.03377896681416884</x:v>
      </x:c>
      <x:c r="H1210" s="47" t="n">
        <x:v>0.9537768453034272</x:v>
      </x:c>
      <x:c r="I1210" s="47" t="n">
        <x:v>0.7721927128314294</x:v>
      </x:c>
      <x:c r="J1210" s="47" t="n">
        <x:v>0.4718041019369231</x:v>
      </x:c>
      <x:c r="K1210" s="47" t="n">
        <x:v>0.8129306122140798</x:v>
      </x:c>
      <x:c r="L1210" s="47" t="n">
        <x:v>0.6154881496877577</x:v>
      </x:c>
      <x:c r="M1210" s="47" t="n">
        <x:v>0.09264474042098056</x:v>
      </x:c>
      <x:c r="N1210" s="47" t="n">
        <x:v>0.6536443630759199</x:v>
      </x:c>
      <x:c r="O1210" s="47" t="n">
        <x:v>1</x:v>
      </x:c>
      <x:c r="P1210" s="47" t="n">
        <x:v>1</x:v>
      </x:c>
      <x:c r="Q1210" s="47" t="n">
        <x:v>1</x:v>
      </x:c>
      <x:c r="R1210" s="47" t="n">
        <x:v>1</x:v>
      </x:c>
      <x:c r="S1210" s="27" t="n">
        <x:v>1</x:v>
      </x:c>
    </x:row>
    <x:row r="1211" ht="21.600000381469727" hidden="0" customHeight="1">
      <x:c r="A1211" s="29" t="n">
        <x:v>403</x:v>
      </x:c>
      <x:c r="B1211" s="29" t="str">
        <x:v>A1</x:v>
      </x:c>
      <x:c r="C1211" s="48" t="n">
        <x:v>1.1572338594247862</x:v>
      </x:c>
      <x:c r="D1211" s="48" t="n">
        <x:v>0.9947998693383258</x:v>
      </x:c>
      <x:c r="E1211" s="48" t="n">
        <x:v>0.7491844469307123</x:v>
      </x:c>
      <x:c r="F1211" s="48" t="n">
        <x:v>-0.16923426966390795</x:v>
      </x:c>
      <x:c r="G1211" s="48" t="n">
        <x:v>-0.07159391887205824</x:v>
      </x:c>
      <x:c r="H1211" s="48" t="n">
        <x:v>0.8748408908649585</x:v>
      </x:c>
      <x:c r="I1211" s="48" t="n">
        <x:v>0.8766353437728258</x:v>
      </x:c>
      <x:c r="J1211" s="48" t="n">
        <x:v>0.8053342085496182</x:v>
      </x:c>
      <x:c r="K1211" s="48" t="n">
        <x:v>0.554655312271258</x:v>
      </x:c>
      <x:c r="L1211" s="48" t="n">
        <x:v>0.9870169254966135</x:v>
      </x:c>
      <x:c r="M1211" s="48" t="n">
        <x:v>0.14315108326280432</x:v>
      </x:c>
      <x:c r="N1211" s="48" t="n">
        <x:v>0.8326574165741683</x:v>
      </x:c>
      <x:c r="O1211" s="48" t="n">
        <x:v>0.9069507410146843</x:v>
      </x:c>
      <x:c r="P1211" s="48" t="n">
        <x:v>0.694723137655859</x:v>
      </x:c>
      <x:c r="Q1211" s="48" t="n">
        <x:v>1</x:v>
      </x:c>
      <x:c r="R1211" s="48" t="n">
        <x:v>0.8850987698352631</x:v>
      </x:c>
      <x:c r="S1211" s="29" t="n">
        <x:v>0</x:v>
      </x:c>
    </x:row>
    <x:row r="1212" ht="21.600000381469727" hidden="0" customHeight="1">
      <x:c r="A1212" s="27" t="n">
        <x:v>403</x:v>
      </x:c>
      <x:c r="B1212" s="27" t="str">
        <x:v>A2</x:v>
      </x:c>
      <x:c r="C1212" s="47" t="n">
        <x:v>1.1572338594247862</x:v>
      </x:c>
      <x:c r="D1212" s="47" t="n">
        <x:v>0.9947998693383258</x:v>
      </x:c>
      <x:c r="E1212" s="47" t="n">
        <x:v>0.7491844469307123</x:v>
      </x:c>
      <x:c r="F1212" s="47" t="n">
        <x:v>-0.16923426966390795</x:v>
      </x:c>
      <x:c r="G1212" s="47" t="n">
        <x:v>-0.07159391887205824</x:v>
      </x:c>
      <x:c r="H1212" s="47" t="n">
        <x:v>0.8748408908649585</x:v>
      </x:c>
      <x:c r="I1212" s="47" t="n">
        <x:v>0.8766353437728258</x:v>
      </x:c>
      <x:c r="J1212" s="47" t="n">
        <x:v>0.8053342085496182</x:v>
      </x:c>
      <x:c r="K1212" s="47" t="n">
        <x:v>0.554655312271258</x:v>
      </x:c>
      <x:c r="L1212" s="47" t="n">
        <x:v>0.9870169254966135</x:v>
      </x:c>
      <x:c r="M1212" s="47" t="n">
        <x:v>0.14315108326280432</x:v>
      </x:c>
      <x:c r="N1212" s="47" t="n">
        <x:v>0.8326574165741683</x:v>
      </x:c>
      <x:c r="O1212" s="47" t="n">
        <x:v>0.9735439745571918</x:v>
      </x:c>
      <x:c r="P1212" s="47" t="n">
        <x:v>0.7610881680813564</x:v>
      </x:c>
      <x:c r="Q1212" s="47" t="n">
        <x:v>1</x:v>
      </x:c>
      <x:c r="R1212" s="47" t="n">
        <x:v>0.9673309610221832</x:v>
      </x:c>
      <x:c r="S1212" s="27" t="n">
        <x:v>0</x:v>
      </x:c>
    </x:row>
    <x:row r="1213" ht="21.600000381469727" hidden="0" customHeight="1">
      <x:c r="A1213" s="29" t="n">
        <x:v>403</x:v>
      </x:c>
      <x:c r="B1213" s="29" t="str">
        <x:v>A3</x:v>
      </x:c>
      <x:c r="C1213" s="48" t="n">
        <x:v>1.1572338594247862</x:v>
      </x:c>
      <x:c r="D1213" s="48" t="n">
        <x:v>0.9947998693383258</x:v>
      </x:c>
      <x:c r="E1213" s="48" t="n">
        <x:v>0.7491844469307123</x:v>
      </x:c>
      <x:c r="F1213" s="48" t="n">
        <x:v>-0.16923426966390795</x:v>
      </x:c>
      <x:c r="G1213" s="48" t="n">
        <x:v>-0.07159391887205824</x:v>
      </x:c>
      <x:c r="H1213" s="48" t="n">
        <x:v>0.8748408908649585</x:v>
      </x:c>
      <x:c r="I1213" s="48" t="n">
        <x:v>0.8766353437728258</x:v>
      </x:c>
      <x:c r="J1213" s="48" t="n">
        <x:v>0.8053342085496182</x:v>
      </x:c>
      <x:c r="K1213" s="48" t="n">
        <x:v>0.554655312271258</x:v>
      </x:c>
      <x:c r="L1213" s="48" t="n">
        <x:v>0.9870169254966135</x:v>
      </x:c>
      <x:c r="M1213" s="48" t="n">
        <x:v>0.14315108326280432</x:v>
      </x:c>
      <x:c r="N1213" s="48" t="n">
        <x:v>0.8326574165741683</x:v>
      </x:c>
      <x:c r="O1213" s="48" t="n">
        <x:v>1</x:v>
      </x:c>
      <x:c r="P1213" s="48" t="n">
        <x:v>1</x:v>
      </x:c>
      <x:c r="Q1213" s="48" t="n">
        <x:v>1</x:v>
      </x:c>
      <x:c r="R1213" s="48" t="n">
        <x:v>1</x:v>
      </x:c>
      <x:c r="S1213" s="29" t="n">
        <x:v>1</x:v>
      </x:c>
    </x:row>
    <x:row r="1214" ht="21.600000381469727" hidden="0" customHeight="1">
      <x:c r="A1214" s="27" t="n">
        <x:v>404</x:v>
      </x:c>
      <x:c r="B1214" s="27" t="str">
        <x:v>A1</x:v>
      </x:c>
      <x:c r="C1214" s="47" t="n">
        <x:v>1.2207248292963722</x:v>
      </x:c>
      <x:c r="D1214" s="47" t="n">
        <x:v>0.7701262091629288</x:v>
      </x:c>
      <x:c r="E1214" s="47" t="n">
        <x:v>1.0373639589591306</x:v>
      </x:c>
      <x:c r="F1214" s="47" t="n">
        <x:v>-0.17478186988581051</x:v>
      </x:c>
      <x:c r="G1214" s="47" t="n">
        <x:v>-0.12548050516834258</x:v>
      </x:c>
      <x:c r="H1214" s="47" t="n">
        <x:v>1.0506423405379404</x:v>
      </x:c>
      <x:c r="I1214" s="47" t="n">
        <x:v>1.0058855751342914</x:v>
      </x:c>
      <x:c r="J1214" s="47" t="n">
        <x:v>0.8129832713797178</x:v>
      </x:c>
      <x:c r="K1214" s="47" t="n">
        <x:v>0.5648436341142513</x:v>
      </x:c>
      <x:c r="L1214" s="47" t="n">
        <x:v>0.8245678152946403</x:v>
      </x:c>
      <x:c r="M1214" s="47" t="n">
        <x:v>0.17870245976169735</x:v>
      </x:c>
      <x:c r="N1214" s="47" t="n">
        <x:v>0.7986184493968265</x:v>
      </x:c>
      <x:c r="O1214" s="47" t="n">
        <x:v>0.7792267813980975</x:v>
      </x:c>
      <x:c r="P1214" s="47" t="n">
        <x:v>0.4946478380195964</x:v>
      </x:c>
      <x:c r="Q1214" s="47" t="n">
        <x:v>1</x:v>
      </x:c>
      <x:c r="R1214" s="47" t="n">
        <x:v>0.7273797268091063</x:v>
      </x:c>
      <x:c r="S1214" s="27" t="n">
        <x:v>0</x:v>
      </x:c>
    </x:row>
    <x:row r="1215" ht="21.600000381469727" hidden="0" customHeight="1">
      <x:c r="A1215" s="29" t="n">
        <x:v>404</x:v>
      </x:c>
      <x:c r="B1215" s="29" t="str">
        <x:v>A2</x:v>
      </x:c>
      <x:c r="C1215" s="48" t="n">
        <x:v>1.2207248292963722</x:v>
      </x:c>
      <x:c r="D1215" s="48" t="n">
        <x:v>0.7701262091629288</x:v>
      </x:c>
      <x:c r="E1215" s="48" t="n">
        <x:v>1.0373639589591306</x:v>
      </x:c>
      <x:c r="F1215" s="48" t="n">
        <x:v>-0.17478186988581051</x:v>
      </x:c>
      <x:c r="G1215" s="48" t="n">
        <x:v>-0.12548050516834258</x:v>
      </x:c>
      <x:c r="H1215" s="48" t="n">
        <x:v>1.0506423405379404</x:v>
      </x:c>
      <x:c r="I1215" s="48" t="n">
        <x:v>1.0058855751342914</x:v>
      </x:c>
      <x:c r="J1215" s="48" t="n">
        <x:v>0.8129832713797178</x:v>
      </x:c>
      <x:c r="K1215" s="48" t="n">
        <x:v>0.5648436341142513</x:v>
      </x:c>
      <x:c r="L1215" s="48" t="n">
        <x:v>0.8245678152946403</x:v>
      </x:c>
      <x:c r="M1215" s="48" t="n">
        <x:v>0.17870245976169735</x:v>
      </x:c>
      <x:c r="N1215" s="48" t="n">
        <x:v>0.7986184493968265</x:v>
      </x:c>
      <x:c r="O1215" s="48" t="n">
        <x:v>0.8695425715208219</x:v>
      </x:c>
      <x:c r="P1215" s="48" t="n">
        <x:v>0.5877946077491527</x:v>
      </x:c>
      <x:c r="Q1215" s="48" t="n">
        <x:v>1</x:v>
      </x:c>
      <x:c r="R1215" s="48" t="n">
        <x:v>0.8389055519641342</x:v>
      </x:c>
      <x:c r="S1215" s="29" t="n">
        <x:v>0</x:v>
      </x:c>
    </x:row>
    <x:row r="1216" ht="21.600000381469727" hidden="0" customHeight="1">
      <x:c r="A1216" s="27" t="n">
        <x:v>404</x:v>
      </x:c>
      <x:c r="B1216" s="27" t="str">
        <x:v>A3</x:v>
      </x:c>
      <x:c r="C1216" s="47" t="n">
        <x:v>1.2207248292963722</x:v>
      </x:c>
      <x:c r="D1216" s="47" t="n">
        <x:v>0.7701262091629288</x:v>
      </x:c>
      <x:c r="E1216" s="47" t="n">
        <x:v>1.0373639589591306</x:v>
      </x:c>
      <x:c r="F1216" s="47" t="n">
        <x:v>-0.17478186988581051</x:v>
      </x:c>
      <x:c r="G1216" s="47" t="n">
        <x:v>-0.12548050516834258</x:v>
      </x:c>
      <x:c r="H1216" s="47" t="n">
        <x:v>1.0506423405379404</x:v>
      </x:c>
      <x:c r="I1216" s="47" t="n">
        <x:v>1.0058855751342914</x:v>
      </x:c>
      <x:c r="J1216" s="47" t="n">
        <x:v>0.8129832713797178</x:v>
      </x:c>
      <x:c r="K1216" s="47" t="n">
        <x:v>0.5648436341142513</x:v>
      </x:c>
      <x:c r="L1216" s="47" t="n">
        <x:v>0.8245678152946403</x:v>
      </x:c>
      <x:c r="M1216" s="47" t="n">
        <x:v>0.17870245976169735</x:v>
      </x:c>
      <x:c r="N1216" s="47" t="n">
        <x:v>0.7986184493968265</x:v>
      </x:c>
      <x:c r="O1216" s="47" t="n">
        <x:v>1</x:v>
      </x:c>
      <x:c r="P1216" s="47" t="n">
        <x:v>1</x:v>
      </x:c>
      <x:c r="Q1216" s="47" t="n">
        <x:v>1</x:v>
      </x:c>
      <x:c r="R1216" s="47" t="n">
        <x:v>1</x:v>
      </x:c>
      <x:c r="S1216" s="27" t="n">
        <x:v>1</x:v>
      </x:c>
    </x:row>
    <x:row r="1217" ht="21.600000381469727" hidden="0" customHeight="1">
      <x:c r="A1217" s="29" t="n">
        <x:v>405</x:v>
      </x:c>
      <x:c r="B1217" s="29" t="str">
        <x:v>A1</x:v>
      </x:c>
      <x:c r="C1217" s="48" t="n">
        <x:v>1.2178423889581051</x:v>
      </x:c>
      <x:c r="D1217" s="48" t="n">
        <x:v>0.8659131452171134</x:v>
      </x:c>
      <x:c r="E1217" s="48" t="n">
        <x:v>0.507698233559452</x:v>
      </x:c>
      <x:c r="F1217" s="48" t="n">
        <x:v>0.001952712537358875</x:v>
      </x:c>
      <x:c r="G1217" s="48" t="n">
        <x:v>-0.0695182055129672</x:v>
      </x:c>
      <x:c r="H1217" s="48" t="n">
        <x:v>0.9719518213158145</x:v>
      </x:c>
      <x:c r="I1217" s="48" t="n">
        <x:v>0.7437808653448493</x:v>
      </x:c>
      <x:c r="J1217" s="48" t="n">
        <x:v>0.4662078390270947</x:v>
      </x:c>
      <x:c r="K1217" s="48" t="n">
        <x:v>0.8637971481747236</x:v>
      </x:c>
      <x:c r="L1217" s="48" t="n">
        <x:v>0.6329812147337673</x:v>
      </x:c>
      <x:c r="M1217" s="48" t="n">
        <x:v>0.06591587089071965</x:v>
      </x:c>
      <x:c r="N1217" s="48" t="n">
        <x:v>0.9429501825162159</x:v>
      </x:c>
      <x:c r="O1217" s="48" t="n">
        <x:v>0.7793412142712991</x:v>
      </x:c>
      <x:c r="P1217" s="48" t="n">
        <x:v>0.4634355174965502</x:v>
      </x:c>
      <x:c r="Q1217" s="48" t="n">
        <x:v>1</x:v>
      </x:c>
      <x:c r="R1217" s="48" t="n">
        <x:v>0.7275210334465317</x:v>
      </x:c>
      <x:c r="S1217" s="29" t="n">
        <x:v>0</x:v>
      </x:c>
    </x:row>
    <x:row r="1218" ht="21.600000381469727" hidden="0" customHeight="1">
      <x:c r="A1218" s="27" t="n">
        <x:v>405</x:v>
      </x:c>
      <x:c r="B1218" s="27" t="str">
        <x:v>A2</x:v>
      </x:c>
      <x:c r="C1218" s="47" t="n">
        <x:v>1.2178423889581051</x:v>
      </x:c>
      <x:c r="D1218" s="47" t="n">
        <x:v>0.8659131452171134</x:v>
      </x:c>
      <x:c r="E1218" s="47" t="n">
        <x:v>0.507698233559452</x:v>
      </x:c>
      <x:c r="F1218" s="47" t="n">
        <x:v>0.001952712537358875</x:v>
      </x:c>
      <x:c r="G1218" s="47" t="n">
        <x:v>-0.0695182055129672</x:v>
      </x:c>
      <x:c r="H1218" s="47" t="n">
        <x:v>0.9719518213158145</x:v>
      </x:c>
      <x:c r="I1218" s="47" t="n">
        <x:v>0.7437808653448493</x:v>
      </x:c>
      <x:c r="J1218" s="47" t="n">
        <x:v>0.4662078390270947</x:v>
      </x:c>
      <x:c r="K1218" s="47" t="n">
        <x:v>0.8637971481747236</x:v>
      </x:c>
      <x:c r="L1218" s="47" t="n">
        <x:v>0.6329812147337673</x:v>
      </x:c>
      <x:c r="M1218" s="47" t="n">
        <x:v>0.06591587089071965</x:v>
      </x:c>
      <x:c r="N1218" s="47" t="n">
        <x:v>0.9429501825162159</x:v>
      </x:c>
      <x:c r="O1218" s="47" t="n">
        <x:v>0.8407530889720404</x:v>
      </x:c>
      <x:c r="P1218" s="47" t="n">
        <x:v>0.5302255854066292</x:v>
      </x:c>
      <x:c r="Q1218" s="47" t="n">
        <x:v>1</x:v>
      </x:c>
      <x:c r="R1218" s="47" t="n">
        <x:v>0.8033550597116033</x:v>
      </x:c>
      <x:c r="S1218" s="27" t="n">
        <x:v>0</x:v>
      </x:c>
    </x:row>
    <x:row r="1219" ht="21.600000381469727" hidden="0" customHeight="1">
      <x:c r="A1219" s="29" t="n">
        <x:v>405</x:v>
      </x:c>
      <x:c r="B1219" s="29" t="str">
        <x:v>A3</x:v>
      </x:c>
      <x:c r="C1219" s="48" t="n">
        <x:v>1.2178423889581051</x:v>
      </x:c>
      <x:c r="D1219" s="48" t="n">
        <x:v>0.8659131452171134</x:v>
      </x:c>
      <x:c r="E1219" s="48" t="n">
        <x:v>0.507698233559452</x:v>
      </x:c>
      <x:c r="F1219" s="48" t="n">
        <x:v>0.001952712537358875</x:v>
      </x:c>
      <x:c r="G1219" s="48" t="n">
        <x:v>-0.0695182055129672</x:v>
      </x:c>
      <x:c r="H1219" s="48" t="n">
        <x:v>0.9719518213158145</x:v>
      </x:c>
      <x:c r="I1219" s="48" t="n">
        <x:v>0.7437808653448493</x:v>
      </x:c>
      <x:c r="J1219" s="48" t="n">
        <x:v>0.4662078390270947</x:v>
      </x:c>
      <x:c r="K1219" s="48" t="n">
        <x:v>0.8637971481747236</x:v>
      </x:c>
      <x:c r="L1219" s="48" t="n">
        <x:v>0.6329812147337673</x:v>
      </x:c>
      <x:c r="M1219" s="48" t="n">
        <x:v>0.06591587089071965</x:v>
      </x:c>
      <x:c r="N1219" s="48" t="n">
        <x:v>0.9429501825162159</x:v>
      </x:c>
      <x:c r="O1219" s="48" t="n">
        <x:v>0.9999999999999999</x:v>
      </x:c>
      <x:c r="P1219" s="48" t="n">
        <x:v>0.9999999999999998</x:v>
      </x:c>
      <x:c r="Q1219" s="48" t="n">
        <x:v>1</x:v>
      </x:c>
      <x:c r="R1219" s="48" t="n">
        <x:v>1</x:v>
      </x:c>
      <x:c r="S1219" s="29" t="n">
        <x:v>1</x:v>
      </x:c>
    </x:row>
    <x:row r="1220" ht="21.600000381469727" hidden="0" customHeight="1">
      <x:c r="A1220" s="27" t="n">
        <x:v>406</x:v>
      </x:c>
      <x:c r="B1220" s="27" t="str">
        <x:v>A1</x:v>
      </x:c>
      <x:c r="C1220" s="47" t="n">
        <x:v>1.0499469334394043</x:v>
      </x:c>
      <x:c r="D1220" s="47" t="n">
        <x:v>0.7340901393354615</x:v>
      </x:c>
      <x:c r="E1220" s="47" t="n">
        <x:v>0.6696902931141533</x:v>
      </x:c>
      <x:c r="F1220" s="47" t="n">
        <x:v>0.021832803854444305</x:v>
      </x:c>
      <x:c r="G1220" s="47" t="n">
        <x:v>-0.13940277747810792</x:v>
      </x:c>
      <x:c r="H1220" s="47" t="n">
        <x:v>0.9438274879282116</x:v>
      </x:c>
      <x:c r="I1220" s="47" t="n">
        <x:v>0.7916999616847735</x:v>
      </x:c>
      <x:c r="J1220" s="47" t="n">
        <x:v>0.6395323963681282</x:v>
      </x:c>
      <x:c r="K1220" s="47" t="n">
        <x:v>0.6939679564683547</x:v>
      </x:c>
      <x:c r="L1220" s="47" t="n">
        <x:v>0.9715555949160004</x:v>
      </x:c>
      <x:c r="M1220" s="47" t="n">
        <x:v>0.07142586624917911</x:v>
      </x:c>
      <x:c r="N1220" s="47" t="n">
        <x:v>0.6567056165463487</x:v>
      </x:c>
      <x:c r="O1220" s="47" t="n">
        <x:v>0.8262214953085522</x:v>
      </x:c>
      <x:c r="P1220" s="47" t="n">
        <x:v>0.49372658114036505</x:v>
      </x:c>
      <x:c r="Q1220" s="47" t="n">
        <x:v>1</x:v>
      </x:c>
      <x:c r="R1220" s="47" t="n">
        <x:v>0.7854108223646686</x:v>
      </x:c>
      <x:c r="S1220" s="27" t="n">
        <x:v>0</x:v>
      </x:c>
    </x:row>
    <x:row r="1221" ht="21.600000381469727" hidden="0" customHeight="1">
      <x:c r="A1221" s="29" t="n">
        <x:v>406</x:v>
      </x:c>
      <x:c r="B1221" s="29" t="str">
        <x:v>A2</x:v>
      </x:c>
      <x:c r="C1221" s="48" t="n">
        <x:v>1.0499469334394043</x:v>
      </x:c>
      <x:c r="D1221" s="48" t="n">
        <x:v>0.7340901393354615</x:v>
      </x:c>
      <x:c r="E1221" s="48" t="n">
        <x:v>0.6696902931141533</x:v>
      </x:c>
      <x:c r="F1221" s="48" t="n">
        <x:v>0.021832803854444305</x:v>
      </x:c>
      <x:c r="G1221" s="48" t="n">
        <x:v>-0.13940277747810792</x:v>
      </x:c>
      <x:c r="H1221" s="48" t="n">
        <x:v>0.9438274879282116</x:v>
      </x:c>
      <x:c r="I1221" s="48" t="n">
        <x:v>0.7916999616847735</x:v>
      </x:c>
      <x:c r="J1221" s="48" t="n">
        <x:v>0.6395323963681282</x:v>
      </x:c>
      <x:c r="K1221" s="48" t="n">
        <x:v>0.6939679564683547</x:v>
      </x:c>
      <x:c r="L1221" s="48" t="n">
        <x:v>0.9715555949160004</x:v>
      </x:c>
      <x:c r="M1221" s="48" t="n">
        <x:v>0.07142586624917911</x:v>
      </x:c>
      <x:c r="N1221" s="48" t="n">
        <x:v>0.6567056165463487</x:v>
      </x:c>
      <x:c r="O1221" s="48" t="n">
        <x:v>0.9049922891162541</x:v>
      </x:c>
      <x:c r="P1221" s="48" t="n">
        <x:v>0.5127908128943038</x:v>
      </x:c>
      <x:c r="Q1221" s="48" t="n">
        <x:v>1</x:v>
      </x:c>
      <x:c r="R1221" s="48" t="n">
        <x:v>0.8826803891323751</x:v>
      </x:c>
      <x:c r="S1221" s="29" t="n">
        <x:v>0</x:v>
      </x:c>
    </x:row>
    <x:row r="1222" ht="21.600000381469727" hidden="0" customHeight="1">
      <x:c r="A1222" s="27" t="n">
        <x:v>406</x:v>
      </x:c>
      <x:c r="B1222" s="27" t="str">
        <x:v>A3</x:v>
      </x:c>
      <x:c r="C1222" s="47" t="n">
        <x:v>1.0499469334394043</x:v>
      </x:c>
      <x:c r="D1222" s="47" t="n">
        <x:v>0.7340901393354615</x:v>
      </x:c>
      <x:c r="E1222" s="47" t="n">
        <x:v>0.6696902931141533</x:v>
      </x:c>
      <x:c r="F1222" s="47" t="n">
        <x:v>0.021832803854444305</x:v>
      </x:c>
      <x:c r="G1222" s="47" t="n">
        <x:v>-0.13940277747810792</x:v>
      </x:c>
      <x:c r="H1222" s="47" t="n">
        <x:v>0.9438274879282116</x:v>
      </x:c>
      <x:c r="I1222" s="47" t="n">
        <x:v>0.7916999616847735</x:v>
      </x:c>
      <x:c r="J1222" s="47" t="n">
        <x:v>0.6395323963681282</x:v>
      </x:c>
      <x:c r="K1222" s="47" t="n">
        <x:v>0.6939679564683547</x:v>
      </x:c>
      <x:c r="L1222" s="47" t="n">
        <x:v>0.9715555949160004</x:v>
      </x:c>
      <x:c r="M1222" s="47" t="n">
        <x:v>0.07142586624917911</x:v>
      </x:c>
      <x:c r="N1222" s="47" t="n">
        <x:v>0.6567056165463487</x:v>
      </x:c>
      <x:c r="O1222" s="47" t="n">
        <x:v>1</x:v>
      </x:c>
      <x:c r="P1222" s="47" t="n">
        <x:v>1</x:v>
      </x:c>
      <x:c r="Q1222" s="47" t="n">
        <x:v>1</x:v>
      </x:c>
      <x:c r="R1222" s="47" t="n">
        <x:v>1</x:v>
      </x:c>
      <x:c r="S1222" s="27" t="n">
        <x:v>1</x:v>
      </x:c>
    </x:row>
    <x:row r="1223" ht="21.600000381469727" hidden="0" customHeight="1">
      <x:c r="A1223" s="29" t="n">
        <x:v>407</x:v>
      </x:c>
      <x:c r="B1223" s="29" t="str">
        <x:v>A1</x:v>
      </x:c>
      <x:c r="C1223" s="48" t="n">
        <x:v>1.0065626973672392</x:v>
      </x:c>
      <x:c r="D1223" s="48" t="n">
        <x:v>0.7587912450707844</x:v>
      </x:c>
      <x:c r="E1223" s="48" t="n">
        <x:v>0.959445482834151</x:v>
      </x:c>
      <x:c r="F1223" s="48" t="n">
        <x:v>-0.10111519346275667</x:v>
      </x:c>
      <x:c r="G1223" s="48" t="n">
        <x:v>-0.12354947312102268</x:v>
      </x:c>
      <x:c r="H1223" s="48" t="n">
        <x:v>0.32331216372048943</x:v>
      </x:c>
      <x:c r="I1223" s="48" t="n">
        <x:v>0.8471206726850603</x:v>
      </x:c>
      <x:c r="J1223" s="48" t="n">
        <x:v>0.7386825305985072</x:v>
      </x:c>
      <x:c r="K1223" s="48" t="n">
        <x:v>0.6378271173203014</x:v>
      </x:c>
      <x:c r="L1223" s="48" t="n">
        <x:v>0.6722693475848812</x:v>
      </x:c>
      <x:c r="M1223" s="48" t="n">
        <x:v>0.16206115396536636</x:v>
      </x:c>
      <x:c r="N1223" s="48" t="n">
        <x:v>0.8347617677721425</x:v>
      </x:c>
      <x:c r="O1223" s="48" t="n">
        <x:v>0.8510124595783931</x:v>
      </x:c>
      <x:c r="P1223" s="48" t="n">
        <x:v>0.5707915163630485</x:v>
      </x:c>
      <x:c r="Q1223" s="48" t="n">
        <x:v>0.9499264781542716</x:v>
      </x:c>
      <x:c r="R1223" s="48" t="n">
        <x:v>0.8163956608480055</x:v>
      </x:c>
      <x:c r="S1223" s="29" t="n">
        <x:v>0</x:v>
      </x:c>
    </x:row>
    <x:row r="1224" ht="21.600000381469727" hidden="0" customHeight="1">
      <x:c r="A1224" s="27" t="n">
        <x:v>407</x:v>
      </x:c>
      <x:c r="B1224" s="27" t="str">
        <x:v>A2</x:v>
      </x:c>
      <x:c r="C1224" s="47" t="n">
        <x:v>1.0065626973672392</x:v>
      </x:c>
      <x:c r="D1224" s="47" t="n">
        <x:v>0.7587912450707844</x:v>
      </x:c>
      <x:c r="E1224" s="47" t="n">
        <x:v>0.959445482834151</x:v>
      </x:c>
      <x:c r="F1224" s="47" t="n">
        <x:v>-0.10111519346275667</x:v>
      </x:c>
      <x:c r="G1224" s="47" t="n">
        <x:v>-0.12354947312102268</x:v>
      </x:c>
      <x:c r="H1224" s="47" t="n">
        <x:v>0.32331216372048943</x:v>
      </x:c>
      <x:c r="I1224" s="47" t="n">
        <x:v>0.8471206726850603</x:v>
      </x:c>
      <x:c r="J1224" s="47" t="n">
        <x:v>0.7386825305985072</x:v>
      </x:c>
      <x:c r="K1224" s="47" t="n">
        <x:v>0.6378271173203014</x:v>
      </x:c>
      <x:c r="L1224" s="47" t="n">
        <x:v>0.6722693475848812</x:v>
      </x:c>
      <x:c r="M1224" s="47" t="n">
        <x:v>0.16206115396536636</x:v>
      </x:c>
      <x:c r="N1224" s="47" t="n">
        <x:v>0.8347617677721425</x:v>
      </x:c>
      <x:c r="O1224" s="47" t="n">
        <x:v>0.9562292358103865</x:v>
      </x:c>
      <x:c r="P1224" s="47" t="n">
        <x:v>0.6919548610154308</x:v>
      </x:c>
      <x:c r="Q1224" s="47" t="n">
        <x:v>1</x:v>
      </x:c>
      <x:c r="R1224" s="47" t="n">
        <x:v>0.945949976329947</x:v>
      </x:c>
      <x:c r="S1224" s="27" t="n">
        <x:v>0</x:v>
      </x:c>
    </x:row>
    <x:row r="1225" ht="21.600000381469727" hidden="0" customHeight="1">
      <x:c r="A1225" s="29" t="n">
        <x:v>407</x:v>
      </x:c>
      <x:c r="B1225" s="29" t="str">
        <x:v>A3</x:v>
      </x:c>
      <x:c r="C1225" s="48" t="n">
        <x:v>1.0065626973672392</x:v>
      </x:c>
      <x:c r="D1225" s="48" t="n">
        <x:v>0.7587912450707844</x:v>
      </x:c>
      <x:c r="E1225" s="48" t="n">
        <x:v>0.959445482834151</x:v>
      </x:c>
      <x:c r="F1225" s="48" t="n">
        <x:v>-0.10111519346275667</x:v>
      </x:c>
      <x:c r="G1225" s="48" t="n">
        <x:v>-0.12354947312102268</x:v>
      </x:c>
      <x:c r="H1225" s="48" t="n">
        <x:v>0.32331216372048943</x:v>
      </x:c>
      <x:c r="I1225" s="48" t="n">
        <x:v>0.8471206726850603</x:v>
      </x:c>
      <x:c r="J1225" s="48" t="n">
        <x:v>0.7386825305985072</x:v>
      </x:c>
      <x:c r="K1225" s="48" t="n">
        <x:v>0.6378271173203014</x:v>
      </x:c>
      <x:c r="L1225" s="48" t="n">
        <x:v>0.6722693475848812</x:v>
      </x:c>
      <x:c r="M1225" s="48" t="n">
        <x:v>0.16206115396536636</x:v>
      </x:c>
      <x:c r="N1225" s="48" t="n">
        <x:v>0.8347617677721425</x:v>
      </x:c>
      <x:c r="O1225" s="48" t="n">
        <x:v>1</x:v>
      </x:c>
      <x:c r="P1225" s="48" t="n">
        <x:v>1</x:v>
      </x:c>
      <x:c r="Q1225" s="48" t="n">
        <x:v>1</x:v>
      </x:c>
      <x:c r="R1225" s="48" t="n">
        <x:v>1</x:v>
      </x:c>
      <x:c r="S1225" s="29" t="n">
        <x:v>1</x:v>
      </x:c>
    </x:row>
    <x:row r="1226" ht="21.600000381469727" hidden="0" customHeight="1">
      <x:c r="A1226" s="27" t="n">
        <x:v>408</x:v>
      </x:c>
      <x:c r="B1226" s="27" t="str">
        <x:v>A1</x:v>
      </x:c>
      <x:c r="C1226" s="47" t="n">
        <x:v>1.085862219796967</x:v>
      </x:c>
      <x:c r="D1226" s="47" t="n">
        <x:v>0.7732618470789603</x:v>
      </x:c>
      <x:c r="E1226" s="47" t="n">
        <x:v>0.7572421176739748</x:v>
      </x:c>
      <x:c r="F1226" s="47" t="n">
        <x:v>-0.10899098539903601</x:v>
      </x:c>
      <x:c r="G1226" s="47" t="n">
        <x:v>-0.02959134373859723</x:v>
      </x:c>
      <x:c r="H1226" s="47" t="n">
        <x:v>0.9091168553907865</x:v>
      </x:c>
      <x:c r="I1226" s="47" t="n">
        <x:v>0.7196895097727617</x:v>
      </x:c>
      <x:c r="J1226" s="47" t="n">
        <x:v>0.7559988237915638</x:v>
      </x:c>
      <x:c r="K1226" s="47" t="n">
        <x:v>0.562895377561138</x:v>
      </x:c>
      <x:c r="L1226" s="47" t="n">
        <x:v>0.9051309804141003</x:v>
      </x:c>
      <x:c r="M1226" s="47" t="n">
        <x:v>0.07232014750702366</x:v>
      </x:c>
      <x:c r="N1226" s="47" t="n">
        <x:v>0.7398778050273164</x:v>
      </x:c>
      <x:c r="O1226" s="47" t="n">
        <x:v>0.8057035688717261</x:v>
      </x:c>
      <x:c r="P1226" s="47" t="n">
        <x:v>0.5212143456605455</x:v>
      </x:c>
      <x:c r="Q1226" s="47" t="n">
        <x:v>1</x:v>
      </x:c>
      <x:c r="R1226" s="47" t="n">
        <x:v>0.7600744036362514</x:v>
      </x:c>
      <x:c r="S1226" s="27" t="n">
        <x:v>0</x:v>
      </x:c>
    </x:row>
    <x:row r="1227" ht="21.600000381469727" hidden="0" customHeight="1">
      <x:c r="A1227" s="29" t="n">
        <x:v>408</x:v>
      </x:c>
      <x:c r="B1227" s="29" t="str">
        <x:v>A2</x:v>
      </x:c>
      <x:c r="C1227" s="48" t="n">
        <x:v>1.085862219796967</x:v>
      </x:c>
      <x:c r="D1227" s="48" t="n">
        <x:v>0.7732618470789603</x:v>
      </x:c>
      <x:c r="E1227" s="48" t="n">
        <x:v>0.7572421176739748</x:v>
      </x:c>
      <x:c r="F1227" s="48" t="n">
        <x:v>-0.10899098539903601</x:v>
      </x:c>
      <x:c r="G1227" s="48" t="n">
        <x:v>-0.02959134373859723</x:v>
      </x:c>
      <x:c r="H1227" s="48" t="n">
        <x:v>0.9091168553907865</x:v>
      </x:c>
      <x:c r="I1227" s="48" t="n">
        <x:v>0.7196895097727617</x:v>
      </x:c>
      <x:c r="J1227" s="48" t="n">
        <x:v>0.7559988237915638</x:v>
      </x:c>
      <x:c r="K1227" s="48" t="n">
        <x:v>0.562895377561138</x:v>
      </x:c>
      <x:c r="L1227" s="48" t="n">
        <x:v>0.9051309804141003</x:v>
      </x:c>
      <x:c r="M1227" s="48" t="n">
        <x:v>0.07232014750702366</x:v>
      </x:c>
      <x:c r="N1227" s="48" t="n">
        <x:v>0.7398778050273164</x:v>
      </x:c>
      <x:c r="O1227" s="48" t="n">
        <x:v>0.9015945575524781</x:v>
      </x:c>
      <x:c r="P1227" s="48" t="n">
        <x:v>0.5902880977592276</x:v>
      </x:c>
      <x:c r="Q1227" s="48" t="n">
        <x:v>1</x:v>
      </x:c>
      <x:c r="R1227" s="48" t="n">
        <x:v>0.878484723947024</x:v>
      </x:c>
      <x:c r="S1227" s="29" t="n">
        <x:v>0</x:v>
      </x:c>
    </x:row>
    <x:row r="1228" ht="21.600000381469727" hidden="0" customHeight="1">
      <x:c r="A1228" s="27" t="n">
        <x:v>408</x:v>
      </x:c>
      <x:c r="B1228" s="27" t="str">
        <x:v>A3</x:v>
      </x:c>
      <x:c r="C1228" s="47" t="n">
        <x:v>1.085862219796967</x:v>
      </x:c>
      <x:c r="D1228" s="47" t="n">
        <x:v>0.7732618470789603</x:v>
      </x:c>
      <x:c r="E1228" s="47" t="n">
        <x:v>0.7572421176739748</x:v>
      </x:c>
      <x:c r="F1228" s="47" t="n">
        <x:v>-0.10899098539903601</x:v>
      </x:c>
      <x:c r="G1228" s="47" t="n">
        <x:v>-0.02959134373859723</x:v>
      </x:c>
      <x:c r="H1228" s="47" t="n">
        <x:v>0.9091168553907865</x:v>
      </x:c>
      <x:c r="I1228" s="47" t="n">
        <x:v>0.7196895097727617</x:v>
      </x:c>
      <x:c r="J1228" s="47" t="n">
        <x:v>0.7559988237915638</x:v>
      </x:c>
      <x:c r="K1228" s="47" t="n">
        <x:v>0.562895377561138</x:v>
      </x:c>
      <x:c r="L1228" s="47" t="n">
        <x:v>0.9051309804141003</x:v>
      </x:c>
      <x:c r="M1228" s="47" t="n">
        <x:v>0.07232014750702366</x:v>
      </x:c>
      <x:c r="N1228" s="47" t="n">
        <x:v>0.7398778050273164</x:v>
      </x:c>
      <x:c r="O1228" s="47" t="n">
        <x:v>1</x:v>
      </x:c>
      <x:c r="P1228" s="47" t="n">
        <x:v>1</x:v>
      </x:c>
      <x:c r="Q1228" s="47" t="n">
        <x:v>1</x:v>
      </x:c>
      <x:c r="R1228" s="47" t="n">
        <x:v>1</x:v>
      </x:c>
      <x:c r="S1228" s="27" t="n">
        <x:v>1</x:v>
      </x:c>
    </x:row>
    <x:row r="1229" ht="21.600000381469727" hidden="0" customHeight="1">
      <x:c r="A1229" s="29" t="n">
        <x:v>409</x:v>
      </x:c>
      <x:c r="B1229" s="29" t="str">
        <x:v>A1</x:v>
      </x:c>
      <x:c r="C1229" s="48" t="n">
        <x:v>1.1073838089349275</x:v>
      </x:c>
      <x:c r="D1229" s="48" t="n">
        <x:v>0.9543029140047723</x:v>
      </x:c>
      <x:c r="E1229" s="48" t="n">
        <x:v>0.9255732617893114</x:v>
      </x:c>
      <x:c r="F1229" s="48" t="n">
        <x:v>-0.07252212594556073</x:v>
      </x:c>
      <x:c r="G1229" s="48" t="n">
        <x:v>-0.0842402376844679</x:v>
      </x:c>
      <x:c r="H1229" s="48" t="n">
        <x:v>0.9242016332265732</x:v>
      </x:c>
      <x:c r="I1229" s="48" t="n">
        <x:v>0.7423013213721177</x:v>
      </x:c>
      <x:c r="J1229" s="48" t="n">
        <x:v>0.8716339960597104</x:v>
      </x:c>
      <x:c r="K1229" s="48" t="n">
        <x:v>0.9343232718043942</x:v>
      </x:c>
      <x:c r="L1229" s="48" t="n">
        <x:v>0.7550175481381799</x:v>
      </x:c>
      <x:c r="M1229" s="48" t="n">
        <x:v>0.1419268702595901</x:v>
      </x:c>
      <x:c r="N1229" s="48" t="n">
        <x:v>0.7288642505238702</x:v>
      </x:c>
      <x:c r="O1229" s="48" t="n">
        <x:v>0.9250537349192257</x:v>
      </x:c>
      <x:c r="P1229" s="48" t="n">
        <x:v>0.6556665892149321</x:v>
      </x:c>
      <x:c r="Q1229" s="48" t="n">
        <x:v>1</x:v>
      </x:c>
      <x:c r="R1229" s="48" t="n">
        <x:v>0.9074531259255658</x:v>
      </x:c>
      <x:c r="S1229" s="29" t="n">
        <x:v>0</x:v>
      </x:c>
    </x:row>
    <x:row r="1230" ht="21.600000381469727" hidden="0" customHeight="1">
      <x:c r="A1230" s="27" t="n">
        <x:v>409</x:v>
      </x:c>
      <x:c r="B1230" s="27" t="str">
        <x:v>A2</x:v>
      </x:c>
      <x:c r="C1230" s="47" t="n">
        <x:v>1.1073838089349275</x:v>
      </x:c>
      <x:c r="D1230" s="47" t="n">
        <x:v>0.9543029140047723</x:v>
      </x:c>
      <x:c r="E1230" s="47" t="n">
        <x:v>0.9255732617893114</x:v>
      </x:c>
      <x:c r="F1230" s="47" t="n">
        <x:v>-0.07252212594556073</x:v>
      </x:c>
      <x:c r="G1230" s="47" t="n">
        <x:v>-0.0842402376844679</x:v>
      </x:c>
      <x:c r="H1230" s="47" t="n">
        <x:v>0.9242016332265732</x:v>
      </x:c>
      <x:c r="I1230" s="47" t="n">
        <x:v>0.7423013213721177</x:v>
      </x:c>
      <x:c r="J1230" s="47" t="n">
        <x:v>0.8716339960597104</x:v>
      </x:c>
      <x:c r="K1230" s="47" t="n">
        <x:v>0.9343232718043942</x:v>
      </x:c>
      <x:c r="L1230" s="47" t="n">
        <x:v>0.7550175481381799</x:v>
      </x:c>
      <x:c r="M1230" s="47" t="n">
        <x:v>0.1419268702595901</x:v>
      </x:c>
      <x:c r="N1230" s="47" t="n">
        <x:v>0.7288642505238702</x:v>
      </x:c>
      <x:c r="O1230" s="47" t="n">
        <x:v>0.9825884981998544</x:v>
      </x:c>
      <x:c r="P1230" s="47" t="n">
        <x:v>0.8258849819985433</x:v>
      </x:c>
      <x:c r="Q1230" s="47" t="n">
        <x:v>1</x:v>
      </x:c>
      <x:c r="R1230" s="47" t="n">
        <x:v>0.9784995281244746</x:v>
      </x:c>
      <x:c r="S1230" s="27" t="n">
        <x:v>0</x:v>
      </x:c>
    </x:row>
    <x:row r="1231" ht="21.600000381469727" hidden="0" customHeight="1">
      <x:c r="A1231" s="29" t="n">
        <x:v>409</x:v>
      </x:c>
      <x:c r="B1231" s="29" t="str">
        <x:v>A3</x:v>
      </x:c>
      <x:c r="C1231" s="48" t="n">
        <x:v>1.1073838089349275</x:v>
      </x:c>
      <x:c r="D1231" s="48" t="n">
        <x:v>0.9543029140047723</x:v>
      </x:c>
      <x:c r="E1231" s="48" t="n">
        <x:v>0.9255732617893114</x:v>
      </x:c>
      <x:c r="F1231" s="48" t="n">
        <x:v>-0.07252212594556073</x:v>
      </x:c>
      <x:c r="G1231" s="48" t="n">
        <x:v>-0.0842402376844679</x:v>
      </x:c>
      <x:c r="H1231" s="48" t="n">
        <x:v>0.9242016332265732</x:v>
      </x:c>
      <x:c r="I1231" s="48" t="n">
        <x:v>0.7423013213721177</x:v>
      </x:c>
      <x:c r="J1231" s="48" t="n">
        <x:v>0.8716339960597104</x:v>
      </x:c>
      <x:c r="K1231" s="48" t="n">
        <x:v>0.9343232718043942</x:v>
      </x:c>
      <x:c r="L1231" s="48" t="n">
        <x:v>0.7550175481381799</x:v>
      </x:c>
      <x:c r="M1231" s="48" t="n">
        <x:v>0.1419268702595901</x:v>
      </x:c>
      <x:c r="N1231" s="48" t="n">
        <x:v>0.7288642505238702</x:v>
      </x:c>
      <x:c r="O1231" s="48" t="n">
        <x:v>1</x:v>
      </x:c>
      <x:c r="P1231" s="48" t="n">
        <x:v>1</x:v>
      </x:c>
      <x:c r="Q1231" s="48" t="n">
        <x:v>1</x:v>
      </x:c>
      <x:c r="R1231" s="48" t="n">
        <x:v>1</x:v>
      </x:c>
      <x:c r="S1231" s="29" t="n">
        <x:v>1</x:v>
      </x:c>
    </x:row>
    <x:row r="1232" ht="15" hidden="0" customHeight="1">
      <x:c r="A1232" s="27" t="n">
        <x:v>410</x:v>
      </x:c>
      <x:c r="B1232" s="27" t="str">
        <x:v>A1</x:v>
      </x:c>
      <x:c r="C1232" s="47" t="n">
        <x:v>1.2723848666135948</x:v>
      </x:c>
      <x:c r="D1232" s="47" t="n">
        <x:v>0.83141629534091</x:v>
      </x:c>
      <x:c r="E1232" s="47" t="n">
        <x:v>0.5460120645142889</x:v>
      </x:c>
      <x:c r="F1232" s="47" t="n">
        <x:v>0.02646786020963035</x:v>
      </x:c>
      <x:c r="G1232" s="47" t="n">
        <x:v>-0.17086338965017225</x:v>
      </x:c>
      <x:c r="H1232" s="47" t="n">
        <x:v>0.7988925459401985</x:v>
      </x:c>
      <x:c r="I1232" s="47" t="n">
        <x:v>0.8067007605745042</x:v>
      </x:c>
      <x:c r="J1232" s="47" t="n">
        <x:v>0.7103087243270829</x:v>
      </x:c>
      <x:c r="K1232" s="47" t="n">
        <x:v>0.6668037987451065</x:v>
      </x:c>
      <x:c r="L1232" s="47" t="n">
        <x:v>0.6854340113255405</x:v>
      </x:c>
      <x:c r="M1232" s="47" t="n">
        <x:v>0.13467017668001702</x:v>
      </x:c>
      <x:c r="N1232" s="47" t="n">
        <x:v>0.8430416551918161</x:v>
      </x:c>
      <x:c r="O1232" s="47" t="n">
        <x:v>0.7222595743807357</x:v>
      </x:c>
      <x:c r="P1232" s="47" t="n">
        <x:v>0.4410244837846684</x:v>
      </x:c>
      <x:c r="Q1232" s="47" t="n">
        <x:v>1</x:v>
      </x:c>
      <x:c r="R1232" s="47" t="n">
        <x:v>0.6570341675137112</x:v>
      </x:c>
      <x:c r="S1232" s="27" t="n">
        <x:v>0</x:v>
      </x:c>
    </x:row>
    <x:row r="1233" ht="15" hidden="0" customHeight="1">
      <x:c r="A1233" s="29" t="n">
        <x:v>410</x:v>
      </x:c>
      <x:c r="B1233" s="29" t="str">
        <x:v>A2</x:v>
      </x:c>
      <x:c r="C1233" s="48" t="n">
        <x:v>1.2723848666135948</x:v>
      </x:c>
      <x:c r="D1233" s="48" t="n">
        <x:v>0.83141629534091</x:v>
      </x:c>
      <x:c r="E1233" s="48" t="n">
        <x:v>0.5460120645142889</x:v>
      </x:c>
      <x:c r="F1233" s="48" t="n">
        <x:v>0.02646786020963035</x:v>
      </x:c>
      <x:c r="G1233" s="48" t="n">
        <x:v>-0.17086338965017225</x:v>
      </x:c>
      <x:c r="H1233" s="48" t="n">
        <x:v>0.7988925459401985</x:v>
      </x:c>
      <x:c r="I1233" s="48" t="n">
        <x:v>0.8067007605745042</x:v>
      </x:c>
      <x:c r="J1233" s="48" t="n">
        <x:v>0.7103087243270829</x:v>
      </x:c>
      <x:c r="K1233" s="48" t="n">
        <x:v>0.6668037987451065</x:v>
      </x:c>
      <x:c r="L1233" s="48" t="n">
        <x:v>0.6854340113255405</x:v>
      </x:c>
      <x:c r="M1233" s="48" t="n">
        <x:v>0.13467017668001702</x:v>
      </x:c>
      <x:c r="N1233" s="48" t="n">
        <x:v>0.8430416551918161</x:v>
      </x:c>
      <x:c r="O1233" s="48" t="n">
        <x:v>0.7906868653926281</x:v>
      </x:c>
      <x:c r="P1233" s="48" t="n">
        <x:v>0.4541748584174933</x:v>
      </x:c>
      <x:c r="Q1233" s="48" t="n">
        <x:v>1</x:v>
      </x:c>
      <x:c r="R1233" s="48" t="n">
        <x:v>0.7415311318081572</x:v>
      </x:c>
      <x:c r="S1233" s="29" t="n">
        <x:v>0</x:v>
      </x:c>
    </x:row>
    <x:row r="1234" ht="15" hidden="0" customHeight="1">
      <x:c r="A1234" s="27" t="n">
        <x:v>410</x:v>
      </x:c>
      <x:c r="B1234" s="27" t="str">
        <x:v>A3</x:v>
      </x:c>
      <x:c r="C1234" s="47" t="n">
        <x:v>1.2723848666135948</x:v>
      </x:c>
      <x:c r="D1234" s="47" t="n">
        <x:v>0.83141629534091</x:v>
      </x:c>
      <x:c r="E1234" s="47" t="n">
        <x:v>0.5460120645142889</x:v>
      </x:c>
      <x:c r="F1234" s="47" t="n">
        <x:v>0.02646786020963035</x:v>
      </x:c>
      <x:c r="G1234" s="47" t="n">
        <x:v>-0.17086338965017225</x:v>
      </x:c>
      <x:c r="H1234" s="47" t="n">
        <x:v>0.7988925459401985</x:v>
      </x:c>
      <x:c r="I1234" s="47" t="n">
        <x:v>0.8067007605745042</x:v>
      </x:c>
      <x:c r="J1234" s="47" t="n">
        <x:v>0.7103087243270829</x:v>
      </x:c>
      <x:c r="K1234" s="47" t="n">
        <x:v>0.6668037987451065</x:v>
      </x:c>
      <x:c r="L1234" s="47" t="n">
        <x:v>0.6854340113255405</x:v>
      </x:c>
      <x:c r="M1234" s="47" t="n">
        <x:v>0.13467017668001702</x:v>
      </x:c>
      <x:c r="N1234" s="47" t="n">
        <x:v>0.8430416551918161</x:v>
      </x:c>
      <x:c r="O1234" s="47" t="n">
        <x:v>1</x:v>
      </x:c>
      <x:c r="P1234" s="47" t="n">
        <x:v>1</x:v>
      </x:c>
      <x:c r="Q1234" s="47" t="n">
        <x:v>1</x:v>
      </x:c>
      <x:c r="R1234" s="47" t="n">
        <x:v>1</x:v>
      </x:c>
      <x:c r="S1234" s="27" t="n">
        <x:v>1</x:v>
      </x:c>
    </x:row>
    <x:row r="1235" ht="21.600000381469727" hidden="0" customHeight="1">
      <x:c r="A1235" s="29" t="n">
        <x:v>411</x:v>
      </x:c>
      <x:c r="B1235" s="29" t="str">
        <x:v>A1</x:v>
      </x:c>
      <x:c r="C1235" s="48" t="n">
        <x:v>0.9025096326630088</x:v>
      </x:c>
      <x:c r="D1235" s="48" t="n">
        <x:v>0.8002390207630166</x:v>
      </x:c>
      <x:c r="E1235" s="48" t="n">
        <x:v>0.8643271981767374</x:v>
      </x:c>
      <x:c r="F1235" s="48" t="n">
        <x:v>-0.19760762610964766</x:v>
      </x:c>
      <x:c r="G1235" s="48" t="n">
        <x:v>-0.15125635922723019</x:v>
      </x:c>
      <x:c r="H1235" s="48" t="n">
        <x:v>0.8095557021965172</x:v>
      </x:c>
      <x:c r="I1235" s="48" t="n">
        <x:v>0.6163737007815473</x:v>
      </x:c>
      <x:c r="J1235" s="48" t="n">
        <x:v>0.592781234970912</x:v>
      </x:c>
      <x:c r="K1235" s="48" t="n">
        <x:v>0.7615346481549445</x:v>
      </x:c>
      <x:c r="L1235" s="48" t="n">
        <x:v>0.6265981918192807</x:v>
      </x:c>
      <x:c r="M1235" s="48" t="n">
        <x:v>0.043772693453370946</x:v>
      </x:c>
      <x:c r="N1235" s="48" t="n">
        <x:v>0.7515356902010771</x:v>
      </x:c>
      <x:c r="O1235" s="48" t="n">
        <x:v>0.9133261707284116</x:v>
      </x:c>
      <x:c r="P1235" s="48" t="n">
        <x:v>0.6740032667801805</x:v>
      </x:c>
      <x:c r="Q1235" s="48" t="n">
        <x:v>1</x:v>
      </x:c>
      <x:c r="R1235" s="48" t="n">
        <x:v>0.8929714248668489</x:v>
      </x:c>
      <x:c r="S1235" s="29" t="n">
        <x:v>0</x:v>
      </x:c>
    </x:row>
    <x:row r="1236" ht="21.600000381469727" hidden="0" customHeight="1">
      <x:c r="A1236" s="27" t="n">
        <x:v>411</x:v>
      </x:c>
      <x:c r="B1236" s="27" t="str">
        <x:v>A2</x:v>
      </x:c>
      <x:c r="C1236" s="47" t="n">
        <x:v>0.9025096326630088</x:v>
      </x:c>
      <x:c r="D1236" s="47" t="n">
        <x:v>0.8002390207630166</x:v>
      </x:c>
      <x:c r="E1236" s="47" t="n">
        <x:v>0.8643271981767374</x:v>
      </x:c>
      <x:c r="F1236" s="47" t="n">
        <x:v>-0.19760762610964766</x:v>
      </x:c>
      <x:c r="G1236" s="47" t="n">
        <x:v>-0.15125635922723019</x:v>
      </x:c>
      <x:c r="H1236" s="47" t="n">
        <x:v>0.8095557021965172</x:v>
      </x:c>
      <x:c r="I1236" s="47" t="n">
        <x:v>0.6163737007815473</x:v>
      </x:c>
      <x:c r="J1236" s="47" t="n">
        <x:v>0.592781234970912</x:v>
      </x:c>
      <x:c r="K1236" s="47" t="n">
        <x:v>0.7615346481549445</x:v>
      </x:c>
      <x:c r="L1236" s="47" t="n">
        <x:v>0.6265981918192807</x:v>
      </x:c>
      <x:c r="M1236" s="47" t="n">
        <x:v>0.043772693453370946</x:v>
      </x:c>
      <x:c r="N1236" s="47" t="n">
        <x:v>0.7515356902010771</x:v>
      </x:c>
      <x:c r="O1236" s="47" t="n">
        <x:v>0.9691332323781716</x:v>
      </x:c>
      <x:c r="P1236" s="47" t="n">
        <x:v>0.7292764079498799</x:v>
      </x:c>
      <x:c r="Q1236" s="47" t="n">
        <x:v>1</x:v>
      </x:c>
      <x:c r="R1236" s="47" t="n">
        <x:v>0.9618843867255638</x:v>
      </x:c>
      <x:c r="S1236" s="27" t="n">
        <x:v>0</x:v>
      </x:c>
    </x:row>
    <x:row r="1237" ht="21.600000381469727" hidden="0" customHeight="1">
      <x:c r="A1237" s="29" t="n">
        <x:v>411</x:v>
      </x:c>
      <x:c r="B1237" s="29" t="str">
        <x:v>A3</x:v>
      </x:c>
      <x:c r="C1237" s="48" t="n">
        <x:v>0.9025096326630088</x:v>
      </x:c>
      <x:c r="D1237" s="48" t="n">
        <x:v>0.8002390207630166</x:v>
      </x:c>
      <x:c r="E1237" s="48" t="n">
        <x:v>0.8643271981767374</x:v>
      </x:c>
      <x:c r="F1237" s="48" t="n">
        <x:v>-0.19760762610964766</x:v>
      </x:c>
      <x:c r="G1237" s="48" t="n">
        <x:v>-0.15125635922723019</x:v>
      </x:c>
      <x:c r="H1237" s="48" t="n">
        <x:v>0.8095557021965172</x:v>
      </x:c>
      <x:c r="I1237" s="48" t="n">
        <x:v>0.6163737007815473</x:v>
      </x:c>
      <x:c r="J1237" s="48" t="n">
        <x:v>0.592781234970912</x:v>
      </x:c>
      <x:c r="K1237" s="48" t="n">
        <x:v>0.7615346481549445</x:v>
      </x:c>
      <x:c r="L1237" s="48" t="n">
        <x:v>0.6265981918192807</x:v>
      </x:c>
      <x:c r="M1237" s="48" t="n">
        <x:v>0.043772693453370946</x:v>
      </x:c>
      <x:c r="N1237" s="48" t="n">
        <x:v>0.7515356902010771</x:v>
      </x:c>
      <x:c r="O1237" s="48" t="n">
        <x:v>1</x:v>
      </x:c>
      <x:c r="P1237" s="48" t="n">
        <x:v>1</x:v>
      </x:c>
      <x:c r="Q1237" s="48" t="n">
        <x:v>1</x:v>
      </x:c>
      <x:c r="R1237" s="48" t="n">
        <x:v>1</x:v>
      </x:c>
      <x:c r="S1237" s="29" t="n">
        <x:v>1</x:v>
      </x:c>
    </x:row>
    <x:row r="1238" ht="21.600000381469727" hidden="0" customHeight="1">
      <x:c r="A1238" s="27" t="n">
        <x:v>412</x:v>
      </x:c>
      <x:c r="B1238" s="27" t="str">
        <x:v>A1</x:v>
      </x:c>
      <x:c r="C1238" s="47" t="n">
        <x:v>1.2033798780870102</x:v>
      </x:c>
      <x:c r="D1238" s="47" t="n">
        <x:v>0.7724778139314478</x:v>
      </x:c>
      <x:c r="E1238" s="47" t="n">
        <x:v>0.911256643801214</x:v>
      </x:c>
      <x:c r="F1238" s="47" t="n">
        <x:v>-0.09027644063621551</x:v>
      </x:c>
      <x:c r="G1238" s="47" t="n">
        <x:v>0.004670025886623574</x:v>
      </x:c>
      <x:c r="H1238" s="47" t="n">
        <x:v>0.8551569647780131</x:v>
      </x:c>
      <x:c r="I1238" s="47" t="n">
        <x:v>0.7571527837922389</x:v>
      </x:c>
      <x:c r="J1238" s="47" t="n">
        <x:v>0.9710522706336463</x:v>
      </x:c>
      <x:c r="K1238" s="47" t="n">
        <x:v>0.8750260302439146</x:v>
      </x:c>
      <x:c r="L1238" s="47" t="n">
        <x:v>0.9809485080692275</x:v>
      </x:c>
      <x:c r="M1238" s="47" t="n">
        <x:v>0.1486595599496592</x:v>
      </x:c>
      <x:c r="N1238" s="47" t="n">
        <x:v>0.8348954447293148</x:v>
      </x:c>
      <x:c r="O1238" s="47" t="n">
        <x:v>0.857254406243842</x:v>
      </x:c>
      <x:c r="P1238" s="47" t="n">
        <x:v>0.4548301146758724</x:v>
      </x:c>
      <x:c r="Q1238" s="47" t="n">
        <x:v>1</x:v>
      </x:c>
      <x:c r="R1238" s="47" t="n">
        <x:v>0.8237315965539638</x:v>
      </x:c>
      <x:c r="S1238" s="27" t="n">
        <x:v>0</x:v>
      </x:c>
    </x:row>
    <x:row r="1239" ht="21.600000381469727" hidden="0" customHeight="1">
      <x:c r="A1239" s="29" t="n">
        <x:v>412</x:v>
      </x:c>
      <x:c r="B1239" s="29" t="str">
        <x:v>A2</x:v>
      </x:c>
      <x:c r="C1239" s="48" t="n">
        <x:v>1.2033798780870102</x:v>
      </x:c>
      <x:c r="D1239" s="48" t="n">
        <x:v>0.7724778139314478</x:v>
      </x:c>
      <x:c r="E1239" s="48" t="n">
        <x:v>0.911256643801214</x:v>
      </x:c>
      <x:c r="F1239" s="48" t="n">
        <x:v>-0.09027644063621551</x:v>
      </x:c>
      <x:c r="G1239" s="48" t="n">
        <x:v>0.004670025886623574</x:v>
      </x:c>
      <x:c r="H1239" s="48" t="n">
        <x:v>0.8551569647780131</x:v>
      </x:c>
      <x:c r="I1239" s="48" t="n">
        <x:v>0.7571527837922389</x:v>
      </x:c>
      <x:c r="J1239" s="48" t="n">
        <x:v>0.9710522706336463</x:v>
      </x:c>
      <x:c r="K1239" s="48" t="n">
        <x:v>0.8750260302439146</x:v>
      </x:c>
      <x:c r="L1239" s="48" t="n">
        <x:v>0.9809485080692275</x:v>
      </x:c>
      <x:c r="M1239" s="48" t="n">
        <x:v>0.1486595599496592</x:v>
      </x:c>
      <x:c r="N1239" s="48" t="n">
        <x:v>0.8348954447293148</x:v>
      </x:c>
      <x:c r="O1239" s="48" t="n">
        <x:v>0.9237270883129871</x:v>
      </x:c>
      <x:c r="P1239" s="48" t="n">
        <x:v>0.5783858865758842</x:v>
      </x:c>
      <x:c r="Q1239" s="48" t="n">
        <x:v>1</x:v>
      </x:c>
      <x:c r="R1239" s="48" t="n">
        <x:v>0.9058149255926137</x:v>
      </x:c>
      <x:c r="S1239" s="29" t="n">
        <x:v>0</x:v>
      </x:c>
    </x:row>
    <x:row r="1240" ht="21.600000381469727" hidden="0" customHeight="1">
      <x:c r="A1240" s="27" t="n">
        <x:v>412</x:v>
      </x:c>
      <x:c r="B1240" s="27" t="str">
        <x:v>A3</x:v>
      </x:c>
      <x:c r="C1240" s="47" t="n">
        <x:v>1.2033798780870102</x:v>
      </x:c>
      <x:c r="D1240" s="47" t="n">
        <x:v>0.7724778139314478</x:v>
      </x:c>
      <x:c r="E1240" s="47" t="n">
        <x:v>0.911256643801214</x:v>
      </x:c>
      <x:c r="F1240" s="47" t="n">
        <x:v>-0.09027644063621551</x:v>
      </x:c>
      <x:c r="G1240" s="47" t="n">
        <x:v>0.004670025886623574</x:v>
      </x:c>
      <x:c r="H1240" s="47" t="n">
        <x:v>0.8551569647780131</x:v>
      </x:c>
      <x:c r="I1240" s="47" t="n">
        <x:v>0.7571527837922389</x:v>
      </x:c>
      <x:c r="J1240" s="47" t="n">
        <x:v>0.9710522706336463</x:v>
      </x:c>
      <x:c r="K1240" s="47" t="n">
        <x:v>0.8750260302439146</x:v>
      </x:c>
      <x:c r="L1240" s="47" t="n">
        <x:v>0.9809485080692275</x:v>
      </x:c>
      <x:c r="M1240" s="47" t="n">
        <x:v>0.1486595599496592</x:v>
      </x:c>
      <x:c r="N1240" s="47" t="n">
        <x:v>0.8348954447293148</x:v>
      </x:c>
      <x:c r="O1240" s="47" t="n">
        <x:v>1</x:v>
      </x:c>
      <x:c r="P1240" s="47" t="n">
        <x:v>1</x:v>
      </x:c>
      <x:c r="Q1240" s="47" t="n">
        <x:v>1</x:v>
      </x:c>
      <x:c r="R1240" s="47" t="n">
        <x:v>1</x:v>
      </x:c>
      <x:c r="S1240" s="27" t="n">
        <x:v>1</x:v>
      </x:c>
    </x:row>
    <x:row r="1241" ht="21.600000381469727" hidden="0" customHeight="1">
      <x:c r="A1241" s="29" t="n">
        <x:v>413</x:v>
      </x:c>
      <x:c r="B1241" s="29" t="str">
        <x:v>A1</x:v>
      </x:c>
      <x:c r="C1241" s="48" t="n">
        <x:v>1.3295400702905116</x:v>
      </x:c>
      <x:c r="D1241" s="48" t="n">
        <x:v>0.8866243752120029</x:v>
      </x:c>
      <x:c r="E1241" s="48" t="n">
        <x:v>0.836120835698211</x:v>
      </x:c>
      <x:c r="F1241" s="48" t="n">
        <x:v>-0.1999141314871668</x:v>
      </x:c>
      <x:c r="G1241" s="48" t="n">
        <x:v>0.027574378172680186</x:v>
      </x:c>
      <x:c r="H1241" s="48" t="n">
        <x:v>0.8729217870355637</x:v>
      </x:c>
      <x:c r="I1241" s="48" t="n">
        <x:v>0.8307519614718727</x:v>
      </x:c>
      <x:c r="J1241" s="48" t="n">
        <x:v>0.45119633591915886</x:v>
      </x:c>
      <x:c r="K1241" s="48" t="n">
        <x:v>0.7061874896643792</x:v>
      </x:c>
      <x:c r="L1241" s="48" t="n">
        <x:v>0.7691365276047238</x:v>
      </x:c>
      <x:c r="M1241" s="48" t="n">
        <x:v>0.04452291700088981</x:v>
      </x:c>
      <x:c r="N1241" s="48" t="n">
        <x:v>0.8770535937212922</x:v>
      </x:c>
      <x:c r="O1241" s="48" t="n">
        <x:v>0.7710939455461684</x:v>
      </x:c>
      <x:c r="P1241" s="48" t="n">
        <x:v>0.4629065131875958</x:v>
      </x:c>
      <x:c r="Q1241" s="48" t="n">
        <x:v>0.894279518643519</x:v>
      </x:c>
      <x:c r="R1241" s="48" t="n">
        <x:v>0.7183201128252426</x:v>
      </x:c>
      <x:c r="S1241" s="29" t="n">
        <x:v>0</x:v>
      </x:c>
    </x:row>
    <x:row r="1242" ht="21.600000381469727" hidden="0" customHeight="1">
      <x:c r="A1242" s="27" t="n">
        <x:v>413</x:v>
      </x:c>
      <x:c r="B1242" s="27" t="str">
        <x:v>A2</x:v>
      </x:c>
      <x:c r="C1242" s="47" t="n">
        <x:v>1.3295400702905116</x:v>
      </x:c>
      <x:c r="D1242" s="47" t="n">
        <x:v>0.8866243752120029</x:v>
      </x:c>
      <x:c r="E1242" s="47" t="n">
        <x:v>0.836120835698211</x:v>
      </x:c>
      <x:c r="F1242" s="47" t="n">
        <x:v>-0.1999141314871668</x:v>
      </x:c>
      <x:c r="G1242" s="47" t="n">
        <x:v>0.027574378172680186</x:v>
      </x:c>
      <x:c r="H1242" s="47" t="n">
        <x:v>0.8729217870355637</x:v>
      </x:c>
      <x:c r="I1242" s="47" t="n">
        <x:v>0.8307519614718727</x:v>
      </x:c>
      <x:c r="J1242" s="47" t="n">
        <x:v>0.45119633591915886</x:v>
      </x:c>
      <x:c r="K1242" s="47" t="n">
        <x:v>0.7061874896643792</x:v>
      </x:c>
      <x:c r="L1242" s="47" t="n">
        <x:v>0.7691365276047238</x:v>
      </x:c>
      <x:c r="M1242" s="47" t="n">
        <x:v>0.04452291700088981</x:v>
      </x:c>
      <x:c r="N1242" s="47" t="n">
        <x:v>0.8770535937212922</x:v>
      </x:c>
      <x:c r="O1242" s="47" t="n">
        <x:v>0.8570250675862601</x:v>
      </x:c>
      <x:c r="P1242" s="47" t="n">
        <x:v>0.6112991206566586</x:v>
      </x:c>
      <x:c r="Q1242" s="47" t="n">
        <x:v>0.9999999999999998</x:v>
      </x:c>
      <x:c r="R1242" s="47" t="n">
        <x:v>0.8234483993080334</x:v>
      </x:c>
      <x:c r="S1242" s="27" t="n">
        <x:v>0</x:v>
      </x:c>
    </x:row>
    <x:row r="1243" ht="21.600000381469727" hidden="0" customHeight="1">
      <x:c r="A1243" s="29" t="n">
        <x:v>413</x:v>
      </x:c>
      <x:c r="B1243" s="29" t="str">
        <x:v>A3</x:v>
      </x:c>
      <x:c r="C1243" s="48" t="n">
        <x:v>1.3295400702905116</x:v>
      </x:c>
      <x:c r="D1243" s="48" t="n">
        <x:v>0.8866243752120029</x:v>
      </x:c>
      <x:c r="E1243" s="48" t="n">
        <x:v>0.836120835698211</x:v>
      </x:c>
      <x:c r="F1243" s="48" t="n">
        <x:v>-0.1999141314871668</x:v>
      </x:c>
      <x:c r="G1243" s="48" t="n">
        <x:v>0.027574378172680186</x:v>
      </x:c>
      <x:c r="H1243" s="48" t="n">
        <x:v>0.8729217870355637</x:v>
      </x:c>
      <x:c r="I1243" s="48" t="n">
        <x:v>0.8307519614718727</x:v>
      </x:c>
      <x:c r="J1243" s="48" t="n">
        <x:v>0.45119633591915886</x:v>
      </x:c>
      <x:c r="K1243" s="48" t="n">
        <x:v>0.7061874896643792</x:v>
      </x:c>
      <x:c r="L1243" s="48" t="n">
        <x:v>0.7691365276047238</x:v>
      </x:c>
      <x:c r="M1243" s="48" t="n">
        <x:v>0.04452291700088981</x:v>
      </x:c>
      <x:c r="N1243" s="48" t="n">
        <x:v>0.8770535937212922</x:v>
      </x:c>
      <x:c r="O1243" s="48" t="n">
        <x:v>1</x:v>
      </x:c>
      <x:c r="P1243" s="48" t="n">
        <x:v>1</x:v>
      </x:c>
      <x:c r="Q1243" s="48" t="n">
        <x:v>1</x:v>
      </x:c>
      <x:c r="R1243" s="48" t="n">
        <x:v>1</x:v>
      </x:c>
      <x:c r="S1243" s="29" t="n">
        <x:v>1</x:v>
      </x:c>
    </x:row>
    <x:row r="1244" ht="21.600000381469727" hidden="0" customHeight="1">
      <x:c r="A1244" s="27" t="n">
        <x:v>414</x:v>
      </x:c>
      <x:c r="B1244" s="27" t="str">
        <x:v>A1</x:v>
      </x:c>
      <x:c r="C1244" s="47" t="n">
        <x:v>1.0422215938875263</x:v>
      </x:c>
      <x:c r="D1244" s="47" t="n">
        <x:v>0.998380133906904</x:v>
      </x:c>
      <x:c r="E1244" s="47" t="n">
        <x:v>0.5019330568016097</x:v>
      </x:c>
      <x:c r="F1244" s="47" t="n">
        <x:v>-0.13289259820771912</x:v>
      </x:c>
      <x:c r="G1244" s="47" t="n">
        <x:v>-0.01810297589607568</x:v>
      </x:c>
      <x:c r="H1244" s="47" t="n">
        <x:v>0.9485551243153323</x:v>
      </x:c>
      <x:c r="I1244" s="47" t="n">
        <x:v>0.9919830215410603</x:v>
      </x:c>
      <x:c r="J1244" s="47" t="n">
        <x:v>0.7269331362158449</x:v>
      </x:c>
      <x:c r="K1244" s="47" t="n">
        <x:v>0.9652176854521793</x:v>
      </x:c>
      <x:c r="L1244" s="47" t="n">
        <x:v>0.9600214255360737</x:v>
      </x:c>
      <x:c r="M1244" s="47" t="n">
        <x:v>0.16729316906453728</x:v>
      </x:c>
      <x:c r="N1244" s="47" t="n">
        <x:v>0.7593992727762275</x:v>
      </x:c>
      <x:c r="O1244" s="47" t="n">
        <x:v>0.9242870513787336</x:v>
      </x:c>
      <x:c r="P1244" s="47" t="n">
        <x:v>0.7219477956566205</x:v>
      </x:c>
      <x:c r="Q1244" s="47" t="n">
        <x:v>1</x:v>
      </x:c>
      <x:c r="R1244" s="47" t="n">
        <x:v>0.906506392088991</x:v>
      </x:c>
      <x:c r="S1244" s="27" t="n">
        <x:v>0</x:v>
      </x:c>
    </x:row>
    <x:row r="1245" ht="21.600000381469727" hidden="0" customHeight="1">
      <x:c r="A1245" s="29" t="n">
        <x:v>414</x:v>
      </x:c>
      <x:c r="B1245" s="29" t="str">
        <x:v>A2</x:v>
      </x:c>
      <x:c r="C1245" s="48" t="n">
        <x:v>1.0422215938875263</x:v>
      </x:c>
      <x:c r="D1245" s="48" t="n">
        <x:v>0.998380133906904</x:v>
      </x:c>
      <x:c r="E1245" s="48" t="n">
        <x:v>0.5019330568016097</x:v>
      </x:c>
      <x:c r="F1245" s="48" t="n">
        <x:v>-0.13289259820771912</x:v>
      </x:c>
      <x:c r="G1245" s="48" t="n">
        <x:v>-0.01810297589607568</x:v>
      </x:c>
      <x:c r="H1245" s="48" t="n">
        <x:v>0.9485551243153323</x:v>
      </x:c>
      <x:c r="I1245" s="48" t="n">
        <x:v>0.9919830215410603</x:v>
      </x:c>
      <x:c r="J1245" s="48" t="n">
        <x:v>0.7269331362158449</x:v>
      </x:c>
      <x:c r="K1245" s="48" t="n">
        <x:v>0.9652176854521793</x:v>
      </x:c>
      <x:c r="L1245" s="48" t="n">
        <x:v>0.9600214255360737</x:v>
      </x:c>
      <x:c r="M1245" s="48" t="n">
        <x:v>0.16729316906453728</x:v>
      </x:c>
      <x:c r="N1245" s="48" t="n">
        <x:v>0.7593992727762275</x:v>
      </x:c>
      <x:c r="O1245" s="48" t="n">
        <x:v>1</x:v>
      </x:c>
      <x:c r="P1245" s="48" t="n">
        <x:v>1</x:v>
      </x:c>
      <x:c r="Q1245" s="48" t="n">
        <x:v>1</x:v>
      </x:c>
      <x:c r="R1245" s="48" t="n">
        <x:v>1</x:v>
      </x:c>
      <x:c r="S1245" s="29" t="n">
        <x:v>1</x:v>
      </x:c>
    </x:row>
    <x:row r="1246" ht="21.600000381469727" hidden="0" customHeight="1">
      <x:c r="A1246" s="27" t="n">
        <x:v>414</x:v>
      </x:c>
      <x:c r="B1246" s="27" t="str">
        <x:v>A3</x:v>
      </x:c>
      <x:c r="C1246" s="47" t="n">
        <x:v>1.0422215938875263</x:v>
      </x:c>
      <x:c r="D1246" s="47" t="n">
        <x:v>0.998380133906904</x:v>
      </x:c>
      <x:c r="E1246" s="47" t="n">
        <x:v>0.5019330568016097</x:v>
      </x:c>
      <x:c r="F1246" s="47" t="n">
        <x:v>-0.13289259820771912</x:v>
      </x:c>
      <x:c r="G1246" s="47" t="n">
        <x:v>-0.01810297589607568</x:v>
      </x:c>
      <x:c r="H1246" s="47" t="n">
        <x:v>0.9485551243153323</x:v>
      </x:c>
      <x:c r="I1246" s="47" t="n">
        <x:v>0.9919830215410603</x:v>
      </x:c>
      <x:c r="J1246" s="47" t="n">
        <x:v>0.7269331362158449</x:v>
      </x:c>
      <x:c r="K1246" s="47" t="n">
        <x:v>0.9652176854521793</x:v>
      </x:c>
      <x:c r="L1246" s="47" t="n">
        <x:v>0.9600214255360737</x:v>
      </x:c>
      <x:c r="M1246" s="47" t="n">
        <x:v>0.16729316906453728</x:v>
      </x:c>
      <x:c r="N1246" s="47" t="n">
        <x:v>0.7593992727762275</x:v>
      </x:c>
      <x:c r="O1246" s="47" t="n">
        <x:v>1</x:v>
      </x:c>
      <x:c r="P1246" s="47" t="n">
        <x:v>1</x:v>
      </x:c>
      <x:c r="Q1246" s="47" t="n">
        <x:v>1</x:v>
      </x:c>
      <x:c r="R1246" s="47" t="n">
        <x:v>1</x:v>
      </x:c>
      <x:c r="S1246" s="27" t="n">
        <x:v>1</x:v>
      </x:c>
    </x:row>
    <x:row r="1247" ht="15" hidden="0" customHeight="1">
      <x:c r="A1247" s="29" t="n">
        <x:v>415</x:v>
      </x:c>
      <x:c r="B1247" s="29" t="str">
        <x:v>A1</x:v>
      </x:c>
      <x:c r="C1247" s="48" t="n">
        <x:v>1.0460882519239851</x:v>
      </x:c>
      <x:c r="D1247" s="48" t="n">
        <x:v>0.7446567348300043</x:v>
      </x:c>
      <x:c r="E1247" s="48" t="n">
        <x:v>0.8041859018471736</x:v>
      </x:c>
      <x:c r="F1247" s="48" t="n">
        <x:v>-0.1592867904610683</x:v>
      </x:c>
      <x:c r="G1247" s="48" t="n">
        <x:v>0.018472923850151063</x:v>
      </x:c>
      <x:c r="H1247" s="48" t="n">
        <x:v>0.7381008194399571</x:v>
      </x:c>
      <x:c r="I1247" s="48" t="n">
        <x:v>0.9990461415996144</x:v>
      </x:c>
      <x:c r="J1247" s="48" t="n">
        <x:v>0.5322330841477093</x:v>
      </x:c>
      <x:c r="K1247" s="48" t="n">
        <x:v>0.8315382487633607</x:v>
      </x:c>
      <x:c r="L1247" s="48" t="n">
        <x:v>0.5280497709282183</x:v>
      </x:c>
      <x:c r="M1247" s="48" t="n">
        <x:v>0.12751148304873416</x:v>
      </x:c>
      <x:c r="N1247" s="48" t="n">
        <x:v>0.7790407599382335</x:v>
      </x:c>
      <x:c r="O1247" s="48" t="n">
        <x:v>0.8107910479531368</x:v>
      </x:c>
      <x:c r="P1247" s="48" t="n">
        <x:v>0.5387918940300074</x:v>
      </x:c>
      <x:c r="Q1247" s="48" t="n">
        <x:v>1</x:v>
      </x:c>
      <x:c r="R1247" s="48" t="n">
        <x:v>0.7663566417890959</x:v>
      </x:c>
      <x:c r="S1247" s="29" t="n">
        <x:v>0</x:v>
      </x:c>
    </x:row>
    <x:row r="1248" ht="15" hidden="0" customHeight="1">
      <x:c r="A1248" s="27" t="n">
        <x:v>415</x:v>
      </x:c>
      <x:c r="B1248" s="27" t="str">
        <x:v>A2</x:v>
      </x:c>
      <x:c r="C1248" s="47" t="n">
        <x:v>1.0460882519239851</x:v>
      </x:c>
      <x:c r="D1248" s="47" t="n">
        <x:v>0.7446567348300043</x:v>
      </x:c>
      <x:c r="E1248" s="47" t="n">
        <x:v>0.8041859018471736</x:v>
      </x:c>
      <x:c r="F1248" s="47" t="n">
        <x:v>-0.1592867904610683</x:v>
      </x:c>
      <x:c r="G1248" s="47" t="n">
        <x:v>0.018472923850151063</x:v>
      </x:c>
      <x:c r="H1248" s="47" t="n">
        <x:v>0.7381008194399571</x:v>
      </x:c>
      <x:c r="I1248" s="47" t="n">
        <x:v>0.9990461415996144</x:v>
      </x:c>
      <x:c r="J1248" s="47" t="n">
        <x:v>0.5322330841477093</x:v>
      </x:c>
      <x:c r="K1248" s="47" t="n">
        <x:v>0.8315382487633607</x:v>
      </x:c>
      <x:c r="L1248" s="47" t="n">
        <x:v>0.5280497709282183</x:v>
      </x:c>
      <x:c r="M1248" s="47" t="n">
        <x:v>0.12751148304873416</x:v>
      </x:c>
      <x:c r="N1248" s="47" t="n">
        <x:v>0.7790407599382335</x:v>
      </x:c>
      <x:c r="O1248" s="47" t="n">
        <x:v>0.897290478926899</x:v>
      </x:c>
      <x:c r="P1248" s="47" t="n">
        <x:v>0.5586228389420479</x:v>
      </x:c>
      <x:c r="Q1248" s="47" t="n">
        <x:v>1</x:v>
      </x:c>
      <x:c r="R1248" s="47" t="n">
        <x:v>0.8731698623973707</x:v>
      </x:c>
      <x:c r="S1248" s="27" t="n">
        <x:v>0</x:v>
      </x:c>
    </x:row>
    <x:row r="1249" ht="15" hidden="0" customHeight="1">
      <x:c r="A1249" s="29" t="n">
        <x:v>415</x:v>
      </x:c>
      <x:c r="B1249" s="29" t="str">
        <x:v>A3</x:v>
      </x:c>
      <x:c r="C1249" s="48" t="n">
        <x:v>1.0460882519239851</x:v>
      </x:c>
      <x:c r="D1249" s="48" t="n">
        <x:v>0.7446567348300043</x:v>
      </x:c>
      <x:c r="E1249" s="48" t="n">
        <x:v>0.8041859018471736</x:v>
      </x:c>
      <x:c r="F1249" s="48" t="n">
        <x:v>-0.1592867904610683</x:v>
      </x:c>
      <x:c r="G1249" s="48" t="n">
        <x:v>0.018472923850151063</x:v>
      </x:c>
      <x:c r="H1249" s="48" t="n">
        <x:v>0.7381008194399571</x:v>
      </x:c>
      <x:c r="I1249" s="48" t="n">
        <x:v>0.9990461415996144</x:v>
      </x:c>
      <x:c r="J1249" s="48" t="n">
        <x:v>0.5322330841477093</x:v>
      </x:c>
      <x:c r="K1249" s="48" t="n">
        <x:v>0.8315382487633607</x:v>
      </x:c>
      <x:c r="L1249" s="48" t="n">
        <x:v>0.5280497709282183</x:v>
      </x:c>
      <x:c r="M1249" s="48" t="n">
        <x:v>0.12751148304873416</x:v>
      </x:c>
      <x:c r="N1249" s="48" t="n">
        <x:v>0.7790407599382335</x:v>
      </x:c>
      <x:c r="O1249" s="48" t="n">
        <x:v>1</x:v>
      </x:c>
      <x:c r="P1249" s="48" t="n">
        <x:v>1</x:v>
      </x:c>
      <x:c r="Q1249" s="48" t="n">
        <x:v>1</x:v>
      </x:c>
      <x:c r="R1249" s="48" t="n">
        <x:v>1</x:v>
      </x:c>
      <x:c r="S1249" s="29" t="n">
        <x:v>1</x:v>
      </x:c>
    </x:row>
    <x:row r="1250" ht="21.600000381469727" hidden="0" customHeight="1">
      <x:c r="A1250" s="27" t="n">
        <x:v>416</x:v>
      </x:c>
      <x:c r="B1250" s="27" t="str">
        <x:v>A1</x:v>
      </x:c>
      <x:c r="C1250" s="47" t="n">
        <x:v>1.1132885563262398</x:v>
      </x:c>
      <x:c r="D1250" s="47" t="n">
        <x:v>0.9376748532651218</x:v>
      </x:c>
      <x:c r="E1250" s="47" t="n">
        <x:v>0.917665935781258</x:v>
      </x:c>
      <x:c r="F1250" s="47" t="n">
        <x:v>-0.018657448838475893</x:v>
      </x:c>
      <x:c r="G1250" s="47" t="n">
        <x:v>-0.09700312313907831</x:v>
      </x:c>
      <x:c r="H1250" s="47" t="n">
        <x:v>0.5711273572996376</x:v>
      </x:c>
      <x:c r="I1250" s="47" t="n">
        <x:v>0.8686820811390872</x:v>
      </x:c>
      <x:c r="J1250" s="47" t="n">
        <x:v>0.9601145355489836</x:v>
      </x:c>
      <x:c r="K1250" s="47" t="n">
        <x:v>0.8509184207472573</x:v>
      </x:c>
      <x:c r="L1250" s="47" t="n">
        <x:v>0.5574841002177999</x:v>
      </x:c>
      <x:c r="M1250" s="47" t="n">
        <x:v>0.1287200634261325</x:v>
      </x:c>
      <x:c r="N1250" s="47" t="n">
        <x:v>0.6610118519557833</x:v>
      </x:c>
      <x:c r="O1250" s="47" t="n">
        <x:v>0.9021884418079913</x:v>
      </x:c>
      <x:c r="P1250" s="47" t="n">
        <x:v>0.4988407761348176</x:v>
      </x:c>
      <x:c r="Q1250" s="47" t="n">
        <x:v>1</x:v>
      </x:c>
      <x:c r="R1250" s="47" t="n">
        <x:v>0.8792180777886135</x:v>
      </x:c>
      <x:c r="S1250" s="27" t="n">
        <x:v>0</x:v>
      </x:c>
    </x:row>
    <x:row r="1251" ht="21.600000381469727" hidden="0" customHeight="1">
      <x:c r="A1251" s="29" t="n">
        <x:v>416</x:v>
      </x:c>
      <x:c r="B1251" s="29" t="str">
        <x:v>A2</x:v>
      </x:c>
      <x:c r="C1251" s="48" t="n">
        <x:v>1.1132885563262398</x:v>
      </x:c>
      <x:c r="D1251" s="48" t="n">
        <x:v>0.9376748532651218</x:v>
      </x:c>
      <x:c r="E1251" s="48" t="n">
        <x:v>0.917665935781258</x:v>
      </x:c>
      <x:c r="F1251" s="48" t="n">
        <x:v>-0.018657448838475893</x:v>
      </x:c>
      <x:c r="G1251" s="48" t="n">
        <x:v>-0.09700312313907831</x:v>
      </x:c>
      <x:c r="H1251" s="48" t="n">
        <x:v>0.5711273572996376</x:v>
      </x:c>
      <x:c r="I1251" s="48" t="n">
        <x:v>0.8686820811390872</x:v>
      </x:c>
      <x:c r="J1251" s="48" t="n">
        <x:v>0.9601145355489836</x:v>
      </x:c>
      <x:c r="K1251" s="48" t="n">
        <x:v>0.8509184207472573</x:v>
      </x:c>
      <x:c r="L1251" s="48" t="n">
        <x:v>0.5574841002177999</x:v>
      </x:c>
      <x:c r="M1251" s="48" t="n">
        <x:v>0.1287200634261325</x:v>
      </x:c>
      <x:c r="N1251" s="48" t="n">
        <x:v>0.6610118519557833</x:v>
      </x:c>
      <x:c r="O1251" s="48" t="n">
        <x:v>0.9346111030094245</x:v>
      </x:c>
      <x:c r="P1251" s="48" t="n">
        <x:v>0.6300216384018619</x:v>
      </x:c>
      <x:c r="Q1251" s="48" t="n">
        <x:v>1</x:v>
      </x:c>
      <x:c r="R1251" s="48" t="n">
        <x:v>0.9192549754263162</x:v>
      </x:c>
      <x:c r="S1251" s="29" t="n">
        <x:v>0</x:v>
      </x:c>
    </x:row>
    <x:row r="1252" ht="21.600000381469727" hidden="0" customHeight="1">
      <x:c r="A1252" s="27" t="n">
        <x:v>416</x:v>
      </x:c>
      <x:c r="B1252" s="27" t="str">
        <x:v>A3</x:v>
      </x:c>
      <x:c r="C1252" s="47" t="n">
        <x:v>1.1132885563262398</x:v>
      </x:c>
      <x:c r="D1252" s="47" t="n">
        <x:v>0.9376748532651218</x:v>
      </x:c>
      <x:c r="E1252" s="47" t="n">
        <x:v>0.917665935781258</x:v>
      </x:c>
      <x:c r="F1252" s="47" t="n">
        <x:v>-0.018657448838475893</x:v>
      </x:c>
      <x:c r="G1252" s="47" t="n">
        <x:v>-0.09700312313907831</x:v>
      </x:c>
      <x:c r="H1252" s="47" t="n">
        <x:v>0.5711273572996376</x:v>
      </x:c>
      <x:c r="I1252" s="47" t="n">
        <x:v>0.8686820811390872</x:v>
      </x:c>
      <x:c r="J1252" s="47" t="n">
        <x:v>0.9601145355489836</x:v>
      </x:c>
      <x:c r="K1252" s="47" t="n">
        <x:v>0.8509184207472573</x:v>
      </x:c>
      <x:c r="L1252" s="47" t="n">
        <x:v>0.5574841002177999</x:v>
      </x:c>
      <x:c r="M1252" s="47" t="n">
        <x:v>0.1287200634261325</x:v>
      </x:c>
      <x:c r="N1252" s="47" t="n">
        <x:v>0.6610118519557833</x:v>
      </x:c>
      <x:c r="O1252" s="47" t="n">
        <x:v>1</x:v>
      </x:c>
      <x:c r="P1252" s="47" t="n">
        <x:v>1</x:v>
      </x:c>
      <x:c r="Q1252" s="47" t="n">
        <x:v>1</x:v>
      </x:c>
      <x:c r="R1252" s="47" t="n">
        <x:v>1</x:v>
      </x:c>
      <x:c r="S1252" s="27" t="n">
        <x:v>1</x:v>
      </x:c>
    </x:row>
    <x:row r="1253" ht="21.600000381469727" hidden="0" customHeight="1">
      <x:c r="A1253" s="29" t="n">
        <x:v>417</x:v>
      </x:c>
      <x:c r="B1253" s="29" t="str">
        <x:v>A1</x:v>
      </x:c>
      <x:c r="C1253" s="48" t="n">
        <x:v>1.1753765901525721</x:v>
      </x:c>
      <x:c r="D1253" s="48" t="n">
        <x:v>0.8507378659443001</x:v>
      </x:c>
      <x:c r="E1253" s="48" t="n">
        <x:v>0.8827693243271572</x:v>
      </x:c>
      <x:c r="F1253" s="48" t="n">
        <x:v>-0.16197930797688015</x:v>
      </x:c>
      <x:c r="G1253" s="48" t="n">
        <x:v>-0.1471246205465503</x:v>
      </x:c>
      <x:c r="H1253" s="48" t="n">
        <x:v>0.5678519656587838</x:v>
      </x:c>
      <x:c r="I1253" s="48" t="n">
        <x:v>0.7540093811628025</x:v>
      </x:c>
      <x:c r="J1253" s="48" t="n">
        <x:v>0.6210531499755966</x:v>
      </x:c>
      <x:c r="K1253" s="48" t="n">
        <x:v>0.6002973045526165</x:v>
      </x:c>
      <x:c r="L1253" s="48" t="n">
        <x:v>0.7542501731803688</x:v>
      </x:c>
      <x:c r="M1253" s="48" t="n">
        <x:v>0.0735826232241149</x:v>
      </x:c>
      <x:c r="N1253" s="48" t="n">
        <x:v>0.8432326818091164</x:v>
      </x:c>
      <x:c r="O1253" s="48" t="n">
        <x:v>0.8098033571277679</x:v>
      </x:c>
      <x:c r="P1253" s="48" t="n">
        <x:v>0.5440454355825072</x:v>
      </x:c>
      <x:c r="Q1253" s="48" t="n">
        <x:v>1</x:v>
      </x:c>
      <x:c r="R1253" s="48" t="n">
        <x:v>0.7651369986442189</x:v>
      </x:c>
      <x:c r="S1253" s="29" t="n">
        <x:v>0</x:v>
      </x:c>
    </x:row>
    <x:row r="1254" ht="21.600000381469727" hidden="0" customHeight="1">
      <x:c r="A1254" s="27" t="n">
        <x:v>417</x:v>
      </x:c>
      <x:c r="B1254" s="27" t="str">
        <x:v>A2</x:v>
      </x:c>
      <x:c r="C1254" s="47" t="n">
        <x:v>1.1753765901525721</x:v>
      </x:c>
      <x:c r="D1254" s="47" t="n">
        <x:v>0.8507378659443001</x:v>
      </x:c>
      <x:c r="E1254" s="47" t="n">
        <x:v>0.8827693243271572</x:v>
      </x:c>
      <x:c r="F1254" s="47" t="n">
        <x:v>-0.16197930797688015</x:v>
      </x:c>
      <x:c r="G1254" s="47" t="n">
        <x:v>-0.1471246205465503</x:v>
      </x:c>
      <x:c r="H1254" s="47" t="n">
        <x:v>0.5678519656587838</x:v>
      </x:c>
      <x:c r="I1254" s="47" t="n">
        <x:v>0.7540093811628025</x:v>
      </x:c>
      <x:c r="J1254" s="47" t="n">
        <x:v>0.6210531499755966</x:v>
      </x:c>
      <x:c r="K1254" s="47" t="n">
        <x:v>0.6002973045526165</x:v>
      </x:c>
      <x:c r="L1254" s="47" t="n">
        <x:v>0.7542501731803688</x:v>
      </x:c>
      <x:c r="M1254" s="47" t="n">
        <x:v>0.0735826232241149</x:v>
      </x:c>
      <x:c r="N1254" s="47" t="n">
        <x:v>0.8432326818091164</x:v>
      </x:c>
      <x:c r="O1254" s="47" t="n">
        <x:v>0.8954584847712732</x:v>
      </x:c>
      <x:c r="P1254" s="47" t="n">
        <x:v>0.5654206978615377</x:v>
      </x:c>
      <x:c r="Q1254" s="47" t="n">
        <x:v>1</x:v>
      </x:c>
      <x:c r="R1254" s="47" t="n">
        <x:v>0.870907637158487</x:v>
      </x:c>
      <x:c r="S1254" s="27" t="n">
        <x:v>0</x:v>
      </x:c>
    </x:row>
    <x:row r="1255" ht="21.600000381469727" hidden="0" customHeight="1">
      <x:c r="A1255" s="29" t="n">
        <x:v>417</x:v>
      </x:c>
      <x:c r="B1255" s="29" t="str">
        <x:v>A3</x:v>
      </x:c>
      <x:c r="C1255" s="48" t="n">
        <x:v>1.1753765901525721</x:v>
      </x:c>
      <x:c r="D1255" s="48" t="n">
        <x:v>0.8507378659443001</x:v>
      </x:c>
      <x:c r="E1255" s="48" t="n">
        <x:v>0.8827693243271572</x:v>
      </x:c>
      <x:c r="F1255" s="48" t="n">
        <x:v>-0.16197930797688015</x:v>
      </x:c>
      <x:c r="G1255" s="48" t="n">
        <x:v>-0.1471246205465503</x:v>
      </x:c>
      <x:c r="H1255" s="48" t="n">
        <x:v>0.5678519656587838</x:v>
      </x:c>
      <x:c r="I1255" s="48" t="n">
        <x:v>0.7540093811628025</x:v>
      </x:c>
      <x:c r="J1255" s="48" t="n">
        <x:v>0.6210531499755966</x:v>
      </x:c>
      <x:c r="K1255" s="48" t="n">
        <x:v>0.6002973045526165</x:v>
      </x:c>
      <x:c r="L1255" s="48" t="n">
        <x:v>0.7542501731803688</x:v>
      </x:c>
      <x:c r="M1255" s="48" t="n">
        <x:v>0.0735826232241149</x:v>
      </x:c>
      <x:c r="N1255" s="48" t="n">
        <x:v>0.8432326818091164</x:v>
      </x:c>
      <x:c r="O1255" s="48" t="n">
        <x:v>1</x:v>
      </x:c>
      <x:c r="P1255" s="48" t="n">
        <x:v>1</x:v>
      </x:c>
      <x:c r="Q1255" s="48" t="n">
        <x:v>1</x:v>
      </x:c>
      <x:c r="R1255" s="48" t="n">
        <x:v>1</x:v>
      </x:c>
      <x:c r="S1255" s="29" t="n">
        <x:v>1</x:v>
      </x:c>
    </x:row>
    <x:row r="1256" ht="21.600000381469727" hidden="0" customHeight="1">
      <x:c r="A1256" s="27" t="n">
        <x:v>418</x:v>
      </x:c>
      <x:c r="B1256" s="27" t="str">
        <x:v>A1</x:v>
      </x:c>
      <x:c r="C1256" s="47" t="n">
        <x:v>1.1857492309914455</x:v>
      </x:c>
      <x:c r="D1256" s="47" t="n">
        <x:v>0.8716751062861285</x:v>
      </x:c>
      <x:c r="E1256" s="47" t="n">
        <x:v>0.5497655170327124</x:v>
      </x:c>
      <x:c r="F1256" s="47" t="n">
        <x:v>0.0026876461933338647</x:v>
      </x:c>
      <x:c r="G1256" s="47" t="n">
        <x:v>-0.002462126043224294</x:v>
      </x:c>
      <x:c r="H1256" s="47" t="n">
        <x:v>0.30592038459116605</x:v>
      </x:c>
      <x:c r="I1256" s="47" t="n">
        <x:v>1.0112787900810216</x:v>
      </x:c>
      <x:c r="J1256" s="47" t="n">
        <x:v>0.42575003787509563</x:v>
      </x:c>
      <x:c r="K1256" s="47" t="n">
        <x:v>0.9915349012851593</x:v>
      </x:c>
      <x:c r="L1256" s="47" t="n">
        <x:v>0.559078803255694</x:v>
      </x:c>
      <x:c r="M1256" s="47" t="n">
        <x:v>0.16395390817067604</x:v>
      </x:c>
      <x:c r="N1256" s="47" t="n">
        <x:v>0.8494663007158785</x:v>
      </x:c>
      <x:c r="O1256" s="47" t="n">
        <x:v>0.7828438526231272</x:v>
      </x:c>
      <x:c r="P1256" s="47" t="n">
        <x:v>0.4608822277388891</x:v>
      </x:c>
      <x:c r="Q1256" s="47" t="n">
        <x:v>0.9489379447865266</x:v>
      </x:c>
      <x:c r="R1256" s="47" t="n">
        <x:v>0.7322254724538825</x:v>
      </x:c>
      <x:c r="S1256" s="27" t="n">
        <x:v>0</x:v>
      </x:c>
    </x:row>
    <x:row r="1257" ht="21.600000381469727" hidden="0" customHeight="1">
      <x:c r="A1257" s="29" t="n">
        <x:v>418</x:v>
      </x:c>
      <x:c r="B1257" s="29" t="str">
        <x:v>A2</x:v>
      </x:c>
      <x:c r="C1257" s="48" t="n">
        <x:v>1.1857492309914455</x:v>
      </x:c>
      <x:c r="D1257" s="48" t="n">
        <x:v>0.8716751062861285</x:v>
      </x:c>
      <x:c r="E1257" s="48" t="n">
        <x:v>0.5497655170327124</x:v>
      </x:c>
      <x:c r="F1257" s="48" t="n">
        <x:v>0.0026876461933338647</x:v>
      </x:c>
      <x:c r="G1257" s="48" t="n">
        <x:v>-0.002462126043224294</x:v>
      </x:c>
      <x:c r="H1257" s="48" t="n">
        <x:v>0.30592038459116605</x:v>
      </x:c>
      <x:c r="I1257" s="48" t="n">
        <x:v>1.0112787900810216</x:v>
      </x:c>
      <x:c r="J1257" s="48" t="n">
        <x:v>0.42575003787509563</x:v>
      </x:c>
      <x:c r="K1257" s="48" t="n">
        <x:v>0.9915349012851593</x:v>
      </x:c>
      <x:c r="L1257" s="48" t="n">
        <x:v>0.559078803255694</x:v>
      </x:c>
      <x:c r="M1257" s="48" t="n">
        <x:v>0.16395390817067604</x:v>
      </x:c>
      <x:c r="N1257" s="48" t="n">
        <x:v>0.8494663007158785</x:v>
      </x:c>
      <x:c r="O1257" s="48" t="n">
        <x:v>0.8676598746485173</x:v>
      </x:c>
      <x:c r="P1257" s="48" t="n">
        <x:v>0.6283513983609994</x:v>
      </x:c>
      <x:c r="Q1257" s="48" t="n">
        <x:v>1</x:v>
      </x:c>
      <x:c r="R1257" s="48" t="n">
        <x:v>0.836580716828271</x:v>
      </x:c>
      <x:c r="S1257" s="29" t="n">
        <x:v>0</x:v>
      </x:c>
    </x:row>
    <x:row r="1258" ht="21.600000381469727" hidden="0" customHeight="1">
      <x:c r="A1258" s="27" t="n">
        <x:v>418</x:v>
      </x:c>
      <x:c r="B1258" s="27" t="str">
        <x:v>A3</x:v>
      </x:c>
      <x:c r="C1258" s="47" t="n">
        <x:v>1.1857492309914455</x:v>
      </x:c>
      <x:c r="D1258" s="47" t="n">
        <x:v>0.8716751062861285</x:v>
      </x:c>
      <x:c r="E1258" s="47" t="n">
        <x:v>0.5497655170327124</x:v>
      </x:c>
      <x:c r="F1258" s="47" t="n">
        <x:v>0.0026876461933338647</x:v>
      </x:c>
      <x:c r="G1258" s="47" t="n">
        <x:v>-0.002462126043224294</x:v>
      </x:c>
      <x:c r="H1258" s="47" t="n">
        <x:v>0.30592038459116605</x:v>
      </x:c>
      <x:c r="I1258" s="47" t="n">
        <x:v>1.0112787900810216</x:v>
      </x:c>
      <x:c r="J1258" s="47" t="n">
        <x:v>0.42575003787509563</x:v>
      </x:c>
      <x:c r="K1258" s="47" t="n">
        <x:v>0.9915349012851593</x:v>
      </x:c>
      <x:c r="L1258" s="47" t="n">
        <x:v>0.559078803255694</x:v>
      </x:c>
      <x:c r="M1258" s="47" t="n">
        <x:v>0.16395390817067604</x:v>
      </x:c>
      <x:c r="N1258" s="47" t="n">
        <x:v>0.8494663007158785</x:v>
      </x:c>
      <x:c r="O1258" s="47" t="n">
        <x:v>1</x:v>
      </x:c>
      <x:c r="P1258" s="47" t="n">
        <x:v>1</x:v>
      </x:c>
      <x:c r="Q1258" s="47" t="n">
        <x:v>1</x:v>
      </x:c>
      <x:c r="R1258" s="47" t="n">
        <x:v>1</x:v>
      </x:c>
      <x:c r="S1258" s="27" t="n">
        <x:v>1</x:v>
      </x:c>
    </x:row>
    <x:row r="1259" ht="21.600000381469727" hidden="0" customHeight="1">
      <x:c r="A1259" s="29" t="n">
        <x:v>419</x:v>
      </x:c>
      <x:c r="B1259" s="29" t="str">
        <x:v>A1</x:v>
      </x:c>
      <x:c r="C1259" s="48" t="n">
        <x:v>1.0158287857560024</x:v>
      </x:c>
      <x:c r="D1259" s="48" t="n">
        <x:v>0.9150771102289411</x:v>
      </x:c>
      <x:c r="E1259" s="48" t="n">
        <x:v>0.5214839065232755</x:v>
      </x:c>
      <x:c r="F1259" s="48" t="n">
        <x:v>-0.1811707158145073</x:v>
      </x:c>
      <x:c r="G1259" s="48" t="n">
        <x:v>-0.12927593604836812</x:v>
      </x:c>
      <x:c r="H1259" s="48" t="n">
        <x:v>1.0727706638855559</x:v>
      </x:c>
      <x:c r="I1259" s="48" t="n">
        <x:v>0.9203891782419024</x:v>
      </x:c>
      <x:c r="J1259" s="48" t="n">
        <x:v>0.8173695631985508</x:v>
      </x:c>
      <x:c r="K1259" s="48" t="n">
        <x:v>0.968909449233113</x:v>
      </x:c>
      <x:c r="L1259" s="48" t="n">
        <x:v>0.7830235979461566</x:v>
      </x:c>
      <x:c r="M1259" s="48" t="n">
        <x:v>0.10844164842963669</x:v>
      </x:c>
      <x:c r="N1259" s="48" t="n">
        <x:v>0.7705785047850799</x:v>
      </x:c>
      <x:c r="O1259" s="48" t="n">
        <x:v>0.9286965885532877</x:v>
      </x:c>
      <x:c r="P1259" s="48" t="n">
        <x:v>0.7093831094109765</x:v>
      </x:c>
      <x:c r="Q1259" s="48" t="n">
        <x:v>1</x:v>
      </x:c>
      <x:c r="R1259" s="48" t="n">
        <x:v>0.9119514783942283</x:v>
      </x:c>
      <x:c r="S1259" s="29" t="n">
        <x:v>0</x:v>
      </x:c>
    </x:row>
    <x:row r="1260" ht="21.600000381469727" hidden="0" customHeight="1">
      <x:c r="A1260" s="27" t="n">
        <x:v>419</x:v>
      </x:c>
      <x:c r="B1260" s="27" t="str">
        <x:v>A2</x:v>
      </x:c>
      <x:c r="C1260" s="47" t="n">
        <x:v>1.0158287857560024</x:v>
      </x:c>
      <x:c r="D1260" s="47" t="n">
        <x:v>0.9150771102289411</x:v>
      </x:c>
      <x:c r="E1260" s="47" t="n">
        <x:v>0.5214839065232755</x:v>
      </x:c>
      <x:c r="F1260" s="47" t="n">
        <x:v>-0.1811707158145073</x:v>
      </x:c>
      <x:c r="G1260" s="47" t="n">
        <x:v>-0.12927593604836812</x:v>
      </x:c>
      <x:c r="H1260" s="47" t="n">
        <x:v>1.0727706638855559</x:v>
      </x:c>
      <x:c r="I1260" s="47" t="n">
        <x:v>0.9203891782419024</x:v>
      </x:c>
      <x:c r="J1260" s="47" t="n">
        <x:v>0.8173695631985508</x:v>
      </x:c>
      <x:c r="K1260" s="47" t="n">
        <x:v>0.968909449233113</x:v>
      </x:c>
      <x:c r="L1260" s="47" t="n">
        <x:v>0.7830235979461566</x:v>
      </x:c>
      <x:c r="M1260" s="47" t="n">
        <x:v>0.10844164842963669</x:v>
      </x:c>
      <x:c r="N1260" s="47" t="n">
        <x:v>0.7705785047850799</x:v>
      </x:c>
      <x:c r="O1260" s="47" t="n">
        <x:v>0.9803504919942604</x:v>
      </x:c>
      <x:c r="P1260" s="47" t="n">
        <x:v>0.8035049199426039</x:v>
      </x:c>
      <x:c r="Q1260" s="47" t="n">
        <x:v>1</x:v>
      </x:c>
      <x:c r="R1260" s="47" t="n">
        <x:v>0.9757359417300935</x:v>
      </x:c>
      <x:c r="S1260" s="27" t="n">
        <x:v>0</x:v>
      </x:c>
    </x:row>
    <x:row r="1261" ht="21.600000381469727" hidden="0" customHeight="1">
      <x:c r="A1261" s="29" t="n">
        <x:v>419</x:v>
      </x:c>
      <x:c r="B1261" s="29" t="str">
        <x:v>A3</x:v>
      </x:c>
      <x:c r="C1261" s="48" t="n">
        <x:v>1.0158287857560024</x:v>
      </x:c>
      <x:c r="D1261" s="48" t="n">
        <x:v>0.9150771102289411</x:v>
      </x:c>
      <x:c r="E1261" s="48" t="n">
        <x:v>0.5214839065232755</x:v>
      </x:c>
      <x:c r="F1261" s="48" t="n">
        <x:v>-0.1811707158145073</x:v>
      </x:c>
      <x:c r="G1261" s="48" t="n">
        <x:v>-0.12927593604836812</x:v>
      </x:c>
      <x:c r="H1261" s="48" t="n">
        <x:v>1.0727706638855559</x:v>
      </x:c>
      <x:c r="I1261" s="48" t="n">
        <x:v>0.9203891782419024</x:v>
      </x:c>
      <x:c r="J1261" s="48" t="n">
        <x:v>0.8173695631985508</x:v>
      </x:c>
      <x:c r="K1261" s="48" t="n">
        <x:v>0.968909449233113</x:v>
      </x:c>
      <x:c r="L1261" s="48" t="n">
        <x:v>0.7830235979461566</x:v>
      </x:c>
      <x:c r="M1261" s="48" t="n">
        <x:v>0.10844164842963669</x:v>
      </x:c>
      <x:c r="N1261" s="48" t="n">
        <x:v>0.7705785047850799</x:v>
      </x:c>
      <x:c r="O1261" s="48" t="n">
        <x:v>1</x:v>
      </x:c>
      <x:c r="P1261" s="48" t="n">
        <x:v>1</x:v>
      </x:c>
      <x:c r="Q1261" s="48" t="n">
        <x:v>1</x:v>
      </x:c>
      <x:c r="R1261" s="48" t="n">
        <x:v>1.0000000000000002</x:v>
      </x:c>
      <x:c r="S1261" s="29" t="n">
        <x:v>1</x:v>
      </x:c>
    </x:row>
    <x:row r="1262" ht="21.600000381469727" hidden="0" customHeight="1">
      <x:c r="A1262" s="27" t="n">
        <x:v>420</x:v>
      </x:c>
      <x:c r="B1262" s="27" t="str">
        <x:v>A1</x:v>
      </x:c>
      <x:c r="C1262" s="47" t="n">
        <x:v>1.2801443636408039</x:v>
      </x:c>
      <x:c r="D1262" s="47" t="n">
        <x:v>0.7376996059545182</x:v>
      </x:c>
      <x:c r="E1262" s="47" t="n">
        <x:v>0.6218009176886847</x:v>
      </x:c>
      <x:c r="F1262" s="47" t="n">
        <x:v>-0.025645994285120544</x:v>
      </x:c>
      <x:c r="G1262" s="47" t="n">
        <x:v>-0.12149765972174938</x:v>
      </x:c>
      <x:c r="H1262" s="47" t="n">
        <x:v>0.32071503674806034</x:v>
      </x:c>
      <x:c r="I1262" s="47" t="n">
        <x:v>0.7139168313363107</x:v>
      </x:c>
      <x:c r="J1262" s="47" t="n">
        <x:v>0.6600191427797963</x:v>
      </x:c>
      <x:c r="K1262" s="47" t="n">
        <x:v>0.5949292933527428</x:v>
      </x:c>
      <x:c r="L1262" s="47" t="n">
        <x:v>0.7677572623039484</x:v>
      </x:c>
      <x:c r="M1262" s="47" t="n">
        <x:v>0.10226108024126863</x:v>
      </x:c>
      <x:c r="N1262" s="47" t="n">
        <x:v>0.6988888796915884</x:v>
      </x:c>
      <x:c r="O1262" s="47" t="n">
        <x:v>0.6958823565828092</x:v>
      </x:c>
      <x:c r="P1262" s="47" t="n">
        <x:v>0.43954369742097693</x:v>
      </x:c>
      <x:c r="Q1262" s="47" t="n">
        <x:v>0.8904236085948029</x:v>
      </x:c>
      <x:c r="R1262" s="47" t="n">
        <x:v>0.6312508304238176</x:v>
      </x:c>
      <x:c r="S1262" s="27" t="n">
        <x:v>0</x:v>
      </x:c>
    </x:row>
    <x:row r="1263" ht="21.600000381469727" hidden="0" customHeight="1">
      <x:c r="A1263" s="29" t="n">
        <x:v>420</x:v>
      </x:c>
      <x:c r="B1263" s="29" t="str">
        <x:v>A2</x:v>
      </x:c>
      <x:c r="C1263" s="48" t="n">
        <x:v>1.2801443636408039</x:v>
      </x:c>
      <x:c r="D1263" s="48" t="n">
        <x:v>0.7376996059545182</x:v>
      </x:c>
      <x:c r="E1263" s="48" t="n">
        <x:v>0.6218009176886847</x:v>
      </x:c>
      <x:c r="F1263" s="48" t="n">
        <x:v>-0.025645994285120544</x:v>
      </x:c>
      <x:c r="G1263" s="48" t="n">
        <x:v>-0.12149765972174938</x:v>
      </x:c>
      <x:c r="H1263" s="48" t="n">
        <x:v>0.32071503674806034</x:v>
      </x:c>
      <x:c r="I1263" s="48" t="n">
        <x:v>0.7139168313363107</x:v>
      </x:c>
      <x:c r="J1263" s="48" t="n">
        <x:v>0.6600191427797963</x:v>
      </x:c>
      <x:c r="K1263" s="48" t="n">
        <x:v>0.5949292933527428</x:v>
      </x:c>
      <x:c r="L1263" s="48" t="n">
        <x:v>0.7677572623039484</x:v>
      </x:c>
      <x:c r="M1263" s="48" t="n">
        <x:v>0.10226108024126863</x:v>
      </x:c>
      <x:c r="N1263" s="48" t="n">
        <x:v>0.6988888796915884</x:v>
      </x:c>
      <x:c r="O1263" s="48" t="n">
        <x:v>0.756153994450957</x:v>
      </x:c>
      <x:c r="P1263" s="48" t="n">
        <x:v>0.428255939631541</x:v>
      </x:c>
      <x:c r="Q1263" s="48" t="n">
        <x:v>1</x:v>
      </x:c>
      <x:c r="R1263" s="48" t="n">
        <x:v>0.6988884563523078</x:v>
      </x:c>
      <x:c r="S1263" s="29" t="n">
        <x:v>0</x:v>
      </x:c>
    </x:row>
    <x:row r="1264" ht="21.600000381469727" hidden="0" customHeight="1">
      <x:c r="A1264" s="27" t="n">
        <x:v>420</x:v>
      </x:c>
      <x:c r="B1264" s="27" t="str">
        <x:v>A3</x:v>
      </x:c>
      <x:c r="C1264" s="47" t="n">
        <x:v>1.2801443636408039</x:v>
      </x:c>
      <x:c r="D1264" s="47" t="n">
        <x:v>0.7376996059545182</x:v>
      </x:c>
      <x:c r="E1264" s="47" t="n">
        <x:v>0.6218009176886847</x:v>
      </x:c>
      <x:c r="F1264" s="47" t="n">
        <x:v>-0.025645994285120544</x:v>
      </x:c>
      <x:c r="G1264" s="47" t="n">
        <x:v>-0.12149765972174938</x:v>
      </x:c>
      <x:c r="H1264" s="47" t="n">
        <x:v>0.32071503674806034</x:v>
      </x:c>
      <x:c r="I1264" s="47" t="n">
        <x:v>0.7139168313363107</x:v>
      </x:c>
      <x:c r="J1264" s="47" t="n">
        <x:v>0.6600191427797963</x:v>
      </x:c>
      <x:c r="K1264" s="47" t="n">
        <x:v>0.5949292933527428</x:v>
      </x:c>
      <x:c r="L1264" s="47" t="n">
        <x:v>0.7677572623039484</x:v>
      </x:c>
      <x:c r="M1264" s="47" t="n">
        <x:v>0.10226108024126863</x:v>
      </x:c>
      <x:c r="N1264" s="47" t="n">
        <x:v>0.6988888796915884</x:v>
      </x:c>
      <x:c r="O1264" s="47" t="n">
        <x:v>1</x:v>
      </x:c>
      <x:c r="P1264" s="47" t="n">
        <x:v>1</x:v>
      </x:c>
      <x:c r="Q1264" s="47" t="n">
        <x:v>1</x:v>
      </x:c>
      <x:c r="R1264" s="47" t="n">
        <x:v>1</x:v>
      </x:c>
      <x:c r="S1264" s="27" t="n">
        <x:v>1</x:v>
      </x:c>
    </x:row>
    <x:row r="1265" ht="21.600000381469727" hidden="0" customHeight="1">
      <x:c r="A1265" s="29" t="n">
        <x:v>421</x:v>
      </x:c>
      <x:c r="B1265" s="29" t="str">
        <x:v>A1</x:v>
      </x:c>
      <x:c r="C1265" s="48" t="n">
        <x:v>0.9831889631762434</x:v>
      </x:c>
      <x:c r="D1265" s="48" t="n">
        <x:v>0.9982316561276259</x:v>
      </x:c>
      <x:c r="E1265" s="48" t="n">
        <x:v>0.6749965546175618</x:v>
      </x:c>
      <x:c r="F1265" s="48" t="n">
        <x:v>-0.1561271035575757</x:v>
      </x:c>
      <x:c r="G1265" s="48" t="n">
        <x:v>-0.16034558805413496</x:v>
      </x:c>
      <x:c r="H1265" s="48" t="n">
        <x:v>0.3627572889120779</x:v>
      </x:c>
      <x:c r="I1265" s="48" t="n">
        <x:v>0.8201250288129459</x:v>
      </x:c>
      <x:c r="J1265" s="48" t="n">
        <x:v>0.4061340802407031</x:v>
      </x:c>
      <x:c r="K1265" s="48" t="n">
        <x:v>0.5779974240619409</x:v>
      </x:c>
      <x:c r="L1265" s="48" t="n">
        <x:v>0.9904364998012497</x:v>
      </x:c>
      <x:c r="M1265" s="48" t="n">
        <x:v>0.15713426147272563</x:v>
      </x:c>
      <x:c r="N1265" s="48" t="n">
        <x:v>0.6836365766283086</x:v>
      </x:c>
      <x:c r="O1265" s="48" t="n">
        <x:v>0.9150276267673267</x:v>
      </x:c>
      <x:c r="P1265" s="48" t="n">
        <x:v>0.7200084923504112</x:v>
      </x:c>
      <x:c r="Q1265" s="48" t="n">
        <x:v>1</x:v>
      </x:c>
      <x:c r="R1265" s="48" t="n">
        <x:v>0.8950724560203955</x:v>
      </x:c>
      <x:c r="S1265" s="29" t="n">
        <x:v>0</x:v>
      </x:c>
    </x:row>
    <x:row r="1266" ht="21.600000381469727" hidden="0" customHeight="1">
      <x:c r="A1266" s="27" t="n">
        <x:v>421</x:v>
      </x:c>
      <x:c r="B1266" s="27" t="str">
        <x:v>A2</x:v>
      </x:c>
      <x:c r="C1266" s="47" t="n">
        <x:v>0.9831889631762434</x:v>
      </x:c>
      <x:c r="D1266" s="47" t="n">
        <x:v>0.9982316561276259</x:v>
      </x:c>
      <x:c r="E1266" s="47" t="n">
        <x:v>0.6749965546175618</x:v>
      </x:c>
      <x:c r="F1266" s="47" t="n">
        <x:v>-0.1561271035575757</x:v>
      </x:c>
      <x:c r="G1266" s="47" t="n">
        <x:v>-0.16034558805413496</x:v>
      </x:c>
      <x:c r="H1266" s="47" t="n">
        <x:v>0.3627572889120779</x:v>
      </x:c>
      <x:c r="I1266" s="47" t="n">
        <x:v>0.8201250288129459</x:v>
      </x:c>
      <x:c r="J1266" s="47" t="n">
        <x:v>0.4061340802407031</x:v>
      </x:c>
      <x:c r="K1266" s="47" t="n">
        <x:v>0.5779974240619409</x:v>
      </x:c>
      <x:c r="L1266" s="47" t="n">
        <x:v>0.9904364998012497</x:v>
      </x:c>
      <x:c r="M1266" s="47" t="n">
        <x:v>0.15713426147272563</x:v>
      </x:c>
      <x:c r="N1266" s="47" t="n">
        <x:v>0.6836365766283086</x:v>
      </x:c>
      <x:c r="O1266" s="47" t="n">
        <x:v>0.9898901563753032</x:v>
      </x:c>
      <x:c r="P1266" s="47" t="n">
        <x:v>0.9349578099586815</x:v>
      </x:c>
      <x:c r="Q1266" s="47" t="n">
        <x:v>1</x:v>
      </x:c>
      <x:c r="R1266" s="47" t="n">
        <x:v>0.9875159299287477</x:v>
      </x:c>
      <x:c r="S1266" s="27" t="n">
        <x:v>0</x:v>
      </x:c>
    </x:row>
    <x:row r="1267" ht="21.600000381469727" hidden="0" customHeight="1">
      <x:c r="A1267" s="29" t="n">
        <x:v>421</x:v>
      </x:c>
      <x:c r="B1267" s="29" t="str">
        <x:v>A3</x:v>
      </x:c>
      <x:c r="C1267" s="48" t="n">
        <x:v>0.9831889631762434</x:v>
      </x:c>
      <x:c r="D1267" s="48" t="n">
        <x:v>0.9982316561276259</x:v>
      </x:c>
      <x:c r="E1267" s="48" t="n">
        <x:v>0.6749965546175618</x:v>
      </x:c>
      <x:c r="F1267" s="48" t="n">
        <x:v>-0.1561271035575757</x:v>
      </x:c>
      <x:c r="G1267" s="48" t="n">
        <x:v>-0.16034558805413496</x:v>
      </x:c>
      <x:c r="H1267" s="48" t="n">
        <x:v>0.3627572889120779</x:v>
      </x:c>
      <x:c r="I1267" s="48" t="n">
        <x:v>0.8201250288129459</x:v>
      </x:c>
      <x:c r="J1267" s="48" t="n">
        <x:v>0.4061340802407031</x:v>
      </x:c>
      <x:c r="K1267" s="48" t="n">
        <x:v>0.5779974240619409</x:v>
      </x:c>
      <x:c r="L1267" s="48" t="n">
        <x:v>0.9904364998012497</x:v>
      </x:c>
      <x:c r="M1267" s="48" t="n">
        <x:v>0.15713426147272563</x:v>
      </x:c>
      <x:c r="N1267" s="48" t="n">
        <x:v>0.6836365766283086</x:v>
      </x:c>
      <x:c r="O1267" s="48" t="n">
        <x:v>1</x:v>
      </x:c>
      <x:c r="P1267" s="48" t="n">
        <x:v>1</x:v>
      </x:c>
      <x:c r="Q1267" s="48" t="n">
        <x:v>1</x:v>
      </x:c>
      <x:c r="R1267" s="48" t="n">
        <x:v>1</x:v>
      </x:c>
      <x:c r="S1267" s="29" t="n">
        <x:v>1</x:v>
      </x:c>
    </x:row>
    <x:row r="1268" ht="21.600000381469727" hidden="0" customHeight="1">
      <x:c r="A1268" s="27" t="n">
        <x:v>422</x:v>
      </x:c>
      <x:c r="B1268" s="27" t="str">
        <x:v>A1</x:v>
      </x:c>
      <x:c r="C1268" s="47" t="n">
        <x:v>1.1678645624369886</x:v>
      </x:c>
      <x:c r="D1268" s="47" t="n">
        <x:v>0.771123262227162</x:v>
      </x:c>
      <x:c r="E1268" s="47" t="n">
        <x:v>0.5281374997845177</x:v>
      </x:c>
      <x:c r="F1268" s="47" t="n">
        <x:v>-0.16166984423577122</x:v>
      </x:c>
      <x:c r="G1268" s="47" t="n">
        <x:v>-0.10079983273734044</x:v>
      </x:c>
      <x:c r="H1268" s="47" t="n">
        <x:v>1.0326729284455063</x:v>
      </x:c>
      <x:c r="I1268" s="47" t="n">
        <x:v>0.6753002143347814</x:v>
      </x:c>
      <x:c r="J1268" s="47" t="n">
        <x:v>0.846611157519763</x:v>
      </x:c>
      <x:c r="K1268" s="47" t="n">
        <x:v>0.5577678483913763</x:v>
      </x:c>
      <x:c r="L1268" s="47" t="n">
        <x:v>0.7842519206912464</x:v>
      </x:c>
      <x:c r="M1268" s="47" t="n">
        <x:v>0.06319309801061618</x:v>
      </x:c>
      <x:c r="N1268" s="47" t="n">
        <x:v>0.9181974607443077</x:v>
      </x:c>
      <x:c r="O1268" s="47" t="n">
        <x:v>0.7274403961072489</x:v>
      </x:c>
      <x:c r="P1268" s="47" t="n">
        <x:v>0.4196745746665202</x:v>
      </x:c>
      <x:c r="Q1268" s="47" t="n">
        <x:v>0.8910103778150383</x:v>
      </x:c>
      <x:c r="R1268" s="47" t="n">
        <x:v>0.6642411191418062</x:v>
      </x:c>
      <x:c r="S1268" s="27" t="n">
        <x:v>0</x:v>
      </x:c>
    </x:row>
    <x:row r="1269" ht="21.600000381469727" hidden="0" customHeight="1">
      <x:c r="A1269" s="29" t="n">
        <x:v>422</x:v>
      </x:c>
      <x:c r="B1269" s="29" t="str">
        <x:v>A2</x:v>
      </x:c>
      <x:c r="C1269" s="48" t="n">
        <x:v>1.1678645624369886</x:v>
      </x:c>
      <x:c r="D1269" s="48" t="n">
        <x:v>0.771123262227162</x:v>
      </x:c>
      <x:c r="E1269" s="48" t="n">
        <x:v>0.5281374997845177</x:v>
      </x:c>
      <x:c r="F1269" s="48" t="n">
        <x:v>-0.16166984423577122</x:v>
      </x:c>
      <x:c r="G1269" s="48" t="n">
        <x:v>-0.10079983273734044</x:v>
      </x:c>
      <x:c r="H1269" s="48" t="n">
        <x:v>1.0326729284455063</x:v>
      </x:c>
      <x:c r="I1269" s="48" t="n">
        <x:v>0.6753002143347814</x:v>
      </x:c>
      <x:c r="J1269" s="48" t="n">
        <x:v>0.846611157519763</x:v>
      </x:c>
      <x:c r="K1269" s="48" t="n">
        <x:v>0.5577678483913763</x:v>
      </x:c>
      <x:c r="L1269" s="48" t="n">
        <x:v>0.7842519206912464</x:v>
      </x:c>
      <x:c r="M1269" s="48" t="n">
        <x:v>0.06319309801061618</x:v>
      </x:c>
      <x:c r="N1269" s="48" t="n">
        <x:v>0.9181974607443077</x:v>
      </x:c>
      <x:c r="O1269" s="48" t="n">
        <x:v>0.7978351307474342</x:v>
      </x:c>
      <x:c r="P1269" s="48" t="n">
        <x:v>0.45663556395772725</x:v>
      </x:c>
      <x:c r="Q1269" s="48" t="n">
        <x:v>1</x:v>
      </x:c>
      <x:c r="R1269" s="48" t="n">
        <x:v>0.7503581175549302</x:v>
      </x:c>
      <x:c r="S1269" s="29" t="n">
        <x:v>0</x:v>
      </x:c>
    </x:row>
    <x:row r="1270" ht="21.600000381469727" hidden="0" customHeight="1">
      <x:c r="A1270" s="27" t="n">
        <x:v>422</x:v>
      </x:c>
      <x:c r="B1270" s="27" t="str">
        <x:v>A3</x:v>
      </x:c>
      <x:c r="C1270" s="47" t="n">
        <x:v>1.1678645624369886</x:v>
      </x:c>
      <x:c r="D1270" s="47" t="n">
        <x:v>0.771123262227162</x:v>
      </x:c>
      <x:c r="E1270" s="47" t="n">
        <x:v>0.5281374997845177</x:v>
      </x:c>
      <x:c r="F1270" s="47" t="n">
        <x:v>-0.16166984423577122</x:v>
      </x:c>
      <x:c r="G1270" s="47" t="n">
        <x:v>-0.10079983273734044</x:v>
      </x:c>
      <x:c r="H1270" s="47" t="n">
        <x:v>1.0326729284455063</x:v>
      </x:c>
      <x:c r="I1270" s="47" t="n">
        <x:v>0.6753002143347814</x:v>
      </x:c>
      <x:c r="J1270" s="47" t="n">
        <x:v>0.846611157519763</x:v>
      </x:c>
      <x:c r="K1270" s="47" t="n">
        <x:v>0.5577678483913763</x:v>
      </x:c>
      <x:c r="L1270" s="47" t="n">
        <x:v>0.7842519206912464</x:v>
      </x:c>
      <x:c r="M1270" s="47" t="n">
        <x:v>0.06319309801061618</x:v>
      </x:c>
      <x:c r="N1270" s="47" t="n">
        <x:v>0.9181974607443077</x:v>
      </x:c>
      <x:c r="O1270" s="47" t="n">
        <x:v>1</x:v>
      </x:c>
      <x:c r="P1270" s="47" t="n">
        <x:v>1</x:v>
      </x:c>
      <x:c r="Q1270" s="47" t="n">
        <x:v>1</x:v>
      </x:c>
      <x:c r="R1270" s="47" t="n">
        <x:v>1</x:v>
      </x:c>
      <x:c r="S1270" s="27" t="n">
        <x:v>1</x:v>
      </x:c>
    </x:row>
    <x:row r="1271" ht="15" hidden="0" customHeight="1">
      <x:c r="A1271" s="29" t="n">
        <x:v>423</x:v>
      </x:c>
      <x:c r="B1271" s="29" t="str">
        <x:v>A1</x:v>
      </x:c>
      <x:c r="C1271" s="48" t="n">
        <x:v>1.2309092027587656</x:v>
      </x:c>
      <x:c r="D1271" s="48" t="n">
        <x:v>0.8825345148979623</x:v>
      </x:c>
      <x:c r="E1271" s="48" t="n">
        <x:v>1.0692525018604442</x:v>
      </x:c>
      <x:c r="F1271" s="48" t="n">
        <x:v>-0.03288243959398285</x:v>
      </x:c>
      <x:c r="G1271" s="48" t="n">
        <x:v>-0.0883589597089338</x:v>
      </x:c>
      <x:c r="H1271" s="48" t="n">
        <x:v>0.8367264204670746</x:v>
      </x:c>
      <x:c r="I1271" s="48" t="n">
        <x:v>0.8750473295351716</x:v>
      </x:c>
      <x:c r="J1271" s="48" t="n">
        <x:v>0.4279940364988737</x:v>
      </x:c>
      <x:c r="K1271" s="48" t="n">
        <x:v>0.5513930789022701</x:v>
      </x:c>
      <x:c r="L1271" s="48" t="n">
        <x:v>0.6055175998931407</x:v>
      </x:c>
      <x:c r="M1271" s="48" t="n">
        <x:v>0.09335611369954089</x:v>
      </x:c>
      <x:c r="N1271" s="48" t="n">
        <x:v>0.7345426675836355</x:v>
      </x:c>
      <x:c r="O1271" s="48" t="n">
        <x:v>0.7891638684975055</x:v>
      </x:c>
      <x:c r="P1271" s="48" t="n">
        <x:v>0.5277773651260674</x:v>
      </x:c>
      <x:c r="Q1271" s="48" t="n">
        <x:v>1</x:v>
      </x:c>
      <x:c r="R1271" s="48" t="n">
        <x:v>0.7396504696868793</x:v>
      </x:c>
      <x:c r="S1271" s="29" t="n">
        <x:v>0</x:v>
      </x:c>
    </x:row>
    <x:row r="1272" ht="15" hidden="0" customHeight="1">
      <x:c r="A1272" s="27" t="n">
        <x:v>423</x:v>
      </x:c>
      <x:c r="B1272" s="27" t="str">
        <x:v>A2</x:v>
      </x:c>
      <x:c r="C1272" s="47" t="n">
        <x:v>1.2309092027587656</x:v>
      </x:c>
      <x:c r="D1272" s="47" t="n">
        <x:v>0.8825345148979623</x:v>
      </x:c>
      <x:c r="E1272" s="47" t="n">
        <x:v>1.0692525018604442</x:v>
      </x:c>
      <x:c r="F1272" s="47" t="n">
        <x:v>-0.03288243959398285</x:v>
      </x:c>
      <x:c r="G1272" s="47" t="n">
        <x:v>-0.0883589597089338</x:v>
      </x:c>
      <x:c r="H1272" s="47" t="n">
        <x:v>0.8367264204670746</x:v>
      </x:c>
      <x:c r="I1272" s="47" t="n">
        <x:v>0.8750473295351716</x:v>
      </x:c>
      <x:c r="J1272" s="47" t="n">
        <x:v>0.4279940364988737</x:v>
      </x:c>
      <x:c r="K1272" s="47" t="n">
        <x:v>0.5513930789022701</x:v>
      </x:c>
      <x:c r="L1272" s="47" t="n">
        <x:v>0.6055175998931407</x:v>
      </x:c>
      <x:c r="M1272" s="47" t="n">
        <x:v>0.09335611369954089</x:v>
      </x:c>
      <x:c r="N1272" s="47" t="n">
        <x:v>0.7345426675836355</x:v>
      </x:c>
      <x:c r="O1272" s="47" t="n">
        <x:v>0.8768995192802995</x:v>
      </x:c>
      <x:c r="P1272" s="47" t="n">
        <x:v>0.6649198529750189</x:v>
      </x:c>
      <x:c r="Q1272" s="47" t="n">
        <x:v>1</x:v>
      </x:c>
      <x:c r="R1272" s="47" t="n">
        <x:v>0.8479902277266256</x:v>
      </x:c>
      <x:c r="S1272" s="27" t="n">
        <x:v>0</x:v>
      </x:c>
    </x:row>
    <x:row r="1273" ht="15" hidden="0" customHeight="1">
      <x:c r="A1273" s="29" t="n">
        <x:v>423</x:v>
      </x:c>
      <x:c r="B1273" s="29" t="str">
        <x:v>A3</x:v>
      </x:c>
      <x:c r="C1273" s="48" t="n">
        <x:v>1.2309092027587656</x:v>
      </x:c>
      <x:c r="D1273" s="48" t="n">
        <x:v>0.8825345148979623</x:v>
      </x:c>
      <x:c r="E1273" s="48" t="n">
        <x:v>1.0692525018604442</x:v>
      </x:c>
      <x:c r="F1273" s="48" t="n">
        <x:v>-0.03288243959398285</x:v>
      </x:c>
      <x:c r="G1273" s="48" t="n">
        <x:v>-0.0883589597089338</x:v>
      </x:c>
      <x:c r="H1273" s="48" t="n">
        <x:v>0.8367264204670746</x:v>
      </x:c>
      <x:c r="I1273" s="48" t="n">
        <x:v>0.8750473295351716</x:v>
      </x:c>
      <x:c r="J1273" s="48" t="n">
        <x:v>0.4279940364988737</x:v>
      </x:c>
      <x:c r="K1273" s="48" t="n">
        <x:v>0.5513930789022701</x:v>
      </x:c>
      <x:c r="L1273" s="48" t="n">
        <x:v>0.6055175998931407</x:v>
      </x:c>
      <x:c r="M1273" s="48" t="n">
        <x:v>0.09335611369954089</x:v>
      </x:c>
      <x:c r="N1273" s="48" t="n">
        <x:v>0.7345426675836355</x:v>
      </x:c>
      <x:c r="O1273" s="48" t="n">
        <x:v>1</x:v>
      </x:c>
      <x:c r="P1273" s="48" t="n">
        <x:v>1</x:v>
      </x:c>
      <x:c r="Q1273" s="48" t="n">
        <x:v>1</x:v>
      </x:c>
      <x:c r="R1273" s="48" t="n">
        <x:v>1</x:v>
      </x:c>
      <x:c r="S1273" s="29" t="n">
        <x:v>1</x:v>
      </x:c>
    </x:row>
    <x:row r="1274" ht="21.600000381469727" hidden="0" customHeight="1">
      <x:c r="A1274" s="27" t="n">
        <x:v>424</x:v>
      </x:c>
      <x:c r="B1274" s="27" t="str">
        <x:v>A1</x:v>
      </x:c>
      <x:c r="C1274" s="47" t="n">
        <x:v>1.084539765001308</x:v>
      </x:c>
      <x:c r="D1274" s="47" t="n">
        <x:v>0.7930513614184567</x:v>
      </x:c>
      <x:c r="E1274" s="47" t="n">
        <x:v>0.4944313764202961</x:v>
      </x:c>
      <x:c r="F1274" s="47" t="n">
        <x:v>-0.05725241316759844</x:v>
      </x:c>
      <x:c r="G1274" s="47" t="n">
        <x:v>-0.046122233167233045</x:v>
      </x:c>
      <x:c r="H1274" s="47" t="n">
        <x:v>0.30064183462651106</x:v>
      </x:c>
      <x:c r="I1274" s="47" t="n">
        <x:v>0.7756534888875605</x:v>
      </x:c>
      <x:c r="J1274" s="47" t="n">
        <x:v>0.4067746606461306</x:v>
      </x:c>
      <x:c r="K1274" s="47" t="n">
        <x:v>0.6528734452942705</x:v>
      </x:c>
      <x:c r="L1274" s="47" t="n">
        <x:v>0.8079018638104364</x:v>
      </x:c>
      <x:c r="M1274" s="47" t="n">
        <x:v>0.10662151872734525</x:v>
      </x:c>
      <x:c r="N1274" s="47" t="n">
        <x:v>0.7543624573049846</x:v>
      </x:c>
      <x:c r="O1274" s="47" t="n">
        <x:v>0.7976137553283615</x:v>
      </x:c>
      <x:c r="P1274" s="47" t="n">
        <x:v>0.5431318605402505</x:v>
      </x:c>
      <x:c r="Q1274" s="47" t="n">
        <x:v>1</x:v>
      </x:c>
      <x:c r="R1274" s="47" t="n">
        <x:v>0.7500847536586773</x:v>
      </x:c>
      <x:c r="S1274" s="27" t="n">
        <x:v>0</x:v>
      </x:c>
    </x:row>
    <x:row r="1275" ht="21.600000381469727" hidden="0" customHeight="1">
      <x:c r="A1275" s="29" t="n">
        <x:v>424</x:v>
      </x:c>
      <x:c r="B1275" s="29" t="str">
        <x:v>A2</x:v>
      </x:c>
      <x:c r="C1275" s="48" t="n">
        <x:v>1.084539765001308</x:v>
      </x:c>
      <x:c r="D1275" s="48" t="n">
        <x:v>0.7930513614184567</x:v>
      </x:c>
      <x:c r="E1275" s="48" t="n">
        <x:v>0.4944313764202961</x:v>
      </x:c>
      <x:c r="F1275" s="48" t="n">
        <x:v>-0.05725241316759844</x:v>
      </x:c>
      <x:c r="G1275" s="48" t="n">
        <x:v>-0.046122233167233045</x:v>
      </x:c>
      <x:c r="H1275" s="48" t="n">
        <x:v>0.30064183462651106</x:v>
      </x:c>
      <x:c r="I1275" s="48" t="n">
        <x:v>0.7756534888875605</x:v>
      </x:c>
      <x:c r="J1275" s="48" t="n">
        <x:v>0.4067746606461306</x:v>
      </x:c>
      <x:c r="K1275" s="48" t="n">
        <x:v>0.6528734452942705</x:v>
      </x:c>
      <x:c r="L1275" s="48" t="n">
        <x:v>0.8079018638104364</x:v>
      </x:c>
      <x:c r="M1275" s="48" t="n">
        <x:v>0.10662151872734525</x:v>
      </x:c>
      <x:c r="N1275" s="48" t="n">
        <x:v>0.7543624573049846</x:v>
      </x:c>
      <x:c r="O1275" s="48" t="n">
        <x:v>0.8904181591062649</x:v>
      </x:c>
      <x:c r="P1275" s="48" t="n">
        <x:v>0.7169681213461913</x:v>
      </x:c>
      <x:c r="Q1275" s="48" t="n">
        <x:v>1</x:v>
      </x:c>
      <x:c r="R1275" s="48" t="n">
        <x:v>0.8646836260738662</x:v>
      </x:c>
      <x:c r="S1275" s="29" t="n">
        <x:v>0</x:v>
      </x:c>
    </x:row>
    <x:row r="1276" ht="21.600000381469727" hidden="0" customHeight="1">
      <x:c r="A1276" s="27" t="n">
        <x:v>424</x:v>
      </x:c>
      <x:c r="B1276" s="27" t="str">
        <x:v>A3</x:v>
      </x:c>
      <x:c r="C1276" s="47" t="n">
        <x:v>1.084539765001308</x:v>
      </x:c>
      <x:c r="D1276" s="47" t="n">
        <x:v>0.7930513614184567</x:v>
      </x:c>
      <x:c r="E1276" s="47" t="n">
        <x:v>0.4944313764202961</x:v>
      </x:c>
      <x:c r="F1276" s="47" t="n">
        <x:v>-0.05725241316759844</x:v>
      </x:c>
      <x:c r="G1276" s="47" t="n">
        <x:v>-0.046122233167233045</x:v>
      </x:c>
      <x:c r="H1276" s="47" t="n">
        <x:v>0.30064183462651106</x:v>
      </x:c>
      <x:c r="I1276" s="47" t="n">
        <x:v>0.7756534888875605</x:v>
      </x:c>
      <x:c r="J1276" s="47" t="n">
        <x:v>0.4067746606461306</x:v>
      </x:c>
      <x:c r="K1276" s="47" t="n">
        <x:v>0.6528734452942705</x:v>
      </x:c>
      <x:c r="L1276" s="47" t="n">
        <x:v>0.8079018638104364</x:v>
      </x:c>
      <x:c r="M1276" s="47" t="n">
        <x:v>0.10662151872734525</x:v>
      </x:c>
      <x:c r="N1276" s="47" t="n">
        <x:v>0.7543624573049846</x:v>
      </x:c>
      <x:c r="O1276" s="47" t="n">
        <x:v>1</x:v>
      </x:c>
      <x:c r="P1276" s="47" t="n">
        <x:v>1</x:v>
      </x:c>
      <x:c r="Q1276" s="47" t="n">
        <x:v>1</x:v>
      </x:c>
      <x:c r="R1276" s="47" t="n">
        <x:v>1</x:v>
      </x:c>
      <x:c r="S1276" s="27" t="n">
        <x:v>1</x:v>
      </x:c>
    </x:row>
    <x:row r="1277" ht="21.600000381469727" hidden="0" customHeight="1">
      <x:c r="A1277" s="29" t="n">
        <x:v>425</x:v>
      </x:c>
      <x:c r="B1277" s="29" t="str">
        <x:v>A1</x:v>
      </x:c>
      <x:c r="C1277" s="48" t="n">
        <x:v>1.2811993434366618</x:v>
      </x:c>
      <x:c r="D1277" s="48" t="n">
        <x:v>0.87398408563195</x:v>
      </x:c>
      <x:c r="E1277" s="48" t="n">
        <x:v>0.47365016613669503</x:v>
      </x:c>
      <x:c r="F1277" s="48" t="n">
        <x:v>-0.18711487153970713</x:v>
      </x:c>
      <x:c r="G1277" s="48" t="n">
        <x:v>0.02636359756794432</x:v>
      </x:c>
      <x:c r="H1277" s="48" t="n">
        <x:v>0.8726820047682458</x:v>
      </x:c>
      <x:c r="I1277" s="48" t="n">
        <x:v>0.7786549444886721</x:v>
      </x:c>
      <x:c r="J1277" s="48" t="n">
        <x:v>0.5057323776035453</x:v>
      </x:c>
      <x:c r="K1277" s="48" t="n">
        <x:v>0.8235062298969884</x:v>
      </x:c>
      <x:c r="L1277" s="48" t="n">
        <x:v>0.7773131319584383</x:v>
      </x:c>
      <x:c r="M1277" s="48" t="n">
        <x:v>0.11761938405421385</x:v>
      </x:c>
      <x:c r="N1277" s="48" t="n">
        <x:v>0.7513087132764199</x:v>
      </x:c>
      <x:c r="O1277" s="48" t="n">
        <x:v>0.7783201513624104</x:v>
      </x:c>
      <x:c r="P1277" s="48" t="n">
        <x:v>0.45056243481900693</x:v>
      </x:c>
      <x:c r="Q1277" s="48" t="n">
        <x:v>1</x:v>
      </x:c>
      <x:c r="R1277" s="48" t="n">
        <x:v>0.7262601810164719</x:v>
      </x:c>
      <x:c r="S1277" s="29" t="n">
        <x:v>0</x:v>
      </x:c>
    </x:row>
    <x:row r="1278" ht="21.600000381469727" hidden="0" customHeight="1">
      <x:c r="A1278" s="27" t="n">
        <x:v>425</x:v>
      </x:c>
      <x:c r="B1278" s="27" t="str">
        <x:v>A2</x:v>
      </x:c>
      <x:c r="C1278" s="47" t="n">
        <x:v>1.2811993434366618</x:v>
      </x:c>
      <x:c r="D1278" s="47" t="n">
        <x:v>0.87398408563195</x:v>
      </x:c>
      <x:c r="E1278" s="47" t="n">
        <x:v>0.47365016613669503</x:v>
      </x:c>
      <x:c r="F1278" s="47" t="n">
        <x:v>-0.18711487153970713</x:v>
      </x:c>
      <x:c r="G1278" s="47" t="n">
        <x:v>0.02636359756794432</x:v>
      </x:c>
      <x:c r="H1278" s="47" t="n">
        <x:v>0.8726820047682458</x:v>
      </x:c>
      <x:c r="I1278" s="47" t="n">
        <x:v>0.7786549444886721</x:v>
      </x:c>
      <x:c r="J1278" s="47" t="n">
        <x:v>0.5057323776035453</x:v>
      </x:c>
      <x:c r="K1278" s="47" t="n">
        <x:v>0.8235062298969884</x:v>
      </x:c>
      <x:c r="L1278" s="47" t="n">
        <x:v>0.7773131319584383</x:v>
      </x:c>
      <x:c r="M1278" s="47" t="n">
        <x:v>0.11761938405421385</x:v>
      </x:c>
      <x:c r="N1278" s="47" t="n">
        <x:v>0.7513087132764199</x:v>
      </x:c>
      <x:c r="O1278" s="47" t="n">
        <x:v>0.8574621152908385</x:v>
      </x:c>
      <x:c r="P1278" s="47" t="n">
        <x:v>0.5474700945606873</x:v>
      </x:c>
      <x:c r="Q1278" s="47" t="n">
        <x:v>1</x:v>
      </x:c>
      <x:c r="R1278" s="47" t="n">
        <x:v>0.823988084625728</x:v>
      </x:c>
      <x:c r="S1278" s="27" t="n">
        <x:v>0</x:v>
      </x:c>
    </x:row>
    <x:row r="1279" ht="21.600000381469727" hidden="0" customHeight="1">
      <x:c r="A1279" s="29" t="n">
        <x:v>425</x:v>
      </x:c>
      <x:c r="B1279" s="29" t="str">
        <x:v>A3</x:v>
      </x:c>
      <x:c r="C1279" s="48" t="n">
        <x:v>1.2811993434366618</x:v>
      </x:c>
      <x:c r="D1279" s="48" t="n">
        <x:v>0.87398408563195</x:v>
      </x:c>
      <x:c r="E1279" s="48" t="n">
        <x:v>0.47365016613669503</x:v>
      </x:c>
      <x:c r="F1279" s="48" t="n">
        <x:v>-0.18711487153970713</x:v>
      </x:c>
      <x:c r="G1279" s="48" t="n">
        <x:v>0.02636359756794432</x:v>
      </x:c>
      <x:c r="H1279" s="48" t="n">
        <x:v>0.8726820047682458</x:v>
      </x:c>
      <x:c r="I1279" s="48" t="n">
        <x:v>0.7786549444886721</x:v>
      </x:c>
      <x:c r="J1279" s="48" t="n">
        <x:v>0.5057323776035453</x:v>
      </x:c>
      <x:c r="K1279" s="48" t="n">
        <x:v>0.8235062298969884</x:v>
      </x:c>
      <x:c r="L1279" s="48" t="n">
        <x:v>0.7773131319584383</x:v>
      </x:c>
      <x:c r="M1279" s="48" t="n">
        <x:v>0.11761938405421385</x:v>
      </x:c>
      <x:c r="N1279" s="48" t="n">
        <x:v>0.7513087132764199</x:v>
      </x:c>
      <x:c r="O1279" s="48" t="n">
        <x:v>1</x:v>
      </x:c>
      <x:c r="P1279" s="48" t="n">
        <x:v>1</x:v>
      </x:c>
      <x:c r="Q1279" s="48" t="n">
        <x:v>1</x:v>
      </x:c>
      <x:c r="R1279" s="48" t="n">
        <x:v>1</x:v>
      </x:c>
      <x:c r="S1279" s="29" t="n">
        <x:v>1</x:v>
      </x:c>
    </x:row>
    <x:row r="1280" ht="21.600000381469727" hidden="0" customHeight="1">
      <x:c r="A1280" s="27" t="n">
        <x:v>426</x:v>
      </x:c>
      <x:c r="B1280" s="27" t="str">
        <x:v>A1</x:v>
      </x:c>
      <x:c r="C1280" s="47" t="n">
        <x:v>1.0938266988826442</x:v>
      </x:c>
      <x:c r="D1280" s="47" t="n">
        <x:v>0.9614138939578554</x:v>
      </x:c>
      <x:c r="E1280" s="47" t="n">
        <x:v>0.6076084634309387</x:v>
      </x:c>
      <x:c r="F1280" s="47" t="n">
        <x:v>-0.03709317138477336</x:v>
      </x:c>
      <x:c r="G1280" s="47" t="n">
        <x:v>-0.08269876369809795</x:v>
      </x:c>
      <x:c r="H1280" s="47" t="n">
        <x:v>0.9895872150852094</x:v>
      </x:c>
      <x:c r="I1280" s="47" t="n">
        <x:v>0.9489929220992037</x:v>
      </x:c>
      <x:c r="J1280" s="47" t="n">
        <x:v>0.7816021346684832</x:v>
      </x:c>
      <x:c r="K1280" s="47" t="n">
        <x:v>0.8336345059183602</x:v>
      </x:c>
      <x:c r="L1280" s="47" t="n">
        <x:v>0.8709099886677031</x:v>
      </x:c>
      <x:c r="M1280" s="47" t="n">
        <x:v>0.16652215980765672</x:v>
      </x:c>
      <x:c r="N1280" s="47" t="n">
        <x:v>0.7781024019156295</x:v>
      </x:c>
      <x:c r="O1280" s="47" t="n">
        <x:v>0.8989897159540237</x:v>
      </x:c>
      <x:c r="P1280" s="47" t="n">
        <x:v>0.6408660682573482</x:v>
      </x:c>
      <x:c r="Q1280" s="47" t="n">
        <x:v>1</x:v>
      </x:c>
      <x:c r="R1280" s="47" t="n">
        <x:v>0.8752681534196443</x:v>
      </x:c>
      <x:c r="S1280" s="27" t="n">
        <x:v>0</x:v>
      </x:c>
    </x:row>
    <x:row r="1281" ht="21.600000381469727" hidden="0" customHeight="1">
      <x:c r="A1281" s="29" t="n">
        <x:v>426</x:v>
      </x:c>
      <x:c r="B1281" s="29" t="str">
        <x:v>A2</x:v>
      </x:c>
      <x:c r="C1281" s="48" t="n">
        <x:v>1.0938266988826442</x:v>
      </x:c>
      <x:c r="D1281" s="48" t="n">
        <x:v>0.9614138939578554</x:v>
      </x:c>
      <x:c r="E1281" s="48" t="n">
        <x:v>0.6076084634309387</x:v>
      </x:c>
      <x:c r="F1281" s="48" t="n">
        <x:v>-0.03709317138477336</x:v>
      </x:c>
      <x:c r="G1281" s="48" t="n">
        <x:v>-0.08269876369809795</x:v>
      </x:c>
      <x:c r="H1281" s="48" t="n">
        <x:v>0.9895872150852094</x:v>
      </x:c>
      <x:c r="I1281" s="48" t="n">
        <x:v>0.9489929220992037</x:v>
      </x:c>
      <x:c r="J1281" s="48" t="n">
        <x:v>0.7816021346684832</x:v>
      </x:c>
      <x:c r="K1281" s="48" t="n">
        <x:v>0.8336345059183602</x:v>
      </x:c>
      <x:c r="L1281" s="48" t="n">
        <x:v>0.8709099886677031</x:v>
      </x:c>
      <x:c r="M1281" s="48" t="n">
        <x:v>0.16652215980765672</x:v>
      </x:c>
      <x:c r="N1281" s="48" t="n">
        <x:v>0.7781024019156295</x:v>
      </x:c>
      <x:c r="O1281" s="48" t="n">
        <x:v>0.9818235134366979</x:v>
      </x:c>
      <x:c r="P1281" s="48" t="n">
        <x:v>0.8182351343669787</x:v>
      </x:c>
      <x:c r="Q1281" s="48" t="n">
        <x:v>1</x:v>
      </x:c>
      <x:c r="R1281" s="48" t="n">
        <x:v>0.9775548920112753</x:v>
      </x:c>
      <x:c r="S1281" s="29" t="n">
        <x:v>0</x:v>
      </x:c>
    </x:row>
    <x:row r="1282" ht="21.600000381469727" hidden="0" customHeight="1">
      <x:c r="A1282" s="27" t="n">
        <x:v>426</x:v>
      </x:c>
      <x:c r="B1282" s="27" t="str">
        <x:v>A3</x:v>
      </x:c>
      <x:c r="C1282" s="47" t="n">
        <x:v>1.0938266988826442</x:v>
      </x:c>
      <x:c r="D1282" s="47" t="n">
        <x:v>0.9614138939578554</x:v>
      </x:c>
      <x:c r="E1282" s="47" t="n">
        <x:v>0.6076084634309387</x:v>
      </x:c>
      <x:c r="F1282" s="47" t="n">
        <x:v>-0.03709317138477336</x:v>
      </x:c>
      <x:c r="G1282" s="47" t="n">
        <x:v>-0.08269876369809795</x:v>
      </x:c>
      <x:c r="H1282" s="47" t="n">
        <x:v>0.9895872150852094</x:v>
      </x:c>
      <x:c r="I1282" s="47" t="n">
        <x:v>0.9489929220992037</x:v>
      </x:c>
      <x:c r="J1282" s="47" t="n">
        <x:v>0.7816021346684832</x:v>
      </x:c>
      <x:c r="K1282" s="47" t="n">
        <x:v>0.8336345059183602</x:v>
      </x:c>
      <x:c r="L1282" s="47" t="n">
        <x:v>0.8709099886677031</x:v>
      </x:c>
      <x:c r="M1282" s="47" t="n">
        <x:v>0.16652215980765672</x:v>
      </x:c>
      <x:c r="N1282" s="47" t="n">
        <x:v>0.7781024019156295</x:v>
      </x:c>
      <x:c r="O1282" s="47" t="n">
        <x:v>1</x:v>
      </x:c>
      <x:c r="P1282" s="47" t="n">
        <x:v>1</x:v>
      </x:c>
      <x:c r="Q1282" s="47" t="n">
        <x:v>1</x:v>
      </x:c>
      <x:c r="R1282" s="47" t="n">
        <x:v>1</x:v>
      </x:c>
      <x:c r="S1282" s="27" t="n">
        <x:v>1</x:v>
      </x:c>
    </x:row>
    <x:row r="1283" ht="21.600000381469727" hidden="0" customHeight="1">
      <x:c r="A1283" s="29" t="n">
        <x:v>427</x:v>
      </x:c>
      <x:c r="B1283" s="29" t="str">
        <x:v>A1</x:v>
      </x:c>
      <x:c r="C1283" s="48" t="n">
        <x:v>0.9414138890970232</x:v>
      </x:c>
      <x:c r="D1283" s="48" t="n">
        <x:v>0.7292562975310902</x:v>
      </x:c>
      <x:c r="E1283" s="48" t="n">
        <x:v>0.8712207584047921</x:v>
      </x:c>
      <x:c r="F1283" s="48" t="n">
        <x:v>-0.12362135472646035</x:v>
      </x:c>
      <x:c r="G1283" s="48" t="n">
        <x:v>-0.05957454999224529</x:v>
      </x:c>
      <x:c r="H1283" s="48" t="n">
        <x:v>0.41931883900773836</x:v>
      </x:c>
      <x:c r="I1283" s="48" t="n">
        <x:v>0.8504740839127128</x:v>
      </x:c>
      <x:c r="J1283" s="48" t="n">
        <x:v>0.9007258700876386</x:v>
      </x:c>
      <x:c r="K1283" s="48" t="n">
        <x:v>0.8937950907263696</x:v>
      </x:c>
      <x:c r="L1283" s="48" t="n">
        <x:v>0.7424595653720879</x:v>
      </x:c>
      <x:c r="M1283" s="48" t="n">
        <x:v>0.05588050591045595</x:v>
      </x:c>
      <x:c r="N1283" s="48" t="n">
        <x:v>0.7229927179938613</x:v>
      </x:c>
      <x:c r="O1283" s="48" t="n">
        <x:v>0.9151928352775459</x:v>
      </x:c>
      <x:c r="P1283" s="48" t="n">
        <x:v>0.5967531945726591</x:v>
      </x:c>
      <x:c r="Q1283" s="48" t="n">
        <x:v>1</x:v>
      </x:c>
      <x:c r="R1283" s="48" t="n">
        <x:v>0.8952764625999733</x:v>
      </x:c>
      <x:c r="S1283" s="29" t="n">
        <x:v>0</x:v>
      </x:c>
    </x:row>
    <x:row r="1284" ht="21.600000381469727" hidden="0" customHeight="1">
      <x:c r="A1284" s="27" t="n">
        <x:v>427</x:v>
      </x:c>
      <x:c r="B1284" s="27" t="str">
        <x:v>A2</x:v>
      </x:c>
      <x:c r="C1284" s="47" t="n">
        <x:v>0.9414138890970232</x:v>
      </x:c>
      <x:c r="D1284" s="47" t="n">
        <x:v>0.7292562975310902</x:v>
      </x:c>
      <x:c r="E1284" s="47" t="n">
        <x:v>0.8712207584047921</x:v>
      </x:c>
      <x:c r="F1284" s="47" t="n">
        <x:v>-0.12362135472646035</x:v>
      </x:c>
      <x:c r="G1284" s="47" t="n">
        <x:v>-0.05957454999224529</x:v>
      </x:c>
      <x:c r="H1284" s="47" t="n">
        <x:v>0.41931883900773836</x:v>
      </x:c>
      <x:c r="I1284" s="47" t="n">
        <x:v>0.8504740839127128</x:v>
      </x:c>
      <x:c r="J1284" s="47" t="n">
        <x:v>0.9007258700876386</x:v>
      </x:c>
      <x:c r="K1284" s="47" t="n">
        <x:v>0.8937950907263696</x:v>
      </x:c>
      <x:c r="L1284" s="47" t="n">
        <x:v>0.7424595653720879</x:v>
      </x:c>
      <x:c r="M1284" s="47" t="n">
        <x:v>0.05588050591045595</x:v>
      </x:c>
      <x:c r="N1284" s="47" t="n">
        <x:v>0.7229927179938613</x:v>
      </x:c>
      <x:c r="O1284" s="47" t="n">
        <x:v>0.9702656780140182</x:v>
      </x:c>
      <x:c r="P1284" s="47" t="n">
        <x:v>0.7209371590100465</x:v>
      </x:c>
      <x:c r="Q1284" s="47" t="n">
        <x:v>1</x:v>
      </x:c>
      <x:c r="R1284" s="47" t="n">
        <x:v>0.9632827793411779</x:v>
      </x:c>
      <x:c r="S1284" s="27" t="n">
        <x:v>0</x:v>
      </x:c>
    </x:row>
    <x:row r="1285" ht="21.600000381469727" hidden="0" customHeight="1">
      <x:c r="A1285" s="29" t="n">
        <x:v>427</x:v>
      </x:c>
      <x:c r="B1285" s="29" t="str">
        <x:v>A3</x:v>
      </x:c>
      <x:c r="C1285" s="48" t="n">
        <x:v>0.9414138890970232</x:v>
      </x:c>
      <x:c r="D1285" s="48" t="n">
        <x:v>0.7292562975310902</x:v>
      </x:c>
      <x:c r="E1285" s="48" t="n">
        <x:v>0.8712207584047921</x:v>
      </x:c>
      <x:c r="F1285" s="48" t="n">
        <x:v>-0.12362135472646035</x:v>
      </x:c>
      <x:c r="G1285" s="48" t="n">
        <x:v>-0.05957454999224529</x:v>
      </x:c>
      <x:c r="H1285" s="48" t="n">
        <x:v>0.41931883900773836</x:v>
      </x:c>
      <x:c r="I1285" s="48" t="n">
        <x:v>0.8504740839127128</x:v>
      </x:c>
      <x:c r="J1285" s="48" t="n">
        <x:v>0.9007258700876386</x:v>
      </x:c>
      <x:c r="K1285" s="48" t="n">
        <x:v>0.8937950907263696</x:v>
      </x:c>
      <x:c r="L1285" s="48" t="n">
        <x:v>0.7424595653720879</x:v>
      </x:c>
      <x:c r="M1285" s="48" t="n">
        <x:v>0.05588050591045595</x:v>
      </x:c>
      <x:c r="N1285" s="48" t="n">
        <x:v>0.7229927179938613</x:v>
      </x:c>
      <x:c r="O1285" s="48" t="n">
        <x:v>1.0000000000000002</x:v>
      </x:c>
      <x:c r="P1285" s="48" t="n">
        <x:v>1</x:v>
      </x:c>
      <x:c r="Q1285" s="48" t="n">
        <x:v>1</x:v>
      </x:c>
      <x:c r="R1285" s="48" t="n">
        <x:v>1</x:v>
      </x:c>
      <x:c r="S1285" s="29" t="n">
        <x:v>1</x:v>
      </x:c>
    </x:row>
    <x:row r="1286" ht="21.600000381469727" hidden="0" customHeight="1">
      <x:c r="A1286" s="27" t="n">
        <x:v>428</x:v>
      </x:c>
      <x:c r="B1286" s="27" t="str">
        <x:v>A1</x:v>
      </x:c>
      <x:c r="C1286" s="47" t="n">
        <x:v>1.1616402652421651</x:v>
      </x:c>
      <x:c r="D1286" s="47" t="n">
        <x:v>0.8707199295742637</x:v>
      </x:c>
      <x:c r="E1286" s="47" t="n">
        <x:v>0.5395328472890646</x:v>
      </x:c>
      <x:c r="F1286" s="47" t="n">
        <x:v>0.0379358539091898</x:v>
      </x:c>
      <x:c r="G1286" s="47" t="n">
        <x:v>-0.18770411341121246</x:v>
      </x:c>
      <x:c r="H1286" s="47" t="n">
        <x:v>0.6636537299743842</x:v>
      </x:c>
      <x:c r="I1286" s="47" t="n">
        <x:v>0.8774606845334265</x:v>
      </x:c>
      <x:c r="J1286" s="47" t="n">
        <x:v>0.5089813503027224</x:v>
      </x:c>
      <x:c r="K1286" s="47" t="n">
        <x:v>0.923937736311546</x:v>
      </x:c>
      <x:c r="L1286" s="47" t="n">
        <x:v>0.5075257298951033</x:v>
      </x:c>
      <x:c r="M1286" s="47" t="n">
        <x:v>0.1787784370132942</x:v>
      </x:c>
      <x:c r="N1286" s="47" t="n">
        <x:v>0.7873194055862555</x:v>
      </x:c>
      <x:c r="O1286" s="47" t="n">
        <x:v>0.8205648296025757</x:v>
      </x:c>
      <x:c r="P1286" s="47" t="n">
        <x:v>0.5825243477406132</x:v>
      </x:c>
      <x:c r="Q1286" s="47" t="n">
        <x:v>1</x:v>
      </x:c>
      <x:c r="R1286" s="47" t="n">
        <x:v>0.7784257280680023</x:v>
      </x:c>
      <x:c r="S1286" s="27" t="n">
        <x:v>0</x:v>
      </x:c>
    </x:row>
    <x:row r="1287" ht="21.600000381469727" hidden="0" customHeight="1">
      <x:c r="A1287" s="29" t="n">
        <x:v>428</x:v>
      </x:c>
      <x:c r="B1287" s="29" t="str">
        <x:v>A2</x:v>
      </x:c>
      <x:c r="C1287" s="48" t="n">
        <x:v>1.1616402652421651</x:v>
      </x:c>
      <x:c r="D1287" s="48" t="n">
        <x:v>0.8707199295742637</x:v>
      </x:c>
      <x:c r="E1287" s="48" t="n">
        <x:v>0.5395328472890646</x:v>
      </x:c>
      <x:c r="F1287" s="48" t="n">
        <x:v>0.0379358539091898</x:v>
      </x:c>
      <x:c r="G1287" s="48" t="n">
        <x:v>-0.18770411341121246</x:v>
      </x:c>
      <x:c r="H1287" s="48" t="n">
        <x:v>0.6636537299743842</x:v>
      </x:c>
      <x:c r="I1287" s="48" t="n">
        <x:v>0.8774606845334265</x:v>
      </x:c>
      <x:c r="J1287" s="48" t="n">
        <x:v>0.5089813503027224</x:v>
      </x:c>
      <x:c r="K1287" s="48" t="n">
        <x:v>0.923937736311546</x:v>
      </x:c>
      <x:c r="L1287" s="48" t="n">
        <x:v>0.5075257298951033</x:v>
      </x:c>
      <x:c r="M1287" s="48" t="n">
        <x:v>0.1787784370132942</x:v>
      </x:c>
      <x:c r="N1287" s="48" t="n">
        <x:v>0.7873194055862555</x:v>
      </x:c>
      <x:c r="O1287" s="48" t="n">
        <x:v>0.8943376879567777</x:v>
      </x:c>
      <x:c r="P1287" s="48" t="n">
        <x:v>0.6181746870481524</x:v>
      </x:c>
      <x:c r="Q1287" s="48" t="n">
        <x:v>1</x:v>
      </x:c>
      <x:c r="R1287" s="48" t="n">
        <x:v>0.8695236290088835</x:v>
      </x:c>
      <x:c r="S1287" s="29" t="n">
        <x:v>0</x:v>
      </x:c>
    </x:row>
    <x:row r="1288" ht="21.600000381469727" hidden="0" customHeight="1">
      <x:c r="A1288" s="27" t="n">
        <x:v>428</x:v>
      </x:c>
      <x:c r="B1288" s="27" t="str">
        <x:v>A3</x:v>
      </x:c>
      <x:c r="C1288" s="47" t="n">
        <x:v>1.1616402652421651</x:v>
      </x:c>
      <x:c r="D1288" s="47" t="n">
        <x:v>0.8707199295742637</x:v>
      </x:c>
      <x:c r="E1288" s="47" t="n">
        <x:v>0.5395328472890646</x:v>
      </x:c>
      <x:c r="F1288" s="47" t="n">
        <x:v>0.0379358539091898</x:v>
      </x:c>
      <x:c r="G1288" s="47" t="n">
        <x:v>-0.18770411341121246</x:v>
      </x:c>
      <x:c r="H1288" s="47" t="n">
        <x:v>0.6636537299743842</x:v>
      </x:c>
      <x:c r="I1288" s="47" t="n">
        <x:v>0.8774606845334265</x:v>
      </x:c>
      <x:c r="J1288" s="47" t="n">
        <x:v>0.5089813503027224</x:v>
      </x:c>
      <x:c r="K1288" s="47" t="n">
        <x:v>0.923937736311546</x:v>
      </x:c>
      <x:c r="L1288" s="47" t="n">
        <x:v>0.5075257298951033</x:v>
      </x:c>
      <x:c r="M1288" s="47" t="n">
        <x:v>0.1787784370132942</x:v>
      </x:c>
      <x:c r="N1288" s="47" t="n">
        <x:v>0.7873194055862555</x:v>
      </x:c>
      <x:c r="O1288" s="47" t="n">
        <x:v>1</x:v>
      </x:c>
      <x:c r="P1288" s="47" t="n">
        <x:v>1</x:v>
      </x:c>
      <x:c r="Q1288" s="47" t="n">
        <x:v>1</x:v>
      </x:c>
      <x:c r="R1288" s="47" t="n">
        <x:v>1</x:v>
      </x:c>
      <x:c r="S1288" s="27" t="n">
        <x:v>1</x:v>
      </x:c>
    </x:row>
    <x:row r="1289" ht="21.600000381469727" hidden="0" customHeight="1">
      <x:c r="A1289" s="29" t="n">
        <x:v>429</x:v>
      </x:c>
      <x:c r="B1289" s="29" t="str">
        <x:v>A1</x:v>
      </x:c>
      <x:c r="C1289" s="48" t="n">
        <x:v>1.087380787766398</x:v>
      </x:c>
      <x:c r="D1289" s="48" t="n">
        <x:v>0.8140965851328545</x:v>
      </x:c>
      <x:c r="E1289" s="48" t="n">
        <x:v>0.8211214663585242</x:v>
      </x:c>
      <x:c r="F1289" s="48" t="n">
        <x:v>-0.14580092678894013</x:v>
      </x:c>
      <x:c r="G1289" s="48" t="n">
        <x:v>-0.19351733075188174</x:v>
      </x:c>
      <x:c r="H1289" s="48" t="n">
        <x:v>1.0967367331891615</x:v>
      </x:c>
      <x:c r="I1289" s="48" t="n">
        <x:v>0.8244649362455915</x:v>
      </x:c>
      <x:c r="J1289" s="48" t="n">
        <x:v>0.6143535115942633</x:v>
      </x:c>
      <x:c r="K1289" s="48" t="n">
        <x:v>0.9187906677757942</x:v>
      </x:c>
      <x:c r="L1289" s="48" t="n">
        <x:v>0.6351376735737595</x:v>
      </x:c>
      <x:c r="M1289" s="48" t="n">
        <x:v>0.13855075425915095</x:v>
      </x:c>
      <x:c r="N1289" s="48" t="n">
        <x:v>0.8979848336930687</x:v>
      </x:c>
      <x:c r="O1289" s="48" t="n">
        <x:v>0.84787860592253</x:v>
      </x:c>
      <x:c r="P1289" s="48" t="n">
        <x:v>0.6451548294036616</x:v>
      </x:c>
      <x:c r="Q1289" s="48" t="n">
        <x:v>1</x:v>
      </x:c>
      <x:c r="R1289" s="48" t="n">
        <x:v>0.8121539547495545</x:v>
      </x:c>
      <x:c r="S1289" s="29" t="n">
        <x:v>0</x:v>
      </x:c>
    </x:row>
    <x:row r="1290" ht="21.600000381469727" hidden="0" customHeight="1">
      <x:c r="A1290" s="27" t="n">
        <x:v>429</x:v>
      </x:c>
      <x:c r="B1290" s="27" t="str">
        <x:v>A2</x:v>
      </x:c>
      <x:c r="C1290" s="47" t="n">
        <x:v>1.087380787766398</x:v>
      </x:c>
      <x:c r="D1290" s="47" t="n">
        <x:v>0.8140965851328545</x:v>
      </x:c>
      <x:c r="E1290" s="47" t="n">
        <x:v>0.8211214663585242</x:v>
      </x:c>
      <x:c r="F1290" s="47" t="n">
        <x:v>-0.14580092678894013</x:v>
      </x:c>
      <x:c r="G1290" s="47" t="n">
        <x:v>-0.19351733075188174</x:v>
      </x:c>
      <x:c r="H1290" s="47" t="n">
        <x:v>1.0967367331891615</x:v>
      </x:c>
      <x:c r="I1290" s="47" t="n">
        <x:v>0.8244649362455915</x:v>
      </x:c>
      <x:c r="J1290" s="47" t="n">
        <x:v>0.6143535115942633</x:v>
      </x:c>
      <x:c r="K1290" s="47" t="n">
        <x:v>0.9187906677757942</x:v>
      </x:c>
      <x:c r="L1290" s="47" t="n">
        <x:v>0.6351376735737595</x:v>
      </x:c>
      <x:c r="M1290" s="47" t="n">
        <x:v>0.13855075425915095</x:v>
      </x:c>
      <x:c r="N1290" s="47" t="n">
        <x:v>0.8979848336930687</x:v>
      </x:c>
      <x:c r="O1290" s="47" t="n">
        <x:v>0.9321951627734986</x:v>
      </x:c>
      <x:c r="P1290" s="47" t="n">
        <x:v>0.6319613410182804</x:v>
      </x:c>
      <x:c r="Q1290" s="47" t="n">
        <x:v>1</x:v>
      </x:c>
      <x:c r="R1290" s="47" t="n">
        <x:v>0.9162716684323702</x:v>
      </x:c>
      <x:c r="S1290" s="27" t="n">
        <x:v>0</x:v>
      </x:c>
    </x:row>
    <x:row r="1291" ht="21.600000381469727" hidden="0" customHeight="1">
      <x:c r="A1291" s="29" t="n">
        <x:v>429</x:v>
      </x:c>
      <x:c r="B1291" s="29" t="str">
        <x:v>A3</x:v>
      </x:c>
      <x:c r="C1291" s="48" t="n">
        <x:v>1.087380787766398</x:v>
      </x:c>
      <x:c r="D1291" s="48" t="n">
        <x:v>0.8140965851328545</x:v>
      </x:c>
      <x:c r="E1291" s="48" t="n">
        <x:v>0.8211214663585242</x:v>
      </x:c>
      <x:c r="F1291" s="48" t="n">
        <x:v>-0.14580092678894013</x:v>
      </x:c>
      <x:c r="G1291" s="48" t="n">
        <x:v>-0.19351733075188174</x:v>
      </x:c>
      <x:c r="H1291" s="48" t="n">
        <x:v>1.0967367331891615</x:v>
      </x:c>
      <x:c r="I1291" s="48" t="n">
        <x:v>0.8244649362455915</x:v>
      </x:c>
      <x:c r="J1291" s="48" t="n">
        <x:v>0.6143535115942633</x:v>
      </x:c>
      <x:c r="K1291" s="48" t="n">
        <x:v>0.9187906677757942</x:v>
      </x:c>
      <x:c r="L1291" s="48" t="n">
        <x:v>0.6351376735737595</x:v>
      </x:c>
      <x:c r="M1291" s="48" t="n">
        <x:v>0.13855075425915095</x:v>
      </x:c>
      <x:c r="N1291" s="48" t="n">
        <x:v>0.8979848336930687</x:v>
      </x:c>
      <x:c r="O1291" s="48" t="n">
        <x:v>1</x:v>
      </x:c>
      <x:c r="P1291" s="48" t="n">
        <x:v>1</x:v>
      </x:c>
      <x:c r="Q1291" s="48" t="n">
        <x:v>1</x:v>
      </x:c>
      <x:c r="R1291" s="48" t="n">
        <x:v>1</x:v>
      </x:c>
      <x:c r="S1291" s="29" t="n">
        <x:v>1</x:v>
      </x:c>
    </x:row>
    <x:row r="1292" ht="21.600000381469727" hidden="0" customHeight="1">
      <x:c r="A1292" s="27" t="n">
        <x:v>430</x:v>
      </x:c>
      <x:c r="B1292" s="27" t="str">
        <x:v>A1</x:v>
      </x:c>
      <x:c r="C1292" s="47" t="n">
        <x:v>1.1990958459120515</x:v>
      </x:c>
      <x:c r="D1292" s="47" t="n">
        <x:v>0.9869449438839957</x:v>
      </x:c>
      <x:c r="E1292" s="47" t="n">
        <x:v>0.8925077847906905</x:v>
      </x:c>
      <x:c r="F1292" s="47" t="n">
        <x:v>-0.07181679286099807</x:v>
      </x:c>
      <x:c r="G1292" s="47" t="n">
        <x:v>-0.1653855084085213</x:v>
      </x:c>
      <x:c r="H1292" s="47" t="n">
        <x:v>0.5569761763235631</x:v>
      </x:c>
      <x:c r="I1292" s="47" t="n">
        <x:v>0.991110433678787</x:v>
      </x:c>
      <x:c r="J1292" s="47" t="n">
        <x:v>0.6586977475068423</x:v>
      </x:c>
      <x:c r="K1292" s="47" t="n">
        <x:v>0.7963383461478699</x:v>
      </x:c>
      <x:c r="L1292" s="47" t="n">
        <x:v>0.5348725054562905</x:v>
      </x:c>
      <x:c r="M1292" s="47" t="n">
        <x:v>0.005683461420854766</x:v>
      </x:c>
      <x:c r="N1292" s="47" t="n">
        <x:v>0.732680593503047</x:v>
      </x:c>
      <x:c r="O1292" s="47" t="n">
        <x:v>0.8761172872795854</x:v>
      </x:c>
      <x:c r="P1292" s="47" t="n">
        <x:v>0.7019620391312736</x:v>
      </x:c>
      <x:c r="Q1292" s="47" t="n">
        <x:v>1</x:v>
      </x:c>
      <x:c r="R1292" s="47" t="n">
        <x:v>0.8470242939821078</x:v>
      </x:c>
      <x:c r="S1292" s="27" t="n">
        <x:v>0</x:v>
      </x:c>
    </x:row>
    <x:row r="1293" ht="21.600000381469727" hidden="0" customHeight="1">
      <x:c r="A1293" s="29" t="n">
        <x:v>430</x:v>
      </x:c>
      <x:c r="B1293" s="29" t="str">
        <x:v>A2</x:v>
      </x:c>
      <x:c r="C1293" s="48" t="n">
        <x:v>1.1990958459120515</x:v>
      </x:c>
      <x:c r="D1293" s="48" t="n">
        <x:v>0.9869449438839957</x:v>
      </x:c>
      <x:c r="E1293" s="48" t="n">
        <x:v>0.8925077847906905</x:v>
      </x:c>
      <x:c r="F1293" s="48" t="n">
        <x:v>-0.07181679286099807</x:v>
      </x:c>
      <x:c r="G1293" s="48" t="n">
        <x:v>-0.1653855084085213</x:v>
      </x:c>
      <x:c r="H1293" s="48" t="n">
        <x:v>0.5569761763235631</x:v>
      </x:c>
      <x:c r="I1293" s="48" t="n">
        <x:v>0.991110433678787</x:v>
      </x:c>
      <x:c r="J1293" s="48" t="n">
        <x:v>0.6586977475068423</x:v>
      </x:c>
      <x:c r="K1293" s="48" t="n">
        <x:v>0.7963383461478699</x:v>
      </x:c>
      <x:c r="L1293" s="48" t="n">
        <x:v>0.5348725054562905</x:v>
      </x:c>
      <x:c r="M1293" s="48" t="n">
        <x:v>0.005683461420854766</x:v>
      </x:c>
      <x:c r="N1293" s="48" t="n">
        <x:v>0.732680593503047</x:v>
      </x:c>
      <x:c r="O1293" s="48" t="n">
        <x:v>0.9675983711335465</x:v>
      </x:c>
      <x:c r="P1293" s="48" t="n">
        <x:v>0.7324832555416353</x:v>
      </x:c>
      <x:c r="Q1293" s="48" t="n">
        <x:v>1</x:v>
      </x:c>
      <x:c r="R1293" s="48" t="n">
        <x:v>0.9599890739948365</x:v>
      </x:c>
      <x:c r="S1293" s="29" t="n">
        <x:v>0</x:v>
      </x:c>
    </x:row>
    <x:row r="1294" ht="21.600000381469727" hidden="0" customHeight="1">
      <x:c r="A1294" s="27" t="n">
        <x:v>430</x:v>
      </x:c>
      <x:c r="B1294" s="27" t="str">
        <x:v>A3</x:v>
      </x:c>
      <x:c r="C1294" s="47" t="n">
        <x:v>1.1990958459120515</x:v>
      </x:c>
      <x:c r="D1294" s="47" t="n">
        <x:v>0.9869449438839957</x:v>
      </x:c>
      <x:c r="E1294" s="47" t="n">
        <x:v>0.8925077847906905</x:v>
      </x:c>
      <x:c r="F1294" s="47" t="n">
        <x:v>-0.07181679286099807</x:v>
      </x:c>
      <x:c r="G1294" s="47" t="n">
        <x:v>-0.1653855084085213</x:v>
      </x:c>
      <x:c r="H1294" s="47" t="n">
        <x:v>0.5569761763235631</x:v>
      </x:c>
      <x:c r="I1294" s="47" t="n">
        <x:v>0.991110433678787</x:v>
      </x:c>
      <x:c r="J1294" s="47" t="n">
        <x:v>0.6586977475068423</x:v>
      </x:c>
      <x:c r="K1294" s="47" t="n">
        <x:v>0.7963383461478699</x:v>
      </x:c>
      <x:c r="L1294" s="47" t="n">
        <x:v>0.5348725054562905</x:v>
      </x:c>
      <x:c r="M1294" s="47" t="n">
        <x:v>0.005683461420854766</x:v>
      </x:c>
      <x:c r="N1294" s="47" t="n">
        <x:v>0.732680593503047</x:v>
      </x:c>
      <x:c r="O1294" s="47" t="n">
        <x:v>1</x:v>
      </x:c>
      <x:c r="P1294" s="47" t="n">
        <x:v>1</x:v>
      </x:c>
      <x:c r="Q1294" s="47" t="n">
        <x:v>1</x:v>
      </x:c>
      <x:c r="R1294" s="47" t="n">
        <x:v>1</x:v>
      </x:c>
      <x:c r="S1294" s="27" t="n">
        <x:v>1</x:v>
      </x:c>
    </x:row>
    <x:row r="1295" ht="21.600000381469727" hidden="0" customHeight="1">
      <x:c r="A1295" s="29" t="n">
        <x:v>431</x:v>
      </x:c>
      <x:c r="B1295" s="29" t="str">
        <x:v>A1</x:v>
      </x:c>
      <x:c r="C1295" s="48" t="n">
        <x:v>1.3104528781694653</x:v>
      </x:c>
      <x:c r="D1295" s="48" t="n">
        <x:v>0.7386173555653172</x:v>
      </x:c>
      <x:c r="E1295" s="48" t="n">
        <x:v>0.6231715014901067</x:v>
      </x:c>
      <x:c r="F1295" s="48" t="n">
        <x:v>-0.036314461216370386</x:v>
      </x:c>
      <x:c r="G1295" s="48" t="n">
        <x:v>-0.06311511934322697</x:v>
      </x:c>
      <x:c r="H1295" s="48" t="n">
        <x:v>0.9969393747024702</x:v>
      </x:c>
      <x:c r="I1295" s="48" t="n">
        <x:v>1.0090810276484967</x:v>
      </x:c>
      <x:c r="J1295" s="48" t="n">
        <x:v>0.7293296338162627</x:v>
      </x:c>
      <x:c r="K1295" s="48" t="n">
        <x:v>0.9924540881892541</x:v>
      </x:c>
      <x:c r="L1295" s="48" t="n">
        <x:v>0.712373781562982</x:v>
      </x:c>
      <x:c r="M1295" s="48" t="n">
        <x:v>0.08596385284853598</x:v>
      </x:c>
      <x:c r="N1295" s="48" t="n">
        <x:v>0.650272081708708</x:v>
      </x:c>
      <x:c r="O1295" s="48" t="n">
        <x:v>0.7089106665253948</x:v>
      </x:c>
      <x:c r="P1295" s="48" t="n">
        <x:v>0.3568084539581561</x:v>
      </x:c>
      <x:c r="Q1295" s="48" t="n">
        <x:v>1</x:v>
      </x:c>
      <x:c r="R1295" s="48" t="n">
        <x:v>0.6405503615096628</x:v>
      </x:c>
      <x:c r="S1295" s="29" t="n">
        <x:v>0</x:v>
      </x:c>
    </x:row>
    <x:row r="1296" ht="21.600000381469727" hidden="0" customHeight="1">
      <x:c r="A1296" s="27" t="n">
        <x:v>431</x:v>
      </x:c>
      <x:c r="B1296" s="27" t="str">
        <x:v>A2</x:v>
      </x:c>
      <x:c r="C1296" s="47" t="n">
        <x:v>1.3104528781694653</x:v>
      </x:c>
      <x:c r="D1296" s="47" t="n">
        <x:v>0.7386173555653172</x:v>
      </x:c>
      <x:c r="E1296" s="47" t="n">
        <x:v>0.6231715014901067</x:v>
      </x:c>
      <x:c r="F1296" s="47" t="n">
        <x:v>-0.036314461216370386</x:v>
      </x:c>
      <x:c r="G1296" s="47" t="n">
        <x:v>-0.06311511934322697</x:v>
      </x:c>
      <x:c r="H1296" s="47" t="n">
        <x:v>0.9969393747024702</x:v>
      </x:c>
      <x:c r="I1296" s="47" t="n">
        <x:v>1.0090810276484967</x:v>
      </x:c>
      <x:c r="J1296" s="47" t="n">
        <x:v>0.7293296338162627</x:v>
      </x:c>
      <x:c r="K1296" s="47" t="n">
        <x:v>0.9924540881892541</x:v>
      </x:c>
      <x:c r="L1296" s="47" t="n">
        <x:v>0.712373781562982</x:v>
      </x:c>
      <x:c r="M1296" s="47" t="n">
        <x:v>0.08596385284853598</x:v>
      </x:c>
      <x:c r="N1296" s="47" t="n">
        <x:v>0.650272081708708</x:v>
      </x:c>
      <x:c r="O1296" s="47" t="n">
        <x:v>0.7864258664950063</x:v>
      </x:c>
      <x:c r="P1296" s="47" t="n">
        <x:v>0.4340401975254898</x:v>
      </x:c>
      <x:c r="Q1296" s="47" t="n">
        <x:v>1</x:v>
      </x:c>
      <x:c r="R1296" s="47" t="n">
        <x:v>0.7362694669608897</x:v>
      </x:c>
      <x:c r="S1296" s="27" t="n">
        <x:v>0</x:v>
      </x:c>
    </x:row>
    <x:row r="1297" ht="21.600000381469727" hidden="0" customHeight="1">
      <x:c r="A1297" s="29" t="n">
        <x:v>431</x:v>
      </x:c>
      <x:c r="B1297" s="29" t="str">
        <x:v>A3</x:v>
      </x:c>
      <x:c r="C1297" s="48" t="n">
        <x:v>1.3104528781694653</x:v>
      </x:c>
      <x:c r="D1297" s="48" t="n">
        <x:v>0.7386173555653172</x:v>
      </x:c>
      <x:c r="E1297" s="48" t="n">
        <x:v>0.6231715014901067</x:v>
      </x:c>
      <x:c r="F1297" s="48" t="n">
        <x:v>-0.036314461216370386</x:v>
      </x:c>
      <x:c r="G1297" s="48" t="n">
        <x:v>-0.06311511934322697</x:v>
      </x:c>
      <x:c r="H1297" s="48" t="n">
        <x:v>0.9969393747024702</x:v>
      </x:c>
      <x:c r="I1297" s="48" t="n">
        <x:v>1.0090810276484967</x:v>
      </x:c>
      <x:c r="J1297" s="48" t="n">
        <x:v>0.7293296338162627</x:v>
      </x:c>
      <x:c r="K1297" s="48" t="n">
        <x:v>0.9924540881892541</x:v>
      </x:c>
      <x:c r="L1297" s="48" t="n">
        <x:v>0.712373781562982</x:v>
      </x:c>
      <x:c r="M1297" s="48" t="n">
        <x:v>0.08596385284853598</x:v>
      </x:c>
      <x:c r="N1297" s="48" t="n">
        <x:v>0.650272081708708</x:v>
      </x:c>
      <x:c r="O1297" s="48" t="n">
        <x:v>1</x:v>
      </x:c>
      <x:c r="P1297" s="48" t="n">
        <x:v>1</x:v>
      </x:c>
      <x:c r="Q1297" s="48" t="n">
        <x:v>1</x:v>
      </x:c>
      <x:c r="R1297" s="48" t="n">
        <x:v>1</x:v>
      </x:c>
      <x:c r="S1297" s="29" t="n">
        <x:v>1</x:v>
      </x:c>
    </x:row>
    <x:row r="1298" ht="21.600000381469727" hidden="0" customHeight="1">
      <x:c r="A1298" s="27" t="n">
        <x:v>432</x:v>
      </x:c>
      <x:c r="B1298" s="27" t="str">
        <x:v>A1</x:v>
      </x:c>
      <x:c r="C1298" s="47" t="n">
        <x:v>0.9872930972378234</x:v>
      </x:c>
      <x:c r="D1298" s="47" t="n">
        <x:v>0.798152684002824</x:v>
      </x:c>
      <x:c r="E1298" s="47" t="n">
        <x:v>0.5490596351326313</x:v>
      </x:c>
      <x:c r="F1298" s="47" t="n">
        <x:v>-0.09866573811857605</x:v>
      </x:c>
      <x:c r="G1298" s="47" t="n">
        <x:v>-0.1450351717293766</x:v>
      </x:c>
      <x:c r="H1298" s="47" t="n">
        <x:v>1.0330646464316153</x:v>
      </x:c>
      <x:c r="I1298" s="47" t="n">
        <x:v>0.9556530381583591</x:v>
      </x:c>
      <x:c r="J1298" s="47" t="n">
        <x:v>0.9233409587277195</x:v>
      </x:c>
      <x:c r="K1298" s="47" t="n">
        <x:v>0.6550464457367368</x:v>
      </x:c>
      <x:c r="L1298" s="47" t="n">
        <x:v>0.5083198208799502</x:v>
      </x:c>
      <x:c r="M1298" s="47" t="n">
        <x:v>0.011442419401651867</x:v>
      </x:c>
      <x:c r="N1298" s="47" t="n">
        <x:v>0.7413600172215301</x:v>
      </x:c>
      <x:c r="O1298" s="47" t="n">
        <x:v>0.802298699490379</x:v>
      </x:c>
      <x:c r="P1298" s="47" t="n">
        <x:v>0.5207270875698714</x:v>
      </x:c>
      <x:c r="Q1298" s="47" t="n">
        <x:v>0.9500648064287733</x:v>
      </x:c>
      <x:c r="R1298" s="47" t="n">
        <x:v>0.7562407857347242</x:v>
      </x:c>
      <x:c r="S1298" s="27" t="n">
        <x:v>0</x:v>
      </x:c>
    </x:row>
    <x:row r="1299" ht="21.600000381469727" hidden="0" customHeight="1">
      <x:c r="A1299" s="29" t="n">
        <x:v>432</x:v>
      </x:c>
      <x:c r="B1299" s="29" t="str">
        <x:v>A2</x:v>
      </x:c>
      <x:c r="C1299" s="48" t="n">
        <x:v>0.9872930972378234</x:v>
      </x:c>
      <x:c r="D1299" s="48" t="n">
        <x:v>0.798152684002824</x:v>
      </x:c>
      <x:c r="E1299" s="48" t="n">
        <x:v>0.5490596351326313</x:v>
      </x:c>
      <x:c r="F1299" s="48" t="n">
        <x:v>-0.09866573811857605</x:v>
      </x:c>
      <x:c r="G1299" s="48" t="n">
        <x:v>-0.1450351717293766</x:v>
      </x:c>
      <x:c r="H1299" s="48" t="n">
        <x:v>1.0330646464316153</x:v>
      </x:c>
      <x:c r="I1299" s="48" t="n">
        <x:v>0.9556530381583591</x:v>
      </x:c>
      <x:c r="J1299" s="48" t="n">
        <x:v>0.9233409587277195</x:v>
      </x:c>
      <x:c r="K1299" s="48" t="n">
        <x:v>0.6550464457367368</x:v>
      </x:c>
      <x:c r="L1299" s="48" t="n">
        <x:v>0.5083198208799502</x:v>
      </x:c>
      <x:c r="M1299" s="48" t="n">
        <x:v>0.011442419401651867</x:v>
      </x:c>
      <x:c r="N1299" s="48" t="n">
        <x:v>0.7413600172215301</x:v>
      </x:c>
      <x:c r="O1299" s="48" t="n">
        <x:v>0.8803511789185554</x:v>
      </x:c>
      <x:c r="P1299" s="48" t="n">
        <x:v>0.5596326584431334</x:v>
      </x:c>
      <x:c r="Q1299" s="48" t="n">
        <x:v>1</x:v>
      </x:c>
      <x:c r="R1299" s="48" t="n">
        <x:v>0.8522524856196</x:v>
      </x:c>
      <x:c r="S1299" s="29" t="n">
        <x:v>0</x:v>
      </x:c>
    </x:row>
    <x:row r="1300" ht="21.600000381469727" hidden="0" customHeight="1">
      <x:c r="A1300" s="27" t="n">
        <x:v>432</x:v>
      </x:c>
      <x:c r="B1300" s="27" t="str">
        <x:v>A3</x:v>
      </x:c>
      <x:c r="C1300" s="47" t="n">
        <x:v>0.9872930972378234</x:v>
      </x:c>
      <x:c r="D1300" s="47" t="n">
        <x:v>0.798152684002824</x:v>
      </x:c>
      <x:c r="E1300" s="47" t="n">
        <x:v>0.5490596351326313</x:v>
      </x:c>
      <x:c r="F1300" s="47" t="n">
        <x:v>-0.09866573811857605</x:v>
      </x:c>
      <x:c r="G1300" s="47" t="n">
        <x:v>-0.1450351717293766</x:v>
      </x:c>
      <x:c r="H1300" s="47" t="n">
        <x:v>1.0330646464316153</x:v>
      </x:c>
      <x:c r="I1300" s="47" t="n">
        <x:v>0.9556530381583591</x:v>
      </x:c>
      <x:c r="J1300" s="47" t="n">
        <x:v>0.9233409587277195</x:v>
      </x:c>
      <x:c r="K1300" s="47" t="n">
        <x:v>0.6550464457367368</x:v>
      </x:c>
      <x:c r="L1300" s="47" t="n">
        <x:v>0.5083198208799502</x:v>
      </x:c>
      <x:c r="M1300" s="47" t="n">
        <x:v>0.011442419401651867</x:v>
      </x:c>
      <x:c r="N1300" s="47" t="n">
        <x:v>0.7413600172215301</x:v>
      </x:c>
      <x:c r="O1300" s="47" t="n">
        <x:v>1</x:v>
      </x:c>
      <x:c r="P1300" s="47" t="n">
        <x:v>1</x:v>
      </x:c>
      <x:c r="Q1300" s="47" t="n">
        <x:v>1</x:v>
      </x:c>
      <x:c r="R1300" s="47" t="n">
        <x:v>1</x:v>
      </x:c>
      <x:c r="S1300" s="27" t="n">
        <x:v>1</x:v>
      </x:c>
    </x:row>
    <x:row r="1301" ht="21.600000381469727" hidden="0" customHeight="1">
      <x:c r="A1301" s="29" t="n">
        <x:v>433</x:v>
      </x:c>
      <x:c r="B1301" s="29" t="str">
        <x:v>A1</x:v>
      </x:c>
      <x:c r="C1301" s="48" t="n">
        <x:v>1.2766648538301255</x:v>
      </x:c>
      <x:c r="D1301" s="48" t="n">
        <x:v>0.789974110755901</x:v>
      </x:c>
      <x:c r="E1301" s="48" t="n">
        <x:v>0.698066548279008</x:v>
      </x:c>
      <x:c r="F1301" s="48" t="n">
        <x:v>-0.10304787391168331</x:v>
      </x:c>
      <x:c r="G1301" s="48" t="n">
        <x:v>-0.1402586393345263</x:v>
      </x:c>
      <x:c r="H1301" s="48" t="n">
        <x:v>0.6366801187212245</x:v>
      </x:c>
      <x:c r="I1301" s="48" t="n">
        <x:v>0.7881584088391258</x:v>
      </x:c>
      <x:c r="J1301" s="48" t="n">
        <x:v>0.4470011576002233</x:v>
      </x:c>
      <x:c r="K1301" s="48" t="n">
        <x:v>0.8715753599029895</x:v>
      </x:c>
      <x:c r="L1301" s="48" t="n">
        <x:v>0.5237855514620835</x:v>
      </x:c>
      <x:c r="M1301" s="48" t="n">
        <x:v>0.15286209040490498</x:v>
      </x:c>
      <x:c r="N1301" s="48" t="n">
        <x:v>0.8299341018024434</x:v>
      </x:c>
      <x:c r="O1301" s="48" t="n">
        <x:v>0.7146375740310299</x:v>
      </x:c>
      <x:c r="P1301" s="48" t="n">
        <x:v>0.3865979495013626</x:v>
      </x:c>
      <x:c r="Q1301" s="48" t="n">
        <x:v>0.8715514772638387</x:v>
      </x:c>
      <x:c r="R1301" s="48" t="n">
        <x:v>0.6486372727381002</x:v>
      </x:c>
      <x:c r="S1301" s="29" t="n">
        <x:v>0</x:v>
      </x:c>
    </x:row>
    <x:row r="1302" ht="21.600000381469727" hidden="0" customHeight="1">
      <x:c r="A1302" s="27" t="n">
        <x:v>433</x:v>
      </x:c>
      <x:c r="B1302" s="27" t="str">
        <x:v>A2</x:v>
      </x:c>
      <x:c r="C1302" s="47" t="n">
        <x:v>1.2766648538301255</x:v>
      </x:c>
      <x:c r="D1302" s="47" t="n">
        <x:v>0.789974110755901</x:v>
      </x:c>
      <x:c r="E1302" s="47" t="n">
        <x:v>0.698066548279008</x:v>
      </x:c>
      <x:c r="F1302" s="47" t="n">
        <x:v>-0.10304787391168331</x:v>
      </x:c>
      <x:c r="G1302" s="47" t="n">
        <x:v>-0.1402586393345263</x:v>
      </x:c>
      <x:c r="H1302" s="47" t="n">
        <x:v>0.6366801187212245</x:v>
      </x:c>
      <x:c r="I1302" s="47" t="n">
        <x:v>0.7881584088391258</x:v>
      </x:c>
      <x:c r="J1302" s="47" t="n">
        <x:v>0.4470011576002233</x:v>
      </x:c>
      <x:c r="K1302" s="47" t="n">
        <x:v>0.8715753599029895</x:v>
      </x:c>
      <x:c r="L1302" s="47" t="n">
        <x:v>0.5237855514620835</x:v>
      </x:c>
      <x:c r="M1302" s="47" t="n">
        <x:v>0.15286209040490498</x:v>
      </x:c>
      <x:c r="N1302" s="47" t="n">
        <x:v>0.8299341018024434</x:v>
      </x:c>
      <x:c r="O1302" s="47" t="n">
        <x:v>0.7872528268678067</x:v>
      </x:c>
      <x:c r="P1302" s="47" t="n">
        <x:v>0.42600484799573024</x:v>
      </x:c>
      <x:c r="Q1302" s="47" t="n">
        <x:v>1</x:v>
      </x:c>
      <x:c r="R1302" s="47" t="n">
        <x:v>0.737290633224527</x:v>
      </x:c>
      <x:c r="S1302" s="27" t="n">
        <x:v>0</x:v>
      </x:c>
    </x:row>
    <x:row r="1303" ht="21.600000381469727" hidden="0" customHeight="1">
      <x:c r="A1303" s="29" t="n">
        <x:v>433</x:v>
      </x:c>
      <x:c r="B1303" s="29" t="str">
        <x:v>A3</x:v>
      </x:c>
      <x:c r="C1303" s="48" t="n">
        <x:v>1.2766648538301255</x:v>
      </x:c>
      <x:c r="D1303" s="48" t="n">
        <x:v>0.789974110755901</x:v>
      </x:c>
      <x:c r="E1303" s="48" t="n">
        <x:v>0.698066548279008</x:v>
      </x:c>
      <x:c r="F1303" s="48" t="n">
        <x:v>-0.10304787391168331</x:v>
      </x:c>
      <x:c r="G1303" s="48" t="n">
        <x:v>-0.1402586393345263</x:v>
      </x:c>
      <x:c r="H1303" s="48" t="n">
        <x:v>0.6366801187212245</x:v>
      </x:c>
      <x:c r="I1303" s="48" t="n">
        <x:v>0.7881584088391258</x:v>
      </x:c>
      <x:c r="J1303" s="48" t="n">
        <x:v>0.4470011576002233</x:v>
      </x:c>
      <x:c r="K1303" s="48" t="n">
        <x:v>0.8715753599029895</x:v>
      </x:c>
      <x:c r="L1303" s="48" t="n">
        <x:v>0.5237855514620835</x:v>
      </x:c>
      <x:c r="M1303" s="48" t="n">
        <x:v>0.15286209040490498</x:v>
      </x:c>
      <x:c r="N1303" s="48" t="n">
        <x:v>0.8299341018024434</x:v>
      </x:c>
      <x:c r="O1303" s="48" t="n">
        <x:v>1</x:v>
      </x:c>
      <x:c r="P1303" s="48" t="n">
        <x:v>1</x:v>
      </x:c>
      <x:c r="Q1303" s="48" t="n">
        <x:v>1</x:v>
      </x:c>
      <x:c r="R1303" s="48" t="n">
        <x:v>1</x:v>
      </x:c>
      <x:c r="S1303" s="29" t="n">
        <x:v>1</x:v>
      </x:c>
    </x:row>
    <x:row r="1304" ht="21.600000381469727" hidden="0" customHeight="1">
      <x:c r="A1304" s="27" t="n">
        <x:v>434</x:v>
      </x:c>
      <x:c r="B1304" s="27" t="str">
        <x:v>A1</x:v>
      </x:c>
      <x:c r="C1304" s="47" t="n">
        <x:v>1.2717575801619618</x:v>
      </x:c>
      <x:c r="D1304" s="47" t="n">
        <x:v>0.9283906943084401</x:v>
      </x:c>
      <x:c r="E1304" s="47" t="n">
        <x:v>1.0406709442297506</x:v>
      </x:c>
      <x:c r="F1304" s="47" t="n">
        <x:v>-0.17679557916070285</x:v>
      </x:c>
      <x:c r="G1304" s="47" t="n">
        <x:v>-0.1600516847247303</x:v>
      </x:c>
      <x:c r="H1304" s="47" t="n">
        <x:v>0.9380919207071265</x:v>
      </x:c>
      <x:c r="I1304" s="47" t="n">
        <x:v>0.700314160048749</x:v>
      </x:c>
      <x:c r="J1304" s="47" t="n">
        <x:v>0.6052986115927805</x:v>
      </x:c>
      <x:c r="K1304" s="47" t="n">
        <x:v>0.7306408844434962</x:v>
      </x:c>
      <x:c r="L1304" s="47" t="n">
        <x:v>0.9539941064885034</x:v>
      </x:c>
      <x:c r="M1304" s="47" t="n">
        <x:v>0.026669140113179786</x:v>
      </x:c>
      <x:c r="N1304" s="47" t="n">
        <x:v>0.7353377984171743</x:v>
      </x:c>
      <x:c r="O1304" s="47" t="n">
        <x:v>0.8394291508190344</x:v>
      </x:c>
      <x:c r="P1304" s="47" t="n">
        <x:v>0.58881857368445</x:v>
      </x:c>
      <x:c r="Q1304" s="47" t="n">
        <x:v>1</x:v>
      </x:c>
      <x:c r="R1304" s="47" t="n">
        <x:v>0.8017202038932838</x:v>
      </x:c>
      <x:c r="S1304" s="27" t="n">
        <x:v>0</x:v>
      </x:c>
    </x:row>
    <x:row r="1305" ht="21.600000381469727" hidden="0" customHeight="1">
      <x:c r="A1305" s="29" t="n">
        <x:v>434</x:v>
      </x:c>
      <x:c r="B1305" s="29" t="str">
        <x:v>A2</x:v>
      </x:c>
      <x:c r="C1305" s="48" t="n">
        <x:v>1.2717575801619618</x:v>
      </x:c>
      <x:c r="D1305" s="48" t="n">
        <x:v>0.9283906943084401</x:v>
      </x:c>
      <x:c r="E1305" s="48" t="n">
        <x:v>1.0406709442297506</x:v>
      </x:c>
      <x:c r="F1305" s="48" t="n">
        <x:v>-0.17679557916070285</x:v>
      </x:c>
      <x:c r="G1305" s="48" t="n">
        <x:v>-0.1600516847247303</x:v>
      </x:c>
      <x:c r="H1305" s="48" t="n">
        <x:v>0.9380919207071265</x:v>
      </x:c>
      <x:c r="I1305" s="48" t="n">
        <x:v>0.700314160048749</x:v>
      </x:c>
      <x:c r="J1305" s="48" t="n">
        <x:v>0.6052986115927805</x:v>
      </x:c>
      <x:c r="K1305" s="48" t="n">
        <x:v>0.7306408844434962</x:v>
      </x:c>
      <x:c r="L1305" s="48" t="n">
        <x:v>0.9539941064885034</x:v>
      </x:c>
      <x:c r="M1305" s="48" t="n">
        <x:v>0.026669140113179786</x:v>
      </x:c>
      <x:c r="N1305" s="48" t="n">
        <x:v>0.7353377984171743</x:v>
      </x:c>
      <x:c r="O1305" s="48" t="n">
        <x:v>0.923575534932564</x:v>
      </x:c>
      <x:c r="P1305" s="48" t="n">
        <x:v>0.6733691706186102</x:v>
      </x:c>
      <x:c r="Q1305" s="48" t="n">
        <x:v>1</x:v>
      </x:c>
      <x:c r="R1305" s="48" t="n">
        <x:v>0.9056277809550728</x:v>
      </x:c>
      <x:c r="S1305" s="29" t="n">
        <x:v>0</x:v>
      </x:c>
    </x:row>
    <x:row r="1306" ht="21.600000381469727" hidden="0" customHeight="1">
      <x:c r="A1306" s="27" t="n">
        <x:v>434</x:v>
      </x:c>
      <x:c r="B1306" s="27" t="str">
        <x:v>A3</x:v>
      </x:c>
      <x:c r="C1306" s="47" t="n">
        <x:v>1.2717575801619618</x:v>
      </x:c>
      <x:c r="D1306" s="47" t="n">
        <x:v>0.9283906943084401</x:v>
      </x:c>
      <x:c r="E1306" s="47" t="n">
        <x:v>1.0406709442297506</x:v>
      </x:c>
      <x:c r="F1306" s="47" t="n">
        <x:v>-0.17679557916070285</x:v>
      </x:c>
      <x:c r="G1306" s="47" t="n">
        <x:v>-0.1600516847247303</x:v>
      </x:c>
      <x:c r="H1306" s="47" t="n">
        <x:v>0.9380919207071265</x:v>
      </x:c>
      <x:c r="I1306" s="47" t="n">
        <x:v>0.700314160048749</x:v>
      </x:c>
      <x:c r="J1306" s="47" t="n">
        <x:v>0.6052986115927805</x:v>
      </x:c>
      <x:c r="K1306" s="47" t="n">
        <x:v>0.7306408844434962</x:v>
      </x:c>
      <x:c r="L1306" s="47" t="n">
        <x:v>0.9539941064885034</x:v>
      </x:c>
      <x:c r="M1306" s="47" t="n">
        <x:v>0.026669140113179786</x:v>
      </x:c>
      <x:c r="N1306" s="47" t="n">
        <x:v>0.7353377984171743</x:v>
      </x:c>
      <x:c r="O1306" s="47" t="n">
        <x:v>1</x:v>
      </x:c>
      <x:c r="P1306" s="47" t="n">
        <x:v>1</x:v>
      </x:c>
      <x:c r="Q1306" s="47" t="n">
        <x:v>1</x:v>
      </x:c>
      <x:c r="R1306" s="47" t="n">
        <x:v>1</x:v>
      </x:c>
      <x:c r="S1306" s="27" t="n">
        <x:v>1</x:v>
      </x:c>
    </x:row>
    <x:row r="1307" ht="21.600000381469727" hidden="0" customHeight="1">
      <x:c r="A1307" s="29" t="n">
        <x:v>435</x:v>
      </x:c>
      <x:c r="B1307" s="29" t="str">
        <x:v>A1</x:v>
      </x:c>
      <x:c r="C1307" s="48" t="n">
        <x:v>1.2779697930335852</x:v>
      </x:c>
      <x:c r="D1307" s="48" t="n">
        <x:v>0.9665676885863088</x:v>
      </x:c>
      <x:c r="E1307" s="48" t="n">
        <x:v>0.5709589554498609</x:v>
      </x:c>
      <x:c r="F1307" s="48" t="n">
        <x:v>-0.09329477134509669</x:v>
      </x:c>
      <x:c r="G1307" s="48" t="n">
        <x:v>-0.05679593967066088</x:v>
      </x:c>
      <x:c r="H1307" s="48" t="n">
        <x:v>0.7111467869476973</x:v>
      </x:c>
      <x:c r="I1307" s="48" t="n">
        <x:v>0.7288167970468735</x:v>
      </x:c>
      <x:c r="J1307" s="48" t="n">
        <x:v>0.9996606683023951</x:v>
      </x:c>
      <x:c r="K1307" s="48" t="n">
        <x:v>0.9364196869101515</x:v>
      </x:c>
      <x:c r="L1307" s="48" t="n">
        <x:v>0.6472112106751742</x:v>
      </x:c>
      <x:c r="M1307" s="48" t="n">
        <x:v>0.11439045275078397</x:v>
      </x:c>
      <x:c r="N1307" s="48" t="n">
        <x:v>0.8676609391758263</x:v>
      </x:c>
      <x:c r="O1307" s="48" t="n">
        <x:v>0.8507218705386738</x:v>
      </x:c>
      <x:c r="P1307" s="48" t="n">
        <x:v>0.4831621003299994</x:v>
      </x:c>
      <x:c r="Q1307" s="48" t="n">
        <x:v>1</x:v>
      </x:c>
      <x:c r="R1307" s="48" t="n">
        <x:v>0.8156649402817482</x:v>
      </x:c>
      <x:c r="S1307" s="29" t="n">
        <x:v>0</x:v>
      </x:c>
    </x:row>
    <x:row r="1308" ht="21.600000381469727" hidden="0" customHeight="1">
      <x:c r="A1308" s="27" t="n">
        <x:v>435</x:v>
      </x:c>
      <x:c r="B1308" s="27" t="str">
        <x:v>A2</x:v>
      </x:c>
      <x:c r="C1308" s="47" t="n">
        <x:v>1.2779697930335852</x:v>
      </x:c>
      <x:c r="D1308" s="47" t="n">
        <x:v>0.9665676885863088</x:v>
      </x:c>
      <x:c r="E1308" s="47" t="n">
        <x:v>0.5709589554498609</x:v>
      </x:c>
      <x:c r="F1308" s="47" t="n">
        <x:v>-0.09329477134509669</x:v>
      </x:c>
      <x:c r="G1308" s="47" t="n">
        <x:v>-0.05679593967066088</x:v>
      </x:c>
      <x:c r="H1308" s="47" t="n">
        <x:v>0.7111467869476973</x:v>
      </x:c>
      <x:c r="I1308" s="47" t="n">
        <x:v>0.7288167970468735</x:v>
      </x:c>
      <x:c r="J1308" s="47" t="n">
        <x:v>0.9996606683023951</x:v>
      </x:c>
      <x:c r="K1308" s="47" t="n">
        <x:v>0.9364196869101515</x:v>
      </x:c>
      <x:c r="L1308" s="47" t="n">
        <x:v>0.6472112106751742</x:v>
      </x:c>
      <x:c r="M1308" s="47" t="n">
        <x:v>0.11439045275078397</x:v>
      </x:c>
      <x:c r="N1308" s="47" t="n">
        <x:v>0.8676609391758263</x:v>
      </x:c>
      <x:c r="O1308" s="47" t="n">
        <x:v>0.9071299372168299</x:v>
      </x:c>
      <x:c r="P1308" s="47" t="n">
        <x:v>0.6062803014590324</x:v>
      </x:c>
      <x:c r="Q1308" s="47" t="n">
        <x:v>1</x:v>
      </x:c>
      <x:c r="R1308" s="47" t="n">
        <x:v>0.8853200490189117</x:v>
      </x:c>
      <x:c r="S1308" s="27" t="n">
        <x:v>0</x:v>
      </x:c>
    </x:row>
    <x:row r="1309" ht="21.600000381469727" hidden="0" customHeight="1">
      <x:c r="A1309" s="29" t="n">
        <x:v>435</x:v>
      </x:c>
      <x:c r="B1309" s="29" t="str">
        <x:v>A3</x:v>
      </x:c>
      <x:c r="C1309" s="48" t="n">
        <x:v>1.2779697930335852</x:v>
      </x:c>
      <x:c r="D1309" s="48" t="n">
        <x:v>0.9665676885863088</x:v>
      </x:c>
      <x:c r="E1309" s="48" t="n">
        <x:v>0.5709589554498609</x:v>
      </x:c>
      <x:c r="F1309" s="48" t="n">
        <x:v>-0.09329477134509669</x:v>
      </x:c>
      <x:c r="G1309" s="48" t="n">
        <x:v>-0.05679593967066088</x:v>
      </x:c>
      <x:c r="H1309" s="48" t="n">
        <x:v>0.7111467869476973</x:v>
      </x:c>
      <x:c r="I1309" s="48" t="n">
        <x:v>0.7288167970468735</x:v>
      </x:c>
      <x:c r="J1309" s="48" t="n">
        <x:v>0.9996606683023951</x:v>
      </x:c>
      <x:c r="K1309" s="48" t="n">
        <x:v>0.9364196869101515</x:v>
      </x:c>
      <x:c r="L1309" s="48" t="n">
        <x:v>0.6472112106751742</x:v>
      </x:c>
      <x:c r="M1309" s="48" t="n">
        <x:v>0.11439045275078397</x:v>
      </x:c>
      <x:c r="N1309" s="48" t="n">
        <x:v>0.8676609391758263</x:v>
      </x:c>
      <x:c r="O1309" s="48" t="n">
        <x:v>1</x:v>
      </x:c>
      <x:c r="P1309" s="48" t="n">
        <x:v>1</x:v>
      </x:c>
      <x:c r="Q1309" s="48" t="n">
        <x:v>1</x:v>
      </x:c>
      <x:c r="R1309" s="48" t="n">
        <x:v>1</x:v>
      </x:c>
      <x:c r="S1309" s="29" t="n">
        <x:v>1</x:v>
      </x:c>
    </x:row>
    <x:row r="1310" ht="21.600000381469727" hidden="0" customHeight="1">
      <x:c r="A1310" s="27" t="n">
        <x:v>436</x:v>
      </x:c>
      <x:c r="B1310" s="27" t="str">
        <x:v>A1</x:v>
      </x:c>
      <x:c r="C1310" s="47" t="n">
        <x:v>0.9310396486018317</x:v>
      </x:c>
      <x:c r="D1310" s="47" t="n">
        <x:v>0.9590889885491987</x:v>
      </x:c>
      <x:c r="E1310" s="47" t="n">
        <x:v>0.5916070293962008</x:v>
      </x:c>
      <x:c r="F1310" s="47" t="n">
        <x:v>0.009639290853472093</x:v>
      </x:c>
      <x:c r="G1310" s="47" t="n">
        <x:v>-0.10477643695001414</x:v>
      </x:c>
      <x:c r="H1310" s="47" t="n">
        <x:v>1.0046298296640832</x:v>
      </x:c>
      <x:c r="I1310" s="47" t="n">
        <x:v>0.6695132918454758</x:v>
      </x:c>
      <x:c r="J1310" s="47" t="n">
        <x:v>0.4649243504009281</x:v>
      </x:c>
      <x:c r="K1310" s="47" t="n">
        <x:v>0.7378514799177458</x:v>
      </x:c>
      <x:c r="L1310" s="47" t="n">
        <x:v>0.7480244026512295</x:v>
      </x:c>
      <x:c r="M1310" s="47" t="n">
        <x:v>0.134125000509915</x:v>
      </x:c>
      <x:c r="N1310" s="47" t="n">
        <x:v>0.6694691657742411</x:v>
      </x:c>
      <x:c r="O1310" s="47" t="n">
        <x:v>0.9208120095314555</x:v>
      </x:c>
      <x:c r="P1310" s="47" t="n">
        <x:v>0.7458765006920551</x:v>
      </x:c>
      <x:c r="Q1310" s="47" t="n">
        <x:v>1</x:v>
      </x:c>
      <x:c r="R1310" s="47" t="n">
        <x:v>0.902215260837863</x:v>
      </x:c>
      <x:c r="S1310" s="27" t="n">
        <x:v>0</x:v>
      </x:c>
    </x:row>
    <x:row r="1311" ht="21.600000381469727" hidden="0" customHeight="1">
      <x:c r="A1311" s="29" t="n">
        <x:v>436</x:v>
      </x:c>
      <x:c r="B1311" s="29" t="str">
        <x:v>A2</x:v>
      </x:c>
      <x:c r="C1311" s="48" t="n">
        <x:v>0.9310396486018317</x:v>
      </x:c>
      <x:c r="D1311" s="48" t="n">
        <x:v>0.9590889885491987</x:v>
      </x:c>
      <x:c r="E1311" s="48" t="n">
        <x:v>0.5916070293962008</x:v>
      </x:c>
      <x:c r="F1311" s="48" t="n">
        <x:v>0.009639290853472093</x:v>
      </x:c>
      <x:c r="G1311" s="48" t="n">
        <x:v>-0.10477643695001414</x:v>
      </x:c>
      <x:c r="H1311" s="48" t="n">
        <x:v>1.0046298296640832</x:v>
      </x:c>
      <x:c r="I1311" s="48" t="n">
        <x:v>0.6695132918454758</x:v>
      </x:c>
      <x:c r="J1311" s="48" t="n">
        <x:v>0.4649243504009281</x:v>
      </x:c>
      <x:c r="K1311" s="48" t="n">
        <x:v>0.7378514799177458</x:v>
      </x:c>
      <x:c r="L1311" s="48" t="n">
        <x:v>0.7480244026512295</x:v>
      </x:c>
      <x:c r="M1311" s="48" t="n">
        <x:v>0.134125000509915</x:v>
      </x:c>
      <x:c r="N1311" s="48" t="n">
        <x:v>0.6694691657742411</x:v>
      </x:c>
      <x:c r="O1311" s="48" t="n">
        <x:v>0.9911577203783201</x:v>
      </x:c>
      <x:c r="P1311" s="48" t="n">
        <x:v>0.9330892442652491</x:v>
      </x:c>
      <x:c r="Q1311" s="48" t="n">
        <x:v>1</x:v>
      </x:c>
      <x:c r="R1311" s="48" t="n">
        <x:v>0.9890811725201171</x:v>
      </x:c>
      <x:c r="S1311" s="29" t="n">
        <x:v>0</x:v>
      </x:c>
    </x:row>
    <x:row r="1312" ht="21.600000381469727" hidden="0" customHeight="1">
      <x:c r="A1312" s="27" t="n">
        <x:v>436</x:v>
      </x:c>
      <x:c r="B1312" s="27" t="str">
        <x:v>A3</x:v>
      </x:c>
      <x:c r="C1312" s="47" t="n">
        <x:v>0.9310396486018317</x:v>
      </x:c>
      <x:c r="D1312" s="47" t="n">
        <x:v>0.9590889885491987</x:v>
      </x:c>
      <x:c r="E1312" s="47" t="n">
        <x:v>0.5916070293962008</x:v>
      </x:c>
      <x:c r="F1312" s="47" t="n">
        <x:v>0.009639290853472093</x:v>
      </x:c>
      <x:c r="G1312" s="47" t="n">
        <x:v>-0.10477643695001414</x:v>
      </x:c>
      <x:c r="H1312" s="47" t="n">
        <x:v>1.0046298296640832</x:v>
      </x:c>
      <x:c r="I1312" s="47" t="n">
        <x:v>0.6695132918454758</x:v>
      </x:c>
      <x:c r="J1312" s="47" t="n">
        <x:v>0.4649243504009281</x:v>
      </x:c>
      <x:c r="K1312" s="47" t="n">
        <x:v>0.7378514799177458</x:v>
      </x:c>
      <x:c r="L1312" s="47" t="n">
        <x:v>0.7480244026512295</x:v>
      </x:c>
      <x:c r="M1312" s="47" t="n">
        <x:v>0.134125000509915</x:v>
      </x:c>
      <x:c r="N1312" s="47" t="n">
        <x:v>0.6694691657742411</x:v>
      </x:c>
      <x:c r="O1312" s="47" t="n">
        <x:v>1</x:v>
      </x:c>
      <x:c r="P1312" s="47" t="n">
        <x:v>1</x:v>
      </x:c>
      <x:c r="Q1312" s="47" t="n">
        <x:v>1</x:v>
      </x:c>
      <x:c r="R1312" s="47" t="n">
        <x:v>1</x:v>
      </x:c>
      <x:c r="S1312" s="27" t="n">
        <x:v>1</x:v>
      </x:c>
    </x:row>
    <x:row r="1313" ht="21.600000381469727" hidden="0" customHeight="1">
      <x:c r="A1313" s="29" t="n">
        <x:v>437</x:v>
      </x:c>
      <x:c r="B1313" s="29" t="str">
        <x:v>A1</x:v>
      </x:c>
      <x:c r="C1313" s="48" t="n">
        <x:v>1.1941371801714353</x:v>
      </x:c>
      <x:c r="D1313" s="48" t="n">
        <x:v>0.8904199904494472</x:v>
      </x:c>
      <x:c r="E1313" s="48" t="n">
        <x:v>0.6722871949388342</x:v>
      </x:c>
      <x:c r="F1313" s="48" t="n">
        <x:v>-0.16538077534149462</x:v>
      </x:c>
      <x:c r="G1313" s="48" t="n">
        <x:v>-0.15787989241503064</x:v>
      </x:c>
      <x:c r="H1313" s="48" t="n">
        <x:v>0.35527002315773554</x:v>
      </x:c>
      <x:c r="I1313" s="48" t="n">
        <x:v>0.6723273246915096</x:v>
      </x:c>
      <x:c r="J1313" s="48" t="n">
        <x:v>0.6221226703636804</x:v>
      </x:c>
      <x:c r="K1313" s="48" t="n">
        <x:v>0.9540149114457299</x:v>
      </x:c>
      <x:c r="L1313" s="48" t="n">
        <x:v>0.8512450134777187</x:v>
      </x:c>
      <x:c r="M1313" s="48" t="n">
        <x:v>0.09863296807538327</x:v>
      </x:c>
      <x:c r="N1313" s="48" t="n">
        <x:v>0.8353846988031444</x:v>
      </x:c>
      <x:c r="O1313" s="48" t="n">
        <x:v>0.8461337235550782</x:v>
      </x:c>
      <x:c r="P1313" s="48" t="n">
        <x:v>0.6407242990120315</x:v>
      </x:c>
      <x:c r="Q1313" s="48" t="n">
        <x:v>1</x:v>
      </x:c>
      <x:c r="R1313" s="48" t="n">
        <x:v>0.8099992988963078</x:v>
      </x:c>
      <x:c r="S1313" s="29" t="n">
        <x:v>0</x:v>
      </x:c>
    </x:row>
    <x:row r="1314" ht="21.600000381469727" hidden="0" customHeight="1">
      <x:c r="A1314" s="27" t="n">
        <x:v>437</x:v>
      </x:c>
      <x:c r="B1314" s="27" t="str">
        <x:v>A2</x:v>
      </x:c>
      <x:c r="C1314" s="47" t="n">
        <x:v>1.1941371801714353</x:v>
      </x:c>
      <x:c r="D1314" s="47" t="n">
        <x:v>0.8904199904494472</x:v>
      </x:c>
      <x:c r="E1314" s="47" t="n">
        <x:v>0.6722871949388342</x:v>
      </x:c>
      <x:c r="F1314" s="47" t="n">
        <x:v>-0.16538077534149462</x:v>
      </x:c>
      <x:c r="G1314" s="47" t="n">
        <x:v>-0.15787989241503064</x:v>
      </x:c>
      <x:c r="H1314" s="47" t="n">
        <x:v>0.35527002315773554</x:v>
      </x:c>
      <x:c r="I1314" s="47" t="n">
        <x:v>0.6723273246915096</x:v>
      </x:c>
      <x:c r="J1314" s="47" t="n">
        <x:v>0.6221226703636804</x:v>
      </x:c>
      <x:c r="K1314" s="47" t="n">
        <x:v>0.9540149114457299</x:v>
      </x:c>
      <x:c r="L1314" s="47" t="n">
        <x:v>0.8512450134777187</x:v>
      </x:c>
      <x:c r="M1314" s="47" t="n">
        <x:v>0.09863296807538327</x:v>
      </x:c>
      <x:c r="N1314" s="47" t="n">
        <x:v>0.8353846988031444</x:v>
      </x:c>
      <x:c r="O1314" s="47" t="n">
        <x:v>0.9139069488742493</x:v>
      </x:c>
      <x:c r="P1314" s="47" t="n">
        <x:v>0.5666621693171406</x:v>
      </x:c>
      <x:c r="Q1314" s="47" t="n">
        <x:v>1</x:v>
      </x:c>
      <x:c r="R1314" s="47" t="n">
        <x:v>0.8936885947200776</x:v>
      </x:c>
      <x:c r="S1314" s="27" t="n">
        <x:v>0</x:v>
      </x:c>
    </x:row>
    <x:row r="1315" ht="21.600000381469727" hidden="0" customHeight="1">
      <x:c r="A1315" s="29" t="n">
        <x:v>437</x:v>
      </x:c>
      <x:c r="B1315" s="29" t="str">
        <x:v>A3</x:v>
      </x:c>
      <x:c r="C1315" s="48" t="n">
        <x:v>1.1941371801714353</x:v>
      </x:c>
      <x:c r="D1315" s="48" t="n">
        <x:v>0.8904199904494472</x:v>
      </x:c>
      <x:c r="E1315" s="48" t="n">
        <x:v>0.6722871949388342</x:v>
      </x:c>
      <x:c r="F1315" s="48" t="n">
        <x:v>-0.16538077534149462</x:v>
      </x:c>
      <x:c r="G1315" s="48" t="n">
        <x:v>-0.15787989241503064</x:v>
      </x:c>
      <x:c r="H1315" s="48" t="n">
        <x:v>0.35527002315773554</x:v>
      </x:c>
      <x:c r="I1315" s="48" t="n">
        <x:v>0.6723273246915096</x:v>
      </x:c>
      <x:c r="J1315" s="48" t="n">
        <x:v>0.6221226703636804</x:v>
      </x:c>
      <x:c r="K1315" s="48" t="n">
        <x:v>0.9540149114457299</x:v>
      </x:c>
      <x:c r="L1315" s="48" t="n">
        <x:v>0.8512450134777187</x:v>
      </x:c>
      <x:c r="M1315" s="48" t="n">
        <x:v>0.09863296807538327</x:v>
      </x:c>
      <x:c r="N1315" s="48" t="n">
        <x:v>0.8353846988031444</x:v>
      </x:c>
      <x:c r="O1315" s="48" t="n">
        <x:v>1</x:v>
      </x:c>
      <x:c r="P1315" s="48" t="n">
        <x:v>1</x:v>
      </x:c>
      <x:c r="Q1315" s="48" t="n">
        <x:v>1</x:v>
      </x:c>
      <x:c r="R1315" s="48" t="n">
        <x:v>1</x:v>
      </x:c>
      <x:c r="S1315" s="29" t="n">
        <x:v>1</x:v>
      </x:c>
    </x:row>
    <x:row r="1316" ht="21.600000381469727" hidden="0" customHeight="1">
      <x:c r="A1316" s="27" t="n">
        <x:v>438</x:v>
      </x:c>
      <x:c r="B1316" s="27" t="str">
        <x:v>A1</x:v>
      </x:c>
      <x:c r="C1316" s="47" t="n">
        <x:v>0.9138317303740369</x:v>
      </x:c>
      <x:c r="D1316" s="47" t="n">
        <x:v>0.9907021031203114</x:v>
      </x:c>
      <x:c r="E1316" s="47" t="n">
        <x:v>0.4824408917293213</x:v>
      </x:c>
      <x:c r="F1316" s="47" t="n">
        <x:v>-0.02083882820100469</x:v>
      </x:c>
      <x:c r="G1316" s="47" t="n">
        <x:v>0.029772489317513223</x:v>
      </x:c>
      <x:c r="H1316" s="47" t="n">
        <x:v>1.059065651073336</x:v>
      </x:c>
      <x:c r="I1316" s="47" t="n">
        <x:v>0.9299527708531232</x:v>
      </x:c>
      <x:c r="J1316" s="47" t="n">
        <x:v>0.42681762046741173</x:v>
      </x:c>
      <x:c r="K1316" s="47" t="n">
        <x:v>0.6099010314557302</x:v>
      </x:c>
      <x:c r="L1316" s="47" t="n">
        <x:v>0.6790080665947733</x:v>
      </x:c>
      <x:c r="M1316" s="47" t="n">
        <x:v>0.06819461221533042</x:v>
      </x:c>
      <x:c r="N1316" s="47" t="n">
        <x:v>0.7850352036548961</x:v>
      </x:c>
      <x:c r="O1316" s="47" t="n">
        <x:v>0.8975326825056383</x:v>
      </x:c>
      <x:c r="P1316" s="47" t="n">
        <x:v>0.6524177625320896</x:v>
      </x:c>
      <x:c r="Q1316" s="47" t="n">
        <x:v>1</x:v>
      </x:c>
      <x:c r="R1316" s="47" t="n">
        <x:v>0.8734689458016978</x:v>
      </x:c>
      <x:c r="S1316" s="27" t="n">
        <x:v>0</x:v>
      </x:c>
    </x:row>
    <x:row r="1317" ht="21.600000381469727" hidden="0" customHeight="1">
      <x:c r="A1317" s="29" t="n">
        <x:v>438</x:v>
      </x:c>
      <x:c r="B1317" s="29" t="str">
        <x:v>A2</x:v>
      </x:c>
      <x:c r="C1317" s="48" t="n">
        <x:v>0.9138317303740369</x:v>
      </x:c>
      <x:c r="D1317" s="48" t="n">
        <x:v>0.9907021031203114</x:v>
      </x:c>
      <x:c r="E1317" s="48" t="n">
        <x:v>0.4824408917293213</x:v>
      </x:c>
      <x:c r="F1317" s="48" t="n">
        <x:v>-0.02083882820100469</x:v>
      </x:c>
      <x:c r="G1317" s="48" t="n">
        <x:v>0.029772489317513223</x:v>
      </x:c>
      <x:c r="H1317" s="48" t="n">
        <x:v>1.059065651073336</x:v>
      </x:c>
      <x:c r="I1317" s="48" t="n">
        <x:v>0.9299527708531232</x:v>
      </x:c>
      <x:c r="J1317" s="48" t="n">
        <x:v>0.42681762046741173</x:v>
      </x:c>
      <x:c r="K1317" s="48" t="n">
        <x:v>0.6099010314557302</x:v>
      </x:c>
      <x:c r="L1317" s="48" t="n">
        <x:v>0.6790080665947733</x:v>
      </x:c>
      <x:c r="M1317" s="48" t="n">
        <x:v>0.06819461221533042</x:v>
      </x:c>
      <x:c r="N1317" s="48" t="n">
        <x:v>0.7850352036548961</x:v>
      </x:c>
      <x:c r="O1317" s="48" t="n">
        <x:v>0.9682723150790248</x:v>
      </x:c>
      <x:c r="P1317" s="48" t="n">
        <x:v>0.8729396290306533</x:v>
      </x:c>
      <x:c r="Q1317" s="48" t="n">
        <x:v>1</x:v>
      </x:c>
      <x:c r="R1317" s="48" t="n">
        <x:v>0.9608212889876473</x:v>
      </x:c>
      <x:c r="S1317" s="29" t="n">
        <x:v>0</x:v>
      </x:c>
    </x:row>
    <x:row r="1318" ht="21.600000381469727" hidden="0" customHeight="1">
      <x:c r="A1318" s="27" t="n">
        <x:v>438</x:v>
      </x:c>
      <x:c r="B1318" s="27" t="str">
        <x:v>A3</x:v>
      </x:c>
      <x:c r="C1318" s="47" t="n">
        <x:v>0.9138317303740369</x:v>
      </x:c>
      <x:c r="D1318" s="47" t="n">
        <x:v>0.9907021031203114</x:v>
      </x:c>
      <x:c r="E1318" s="47" t="n">
        <x:v>0.4824408917293213</x:v>
      </x:c>
      <x:c r="F1318" s="47" t="n">
        <x:v>-0.02083882820100469</x:v>
      </x:c>
      <x:c r="G1318" s="47" t="n">
        <x:v>0.029772489317513223</x:v>
      </x:c>
      <x:c r="H1318" s="47" t="n">
        <x:v>1.059065651073336</x:v>
      </x:c>
      <x:c r="I1318" s="47" t="n">
        <x:v>0.9299527708531232</x:v>
      </x:c>
      <x:c r="J1318" s="47" t="n">
        <x:v>0.42681762046741173</x:v>
      </x:c>
      <x:c r="K1318" s="47" t="n">
        <x:v>0.6099010314557302</x:v>
      </x:c>
      <x:c r="L1318" s="47" t="n">
        <x:v>0.6790080665947733</x:v>
      </x:c>
      <x:c r="M1318" s="47" t="n">
        <x:v>0.06819461221533042</x:v>
      </x:c>
      <x:c r="N1318" s="47" t="n">
        <x:v>0.7850352036548961</x:v>
      </x:c>
      <x:c r="O1318" s="47" t="n">
        <x:v>1</x:v>
      </x:c>
      <x:c r="P1318" s="47" t="n">
        <x:v>1</x:v>
      </x:c>
      <x:c r="Q1318" s="47" t="n">
        <x:v>1</x:v>
      </x:c>
      <x:c r="R1318" s="47" t="n">
        <x:v>1</x:v>
      </x:c>
      <x:c r="S1318" s="27" t="n">
        <x:v>1</x:v>
      </x:c>
    </x:row>
    <x:row r="1319" ht="21.600000381469727" hidden="0" customHeight="1">
      <x:c r="A1319" s="29" t="n">
        <x:v>439</x:v>
      </x:c>
      <x:c r="B1319" s="29" t="str">
        <x:v>A1</x:v>
      </x:c>
      <x:c r="C1319" s="48" t="n">
        <x:v>0.9991367186811246</x:v>
      </x:c>
      <x:c r="D1319" s="48" t="n">
        <x:v>0.8819617596360616</x:v>
      </x:c>
      <x:c r="E1319" s="48" t="n">
        <x:v>1.034142258826968</x:v>
      </x:c>
      <x:c r="F1319" s="48" t="n">
        <x:v>-0.04816091027149516</x:v>
      </x:c>
      <x:c r="G1319" s="48" t="n">
        <x:v>-0.18194434947745308</x:v>
      </x:c>
      <x:c r="H1319" s="48" t="n">
        <x:v>0.6605777447171237</x:v>
      </x:c>
      <x:c r="I1319" s="48" t="n">
        <x:v>0.6991873629472527</x:v>
      </x:c>
      <x:c r="J1319" s="48" t="n">
        <x:v>0.4090884103073374</x:v>
      </x:c>
      <x:c r="K1319" s="48" t="n">
        <x:v>0.9691236494062301</x:v>
      </x:c>
      <x:c r="L1319" s="48" t="n">
        <x:v>0.6130686732669484</x:v>
      </x:c>
      <x:c r="M1319" s="48" t="n">
        <x:v>0.14028537762954724</x:v>
      </x:c>
      <x:c r="N1319" s="48" t="n">
        <x:v>0.8180217826272255</x:v>
      </x:c>
      <x:c r="O1319" s="48" t="n">
        <x:v>0.8888025276125501</x:v>
      </x:c>
      <x:c r="P1319" s="48" t="n">
        <x:v>0.6617198792091872</x:v>
      </x:c>
      <x:c r="Q1319" s="48" t="n">
        <x:v>1</x:v>
      </x:c>
      <x:c r="R1319" s="48" t="n">
        <x:v>0.8626885747629255</x:v>
      </x:c>
      <x:c r="S1319" s="29" t="n">
        <x:v>0</x:v>
      </x:c>
    </x:row>
    <x:row r="1320" ht="21.600000381469727" hidden="0" customHeight="1">
      <x:c r="A1320" s="27" t="n">
        <x:v>439</x:v>
      </x:c>
      <x:c r="B1320" s="27" t="str">
        <x:v>A2</x:v>
      </x:c>
      <x:c r="C1320" s="47" t="n">
        <x:v>0.9991367186811246</x:v>
      </x:c>
      <x:c r="D1320" s="47" t="n">
        <x:v>0.8819617596360616</x:v>
      </x:c>
      <x:c r="E1320" s="47" t="n">
        <x:v>1.034142258826968</x:v>
      </x:c>
      <x:c r="F1320" s="47" t="n">
        <x:v>-0.04816091027149516</x:v>
      </x:c>
      <x:c r="G1320" s="47" t="n">
        <x:v>-0.18194434947745308</x:v>
      </x:c>
      <x:c r="H1320" s="47" t="n">
        <x:v>0.6605777447171237</x:v>
      </x:c>
      <x:c r="I1320" s="47" t="n">
        <x:v>0.6991873629472527</x:v>
      </x:c>
      <x:c r="J1320" s="47" t="n">
        <x:v>0.4090884103073374</x:v>
      </x:c>
      <x:c r="K1320" s="47" t="n">
        <x:v>0.9691236494062301</x:v>
      </x:c>
      <x:c r="L1320" s="47" t="n">
        <x:v>0.6130686732669484</x:v>
      </x:c>
      <x:c r="M1320" s="47" t="n">
        <x:v>0.14028537762954724</x:v>
      </x:c>
      <x:c r="N1320" s="47" t="n">
        <x:v>0.8180217826272255</x:v>
      </x:c>
      <x:c r="O1320" s="47" t="n">
        <x:v>0.9819632852692068</x:v>
      </x:c>
      <x:c r="P1320" s="47" t="n">
        <x:v>0.8903402429741585</x:v>
      </x:c>
      <x:c r="Q1320" s="47" t="n">
        <x:v>1</x:v>
      </x:c>
      <x:c r="R1320" s="47" t="n">
        <x:v>0.9777274882863319</x:v>
      </x:c>
      <x:c r="S1320" s="27" t="n">
        <x:v>0</x:v>
      </x:c>
    </x:row>
    <x:row r="1321" ht="21.600000381469727" hidden="0" customHeight="1">
      <x:c r="A1321" s="29" t="n">
        <x:v>439</x:v>
      </x:c>
      <x:c r="B1321" s="29" t="str">
        <x:v>A3</x:v>
      </x:c>
      <x:c r="C1321" s="48" t="n">
        <x:v>0.9991367186811246</x:v>
      </x:c>
      <x:c r="D1321" s="48" t="n">
        <x:v>0.8819617596360616</x:v>
      </x:c>
      <x:c r="E1321" s="48" t="n">
        <x:v>1.034142258826968</x:v>
      </x:c>
      <x:c r="F1321" s="48" t="n">
        <x:v>-0.04816091027149516</x:v>
      </x:c>
      <x:c r="G1321" s="48" t="n">
        <x:v>-0.18194434947745308</x:v>
      </x:c>
      <x:c r="H1321" s="48" t="n">
        <x:v>0.6605777447171237</x:v>
      </x:c>
      <x:c r="I1321" s="48" t="n">
        <x:v>0.6991873629472527</x:v>
      </x:c>
      <x:c r="J1321" s="48" t="n">
        <x:v>0.4090884103073374</x:v>
      </x:c>
      <x:c r="K1321" s="48" t="n">
        <x:v>0.9691236494062301</x:v>
      </x:c>
      <x:c r="L1321" s="48" t="n">
        <x:v>0.6130686732669484</x:v>
      </x:c>
      <x:c r="M1321" s="48" t="n">
        <x:v>0.14028537762954724</x:v>
      </x:c>
      <x:c r="N1321" s="48" t="n">
        <x:v>0.8180217826272255</x:v>
      </x:c>
      <x:c r="O1321" s="48" t="n">
        <x:v>1</x:v>
      </x:c>
      <x:c r="P1321" s="48" t="n">
        <x:v>1</x:v>
      </x:c>
      <x:c r="Q1321" s="48" t="n">
        <x:v>1</x:v>
      </x:c>
      <x:c r="R1321" s="48" t="n">
        <x:v>1</x:v>
      </x:c>
      <x:c r="S1321" s="29" t="n">
        <x:v>1</x:v>
      </x:c>
    </x:row>
    <x:row r="1322" ht="21.600000381469727" hidden="0" customHeight="1">
      <x:c r="A1322" s="27" t="n">
        <x:v>440</x:v>
      </x:c>
      <x:c r="B1322" s="27" t="str">
        <x:v>A1</x:v>
      </x:c>
      <x:c r="C1322" s="47" t="n">
        <x:v>1.1309315434175926</x:v>
      </x:c>
      <x:c r="D1322" s="47" t="n">
        <x:v>0.7716532814649923</x:v>
      </x:c>
      <x:c r="E1322" s="47" t="n">
        <x:v>0.9977841468229292</x:v>
      </x:c>
      <x:c r="F1322" s="47" t="n">
        <x:v>-0.038309418844745174</x:v>
      </x:c>
      <x:c r="G1322" s="47" t="n">
        <x:v>-0.0624507776210928</x:v>
      </x:c>
      <x:c r="H1322" s="47" t="n">
        <x:v>1.0383614906111471</x:v>
      </x:c>
      <x:c r="I1322" s="47" t="n">
        <x:v>0.6544242075537693</x:v>
      </x:c>
      <x:c r="J1322" s="47" t="n">
        <x:v>0.9195902944541781</x:v>
      </x:c>
      <x:c r="K1322" s="47" t="n">
        <x:v>0.5611866565379623</x:v>
      </x:c>
      <x:c r="L1322" s="47" t="n">
        <x:v>0.909448628957225</x:v>
      </x:c>
      <x:c r="M1322" s="47" t="n">
        <x:v>0.13911952127873306</x:v>
      </x:c>
      <x:c r="N1322" s="47" t="n">
        <x:v>0.7636021895171905</x:v>
      </x:c>
      <x:c r="O1322" s="47" t="n">
        <x:v>0.7909515991671483</x:v>
      </x:c>
      <x:c r="P1322" s="47" t="n">
        <x:v>0.4340000834033667</x:v>
      </x:c>
      <x:c r="Q1322" s="47" t="n">
        <x:v>1</x:v>
      </x:c>
      <x:c r="R1322" s="47" t="n">
        <x:v>0.7418580364680141</x:v>
      </x:c>
      <x:c r="S1322" s="27" t="n">
        <x:v>0</x:v>
      </x:c>
    </x:row>
    <x:row r="1323" ht="21.600000381469727" hidden="0" customHeight="1">
      <x:c r="A1323" s="29" t="n">
        <x:v>440</x:v>
      </x:c>
      <x:c r="B1323" s="29" t="str">
        <x:v>A2</x:v>
      </x:c>
      <x:c r="C1323" s="48" t="n">
        <x:v>1.1309315434175926</x:v>
      </x:c>
      <x:c r="D1323" s="48" t="n">
        <x:v>0.7716532814649923</x:v>
      </x:c>
      <x:c r="E1323" s="48" t="n">
        <x:v>0.9977841468229292</x:v>
      </x:c>
      <x:c r="F1323" s="48" t="n">
        <x:v>-0.038309418844745174</x:v>
      </x:c>
      <x:c r="G1323" s="48" t="n">
        <x:v>-0.0624507776210928</x:v>
      </x:c>
      <x:c r="H1323" s="48" t="n">
        <x:v>1.0383614906111471</x:v>
      </x:c>
      <x:c r="I1323" s="48" t="n">
        <x:v>0.6544242075537693</x:v>
      </x:c>
      <x:c r="J1323" s="48" t="n">
        <x:v>0.9195902944541781</x:v>
      </x:c>
      <x:c r="K1323" s="48" t="n">
        <x:v>0.5611866565379623</x:v>
      </x:c>
      <x:c r="L1323" s="48" t="n">
        <x:v>0.909448628957225</x:v>
      </x:c>
      <x:c r="M1323" s="48" t="n">
        <x:v>0.13911952127873306</x:v>
      </x:c>
      <x:c r="N1323" s="48" t="n">
        <x:v>0.7636021895171905</x:v>
      </x:c>
      <x:c r="O1323" s="48" t="n">
        <x:v>0.8817770795875344</x:v>
      </x:c>
      <x:c r="P1323" s="48" t="n">
        <x:v>0.48894828877470825</x:v>
      </x:c>
      <x:c r="Q1323" s="48" t="n">
        <x:v>1</x:v>
      </x:c>
      <x:c r="R1323" s="48" t="n">
        <x:v>0.8540132491414704</x:v>
      </x:c>
      <x:c r="S1323" s="29" t="n">
        <x:v>0</x:v>
      </x:c>
    </x:row>
    <x:row r="1324" ht="21.600000381469727" hidden="0" customHeight="1">
      <x:c r="A1324" s="27" t="n">
        <x:v>440</x:v>
      </x:c>
      <x:c r="B1324" s="27" t="str">
        <x:v>A3</x:v>
      </x:c>
      <x:c r="C1324" s="47" t="n">
        <x:v>1.1309315434175926</x:v>
      </x:c>
      <x:c r="D1324" s="47" t="n">
        <x:v>0.7716532814649923</x:v>
      </x:c>
      <x:c r="E1324" s="47" t="n">
        <x:v>0.9977841468229292</x:v>
      </x:c>
      <x:c r="F1324" s="47" t="n">
        <x:v>-0.038309418844745174</x:v>
      </x:c>
      <x:c r="G1324" s="47" t="n">
        <x:v>-0.0624507776210928</x:v>
      </x:c>
      <x:c r="H1324" s="47" t="n">
        <x:v>1.0383614906111471</x:v>
      </x:c>
      <x:c r="I1324" s="47" t="n">
        <x:v>0.6544242075537693</x:v>
      </x:c>
      <x:c r="J1324" s="47" t="n">
        <x:v>0.9195902944541781</x:v>
      </x:c>
      <x:c r="K1324" s="47" t="n">
        <x:v>0.5611866565379623</x:v>
      </x:c>
      <x:c r="L1324" s="47" t="n">
        <x:v>0.909448628957225</x:v>
      </x:c>
      <x:c r="M1324" s="47" t="n">
        <x:v>0.13911952127873306</x:v>
      </x:c>
      <x:c r="N1324" s="47" t="n">
        <x:v>0.7636021895171905</x:v>
      </x:c>
      <x:c r="O1324" s="47" t="n">
        <x:v>1</x:v>
      </x:c>
      <x:c r="P1324" s="47" t="n">
        <x:v>1</x:v>
      </x:c>
      <x:c r="Q1324" s="47" t="n">
        <x:v>1</x:v>
      </x:c>
      <x:c r="R1324" s="47" t="n">
        <x:v>1</x:v>
      </x:c>
      <x:c r="S1324" s="27" t="n">
        <x:v>1</x:v>
      </x:c>
    </x:row>
    <x:row r="1325" ht="21.600000381469727" hidden="0" customHeight="1">
      <x:c r="A1325" s="29" t="n">
        <x:v>441</x:v>
      </x:c>
      <x:c r="B1325" s="29" t="str">
        <x:v>A1</x:v>
      </x:c>
      <x:c r="C1325" s="48" t="n">
        <x:v>1.3364110575242265</x:v>
      </x:c>
      <x:c r="D1325" s="48" t="n">
        <x:v>0.8480461589585728</x:v>
      </x:c>
      <x:c r="E1325" s="48" t="n">
        <x:v>1.0516098643059677</x:v>
      </x:c>
      <x:c r="F1325" s="48" t="n">
        <x:v>-0.1180386881575641</x:v>
      </x:c>
      <x:c r="G1325" s="48" t="n">
        <x:v>-0.10671218898936756</x:v>
      </x:c>
      <x:c r="H1325" s="48" t="n">
        <x:v>0.463650511603296</x:v>
      </x:c>
      <x:c r="I1325" s="48" t="n">
        <x:v>0.962078346112301</x:v>
      </x:c>
      <x:c r="J1325" s="48" t="n">
        <x:v>0.5062794553506373</x:v>
      </x:c>
      <x:c r="K1325" s="48" t="n">
        <x:v>0.7636607881554303</x:v>
      </x:c>
      <x:c r="L1325" s="48" t="n">
        <x:v>0.912987536409315</x:v>
      </x:c>
      <x:c r="M1325" s="48" t="n">
        <x:v>0.029728806440063076</x:v>
      </x:c>
      <x:c r="N1325" s="48" t="n">
        <x:v>0.7038169148807154</x:v>
      </x:c>
      <x:c r="O1325" s="48" t="n">
        <x:v>0.7985976294158543</x:v>
      </x:c>
      <x:c r="P1325" s="48" t="n">
        <x:v>0.5225696416319661</x:v>
      </x:c>
      <x:c r="Q1325" s="48" t="n">
        <x:v>1</x:v>
      </x:c>
      <x:c r="R1325" s="48" t="n">
        <x:v>0.7512996837313388</x:v>
      </x:c>
      <x:c r="S1325" s="29" t="n">
        <x:v>0</x:v>
      </x:c>
    </x:row>
    <x:row r="1326" ht="21.600000381469727" hidden="0" customHeight="1">
      <x:c r="A1326" s="27" t="n">
        <x:v>441</x:v>
      </x:c>
      <x:c r="B1326" s="27" t="str">
        <x:v>A2</x:v>
      </x:c>
      <x:c r="C1326" s="47" t="n">
        <x:v>1.3364110575242265</x:v>
      </x:c>
      <x:c r="D1326" s="47" t="n">
        <x:v>0.8480461589585728</x:v>
      </x:c>
      <x:c r="E1326" s="47" t="n">
        <x:v>1.0516098643059677</x:v>
      </x:c>
      <x:c r="F1326" s="47" t="n">
        <x:v>-0.1180386881575641</x:v>
      </x:c>
      <x:c r="G1326" s="47" t="n">
        <x:v>-0.10671218898936756</x:v>
      </x:c>
      <x:c r="H1326" s="47" t="n">
        <x:v>0.463650511603296</x:v>
      </x:c>
      <x:c r="I1326" s="47" t="n">
        <x:v>0.962078346112301</x:v>
      </x:c>
      <x:c r="J1326" s="47" t="n">
        <x:v>0.5062794553506373</x:v>
      </x:c>
      <x:c r="K1326" s="47" t="n">
        <x:v>0.7636607881554303</x:v>
      </x:c>
      <x:c r="L1326" s="47" t="n">
        <x:v>0.912987536409315</x:v>
      </x:c>
      <x:c r="M1326" s="47" t="n">
        <x:v>0.029728806440063076</x:v>
      </x:c>
      <x:c r="N1326" s="47" t="n">
        <x:v>0.7038169148807154</x:v>
      </x:c>
      <x:c r="O1326" s="47" t="n">
        <x:v>0.8877585499174914</x:v>
      </x:c>
      <x:c r="P1326" s="47" t="n">
        <x:v>0.638587871864837</x:v>
      </x:c>
      <x:c r="Q1326" s="47" t="n">
        <x:v>1</x:v>
      </x:c>
      <x:c r="R1326" s="47" t="n">
        <x:v>0.8613994261685692</x:v>
      </x:c>
      <x:c r="S1326" s="27" t="n">
        <x:v>0</x:v>
      </x:c>
    </x:row>
    <x:row r="1327" ht="21.600000381469727" hidden="0" customHeight="1">
      <x:c r="A1327" s="29" t="n">
        <x:v>441</x:v>
      </x:c>
      <x:c r="B1327" s="29" t="str">
        <x:v>A3</x:v>
      </x:c>
      <x:c r="C1327" s="48" t="n">
        <x:v>1.3364110575242265</x:v>
      </x:c>
      <x:c r="D1327" s="48" t="n">
        <x:v>0.8480461589585728</x:v>
      </x:c>
      <x:c r="E1327" s="48" t="n">
        <x:v>1.0516098643059677</x:v>
      </x:c>
      <x:c r="F1327" s="48" t="n">
        <x:v>-0.1180386881575641</x:v>
      </x:c>
      <x:c r="G1327" s="48" t="n">
        <x:v>-0.10671218898936756</x:v>
      </x:c>
      <x:c r="H1327" s="48" t="n">
        <x:v>0.463650511603296</x:v>
      </x:c>
      <x:c r="I1327" s="48" t="n">
        <x:v>0.962078346112301</x:v>
      </x:c>
      <x:c r="J1327" s="48" t="n">
        <x:v>0.5062794553506373</x:v>
      </x:c>
      <x:c r="K1327" s="48" t="n">
        <x:v>0.7636607881554303</x:v>
      </x:c>
      <x:c r="L1327" s="48" t="n">
        <x:v>0.912987536409315</x:v>
      </x:c>
      <x:c r="M1327" s="48" t="n">
        <x:v>0.029728806440063076</x:v>
      </x:c>
      <x:c r="N1327" s="48" t="n">
        <x:v>0.7038169148807154</x:v>
      </x:c>
      <x:c r="O1327" s="48" t="n">
        <x:v>1</x:v>
      </x:c>
      <x:c r="P1327" s="48" t="n">
        <x:v>1</x:v>
      </x:c>
      <x:c r="Q1327" s="48" t="n">
        <x:v>1</x:v>
      </x:c>
      <x:c r="R1327" s="48" t="n">
        <x:v>1</x:v>
      </x:c>
      <x:c r="S1327" s="29" t="n">
        <x:v>1</x:v>
      </x:c>
    </x:row>
    <x:row r="1328" ht="21.600000381469727" hidden="0" customHeight="1">
      <x:c r="A1328" s="27" t="n">
        <x:v>442</x:v>
      </x:c>
      <x:c r="B1328" s="27" t="str">
        <x:v>A1</x:v>
      </x:c>
      <x:c r="C1328" s="47" t="n">
        <x:v>1.0311908374685337</x:v>
      </x:c>
      <x:c r="D1328" s="47" t="n">
        <x:v>0.7700314514510356</x:v>
      </x:c>
      <x:c r="E1328" s="47" t="n">
        <x:v>1.08584439668506</x:v>
      </x:c>
      <x:c r="F1328" s="47" t="n">
        <x:v>-0.08399709090794484</x:v>
      </x:c>
      <x:c r="G1328" s="47" t="n">
        <x:v>-0.09981538925056416</x:v>
      </x:c>
      <x:c r="H1328" s="47" t="n">
        <x:v>0.5415920651178489</x:v>
      </x:c>
      <x:c r="I1328" s="47" t="n">
        <x:v>0.6046329959917066</x:v>
      </x:c>
      <x:c r="J1328" s="47" t="n">
        <x:v>0.957899691120067</x:v>
      </x:c>
      <x:c r="K1328" s="47" t="n">
        <x:v>0.6282909112586084</x:v>
      </x:c>
      <x:c r="L1328" s="47" t="n">
        <x:v>0.6318415671066813</x:v>
      </x:c>
      <x:c r="M1328" s="47" t="n">
        <x:v>0.1216829869485484</x:v>
      </x:c>
      <x:c r="N1328" s="47" t="n">
        <x:v>0.7784922189959648</x:v>
      </x:c>
      <x:c r="O1328" s="47" t="n">
        <x:v>0.8434427058117462</x:v>
      </x:c>
      <x:c r="P1328" s="47" t="n">
        <x:v>0.47742736971739624</x:v>
      </x:c>
      <x:c r="Q1328" s="47" t="n">
        <x:v>0.9999999999999999</x:v>
      </x:c>
      <x:c r="R1328" s="47" t="n">
        <x:v>0.8066763143559066</x:v>
      </x:c>
      <x:c r="S1328" s="27" t="n">
        <x:v>0</x:v>
      </x:c>
    </x:row>
    <x:row r="1329" ht="21.600000381469727" hidden="0" customHeight="1">
      <x:c r="A1329" s="29" t="n">
        <x:v>442</x:v>
      </x:c>
      <x:c r="B1329" s="29" t="str">
        <x:v>A2</x:v>
      </x:c>
      <x:c r="C1329" s="48" t="n">
        <x:v>1.0311908374685337</x:v>
      </x:c>
      <x:c r="D1329" s="48" t="n">
        <x:v>0.7700314514510356</x:v>
      </x:c>
      <x:c r="E1329" s="48" t="n">
        <x:v>1.08584439668506</x:v>
      </x:c>
      <x:c r="F1329" s="48" t="n">
        <x:v>-0.08399709090794484</x:v>
      </x:c>
      <x:c r="G1329" s="48" t="n">
        <x:v>-0.09981538925056416</x:v>
      </x:c>
      <x:c r="H1329" s="48" t="n">
        <x:v>0.5415920651178489</x:v>
      </x:c>
      <x:c r="I1329" s="48" t="n">
        <x:v>0.6046329959917066</x:v>
      </x:c>
      <x:c r="J1329" s="48" t="n">
        <x:v>0.957899691120067</x:v>
      </x:c>
      <x:c r="K1329" s="48" t="n">
        <x:v>0.6282909112586084</x:v>
      </x:c>
      <x:c r="L1329" s="48" t="n">
        <x:v>0.6318415671066813</x:v>
      </x:c>
      <x:c r="M1329" s="48" t="n">
        <x:v>0.1216829869485484</x:v>
      </x:c>
      <x:c r="N1329" s="48" t="n">
        <x:v>0.7784922189959648</x:v>
      </x:c>
      <x:c r="O1329" s="48" t="n">
        <x:v>0.9246732523113559</x:v>
      </x:c>
      <x:c r="P1329" s="48" t="n">
        <x:v>0.620515912275055</x:v>
      </x:c>
      <x:c r="Q1329" s="48" t="n">
        <x:v>1</x:v>
      </x:c>
      <x:c r="R1329" s="48" t="n">
        <x:v>0.9069832896240488</x:v>
      </x:c>
      <x:c r="S1329" s="29" t="n">
        <x:v>0</x:v>
      </x:c>
    </x:row>
    <x:row r="1330" ht="21.600000381469727" hidden="0" customHeight="1">
      <x:c r="A1330" s="27" t="n">
        <x:v>442</x:v>
      </x:c>
      <x:c r="B1330" s="27" t="str">
        <x:v>A3</x:v>
      </x:c>
      <x:c r="C1330" s="47" t="n">
        <x:v>1.0311908374685337</x:v>
      </x:c>
      <x:c r="D1330" s="47" t="n">
        <x:v>0.7700314514510356</x:v>
      </x:c>
      <x:c r="E1330" s="47" t="n">
        <x:v>1.08584439668506</x:v>
      </x:c>
      <x:c r="F1330" s="47" t="n">
        <x:v>-0.08399709090794484</x:v>
      </x:c>
      <x:c r="G1330" s="47" t="n">
        <x:v>-0.09981538925056416</x:v>
      </x:c>
      <x:c r="H1330" s="47" t="n">
        <x:v>0.5415920651178489</x:v>
      </x:c>
      <x:c r="I1330" s="47" t="n">
        <x:v>0.6046329959917066</x:v>
      </x:c>
      <x:c r="J1330" s="47" t="n">
        <x:v>0.957899691120067</x:v>
      </x:c>
      <x:c r="K1330" s="47" t="n">
        <x:v>0.6282909112586084</x:v>
      </x:c>
      <x:c r="L1330" s="47" t="n">
        <x:v>0.6318415671066813</x:v>
      </x:c>
      <x:c r="M1330" s="47" t="n">
        <x:v>0.1216829869485484</x:v>
      </x:c>
      <x:c r="N1330" s="47" t="n">
        <x:v>0.7784922189959648</x:v>
      </x:c>
      <x:c r="O1330" s="47" t="n">
        <x:v>1</x:v>
      </x:c>
      <x:c r="P1330" s="47" t="n">
        <x:v>1</x:v>
      </x:c>
      <x:c r="Q1330" s="47" t="n">
        <x:v>1</x:v>
      </x:c>
      <x:c r="R1330" s="47" t="n">
        <x:v>1</x:v>
      </x:c>
      <x:c r="S1330" s="27" t="n">
        <x:v>1</x:v>
      </x:c>
    </x:row>
    <x:row r="1331" ht="21.600000381469727" hidden="0" customHeight="1">
      <x:c r="A1331" s="29" t="n">
        <x:v>443</x:v>
      </x:c>
      <x:c r="B1331" s="29" t="str">
        <x:v>A1</x:v>
      </x:c>
      <x:c r="C1331" s="48" t="n">
        <x:v>1.2610761900068437</x:v>
      </x:c>
      <x:c r="D1331" s="48" t="n">
        <x:v>0.7322146015777092</x:v>
      </x:c>
      <x:c r="E1331" s="48" t="n">
        <x:v>0.9549606441497627</x:v>
      </x:c>
      <x:c r="F1331" s="48" t="n">
        <x:v>-0.15788004273277895</x:v>
      </x:c>
      <x:c r="G1331" s="48" t="n">
        <x:v>-0.16240331818197978</x:v>
      </x:c>
      <x:c r="H1331" s="48" t="n">
        <x:v>0.5873499669913146</x:v>
      </x:c>
      <x:c r="I1331" s="48" t="n">
        <x:v>0.9793487091090588</x:v>
      </x:c>
      <x:c r="J1331" s="48" t="n">
        <x:v>0.7678921836250745</x:v>
      </x:c>
      <x:c r="K1331" s="48" t="n">
        <x:v>0.776636012642717</x:v>
      </x:c>
      <x:c r="L1331" s="48" t="n">
        <x:v>0.9660475403854321</x:v>
      </x:c>
      <x:c r="M1331" s="48" t="n">
        <x:v>0.04942389548824484</x:v>
      </x:c>
      <x:c r="N1331" s="48" t="n">
        <x:v>0.8436565706099498</x:v>
      </x:c>
      <x:c r="O1331" s="48" t="n">
        <x:v>0.7710943605643992</x:v>
      </x:c>
      <x:c r="P1331" s="48" t="n">
        <x:v>0.46631707221667845</x:v>
      </x:c>
      <x:c r="Q1331" s="48" t="n">
        <x:v>0.9713544542861043</x:v>
      </x:c>
      <x:c r="R1331" s="48" t="n">
        <x:v>0.7175502097875067</x:v>
      </x:c>
      <x:c r="S1331" s="29" t="n">
        <x:v>0</x:v>
      </x:c>
    </x:row>
    <x:row r="1332" ht="21.600000381469727" hidden="0" customHeight="1">
      <x:c r="A1332" s="27" t="n">
        <x:v>443</x:v>
      </x:c>
      <x:c r="B1332" s="27" t="str">
        <x:v>A2</x:v>
      </x:c>
      <x:c r="C1332" s="47" t="n">
        <x:v>1.2610761900068437</x:v>
      </x:c>
      <x:c r="D1332" s="47" t="n">
        <x:v>0.7322146015777092</x:v>
      </x:c>
      <x:c r="E1332" s="47" t="n">
        <x:v>0.9549606441497627</x:v>
      </x:c>
      <x:c r="F1332" s="47" t="n">
        <x:v>-0.15788004273277895</x:v>
      </x:c>
      <x:c r="G1332" s="47" t="n">
        <x:v>-0.16240331818197978</x:v>
      </x:c>
      <x:c r="H1332" s="47" t="n">
        <x:v>0.5873499669913146</x:v>
      </x:c>
      <x:c r="I1332" s="47" t="n">
        <x:v>0.9793487091090588</x:v>
      </x:c>
      <x:c r="J1332" s="47" t="n">
        <x:v>0.7678921836250745</x:v>
      </x:c>
      <x:c r="K1332" s="47" t="n">
        <x:v>0.776636012642717</x:v>
      </x:c>
      <x:c r="L1332" s="47" t="n">
        <x:v>0.9660475403854321</x:v>
      </x:c>
      <x:c r="M1332" s="47" t="n">
        <x:v>0.04942389548824484</x:v>
      </x:c>
      <x:c r="N1332" s="47" t="n">
        <x:v>0.8436565706099498</x:v>
      </x:c>
      <x:c r="O1332" s="47" t="n">
        <x:v>0.8661097483837863</x:v>
      </x:c>
      <x:c r="P1332" s="47" t="n">
        <x:v>0.6163039851926114</x:v>
      </x:c>
      <x:c r="Q1332" s="47" t="n">
        <x:v>1</x:v>
      </x:c>
      <x:c r="R1332" s="47" t="n">
        <x:v>0.8346665541936565</x:v>
      </x:c>
      <x:c r="S1332" s="27" t="n">
        <x:v>0</x:v>
      </x:c>
    </x:row>
    <x:row r="1333" ht="21.600000381469727" hidden="0" customHeight="1">
      <x:c r="A1333" s="29" t="n">
        <x:v>443</x:v>
      </x:c>
      <x:c r="B1333" s="29" t="str">
        <x:v>A3</x:v>
      </x:c>
      <x:c r="C1333" s="48" t="n">
        <x:v>1.2610761900068437</x:v>
      </x:c>
      <x:c r="D1333" s="48" t="n">
        <x:v>0.7322146015777092</x:v>
      </x:c>
      <x:c r="E1333" s="48" t="n">
        <x:v>0.9549606441497627</x:v>
      </x:c>
      <x:c r="F1333" s="48" t="n">
        <x:v>-0.15788004273277895</x:v>
      </x:c>
      <x:c r="G1333" s="48" t="n">
        <x:v>-0.16240331818197978</x:v>
      </x:c>
      <x:c r="H1333" s="48" t="n">
        <x:v>0.5873499669913146</x:v>
      </x:c>
      <x:c r="I1333" s="48" t="n">
        <x:v>0.9793487091090588</x:v>
      </x:c>
      <x:c r="J1333" s="48" t="n">
        <x:v>0.7678921836250745</x:v>
      </x:c>
      <x:c r="K1333" s="48" t="n">
        <x:v>0.776636012642717</x:v>
      </x:c>
      <x:c r="L1333" s="48" t="n">
        <x:v>0.9660475403854321</x:v>
      </x:c>
      <x:c r="M1333" s="48" t="n">
        <x:v>0.04942389548824484</x:v>
      </x:c>
      <x:c r="N1333" s="48" t="n">
        <x:v>0.8436565706099498</x:v>
      </x:c>
      <x:c r="O1333" s="48" t="n">
        <x:v>1</x:v>
      </x:c>
      <x:c r="P1333" s="48" t="n">
        <x:v>1</x:v>
      </x:c>
      <x:c r="Q1333" s="48" t="n">
        <x:v>1</x:v>
      </x:c>
      <x:c r="R1333" s="48" t="n">
        <x:v>1</x:v>
      </x:c>
      <x:c r="S1333" s="29" t="n">
        <x:v>1</x:v>
      </x:c>
    </x:row>
    <x:row r="1334" ht="21.600000381469727" hidden="0" customHeight="1">
      <x:c r="A1334" s="27" t="n">
        <x:v>444</x:v>
      </x:c>
      <x:c r="B1334" s="27" t="str">
        <x:v>A1</x:v>
      </x:c>
      <x:c r="C1334" s="47" t="n">
        <x:v>0.9303259596269129</x:v>
      </x:c>
      <x:c r="D1334" s="47" t="n">
        <x:v>0.8162218017286906</x:v>
      </x:c>
      <x:c r="E1334" s="47" t="n">
        <x:v>0.5315723159713412</x:v>
      </x:c>
      <x:c r="F1334" s="47" t="n">
        <x:v>-0.15432990503707467</x:v>
      </x:c>
      <x:c r="G1334" s="47" t="n">
        <x:v>-0.05658549166888119</x:v>
      </x:c>
      <x:c r="H1334" s="47" t="n">
        <x:v>1.0065919390733093</x:v>
      </x:c>
      <x:c r="I1334" s="47" t="n">
        <x:v>0.7531404536395747</x:v>
      </x:c>
      <x:c r="J1334" s="47" t="n">
        <x:v>0.7844376113472293</x:v>
      </x:c>
      <x:c r="K1334" s="47" t="n">
        <x:v>0.8918306828983976</x:v>
      </x:c>
      <x:c r="L1334" s="47" t="n">
        <x:v>0.9186413701528074</x:v>
      </x:c>
      <x:c r="M1334" s="47" t="n">
        <x:v>0.07590999207893716</x:v>
      </x:c>
      <x:c r="N1334" s="47" t="n">
        <x:v>0.8074397586841482</x:v>
      </x:c>
      <x:c r="O1334" s="47" t="n">
        <x:v>0.9116466126360884</x:v>
      </x:c>
      <x:c r="P1334" s="47" t="n">
        <x:v>0.537539562323628</x:v>
      </x:c>
      <x:c r="Q1334" s="47" t="n">
        <x:v>1</x:v>
      </x:c>
      <x:c r="R1334" s="47" t="n">
        <x:v>0.8908974342403194</x:v>
      </x:c>
      <x:c r="S1334" s="27" t="n">
        <x:v>0</x:v>
      </x:c>
    </x:row>
    <x:row r="1335" ht="21.600000381469727" hidden="0" customHeight="1">
      <x:c r="A1335" s="29" t="n">
        <x:v>444</x:v>
      </x:c>
      <x:c r="B1335" s="29" t="str">
        <x:v>A2</x:v>
      </x:c>
      <x:c r="C1335" s="48" t="n">
        <x:v>0.9303259596269129</x:v>
      </x:c>
      <x:c r="D1335" s="48" t="n">
        <x:v>0.8162218017286906</x:v>
      </x:c>
      <x:c r="E1335" s="48" t="n">
        <x:v>0.5315723159713412</x:v>
      </x:c>
      <x:c r="F1335" s="48" t="n">
        <x:v>-0.15432990503707467</x:v>
      </x:c>
      <x:c r="G1335" s="48" t="n">
        <x:v>-0.05658549166888119</x:v>
      </x:c>
      <x:c r="H1335" s="48" t="n">
        <x:v>1.0065919390733093</x:v>
      </x:c>
      <x:c r="I1335" s="48" t="n">
        <x:v>0.7531404536395747</x:v>
      </x:c>
      <x:c r="J1335" s="48" t="n">
        <x:v>0.7844376113472293</x:v>
      </x:c>
      <x:c r="K1335" s="48" t="n">
        <x:v>0.8918306828983976</x:v>
      </x:c>
      <x:c r="L1335" s="48" t="n">
        <x:v>0.9186413701528074</x:v>
      </x:c>
      <x:c r="M1335" s="48" t="n">
        <x:v>0.07590999207893716</x:v>
      </x:c>
      <x:c r="N1335" s="48" t="n">
        <x:v>0.8074397586841482</x:v>
      </x:c>
      <x:c r="O1335" s="48" t="n">
        <x:v>0.9797072285497774</x:v>
      </x:c>
      <x:c r="P1335" s="48" t="n">
        <x:v>0.8295739639347909</x:v>
      </x:c>
      <x:c r="Q1335" s="48" t="n">
        <x:v>1</x:v>
      </x:c>
      <x:c r="R1335" s="48" t="n">
        <x:v>0.974941612340509</x:v>
      </x:c>
      <x:c r="S1335" s="29" t="n">
        <x:v>0</x:v>
      </x:c>
    </x:row>
    <x:row r="1336" ht="21.600000381469727" hidden="0" customHeight="1">
      <x:c r="A1336" s="27" t="n">
        <x:v>444</x:v>
      </x:c>
      <x:c r="B1336" s="27" t="str">
        <x:v>A3</x:v>
      </x:c>
      <x:c r="C1336" s="47" t="n">
        <x:v>0.9303259596269129</x:v>
      </x:c>
      <x:c r="D1336" s="47" t="n">
        <x:v>0.8162218017286906</x:v>
      </x:c>
      <x:c r="E1336" s="47" t="n">
        <x:v>0.5315723159713412</x:v>
      </x:c>
      <x:c r="F1336" s="47" t="n">
        <x:v>-0.15432990503707467</x:v>
      </x:c>
      <x:c r="G1336" s="47" t="n">
        <x:v>-0.05658549166888119</x:v>
      </x:c>
      <x:c r="H1336" s="47" t="n">
        <x:v>1.0065919390733093</x:v>
      </x:c>
      <x:c r="I1336" s="47" t="n">
        <x:v>0.7531404536395747</x:v>
      </x:c>
      <x:c r="J1336" s="47" t="n">
        <x:v>0.7844376113472293</x:v>
      </x:c>
      <x:c r="K1336" s="47" t="n">
        <x:v>0.8918306828983976</x:v>
      </x:c>
      <x:c r="L1336" s="47" t="n">
        <x:v>0.9186413701528074</x:v>
      </x:c>
      <x:c r="M1336" s="47" t="n">
        <x:v>0.07590999207893716</x:v>
      </x:c>
      <x:c r="N1336" s="47" t="n">
        <x:v>0.8074397586841482</x:v>
      </x:c>
      <x:c r="O1336" s="47" t="n">
        <x:v>1</x:v>
      </x:c>
      <x:c r="P1336" s="47" t="n">
        <x:v>1</x:v>
      </x:c>
      <x:c r="Q1336" s="47" t="n">
        <x:v>1</x:v>
      </x:c>
      <x:c r="R1336" s="47" t="n">
        <x:v>1</x:v>
      </x:c>
      <x:c r="S1336" s="27" t="n">
        <x:v>1</x:v>
      </x:c>
    </x:row>
    <x:row r="1337" ht="21.600000381469727" hidden="0" customHeight="1">
      <x:c r="A1337" s="29" t="n">
        <x:v>445</x:v>
      </x:c>
      <x:c r="B1337" s="29" t="str">
        <x:v>A1</x:v>
      </x:c>
      <x:c r="C1337" s="48" t="n">
        <x:v>0.9597172522151088</x:v>
      </x:c>
      <x:c r="D1337" s="48" t="n">
        <x:v>0.8301930076918586</x:v>
      </x:c>
      <x:c r="E1337" s="48" t="n">
        <x:v>0.9153026744993227</x:v>
      </x:c>
      <x:c r="F1337" s="48" t="n">
        <x:v>-0.05493619266070557</x:v>
      </x:c>
      <x:c r="G1337" s="48" t="n">
        <x:v>0.009434509846046352</x:v>
      </x:c>
      <x:c r="H1337" s="48" t="n">
        <x:v>0.5112008192355338</x:v>
      </x:c>
      <x:c r="I1337" s="48" t="n">
        <x:v>0.797086298759794</x:v>
      </x:c>
      <x:c r="J1337" s="48" t="n">
        <x:v>0.8599274374782933</x:v>
      </x:c>
      <x:c r="K1337" s="48" t="n">
        <x:v>0.9009549811544678</x:v>
      </x:c>
      <x:c r="L1337" s="48" t="n">
        <x:v>0.5425138885869869</x:v>
      </x:c>
      <x:c r="M1337" s="48" t="n">
        <x:v>0.04854158645629168</x:v>
      </x:c>
      <x:c r="N1337" s="48" t="n">
        <x:v>0.9576755919756271</x:v>
      </x:c>
      <x:c r="O1337" s="48" t="n">
        <x:v>0.8807312843896211</x:v>
      </x:c>
      <x:c r="P1337" s="48" t="n">
        <x:v>0.5068895061288616</x:v>
      </x:c>
      <x:c r="Q1337" s="48" t="n">
        <x:v>1</x:v>
      </x:c>
      <x:c r="R1337" s="48" t="n">
        <x:v>0.8527218562163575</x:v>
      </x:c>
      <x:c r="S1337" s="29" t="n">
        <x:v>0</x:v>
      </x:c>
    </x:row>
    <x:row r="1338" ht="21.600000381469727" hidden="0" customHeight="1">
      <x:c r="A1338" s="27" t="n">
        <x:v>445</x:v>
      </x:c>
      <x:c r="B1338" s="27" t="str">
        <x:v>A2</x:v>
      </x:c>
      <x:c r="C1338" s="47" t="n">
        <x:v>0.9597172522151088</x:v>
      </x:c>
      <x:c r="D1338" s="47" t="n">
        <x:v>0.8301930076918586</x:v>
      </x:c>
      <x:c r="E1338" s="47" t="n">
        <x:v>0.9153026744993227</x:v>
      </x:c>
      <x:c r="F1338" s="47" t="n">
        <x:v>-0.05493619266070557</x:v>
      </x:c>
      <x:c r="G1338" s="47" t="n">
        <x:v>0.009434509846046352</x:v>
      </x:c>
      <x:c r="H1338" s="47" t="n">
        <x:v>0.5112008192355338</x:v>
      </x:c>
      <x:c r="I1338" s="47" t="n">
        <x:v>0.797086298759794</x:v>
      </x:c>
      <x:c r="J1338" s="47" t="n">
        <x:v>0.8599274374782933</x:v>
      </x:c>
      <x:c r="K1338" s="47" t="n">
        <x:v>0.9009549811544678</x:v>
      </x:c>
      <x:c r="L1338" s="47" t="n">
        <x:v>0.5425138885869869</x:v>
      </x:c>
      <x:c r="M1338" s="47" t="n">
        <x:v>0.04854158645629168</x:v>
      </x:c>
      <x:c r="N1338" s="47" t="n">
        <x:v>0.9576755919756271</x:v>
      </x:c>
      <x:c r="O1338" s="47" t="n">
        <x:v>0.9805574655543773</x:v>
      </x:c>
      <x:c r="P1338" s="47" t="n">
        <x:v>0.8073436144239284</x:v>
      </x:c>
      <x:c r="Q1338" s="47" t="n">
        <x:v>1</x:v>
      </x:c>
      <x:c r="R1338" s="47" t="n">
        <x:v>0.9759915215910009</x:v>
      </x:c>
      <x:c r="S1338" s="27" t="n">
        <x:v>0</x:v>
      </x:c>
    </x:row>
    <x:row r="1339" ht="21.600000381469727" hidden="0" customHeight="1">
      <x:c r="A1339" s="29" t="n">
        <x:v>445</x:v>
      </x:c>
      <x:c r="B1339" s="29" t="str">
        <x:v>A3</x:v>
      </x:c>
      <x:c r="C1339" s="48" t="n">
        <x:v>0.9597172522151088</x:v>
      </x:c>
      <x:c r="D1339" s="48" t="n">
        <x:v>0.8301930076918586</x:v>
      </x:c>
      <x:c r="E1339" s="48" t="n">
        <x:v>0.9153026744993227</x:v>
      </x:c>
      <x:c r="F1339" s="48" t="n">
        <x:v>-0.05493619266070557</x:v>
      </x:c>
      <x:c r="G1339" s="48" t="n">
        <x:v>0.009434509846046352</x:v>
      </x:c>
      <x:c r="H1339" s="48" t="n">
        <x:v>0.5112008192355338</x:v>
      </x:c>
      <x:c r="I1339" s="48" t="n">
        <x:v>0.797086298759794</x:v>
      </x:c>
      <x:c r="J1339" s="48" t="n">
        <x:v>0.8599274374782933</x:v>
      </x:c>
      <x:c r="K1339" s="48" t="n">
        <x:v>0.9009549811544678</x:v>
      </x:c>
      <x:c r="L1339" s="48" t="n">
        <x:v>0.5425138885869869</x:v>
      </x:c>
      <x:c r="M1339" s="48" t="n">
        <x:v>0.04854158645629168</x:v>
      </x:c>
      <x:c r="N1339" s="48" t="n">
        <x:v>0.9576755919756271</x:v>
      </x:c>
      <x:c r="O1339" s="48" t="n">
        <x:v>1</x:v>
      </x:c>
      <x:c r="P1339" s="48" t="n">
        <x:v>1</x:v>
      </x:c>
      <x:c r="Q1339" s="48" t="n">
        <x:v>1</x:v>
      </x:c>
      <x:c r="R1339" s="48" t="n">
        <x:v>1</x:v>
      </x:c>
      <x:c r="S1339" s="29" t="n">
        <x:v>1</x:v>
      </x:c>
    </x:row>
    <x:row r="1340" ht="21.600000381469727" hidden="0" customHeight="1">
      <x:c r="A1340" s="27" t="n">
        <x:v>446</x:v>
      </x:c>
      <x:c r="B1340" s="27" t="str">
        <x:v>A1</x:v>
      </x:c>
      <x:c r="C1340" s="47" t="n">
        <x:v>1.313624959205483</x:v>
      </x:c>
      <x:c r="D1340" s="47" t="n">
        <x:v>0.8700191984085066</x:v>
      </x:c>
      <x:c r="E1340" s="47" t="n">
        <x:v>0.7693340312752335</x:v>
      </x:c>
      <x:c r="F1340" s="47" t="n">
        <x:v>-0.09496645583053359</x:v>
      </x:c>
      <x:c r="G1340" s="47" t="n">
        <x:v>-0.0751982260844852</x:v>
      </x:c>
      <x:c r="H1340" s="47" t="n">
        <x:v>1.0128193909713765</x:v>
      </x:c>
      <x:c r="I1340" s="47" t="n">
        <x:v>0.9775008595719934</x:v>
      </x:c>
      <x:c r="J1340" s="47" t="n">
        <x:v>0.7094685762920926</x:v>
      </x:c>
      <x:c r="K1340" s="47" t="n">
        <x:v>0.9755174693793266</x:v>
      </x:c>
      <x:c r="L1340" s="47" t="n">
        <x:v>0.811365149145229</x:v>
      </x:c>
      <x:c r="M1340" s="47" t="n">
        <x:v>0.09537056088799045</x:v>
      </x:c>
      <x:c r="N1340" s="47" t="n">
        <x:v>0.8395738403572037</x:v>
      </x:c>
      <x:c r="O1340" s="47" t="n">
        <x:v>0.8178535151351198</x:v>
      </x:c>
      <x:c r="P1340" s="47" t="n">
        <x:v>0.5119150099621366</x:v>
      </x:c>
      <x:c r="Q1340" s="47" t="n">
        <x:v>0.9999999999999999</x:v>
      </x:c>
      <x:c r="R1340" s="47" t="n">
        <x:v>0.7750776802590099</x:v>
      </x:c>
      <x:c r="S1340" s="27" t="n">
        <x:v>0</x:v>
      </x:c>
    </x:row>
    <x:row r="1341" ht="21.600000381469727" hidden="0" customHeight="1">
      <x:c r="A1341" s="29" t="n">
        <x:v>446</x:v>
      </x:c>
      <x:c r="B1341" s="29" t="str">
        <x:v>A2</x:v>
      </x:c>
      <x:c r="C1341" s="48" t="n">
        <x:v>1.313624959205483</x:v>
      </x:c>
      <x:c r="D1341" s="48" t="n">
        <x:v>0.8700191984085066</x:v>
      </x:c>
      <x:c r="E1341" s="48" t="n">
        <x:v>0.7693340312752335</x:v>
      </x:c>
      <x:c r="F1341" s="48" t="n">
        <x:v>-0.09496645583053359</x:v>
      </x:c>
      <x:c r="G1341" s="48" t="n">
        <x:v>-0.0751982260844852</x:v>
      </x:c>
      <x:c r="H1341" s="48" t="n">
        <x:v>1.0128193909713765</x:v>
      </x:c>
      <x:c r="I1341" s="48" t="n">
        <x:v>0.9775008595719934</x:v>
      </x:c>
      <x:c r="J1341" s="48" t="n">
        <x:v>0.7094685762920926</x:v>
      </x:c>
      <x:c r="K1341" s="48" t="n">
        <x:v>0.9755174693793266</x:v>
      </x:c>
      <x:c r="L1341" s="48" t="n">
        <x:v>0.811365149145229</x:v>
      </x:c>
      <x:c r="M1341" s="48" t="n">
        <x:v>0.09537056088799045</x:v>
      </x:c>
      <x:c r="N1341" s="48" t="n">
        <x:v>0.8395738403572037</x:v>
      </x:c>
      <x:c r="O1341" s="48" t="n">
        <x:v>0.9012228973037424</x:v>
      </x:c>
      <x:c r="P1341" s="48" t="n">
        <x:v>0.5588092006245999</x:v>
      </x:c>
      <x:c r="Q1341" s="48" t="n">
        <x:v>1</x:v>
      </x:c>
      <x:c r="R1341" s="48" t="n">
        <x:v>0.8780257818743117</x:v>
      </x:c>
      <x:c r="S1341" s="29" t="n">
        <x:v>0</x:v>
      </x:c>
    </x:row>
    <x:row r="1342" ht="21.600000381469727" hidden="0" customHeight="1">
      <x:c r="A1342" s="27" t="n">
        <x:v>446</x:v>
      </x:c>
      <x:c r="B1342" s="27" t="str">
        <x:v>A3</x:v>
      </x:c>
      <x:c r="C1342" s="47" t="n">
        <x:v>1.313624959205483</x:v>
      </x:c>
      <x:c r="D1342" s="47" t="n">
        <x:v>0.8700191984085066</x:v>
      </x:c>
      <x:c r="E1342" s="47" t="n">
        <x:v>0.7693340312752335</x:v>
      </x:c>
      <x:c r="F1342" s="47" t="n">
        <x:v>-0.09496645583053359</x:v>
      </x:c>
      <x:c r="G1342" s="47" t="n">
        <x:v>-0.0751982260844852</x:v>
      </x:c>
      <x:c r="H1342" s="47" t="n">
        <x:v>1.0128193909713765</x:v>
      </x:c>
      <x:c r="I1342" s="47" t="n">
        <x:v>0.9775008595719934</x:v>
      </x:c>
      <x:c r="J1342" s="47" t="n">
        <x:v>0.7094685762920926</x:v>
      </x:c>
      <x:c r="K1342" s="47" t="n">
        <x:v>0.9755174693793266</x:v>
      </x:c>
      <x:c r="L1342" s="47" t="n">
        <x:v>0.811365149145229</x:v>
      </x:c>
      <x:c r="M1342" s="47" t="n">
        <x:v>0.09537056088799045</x:v>
      </x:c>
      <x:c r="N1342" s="47" t="n">
        <x:v>0.8395738403572037</x:v>
      </x:c>
      <x:c r="O1342" s="47" t="n">
        <x:v>1</x:v>
      </x:c>
      <x:c r="P1342" s="47" t="n">
        <x:v>1</x:v>
      </x:c>
      <x:c r="Q1342" s="47" t="n">
        <x:v>1</x:v>
      </x:c>
      <x:c r="R1342" s="47" t="n">
        <x:v>1</x:v>
      </x:c>
      <x:c r="S1342" s="27" t="n">
        <x:v>1</x:v>
      </x:c>
    </x:row>
    <x:row r="1343" ht="21.600000381469727" hidden="0" customHeight="1">
      <x:c r="A1343" s="29" t="n">
        <x:v>447</x:v>
      </x:c>
      <x:c r="B1343" s="29" t="str">
        <x:v>A1</x:v>
      </x:c>
      <x:c r="C1343" s="48" t="n">
        <x:v>0.9374541260718889</x:v>
      </x:c>
      <x:c r="D1343" s="48" t="n">
        <x:v>0.8776454015891296</x:v>
      </x:c>
      <x:c r="E1343" s="48" t="n">
        <x:v>0.9999698774418135</x:v>
      </x:c>
      <x:c r="F1343" s="48" t="n">
        <x:v>-0.06643848195619098</x:v>
      </x:c>
      <x:c r="G1343" s="48" t="n">
        <x:v>-0.1766331759975775</x:v>
      </x:c>
      <x:c r="H1343" s="48" t="n">
        <x:v>0.5066865296338608</x:v>
      </x:c>
      <x:c r="I1343" s="48" t="n">
        <x:v>0.9571728104495505</x:v>
      </x:c>
      <x:c r="J1343" s="48" t="n">
        <x:v>0.6984604059311387</x:v>
      </x:c>
      <x:c r="K1343" s="48" t="n">
        <x:v>0.8326744068480292</x:v>
      </x:c>
      <x:c r="L1343" s="48" t="n">
        <x:v>0.9503990707527528</x:v>
      </x:c>
      <x:c r="M1343" s="48" t="n">
        <x:v>0.03841606214158419</x:v>
      </x:c>
      <x:c r="N1343" s="48" t="n">
        <x:v>0.8767804440015753</x:v>
      </x:c>
      <x:c r="O1343" s="48" t="n">
        <x:v>0.9515955871931934</x:v>
      </x:c>
      <x:c r="P1343" s="48" t="n">
        <x:v>0.7755998303556866</x:v>
      </x:c>
      <x:c r="Q1343" s="48" t="n">
        <x:v>1</x:v>
      </x:c>
      <x:c r="R1343" s="48" t="n">
        <x:v>0.9402281475687891</x:v>
      </x:c>
      <x:c r="S1343" s="29" t="n">
        <x:v>0</x:v>
      </x:c>
    </x:row>
    <x:row r="1344" ht="21.600000381469727" hidden="0" customHeight="1">
      <x:c r="A1344" s="27" t="n">
        <x:v>447</x:v>
      </x:c>
      <x:c r="B1344" s="27" t="str">
        <x:v>A2</x:v>
      </x:c>
      <x:c r="C1344" s="47" t="n">
        <x:v>0.9374541260718889</x:v>
      </x:c>
      <x:c r="D1344" s="47" t="n">
        <x:v>0.8776454015891296</x:v>
      </x:c>
      <x:c r="E1344" s="47" t="n">
        <x:v>0.9999698774418135</x:v>
      </x:c>
      <x:c r="F1344" s="47" t="n">
        <x:v>-0.06643848195619098</x:v>
      </x:c>
      <x:c r="G1344" s="47" t="n">
        <x:v>-0.1766331759975775</x:v>
      </x:c>
      <x:c r="H1344" s="47" t="n">
        <x:v>0.5066865296338608</x:v>
      </x:c>
      <x:c r="I1344" s="47" t="n">
        <x:v>0.9571728104495505</x:v>
      </x:c>
      <x:c r="J1344" s="47" t="n">
        <x:v>0.6984604059311387</x:v>
      </x:c>
      <x:c r="K1344" s="47" t="n">
        <x:v>0.8326744068480292</x:v>
      </x:c>
      <x:c r="L1344" s="47" t="n">
        <x:v>0.9503990707527528</x:v>
      </x:c>
      <x:c r="M1344" s="47" t="n">
        <x:v>0.03841606214158419</x:v>
      </x:c>
      <x:c r="N1344" s="47" t="n">
        <x:v>0.8767804440015753</x:v>
      </x:c>
      <x:c r="O1344" s="47" t="n">
        <x:v>1</x:v>
      </x:c>
      <x:c r="P1344" s="47" t="n">
        <x:v>1</x:v>
      </x:c>
      <x:c r="Q1344" s="47" t="n">
        <x:v>1</x:v>
      </x:c>
      <x:c r="R1344" s="47" t="n">
        <x:v>1</x:v>
      </x:c>
      <x:c r="S1344" s="27" t="n">
        <x:v>1</x:v>
      </x:c>
    </x:row>
    <x:row r="1345" ht="21.600000381469727" hidden="0" customHeight="1">
      <x:c r="A1345" s="29" t="n">
        <x:v>447</x:v>
      </x:c>
      <x:c r="B1345" s="29" t="str">
        <x:v>A3</x:v>
      </x:c>
      <x:c r="C1345" s="48" t="n">
        <x:v>0.9374541260718889</x:v>
      </x:c>
      <x:c r="D1345" s="48" t="n">
        <x:v>0.8776454015891296</x:v>
      </x:c>
      <x:c r="E1345" s="48" t="n">
        <x:v>0.9999698774418135</x:v>
      </x:c>
      <x:c r="F1345" s="48" t="n">
        <x:v>-0.06643848195619098</x:v>
      </x:c>
      <x:c r="G1345" s="48" t="n">
        <x:v>-0.1766331759975775</x:v>
      </x:c>
      <x:c r="H1345" s="48" t="n">
        <x:v>0.5066865296338608</x:v>
      </x:c>
      <x:c r="I1345" s="48" t="n">
        <x:v>0.9571728104495505</x:v>
      </x:c>
      <x:c r="J1345" s="48" t="n">
        <x:v>0.6984604059311387</x:v>
      </x:c>
      <x:c r="K1345" s="48" t="n">
        <x:v>0.8326744068480292</x:v>
      </x:c>
      <x:c r="L1345" s="48" t="n">
        <x:v>0.9503990707527528</x:v>
      </x:c>
      <x:c r="M1345" s="48" t="n">
        <x:v>0.03841606214158419</x:v>
      </x:c>
      <x:c r="N1345" s="48" t="n">
        <x:v>0.8767804440015753</x:v>
      </x:c>
      <x:c r="O1345" s="48" t="n">
        <x:v>1</x:v>
      </x:c>
      <x:c r="P1345" s="48" t="n">
        <x:v>1</x:v>
      </x:c>
      <x:c r="Q1345" s="48" t="n">
        <x:v>1</x:v>
      </x:c>
      <x:c r="R1345" s="48" t="n">
        <x:v>1</x:v>
      </x:c>
      <x:c r="S1345" s="29" t="n">
        <x:v>1</x:v>
      </x:c>
    </x:row>
    <x:row r="1346" ht="21.600000381469727" hidden="0" customHeight="1">
      <x:c r="A1346" s="27" t="n">
        <x:v>448</x:v>
      </x:c>
      <x:c r="B1346" s="27" t="str">
        <x:v>A1</x:v>
      </x:c>
      <x:c r="C1346" s="47" t="n">
        <x:v>1.135674730837819</x:v>
      </x:c>
      <x:c r="D1346" s="47" t="n">
        <x:v>0.9052845773835869</x:v>
      </x:c>
      <x:c r="E1346" s="47" t="n">
        <x:v>0.8635514091783218</x:v>
      </x:c>
      <x:c r="F1346" s="47" t="n">
        <x:v>-0.1308502866480083</x:v>
      </x:c>
      <x:c r="G1346" s="47" t="n">
        <x:v>-0.14118871891513343</x:v>
      </x:c>
      <x:c r="H1346" s="47" t="n">
        <x:v>0.6468696082836936</x:v>
      </x:c>
      <x:c r="I1346" s="47" t="n">
        <x:v>0.8771747333118596</x:v>
      </x:c>
      <x:c r="J1346" s="47" t="n">
        <x:v>0.8575369690964164</x:v>
      </x:c>
      <x:c r="K1346" s="47" t="n">
        <x:v>0.739522298225501</x:v>
      </x:c>
      <x:c r="L1346" s="47" t="n">
        <x:v>0.8286385368517594</x:v>
      </x:c>
      <x:c r="M1346" s="47" t="n">
        <x:v>0.053599992692924946</x:v>
      </x:c>
      <x:c r="N1346" s="47" t="n">
        <x:v>0.9285433583780308</x:v>
      </x:c>
      <x:c r="O1346" s="47" t="n">
        <x:v>0.8828012222673305</x:v>
      </x:c>
      <x:c r="P1346" s="47" t="n">
        <x:v>0.5520902864181418</x:v>
      </x:c>
      <x:c r="Q1346" s="47" t="n">
        <x:v>1</x:v>
      </x:c>
      <x:c r="R1346" s="47" t="n">
        <x:v>0.8552779046052107</x:v>
      </x:c>
      <x:c r="S1346" s="27" t="n">
        <x:v>0</x:v>
      </x:c>
    </x:row>
    <x:row r="1347" ht="21.600000381469727" hidden="0" customHeight="1">
      <x:c r="A1347" s="29" t="n">
        <x:v>448</x:v>
      </x:c>
      <x:c r="B1347" s="29" t="str">
        <x:v>A2</x:v>
      </x:c>
      <x:c r="C1347" s="48" t="n">
        <x:v>1.135674730837819</x:v>
      </x:c>
      <x:c r="D1347" s="48" t="n">
        <x:v>0.9052845773835869</x:v>
      </x:c>
      <x:c r="E1347" s="48" t="n">
        <x:v>0.8635514091783218</x:v>
      </x:c>
      <x:c r="F1347" s="48" t="n">
        <x:v>-0.1308502866480083</x:v>
      </x:c>
      <x:c r="G1347" s="48" t="n">
        <x:v>-0.14118871891513343</x:v>
      </x:c>
      <x:c r="H1347" s="48" t="n">
        <x:v>0.6468696082836936</x:v>
      </x:c>
      <x:c r="I1347" s="48" t="n">
        <x:v>0.8771747333118596</x:v>
      </x:c>
      <x:c r="J1347" s="48" t="n">
        <x:v>0.8575369690964164</x:v>
      </x:c>
      <x:c r="K1347" s="48" t="n">
        <x:v>0.739522298225501</x:v>
      </x:c>
      <x:c r="L1347" s="48" t="n">
        <x:v>0.8286385368517594</x:v>
      </x:c>
      <x:c r="M1347" s="48" t="n">
        <x:v>0.053599992692924946</x:v>
      </x:c>
      <x:c r="N1347" s="48" t="n">
        <x:v>0.9285433583780308</x:v>
      </x:c>
      <x:c r="O1347" s="48" t="n">
        <x:v>0.9631854457495238</x:v>
      </x:c>
      <x:c r="P1347" s="48" t="n">
        <x:v>0.740305960138281</x:v>
      </x:c>
      <x:c r="Q1347" s="48" t="n">
        <x:v>1</x:v>
      </x:c>
      <x:c r="R1347" s="48" t="n">
        <x:v>0.9545398037827072</x:v>
      </x:c>
      <x:c r="S1347" s="29" t="n">
        <x:v>0</x:v>
      </x:c>
    </x:row>
    <x:row r="1348" ht="21.600000381469727" hidden="0" customHeight="1">
      <x:c r="A1348" s="27" t="n">
        <x:v>448</x:v>
      </x:c>
      <x:c r="B1348" s="27" t="str">
        <x:v>A3</x:v>
      </x:c>
      <x:c r="C1348" s="47" t="n">
        <x:v>1.135674730837819</x:v>
      </x:c>
      <x:c r="D1348" s="47" t="n">
        <x:v>0.9052845773835869</x:v>
      </x:c>
      <x:c r="E1348" s="47" t="n">
        <x:v>0.8635514091783218</x:v>
      </x:c>
      <x:c r="F1348" s="47" t="n">
        <x:v>-0.1308502866480083</x:v>
      </x:c>
      <x:c r="G1348" s="47" t="n">
        <x:v>-0.14118871891513343</x:v>
      </x:c>
      <x:c r="H1348" s="47" t="n">
        <x:v>0.6468696082836936</x:v>
      </x:c>
      <x:c r="I1348" s="47" t="n">
        <x:v>0.8771747333118596</x:v>
      </x:c>
      <x:c r="J1348" s="47" t="n">
        <x:v>0.8575369690964164</x:v>
      </x:c>
      <x:c r="K1348" s="47" t="n">
        <x:v>0.739522298225501</x:v>
      </x:c>
      <x:c r="L1348" s="47" t="n">
        <x:v>0.8286385368517594</x:v>
      </x:c>
      <x:c r="M1348" s="47" t="n">
        <x:v>0.053599992692924946</x:v>
      </x:c>
      <x:c r="N1348" s="47" t="n">
        <x:v>0.9285433583780308</x:v>
      </x:c>
      <x:c r="O1348" s="47" t="n">
        <x:v>1</x:v>
      </x:c>
      <x:c r="P1348" s="47" t="n">
        <x:v>1</x:v>
      </x:c>
      <x:c r="Q1348" s="47" t="n">
        <x:v>1</x:v>
      </x:c>
      <x:c r="R1348" s="47" t="n">
        <x:v>1</x:v>
      </x:c>
      <x:c r="S1348" s="27" t="n">
        <x:v>1</x:v>
      </x:c>
    </x:row>
    <x:row r="1349" ht="21.600000381469727" hidden="0" customHeight="1">
      <x:c r="A1349" s="29" t="n">
        <x:v>449</x:v>
      </x:c>
      <x:c r="B1349" s="29" t="str">
        <x:v>A1</x:v>
      </x:c>
      <x:c r="C1349" s="48" t="n">
        <x:v>1.0578105767563892</x:v>
      </x:c>
      <x:c r="D1349" s="48" t="n">
        <x:v>0.9964456635493069</x:v>
      </x:c>
      <x:c r="E1349" s="48" t="n">
        <x:v>0.7969026820374041</x:v>
      </x:c>
      <x:c r="F1349" s="48" t="n">
        <x:v>-0.1745081383124108</x:v>
      </x:c>
      <x:c r="G1349" s="48" t="n">
        <x:v>-0.15151887952765247</x:v>
      </x:c>
      <x:c r="H1349" s="48" t="n">
        <x:v>0.8112875489061016</x:v>
      </x:c>
      <x:c r="I1349" s="48" t="n">
        <x:v>0.8262357496078596</x:v>
      </x:c>
      <x:c r="J1349" s="48" t="n">
        <x:v>0.8399733121964325</x:v>
      </x:c>
      <x:c r="K1349" s="48" t="n">
        <x:v>0.9102105359045646</x:v>
      </x:c>
      <x:c r="L1349" s="48" t="n">
        <x:v>0.7063430400050072</x:v>
      </x:c>
      <x:c r="M1349" s="48" t="n">
        <x:v>0.04713260312571488</x:v>
      </x:c>
      <x:c r="N1349" s="48" t="n">
        <x:v>0.7642651605109922</x:v>
      </x:c>
      <x:c r="O1349" s="48" t="n">
        <x:v>0.9498269479705758</x:v>
      </x:c>
      <x:c r="P1349" s="48" t="n">
        <x:v>0.7094538578970713</x:v>
      </x:c>
      <x:c r="Q1349" s="48" t="n">
        <x:v>1</x:v>
      </x:c>
      <x:c r="R1349" s="48" t="n">
        <x:v>0.9380441557282043</x:v>
      </x:c>
      <x:c r="S1349" s="29" t="n">
        <x:v>0</x:v>
      </x:c>
    </x:row>
    <x:row r="1350" ht="21.600000381469727" hidden="0" customHeight="1">
      <x:c r="A1350" s="27" t="n">
        <x:v>449</x:v>
      </x:c>
      <x:c r="B1350" s="27" t="str">
        <x:v>A2</x:v>
      </x:c>
      <x:c r="C1350" s="47" t="n">
        <x:v>1.0578105767563892</x:v>
      </x:c>
      <x:c r="D1350" s="47" t="n">
        <x:v>0.9964456635493069</x:v>
      </x:c>
      <x:c r="E1350" s="47" t="n">
        <x:v>0.7969026820374041</x:v>
      </x:c>
      <x:c r="F1350" s="47" t="n">
        <x:v>-0.1745081383124108</x:v>
      </x:c>
      <x:c r="G1350" s="47" t="n">
        <x:v>-0.15151887952765247</x:v>
      </x:c>
      <x:c r="H1350" s="47" t="n">
        <x:v>0.8112875489061016</x:v>
      </x:c>
      <x:c r="I1350" s="47" t="n">
        <x:v>0.8262357496078596</x:v>
      </x:c>
      <x:c r="J1350" s="47" t="n">
        <x:v>0.8399733121964325</x:v>
      </x:c>
      <x:c r="K1350" s="47" t="n">
        <x:v>0.9102105359045646</x:v>
      </x:c>
      <x:c r="L1350" s="47" t="n">
        <x:v>0.7063430400050072</x:v>
      </x:c>
      <x:c r="M1350" s="47" t="n">
        <x:v>0.04713260312571488</x:v>
      </x:c>
      <x:c r="N1350" s="47" t="n">
        <x:v>0.7642651605109922</x:v>
      </x:c>
      <x:c r="O1350" s="47" t="n">
        <x:v>1</x:v>
      </x:c>
      <x:c r="P1350" s="47" t="n">
        <x:v>1</x:v>
      </x:c>
      <x:c r="Q1350" s="47" t="n">
        <x:v>1</x:v>
      </x:c>
      <x:c r="R1350" s="47" t="n">
        <x:v>1</x:v>
      </x:c>
      <x:c r="S1350" s="27" t="n">
        <x:v>1</x:v>
      </x:c>
    </x:row>
    <x:row r="1351" ht="21.600000381469727" hidden="0" customHeight="1">
      <x:c r="A1351" s="29" t="n">
        <x:v>449</x:v>
      </x:c>
      <x:c r="B1351" s="29" t="str">
        <x:v>A3</x:v>
      </x:c>
      <x:c r="C1351" s="48" t="n">
        <x:v>1.0578105767563892</x:v>
      </x:c>
      <x:c r="D1351" s="48" t="n">
        <x:v>0.9964456635493069</x:v>
      </x:c>
      <x:c r="E1351" s="48" t="n">
        <x:v>0.7969026820374041</x:v>
      </x:c>
      <x:c r="F1351" s="48" t="n">
        <x:v>-0.1745081383124108</x:v>
      </x:c>
      <x:c r="G1351" s="48" t="n">
        <x:v>-0.15151887952765247</x:v>
      </x:c>
      <x:c r="H1351" s="48" t="n">
        <x:v>0.8112875489061016</x:v>
      </x:c>
      <x:c r="I1351" s="48" t="n">
        <x:v>0.8262357496078596</x:v>
      </x:c>
      <x:c r="J1351" s="48" t="n">
        <x:v>0.8399733121964325</x:v>
      </x:c>
      <x:c r="K1351" s="48" t="n">
        <x:v>0.9102105359045646</x:v>
      </x:c>
      <x:c r="L1351" s="48" t="n">
        <x:v>0.7063430400050072</x:v>
      </x:c>
      <x:c r="M1351" s="48" t="n">
        <x:v>0.04713260312571488</x:v>
      </x:c>
      <x:c r="N1351" s="48" t="n">
        <x:v>0.7642651605109922</x:v>
      </x:c>
      <x:c r="O1351" s="48" t="n">
        <x:v>1</x:v>
      </x:c>
      <x:c r="P1351" s="48" t="n">
        <x:v>1</x:v>
      </x:c>
      <x:c r="Q1351" s="48" t="n">
        <x:v>1</x:v>
      </x:c>
      <x:c r="R1351" s="48" t="n">
        <x:v>1</x:v>
      </x:c>
      <x:c r="S1351" s="29" t="n">
        <x:v>1</x:v>
      </x:c>
    </x:row>
    <x:row r="1352" ht="21.600000381469727" hidden="0" customHeight="1">
      <x:c r="A1352" s="27" t="n">
        <x:v>450</x:v>
      </x:c>
      <x:c r="B1352" s="27" t="str">
        <x:v>A1</x:v>
      </x:c>
      <x:c r="C1352" s="47" t="n">
        <x:v>0.9940035220759192</x:v>
      </x:c>
      <x:c r="D1352" s="47" t="n">
        <x:v>0.7648766245359842</x:v>
      </x:c>
      <x:c r="E1352" s="47" t="n">
        <x:v>0.9494997418540068</x:v>
      </x:c>
      <x:c r="F1352" s="47" t="n">
        <x:v>-0.017596247316550045</x:v>
      </x:c>
      <x:c r="G1352" s="47" t="n">
        <x:v>-0.12642890910402912</x:v>
      </x:c>
      <x:c r="H1352" s="47" t="n">
        <x:v>0.5031970738819382</x:v>
      </x:c>
      <x:c r="I1352" s="47" t="n">
        <x:v>0.8125823196910715</x:v>
      </x:c>
      <x:c r="J1352" s="47" t="n">
        <x:v>0.8322219582430268</x:v>
      </x:c>
      <x:c r="K1352" s="47" t="n">
        <x:v>0.5504114257951119</x:v>
      </x:c>
      <x:c r="L1352" s="47" t="n">
        <x:v>0.9261726260714522</x:v>
      </x:c>
      <x:c r="M1352" s="47" t="n">
        <x:v>0.15649796183148063</x:v>
      </x:c>
      <x:c r="N1352" s="47" t="n">
        <x:v>0.9198457952794543</x:v>
      </x:c>
      <x:c r="O1352" s="47" t="n">
        <x:v>0.8673858669103146</x:v>
      </x:c>
      <x:c r="P1352" s="47" t="n">
        <x:v>0.5472289659139002</x:v>
      </x:c>
      <x:c r="Q1352" s="47" t="n">
        <x:v>0.9999999999999999</x:v>
      </x:c>
      <x:c r="R1352" s="47" t="n">
        <x:v>0.8362423602788749</x:v>
      </x:c>
      <x:c r="S1352" s="27" t="n">
        <x:v>0</x:v>
      </x:c>
    </x:row>
    <x:row r="1353" ht="21.600000381469727" hidden="0" customHeight="1">
      <x:c r="A1353" s="29" t="n">
        <x:v>450</x:v>
      </x:c>
      <x:c r="B1353" s="29" t="str">
        <x:v>A2</x:v>
      </x:c>
      <x:c r="C1353" s="48" t="n">
        <x:v>0.9940035220759192</x:v>
      </x:c>
      <x:c r="D1353" s="48" t="n">
        <x:v>0.7648766245359842</x:v>
      </x:c>
      <x:c r="E1353" s="48" t="n">
        <x:v>0.9494997418540068</x:v>
      </x:c>
      <x:c r="F1353" s="48" t="n">
        <x:v>-0.017596247316550045</x:v>
      </x:c>
      <x:c r="G1353" s="48" t="n">
        <x:v>-0.12642890910402912</x:v>
      </x:c>
      <x:c r="H1353" s="48" t="n">
        <x:v>0.5031970738819382</x:v>
      </x:c>
      <x:c r="I1353" s="48" t="n">
        <x:v>0.8125823196910715</x:v>
      </x:c>
      <x:c r="J1353" s="48" t="n">
        <x:v>0.8322219582430268</x:v>
      </x:c>
      <x:c r="K1353" s="48" t="n">
        <x:v>0.5504114257951119</x:v>
      </x:c>
      <x:c r="L1353" s="48" t="n">
        <x:v>0.9261726260714522</x:v>
      </x:c>
      <x:c r="M1353" s="48" t="n">
        <x:v>0.15649796183148063</x:v>
      </x:c>
      <x:c r="N1353" s="48" t="n">
        <x:v>0.9198457952794543</x:v>
      </x:c>
      <x:c r="O1353" s="48" t="n">
        <x:v>0.9526006393554526</x:v>
      </x:c>
      <x:c r="P1353" s="48" t="n">
        <x:v>0.6715624893423485</x:v>
      </x:c>
      <x:c r="Q1353" s="48" t="n">
        <x:v>1</x:v>
      </x:c>
      <x:c r="R1353" s="48" t="n">
        <x:v>0.9414692292397515</x:v>
      </x:c>
      <x:c r="S1353" s="29" t="n">
        <x:v>0</x:v>
      </x:c>
    </x:row>
    <x:row r="1354" ht="21.600000381469727" hidden="0" customHeight="1">
      <x:c r="A1354" s="27" t="n">
        <x:v>450</x:v>
      </x:c>
      <x:c r="B1354" s="27" t="str">
        <x:v>A3</x:v>
      </x:c>
      <x:c r="C1354" s="47" t="n">
        <x:v>0.9940035220759192</x:v>
      </x:c>
      <x:c r="D1354" s="47" t="n">
        <x:v>0.7648766245359842</x:v>
      </x:c>
      <x:c r="E1354" s="47" t="n">
        <x:v>0.9494997418540068</x:v>
      </x:c>
      <x:c r="F1354" s="47" t="n">
        <x:v>-0.017596247316550045</x:v>
      </x:c>
      <x:c r="G1354" s="47" t="n">
        <x:v>-0.12642890910402912</x:v>
      </x:c>
      <x:c r="H1354" s="47" t="n">
        <x:v>0.5031970738819382</x:v>
      </x:c>
      <x:c r="I1354" s="47" t="n">
        <x:v>0.8125823196910715</x:v>
      </x:c>
      <x:c r="J1354" s="47" t="n">
        <x:v>0.8322219582430268</x:v>
      </x:c>
      <x:c r="K1354" s="47" t="n">
        <x:v>0.5504114257951119</x:v>
      </x:c>
      <x:c r="L1354" s="47" t="n">
        <x:v>0.9261726260714522</x:v>
      </x:c>
      <x:c r="M1354" s="47" t="n">
        <x:v>0.15649796183148063</x:v>
      </x:c>
      <x:c r="N1354" s="47" t="n">
        <x:v>0.9198457952794543</x:v>
      </x:c>
      <x:c r="O1354" s="47" t="n">
        <x:v>1</x:v>
      </x:c>
      <x:c r="P1354" s="47" t="n">
        <x:v>1</x:v>
      </x:c>
      <x:c r="Q1354" s="47" t="n">
        <x:v>1</x:v>
      </x:c>
      <x:c r="R1354" s="47" t="n">
        <x:v>1.0000000000000002</x:v>
      </x:c>
      <x:c r="S1354" s="27" t="n">
        <x:v>1</x:v>
      </x:c>
    </x:row>
    <x:row r="1355" ht="21.600000381469727" hidden="0" customHeight="1">
      <x:c r="A1355" s="29" t="n">
        <x:v>451</x:v>
      </x:c>
      <x:c r="B1355" s="29" t="str">
        <x:v>A1</x:v>
      </x:c>
      <x:c r="C1355" s="48" t="n">
        <x:v>1.0954178990021028</x:v>
      </x:c>
      <x:c r="D1355" s="48" t="n">
        <x:v>0.7741097523697699</x:v>
      </x:c>
      <x:c r="E1355" s="48" t="n">
        <x:v>0.45479459557847596</x:v>
      </x:c>
      <x:c r="F1355" s="48" t="n">
        <x:v>-0.000148478884161668</x:v>
      </x:c>
      <x:c r="G1355" s="48" t="n">
        <x:v>-0.15460677335069972</x:v>
      </x:c>
      <x:c r="H1355" s="48" t="n">
        <x:v>0.8109373467358207</x:v>
      </x:c>
      <x:c r="I1355" s="48" t="n">
        <x:v>0.7998370129423119</x:v>
      </x:c>
      <x:c r="J1355" s="48" t="n">
        <x:v>0.9649864279373872</x:v>
      </x:c>
      <x:c r="K1355" s="48" t="n">
        <x:v>0.7341196390047123</x:v>
      </x:c>
      <x:c r="L1355" s="48" t="n">
        <x:v>0.7085751936796842</x:v>
      </x:c>
      <x:c r="M1355" s="48" t="n">
        <x:v>0.004178080308623282</x:v>
      </x:c>
      <x:c r="N1355" s="48" t="n">
        <x:v>0.7463686065802111</x:v>
      </x:c>
      <x:c r="O1355" s="48" t="n">
        <x:v>0.7774534545249372</x:v>
      </x:c>
      <x:c r="P1355" s="48" t="n">
        <x:v>0.37634790517683747</x:v>
      </x:c>
      <x:c r="Q1355" s="48" t="n">
        <x:v>0.9435898007072808</x:v>
      </x:c>
      <x:c r="R1355" s="48" t="n">
        <x:v>0.7256088967430976</x:v>
      </x:c>
      <x:c r="S1355" s="29" t="n">
        <x:v>0</x:v>
      </x:c>
    </x:row>
    <x:row r="1356" ht="21.600000381469727" hidden="0" customHeight="1">
      <x:c r="A1356" s="27" t="n">
        <x:v>451</x:v>
      </x:c>
      <x:c r="B1356" s="27" t="str">
        <x:v>A2</x:v>
      </x:c>
      <x:c r="C1356" s="47" t="n">
        <x:v>1.0954178990021028</x:v>
      </x:c>
      <x:c r="D1356" s="47" t="n">
        <x:v>0.7741097523697699</x:v>
      </x:c>
      <x:c r="E1356" s="47" t="n">
        <x:v>0.45479459557847596</x:v>
      </x:c>
      <x:c r="F1356" s="47" t="n">
        <x:v>-0.000148478884161668</x:v>
      </x:c>
      <x:c r="G1356" s="47" t="n">
        <x:v>-0.15460677335069972</x:v>
      </x:c>
      <x:c r="H1356" s="47" t="n">
        <x:v>0.8109373467358207</x:v>
      </x:c>
      <x:c r="I1356" s="47" t="n">
        <x:v>0.7998370129423119</x:v>
      </x:c>
      <x:c r="J1356" s="47" t="n">
        <x:v>0.9649864279373872</x:v>
      </x:c>
      <x:c r="K1356" s="47" t="n">
        <x:v>0.7341196390047123</x:v>
      </x:c>
      <x:c r="L1356" s="47" t="n">
        <x:v>0.7085751936796842</x:v>
      </x:c>
      <x:c r="M1356" s="47" t="n">
        <x:v>0.004178080308623282</x:v>
      </x:c>
      <x:c r="N1356" s="47" t="n">
        <x:v>0.7463686065802111</x:v>
      </x:c>
      <x:c r="O1356" s="47" t="n">
        <x:v>0.8550062873063244</x:v>
      </x:c>
      <x:c r="P1356" s="47" t="n">
        <x:v>0.4119325161092917</x:v>
      </x:c>
      <x:c r="Q1356" s="47" t="n">
        <x:v>1</x:v>
      </x:c>
      <x:c r="R1356" s="47" t="n">
        <x:v>0.8209555225229155</x:v>
      </x:c>
      <x:c r="S1356" s="27" t="n">
        <x:v>0</x:v>
      </x:c>
    </x:row>
    <x:row r="1357" ht="21.600000381469727" hidden="0" customHeight="1">
      <x:c r="A1357" s="29" t="n">
        <x:v>451</x:v>
      </x:c>
      <x:c r="B1357" s="29" t="str">
        <x:v>A3</x:v>
      </x:c>
      <x:c r="C1357" s="48" t="n">
        <x:v>1.0954178990021028</x:v>
      </x:c>
      <x:c r="D1357" s="48" t="n">
        <x:v>0.7741097523697699</x:v>
      </x:c>
      <x:c r="E1357" s="48" t="n">
        <x:v>0.45479459557847596</x:v>
      </x:c>
      <x:c r="F1357" s="48" t="n">
        <x:v>-0.000148478884161668</x:v>
      </x:c>
      <x:c r="G1357" s="48" t="n">
        <x:v>-0.15460677335069972</x:v>
      </x:c>
      <x:c r="H1357" s="48" t="n">
        <x:v>0.8109373467358207</x:v>
      </x:c>
      <x:c r="I1357" s="48" t="n">
        <x:v>0.7998370129423119</x:v>
      </x:c>
      <x:c r="J1357" s="48" t="n">
        <x:v>0.9649864279373872</x:v>
      </x:c>
      <x:c r="K1357" s="48" t="n">
        <x:v>0.7341196390047123</x:v>
      </x:c>
      <x:c r="L1357" s="48" t="n">
        <x:v>0.7085751936796842</x:v>
      </x:c>
      <x:c r="M1357" s="48" t="n">
        <x:v>0.004178080308623282</x:v>
      </x:c>
      <x:c r="N1357" s="48" t="n">
        <x:v>0.7463686065802111</x:v>
      </x:c>
      <x:c r="O1357" s="48" t="n">
        <x:v>1</x:v>
      </x:c>
      <x:c r="P1357" s="48" t="n">
        <x:v>1</x:v>
      </x:c>
      <x:c r="Q1357" s="48" t="n">
        <x:v>1</x:v>
      </x:c>
      <x:c r="R1357" s="48" t="n">
        <x:v>1</x:v>
      </x:c>
      <x:c r="S1357" s="29" t="n">
        <x:v>1</x:v>
      </x:c>
    </x:row>
    <x:row r="1358" ht="15" hidden="0" customHeight="1">
      <x:c r="A1358" s="27" t="n">
        <x:v>452</x:v>
      </x:c>
      <x:c r="B1358" s="27" t="str">
        <x:v>A1</x:v>
      </x:c>
      <x:c r="C1358" s="47" t="n">
        <x:v>1.1540188523726336</x:v>
      </x:c>
      <x:c r="D1358" s="47" t="n">
        <x:v>0.735500912613108</x:v>
      </x:c>
      <x:c r="E1358" s="47" t="n">
        <x:v>0.9041400589329132</x:v>
      </x:c>
      <x:c r="F1358" s="47" t="n">
        <x:v>0.012022266712196472</x:v>
      </x:c>
      <x:c r="G1358" s="47" t="n">
        <x:v>-0.0345900495881685</x:v>
      </x:c>
      <x:c r="H1358" s="47" t="n">
        <x:v>0.7950302991146755</x:v>
      </x:c>
      <x:c r="I1358" s="47" t="n">
        <x:v>0.7029893886353331</x:v>
      </x:c>
      <x:c r="J1358" s="47" t="n">
        <x:v>0.40238522659880493</x:v>
      </x:c>
      <x:c r="K1358" s="47" t="n">
        <x:v>0.6626266066605987</x:v>
      </x:c>
      <x:c r="L1358" s="47" t="n">
        <x:v>0.7158362289961757</x:v>
      </x:c>
      <x:c r="M1358" s="47" t="n">
        <x:v>0.13002750674638652</x:v>
      </x:c>
      <x:c r="N1358" s="47" t="n">
        <x:v>0.862854525033189</x:v>
      </x:c>
      <x:c r="O1358" s="47" t="n">
        <x:v>0.756197088744978</x:v>
      </x:c>
      <x:c r="P1358" s="47" t="n">
        <x:v>0.4895761424683063</x:v>
      </x:c>
      <x:c r="Q1358" s="47" t="n">
        <x:v>0.9451544144455901</x:v>
      </x:c>
      <x:c r="R1358" s="47" t="n">
        <x:v>0.6993490011716835</x:v>
      </x:c>
      <x:c r="S1358" s="27" t="n">
        <x:v>0</x:v>
      </x:c>
    </x:row>
    <x:row r="1359" ht="15" hidden="0" customHeight="1">
      <x:c r="A1359" s="29" t="n">
        <x:v>452</x:v>
      </x:c>
      <x:c r="B1359" s="29" t="str">
        <x:v>A2</x:v>
      </x:c>
      <x:c r="C1359" s="48" t="n">
        <x:v>1.1540188523726336</x:v>
      </x:c>
      <x:c r="D1359" s="48" t="n">
        <x:v>0.735500912613108</x:v>
      </x:c>
      <x:c r="E1359" s="48" t="n">
        <x:v>0.9041400589329132</x:v>
      </x:c>
      <x:c r="F1359" s="48" t="n">
        <x:v>0.012022266712196472</x:v>
      </x:c>
      <x:c r="G1359" s="48" t="n">
        <x:v>-0.0345900495881685</x:v>
      </x:c>
      <x:c r="H1359" s="48" t="n">
        <x:v>0.7950302991146755</x:v>
      </x:c>
      <x:c r="I1359" s="48" t="n">
        <x:v>0.7029893886353331</x:v>
      </x:c>
      <x:c r="J1359" s="48" t="n">
        <x:v>0.40238522659880493</x:v>
      </x:c>
      <x:c r="K1359" s="48" t="n">
        <x:v>0.6626266066605987</x:v>
      </x:c>
      <x:c r="L1359" s="48" t="n">
        <x:v>0.7158362289961757</x:v>
      </x:c>
      <x:c r="M1359" s="48" t="n">
        <x:v>0.13002750674638652</x:v>
      </x:c>
      <x:c r="N1359" s="48" t="n">
        <x:v>0.862854525033189</x:v>
      </x:c>
      <x:c r="O1359" s="48" t="n">
        <x:v>0.8439725038408616</x:v>
      </x:c>
      <x:c r="P1359" s="48" t="n">
        <x:v>0.5542643747151044</x:v>
      </x:c>
      <x:c r="Q1359" s="48" t="n">
        <x:v>1</x:v>
      </x:c>
      <x:c r="R1359" s="48" t="n">
        <x:v>0.807330531766642</x:v>
      </x:c>
      <x:c r="S1359" s="29" t="n">
        <x:v>0</x:v>
      </x:c>
    </x:row>
    <x:row r="1360" ht="15" hidden="0" customHeight="1">
      <x:c r="A1360" s="27" t="n">
        <x:v>452</x:v>
      </x:c>
      <x:c r="B1360" s="27" t="str">
        <x:v>A3</x:v>
      </x:c>
      <x:c r="C1360" s="47" t="n">
        <x:v>1.1540188523726336</x:v>
      </x:c>
      <x:c r="D1360" s="47" t="n">
        <x:v>0.735500912613108</x:v>
      </x:c>
      <x:c r="E1360" s="47" t="n">
        <x:v>0.9041400589329132</x:v>
      </x:c>
      <x:c r="F1360" s="47" t="n">
        <x:v>0.012022266712196472</x:v>
      </x:c>
      <x:c r="G1360" s="47" t="n">
        <x:v>-0.0345900495881685</x:v>
      </x:c>
      <x:c r="H1360" s="47" t="n">
        <x:v>0.7950302991146755</x:v>
      </x:c>
      <x:c r="I1360" s="47" t="n">
        <x:v>0.7029893886353331</x:v>
      </x:c>
      <x:c r="J1360" s="47" t="n">
        <x:v>0.40238522659880493</x:v>
      </x:c>
      <x:c r="K1360" s="47" t="n">
        <x:v>0.6626266066605987</x:v>
      </x:c>
      <x:c r="L1360" s="47" t="n">
        <x:v>0.7158362289961757</x:v>
      </x:c>
      <x:c r="M1360" s="47" t="n">
        <x:v>0.13002750674638652</x:v>
      </x:c>
      <x:c r="N1360" s="47" t="n">
        <x:v>0.862854525033189</x:v>
      </x:c>
      <x:c r="O1360" s="47" t="n">
        <x:v>1</x:v>
      </x:c>
      <x:c r="P1360" s="47" t="n">
        <x:v>1</x:v>
      </x:c>
      <x:c r="Q1360" s="47" t="n">
        <x:v>1</x:v>
      </x:c>
      <x:c r="R1360" s="47" t="n">
        <x:v>1</x:v>
      </x:c>
      <x:c r="S1360" s="27" t="n">
        <x:v>1</x:v>
      </x:c>
    </x:row>
    <x:row r="1361" ht="21.600000381469727" hidden="0" customHeight="1">
      <x:c r="A1361" s="29" t="n">
        <x:v>453</x:v>
      </x:c>
      <x:c r="B1361" s="29" t="str">
        <x:v>A1</x:v>
      </x:c>
      <x:c r="C1361" s="48" t="n">
        <x:v>0.9543707726950006</x:v>
      </x:c>
      <x:c r="D1361" s="48" t="n">
        <x:v>0.755044092586528</x:v>
      </x:c>
      <x:c r="E1361" s="48" t="n">
        <x:v>0.8688777517657986</x:v>
      </x:c>
      <x:c r="F1361" s="48" t="n">
        <x:v>-0.09540460578875151</x:v>
      </x:c>
      <x:c r="G1361" s="48" t="n">
        <x:v>-0.12767519419920548</x:v>
      </x:c>
      <x:c r="H1361" s="48" t="n">
        <x:v>0.7360547739971062</x:v>
      </x:c>
      <x:c r="I1361" s="48" t="n">
        <x:v>0.646596248213545</x:v>
      </x:c>
      <x:c r="J1361" s="48" t="n">
        <x:v>0.5426848558729258</x:v>
      </x:c>
      <x:c r="K1361" s="48" t="n">
        <x:v>0.9059066815001751</x:v>
      </x:c>
      <x:c r="L1361" s="48" t="n">
        <x:v>0.6125869770139254</x:v>
      </x:c>
      <x:c r="M1361" s="48" t="n">
        <x:v>0.04656933812974555</x:v>
      </x:c>
      <x:c r="N1361" s="48" t="n">
        <x:v>0.7079711881797022</x:v>
      </x:c>
      <x:c r="O1361" s="48" t="n">
        <x:v>0.8574029196197638</x:v>
      </x:c>
      <x:c r="P1361" s="48" t="n">
        <x:v>0.5970004089271972</x:v>
      </x:c>
      <x:c r="Q1361" s="48" t="n">
        <x:v>1</x:v>
      </x:c>
      <x:c r="R1361" s="48" t="n">
        <x:v>0.8239149872630936</x:v>
      </x:c>
      <x:c r="S1361" s="29" t="n">
        <x:v>0</x:v>
      </x:c>
    </x:row>
    <x:row r="1362" ht="21.600000381469727" hidden="0" customHeight="1">
      <x:c r="A1362" s="27" t="n">
        <x:v>453</x:v>
      </x:c>
      <x:c r="B1362" s="27" t="str">
        <x:v>A2</x:v>
      </x:c>
      <x:c r="C1362" s="47" t="n">
        <x:v>0.9543707726950006</x:v>
      </x:c>
      <x:c r="D1362" s="47" t="n">
        <x:v>0.755044092586528</x:v>
      </x:c>
      <x:c r="E1362" s="47" t="n">
        <x:v>0.8688777517657986</x:v>
      </x:c>
      <x:c r="F1362" s="47" t="n">
        <x:v>-0.09540460578875151</x:v>
      </x:c>
      <x:c r="G1362" s="47" t="n">
        <x:v>-0.12767519419920548</x:v>
      </x:c>
      <x:c r="H1362" s="47" t="n">
        <x:v>0.7360547739971062</x:v>
      </x:c>
      <x:c r="I1362" s="47" t="n">
        <x:v>0.646596248213545</x:v>
      </x:c>
      <x:c r="J1362" s="47" t="n">
        <x:v>0.5426848558729258</x:v>
      </x:c>
      <x:c r="K1362" s="47" t="n">
        <x:v>0.9059066815001751</x:v>
      </x:c>
      <x:c r="L1362" s="47" t="n">
        <x:v>0.6125869770139254</x:v>
      </x:c>
      <x:c r="M1362" s="47" t="n">
        <x:v>0.04656933812974555</x:v>
      </x:c>
      <x:c r="N1362" s="47" t="n">
        <x:v>0.7079711881797022</x:v>
      </x:c>
      <x:c r="O1362" s="47" t="n">
        <x:v>0.924274962794668</x:v>
      </x:c>
      <x:c r="P1362" s="47" t="n">
        <x:v>0.6340344240818097</x:v>
      </x:c>
      <x:c r="Q1362" s="47" t="n">
        <x:v>1</x:v>
      </x:c>
      <x:c r="R1362" s="47" t="n">
        <x:v>0.9064914645850514</x:v>
      </x:c>
      <x:c r="S1362" s="27" t="n">
        <x:v>0</x:v>
      </x:c>
    </x:row>
    <x:row r="1363" ht="21.600000381469727" hidden="0" customHeight="1">
      <x:c r="A1363" s="29" t="n">
        <x:v>453</x:v>
      </x:c>
      <x:c r="B1363" s="29" t="str">
        <x:v>A3</x:v>
      </x:c>
      <x:c r="C1363" s="48" t="n">
        <x:v>0.9543707726950006</x:v>
      </x:c>
      <x:c r="D1363" s="48" t="n">
        <x:v>0.755044092586528</x:v>
      </x:c>
      <x:c r="E1363" s="48" t="n">
        <x:v>0.8688777517657986</x:v>
      </x:c>
      <x:c r="F1363" s="48" t="n">
        <x:v>-0.09540460578875151</x:v>
      </x:c>
      <x:c r="G1363" s="48" t="n">
        <x:v>-0.12767519419920548</x:v>
      </x:c>
      <x:c r="H1363" s="48" t="n">
        <x:v>0.7360547739971062</x:v>
      </x:c>
      <x:c r="I1363" s="48" t="n">
        <x:v>0.646596248213545</x:v>
      </x:c>
      <x:c r="J1363" s="48" t="n">
        <x:v>0.5426848558729258</x:v>
      </x:c>
      <x:c r="K1363" s="48" t="n">
        <x:v>0.9059066815001751</x:v>
      </x:c>
      <x:c r="L1363" s="48" t="n">
        <x:v>0.6125869770139254</x:v>
      </x:c>
      <x:c r="M1363" s="48" t="n">
        <x:v>0.04656933812974555</x:v>
      </x:c>
      <x:c r="N1363" s="48" t="n">
        <x:v>0.7079711881797022</x:v>
      </x:c>
      <x:c r="O1363" s="48" t="n">
        <x:v>1</x:v>
      </x:c>
      <x:c r="P1363" s="48" t="n">
        <x:v>1</x:v>
      </x:c>
      <x:c r="Q1363" s="48" t="n">
        <x:v>1</x:v>
      </x:c>
      <x:c r="R1363" s="48" t="n">
        <x:v>1.0000000000000002</x:v>
      </x:c>
      <x:c r="S1363" s="29" t="n">
        <x:v>1</x:v>
      </x:c>
    </x:row>
    <x:row r="1364" ht="21.600000381469727" hidden="0" customHeight="1">
      <x:c r="A1364" s="27" t="n">
        <x:v>454</x:v>
      </x:c>
      <x:c r="B1364" s="27" t="str">
        <x:v>A1</x:v>
      </x:c>
      <x:c r="C1364" s="47" t="n">
        <x:v>0.9288800635755768</x:v>
      </x:c>
      <x:c r="D1364" s="47" t="n">
        <x:v>0.8795095869242409</x:v>
      </x:c>
      <x:c r="E1364" s="47" t="n">
        <x:v>0.9146548151385139</x:v>
      </x:c>
      <x:c r="F1364" s="47" t="n">
        <x:v>-0.10628476227076158</x:v>
      </x:c>
      <x:c r="G1364" s="47" t="n">
        <x:v>-0.060152641741820556</x:v>
      </x:c>
      <x:c r="H1364" s="47" t="n">
        <x:v>0.9150563924976634</x:v>
      </x:c>
      <x:c r="I1364" s="47" t="n">
        <x:v>0.9191016090111166</x:v>
      </x:c>
      <x:c r="J1364" s="47" t="n">
        <x:v>0.49893384545456987</x:v>
      </x:c>
      <x:c r="K1364" s="47" t="n">
        <x:v>0.6678569336374389</x:v>
      </x:c>
      <x:c r="L1364" s="47" t="n">
        <x:v>0.6178273134358262</x:v>
      </x:c>
      <x:c r="M1364" s="47" t="n">
        <x:v>0.05855082991789967</x:v>
      </x:c>
      <x:c r="N1364" s="47" t="n">
        <x:v>0.9440774906094584</x:v>
      </x:c>
      <x:c r="O1364" s="47" t="n">
        <x:v>0.9074373308849573</x:v>
      </x:c>
      <x:c r="P1364" s="47" t="n">
        <x:v>0.6906025619478965</x:v>
      </x:c>
      <x:c r="Q1364" s="47" t="n">
        <x:v>1</x:v>
      </x:c>
      <x:c r="R1364" s="47" t="n">
        <x:v>0.8856996319516274</x:v>
      </x:c>
      <x:c r="S1364" s="27" t="n">
        <x:v>0</x:v>
      </x:c>
    </x:row>
    <x:row r="1365" ht="21.600000381469727" hidden="0" customHeight="1">
      <x:c r="A1365" s="29" t="n">
        <x:v>454</x:v>
      </x:c>
      <x:c r="B1365" s="29" t="str">
        <x:v>A2</x:v>
      </x:c>
      <x:c r="C1365" s="48" t="n">
        <x:v>0.9288800635755768</x:v>
      </x:c>
      <x:c r="D1365" s="48" t="n">
        <x:v>0.8795095869242409</x:v>
      </x:c>
      <x:c r="E1365" s="48" t="n">
        <x:v>0.9146548151385139</x:v>
      </x:c>
      <x:c r="F1365" s="48" t="n">
        <x:v>-0.10628476227076158</x:v>
      </x:c>
      <x:c r="G1365" s="48" t="n">
        <x:v>-0.060152641741820556</x:v>
      </x:c>
      <x:c r="H1365" s="48" t="n">
        <x:v>0.9150563924976634</x:v>
      </x:c>
      <x:c r="I1365" s="48" t="n">
        <x:v>0.9191016090111166</x:v>
      </x:c>
      <x:c r="J1365" s="48" t="n">
        <x:v>0.49893384545456987</x:v>
      </x:c>
      <x:c r="K1365" s="48" t="n">
        <x:v>0.6678569336374389</x:v>
      </x:c>
      <x:c r="L1365" s="48" t="n">
        <x:v>0.6178273134358262</x:v>
      </x:c>
      <x:c r="M1365" s="48" t="n">
        <x:v>0.05855082991789967</x:v>
      </x:c>
      <x:c r="N1365" s="48" t="n">
        <x:v>0.9440774906094584</x:v>
      </x:c>
      <x:c r="O1365" s="48" t="n">
        <x:v>0.9821874541133981</x:v>
      </x:c>
      <x:c r="P1365" s="48" t="n">
        <x:v>0.8552923465025123</x:v>
      </x:c>
      <x:c r="Q1365" s="48" t="n">
        <x:v>1</x:v>
      </x:c>
      <x:c r="R1365" s="48" t="n">
        <x:v>0.9780043016241605</x:v>
      </x:c>
      <x:c r="S1365" s="29" t="n">
        <x:v>0</x:v>
      </x:c>
    </x:row>
    <x:row r="1366" ht="21.600000381469727" hidden="0" customHeight="1">
      <x:c r="A1366" s="27" t="n">
        <x:v>454</x:v>
      </x:c>
      <x:c r="B1366" s="27" t="str">
        <x:v>A3</x:v>
      </x:c>
      <x:c r="C1366" s="47" t="n">
        <x:v>0.9288800635755768</x:v>
      </x:c>
      <x:c r="D1366" s="47" t="n">
        <x:v>0.8795095869242409</x:v>
      </x:c>
      <x:c r="E1366" s="47" t="n">
        <x:v>0.9146548151385139</x:v>
      </x:c>
      <x:c r="F1366" s="47" t="n">
        <x:v>-0.10628476227076158</x:v>
      </x:c>
      <x:c r="G1366" s="47" t="n">
        <x:v>-0.060152641741820556</x:v>
      </x:c>
      <x:c r="H1366" s="47" t="n">
        <x:v>0.9150563924976634</x:v>
      </x:c>
      <x:c r="I1366" s="47" t="n">
        <x:v>0.9191016090111166</x:v>
      </x:c>
      <x:c r="J1366" s="47" t="n">
        <x:v>0.49893384545456987</x:v>
      </x:c>
      <x:c r="K1366" s="47" t="n">
        <x:v>0.6678569336374389</x:v>
      </x:c>
      <x:c r="L1366" s="47" t="n">
        <x:v>0.6178273134358262</x:v>
      </x:c>
      <x:c r="M1366" s="47" t="n">
        <x:v>0.05855082991789967</x:v>
      </x:c>
      <x:c r="N1366" s="47" t="n">
        <x:v>0.9440774906094584</x:v>
      </x:c>
      <x:c r="O1366" s="47" t="n">
        <x:v>1</x:v>
      </x:c>
      <x:c r="P1366" s="47" t="n">
        <x:v>1</x:v>
      </x:c>
      <x:c r="Q1366" s="47" t="n">
        <x:v>1</x:v>
      </x:c>
      <x:c r="R1366" s="47" t="n">
        <x:v>1</x:v>
      </x:c>
      <x:c r="S1366" s="27" t="n">
        <x:v>1</x:v>
      </x:c>
    </x:row>
    <x:row r="1367" ht="21.600000381469727" hidden="0" customHeight="1">
      <x:c r="A1367" s="29" t="n">
        <x:v>455</x:v>
      </x:c>
      <x:c r="B1367" s="29" t="str">
        <x:v>A1</x:v>
      </x:c>
      <x:c r="C1367" s="48" t="n">
        <x:v>1.1326847399825226</x:v>
      </x:c>
      <x:c r="D1367" s="48" t="n">
        <x:v>0.9142213710890934</x:v>
      </x:c>
      <x:c r="E1367" s="48" t="n">
        <x:v>0.5627010022505657</x:v>
      </x:c>
      <x:c r="F1367" s="48" t="n">
        <x:v>-0.002192958078792051</x:v>
      </x:c>
      <x:c r="G1367" s="48" t="n">
        <x:v>-0.05448941870397997</x:v>
      </x:c>
      <x:c r="H1367" s="48" t="n">
        <x:v>0.3908942464605084</x:v>
      </x:c>
      <x:c r="I1367" s="48" t="n">
        <x:v>0.8923393241175575</x:v>
      </x:c>
      <x:c r="J1367" s="48" t="n">
        <x:v>0.6073704764542893</x:v>
      </x:c>
      <x:c r="K1367" s="48" t="n">
        <x:v>0.6744242871717239</x:v>
      </x:c>
      <x:c r="L1367" s="48" t="n">
        <x:v>0.5385795625354473</x:v>
      </x:c>
      <x:c r="M1367" s="48" t="n">
        <x:v>0.00837298280491909</x:v>
      </x:c>
      <x:c r="N1367" s="48" t="n">
        <x:v>0.6688375118077599</x:v>
      </x:c>
      <x:c r="O1367" s="48" t="n">
        <x:v>0.822175834599507</x:v>
      </x:c>
      <x:c r="P1367" s="48" t="n">
        <x:v>0.5950742573381783</x:v>
      </x:c>
      <x:c r="Q1367" s="48" t="n">
        <x:v>1</x:v>
      </x:c>
      <x:c r="R1367" s="48" t="n">
        <x:v>0.7804150663815739</x:v>
      </x:c>
      <x:c r="S1367" s="29" t="n">
        <x:v>0</x:v>
      </x:c>
    </x:row>
    <x:row r="1368" ht="21.600000381469727" hidden="0" customHeight="1">
      <x:c r="A1368" s="27" t="n">
        <x:v>455</x:v>
      </x:c>
      <x:c r="B1368" s="27" t="str">
        <x:v>A2</x:v>
      </x:c>
      <x:c r="C1368" s="47" t="n">
        <x:v>1.1326847399825226</x:v>
      </x:c>
      <x:c r="D1368" s="47" t="n">
        <x:v>0.9142213710890934</x:v>
      </x:c>
      <x:c r="E1368" s="47" t="n">
        <x:v>0.5627010022505657</x:v>
      </x:c>
      <x:c r="F1368" s="47" t="n">
        <x:v>-0.002192958078792051</x:v>
      </x:c>
      <x:c r="G1368" s="47" t="n">
        <x:v>-0.05448941870397997</x:v>
      </x:c>
      <x:c r="H1368" s="47" t="n">
        <x:v>0.3908942464605084</x:v>
      </x:c>
      <x:c r="I1368" s="47" t="n">
        <x:v>0.8923393241175575</x:v>
      </x:c>
      <x:c r="J1368" s="47" t="n">
        <x:v>0.6073704764542893</x:v>
      </x:c>
      <x:c r="K1368" s="47" t="n">
        <x:v>0.6744242871717239</x:v>
      </x:c>
      <x:c r="L1368" s="47" t="n">
        <x:v>0.5385795625354473</x:v>
      </x:c>
      <x:c r="M1368" s="47" t="n">
        <x:v>0.00837298280491909</x:v>
      </x:c>
      <x:c r="N1368" s="47" t="n">
        <x:v>0.6688375118077599</x:v>
      </x:c>
      <x:c r="O1368" s="47" t="n">
        <x:v>0.9041841626736012</x:v>
      </x:c>
      <x:c r="P1368" s="47" t="n">
        <x:v>0.6587648863530086</x:v>
      </x:c>
      <x:c r="Q1368" s="47" t="n">
        <x:v>1</x:v>
      </x:c>
      <x:c r="R1368" s="47" t="n">
        <x:v>0.8816824798163633</x:v>
      </x:c>
      <x:c r="S1368" s="27" t="n">
        <x:v>0</x:v>
      </x:c>
    </x:row>
    <x:row r="1369" ht="21.600000381469727" hidden="0" customHeight="1">
      <x:c r="A1369" s="29" t="n">
        <x:v>455</x:v>
      </x:c>
      <x:c r="B1369" s="29" t="str">
        <x:v>A3</x:v>
      </x:c>
      <x:c r="C1369" s="48" t="n">
        <x:v>1.1326847399825226</x:v>
      </x:c>
      <x:c r="D1369" s="48" t="n">
        <x:v>0.9142213710890934</x:v>
      </x:c>
      <x:c r="E1369" s="48" t="n">
        <x:v>0.5627010022505657</x:v>
      </x:c>
      <x:c r="F1369" s="48" t="n">
        <x:v>-0.002192958078792051</x:v>
      </x:c>
      <x:c r="G1369" s="48" t="n">
        <x:v>-0.05448941870397997</x:v>
      </x:c>
      <x:c r="H1369" s="48" t="n">
        <x:v>0.3908942464605084</x:v>
      </x:c>
      <x:c r="I1369" s="48" t="n">
        <x:v>0.8923393241175575</x:v>
      </x:c>
      <x:c r="J1369" s="48" t="n">
        <x:v>0.6073704764542893</x:v>
      </x:c>
      <x:c r="K1369" s="48" t="n">
        <x:v>0.6744242871717239</x:v>
      </x:c>
      <x:c r="L1369" s="48" t="n">
        <x:v>0.5385795625354473</x:v>
      </x:c>
      <x:c r="M1369" s="48" t="n">
        <x:v>0.00837298280491909</x:v>
      </x:c>
      <x:c r="N1369" s="48" t="n">
        <x:v>0.6688375118077599</x:v>
      </x:c>
      <x:c r="O1369" s="48" t="n">
        <x:v>1</x:v>
      </x:c>
      <x:c r="P1369" s="48" t="n">
        <x:v>1</x:v>
      </x:c>
      <x:c r="Q1369" s="48" t="n">
        <x:v>1</x:v>
      </x:c>
      <x:c r="R1369" s="48" t="n">
        <x:v>1</x:v>
      </x:c>
      <x:c r="S1369" s="29" t="n">
        <x:v>1</x:v>
      </x:c>
    </x:row>
    <x:row r="1370" ht="21.600000381469727" hidden="0" customHeight="1">
      <x:c r="A1370" s="27" t="n">
        <x:v>456</x:v>
      </x:c>
      <x:c r="B1370" s="27" t="str">
        <x:v>A1</x:v>
      </x:c>
      <x:c r="C1370" s="47" t="n">
        <x:v>0.9792922174107948</x:v>
      </x:c>
      <x:c r="D1370" s="47" t="n">
        <x:v>0.8120069442630635</x:v>
      </x:c>
      <x:c r="E1370" s="47" t="n">
        <x:v>0.6735698808189021</x:v>
      </x:c>
      <x:c r="F1370" s="47" t="n">
        <x:v>-0.09880258762400346</x:v>
      </x:c>
      <x:c r="G1370" s="47" t="n">
        <x:v>-0.021925779300509374</x:v>
      </x:c>
      <x:c r="H1370" s="47" t="n">
        <x:v>0.5611115412400479</x:v>
      </x:c>
      <x:c r="I1370" s="47" t="n">
        <x:v>0.8554588819417273</x:v>
      </x:c>
      <x:c r="J1370" s="47" t="n">
        <x:v>0.5935223225429568</x:v>
      </x:c>
      <x:c r="K1370" s="47" t="n">
        <x:v>0.649592247622893</x:v>
      </x:c>
      <x:c r="L1370" s="47" t="n">
        <x:v>0.8733943271148468</x:v>
      </x:c>
      <x:c r="M1370" s="47" t="n">
        <x:v>0.02455368503805642</x:v>
      </x:c>
      <x:c r="N1370" s="47" t="n">
        <x:v>0.668189256584955</x:v>
      </x:c>
      <x:c r="O1370" s="47" t="n">
        <x:v>0.8746239664261412</x:v>
      </x:c>
      <x:c r="P1370" s="47" t="n">
        <x:v>0.606643336455906</x:v>
      </x:c>
      <x:c r="Q1370" s="47" t="n">
        <x:v>1</x:v>
      </x:c>
      <x:c r="R1370" s="47" t="n">
        <x:v>0.8451802771144565</x:v>
      </x:c>
      <x:c r="S1370" s="27" t="n">
        <x:v>0</x:v>
      </x:c>
    </x:row>
    <x:row r="1371" ht="21.600000381469727" hidden="0" customHeight="1">
      <x:c r="A1371" s="29" t="n">
        <x:v>456</x:v>
      </x:c>
      <x:c r="B1371" s="29" t="str">
        <x:v>A2</x:v>
      </x:c>
      <x:c r="C1371" s="48" t="n">
        <x:v>0.9792922174107948</x:v>
      </x:c>
      <x:c r="D1371" s="48" t="n">
        <x:v>0.8120069442630635</x:v>
      </x:c>
      <x:c r="E1371" s="48" t="n">
        <x:v>0.6735698808189021</x:v>
      </x:c>
      <x:c r="F1371" s="48" t="n">
        <x:v>-0.09880258762400346</x:v>
      </x:c>
      <x:c r="G1371" s="48" t="n">
        <x:v>-0.021925779300509374</x:v>
      </x:c>
      <x:c r="H1371" s="48" t="n">
        <x:v>0.5611115412400479</x:v>
      </x:c>
      <x:c r="I1371" s="48" t="n">
        <x:v>0.8554588819417273</x:v>
      </x:c>
      <x:c r="J1371" s="48" t="n">
        <x:v>0.5935223225429568</x:v>
      </x:c>
      <x:c r="K1371" s="48" t="n">
        <x:v>0.649592247622893</x:v>
      </x:c>
      <x:c r="L1371" s="48" t="n">
        <x:v>0.8733943271148468</x:v>
      </x:c>
      <x:c r="M1371" s="48" t="n">
        <x:v>0.02455368503805642</x:v>
      </x:c>
      <x:c r="N1371" s="48" t="n">
        <x:v>0.668189256584955</x:v>
      </x:c>
      <x:c r="O1371" s="48" t="n">
        <x:v>0.9604019255079917</x:v>
      </x:c>
      <x:c r="P1371" s="48" t="n">
        <x:v>0.6579242516614241</x:v>
      </x:c>
      <x:c r="Q1371" s="48" t="n">
        <x:v>1</x:v>
      </x:c>
      <x:c r="R1371" s="48" t="n">
        <x:v>0.9511025931758933</x:v>
      </x:c>
      <x:c r="S1371" s="29" t="n">
        <x:v>0</x:v>
      </x:c>
    </x:row>
    <x:row r="1372" ht="21.600000381469727" hidden="0" customHeight="1">
      <x:c r="A1372" s="27" t="n">
        <x:v>456</x:v>
      </x:c>
      <x:c r="B1372" s="27" t="str">
        <x:v>A3</x:v>
      </x:c>
      <x:c r="C1372" s="47" t="n">
        <x:v>0.9792922174107948</x:v>
      </x:c>
      <x:c r="D1372" s="47" t="n">
        <x:v>0.8120069442630635</x:v>
      </x:c>
      <x:c r="E1372" s="47" t="n">
        <x:v>0.6735698808189021</x:v>
      </x:c>
      <x:c r="F1372" s="47" t="n">
        <x:v>-0.09880258762400346</x:v>
      </x:c>
      <x:c r="G1372" s="47" t="n">
        <x:v>-0.021925779300509374</x:v>
      </x:c>
      <x:c r="H1372" s="47" t="n">
        <x:v>0.5611115412400479</x:v>
      </x:c>
      <x:c r="I1372" s="47" t="n">
        <x:v>0.8554588819417273</x:v>
      </x:c>
      <x:c r="J1372" s="47" t="n">
        <x:v>0.5935223225429568</x:v>
      </x:c>
      <x:c r="K1372" s="47" t="n">
        <x:v>0.649592247622893</x:v>
      </x:c>
      <x:c r="L1372" s="47" t="n">
        <x:v>0.8733943271148468</x:v>
      </x:c>
      <x:c r="M1372" s="47" t="n">
        <x:v>0.02455368503805642</x:v>
      </x:c>
      <x:c r="N1372" s="47" t="n">
        <x:v>0.668189256584955</x:v>
      </x:c>
      <x:c r="O1372" s="47" t="n">
        <x:v>1</x:v>
      </x:c>
      <x:c r="P1372" s="47" t="n">
        <x:v>1</x:v>
      </x:c>
      <x:c r="Q1372" s="47" t="n">
        <x:v>1</x:v>
      </x:c>
      <x:c r="R1372" s="47" t="n">
        <x:v>1</x:v>
      </x:c>
      <x:c r="S1372" s="27" t="n">
        <x:v>1</x:v>
      </x:c>
    </x:row>
    <x:row r="1373" ht="21.600000381469727" hidden="0" customHeight="1">
      <x:c r="A1373" s="29" t="n">
        <x:v>457</x:v>
      </x:c>
      <x:c r="B1373" s="29" t="str">
        <x:v>A1</x:v>
      </x:c>
      <x:c r="C1373" s="48" t="n">
        <x:v>0.963198479410858</x:v>
      </x:c>
      <x:c r="D1373" s="48" t="n">
        <x:v>0.8709300352763939</x:v>
      </x:c>
      <x:c r="E1373" s="48" t="n">
        <x:v>1.073205113906022</x:v>
      </x:c>
      <x:c r="F1373" s="48" t="n">
        <x:v>-0.003941694560767206</x:v>
      </x:c>
      <x:c r="G1373" s="48" t="n">
        <x:v>-0.1317302820272716</x:v>
      </x:c>
      <x:c r="H1373" s="48" t="n">
        <x:v>0.8177937192119906</x:v>
      </x:c>
      <x:c r="I1373" s="48" t="n">
        <x:v>0.9858973033191963</x:v>
      </x:c>
      <x:c r="J1373" s="48" t="n">
        <x:v>0.47966457676033314</x:v>
      </x:c>
      <x:c r="K1373" s="48" t="n">
        <x:v>0.7929219816895591</x:v>
      </x:c>
      <x:c r="L1373" s="48" t="n">
        <x:v>0.875448485075739</x:v>
      </x:c>
      <x:c r="M1373" s="48" t="n">
        <x:v>0.02540672881633325</x:v>
      </x:c>
      <x:c r="N1373" s="48" t="n">
        <x:v>0.6840284514003113</x:v>
      </x:c>
      <x:c r="O1373" s="48" t="n">
        <x:v>0.9024715543633789</x:v>
      </x:c>
      <x:c r="P1373" s="48" t="n">
        <x:v>0.6846626233256567</x:v>
      </x:c>
      <x:c r="Q1373" s="48" t="n">
        <x:v>1</x:v>
      </x:c>
      <x:c r="R1373" s="48" t="n">
        <x:v>0.8795676773581733</x:v>
      </x:c>
      <x:c r="S1373" s="29" t="n">
        <x:v>0</x:v>
      </x:c>
    </x:row>
    <x:row r="1374" ht="21.600000381469727" hidden="0" customHeight="1">
      <x:c r="A1374" s="27" t="n">
        <x:v>457</x:v>
      </x:c>
      <x:c r="B1374" s="27" t="str">
        <x:v>A2</x:v>
      </x:c>
      <x:c r="C1374" s="47" t="n">
        <x:v>0.963198479410858</x:v>
      </x:c>
      <x:c r="D1374" s="47" t="n">
        <x:v>0.8709300352763939</x:v>
      </x:c>
      <x:c r="E1374" s="47" t="n">
        <x:v>1.073205113906022</x:v>
      </x:c>
      <x:c r="F1374" s="47" t="n">
        <x:v>-0.003941694560767206</x:v>
      </x:c>
      <x:c r="G1374" s="47" t="n">
        <x:v>-0.1317302820272716</x:v>
      </x:c>
      <x:c r="H1374" s="47" t="n">
        <x:v>0.8177937192119906</x:v>
      </x:c>
      <x:c r="I1374" s="47" t="n">
        <x:v>0.9858973033191963</x:v>
      </x:c>
      <x:c r="J1374" s="47" t="n">
        <x:v>0.47966457676033314</x:v>
      </x:c>
      <x:c r="K1374" s="47" t="n">
        <x:v>0.7929219816895591</x:v>
      </x:c>
      <x:c r="L1374" s="47" t="n">
        <x:v>0.875448485075739</x:v>
      </x:c>
      <x:c r="M1374" s="47" t="n">
        <x:v>0.02540672881633325</x:v>
      </x:c>
      <x:c r="N1374" s="47" t="n">
        <x:v>0.6840284514003113</x:v>
      </x:c>
      <x:c r="O1374" s="47" t="n">
        <x:v>0.9933212902685948</x:v>
      </x:c>
      <x:c r="P1374" s="47" t="n">
        <x:v>0.9527252347982466</x:v>
      </x:c>
      <x:c r="Q1374" s="47" t="n">
        <x:v>1</x:v>
      </x:c>
      <x:c r="R1374" s="47" t="n">
        <x:v>0.9917528417483394</x:v>
      </x:c>
      <x:c r="S1374" s="27" t="n">
        <x:v>1</x:v>
      </x:c>
    </x:row>
    <x:row r="1375" ht="21.600000381469727" hidden="0" customHeight="1">
      <x:c r="A1375" s="29" t="n">
        <x:v>457</x:v>
      </x:c>
      <x:c r="B1375" s="29" t="str">
        <x:v>A3</x:v>
      </x:c>
      <x:c r="C1375" s="48" t="n">
        <x:v>0.963198479410858</x:v>
      </x:c>
      <x:c r="D1375" s="48" t="n">
        <x:v>0.8709300352763939</x:v>
      </x:c>
      <x:c r="E1375" s="48" t="n">
        <x:v>1.073205113906022</x:v>
      </x:c>
      <x:c r="F1375" s="48" t="n">
        <x:v>-0.003941694560767206</x:v>
      </x:c>
      <x:c r="G1375" s="48" t="n">
        <x:v>-0.1317302820272716</x:v>
      </x:c>
      <x:c r="H1375" s="48" t="n">
        <x:v>0.8177937192119906</x:v>
      </x:c>
      <x:c r="I1375" s="48" t="n">
        <x:v>0.9858973033191963</x:v>
      </x:c>
      <x:c r="J1375" s="48" t="n">
        <x:v>0.47966457676033314</x:v>
      </x:c>
      <x:c r="K1375" s="48" t="n">
        <x:v>0.7929219816895591</x:v>
      </x:c>
      <x:c r="L1375" s="48" t="n">
        <x:v>0.875448485075739</x:v>
      </x:c>
      <x:c r="M1375" s="48" t="n">
        <x:v>0.02540672881633325</x:v>
      </x:c>
      <x:c r="N1375" s="48" t="n">
        <x:v>0.6840284514003113</x:v>
      </x:c>
      <x:c r="O1375" s="48" t="n">
        <x:v>1</x:v>
      </x:c>
      <x:c r="P1375" s="48" t="n">
        <x:v>1</x:v>
      </x:c>
      <x:c r="Q1375" s="48" t="n">
        <x:v>1</x:v>
      </x:c>
      <x:c r="R1375" s="48" t="n">
        <x:v>1</x:v>
      </x:c>
      <x:c r="S1375" s="29" t="n">
        <x:v>1</x:v>
      </x:c>
    </x:row>
    <x:row r="1376" ht="21.600000381469727" hidden="0" customHeight="1">
      <x:c r="A1376" s="27" t="n">
        <x:v>458</x:v>
      </x:c>
      <x:c r="B1376" s="27" t="str">
        <x:v>A1</x:v>
      </x:c>
      <x:c r="C1376" s="47" t="n">
        <x:v>1.3181689570923782</x:v>
      </x:c>
      <x:c r="D1376" s="47" t="n">
        <x:v>0.811284451919261</x:v>
      </x:c>
      <x:c r="E1376" s="47" t="n">
        <x:v>0.814059510711997</x:v>
      </x:c>
      <x:c r="F1376" s="47" t="n">
        <x:v>0.038584694480455706</x:v>
      </x:c>
      <x:c r="G1376" s="47" t="n">
        <x:v>-0.021415599394358303</x:v>
      </x:c>
      <x:c r="H1376" s="47" t="n">
        <x:v>1.0583818244411598</x:v>
      </x:c>
      <x:c r="I1376" s="47" t="n">
        <x:v>0.8371762097503065</x:v>
      </x:c>
      <x:c r="J1376" s="47" t="n">
        <x:v>0.9305547579668623</x:v>
      </x:c>
      <x:c r="K1376" s="47" t="n">
        <x:v>0.9290608093692283</x:v>
      </x:c>
      <x:c r="L1376" s="47" t="n">
        <x:v>0.7455357337073585</x:v>
      </x:c>
      <x:c r="M1376" s="47" t="n">
        <x:v>0.022161065337012384</x:v>
      </x:c>
      <x:c r="N1376" s="47" t="n">
        <x:v>0.9829779050868588</x:v>
      </x:c>
      <x:c r="O1376" s="47" t="n">
        <x:v>0.7746219630600854</x:v>
      </x:c>
      <x:c r="P1376" s="47" t="n">
        <x:v>0.4095170275329989</x:v>
      </x:c>
      <x:c r="Q1376" s="47" t="n">
        <x:v>1</x:v>
      </x:c>
      <x:c r="R1376" s="47" t="n">
        <x:v>0.7216934989176382</x:v>
      </x:c>
      <x:c r="S1376" s="27" t="n">
        <x:v>0</x:v>
      </x:c>
    </x:row>
    <x:row r="1377" ht="21.600000381469727" hidden="0" customHeight="1">
      <x:c r="A1377" s="29" t="n">
        <x:v>458</x:v>
      </x:c>
      <x:c r="B1377" s="29" t="str">
        <x:v>A2</x:v>
      </x:c>
      <x:c r="C1377" s="48" t="n">
        <x:v>1.3181689570923782</x:v>
      </x:c>
      <x:c r="D1377" s="48" t="n">
        <x:v>0.811284451919261</x:v>
      </x:c>
      <x:c r="E1377" s="48" t="n">
        <x:v>0.814059510711997</x:v>
      </x:c>
      <x:c r="F1377" s="48" t="n">
        <x:v>0.038584694480455706</x:v>
      </x:c>
      <x:c r="G1377" s="48" t="n">
        <x:v>-0.021415599394358303</x:v>
      </x:c>
      <x:c r="H1377" s="48" t="n">
        <x:v>1.0583818244411598</x:v>
      </x:c>
      <x:c r="I1377" s="48" t="n">
        <x:v>0.8371762097503065</x:v>
      </x:c>
      <x:c r="J1377" s="48" t="n">
        <x:v>0.9305547579668623</x:v>
      </x:c>
      <x:c r="K1377" s="48" t="n">
        <x:v>0.9290608093692283</x:v>
      </x:c>
      <x:c r="L1377" s="48" t="n">
        <x:v>0.7455357337073585</x:v>
      </x:c>
      <x:c r="M1377" s="48" t="n">
        <x:v>0.022161065337012384</x:v>
      </x:c>
      <x:c r="N1377" s="48" t="n">
        <x:v>0.9829779050868588</x:v>
      </x:c>
      <x:c r="O1377" s="48" t="n">
        <x:v>0.8675391778047504</x:v>
      </x:c>
      <x:c r="P1377" s="48" t="n">
        <x:v>0.4916362846374094</x:v>
      </x:c>
      <x:c r="Q1377" s="48" t="n">
        <x:v>1</x:v>
      </x:c>
      <x:c r="R1377" s="48" t="n">
        <x:v>0.836431675170368</x:v>
      </x:c>
      <x:c r="S1377" s="29" t="n">
        <x:v>0</x:v>
      </x:c>
    </x:row>
    <x:row r="1378" ht="21.600000381469727" hidden="0" customHeight="1">
      <x:c r="A1378" s="27" t="n">
        <x:v>458</x:v>
      </x:c>
      <x:c r="B1378" s="27" t="str">
        <x:v>A3</x:v>
      </x:c>
      <x:c r="C1378" s="47" t="n">
        <x:v>1.3181689570923782</x:v>
      </x:c>
      <x:c r="D1378" s="47" t="n">
        <x:v>0.811284451919261</x:v>
      </x:c>
      <x:c r="E1378" s="47" t="n">
        <x:v>0.814059510711997</x:v>
      </x:c>
      <x:c r="F1378" s="47" t="n">
        <x:v>0.038584694480455706</x:v>
      </x:c>
      <x:c r="G1378" s="47" t="n">
        <x:v>-0.021415599394358303</x:v>
      </x:c>
      <x:c r="H1378" s="47" t="n">
        <x:v>1.0583818244411598</x:v>
      </x:c>
      <x:c r="I1378" s="47" t="n">
        <x:v>0.8371762097503065</x:v>
      </x:c>
      <x:c r="J1378" s="47" t="n">
        <x:v>0.9305547579668623</x:v>
      </x:c>
      <x:c r="K1378" s="47" t="n">
        <x:v>0.9290608093692283</x:v>
      </x:c>
      <x:c r="L1378" s="47" t="n">
        <x:v>0.7455357337073585</x:v>
      </x:c>
      <x:c r="M1378" s="47" t="n">
        <x:v>0.022161065337012384</x:v>
      </x:c>
      <x:c r="N1378" s="47" t="n">
        <x:v>0.9829779050868588</x:v>
      </x:c>
      <x:c r="O1378" s="47" t="n">
        <x:v>1</x:v>
      </x:c>
      <x:c r="P1378" s="47" t="n">
        <x:v>1</x:v>
      </x:c>
      <x:c r="Q1378" s="47" t="n">
        <x:v>1</x:v>
      </x:c>
      <x:c r="R1378" s="47" t="n">
        <x:v>1</x:v>
      </x:c>
      <x:c r="S1378" s="27" t="n">
        <x:v>1</x:v>
      </x:c>
    </x:row>
    <x:row r="1379" ht="21.600000381469727" hidden="0" customHeight="1">
      <x:c r="A1379" s="29" t="n">
        <x:v>459</x:v>
      </x:c>
      <x:c r="B1379" s="29" t="str">
        <x:v>A1</x:v>
      </x:c>
      <x:c r="C1379" s="48" t="n">
        <x:v>1.2130058967157857</x:v>
      </x:c>
      <x:c r="D1379" s="48" t="n">
        <x:v>0.8758189144788739</x:v>
      </x:c>
      <x:c r="E1379" s="48" t="n">
        <x:v>0.9116776954537732</x:v>
      </x:c>
      <x:c r="F1379" s="48" t="n">
        <x:v>-0.13783410514485955</x:v>
      </x:c>
      <x:c r="G1379" s="48" t="n">
        <x:v>-0.07221920529342613</x:v>
      </x:c>
      <x:c r="H1379" s="48" t="n">
        <x:v>0.345348722821848</x:v>
      </x:c>
      <x:c r="I1379" s="48" t="n">
        <x:v>0.7085221976650893</x:v>
      </x:c>
      <x:c r="J1379" s="48" t="n">
        <x:v>0.6885784916394508</x:v>
      </x:c>
      <x:c r="K1379" s="48" t="n">
        <x:v>0.5905878761685363</x:v>
      </x:c>
      <x:c r="L1379" s="48" t="n">
        <x:v>0.6366084216406197</x:v>
      </x:c>
      <x:c r="M1379" s="48" t="n">
        <x:v>0.053049730270144604</x:v>
      </x:c>
      <x:c r="N1379" s="48" t="n">
        <x:v>0.6670956218453972</x:v>
      </x:c>
      <x:c r="O1379" s="48" t="n">
        <x:v>0.803786905109276</x:v>
      </x:c>
      <x:c r="P1379" s="48" t="n">
        <x:v>0.5360311132437215</x:v>
      </x:c>
      <x:c r="Q1379" s="48" t="n">
        <x:v>0.9270953335902304</x:v>
      </x:c>
      <x:c r="R1379" s="48" t="n">
        <x:v>0.7637255998549769</x:v>
      </x:c>
      <x:c r="S1379" s="29" t="n">
        <x:v>0</x:v>
      </x:c>
    </x:row>
    <x:row r="1380" ht="21.600000381469727" hidden="0" customHeight="1">
      <x:c r="A1380" s="27" t="n">
        <x:v>459</x:v>
      </x:c>
      <x:c r="B1380" s="27" t="str">
        <x:v>A2</x:v>
      </x:c>
      <x:c r="C1380" s="47" t="n">
        <x:v>1.2130058967157857</x:v>
      </x:c>
      <x:c r="D1380" s="47" t="n">
        <x:v>0.8758189144788739</x:v>
      </x:c>
      <x:c r="E1380" s="47" t="n">
        <x:v>0.9116776954537732</x:v>
      </x:c>
      <x:c r="F1380" s="47" t="n">
        <x:v>-0.13783410514485955</x:v>
      </x:c>
      <x:c r="G1380" s="47" t="n">
        <x:v>-0.07221920529342613</x:v>
      </x:c>
      <x:c r="H1380" s="47" t="n">
        <x:v>0.345348722821848</x:v>
      </x:c>
      <x:c r="I1380" s="47" t="n">
        <x:v>0.7085221976650893</x:v>
      </x:c>
      <x:c r="J1380" s="47" t="n">
        <x:v>0.6885784916394508</x:v>
      </x:c>
      <x:c r="K1380" s="47" t="n">
        <x:v>0.5905878761685363</x:v>
      </x:c>
      <x:c r="L1380" s="47" t="n">
        <x:v>0.6366084216406197</x:v>
      </x:c>
      <x:c r="M1380" s="47" t="n">
        <x:v>0.053049730270144604</x:v>
      </x:c>
      <x:c r="N1380" s="47" t="n">
        <x:v>0.6670956218453972</x:v>
      </x:c>
      <x:c r="O1380" s="47" t="n">
        <x:v>0.8976636268146951</x:v>
      </x:c>
      <x:c r="P1380" s="47" t="n">
        <x:v>0.602686127638353</x:v>
      </x:c>
      <x:c r="Q1380" s="47" t="n">
        <x:v>1</x:v>
      </x:c>
      <x:c r="R1380" s="47" t="n">
        <x:v>0.8736306414708279</x:v>
      </x:c>
      <x:c r="S1380" s="27" t="n">
        <x:v>0</x:v>
      </x:c>
    </x:row>
    <x:row r="1381" ht="21.600000381469727" hidden="0" customHeight="1">
      <x:c r="A1381" s="29" t="n">
        <x:v>459</x:v>
      </x:c>
      <x:c r="B1381" s="29" t="str">
        <x:v>A3</x:v>
      </x:c>
      <x:c r="C1381" s="48" t="n">
        <x:v>1.2130058967157857</x:v>
      </x:c>
      <x:c r="D1381" s="48" t="n">
        <x:v>0.8758189144788739</x:v>
      </x:c>
      <x:c r="E1381" s="48" t="n">
        <x:v>0.9116776954537732</x:v>
      </x:c>
      <x:c r="F1381" s="48" t="n">
        <x:v>-0.13783410514485955</x:v>
      </x:c>
      <x:c r="G1381" s="48" t="n">
        <x:v>-0.07221920529342613</x:v>
      </x:c>
      <x:c r="H1381" s="48" t="n">
        <x:v>0.345348722821848</x:v>
      </x:c>
      <x:c r="I1381" s="48" t="n">
        <x:v>0.7085221976650893</x:v>
      </x:c>
      <x:c r="J1381" s="48" t="n">
        <x:v>0.6885784916394508</x:v>
      </x:c>
      <x:c r="K1381" s="48" t="n">
        <x:v>0.5905878761685363</x:v>
      </x:c>
      <x:c r="L1381" s="48" t="n">
        <x:v>0.6366084216406197</x:v>
      </x:c>
      <x:c r="M1381" s="48" t="n">
        <x:v>0.053049730270144604</x:v>
      </x:c>
      <x:c r="N1381" s="48" t="n">
        <x:v>0.6670956218453972</x:v>
      </x:c>
      <x:c r="O1381" s="48" t="n">
        <x:v>1.0000000000000002</x:v>
      </x:c>
      <x:c r="P1381" s="48" t="n">
        <x:v>1</x:v>
      </x:c>
      <x:c r="Q1381" s="48" t="n">
        <x:v>1</x:v>
      </x:c>
      <x:c r="R1381" s="48" t="n">
        <x:v>1</x:v>
      </x:c>
      <x:c r="S1381" s="29" t="n">
        <x:v>1</x:v>
      </x:c>
    </x:row>
    <x:row r="1382" ht="21.600000381469727" hidden="0" customHeight="1">
      <x:c r="A1382" s="27" t="n">
        <x:v>460</x:v>
      </x:c>
      <x:c r="B1382" s="27" t="str">
        <x:v>A1</x:v>
      </x:c>
      <x:c r="C1382" s="47" t="n">
        <x:v>1.2212003215622411</x:v>
      </x:c>
      <x:c r="D1382" s="47" t="n">
        <x:v>0.8403164419589773</x:v>
      </x:c>
      <x:c r="E1382" s="47" t="n">
        <x:v>0.7567689545313796</x:v>
      </x:c>
      <x:c r="F1382" s="47" t="n">
        <x:v>-0.11371756943373477</x:v>
      </x:c>
      <x:c r="G1382" s="47" t="n">
        <x:v>-0.16323589472616445</x:v>
      </x:c>
      <x:c r="H1382" s="47" t="n">
        <x:v>1.0015137426750345</x:v>
      </x:c>
      <x:c r="I1382" s="47" t="n">
        <x:v>0.8348226534714318</x:v>
      </x:c>
      <x:c r="J1382" s="47" t="n">
        <x:v>0.5940994359310499</x:v>
      </x:c>
      <x:c r="K1382" s="47" t="n">
        <x:v>0.8171782372149963</x:v>
      </x:c>
      <x:c r="L1382" s="47" t="n">
        <x:v>0.9256527892916541</x:v>
      </x:c>
      <x:c r="M1382" s="47" t="n">
        <x:v>0.16407243849918343</x:v>
      </x:c>
      <x:c r="N1382" s="47" t="n">
        <x:v>0.8984100046566319</x:v>
      </x:c>
      <x:c r="O1382" s="47" t="n">
        <x:v>0.8170230707041817</x:v>
      </x:c>
      <x:c r="P1382" s="47" t="n">
        <x:v>0.4364275104030144</x:v>
      </x:c>
      <x:c r="Q1382" s="47" t="n">
        <x:v>1</x:v>
      </x:c>
      <x:c r="R1382" s="47" t="n">
        <x:v>0.7740522117304178</x:v>
      </x:c>
      <x:c r="S1382" s="27" t="n">
        <x:v>0</x:v>
      </x:c>
    </x:row>
    <x:row r="1383" ht="21.600000381469727" hidden="0" customHeight="1">
      <x:c r="A1383" s="29" t="n">
        <x:v>460</x:v>
      </x:c>
      <x:c r="B1383" s="29" t="str">
        <x:v>A2</x:v>
      </x:c>
      <x:c r="C1383" s="48" t="n">
        <x:v>1.2212003215622411</x:v>
      </x:c>
      <x:c r="D1383" s="48" t="n">
        <x:v>0.8403164419589773</x:v>
      </x:c>
      <x:c r="E1383" s="48" t="n">
        <x:v>0.7567689545313796</x:v>
      </x:c>
      <x:c r="F1383" s="48" t="n">
        <x:v>-0.11371756943373477</x:v>
      </x:c>
      <x:c r="G1383" s="48" t="n">
        <x:v>-0.16323589472616445</x:v>
      </x:c>
      <x:c r="H1383" s="48" t="n">
        <x:v>1.0015137426750345</x:v>
      </x:c>
      <x:c r="I1383" s="48" t="n">
        <x:v>0.8348226534714318</x:v>
      </x:c>
      <x:c r="J1383" s="48" t="n">
        <x:v>0.5940994359310499</x:v>
      </x:c>
      <x:c r="K1383" s="48" t="n">
        <x:v>0.8171782372149963</x:v>
      </x:c>
      <x:c r="L1383" s="48" t="n">
        <x:v>0.9256527892916541</x:v>
      </x:c>
      <x:c r="M1383" s="48" t="n">
        <x:v>0.16407243849918343</x:v>
      </x:c>
      <x:c r="N1383" s="48" t="n">
        <x:v>0.8984100046566319</x:v>
      </x:c>
      <x:c r="O1383" s="48" t="n">
        <x:v>0.89825558482571</x:v>
      </x:c>
      <x:c r="P1383" s="48" t="n">
        <x:v>0.4928278021222434</x:v>
      </x:c>
      <x:c r="Q1383" s="48" t="n">
        <x:v>1</x:v>
      </x:c>
      <x:c r="R1383" s="48" t="n">
        <x:v>0.8743616167027984</x:v>
      </x:c>
      <x:c r="S1383" s="29" t="n">
        <x:v>0</x:v>
      </x:c>
    </x:row>
    <x:row r="1384" ht="21.600000381469727" hidden="0" customHeight="1">
      <x:c r="A1384" s="27" t="n">
        <x:v>460</x:v>
      </x:c>
      <x:c r="B1384" s="27" t="str">
        <x:v>A3</x:v>
      </x:c>
      <x:c r="C1384" s="47" t="n">
        <x:v>1.2212003215622411</x:v>
      </x:c>
      <x:c r="D1384" s="47" t="n">
        <x:v>0.8403164419589773</x:v>
      </x:c>
      <x:c r="E1384" s="47" t="n">
        <x:v>0.7567689545313796</x:v>
      </x:c>
      <x:c r="F1384" s="47" t="n">
        <x:v>-0.11371756943373477</x:v>
      </x:c>
      <x:c r="G1384" s="47" t="n">
        <x:v>-0.16323589472616445</x:v>
      </x:c>
      <x:c r="H1384" s="47" t="n">
        <x:v>1.0015137426750345</x:v>
      </x:c>
      <x:c r="I1384" s="47" t="n">
        <x:v>0.8348226534714318</x:v>
      </x:c>
      <x:c r="J1384" s="47" t="n">
        <x:v>0.5940994359310499</x:v>
      </x:c>
      <x:c r="K1384" s="47" t="n">
        <x:v>0.8171782372149963</x:v>
      </x:c>
      <x:c r="L1384" s="47" t="n">
        <x:v>0.9256527892916541</x:v>
      </x:c>
      <x:c r="M1384" s="47" t="n">
        <x:v>0.16407243849918343</x:v>
      </x:c>
      <x:c r="N1384" s="47" t="n">
        <x:v>0.8984100046566319</x:v>
      </x:c>
      <x:c r="O1384" s="47" t="n">
        <x:v>1</x:v>
      </x:c>
      <x:c r="P1384" s="47" t="n">
        <x:v>1</x:v>
      </x:c>
      <x:c r="Q1384" s="47" t="n">
        <x:v>1</x:v>
      </x:c>
      <x:c r="R1384" s="47" t="n">
        <x:v>1</x:v>
      </x:c>
      <x:c r="S1384" s="27" t="n">
        <x:v>1</x:v>
      </x:c>
    </x:row>
    <x:row r="1385" ht="21.600000381469727" hidden="0" customHeight="1">
      <x:c r="A1385" s="29" t="n">
        <x:v>461</x:v>
      </x:c>
      <x:c r="B1385" s="29" t="str">
        <x:v>A1</x:v>
      </x:c>
      <x:c r="C1385" s="48" t="n">
        <x:v>1.2126583670870703</x:v>
      </x:c>
      <x:c r="D1385" s="48" t="n">
        <x:v>0.9171430140751837</x:v>
      </x:c>
      <x:c r="E1385" s="48" t="n">
        <x:v>0.8557274788726859</x:v>
      </x:c>
      <x:c r="F1385" s="48" t="n">
        <x:v>0.015389372066628826</x:v>
      </x:c>
      <x:c r="G1385" s="48" t="n">
        <x:v>-0.03280121199910532</x:v>
      </x:c>
      <x:c r="H1385" s="48" t="n">
        <x:v>0.5072179946451421</x:v>
      </x:c>
      <x:c r="I1385" s="48" t="n">
        <x:v>0.8983020334077946</x:v>
      </x:c>
      <x:c r="J1385" s="48" t="n">
        <x:v>0.9285143231528894</x:v>
      </x:c>
      <x:c r="K1385" s="48" t="n">
        <x:v>0.9048670319397383</x:v>
      </x:c>
      <x:c r="L1385" s="48" t="n">
        <x:v>0.9797552533839355</x:v>
      </x:c>
      <x:c r="M1385" s="48" t="n">
        <x:v>0.13599678255710523</x:v>
      </x:c>
      <x:c r="N1385" s="48" t="n">
        <x:v>0.7639066034127997</x:v>
      </x:c>
      <x:c r="O1385" s="48" t="n">
        <x:v>0.8751871427631648</x:v>
      </x:c>
      <x:c r="P1385" s="48" t="n">
        <x:v>0.5115472886311533</x:v>
      </x:c>
      <x:c r="Q1385" s="48" t="n">
        <x:v>1</x:v>
      </x:c>
      <x:c r="R1385" s="48" t="n">
        <x:v>0.8458757114965173</x:v>
      </x:c>
      <x:c r="S1385" s="29" t="n">
        <x:v>0</x:v>
      </x:c>
    </x:row>
    <x:row r="1386" ht="21.600000381469727" hidden="0" customHeight="1">
      <x:c r="A1386" s="27" t="n">
        <x:v>461</x:v>
      </x:c>
      <x:c r="B1386" s="27" t="str">
        <x:v>A2</x:v>
      </x:c>
      <x:c r="C1386" s="47" t="n">
        <x:v>1.2126583670870703</x:v>
      </x:c>
      <x:c r="D1386" s="47" t="n">
        <x:v>0.9171430140751837</x:v>
      </x:c>
      <x:c r="E1386" s="47" t="n">
        <x:v>0.8557274788726859</x:v>
      </x:c>
      <x:c r="F1386" s="47" t="n">
        <x:v>0.015389372066628826</x:v>
      </x:c>
      <x:c r="G1386" s="47" t="n">
        <x:v>-0.03280121199910532</x:v>
      </x:c>
      <x:c r="H1386" s="47" t="n">
        <x:v>0.5072179946451421</x:v>
      </x:c>
      <x:c r="I1386" s="47" t="n">
        <x:v>0.8983020334077946</x:v>
      </x:c>
      <x:c r="J1386" s="47" t="n">
        <x:v>0.9285143231528894</x:v>
      </x:c>
      <x:c r="K1386" s="47" t="n">
        <x:v>0.9048670319397383</x:v>
      </x:c>
      <x:c r="L1386" s="47" t="n">
        <x:v>0.9797552533839355</x:v>
      </x:c>
      <x:c r="M1386" s="47" t="n">
        <x:v>0.13599678255710523</x:v>
      </x:c>
      <x:c r="N1386" s="47" t="n">
        <x:v>0.7639066034127997</x:v>
      </x:c>
      <x:c r="O1386" s="47" t="n">
        <x:v>0.9494913502481324</x:v>
      </x:c>
      <x:c r="P1386" s="47" t="n">
        <x:v>0.6532109689607061</x:v>
      </x:c>
      <x:c r="Q1386" s="47" t="n">
        <x:v>1</x:v>
      </x:c>
      <x:c r="R1386" s="47" t="n">
        <x:v>0.9376297452152166</x:v>
      </x:c>
      <x:c r="S1386" s="27" t="n">
        <x:v>0</x:v>
      </x:c>
    </x:row>
    <x:row r="1387" ht="21.600000381469727" hidden="0" customHeight="1">
      <x:c r="A1387" s="29" t="n">
        <x:v>461</x:v>
      </x:c>
      <x:c r="B1387" s="29" t="str">
        <x:v>A3</x:v>
      </x:c>
      <x:c r="C1387" s="48" t="n">
        <x:v>1.2126583670870703</x:v>
      </x:c>
      <x:c r="D1387" s="48" t="n">
        <x:v>0.9171430140751837</x:v>
      </x:c>
      <x:c r="E1387" s="48" t="n">
        <x:v>0.8557274788726859</x:v>
      </x:c>
      <x:c r="F1387" s="48" t="n">
        <x:v>0.015389372066628826</x:v>
      </x:c>
      <x:c r="G1387" s="48" t="n">
        <x:v>-0.03280121199910532</x:v>
      </x:c>
      <x:c r="H1387" s="48" t="n">
        <x:v>0.5072179946451421</x:v>
      </x:c>
      <x:c r="I1387" s="48" t="n">
        <x:v>0.8983020334077946</x:v>
      </x:c>
      <x:c r="J1387" s="48" t="n">
        <x:v>0.9285143231528894</x:v>
      </x:c>
      <x:c r="K1387" s="48" t="n">
        <x:v>0.9048670319397383</x:v>
      </x:c>
      <x:c r="L1387" s="48" t="n">
        <x:v>0.9797552533839355</x:v>
      </x:c>
      <x:c r="M1387" s="48" t="n">
        <x:v>0.13599678255710523</x:v>
      </x:c>
      <x:c r="N1387" s="48" t="n">
        <x:v>0.7639066034127997</x:v>
      </x:c>
      <x:c r="O1387" s="48" t="n">
        <x:v>1</x:v>
      </x:c>
      <x:c r="P1387" s="48" t="n">
        <x:v>1</x:v>
      </x:c>
      <x:c r="Q1387" s="48" t="n">
        <x:v>1</x:v>
      </x:c>
      <x:c r="R1387" s="48" t="n">
        <x:v>1</x:v>
      </x:c>
      <x:c r="S1387" s="29" t="n">
        <x:v>1</x:v>
      </x:c>
    </x:row>
    <x:row r="1388" ht="21.600000381469727" hidden="0" customHeight="1">
      <x:c r="A1388" s="27" t="n">
        <x:v>462</x:v>
      </x:c>
      <x:c r="B1388" s="27" t="str">
        <x:v>A1</x:v>
      </x:c>
      <x:c r="C1388" s="47" t="n">
        <x:v>0.9769152990075479</x:v>
      </x:c>
      <x:c r="D1388" s="47" t="n">
        <x:v>0.8341245781612558</x:v>
      </x:c>
      <x:c r="E1388" s="47" t="n">
        <x:v>1.0254013097095114</x:v>
      </x:c>
      <x:c r="F1388" s="47" t="n">
        <x:v>0.014228200951515224</x:v>
      </x:c>
      <x:c r="G1388" s="47" t="n">
        <x:v>-0.044143708779785434</x:v>
      </x:c>
      <x:c r="H1388" s="47" t="n">
        <x:v>0.9219685868820622</x:v>
      </x:c>
      <x:c r="I1388" s="47" t="n">
        <x:v>0.6554855284653457</x:v>
      </x:c>
      <x:c r="J1388" s="47" t="n">
        <x:v>0.6615883902338979</x:v>
      </x:c>
      <x:c r="K1388" s="47" t="n">
        <x:v>0.5972874588342876</x:v>
      </x:c>
      <x:c r="L1388" s="47" t="n">
        <x:v>0.9952954883041876</x:v>
      </x:c>
      <x:c r="M1388" s="47" t="n">
        <x:v>0.12732198249821788</x:v>
      </x:c>
      <x:c r="N1388" s="47" t="n">
        <x:v>0.8914168732339122</x:v>
      </x:c>
      <x:c r="O1388" s="47" t="n">
        <x:v>0.8921961217464843</x:v>
      </x:c>
      <x:c r="P1388" s="47" t="n">
        <x:v>0.6102143040763455</x:v>
      </x:c>
      <x:c r="Q1388" s="47" t="n">
        <x:v>1</x:v>
      </x:c>
      <x:c r="R1388" s="47" t="n">
        <x:v>0.8668791308718184</x:v>
      </x:c>
      <x:c r="S1388" s="27" t="n">
        <x:v>0</x:v>
      </x:c>
    </x:row>
    <x:row r="1389" ht="21.600000381469727" hidden="0" customHeight="1">
      <x:c r="A1389" s="29" t="n">
        <x:v>462</x:v>
      </x:c>
      <x:c r="B1389" s="29" t="str">
        <x:v>A2</x:v>
      </x:c>
      <x:c r="C1389" s="48" t="n">
        <x:v>0.9769152990075479</x:v>
      </x:c>
      <x:c r="D1389" s="48" t="n">
        <x:v>0.8341245781612558</x:v>
      </x:c>
      <x:c r="E1389" s="48" t="n">
        <x:v>1.0254013097095114</x:v>
      </x:c>
      <x:c r="F1389" s="48" t="n">
        <x:v>0.014228200951515224</x:v>
      </x:c>
      <x:c r="G1389" s="48" t="n">
        <x:v>-0.044143708779785434</x:v>
      </x:c>
      <x:c r="H1389" s="48" t="n">
        <x:v>0.9219685868820622</x:v>
      </x:c>
      <x:c r="I1389" s="48" t="n">
        <x:v>0.6554855284653457</x:v>
      </x:c>
      <x:c r="J1389" s="48" t="n">
        <x:v>0.6615883902338979</x:v>
      </x:c>
      <x:c r="K1389" s="48" t="n">
        <x:v>0.5972874588342876</x:v>
      </x:c>
      <x:c r="L1389" s="48" t="n">
        <x:v>0.9952954883041876</x:v>
      </x:c>
      <x:c r="M1389" s="48" t="n">
        <x:v>0.12732198249821788</x:v>
      </x:c>
      <x:c r="N1389" s="48" t="n">
        <x:v>0.8914168732339122</x:v>
      </x:c>
      <x:c r="O1389" s="48" t="n">
        <x:v>0.9813212551184002</x:v>
      </x:c>
      <x:c r="P1389" s="48" t="n">
        <x:v>0.8146029854474102</x:v>
      </x:c>
      <x:c r="Q1389" s="48" t="n">
        <x:v>1</x:v>
      </x:c>
      <x:c r="R1389" s="48" t="n">
        <x:v>0.9769346818208644</x:v>
      </x:c>
      <x:c r="S1389" s="29" t="n">
        <x:v>0</x:v>
      </x:c>
    </x:row>
    <x:row r="1390" ht="21.600000381469727" hidden="0" customHeight="1">
      <x:c r="A1390" s="27" t="n">
        <x:v>462</x:v>
      </x:c>
      <x:c r="B1390" s="27" t="str">
        <x:v>A3</x:v>
      </x:c>
      <x:c r="C1390" s="47" t="n">
        <x:v>0.9769152990075479</x:v>
      </x:c>
      <x:c r="D1390" s="47" t="n">
        <x:v>0.8341245781612558</x:v>
      </x:c>
      <x:c r="E1390" s="47" t="n">
        <x:v>1.0254013097095114</x:v>
      </x:c>
      <x:c r="F1390" s="47" t="n">
        <x:v>0.014228200951515224</x:v>
      </x:c>
      <x:c r="G1390" s="47" t="n">
        <x:v>-0.044143708779785434</x:v>
      </x:c>
      <x:c r="H1390" s="47" t="n">
        <x:v>0.9219685868820622</x:v>
      </x:c>
      <x:c r="I1390" s="47" t="n">
        <x:v>0.6554855284653457</x:v>
      </x:c>
      <x:c r="J1390" s="47" t="n">
        <x:v>0.6615883902338979</x:v>
      </x:c>
      <x:c r="K1390" s="47" t="n">
        <x:v>0.5972874588342876</x:v>
      </x:c>
      <x:c r="L1390" s="47" t="n">
        <x:v>0.9952954883041876</x:v>
      </x:c>
      <x:c r="M1390" s="47" t="n">
        <x:v>0.12732198249821788</x:v>
      </x:c>
      <x:c r="N1390" s="47" t="n">
        <x:v>0.8914168732339122</x:v>
      </x:c>
      <x:c r="O1390" s="47" t="n">
        <x:v>1</x:v>
      </x:c>
      <x:c r="P1390" s="47" t="n">
        <x:v>1</x:v>
      </x:c>
      <x:c r="Q1390" s="47" t="n">
        <x:v>1</x:v>
      </x:c>
      <x:c r="R1390" s="47" t="n">
        <x:v>1</x:v>
      </x:c>
      <x:c r="S1390" s="27" t="n">
        <x:v>1</x:v>
      </x:c>
    </x:row>
    <x:row r="1391" ht="21.600000381469727" hidden="0" customHeight="1">
      <x:c r="A1391" s="29" t="n">
        <x:v>463</x:v>
      </x:c>
      <x:c r="B1391" s="29" t="str">
        <x:v>A1</x:v>
      </x:c>
      <x:c r="C1391" s="48" t="n">
        <x:v>1.0348942006590116</x:v>
      </x:c>
      <x:c r="D1391" s="48" t="n">
        <x:v>0.7572314768273793</x:v>
      </x:c>
      <x:c r="E1391" s="48" t="n">
        <x:v>0.4879674507976163</x:v>
      </x:c>
      <x:c r="F1391" s="48" t="n">
        <x:v>-0.14235609537062185</x:v>
      </x:c>
      <x:c r="G1391" s="48" t="n">
        <x:v>-0.1828951566939914</x:v>
      </x:c>
      <x:c r="H1391" s="48" t="n">
        <x:v>0.44155111051023266</x:v>
      </x:c>
      <x:c r="I1391" s="48" t="n">
        <x:v>0.6913678930721168</x:v>
      </x:c>
      <x:c r="J1391" s="48" t="n">
        <x:v>0.9586682737600358</x:v>
      </x:c>
      <x:c r="K1391" s="48" t="n">
        <x:v>0.687729286051669</x:v>
      </x:c>
      <x:c r="L1391" s="48" t="n">
        <x:v>0.5863346836047882</x:v>
      </x:c>
      <x:c r="M1391" s="48" t="n">
        <x:v>0.147878622501029</x:v>
      </x:c>
      <x:c r="N1391" s="48" t="n">
        <x:v>0.8092783079241213</x:v>
      </x:c>
      <x:c r="O1391" s="48" t="n">
        <x:v>0.7786240599872642</x:v>
      </x:c>
      <x:c r="P1391" s="48" t="n">
        <x:v>0.4500385536954357</x:v>
      </x:c>
      <x:c r="Q1391" s="48" t="n">
        <x:v>1</x:v>
      </x:c>
      <x:c r="R1391" s="48" t="n">
        <x:v>0.7266354604677452</x:v>
      </x:c>
      <x:c r="S1391" s="29" t="n">
        <x:v>0</x:v>
      </x:c>
    </x:row>
    <x:row r="1392" ht="21.600000381469727" hidden="0" customHeight="1">
      <x:c r="A1392" s="27" t="n">
        <x:v>463</x:v>
      </x:c>
      <x:c r="B1392" s="27" t="str">
        <x:v>A2</x:v>
      </x:c>
      <x:c r="C1392" s="47" t="n">
        <x:v>1.0348942006590116</x:v>
      </x:c>
      <x:c r="D1392" s="47" t="n">
        <x:v>0.7572314768273793</x:v>
      </x:c>
      <x:c r="E1392" s="47" t="n">
        <x:v>0.4879674507976163</x:v>
      </x:c>
      <x:c r="F1392" s="47" t="n">
        <x:v>-0.14235609537062185</x:v>
      </x:c>
      <x:c r="G1392" s="47" t="n">
        <x:v>-0.1828951566939914</x:v>
      </x:c>
      <x:c r="H1392" s="47" t="n">
        <x:v>0.44155111051023266</x:v>
      </x:c>
      <x:c r="I1392" s="47" t="n">
        <x:v>0.6913678930721168</x:v>
      </x:c>
      <x:c r="J1392" s="47" t="n">
        <x:v>0.9586682737600358</x:v>
      </x:c>
      <x:c r="K1392" s="47" t="n">
        <x:v>0.687729286051669</x:v>
      </x:c>
      <x:c r="L1392" s="47" t="n">
        <x:v>0.5863346836047882</x:v>
      </x:c>
      <x:c r="M1392" s="47" t="n">
        <x:v>0.147878622501029</x:v>
      </x:c>
      <x:c r="N1392" s="47" t="n">
        <x:v>0.8092783079241213</x:v>
      </x:c>
      <x:c r="O1392" s="47" t="n">
        <x:v>0.8490857445410094</x:v>
      </x:c>
      <x:c r="P1392" s="47" t="n">
        <x:v>0.47772000466573444</x:v>
      </x:c>
      <x:c r="Q1392" s="47" t="n">
        <x:v>1</x:v>
      </x:c>
      <x:c r="R1392" s="47" t="n">
        <x:v>0.8136445814751744</x:v>
      </x:c>
      <x:c r="S1392" s="27" t="n">
        <x:v>0</x:v>
      </x:c>
    </x:row>
    <x:row r="1393" ht="21.600000381469727" hidden="0" customHeight="1">
      <x:c r="A1393" s="29" t="n">
        <x:v>463</x:v>
      </x:c>
      <x:c r="B1393" s="29" t="str">
        <x:v>A3</x:v>
      </x:c>
      <x:c r="C1393" s="48" t="n">
        <x:v>1.0348942006590116</x:v>
      </x:c>
      <x:c r="D1393" s="48" t="n">
        <x:v>0.7572314768273793</x:v>
      </x:c>
      <x:c r="E1393" s="48" t="n">
        <x:v>0.4879674507976163</x:v>
      </x:c>
      <x:c r="F1393" s="48" t="n">
        <x:v>-0.14235609537062185</x:v>
      </x:c>
      <x:c r="G1393" s="48" t="n">
        <x:v>-0.1828951566939914</x:v>
      </x:c>
      <x:c r="H1393" s="48" t="n">
        <x:v>0.44155111051023266</x:v>
      </x:c>
      <x:c r="I1393" s="48" t="n">
        <x:v>0.6913678930721168</x:v>
      </x:c>
      <x:c r="J1393" s="48" t="n">
        <x:v>0.9586682737600358</x:v>
      </x:c>
      <x:c r="K1393" s="48" t="n">
        <x:v>0.687729286051669</x:v>
      </x:c>
      <x:c r="L1393" s="48" t="n">
        <x:v>0.5863346836047882</x:v>
      </x:c>
      <x:c r="M1393" s="48" t="n">
        <x:v>0.147878622501029</x:v>
      </x:c>
      <x:c r="N1393" s="48" t="n">
        <x:v>0.8092783079241213</x:v>
      </x:c>
      <x:c r="O1393" s="48" t="n">
        <x:v>1</x:v>
      </x:c>
      <x:c r="P1393" s="48" t="n">
        <x:v>1</x:v>
      </x:c>
      <x:c r="Q1393" s="48" t="n">
        <x:v>1</x:v>
      </x:c>
      <x:c r="R1393" s="48" t="n">
        <x:v>1</x:v>
      </x:c>
      <x:c r="S1393" s="29" t="n">
        <x:v>1</x:v>
      </x:c>
    </x:row>
    <x:row r="1394" ht="21.600000381469727" hidden="0" customHeight="1">
      <x:c r="A1394" s="27" t="n">
        <x:v>464</x:v>
      </x:c>
      <x:c r="B1394" s="27" t="str">
        <x:v>A1</x:v>
      </x:c>
      <x:c r="C1394" s="47" t="n">
        <x:v>1.324603290588115</x:v>
      </x:c>
      <x:c r="D1394" s="47" t="n">
        <x:v>0.7434177715445431</x:v>
      </x:c>
      <x:c r="E1394" s="47" t="n">
        <x:v>0.6119691524390497</x:v>
      </x:c>
      <x:c r="F1394" s="47" t="n">
        <x:v>0.019262756856409963</x:v>
      </x:c>
      <x:c r="G1394" s="47" t="n">
        <x:v>-0.03731354262760406</x:v>
      </x:c>
      <x:c r="H1394" s="47" t="n">
        <x:v>0.8387724339081988</x:v>
      </x:c>
      <x:c r="I1394" s="47" t="n">
        <x:v>0.803660286370672</x:v>
      </x:c>
      <x:c r="J1394" s="47" t="n">
        <x:v>0.48361673907196845</x:v>
      </x:c>
      <x:c r="K1394" s="47" t="n">
        <x:v>0.5601438056481137</x:v>
      </x:c>
      <x:c r="L1394" s="47" t="n">
        <x:v>0.509131484062205</x:v>
      </x:c>
      <x:c r="M1394" s="47" t="n">
        <x:v>0.12401560861978708</x:v>
      </x:c>
      <x:c r="N1394" s="47" t="n">
        <x:v>0.7732299692147456</x:v>
      </x:c>
      <x:c r="O1394" s="47" t="n">
        <x:v>0.6349802171068121</x:v>
      </x:c>
      <x:c r="P1394" s="47" t="n">
        <x:v>0.35567409294548125</x:v>
      </x:c>
      <x:c r="Q1394" s="47" t="n">
        <x:v>0.7309645361733529</x:v>
      </x:c>
      <x:c r="R1394" s="47" t="n">
        <x:v>0.5752793479654302</x:v>
      </x:c>
      <x:c r="S1394" s="27" t="n">
        <x:v>0</x:v>
      </x:c>
    </x:row>
    <x:row r="1395" ht="21.600000381469727" hidden="0" customHeight="1">
      <x:c r="A1395" s="29" t="n">
        <x:v>464</x:v>
      </x:c>
      <x:c r="B1395" s="29" t="str">
        <x:v>A2</x:v>
      </x:c>
      <x:c r="C1395" s="48" t="n">
        <x:v>1.324603290588115</x:v>
      </x:c>
      <x:c r="D1395" s="48" t="n">
        <x:v>0.7434177715445431</x:v>
      </x:c>
      <x:c r="E1395" s="48" t="n">
        <x:v>0.6119691524390497</x:v>
      </x:c>
      <x:c r="F1395" s="48" t="n">
        <x:v>0.019262756856409963</x:v>
      </x:c>
      <x:c r="G1395" s="48" t="n">
        <x:v>-0.03731354262760406</x:v>
      </x:c>
      <x:c r="H1395" s="48" t="n">
        <x:v>0.8387724339081988</x:v>
      </x:c>
      <x:c r="I1395" s="48" t="n">
        <x:v>0.803660286370672</x:v>
      </x:c>
      <x:c r="J1395" s="48" t="n">
        <x:v>0.48361673907196845</x:v>
      </x:c>
      <x:c r="K1395" s="48" t="n">
        <x:v>0.5601438056481137</x:v>
      </x:c>
      <x:c r="L1395" s="48" t="n">
        <x:v>0.509131484062205</x:v>
      </x:c>
      <x:c r="M1395" s="48" t="n">
        <x:v>0.12401560861978708</x:v>
      </x:c>
      <x:c r="N1395" s="48" t="n">
        <x:v>0.7732299692147456</x:v>
      </x:c>
      <x:c r="O1395" s="48" t="n">
        <x:v>0.6886111019153008</x:v>
      </x:c>
      <x:c r="P1395" s="48" t="n">
        <x:v>0.4058948488601005</x:v>
      </x:c>
      <x:c r="Q1395" s="48" t="n">
        <x:v>0.8424047801773427</x:v>
      </x:c>
      <x:c r="R1395" s="48" t="n">
        <x:v>0.6166540219771984</x:v>
      </x:c>
      <x:c r="S1395" s="29" t="n">
        <x:v>0</x:v>
      </x:c>
    </x:row>
    <x:row r="1396" ht="21.600000381469727" hidden="0" customHeight="1">
      <x:c r="A1396" s="27" t="n">
        <x:v>464</x:v>
      </x:c>
      <x:c r="B1396" s="27" t="str">
        <x:v>A3</x:v>
      </x:c>
      <x:c r="C1396" s="47" t="n">
        <x:v>1.324603290588115</x:v>
      </x:c>
      <x:c r="D1396" s="47" t="n">
        <x:v>0.7434177715445431</x:v>
      </x:c>
      <x:c r="E1396" s="47" t="n">
        <x:v>0.6119691524390497</x:v>
      </x:c>
      <x:c r="F1396" s="47" t="n">
        <x:v>0.019262756856409963</x:v>
      </x:c>
      <x:c r="G1396" s="47" t="n">
        <x:v>-0.03731354262760406</x:v>
      </x:c>
      <x:c r="H1396" s="47" t="n">
        <x:v>0.8387724339081988</x:v>
      </x:c>
      <x:c r="I1396" s="47" t="n">
        <x:v>0.803660286370672</x:v>
      </x:c>
      <x:c r="J1396" s="47" t="n">
        <x:v>0.48361673907196845</x:v>
      </x:c>
      <x:c r="K1396" s="47" t="n">
        <x:v>0.5601438056481137</x:v>
      </x:c>
      <x:c r="L1396" s="47" t="n">
        <x:v>0.509131484062205</x:v>
      </x:c>
      <x:c r="M1396" s="47" t="n">
        <x:v>0.12401560861978708</x:v>
      </x:c>
      <x:c r="N1396" s="47" t="n">
        <x:v>0.7732299692147456</x:v>
      </x:c>
      <x:c r="O1396" s="47" t="n">
        <x:v>0.9984523468445765</x:v>
      </x:c>
      <x:c r="P1396" s="47" t="n">
        <x:v>0.9845234684457657</x:v>
      </x:c>
      <x:c r="Q1396" s="47" t="n">
        <x:v>1</x:v>
      </x:c>
      <x:c r="R1396" s="47" t="n">
        <x:v>0.9980888912672098</x:v>
      </x:c>
      <x:c r="S1396" s="27" t="n">
        <x:v>1</x:v>
      </x:c>
    </x:row>
    <x:row r="1397" ht="21.600000381469727" hidden="0" customHeight="1">
      <x:c r="A1397" s="29" t="n">
        <x:v>465</x:v>
      </x:c>
      <x:c r="B1397" s="29" t="str">
        <x:v>A1</x:v>
      </x:c>
      <x:c r="C1397" s="48" t="n">
        <x:v>1.1981426569494753</x:v>
      </x:c>
      <x:c r="D1397" s="48" t="n">
        <x:v>0.8526054924116901</x:v>
      </x:c>
      <x:c r="E1397" s="48" t="n">
        <x:v>0.8569438125114099</x:v>
      </x:c>
      <x:c r="F1397" s="48" t="n">
        <x:v>0.0256211919769041</x:v>
      </x:c>
      <x:c r="G1397" s="48" t="n">
        <x:v>-0.17047507368449305</x:v>
      </x:c>
      <x:c r="H1397" s="48" t="n">
        <x:v>0.3882537622398433</x:v>
      </x:c>
      <x:c r="I1397" s="48" t="n">
        <x:v>0.9273886711879654</x:v>
      </x:c>
      <x:c r="J1397" s="48" t="n">
        <x:v>0.5662155564680231</x:v>
      </x:c>
      <x:c r="K1397" s="48" t="n">
        <x:v>0.5588535279640411</x:v>
      </x:c>
      <x:c r="L1397" s="48" t="n">
        <x:v>0.8929397151439834</x:v>
      </x:c>
      <x:c r="M1397" s="48" t="n">
        <x:v>0.11511318433760014</x:v>
      </x:c>
      <x:c r="N1397" s="48" t="n">
        <x:v>0.9212018985308776</x:v>
      </x:c>
      <x:c r="O1397" s="48" t="n">
        <x:v>0.8242434998528064</x:v>
      </x:c>
      <x:c r="P1397" s="48" t="n">
        <x:v>0.5934308351666592</x:v>
      </x:c>
      <x:c r="Q1397" s="48" t="n">
        <x:v>1</x:v>
      </x:c>
      <x:c r="R1397" s="48" t="n">
        <x:v>0.7829683084359839</x:v>
      </x:c>
      <x:c r="S1397" s="29" t="n">
        <x:v>0</x:v>
      </x:c>
    </x:row>
    <x:row r="1398" ht="21.600000381469727" hidden="0" customHeight="1">
      <x:c r="A1398" s="27" t="n">
        <x:v>465</x:v>
      </x:c>
      <x:c r="B1398" s="27" t="str">
        <x:v>A2</x:v>
      </x:c>
      <x:c r="C1398" s="47" t="n">
        <x:v>1.1981426569494753</x:v>
      </x:c>
      <x:c r="D1398" s="47" t="n">
        <x:v>0.8526054924116901</x:v>
      </x:c>
      <x:c r="E1398" s="47" t="n">
        <x:v>0.8569438125114099</x:v>
      </x:c>
      <x:c r="F1398" s="47" t="n">
        <x:v>0.0256211919769041</x:v>
      </x:c>
      <x:c r="G1398" s="47" t="n">
        <x:v>-0.17047507368449305</x:v>
      </x:c>
      <x:c r="H1398" s="47" t="n">
        <x:v>0.3882537622398433</x:v>
      </x:c>
      <x:c r="I1398" s="47" t="n">
        <x:v>0.9273886711879654</x:v>
      </x:c>
      <x:c r="J1398" s="47" t="n">
        <x:v>0.5662155564680231</x:v>
      </x:c>
      <x:c r="K1398" s="47" t="n">
        <x:v>0.5588535279640411</x:v>
      </x:c>
      <x:c r="L1398" s="47" t="n">
        <x:v>0.8929397151439834</x:v>
      </x:c>
      <x:c r="M1398" s="47" t="n">
        <x:v>0.11511318433760014</x:v>
      </x:c>
      <x:c r="N1398" s="47" t="n">
        <x:v>0.9212018985308776</x:v>
      </x:c>
      <x:c r="O1398" s="47" t="n">
        <x:v>0.9065442320754105</x:v>
      </x:c>
      <x:c r="P1398" s="47" t="n">
        <x:v>0.6758253715880573</x:v>
      </x:c>
      <x:c r="Q1398" s="47" t="n">
        <x:v>1</x:v>
      </x:c>
      <x:c r="R1398" s="47" t="n">
        <x:v>0.8845967950994633</x:v>
      </x:c>
      <x:c r="S1398" s="27" t="n">
        <x:v>0</x:v>
      </x:c>
    </x:row>
    <x:row r="1399" ht="21.600000381469727" hidden="0" customHeight="1">
      <x:c r="A1399" s="29" t="n">
        <x:v>465</x:v>
      </x:c>
      <x:c r="B1399" s="29" t="str">
        <x:v>A3</x:v>
      </x:c>
      <x:c r="C1399" s="48" t="n">
        <x:v>1.1981426569494753</x:v>
      </x:c>
      <x:c r="D1399" s="48" t="n">
        <x:v>0.8526054924116901</x:v>
      </x:c>
      <x:c r="E1399" s="48" t="n">
        <x:v>0.8569438125114099</x:v>
      </x:c>
      <x:c r="F1399" s="48" t="n">
        <x:v>0.0256211919769041</x:v>
      </x:c>
      <x:c r="G1399" s="48" t="n">
        <x:v>-0.17047507368449305</x:v>
      </x:c>
      <x:c r="H1399" s="48" t="n">
        <x:v>0.3882537622398433</x:v>
      </x:c>
      <x:c r="I1399" s="48" t="n">
        <x:v>0.9273886711879654</x:v>
      </x:c>
      <x:c r="J1399" s="48" t="n">
        <x:v>0.5662155564680231</x:v>
      </x:c>
      <x:c r="K1399" s="48" t="n">
        <x:v>0.5588535279640411</x:v>
      </x:c>
      <x:c r="L1399" s="48" t="n">
        <x:v>0.8929397151439834</x:v>
      </x:c>
      <x:c r="M1399" s="48" t="n">
        <x:v>0.11511318433760014</x:v>
      </x:c>
      <x:c r="N1399" s="48" t="n">
        <x:v>0.9212018985308776</x:v>
      </x:c>
      <x:c r="O1399" s="48" t="n">
        <x:v>1</x:v>
      </x:c>
      <x:c r="P1399" s="48" t="n">
        <x:v>1</x:v>
      </x:c>
      <x:c r="Q1399" s="48" t="n">
        <x:v>1</x:v>
      </x:c>
      <x:c r="R1399" s="48" t="n">
        <x:v>1</x:v>
      </x:c>
      <x:c r="S1399" s="29" t="n">
        <x:v>1</x:v>
      </x:c>
    </x:row>
    <x:row r="1400" ht="21.600000381469727" hidden="0" customHeight="1">
      <x:c r="A1400" s="27" t="n">
        <x:v>466</x:v>
      </x:c>
      <x:c r="B1400" s="27" t="str">
        <x:v>A1</x:v>
      </x:c>
      <x:c r="C1400" s="47" t="n">
        <x:v>1.1136024613153856</x:v>
      </x:c>
      <x:c r="D1400" s="47" t="n">
        <x:v>0.9185489860079799</x:v>
      </x:c>
      <x:c r="E1400" s="47" t="n">
        <x:v>0.513509886120669</x:v>
      </x:c>
      <x:c r="F1400" s="47" t="n">
        <x:v>-0.06733088653159927</x:v>
      </x:c>
      <x:c r="G1400" s="47" t="n">
        <x:v>-0.18636853987007865</x:v>
      </x:c>
      <x:c r="H1400" s="47" t="n">
        <x:v>0.7744120587626777</x:v>
      </x:c>
      <x:c r="I1400" s="47" t="n">
        <x:v>0.8816408826372586</x:v>
      </x:c>
      <x:c r="J1400" s="47" t="n">
        <x:v>0.4351486804170939</x:v>
      </x:c>
      <x:c r="K1400" s="47" t="n">
        <x:v>0.7084532229288096</x:v>
      </x:c>
      <x:c r="L1400" s="47" t="n">
        <x:v>0.5226429254247223</x:v>
      </x:c>
      <x:c r="M1400" s="47" t="n">
        <x:v>0.16747989805337893</x:v>
      </x:c>
      <x:c r="N1400" s="47" t="n">
        <x:v>0.900045179764741</x:v>
      </x:c>
      <x:c r="O1400" s="47" t="n">
        <x:v>0.8111135249796837</x:v>
      </x:c>
      <x:c r="P1400" s="47" t="n">
        <x:v>0.4667073514719338</x:v>
      </x:c>
      <x:c r="Q1400" s="47" t="n">
        <x:v>0.9539458773609211</x:v>
      </x:c>
      <x:c r="R1400" s="47" t="n">
        <x:v>0.770439937337863</x:v>
      </x:c>
      <x:c r="S1400" s="27" t="n">
        <x:v>0</x:v>
      </x:c>
    </x:row>
    <x:row r="1401" ht="21.600000381469727" hidden="0" customHeight="1">
      <x:c r="A1401" s="29" t="n">
        <x:v>466</x:v>
      </x:c>
      <x:c r="B1401" s="29" t="str">
        <x:v>A2</x:v>
      </x:c>
      <x:c r="C1401" s="48" t="n">
        <x:v>1.1136024613153856</x:v>
      </x:c>
      <x:c r="D1401" s="48" t="n">
        <x:v>0.9185489860079799</x:v>
      </x:c>
      <x:c r="E1401" s="48" t="n">
        <x:v>0.513509886120669</x:v>
      </x:c>
      <x:c r="F1401" s="48" t="n">
        <x:v>-0.06733088653159927</x:v>
      </x:c>
      <x:c r="G1401" s="48" t="n">
        <x:v>-0.18636853987007865</x:v>
      </x:c>
      <x:c r="H1401" s="48" t="n">
        <x:v>0.7744120587626777</x:v>
      </x:c>
      <x:c r="I1401" s="48" t="n">
        <x:v>0.8816408826372586</x:v>
      </x:c>
      <x:c r="J1401" s="48" t="n">
        <x:v>0.4351486804170939</x:v>
      </x:c>
      <x:c r="K1401" s="48" t="n">
        <x:v>0.7084532229288096</x:v>
      </x:c>
      <x:c r="L1401" s="48" t="n">
        <x:v>0.5226429254247223</x:v>
      </x:c>
      <x:c r="M1401" s="48" t="n">
        <x:v>0.16747989805337893</x:v>
      </x:c>
      <x:c r="N1401" s="48" t="n">
        <x:v>0.900045179764741</x:v>
      </x:c>
      <x:c r="O1401" s="48" t="n">
        <x:v>0.8703519631138052</x:v>
      </x:c>
      <x:c r="P1401" s="48" t="n">
        <x:v>0.597767063149129</x:v>
      </x:c>
      <x:c r="Q1401" s="48" t="n">
        <x:v>1</x:v>
      </x:c>
      <x:c r="R1401" s="48" t="n">
        <x:v>0.839905023542231</x:v>
      </x:c>
      <x:c r="S1401" s="29" t="n">
        <x:v>0</x:v>
      </x:c>
    </x:row>
    <x:row r="1402" ht="21.600000381469727" hidden="0" customHeight="1">
      <x:c r="A1402" s="27" t="n">
        <x:v>466</x:v>
      </x:c>
      <x:c r="B1402" s="27" t="str">
        <x:v>A3</x:v>
      </x:c>
      <x:c r="C1402" s="47" t="n">
        <x:v>1.1136024613153856</x:v>
      </x:c>
      <x:c r="D1402" s="47" t="n">
        <x:v>0.9185489860079799</x:v>
      </x:c>
      <x:c r="E1402" s="47" t="n">
        <x:v>0.513509886120669</x:v>
      </x:c>
      <x:c r="F1402" s="47" t="n">
        <x:v>-0.06733088653159927</x:v>
      </x:c>
      <x:c r="G1402" s="47" t="n">
        <x:v>-0.18636853987007865</x:v>
      </x:c>
      <x:c r="H1402" s="47" t="n">
        <x:v>0.7744120587626777</x:v>
      </x:c>
      <x:c r="I1402" s="47" t="n">
        <x:v>0.8816408826372586</x:v>
      </x:c>
      <x:c r="J1402" s="47" t="n">
        <x:v>0.4351486804170939</x:v>
      </x:c>
      <x:c r="K1402" s="47" t="n">
        <x:v>0.7084532229288096</x:v>
      </x:c>
      <x:c r="L1402" s="47" t="n">
        <x:v>0.5226429254247223</x:v>
      </x:c>
      <x:c r="M1402" s="47" t="n">
        <x:v>0.16747989805337893</x:v>
      </x:c>
      <x:c r="N1402" s="47" t="n">
        <x:v>0.900045179764741</x:v>
      </x:c>
      <x:c r="O1402" s="47" t="n">
        <x:v>1</x:v>
      </x:c>
      <x:c r="P1402" s="47" t="n">
        <x:v>1</x:v>
      </x:c>
      <x:c r="Q1402" s="47" t="n">
        <x:v>1</x:v>
      </x:c>
      <x:c r="R1402" s="47" t="n">
        <x:v>1</x:v>
      </x:c>
      <x:c r="S1402" s="27" t="n">
        <x:v>1</x:v>
      </x:c>
    </x:row>
    <x:row r="1403" ht="21.600000381469727" hidden="0" customHeight="1">
      <x:c r="A1403" s="29" t="n">
        <x:v>467</x:v>
      </x:c>
      <x:c r="B1403" s="29" t="str">
        <x:v>A1</x:v>
      </x:c>
      <x:c r="C1403" s="48" t="n">
        <x:v>1.0569684184072785</x:v>
      </x:c>
      <x:c r="D1403" s="48" t="n">
        <x:v>0.7373772625620006</x:v>
      </x:c>
      <x:c r="E1403" s="48" t="n">
        <x:v>0.5268830474880684</x:v>
      </x:c>
      <x:c r="F1403" s="48" t="n">
        <x:v>-0.11566448944311708</x:v>
      </x:c>
      <x:c r="G1403" s="48" t="n">
        <x:v>-0.08009039454806392</x:v>
      </x:c>
      <x:c r="H1403" s="48" t="n">
        <x:v>0.6359156440029419</x:v>
      </x:c>
      <x:c r="I1403" s="48" t="n">
        <x:v>0.6686140966863158</x:v>
      </x:c>
      <x:c r="J1403" s="48" t="n">
        <x:v>0.649275991387209</x:v>
      </x:c>
      <x:c r="K1403" s="48" t="n">
        <x:v>0.9943430765367667</x:v>
      </x:c>
      <x:c r="L1403" s="48" t="n">
        <x:v>0.6139947505274581</x:v>
      </x:c>
      <x:c r="M1403" s="48" t="n">
        <x:v>0.13486454523111327</x:v>
      </x:c>
      <x:c r="N1403" s="48" t="n">
        <x:v>0.8137148574091208</x:v>
      </x:c>
      <x:c r="O1403" s="48" t="n">
        <x:v>0.789002919690075</x:v>
      </x:c>
      <x:c r="P1403" s="48" t="n">
        <x:v>0.4178591889090924</x:v>
      </x:c>
      <x:c r="Q1403" s="48" t="n">
        <x:v>1</x:v>
      </x:c>
      <x:c r="R1403" s="48" t="n">
        <x:v>0.7394517231716572</x:v>
      </x:c>
      <x:c r="S1403" s="29" t="n">
        <x:v>0</x:v>
      </x:c>
    </x:row>
    <x:row r="1404" ht="21.600000381469727" hidden="0" customHeight="1">
      <x:c r="A1404" s="27" t="n">
        <x:v>467</x:v>
      </x:c>
      <x:c r="B1404" s="27" t="str">
        <x:v>A2</x:v>
      </x:c>
      <x:c r="C1404" s="47" t="n">
        <x:v>1.0569684184072785</x:v>
      </x:c>
      <x:c r="D1404" s="47" t="n">
        <x:v>0.7373772625620006</x:v>
      </x:c>
      <x:c r="E1404" s="47" t="n">
        <x:v>0.5268830474880684</x:v>
      </x:c>
      <x:c r="F1404" s="47" t="n">
        <x:v>-0.11566448944311708</x:v>
      </x:c>
      <x:c r="G1404" s="47" t="n">
        <x:v>-0.08009039454806392</x:v>
      </x:c>
      <x:c r="H1404" s="47" t="n">
        <x:v>0.6359156440029419</x:v>
      </x:c>
      <x:c r="I1404" s="47" t="n">
        <x:v>0.6686140966863158</x:v>
      </x:c>
      <x:c r="J1404" s="47" t="n">
        <x:v>0.649275991387209</x:v>
      </x:c>
      <x:c r="K1404" s="47" t="n">
        <x:v>0.9943430765367667</x:v>
      </x:c>
      <x:c r="L1404" s="47" t="n">
        <x:v>0.6139947505274581</x:v>
      </x:c>
      <x:c r="M1404" s="47" t="n">
        <x:v>0.13486454523111327</x:v>
      </x:c>
      <x:c r="N1404" s="47" t="n">
        <x:v>0.8137148574091208</x:v>
      </x:c>
      <x:c r="O1404" s="47" t="n">
        <x:v>0.8648711094210987</x:v>
      </x:c>
      <x:c r="P1404" s="47" t="n">
        <x:v>0.5614393491542095</x:v>
      </x:c>
      <x:c r="Q1404" s="47" t="n">
        <x:v>1</x:v>
      </x:c>
      <x:c r="R1404" s="47" t="n">
        <x:v>0.8331370294871219</x:v>
      </x:c>
      <x:c r="S1404" s="27" t="n">
        <x:v>0</x:v>
      </x:c>
    </x:row>
    <x:row r="1405" ht="21.600000381469727" hidden="0" customHeight="1">
      <x:c r="A1405" s="29" t="n">
        <x:v>467</x:v>
      </x:c>
      <x:c r="B1405" s="29" t="str">
        <x:v>A3</x:v>
      </x:c>
      <x:c r="C1405" s="48" t="n">
        <x:v>1.0569684184072785</x:v>
      </x:c>
      <x:c r="D1405" s="48" t="n">
        <x:v>0.7373772625620006</x:v>
      </x:c>
      <x:c r="E1405" s="48" t="n">
        <x:v>0.5268830474880684</x:v>
      </x:c>
      <x:c r="F1405" s="48" t="n">
        <x:v>-0.11566448944311708</x:v>
      </x:c>
      <x:c r="G1405" s="48" t="n">
        <x:v>-0.08009039454806392</x:v>
      </x:c>
      <x:c r="H1405" s="48" t="n">
        <x:v>0.6359156440029419</x:v>
      </x:c>
      <x:c r="I1405" s="48" t="n">
        <x:v>0.6686140966863158</x:v>
      </x:c>
      <x:c r="J1405" s="48" t="n">
        <x:v>0.649275991387209</x:v>
      </x:c>
      <x:c r="K1405" s="48" t="n">
        <x:v>0.9943430765367667</x:v>
      </x:c>
      <x:c r="L1405" s="48" t="n">
        <x:v>0.6139947505274581</x:v>
      </x:c>
      <x:c r="M1405" s="48" t="n">
        <x:v>0.13486454523111327</x:v>
      </x:c>
      <x:c r="N1405" s="48" t="n">
        <x:v>0.8137148574091208</x:v>
      </x:c>
      <x:c r="O1405" s="48" t="n">
        <x:v>1</x:v>
      </x:c>
      <x:c r="P1405" s="48" t="n">
        <x:v>1</x:v>
      </x:c>
      <x:c r="Q1405" s="48" t="n">
        <x:v>1</x:v>
      </x:c>
      <x:c r="R1405" s="48" t="n">
        <x:v>1</x:v>
      </x:c>
      <x:c r="S1405" s="29" t="n">
        <x:v>1</x:v>
      </x:c>
    </x:row>
    <x:row r="1406" ht="21.600000381469727" hidden="0" customHeight="1">
      <x:c r="A1406" s="27" t="n">
        <x:v>468</x:v>
      </x:c>
      <x:c r="B1406" s="27" t="str">
        <x:v>A1</x:v>
      </x:c>
      <x:c r="C1406" s="47" t="n">
        <x:v>1.3094733013649715</x:v>
      </x:c>
      <x:c r="D1406" s="47" t="n">
        <x:v>0.8177091365249659</x:v>
      </x:c>
      <x:c r="E1406" s="47" t="n">
        <x:v>0.5695577665864562</x:v>
      </x:c>
      <x:c r="F1406" s="47" t="n">
        <x:v>-0.16091592383065217</x:v>
      </x:c>
      <x:c r="G1406" s="47" t="n">
        <x:v>-0.033145417362179935</x:v>
      </x:c>
      <x:c r="H1406" s="47" t="n">
        <x:v>0.8275744235299194</x:v>
      </x:c>
      <x:c r="I1406" s="47" t="n">
        <x:v>1.0160975199695848</x:v>
      </x:c>
      <x:c r="J1406" s="47" t="n">
        <x:v>0.6078495537725526</x:v>
      </x:c>
      <x:c r="K1406" s="47" t="n">
        <x:v>0.6739157864107126</x:v>
      </x:c>
      <x:c r="L1406" s="47" t="n">
        <x:v>0.6822530992667559</x:v>
      </x:c>
      <x:c r="M1406" s="47" t="n">
        <x:v>0.1627981603940491</x:v>
      </x:c>
      <x:c r="N1406" s="47" t="n">
        <x:v>0.7650960334749106</x:v>
      </x:c>
      <x:c r="O1406" s="47" t="n">
        <x:v>0.7354121417077397</x:v>
      </x:c>
      <x:c r="P1406" s="47" t="n">
        <x:v>0.5021483406633641</x:v>
      </x:c>
      <x:c r="Q1406" s="47" t="n">
        <x:v>0.9723024403285355</x:v>
      </x:c>
      <x:c r="R1406" s="47" t="n">
        <x:v>0.6734812295007472</x:v>
      </x:c>
      <x:c r="S1406" s="27" t="n">
        <x:v>0</x:v>
      </x:c>
    </x:row>
    <x:row r="1407" ht="21.600000381469727" hidden="0" customHeight="1">
      <x:c r="A1407" s="29" t="n">
        <x:v>468</x:v>
      </x:c>
      <x:c r="B1407" s="29" t="str">
        <x:v>A2</x:v>
      </x:c>
      <x:c r="C1407" s="48" t="n">
        <x:v>1.3094733013649715</x:v>
      </x:c>
      <x:c r="D1407" s="48" t="n">
        <x:v>0.8177091365249659</x:v>
      </x:c>
      <x:c r="E1407" s="48" t="n">
        <x:v>0.5695577665864562</x:v>
      </x:c>
      <x:c r="F1407" s="48" t="n">
        <x:v>-0.16091592383065217</x:v>
      </x:c>
      <x:c r="G1407" s="48" t="n">
        <x:v>-0.033145417362179935</x:v>
      </x:c>
      <x:c r="H1407" s="48" t="n">
        <x:v>0.8275744235299194</x:v>
      </x:c>
      <x:c r="I1407" s="48" t="n">
        <x:v>1.0160975199695848</x:v>
      </x:c>
      <x:c r="J1407" s="48" t="n">
        <x:v>0.6078495537725526</x:v>
      </x:c>
      <x:c r="K1407" s="48" t="n">
        <x:v>0.6739157864107126</x:v>
      </x:c>
      <x:c r="L1407" s="48" t="n">
        <x:v>0.6822530992667559</x:v>
      </x:c>
      <x:c r="M1407" s="48" t="n">
        <x:v>0.1627981603940491</x:v>
      </x:c>
      <x:c r="N1407" s="48" t="n">
        <x:v>0.7650960334749106</x:v>
      </x:c>
      <x:c r="O1407" s="48" t="n">
        <x:v>0.7951014144686894</x:v>
      </x:c>
      <x:c r="P1407" s="48" t="n">
        <x:v>0.5328751486714972</x:v>
      </x:c>
      <x:c r="Q1407" s="48" t="n">
        <x:v>1</x:v>
      </x:c>
      <x:c r="R1407" s="48" t="n">
        <x:v>0.7469824070251054</x:v>
      </x:c>
      <x:c r="S1407" s="29" t="n">
        <x:v>0</x:v>
      </x:c>
    </x:row>
    <x:row r="1408" ht="21.600000381469727" hidden="0" customHeight="1">
      <x:c r="A1408" s="27" t="n">
        <x:v>468</x:v>
      </x:c>
      <x:c r="B1408" s="27" t="str">
        <x:v>A3</x:v>
      </x:c>
      <x:c r="C1408" s="47" t="n">
        <x:v>1.3094733013649715</x:v>
      </x:c>
      <x:c r="D1408" s="47" t="n">
        <x:v>0.8177091365249659</x:v>
      </x:c>
      <x:c r="E1408" s="47" t="n">
        <x:v>0.5695577665864562</x:v>
      </x:c>
      <x:c r="F1408" s="47" t="n">
        <x:v>-0.16091592383065217</x:v>
      </x:c>
      <x:c r="G1408" s="47" t="n">
        <x:v>-0.033145417362179935</x:v>
      </x:c>
      <x:c r="H1408" s="47" t="n">
        <x:v>0.8275744235299194</x:v>
      </x:c>
      <x:c r="I1408" s="47" t="n">
        <x:v>1.0160975199695848</x:v>
      </x:c>
      <x:c r="J1408" s="47" t="n">
        <x:v>0.6078495537725526</x:v>
      </x:c>
      <x:c r="K1408" s="47" t="n">
        <x:v>0.6739157864107126</x:v>
      </x:c>
      <x:c r="L1408" s="47" t="n">
        <x:v>0.6822530992667559</x:v>
      </x:c>
      <x:c r="M1408" s="47" t="n">
        <x:v>0.1627981603940491</x:v>
      </x:c>
      <x:c r="N1408" s="47" t="n">
        <x:v>0.7650960334749106</x:v>
      </x:c>
      <x:c r="O1408" s="47" t="n">
        <x:v>1</x:v>
      </x:c>
      <x:c r="P1408" s="47" t="n">
        <x:v>1</x:v>
      </x:c>
      <x:c r="Q1408" s="47" t="n">
        <x:v>1</x:v>
      </x:c>
      <x:c r="R1408" s="47" t="n">
        <x:v>1</x:v>
      </x:c>
      <x:c r="S1408" s="27" t="n">
        <x:v>1</x:v>
      </x:c>
    </x:row>
    <x:row r="1409" ht="21.600000381469727" hidden="0" customHeight="1">
      <x:c r="A1409" s="29" t="n">
        <x:v>469</x:v>
      </x:c>
      <x:c r="B1409" s="29" t="str">
        <x:v>A1</x:v>
      </x:c>
      <x:c r="C1409" s="48" t="n">
        <x:v>0.9093144003917337</x:v>
      </x:c>
      <x:c r="D1409" s="48" t="n">
        <x:v>0.7280454970417306</x:v>
      </x:c>
      <x:c r="E1409" s="48" t="n">
        <x:v>0.9624312808770357</x:v>
      </x:c>
      <x:c r="F1409" s="48" t="n">
        <x:v>-0.1651264707749029</x:v>
      </x:c>
      <x:c r="G1409" s="48" t="n">
        <x:v>-0.1284530741209449</x:v>
      </x:c>
      <x:c r="H1409" s="48" t="n">
        <x:v>0.4242198481151506</x:v>
      </x:c>
      <x:c r="I1409" s="48" t="n">
        <x:v>0.7820274537005316</x:v>
      </x:c>
      <x:c r="J1409" s="48" t="n">
        <x:v>0.8449065678919623</x:v>
      </x:c>
      <x:c r="K1409" s="48" t="n">
        <x:v>0.6637413828978355</x:v>
      </x:c>
      <x:c r="L1409" s="48" t="n">
        <x:v>0.8616784861839961</x:v>
      </x:c>
      <x:c r="M1409" s="48" t="n">
        <x:v>0.07249413172255367</x:v>
      </x:c>
      <x:c r="N1409" s="48" t="n">
        <x:v>0.7884658226252544</x:v>
      </x:c>
      <x:c r="O1409" s="48" t="n">
        <x:v>0.926602804848739</x:v>
      </x:c>
      <x:c r="P1409" s="48" t="n">
        <x:v>0.5412269531981031</x:v>
      </x:c>
      <x:c r="Q1409" s="48" t="n">
        <x:v>1</x:v>
      </x:c>
      <x:c r="R1409" s="48" t="n">
        <x:v>0.909365984151985</x:v>
      </x:c>
      <x:c r="S1409" s="29" t="n">
        <x:v>0</x:v>
      </x:c>
    </x:row>
    <x:row r="1410" ht="21.600000381469727" hidden="0" customHeight="1">
      <x:c r="A1410" s="27" t="n">
        <x:v>469</x:v>
      </x:c>
      <x:c r="B1410" s="27" t="str">
        <x:v>A2</x:v>
      </x:c>
      <x:c r="C1410" s="47" t="n">
        <x:v>0.9093144003917337</x:v>
      </x:c>
      <x:c r="D1410" s="47" t="n">
        <x:v>0.7280454970417306</x:v>
      </x:c>
      <x:c r="E1410" s="47" t="n">
        <x:v>0.9624312808770357</x:v>
      </x:c>
      <x:c r="F1410" s="47" t="n">
        <x:v>-0.1651264707749029</x:v>
      </x:c>
      <x:c r="G1410" s="47" t="n">
        <x:v>-0.1284530741209449</x:v>
      </x:c>
      <x:c r="H1410" s="47" t="n">
        <x:v>0.4242198481151506</x:v>
      </x:c>
      <x:c r="I1410" s="47" t="n">
        <x:v>0.7820274537005316</x:v>
      </x:c>
      <x:c r="J1410" s="47" t="n">
        <x:v>0.8449065678919623</x:v>
      </x:c>
      <x:c r="K1410" s="47" t="n">
        <x:v>0.6637413828978355</x:v>
      </x:c>
      <x:c r="L1410" s="47" t="n">
        <x:v>0.8616784861839961</x:v>
      </x:c>
      <x:c r="M1410" s="47" t="n">
        <x:v>0.07249413172255367</x:v>
      </x:c>
      <x:c r="N1410" s="47" t="n">
        <x:v>0.7884658226252544</x:v>
      </x:c>
      <x:c r="O1410" s="47" t="n">
        <x:v>0.9467099553893066</x:v>
      </x:c>
      <x:c r="P1410" s="47" t="n">
        <x:v>0.699863965979058</x:v>
      </x:c>
      <x:c r="Q1410" s="47" t="n">
        <x:v>1</x:v>
      </x:c>
      <x:c r="R1410" s="47" t="n">
        <x:v>0.9341951591224528</x:v>
      </x:c>
      <x:c r="S1410" s="27" t="n">
        <x:v>0</x:v>
      </x:c>
    </x:row>
    <x:row r="1411" ht="21.600000381469727" hidden="0" customHeight="1">
      <x:c r="A1411" s="29" t="n">
        <x:v>469</x:v>
      </x:c>
      <x:c r="B1411" s="29" t="str">
        <x:v>A3</x:v>
      </x:c>
      <x:c r="C1411" s="48" t="n">
        <x:v>0.9093144003917337</x:v>
      </x:c>
      <x:c r="D1411" s="48" t="n">
        <x:v>0.7280454970417306</x:v>
      </x:c>
      <x:c r="E1411" s="48" t="n">
        <x:v>0.9624312808770357</x:v>
      </x:c>
      <x:c r="F1411" s="48" t="n">
        <x:v>-0.1651264707749029</x:v>
      </x:c>
      <x:c r="G1411" s="48" t="n">
        <x:v>-0.1284530741209449</x:v>
      </x:c>
      <x:c r="H1411" s="48" t="n">
        <x:v>0.4242198481151506</x:v>
      </x:c>
      <x:c r="I1411" s="48" t="n">
        <x:v>0.7820274537005316</x:v>
      </x:c>
      <x:c r="J1411" s="48" t="n">
        <x:v>0.8449065678919623</x:v>
      </x:c>
      <x:c r="K1411" s="48" t="n">
        <x:v>0.6637413828978355</x:v>
      </x:c>
      <x:c r="L1411" s="48" t="n">
        <x:v>0.8616784861839961</x:v>
      </x:c>
      <x:c r="M1411" s="48" t="n">
        <x:v>0.07249413172255367</x:v>
      </x:c>
      <x:c r="N1411" s="48" t="n">
        <x:v>0.7884658226252544</x:v>
      </x:c>
      <x:c r="O1411" s="48" t="n">
        <x:v>1</x:v>
      </x:c>
      <x:c r="P1411" s="48" t="n">
        <x:v>1</x:v>
      </x:c>
      <x:c r="Q1411" s="48" t="n">
        <x:v>1</x:v>
      </x:c>
      <x:c r="R1411" s="48" t="n">
        <x:v>1</x:v>
      </x:c>
      <x:c r="S1411" s="29" t="n">
        <x:v>1</x:v>
      </x:c>
    </x:row>
    <x:row r="1412" ht="21.600000381469727" hidden="0" customHeight="1">
      <x:c r="A1412" s="27" t="n">
        <x:v>470</x:v>
      </x:c>
      <x:c r="B1412" s="27" t="str">
        <x:v>A1</x:v>
      </x:c>
      <x:c r="C1412" s="47" t="n">
        <x:v>1.2505353006237372</x:v>
      </x:c>
      <x:c r="D1412" s="47" t="n">
        <x:v>0.8568290309339925</x:v>
      </x:c>
      <x:c r="E1412" s="47" t="n">
        <x:v>0.6830309219696503</x:v>
      </x:c>
      <x:c r="F1412" s="47" t="n">
        <x:v>-0.18897027254065077</x:v>
      </x:c>
      <x:c r="G1412" s="47" t="n">
        <x:v>-0.11121321151364172</x:v>
      </x:c>
      <x:c r="H1412" s="47" t="n">
        <x:v>0.5840321607446548</x:v>
      </x:c>
      <x:c r="I1412" s="47" t="n">
        <x:v>0.746719443797973</x:v>
      </x:c>
      <x:c r="J1412" s="47" t="n">
        <x:v>0.8992896511497381</x:v>
      </x:c>
      <x:c r="K1412" s="47" t="n">
        <x:v>0.5900669724666822</x:v>
      </x:c>
      <x:c r="L1412" s="47" t="n">
        <x:v>0.907185815226998</x:v>
      </x:c>
      <x:c r="M1412" s="47" t="n">
        <x:v>0.09607802426881494</x:v>
      </x:c>
      <x:c r="N1412" s="47" t="n">
        <x:v>0.9190446242523834</x:v>
      </x:c>
      <x:c r="O1412" s="47" t="n">
        <x:v>0.7948518447537786</x:v>
      </x:c>
      <x:c r="P1412" s="47" t="n">
        <x:v>0.4612770987562583</x:v>
      </x:c>
      <x:c r="Q1412" s="47" t="n">
        <x:v>1</x:v>
      </x:c>
      <x:c r="R1412" s="47" t="n">
        <x:v>0.7466742275987689</x:v>
      </x:c>
      <x:c r="S1412" s="27" t="n">
        <x:v>0</x:v>
      </x:c>
    </x:row>
    <x:row r="1413" ht="21.600000381469727" hidden="0" customHeight="1">
      <x:c r="A1413" s="29" t="n">
        <x:v>470</x:v>
      </x:c>
      <x:c r="B1413" s="29" t="str">
        <x:v>A2</x:v>
      </x:c>
      <x:c r="C1413" s="48" t="n">
        <x:v>1.2505353006237372</x:v>
      </x:c>
      <x:c r="D1413" s="48" t="n">
        <x:v>0.8568290309339925</x:v>
      </x:c>
      <x:c r="E1413" s="48" t="n">
        <x:v>0.6830309219696503</x:v>
      </x:c>
      <x:c r="F1413" s="48" t="n">
        <x:v>-0.18897027254065077</x:v>
      </x:c>
      <x:c r="G1413" s="48" t="n">
        <x:v>-0.11121321151364172</x:v>
      </x:c>
      <x:c r="H1413" s="48" t="n">
        <x:v>0.5840321607446548</x:v>
      </x:c>
      <x:c r="I1413" s="48" t="n">
        <x:v>0.746719443797973</x:v>
      </x:c>
      <x:c r="J1413" s="48" t="n">
        <x:v>0.8992896511497381</x:v>
      </x:c>
      <x:c r="K1413" s="48" t="n">
        <x:v>0.5900669724666822</x:v>
      </x:c>
      <x:c r="L1413" s="48" t="n">
        <x:v>0.907185815226998</x:v>
      </x:c>
      <x:c r="M1413" s="48" t="n">
        <x:v>0.09607802426881494</x:v>
      </x:c>
      <x:c r="N1413" s="48" t="n">
        <x:v>0.9190446242523834</x:v>
      </x:c>
      <x:c r="O1413" s="48" t="n">
        <x:v>0.8773483473525059</x:v>
      </x:c>
      <x:c r="P1413" s="48" t="n">
        <x:v>0.5700829497302584</x:v>
      </x:c>
      <x:c r="Q1413" s="48" t="n">
        <x:v>1</x:v>
      </x:c>
      <x:c r="R1413" s="48" t="n">
        <x:v>0.8485444599493359</x:v>
      </x:c>
      <x:c r="S1413" s="29" t="n">
        <x:v>0</x:v>
      </x:c>
    </x:row>
    <x:row r="1414" ht="21.600000381469727" hidden="0" customHeight="1">
      <x:c r="A1414" s="27" t="n">
        <x:v>470</x:v>
      </x:c>
      <x:c r="B1414" s="27" t="str">
        <x:v>A3</x:v>
      </x:c>
      <x:c r="C1414" s="47" t="n">
        <x:v>1.2505353006237372</x:v>
      </x:c>
      <x:c r="D1414" s="47" t="n">
        <x:v>0.8568290309339925</x:v>
      </x:c>
      <x:c r="E1414" s="47" t="n">
        <x:v>0.6830309219696503</x:v>
      </x:c>
      <x:c r="F1414" s="47" t="n">
        <x:v>-0.18897027254065077</x:v>
      </x:c>
      <x:c r="G1414" s="47" t="n">
        <x:v>-0.11121321151364172</x:v>
      </x:c>
      <x:c r="H1414" s="47" t="n">
        <x:v>0.5840321607446548</x:v>
      </x:c>
      <x:c r="I1414" s="47" t="n">
        <x:v>0.746719443797973</x:v>
      </x:c>
      <x:c r="J1414" s="47" t="n">
        <x:v>0.8992896511497381</x:v>
      </x:c>
      <x:c r="K1414" s="47" t="n">
        <x:v>0.5900669724666822</x:v>
      </x:c>
      <x:c r="L1414" s="47" t="n">
        <x:v>0.907185815226998</x:v>
      </x:c>
      <x:c r="M1414" s="47" t="n">
        <x:v>0.09607802426881494</x:v>
      </x:c>
      <x:c r="N1414" s="47" t="n">
        <x:v>0.9190446242523834</x:v>
      </x:c>
      <x:c r="O1414" s="47" t="n">
        <x:v>1</x:v>
      </x:c>
      <x:c r="P1414" s="47" t="n">
        <x:v>1</x:v>
      </x:c>
      <x:c r="Q1414" s="47" t="n">
        <x:v>1</x:v>
      </x:c>
      <x:c r="R1414" s="47" t="n">
        <x:v>1</x:v>
      </x:c>
      <x:c r="S1414" s="27" t="n">
        <x:v>1</x:v>
      </x:c>
    </x:row>
    <x:row r="1415" ht="21.600000381469727" hidden="0" customHeight="1">
      <x:c r="A1415" s="29" t="n">
        <x:v>471</x:v>
      </x:c>
      <x:c r="B1415" s="29" t="str">
        <x:v>A1</x:v>
      </x:c>
      <x:c r="C1415" s="48" t="n">
        <x:v>1.3046026740013799</x:v>
      </x:c>
      <x:c r="D1415" s="48" t="n">
        <x:v>0.7674314604733589</x:v>
      </x:c>
      <x:c r="E1415" s="48" t="n">
        <x:v>0.9299408001776046</x:v>
      </x:c>
      <x:c r="F1415" s="48" t="n">
        <x:v>-0.10348476879109039</x:v>
      </x:c>
      <x:c r="G1415" s="48" t="n">
        <x:v>-0.01566386815332943</x:v>
      </x:c>
      <x:c r="H1415" s="48" t="n">
        <x:v>0.8513115150322039</x:v>
      </x:c>
      <x:c r="I1415" s="48" t="n">
        <x:v>0.676931409235134</x:v>
      </x:c>
      <x:c r="J1415" s="48" t="n">
        <x:v>0.5391078107932139</x:v>
      </x:c>
      <x:c r="K1415" s="48" t="n">
        <x:v>0.630276223894511</x:v>
      </x:c>
      <x:c r="L1415" s="48" t="n">
        <x:v>0.9665648298301421</x:v>
      </x:c>
      <x:c r="M1415" s="48" t="n">
        <x:v>0.06264833754625788</x:v>
      </x:c>
      <x:c r="N1415" s="48" t="n">
        <x:v>0.6773049420581855</x:v>
      </x:c>
      <x:c r="O1415" s="48" t="n">
        <x:v>0.7547109523400717</x:v>
      </x:c>
      <x:c r="P1415" s="48" t="n">
        <x:v>0.4727191444185171</x:v>
      </x:c>
      <x:c r="Q1415" s="48" t="n">
        <x:v>0.9803475251154967</x:v>
      </x:c>
      <x:c r="R1415" s="48" t="n">
        <x:v>0.6987023043036752</x:v>
      </x:c>
      <x:c r="S1415" s="29" t="n">
        <x:v>0</x:v>
      </x:c>
    </x:row>
    <x:row r="1416" ht="21.600000381469727" hidden="0" customHeight="1">
      <x:c r="A1416" s="27" t="n">
        <x:v>471</x:v>
      </x:c>
      <x:c r="B1416" s="27" t="str">
        <x:v>A2</x:v>
      </x:c>
      <x:c r="C1416" s="47" t="n">
        <x:v>1.3046026740013799</x:v>
      </x:c>
      <x:c r="D1416" s="47" t="n">
        <x:v>0.7674314604733589</x:v>
      </x:c>
      <x:c r="E1416" s="47" t="n">
        <x:v>0.9299408001776046</x:v>
      </x:c>
      <x:c r="F1416" s="47" t="n">
        <x:v>-0.10348476879109039</x:v>
      </x:c>
      <x:c r="G1416" s="47" t="n">
        <x:v>-0.01566386815332943</x:v>
      </x:c>
      <x:c r="H1416" s="47" t="n">
        <x:v>0.8513115150322039</x:v>
      </x:c>
      <x:c r="I1416" s="47" t="n">
        <x:v>0.676931409235134</x:v>
      </x:c>
      <x:c r="J1416" s="47" t="n">
        <x:v>0.5391078107932139</x:v>
      </x:c>
      <x:c r="K1416" s="47" t="n">
        <x:v>0.630276223894511</x:v>
      </x:c>
      <x:c r="L1416" s="47" t="n">
        <x:v>0.9665648298301421</x:v>
      </x:c>
      <x:c r="M1416" s="47" t="n">
        <x:v>0.06264833754625788</x:v>
      </x:c>
      <x:c r="N1416" s="47" t="n">
        <x:v>0.6773049420581855</x:v>
      </x:c>
      <x:c r="O1416" s="47" t="n">
        <x:v>0.8318052388583483</x:v>
      </x:c>
      <x:c r="P1416" s="47" t="n">
        <x:v>0.46042242225838814</x:v>
      </x:c>
      <x:c r="Q1416" s="47" t="n">
        <x:v>1</x:v>
      </x:c>
      <x:c r="R1416" s="47" t="n">
        <x:v>0.7923058692440557</x:v>
      </x:c>
      <x:c r="S1416" s="27" t="n">
        <x:v>0</x:v>
      </x:c>
    </x:row>
    <x:row r="1417" ht="21.600000381469727" hidden="0" customHeight="1">
      <x:c r="A1417" s="29" t="n">
        <x:v>471</x:v>
      </x:c>
      <x:c r="B1417" s="29" t="str">
        <x:v>A3</x:v>
      </x:c>
      <x:c r="C1417" s="48" t="n">
        <x:v>1.3046026740013799</x:v>
      </x:c>
      <x:c r="D1417" s="48" t="n">
        <x:v>0.7674314604733589</x:v>
      </x:c>
      <x:c r="E1417" s="48" t="n">
        <x:v>0.9299408001776046</x:v>
      </x:c>
      <x:c r="F1417" s="48" t="n">
        <x:v>-0.10348476879109039</x:v>
      </x:c>
      <x:c r="G1417" s="48" t="n">
        <x:v>-0.01566386815332943</x:v>
      </x:c>
      <x:c r="H1417" s="48" t="n">
        <x:v>0.8513115150322039</x:v>
      </x:c>
      <x:c r="I1417" s="48" t="n">
        <x:v>0.676931409235134</x:v>
      </x:c>
      <x:c r="J1417" s="48" t="n">
        <x:v>0.5391078107932139</x:v>
      </x:c>
      <x:c r="K1417" s="48" t="n">
        <x:v>0.630276223894511</x:v>
      </x:c>
      <x:c r="L1417" s="48" t="n">
        <x:v>0.9665648298301421</x:v>
      </x:c>
      <x:c r="M1417" s="48" t="n">
        <x:v>0.06264833754625788</x:v>
      </x:c>
      <x:c r="N1417" s="48" t="n">
        <x:v>0.6773049420581855</x:v>
      </x:c>
      <x:c r="O1417" s="48" t="n">
        <x:v>1</x:v>
      </x:c>
      <x:c r="P1417" s="48" t="n">
        <x:v>1</x:v>
      </x:c>
      <x:c r="Q1417" s="48" t="n">
        <x:v>1</x:v>
      </x:c>
      <x:c r="R1417" s="48" t="n">
        <x:v>1</x:v>
      </x:c>
      <x:c r="S1417" s="29" t="n">
        <x:v>1</x:v>
      </x:c>
    </x:row>
    <x:row r="1418" ht="21.600000381469727" hidden="0" customHeight="1">
      <x:c r="A1418" s="27" t="n">
        <x:v>472</x:v>
      </x:c>
      <x:c r="B1418" s="27" t="str">
        <x:v>A1</x:v>
      </x:c>
      <x:c r="C1418" s="47" t="n">
        <x:v>1.311757017134632</x:v>
      </x:c>
      <x:c r="D1418" s="47" t="n">
        <x:v>0.7816361064336224</x:v>
      </x:c>
      <x:c r="E1418" s="47" t="n">
        <x:v>1.065143699003841</x:v>
      </x:c>
      <x:c r="F1418" s="47" t="n">
        <x:v>-0.15862577765412061</x:v>
      </x:c>
      <x:c r="G1418" s="47" t="n">
        <x:v>-0.1665489381038096</x:v>
      </x:c>
      <x:c r="H1418" s="47" t="n">
        <x:v>1.0184739035604353</x:v>
      </x:c>
      <x:c r="I1418" s="47" t="n">
        <x:v>0.645091356516497</x:v>
      </x:c>
      <x:c r="J1418" s="47" t="n">
        <x:v>0.6007841214806563</x:v>
      </x:c>
      <x:c r="K1418" s="47" t="n">
        <x:v>0.7455618557776856</x:v>
      </x:c>
      <x:c r="L1418" s="47" t="n">
        <x:v>0.8573322394600826</x:v>
      </x:c>
      <x:c r="M1418" s="47" t="n">
        <x:v>0.1515504197808618</x:v>
      </x:c>
      <x:c r="N1418" s="47" t="n">
        <x:v>0.7113905119256002</x:v>
      </x:c>
      <x:c r="O1418" s="47" t="n">
        <x:v>0.7686812473520326</x:v>
      </x:c>
      <x:c r="P1418" s="47" t="n">
        <x:v>0.468908366668355</x:v>
      </x:c>
      <x:c r="Q1418" s="47" t="n">
        <x:v>1</x:v>
      </x:c>
      <x:c r="R1418" s="47" t="n">
        <x:v>0.7143576474518898</x:v>
      </x:c>
      <x:c r="S1418" s="27" t="n">
        <x:v>0</x:v>
      </x:c>
    </x:row>
    <x:row r="1419" ht="21.600000381469727" hidden="0" customHeight="1">
      <x:c r="A1419" s="29" t="n">
        <x:v>472</x:v>
      </x:c>
      <x:c r="B1419" s="29" t="str">
        <x:v>A2</x:v>
      </x:c>
      <x:c r="C1419" s="48" t="n">
        <x:v>1.311757017134632</x:v>
      </x:c>
      <x:c r="D1419" s="48" t="n">
        <x:v>0.7816361064336224</x:v>
      </x:c>
      <x:c r="E1419" s="48" t="n">
        <x:v>1.065143699003841</x:v>
      </x:c>
      <x:c r="F1419" s="48" t="n">
        <x:v>-0.15862577765412061</x:v>
      </x:c>
      <x:c r="G1419" s="48" t="n">
        <x:v>-0.1665489381038096</x:v>
      </x:c>
      <x:c r="H1419" s="48" t="n">
        <x:v>1.0184739035604353</x:v>
      </x:c>
      <x:c r="I1419" s="48" t="n">
        <x:v>0.645091356516497</x:v>
      </x:c>
      <x:c r="J1419" s="48" t="n">
        <x:v>0.6007841214806563</x:v>
      </x:c>
      <x:c r="K1419" s="48" t="n">
        <x:v>0.7455618557776856</x:v>
      </x:c>
      <x:c r="L1419" s="48" t="n">
        <x:v>0.8573322394600826</x:v>
      </x:c>
      <x:c r="M1419" s="48" t="n">
        <x:v>0.1515504197808618</x:v>
      </x:c>
      <x:c r="N1419" s="48" t="n">
        <x:v>0.7113905119256002</x:v>
      </x:c>
      <x:c r="O1419" s="48" t="n">
        <x:v>0.842967619039366</x:v>
      </x:c>
      <x:c r="P1419" s="48" t="n">
        <x:v>0.4591254131743215</x:v>
      </x:c>
      <x:c r="Q1419" s="48" t="n">
        <x:v>1</x:v>
      </x:c>
      <x:c r="R1419" s="48" t="n">
        <x:v>0.8060896567599546</x:v>
      </x:c>
      <x:c r="S1419" s="29" t="n">
        <x:v>0</x:v>
      </x:c>
    </x:row>
    <x:row r="1420" ht="21.600000381469727" hidden="0" customHeight="1">
      <x:c r="A1420" s="27" t="n">
        <x:v>472</x:v>
      </x:c>
      <x:c r="B1420" s="27" t="str">
        <x:v>A3</x:v>
      </x:c>
      <x:c r="C1420" s="47" t="n">
        <x:v>1.311757017134632</x:v>
      </x:c>
      <x:c r="D1420" s="47" t="n">
        <x:v>0.7816361064336224</x:v>
      </x:c>
      <x:c r="E1420" s="47" t="n">
        <x:v>1.065143699003841</x:v>
      </x:c>
      <x:c r="F1420" s="47" t="n">
        <x:v>-0.15862577765412061</x:v>
      </x:c>
      <x:c r="G1420" s="47" t="n">
        <x:v>-0.1665489381038096</x:v>
      </x:c>
      <x:c r="H1420" s="47" t="n">
        <x:v>1.0184739035604353</x:v>
      </x:c>
      <x:c r="I1420" s="47" t="n">
        <x:v>0.645091356516497</x:v>
      </x:c>
      <x:c r="J1420" s="47" t="n">
        <x:v>0.6007841214806563</x:v>
      </x:c>
      <x:c r="K1420" s="47" t="n">
        <x:v>0.7455618557776856</x:v>
      </x:c>
      <x:c r="L1420" s="47" t="n">
        <x:v>0.8573322394600826</x:v>
      </x:c>
      <x:c r="M1420" s="47" t="n">
        <x:v>0.1515504197808618</x:v>
      </x:c>
      <x:c r="N1420" s="47" t="n">
        <x:v>0.7113905119256002</x:v>
      </x:c>
      <x:c r="O1420" s="47" t="n">
        <x:v>1</x:v>
      </x:c>
      <x:c r="P1420" s="47" t="n">
        <x:v>1</x:v>
      </x:c>
      <x:c r="Q1420" s="47" t="n">
        <x:v>1</x:v>
      </x:c>
      <x:c r="R1420" s="47" t="n">
        <x:v>1</x:v>
      </x:c>
      <x:c r="S1420" s="27" t="n">
        <x:v>1</x:v>
      </x:c>
    </x:row>
    <x:row r="1421" ht="21.600000381469727" hidden="0" customHeight="1">
      <x:c r="A1421" s="29" t="n">
        <x:v>473</x:v>
      </x:c>
      <x:c r="B1421" s="29" t="str">
        <x:v>A1</x:v>
      </x:c>
      <x:c r="C1421" s="48" t="n">
        <x:v>1.1824434771558798</x:v>
      </x:c>
      <x:c r="D1421" s="48" t="n">
        <x:v>0.7783539811334786</x:v>
      </x:c>
      <x:c r="E1421" s="48" t="n">
        <x:v>0.5873688332263975</x:v>
      </x:c>
      <x:c r="F1421" s="48" t="n">
        <x:v>-0.012158644357519344</x:v>
      </x:c>
      <x:c r="G1421" s="48" t="n">
        <x:v>-0.0018560247619847092</x:v>
      </x:c>
      <x:c r="H1421" s="48" t="n">
        <x:v>0.4923180850634929</x:v>
      </x:c>
      <x:c r="I1421" s="48" t="n">
        <x:v>0.7890065481016412</x:v>
      </x:c>
      <x:c r="J1421" s="48" t="n">
        <x:v>0.49138767992927085</x:v>
      </x:c>
      <x:c r="K1421" s="48" t="n">
        <x:v>0.7369033950969168</x:v>
      </x:c>
      <x:c r="L1421" s="48" t="n">
        <x:v>0.7610062634364572</x:v>
      </x:c>
      <x:c r="M1421" s="48" t="n">
        <x:v>0.1576572690979225</x:v>
      </x:c>
      <x:c r="N1421" s="48" t="n">
        <x:v>0.8467496019966807</x:v>
      </x:c>
      <x:c r="O1421" s="48" t="n">
        <x:v>0.7699034302045342</x:v>
      </x:c>
      <x:c r="P1421" s="48" t="n">
        <x:v>0.42349983022568183</x:v>
      </x:c>
      <x:c r="Q1421" s="48" t="n">
        <x:v>0.9450102078959378</x:v>
      </x:c>
      <x:c r="R1421" s="48" t="n">
        <x:v>0.7162752525763462</x:v>
      </x:c>
      <x:c r="S1421" s="29" t="n">
        <x:v>0</x:v>
      </x:c>
    </x:row>
    <x:row r="1422" ht="21.600000381469727" hidden="0" customHeight="1">
      <x:c r="A1422" s="27" t="n">
        <x:v>473</x:v>
      </x:c>
      <x:c r="B1422" s="27" t="str">
        <x:v>A2</x:v>
      </x:c>
      <x:c r="C1422" s="47" t="n">
        <x:v>1.1824434771558798</x:v>
      </x:c>
      <x:c r="D1422" s="47" t="n">
        <x:v>0.7783539811334786</x:v>
      </x:c>
      <x:c r="E1422" s="47" t="n">
        <x:v>0.5873688332263975</x:v>
      </x:c>
      <x:c r="F1422" s="47" t="n">
        <x:v>-0.012158644357519344</x:v>
      </x:c>
      <x:c r="G1422" s="47" t="n">
        <x:v>-0.0018560247619847092</x:v>
      </x:c>
      <x:c r="H1422" s="47" t="n">
        <x:v>0.4923180850634929</x:v>
      </x:c>
      <x:c r="I1422" s="47" t="n">
        <x:v>0.7890065481016412</x:v>
      </x:c>
      <x:c r="J1422" s="47" t="n">
        <x:v>0.49138767992927085</x:v>
      </x:c>
      <x:c r="K1422" s="47" t="n">
        <x:v>0.7369033950969168</x:v>
      </x:c>
      <x:c r="L1422" s="47" t="n">
        <x:v>0.7610062634364572</x:v>
      </x:c>
      <x:c r="M1422" s="47" t="n">
        <x:v>0.1576572690979225</x:v>
      </x:c>
      <x:c r="N1422" s="47" t="n">
        <x:v>0.8467496019966807</x:v>
      </x:c>
      <x:c r="O1422" s="47" t="n">
        <x:v>0.8499250338698242</x:v>
      </x:c>
      <x:c r="P1422" s="47" t="n">
        <x:v>0.46847806474564796</x:v>
      </x:c>
      <x:c r="Q1422" s="47" t="n">
        <x:v>0.9999999999999998</x:v>
      </x:c>
      <x:c r="R1422" s="47" t="n">
        <x:v>0.8146809720643802</x:v>
      </x:c>
      <x:c r="S1422" s="27" t="n">
        <x:v>0</x:v>
      </x:c>
    </x:row>
    <x:row r="1423" ht="21.600000381469727" hidden="0" customHeight="1">
      <x:c r="A1423" s="29" t="n">
        <x:v>473</x:v>
      </x:c>
      <x:c r="B1423" s="29" t="str">
        <x:v>A3</x:v>
      </x:c>
      <x:c r="C1423" s="48" t="n">
        <x:v>1.1824434771558798</x:v>
      </x:c>
      <x:c r="D1423" s="48" t="n">
        <x:v>0.7783539811334786</x:v>
      </x:c>
      <x:c r="E1423" s="48" t="n">
        <x:v>0.5873688332263975</x:v>
      </x:c>
      <x:c r="F1423" s="48" t="n">
        <x:v>-0.012158644357519344</x:v>
      </x:c>
      <x:c r="G1423" s="48" t="n">
        <x:v>-0.0018560247619847092</x:v>
      </x:c>
      <x:c r="H1423" s="48" t="n">
        <x:v>0.4923180850634929</x:v>
      </x:c>
      <x:c r="I1423" s="48" t="n">
        <x:v>0.7890065481016412</x:v>
      </x:c>
      <x:c r="J1423" s="48" t="n">
        <x:v>0.49138767992927085</x:v>
      </x:c>
      <x:c r="K1423" s="48" t="n">
        <x:v>0.7369033950969168</x:v>
      </x:c>
      <x:c r="L1423" s="48" t="n">
        <x:v>0.7610062634364572</x:v>
      </x:c>
      <x:c r="M1423" s="48" t="n">
        <x:v>0.1576572690979225</x:v>
      </x:c>
      <x:c r="N1423" s="48" t="n">
        <x:v>0.8467496019966807</x:v>
      </x:c>
      <x:c r="O1423" s="48" t="n">
        <x:v>1</x:v>
      </x:c>
      <x:c r="P1423" s="48" t="n">
        <x:v>1</x:v>
      </x:c>
      <x:c r="Q1423" s="48" t="n">
        <x:v>1</x:v>
      </x:c>
      <x:c r="R1423" s="48" t="n">
        <x:v>1</x:v>
      </x:c>
      <x:c r="S1423" s="29" t="n">
        <x:v>1</x:v>
      </x:c>
    </x:row>
    <x:row r="1424" ht="21.600000381469727" hidden="0" customHeight="1">
      <x:c r="A1424" s="27" t="n">
        <x:v>474</x:v>
      </x:c>
      <x:c r="B1424" s="27" t="str">
        <x:v>A1</x:v>
      </x:c>
      <x:c r="C1424" s="47" t="n">
        <x:v>1.3212847110551154</x:v>
      </x:c>
      <x:c r="D1424" s="47" t="n">
        <x:v>0.9923363529226864</x:v>
      </x:c>
      <x:c r="E1424" s="47" t="n">
        <x:v>1.013806288267971</x:v>
      </x:c>
      <x:c r="F1424" s="47" t="n">
        <x:v>-0.004710684023488454</x:v>
      </x:c>
      <x:c r="G1424" s="47" t="n">
        <x:v>-0.08240462067096382</x:v>
      </x:c>
      <x:c r="H1424" s="47" t="n">
        <x:v>0.33574460698902797</x:v>
      </x:c>
      <x:c r="I1424" s="47" t="n">
        <x:v>0.8708797425731043</x:v>
      </x:c>
      <x:c r="J1424" s="47" t="n">
        <x:v>0.8632262191430873</x:v>
      </x:c>
      <x:c r="K1424" s="47" t="n">
        <x:v>0.8034908682892408</x:v>
      </x:c>
      <x:c r="L1424" s="47" t="n">
        <x:v>0.8116331452084408</x:v>
      </x:c>
      <x:c r="M1424" s="47" t="n">
        <x:v>0.17003893206826573</x:v>
      </x:c>
      <x:c r="N1424" s="47" t="n">
        <x:v>0.8991459999978783</x:v>
      </x:c>
      <x:c r="O1424" s="47" t="n">
        <x:v>0.8844957693300517</x:v>
      </x:c>
      <x:c r="P1424" s="47" t="n">
        <x:v>0.6410742919537263</x:v>
      </x:c>
      <x:c r="Q1424" s="47" t="n">
        <x:v>1</x:v>
      </x:c>
      <x:c r="R1424" s="47" t="n">
        <x:v>0.8573704042575664</x:v>
      </x:c>
      <x:c r="S1424" s="27" t="n">
        <x:v>0</x:v>
      </x:c>
    </x:row>
    <x:row r="1425" ht="21.600000381469727" hidden="0" customHeight="1">
      <x:c r="A1425" s="29" t="n">
        <x:v>474</x:v>
      </x:c>
      <x:c r="B1425" s="29" t="str">
        <x:v>A2</x:v>
      </x:c>
      <x:c r="C1425" s="48" t="n">
        <x:v>1.3212847110551154</x:v>
      </x:c>
      <x:c r="D1425" s="48" t="n">
        <x:v>0.9923363529226864</x:v>
      </x:c>
      <x:c r="E1425" s="48" t="n">
        <x:v>1.013806288267971</x:v>
      </x:c>
      <x:c r="F1425" s="48" t="n">
        <x:v>-0.004710684023488454</x:v>
      </x:c>
      <x:c r="G1425" s="48" t="n">
        <x:v>-0.08240462067096382</x:v>
      </x:c>
      <x:c r="H1425" s="48" t="n">
        <x:v>0.33574460698902797</x:v>
      </x:c>
      <x:c r="I1425" s="48" t="n">
        <x:v>0.8708797425731043</x:v>
      </x:c>
      <x:c r="J1425" s="48" t="n">
        <x:v>0.8632262191430873</x:v>
      </x:c>
      <x:c r="K1425" s="48" t="n">
        <x:v>0.8034908682892408</x:v>
      </x:c>
      <x:c r="L1425" s="48" t="n">
        <x:v>0.8116331452084408</x:v>
      </x:c>
      <x:c r="M1425" s="48" t="n">
        <x:v>0.17003893206826573</x:v>
      </x:c>
      <x:c r="N1425" s="48" t="n">
        <x:v>0.8991459999978783</x:v>
      </x:c>
      <x:c r="O1425" s="48" t="n">
        <x:v>0.926380674878771</x:v>
      </x:c>
      <x:c r="P1425" s="48" t="n">
        <x:v>0.6032706719608593</x:v>
      </x:c>
      <x:c r="Q1425" s="48" t="n">
        <x:v>1</x:v>
      </x:c>
      <x:c r="R1425" s="48" t="n">
        <x:v>0.909091688503808</x:v>
      </x:c>
      <x:c r="S1425" s="29" t="n">
        <x:v>0</x:v>
      </x:c>
    </x:row>
    <x:row r="1426" ht="21.600000381469727" hidden="0" customHeight="1">
      <x:c r="A1426" s="27" t="n">
        <x:v>474</x:v>
      </x:c>
      <x:c r="B1426" s="27" t="str">
        <x:v>A3</x:v>
      </x:c>
      <x:c r="C1426" s="47" t="n">
        <x:v>1.3212847110551154</x:v>
      </x:c>
      <x:c r="D1426" s="47" t="n">
        <x:v>0.9923363529226864</x:v>
      </x:c>
      <x:c r="E1426" s="47" t="n">
        <x:v>1.013806288267971</x:v>
      </x:c>
      <x:c r="F1426" s="47" t="n">
        <x:v>-0.004710684023488454</x:v>
      </x:c>
      <x:c r="G1426" s="47" t="n">
        <x:v>-0.08240462067096382</x:v>
      </x:c>
      <x:c r="H1426" s="47" t="n">
        <x:v>0.33574460698902797</x:v>
      </x:c>
      <x:c r="I1426" s="47" t="n">
        <x:v>0.8708797425731043</x:v>
      </x:c>
      <x:c r="J1426" s="47" t="n">
        <x:v>0.8632262191430873</x:v>
      </x:c>
      <x:c r="K1426" s="47" t="n">
        <x:v>0.8034908682892408</x:v>
      </x:c>
      <x:c r="L1426" s="47" t="n">
        <x:v>0.8116331452084408</x:v>
      </x:c>
      <x:c r="M1426" s="47" t="n">
        <x:v>0.17003893206826573</x:v>
      </x:c>
      <x:c r="N1426" s="47" t="n">
        <x:v>0.8991459999978783</x:v>
      </x:c>
      <x:c r="O1426" s="47" t="n">
        <x:v>1</x:v>
      </x:c>
      <x:c r="P1426" s="47" t="n">
        <x:v>1</x:v>
      </x:c>
      <x:c r="Q1426" s="47" t="n">
        <x:v>1</x:v>
      </x:c>
      <x:c r="R1426" s="47" t="n">
        <x:v>1</x:v>
      </x:c>
      <x:c r="S1426" s="27" t="n">
        <x:v>1</x:v>
      </x:c>
    </x:row>
    <x:row r="1427" ht="21.600000381469727" hidden="0" customHeight="1">
      <x:c r="A1427" s="29" t="n">
        <x:v>475</x:v>
      </x:c>
      <x:c r="B1427" s="29" t="str">
        <x:v>A1</x:v>
      </x:c>
      <x:c r="C1427" s="48" t="n">
        <x:v>1.1187831392831586</x:v>
      </x:c>
      <x:c r="D1427" s="48" t="n">
        <x:v>0.7746233819161545</x:v>
      </x:c>
      <x:c r="E1427" s="48" t="n">
        <x:v>0.6378478167697659</x:v>
      </x:c>
      <x:c r="F1427" s="48" t="n">
        <x:v>-0.185362405807205</x:v>
      </x:c>
      <x:c r="G1427" s="48" t="n">
        <x:v>-0.18157454919771657</x:v>
      </x:c>
      <x:c r="H1427" s="48" t="n">
        <x:v>0.7616272552477219</x:v>
      </x:c>
      <x:c r="I1427" s="48" t="n">
        <x:v>1.004834387021215</x:v>
      </x:c>
      <x:c r="J1427" s="48" t="n">
        <x:v>0.7447493026524017</x:v>
      </x:c>
      <x:c r="K1427" s="48" t="n">
        <x:v>0.8822672686709471</x:v>
      </x:c>
      <x:c r="L1427" s="48" t="n">
        <x:v>0.940393457746257</x:v>
      </x:c>
      <x:c r="M1427" s="48" t="n">
        <x:v>0.0778308189002999</x:v>
      </x:c>
      <x:c r="N1427" s="48" t="n">
        <x:v>0.9661622782022155</x:v>
      </x:c>
      <x:c r="O1427" s="48" t="n">
        <x:v>0.8746701358469647</x:v>
      </x:c>
      <x:c r="P1427" s="48" t="n">
        <x:v>0.6298044680775332</x:v>
      </x:c>
      <x:c r="Q1427" s="48" t="n">
        <x:v>1</x:v>
      </x:c>
      <x:c r="R1427" s="48" t="n">
        <x:v>0.8452372891025847</x:v>
      </x:c>
      <x:c r="S1427" s="29" t="n">
        <x:v>0</x:v>
      </x:c>
    </x:row>
    <x:row r="1428" ht="21.600000381469727" hidden="0" customHeight="1">
      <x:c r="A1428" s="27" t="n">
        <x:v>475</x:v>
      </x:c>
      <x:c r="B1428" s="27" t="str">
        <x:v>A2</x:v>
      </x:c>
      <x:c r="C1428" s="47" t="n">
        <x:v>1.1187831392831586</x:v>
      </x:c>
      <x:c r="D1428" s="47" t="n">
        <x:v>0.7746233819161545</x:v>
      </x:c>
      <x:c r="E1428" s="47" t="n">
        <x:v>0.6378478167697659</x:v>
      </x:c>
      <x:c r="F1428" s="47" t="n">
        <x:v>-0.185362405807205</x:v>
      </x:c>
      <x:c r="G1428" s="47" t="n">
        <x:v>-0.18157454919771657</x:v>
      </x:c>
      <x:c r="H1428" s="47" t="n">
        <x:v>0.7616272552477219</x:v>
      </x:c>
      <x:c r="I1428" s="47" t="n">
        <x:v>1.004834387021215</x:v>
      </x:c>
      <x:c r="J1428" s="47" t="n">
        <x:v>0.7447493026524017</x:v>
      </x:c>
      <x:c r="K1428" s="47" t="n">
        <x:v>0.8822672686709471</x:v>
      </x:c>
      <x:c r="L1428" s="47" t="n">
        <x:v>0.940393457746257</x:v>
      </x:c>
      <x:c r="M1428" s="47" t="n">
        <x:v>0.0778308189002999</x:v>
      </x:c>
      <x:c r="N1428" s="47" t="n">
        <x:v>0.9661622782022155</x:v>
      </x:c>
      <x:c r="O1428" s="47" t="n">
        <x:v>0.953698632332022</x:v>
      </x:c>
      <x:c r="P1428" s="47" t="n">
        <x:v>0.6765572854201861</x:v>
      </x:c>
      <x:c r="Q1428" s="47" t="n">
        <x:v>0.9999999999999999</x:v>
      </x:c>
      <x:c r="R1428" s="47" t="n">
        <x:v>0.9428250782287256</x:v>
      </x:c>
      <x:c r="S1428" s="27" t="n">
        <x:v>0</x:v>
      </x:c>
    </x:row>
    <x:row r="1429" ht="21.600000381469727" hidden="0" customHeight="1">
      <x:c r="A1429" s="29" t="n">
        <x:v>475</x:v>
      </x:c>
      <x:c r="B1429" s="29" t="str">
        <x:v>A3</x:v>
      </x:c>
      <x:c r="C1429" s="48" t="n">
        <x:v>1.1187831392831586</x:v>
      </x:c>
      <x:c r="D1429" s="48" t="n">
        <x:v>0.7746233819161545</x:v>
      </x:c>
      <x:c r="E1429" s="48" t="n">
        <x:v>0.6378478167697659</x:v>
      </x:c>
      <x:c r="F1429" s="48" t="n">
        <x:v>-0.185362405807205</x:v>
      </x:c>
      <x:c r="G1429" s="48" t="n">
        <x:v>-0.18157454919771657</x:v>
      </x:c>
      <x:c r="H1429" s="48" t="n">
        <x:v>0.7616272552477219</x:v>
      </x:c>
      <x:c r="I1429" s="48" t="n">
        <x:v>1.004834387021215</x:v>
      </x:c>
      <x:c r="J1429" s="48" t="n">
        <x:v>0.7447493026524017</x:v>
      </x:c>
      <x:c r="K1429" s="48" t="n">
        <x:v>0.8822672686709471</x:v>
      </x:c>
      <x:c r="L1429" s="48" t="n">
        <x:v>0.940393457746257</x:v>
      </x:c>
      <x:c r="M1429" s="48" t="n">
        <x:v>0.0778308189002999</x:v>
      </x:c>
      <x:c r="N1429" s="48" t="n">
        <x:v>0.9661622782022155</x:v>
      </x:c>
      <x:c r="O1429" s="48" t="n">
        <x:v>1</x:v>
      </x:c>
      <x:c r="P1429" s="48" t="n">
        <x:v>1</x:v>
      </x:c>
      <x:c r="Q1429" s="48" t="n">
        <x:v>1</x:v>
      </x:c>
      <x:c r="R1429" s="48" t="n">
        <x:v>1</x:v>
      </x:c>
      <x:c r="S1429" s="29" t="n">
        <x:v>1</x:v>
      </x:c>
    </x:row>
    <x:row r="1430" ht="21.600000381469727" hidden="0" customHeight="1">
      <x:c r="A1430" s="27" t="n">
        <x:v>476</x:v>
      </x:c>
      <x:c r="B1430" s="27" t="str">
        <x:v>A1</x:v>
      </x:c>
      <x:c r="C1430" s="47" t="n">
        <x:v>1.0557541995117932</x:v>
      </x:c>
      <x:c r="D1430" s="47" t="n">
        <x:v>0.8265161183925674</x:v>
      </x:c>
      <x:c r="E1430" s="47" t="n">
        <x:v>0.7984592617394388</x:v>
      </x:c>
      <x:c r="F1430" s="47" t="n">
        <x:v>-0.05752194458347101</x:v>
      </x:c>
      <x:c r="G1430" s="47" t="n">
        <x:v>-0.18971064745722088</x:v>
      </x:c>
      <x:c r="H1430" s="47" t="n">
        <x:v>1.010230898896922</x:v>
      </x:c>
      <x:c r="I1430" s="47" t="n">
        <x:v>0.7347649787667054</x:v>
      </x:c>
      <x:c r="J1430" s="47" t="n">
        <x:v>0.4246540361572018</x:v>
      </x:c>
      <x:c r="K1430" s="47" t="n">
        <x:v>0.7937712968689615</x:v>
      </x:c>
      <x:c r="L1430" s="47" t="n">
        <x:v>0.8871469473529513</x:v>
      </x:c>
      <x:c r="M1430" s="47" t="n">
        <x:v>0.07400393382204534</x:v>
      </x:c>
      <x:c r="N1430" s="47" t="n">
        <x:v>0.7068191483702683</x:v>
      </x:c>
      <x:c r="O1430" s="47" t="n">
        <x:v>0.8560634067708732</x:v>
      </x:c>
      <x:c r="P1430" s="47" t="n">
        <x:v>0.6114474165765424</x:v>
      </x:c>
      <x:c r="Q1430" s="47" t="n">
        <x:v>1</x:v>
      </x:c>
      <x:c r="R1430" s="47" t="n">
        <x:v>0.8222608991399062</x:v>
      </x:c>
      <x:c r="S1430" s="27" t="n">
        <x:v>0</x:v>
      </x:c>
    </x:row>
    <x:row r="1431" ht="21.600000381469727" hidden="0" customHeight="1">
      <x:c r="A1431" s="29" t="n">
        <x:v>476</x:v>
      </x:c>
      <x:c r="B1431" s="29" t="str">
        <x:v>A2</x:v>
      </x:c>
      <x:c r="C1431" s="48" t="n">
        <x:v>1.0557541995117932</x:v>
      </x:c>
      <x:c r="D1431" s="48" t="n">
        <x:v>0.8265161183925674</x:v>
      </x:c>
      <x:c r="E1431" s="48" t="n">
        <x:v>0.7984592617394388</x:v>
      </x:c>
      <x:c r="F1431" s="48" t="n">
        <x:v>-0.05752194458347101</x:v>
      </x:c>
      <x:c r="G1431" s="48" t="n">
        <x:v>-0.18971064745722088</x:v>
      </x:c>
      <x:c r="H1431" s="48" t="n">
        <x:v>1.010230898896922</x:v>
      </x:c>
      <x:c r="I1431" s="48" t="n">
        <x:v>0.7347649787667054</x:v>
      </x:c>
      <x:c r="J1431" s="48" t="n">
        <x:v>0.4246540361572018</x:v>
      </x:c>
      <x:c r="K1431" s="48" t="n">
        <x:v>0.7937712968689615</x:v>
      </x:c>
      <x:c r="L1431" s="48" t="n">
        <x:v>0.8871469473529513</x:v>
      </x:c>
      <x:c r="M1431" s="48" t="n">
        <x:v>0.07400393382204534</x:v>
      </x:c>
      <x:c r="N1431" s="48" t="n">
        <x:v>0.7068191483702683</x:v>
      </x:c>
      <x:c r="O1431" s="48" t="n">
        <x:v>0.951626506640759</x:v>
      </x:c>
      <x:c r="P1431" s="48" t="n">
        <x:v>0.8152449528066082</x:v>
      </x:c>
      <x:c r="Q1431" s="48" t="n">
        <x:v>1</x:v>
      </x:c>
      <x:c r="R1431" s="48" t="n">
        <x:v>0.9402663282335255</x:v>
      </x:c>
      <x:c r="S1431" s="29" t="n">
        <x:v>0</x:v>
      </x:c>
    </x:row>
    <x:row r="1432" ht="21.600000381469727" hidden="0" customHeight="1">
      <x:c r="A1432" s="27" t="n">
        <x:v>476</x:v>
      </x:c>
      <x:c r="B1432" s="27" t="str">
        <x:v>A3</x:v>
      </x:c>
      <x:c r="C1432" s="47" t="n">
        <x:v>1.0557541995117932</x:v>
      </x:c>
      <x:c r="D1432" s="47" t="n">
        <x:v>0.8265161183925674</x:v>
      </x:c>
      <x:c r="E1432" s="47" t="n">
        <x:v>0.7984592617394388</x:v>
      </x:c>
      <x:c r="F1432" s="47" t="n">
        <x:v>-0.05752194458347101</x:v>
      </x:c>
      <x:c r="G1432" s="47" t="n">
        <x:v>-0.18971064745722088</x:v>
      </x:c>
      <x:c r="H1432" s="47" t="n">
        <x:v>1.010230898896922</x:v>
      </x:c>
      <x:c r="I1432" s="47" t="n">
        <x:v>0.7347649787667054</x:v>
      </x:c>
      <x:c r="J1432" s="47" t="n">
        <x:v>0.4246540361572018</x:v>
      </x:c>
      <x:c r="K1432" s="47" t="n">
        <x:v>0.7937712968689615</x:v>
      </x:c>
      <x:c r="L1432" s="47" t="n">
        <x:v>0.8871469473529513</x:v>
      </x:c>
      <x:c r="M1432" s="47" t="n">
        <x:v>0.07400393382204534</x:v>
      </x:c>
      <x:c r="N1432" s="47" t="n">
        <x:v>0.7068191483702683</x:v>
      </x:c>
      <x:c r="O1432" s="47" t="n">
        <x:v>1</x:v>
      </x:c>
      <x:c r="P1432" s="47" t="n">
        <x:v>1</x:v>
      </x:c>
      <x:c r="Q1432" s="47" t="n">
        <x:v>1</x:v>
      </x:c>
      <x:c r="R1432" s="47" t="n">
        <x:v>1</x:v>
      </x:c>
      <x:c r="S1432" s="27" t="n">
        <x:v>1</x:v>
      </x:c>
    </x:row>
    <x:row r="1433" ht="21.600000381469727" hidden="0" customHeight="1">
      <x:c r="A1433" s="29" t="n">
        <x:v>477</x:v>
      </x:c>
      <x:c r="B1433" s="29" t="str">
        <x:v>A1</x:v>
      </x:c>
      <x:c r="C1433" s="48" t="n">
        <x:v>1.1851036675754134</x:v>
      </x:c>
      <x:c r="D1433" s="48" t="n">
        <x:v>0.9168080593757437</x:v>
      </x:c>
      <x:c r="E1433" s="48" t="n">
        <x:v>0.581421760262545</x:v>
      </x:c>
      <x:c r="F1433" s="48" t="n">
        <x:v>0.037075867657372946</x:v>
      </x:c>
      <x:c r="G1433" s="48" t="n">
        <x:v>-0.004526499026902275</x:v>
      </x:c>
      <x:c r="H1433" s="48" t="n">
        <x:v>0.9921172641056526</x:v>
      </x:c>
      <x:c r="I1433" s="48" t="n">
        <x:v>0.7753445057245205</x:v>
      </x:c>
      <x:c r="J1433" s="48" t="n">
        <x:v>0.9761906817141702</x:v>
      </x:c>
      <x:c r="K1433" s="48" t="n">
        <x:v>0.8760373615237107</x:v>
      </x:c>
      <x:c r="L1433" s="48" t="n">
        <x:v>0.5223128263921653</x:v>
      </x:c>
      <x:c r="M1433" s="48" t="n">
        <x:v>0.16068358135886876</x:v>
      </x:c>
      <x:c r="N1433" s="48" t="n">
        <x:v>0.7697318298792943</x:v>
      </x:c>
      <x:c r="O1433" s="48" t="n">
        <x:v>0.8323853874741479</x:v>
      </x:c>
      <x:c r="P1433" s="48" t="n">
        <x:v>0.4773580841378251</x:v>
      </x:c>
      <x:c r="Q1433" s="48" t="n">
        <x:v>1</x:v>
      </x:c>
      <x:c r="R1433" s="48" t="n">
        <x:v>0.7930222617264963</x:v>
      </x:c>
      <x:c r="S1433" s="29" t="n">
        <x:v>0</x:v>
      </x:c>
    </x:row>
    <x:row r="1434" ht="21.600000381469727" hidden="0" customHeight="1">
      <x:c r="A1434" s="27" t="n">
        <x:v>477</x:v>
      </x:c>
      <x:c r="B1434" s="27" t="str">
        <x:v>A2</x:v>
      </x:c>
      <x:c r="C1434" s="47" t="n">
        <x:v>1.1851036675754134</x:v>
      </x:c>
      <x:c r="D1434" s="47" t="n">
        <x:v>0.9168080593757437</x:v>
      </x:c>
      <x:c r="E1434" s="47" t="n">
        <x:v>0.581421760262545</x:v>
      </x:c>
      <x:c r="F1434" s="47" t="n">
        <x:v>0.037075867657372946</x:v>
      </x:c>
      <x:c r="G1434" s="47" t="n">
        <x:v>-0.004526499026902275</x:v>
      </x:c>
      <x:c r="H1434" s="47" t="n">
        <x:v>0.9921172641056526</x:v>
      </x:c>
      <x:c r="I1434" s="47" t="n">
        <x:v>0.7753445057245205</x:v>
      </x:c>
      <x:c r="J1434" s="47" t="n">
        <x:v>0.9761906817141702</x:v>
      </x:c>
      <x:c r="K1434" s="47" t="n">
        <x:v>0.8760373615237107</x:v>
      </x:c>
      <x:c r="L1434" s="47" t="n">
        <x:v>0.5223128263921653</x:v>
      </x:c>
      <x:c r="M1434" s="47" t="n">
        <x:v>0.16068358135886876</x:v>
      </x:c>
      <x:c r="N1434" s="47" t="n">
        <x:v>0.7697318298792943</x:v>
      </x:c>
      <x:c r="O1434" s="47" t="n">
        <x:v>0.9125253090185927</x:v>
      </x:c>
      <x:c r="P1434" s="47" t="n">
        <x:v>0.5343139677908781</x:v>
      </x:c>
      <x:c r="Q1434" s="47" t="n">
        <x:v>0.9999999999999999</x:v>
      </x:c>
      <x:c r="R1434" s="47" t="n">
        <x:v>0.8919824863556401</x:v>
      </x:c>
      <x:c r="S1434" s="27" t="n">
        <x:v>0</x:v>
      </x:c>
    </x:row>
    <x:row r="1435" ht="21.600000381469727" hidden="0" customHeight="1">
      <x:c r="A1435" s="29" t="n">
        <x:v>477</x:v>
      </x:c>
      <x:c r="B1435" s="29" t="str">
        <x:v>A3</x:v>
      </x:c>
      <x:c r="C1435" s="48" t="n">
        <x:v>1.1851036675754134</x:v>
      </x:c>
      <x:c r="D1435" s="48" t="n">
        <x:v>0.9168080593757437</x:v>
      </x:c>
      <x:c r="E1435" s="48" t="n">
        <x:v>0.581421760262545</x:v>
      </x:c>
      <x:c r="F1435" s="48" t="n">
        <x:v>0.037075867657372946</x:v>
      </x:c>
      <x:c r="G1435" s="48" t="n">
        <x:v>-0.004526499026902275</x:v>
      </x:c>
      <x:c r="H1435" s="48" t="n">
        <x:v>0.9921172641056526</x:v>
      </x:c>
      <x:c r="I1435" s="48" t="n">
        <x:v>0.7753445057245205</x:v>
      </x:c>
      <x:c r="J1435" s="48" t="n">
        <x:v>0.9761906817141702</x:v>
      </x:c>
      <x:c r="K1435" s="48" t="n">
        <x:v>0.8760373615237107</x:v>
      </x:c>
      <x:c r="L1435" s="48" t="n">
        <x:v>0.5223128263921653</x:v>
      </x:c>
      <x:c r="M1435" s="48" t="n">
        <x:v>0.16068358135886876</x:v>
      </x:c>
      <x:c r="N1435" s="48" t="n">
        <x:v>0.7697318298792943</x:v>
      </x:c>
      <x:c r="O1435" s="48" t="n">
        <x:v>1</x:v>
      </x:c>
      <x:c r="P1435" s="48" t="n">
        <x:v>1</x:v>
      </x:c>
      <x:c r="Q1435" s="48" t="n">
        <x:v>1</x:v>
      </x:c>
      <x:c r="R1435" s="48" t="n">
        <x:v>1</x:v>
      </x:c>
      <x:c r="S1435" s="29" t="n">
        <x:v>1</x:v>
      </x:c>
    </x:row>
    <x:row r="1436" ht="21.600000381469727" hidden="0" customHeight="1">
      <x:c r="A1436" s="27" t="n">
        <x:v>478</x:v>
      </x:c>
      <x:c r="B1436" s="27" t="str">
        <x:v>A1</x:v>
      </x:c>
      <x:c r="C1436" s="47" t="n">
        <x:v>0.9499609808111454</x:v>
      </x:c>
      <x:c r="D1436" s="47" t="n">
        <x:v>0.7396169218406697</x:v>
      </x:c>
      <x:c r="E1436" s="47" t="n">
        <x:v>0.5192230341194893</x:v>
      </x:c>
      <x:c r="F1436" s="47" t="n">
        <x:v>0.008499097457087545</x:v>
      </x:c>
      <x:c r="G1436" s="47" t="n">
        <x:v>-0.11885150145807041</x:v>
      </x:c>
      <x:c r="H1436" s="47" t="n">
        <x:v>0.6460196914142879</x:v>
      </x:c>
      <x:c r="I1436" s="47" t="n">
        <x:v>0.9892611700008777</x:v>
      </x:c>
      <x:c r="J1436" s="47" t="n">
        <x:v>0.9375673512736166</x:v>
      </x:c>
      <x:c r="K1436" s="47" t="n">
        <x:v>0.7873305319241448</x:v>
      </x:c>
      <x:c r="L1436" s="47" t="n">
        <x:v>0.9507115881044372</x:v>
      </x:c>
      <x:c r="M1436" s="47" t="n">
        <x:v>0.11700926244450441</x:v>
      </x:c>
      <x:c r="N1436" s="47" t="n">
        <x:v>0.7585360449374656</x:v>
      </x:c>
      <x:c r="O1436" s="47" t="n">
        <x:v>0.9244585908161373</x:v>
      </x:c>
      <x:c r="P1436" s="47" t="n">
        <x:v>0.6001538371830634</x:v>
      </x:c>
      <x:c r="Q1436" s="47" t="n">
        <x:v>1</x:v>
      </x:c>
      <x:c r="R1436" s="47" t="n">
        <x:v>0.9067182163699623</x:v>
      </x:c>
      <x:c r="S1436" s="27" t="n">
        <x:v>0</x:v>
      </x:c>
    </x:row>
    <x:row r="1437" ht="21.600000381469727" hidden="0" customHeight="1">
      <x:c r="A1437" s="29" t="n">
        <x:v>478</x:v>
      </x:c>
      <x:c r="B1437" s="29" t="str">
        <x:v>A2</x:v>
      </x:c>
      <x:c r="C1437" s="48" t="n">
        <x:v>0.9499609808111454</x:v>
      </x:c>
      <x:c r="D1437" s="48" t="n">
        <x:v>0.7396169218406697</x:v>
      </x:c>
      <x:c r="E1437" s="48" t="n">
        <x:v>0.5192230341194893</x:v>
      </x:c>
      <x:c r="F1437" s="48" t="n">
        <x:v>0.008499097457087545</x:v>
      </x:c>
      <x:c r="G1437" s="48" t="n">
        <x:v>-0.11885150145807041</x:v>
      </x:c>
      <x:c r="H1437" s="48" t="n">
        <x:v>0.6460196914142879</x:v>
      </x:c>
      <x:c r="I1437" s="48" t="n">
        <x:v>0.9892611700008777</x:v>
      </x:c>
      <x:c r="J1437" s="48" t="n">
        <x:v>0.9375673512736166</x:v>
      </x:c>
      <x:c r="K1437" s="48" t="n">
        <x:v>0.7873305319241448</x:v>
      </x:c>
      <x:c r="L1437" s="48" t="n">
        <x:v>0.9507115881044372</x:v>
      </x:c>
      <x:c r="M1437" s="48" t="n">
        <x:v>0.11700926244450441</x:v>
      </x:c>
      <x:c r="N1437" s="48" t="n">
        <x:v>0.7585360449374656</x:v>
      </x:c>
      <x:c r="O1437" s="48" t="n">
        <x:v>0.9610112697899926</x:v>
      </x:c>
      <x:c r="P1437" s="48" t="n">
        <x:v>0.6433034019262335</x:v>
      </x:c>
      <x:c r="Q1437" s="48" t="n">
        <x:v>1</x:v>
      </x:c>
      <x:c r="R1437" s="48" t="n">
        <x:v>0.951855037723644</x:v>
      </x:c>
      <x:c r="S1437" s="29" t="n">
        <x:v>0</x:v>
      </x:c>
    </x:row>
    <x:row r="1438" ht="21.600000381469727" hidden="0" customHeight="1">
      <x:c r="A1438" s="27" t="n">
        <x:v>478</x:v>
      </x:c>
      <x:c r="B1438" s="27" t="str">
        <x:v>A3</x:v>
      </x:c>
      <x:c r="C1438" s="47" t="n">
        <x:v>0.9499609808111454</x:v>
      </x:c>
      <x:c r="D1438" s="47" t="n">
        <x:v>0.7396169218406697</x:v>
      </x:c>
      <x:c r="E1438" s="47" t="n">
        <x:v>0.5192230341194893</x:v>
      </x:c>
      <x:c r="F1438" s="47" t="n">
        <x:v>0.008499097457087545</x:v>
      </x:c>
      <x:c r="G1438" s="47" t="n">
        <x:v>-0.11885150145807041</x:v>
      </x:c>
      <x:c r="H1438" s="47" t="n">
        <x:v>0.6460196914142879</x:v>
      </x:c>
      <x:c r="I1438" s="47" t="n">
        <x:v>0.9892611700008777</x:v>
      </x:c>
      <x:c r="J1438" s="47" t="n">
        <x:v>0.9375673512736166</x:v>
      </x:c>
      <x:c r="K1438" s="47" t="n">
        <x:v>0.7873305319241448</x:v>
      </x:c>
      <x:c r="L1438" s="47" t="n">
        <x:v>0.9507115881044372</x:v>
      </x:c>
      <x:c r="M1438" s="47" t="n">
        <x:v>0.11700926244450441</x:v>
      </x:c>
      <x:c r="N1438" s="47" t="n">
        <x:v>0.7585360449374656</x:v>
      </x:c>
      <x:c r="O1438" s="47" t="n">
        <x:v>1</x:v>
      </x:c>
      <x:c r="P1438" s="47" t="n">
        <x:v>1</x:v>
      </x:c>
      <x:c r="Q1438" s="47" t="n">
        <x:v>1</x:v>
      </x:c>
      <x:c r="R1438" s="47" t="n">
        <x:v>1</x:v>
      </x:c>
      <x:c r="S1438" s="27" t="n">
        <x:v>1</x:v>
      </x:c>
    </x:row>
    <x:row r="1439" ht="21.600000381469727" hidden="0" customHeight="1">
      <x:c r="A1439" s="29" t="n">
        <x:v>479</x:v>
      </x:c>
      <x:c r="B1439" s="29" t="str">
        <x:v>A1</x:v>
      </x:c>
      <x:c r="C1439" s="48" t="n">
        <x:v>1.062638848741526</x:v>
      </x:c>
      <x:c r="D1439" s="48" t="n">
        <x:v>0.9572803369271229</x:v>
      </x:c>
      <x:c r="E1439" s="48" t="n">
        <x:v>0.7026164043885771</x:v>
      </x:c>
      <x:c r="F1439" s="48" t="n">
        <x:v>-0.07309883792782779</x:v>
      </x:c>
      <x:c r="G1439" s="48" t="n">
        <x:v>0.022500460177924925</x:v>
      </x:c>
      <x:c r="H1439" s="48" t="n">
        <x:v>0.7752945896675896</x:v>
      </x:c>
      <x:c r="I1439" s="48" t="n">
        <x:v>0.8951717071945511</x:v>
      </x:c>
      <x:c r="J1439" s="48" t="n">
        <x:v>0.6708615887987726</x:v>
      </x:c>
      <x:c r="K1439" s="48" t="n">
        <x:v>0.6965427547340983</x:v>
      </x:c>
      <x:c r="L1439" s="48" t="n">
        <x:v>0.7246827369458586</x:v>
      </x:c>
      <x:c r="M1439" s="48" t="n">
        <x:v>0.04864247121810703</x:v>
      </x:c>
      <x:c r="N1439" s="48" t="n">
        <x:v>0.6811675323690616</x:v>
      </x:c>
      <x:c r="O1439" s="48" t="n">
        <x:v>0.9127013569199115</x:v>
      </x:c>
      <x:c r="P1439" s="48" t="n">
        <x:v>0.7066653655847934</x:v>
      </x:c>
      <x:c r="Q1439" s="48" t="n">
        <x:v>1</x:v>
      </x:c>
      <x:c r="R1439" s="48" t="n">
        <x:v>0.8921998778819136</x:v>
      </x:c>
      <x:c r="S1439" s="29" t="n">
        <x:v>0</x:v>
      </x:c>
    </x:row>
    <x:row r="1440" ht="21.600000381469727" hidden="0" customHeight="1">
      <x:c r="A1440" s="27" t="n">
        <x:v>479</x:v>
      </x:c>
      <x:c r="B1440" s="27" t="str">
        <x:v>A2</x:v>
      </x:c>
      <x:c r="C1440" s="47" t="n">
        <x:v>1.062638848741526</x:v>
      </x:c>
      <x:c r="D1440" s="47" t="n">
        <x:v>0.9572803369271229</x:v>
      </x:c>
      <x:c r="E1440" s="47" t="n">
        <x:v>0.7026164043885771</x:v>
      </x:c>
      <x:c r="F1440" s="47" t="n">
        <x:v>-0.07309883792782779</x:v>
      </x:c>
      <x:c r="G1440" s="47" t="n">
        <x:v>0.022500460177924925</x:v>
      </x:c>
      <x:c r="H1440" s="47" t="n">
        <x:v>0.7752945896675896</x:v>
      </x:c>
      <x:c r="I1440" s="47" t="n">
        <x:v>0.8951717071945511</x:v>
      </x:c>
      <x:c r="J1440" s="47" t="n">
        <x:v>0.6708615887987726</x:v>
      </x:c>
      <x:c r="K1440" s="47" t="n">
        <x:v>0.6965427547340983</x:v>
      </x:c>
      <x:c r="L1440" s="47" t="n">
        <x:v>0.7246827369458586</x:v>
      </x:c>
      <x:c r="M1440" s="47" t="n">
        <x:v>0.04864247121810703</x:v>
      </x:c>
      <x:c r="N1440" s="47" t="n">
        <x:v>0.6811675323690616</x:v>
      </x:c>
      <x:c r="O1440" s="47" t="n">
        <x:v>0.9807218215269712</x:v>
      </x:c>
      <x:c r="P1440" s="47" t="n">
        <x:v>0.8072182152697119</x:v>
      </x:c>
      <x:c r="Q1440" s="47" t="n">
        <x:v>1</x:v>
      </x:c>
      <x:c r="R1440" s="47" t="n">
        <x:v>0.976194475420423</x:v>
      </x:c>
      <x:c r="S1440" s="27" t="n">
        <x:v>0</x:v>
      </x:c>
    </x:row>
    <x:row r="1441" ht="21.600000381469727" hidden="0" customHeight="1">
      <x:c r="A1441" s="29" t="n">
        <x:v>479</x:v>
      </x:c>
      <x:c r="B1441" s="29" t="str">
        <x:v>A3</x:v>
      </x:c>
      <x:c r="C1441" s="48" t="n">
        <x:v>1.062638848741526</x:v>
      </x:c>
      <x:c r="D1441" s="48" t="n">
        <x:v>0.9572803369271229</x:v>
      </x:c>
      <x:c r="E1441" s="48" t="n">
        <x:v>0.7026164043885771</x:v>
      </x:c>
      <x:c r="F1441" s="48" t="n">
        <x:v>-0.07309883792782779</x:v>
      </x:c>
      <x:c r="G1441" s="48" t="n">
        <x:v>0.022500460177924925</x:v>
      </x:c>
      <x:c r="H1441" s="48" t="n">
        <x:v>0.7752945896675896</x:v>
      </x:c>
      <x:c r="I1441" s="48" t="n">
        <x:v>0.8951717071945511</x:v>
      </x:c>
      <x:c r="J1441" s="48" t="n">
        <x:v>0.6708615887987726</x:v>
      </x:c>
      <x:c r="K1441" s="48" t="n">
        <x:v>0.6965427547340983</x:v>
      </x:c>
      <x:c r="L1441" s="48" t="n">
        <x:v>0.7246827369458586</x:v>
      </x:c>
      <x:c r="M1441" s="48" t="n">
        <x:v>0.04864247121810703</x:v>
      </x:c>
      <x:c r="N1441" s="48" t="n">
        <x:v>0.6811675323690616</x:v>
      </x:c>
      <x:c r="O1441" s="48" t="n">
        <x:v>1</x:v>
      </x:c>
      <x:c r="P1441" s="48" t="n">
        <x:v>1</x:v>
      </x:c>
      <x:c r="Q1441" s="48" t="n">
        <x:v>1</x:v>
      </x:c>
      <x:c r="R1441" s="48" t="n">
        <x:v>1</x:v>
      </x:c>
      <x:c r="S1441" s="29" t="n">
        <x:v>1</x:v>
      </x:c>
    </x:row>
    <x:row r="1442" ht="15" hidden="0" customHeight="1">
      <x:c r="A1442" s="27" t="n">
        <x:v>480</x:v>
      </x:c>
      <x:c r="B1442" s="27" t="str">
        <x:v>A1</x:v>
      </x:c>
      <x:c r="C1442" s="47" t="n">
        <x:v>1.2043926443649968</x:v>
      </x:c>
      <x:c r="D1442" s="47" t="n">
        <x:v>0.8243465858564129</x:v>
      </x:c>
      <x:c r="E1442" s="47" t="n">
        <x:v>0.6634071500444468</x:v>
      </x:c>
      <x:c r="F1442" s="47" t="n">
        <x:v>0.03019571639641075</x:v>
      </x:c>
      <x:c r="G1442" s="47" t="n">
        <x:v>-0.0895140097515247</x:v>
      </x:c>
      <x:c r="H1442" s="47" t="n">
        <x:v>0.9730305066013696</x:v>
      </x:c>
      <x:c r="I1442" s="47" t="n">
        <x:v>0.7243642621774653</x:v>
      </x:c>
      <x:c r="J1442" s="47" t="n">
        <x:v>0.7834832852402644</x:v>
      </x:c>
      <x:c r="K1442" s="47" t="n">
        <x:v>0.8261799941157719</x:v>
      </x:c>
      <x:c r="L1442" s="47" t="n">
        <x:v>0.9629386388353005</x:v>
      </x:c>
      <x:c r="M1442" s="47" t="n">
        <x:v>0.007823092827855238</x:v>
      </x:c>
      <x:c r="N1442" s="47" t="n">
        <x:v>0.6506207862200089</x:v>
      </x:c>
      <x:c r="O1442" s="47" t="n">
        <x:v>0.8534071673430357</x:v>
      </x:c>
      <x:c r="P1442" s="47" t="n">
        <x:v>0.5400803525273449</x:v>
      </x:c>
      <x:c r="Q1442" s="47" t="n">
        <x:v>1</x:v>
      </x:c>
      <x:c r="R1442" s="47" t="n">
        <x:v>0.8189808603604595</x:v>
      </x:c>
      <x:c r="S1442" s="27" t="n">
        <x:v>0</x:v>
      </x:c>
    </x:row>
    <x:row r="1443" ht="15" hidden="0" customHeight="1">
      <x:c r="A1443" s="29" t="n">
        <x:v>480</x:v>
      </x:c>
      <x:c r="B1443" s="29" t="str">
        <x:v>A2</x:v>
      </x:c>
      <x:c r="C1443" s="48" t="n">
        <x:v>1.2043926443649968</x:v>
      </x:c>
      <x:c r="D1443" s="48" t="n">
        <x:v>0.8243465858564129</x:v>
      </x:c>
      <x:c r="E1443" s="48" t="n">
        <x:v>0.6634071500444468</x:v>
      </x:c>
      <x:c r="F1443" s="48" t="n">
        <x:v>0.03019571639641075</x:v>
      </x:c>
      <x:c r="G1443" s="48" t="n">
        <x:v>-0.0895140097515247</x:v>
      </x:c>
      <x:c r="H1443" s="48" t="n">
        <x:v>0.9730305066013696</x:v>
      </x:c>
      <x:c r="I1443" s="48" t="n">
        <x:v>0.7243642621774653</x:v>
      </x:c>
      <x:c r="J1443" s="48" t="n">
        <x:v>0.7834832852402644</x:v>
      </x:c>
      <x:c r="K1443" s="48" t="n">
        <x:v>0.8261799941157719</x:v>
      </x:c>
      <x:c r="L1443" s="48" t="n">
        <x:v>0.9629386388353005</x:v>
      </x:c>
      <x:c r="M1443" s="48" t="n">
        <x:v>0.007823092827855238</x:v>
      </x:c>
      <x:c r="N1443" s="48" t="n">
        <x:v>0.6506207862200089</x:v>
      </x:c>
      <x:c r="O1443" s="48" t="n">
        <x:v>0.9189118014656722</x:v>
      </x:c>
      <x:c r="P1443" s="48" t="n">
        <x:v>0.4868473235383727</x:v>
      </x:c>
      <x:c r="Q1443" s="48" t="n">
        <x:v>1</x:v>
      </x:c>
      <x:c r="R1443" s="48" t="n">
        <x:v>0.8998688021265484</x:v>
      </x:c>
      <x:c r="S1443" s="29" t="n">
        <x:v>0</x:v>
      </x:c>
    </x:row>
    <x:row r="1444" ht="15" hidden="0" customHeight="1">
      <x:c r="A1444" s="27" t="n">
        <x:v>480</x:v>
      </x:c>
      <x:c r="B1444" s="27" t="str">
        <x:v>A3</x:v>
      </x:c>
      <x:c r="C1444" s="47" t="n">
        <x:v>1.2043926443649968</x:v>
      </x:c>
      <x:c r="D1444" s="47" t="n">
        <x:v>0.8243465858564129</x:v>
      </x:c>
      <x:c r="E1444" s="47" t="n">
        <x:v>0.6634071500444468</x:v>
      </x:c>
      <x:c r="F1444" s="47" t="n">
        <x:v>0.03019571639641075</x:v>
      </x:c>
      <x:c r="G1444" s="47" t="n">
        <x:v>-0.0895140097515247</x:v>
      </x:c>
      <x:c r="H1444" s="47" t="n">
        <x:v>0.9730305066013696</x:v>
      </x:c>
      <x:c r="I1444" s="47" t="n">
        <x:v>0.7243642621774653</x:v>
      </x:c>
      <x:c r="J1444" s="47" t="n">
        <x:v>0.7834832852402644</x:v>
      </x:c>
      <x:c r="K1444" s="47" t="n">
        <x:v>0.8261799941157719</x:v>
      </x:c>
      <x:c r="L1444" s="47" t="n">
        <x:v>0.9629386388353005</x:v>
      </x:c>
      <x:c r="M1444" s="47" t="n">
        <x:v>0.007823092827855238</x:v>
      </x:c>
      <x:c r="N1444" s="47" t="n">
        <x:v>0.6506207862200089</x:v>
      </x:c>
      <x:c r="O1444" s="47" t="n">
        <x:v>1</x:v>
      </x:c>
      <x:c r="P1444" s="47" t="n">
        <x:v>1</x:v>
      </x:c>
      <x:c r="Q1444" s="47" t="n">
        <x:v>1</x:v>
      </x:c>
      <x:c r="R1444" s="47" t="n">
        <x:v>1</x:v>
      </x:c>
      <x:c r="S1444" s="27" t="n">
        <x:v>1</x:v>
      </x:c>
    </x:row>
    <x:row r="1445" ht="21.600000381469727" hidden="0" customHeight="1">
      <x:c r="A1445" s="29" t="n">
        <x:v>481</x:v>
      </x:c>
      <x:c r="B1445" s="29" t="str">
        <x:v>A1</x:v>
      </x:c>
      <x:c r="C1445" s="48" t="n">
        <x:v>0.9278629412542417</x:v>
      </x:c>
      <x:c r="D1445" s="48" t="n">
        <x:v>0.8108687075954726</x:v>
      </x:c>
      <x:c r="E1445" s="48" t="n">
        <x:v>0.963273111920929</x:v>
      </x:c>
      <x:c r="F1445" s="48" t="n">
        <x:v>-0.0029668690227341032</x:v>
      </x:c>
      <x:c r="G1445" s="48" t="n">
        <x:v>-0.1501197596097602</x:v>
      </x:c>
      <x:c r="H1445" s="48" t="n">
        <x:v>0.39998005285714916</x:v>
      </x:c>
      <x:c r="I1445" s="48" t="n">
        <x:v>0.8043503784154586</x:v>
      </x:c>
      <x:c r="J1445" s="48" t="n">
        <x:v>0.9380920149142804</x:v>
      </x:c>
      <x:c r="K1445" s="48" t="n">
        <x:v>0.5675145544140806</x:v>
      </x:c>
      <x:c r="L1445" s="48" t="n">
        <x:v>0.6627800789528824</x:v>
      </x:c>
      <x:c r="M1445" s="48" t="n">
        <x:v>0.10375116941018424</x:v>
      </x:c>
      <x:c r="N1445" s="48" t="n">
        <x:v>0.681638413991028</x:v>
      </x:c>
      <x:c r="O1445" s="48" t="n">
        <x:v>0.9164854934666764</x:v>
      </x:c>
      <x:c r="P1445" s="48" t="n">
        <x:v>0.6608006292030496</x:v>
      </x:c>
      <x:c r="Q1445" s="48" t="n">
        <x:v>1</x:v>
      </x:c>
      <x:c r="R1445" s="48" t="n">
        <x:v>0.8968726925724988</x:v>
      </x:c>
      <x:c r="S1445" s="29" t="n">
        <x:v>0</x:v>
      </x:c>
    </x:row>
    <x:row r="1446" ht="21.600000381469727" hidden="0" customHeight="1">
      <x:c r="A1446" s="27" t="n">
        <x:v>481</x:v>
      </x:c>
      <x:c r="B1446" s="27" t="str">
        <x:v>A2</x:v>
      </x:c>
      <x:c r="C1446" s="47" t="n">
        <x:v>0.9278629412542417</x:v>
      </x:c>
      <x:c r="D1446" s="47" t="n">
        <x:v>0.8108687075954726</x:v>
      </x:c>
      <x:c r="E1446" s="47" t="n">
        <x:v>0.963273111920929</x:v>
      </x:c>
      <x:c r="F1446" s="47" t="n">
        <x:v>-0.0029668690227341032</x:v>
      </x:c>
      <x:c r="G1446" s="47" t="n">
        <x:v>-0.1501197596097602</x:v>
      </x:c>
      <x:c r="H1446" s="47" t="n">
        <x:v>0.39998005285714916</x:v>
      </x:c>
      <x:c r="I1446" s="47" t="n">
        <x:v>0.8043503784154586</x:v>
      </x:c>
      <x:c r="J1446" s="47" t="n">
        <x:v>0.9380920149142804</x:v>
      </x:c>
      <x:c r="K1446" s="47" t="n">
        <x:v>0.5675145544140806</x:v>
      </x:c>
      <x:c r="L1446" s="47" t="n">
        <x:v>0.6627800789528824</x:v>
      </x:c>
      <x:c r="M1446" s="47" t="n">
        <x:v>0.10375116941018424</x:v>
      </x:c>
      <x:c r="N1446" s="47" t="n">
        <x:v>0.681638413991028</x:v>
      </x:c>
      <x:c r="O1446" s="47" t="n">
        <x:v>0.9825909871653715</x:v>
      </x:c>
      <x:c r="P1446" s="47" t="n">
        <x:v>0.8259098716537164</x:v>
      </x:c>
      <x:c r="Q1446" s="47" t="n">
        <x:v>1</x:v>
      </x:c>
      <x:c r="R1446" s="47" t="n">
        <x:v>0.9785026016062293</x:v>
      </x:c>
      <x:c r="S1446" s="27" t="n">
        <x:v>0</x:v>
      </x:c>
    </x:row>
    <x:row r="1447" ht="21.600000381469727" hidden="0" customHeight="1">
      <x:c r="A1447" s="29" t="n">
        <x:v>481</x:v>
      </x:c>
      <x:c r="B1447" s="29" t="str">
        <x:v>A3</x:v>
      </x:c>
      <x:c r="C1447" s="48" t="n">
        <x:v>0.9278629412542417</x:v>
      </x:c>
      <x:c r="D1447" s="48" t="n">
        <x:v>0.8108687075954726</x:v>
      </x:c>
      <x:c r="E1447" s="48" t="n">
        <x:v>0.963273111920929</x:v>
      </x:c>
      <x:c r="F1447" s="48" t="n">
        <x:v>-0.0029668690227341032</x:v>
      </x:c>
      <x:c r="G1447" s="48" t="n">
        <x:v>-0.1501197596097602</x:v>
      </x:c>
      <x:c r="H1447" s="48" t="n">
        <x:v>0.39998005285714916</x:v>
      </x:c>
      <x:c r="I1447" s="48" t="n">
        <x:v>0.8043503784154586</x:v>
      </x:c>
      <x:c r="J1447" s="48" t="n">
        <x:v>0.9380920149142804</x:v>
      </x:c>
      <x:c r="K1447" s="48" t="n">
        <x:v>0.5675145544140806</x:v>
      </x:c>
      <x:c r="L1447" s="48" t="n">
        <x:v>0.6627800789528824</x:v>
      </x:c>
      <x:c r="M1447" s="48" t="n">
        <x:v>0.10375116941018424</x:v>
      </x:c>
      <x:c r="N1447" s="48" t="n">
        <x:v>0.681638413991028</x:v>
      </x:c>
      <x:c r="O1447" s="48" t="n">
        <x:v>1</x:v>
      </x:c>
      <x:c r="P1447" s="48" t="n">
        <x:v>1</x:v>
      </x:c>
      <x:c r="Q1447" s="48" t="n">
        <x:v>1</x:v>
      </x:c>
      <x:c r="R1447" s="48" t="n">
        <x:v>1</x:v>
      </x:c>
      <x:c r="S1447" s="29" t="n">
        <x:v>1</x:v>
      </x:c>
    </x:row>
    <x:row r="1448" ht="21.600000381469727" hidden="0" customHeight="1">
      <x:c r="A1448" s="27" t="n">
        <x:v>482</x:v>
      </x:c>
      <x:c r="B1448" s="27" t="str">
        <x:v>A1</x:v>
      </x:c>
      <x:c r="C1448" s="47" t="n">
        <x:v>0.9693807045834437</x:v>
      </x:c>
      <x:c r="D1448" s="47" t="n">
        <x:v>0.8089501393095022</x:v>
      </x:c>
      <x:c r="E1448" s="47" t="n">
        <x:v>0.9763262350569155</x:v>
      </x:c>
      <x:c r="F1448" s="47" t="n">
        <x:v>-0.11790060728441913</x:v>
      </x:c>
      <x:c r="G1448" s="47" t="n">
        <x:v>-0.07410333483300308</x:v>
      </x:c>
      <x:c r="H1448" s="47" t="n">
        <x:v>0.32432008940036694</x:v>
      </x:c>
      <x:c r="I1448" s="47" t="n">
        <x:v>0.6021250239931977</x:v>
      </x:c>
      <x:c r="J1448" s="47" t="n">
        <x:v>0.4592785917823571</x:v>
      </x:c>
      <x:c r="K1448" s="47" t="n">
        <x:v>0.9840985565779903</x:v>
      </x:c>
      <x:c r="L1448" s="47" t="n">
        <x:v>0.5368836806448976</x:v>
      </x:c>
      <x:c r="M1448" s="47" t="n">
        <x:v>0.15579279644235608</x:v>
      </x:c>
      <x:c r="N1448" s="47" t="n">
        <x:v>0.9813149599878188</x:v>
      </x:c>
      <x:c r="O1448" s="47" t="n">
        <x:v>0.8631085716396724</x:v>
      </x:c>
      <x:c r="P1448" s="47" t="n">
        <x:v>0.6107102210889593</x:v>
      </x:c>
      <x:c r="Q1448" s="47" t="n">
        <x:v>1</x:v>
      </x:c>
      <x:c r="R1448" s="47" t="n">
        <x:v>0.8309605719687481</x:v>
      </x:c>
      <x:c r="S1448" s="27" t="n">
        <x:v>0</x:v>
      </x:c>
    </x:row>
    <x:row r="1449" ht="21.600000381469727" hidden="0" customHeight="1">
      <x:c r="A1449" s="29" t="n">
        <x:v>482</x:v>
      </x:c>
      <x:c r="B1449" s="29" t="str">
        <x:v>A2</x:v>
      </x:c>
      <x:c r="C1449" s="48" t="n">
        <x:v>0.9693807045834437</x:v>
      </x:c>
      <x:c r="D1449" s="48" t="n">
        <x:v>0.8089501393095022</x:v>
      </x:c>
      <x:c r="E1449" s="48" t="n">
        <x:v>0.9763262350569155</x:v>
      </x:c>
      <x:c r="F1449" s="48" t="n">
        <x:v>-0.11790060728441913</x:v>
      </x:c>
      <x:c r="G1449" s="48" t="n">
        <x:v>-0.07410333483300308</x:v>
      </x:c>
      <x:c r="H1449" s="48" t="n">
        <x:v>0.32432008940036694</x:v>
      </x:c>
      <x:c r="I1449" s="48" t="n">
        <x:v>0.6021250239931977</x:v>
      </x:c>
      <x:c r="J1449" s="48" t="n">
        <x:v>0.4592785917823571</x:v>
      </x:c>
      <x:c r="K1449" s="48" t="n">
        <x:v>0.9840985565779903</x:v>
      </x:c>
      <x:c r="L1449" s="48" t="n">
        <x:v>0.5368836806448976</x:v>
      </x:c>
      <x:c r="M1449" s="48" t="n">
        <x:v>0.15579279644235608</x:v>
      </x:c>
      <x:c r="N1449" s="48" t="n">
        <x:v>0.9813149599878188</x:v>
      </x:c>
      <x:c r="O1449" s="48" t="n">
        <x:v>0.9510307833672942</x:v>
      </x:c>
      <x:c r="P1449" s="48" t="n">
        <x:v>0.7013161300708108</x:v>
      </x:c>
      <x:c r="Q1449" s="48" t="n">
        <x:v>1</x:v>
      </x:c>
      <x:c r="R1449" s="48" t="n">
        <x:v>0.9395307034934115</x:v>
      </x:c>
      <x:c r="S1449" s="29" t="n">
        <x:v>0</x:v>
      </x:c>
    </x:row>
    <x:row r="1450" ht="21.600000381469727" hidden="0" customHeight="1">
      <x:c r="A1450" s="27" t="n">
        <x:v>482</x:v>
      </x:c>
      <x:c r="B1450" s="27" t="str">
        <x:v>A3</x:v>
      </x:c>
      <x:c r="C1450" s="47" t="n">
        <x:v>0.9693807045834437</x:v>
      </x:c>
      <x:c r="D1450" s="47" t="n">
        <x:v>0.8089501393095022</x:v>
      </x:c>
      <x:c r="E1450" s="47" t="n">
        <x:v>0.9763262350569155</x:v>
      </x:c>
      <x:c r="F1450" s="47" t="n">
        <x:v>-0.11790060728441913</x:v>
      </x:c>
      <x:c r="G1450" s="47" t="n">
        <x:v>-0.07410333483300308</x:v>
      </x:c>
      <x:c r="H1450" s="47" t="n">
        <x:v>0.32432008940036694</x:v>
      </x:c>
      <x:c r="I1450" s="47" t="n">
        <x:v>0.6021250239931977</x:v>
      </x:c>
      <x:c r="J1450" s="47" t="n">
        <x:v>0.4592785917823571</x:v>
      </x:c>
      <x:c r="K1450" s="47" t="n">
        <x:v>0.9840985565779903</x:v>
      </x:c>
      <x:c r="L1450" s="47" t="n">
        <x:v>0.5368836806448976</x:v>
      </x:c>
      <x:c r="M1450" s="47" t="n">
        <x:v>0.15579279644235608</x:v>
      </x:c>
      <x:c r="N1450" s="47" t="n">
        <x:v>0.9813149599878188</x:v>
      </x:c>
      <x:c r="O1450" s="47" t="n">
        <x:v>1</x:v>
      </x:c>
      <x:c r="P1450" s="47" t="n">
        <x:v>1</x:v>
      </x:c>
      <x:c r="Q1450" s="47" t="n">
        <x:v>1</x:v>
      </x:c>
      <x:c r="R1450" s="47" t="n">
        <x:v>1</x:v>
      </x:c>
      <x:c r="S1450" s="27" t="n">
        <x:v>1</x:v>
      </x:c>
    </x:row>
    <x:row r="1451" ht="21.600000381469727" hidden="0" customHeight="1">
      <x:c r="A1451" s="29" t="n">
        <x:v>483</x:v>
      </x:c>
      <x:c r="B1451" s="29" t="str">
        <x:v>A1</x:v>
      </x:c>
      <x:c r="C1451" s="48" t="n">
        <x:v>1.1128112272386006</x:v>
      </x:c>
      <x:c r="D1451" s="48" t="n">
        <x:v>0.8607689628183061</x:v>
      </x:c>
      <x:c r="E1451" s="48" t="n">
        <x:v>0.7437571783267374</x:v>
      </x:c>
      <x:c r="F1451" s="48" t="n">
        <x:v>-0.19449798357087816</x:v>
      </x:c>
      <x:c r="G1451" s="48" t="n">
        <x:v>-0.09436876779663425</x:v>
      </x:c>
      <x:c r="H1451" s="48" t="n">
        <x:v>0.760323102896115</x:v>
      </x:c>
      <x:c r="I1451" s="48" t="n">
        <x:v>0.9033608083472389</x:v>
      </x:c>
      <x:c r="J1451" s="48" t="n">
        <x:v>0.8028871435503782</x:v>
      </x:c>
      <x:c r="K1451" s="48" t="n">
        <x:v>0.6554103239378307</x:v>
      </x:c>
      <x:c r="L1451" s="48" t="n">
        <x:v>0.7379448754879572</x:v>
      </x:c>
      <x:c r="M1451" s="48" t="n">
        <x:v>0.17297106334882498</x:v>
      </x:c>
      <x:c r="N1451" s="48" t="n">
        <x:v>0.6788012668394161</x:v>
      </x:c>
      <x:c r="O1451" s="48" t="n">
        <x:v>0.8591644327983546</x:v>
      </x:c>
      <x:c r="P1451" s="48" t="n">
        <x:v>0.49111112905241383</x:v>
      </x:c>
      <x:c r="Q1451" s="48" t="n">
        <x:v>1</x:v>
      </x:c>
      <x:c r="R1451" s="48" t="n">
        <x:v>0.8260901795577837</x:v>
      </x:c>
      <x:c r="S1451" s="29" t="n">
        <x:v>0</x:v>
      </x:c>
    </x:row>
    <x:row r="1452" ht="21.600000381469727" hidden="0" customHeight="1">
      <x:c r="A1452" s="27" t="n">
        <x:v>483</x:v>
      </x:c>
      <x:c r="B1452" s="27" t="str">
        <x:v>A2</x:v>
      </x:c>
      <x:c r="C1452" s="47" t="n">
        <x:v>1.1128112272386006</x:v>
      </x:c>
      <x:c r="D1452" s="47" t="n">
        <x:v>0.8607689628183061</x:v>
      </x:c>
      <x:c r="E1452" s="47" t="n">
        <x:v>0.7437571783267374</x:v>
      </x:c>
      <x:c r="F1452" s="47" t="n">
        <x:v>-0.19449798357087816</x:v>
      </x:c>
      <x:c r="G1452" s="47" t="n">
        <x:v>-0.09436876779663425</x:v>
      </x:c>
      <x:c r="H1452" s="47" t="n">
        <x:v>0.760323102896115</x:v>
      </x:c>
      <x:c r="I1452" s="47" t="n">
        <x:v>0.9033608083472389</x:v>
      </x:c>
      <x:c r="J1452" s="47" t="n">
        <x:v>0.8028871435503782</x:v>
      </x:c>
      <x:c r="K1452" s="47" t="n">
        <x:v>0.6554103239378307</x:v>
      </x:c>
      <x:c r="L1452" s="47" t="n">
        <x:v>0.7379448754879572</x:v>
      </x:c>
      <x:c r="M1452" s="47" t="n">
        <x:v>0.17297106334882498</x:v>
      </x:c>
      <x:c r="N1452" s="47" t="n">
        <x:v>0.6788012668394161</x:v>
      </x:c>
      <x:c r="O1452" s="47" t="n">
        <x:v>0.9037743066576296</x:v>
      </x:c>
      <x:c r="P1452" s="47" t="n">
        <x:v>0.542191374449252</x:v>
      </x:c>
      <x:c r="Q1452" s="47" t="n">
        <x:v>1</x:v>
      </x:c>
      <x:c r="R1452" s="47" t="n">
        <x:v>0.8811763719661868</x:v>
      </x:c>
      <x:c r="S1452" s="27" t="n">
        <x:v>0</x:v>
      </x:c>
    </x:row>
    <x:row r="1453" ht="21.600000381469727" hidden="0" customHeight="1">
      <x:c r="A1453" s="29" t="n">
        <x:v>483</x:v>
      </x:c>
      <x:c r="B1453" s="29" t="str">
        <x:v>A3</x:v>
      </x:c>
      <x:c r="C1453" s="48" t="n">
        <x:v>1.1128112272386006</x:v>
      </x:c>
      <x:c r="D1453" s="48" t="n">
        <x:v>0.8607689628183061</x:v>
      </x:c>
      <x:c r="E1453" s="48" t="n">
        <x:v>0.7437571783267374</x:v>
      </x:c>
      <x:c r="F1453" s="48" t="n">
        <x:v>-0.19449798357087816</x:v>
      </x:c>
      <x:c r="G1453" s="48" t="n">
        <x:v>-0.09436876779663425</x:v>
      </x:c>
      <x:c r="H1453" s="48" t="n">
        <x:v>0.760323102896115</x:v>
      </x:c>
      <x:c r="I1453" s="48" t="n">
        <x:v>0.9033608083472389</x:v>
      </x:c>
      <x:c r="J1453" s="48" t="n">
        <x:v>0.8028871435503782</x:v>
      </x:c>
      <x:c r="K1453" s="48" t="n">
        <x:v>0.6554103239378307</x:v>
      </x:c>
      <x:c r="L1453" s="48" t="n">
        <x:v>0.7379448754879572</x:v>
      </x:c>
      <x:c r="M1453" s="48" t="n">
        <x:v>0.17297106334882498</x:v>
      </x:c>
      <x:c r="N1453" s="48" t="n">
        <x:v>0.6788012668394161</x:v>
      </x:c>
      <x:c r="O1453" s="48" t="n">
        <x:v>1</x:v>
      </x:c>
      <x:c r="P1453" s="48" t="n">
        <x:v>1</x:v>
      </x:c>
      <x:c r="Q1453" s="48" t="n">
        <x:v>1</x:v>
      </x:c>
      <x:c r="R1453" s="48" t="n">
        <x:v>1</x:v>
      </x:c>
      <x:c r="S1453" s="29" t="n">
        <x:v>1</x:v>
      </x:c>
    </x:row>
    <x:row r="1454" ht="15" hidden="0" customHeight="1">
      <x:c r="A1454" s="27" t="n">
        <x:v>484</x:v>
      </x:c>
      <x:c r="B1454" s="27" t="str">
        <x:v>A1</x:v>
      </x:c>
      <x:c r="C1454" s="47" t="n">
        <x:v>1.3331150611568932</x:v>
      </x:c>
      <x:c r="D1454" s="47" t="n">
        <x:v>0.8345777498028906</x:v>
      </x:c>
      <x:c r="E1454" s="47" t="n">
        <x:v>0.7717680838490264</x:v>
      </x:c>
      <x:c r="F1454" s="47" t="n">
        <x:v>0.015170606254757663</x:v>
      </x:c>
      <x:c r="G1454" s="47" t="n">
        <x:v>-0.08637057014877923</x:v>
      </x:c>
      <x:c r="H1454" s="47" t="n">
        <x:v>0.8617870364571474</x:v>
      </x:c>
      <x:c r="I1454" s="47" t="n">
        <x:v>0.8797126344487203</x:v>
      </x:c>
      <x:c r="J1454" s="47" t="n">
        <x:v>0.9173955776060922</x:v>
      </x:c>
      <x:c r="K1454" s="47" t="n">
        <x:v>0.7604175994471167</x:v>
      </x:c>
      <x:c r="L1454" s="47" t="n">
        <x:v>0.8152494704332858</x:v>
      </x:c>
      <x:c r="M1454" s="47" t="n">
        <x:v>0.09914462982908859</x:v>
      </x:c>
      <x:c r="N1454" s="47" t="n">
        <x:v>0.9537932962204798</x:v>
      </x:c>
      <x:c r="O1454" s="47" t="n">
        <x:v>0.7629531533563266</x:v>
      </x:c>
      <x:c r="P1454" s="47" t="n">
        <x:v>0.39371434687148843</x:v>
      </x:c>
      <x:c r="Q1454" s="47" t="n">
        <x:v>1</x:v>
      </x:c>
      <x:c r="R1454" s="47" t="n">
        <x:v>0.7072843504285387</x:v>
      </x:c>
      <x:c r="S1454" s="27" t="n">
        <x:v>0</x:v>
      </x:c>
    </x:row>
    <x:row r="1455" ht="15" hidden="0" customHeight="1">
      <x:c r="A1455" s="29" t="n">
        <x:v>484</x:v>
      </x:c>
      <x:c r="B1455" s="29" t="str">
        <x:v>A2</x:v>
      </x:c>
      <x:c r="C1455" s="48" t="n">
        <x:v>1.3331150611568932</x:v>
      </x:c>
      <x:c r="D1455" s="48" t="n">
        <x:v>0.8345777498028906</x:v>
      </x:c>
      <x:c r="E1455" s="48" t="n">
        <x:v>0.7717680838490264</x:v>
      </x:c>
      <x:c r="F1455" s="48" t="n">
        <x:v>0.015170606254757663</x:v>
      </x:c>
      <x:c r="G1455" s="48" t="n">
        <x:v>-0.08637057014877923</x:v>
      </x:c>
      <x:c r="H1455" s="48" t="n">
        <x:v>0.8617870364571474</x:v>
      </x:c>
      <x:c r="I1455" s="48" t="n">
        <x:v>0.8797126344487203</x:v>
      </x:c>
      <x:c r="J1455" s="48" t="n">
        <x:v>0.9173955776060922</x:v>
      </x:c>
      <x:c r="K1455" s="48" t="n">
        <x:v>0.7604175994471167</x:v>
      </x:c>
      <x:c r="L1455" s="48" t="n">
        <x:v>0.8152494704332858</x:v>
      </x:c>
      <x:c r="M1455" s="48" t="n">
        <x:v>0.09914462982908859</x:v>
      </x:c>
      <x:c r="N1455" s="48" t="n">
        <x:v>0.9537932962204798</x:v>
      </x:c>
      <x:c r="O1455" s="48" t="n">
        <x:v>0.8510483602679184</x:v>
      </x:c>
      <x:c r="P1455" s="48" t="n">
        <x:v>0.5599138187498663</x:v>
      </x:c>
      <x:c r="Q1455" s="48" t="n">
        <x:v>1</x:v>
      </x:c>
      <x:c r="R1455" s="48" t="n">
        <x:v>0.8160681038526938</x:v>
      </x:c>
      <x:c r="S1455" s="29" t="n">
        <x:v>0</x:v>
      </x:c>
    </x:row>
    <x:row r="1456" ht="15" hidden="0" customHeight="1">
      <x:c r="A1456" s="27" t="n">
        <x:v>484</x:v>
      </x:c>
      <x:c r="B1456" s="27" t="str">
        <x:v>A3</x:v>
      </x:c>
      <x:c r="C1456" s="47" t="n">
        <x:v>1.3331150611568932</x:v>
      </x:c>
      <x:c r="D1456" s="47" t="n">
        <x:v>0.8345777498028906</x:v>
      </x:c>
      <x:c r="E1456" s="47" t="n">
        <x:v>0.7717680838490264</x:v>
      </x:c>
      <x:c r="F1456" s="47" t="n">
        <x:v>0.015170606254757663</x:v>
      </x:c>
      <x:c r="G1456" s="47" t="n">
        <x:v>-0.08637057014877923</x:v>
      </x:c>
      <x:c r="H1456" s="47" t="n">
        <x:v>0.8617870364571474</x:v>
      </x:c>
      <x:c r="I1456" s="47" t="n">
        <x:v>0.8797126344487203</x:v>
      </x:c>
      <x:c r="J1456" s="47" t="n">
        <x:v>0.9173955776060922</x:v>
      </x:c>
      <x:c r="K1456" s="47" t="n">
        <x:v>0.7604175994471167</x:v>
      </x:c>
      <x:c r="L1456" s="47" t="n">
        <x:v>0.8152494704332858</x:v>
      </x:c>
      <x:c r="M1456" s="47" t="n">
        <x:v>0.09914462982908859</x:v>
      </x:c>
      <x:c r="N1456" s="47" t="n">
        <x:v>0.9537932962204798</x:v>
      </x:c>
      <x:c r="O1456" s="47" t="n">
        <x:v>1</x:v>
      </x:c>
      <x:c r="P1456" s="47" t="n">
        <x:v>1</x:v>
      </x:c>
      <x:c r="Q1456" s="47" t="n">
        <x:v>1</x:v>
      </x:c>
      <x:c r="R1456" s="47" t="n">
        <x:v>1</x:v>
      </x:c>
      <x:c r="S1456" s="27" t="n">
        <x:v>1</x:v>
      </x:c>
    </x:row>
    <x:row r="1457" ht="21.600000381469727" hidden="0" customHeight="1">
      <x:c r="A1457" s="29" t="n">
        <x:v>485</x:v>
      </x:c>
      <x:c r="B1457" s="29" t="str">
        <x:v>A1</x:v>
      </x:c>
      <x:c r="C1457" s="48" t="n">
        <x:v>1.211068613981542</x:v>
      </x:c>
      <x:c r="D1457" s="48" t="n">
        <x:v>0.7848102489680985</x:v>
      </x:c>
      <x:c r="E1457" s="48" t="n">
        <x:v>0.7079316888850302</x:v>
      </x:c>
      <x:c r="F1457" s="48" t="n">
        <x:v>-0.16588907147986373</x:v>
      </x:c>
      <x:c r="G1457" s="48" t="n">
        <x:v>-0.13370396925038036</x:v>
      </x:c>
      <x:c r="H1457" s="48" t="n">
        <x:v>0.9517043537200551</x:v>
      </x:c>
      <x:c r="I1457" s="48" t="n">
        <x:v>0.8007320152767567</x:v>
      </x:c>
      <x:c r="J1457" s="48" t="n">
        <x:v>0.6103726215106212</x:v>
      </x:c>
      <x:c r="K1457" s="48" t="n">
        <x:v>0.6416580315621856</x:v>
      </x:c>
      <x:c r="L1457" s="48" t="n">
        <x:v>0.6036231935683686</x:v>
      </x:c>
      <x:c r="M1457" s="48" t="n">
        <x:v>0.13668087624787378</x:v>
      </x:c>
      <x:c r="N1457" s="48" t="n">
        <x:v>0.9581224367583288</x:v>
      </x:c>
      <x:c r="O1457" s="48" t="n">
        <x:v>0.7394982214935558</x:v>
      </x:c>
      <x:c r="P1457" s="48" t="n">
        <x:v>0.43861249875004416</x:v>
      </x:c>
      <x:c r="Q1457" s="48" t="n">
        <x:v>1</x:v>
      </x:c>
      <x:c r="R1457" s="48" t="n">
        <x:v>0.678321190981049</x:v>
      </x:c>
      <x:c r="S1457" s="29" t="n">
        <x:v>0</x:v>
      </x:c>
    </x:row>
    <x:row r="1458" ht="21.600000381469727" hidden="0" customHeight="1">
      <x:c r="A1458" s="27" t="n">
        <x:v>485</x:v>
      </x:c>
      <x:c r="B1458" s="27" t="str">
        <x:v>A2</x:v>
      </x:c>
      <x:c r="C1458" s="47" t="n">
        <x:v>1.211068613981542</x:v>
      </x:c>
      <x:c r="D1458" s="47" t="n">
        <x:v>0.7848102489680985</x:v>
      </x:c>
      <x:c r="E1458" s="47" t="n">
        <x:v>0.7079316888850302</x:v>
      </x:c>
      <x:c r="F1458" s="47" t="n">
        <x:v>-0.16588907147986373</x:v>
      </x:c>
      <x:c r="G1458" s="47" t="n">
        <x:v>-0.13370396925038036</x:v>
      </x:c>
      <x:c r="H1458" s="47" t="n">
        <x:v>0.9517043537200551</x:v>
      </x:c>
      <x:c r="I1458" s="47" t="n">
        <x:v>0.8007320152767567</x:v>
      </x:c>
      <x:c r="J1458" s="47" t="n">
        <x:v>0.6103726215106212</x:v>
      </x:c>
      <x:c r="K1458" s="47" t="n">
        <x:v>0.6416580315621856</x:v>
      </x:c>
      <x:c r="L1458" s="47" t="n">
        <x:v>0.6036231935683686</x:v>
      </x:c>
      <x:c r="M1458" s="47" t="n">
        <x:v>0.13668087624787378</x:v>
      </x:c>
      <x:c r="N1458" s="47" t="n">
        <x:v>0.9581224367583288</x:v>
      </x:c>
      <x:c r="O1458" s="47" t="n">
        <x:v>0.8096766423168614</x:v>
      </x:c>
      <x:c r="P1458" s="47" t="n">
        <x:v>0.46810496317800426</x:v>
      </x:c>
      <x:c r="Q1458" s="47" t="n">
        <x:v>1</x:v>
      </x:c>
      <x:c r="R1458" s="47" t="n">
        <x:v>0.7649805257414574</x:v>
      </x:c>
      <x:c r="S1458" s="27" t="n">
        <x:v>0</x:v>
      </x:c>
    </x:row>
    <x:row r="1459" ht="21.600000381469727" hidden="0" customHeight="1">
      <x:c r="A1459" s="29" t="n">
        <x:v>485</x:v>
      </x:c>
      <x:c r="B1459" s="29" t="str">
        <x:v>A3</x:v>
      </x:c>
      <x:c r="C1459" s="48" t="n">
        <x:v>1.211068613981542</x:v>
      </x:c>
      <x:c r="D1459" s="48" t="n">
        <x:v>0.7848102489680985</x:v>
      </x:c>
      <x:c r="E1459" s="48" t="n">
        <x:v>0.7079316888850302</x:v>
      </x:c>
      <x:c r="F1459" s="48" t="n">
        <x:v>-0.16588907147986373</x:v>
      </x:c>
      <x:c r="G1459" s="48" t="n">
        <x:v>-0.13370396925038036</x:v>
      </x:c>
      <x:c r="H1459" s="48" t="n">
        <x:v>0.9517043537200551</x:v>
      </x:c>
      <x:c r="I1459" s="48" t="n">
        <x:v>0.8007320152767567</x:v>
      </x:c>
      <x:c r="J1459" s="48" t="n">
        <x:v>0.6103726215106212</x:v>
      </x:c>
      <x:c r="K1459" s="48" t="n">
        <x:v>0.6416580315621856</x:v>
      </x:c>
      <x:c r="L1459" s="48" t="n">
        <x:v>0.6036231935683686</x:v>
      </x:c>
      <x:c r="M1459" s="48" t="n">
        <x:v>0.13668087624787378</x:v>
      </x:c>
      <x:c r="N1459" s="48" t="n">
        <x:v>0.9581224367583288</x:v>
      </x:c>
      <x:c r="O1459" s="48" t="n">
        <x:v>1</x:v>
      </x:c>
      <x:c r="P1459" s="48" t="n">
        <x:v>1</x:v>
      </x:c>
      <x:c r="Q1459" s="48" t="n">
        <x:v>1</x:v>
      </x:c>
      <x:c r="R1459" s="48" t="n">
        <x:v>1</x:v>
      </x:c>
      <x:c r="S1459" s="29" t="n">
        <x:v>1</x:v>
      </x:c>
    </x:row>
    <x:row r="1460" ht="21.600000381469727" hidden="0" customHeight="1">
      <x:c r="A1460" s="27" t="n">
        <x:v>486</x:v>
      </x:c>
      <x:c r="B1460" s="27" t="str">
        <x:v>A1</x:v>
      </x:c>
      <x:c r="C1460" s="47" t="n">
        <x:v>1.2435796718004744</x:v>
      </x:c>
      <x:c r="D1460" s="47" t="n">
        <x:v>0.9505449756000849</x:v>
      </x:c>
      <x:c r="E1460" s="47" t="n">
        <x:v>0.8372753317502293</x:v>
      </x:c>
      <x:c r="F1460" s="47" t="n">
        <x:v>0.003963665704772884</x:v>
      </x:c>
      <x:c r="G1460" s="47" t="n">
        <x:v>-0.10372114302068965</x:v>
      </x:c>
      <x:c r="H1460" s="47" t="n">
        <x:v>0.5969295927637182</x:v>
      </x:c>
      <x:c r="I1460" s="47" t="n">
        <x:v>0.6491646689949433</x:v>
      </x:c>
      <x:c r="J1460" s="47" t="n">
        <x:v>0.9585689889107655</x:v>
      </x:c>
      <x:c r="K1460" s="47" t="n">
        <x:v>0.8098391636828072</x:v>
      </x:c>
      <x:c r="L1460" s="47" t="n">
        <x:v>0.8128057278302994</x:v>
      </x:c>
      <x:c r="M1460" s="47" t="n">
        <x:v>0.07185338957662997</x:v>
      </x:c>
      <x:c r="N1460" s="47" t="n">
        <x:v>0.7146280446970421</x:v>
      </x:c>
      <x:c r="O1460" s="47" t="n">
        <x:v>0.9082232267095915</x:v>
      </x:c>
      <x:c r="P1460" s="47" t="n">
        <x:v>0.5814250459550075</x:v>
      </x:c>
      <x:c r="Q1460" s="47" t="n">
        <x:v>1</x:v>
      </x:c>
      <x:c r="R1460" s="47" t="n">
        <x:v>0.8866700899436255</x:v>
      </x:c>
      <x:c r="S1460" s="27" t="n">
        <x:v>0</x:v>
      </x:c>
    </x:row>
    <x:row r="1461" ht="21.600000381469727" hidden="0" customHeight="1">
      <x:c r="A1461" s="29" t="n">
        <x:v>486</x:v>
      </x:c>
      <x:c r="B1461" s="29" t="str">
        <x:v>A2</x:v>
      </x:c>
      <x:c r="C1461" s="48" t="n">
        <x:v>1.2435796718004744</x:v>
      </x:c>
      <x:c r="D1461" s="48" t="n">
        <x:v>0.9505449756000849</x:v>
      </x:c>
      <x:c r="E1461" s="48" t="n">
        <x:v>0.8372753317502293</x:v>
      </x:c>
      <x:c r="F1461" s="48" t="n">
        <x:v>0.003963665704772884</x:v>
      </x:c>
      <x:c r="G1461" s="48" t="n">
        <x:v>-0.10372114302068965</x:v>
      </x:c>
      <x:c r="H1461" s="48" t="n">
        <x:v>0.5969295927637182</x:v>
      </x:c>
      <x:c r="I1461" s="48" t="n">
        <x:v>0.6491646689949433</x:v>
      </x:c>
      <x:c r="J1461" s="48" t="n">
        <x:v>0.9585689889107655</x:v>
      </x:c>
      <x:c r="K1461" s="48" t="n">
        <x:v>0.8098391636828072</x:v>
      </x:c>
      <x:c r="L1461" s="48" t="n">
        <x:v>0.8128057278302994</x:v>
      </x:c>
      <x:c r="M1461" s="48" t="n">
        <x:v>0.07185338957662997</x:v>
      </x:c>
      <x:c r="N1461" s="48" t="n">
        <x:v>0.7146280446970421</x:v>
      </x:c>
      <x:c r="O1461" s="48" t="n">
        <x:v>0.930229047574431</x:v>
      </x:c>
      <x:c r="P1461" s="48" t="n">
        <x:v>0.6328432854886414</x:v>
      </x:c>
      <x:c r="Q1461" s="48" t="n">
        <x:v>1</x:v>
      </x:c>
      <x:c r="R1461" s="48" t="n">
        <x:v>0.9138438247559997</x:v>
      </x:c>
      <x:c r="S1461" s="29" t="n">
        <x:v>0</x:v>
      </x:c>
    </x:row>
    <x:row r="1462" ht="21.600000381469727" hidden="0" customHeight="1">
      <x:c r="A1462" s="27" t="n">
        <x:v>486</x:v>
      </x:c>
      <x:c r="B1462" s="27" t="str">
        <x:v>A3</x:v>
      </x:c>
      <x:c r="C1462" s="47" t="n">
        <x:v>1.2435796718004744</x:v>
      </x:c>
      <x:c r="D1462" s="47" t="n">
        <x:v>0.9505449756000849</x:v>
      </x:c>
      <x:c r="E1462" s="47" t="n">
        <x:v>0.8372753317502293</x:v>
      </x:c>
      <x:c r="F1462" s="47" t="n">
        <x:v>0.003963665704772884</x:v>
      </x:c>
      <x:c r="G1462" s="47" t="n">
        <x:v>-0.10372114302068965</x:v>
      </x:c>
      <x:c r="H1462" s="47" t="n">
        <x:v>0.5969295927637182</x:v>
      </x:c>
      <x:c r="I1462" s="47" t="n">
        <x:v>0.6491646689949433</x:v>
      </x:c>
      <x:c r="J1462" s="47" t="n">
        <x:v>0.9585689889107655</x:v>
      </x:c>
      <x:c r="K1462" s="47" t="n">
        <x:v>0.8098391636828072</x:v>
      </x:c>
      <x:c r="L1462" s="47" t="n">
        <x:v>0.8128057278302994</x:v>
      </x:c>
      <x:c r="M1462" s="47" t="n">
        <x:v>0.07185338957662997</x:v>
      </x:c>
      <x:c r="N1462" s="47" t="n">
        <x:v>0.7146280446970421</x:v>
      </x:c>
      <x:c r="O1462" s="47" t="n">
        <x:v>1</x:v>
      </x:c>
      <x:c r="P1462" s="47" t="n">
        <x:v>1</x:v>
      </x:c>
      <x:c r="Q1462" s="47" t="n">
        <x:v>1</x:v>
      </x:c>
      <x:c r="R1462" s="47" t="n">
        <x:v>1</x:v>
      </x:c>
      <x:c r="S1462" s="27" t="n">
        <x:v>1</x:v>
      </x:c>
    </x:row>
    <x:row r="1463" ht="21.600000381469727" hidden="0" customHeight="1">
      <x:c r="A1463" s="29" t="n">
        <x:v>487</x:v>
      </x:c>
      <x:c r="B1463" s="29" t="str">
        <x:v>A1</x:v>
      </x:c>
      <x:c r="C1463" s="48" t="n">
        <x:v>1.235586493731867</x:v>
      </x:c>
      <x:c r="D1463" s="48" t="n">
        <x:v>0.9759440282013372</x:v>
      </x:c>
      <x:c r="E1463" s="48" t="n">
        <x:v>0.7189027367394891</x:v>
      </x:c>
      <x:c r="F1463" s="48" t="n">
        <x:v>-0.16545612122327494</x:v>
      </x:c>
      <x:c r="G1463" s="48" t="n">
        <x:v>-0.13480637914437726</x:v>
      </x:c>
      <x:c r="H1463" s="48" t="n">
        <x:v>0.9740438281300101</x:v>
      </x:c>
      <x:c r="I1463" s="48" t="n">
        <x:v>0.967561260415803</x:v>
      </x:c>
      <x:c r="J1463" s="48" t="n">
        <x:v>0.7501649257279002</x:v>
      </x:c>
      <x:c r="K1463" s="48" t="n">
        <x:v>0.9937565511158448</x:v>
      </x:c>
      <x:c r="L1463" s="48" t="n">
        <x:v>0.6310437843410214</x:v>
      </x:c>
      <x:c r="M1463" s="48" t="n">
        <x:v>0.1544305729606537</x:v>
      </x:c>
      <x:c r="N1463" s="48" t="n">
        <x:v>0.8165404153224782</x:v>
      </x:c>
      <x:c r="O1463" s="48" t="n">
        <x:v>0.881020311645212</x:v>
      </x:c>
      <x:c r="P1463" s="48" t="n">
        <x:v>0.6480009320280959</x:v>
      </x:c>
      <x:c r="Q1463" s="48" t="n">
        <x:v>1</x:v>
      </x:c>
      <x:c r="R1463" s="48" t="n">
        <x:v>0.8530787595123179</x:v>
      </x:c>
      <x:c r="S1463" s="29" t="n">
        <x:v>0</x:v>
      </x:c>
    </x:row>
    <x:row r="1464" ht="21.600000381469727" hidden="0" customHeight="1">
      <x:c r="A1464" s="27" t="n">
        <x:v>487</x:v>
      </x:c>
      <x:c r="B1464" s="27" t="str">
        <x:v>A2</x:v>
      </x:c>
      <x:c r="C1464" s="47" t="n">
        <x:v>1.235586493731867</x:v>
      </x:c>
      <x:c r="D1464" s="47" t="n">
        <x:v>0.9759440282013372</x:v>
      </x:c>
      <x:c r="E1464" s="47" t="n">
        <x:v>0.7189027367394891</x:v>
      </x:c>
      <x:c r="F1464" s="47" t="n">
        <x:v>-0.16545612122327494</x:v>
      </x:c>
      <x:c r="G1464" s="47" t="n">
        <x:v>-0.13480637914437726</x:v>
      </x:c>
      <x:c r="H1464" s="47" t="n">
        <x:v>0.9740438281300101</x:v>
      </x:c>
      <x:c r="I1464" s="47" t="n">
        <x:v>0.967561260415803</x:v>
      </x:c>
      <x:c r="J1464" s="47" t="n">
        <x:v>0.7501649257279002</x:v>
      </x:c>
      <x:c r="K1464" s="47" t="n">
        <x:v>0.9937565511158448</x:v>
      </x:c>
      <x:c r="L1464" s="47" t="n">
        <x:v>0.6310437843410214</x:v>
      </x:c>
      <x:c r="M1464" s="47" t="n">
        <x:v>0.1544305729606537</x:v>
      </x:c>
      <x:c r="N1464" s="47" t="n">
        <x:v>0.8165404153224782</x:v>
      </x:c>
      <x:c r="O1464" s="47" t="n">
        <x:v>0.9575255223231447</x:v>
      </x:c>
      <x:c r="P1464" s="47" t="n">
        <x:v>0.6354291243910937</x:v>
      </x:c>
      <x:c r="Q1464" s="47" t="n">
        <x:v>1</x:v>
      </x:c>
      <x:c r="R1464" s="47" t="n">
        <x:v>0.9475506867126633</x:v>
      </x:c>
      <x:c r="S1464" s="27" t="n">
        <x:v>0</x:v>
      </x:c>
    </x:row>
    <x:row r="1465" ht="21.600000381469727" hidden="0" customHeight="1">
      <x:c r="A1465" s="29" t="n">
        <x:v>487</x:v>
      </x:c>
      <x:c r="B1465" s="29" t="str">
        <x:v>A3</x:v>
      </x:c>
      <x:c r="C1465" s="48" t="n">
        <x:v>1.235586493731867</x:v>
      </x:c>
      <x:c r="D1465" s="48" t="n">
        <x:v>0.9759440282013372</x:v>
      </x:c>
      <x:c r="E1465" s="48" t="n">
        <x:v>0.7189027367394891</x:v>
      </x:c>
      <x:c r="F1465" s="48" t="n">
        <x:v>-0.16545612122327494</x:v>
      </x:c>
      <x:c r="G1465" s="48" t="n">
        <x:v>-0.13480637914437726</x:v>
      </x:c>
      <x:c r="H1465" s="48" t="n">
        <x:v>0.9740438281300101</x:v>
      </x:c>
      <x:c r="I1465" s="48" t="n">
        <x:v>0.967561260415803</x:v>
      </x:c>
      <x:c r="J1465" s="48" t="n">
        <x:v>0.7501649257279002</x:v>
      </x:c>
      <x:c r="K1465" s="48" t="n">
        <x:v>0.9937565511158448</x:v>
      </x:c>
      <x:c r="L1465" s="48" t="n">
        <x:v>0.6310437843410214</x:v>
      </x:c>
      <x:c r="M1465" s="48" t="n">
        <x:v>0.1544305729606537</x:v>
      </x:c>
      <x:c r="N1465" s="48" t="n">
        <x:v>0.8165404153224782</x:v>
      </x:c>
      <x:c r="O1465" s="48" t="n">
        <x:v>1</x:v>
      </x:c>
      <x:c r="P1465" s="48" t="n">
        <x:v>1</x:v>
      </x:c>
      <x:c r="Q1465" s="48" t="n">
        <x:v>1</x:v>
      </x:c>
      <x:c r="R1465" s="48" t="n">
        <x:v>1</x:v>
      </x:c>
      <x:c r="S1465" s="29" t="n">
        <x:v>1</x:v>
      </x:c>
    </x:row>
    <x:row r="1466" ht="21.600000381469727" hidden="0" customHeight="1">
      <x:c r="A1466" s="27" t="n">
        <x:v>488</x:v>
      </x:c>
      <x:c r="B1466" s="27" t="str">
        <x:v>A1</x:v>
      </x:c>
      <x:c r="C1466" s="47" t="n">
        <x:v>1.206211942972095</x:v>
      </x:c>
      <x:c r="D1466" s="47" t="n">
        <x:v>0.913127142569648</x:v>
      </x:c>
      <x:c r="E1466" s="47" t="n">
        <x:v>0.7409399627226856</x:v>
      </x:c>
      <x:c r="F1466" s="47" t="n">
        <x:v>0.019399262288445712</x:v>
      </x:c>
      <x:c r="G1466" s="47" t="n">
        <x:v>-0.03042615224489406</x:v>
      </x:c>
      <x:c r="H1466" s="47" t="n">
        <x:v>0.40841789891236513</x:v>
      </x:c>
      <x:c r="I1466" s="47" t="n">
        <x:v>0.9085517149416944</x:v>
      </x:c>
      <x:c r="J1466" s="47" t="n">
        <x:v>0.6784218197170342</x:v>
      </x:c>
      <x:c r="K1466" s="47" t="n">
        <x:v>0.8812496526945981</x:v>
      </x:c>
      <x:c r="L1466" s="47" t="n">
        <x:v>0.7588215424038567</x:v>
      </x:c>
      <x:c r="M1466" s="47" t="n">
        <x:v>0.0015368931725825042</x:v>
      </x:c>
      <x:c r="N1466" s="47" t="n">
        <x:v>0.9502253118586346</x:v>
      </x:c>
      <x:c r="O1466" s="47" t="n">
        <x:v>0.8785003778931131</x:v>
      </x:c>
      <x:c r="P1466" s="47" t="n">
        <x:v>0.6584974113255044</x:v>
      </x:c>
      <x:c r="Q1466" s="47" t="n">
        <x:v>1</x:v>
      </x:c>
      <x:c r="R1466" s="47" t="n">
        <x:v>0.8499670368483524</x:v>
      </x:c>
      <x:c r="S1466" s="27" t="n">
        <x:v>0</x:v>
      </x:c>
    </x:row>
    <x:row r="1467" ht="21.600000381469727" hidden="0" customHeight="1">
      <x:c r="A1467" s="29" t="n">
        <x:v>488</x:v>
      </x:c>
      <x:c r="B1467" s="29" t="str">
        <x:v>A2</x:v>
      </x:c>
      <x:c r="C1467" s="48" t="n">
        <x:v>1.206211942972095</x:v>
      </x:c>
      <x:c r="D1467" s="48" t="n">
        <x:v>0.913127142569648</x:v>
      </x:c>
      <x:c r="E1467" s="48" t="n">
        <x:v>0.7409399627226856</x:v>
      </x:c>
      <x:c r="F1467" s="48" t="n">
        <x:v>0.019399262288445712</x:v>
      </x:c>
      <x:c r="G1467" s="48" t="n">
        <x:v>-0.03042615224489406</x:v>
      </x:c>
      <x:c r="H1467" s="48" t="n">
        <x:v>0.40841789891236513</x:v>
      </x:c>
      <x:c r="I1467" s="48" t="n">
        <x:v>0.9085517149416944</x:v>
      </x:c>
      <x:c r="J1467" s="48" t="n">
        <x:v>0.6784218197170342</x:v>
      </x:c>
      <x:c r="K1467" s="48" t="n">
        <x:v>0.8812496526945981</x:v>
      </x:c>
      <x:c r="L1467" s="48" t="n">
        <x:v>0.7588215424038567</x:v>
      </x:c>
      <x:c r="M1467" s="48" t="n">
        <x:v>0.0015368931725825042</x:v>
      </x:c>
      <x:c r="N1467" s="48" t="n">
        <x:v>0.9502253118586346</x:v>
      </x:c>
      <x:c r="O1467" s="48" t="n">
        <x:v>0.9405192772328089</x:v>
      </x:c>
      <x:c r="P1467" s="48" t="n">
        <x:v>0.6415841494076095</x:v>
      </x:c>
      <x:c r="Q1467" s="48" t="n">
        <x:v>1</x:v>
      </x:c>
      <x:c r="R1467" s="48" t="n">
        <x:v>0.9265506432660954</x:v>
      </x:c>
      <x:c r="S1467" s="29" t="n">
        <x:v>0</x:v>
      </x:c>
    </x:row>
    <x:row r="1468" ht="21.600000381469727" hidden="0" customHeight="1">
      <x:c r="A1468" s="27" t="n">
        <x:v>488</x:v>
      </x:c>
      <x:c r="B1468" s="27" t="str">
        <x:v>A3</x:v>
      </x:c>
      <x:c r="C1468" s="47" t="n">
        <x:v>1.206211942972095</x:v>
      </x:c>
      <x:c r="D1468" s="47" t="n">
        <x:v>0.913127142569648</x:v>
      </x:c>
      <x:c r="E1468" s="47" t="n">
        <x:v>0.7409399627226856</x:v>
      </x:c>
      <x:c r="F1468" s="47" t="n">
        <x:v>0.019399262288445712</x:v>
      </x:c>
      <x:c r="G1468" s="47" t="n">
        <x:v>-0.03042615224489406</x:v>
      </x:c>
      <x:c r="H1468" s="47" t="n">
        <x:v>0.40841789891236513</x:v>
      </x:c>
      <x:c r="I1468" s="47" t="n">
        <x:v>0.9085517149416944</x:v>
      </x:c>
      <x:c r="J1468" s="47" t="n">
        <x:v>0.6784218197170342</x:v>
      </x:c>
      <x:c r="K1468" s="47" t="n">
        <x:v>0.8812496526945981</x:v>
      </x:c>
      <x:c r="L1468" s="47" t="n">
        <x:v>0.7588215424038567</x:v>
      </x:c>
      <x:c r="M1468" s="47" t="n">
        <x:v>0.0015368931725825042</x:v>
      </x:c>
      <x:c r="N1468" s="47" t="n">
        <x:v>0.9502253118586346</x:v>
      </x:c>
      <x:c r="O1468" s="47" t="n">
        <x:v>1</x:v>
      </x:c>
      <x:c r="P1468" s="47" t="n">
        <x:v>1</x:v>
      </x:c>
      <x:c r="Q1468" s="47" t="n">
        <x:v>1</x:v>
      </x:c>
      <x:c r="R1468" s="47" t="n">
        <x:v>1</x:v>
      </x:c>
      <x:c r="S1468" s="27" t="n">
        <x:v>1</x:v>
      </x:c>
    </x:row>
    <x:row r="1469" ht="15" hidden="0" customHeight="1">
      <x:c r="A1469" s="29" t="n">
        <x:v>489</x:v>
      </x:c>
      <x:c r="B1469" s="29" t="str">
        <x:v>A1</x:v>
      </x:c>
      <x:c r="C1469" s="48" t="n">
        <x:v>1.0249439501048339</x:v>
      </x:c>
      <x:c r="D1469" s="48" t="n">
        <x:v>0.994375131884542</x:v>
      </x:c>
      <x:c r="E1469" s="48" t="n">
        <x:v>1.0056534372735977</x:v>
      </x:c>
      <x:c r="F1469" s="48" t="n">
        <x:v>0.0054838140849179096</x:v>
      </x:c>
      <x:c r="G1469" s="48" t="n">
        <x:v>0.014375774878209846</x:v>
      </x:c>
      <x:c r="H1469" s="48" t="n">
        <x:v>0.4119048135573934</x:v>
      </x:c>
      <x:c r="I1469" s="48" t="n">
        <x:v>0.6297599601456977</x:v>
      </x:c>
      <x:c r="J1469" s="48" t="n">
        <x:v>0.7515504071126662</x:v>
      </x:c>
      <x:c r="K1469" s="48" t="n">
        <x:v>0.9885427853306126</x:v>
      </x:c>
      <x:c r="L1469" s="48" t="n">
        <x:v>0.5482654989727745</x:v>
      </x:c>
      <x:c r="M1469" s="48" t="n">
        <x:v>0.12463392442409246</x:v>
      </x:c>
      <x:c r="N1469" s="48" t="n">
        <x:v>0.9032787436138097</x:v>
      </x:c>
      <x:c r="O1469" s="48" t="n">
        <x:v>0.936237176603253</x:v>
      </x:c>
      <x:c r="P1469" s="48" t="n">
        <x:v>0.7138055930004729</x:v>
      </x:c>
      <x:c r="Q1469" s="48" t="n">
        <x:v>1</x:v>
      </x:c>
      <x:c r="R1469" s="48" t="n">
        <x:v>0.9212629210919424</x:v>
      </x:c>
      <x:c r="S1469" s="29" t="n">
        <x:v>0</x:v>
      </x:c>
    </x:row>
    <x:row r="1470" ht="15" hidden="0" customHeight="1">
      <x:c r="A1470" s="27" t="n">
        <x:v>489</x:v>
      </x:c>
      <x:c r="B1470" s="27" t="str">
        <x:v>A2</x:v>
      </x:c>
      <x:c r="C1470" s="47" t="n">
        <x:v>1.0249439501048339</x:v>
      </x:c>
      <x:c r="D1470" s="47" t="n">
        <x:v>0.994375131884542</x:v>
      </x:c>
      <x:c r="E1470" s="47" t="n">
        <x:v>1.0056534372735977</x:v>
      </x:c>
      <x:c r="F1470" s="47" t="n">
        <x:v>0.0054838140849179096</x:v>
      </x:c>
      <x:c r="G1470" s="47" t="n">
        <x:v>0.014375774878209846</x:v>
      </x:c>
      <x:c r="H1470" s="47" t="n">
        <x:v>0.4119048135573934</x:v>
      </x:c>
      <x:c r="I1470" s="47" t="n">
        <x:v>0.6297599601456977</x:v>
      </x:c>
      <x:c r="J1470" s="47" t="n">
        <x:v>0.7515504071126662</x:v>
      </x:c>
      <x:c r="K1470" s="47" t="n">
        <x:v>0.9885427853306126</x:v>
      </x:c>
      <x:c r="L1470" s="47" t="n">
        <x:v>0.5482654989727745</x:v>
      </x:c>
      <x:c r="M1470" s="47" t="n">
        <x:v>0.12463392442409246</x:v>
      </x:c>
      <x:c r="N1470" s="47" t="n">
        <x:v>0.9032787436138097</x:v>
      </x:c>
      <x:c r="O1470" s="47" t="n">
        <x:v>0.9771267452223514</x:v>
      </x:c>
      <x:c r="P1470" s="47" t="n">
        <x:v>0.7918596696539622</x:v>
      </x:c>
      <x:c r="Q1470" s="47" t="n">
        <x:v>1</x:v>
      </x:c>
      <x:c r="R1470" s="47" t="n">
        <x:v>0.9717551204546615</x:v>
      </x:c>
      <x:c r="S1470" s="27" t="n">
        <x:v>0</x:v>
      </x:c>
    </x:row>
    <x:row r="1471" ht="15" hidden="0" customHeight="1">
      <x:c r="A1471" s="29" t="n">
        <x:v>489</x:v>
      </x:c>
      <x:c r="B1471" s="29" t="str">
        <x:v>A3</x:v>
      </x:c>
      <x:c r="C1471" s="48" t="n">
        <x:v>1.0249439501048339</x:v>
      </x:c>
      <x:c r="D1471" s="48" t="n">
        <x:v>0.994375131884542</x:v>
      </x:c>
      <x:c r="E1471" s="48" t="n">
        <x:v>1.0056534372735977</x:v>
      </x:c>
      <x:c r="F1471" s="48" t="n">
        <x:v>0.0054838140849179096</x:v>
      </x:c>
      <x:c r="G1471" s="48" t="n">
        <x:v>0.014375774878209846</x:v>
      </x:c>
      <x:c r="H1471" s="48" t="n">
        <x:v>0.4119048135573934</x:v>
      </x:c>
      <x:c r="I1471" s="48" t="n">
        <x:v>0.6297599601456977</x:v>
      </x:c>
      <x:c r="J1471" s="48" t="n">
        <x:v>0.7515504071126662</x:v>
      </x:c>
      <x:c r="K1471" s="48" t="n">
        <x:v>0.9885427853306126</x:v>
      </x:c>
      <x:c r="L1471" s="48" t="n">
        <x:v>0.5482654989727745</x:v>
      </x:c>
      <x:c r="M1471" s="48" t="n">
        <x:v>0.12463392442409246</x:v>
      </x:c>
      <x:c r="N1471" s="48" t="n">
        <x:v>0.9032787436138097</x:v>
      </x:c>
      <x:c r="O1471" s="48" t="n">
        <x:v>1</x:v>
      </x:c>
      <x:c r="P1471" s="48" t="n">
        <x:v>1</x:v>
      </x:c>
      <x:c r="Q1471" s="48" t="n">
        <x:v>1</x:v>
      </x:c>
      <x:c r="R1471" s="48" t="n">
        <x:v>1.0000000000000002</x:v>
      </x:c>
      <x:c r="S1471" s="29" t="n">
        <x:v>1</x:v>
      </x:c>
    </x:row>
    <x:row r="1472" ht="21.600000381469727" hidden="0" customHeight="1">
      <x:c r="A1472" s="27" t="n">
        <x:v>490</x:v>
      </x:c>
      <x:c r="B1472" s="27" t="str">
        <x:v>A1</x:v>
      </x:c>
      <x:c r="C1472" s="47" t="n">
        <x:v>1.261778080299646</x:v>
      </x:c>
      <x:c r="D1472" s="47" t="n">
        <x:v>0.9558950740258869</x:v>
      </x:c>
      <x:c r="E1472" s="47" t="n">
        <x:v>0.5561487573214089</x:v>
      </x:c>
      <x:c r="F1472" s="47" t="n">
        <x:v>-0.06413037095368018</x:v>
      </x:c>
      <x:c r="G1472" s="47" t="n">
        <x:v>-0.09258613815372135</x:v>
      </x:c>
      <x:c r="H1472" s="47" t="n">
        <x:v>0.633332441358954</x:v>
      </x:c>
      <x:c r="I1472" s="47" t="n">
        <x:v>0.9312978427794424</x:v>
      </x:c>
      <x:c r="J1472" s="47" t="n">
        <x:v>0.9489778705996442</x:v>
      </x:c>
      <x:c r="K1472" s="47" t="n">
        <x:v>0.6731913212082619</x:v>
      </x:c>
      <x:c r="L1472" s="47" t="n">
        <x:v>0.8747486568966645</x:v>
      </x:c>
      <x:c r="M1472" s="47" t="n">
        <x:v>0.018120896360058376</x:v>
      </x:c>
      <x:c r="N1472" s="47" t="n">
        <x:v>0.7947860106973712</x:v>
      </x:c>
      <x:c r="O1472" s="47" t="n">
        <x:v>0.8526778427215433</x:v>
      </x:c>
      <x:c r="P1472" s="47" t="n">
        <x:v>0.5818777941216136</x:v>
      </x:c>
      <x:c r="Q1472" s="47" t="n">
        <x:v>1</x:v>
      </x:c>
      <x:c r="R1472" s="47" t="n">
        <x:v>0.8180802589251259</x:v>
      </x:c>
      <x:c r="S1472" s="27" t="n">
        <x:v>0</x:v>
      </x:c>
    </x:row>
    <x:row r="1473" ht="21.600000381469727" hidden="0" customHeight="1">
      <x:c r="A1473" s="29" t="n">
        <x:v>490</x:v>
      </x:c>
      <x:c r="B1473" s="29" t="str">
        <x:v>A2</x:v>
      </x:c>
      <x:c r="C1473" s="48" t="n">
        <x:v>1.261778080299646</x:v>
      </x:c>
      <x:c r="D1473" s="48" t="n">
        <x:v>0.9558950740258869</x:v>
      </x:c>
      <x:c r="E1473" s="48" t="n">
        <x:v>0.5561487573214089</x:v>
      </x:c>
      <x:c r="F1473" s="48" t="n">
        <x:v>-0.06413037095368018</x:v>
      </x:c>
      <x:c r="G1473" s="48" t="n">
        <x:v>-0.09258613815372135</x:v>
      </x:c>
      <x:c r="H1473" s="48" t="n">
        <x:v>0.633332441358954</x:v>
      </x:c>
      <x:c r="I1473" s="48" t="n">
        <x:v>0.9312978427794424</x:v>
      </x:c>
      <x:c r="J1473" s="48" t="n">
        <x:v>0.9489778705996442</x:v>
      </x:c>
      <x:c r="K1473" s="48" t="n">
        <x:v>0.6731913212082619</x:v>
      </x:c>
      <x:c r="L1473" s="48" t="n">
        <x:v>0.8747486568966645</x:v>
      </x:c>
      <x:c r="M1473" s="48" t="n">
        <x:v>0.018120896360058376</x:v>
      </x:c>
      <x:c r="N1473" s="48" t="n">
        <x:v>0.7947860106973712</x:v>
      </x:c>
      <x:c r="O1473" s="48" t="n">
        <x:v>0.9212199673447176</x:v>
      </x:c>
      <x:c r="P1473" s="48" t="n">
        <x:v>0.5613648359093473</x:v>
      </x:c>
      <x:c r="Q1473" s="48" t="n">
        <x:v>1</x:v>
      </x:c>
      <x:c r="R1473" s="48" t="n">
        <x:v>0.9027190247056281</x:v>
      </x:c>
      <x:c r="S1473" s="29" t="n">
        <x:v>0</x:v>
      </x:c>
    </x:row>
    <x:row r="1474" ht="21.600000381469727" hidden="0" customHeight="1">
      <x:c r="A1474" s="27" t="n">
        <x:v>490</x:v>
      </x:c>
      <x:c r="B1474" s="27" t="str">
        <x:v>A3</x:v>
      </x:c>
      <x:c r="C1474" s="47" t="n">
        <x:v>1.261778080299646</x:v>
      </x:c>
      <x:c r="D1474" s="47" t="n">
        <x:v>0.9558950740258869</x:v>
      </x:c>
      <x:c r="E1474" s="47" t="n">
        <x:v>0.5561487573214089</x:v>
      </x:c>
      <x:c r="F1474" s="47" t="n">
        <x:v>-0.06413037095368018</x:v>
      </x:c>
      <x:c r="G1474" s="47" t="n">
        <x:v>-0.09258613815372135</x:v>
      </x:c>
      <x:c r="H1474" s="47" t="n">
        <x:v>0.633332441358954</x:v>
      </x:c>
      <x:c r="I1474" s="47" t="n">
        <x:v>0.9312978427794424</x:v>
      </x:c>
      <x:c r="J1474" s="47" t="n">
        <x:v>0.9489778705996442</x:v>
      </x:c>
      <x:c r="K1474" s="47" t="n">
        <x:v>0.6731913212082619</x:v>
      </x:c>
      <x:c r="L1474" s="47" t="n">
        <x:v>0.8747486568966645</x:v>
      </x:c>
      <x:c r="M1474" s="47" t="n">
        <x:v>0.018120896360058376</x:v>
      </x:c>
      <x:c r="N1474" s="47" t="n">
        <x:v>0.7947860106973712</x:v>
      </x:c>
      <x:c r="O1474" s="47" t="n">
        <x:v>1</x:v>
      </x:c>
      <x:c r="P1474" s="47" t="n">
        <x:v>1</x:v>
      </x:c>
      <x:c r="Q1474" s="47" t="n">
        <x:v>1</x:v>
      </x:c>
      <x:c r="R1474" s="47" t="n">
        <x:v>1</x:v>
      </x:c>
      <x:c r="S1474" s="27" t="n">
        <x:v>1</x:v>
      </x:c>
    </x:row>
    <x:row r="1475" ht="21.600000381469727" hidden="0" customHeight="1">
      <x:c r="A1475" s="29" t="n">
        <x:v>491</x:v>
      </x:c>
      <x:c r="B1475" s="29" t="str">
        <x:v>A1</x:v>
      </x:c>
      <x:c r="C1475" s="48" t="n">
        <x:v>1.1026352974307965</x:v>
      </x:c>
      <x:c r="D1475" s="48" t="n">
        <x:v>0.7786931326443968</x:v>
      </x:c>
      <x:c r="E1475" s="48" t="n">
        <x:v>0.794893569438178</x:v>
      </x:c>
      <x:c r="F1475" s="48" t="n">
        <x:v>-0.007911645181325117</x:v>
      </x:c>
      <x:c r="G1475" s="48" t="n">
        <x:v>-0.18050979823848567</x:v>
      </x:c>
      <x:c r="H1475" s="48" t="n">
        <x:v>0.6102188687099888</x:v>
      </x:c>
      <x:c r="I1475" s="48" t="n">
        <x:v>0.9686018588425871</x:v>
      </x:c>
      <x:c r="J1475" s="48" t="n">
        <x:v>0.7285079935226357</x:v>
      </x:c>
      <x:c r="K1475" s="48" t="n">
        <x:v>0.9277458959964208</x:v>
      </x:c>
      <x:c r="L1475" s="48" t="n">
        <x:v>0.5827197080345949</x:v>
      </x:c>
      <x:c r="M1475" s="48" t="n">
        <x:v>0.08089997222185562</x:v>
      </x:c>
      <x:c r="N1475" s="48" t="n">
        <x:v>0.9642266456030713</x:v>
      </x:c>
      <x:c r="O1475" s="48" t="n">
        <x:v>0.8170926947579982</x:v>
      </x:c>
      <x:c r="P1475" s="48" t="n">
        <x:v>0.5221865936476828</x:v>
      </x:c>
      <x:c r="Q1475" s="48" t="n">
        <x:v>1</x:v>
      </x:c>
      <x:c r="R1475" s="48" t="n">
        <x:v>0.7741381865089365</x:v>
      </x:c>
      <x:c r="S1475" s="29" t="n">
        <x:v>0</x:v>
      </x:c>
    </x:row>
    <x:row r="1476" ht="21.600000381469727" hidden="0" customHeight="1">
      <x:c r="A1476" s="27" t="n">
        <x:v>491</x:v>
      </x:c>
      <x:c r="B1476" s="27" t="str">
        <x:v>A2</x:v>
      </x:c>
      <x:c r="C1476" s="47" t="n">
        <x:v>1.1026352974307965</x:v>
      </x:c>
      <x:c r="D1476" s="47" t="n">
        <x:v>0.7786931326443968</x:v>
      </x:c>
      <x:c r="E1476" s="47" t="n">
        <x:v>0.794893569438178</x:v>
      </x:c>
      <x:c r="F1476" s="47" t="n">
        <x:v>-0.007911645181325117</x:v>
      </x:c>
      <x:c r="G1476" s="47" t="n">
        <x:v>-0.18050979823848567</x:v>
      </x:c>
      <x:c r="H1476" s="47" t="n">
        <x:v>0.6102188687099888</x:v>
      </x:c>
      <x:c r="I1476" s="47" t="n">
        <x:v>0.9686018588425871</x:v>
      </x:c>
      <x:c r="J1476" s="47" t="n">
        <x:v>0.7285079935226357</x:v>
      </x:c>
      <x:c r="K1476" s="47" t="n">
        <x:v>0.9277458959964208</x:v>
      </x:c>
      <x:c r="L1476" s="47" t="n">
        <x:v>0.5827197080345949</x:v>
      </x:c>
      <x:c r="M1476" s="47" t="n">
        <x:v>0.08089997222185562</x:v>
      </x:c>
      <x:c r="N1476" s="47" t="n">
        <x:v>0.9642266456030713</x:v>
      </x:c>
      <x:c r="O1476" s="47" t="n">
        <x:v>0.9141230599664321</x:v>
      </x:c>
      <x:c r="P1476" s="47" t="n">
        <x:v>0.5975580107222348</x:v>
      </x:c>
      <x:c r="Q1476" s="47" t="n">
        <x:v>1</x:v>
      </x:c>
      <x:c r="R1476" s="47" t="n">
        <x:v>0.893955457998892</x:v>
      </x:c>
      <x:c r="S1476" s="27" t="n">
        <x:v>0</x:v>
      </x:c>
    </x:row>
    <x:row r="1477" ht="21.600000381469727" hidden="0" customHeight="1">
      <x:c r="A1477" s="29" t="n">
        <x:v>491</x:v>
      </x:c>
      <x:c r="B1477" s="29" t="str">
        <x:v>A3</x:v>
      </x:c>
      <x:c r="C1477" s="48" t="n">
        <x:v>1.1026352974307965</x:v>
      </x:c>
      <x:c r="D1477" s="48" t="n">
        <x:v>0.7786931326443968</x:v>
      </x:c>
      <x:c r="E1477" s="48" t="n">
        <x:v>0.794893569438178</x:v>
      </x:c>
      <x:c r="F1477" s="48" t="n">
        <x:v>-0.007911645181325117</x:v>
      </x:c>
      <x:c r="G1477" s="48" t="n">
        <x:v>-0.18050979823848567</x:v>
      </x:c>
      <x:c r="H1477" s="48" t="n">
        <x:v>0.6102188687099888</x:v>
      </x:c>
      <x:c r="I1477" s="48" t="n">
        <x:v>0.9686018588425871</x:v>
      </x:c>
      <x:c r="J1477" s="48" t="n">
        <x:v>0.7285079935226357</x:v>
      </x:c>
      <x:c r="K1477" s="48" t="n">
        <x:v>0.9277458959964208</x:v>
      </x:c>
      <x:c r="L1477" s="48" t="n">
        <x:v>0.5827197080345949</x:v>
      </x:c>
      <x:c r="M1477" s="48" t="n">
        <x:v>0.08089997222185562</x:v>
      </x:c>
      <x:c r="N1477" s="48" t="n">
        <x:v>0.9642266456030713</x:v>
      </x:c>
      <x:c r="O1477" s="48" t="n">
        <x:v>1</x:v>
      </x:c>
      <x:c r="P1477" s="48" t="n">
        <x:v>1</x:v>
      </x:c>
      <x:c r="Q1477" s="48" t="n">
        <x:v>1</x:v>
      </x:c>
      <x:c r="R1477" s="48" t="n">
        <x:v>1</x:v>
      </x:c>
      <x:c r="S1477" s="29" t="n">
        <x:v>1</x:v>
      </x:c>
    </x:row>
    <x:row r="1478" ht="21.600000381469727" hidden="0" customHeight="1">
      <x:c r="A1478" s="27" t="n">
        <x:v>492</x:v>
      </x:c>
      <x:c r="B1478" s="27" t="str">
        <x:v>A1</x:v>
      </x:c>
      <x:c r="C1478" s="47" t="n">
        <x:v>1.1827791408355146</x:v>
      </x:c>
      <x:c r="D1478" s="47" t="n">
        <x:v>0.7302516184979481</x:v>
      </x:c>
      <x:c r="E1478" s="47" t="n">
        <x:v>1.024276112993704</x:v>
      </x:c>
      <x:c r="F1478" s="47" t="n">
        <x:v>0.005069533748797955</x:v>
      </x:c>
      <x:c r="G1478" s="47" t="n">
        <x:v>-0.11056860176031277</x:v>
      </x:c>
      <x:c r="H1478" s="47" t="n">
        <x:v>0.73320583684615</x:v>
      </x:c>
      <x:c r="I1478" s="47" t="n">
        <x:v>0.899828877664185</x:v>
      </x:c>
      <x:c r="J1478" s="47" t="n">
        <x:v>0.9798256086716834</x:v>
      </x:c>
      <x:c r="K1478" s="47" t="n">
        <x:v>0.6632325202445438</x:v>
      </x:c>
      <x:c r="L1478" s="47" t="n">
        <x:v>0.989612267719977</x:v>
      </x:c>
      <x:c r="M1478" s="47" t="n">
        <x:v>0.15891296869477747</x:v>
      </x:c>
      <x:c r="N1478" s="47" t="n">
        <x:v>0.9616382197063251</x:v>
      </x:c>
      <x:c r="O1478" s="47" t="n">
        <x:v>0.784473707712168</x:v>
      </x:c>
      <x:c r="P1478" s="47" t="n">
        <x:v>0.45522378653178874</x:v>
      </x:c>
      <x:c r="Q1478" s="47" t="n">
        <x:v>1</x:v>
      </x:c>
      <x:c r="R1478" s="47" t="n">
        <x:v>0.7338588572680127</x:v>
      </x:c>
      <x:c r="S1478" s="27" t="n">
        <x:v>0</x:v>
      </x:c>
    </x:row>
    <x:row r="1479" ht="21.600000381469727" hidden="0" customHeight="1">
      <x:c r="A1479" s="29" t="n">
        <x:v>492</x:v>
      </x:c>
      <x:c r="B1479" s="29" t="str">
        <x:v>A2</x:v>
      </x:c>
      <x:c r="C1479" s="48" t="n">
        <x:v>1.1827791408355146</x:v>
      </x:c>
      <x:c r="D1479" s="48" t="n">
        <x:v>0.7302516184979481</x:v>
      </x:c>
      <x:c r="E1479" s="48" t="n">
        <x:v>1.024276112993704</x:v>
      </x:c>
      <x:c r="F1479" s="48" t="n">
        <x:v>0.005069533748797955</x:v>
      </x:c>
      <x:c r="G1479" s="48" t="n">
        <x:v>-0.11056860176031277</x:v>
      </x:c>
      <x:c r="H1479" s="48" t="n">
        <x:v>0.73320583684615</x:v>
      </x:c>
      <x:c r="I1479" s="48" t="n">
        <x:v>0.899828877664185</x:v>
      </x:c>
      <x:c r="J1479" s="48" t="n">
        <x:v>0.9798256086716834</x:v>
      </x:c>
      <x:c r="K1479" s="48" t="n">
        <x:v>0.6632325202445438</x:v>
      </x:c>
      <x:c r="L1479" s="48" t="n">
        <x:v>0.989612267719977</x:v>
      </x:c>
      <x:c r="M1479" s="48" t="n">
        <x:v>0.15891296869477747</x:v>
      </x:c>
      <x:c r="N1479" s="48" t="n">
        <x:v>0.9616382197063251</x:v>
      </x:c>
      <x:c r="O1479" s="48" t="n">
        <x:v>0.8870655878152862</x:v>
      </x:c>
      <x:c r="P1479" s="48" t="n">
        <x:v>0.5622968140245119</x:v>
      </x:c>
      <x:c r="Q1479" s="48" t="n">
        <x:v>1</x:v>
      </x:c>
      <x:c r="R1479" s="48" t="n">
        <x:v>0.8605437267372235</x:v>
      </x:c>
      <x:c r="S1479" s="29" t="n">
        <x:v>0</x:v>
      </x:c>
    </x:row>
    <x:row r="1480" ht="21.600000381469727" hidden="0" customHeight="1">
      <x:c r="A1480" s="27" t="n">
        <x:v>492</x:v>
      </x:c>
      <x:c r="B1480" s="27" t="str">
        <x:v>A3</x:v>
      </x:c>
      <x:c r="C1480" s="47" t="n">
        <x:v>1.1827791408355146</x:v>
      </x:c>
      <x:c r="D1480" s="47" t="n">
        <x:v>0.7302516184979481</x:v>
      </x:c>
      <x:c r="E1480" s="47" t="n">
        <x:v>1.024276112993704</x:v>
      </x:c>
      <x:c r="F1480" s="47" t="n">
        <x:v>0.005069533748797955</x:v>
      </x:c>
      <x:c r="G1480" s="47" t="n">
        <x:v>-0.11056860176031277</x:v>
      </x:c>
      <x:c r="H1480" s="47" t="n">
        <x:v>0.73320583684615</x:v>
      </x:c>
      <x:c r="I1480" s="47" t="n">
        <x:v>0.899828877664185</x:v>
      </x:c>
      <x:c r="J1480" s="47" t="n">
        <x:v>0.9798256086716834</x:v>
      </x:c>
      <x:c r="K1480" s="47" t="n">
        <x:v>0.6632325202445438</x:v>
      </x:c>
      <x:c r="L1480" s="47" t="n">
        <x:v>0.989612267719977</x:v>
      </x:c>
      <x:c r="M1480" s="47" t="n">
        <x:v>0.15891296869477747</x:v>
      </x:c>
      <x:c r="N1480" s="47" t="n">
        <x:v>0.9616382197063251</x:v>
      </x:c>
      <x:c r="O1480" s="47" t="n">
        <x:v>1</x:v>
      </x:c>
      <x:c r="P1480" s="47" t="n">
        <x:v>1</x:v>
      </x:c>
      <x:c r="Q1480" s="47" t="n">
        <x:v>1</x:v>
      </x:c>
      <x:c r="R1480" s="47" t="n">
        <x:v>1</x:v>
      </x:c>
      <x:c r="S1480" s="27" t="n">
        <x:v>1</x:v>
      </x:c>
    </x:row>
    <x:row r="1481" ht="21.600000381469727" hidden="0" customHeight="1">
      <x:c r="A1481" s="29" t="n">
        <x:v>493</x:v>
      </x:c>
      <x:c r="B1481" s="29" t="str">
        <x:v>A1</x:v>
      </x:c>
      <x:c r="C1481" s="48" t="n">
        <x:v>1.346680698430204</x:v>
      </x:c>
      <x:c r="D1481" s="48" t="n">
        <x:v>0.7623280042200413</x:v>
      </x:c>
      <x:c r="E1481" s="48" t="n">
        <x:v>0.8732265838723021</x:v>
      </x:c>
      <x:c r="F1481" s="48" t="n">
        <x:v>-0.0502376435254506</x:v>
      </x:c>
      <x:c r="G1481" s="48" t="n">
        <x:v>-0.0908457575769373</x:v>
      </x:c>
      <x:c r="H1481" s="48" t="n">
        <x:v>0.9556680488378666</x:v>
      </x:c>
      <x:c r="I1481" s="48" t="n">
        <x:v>0.8885636917618229</x:v>
      </x:c>
      <x:c r="J1481" s="48" t="n">
        <x:v>0.8285867761854016</x:v>
      </x:c>
      <x:c r="K1481" s="48" t="n">
        <x:v>0.8601236484651484</x:v>
      </x:c>
      <x:c r="L1481" s="48" t="n">
        <x:v>0.9396044391597781</x:v>
      </x:c>
      <x:c r="M1481" s="48" t="n">
        <x:v>0.012287345081189291</x:v>
      </x:c>
      <x:c r="N1481" s="48" t="n">
        <x:v>0.9707807055566005</x:v>
      </x:c>
      <x:c r="O1481" s="48" t="n">
        <x:v>0.7518809271457728</x:v>
      </x:c>
      <x:c r="P1481" s="48" t="n">
        <x:v>0.42177378336929017</x:v>
      </x:c>
      <x:c r="Q1481" s="48" t="n">
        <x:v>1</x:v>
      </x:c>
      <x:c r="R1481" s="48" t="n">
        <x:v>0.6936118889159151</x:v>
      </x:c>
      <x:c r="S1481" s="29" t="n">
        <x:v>0</x:v>
      </x:c>
    </x:row>
    <x:row r="1482" ht="21.600000381469727" hidden="0" customHeight="1">
      <x:c r="A1482" s="27" t="n">
        <x:v>493</x:v>
      </x:c>
      <x:c r="B1482" s="27" t="str">
        <x:v>A2</x:v>
      </x:c>
      <x:c r="C1482" s="47" t="n">
        <x:v>1.346680698430204</x:v>
      </x:c>
      <x:c r="D1482" s="47" t="n">
        <x:v>0.7623280042200413</x:v>
      </x:c>
      <x:c r="E1482" s="47" t="n">
        <x:v>0.8732265838723021</x:v>
      </x:c>
      <x:c r="F1482" s="47" t="n">
        <x:v>-0.0502376435254506</x:v>
      </x:c>
      <x:c r="G1482" s="47" t="n">
        <x:v>-0.0908457575769373</x:v>
      </x:c>
      <x:c r="H1482" s="47" t="n">
        <x:v>0.9556680488378666</x:v>
      </x:c>
      <x:c r="I1482" s="47" t="n">
        <x:v>0.8885636917618229</x:v>
      </x:c>
      <x:c r="J1482" s="47" t="n">
        <x:v>0.8285867761854016</x:v>
      </x:c>
      <x:c r="K1482" s="47" t="n">
        <x:v>0.8601236484651484</x:v>
      </x:c>
      <x:c r="L1482" s="47" t="n">
        <x:v>0.9396044391597781</x:v>
      </x:c>
      <x:c r="M1482" s="47" t="n">
        <x:v>0.012287345081189291</x:v>
      </x:c>
      <x:c r="N1482" s="47" t="n">
        <x:v>0.9707807055566005</x:v>
      </x:c>
      <x:c r="O1482" s="47" t="n">
        <x:v>0.8462752600365971</x:v>
      </x:c>
      <x:c r="P1482" s="47" t="n">
        <x:v>0.4529967527960116</x:v>
      </x:c>
      <x:c r="Q1482" s="47" t="n">
        <x:v>1</x:v>
      </x:c>
      <x:c r="R1482" s="47" t="n">
        <x:v>0.810174074235919</x:v>
      </x:c>
      <x:c r="S1482" s="27" t="n">
        <x:v>0</x:v>
      </x:c>
    </x:row>
    <x:row r="1483" ht="21.600000381469727" hidden="0" customHeight="1">
      <x:c r="A1483" s="29" t="n">
        <x:v>493</x:v>
      </x:c>
      <x:c r="B1483" s="29" t="str">
        <x:v>A3</x:v>
      </x:c>
      <x:c r="C1483" s="48" t="n">
        <x:v>1.346680698430204</x:v>
      </x:c>
      <x:c r="D1483" s="48" t="n">
        <x:v>0.7623280042200413</x:v>
      </x:c>
      <x:c r="E1483" s="48" t="n">
        <x:v>0.8732265838723021</x:v>
      </x:c>
      <x:c r="F1483" s="48" t="n">
        <x:v>-0.0502376435254506</x:v>
      </x:c>
      <x:c r="G1483" s="48" t="n">
        <x:v>-0.0908457575769373</x:v>
      </x:c>
      <x:c r="H1483" s="48" t="n">
        <x:v>0.9556680488378666</x:v>
      </x:c>
      <x:c r="I1483" s="48" t="n">
        <x:v>0.8885636917618229</x:v>
      </x:c>
      <x:c r="J1483" s="48" t="n">
        <x:v>0.8285867761854016</x:v>
      </x:c>
      <x:c r="K1483" s="48" t="n">
        <x:v>0.8601236484651484</x:v>
      </x:c>
      <x:c r="L1483" s="48" t="n">
        <x:v>0.9396044391597781</x:v>
      </x:c>
      <x:c r="M1483" s="48" t="n">
        <x:v>0.012287345081189291</x:v>
      </x:c>
      <x:c r="N1483" s="48" t="n">
        <x:v>0.9707807055566005</x:v>
      </x:c>
      <x:c r="O1483" s="48" t="n">
        <x:v>1</x:v>
      </x:c>
      <x:c r="P1483" s="48" t="n">
        <x:v>1</x:v>
      </x:c>
      <x:c r="Q1483" s="48" t="n">
        <x:v>1</x:v>
      </x:c>
      <x:c r="R1483" s="48" t="n">
        <x:v>1</x:v>
      </x:c>
      <x:c r="S1483" s="29" t="n">
        <x:v>1</x:v>
      </x:c>
    </x:row>
    <x:row r="1484" ht="21.600000381469727" hidden="0" customHeight="1">
      <x:c r="A1484" s="27" t="n">
        <x:v>494</x:v>
      </x:c>
      <x:c r="B1484" s="27" t="str">
        <x:v>A1</x:v>
      </x:c>
      <x:c r="C1484" s="47" t="n">
        <x:v>1.292335610584466</x:v>
      </x:c>
      <x:c r="D1484" s="47" t="n">
        <x:v>0.7409869805247169</x:v>
      </x:c>
      <x:c r="E1484" s="47" t="n">
        <x:v>0.5303236089754849</x:v>
      </x:c>
      <x:c r="F1484" s="47" t="n">
        <x:v>-0.08287227822718196</x:v>
      </x:c>
      <x:c r="G1484" s="47" t="n">
        <x:v>-0.0578889449265918</x:v>
      </x:c>
      <x:c r="H1484" s="47" t="n">
        <x:v>0.8857057977133365</x:v>
      </x:c>
      <x:c r="I1484" s="47" t="n">
        <x:v>0.7992947895143362</x:v>
      </x:c>
      <x:c r="J1484" s="47" t="n">
        <x:v>0.9556618255729667</x:v>
      </x:c>
      <x:c r="K1484" s="47" t="n">
        <x:v>0.8535607296690775</x:v>
      </x:c>
      <x:c r="L1484" s="47" t="n">
        <x:v>0.6868353032088629</x:v>
      </x:c>
      <x:c r="M1484" s="47" t="n">
        <x:v>0.16492078657757248</x:v>
      </x:c>
      <x:c r="N1484" s="47" t="n">
        <x:v>0.704319816359648</x:v>
      </x:c>
      <x:c r="O1484" s="47" t="n">
        <x:v>0.6945212046917971</x:v>
      </x:c>
      <x:c r="P1484" s="47" t="n">
        <x:v>0.3703513109467565</x:v>
      </x:c>
      <x:c r="Q1484" s="47" t="n">
        <x:v>0.9402006249589608</x:v>
      </x:c>
      <x:c r="R1484" s="47" t="n">
        <x:v>0.6232257558632135</x:v>
      </x:c>
      <x:c r="S1484" s="27" t="n">
        <x:v>0</x:v>
      </x:c>
    </x:row>
    <x:row r="1485" ht="21.600000381469727" hidden="0" customHeight="1">
      <x:c r="A1485" s="29" t="n">
        <x:v>494</x:v>
      </x:c>
      <x:c r="B1485" s="29" t="str">
        <x:v>A2</x:v>
      </x:c>
      <x:c r="C1485" s="48" t="n">
        <x:v>1.292335610584466</x:v>
      </x:c>
      <x:c r="D1485" s="48" t="n">
        <x:v>0.7409869805247169</x:v>
      </x:c>
      <x:c r="E1485" s="48" t="n">
        <x:v>0.5303236089754849</x:v>
      </x:c>
      <x:c r="F1485" s="48" t="n">
        <x:v>-0.08287227822718196</x:v>
      </x:c>
      <x:c r="G1485" s="48" t="n">
        <x:v>-0.0578889449265918</x:v>
      </x:c>
      <x:c r="H1485" s="48" t="n">
        <x:v>0.8857057977133365</x:v>
      </x:c>
      <x:c r="I1485" s="48" t="n">
        <x:v>0.7992947895143362</x:v>
      </x:c>
      <x:c r="J1485" s="48" t="n">
        <x:v>0.9556618255729667</x:v>
      </x:c>
      <x:c r="K1485" s="48" t="n">
        <x:v>0.8535607296690775</x:v>
      </x:c>
      <x:c r="L1485" s="48" t="n">
        <x:v>0.6868353032088629</x:v>
      </x:c>
      <x:c r="M1485" s="48" t="n">
        <x:v>0.16492078657757248</x:v>
      </x:c>
      <x:c r="N1485" s="48" t="n">
        <x:v>0.704319816359648</x:v>
      </x:c>
      <x:c r="O1485" s="48" t="n">
        <x:v>0.7555130925982787</x:v>
      </x:c>
      <x:c r="P1485" s="48" t="n">
        <x:v>0.3852779346525215</x:v>
      </x:c>
      <x:c r="Q1485" s="48" t="n">
        <x:v>0.8863534735743656</x:v>
      </x:c>
      <x:c r="R1485" s="48" t="n">
        <x:v>0.698941079262872</x:v>
      </x:c>
      <x:c r="S1485" s="29" t="n">
        <x:v>0</x:v>
      </x:c>
    </x:row>
    <x:row r="1486" ht="21.600000381469727" hidden="0" customHeight="1">
      <x:c r="A1486" s="27" t="n">
        <x:v>494</x:v>
      </x:c>
      <x:c r="B1486" s="27" t="str">
        <x:v>A3</x:v>
      </x:c>
      <x:c r="C1486" s="47" t="n">
        <x:v>1.292335610584466</x:v>
      </x:c>
      <x:c r="D1486" s="47" t="n">
        <x:v>0.7409869805247169</x:v>
      </x:c>
      <x:c r="E1486" s="47" t="n">
        <x:v>0.5303236089754849</x:v>
      </x:c>
      <x:c r="F1486" s="47" t="n">
        <x:v>-0.08287227822718196</x:v>
      </x:c>
      <x:c r="G1486" s="47" t="n">
        <x:v>-0.0578889449265918</x:v>
      </x:c>
      <x:c r="H1486" s="47" t="n">
        <x:v>0.8857057977133365</x:v>
      </x:c>
      <x:c r="I1486" s="47" t="n">
        <x:v>0.7992947895143362</x:v>
      </x:c>
      <x:c r="J1486" s="47" t="n">
        <x:v>0.9556618255729667</x:v>
      </x:c>
      <x:c r="K1486" s="47" t="n">
        <x:v>0.8535607296690775</x:v>
      </x:c>
      <x:c r="L1486" s="47" t="n">
        <x:v>0.6868353032088629</x:v>
      </x:c>
      <x:c r="M1486" s="47" t="n">
        <x:v>0.16492078657757248</x:v>
      </x:c>
      <x:c r="N1486" s="47" t="n">
        <x:v>0.704319816359648</x:v>
      </x:c>
      <x:c r="O1486" s="47" t="n">
        <x:v>1</x:v>
      </x:c>
      <x:c r="P1486" s="47" t="n">
        <x:v>1</x:v>
      </x:c>
      <x:c r="Q1486" s="47" t="n">
        <x:v>1</x:v>
      </x:c>
      <x:c r="R1486" s="47" t="n">
        <x:v>1</x:v>
      </x:c>
      <x:c r="S1486" s="27" t="n">
        <x:v>1</x:v>
      </x:c>
    </x:row>
    <x:row r="1487" ht="21.600000381469727" hidden="0" customHeight="1">
      <x:c r="A1487" s="29" t="n">
        <x:v>495</x:v>
      </x:c>
      <x:c r="B1487" s="29" t="str">
        <x:v>A1</x:v>
      </x:c>
      <x:c r="C1487" s="48" t="n">
        <x:v>1.2149706119034247</x:v>
      </x:c>
      <x:c r="D1487" s="48" t="n">
        <x:v>0.9934977579509454</x:v>
      </x:c>
      <x:c r="E1487" s="48" t="n">
        <x:v>0.7002776704006106</x:v>
      </x:c>
      <x:c r="F1487" s="48" t="n">
        <x:v>-0.0347258606669546</x:v>
      </x:c>
      <x:c r="G1487" s="48" t="n">
        <x:v>-0.021714031379811344</x:v>
      </x:c>
      <x:c r="H1487" s="48" t="n">
        <x:v>0.9298831611496676</x:v>
      </x:c>
      <x:c r="I1487" s="48" t="n">
        <x:v>0.9810021206426158</x:v>
      </x:c>
      <x:c r="J1487" s="48" t="n">
        <x:v>0.5336215880597797</x:v>
      </x:c>
      <x:c r="K1487" s="48" t="n">
        <x:v>0.8015700102882695</x:v>
      </x:c>
      <x:c r="L1487" s="48" t="n">
        <x:v>0.6984528383852426</x:v>
      </x:c>
      <x:c r="M1487" s="48" t="n">
        <x:v>0.17662806676848503</x:v>
      </x:c>
      <x:c r="N1487" s="48" t="n">
        <x:v>0.7780887972025395</x:v>
      </x:c>
      <x:c r="O1487" s="48" t="n">
        <x:v>0.8495228848656505</x:v>
      </x:c>
      <x:c r="P1487" s="48" t="n">
        <x:v>0.5979276658177367</x:v>
      </x:c>
      <x:c r="Q1487" s="48" t="n">
        <x:v>1</x:v>
      </x:c>
      <x:c r="R1487" s="48" t="n">
        <x:v>0.8141843811641091</x:v>
      </x:c>
      <x:c r="S1487" s="29" t="n">
        <x:v>0</x:v>
      </x:c>
    </x:row>
    <x:row r="1488" ht="21.600000381469727" hidden="0" customHeight="1">
      <x:c r="A1488" s="27" t="n">
        <x:v>495</x:v>
      </x:c>
      <x:c r="B1488" s="27" t="str">
        <x:v>A2</x:v>
      </x:c>
      <x:c r="C1488" s="47" t="n">
        <x:v>1.2149706119034247</x:v>
      </x:c>
      <x:c r="D1488" s="47" t="n">
        <x:v>0.9934977579509454</x:v>
      </x:c>
      <x:c r="E1488" s="47" t="n">
        <x:v>0.7002776704006106</x:v>
      </x:c>
      <x:c r="F1488" s="47" t="n">
        <x:v>-0.0347258606669546</x:v>
      </x:c>
      <x:c r="G1488" s="47" t="n">
        <x:v>-0.021714031379811344</x:v>
      </x:c>
      <x:c r="H1488" s="47" t="n">
        <x:v>0.9298831611496676</x:v>
      </x:c>
      <x:c r="I1488" s="47" t="n">
        <x:v>0.9810021206426158</x:v>
      </x:c>
      <x:c r="J1488" s="47" t="n">
        <x:v>0.5336215880597797</x:v>
      </x:c>
      <x:c r="K1488" s="47" t="n">
        <x:v>0.8015700102882695</x:v>
      </x:c>
      <x:c r="L1488" s="47" t="n">
        <x:v>0.6984528383852426</x:v>
      </x:c>
      <x:c r="M1488" s="47" t="n">
        <x:v>0.17662806676848503</x:v>
      </x:c>
      <x:c r="N1488" s="47" t="n">
        <x:v>0.7780887972025395</x:v>
      </x:c>
      <x:c r="O1488" s="47" t="n">
        <x:v>0.9432165558219644</x:v>
      </x:c>
      <x:c r="P1488" s="47" t="n">
        <x:v>0.7979354813421108</x:v>
      </x:c>
      <x:c r="Q1488" s="47" t="n">
        <x:v>1</x:v>
      </x:c>
      <x:c r="R1488" s="47" t="n">
        <x:v>0.9298813589684084</x:v>
      </x:c>
      <x:c r="S1488" s="27" t="n">
        <x:v>0</x:v>
      </x:c>
    </x:row>
    <x:row r="1489" ht="21.600000381469727" hidden="0" customHeight="1">
      <x:c r="A1489" s="29" t="n">
        <x:v>495</x:v>
      </x:c>
      <x:c r="B1489" s="29" t="str">
        <x:v>A3</x:v>
      </x:c>
      <x:c r="C1489" s="48" t="n">
        <x:v>1.2149706119034247</x:v>
      </x:c>
      <x:c r="D1489" s="48" t="n">
        <x:v>0.9934977579509454</x:v>
      </x:c>
      <x:c r="E1489" s="48" t="n">
        <x:v>0.7002776704006106</x:v>
      </x:c>
      <x:c r="F1489" s="48" t="n">
        <x:v>-0.0347258606669546</x:v>
      </x:c>
      <x:c r="G1489" s="48" t="n">
        <x:v>-0.021714031379811344</x:v>
      </x:c>
      <x:c r="H1489" s="48" t="n">
        <x:v>0.9298831611496676</x:v>
      </x:c>
      <x:c r="I1489" s="48" t="n">
        <x:v>0.9810021206426158</x:v>
      </x:c>
      <x:c r="J1489" s="48" t="n">
        <x:v>0.5336215880597797</x:v>
      </x:c>
      <x:c r="K1489" s="48" t="n">
        <x:v>0.8015700102882695</x:v>
      </x:c>
      <x:c r="L1489" s="48" t="n">
        <x:v>0.6984528383852426</x:v>
      </x:c>
      <x:c r="M1489" s="48" t="n">
        <x:v>0.17662806676848503</x:v>
      </x:c>
      <x:c r="N1489" s="48" t="n">
        <x:v>0.7780887972025395</x:v>
      </x:c>
      <x:c r="O1489" s="48" t="n">
        <x:v>1</x:v>
      </x:c>
      <x:c r="P1489" s="48" t="n">
        <x:v>1</x:v>
      </x:c>
      <x:c r="Q1489" s="48" t="n">
        <x:v>1</x:v>
      </x:c>
      <x:c r="R1489" s="48" t="n">
        <x:v>1</x:v>
      </x:c>
      <x:c r="S1489" s="29" t="n">
        <x:v>1</x:v>
      </x:c>
    </x:row>
    <x:row r="1490" ht="21.600000381469727" hidden="0" customHeight="1">
      <x:c r="A1490" s="27" t="n">
        <x:v>496</x:v>
      </x:c>
      <x:c r="B1490" s="27" t="str">
        <x:v>A1</x:v>
      </x:c>
      <x:c r="C1490" s="47" t="n">
        <x:v>1.2707565401854795</x:v>
      </x:c>
      <x:c r="D1490" s="47" t="n">
        <x:v>0.9397717114886857</x:v>
      </x:c>
      <x:c r="E1490" s="47" t="n">
        <x:v>0.9409692820397353</x:v>
      </x:c>
      <x:c r="F1490" s="47" t="n">
        <x:v>-0.0786656421060875</x:v>
      </x:c>
      <x:c r="G1490" s="47" t="n">
        <x:v>-0.01968859219748728</x:v>
      </x:c>
      <x:c r="H1490" s="47" t="n">
        <x:v>0.543969201765812</x:v>
      </x:c>
      <x:c r="I1490" s="47" t="n">
        <x:v>0.9850375762161669</x:v>
      </x:c>
      <x:c r="J1490" s="47" t="n">
        <x:v>0.4920071461633183</x:v>
      </x:c>
      <x:c r="K1490" s="47" t="n">
        <x:v>0.700788917401487</x:v>
      </x:c>
      <x:c r="L1490" s="47" t="n">
        <x:v>0.7790759086315673</x:v>
      </x:c>
      <x:c r="M1490" s="47" t="n">
        <x:v>0.1566368240314936</x:v>
      </x:c>
      <x:c r="N1490" s="47" t="n">
        <x:v>0.8464747611994539</x:v>
      </x:c>
      <x:c r="O1490" s="47" t="n">
        <x:v>0.8364466605302769</x:v>
      </x:c>
      <x:c r="P1490" s="47" t="n">
        <x:v>0.5863872356773095</x:v>
      </x:c>
      <x:c r="Q1490" s="47" t="n">
        <x:v>0.9999999999999998</x:v>
      </x:c>
      <x:c r="R1490" s="47" t="n">
        <x:v>0.798037296507781</x:v>
      </x:c>
      <x:c r="S1490" s="27" t="n">
        <x:v>0</x:v>
      </x:c>
    </x:row>
    <x:row r="1491" ht="21.600000381469727" hidden="0" customHeight="1">
      <x:c r="A1491" s="29" t="n">
        <x:v>496</x:v>
      </x:c>
      <x:c r="B1491" s="29" t="str">
        <x:v>A2</x:v>
      </x:c>
      <x:c r="C1491" s="48" t="n">
        <x:v>1.2707565401854795</x:v>
      </x:c>
      <x:c r="D1491" s="48" t="n">
        <x:v>0.9397717114886857</x:v>
      </x:c>
      <x:c r="E1491" s="48" t="n">
        <x:v>0.9409692820397353</x:v>
      </x:c>
      <x:c r="F1491" s="48" t="n">
        <x:v>-0.0786656421060875</x:v>
      </x:c>
      <x:c r="G1491" s="48" t="n">
        <x:v>-0.01968859219748728</x:v>
      </x:c>
      <x:c r="H1491" s="48" t="n">
        <x:v>0.543969201765812</x:v>
      </x:c>
      <x:c r="I1491" s="48" t="n">
        <x:v>0.9850375762161669</x:v>
      </x:c>
      <x:c r="J1491" s="48" t="n">
        <x:v>0.4920071461633183</x:v>
      </x:c>
      <x:c r="K1491" s="48" t="n">
        <x:v>0.700788917401487</x:v>
      </x:c>
      <x:c r="L1491" s="48" t="n">
        <x:v>0.7790759086315673</x:v>
      </x:c>
      <x:c r="M1491" s="48" t="n">
        <x:v>0.1566368240314936</x:v>
      </x:c>
      <x:c r="N1491" s="48" t="n">
        <x:v>0.8464747611994539</x:v>
      </x:c>
      <x:c r="O1491" s="48" t="n">
        <x:v>0.9201289912728366</x:v>
      </x:c>
      <x:c r="P1491" s="48" t="n">
        <x:v>0.7123480045365654</x:v>
      </x:c>
      <x:c r="Q1491" s="48" t="n">
        <x:v>1</x:v>
      </x:c>
      <x:c r="R1491" s="48" t="n">
        <x:v>0.9013718404925954</x:v>
      </x:c>
      <x:c r="S1491" s="29" t="n">
        <x:v>0</x:v>
      </x:c>
    </x:row>
    <x:row r="1492" ht="21.600000381469727" hidden="0" customHeight="1">
      <x:c r="A1492" s="27" t="n">
        <x:v>496</x:v>
      </x:c>
      <x:c r="B1492" s="27" t="str">
        <x:v>A3</x:v>
      </x:c>
      <x:c r="C1492" s="47" t="n">
        <x:v>1.2707565401854795</x:v>
      </x:c>
      <x:c r="D1492" s="47" t="n">
        <x:v>0.9397717114886857</x:v>
      </x:c>
      <x:c r="E1492" s="47" t="n">
        <x:v>0.9409692820397353</x:v>
      </x:c>
      <x:c r="F1492" s="47" t="n">
        <x:v>-0.0786656421060875</x:v>
      </x:c>
      <x:c r="G1492" s="47" t="n">
        <x:v>-0.01968859219748728</x:v>
      </x:c>
      <x:c r="H1492" s="47" t="n">
        <x:v>0.543969201765812</x:v>
      </x:c>
      <x:c r="I1492" s="47" t="n">
        <x:v>0.9850375762161669</x:v>
      </x:c>
      <x:c r="J1492" s="47" t="n">
        <x:v>0.4920071461633183</x:v>
      </x:c>
      <x:c r="K1492" s="47" t="n">
        <x:v>0.700788917401487</x:v>
      </x:c>
      <x:c r="L1492" s="47" t="n">
        <x:v>0.7790759086315673</x:v>
      </x:c>
      <x:c r="M1492" s="47" t="n">
        <x:v>0.1566368240314936</x:v>
      </x:c>
      <x:c r="N1492" s="47" t="n">
        <x:v>0.8464747611994539</x:v>
      </x:c>
      <x:c r="O1492" s="47" t="n">
        <x:v>1</x:v>
      </x:c>
      <x:c r="P1492" s="47" t="n">
        <x:v>1</x:v>
      </x:c>
      <x:c r="Q1492" s="47" t="n">
        <x:v>1</x:v>
      </x:c>
      <x:c r="R1492" s="47" t="n">
        <x:v>1</x:v>
      </x:c>
      <x:c r="S1492" s="27" t="n">
        <x:v>1</x:v>
      </x:c>
    </x:row>
    <x:row r="1493" ht="21.600000381469727" hidden="0" customHeight="1">
      <x:c r="A1493" s="29" t="n">
        <x:v>497</x:v>
      </x:c>
      <x:c r="B1493" s="29" t="str">
        <x:v>A1</x:v>
      </x:c>
      <x:c r="C1493" s="48" t="n">
        <x:v>1.18128604497198</x:v>
      </x:c>
      <x:c r="D1493" s="48" t="n">
        <x:v>0.8714175019828827</x:v>
      </x:c>
      <x:c r="E1493" s="48" t="n">
        <x:v>0.8911712114768076</x:v>
      </x:c>
      <x:c r="F1493" s="48" t="n">
        <x:v>-0.12269991485892813</x:v>
      </x:c>
      <x:c r="G1493" s="48" t="n">
        <x:v>-0.09291256957756869</x:v>
      </x:c>
      <x:c r="H1493" s="48" t="n">
        <x:v>0.3792909314430411</x:v>
      </x:c>
      <x:c r="I1493" s="48" t="n">
        <x:v>0.8138063057363656</x:v>
      </x:c>
      <x:c r="J1493" s="48" t="n">
        <x:v>0.9289995377766354</x:v>
      </x:c>
      <x:c r="K1493" s="48" t="n">
        <x:v>0.9215619287525656</x:v>
      </x:c>
      <x:c r="L1493" s="48" t="n">
        <x:v>0.8583725757411438</x:v>
      </x:c>
      <x:c r="M1493" s="48" t="n">
        <x:v>0.019659881448382335</x:v>
      </x:c>
      <x:c r="N1493" s="48" t="n">
        <x:v>0.7412627692883008</x:v>
      </x:c>
      <x:c r="O1493" s="48" t="n">
        <x:v>0.9112872711238709</x:v>
      </x:c>
      <x:c r="P1493" s="48" t="n">
        <x:v>0.6443224340120175</x:v>
      </x:c>
      <x:c r="Q1493" s="48" t="n">
        <x:v>1</x:v>
      </x:c>
      <x:c r="R1493" s="48" t="n">
        <x:v>0.8904537038737017</x:v>
      </x:c>
      <x:c r="S1493" s="29" t="n">
        <x:v>0</x:v>
      </x:c>
    </x:row>
    <x:row r="1494" ht="21.600000381469727" hidden="0" customHeight="1">
      <x:c r="A1494" s="27" t="n">
        <x:v>497</x:v>
      </x:c>
      <x:c r="B1494" s="27" t="str">
        <x:v>A2</x:v>
      </x:c>
      <x:c r="C1494" s="47" t="n">
        <x:v>1.18128604497198</x:v>
      </x:c>
      <x:c r="D1494" s="47" t="n">
        <x:v>0.8714175019828827</x:v>
      </x:c>
      <x:c r="E1494" s="47" t="n">
        <x:v>0.8911712114768076</x:v>
      </x:c>
      <x:c r="F1494" s="47" t="n">
        <x:v>-0.12269991485892813</x:v>
      </x:c>
      <x:c r="G1494" s="47" t="n">
        <x:v>-0.09291256957756869</x:v>
      </x:c>
      <x:c r="H1494" s="47" t="n">
        <x:v>0.3792909314430411</x:v>
      </x:c>
      <x:c r="I1494" s="47" t="n">
        <x:v>0.8138063057363656</x:v>
      </x:c>
      <x:c r="J1494" s="47" t="n">
        <x:v>0.9289995377766354</x:v>
      </x:c>
      <x:c r="K1494" s="47" t="n">
        <x:v>0.9215619287525656</x:v>
      </x:c>
      <x:c r="L1494" s="47" t="n">
        <x:v>0.8583725757411438</x:v>
      </x:c>
      <x:c r="M1494" s="47" t="n">
        <x:v>0.019659881448382335</x:v>
      </x:c>
      <x:c r="N1494" s="47" t="n">
        <x:v>0.7412627692883008</x:v>
      </x:c>
      <x:c r="O1494" s="47" t="n">
        <x:v>0.9432402964392551</x:v>
      </x:c>
      <x:c r="P1494" s="47" t="n">
        <x:v>0.635250692047654</x:v>
      </x:c>
      <x:c r="Q1494" s="47" t="n">
        <x:v>1</x:v>
      </x:c>
      <x:c r="R1494" s="47" t="n">
        <x:v>0.9299106749045191</x:v>
      </x:c>
      <x:c r="S1494" s="27" t="n">
        <x:v>0</x:v>
      </x:c>
    </x:row>
    <x:row r="1495" ht="21.600000381469727" hidden="0" customHeight="1">
      <x:c r="A1495" s="29" t="n">
        <x:v>497</x:v>
      </x:c>
      <x:c r="B1495" s="29" t="str">
        <x:v>A3</x:v>
      </x:c>
      <x:c r="C1495" s="48" t="n">
        <x:v>1.18128604497198</x:v>
      </x:c>
      <x:c r="D1495" s="48" t="n">
        <x:v>0.8714175019828827</x:v>
      </x:c>
      <x:c r="E1495" s="48" t="n">
        <x:v>0.8911712114768076</x:v>
      </x:c>
      <x:c r="F1495" s="48" t="n">
        <x:v>-0.12269991485892813</x:v>
      </x:c>
      <x:c r="G1495" s="48" t="n">
        <x:v>-0.09291256957756869</x:v>
      </x:c>
      <x:c r="H1495" s="48" t="n">
        <x:v>0.3792909314430411</x:v>
      </x:c>
      <x:c r="I1495" s="48" t="n">
        <x:v>0.8138063057363656</x:v>
      </x:c>
      <x:c r="J1495" s="48" t="n">
        <x:v>0.9289995377766354</x:v>
      </x:c>
      <x:c r="K1495" s="48" t="n">
        <x:v>0.9215619287525656</x:v>
      </x:c>
      <x:c r="L1495" s="48" t="n">
        <x:v>0.8583725757411438</x:v>
      </x:c>
      <x:c r="M1495" s="48" t="n">
        <x:v>0.019659881448382335</x:v>
      </x:c>
      <x:c r="N1495" s="48" t="n">
        <x:v>0.7412627692883008</x:v>
      </x:c>
      <x:c r="O1495" s="48" t="n">
        <x:v>1</x:v>
      </x:c>
      <x:c r="P1495" s="48" t="n">
        <x:v>1</x:v>
      </x:c>
      <x:c r="Q1495" s="48" t="n">
        <x:v>1</x:v>
      </x:c>
      <x:c r="R1495" s="48" t="n">
        <x:v>1</x:v>
      </x:c>
      <x:c r="S1495" s="29" t="n">
        <x:v>1</x:v>
      </x:c>
    </x:row>
    <x:row r="1496" ht="21.600000381469727" hidden="0" customHeight="1">
      <x:c r="A1496" s="27" t="n">
        <x:v>498</x:v>
      </x:c>
      <x:c r="B1496" s="27" t="str">
        <x:v>A1</x:v>
      </x:c>
      <x:c r="C1496" s="47" t="n">
        <x:v>1.1463983111129505</x:v>
      </x:c>
      <x:c r="D1496" s="47" t="n">
        <x:v>0.9357089627493896</x:v>
      </x:c>
      <x:c r="E1496" s="47" t="n">
        <x:v>0.4763069371499924</x:v>
      </x:c>
      <x:c r="F1496" s="47" t="n">
        <x:v>-0.10226536915374773</x:v>
      </x:c>
      <x:c r="G1496" s="47" t="n">
        <x:v>-0.1883378027385671</x:v>
      </x:c>
      <x:c r="H1496" s="47" t="n">
        <x:v>1.0342652874731748</x:v>
      </x:c>
      <x:c r="I1496" s="47" t="n">
        <x:v>0.688203609380865</x:v>
      </x:c>
      <x:c r="J1496" s="47" t="n">
        <x:v>0.7049947002760475</x:v>
      </x:c>
      <x:c r="K1496" s="47" t="n">
        <x:v>0.9516144216057246</x:v>
      </x:c>
      <x:c r="L1496" s="47" t="n">
        <x:v>0.6014048847707939</x:v>
      </x:c>
      <x:c r="M1496" s="47" t="n">
        <x:v>0.11010390898584363</x:v>
      </x:c>
      <x:c r="N1496" s="47" t="n">
        <x:v>0.7427008919733078</x:v>
      </x:c>
      <x:c r="O1496" s="47" t="n">
        <x:v>0.8502253383699879</x:v>
      </x:c>
      <x:c r="P1496" s="47" t="n">
        <x:v>0.5055730779833774</x:v>
      </x:c>
      <x:c r="Q1496" s="47" t="n">
        <x:v>1</x:v>
      </x:c>
      <x:c r="R1496" s="47" t="n">
        <x:v>0.8150518009873516</x:v>
      </x:c>
      <x:c r="S1496" s="27" t="n">
        <x:v>0</x:v>
      </x:c>
    </x:row>
    <x:row r="1497" ht="21.600000381469727" hidden="0" customHeight="1">
      <x:c r="A1497" s="29" t="n">
        <x:v>498</x:v>
      </x:c>
      <x:c r="B1497" s="29" t="str">
        <x:v>A2</x:v>
      </x:c>
      <x:c r="C1497" s="48" t="n">
        <x:v>1.1463983111129505</x:v>
      </x:c>
      <x:c r="D1497" s="48" t="n">
        <x:v>0.9357089627493896</x:v>
      </x:c>
      <x:c r="E1497" s="48" t="n">
        <x:v>0.4763069371499924</x:v>
      </x:c>
      <x:c r="F1497" s="48" t="n">
        <x:v>-0.10226536915374773</x:v>
      </x:c>
      <x:c r="G1497" s="48" t="n">
        <x:v>-0.1883378027385671</x:v>
      </x:c>
      <x:c r="H1497" s="48" t="n">
        <x:v>1.0342652874731748</x:v>
      </x:c>
      <x:c r="I1497" s="48" t="n">
        <x:v>0.688203609380865</x:v>
      </x:c>
      <x:c r="J1497" s="48" t="n">
        <x:v>0.7049947002760475</x:v>
      </x:c>
      <x:c r="K1497" s="48" t="n">
        <x:v>0.9516144216057246</x:v>
      </x:c>
      <x:c r="L1497" s="48" t="n">
        <x:v>0.6014048847707939</x:v>
      </x:c>
      <x:c r="M1497" s="48" t="n">
        <x:v>0.11010390898584363</x:v>
      </x:c>
      <x:c r="N1497" s="48" t="n">
        <x:v>0.7427008919733078</x:v>
      </x:c>
      <x:c r="O1497" s="48" t="n">
        <x:v>0.9119718268373682</x:v>
      </x:c>
      <x:c r="P1497" s="48" t="n">
        <x:v>0.5815322922115496</x:v>
      </x:c>
      <x:c r="Q1497" s="48" t="n">
        <x:v>1</x:v>
      </x:c>
      <x:c r="R1497" s="48" t="n">
        <x:v>0.8912990227344305</x:v>
      </x:c>
      <x:c r="S1497" s="29" t="n">
        <x:v>0</x:v>
      </x:c>
    </x:row>
    <x:row r="1498" ht="21.600000381469727" hidden="0" customHeight="1">
      <x:c r="A1498" s="27" t="n">
        <x:v>498</x:v>
      </x:c>
      <x:c r="B1498" s="27" t="str">
        <x:v>A3</x:v>
      </x:c>
      <x:c r="C1498" s="47" t="n">
        <x:v>1.1463983111129505</x:v>
      </x:c>
      <x:c r="D1498" s="47" t="n">
        <x:v>0.9357089627493896</x:v>
      </x:c>
      <x:c r="E1498" s="47" t="n">
        <x:v>0.4763069371499924</x:v>
      </x:c>
      <x:c r="F1498" s="47" t="n">
        <x:v>-0.10226536915374773</x:v>
      </x:c>
      <x:c r="G1498" s="47" t="n">
        <x:v>-0.1883378027385671</x:v>
      </x:c>
      <x:c r="H1498" s="47" t="n">
        <x:v>1.0342652874731748</x:v>
      </x:c>
      <x:c r="I1498" s="47" t="n">
        <x:v>0.688203609380865</x:v>
      </x:c>
      <x:c r="J1498" s="47" t="n">
        <x:v>0.7049947002760475</x:v>
      </x:c>
      <x:c r="K1498" s="47" t="n">
        <x:v>0.9516144216057246</x:v>
      </x:c>
      <x:c r="L1498" s="47" t="n">
        <x:v>0.6014048847707939</x:v>
      </x:c>
      <x:c r="M1498" s="47" t="n">
        <x:v>0.11010390898584363</x:v>
      </x:c>
      <x:c r="N1498" s="47" t="n">
        <x:v>0.7427008919733078</x:v>
      </x:c>
      <x:c r="O1498" s="47" t="n">
        <x:v>1.0000000000000002</x:v>
      </x:c>
      <x:c r="P1498" s="47" t="n">
        <x:v>1</x:v>
      </x:c>
      <x:c r="Q1498" s="47" t="n">
        <x:v>1</x:v>
      </x:c>
      <x:c r="R1498" s="47" t="n">
        <x:v>1</x:v>
      </x:c>
      <x:c r="S1498" s="27" t="n">
        <x:v>1</x:v>
      </x:c>
    </x:row>
    <x:row r="1499" ht="21.600000381469727" hidden="0" customHeight="1">
      <x:c r="A1499" s="29" t="n">
        <x:v>499</x:v>
      </x:c>
      <x:c r="B1499" s="29" t="str">
        <x:v>A1</x:v>
      </x:c>
      <x:c r="C1499" s="48" t="n">
        <x:v>0.9877142238034998</x:v>
      </x:c>
      <x:c r="D1499" s="48" t="n">
        <x:v>0.8768456727692746</x:v>
      </x:c>
      <x:c r="E1499" s="48" t="n">
        <x:v>0.7307807537370319</x:v>
      </x:c>
      <x:c r="F1499" s="48" t="n">
        <x:v>-0.007496790531293707</x:v>
      </x:c>
      <x:c r="G1499" s="48" t="n">
        <x:v>-0.18331163268955056</x:v>
      </x:c>
      <x:c r="H1499" s="48" t="n">
        <x:v>0.6794665106735398</x:v>
      </x:c>
      <x:c r="I1499" s="48" t="n">
        <x:v>0.9970245180178989</x:v>
      </x:c>
      <x:c r="J1499" s="48" t="n">
        <x:v>0.75743195437852</x:v>
      </x:c>
      <x:c r="K1499" s="48" t="n">
        <x:v>0.9698096440792807</x:v>
      </x:c>
      <x:c r="L1499" s="48" t="n">
        <x:v>0.5044577224743165</x:v>
      </x:c>
      <x:c r="M1499" s="48" t="n">
        <x:v>0.0591215918099479</x:v>
      </x:c>
      <x:c r="N1499" s="48" t="n">
        <x:v>0.6924547285968521</x:v>
      </x:c>
      <x:c r="O1499" s="48" t="n">
        <x:v>0.9398288146804219</x:v>
      </x:c>
      <x:c r="P1499" s="48" t="n">
        <x:v>0.712265371339307</x:v>
      </x:c>
      <x:c r="Q1499" s="48" t="n">
        <x:v>1</x:v>
      </x:c>
      <x:c r="R1499" s="48" t="n">
        <x:v>0.9256980303864542</x:v>
      </x:c>
      <x:c r="S1499" s="29" t="n">
        <x:v>0</x:v>
      </x:c>
    </x:row>
    <x:row r="1500" ht="21.600000381469727" hidden="0" customHeight="1">
      <x:c r="A1500" s="27" t="n">
        <x:v>499</x:v>
      </x:c>
      <x:c r="B1500" s="27" t="str">
        <x:v>A2</x:v>
      </x:c>
      <x:c r="C1500" s="47" t="n">
        <x:v>0.9877142238034998</x:v>
      </x:c>
      <x:c r="D1500" s="47" t="n">
        <x:v>0.8768456727692746</x:v>
      </x:c>
      <x:c r="E1500" s="47" t="n">
        <x:v>0.7307807537370319</x:v>
      </x:c>
      <x:c r="F1500" s="47" t="n">
        <x:v>-0.007496790531293707</x:v>
      </x:c>
      <x:c r="G1500" s="47" t="n">
        <x:v>-0.18331163268955056</x:v>
      </x:c>
      <x:c r="H1500" s="47" t="n">
        <x:v>0.6794665106735398</x:v>
      </x:c>
      <x:c r="I1500" s="47" t="n">
        <x:v>0.9970245180178989</x:v>
      </x:c>
      <x:c r="J1500" s="47" t="n">
        <x:v>0.75743195437852</x:v>
      </x:c>
      <x:c r="K1500" s="47" t="n">
        <x:v>0.9698096440792807</x:v>
      </x:c>
      <x:c r="L1500" s="47" t="n">
        <x:v>0.5044577224743165</x:v>
      </x:c>
      <x:c r="M1500" s="47" t="n">
        <x:v>0.0591215918099479</x:v>
      </x:c>
      <x:c r="N1500" s="47" t="n">
        <x:v>0.6924547285968521</x:v>
      </x:c>
      <x:c r="O1500" s="47" t="n">
        <x:v>0.9803636027711554</x:v>
      </x:c>
      <x:c r="P1500" s="47" t="n">
        <x:v>0.8036360277115543</x:v>
      </x:c>
      <x:c r="Q1500" s="47" t="n">
        <x:v>1</x:v>
      </x:c>
      <x:c r="R1500" s="47" t="n">
        <x:v>0.9757521314817378</x:v>
      </x:c>
      <x:c r="S1500" s="27" t="n">
        <x:v>0</x:v>
      </x:c>
    </x:row>
    <x:row r="1501" ht="21.600000381469727" hidden="0" customHeight="1">
      <x:c r="A1501" s="29" t="n">
        <x:v>499</x:v>
      </x:c>
      <x:c r="B1501" s="29" t="str">
        <x:v>A3</x:v>
      </x:c>
      <x:c r="C1501" s="48" t="n">
        <x:v>0.9877142238034998</x:v>
      </x:c>
      <x:c r="D1501" s="48" t="n">
        <x:v>0.8768456727692746</x:v>
      </x:c>
      <x:c r="E1501" s="48" t="n">
        <x:v>0.7307807537370319</x:v>
      </x:c>
      <x:c r="F1501" s="48" t="n">
        <x:v>-0.007496790531293707</x:v>
      </x:c>
      <x:c r="G1501" s="48" t="n">
        <x:v>-0.18331163268955056</x:v>
      </x:c>
      <x:c r="H1501" s="48" t="n">
        <x:v>0.6794665106735398</x:v>
      </x:c>
      <x:c r="I1501" s="48" t="n">
        <x:v>0.9970245180178989</x:v>
      </x:c>
      <x:c r="J1501" s="48" t="n">
        <x:v>0.75743195437852</x:v>
      </x:c>
      <x:c r="K1501" s="48" t="n">
        <x:v>0.9698096440792807</x:v>
      </x:c>
      <x:c r="L1501" s="48" t="n">
        <x:v>0.5044577224743165</x:v>
      </x:c>
      <x:c r="M1501" s="48" t="n">
        <x:v>0.0591215918099479</x:v>
      </x:c>
      <x:c r="N1501" s="48" t="n">
        <x:v>0.6924547285968521</x:v>
      </x:c>
      <x:c r="O1501" s="48" t="n">
        <x:v>1</x:v>
      </x:c>
      <x:c r="P1501" s="48" t="n">
        <x:v>1</x:v>
      </x:c>
      <x:c r="Q1501" s="48" t="n">
        <x:v>1</x:v>
      </x:c>
      <x:c r="R1501" s="48" t="n">
        <x:v>1</x:v>
      </x:c>
      <x:c r="S1501" s="29" t="n">
        <x:v>1</x:v>
      </x:c>
    </x:row>
    <x:row r="1502" ht="21.600000381469727" hidden="0" customHeight="1">
      <x:c r="A1502" s="27" t="n">
        <x:v>500</x:v>
      </x:c>
      <x:c r="B1502" s="27" t="str">
        <x:v>A1</x:v>
      </x:c>
      <x:c r="C1502" s="47" t="n">
        <x:v>1.099174667061073</x:v>
      </x:c>
      <x:c r="D1502" s="47" t="n">
        <x:v>0.9724865732725707</x:v>
      </x:c>
      <x:c r="E1502" s="47" t="n">
        <x:v>0.711497006661608</x:v>
      </x:c>
      <x:c r="F1502" s="47" t="n">
        <x:v>-0.03976588805673867</x:v>
      </x:c>
      <x:c r="G1502" s="47" t="n">
        <x:v>-0.09761514824784756</x:v>
      </x:c>
      <x:c r="H1502" s="47" t="n">
        <x:v>0.6242395150705504</x:v>
      </x:c>
      <x:c r="I1502" s="47" t="n">
        <x:v>0.6830235192062548</x:v>
      </x:c>
      <x:c r="J1502" s="47" t="n">
        <x:v>0.44045514359782</x:v>
      </x:c>
      <x:c r="K1502" s="47" t="n">
        <x:v>0.6278097366321456</x:v>
      </x:c>
      <x:c r="L1502" s="47" t="n">
        <x:v>0.5453712472488133</x:v>
      </x:c>
      <x:c r="M1502" s="47" t="n">
        <x:v>0.1108870452061831</x:v>
      </x:c>
      <x:c r="N1502" s="47" t="n">
        <x:v>0.6526966006211523</x:v>
      </x:c>
      <x:c r="O1502" s="47" t="n">
        <x:v>0.8709842613127644</x:v>
      </x:c>
      <x:c r="P1502" s="47" t="n">
        <x:v>0.6289659975097751</x:v>
      </x:c>
      <x:c r="Q1502" s="47" t="n">
        <x:v>1</x:v>
      </x:c>
      <x:c r="R1502" s="47" t="n">
        <x:v>0.8406858125746596</x:v>
      </x:c>
      <x:c r="S1502" s="27" t="n">
        <x:v>0</x:v>
      </x:c>
    </x:row>
    <x:row r="1503" ht="21.600000381469727" hidden="0" customHeight="1">
      <x:c r="A1503" s="29" t="n">
        <x:v>500</x:v>
      </x:c>
      <x:c r="B1503" s="29" t="str">
        <x:v>A2</x:v>
      </x:c>
      <x:c r="C1503" s="48" t="n">
        <x:v>1.099174667061073</x:v>
      </x:c>
      <x:c r="D1503" s="48" t="n">
        <x:v>0.9724865732725707</x:v>
      </x:c>
      <x:c r="E1503" s="48" t="n">
        <x:v>0.711497006661608</x:v>
      </x:c>
      <x:c r="F1503" s="48" t="n">
        <x:v>-0.03976588805673867</x:v>
      </x:c>
      <x:c r="G1503" s="48" t="n">
        <x:v>-0.09761514824784756</x:v>
      </x:c>
      <x:c r="H1503" s="48" t="n">
        <x:v>0.6242395150705504</x:v>
      </x:c>
      <x:c r="I1503" s="48" t="n">
        <x:v>0.6830235192062548</x:v>
      </x:c>
      <x:c r="J1503" s="48" t="n">
        <x:v>0.44045514359782</x:v>
      </x:c>
      <x:c r="K1503" s="48" t="n">
        <x:v>0.6278097366321456</x:v>
      </x:c>
      <x:c r="L1503" s="48" t="n">
        <x:v>0.5453712472488133</x:v>
      </x:c>
      <x:c r="M1503" s="48" t="n">
        <x:v>0.1108870452061831</x:v>
      </x:c>
      <x:c r="N1503" s="48" t="n">
        <x:v>0.6526966006211523</x:v>
      </x:c>
      <x:c r="O1503" s="48" t="n">
        <x:v>0.9507338581096593</x:v>
      </x:c>
      <x:c r="P1503" s="48" t="n">
        <x:v>0.7687368686405719</x:v>
      </x:c>
      <x:c r="Q1503" s="48" t="n">
        <x:v>1</x:v>
      </x:c>
      <x:c r="R1503" s="48" t="n">
        <x:v>0.9391640474045692</x:v>
      </x:c>
      <x:c r="S1503" s="29" t="n">
        <x:v>0</x:v>
      </x:c>
    </x:row>
    <x:row r="1504" ht="21.600000381469727" hidden="0" customHeight="1">
      <x:c r="A1504" s="27" t="n">
        <x:v>500</x:v>
      </x:c>
      <x:c r="B1504" s="27" t="str">
        <x:v>A3</x:v>
      </x:c>
      <x:c r="C1504" s="47" t="n">
        <x:v>1.099174667061073</x:v>
      </x:c>
      <x:c r="D1504" s="47" t="n">
        <x:v>0.9724865732725707</x:v>
      </x:c>
      <x:c r="E1504" s="47" t="n">
        <x:v>0.711497006661608</x:v>
      </x:c>
      <x:c r="F1504" s="47" t="n">
        <x:v>-0.03976588805673867</x:v>
      </x:c>
      <x:c r="G1504" s="47" t="n">
        <x:v>-0.09761514824784756</x:v>
      </x:c>
      <x:c r="H1504" s="47" t="n">
        <x:v>0.6242395150705504</x:v>
      </x:c>
      <x:c r="I1504" s="47" t="n">
        <x:v>0.6830235192062548</x:v>
      </x:c>
      <x:c r="J1504" s="47" t="n">
        <x:v>0.44045514359782</x:v>
      </x:c>
      <x:c r="K1504" s="47" t="n">
        <x:v>0.6278097366321456</x:v>
      </x:c>
      <x:c r="L1504" s="47" t="n">
        <x:v>0.5453712472488133</x:v>
      </x:c>
      <x:c r="M1504" s="47" t="n">
        <x:v>0.1108870452061831</x:v>
      </x:c>
      <x:c r="N1504" s="47" t="n">
        <x:v>0.6526966006211523</x:v>
      </x:c>
      <x:c r="O1504" s="47" t="n">
        <x:v>1</x:v>
      </x:c>
      <x:c r="P1504" s="47" t="n">
        <x:v>1</x:v>
      </x:c>
      <x:c r="Q1504" s="47" t="n">
        <x:v>1</x:v>
      </x:c>
      <x:c r="R1504" s="47" t="n">
        <x:v>1</x:v>
      </x:c>
      <x:c r="S1504" s="27" t="n">
        <x:v>1</x:v>
      </x:c>
    </x:row>
    <x:row r="1505" ht="21.600000381469727" hidden="0" customHeight="1">
      <x:c r="A1505" s="29" t="n">
        <x:v>501</x:v>
      </x:c>
      <x:c r="B1505" s="29" t="str">
        <x:v>A1</x:v>
      </x:c>
      <x:c r="C1505" s="48" t="n">
        <x:v>0.9452592326218412</x:v>
      </x:c>
      <x:c r="D1505" s="48" t="n">
        <x:v>0.9189362533963334</x:v>
      </x:c>
      <x:c r="E1505" s="48" t="n">
        <x:v>0.7424979863062348</x:v>
      </x:c>
      <x:c r="F1505" s="48" t="n">
        <x:v>-0.005374042872317131</x:v>
      </x:c>
      <x:c r="G1505" s="48" t="n">
        <x:v>0.02324657040859021</x:v>
      </x:c>
      <x:c r="H1505" s="48" t="n">
        <x:v>0.5863301134260703</x:v>
      </x:c>
      <x:c r="I1505" s="48" t="n">
        <x:v>0.9832279304693826</x:v>
      </x:c>
      <x:c r="J1505" s="48" t="n">
        <x:v>0.6651745089614409</x:v>
      </x:c>
      <x:c r="K1505" s="48" t="n">
        <x:v>0.7870253055234716</x:v>
      </x:c>
      <x:c r="L1505" s="48" t="n">
        <x:v>0.590013922723164</x:v>
      </x:c>
      <x:c r="M1505" s="48" t="n">
        <x:v>0.018533711749651748</x:v>
      </x:c>
      <x:c r="N1505" s="48" t="n">
        <x:v>0.7751114487424342</x:v>
      </x:c>
      <x:c r="O1505" s="48" t="n">
        <x:v>0.9377415799510669</x:v>
      </x:c>
      <x:c r="P1505" s="48" t="n">
        <x:v>0.7745676132539034</x:v>
      </x:c>
      <x:c r="Q1505" s="48" t="n">
        <x:v>1</x:v>
      </x:c>
      <x:c r="R1505" s="48" t="n">
        <x:v>0.9231206231006713</x:v>
      </x:c>
      <x:c r="S1505" s="29" t="n">
        <x:v>0</x:v>
      </x:c>
    </x:row>
    <x:row r="1506" ht="21.600000381469727" hidden="0" customHeight="1">
      <x:c r="A1506" s="27" t="n">
        <x:v>501</x:v>
      </x:c>
      <x:c r="B1506" s="27" t="str">
        <x:v>A2</x:v>
      </x:c>
      <x:c r="C1506" s="47" t="n">
        <x:v>0.9452592326218412</x:v>
      </x:c>
      <x:c r="D1506" s="47" t="n">
        <x:v>0.9189362533963334</x:v>
      </x:c>
      <x:c r="E1506" s="47" t="n">
        <x:v>0.7424979863062348</x:v>
      </x:c>
      <x:c r="F1506" s="47" t="n">
        <x:v>-0.005374042872317131</x:v>
      </x:c>
      <x:c r="G1506" s="47" t="n">
        <x:v>0.02324657040859021</x:v>
      </x:c>
      <x:c r="H1506" s="47" t="n">
        <x:v>0.5863301134260703</x:v>
      </x:c>
      <x:c r="I1506" s="47" t="n">
        <x:v>0.9832279304693826</x:v>
      </x:c>
      <x:c r="J1506" s="47" t="n">
        <x:v>0.6651745089614409</x:v>
      </x:c>
      <x:c r="K1506" s="47" t="n">
        <x:v>0.7870253055234716</x:v>
      </x:c>
      <x:c r="L1506" s="47" t="n">
        <x:v>0.590013922723164</x:v>
      </x:c>
      <x:c r="M1506" s="47" t="n">
        <x:v>0.018533711749651748</x:v>
      </x:c>
      <x:c r="N1506" s="47" t="n">
        <x:v>0.7751114487424342</x:v>
      </x:c>
      <x:c r="O1506" s="47" t="n">
        <x:v>0.9871070750131314</x:v>
      </x:c>
      <x:c r="P1506" s="47" t="n">
        <x:v>0.8710707501313133</x:v>
      </x:c>
      <x:c r="Q1506" s="47" t="n">
        <x:v>1</x:v>
      </x:c>
      <x:c r="R1506" s="47" t="n">
        <x:v>0.984079261269059</x:v>
      </x:c>
      <x:c r="S1506" s="27" t="n">
        <x:v>0</x:v>
      </x:c>
    </x:row>
    <x:row r="1507" ht="21.600000381469727" hidden="0" customHeight="1">
      <x:c r="A1507" s="29" t="n">
        <x:v>501</x:v>
      </x:c>
      <x:c r="B1507" s="29" t="str">
        <x:v>A3</x:v>
      </x:c>
      <x:c r="C1507" s="48" t="n">
        <x:v>0.9452592326218412</x:v>
      </x:c>
      <x:c r="D1507" s="48" t="n">
        <x:v>0.9189362533963334</x:v>
      </x:c>
      <x:c r="E1507" s="48" t="n">
        <x:v>0.7424979863062348</x:v>
      </x:c>
      <x:c r="F1507" s="48" t="n">
        <x:v>-0.005374042872317131</x:v>
      </x:c>
      <x:c r="G1507" s="48" t="n">
        <x:v>0.02324657040859021</x:v>
      </x:c>
      <x:c r="H1507" s="48" t="n">
        <x:v>0.5863301134260703</x:v>
      </x:c>
      <x:c r="I1507" s="48" t="n">
        <x:v>0.9832279304693826</x:v>
      </x:c>
      <x:c r="J1507" s="48" t="n">
        <x:v>0.6651745089614409</x:v>
      </x:c>
      <x:c r="K1507" s="48" t="n">
        <x:v>0.7870253055234716</x:v>
      </x:c>
      <x:c r="L1507" s="48" t="n">
        <x:v>0.590013922723164</x:v>
      </x:c>
      <x:c r="M1507" s="48" t="n">
        <x:v>0.018533711749651748</x:v>
      </x:c>
      <x:c r="N1507" s="48" t="n">
        <x:v>0.7751114487424342</x:v>
      </x:c>
      <x:c r="O1507" s="48" t="n">
        <x:v>1</x:v>
      </x:c>
      <x:c r="P1507" s="48" t="n">
        <x:v>1</x:v>
      </x:c>
      <x:c r="Q1507" s="48" t="n">
        <x:v>1</x:v>
      </x:c>
      <x:c r="R1507" s="48" t="n">
        <x:v>1.0000000000000002</x:v>
      </x:c>
      <x:c r="S1507" s="29" t="n">
        <x:v>1</x:v>
      </x:c>
    </x:row>
    <x:row r="1508" ht="21.600000381469727" hidden="0" customHeight="1">
      <x:c r="A1508" s="27" t="n">
        <x:v>502</x:v>
      </x:c>
      <x:c r="B1508" s="27" t="str">
        <x:v>A1</x:v>
      </x:c>
      <x:c r="C1508" s="47" t="n">
        <x:v>1.091724358031763</x:v>
      </x:c>
      <x:c r="D1508" s="47" t="n">
        <x:v>0.9495972265018847</x:v>
      </x:c>
      <x:c r="E1508" s="47" t="n">
        <x:v>0.7292745045617691</x:v>
      </x:c>
      <x:c r="F1508" s="47" t="n">
        <x:v>-0.10404838651903889</x:v>
      </x:c>
      <x:c r="G1508" s="47" t="n">
        <x:v>-0.1322242168521478</x:v>
      </x:c>
      <x:c r="H1508" s="47" t="n">
        <x:v>1.0085816748654512</x:v>
      </x:c>
      <x:c r="I1508" s="47" t="n">
        <x:v>0.6689577763604666</x:v>
      </x:c>
      <x:c r="J1508" s="47" t="n">
        <x:v>0.9832107551872512</x:v>
      </x:c>
      <x:c r="K1508" s="47" t="n">
        <x:v>0.7166581946388374</x:v>
      </x:c>
      <x:c r="L1508" s="47" t="n">
        <x:v>0.7394807449206156</x:v>
      </x:c>
      <x:c r="M1508" s="47" t="n">
        <x:v>0.036669285604330006</x:v>
      </x:c>
      <x:c r="N1508" s="47" t="n">
        <x:v>0.6731553045624816</x:v>
      </x:c>
      <x:c r="O1508" s="47" t="n">
        <x:v>0.9155851356151955</x:v>
      </x:c>
      <x:c r="P1508" s="47" t="n">
        <x:v>0.6040214333792226</x:v>
      </x:c>
      <x:c r="Q1508" s="47" t="n">
        <x:v>1</x:v>
      </x:c>
      <x:c r="R1508" s="47" t="n">
        <x:v>0.8957608919428993</x:v>
      </x:c>
      <x:c r="S1508" s="27" t="n">
        <x:v>0</x:v>
      </x:c>
    </x:row>
    <x:row r="1509" ht="21.600000381469727" hidden="0" customHeight="1">
      <x:c r="A1509" s="29" t="n">
        <x:v>502</x:v>
      </x:c>
      <x:c r="B1509" s="29" t="str">
        <x:v>A2</x:v>
      </x:c>
      <x:c r="C1509" s="48" t="n">
        <x:v>1.091724358031763</x:v>
      </x:c>
      <x:c r="D1509" s="48" t="n">
        <x:v>0.9495972265018847</x:v>
      </x:c>
      <x:c r="E1509" s="48" t="n">
        <x:v>0.7292745045617691</x:v>
      </x:c>
      <x:c r="F1509" s="48" t="n">
        <x:v>-0.10404838651903889</x:v>
      </x:c>
      <x:c r="G1509" s="48" t="n">
        <x:v>-0.1322242168521478</x:v>
      </x:c>
      <x:c r="H1509" s="48" t="n">
        <x:v>1.0085816748654512</x:v>
      </x:c>
      <x:c r="I1509" s="48" t="n">
        <x:v>0.6689577763604666</x:v>
      </x:c>
      <x:c r="J1509" s="48" t="n">
        <x:v>0.9832107551872512</x:v>
      </x:c>
      <x:c r="K1509" s="48" t="n">
        <x:v>0.7166581946388374</x:v>
      </x:c>
      <x:c r="L1509" s="48" t="n">
        <x:v>0.7394807449206156</x:v>
      </x:c>
      <x:c r="M1509" s="48" t="n">
        <x:v>0.036669285604330006</x:v>
      </x:c>
      <x:c r="N1509" s="48" t="n">
        <x:v>0.6731553045624816</x:v>
      </x:c>
      <x:c r="O1509" s="48" t="n">
        <x:v>0.9699298222306814</x:v>
      </x:c>
      <x:c r="P1509" s="48" t="n">
        <x:v>0.7741243264830381</x:v>
      </x:c>
      <x:c r="Q1509" s="48" t="n">
        <x:v>1</x:v>
      </x:c>
      <x:c r="R1509" s="48" t="n">
        <x:v>0.9628680501634914</x:v>
      </x:c>
      <x:c r="S1509" s="29" t="n">
        <x:v>0</x:v>
      </x:c>
    </x:row>
    <x:row r="1510" ht="21.600000381469727" hidden="0" customHeight="1">
      <x:c r="A1510" s="27" t="n">
        <x:v>502</x:v>
      </x:c>
      <x:c r="B1510" s="27" t="str">
        <x:v>A3</x:v>
      </x:c>
      <x:c r="C1510" s="47" t="n">
        <x:v>1.091724358031763</x:v>
      </x:c>
      <x:c r="D1510" s="47" t="n">
        <x:v>0.9495972265018847</x:v>
      </x:c>
      <x:c r="E1510" s="47" t="n">
        <x:v>0.7292745045617691</x:v>
      </x:c>
      <x:c r="F1510" s="47" t="n">
        <x:v>-0.10404838651903889</x:v>
      </x:c>
      <x:c r="G1510" s="47" t="n">
        <x:v>-0.1322242168521478</x:v>
      </x:c>
      <x:c r="H1510" s="47" t="n">
        <x:v>1.0085816748654512</x:v>
      </x:c>
      <x:c r="I1510" s="47" t="n">
        <x:v>0.6689577763604666</x:v>
      </x:c>
      <x:c r="J1510" s="47" t="n">
        <x:v>0.9832107551872512</x:v>
      </x:c>
      <x:c r="K1510" s="47" t="n">
        <x:v>0.7166581946388374</x:v>
      </x:c>
      <x:c r="L1510" s="47" t="n">
        <x:v>0.7394807449206156</x:v>
      </x:c>
      <x:c r="M1510" s="47" t="n">
        <x:v>0.036669285604330006</x:v>
      </x:c>
      <x:c r="N1510" s="47" t="n">
        <x:v>0.6731553045624816</x:v>
      </x:c>
      <x:c r="O1510" s="47" t="n">
        <x:v>1</x:v>
      </x:c>
      <x:c r="P1510" s="47" t="n">
        <x:v>1</x:v>
      </x:c>
      <x:c r="Q1510" s="47" t="n">
        <x:v>1</x:v>
      </x:c>
      <x:c r="R1510" s="47" t="n">
        <x:v>1</x:v>
      </x:c>
      <x:c r="S1510" s="27" t="n">
        <x:v>1</x:v>
      </x:c>
    </x:row>
    <x:row r="1511" ht="21.600000381469727" hidden="0" customHeight="1">
      <x:c r="A1511" s="29" t="n">
        <x:v>503</x:v>
      </x:c>
      <x:c r="B1511" s="29" t="str">
        <x:v>A1</x:v>
      </x:c>
      <x:c r="C1511" s="48" t="n">
        <x:v>1.332220057364323</x:v>
      </x:c>
      <x:c r="D1511" s="48" t="n">
        <x:v>0.7727377218238609</x:v>
      </x:c>
      <x:c r="E1511" s="48" t="n">
        <x:v>0.5473946907050229</x:v>
      </x:c>
      <x:c r="F1511" s="48" t="n">
        <x:v>-0.041236999174510236</x:v>
      </x:c>
      <x:c r="G1511" s="48" t="n">
        <x:v>-0.1836945408576357</x:v>
      </x:c>
      <x:c r="H1511" s="48" t="n">
        <x:v>0.6385386441363101</x:v>
      </x:c>
      <x:c r="I1511" s="48" t="n">
        <x:v>0.7693115722353572</x:v>
      </x:c>
      <x:c r="J1511" s="48" t="n">
        <x:v>0.5254490598387656</x:v>
      </x:c>
      <x:c r="K1511" s="48" t="n">
        <x:v>0.5970605598650068</x:v>
      </x:c>
      <x:c r="L1511" s="48" t="n">
        <x:v>0.7271479570053819</x:v>
      </x:c>
      <x:c r="M1511" s="48" t="n">
        <x:v>0.13800346687179238</x:v>
      </x:c>
      <x:c r="N1511" s="48" t="n">
        <x:v>0.749982748186694</x:v>
      </x:c>
      <x:c r="O1511" s="48" t="n">
        <x:v>0.6754803920169222</x:v>
      </x:c>
      <x:c r="P1511" s="48" t="n">
        <x:v>0.3860025787439765</x:v>
      </x:c>
      <x:c r="Q1511" s="48" t="n">
        <x:v>0.8265563096123131</x:v>
      </x:c>
      <x:c r="R1511" s="48" t="n">
        <x:v>0.6009378803064493</x:v>
      </x:c>
      <x:c r="S1511" s="29" t="n">
        <x:v>0</x:v>
      </x:c>
    </x:row>
    <x:row r="1512" ht="21.600000381469727" hidden="0" customHeight="1">
      <x:c r="A1512" s="27" t="n">
        <x:v>503</x:v>
      </x:c>
      <x:c r="B1512" s="27" t="str">
        <x:v>A2</x:v>
      </x:c>
      <x:c r="C1512" s="47" t="n">
        <x:v>1.332220057364323</x:v>
      </x:c>
      <x:c r="D1512" s="47" t="n">
        <x:v>0.7727377218238609</x:v>
      </x:c>
      <x:c r="E1512" s="47" t="n">
        <x:v>0.5473946907050229</x:v>
      </x:c>
      <x:c r="F1512" s="47" t="n">
        <x:v>-0.041236999174510236</x:v>
      </x:c>
      <x:c r="G1512" s="47" t="n">
        <x:v>-0.1836945408576357</x:v>
      </x:c>
      <x:c r="H1512" s="47" t="n">
        <x:v>0.6385386441363101</x:v>
      </x:c>
      <x:c r="I1512" s="47" t="n">
        <x:v>0.7693115722353572</x:v>
      </x:c>
      <x:c r="J1512" s="47" t="n">
        <x:v>0.5254490598387656</x:v>
      </x:c>
      <x:c r="K1512" s="47" t="n">
        <x:v>0.5970605598650068</x:v>
      </x:c>
      <x:c r="L1512" s="47" t="n">
        <x:v>0.7271479570053819</x:v>
      </x:c>
      <x:c r="M1512" s="47" t="n">
        <x:v>0.13800346687179238</x:v>
      </x:c>
      <x:c r="N1512" s="47" t="n">
        <x:v>0.749982748186694</x:v>
      </x:c>
      <x:c r="O1512" s="47" t="n">
        <x:v>0.7271079670635148</x:v>
      </x:c>
      <x:c r="P1512" s="47" t="n">
        <x:v>0.396247745773637</x:v>
      </x:c>
      <x:c r="Q1512" s="47" t="n">
        <x:v>0.9451516136341245</x:v>
      </x:c>
      <x:c r="R1512" s="47" t="n">
        <x:v>0.6634285224218042</x:v>
      </x:c>
      <x:c r="S1512" s="27" t="n">
        <x:v>0</x:v>
      </x:c>
    </x:row>
    <x:row r="1513" ht="21.600000381469727" hidden="0" customHeight="1">
      <x:c r="A1513" s="29" t="n">
        <x:v>503</x:v>
      </x:c>
      <x:c r="B1513" s="29" t="str">
        <x:v>A3</x:v>
      </x:c>
      <x:c r="C1513" s="48" t="n">
        <x:v>1.332220057364323</x:v>
      </x:c>
      <x:c r="D1513" s="48" t="n">
        <x:v>0.7727377218238609</x:v>
      </x:c>
      <x:c r="E1513" s="48" t="n">
        <x:v>0.5473946907050229</x:v>
      </x:c>
      <x:c r="F1513" s="48" t="n">
        <x:v>-0.041236999174510236</x:v>
      </x:c>
      <x:c r="G1513" s="48" t="n">
        <x:v>-0.1836945408576357</x:v>
      </x:c>
      <x:c r="H1513" s="48" t="n">
        <x:v>0.6385386441363101</x:v>
      </x:c>
      <x:c r="I1513" s="48" t="n">
        <x:v>0.7693115722353572</x:v>
      </x:c>
      <x:c r="J1513" s="48" t="n">
        <x:v>0.5254490598387656</x:v>
      </x:c>
      <x:c r="K1513" s="48" t="n">
        <x:v>0.5970605598650068</x:v>
      </x:c>
      <x:c r="L1513" s="48" t="n">
        <x:v>0.7271479570053819</x:v>
      </x:c>
      <x:c r="M1513" s="48" t="n">
        <x:v>0.13800346687179238</x:v>
      </x:c>
      <x:c r="N1513" s="48" t="n">
        <x:v>0.749982748186694</x:v>
      </x:c>
      <x:c r="O1513" s="48" t="n">
        <x:v>0.9957373958389685</x:v>
      </x:c>
      <x:c r="P1513" s="48" t="n">
        <x:v>0.9573739583896852</x:v>
      </x:c>
      <x:c r="Q1513" s="48" t="n">
        <x:v>1</x:v>
      </x:c>
      <x:c r="R1513" s="48" t="n">
        <x:v>0.9947363529043781</x:v>
      </x:c>
      <x:c r="S1513" s="29" t="n">
        <x:v>1</x:v>
      </x:c>
    </x:row>
    <x:row r="1514" ht="21.600000381469727" hidden="0" customHeight="1">
      <x:c r="A1514" s="27" t="n">
        <x:v>504</x:v>
      </x:c>
      <x:c r="B1514" s="27" t="str">
        <x:v>A1</x:v>
      </x:c>
      <x:c r="C1514" s="47" t="n">
        <x:v>1.333945618992316</x:v>
      </x:c>
      <x:c r="D1514" s="47" t="n">
        <x:v>0.7873800598928662</x:v>
      </x:c>
      <x:c r="E1514" s="47" t="n">
        <x:v>0.8916728716216133</x:v>
      </x:c>
      <x:c r="F1514" s="47" t="n">
        <x:v>-0.16966600801966214</x:v>
      </x:c>
      <x:c r="G1514" s="47" t="n">
        <x:v>0.017872324322489058</x:v>
      </x:c>
      <x:c r="H1514" s="47" t="n">
        <x:v>0.4004829439180354</x:v>
      </x:c>
      <x:c r="I1514" s="47" t="n">
        <x:v>0.9910151977590473</x:v>
      </x:c>
      <x:c r="J1514" s="47" t="n">
        <x:v>0.8316187397523693</x:v>
      </x:c>
      <x:c r="K1514" s="47" t="n">
        <x:v>0.5618881690431053</x:v>
      </x:c>
      <x:c r="L1514" s="47" t="n">
        <x:v>0.8647776653367885</x:v>
      </x:c>
      <x:c r="M1514" s="47" t="n">
        <x:v>0.05573351571347361</x:v>
      </x:c>
      <x:c r="N1514" s="47" t="n">
        <x:v>0.9118298235102162</x:v>
      </x:c>
      <x:c r="O1514" s="47" t="n">
        <x:v>0.7154071513615162</x:v>
      </x:c>
      <x:c r="P1514" s="47" t="n">
        <x:v>0.4502738462490045</x:v>
      </x:c>
      <x:c r="Q1514" s="47" t="n">
        <x:v>1</x:v>
      </x:c>
      <x:c r="R1514" s="47" t="n">
        <x:v>0.6485725006170221</x:v>
      </x:c>
      <x:c r="S1514" s="27" t="n">
        <x:v>0</x:v>
      </x:c>
    </x:row>
    <x:row r="1515" ht="21.600000381469727" hidden="0" customHeight="1">
      <x:c r="A1515" s="29" t="n">
        <x:v>504</x:v>
      </x:c>
      <x:c r="B1515" s="29" t="str">
        <x:v>A2</x:v>
      </x:c>
      <x:c r="C1515" s="48" t="n">
        <x:v>1.333945618992316</x:v>
      </x:c>
      <x:c r="D1515" s="48" t="n">
        <x:v>0.7873800598928662</x:v>
      </x:c>
      <x:c r="E1515" s="48" t="n">
        <x:v>0.8916728716216133</x:v>
      </x:c>
      <x:c r="F1515" s="48" t="n">
        <x:v>-0.16966600801966214</x:v>
      </x:c>
      <x:c r="G1515" s="48" t="n">
        <x:v>0.017872324322489058</x:v>
      </x:c>
      <x:c r="H1515" s="48" t="n">
        <x:v>0.4004829439180354</x:v>
      </x:c>
      <x:c r="I1515" s="48" t="n">
        <x:v>0.9910151977590473</x:v>
      </x:c>
      <x:c r="J1515" s="48" t="n">
        <x:v>0.8316187397523693</x:v>
      </x:c>
      <x:c r="K1515" s="48" t="n">
        <x:v>0.5618881690431053</x:v>
      </x:c>
      <x:c r="L1515" s="48" t="n">
        <x:v>0.8647776653367885</x:v>
      </x:c>
      <x:c r="M1515" s="48" t="n">
        <x:v>0.05573351571347361</x:v>
      </x:c>
      <x:c r="N1515" s="48" t="n">
        <x:v>0.9118298235102162</x:v>
      </x:c>
      <x:c r="O1515" s="48" t="n">
        <x:v>0.7962737146552898</x:v>
      </x:c>
      <x:c r="P1515" s="48" t="n">
        <x:v>0.5175100904656665</x:v>
      </x:c>
      <x:c r="Q1515" s="48" t="n">
        <x:v>1</x:v>
      </x:c>
      <x:c r="R1515" s="48" t="n">
        <x:v>0.7484300137554718</x:v>
      </x:c>
      <x:c r="S1515" s="29" t="n">
        <x:v>0</x:v>
      </x:c>
    </x:row>
    <x:row r="1516" ht="21.600000381469727" hidden="0" customHeight="1">
      <x:c r="A1516" s="27" t="n">
        <x:v>504</x:v>
      </x:c>
      <x:c r="B1516" s="27" t="str">
        <x:v>A3</x:v>
      </x:c>
      <x:c r="C1516" s="47" t="n">
        <x:v>1.333945618992316</x:v>
      </x:c>
      <x:c r="D1516" s="47" t="n">
        <x:v>0.7873800598928662</x:v>
      </x:c>
      <x:c r="E1516" s="47" t="n">
        <x:v>0.8916728716216133</x:v>
      </x:c>
      <x:c r="F1516" s="47" t="n">
        <x:v>-0.16966600801966214</x:v>
      </x:c>
      <x:c r="G1516" s="47" t="n">
        <x:v>0.017872324322489058</x:v>
      </x:c>
      <x:c r="H1516" s="47" t="n">
        <x:v>0.4004829439180354</x:v>
      </x:c>
      <x:c r="I1516" s="47" t="n">
        <x:v>0.9910151977590473</x:v>
      </x:c>
      <x:c r="J1516" s="47" t="n">
        <x:v>0.8316187397523693</x:v>
      </x:c>
      <x:c r="K1516" s="47" t="n">
        <x:v>0.5618881690431053</x:v>
      </x:c>
      <x:c r="L1516" s="47" t="n">
        <x:v>0.8647776653367885</x:v>
      </x:c>
      <x:c r="M1516" s="47" t="n">
        <x:v>0.05573351571347361</x:v>
      </x:c>
      <x:c r="N1516" s="47" t="n">
        <x:v>0.9118298235102162</x:v>
      </x:c>
      <x:c r="O1516" s="47" t="n">
        <x:v>1</x:v>
      </x:c>
      <x:c r="P1516" s="47" t="n">
        <x:v>1</x:v>
      </x:c>
      <x:c r="Q1516" s="47" t="n">
        <x:v>1</x:v>
      </x:c>
      <x:c r="R1516" s="47" t="n">
        <x:v>1</x:v>
      </x:c>
      <x:c r="S1516" s="27" t="n">
        <x:v>1</x:v>
      </x:c>
    </x:row>
    <x:row r="1517" ht="21.600000381469727" hidden="0" customHeight="1">
      <x:c r="A1517" s="29" t="n">
        <x:v>505</x:v>
      </x:c>
      <x:c r="B1517" s="29" t="str">
        <x:v>A1</x:v>
      </x:c>
      <x:c r="C1517" s="48" t="n">
        <x:v>1.1418545463018133</x:v>
      </x:c>
      <x:c r="D1517" s="48" t="n">
        <x:v>0.8853464241984337</x:v>
      </x:c>
      <x:c r="E1517" s="48" t="n">
        <x:v>0.7487500249625157</x:v>
      </x:c>
      <x:c r="F1517" s="48" t="n">
        <x:v>-0.0104779233835669</x:v>
      </x:c>
      <x:c r="G1517" s="48" t="n">
        <x:v>-0.18541877333265513</x:v>
      </x:c>
      <x:c r="H1517" s="48" t="n">
        <x:v>0.9069585929527575</x:v>
      </x:c>
      <x:c r="I1517" s="48" t="n">
        <x:v>1.0168487178044638</x:v>
      </x:c>
      <x:c r="J1517" s="48" t="n">
        <x:v>0.7313097776231243</x:v>
      </x:c>
      <x:c r="K1517" s="48" t="n">
        <x:v>0.7622340695945916</x:v>
      </x:c>
      <x:c r="L1517" s="48" t="n">
        <x:v>0.8770922029323767</x:v>
      </x:c>
      <x:c r="M1517" s="48" t="n">
        <x:v>0.1773609266038882</x:v>
      </x:c>
      <x:c r="N1517" s="48" t="n">
        <x:v>0.7494874666374315</x:v>
      </x:c>
      <x:c r="O1517" s="48" t="n">
        <x:v>0.882539366761846</x:v>
      </x:c>
      <x:c r="P1517" s="48" t="n">
        <x:v>0.6849850475235894</x:v>
      </x:c>
      <x:c r="Q1517" s="48" t="n">
        <x:v>1</x:v>
      </x:c>
      <x:c r="R1517" s="48" t="n">
        <x:v>0.85495455415585</x:v>
      </x:c>
      <x:c r="S1517" s="29" t="n">
        <x:v>0</x:v>
      </x:c>
    </x:row>
    <x:row r="1518" ht="21.600000381469727" hidden="0" customHeight="1">
      <x:c r="A1518" s="27" t="n">
        <x:v>505</x:v>
      </x:c>
      <x:c r="B1518" s="27" t="str">
        <x:v>A2</x:v>
      </x:c>
      <x:c r="C1518" s="47" t="n">
        <x:v>1.1418545463018133</x:v>
      </x:c>
      <x:c r="D1518" s="47" t="n">
        <x:v>0.8853464241984337</x:v>
      </x:c>
      <x:c r="E1518" s="47" t="n">
        <x:v>0.7487500249625157</x:v>
      </x:c>
      <x:c r="F1518" s="47" t="n">
        <x:v>-0.0104779233835669</x:v>
      </x:c>
      <x:c r="G1518" s="47" t="n">
        <x:v>-0.18541877333265513</x:v>
      </x:c>
      <x:c r="H1518" s="47" t="n">
        <x:v>0.9069585929527575</x:v>
      </x:c>
      <x:c r="I1518" s="47" t="n">
        <x:v>1.0168487178044638</x:v>
      </x:c>
      <x:c r="J1518" s="47" t="n">
        <x:v>0.7313097776231243</x:v>
      </x:c>
      <x:c r="K1518" s="47" t="n">
        <x:v>0.7622340695945916</x:v>
      </x:c>
      <x:c r="L1518" s="47" t="n">
        <x:v>0.8770922029323767</x:v>
      </x:c>
      <x:c r="M1518" s="47" t="n">
        <x:v>0.1773609266038882</x:v>
      </x:c>
      <x:c r="N1518" s="47" t="n">
        <x:v>0.7494874666374315</x:v>
      </x:c>
      <x:c r="O1518" s="47" t="n">
        <x:v>0.9566797365114836</x:v>
      </x:c>
      <x:c r="P1518" s="47" t="n">
        <x:v>0.6512643898429251</x:v>
      </x:c>
      <x:c r="Q1518" s="47" t="n">
        <x:v>1</x:v>
      </x:c>
      <x:c r="R1518" s="47" t="n">
        <x:v>0.9465062739868072</x:v>
      </x:c>
      <x:c r="S1518" s="27" t="n">
        <x:v>0</x:v>
      </x:c>
    </x:row>
    <x:row r="1519" ht="21.600000381469727" hidden="0" customHeight="1">
      <x:c r="A1519" s="29" t="n">
        <x:v>505</x:v>
      </x:c>
      <x:c r="B1519" s="29" t="str">
        <x:v>A3</x:v>
      </x:c>
      <x:c r="C1519" s="48" t="n">
        <x:v>1.1418545463018133</x:v>
      </x:c>
      <x:c r="D1519" s="48" t="n">
        <x:v>0.8853464241984337</x:v>
      </x:c>
      <x:c r="E1519" s="48" t="n">
        <x:v>0.7487500249625157</x:v>
      </x:c>
      <x:c r="F1519" s="48" t="n">
        <x:v>-0.0104779233835669</x:v>
      </x:c>
      <x:c r="G1519" s="48" t="n">
        <x:v>-0.18541877333265513</x:v>
      </x:c>
      <x:c r="H1519" s="48" t="n">
        <x:v>0.9069585929527575</x:v>
      </x:c>
      <x:c r="I1519" s="48" t="n">
        <x:v>1.0168487178044638</x:v>
      </x:c>
      <x:c r="J1519" s="48" t="n">
        <x:v>0.7313097776231243</x:v>
      </x:c>
      <x:c r="K1519" s="48" t="n">
        <x:v>0.7622340695945916</x:v>
      </x:c>
      <x:c r="L1519" s="48" t="n">
        <x:v>0.8770922029323767</x:v>
      </x:c>
      <x:c r="M1519" s="48" t="n">
        <x:v>0.1773609266038882</x:v>
      </x:c>
      <x:c r="N1519" s="48" t="n">
        <x:v>0.7494874666374315</x:v>
      </x:c>
      <x:c r="O1519" s="48" t="n">
        <x:v>1</x:v>
      </x:c>
      <x:c r="P1519" s="48" t="n">
        <x:v>1</x:v>
      </x:c>
      <x:c r="Q1519" s="48" t="n">
        <x:v>1</x:v>
      </x:c>
      <x:c r="R1519" s="48" t="n">
        <x:v>1</x:v>
      </x:c>
      <x:c r="S1519" s="29" t="n">
        <x:v>1</x:v>
      </x:c>
    </x:row>
    <x:row r="1520" ht="21.600000381469727" hidden="0" customHeight="1">
      <x:c r="A1520" s="27" t="n">
        <x:v>506</x:v>
      </x:c>
      <x:c r="B1520" s="27" t="str">
        <x:v>A1</x:v>
      </x:c>
      <x:c r="C1520" s="47" t="n">
        <x:v>1.2898628670987433</x:v>
      </x:c>
      <x:c r="D1520" s="47" t="n">
        <x:v>0.9066565167380395</x:v>
      </x:c>
      <x:c r="E1520" s="47" t="n">
        <x:v>0.5567473547960602</x:v>
      </x:c>
      <x:c r="F1520" s="47" t="n">
        <x:v>-0.04497039115900983</x:v>
      </x:c>
      <x:c r="G1520" s="47" t="n">
        <x:v>0.023866052041453728</x:v>
      </x:c>
      <x:c r="H1520" s="47" t="n">
        <x:v>0.6884192450089823</x:v>
      </x:c>
      <x:c r="I1520" s="47" t="n">
        <x:v>0.8781360261764037</x:v>
      </x:c>
      <x:c r="J1520" s="47" t="n">
        <x:v>0.4728932657331183</x:v>
      </x:c>
      <x:c r="K1520" s="47" t="n">
        <x:v>0.5705139893995551</x:v>
      </x:c>
      <x:c r="L1520" s="47" t="n">
        <x:v>0.8010373000074609</x:v>
      </x:c>
      <x:c r="M1520" s="47" t="n">
        <x:v>0.17390513461918974</x:v>
      </x:c>
      <x:c r="N1520" s="47" t="n">
        <x:v>0.7890294029662063</x:v>
      </x:c>
      <x:c r="O1520" s="47" t="n">
        <x:v>0.771301565058675</x:v>
      </x:c>
      <x:c r="P1520" s="47" t="n">
        <x:v>0.48486564751371286</x:v>
      </x:c>
      <x:c r="Q1520" s="47" t="n">
        <x:v>1</x:v>
      </x:c>
      <x:c r="R1520" s="47" t="n">
        <x:v>0.7175933285438064</x:v>
      </x:c>
      <x:c r="S1520" s="27" t="n">
        <x:v>0</x:v>
      </x:c>
    </x:row>
    <x:row r="1521" ht="21.600000381469727" hidden="0" customHeight="1">
      <x:c r="A1521" s="29" t="n">
        <x:v>506</x:v>
      </x:c>
      <x:c r="B1521" s="29" t="str">
        <x:v>A2</x:v>
      </x:c>
      <x:c r="C1521" s="48" t="n">
        <x:v>1.2898628670987433</x:v>
      </x:c>
      <x:c r="D1521" s="48" t="n">
        <x:v>0.9066565167380395</x:v>
      </x:c>
      <x:c r="E1521" s="48" t="n">
        <x:v>0.5567473547960602</x:v>
      </x:c>
      <x:c r="F1521" s="48" t="n">
        <x:v>-0.04497039115900983</x:v>
      </x:c>
      <x:c r="G1521" s="48" t="n">
        <x:v>0.023866052041453728</x:v>
      </x:c>
      <x:c r="H1521" s="48" t="n">
        <x:v>0.6884192450089823</x:v>
      </x:c>
      <x:c r="I1521" s="48" t="n">
        <x:v>0.8781360261764037</x:v>
      </x:c>
      <x:c r="J1521" s="48" t="n">
        <x:v>0.4728932657331183</x:v>
      </x:c>
      <x:c r="K1521" s="48" t="n">
        <x:v>0.5705139893995551</x:v>
      </x:c>
      <x:c r="L1521" s="48" t="n">
        <x:v>0.8010373000074609</x:v>
      </x:c>
      <x:c r="M1521" s="48" t="n">
        <x:v>0.17390513461918974</x:v>
      </x:c>
      <x:c r="N1521" s="48" t="n">
        <x:v>0.7890294029662063</x:v>
      </x:c>
      <x:c r="O1521" s="48" t="n">
        <x:v>0.8514304828194619</x:v>
      </x:c>
      <x:c r="P1521" s="48" t="n">
        <x:v>0.5826483940749332</x:v>
      </x:c>
      <x:c r="Q1521" s="48" t="n">
        <x:v>1</x:v>
      </x:c>
      <x:c r="R1521" s="48" t="n">
        <x:v>0.8165399652272477</x:v>
      </x:c>
      <x:c r="S1521" s="29" t="n">
        <x:v>0</x:v>
      </x:c>
    </x:row>
    <x:row r="1522" ht="21.600000381469727" hidden="0" customHeight="1">
      <x:c r="A1522" s="27" t="n">
        <x:v>506</x:v>
      </x:c>
      <x:c r="B1522" s="27" t="str">
        <x:v>A3</x:v>
      </x:c>
      <x:c r="C1522" s="47" t="n">
        <x:v>1.2898628670987433</x:v>
      </x:c>
      <x:c r="D1522" s="47" t="n">
        <x:v>0.9066565167380395</x:v>
      </x:c>
      <x:c r="E1522" s="47" t="n">
        <x:v>0.5567473547960602</x:v>
      </x:c>
      <x:c r="F1522" s="47" t="n">
        <x:v>-0.04497039115900983</x:v>
      </x:c>
      <x:c r="G1522" s="47" t="n">
        <x:v>0.023866052041453728</x:v>
      </x:c>
      <x:c r="H1522" s="47" t="n">
        <x:v>0.6884192450089823</x:v>
      </x:c>
      <x:c r="I1522" s="47" t="n">
        <x:v>0.8781360261764037</x:v>
      </x:c>
      <x:c r="J1522" s="47" t="n">
        <x:v>0.4728932657331183</x:v>
      </x:c>
      <x:c r="K1522" s="47" t="n">
        <x:v>0.5705139893995551</x:v>
      </x:c>
      <x:c r="L1522" s="47" t="n">
        <x:v>0.8010373000074609</x:v>
      </x:c>
      <x:c r="M1522" s="47" t="n">
        <x:v>0.17390513461918974</x:v>
      </x:c>
      <x:c r="N1522" s="47" t="n">
        <x:v>0.7890294029662063</x:v>
      </x:c>
      <x:c r="O1522" s="47" t="n">
        <x:v>1</x:v>
      </x:c>
      <x:c r="P1522" s="47" t="n">
        <x:v>1</x:v>
      </x:c>
      <x:c r="Q1522" s="47" t="n">
        <x:v>1</x:v>
      </x:c>
      <x:c r="R1522" s="47" t="n">
        <x:v>1</x:v>
      </x:c>
      <x:c r="S1522" s="27" t="n">
        <x:v>1</x:v>
      </x:c>
    </x:row>
    <x:row r="1523" ht="21.600000381469727" hidden="0" customHeight="1">
      <x:c r="A1523" s="29" t="n">
        <x:v>507</x:v>
      </x:c>
      <x:c r="B1523" s="29" t="str">
        <x:v>A1</x:v>
      </x:c>
      <x:c r="C1523" s="48" t="n">
        <x:v>1.1445374258195775</x:v>
      </x:c>
      <x:c r="D1523" s="48" t="n">
        <x:v>0.8810284721988999</x:v>
      </x:c>
      <x:c r="E1523" s="48" t="n">
        <x:v>0.6518782608109284</x:v>
      </x:c>
      <x:c r="F1523" s="48" t="n">
        <x:v>-0.018976623484294436</x:v>
      </x:c>
      <x:c r="G1523" s="48" t="n">
        <x:v>-0.1687468748735572</x:v>
      </x:c>
      <x:c r="H1523" s="48" t="n">
        <x:v>0.5942563616014854</x:v>
      </x:c>
      <x:c r="I1523" s="48" t="n">
        <x:v>0.7043883482408688</x:v>
      </x:c>
      <x:c r="J1523" s="48" t="n">
        <x:v>0.5954000016031213</x:v>
      </x:c>
      <x:c r="K1523" s="48" t="n">
        <x:v>0.7468469852592284</x:v>
      </x:c>
      <x:c r="L1523" s="48" t="n">
        <x:v>0.5513654302785401</x:v>
      </x:c>
      <x:c r="M1523" s="48" t="n">
        <x:v>0.1755616862764273</x:v>
      </x:c>
      <x:c r="N1523" s="48" t="n">
        <x:v>0.9229203428662505</x:v>
      </x:c>
      <x:c r="O1523" s="48" t="n">
        <x:v>0.8226452453941527</x:v>
      </x:c>
      <x:c r="P1523" s="48" t="n">
        <x:v>0.5051010823794194</x:v>
      </x:c>
      <x:c r="Q1523" s="48" t="n">
        <x:v>1</x:v>
      </x:c>
      <x:c r="R1523" s="48" t="n">
        <x:v>0.7809947150359055</x:v>
      </x:c>
      <x:c r="S1523" s="29" t="n">
        <x:v>0</x:v>
      </x:c>
    </x:row>
    <x:row r="1524" ht="21.600000381469727" hidden="0" customHeight="1">
      <x:c r="A1524" s="27" t="n">
        <x:v>507</x:v>
      </x:c>
      <x:c r="B1524" s="27" t="str">
        <x:v>A2</x:v>
      </x:c>
      <x:c r="C1524" s="47" t="n">
        <x:v>1.1445374258195775</x:v>
      </x:c>
      <x:c r="D1524" s="47" t="n">
        <x:v>0.8810284721988999</x:v>
      </x:c>
      <x:c r="E1524" s="47" t="n">
        <x:v>0.6518782608109284</x:v>
      </x:c>
      <x:c r="F1524" s="47" t="n">
        <x:v>-0.018976623484294436</x:v>
      </x:c>
      <x:c r="G1524" s="47" t="n">
        <x:v>-0.1687468748735572</x:v>
      </x:c>
      <x:c r="H1524" s="47" t="n">
        <x:v>0.5942563616014854</x:v>
      </x:c>
      <x:c r="I1524" s="47" t="n">
        <x:v>0.7043883482408688</x:v>
      </x:c>
      <x:c r="J1524" s="47" t="n">
        <x:v>0.5954000016031213</x:v>
      </x:c>
      <x:c r="K1524" s="47" t="n">
        <x:v>0.7468469852592284</x:v>
      </x:c>
      <x:c r="L1524" s="47" t="n">
        <x:v>0.5513654302785401</x:v>
      </x:c>
      <x:c r="M1524" s="47" t="n">
        <x:v>0.1755616862764273</x:v>
      </x:c>
      <x:c r="N1524" s="47" t="n">
        <x:v>0.9229203428662505</x:v>
      </x:c>
      <x:c r="O1524" s="47" t="n">
        <x:v>0.9047490068774154</x:v>
      </x:c>
      <x:c r="P1524" s="47" t="n">
        <x:v>0.5866454619118622</x:v>
      </x:c>
      <x:c r="Q1524" s="47" t="n">
        <x:v>1</x:v>
      </x:c>
      <x:c r="R1524" s="47" t="n">
        <x:v>0.882379973752128</x:v>
      </x:c>
      <x:c r="S1524" s="27" t="n">
        <x:v>0</x:v>
      </x:c>
    </x:row>
    <x:row r="1525" ht="21.600000381469727" hidden="0" customHeight="1">
      <x:c r="A1525" s="29" t="n">
        <x:v>507</x:v>
      </x:c>
      <x:c r="B1525" s="29" t="str">
        <x:v>A3</x:v>
      </x:c>
      <x:c r="C1525" s="48" t="n">
        <x:v>1.1445374258195775</x:v>
      </x:c>
      <x:c r="D1525" s="48" t="n">
        <x:v>0.8810284721988999</x:v>
      </x:c>
      <x:c r="E1525" s="48" t="n">
        <x:v>0.6518782608109284</x:v>
      </x:c>
      <x:c r="F1525" s="48" t="n">
        <x:v>-0.018976623484294436</x:v>
      </x:c>
      <x:c r="G1525" s="48" t="n">
        <x:v>-0.1687468748735572</x:v>
      </x:c>
      <x:c r="H1525" s="48" t="n">
        <x:v>0.5942563616014854</x:v>
      </x:c>
      <x:c r="I1525" s="48" t="n">
        <x:v>0.7043883482408688</x:v>
      </x:c>
      <x:c r="J1525" s="48" t="n">
        <x:v>0.5954000016031213</x:v>
      </x:c>
      <x:c r="K1525" s="48" t="n">
        <x:v>0.7468469852592284</x:v>
      </x:c>
      <x:c r="L1525" s="48" t="n">
        <x:v>0.5513654302785401</x:v>
      </x:c>
      <x:c r="M1525" s="48" t="n">
        <x:v>0.1755616862764273</x:v>
      </x:c>
      <x:c r="N1525" s="48" t="n">
        <x:v>0.9229203428662505</x:v>
      </x:c>
      <x:c r="O1525" s="48" t="n">
        <x:v>1.0000000000000002</x:v>
      </x:c>
      <x:c r="P1525" s="48" t="n">
        <x:v>1</x:v>
      </x:c>
      <x:c r="Q1525" s="48" t="n">
        <x:v>1</x:v>
      </x:c>
      <x:c r="R1525" s="48" t="n">
        <x:v>1</x:v>
      </x:c>
      <x:c r="S1525" s="29" t="n">
        <x:v>1</x:v>
      </x:c>
    </x:row>
    <x:row r="1526" ht="21.600000381469727" hidden="0" customHeight="1">
      <x:c r="A1526" s="27" t="n">
        <x:v>508</x:v>
      </x:c>
      <x:c r="B1526" s="27" t="str">
        <x:v>A1</x:v>
      </x:c>
      <x:c r="C1526" s="47" t="n">
        <x:v>1.3456439588640619</x:v>
      </x:c>
      <x:c r="D1526" s="47" t="n">
        <x:v>0.7683212826506026</x:v>
      </x:c>
      <x:c r="E1526" s="47" t="n">
        <x:v>0.8133643434725459</x:v>
      </x:c>
      <x:c r="F1526" s="47" t="n">
        <x:v>-0.04528832267630056</x:v>
      </x:c>
      <x:c r="G1526" s="47" t="n">
        <x:v>0.020060034423030976</x:v>
      </x:c>
      <x:c r="H1526" s="47" t="n">
        <x:v>0.8303563462355026</x:v>
      </x:c>
      <x:c r="I1526" s="47" t="n">
        <x:v>0.633659279081085</x:v>
      </x:c>
      <x:c r="J1526" s="47" t="n">
        <x:v>0.9604548262049661</x:v>
      </x:c>
      <x:c r="K1526" s="47" t="n">
        <x:v>0.8041405299319204</x:v>
      </x:c>
      <x:c r="L1526" s="47" t="n">
        <x:v>0.9944118161664048</x:v>
      </x:c>
      <x:c r="M1526" s="47" t="n">
        <x:v>0.13681339507997908</x:v>
      </x:c>
      <x:c r="N1526" s="47" t="n">
        <x:v>0.771939715400097</x:v>
      </x:c>
      <x:c r="O1526" s="47" t="n">
        <x:v>0.7562294018282931</x:v>
      </x:c>
      <x:c r="P1526" s="47" t="n">
        <x:v>0.399355665123911</x:v>
      </x:c>
      <x:c r="Q1526" s="47" t="n">
        <x:v>1</x:v>
      </x:c>
      <x:c r="R1526" s="47" t="n">
        <x:v>0.6989815726276429</x:v>
      </x:c>
      <x:c r="S1526" s="27" t="n">
        <x:v>0</x:v>
      </x:c>
    </x:row>
    <x:row r="1527" ht="21.600000381469727" hidden="0" customHeight="1">
      <x:c r="A1527" s="29" t="n">
        <x:v>508</x:v>
      </x:c>
      <x:c r="B1527" s="29" t="str">
        <x:v>A2</x:v>
      </x:c>
      <x:c r="C1527" s="48" t="n">
        <x:v>1.3456439588640619</x:v>
      </x:c>
      <x:c r="D1527" s="48" t="n">
        <x:v>0.7683212826506026</x:v>
      </x:c>
      <x:c r="E1527" s="48" t="n">
        <x:v>0.8133643434725459</x:v>
      </x:c>
      <x:c r="F1527" s="48" t="n">
        <x:v>-0.04528832267630056</x:v>
      </x:c>
      <x:c r="G1527" s="48" t="n">
        <x:v>0.020060034423030976</x:v>
      </x:c>
      <x:c r="H1527" s="48" t="n">
        <x:v>0.8303563462355026</x:v>
      </x:c>
      <x:c r="I1527" s="48" t="n">
        <x:v>0.633659279081085</x:v>
      </x:c>
      <x:c r="J1527" s="48" t="n">
        <x:v>0.9604548262049661</x:v>
      </x:c>
      <x:c r="K1527" s="48" t="n">
        <x:v>0.8041405299319204</x:v>
      </x:c>
      <x:c r="L1527" s="48" t="n">
        <x:v>0.9944118161664048</x:v>
      </x:c>
      <x:c r="M1527" s="48" t="n">
        <x:v>0.13681339507997908</x:v>
      </x:c>
      <x:c r="N1527" s="48" t="n">
        <x:v>0.771939715400097</x:v>
      </x:c>
      <x:c r="O1527" s="48" t="n">
        <x:v>0.8484386005609077</x:v>
      </x:c>
      <x:c r="P1527" s="48" t="n">
        <x:v>0.5166411841916759</x:v>
      </x:c>
      <x:c r="Q1527" s="48" t="n">
        <x:v>1</x:v>
      </x:c>
      <x:c r="R1527" s="48" t="n">
        <x:v>0.8128454602331759</x:v>
      </x:c>
      <x:c r="S1527" s="29" t="n">
        <x:v>0</x:v>
      </x:c>
    </x:row>
    <x:row r="1528" ht="21.600000381469727" hidden="0" customHeight="1">
      <x:c r="A1528" s="27" t="n">
        <x:v>508</x:v>
      </x:c>
      <x:c r="B1528" s="27" t="str">
        <x:v>A3</x:v>
      </x:c>
      <x:c r="C1528" s="47" t="n">
        <x:v>1.3456439588640619</x:v>
      </x:c>
      <x:c r="D1528" s="47" t="n">
        <x:v>0.7683212826506026</x:v>
      </x:c>
      <x:c r="E1528" s="47" t="n">
        <x:v>0.8133643434725459</x:v>
      </x:c>
      <x:c r="F1528" s="47" t="n">
        <x:v>-0.04528832267630056</x:v>
      </x:c>
      <x:c r="G1528" s="47" t="n">
        <x:v>0.020060034423030976</x:v>
      </x:c>
      <x:c r="H1528" s="47" t="n">
        <x:v>0.8303563462355026</x:v>
      </x:c>
      <x:c r="I1528" s="47" t="n">
        <x:v>0.633659279081085</x:v>
      </x:c>
      <x:c r="J1528" s="47" t="n">
        <x:v>0.9604548262049661</x:v>
      </x:c>
      <x:c r="K1528" s="47" t="n">
        <x:v>0.8041405299319204</x:v>
      </x:c>
      <x:c r="L1528" s="47" t="n">
        <x:v>0.9944118161664048</x:v>
      </x:c>
      <x:c r="M1528" s="47" t="n">
        <x:v>0.13681339507997908</x:v>
      </x:c>
      <x:c r="N1528" s="47" t="n">
        <x:v>0.771939715400097</x:v>
      </x:c>
      <x:c r="O1528" s="47" t="n">
        <x:v>1</x:v>
      </x:c>
      <x:c r="P1528" s="47" t="n">
        <x:v>1</x:v>
      </x:c>
      <x:c r="Q1528" s="47" t="n">
        <x:v>1</x:v>
      </x:c>
      <x:c r="R1528" s="47" t="n">
        <x:v>1</x:v>
      </x:c>
      <x:c r="S1528" s="27" t="n">
        <x:v>1</x:v>
      </x:c>
    </x:row>
    <x:row r="1529" ht="21.600000381469727" hidden="0" customHeight="1">
      <x:c r="A1529" s="29" t="n">
        <x:v>509</x:v>
      </x:c>
      <x:c r="B1529" s="29" t="str">
        <x:v>A1</x:v>
      </x:c>
      <x:c r="C1529" s="48" t="n">
        <x:v>1.0399931883991944</x:v>
      </x:c>
      <x:c r="D1529" s="48" t="n">
        <x:v>0.7237884065188308</x:v>
      </x:c>
      <x:c r="E1529" s="48" t="n">
        <x:v>1.0118655713620681</x:v>
      </x:c>
      <x:c r="F1529" s="48" t="n">
        <x:v>0.007358020319881253</x:v>
      </x:c>
      <x:c r="G1529" s="48" t="n">
        <x:v>-0.03796531441006554</x:v>
      </x:c>
      <x:c r="H1529" s="48" t="n">
        <x:v>0.3081375695122113</x:v>
      </x:c>
      <x:c r="I1529" s="48" t="n">
        <x:v>0.86003810928402</x:v>
      </x:c>
      <x:c r="J1529" s="48" t="n">
        <x:v>0.44283506875225903</x:v>
      </x:c>
      <x:c r="K1529" s="48" t="n">
        <x:v>0.9065008350392179</x:v>
      </x:c>
      <x:c r="L1529" s="48" t="n">
        <x:v>0.6767815623451873</x:v>
      </x:c>
      <x:c r="M1529" s="48" t="n">
        <x:v>0.16226489262966856</x:v>
      </x:c>
      <x:c r="N1529" s="48" t="n">
        <x:v>0.8153768094254914</x:v>
      </x:c>
      <x:c r="O1529" s="48" t="n">
        <x:v>0.8473789851318231</x:v>
      </x:c>
      <x:c r="P1529" s="48" t="n">
        <x:v>0.5974418149037009</x:v>
      </x:c>
      <x:c r="Q1529" s="48" t="n">
        <x:v>1</x:v>
      </x:c>
      <x:c r="R1529" s="48" t="n">
        <x:v>0.8115370014917412</x:v>
      </x:c>
      <x:c r="S1529" s="29" t="n">
        <x:v>0</x:v>
      </x:c>
    </x:row>
    <x:row r="1530" ht="21.600000381469727" hidden="0" customHeight="1">
      <x:c r="A1530" s="27" t="n">
        <x:v>509</x:v>
      </x:c>
      <x:c r="B1530" s="27" t="str">
        <x:v>A2</x:v>
      </x:c>
      <x:c r="C1530" s="47" t="n">
        <x:v>1.0399931883991944</x:v>
      </x:c>
      <x:c r="D1530" s="47" t="n">
        <x:v>0.7237884065188308</x:v>
      </x:c>
      <x:c r="E1530" s="47" t="n">
        <x:v>1.0118655713620681</x:v>
      </x:c>
      <x:c r="F1530" s="47" t="n">
        <x:v>0.007358020319881253</x:v>
      </x:c>
      <x:c r="G1530" s="47" t="n">
        <x:v>-0.03796531441006554</x:v>
      </x:c>
      <x:c r="H1530" s="47" t="n">
        <x:v>0.3081375695122113</x:v>
      </x:c>
      <x:c r="I1530" s="47" t="n">
        <x:v>0.86003810928402</x:v>
      </x:c>
      <x:c r="J1530" s="47" t="n">
        <x:v>0.44283506875225903</x:v>
      </x:c>
      <x:c r="K1530" s="47" t="n">
        <x:v>0.9065008350392179</x:v>
      </x:c>
      <x:c r="L1530" s="47" t="n">
        <x:v>0.6767815623451873</x:v>
      </x:c>
      <x:c r="M1530" s="47" t="n">
        <x:v>0.16226489262966856</x:v>
      </x:c>
      <x:c r="N1530" s="47" t="n">
        <x:v>0.8153768094254914</x:v>
      </x:c>
      <x:c r="O1530" s="47" t="n">
        <x:v>0.9290918198095484</x:v>
      </x:c>
      <x:c r="P1530" s="47" t="n">
        <x:v>0.6944306503646823</x:v>
      </x:c>
      <x:c r="Q1530" s="47" t="n">
        <x:v>1</x:v>
      </x:c>
      <x:c r="R1530" s="47" t="n">
        <x:v>0.9124395269616119</x:v>
      </x:c>
      <x:c r="S1530" s="27" t="n">
        <x:v>0</x:v>
      </x:c>
    </x:row>
    <x:row r="1531" ht="21.600000381469727" hidden="0" customHeight="1">
      <x:c r="A1531" s="29" t="n">
        <x:v>509</x:v>
      </x:c>
      <x:c r="B1531" s="29" t="str">
        <x:v>A3</x:v>
      </x:c>
      <x:c r="C1531" s="48" t="n">
        <x:v>1.0399931883991944</x:v>
      </x:c>
      <x:c r="D1531" s="48" t="n">
        <x:v>0.7237884065188308</x:v>
      </x:c>
      <x:c r="E1531" s="48" t="n">
        <x:v>1.0118655713620681</x:v>
      </x:c>
      <x:c r="F1531" s="48" t="n">
        <x:v>0.007358020319881253</x:v>
      </x:c>
      <x:c r="G1531" s="48" t="n">
        <x:v>-0.03796531441006554</x:v>
      </x:c>
      <x:c r="H1531" s="48" t="n">
        <x:v>0.3081375695122113</x:v>
      </x:c>
      <x:c r="I1531" s="48" t="n">
        <x:v>0.86003810928402</x:v>
      </x:c>
      <x:c r="J1531" s="48" t="n">
        <x:v>0.44283506875225903</x:v>
      </x:c>
      <x:c r="K1531" s="48" t="n">
        <x:v>0.9065008350392179</x:v>
      </x:c>
      <x:c r="L1531" s="48" t="n">
        <x:v>0.6767815623451873</x:v>
      </x:c>
      <x:c r="M1531" s="48" t="n">
        <x:v>0.16226489262966856</x:v>
      </x:c>
      <x:c r="N1531" s="48" t="n">
        <x:v>0.8153768094254914</x:v>
      </x:c>
      <x:c r="O1531" s="48" t="n">
        <x:v>1</x:v>
      </x:c>
      <x:c r="P1531" s="48" t="n">
        <x:v>1</x:v>
      </x:c>
      <x:c r="Q1531" s="48" t="n">
        <x:v>1</x:v>
      </x:c>
      <x:c r="R1531" s="48" t="n">
        <x:v>1</x:v>
      </x:c>
      <x:c r="S1531" s="29" t="n">
        <x:v>1</x:v>
      </x:c>
    </x:row>
    <x:row r="1532" ht="21.600000381469727" hidden="0" customHeight="1">
      <x:c r="A1532" s="27" t="n">
        <x:v>510</x:v>
      </x:c>
      <x:c r="B1532" s="27" t="str">
        <x:v>A1</x:v>
      </x:c>
      <x:c r="C1532" s="47" t="n">
        <x:v>1.2068410078742802</x:v>
      </x:c>
      <x:c r="D1532" s="47" t="n">
        <x:v>0.964082141058715</x:v>
      </x:c>
      <x:c r="E1532" s="47" t="n">
        <x:v>0.9517493060500131</x:v>
      </x:c>
      <x:c r="F1532" s="47" t="n">
        <x:v>-0.16395219263453448</x:v>
      </x:c>
      <x:c r="G1532" s="47" t="n">
        <x:v>-0.11657438980804649</x:v>
      </x:c>
      <x:c r="H1532" s="47" t="n">
        <x:v>0.5584633783031343</x:v>
      </x:c>
      <x:c r="I1532" s="47" t="n">
        <x:v>0.9650223765366</x:v>
      </x:c>
      <x:c r="J1532" s="47" t="n">
        <x:v>0.7350006339610726</x:v>
      </x:c>
      <x:c r="K1532" s="47" t="n">
        <x:v>0.8800809899491753</x:v>
      </x:c>
      <x:c r="L1532" s="47" t="n">
        <x:v>0.584799104632773</x:v>
      </x:c>
      <x:c r="M1532" s="47" t="n">
        <x:v>0.021288258203967184</x:v>
      </x:c>
      <x:c r="N1532" s="47" t="n">
        <x:v>0.80091566073778</x:v>
      </x:c>
      <x:c r="O1532" s="47" t="n">
        <x:v>0.8986703777283622</x:v>
      </x:c>
      <x:c r="P1532" s="47" t="n">
        <x:v>0.6861928380562075</x:v>
      </x:c>
      <x:c r="Q1532" s="47" t="n">
        <x:v>1</x:v>
      </x:c>
      <x:c r="R1532" s="47" t="n">
        <x:v>0.8748738208331494</x:v>
      </x:c>
      <x:c r="S1532" s="27" t="n">
        <x:v>0</x:v>
      </x:c>
    </x:row>
    <x:row r="1533" ht="21.600000381469727" hidden="0" customHeight="1">
      <x:c r="A1533" s="29" t="n">
        <x:v>510</x:v>
      </x:c>
      <x:c r="B1533" s="29" t="str">
        <x:v>A2</x:v>
      </x:c>
      <x:c r="C1533" s="48" t="n">
        <x:v>1.2068410078742802</x:v>
      </x:c>
      <x:c r="D1533" s="48" t="n">
        <x:v>0.964082141058715</x:v>
      </x:c>
      <x:c r="E1533" s="48" t="n">
        <x:v>0.9517493060500131</x:v>
      </x:c>
      <x:c r="F1533" s="48" t="n">
        <x:v>-0.16395219263453448</x:v>
      </x:c>
      <x:c r="G1533" s="48" t="n">
        <x:v>-0.11657438980804649</x:v>
      </x:c>
      <x:c r="H1533" s="48" t="n">
        <x:v>0.5584633783031343</x:v>
      </x:c>
      <x:c r="I1533" s="48" t="n">
        <x:v>0.9650223765366</x:v>
      </x:c>
      <x:c r="J1533" s="48" t="n">
        <x:v>0.7350006339610726</x:v>
      </x:c>
      <x:c r="K1533" s="48" t="n">
        <x:v>0.8800809899491753</x:v>
      </x:c>
      <x:c r="L1533" s="48" t="n">
        <x:v>0.584799104632773</x:v>
      </x:c>
      <x:c r="M1533" s="48" t="n">
        <x:v>0.021288258203967184</x:v>
      </x:c>
      <x:c r="N1533" s="48" t="n">
        <x:v>0.80091566073778</x:v>
      </x:c>
      <x:c r="O1533" s="48" t="n">
        <x:v>0.9649697615714715</x:v>
      </x:c>
      <x:c r="P1533" s="48" t="n">
        <x:v>0.7423152105788344</x:v>
      </x:c>
      <x:c r="Q1533" s="48" t="n">
        <x:v>1</x:v>
      </x:c>
      <x:c r="R1533" s="48" t="n">
        <x:v>0.9567431537629207</x:v>
      </x:c>
      <x:c r="S1533" s="29" t="n">
        <x:v>0</x:v>
      </x:c>
    </x:row>
    <x:row r="1534" ht="21.600000381469727" hidden="0" customHeight="1">
      <x:c r="A1534" s="27" t="n">
        <x:v>510</x:v>
      </x:c>
      <x:c r="B1534" s="27" t="str">
        <x:v>A3</x:v>
      </x:c>
      <x:c r="C1534" s="47" t="n">
        <x:v>1.2068410078742802</x:v>
      </x:c>
      <x:c r="D1534" s="47" t="n">
        <x:v>0.964082141058715</x:v>
      </x:c>
      <x:c r="E1534" s="47" t="n">
        <x:v>0.9517493060500131</x:v>
      </x:c>
      <x:c r="F1534" s="47" t="n">
        <x:v>-0.16395219263453448</x:v>
      </x:c>
      <x:c r="G1534" s="47" t="n">
        <x:v>-0.11657438980804649</x:v>
      </x:c>
      <x:c r="H1534" s="47" t="n">
        <x:v>0.5584633783031343</x:v>
      </x:c>
      <x:c r="I1534" s="47" t="n">
        <x:v>0.9650223765366</x:v>
      </x:c>
      <x:c r="J1534" s="47" t="n">
        <x:v>0.7350006339610726</x:v>
      </x:c>
      <x:c r="K1534" s="47" t="n">
        <x:v>0.8800809899491753</x:v>
      </x:c>
      <x:c r="L1534" s="47" t="n">
        <x:v>0.584799104632773</x:v>
      </x:c>
      <x:c r="M1534" s="47" t="n">
        <x:v>0.021288258203967184</x:v>
      </x:c>
      <x:c r="N1534" s="47" t="n">
        <x:v>0.80091566073778</x:v>
      </x:c>
      <x:c r="O1534" s="47" t="n">
        <x:v>1</x:v>
      </x:c>
      <x:c r="P1534" s="47" t="n">
        <x:v>1</x:v>
      </x:c>
      <x:c r="Q1534" s="47" t="n">
        <x:v>1</x:v>
      </x:c>
      <x:c r="R1534" s="47" t="n">
        <x:v>1</x:v>
      </x:c>
      <x:c r="S1534" s="27" t="n">
        <x:v>1</x:v>
      </x:c>
    </x:row>
    <x:row r="1535" ht="21.600000381469727" hidden="0" customHeight="1">
      <x:c r="A1535" s="29" t="n">
        <x:v>511</x:v>
      </x:c>
      <x:c r="B1535" s="29" t="str">
        <x:v>A1</x:v>
      </x:c>
      <x:c r="C1535" s="48" t="n">
        <x:v>0.9413907484552567</x:v>
      </x:c>
      <x:c r="D1535" s="48" t="n">
        <x:v>0.8470414566165823</x:v>
      </x:c>
      <x:c r="E1535" s="48" t="n">
        <x:v>0.6651461183863484</x:v>
      </x:c>
      <x:c r="F1535" s="48" t="n">
        <x:v>0.019848274797708232</x:v>
      </x:c>
      <x:c r="G1535" s="48" t="n">
        <x:v>-0.19779591550157335</x:v>
      </x:c>
      <x:c r="H1535" s="48" t="n">
        <x:v>0.369754183542452</x:v>
      </x:c>
      <x:c r="I1535" s="48" t="n">
        <x:v>0.8604278385535117</x:v>
      </x:c>
      <x:c r="J1535" s="48" t="n">
        <x:v>0.7649637656082173</x:v>
      </x:c>
      <x:c r="K1535" s="48" t="n">
        <x:v>0.7205664383943992</x:v>
      </x:c>
      <x:c r="L1535" s="48" t="n">
        <x:v>0.648993422027304</x:v>
      </x:c>
      <x:c r="M1535" s="48" t="n">
        <x:v>0.17411683448574036</x:v>
      </x:c>
      <x:c r="N1535" s="48" t="n">
        <x:v>0.9716717043007584</x:v>
      </x:c>
      <x:c r="O1535" s="48" t="n">
        <x:v>0.9019316788183257</x:v>
      </x:c>
      <x:c r="P1535" s="48" t="n">
        <x:v>0.6759006921915324</x:v>
      </x:c>
      <x:c r="Q1535" s="48" t="n">
        <x:v>1</x:v>
      </x:c>
      <x:c r="R1535" s="48" t="n">
        <x:v>0.8789010157969859</x:v>
      </x:c>
      <x:c r="S1535" s="29" t="n">
        <x:v>0</x:v>
      </x:c>
    </x:row>
    <x:row r="1536" ht="21.600000381469727" hidden="0" customHeight="1">
      <x:c r="A1536" s="27" t="n">
        <x:v>511</x:v>
      </x:c>
      <x:c r="B1536" s="27" t="str">
        <x:v>A2</x:v>
      </x:c>
      <x:c r="C1536" s="47" t="n">
        <x:v>0.9413907484552567</x:v>
      </x:c>
      <x:c r="D1536" s="47" t="n">
        <x:v>0.8470414566165823</x:v>
      </x:c>
      <x:c r="E1536" s="47" t="n">
        <x:v>0.6651461183863484</x:v>
      </x:c>
      <x:c r="F1536" s="47" t="n">
        <x:v>0.019848274797708232</x:v>
      </x:c>
      <x:c r="G1536" s="47" t="n">
        <x:v>-0.19779591550157335</x:v>
      </x:c>
      <x:c r="H1536" s="47" t="n">
        <x:v>0.369754183542452</x:v>
      </x:c>
      <x:c r="I1536" s="47" t="n">
        <x:v>0.8604278385535117</x:v>
      </x:c>
      <x:c r="J1536" s="47" t="n">
        <x:v>0.7649637656082173</x:v>
      </x:c>
      <x:c r="K1536" s="47" t="n">
        <x:v>0.7205664383943992</x:v>
      </x:c>
      <x:c r="L1536" s="47" t="n">
        <x:v>0.648993422027304</x:v>
      </x:c>
      <x:c r="M1536" s="47" t="n">
        <x:v>0.17411683448574036</x:v>
      </x:c>
      <x:c r="N1536" s="47" t="n">
        <x:v>0.9716717043007584</x:v>
      </x:c>
      <x:c r="O1536" s="47" t="n">
        <x:v>0.9714079146849518</x:v>
      </x:c>
      <x:c r="P1536" s="47" t="n">
        <x:v>0.7655158369521264</x:v>
      </x:c>
      <x:c r="Q1536" s="47" t="n">
        <x:v>1</x:v>
      </x:c>
      <x:c r="R1536" s="47" t="n">
        <x:v>0.9646932623483588</x:v>
      </x:c>
      <x:c r="S1536" s="27" t="n">
        <x:v>0</x:v>
      </x:c>
    </x:row>
    <x:row r="1537" ht="21.600000381469727" hidden="0" customHeight="1">
      <x:c r="A1537" s="29" t="n">
        <x:v>511</x:v>
      </x:c>
      <x:c r="B1537" s="29" t="str">
        <x:v>A3</x:v>
      </x:c>
      <x:c r="C1537" s="48" t="n">
        <x:v>0.9413907484552567</x:v>
      </x:c>
      <x:c r="D1537" s="48" t="n">
        <x:v>0.8470414566165823</x:v>
      </x:c>
      <x:c r="E1537" s="48" t="n">
        <x:v>0.6651461183863484</x:v>
      </x:c>
      <x:c r="F1537" s="48" t="n">
        <x:v>0.019848274797708232</x:v>
      </x:c>
      <x:c r="G1537" s="48" t="n">
        <x:v>-0.19779591550157335</x:v>
      </x:c>
      <x:c r="H1537" s="48" t="n">
        <x:v>0.369754183542452</x:v>
      </x:c>
      <x:c r="I1537" s="48" t="n">
        <x:v>0.8604278385535117</x:v>
      </x:c>
      <x:c r="J1537" s="48" t="n">
        <x:v>0.7649637656082173</x:v>
      </x:c>
      <x:c r="K1537" s="48" t="n">
        <x:v>0.7205664383943992</x:v>
      </x:c>
      <x:c r="L1537" s="48" t="n">
        <x:v>0.648993422027304</x:v>
      </x:c>
      <x:c r="M1537" s="48" t="n">
        <x:v>0.17411683448574036</x:v>
      </x:c>
      <x:c r="N1537" s="48" t="n">
        <x:v>0.9716717043007584</x:v>
      </x:c>
      <x:c r="O1537" s="48" t="n">
        <x:v>1</x:v>
      </x:c>
      <x:c r="P1537" s="48" t="n">
        <x:v>1</x:v>
      </x:c>
      <x:c r="Q1537" s="48" t="n">
        <x:v>1</x:v>
      </x:c>
      <x:c r="R1537" s="48" t="n">
        <x:v>1.0000000000000002</x:v>
      </x:c>
      <x:c r="S1537" s="29" t="n">
        <x:v>1</x:v>
      </x:c>
    </x:row>
    <x:row r="1538" ht="21.600000381469727" hidden="0" customHeight="1">
      <x:c r="A1538" s="27" t="n">
        <x:v>512</x:v>
      </x:c>
      <x:c r="B1538" s="27" t="str">
        <x:v>A1</x:v>
      </x:c>
      <x:c r="C1538" s="47" t="n">
        <x:v>1.275227071509646</x:v>
      </x:c>
      <x:c r="D1538" s="47" t="n">
        <x:v>0.7778335433778967</x:v>
      </x:c>
      <x:c r="E1538" s="47" t="n">
        <x:v>0.4868566618804378</x:v>
      </x:c>
      <x:c r="F1538" s="47" t="n">
        <x:v>-0.06351552100734592</x:v>
      </x:c>
      <x:c r="G1538" s="47" t="n">
        <x:v>-0.09799895982851628</x:v>
      </x:c>
      <x:c r="H1538" s="47" t="n">
        <x:v>0.8996582497427523</x:v>
      </x:c>
      <x:c r="I1538" s="47" t="n">
        <x:v>0.7666467651030264</x:v>
      </x:c>
      <x:c r="J1538" s="47" t="n">
        <x:v>0.4341894748175117</x:v>
      </x:c>
      <x:c r="K1538" s="47" t="n">
        <x:v>0.8247246327138351</x:v>
      </x:c>
      <x:c r="L1538" s="47" t="n">
        <x:v>0.8416675417106857</x:v>
      </x:c>
      <x:c r="M1538" s="47" t="n">
        <x:v>0.13838383777677796</x:v>
      </x:c>
      <x:c r="N1538" s="47" t="n">
        <x:v>0.9126482714059301</x:v>
      </x:c>
      <x:c r="O1538" s="47" t="n">
        <x:v>0.7358115034210239</x:v>
      </x:c>
      <x:c r="P1538" s="47" t="n">
        <x:v>0.43797299560097874</x:v>
      </x:c>
      <x:c r="Q1538" s="47" t="n">
        <x:v>1</x:v>
      </x:c>
      <x:c r="R1538" s="47" t="n">
        <x:v>0.6737686728156831</x:v>
      </x:c>
      <x:c r="S1538" s="27" t="n">
        <x:v>0</x:v>
      </x:c>
    </x:row>
    <x:row r="1539" ht="21.600000381469727" hidden="0" customHeight="1">
      <x:c r="A1539" s="29" t="n">
        <x:v>512</x:v>
      </x:c>
      <x:c r="B1539" s="29" t="str">
        <x:v>A2</x:v>
      </x:c>
      <x:c r="C1539" s="48" t="n">
        <x:v>1.275227071509646</x:v>
      </x:c>
      <x:c r="D1539" s="48" t="n">
        <x:v>0.7778335433778967</x:v>
      </x:c>
      <x:c r="E1539" s="48" t="n">
        <x:v>0.4868566618804378</x:v>
      </x:c>
      <x:c r="F1539" s="48" t="n">
        <x:v>-0.06351552100734592</x:v>
      </x:c>
      <x:c r="G1539" s="48" t="n">
        <x:v>-0.09799895982851628</x:v>
      </x:c>
      <x:c r="H1539" s="48" t="n">
        <x:v>0.8996582497427523</x:v>
      </x:c>
      <x:c r="I1539" s="48" t="n">
        <x:v>0.7666467651030264</x:v>
      </x:c>
      <x:c r="J1539" s="48" t="n">
        <x:v>0.4341894748175117</x:v>
      </x:c>
      <x:c r="K1539" s="48" t="n">
        <x:v>0.8247246327138351</x:v>
      </x:c>
      <x:c r="L1539" s="48" t="n">
        <x:v>0.8416675417106857</x:v>
      </x:c>
      <x:c r="M1539" s="48" t="n">
        <x:v>0.13838383777677796</x:v>
      </x:c>
      <x:c r="N1539" s="48" t="n">
        <x:v>0.9126482714059301</x:v>
      </x:c>
      <x:c r="O1539" s="48" t="n">
        <x:v>0.8104462687856494</x:v>
      </x:c>
      <x:c r="P1539" s="48" t="n">
        <x:v>0.49610941277665727</x:v>
      </x:c>
      <x:c r="Q1539" s="48" t="n">
        <x:v>1</x:v>
      </x:c>
      <x:c r="R1539" s="48" t="n">
        <x:v>0.7659308936325658</x:v>
      </x:c>
      <x:c r="S1539" s="29" t="n">
        <x:v>0</x:v>
      </x:c>
    </x:row>
    <x:row r="1540" ht="21.600000381469727" hidden="0" customHeight="1">
      <x:c r="A1540" s="27" t="n">
        <x:v>512</x:v>
      </x:c>
      <x:c r="B1540" s="27" t="str">
        <x:v>A3</x:v>
      </x:c>
      <x:c r="C1540" s="47" t="n">
        <x:v>1.275227071509646</x:v>
      </x:c>
      <x:c r="D1540" s="47" t="n">
        <x:v>0.7778335433778967</x:v>
      </x:c>
      <x:c r="E1540" s="47" t="n">
        <x:v>0.4868566618804378</x:v>
      </x:c>
      <x:c r="F1540" s="47" t="n">
        <x:v>-0.06351552100734592</x:v>
      </x:c>
      <x:c r="G1540" s="47" t="n">
        <x:v>-0.09799895982851628</x:v>
      </x:c>
      <x:c r="H1540" s="47" t="n">
        <x:v>0.8996582497427523</x:v>
      </x:c>
      <x:c r="I1540" s="47" t="n">
        <x:v>0.7666467651030264</x:v>
      </x:c>
      <x:c r="J1540" s="47" t="n">
        <x:v>0.4341894748175117</x:v>
      </x:c>
      <x:c r="K1540" s="47" t="n">
        <x:v>0.8247246327138351</x:v>
      </x:c>
      <x:c r="L1540" s="47" t="n">
        <x:v>0.8416675417106857</x:v>
      </x:c>
      <x:c r="M1540" s="47" t="n">
        <x:v>0.13838383777677796</x:v>
      </x:c>
      <x:c r="N1540" s="47" t="n">
        <x:v>0.9126482714059301</x:v>
      </x:c>
      <x:c r="O1540" s="47" t="n">
        <x:v>0.9947122703198163</x:v>
      </x:c>
      <x:c r="P1540" s="47" t="n">
        <x:v>0.9471227031981627</x:v>
      </x:c>
      <x:c r="Q1540" s="47" t="n">
        <x:v>1</x:v>
      </x:c>
      <x:c r="R1540" s="47" t="n">
        <x:v>0.9934704837882955</x:v>
      </x:c>
      <x:c r="S1540" s="27" t="n">
        <x:v>0</x:v>
      </x:c>
    </x:row>
    <x:row r="1541" ht="21.600000381469727" hidden="0" customHeight="1">
      <x:c r="A1541" s="29" t="n">
        <x:v>513</x:v>
      </x:c>
      <x:c r="B1541" s="29" t="str">
        <x:v>A1</x:v>
      </x:c>
      <x:c r="C1541" s="48" t="n">
        <x:v>1.348583956636472</x:v>
      </x:c>
      <x:c r="D1541" s="48" t="n">
        <x:v>0.8731449791971057</x:v>
      </x:c>
      <x:c r="E1541" s="48" t="n">
        <x:v>0.6408736831482047</x:v>
      </x:c>
      <x:c r="F1541" s="48" t="n">
        <x:v>-0.06686414436696309</x:v>
      </x:c>
      <x:c r="G1541" s="48" t="n">
        <x:v>-0.10832137677060741</x:v>
      </x:c>
      <x:c r="H1541" s="48" t="n">
        <x:v>1.0094207426129327</x:v>
      </x:c>
      <x:c r="I1541" s="48" t="n">
        <x:v>0.9387813295795815</x:v>
      </x:c>
      <x:c r="J1541" s="48" t="n">
        <x:v>0.7081697132675748</x:v>
      </x:c>
      <x:c r="K1541" s="48" t="n">
        <x:v>0.9635812570516133</x:v>
      </x:c>
      <x:c r="L1541" s="48" t="n">
        <x:v>0.7782123403625368</x:v>
      </x:c>
      <x:c r="M1541" s="48" t="n">
        <x:v>0.14910478747053002</x:v>
      </x:c>
      <x:c r="N1541" s="48" t="n">
        <x:v>0.9361590688315911</x:v>
      </x:c>
      <x:c r="O1541" s="48" t="n">
        <x:v>0.8093340761879222</x:v>
      </x:c>
      <x:c r="P1541" s="48" t="n">
        <x:v>0.5488570884017921</x:v>
      </x:c>
      <x:c r="Q1541" s="48" t="n">
        <x:v>1</x:v>
      </x:c>
      <x:c r="R1541" s="48" t="n">
        <x:v>0.7645575103401837</x:v>
      </x:c>
      <x:c r="S1541" s="29" t="n">
        <x:v>0</x:v>
      </x:c>
    </x:row>
    <x:row r="1542" ht="21.600000381469727" hidden="0" customHeight="1">
      <x:c r="A1542" s="27" t="n">
        <x:v>513</x:v>
      </x:c>
      <x:c r="B1542" s="27" t="str">
        <x:v>A2</x:v>
      </x:c>
      <x:c r="C1542" s="47" t="n">
        <x:v>1.348583956636472</x:v>
      </x:c>
      <x:c r="D1542" s="47" t="n">
        <x:v>0.8731449791971057</x:v>
      </x:c>
      <x:c r="E1542" s="47" t="n">
        <x:v>0.6408736831482047</x:v>
      </x:c>
      <x:c r="F1542" s="47" t="n">
        <x:v>-0.06686414436696309</x:v>
      </x:c>
      <x:c r="G1542" s="47" t="n">
        <x:v>-0.10832137677060741</x:v>
      </x:c>
      <x:c r="H1542" s="47" t="n">
        <x:v>1.0094207426129327</x:v>
      </x:c>
      <x:c r="I1542" s="47" t="n">
        <x:v>0.9387813295795815</x:v>
      </x:c>
      <x:c r="J1542" s="47" t="n">
        <x:v>0.7081697132675748</x:v>
      </x:c>
      <x:c r="K1542" s="47" t="n">
        <x:v>0.9635812570516133</x:v>
      </x:c>
      <x:c r="L1542" s="47" t="n">
        <x:v>0.7782123403625368</x:v>
      </x:c>
      <x:c r="M1542" s="47" t="n">
        <x:v>0.14910478747053002</x:v>
      </x:c>
      <x:c r="N1542" s="47" t="n">
        <x:v>0.9361590688315911</x:v>
      </x:c>
      <x:c r="O1542" s="47" t="n">
        <x:v>0.898144880783243</x:v>
      </x:c>
      <x:c r="P1542" s="47" t="n">
        <x:v>0.590838992078964</x:v>
      </x:c>
      <x:c r="Q1542" s="47" t="n">
        <x:v>1</x:v>
      </x:c>
      <x:c r="R1542" s="47" t="n">
        <x:v>0.8742249145860663</x:v>
      </x:c>
      <x:c r="S1542" s="27" t="n">
        <x:v>0</x:v>
      </x:c>
    </x:row>
    <x:row r="1543" ht="21.600000381469727" hidden="0" customHeight="1">
      <x:c r="A1543" s="29" t="n">
        <x:v>513</x:v>
      </x:c>
      <x:c r="B1543" s="29" t="str">
        <x:v>A3</x:v>
      </x:c>
      <x:c r="C1543" s="48" t="n">
        <x:v>1.348583956636472</x:v>
      </x:c>
      <x:c r="D1543" s="48" t="n">
        <x:v>0.8731449791971057</x:v>
      </x:c>
      <x:c r="E1543" s="48" t="n">
        <x:v>0.6408736831482047</x:v>
      </x:c>
      <x:c r="F1543" s="48" t="n">
        <x:v>-0.06686414436696309</x:v>
      </x:c>
      <x:c r="G1543" s="48" t="n">
        <x:v>-0.10832137677060741</x:v>
      </x:c>
      <x:c r="H1543" s="48" t="n">
        <x:v>1.0094207426129327</x:v>
      </x:c>
      <x:c r="I1543" s="48" t="n">
        <x:v>0.9387813295795815</x:v>
      </x:c>
      <x:c r="J1543" s="48" t="n">
        <x:v>0.7081697132675748</x:v>
      </x:c>
      <x:c r="K1543" s="48" t="n">
        <x:v>0.9635812570516133</x:v>
      </x:c>
      <x:c r="L1543" s="48" t="n">
        <x:v>0.7782123403625368</x:v>
      </x:c>
      <x:c r="M1543" s="48" t="n">
        <x:v>0.14910478747053002</x:v>
      </x:c>
      <x:c r="N1543" s="48" t="n">
        <x:v>0.9361590688315911</x:v>
      </x:c>
      <x:c r="O1543" s="48" t="n">
        <x:v>1</x:v>
      </x:c>
      <x:c r="P1543" s="48" t="n">
        <x:v>1</x:v>
      </x:c>
      <x:c r="Q1543" s="48" t="n">
        <x:v>1</x:v>
      </x:c>
      <x:c r="R1543" s="48" t="n">
        <x:v>1</x:v>
      </x:c>
      <x:c r="S1543" s="29" t="n">
        <x:v>1</x:v>
      </x:c>
    </x:row>
    <x:row r="1544" ht="21.600000381469727" hidden="0" customHeight="1">
      <x:c r="A1544" s="27" t="n">
        <x:v>514</x:v>
      </x:c>
      <x:c r="B1544" s="27" t="str">
        <x:v>A1</x:v>
      </x:c>
      <x:c r="C1544" s="47" t="n">
        <x:v>1.3454528870540212</x:v>
      </x:c>
      <x:c r="D1544" s="47" t="n">
        <x:v>0.7910357272173165</x:v>
      </x:c>
      <x:c r="E1544" s="47" t="n">
        <x:v>1.0321459504184185</x:v>
      </x:c>
      <x:c r="F1544" s="47" t="n">
        <x:v>-0.1455342742557069</x:v>
      </x:c>
      <x:c r="G1544" s="47" t="n">
        <x:v>-0.1070892523519084</x:v>
      </x:c>
      <x:c r="H1544" s="47" t="n">
        <x:v>0.63717320771732</x:v>
      </x:c>
      <x:c r="I1544" s="47" t="n">
        <x:v>0.7965518180084863</x:v>
      </x:c>
      <x:c r="J1544" s="47" t="n">
        <x:v>0.47544290276983187</x:v>
      </x:c>
      <x:c r="K1544" s="47" t="n">
        <x:v>0.6448812555459729</x:v>
      </x:c>
      <x:c r="L1544" s="47" t="n">
        <x:v>0.5415697099494734</x:v>
      </x:c>
      <x:c r="M1544" s="47" t="n">
        <x:v>0.11313346528059977</x:v>
      </x:c>
      <x:c r="N1544" s="47" t="n">
        <x:v>0.8340763598475117</x:v>
      </x:c>
      <x:c r="O1544" s="47" t="n">
        <x:v>0.7036184956388616</x:v>
      </x:c>
      <x:c r="P1544" s="47" t="n">
        <x:v>0.4323779007477178</x:v>
      </x:c>
      <x:c r="Q1544" s="47" t="n">
        <x:v>0.8354006449952144</x:v>
      </x:c>
      <x:c r="R1544" s="47" t="n">
        <x:v>0.6375147180556285</x:v>
      </x:c>
      <x:c r="S1544" s="27" t="n">
        <x:v>0</x:v>
      </x:c>
    </x:row>
    <x:row r="1545" ht="21.600000381469727" hidden="0" customHeight="1">
      <x:c r="A1545" s="29" t="n">
        <x:v>514</x:v>
      </x:c>
      <x:c r="B1545" s="29" t="str">
        <x:v>A2</x:v>
      </x:c>
      <x:c r="C1545" s="48" t="n">
        <x:v>1.3454528870540212</x:v>
      </x:c>
      <x:c r="D1545" s="48" t="n">
        <x:v>0.7910357272173165</x:v>
      </x:c>
      <x:c r="E1545" s="48" t="n">
        <x:v>1.0321459504184185</x:v>
      </x:c>
      <x:c r="F1545" s="48" t="n">
        <x:v>-0.1455342742557069</x:v>
      </x:c>
      <x:c r="G1545" s="48" t="n">
        <x:v>-0.1070892523519084</x:v>
      </x:c>
      <x:c r="H1545" s="48" t="n">
        <x:v>0.63717320771732</x:v>
      </x:c>
      <x:c r="I1545" s="48" t="n">
        <x:v>0.7965518180084863</x:v>
      </x:c>
      <x:c r="J1545" s="48" t="n">
        <x:v>0.47544290276983187</x:v>
      </x:c>
      <x:c r="K1545" s="48" t="n">
        <x:v>0.6448812555459729</x:v>
      </x:c>
      <x:c r="L1545" s="48" t="n">
        <x:v>0.5415697099494734</x:v>
      </x:c>
      <x:c r="M1545" s="48" t="n">
        <x:v>0.11313346528059977</x:v>
      </x:c>
      <x:c r="N1545" s="48" t="n">
        <x:v>0.8340763598475117</x:v>
      </x:c>
      <x:c r="O1545" s="48" t="n">
        <x:v>0.7728629200635078</x:v>
      </x:c>
      <x:c r="P1545" s="48" t="n">
        <x:v>0.483416804674261</x:v>
      </x:c>
      <x:c r="Q1545" s="48" t="n">
        <x:v>1</x:v>
      </x:c>
      <x:c r="R1545" s="48" t="n">
        <x:v>0.7195213569100235</x:v>
      </x:c>
      <x:c r="S1545" s="29" t="n">
        <x:v>0</x:v>
      </x:c>
    </x:row>
    <x:row r="1546" ht="21.600000381469727" hidden="0" customHeight="1">
      <x:c r="A1546" s="27" t="n">
        <x:v>514</x:v>
      </x:c>
      <x:c r="B1546" s="27" t="str">
        <x:v>A3</x:v>
      </x:c>
      <x:c r="C1546" s="47" t="n">
        <x:v>1.3454528870540212</x:v>
      </x:c>
      <x:c r="D1546" s="47" t="n">
        <x:v>0.7910357272173165</x:v>
      </x:c>
      <x:c r="E1546" s="47" t="n">
        <x:v>1.0321459504184185</x:v>
      </x:c>
      <x:c r="F1546" s="47" t="n">
        <x:v>-0.1455342742557069</x:v>
      </x:c>
      <x:c r="G1546" s="47" t="n">
        <x:v>-0.1070892523519084</x:v>
      </x:c>
      <x:c r="H1546" s="47" t="n">
        <x:v>0.63717320771732</x:v>
      </x:c>
      <x:c r="I1546" s="47" t="n">
        <x:v>0.7965518180084863</x:v>
      </x:c>
      <x:c r="J1546" s="47" t="n">
        <x:v>0.47544290276983187</x:v>
      </x:c>
      <x:c r="K1546" s="47" t="n">
        <x:v>0.6448812555459729</x:v>
      </x:c>
      <x:c r="L1546" s="47" t="n">
        <x:v>0.5415697099494734</x:v>
      </x:c>
      <x:c r="M1546" s="47" t="n">
        <x:v>0.11313346528059977</x:v>
      </x:c>
      <x:c r="N1546" s="47" t="n">
        <x:v>0.8340763598475117</x:v>
      </x:c>
      <x:c r="O1546" s="47" t="n">
        <x:v>1</x:v>
      </x:c>
      <x:c r="P1546" s="47" t="n">
        <x:v>1</x:v>
      </x:c>
      <x:c r="Q1546" s="47" t="n">
        <x:v>1</x:v>
      </x:c>
      <x:c r="R1546" s="47" t="n">
        <x:v>1.0000000000000002</x:v>
      </x:c>
      <x:c r="S1546" s="27" t="n">
        <x:v>1</x:v>
      </x:c>
    </x:row>
    <x:row r="1547" ht="21.600000381469727" hidden="0" customHeight="1">
      <x:c r="A1547" s="29" t="n">
        <x:v>515</x:v>
      </x:c>
      <x:c r="B1547" s="29" t="str">
        <x:v>A1</x:v>
      </x:c>
      <x:c r="C1547" s="48" t="n">
        <x:v>1.2868413719524512</x:v>
      </x:c>
      <x:c r="D1547" s="48" t="n">
        <x:v>0.8022749474996226</x:v>
      </x:c>
      <x:c r="E1547" s="48" t="n">
        <x:v>0.9850969983635935</x:v>
      </x:c>
      <x:c r="F1547" s="48" t="n">
        <x:v>-0.02383362227622554</x:v>
      </x:c>
      <x:c r="G1547" s="48" t="n">
        <x:v>-0.10920744052043257</x:v>
      </x:c>
      <x:c r="H1547" s="48" t="n">
        <x:v>0.47733952472699026</x:v>
      </x:c>
      <x:c r="I1547" s="48" t="n">
        <x:v>0.8864622732725894</x:v>
      </x:c>
      <x:c r="J1547" s="48" t="n">
        <x:v>0.40519850610314195</x:v>
      </x:c>
      <x:c r="K1547" s="48" t="n">
        <x:v>0.9125674381645947</x:v>
      </x:c>
      <x:c r="L1547" s="48" t="n">
        <x:v>0.6163715800248167</x:v>
      </x:c>
      <x:c r="M1547" s="48" t="n">
        <x:v>0.10461839520618807</x:v>
      </x:c>
      <x:c r="N1547" s="48" t="n">
        <x:v>0.6951219817272651</x:v>
      </x:c>
      <x:c r="O1547" s="48" t="n">
        <x:v>0.752459510930139</x:v>
      </x:c>
      <x:c r="P1547" s="48" t="n">
        <x:v>0.40529259067734735</x:v>
      </x:c>
      <x:c r="Q1547" s="48" t="n">
        <x:v>0.9147660270214829</x:v>
      </x:c>
      <x:c r="R1547" s="48" t="n">
        <x:v>0.6949593693094724</x:v>
      </x:c>
      <x:c r="S1547" s="29" t="n">
        <x:v>0</x:v>
      </x:c>
    </x:row>
    <x:row r="1548" ht="21.600000381469727" hidden="0" customHeight="1">
      <x:c r="A1548" s="27" t="n">
        <x:v>515</x:v>
      </x:c>
      <x:c r="B1548" s="27" t="str">
        <x:v>A2</x:v>
      </x:c>
      <x:c r="C1548" s="47" t="n">
        <x:v>1.2868413719524512</x:v>
      </x:c>
      <x:c r="D1548" s="47" t="n">
        <x:v>0.8022749474996226</x:v>
      </x:c>
      <x:c r="E1548" s="47" t="n">
        <x:v>0.9850969983635935</x:v>
      </x:c>
      <x:c r="F1548" s="47" t="n">
        <x:v>-0.02383362227622554</x:v>
      </x:c>
      <x:c r="G1548" s="47" t="n">
        <x:v>-0.10920744052043257</x:v>
      </x:c>
      <x:c r="H1548" s="47" t="n">
        <x:v>0.47733952472699026</x:v>
      </x:c>
      <x:c r="I1548" s="47" t="n">
        <x:v>0.8864622732725894</x:v>
      </x:c>
      <x:c r="J1548" s="47" t="n">
        <x:v>0.40519850610314195</x:v>
      </x:c>
      <x:c r="K1548" s="47" t="n">
        <x:v>0.9125674381645947</x:v>
      </x:c>
      <x:c r="L1548" s="47" t="n">
        <x:v>0.6163715800248167</x:v>
      </x:c>
      <x:c r="M1548" s="47" t="n">
        <x:v>0.10461839520618807</x:v>
      </x:c>
      <x:c r="N1548" s="47" t="n">
        <x:v>0.6951219817272651</x:v>
      </x:c>
      <x:c r="O1548" s="47" t="n">
        <x:v>0.8544311799891399</x:v>
      </x:c>
      <x:c r="P1548" s="47" t="n">
        <x:v>0.6128882209500719</x:v>
      </x:c>
      <x:c r="Q1548" s="47" t="n">
        <x:v>1</x:v>
      </x:c>
      <x:c r="R1548" s="47" t="n">
        <x:v>0.820245355253</x:v>
      </x:c>
      <x:c r="S1548" s="27" t="n">
        <x:v>0</x:v>
      </x:c>
    </x:row>
    <x:row r="1549" ht="21.600000381469727" hidden="0" customHeight="1">
      <x:c r="A1549" s="29" t="n">
        <x:v>515</x:v>
      </x:c>
      <x:c r="B1549" s="29" t="str">
        <x:v>A3</x:v>
      </x:c>
      <x:c r="C1549" s="48" t="n">
        <x:v>1.2868413719524512</x:v>
      </x:c>
      <x:c r="D1549" s="48" t="n">
        <x:v>0.8022749474996226</x:v>
      </x:c>
      <x:c r="E1549" s="48" t="n">
        <x:v>0.9850969983635935</x:v>
      </x:c>
      <x:c r="F1549" s="48" t="n">
        <x:v>-0.02383362227622554</x:v>
      </x:c>
      <x:c r="G1549" s="48" t="n">
        <x:v>-0.10920744052043257</x:v>
      </x:c>
      <x:c r="H1549" s="48" t="n">
        <x:v>0.47733952472699026</x:v>
      </x:c>
      <x:c r="I1549" s="48" t="n">
        <x:v>0.8864622732725894</x:v>
      </x:c>
      <x:c r="J1549" s="48" t="n">
        <x:v>0.40519850610314195</x:v>
      </x:c>
      <x:c r="K1549" s="48" t="n">
        <x:v>0.9125674381645947</x:v>
      </x:c>
      <x:c r="L1549" s="48" t="n">
        <x:v>0.6163715800248167</x:v>
      </x:c>
      <x:c r="M1549" s="48" t="n">
        <x:v>0.10461839520618807</x:v>
      </x:c>
      <x:c r="N1549" s="48" t="n">
        <x:v>0.6951219817272651</x:v>
      </x:c>
      <x:c r="O1549" s="48" t="n">
        <x:v>1</x:v>
      </x:c>
      <x:c r="P1549" s="48" t="n">
        <x:v>1</x:v>
      </x:c>
      <x:c r="Q1549" s="48" t="n">
        <x:v>1</x:v>
      </x:c>
      <x:c r="R1549" s="48" t="n">
        <x:v>1</x:v>
      </x:c>
      <x:c r="S1549" s="29" t="n">
        <x:v>1</x:v>
      </x:c>
    </x:row>
    <x:row r="1550" ht="21.600000381469727" hidden="0" customHeight="1">
      <x:c r="A1550" s="27" t="n">
        <x:v>516</x:v>
      </x:c>
      <x:c r="B1550" s="27" t="str">
        <x:v>A1</x:v>
      </x:c>
      <x:c r="C1550" s="47" t="n">
        <x:v>0.906916280153645</x:v>
      </x:c>
      <x:c r="D1550" s="47" t="n">
        <x:v>0.8394205678937174</x:v>
      </x:c>
      <x:c r="E1550" s="47" t="n">
        <x:v>0.6565464761612408</x:v>
      </x:c>
      <x:c r="F1550" s="47" t="n">
        <x:v>-0.17575848545069478</x:v>
      </x:c>
      <x:c r="G1550" s="47" t="n">
        <x:v>-0.18352108163428774</x:v>
      </x:c>
      <x:c r="H1550" s="47" t="n">
        <x:v>0.31329857786663656</x:v>
      </x:c>
      <x:c r="I1550" s="47" t="n">
        <x:v>0.7220017105940879</x:v>
      </x:c>
      <x:c r="J1550" s="47" t="n">
        <x:v>0.9850680844755285</x:v>
      </x:c>
      <x:c r="K1550" s="47" t="n">
        <x:v>0.7245362548539206</x:v>
      </x:c>
      <x:c r="L1550" s="47" t="n">
        <x:v>0.8094944681771205</x:v>
      </x:c>
      <x:c r="M1550" s="47" t="n">
        <x:v>0.01475835184219864</x:v>
      </x:c>
      <x:c r="N1550" s="47" t="n">
        <x:v>0.9735508279054407</x:v>
      </x:c>
      <x:c r="O1550" s="47" t="n">
        <x:v>0.9403787752269414</x:v>
      </x:c>
      <x:c r="P1550" s="47" t="n">
        <x:v>0.6196442027260383</x:v>
      </x:c>
      <x:c r="Q1550" s="47" t="n">
        <x:v>1</x:v>
      </x:c>
      <x:c r="R1550" s="47" t="n">
        <x:v>0.9263771453415462</x:v>
      </x:c>
      <x:c r="S1550" s="27" t="n">
        <x:v>0</x:v>
      </x:c>
    </x:row>
    <x:row r="1551" ht="21.600000381469727" hidden="0" customHeight="1">
      <x:c r="A1551" s="29" t="n">
        <x:v>516</x:v>
      </x:c>
      <x:c r="B1551" s="29" t="str">
        <x:v>A2</x:v>
      </x:c>
      <x:c r="C1551" s="48" t="n">
        <x:v>0.906916280153645</x:v>
      </x:c>
      <x:c r="D1551" s="48" t="n">
        <x:v>0.8394205678937174</x:v>
      </x:c>
      <x:c r="E1551" s="48" t="n">
        <x:v>0.6565464761612408</x:v>
      </x:c>
      <x:c r="F1551" s="48" t="n">
        <x:v>-0.17575848545069478</x:v>
      </x:c>
      <x:c r="G1551" s="48" t="n">
        <x:v>-0.18352108163428774</x:v>
      </x:c>
      <x:c r="H1551" s="48" t="n">
        <x:v>0.31329857786663656</x:v>
      </x:c>
      <x:c r="I1551" s="48" t="n">
        <x:v>0.7220017105940879</x:v>
      </x:c>
      <x:c r="J1551" s="48" t="n">
        <x:v>0.9850680844755285</x:v>
      </x:c>
      <x:c r="K1551" s="48" t="n">
        <x:v>0.7245362548539206</x:v>
      </x:c>
      <x:c r="L1551" s="48" t="n">
        <x:v>0.8094944681771205</x:v>
      </x:c>
      <x:c r="M1551" s="48" t="n">
        <x:v>0.01475835184219864</x:v>
      </x:c>
      <x:c r="N1551" s="48" t="n">
        <x:v>0.9735508279054407</x:v>
      </x:c>
      <x:c r="O1551" s="48" t="n">
        <x:v>1</x:v>
      </x:c>
      <x:c r="P1551" s="48" t="n">
        <x:v>1</x:v>
      </x:c>
      <x:c r="Q1551" s="48" t="n">
        <x:v>1</x:v>
      </x:c>
      <x:c r="R1551" s="48" t="n">
        <x:v>1</x:v>
      </x:c>
      <x:c r="S1551" s="29" t="n">
        <x:v>1</x:v>
      </x:c>
    </x:row>
    <x:row r="1552" ht="21.600000381469727" hidden="0" customHeight="1">
      <x:c r="A1552" s="27" t="n">
        <x:v>516</x:v>
      </x:c>
      <x:c r="B1552" s="27" t="str">
        <x:v>A3</x:v>
      </x:c>
      <x:c r="C1552" s="47" t="n">
        <x:v>0.906916280153645</x:v>
      </x:c>
      <x:c r="D1552" s="47" t="n">
        <x:v>0.8394205678937174</x:v>
      </x:c>
      <x:c r="E1552" s="47" t="n">
        <x:v>0.6565464761612408</x:v>
      </x:c>
      <x:c r="F1552" s="47" t="n">
        <x:v>-0.17575848545069478</x:v>
      </x:c>
      <x:c r="G1552" s="47" t="n">
        <x:v>-0.18352108163428774</x:v>
      </x:c>
      <x:c r="H1552" s="47" t="n">
        <x:v>0.31329857786663656</x:v>
      </x:c>
      <x:c r="I1552" s="47" t="n">
        <x:v>0.7220017105940879</x:v>
      </x:c>
      <x:c r="J1552" s="47" t="n">
        <x:v>0.9850680844755285</x:v>
      </x:c>
      <x:c r="K1552" s="47" t="n">
        <x:v>0.7245362548539206</x:v>
      </x:c>
      <x:c r="L1552" s="47" t="n">
        <x:v>0.8094944681771205</x:v>
      </x:c>
      <x:c r="M1552" s="47" t="n">
        <x:v>0.01475835184219864</x:v>
      </x:c>
      <x:c r="N1552" s="47" t="n">
        <x:v>0.9735508279054407</x:v>
      </x:c>
      <x:c r="O1552" s="47" t="n">
        <x:v>1</x:v>
      </x:c>
      <x:c r="P1552" s="47" t="n">
        <x:v>1</x:v>
      </x:c>
      <x:c r="Q1552" s="47" t="n">
        <x:v>1</x:v>
      </x:c>
      <x:c r="R1552" s="47" t="n">
        <x:v>1</x:v>
      </x:c>
      <x:c r="S1552" s="27" t="n">
        <x:v>1</x:v>
      </x:c>
    </x:row>
    <x:row r="1553" ht="21.600000381469727" hidden="0" customHeight="1">
      <x:c r="A1553" s="29" t="n">
        <x:v>517</x:v>
      </x:c>
      <x:c r="B1553" s="29" t="str">
        <x:v>A1</x:v>
      </x:c>
      <x:c r="C1553" s="48" t="n">
        <x:v>1.229057971938273</x:v>
      </x:c>
      <x:c r="D1553" s="48" t="n">
        <x:v>0.9079522530042474</x:v>
      </x:c>
      <x:c r="E1553" s="48" t="n">
        <x:v>0.8313638766569346</x:v>
      </x:c>
      <x:c r="F1553" s="48" t="n">
        <x:v>-0.06032415780364364</x:v>
      </x:c>
      <x:c r="G1553" s="48" t="n">
        <x:v>-0.10992918393428552</x:v>
      </x:c>
      <x:c r="H1553" s="48" t="n">
        <x:v>0.39766192565141506</x:v>
      </x:c>
      <x:c r="I1553" s="48" t="n">
        <x:v>0.6133859692376448</x:v>
      </x:c>
      <x:c r="J1553" s="48" t="n">
        <x:v>0.984516852696757</x:v>
      </x:c>
      <x:c r="K1553" s="48" t="n">
        <x:v>0.7156641827987396</x:v>
      </x:c>
      <x:c r="L1553" s="48" t="n">
        <x:v>0.6412920621161431</x:v>
      </x:c>
      <x:c r="M1553" s="48" t="n">
        <x:v>0.1237533067394182</x:v>
      </x:c>
      <x:c r="N1553" s="48" t="n">
        <x:v>0.8427465750566403</x:v>
      </x:c>
      <x:c r="O1553" s="48" t="n">
        <x:v>0.8401635731165017</x:v>
      </x:c>
      <x:c r="P1553" s="48" t="n">
        <x:v>0.46733265777465594</x:v>
      </x:c>
      <x:c r="Q1553" s="48" t="n">
        <x:v>0.9715407253034141</x:v>
      </x:c>
      <x:c r="R1553" s="48" t="n">
        <x:v>0.8028384630228199</x:v>
      </x:c>
      <x:c r="S1553" s="29" t="n">
        <x:v>0</x:v>
      </x:c>
    </x:row>
    <x:row r="1554" ht="21.600000381469727" hidden="0" customHeight="1">
      <x:c r="A1554" s="27" t="n">
        <x:v>517</x:v>
      </x:c>
      <x:c r="B1554" s="27" t="str">
        <x:v>A2</x:v>
      </x:c>
      <x:c r="C1554" s="47" t="n">
        <x:v>1.229057971938273</x:v>
      </x:c>
      <x:c r="D1554" s="47" t="n">
        <x:v>0.9079522530042474</x:v>
      </x:c>
      <x:c r="E1554" s="47" t="n">
        <x:v>0.8313638766569346</x:v>
      </x:c>
      <x:c r="F1554" s="47" t="n">
        <x:v>-0.06032415780364364</x:v>
      </x:c>
      <x:c r="G1554" s="47" t="n">
        <x:v>-0.10992918393428552</x:v>
      </x:c>
      <x:c r="H1554" s="47" t="n">
        <x:v>0.39766192565141506</x:v>
      </x:c>
      <x:c r="I1554" s="47" t="n">
        <x:v>0.6133859692376448</x:v>
      </x:c>
      <x:c r="J1554" s="47" t="n">
        <x:v>0.984516852696757</x:v>
      </x:c>
      <x:c r="K1554" s="47" t="n">
        <x:v>0.7156641827987396</x:v>
      </x:c>
      <x:c r="L1554" s="47" t="n">
        <x:v>0.6412920621161431</x:v>
      </x:c>
      <x:c r="M1554" s="47" t="n">
        <x:v>0.1237533067394182</x:v>
      </x:c>
      <x:c r="N1554" s="47" t="n">
        <x:v>0.8427465750566403</x:v>
      </x:c>
      <x:c r="O1554" s="47" t="n">
        <x:v>0.8910873279892879</x:v>
      </x:c>
      <x:c r="P1554" s="47" t="n">
        <x:v>0.5454333306159235</x:v>
      </x:c>
      <x:c r="Q1554" s="47" t="n">
        <x:v>1</x:v>
      </x:c>
      <x:c r="R1554" s="47" t="n">
        <x:v>0.8655099446140219</x:v>
      </x:c>
      <x:c r="S1554" s="27" t="n">
        <x:v>0</x:v>
      </x:c>
    </x:row>
    <x:row r="1555" ht="21.600000381469727" hidden="0" customHeight="1">
      <x:c r="A1555" s="29" t="n">
        <x:v>517</x:v>
      </x:c>
      <x:c r="B1555" s="29" t="str">
        <x:v>A3</x:v>
      </x:c>
      <x:c r="C1555" s="48" t="n">
        <x:v>1.229057971938273</x:v>
      </x:c>
      <x:c r="D1555" s="48" t="n">
        <x:v>0.9079522530042474</x:v>
      </x:c>
      <x:c r="E1555" s="48" t="n">
        <x:v>0.8313638766569346</x:v>
      </x:c>
      <x:c r="F1555" s="48" t="n">
        <x:v>-0.06032415780364364</x:v>
      </x:c>
      <x:c r="G1555" s="48" t="n">
        <x:v>-0.10992918393428552</x:v>
      </x:c>
      <x:c r="H1555" s="48" t="n">
        <x:v>0.39766192565141506</x:v>
      </x:c>
      <x:c r="I1555" s="48" t="n">
        <x:v>0.6133859692376448</x:v>
      </x:c>
      <x:c r="J1555" s="48" t="n">
        <x:v>0.984516852696757</x:v>
      </x:c>
      <x:c r="K1555" s="48" t="n">
        <x:v>0.7156641827987396</x:v>
      </x:c>
      <x:c r="L1555" s="48" t="n">
        <x:v>0.6412920621161431</x:v>
      </x:c>
      <x:c r="M1555" s="48" t="n">
        <x:v>0.1237533067394182</x:v>
      </x:c>
      <x:c r="N1555" s="48" t="n">
        <x:v>0.8427465750566403</x:v>
      </x:c>
      <x:c r="O1555" s="48" t="n">
        <x:v>1</x:v>
      </x:c>
      <x:c r="P1555" s="48" t="n">
        <x:v>1</x:v>
      </x:c>
      <x:c r="Q1555" s="48" t="n">
        <x:v>1</x:v>
      </x:c>
      <x:c r="R1555" s="48" t="n">
        <x:v>1</x:v>
      </x:c>
      <x:c r="S1555" s="29" t="n">
        <x:v>1</x:v>
      </x:c>
    </x:row>
    <x:row r="1556" ht="21.600000381469727" hidden="0" customHeight="1">
      <x:c r="A1556" s="27" t="n">
        <x:v>518</x:v>
      </x:c>
      <x:c r="B1556" s="27" t="str">
        <x:v>A1</x:v>
      </x:c>
      <x:c r="C1556" s="47" t="n">
        <x:v>1.1787555481290464</x:v>
      </x:c>
      <x:c r="D1556" s="47" t="n">
        <x:v>0.9143941047671614</x:v>
      </x:c>
      <x:c r="E1556" s="47" t="n">
        <x:v>0.9239261030429995</x:v>
      </x:c>
      <x:c r="F1556" s="47" t="n">
        <x:v>0.008677455500798847</x:v>
      </x:c>
      <x:c r="G1556" s="47" t="n">
        <x:v>-0.08111053478988654</x:v>
      </x:c>
      <x:c r="H1556" s="47" t="n">
        <x:v>0.8478965558987204</x:v>
      </x:c>
      <x:c r="I1556" s="47" t="n">
        <x:v>0.696930714827849</x:v>
      </x:c>
      <x:c r="J1556" s="47" t="n">
        <x:v>0.7230624675768411</x:v>
      </x:c>
      <x:c r="K1556" s="47" t="n">
        <x:v>0.6163639533028377</x:v>
      </x:c>
      <x:c r="L1556" s="47" t="n">
        <x:v>0.7229944793813874</x:v>
      </x:c>
      <x:c r="M1556" s="47" t="n">
        <x:v>0.039224735885108185</x:v>
      </x:c>
      <x:c r="N1556" s="47" t="n">
        <x:v>0.939992697849878</x:v>
      </x:c>
      <x:c r="O1556" s="47" t="n">
        <x:v>0.8570014400158368</x:v>
      </x:c>
      <x:c r="P1556" s="47" t="n">
        <x:v>0.5383978780301331</x:v>
      </x:c>
      <x:c r="Q1556" s="47" t="n">
        <x:v>1</x:v>
      </x:c>
      <x:c r="R1556" s="47" t="n">
        <x:v>0.8234192229670604</x:v>
      </x:c>
      <x:c r="S1556" s="27" t="n">
        <x:v>0</x:v>
      </x:c>
    </x:row>
    <x:row r="1557" ht="21.600000381469727" hidden="0" customHeight="1">
      <x:c r="A1557" s="29" t="n">
        <x:v>518</x:v>
      </x:c>
      <x:c r="B1557" s="29" t="str">
        <x:v>A2</x:v>
      </x:c>
      <x:c r="C1557" s="48" t="n">
        <x:v>1.1787555481290464</x:v>
      </x:c>
      <x:c r="D1557" s="48" t="n">
        <x:v>0.9143941047671614</x:v>
      </x:c>
      <x:c r="E1557" s="48" t="n">
        <x:v>0.9239261030429995</x:v>
      </x:c>
      <x:c r="F1557" s="48" t="n">
        <x:v>0.008677455500798847</x:v>
      </x:c>
      <x:c r="G1557" s="48" t="n">
        <x:v>-0.08111053478988654</x:v>
      </x:c>
      <x:c r="H1557" s="48" t="n">
        <x:v>0.8478965558987204</x:v>
      </x:c>
      <x:c r="I1557" s="48" t="n">
        <x:v>0.696930714827849</x:v>
      </x:c>
      <x:c r="J1557" s="48" t="n">
        <x:v>0.7230624675768411</x:v>
      </x:c>
      <x:c r="K1557" s="48" t="n">
        <x:v>0.6163639533028377</x:v>
      </x:c>
      <x:c r="L1557" s="48" t="n">
        <x:v>0.7229944793813874</x:v>
      </x:c>
      <x:c r="M1557" s="48" t="n">
        <x:v>0.039224735885108185</x:v>
      </x:c>
      <x:c r="N1557" s="48" t="n">
        <x:v>0.939992697849878</x:v>
      </x:c>
      <x:c r="O1557" s="48" t="n">
        <x:v>0.9264396617583183</x:v>
      </x:c>
      <x:c r="P1557" s="48" t="n">
        <x:v>0.5878109564215505</x:v>
      </x:c>
      <x:c r="Q1557" s="48" t="n">
        <x:v>1</x:v>
      </x:c>
      <x:c r="R1557" s="48" t="n">
        <x:v>0.909164528041677</x:v>
      </x:c>
      <x:c r="S1557" s="29" t="n">
        <x:v>0</x:v>
      </x:c>
    </x:row>
    <x:row r="1558" ht="21.600000381469727" hidden="0" customHeight="1">
      <x:c r="A1558" s="27" t="n">
        <x:v>518</x:v>
      </x:c>
      <x:c r="B1558" s="27" t="str">
        <x:v>A3</x:v>
      </x:c>
      <x:c r="C1558" s="47" t="n">
        <x:v>1.1787555481290464</x:v>
      </x:c>
      <x:c r="D1558" s="47" t="n">
        <x:v>0.9143941047671614</x:v>
      </x:c>
      <x:c r="E1558" s="47" t="n">
        <x:v>0.9239261030429995</x:v>
      </x:c>
      <x:c r="F1558" s="47" t="n">
        <x:v>0.008677455500798847</x:v>
      </x:c>
      <x:c r="G1558" s="47" t="n">
        <x:v>-0.08111053478988654</x:v>
      </x:c>
      <x:c r="H1558" s="47" t="n">
        <x:v>0.8478965558987204</x:v>
      </x:c>
      <x:c r="I1558" s="47" t="n">
        <x:v>0.696930714827849</x:v>
      </x:c>
      <x:c r="J1558" s="47" t="n">
        <x:v>0.7230624675768411</x:v>
      </x:c>
      <x:c r="K1558" s="47" t="n">
        <x:v>0.6163639533028377</x:v>
      </x:c>
      <x:c r="L1558" s="47" t="n">
        <x:v>0.7229944793813874</x:v>
      </x:c>
      <x:c r="M1558" s="47" t="n">
        <x:v>0.039224735885108185</x:v>
      </x:c>
      <x:c r="N1558" s="47" t="n">
        <x:v>0.939992697849878</x:v>
      </x:c>
      <x:c r="O1558" s="47" t="n">
        <x:v>1</x:v>
      </x:c>
      <x:c r="P1558" s="47" t="n">
        <x:v>1</x:v>
      </x:c>
      <x:c r="Q1558" s="47" t="n">
        <x:v>1</x:v>
      </x:c>
      <x:c r="R1558" s="47" t="n">
        <x:v>1</x:v>
      </x:c>
      <x:c r="S1558" s="27" t="n">
        <x:v>1</x:v>
      </x:c>
    </x:row>
    <x:row r="1559" ht="21.600000381469727" hidden="0" customHeight="1">
      <x:c r="A1559" s="29" t="n">
        <x:v>519</x:v>
      </x:c>
      <x:c r="B1559" s="29" t="str">
        <x:v>A1</x:v>
      </x:c>
      <x:c r="C1559" s="48" t="n">
        <x:v>1.2573559841033806</x:v>
      </x:c>
      <x:c r="D1559" s="48" t="n">
        <x:v>0.9040339927355558</x:v>
      </x:c>
      <x:c r="E1559" s="48" t="n">
        <x:v>0.6302001288802379</x:v>
      </x:c>
      <x:c r="F1559" s="48" t="n">
        <x:v>-0.07229260777872559</x:v>
      </x:c>
      <x:c r="G1559" s="48" t="n">
        <x:v>-0.1809183288209565</x:v>
      </x:c>
      <x:c r="H1559" s="48" t="n">
        <x:v>0.47387046317195886</x:v>
      </x:c>
      <x:c r="I1559" s="48" t="n">
        <x:v>0.9168236308284308</x:v>
      </x:c>
      <x:c r="J1559" s="48" t="n">
        <x:v>0.9052586759567438</x:v>
      </x:c>
      <x:c r="K1559" s="48" t="n">
        <x:v>0.7805337536004565</x:v>
      </x:c>
      <x:c r="L1559" s="48" t="n">
        <x:v>0.7704920800024482</x:v>
      </x:c>
      <x:c r="M1559" s="48" t="n">
        <x:v>0.15347002324628056</x:v>
      </x:c>
      <x:c r="N1559" s="48" t="n">
        <x:v>0.675493358595633</x:v>
      </x:c>
      <x:c r="O1559" s="48" t="n">
        <x:v>0.8511163257247072</x:v>
      </x:c>
      <x:c r="P1559" s="48" t="n">
        <x:v>0.5421880135782907</x:v>
      </x:c>
      <x:c r="Q1559" s="48" t="n">
        <x:v>1</x:v>
      </x:c>
      <x:c r="R1559" s="48" t="n">
        <x:v>0.8161520305242107</x:v>
      </x:c>
      <x:c r="S1559" s="29" t="n">
        <x:v>0</x:v>
      </x:c>
    </x:row>
    <x:row r="1560" ht="21.600000381469727" hidden="0" customHeight="1">
      <x:c r="A1560" s="27" t="n">
        <x:v>519</x:v>
      </x:c>
      <x:c r="B1560" s="27" t="str">
        <x:v>A2</x:v>
      </x:c>
      <x:c r="C1560" s="47" t="n">
        <x:v>1.2573559841033806</x:v>
      </x:c>
      <x:c r="D1560" s="47" t="n">
        <x:v>0.9040339927355558</x:v>
      </x:c>
      <x:c r="E1560" s="47" t="n">
        <x:v>0.6302001288802379</x:v>
      </x:c>
      <x:c r="F1560" s="47" t="n">
        <x:v>-0.07229260777872559</x:v>
      </x:c>
      <x:c r="G1560" s="47" t="n">
        <x:v>-0.1809183288209565</x:v>
      </x:c>
      <x:c r="H1560" s="47" t="n">
        <x:v>0.47387046317195886</x:v>
      </x:c>
      <x:c r="I1560" s="47" t="n">
        <x:v>0.9168236308284308</x:v>
      </x:c>
      <x:c r="J1560" s="47" t="n">
        <x:v>0.9052586759567438</x:v>
      </x:c>
      <x:c r="K1560" s="47" t="n">
        <x:v>0.7805337536004565</x:v>
      </x:c>
      <x:c r="L1560" s="47" t="n">
        <x:v>0.7704920800024482</x:v>
      </x:c>
      <x:c r="M1560" s="47" t="n">
        <x:v>0.15347002324628056</x:v>
      </x:c>
      <x:c r="N1560" s="47" t="n">
        <x:v>0.675493358595633</x:v>
      </x:c>
      <x:c r="O1560" s="47" t="n">
        <x:v>0.9092261794549875</x:v>
      </x:c>
      <x:c r="P1560" s="47" t="n">
        <x:v>0.5038917842230604</x:v>
      </x:c>
      <x:c r="Q1560" s="47" t="n">
        <x:v>1</x:v>
      </x:c>
      <x:c r="R1560" s="47" t="n">
        <x:v>0.8879085791642792</x:v>
      </x:c>
      <x:c r="S1560" s="27" t="n">
        <x:v>0</x:v>
      </x:c>
    </x:row>
    <x:row r="1561" ht="21.600000381469727" hidden="0" customHeight="1">
      <x:c r="A1561" s="29" t="n">
        <x:v>519</x:v>
      </x:c>
      <x:c r="B1561" s="29" t="str">
        <x:v>A3</x:v>
      </x:c>
      <x:c r="C1561" s="48" t="n">
        <x:v>1.2573559841033806</x:v>
      </x:c>
      <x:c r="D1561" s="48" t="n">
        <x:v>0.9040339927355558</x:v>
      </x:c>
      <x:c r="E1561" s="48" t="n">
        <x:v>0.6302001288802379</x:v>
      </x:c>
      <x:c r="F1561" s="48" t="n">
        <x:v>-0.07229260777872559</x:v>
      </x:c>
      <x:c r="G1561" s="48" t="n">
        <x:v>-0.1809183288209565</x:v>
      </x:c>
      <x:c r="H1561" s="48" t="n">
        <x:v>0.47387046317195886</x:v>
      </x:c>
      <x:c r="I1561" s="48" t="n">
        <x:v>0.9168236308284308</x:v>
      </x:c>
      <x:c r="J1561" s="48" t="n">
        <x:v>0.9052586759567438</x:v>
      </x:c>
      <x:c r="K1561" s="48" t="n">
        <x:v>0.7805337536004565</x:v>
      </x:c>
      <x:c r="L1561" s="48" t="n">
        <x:v>0.7704920800024482</x:v>
      </x:c>
      <x:c r="M1561" s="48" t="n">
        <x:v>0.15347002324628056</x:v>
      </x:c>
      <x:c r="N1561" s="48" t="n">
        <x:v>0.675493358595633</x:v>
      </x:c>
      <x:c r="O1561" s="48" t="n">
        <x:v>1</x:v>
      </x:c>
      <x:c r="P1561" s="48" t="n">
        <x:v>1</x:v>
      </x:c>
      <x:c r="Q1561" s="48" t="n">
        <x:v>1</x:v>
      </x:c>
      <x:c r="R1561" s="48" t="n">
        <x:v>1</x:v>
      </x:c>
      <x:c r="S1561" s="29" t="n">
        <x:v>1</x:v>
      </x:c>
    </x:row>
    <x:row r="1562" ht="15" hidden="0" customHeight="1">
      <x:c r="A1562" s="27" t="n">
        <x:v>520</x:v>
      </x:c>
      <x:c r="B1562" s="27" t="str">
        <x:v>A1</x:v>
      </x:c>
      <x:c r="C1562" s="47" t="n">
        <x:v>1.2324049388235554</x:v>
      </x:c>
      <x:c r="D1562" s="47" t="n">
        <x:v>0.7646428476800212</x:v>
      </x:c>
      <x:c r="E1562" s="47" t="n">
        <x:v>1.016552765688802</x:v>
      </x:c>
      <x:c r="F1562" s="47" t="n">
        <x:v>0.014807554897830921</x:v>
      </x:c>
      <x:c r="G1562" s="47" t="n">
        <x:v>0.013712708496626036</x:v>
      </x:c>
      <x:c r="H1562" s="47" t="n">
        <x:v>0.7089825251584416</x:v>
      </x:c>
      <x:c r="I1562" s="47" t="n">
        <x:v>0.7624712429926288</x:v>
      </x:c>
      <x:c r="J1562" s="47" t="n">
        <x:v>0.4952347576357225</x:v>
      </x:c>
      <x:c r="K1562" s="47" t="n">
        <x:v>0.8430644986567386</x:v>
      </x:c>
      <x:c r="L1562" s="47" t="n">
        <x:v>0.5586656695554254</x:v>
      </x:c>
      <x:c r="M1562" s="47" t="n">
        <x:v>0.17753715453667784</x:v>
      </x:c>
      <x:c r="N1562" s="47" t="n">
        <x:v>0.7862342040495601</x:v>
      </x:c>
      <x:c r="O1562" s="47" t="n">
        <x:v>0.7254574342690698</x:v>
      </x:c>
      <x:c r="P1562" s="47" t="n">
        <x:v>0.4117596691813897</x:v>
      </x:c>
      <x:c r="Q1562" s="47" t="n">
        <x:v>0.9446431558099618</x:v>
      </x:c>
      <x:c r="R1562" s="47" t="n">
        <x:v>0.661394149724228</x:v>
      </x:c>
      <x:c r="S1562" s="27" t="n">
        <x:v>0</x:v>
      </x:c>
    </x:row>
    <x:row r="1563" ht="15" hidden="0" customHeight="1">
      <x:c r="A1563" s="29" t="n">
        <x:v>520</x:v>
      </x:c>
      <x:c r="B1563" s="29" t="str">
        <x:v>A2</x:v>
      </x:c>
      <x:c r="C1563" s="48" t="n">
        <x:v>1.2324049388235554</x:v>
      </x:c>
      <x:c r="D1563" s="48" t="n">
        <x:v>0.7646428476800212</x:v>
      </x:c>
      <x:c r="E1563" s="48" t="n">
        <x:v>1.016552765688802</x:v>
      </x:c>
      <x:c r="F1563" s="48" t="n">
        <x:v>0.014807554897830921</x:v>
      </x:c>
      <x:c r="G1563" s="48" t="n">
        <x:v>0.013712708496626036</x:v>
      </x:c>
      <x:c r="H1563" s="48" t="n">
        <x:v>0.7089825251584416</x:v>
      </x:c>
      <x:c r="I1563" s="48" t="n">
        <x:v>0.7624712429926288</x:v>
      </x:c>
      <x:c r="J1563" s="48" t="n">
        <x:v>0.4952347576357225</x:v>
      </x:c>
      <x:c r="K1563" s="48" t="n">
        <x:v>0.8430644986567386</x:v>
      </x:c>
      <x:c r="L1563" s="48" t="n">
        <x:v>0.5586656695554254</x:v>
      </x:c>
      <x:c r="M1563" s="48" t="n">
        <x:v>0.17753715453667784</x:v>
      </x:c>
      <x:c r="N1563" s="48" t="n">
        <x:v>0.7862342040495601</x:v>
      </x:c>
      <x:c r="O1563" s="48" t="n">
        <x:v>0.8148140147516924</x:v>
      </x:c>
      <x:c r="P1563" s="48" t="n">
        <x:v>0.45324978527763937</x:v>
      </x:c>
      <x:c r="Q1563" s="48" t="n">
        <x:v>1</x:v>
      </x:c>
      <x:c r="R1563" s="48" t="n">
        <x:v>0.7713243743546919</x:v>
      </x:c>
      <x:c r="S1563" s="29" t="n">
        <x:v>0</x:v>
      </x:c>
    </x:row>
    <x:row r="1564" ht="15" hidden="0" customHeight="1">
      <x:c r="A1564" s="27" t="n">
        <x:v>520</x:v>
      </x:c>
      <x:c r="B1564" s="27" t="str">
        <x:v>A3</x:v>
      </x:c>
      <x:c r="C1564" s="47" t="n">
        <x:v>1.2324049388235554</x:v>
      </x:c>
      <x:c r="D1564" s="47" t="n">
        <x:v>0.7646428476800212</x:v>
      </x:c>
      <x:c r="E1564" s="47" t="n">
        <x:v>1.016552765688802</x:v>
      </x:c>
      <x:c r="F1564" s="47" t="n">
        <x:v>0.014807554897830921</x:v>
      </x:c>
      <x:c r="G1564" s="47" t="n">
        <x:v>0.013712708496626036</x:v>
      </x:c>
      <x:c r="H1564" s="47" t="n">
        <x:v>0.7089825251584416</x:v>
      </x:c>
      <x:c r="I1564" s="47" t="n">
        <x:v>0.7624712429926288</x:v>
      </x:c>
      <x:c r="J1564" s="47" t="n">
        <x:v>0.4952347576357225</x:v>
      </x:c>
      <x:c r="K1564" s="47" t="n">
        <x:v>0.8430644986567386</x:v>
      </x:c>
      <x:c r="L1564" s="47" t="n">
        <x:v>0.5586656695554254</x:v>
      </x:c>
      <x:c r="M1564" s="47" t="n">
        <x:v>0.17753715453667784</x:v>
      </x:c>
      <x:c r="N1564" s="47" t="n">
        <x:v>0.7862342040495601</x:v>
      </x:c>
      <x:c r="O1564" s="47" t="n">
        <x:v>1</x:v>
      </x:c>
      <x:c r="P1564" s="47" t="n">
        <x:v>1</x:v>
      </x:c>
      <x:c r="Q1564" s="47" t="n">
        <x:v>1</x:v>
      </x:c>
      <x:c r="R1564" s="47" t="n">
        <x:v>1</x:v>
      </x:c>
      <x:c r="S1564" s="27" t="n">
        <x:v>1</x:v>
      </x:c>
    </x:row>
    <x:row r="1565" ht="21.600000381469727" hidden="0" customHeight="1">
      <x:c r="A1565" s="29" t="n">
        <x:v>521</x:v>
      </x:c>
      <x:c r="B1565" s="29" t="str">
        <x:v>A1</x:v>
      </x:c>
      <x:c r="C1565" s="48" t="n">
        <x:v>1.3061621862831534</x:v>
      </x:c>
      <x:c r="D1565" s="48" t="n">
        <x:v>0.7830872088325878</x:v>
      </x:c>
      <x:c r="E1565" s="48" t="n">
        <x:v>1.0910431188041092</x:v>
      </x:c>
      <x:c r="F1565" s="48" t="n">
        <x:v>-0.0555932234518505</x:v>
      </x:c>
      <x:c r="G1565" s="48" t="n">
        <x:v>-0.0014222333759299766</x:v>
      </x:c>
      <x:c r="H1565" s="48" t="n">
        <x:v>0.577302062230474</x:v>
      </x:c>
      <x:c r="I1565" s="48" t="n">
        <x:v>0.9012128235235579</x:v>
      </x:c>
      <x:c r="J1565" s="48" t="n">
        <x:v>0.42881074324206697</x:v>
      </x:c>
      <x:c r="K1565" s="48" t="n">
        <x:v>0.6223118475684573</x:v>
      </x:c>
      <x:c r="L1565" s="48" t="n">
        <x:v>0.8169245733587667</x:v>
      </x:c>
      <x:c r="M1565" s="48" t="n">
        <x:v>0.08190227088205454</x:v>
      </x:c>
      <x:c r="N1565" s="48" t="n">
        <x:v>0.7888491131771047</x:v>
      </x:c>
      <x:c r="O1565" s="48" t="n">
        <x:v>0.736108708193824</x:v>
      </x:c>
      <x:c r="P1565" s="48" t="n">
        <x:v>0.4068000969145808</x:v>
      </x:c>
      <x:c r="Q1565" s="48" t="n">
        <x:v>1</x:v>
      </x:c>
      <x:c r="R1565" s="48" t="n">
        <x:v>0.6741356740618829</x:v>
      </x:c>
      <x:c r="S1565" s="29" t="n">
        <x:v>0</x:v>
      </x:c>
    </x:row>
    <x:row r="1566" ht="21.600000381469727" hidden="0" customHeight="1">
      <x:c r="A1566" s="27" t="n">
        <x:v>521</x:v>
      </x:c>
      <x:c r="B1566" s="27" t="str">
        <x:v>A2</x:v>
      </x:c>
      <x:c r="C1566" s="47" t="n">
        <x:v>1.3061621862831534</x:v>
      </x:c>
      <x:c r="D1566" s="47" t="n">
        <x:v>0.7830872088325878</x:v>
      </x:c>
      <x:c r="E1566" s="47" t="n">
        <x:v>1.0910431188041092</x:v>
      </x:c>
      <x:c r="F1566" s="47" t="n">
        <x:v>-0.0555932234518505</x:v>
      </x:c>
      <x:c r="G1566" s="47" t="n">
        <x:v>-0.0014222333759299766</x:v>
      </x:c>
      <x:c r="H1566" s="47" t="n">
        <x:v>0.577302062230474</x:v>
      </x:c>
      <x:c r="I1566" s="47" t="n">
        <x:v>0.9012128235235579</x:v>
      </x:c>
      <x:c r="J1566" s="47" t="n">
        <x:v>0.42881074324206697</x:v>
      </x:c>
      <x:c r="K1566" s="47" t="n">
        <x:v>0.6223118475684573</x:v>
      </x:c>
      <x:c r="L1566" s="47" t="n">
        <x:v>0.8169245733587667</x:v>
      </x:c>
      <x:c r="M1566" s="47" t="n">
        <x:v>0.08190227088205454</x:v>
      </x:c>
      <x:c r="N1566" s="47" t="n">
        <x:v>0.7888491131771047</x:v>
      </x:c>
      <x:c r="O1566" s="47" t="n">
        <x:v>0.8293409619173152</x:v>
      </x:c>
      <x:c r="P1566" s="47" t="n">
        <x:v>0.5316013997095917</x:v>
      </x:c>
      <x:c r="Q1566" s="47" t="n">
        <x:v>1</x:v>
      </x:c>
      <x:c r="R1566" s="47" t="n">
        <x:v>0.7892628740060605</x:v>
      </x:c>
      <x:c r="S1566" s="27" t="n">
        <x:v>0</x:v>
      </x:c>
    </x:row>
    <x:row r="1567" ht="21.600000381469727" hidden="0" customHeight="1">
      <x:c r="A1567" s="29" t="n">
        <x:v>521</x:v>
      </x:c>
      <x:c r="B1567" s="29" t="str">
        <x:v>A3</x:v>
      </x:c>
      <x:c r="C1567" s="48" t="n">
        <x:v>1.3061621862831534</x:v>
      </x:c>
      <x:c r="D1567" s="48" t="n">
        <x:v>0.7830872088325878</x:v>
      </x:c>
      <x:c r="E1567" s="48" t="n">
        <x:v>1.0910431188041092</x:v>
      </x:c>
      <x:c r="F1567" s="48" t="n">
        <x:v>-0.0555932234518505</x:v>
      </x:c>
      <x:c r="G1567" s="48" t="n">
        <x:v>-0.0014222333759299766</x:v>
      </x:c>
      <x:c r="H1567" s="48" t="n">
        <x:v>0.577302062230474</x:v>
      </x:c>
      <x:c r="I1567" s="48" t="n">
        <x:v>0.9012128235235579</x:v>
      </x:c>
      <x:c r="J1567" s="48" t="n">
        <x:v>0.42881074324206697</x:v>
      </x:c>
      <x:c r="K1567" s="48" t="n">
        <x:v>0.6223118475684573</x:v>
      </x:c>
      <x:c r="L1567" s="48" t="n">
        <x:v>0.8169245733587667</x:v>
      </x:c>
      <x:c r="M1567" s="48" t="n">
        <x:v>0.08190227088205454</x:v>
      </x:c>
      <x:c r="N1567" s="48" t="n">
        <x:v>0.7888491131771047</x:v>
      </x:c>
      <x:c r="O1567" s="48" t="n">
        <x:v>1</x:v>
      </x:c>
      <x:c r="P1567" s="48" t="n">
        <x:v>1</x:v>
      </x:c>
      <x:c r="Q1567" s="48" t="n">
        <x:v>1</x:v>
      </x:c>
      <x:c r="R1567" s="48" t="n">
        <x:v>1</x:v>
      </x:c>
      <x:c r="S1567" s="29" t="n">
        <x:v>1</x:v>
      </x:c>
    </x:row>
    <x:row r="1568" ht="21.600000381469727" hidden="0" customHeight="1">
      <x:c r="A1568" s="27" t="n">
        <x:v>522</x:v>
      </x:c>
      <x:c r="B1568" s="27" t="str">
        <x:v>A1</x:v>
      </x:c>
      <x:c r="C1568" s="47" t="n">
        <x:v>1.044368529159872</x:v>
      </x:c>
      <x:c r="D1568" s="47" t="n">
        <x:v>0.8564936747615698</x:v>
      </x:c>
      <x:c r="E1568" s="47" t="n">
        <x:v>1.0422268547147888</x:v>
      </x:c>
      <x:c r="F1568" s="47" t="n">
        <x:v>-0.09164117983019403</x:v>
      </x:c>
      <x:c r="G1568" s="47" t="n">
        <x:v>-0.03347397366150287</x:v>
      </x:c>
      <x:c r="H1568" s="47" t="n">
        <x:v>0.4237125134909974</x:v>
      </x:c>
      <x:c r="I1568" s="47" t="n">
        <x:v>0.9627659505389613</x:v>
      </x:c>
      <x:c r="J1568" s="47" t="n">
        <x:v>0.7569843276281893</x:v>
      </x:c>
      <x:c r="K1568" s="47" t="n">
        <x:v>0.6046683023480106</x:v>
      </x:c>
      <x:c r="L1568" s="47" t="n">
        <x:v>0.5896788362539982</x:v>
      </x:c>
      <x:c r="M1568" s="47" t="n">
        <x:v>0.13323246553013676</x:v>
      </x:c>
      <x:c r="N1568" s="47" t="n">
        <x:v>0.6916979422326838</x:v>
      </x:c>
      <x:c r="O1568" s="47" t="n">
        <x:v>0.8721948180882607</x:v>
      </x:c>
      <x:c r="P1568" s="47" t="n">
        <x:v>0.6531099465981919</x:v>
      </x:c>
      <x:c r="Q1568" s="47" t="n">
        <x:v>1</x:v>
      </x:c>
      <x:c r="R1568" s="47" t="n">
        <x:v>0.8421806601876937</x:v>
      </x:c>
      <x:c r="S1568" s="27" t="n">
        <x:v>0</x:v>
      </x:c>
    </x:row>
    <x:row r="1569" ht="21.600000381469727" hidden="0" customHeight="1">
      <x:c r="A1569" s="29" t="n">
        <x:v>522</x:v>
      </x:c>
      <x:c r="B1569" s="29" t="str">
        <x:v>A2</x:v>
      </x:c>
      <x:c r="C1569" s="48" t="n">
        <x:v>1.044368529159872</x:v>
      </x:c>
      <x:c r="D1569" s="48" t="n">
        <x:v>0.8564936747615698</x:v>
      </x:c>
      <x:c r="E1569" s="48" t="n">
        <x:v>1.0422268547147888</x:v>
      </x:c>
      <x:c r="F1569" s="48" t="n">
        <x:v>-0.09164117983019403</x:v>
      </x:c>
      <x:c r="G1569" s="48" t="n">
        <x:v>-0.03347397366150287</x:v>
      </x:c>
      <x:c r="H1569" s="48" t="n">
        <x:v>0.4237125134909974</x:v>
      </x:c>
      <x:c r="I1569" s="48" t="n">
        <x:v>0.9627659505389613</x:v>
      </x:c>
      <x:c r="J1569" s="48" t="n">
        <x:v>0.7569843276281893</x:v>
      </x:c>
      <x:c r="K1569" s="48" t="n">
        <x:v>0.6046683023480106</x:v>
      </x:c>
      <x:c r="L1569" s="48" t="n">
        <x:v>0.5896788362539982</x:v>
      </x:c>
      <x:c r="M1569" s="48" t="n">
        <x:v>0.13323246553013676</x:v>
      </x:c>
      <x:c r="N1569" s="48" t="n">
        <x:v>0.6916979422326838</x:v>
      </x:c>
      <x:c r="O1569" s="48" t="n">
        <x:v>0.9759722158674117</x:v>
      </x:c>
      <x:c r="P1569" s="48" t="n">
        <x:v>0.8044177092861086</x:v>
      </x:c>
      <x:c r="Q1569" s="48" t="n">
        <x:v>1</x:v>
      </x:c>
      <x:c r="R1569" s="48" t="n">
        <x:v>0.9703294579121489</x:v>
      </x:c>
      <x:c r="S1569" s="29" t="n">
        <x:v>0</x:v>
      </x:c>
    </x:row>
    <x:row r="1570" ht="21.600000381469727" hidden="0" customHeight="1">
      <x:c r="A1570" s="27" t="n">
        <x:v>522</x:v>
      </x:c>
      <x:c r="B1570" s="27" t="str">
        <x:v>A3</x:v>
      </x:c>
      <x:c r="C1570" s="47" t="n">
        <x:v>1.044368529159872</x:v>
      </x:c>
      <x:c r="D1570" s="47" t="n">
        <x:v>0.8564936747615698</x:v>
      </x:c>
      <x:c r="E1570" s="47" t="n">
        <x:v>1.0422268547147888</x:v>
      </x:c>
      <x:c r="F1570" s="47" t="n">
        <x:v>-0.09164117983019403</x:v>
      </x:c>
      <x:c r="G1570" s="47" t="n">
        <x:v>-0.03347397366150287</x:v>
      </x:c>
      <x:c r="H1570" s="47" t="n">
        <x:v>0.4237125134909974</x:v>
      </x:c>
      <x:c r="I1570" s="47" t="n">
        <x:v>0.9627659505389613</x:v>
      </x:c>
      <x:c r="J1570" s="47" t="n">
        <x:v>0.7569843276281893</x:v>
      </x:c>
      <x:c r="K1570" s="47" t="n">
        <x:v>0.6046683023480106</x:v>
      </x:c>
      <x:c r="L1570" s="47" t="n">
        <x:v>0.5896788362539982</x:v>
      </x:c>
      <x:c r="M1570" s="47" t="n">
        <x:v>0.13323246553013676</x:v>
      </x:c>
      <x:c r="N1570" s="47" t="n">
        <x:v>0.6916979422326838</x:v>
      </x:c>
      <x:c r="O1570" s="47" t="n">
        <x:v>1</x:v>
      </x:c>
      <x:c r="P1570" s="47" t="n">
        <x:v>1</x:v>
      </x:c>
      <x:c r="Q1570" s="47" t="n">
        <x:v>1</x:v>
      </x:c>
      <x:c r="R1570" s="47" t="n">
        <x:v>1</x:v>
      </x:c>
      <x:c r="S1570" s="27" t="n">
        <x:v>1</x:v>
      </x:c>
    </x:row>
    <x:row r="1571" ht="21.600000381469727" hidden="0" customHeight="1">
      <x:c r="A1571" s="29" t="n">
        <x:v>523</x:v>
      </x:c>
      <x:c r="B1571" s="29" t="str">
        <x:v>A1</x:v>
      </x:c>
      <x:c r="C1571" s="48" t="n">
        <x:v>1.3113830982030004</x:v>
      </x:c>
      <x:c r="D1571" s="48" t="n">
        <x:v>0.9155545319418523</x:v>
      </x:c>
      <x:c r="E1571" s="48" t="n">
        <x:v>0.8225861586416241</x:v>
      </x:c>
      <x:c r="F1571" s="48" t="n">
        <x:v>-0.08923049928104268</x:v>
      </x:c>
      <x:c r="G1571" s="48" t="n">
        <x:v>-0.09811007268650679</x:v>
      </x:c>
      <x:c r="H1571" s="48" t="n">
        <x:v>0.47097355055233725</x:v>
      </x:c>
      <x:c r="I1571" s="48" t="n">
        <x:v>0.9674874780718568</x:v>
      </x:c>
      <x:c r="J1571" s="48" t="n">
        <x:v>0.43328484986093707</x:v>
      </x:c>
      <x:c r="K1571" s="48" t="n">
        <x:v>0.8459905490372004</x:v>
      </x:c>
      <x:c r="L1571" s="48" t="n">
        <x:v>0.5473724653282418</x:v>
      </x:c>
      <x:c r="M1571" s="48" t="n">
        <x:v>0.12762532366385412</x:v>
      </x:c>
      <x:c r="N1571" s="48" t="n">
        <x:v>0.6853559945200011</x:v>
      </x:c>
      <x:c r="O1571" s="48" t="n">
        <x:v>0.798874226320313</x:v>
      </x:c>
      <x:c r="P1571" s="48" t="n">
        <x:v>0.5237231160320759</x:v>
      </x:c>
      <x:c r="Q1571" s="48" t="n">
        <x:v>0.9303508220387618</x:v>
      </x:c>
      <x:c r="R1571" s="48" t="n">
        <x:v>0.7521585117372531</x:v>
      </x:c>
      <x:c r="S1571" s="29" t="n">
        <x:v>0</x:v>
      </x:c>
    </x:row>
    <x:row r="1572" ht="21.600000381469727" hidden="0" customHeight="1">
      <x:c r="A1572" s="27" t="n">
        <x:v>523</x:v>
      </x:c>
      <x:c r="B1572" s="27" t="str">
        <x:v>A2</x:v>
      </x:c>
      <x:c r="C1572" s="47" t="n">
        <x:v>1.3113830982030004</x:v>
      </x:c>
      <x:c r="D1572" s="47" t="n">
        <x:v>0.9155545319418523</x:v>
      </x:c>
      <x:c r="E1572" s="47" t="n">
        <x:v>0.8225861586416241</x:v>
      </x:c>
      <x:c r="F1572" s="47" t="n">
        <x:v>-0.08923049928104268</x:v>
      </x:c>
      <x:c r="G1572" s="47" t="n">
        <x:v>-0.09811007268650679</x:v>
      </x:c>
      <x:c r="H1572" s="47" t="n">
        <x:v>0.47097355055233725</x:v>
      </x:c>
      <x:c r="I1572" s="47" t="n">
        <x:v>0.9674874780718568</x:v>
      </x:c>
      <x:c r="J1572" s="47" t="n">
        <x:v>0.43328484986093707</x:v>
      </x:c>
      <x:c r="K1572" s="47" t="n">
        <x:v>0.8459905490372004</x:v>
      </x:c>
      <x:c r="L1572" s="47" t="n">
        <x:v>0.5473724653282418</x:v>
      </x:c>
      <x:c r="M1572" s="47" t="n">
        <x:v>0.12762532366385412</x:v>
      </x:c>
      <x:c r="N1572" s="47" t="n">
        <x:v>0.6853559945200011</x:v>
      </x:c>
      <x:c r="O1572" s="47" t="n">
        <x:v>0.8691039546662105</x:v>
      </x:c>
      <x:c r="P1572" s="47" t="n">
        <x:v>0.6488735904901135</x:v>
      </x:c>
      <x:c r="Q1572" s="47" t="n">
        <x:v>1</x:v>
      </x:c>
      <x:c r="R1572" s="47" t="n">
        <x:v>0.838363928992437</x:v>
      </x:c>
      <x:c r="S1572" s="27" t="n">
        <x:v>0</x:v>
      </x:c>
    </x:row>
    <x:row r="1573" ht="21.600000381469727" hidden="0" customHeight="1">
      <x:c r="A1573" s="29" t="n">
        <x:v>523</x:v>
      </x:c>
      <x:c r="B1573" s="29" t="str">
        <x:v>A3</x:v>
      </x:c>
      <x:c r="C1573" s="48" t="n">
        <x:v>1.3113830982030004</x:v>
      </x:c>
      <x:c r="D1573" s="48" t="n">
        <x:v>0.9155545319418523</x:v>
      </x:c>
      <x:c r="E1573" s="48" t="n">
        <x:v>0.8225861586416241</x:v>
      </x:c>
      <x:c r="F1573" s="48" t="n">
        <x:v>-0.08923049928104268</x:v>
      </x:c>
      <x:c r="G1573" s="48" t="n">
        <x:v>-0.09811007268650679</x:v>
      </x:c>
      <x:c r="H1573" s="48" t="n">
        <x:v>0.47097355055233725</x:v>
      </x:c>
      <x:c r="I1573" s="48" t="n">
        <x:v>0.9674874780718568</x:v>
      </x:c>
      <x:c r="J1573" s="48" t="n">
        <x:v>0.43328484986093707</x:v>
      </x:c>
      <x:c r="K1573" s="48" t="n">
        <x:v>0.8459905490372004</x:v>
      </x:c>
      <x:c r="L1573" s="48" t="n">
        <x:v>0.5473724653282418</x:v>
      </x:c>
      <x:c r="M1573" s="48" t="n">
        <x:v>0.12762532366385412</x:v>
      </x:c>
      <x:c r="N1573" s="48" t="n">
        <x:v>0.6853559945200011</x:v>
      </x:c>
      <x:c r="O1573" s="48" t="n">
        <x:v>1</x:v>
      </x:c>
      <x:c r="P1573" s="48" t="n">
        <x:v>1</x:v>
      </x:c>
      <x:c r="Q1573" s="48" t="n">
        <x:v>1</x:v>
      </x:c>
      <x:c r="R1573" s="48" t="n">
        <x:v>1</x:v>
      </x:c>
      <x:c r="S1573" s="29" t="n">
        <x:v>1</x:v>
      </x:c>
    </x:row>
    <x:row r="1574" ht="21.600000381469727" hidden="0" customHeight="1">
      <x:c r="A1574" s="27" t="n">
        <x:v>524</x:v>
      </x:c>
      <x:c r="B1574" s="27" t="str">
        <x:v>A1</x:v>
      </x:c>
      <x:c r="C1574" s="47" t="n">
        <x:v>0.9734300759987968</x:v>
      </x:c>
      <x:c r="D1574" s="47" t="n">
        <x:v>0.897235263429915</x:v>
      </x:c>
      <x:c r="E1574" s="47" t="n">
        <x:v>0.6762064568681443</x:v>
      </x:c>
      <x:c r="F1574" s="47" t="n">
        <x:v>-0.1279856354833383</x:v>
      </x:c>
      <x:c r="G1574" s="47" t="n">
        <x:v>-0.04323029365138195</x:v>
      </x:c>
      <x:c r="H1574" s="47" t="n">
        <x:v>0.4167566196657872</x:v>
      </x:c>
      <x:c r="I1574" s="47" t="n">
        <x:v>0.6434337268625213</x:v>
      </x:c>
      <x:c r="J1574" s="47" t="n">
        <x:v>0.6051882858154487</x:v>
      </x:c>
      <x:c r="K1574" s="47" t="n">
        <x:v>0.8425678408406827</x:v>
      </x:c>
      <x:c r="L1574" s="47" t="n">
        <x:v>0.9561091973364492</x:v>
      </x:c>
      <x:c r="M1574" s="47" t="n">
        <x:v>0.07650792338754041</x:v>
      </x:c>
      <x:c r="N1574" s="47" t="n">
        <x:v>0.8824821878423659</x:v>
      </x:c>
      <x:c r="O1574" s="47" t="n">
        <x:v>0.9030819649291185</x:v>
      </x:c>
      <x:c r="P1574" s="47" t="n">
        <x:v>0.6715017302158017</x:v>
      </x:c>
      <x:c r="Q1574" s="47" t="n">
        <x:v>1</x:v>
      </x:c>
      <x:c r="R1574" s="47" t="n">
        <x:v>0.880321438598981</x:v>
      </x:c>
      <x:c r="S1574" s="27" t="n">
        <x:v>0</x:v>
      </x:c>
    </x:row>
    <x:row r="1575" ht="21.600000381469727" hidden="0" customHeight="1">
      <x:c r="A1575" s="29" t="n">
        <x:v>524</x:v>
      </x:c>
      <x:c r="B1575" s="29" t="str">
        <x:v>A2</x:v>
      </x:c>
      <x:c r="C1575" s="48" t="n">
        <x:v>0.9734300759987968</x:v>
      </x:c>
      <x:c r="D1575" s="48" t="n">
        <x:v>0.897235263429915</x:v>
      </x:c>
      <x:c r="E1575" s="48" t="n">
        <x:v>0.6762064568681443</x:v>
      </x:c>
      <x:c r="F1575" s="48" t="n">
        <x:v>-0.1279856354833383</x:v>
      </x:c>
      <x:c r="G1575" s="48" t="n">
        <x:v>-0.04323029365138195</x:v>
      </x:c>
      <x:c r="H1575" s="48" t="n">
        <x:v>0.4167566196657872</x:v>
      </x:c>
      <x:c r="I1575" s="48" t="n">
        <x:v>0.6434337268625213</x:v>
      </x:c>
      <x:c r="J1575" s="48" t="n">
        <x:v>0.6051882858154487</x:v>
      </x:c>
      <x:c r="K1575" s="48" t="n">
        <x:v>0.8425678408406827</x:v>
      </x:c>
      <x:c r="L1575" s="48" t="n">
        <x:v>0.9561091973364492</x:v>
      </x:c>
      <x:c r="M1575" s="48" t="n">
        <x:v>0.07650792338754041</x:v>
      </x:c>
      <x:c r="N1575" s="48" t="n">
        <x:v>0.8824821878423659</x:v>
      </x:c>
      <x:c r="O1575" s="48" t="n">
        <x:v>1</x:v>
      </x:c>
      <x:c r="P1575" s="48" t="n">
        <x:v>0.9999999999999999</x:v>
      </x:c>
      <x:c r="Q1575" s="48" t="n">
        <x:v>1</x:v>
      </x:c>
      <x:c r="R1575" s="48" t="n">
        <x:v>1</x:v>
      </x:c>
      <x:c r="S1575" s="29" t="n">
        <x:v>1</x:v>
      </x:c>
    </x:row>
    <x:row r="1576" ht="21.600000381469727" hidden="0" customHeight="1">
      <x:c r="A1576" s="27" t="n">
        <x:v>524</x:v>
      </x:c>
      <x:c r="B1576" s="27" t="str">
        <x:v>A3</x:v>
      </x:c>
      <x:c r="C1576" s="47" t="n">
        <x:v>0.9734300759987968</x:v>
      </x:c>
      <x:c r="D1576" s="47" t="n">
        <x:v>0.897235263429915</x:v>
      </x:c>
      <x:c r="E1576" s="47" t="n">
        <x:v>0.6762064568681443</x:v>
      </x:c>
      <x:c r="F1576" s="47" t="n">
        <x:v>-0.1279856354833383</x:v>
      </x:c>
      <x:c r="G1576" s="47" t="n">
        <x:v>-0.04323029365138195</x:v>
      </x:c>
      <x:c r="H1576" s="47" t="n">
        <x:v>0.4167566196657872</x:v>
      </x:c>
      <x:c r="I1576" s="47" t="n">
        <x:v>0.6434337268625213</x:v>
      </x:c>
      <x:c r="J1576" s="47" t="n">
        <x:v>0.6051882858154487</x:v>
      </x:c>
      <x:c r="K1576" s="47" t="n">
        <x:v>0.8425678408406827</x:v>
      </x:c>
      <x:c r="L1576" s="47" t="n">
        <x:v>0.9561091973364492</x:v>
      </x:c>
      <x:c r="M1576" s="47" t="n">
        <x:v>0.07650792338754041</x:v>
      </x:c>
      <x:c r="N1576" s="47" t="n">
        <x:v>0.8824821878423659</x:v>
      </x:c>
      <x:c r="O1576" s="47" t="n">
        <x:v>1.0000000000000002</x:v>
      </x:c>
      <x:c r="P1576" s="47" t="n">
        <x:v>1</x:v>
      </x:c>
      <x:c r="Q1576" s="47" t="n">
        <x:v>1</x:v>
      </x:c>
      <x:c r="R1576" s="47" t="n">
        <x:v>1</x:v>
      </x:c>
      <x:c r="S1576" s="27" t="n">
        <x:v>1</x:v>
      </x:c>
    </x:row>
    <x:row r="1577" ht="21.600000381469727" hidden="0" customHeight="1">
      <x:c r="A1577" s="29" t="n">
        <x:v>525</x:v>
      </x:c>
      <x:c r="B1577" s="29" t="str">
        <x:v>A1</x:v>
      </x:c>
      <x:c r="C1577" s="48" t="n">
        <x:v>1.296604372464296</x:v>
      </x:c>
      <x:c r="D1577" s="48" t="n">
        <x:v>0.7943244781461563</x:v>
      </x:c>
      <x:c r="E1577" s="48" t="n">
        <x:v>0.7956772340513933</x:v>
      </x:c>
      <x:c r="F1577" s="48" t="n">
        <x:v>-0.06316051456319716</x:v>
      </x:c>
      <x:c r="G1577" s="48" t="n">
        <x:v>-0.03914981031537679</x:v>
      </x:c>
      <x:c r="H1577" s="48" t="n">
        <x:v>1.0858453529551177</x:v>
      </x:c>
      <x:c r="I1577" s="48" t="n">
        <x:v>0.6872159703136467</x:v>
      </x:c>
      <x:c r="J1577" s="48" t="n">
        <x:v>0.7007483687976142</x:v>
      </x:c>
      <x:c r="K1577" s="48" t="n">
        <x:v>0.6214435742138238</x:v>
      </x:c>
      <x:c r="L1577" s="48" t="n">
        <x:v>0.9887428842070813</x:v>
      </x:c>
      <x:c r="M1577" s="48" t="n">
        <x:v>0.008833110833301017</x:v>
      </x:c>
      <x:c r="N1577" s="48" t="n">
        <x:v>0.6853179455696214</x:v>
      </x:c>
      <x:c r="O1577" s="48" t="n">
        <x:v>0.7538028704670504</x:v>
      </x:c>
      <x:c r="P1577" s="48" t="n">
        <x:v>0.4332905477406214</x:v>
      </x:c>
      <x:c r="Q1577" s="48" t="n">
        <x:v>1</x:v>
      </x:c>
      <x:c r="R1577" s="48" t="n">
        <x:v>0.6959851872562764</x:v>
      </x:c>
      <x:c r="S1577" s="29" t="n">
        <x:v>0</x:v>
      </x:c>
    </x:row>
    <x:row r="1578" ht="21.600000381469727" hidden="0" customHeight="1">
      <x:c r="A1578" s="27" t="n">
        <x:v>525</x:v>
      </x:c>
      <x:c r="B1578" s="27" t="str">
        <x:v>A2</x:v>
      </x:c>
      <x:c r="C1578" s="47" t="n">
        <x:v>1.296604372464296</x:v>
      </x:c>
      <x:c r="D1578" s="47" t="n">
        <x:v>0.7943244781461563</x:v>
      </x:c>
      <x:c r="E1578" s="47" t="n">
        <x:v>0.7956772340513933</x:v>
      </x:c>
      <x:c r="F1578" s="47" t="n">
        <x:v>-0.06316051456319716</x:v>
      </x:c>
      <x:c r="G1578" s="47" t="n">
        <x:v>-0.03914981031537679</x:v>
      </x:c>
      <x:c r="H1578" s="47" t="n">
        <x:v>1.0858453529551177</x:v>
      </x:c>
      <x:c r="I1578" s="47" t="n">
        <x:v>0.6872159703136467</x:v>
      </x:c>
      <x:c r="J1578" s="47" t="n">
        <x:v>0.7007483687976142</x:v>
      </x:c>
      <x:c r="K1578" s="47" t="n">
        <x:v>0.6214435742138238</x:v>
      </x:c>
      <x:c r="L1578" s="47" t="n">
        <x:v>0.9887428842070813</x:v>
      </x:c>
      <x:c r="M1578" s="47" t="n">
        <x:v>0.008833110833301017</x:v>
      </x:c>
      <x:c r="N1578" s="47" t="n">
        <x:v>0.6853179455696214</x:v>
      </x:c>
      <x:c r="O1578" s="47" t="n">
        <x:v>0.8388872040869837</x:v>
      </x:c>
      <x:c r="P1578" s="47" t="n">
        <x:v>0.5339050687469323</x:v>
      </x:c>
      <x:c r="Q1578" s="47" t="n">
        <x:v>1</x:v>
      </x:c>
      <x:c r="R1578" s="47" t="n">
        <x:v>0.8010509847412411</x:v>
      </x:c>
      <x:c r="S1578" s="27" t="n">
        <x:v>0</x:v>
      </x:c>
    </x:row>
    <x:row r="1579" ht="21.600000381469727" hidden="0" customHeight="1">
      <x:c r="A1579" s="29" t="n">
        <x:v>525</x:v>
      </x:c>
      <x:c r="B1579" s="29" t="str">
        <x:v>A3</x:v>
      </x:c>
      <x:c r="C1579" s="48" t="n">
        <x:v>1.296604372464296</x:v>
      </x:c>
      <x:c r="D1579" s="48" t="n">
        <x:v>0.7943244781461563</x:v>
      </x:c>
      <x:c r="E1579" s="48" t="n">
        <x:v>0.7956772340513933</x:v>
      </x:c>
      <x:c r="F1579" s="48" t="n">
        <x:v>-0.06316051456319716</x:v>
      </x:c>
      <x:c r="G1579" s="48" t="n">
        <x:v>-0.03914981031537679</x:v>
      </x:c>
      <x:c r="H1579" s="48" t="n">
        <x:v>1.0858453529551177</x:v>
      </x:c>
      <x:c r="I1579" s="48" t="n">
        <x:v>0.6872159703136467</x:v>
      </x:c>
      <x:c r="J1579" s="48" t="n">
        <x:v>0.7007483687976142</x:v>
      </x:c>
      <x:c r="K1579" s="48" t="n">
        <x:v>0.6214435742138238</x:v>
      </x:c>
      <x:c r="L1579" s="48" t="n">
        <x:v>0.9887428842070813</x:v>
      </x:c>
      <x:c r="M1579" s="48" t="n">
        <x:v>0.008833110833301017</x:v>
      </x:c>
      <x:c r="N1579" s="48" t="n">
        <x:v>0.6853179455696214</x:v>
      </x:c>
      <x:c r="O1579" s="48" t="n">
        <x:v>1</x:v>
      </x:c>
      <x:c r="P1579" s="48" t="n">
        <x:v>1</x:v>
      </x:c>
      <x:c r="Q1579" s="48" t="n">
        <x:v>1</x:v>
      </x:c>
      <x:c r="R1579" s="48" t="n">
        <x:v>1</x:v>
      </x:c>
      <x:c r="S1579" s="29" t="n">
        <x:v>1</x:v>
      </x:c>
    </x:row>
    <x:row r="1580" ht="21.600000381469727" hidden="0" customHeight="1">
      <x:c r="A1580" s="27" t="n">
        <x:v>526</x:v>
      </x:c>
      <x:c r="B1580" s="27" t="str">
        <x:v>A1</x:v>
      </x:c>
      <x:c r="C1580" s="47" t="n">
        <x:v>1.1908215176382861</x:v>
      </x:c>
      <x:c r="D1580" s="47" t="n">
        <x:v>0.7584491443037531</x:v>
      </x:c>
      <x:c r="E1580" s="47" t="n">
        <x:v>1.0442896997380973</x:v>
      </x:c>
      <x:c r="F1580" s="47" t="n">
        <x:v>0.007678480593724946</x:v>
      </x:c>
      <x:c r="G1580" s="47" t="n">
        <x:v>-0.1845623530915645</x:v>
      </x:c>
      <x:c r="H1580" s="47" t="n">
        <x:v>0.5004042827013656</x:v>
      </x:c>
      <x:c r="I1580" s="47" t="n">
        <x:v>1.0117596325450045</x:v>
      </x:c>
      <x:c r="J1580" s="47" t="n">
        <x:v>0.9403614841836144</x:v>
      </x:c>
      <x:c r="K1580" s="47" t="n">
        <x:v>0.9296310212372862</x:v>
      </x:c>
      <x:c r="L1580" s="47" t="n">
        <x:v>0.964283177331737</x:v>
      </x:c>
      <x:c r="M1580" s="47" t="n">
        <x:v>0.02732937677013871</x:v>
      </x:c>
      <x:c r="N1580" s="47" t="n">
        <x:v>0.8831007266507942</x:v>
      </x:c>
      <x:c r="O1580" s="47" t="n">
        <x:v>0.8498764486917032</x:v>
      </x:c>
      <x:c r="P1580" s="47" t="n">
        <x:v>0.41617956162768194</x:v>
      </x:c>
      <x:c r="Q1580" s="47" t="n">
        <x:v>0.9461605996945149</x:v>
      </x:c>
      <x:c r="R1580" s="47" t="n">
        <x:v>0.8150208343348874</x:v>
      </x:c>
      <x:c r="S1580" s="27" t="n">
        <x:v>0</x:v>
      </x:c>
    </x:row>
    <x:row r="1581" ht="21.600000381469727" hidden="0" customHeight="1">
      <x:c r="A1581" s="29" t="n">
        <x:v>526</x:v>
      </x:c>
      <x:c r="B1581" s="29" t="str">
        <x:v>A2</x:v>
      </x:c>
      <x:c r="C1581" s="48" t="n">
        <x:v>1.1908215176382861</x:v>
      </x:c>
      <x:c r="D1581" s="48" t="n">
        <x:v>0.7584491443037531</x:v>
      </x:c>
      <x:c r="E1581" s="48" t="n">
        <x:v>1.0442896997380973</x:v>
      </x:c>
      <x:c r="F1581" s="48" t="n">
        <x:v>0.007678480593724946</x:v>
      </x:c>
      <x:c r="G1581" s="48" t="n">
        <x:v>-0.1845623530915645</x:v>
      </x:c>
      <x:c r="H1581" s="48" t="n">
        <x:v>0.5004042827013656</x:v>
      </x:c>
      <x:c r="I1581" s="48" t="n">
        <x:v>1.0117596325450045</x:v>
      </x:c>
      <x:c r="J1581" s="48" t="n">
        <x:v>0.9403614841836144</x:v>
      </x:c>
      <x:c r="K1581" s="48" t="n">
        <x:v>0.9296310212372862</x:v>
      </x:c>
      <x:c r="L1581" s="48" t="n">
        <x:v>0.964283177331737</x:v>
      </x:c>
      <x:c r="M1581" s="48" t="n">
        <x:v>0.02732937677013871</x:v>
      </x:c>
      <x:c r="N1581" s="48" t="n">
        <x:v>0.8831007266507942</x:v>
      </x:c>
      <x:c r="O1581" s="48" t="n">
        <x:v>0.9155241756856104</x:v>
      </x:c>
      <x:c r="P1581" s="48" t="n">
        <x:v>0.5857689719347166</x:v>
      </x:c>
      <x:c r="Q1581" s="48" t="n">
        <x:v>1</x:v>
      </x:c>
      <x:c r="R1581" s="48" t="n">
        <x:v>0.8956856159979161</x:v>
      </x:c>
      <x:c r="S1581" s="29" t="n">
        <x:v>0</x:v>
      </x:c>
    </x:row>
    <x:row r="1582" ht="21.600000381469727" hidden="0" customHeight="1">
      <x:c r="A1582" s="27" t="n">
        <x:v>526</x:v>
      </x:c>
      <x:c r="B1582" s="27" t="str">
        <x:v>A3</x:v>
      </x:c>
      <x:c r="C1582" s="47" t="n">
        <x:v>1.1908215176382861</x:v>
      </x:c>
      <x:c r="D1582" s="47" t="n">
        <x:v>0.7584491443037531</x:v>
      </x:c>
      <x:c r="E1582" s="47" t="n">
        <x:v>1.0442896997380973</x:v>
      </x:c>
      <x:c r="F1582" s="47" t="n">
        <x:v>0.007678480593724946</x:v>
      </x:c>
      <x:c r="G1582" s="47" t="n">
        <x:v>-0.1845623530915645</x:v>
      </x:c>
      <x:c r="H1582" s="47" t="n">
        <x:v>0.5004042827013656</x:v>
      </x:c>
      <x:c r="I1582" s="47" t="n">
        <x:v>1.0117596325450045</x:v>
      </x:c>
      <x:c r="J1582" s="47" t="n">
        <x:v>0.9403614841836144</x:v>
      </x:c>
      <x:c r="K1582" s="47" t="n">
        <x:v>0.9296310212372862</x:v>
      </x:c>
      <x:c r="L1582" s="47" t="n">
        <x:v>0.964283177331737</x:v>
      </x:c>
      <x:c r="M1582" s="47" t="n">
        <x:v>0.02732937677013871</x:v>
      </x:c>
      <x:c r="N1582" s="47" t="n">
        <x:v>0.8831007266507942</x:v>
      </x:c>
      <x:c r="O1582" s="47" t="n">
        <x:v>1</x:v>
      </x:c>
      <x:c r="P1582" s="47" t="n">
        <x:v>1</x:v>
      </x:c>
      <x:c r="Q1582" s="47" t="n">
        <x:v>1</x:v>
      </x:c>
      <x:c r="R1582" s="47" t="n">
        <x:v>1</x:v>
      </x:c>
      <x:c r="S1582" s="27" t="n">
        <x:v>1</x:v>
      </x:c>
    </x:row>
    <x:row r="1583" ht="21.600000381469727" hidden="0" customHeight="1">
      <x:c r="A1583" s="29" t="n">
        <x:v>527</x:v>
      </x:c>
      <x:c r="B1583" s="29" t="str">
        <x:v>A1</x:v>
      </x:c>
      <x:c r="C1583" s="48" t="n">
        <x:v>1.1177014574790667</x:v>
      </x:c>
      <x:c r="D1583" s="48" t="n">
        <x:v>0.8398608219667716</x:v>
      </x:c>
      <x:c r="E1583" s="48" t="n">
        <x:v>0.7049603388036645</x:v>
      </x:c>
      <x:c r="F1583" s="48" t="n">
        <x:v>-0.11581282522296668</x:v>
      </x:c>
      <x:c r="G1583" s="48" t="n">
        <x:v>-0.13192851936279731</x:v>
      </x:c>
      <x:c r="H1583" s="48" t="n">
        <x:v>0.7936029368043087</x:v>
      </x:c>
      <x:c r="I1583" s="48" t="n">
        <x:v>0.6660414019383765</x:v>
      </x:c>
      <x:c r="J1583" s="48" t="n">
        <x:v>0.5685727741499255</x:v>
      </x:c>
      <x:c r="K1583" s="48" t="n">
        <x:v>0.8353484013218925</x:v>
      </x:c>
      <x:c r="L1583" s="48" t="n">
        <x:v>0.5892202495981126</x:v>
      </x:c>
      <x:c r="M1583" s="48" t="n">
        <x:v>0.1517277036847323</x:v>
      </x:c>
      <x:c r="N1583" s="48" t="n">
        <x:v>0.8970213841176982</x:v>
      </x:c>
      <x:c r="O1583" s="48" t="n">
        <x:v>0.8340468752711421</x:v>
      </x:c>
      <x:c r="P1583" s="48" t="n">
        <x:v>0.5545394922167758</x:v>
      </x:c>
      <x:c r="Q1583" s="48" t="n">
        <x:v>0.9476572182952627</x:v>
      </x:c>
      <x:c r="R1583" s="48" t="n">
        <x:v>0.7954626805471484</x:v>
      </x:c>
      <x:c r="S1583" s="29" t="n">
        <x:v>0</x:v>
      </x:c>
    </x:row>
    <x:row r="1584" ht="21.600000381469727" hidden="0" customHeight="1">
      <x:c r="A1584" s="27" t="n">
        <x:v>527</x:v>
      </x:c>
      <x:c r="B1584" s="27" t="str">
        <x:v>A2</x:v>
      </x:c>
      <x:c r="C1584" s="47" t="n">
        <x:v>1.1177014574790667</x:v>
      </x:c>
      <x:c r="D1584" s="47" t="n">
        <x:v>0.8398608219667716</x:v>
      </x:c>
      <x:c r="E1584" s="47" t="n">
        <x:v>0.7049603388036645</x:v>
      </x:c>
      <x:c r="F1584" s="47" t="n">
        <x:v>-0.11581282522296668</x:v>
      </x:c>
      <x:c r="G1584" s="47" t="n">
        <x:v>-0.13192851936279731</x:v>
      </x:c>
      <x:c r="H1584" s="47" t="n">
        <x:v>0.7936029368043087</x:v>
      </x:c>
      <x:c r="I1584" s="47" t="n">
        <x:v>0.6660414019383765</x:v>
      </x:c>
      <x:c r="J1584" s="47" t="n">
        <x:v>0.5685727741499255</x:v>
      </x:c>
      <x:c r="K1584" s="47" t="n">
        <x:v>0.8353484013218925</x:v>
      </x:c>
      <x:c r="L1584" s="47" t="n">
        <x:v>0.5892202495981126</x:v>
      </x:c>
      <x:c r="M1584" s="47" t="n">
        <x:v>0.1517277036847323</x:v>
      </x:c>
      <x:c r="N1584" s="47" t="n">
        <x:v>0.8970213841176982</x:v>
      </x:c>
      <x:c r="O1584" s="47" t="n">
        <x:v>0.9117137781692484</x:v>
      </x:c>
      <x:c r="P1584" s="47" t="n">
        <x:v>0.6250777403110686</x:v>
      </x:c>
      <x:c r="Q1584" s="47" t="n">
        <x:v>1</x:v>
      </x:c>
      <x:c r="R1584" s="47" t="n">
        <x:v>0.8909803731317075</x:v>
      </x:c>
      <x:c r="S1584" s="27" t="n">
        <x:v>0</x:v>
      </x:c>
    </x:row>
    <x:row r="1585" ht="21.600000381469727" hidden="0" customHeight="1">
      <x:c r="A1585" s="29" t="n">
        <x:v>527</x:v>
      </x:c>
      <x:c r="B1585" s="29" t="str">
        <x:v>A3</x:v>
      </x:c>
      <x:c r="C1585" s="48" t="n">
        <x:v>1.1177014574790667</x:v>
      </x:c>
      <x:c r="D1585" s="48" t="n">
        <x:v>0.8398608219667716</x:v>
      </x:c>
      <x:c r="E1585" s="48" t="n">
        <x:v>0.7049603388036645</x:v>
      </x:c>
      <x:c r="F1585" s="48" t="n">
        <x:v>-0.11581282522296668</x:v>
      </x:c>
      <x:c r="G1585" s="48" t="n">
        <x:v>-0.13192851936279731</x:v>
      </x:c>
      <x:c r="H1585" s="48" t="n">
        <x:v>0.7936029368043087</x:v>
      </x:c>
      <x:c r="I1585" s="48" t="n">
        <x:v>0.6660414019383765</x:v>
      </x:c>
      <x:c r="J1585" s="48" t="n">
        <x:v>0.5685727741499255</x:v>
      </x:c>
      <x:c r="K1585" s="48" t="n">
        <x:v>0.8353484013218925</x:v>
      </x:c>
      <x:c r="L1585" s="48" t="n">
        <x:v>0.5892202495981126</x:v>
      </x:c>
      <x:c r="M1585" s="48" t="n">
        <x:v>0.1517277036847323</x:v>
      </x:c>
      <x:c r="N1585" s="48" t="n">
        <x:v>0.8970213841176982</x:v>
      </x:c>
      <x:c r="O1585" s="48" t="n">
        <x:v>1</x:v>
      </x:c>
      <x:c r="P1585" s="48" t="n">
        <x:v>1</x:v>
      </x:c>
      <x:c r="Q1585" s="48" t="n">
        <x:v>1</x:v>
      </x:c>
      <x:c r="R1585" s="48" t="n">
        <x:v>1</x:v>
      </x:c>
      <x:c r="S1585" s="29" t="n">
        <x:v>1</x:v>
      </x:c>
    </x:row>
    <x:row r="1586" ht="21.600000381469727" hidden="0" customHeight="1">
      <x:c r="A1586" s="27" t="n">
        <x:v>528</x:v>
      </x:c>
      <x:c r="B1586" s="27" t="str">
        <x:v>A1</x:v>
      </x:c>
      <x:c r="C1586" s="47" t="n">
        <x:v>1.0754531066238118</x:v>
      </x:c>
      <x:c r="D1586" s="47" t="n">
        <x:v>0.9374622238774428</x:v>
      </x:c>
      <x:c r="E1586" s="47" t="n">
        <x:v>0.7535354947548087</x:v>
      </x:c>
      <x:c r="F1586" s="47" t="n">
        <x:v>-0.0796483081150151</x:v>
      </x:c>
      <x:c r="G1586" s="47" t="n">
        <x:v>-0.1695789793520159</x:v>
      </x:c>
      <x:c r="H1586" s="47" t="n">
        <x:v>1.0660115417858615</x:v>
      </x:c>
      <x:c r="I1586" s="47" t="n">
        <x:v>0.6824311370070427</x:v>
      </x:c>
      <x:c r="J1586" s="47" t="n">
        <x:v>0.47217198981762415</x:v>
      </x:c>
      <x:c r="K1586" s="47" t="n">
        <x:v>0.9069238304960665</x:v>
      </x:c>
      <x:c r="L1586" s="47" t="n">
        <x:v>0.7624533329729652</x:v>
      </x:c>
      <x:c r="M1586" s="47" t="n">
        <x:v>0.08120634000563035</x:v>
      </x:c>
      <x:c r="N1586" s="47" t="n">
        <x:v>0.8007920907245695</x:v>
      </x:c>
      <x:c r="O1586" s="47" t="n">
        <x:v>0.8796252061423894</x:v>
      </x:c>
      <x:c r="P1586" s="47" t="n">
        <x:v>0.6278088091216526</x:v>
      </x:c>
      <x:c r="Q1586" s="47" t="n">
        <x:v>1</x:v>
      </x:c>
      <x:c r="R1586" s="47" t="n">
        <x:v>0.8513560231871506</x:v>
      </x:c>
      <x:c r="S1586" s="27" t="n">
        <x:v>0</x:v>
      </x:c>
    </x:row>
    <x:row r="1587" ht="21.600000381469727" hidden="0" customHeight="1">
      <x:c r="A1587" s="29" t="n">
        <x:v>528</x:v>
      </x:c>
      <x:c r="B1587" s="29" t="str">
        <x:v>A2</x:v>
      </x:c>
      <x:c r="C1587" s="48" t="n">
        <x:v>1.0754531066238118</x:v>
      </x:c>
      <x:c r="D1587" s="48" t="n">
        <x:v>0.9374622238774428</x:v>
      </x:c>
      <x:c r="E1587" s="48" t="n">
        <x:v>0.7535354947548087</x:v>
      </x:c>
      <x:c r="F1587" s="48" t="n">
        <x:v>-0.0796483081150151</x:v>
      </x:c>
      <x:c r="G1587" s="48" t="n">
        <x:v>-0.1695789793520159</x:v>
      </x:c>
      <x:c r="H1587" s="48" t="n">
        <x:v>1.0660115417858615</x:v>
      </x:c>
      <x:c r="I1587" s="48" t="n">
        <x:v>0.6824311370070427</x:v>
      </x:c>
      <x:c r="J1587" s="48" t="n">
        <x:v>0.47217198981762415</x:v>
      </x:c>
      <x:c r="K1587" s="48" t="n">
        <x:v>0.9069238304960665</x:v>
      </x:c>
      <x:c r="L1587" s="48" t="n">
        <x:v>0.7624533329729652</x:v>
      </x:c>
      <x:c r="M1587" s="48" t="n">
        <x:v>0.08120634000563035</x:v>
      </x:c>
      <x:c r="N1587" s="48" t="n">
        <x:v>0.8007920907245695</x:v>
      </x:c>
      <x:c r="O1587" s="48" t="n">
        <x:v>0.964909615477324</x:v>
      </x:c>
      <x:c r="P1587" s="48" t="n">
        <x:v>0.8126542925424824</x:v>
      </x:c>
      <x:c r="Q1587" s="48" t="n">
        <x:v>1</x:v>
      </x:c>
      <x:c r="R1587" s="48" t="n">
        <x:v>0.9566688827769667</x:v>
      </x:c>
      <x:c r="S1587" s="29" t="n">
        <x:v>0</x:v>
      </x:c>
    </x:row>
    <x:row r="1588" ht="21.600000381469727" hidden="0" customHeight="1">
      <x:c r="A1588" s="27" t="n">
        <x:v>528</x:v>
      </x:c>
      <x:c r="B1588" s="27" t="str">
        <x:v>A3</x:v>
      </x:c>
      <x:c r="C1588" s="47" t="n">
        <x:v>1.0754531066238118</x:v>
      </x:c>
      <x:c r="D1588" s="47" t="n">
        <x:v>0.9374622238774428</x:v>
      </x:c>
      <x:c r="E1588" s="47" t="n">
        <x:v>0.7535354947548087</x:v>
      </x:c>
      <x:c r="F1588" s="47" t="n">
        <x:v>-0.0796483081150151</x:v>
      </x:c>
      <x:c r="G1588" s="47" t="n">
        <x:v>-0.1695789793520159</x:v>
      </x:c>
      <x:c r="H1588" s="47" t="n">
        <x:v>1.0660115417858615</x:v>
      </x:c>
      <x:c r="I1588" s="47" t="n">
        <x:v>0.6824311370070427</x:v>
      </x:c>
      <x:c r="J1588" s="47" t="n">
        <x:v>0.47217198981762415</x:v>
      </x:c>
      <x:c r="K1588" s="47" t="n">
        <x:v>0.9069238304960665</x:v>
      </x:c>
      <x:c r="L1588" s="47" t="n">
        <x:v>0.7624533329729652</x:v>
      </x:c>
      <x:c r="M1588" s="47" t="n">
        <x:v>0.08120634000563035</x:v>
      </x:c>
      <x:c r="N1588" s="47" t="n">
        <x:v>0.8007920907245695</x:v>
      </x:c>
      <x:c r="O1588" s="47" t="n">
        <x:v>1</x:v>
      </x:c>
      <x:c r="P1588" s="47" t="n">
        <x:v>1</x:v>
      </x:c>
      <x:c r="Q1588" s="47" t="n">
        <x:v>1</x:v>
      </x:c>
      <x:c r="R1588" s="47" t="n">
        <x:v>1</x:v>
      </x:c>
      <x:c r="S1588" s="27" t="n">
        <x:v>1</x:v>
      </x:c>
    </x:row>
    <x:row r="1589" ht="21.600000381469727" hidden="0" customHeight="1">
      <x:c r="A1589" s="29" t="n">
        <x:v>529</x:v>
      </x:c>
      <x:c r="B1589" s="29" t="str">
        <x:v>A1</x:v>
      </x:c>
      <x:c r="C1589" s="48" t="n">
        <x:v>1.2517911984524912</x:v>
      </x:c>
      <x:c r="D1589" s="48" t="n">
        <x:v>0.9774809612020521</x:v>
      </x:c>
      <x:c r="E1589" s="48" t="n">
        <x:v>0.7081803652924287</x:v>
      </x:c>
      <x:c r="F1589" s="48" t="n">
        <x:v>-0.07806463502833422</x:v>
      </x:c>
      <x:c r="G1589" s="48" t="n">
        <x:v>-0.052517274959197946</x:v>
      </x:c>
      <x:c r="H1589" s="48" t="n">
        <x:v>0.5911931204094159</x:v>
      </x:c>
      <x:c r="I1589" s="48" t="n">
        <x:v>0.905999612193881</x:v>
      </x:c>
      <x:c r="J1589" s="48" t="n">
        <x:v>0.962810385206917</x:v>
      </x:c>
      <x:c r="K1589" s="48" t="n">
        <x:v>0.6253260903579616</x:v>
      </x:c>
      <x:c r="L1589" s="48" t="n">
        <x:v>0.672805145544149</x:v>
      </x:c>
      <x:c r="M1589" s="48" t="n">
        <x:v>0.11413731118881534</x:v>
      </x:c>
      <x:c r="N1589" s="48" t="n">
        <x:v>0.7603055376146781</x:v>
      </x:c>
      <x:c r="O1589" s="48" t="n">
        <x:v>0.8420766776272472</x:v>
      </x:c>
      <x:c r="P1589" s="48" t="n">
        <x:v>0.46020587077525077</x:v>
      </x:c>
      <x:c r="Q1589" s="48" t="n">
        <x:v>1</x:v>
      </x:c>
      <x:c r="R1589" s="48" t="n">
        <x:v>0.8049894839549961</x:v>
      </x:c>
      <x:c r="S1589" s="29" t="n">
        <x:v>0</x:v>
      </x:c>
    </x:row>
    <x:row r="1590" ht="21.600000381469727" hidden="0" customHeight="1">
      <x:c r="A1590" s="27" t="n">
        <x:v>529</x:v>
      </x:c>
      <x:c r="B1590" s="27" t="str">
        <x:v>A2</x:v>
      </x:c>
      <x:c r="C1590" s="47" t="n">
        <x:v>1.2517911984524912</x:v>
      </x:c>
      <x:c r="D1590" s="47" t="n">
        <x:v>0.9774809612020521</x:v>
      </x:c>
      <x:c r="E1590" s="47" t="n">
        <x:v>0.7081803652924287</x:v>
      </x:c>
      <x:c r="F1590" s="47" t="n">
        <x:v>-0.07806463502833422</x:v>
      </x:c>
      <x:c r="G1590" s="47" t="n">
        <x:v>-0.052517274959197946</x:v>
      </x:c>
      <x:c r="H1590" s="47" t="n">
        <x:v>0.5911931204094159</x:v>
      </x:c>
      <x:c r="I1590" s="47" t="n">
        <x:v>0.905999612193881</x:v>
      </x:c>
      <x:c r="J1590" s="47" t="n">
        <x:v>0.962810385206917</x:v>
      </x:c>
      <x:c r="K1590" s="47" t="n">
        <x:v>0.6253260903579616</x:v>
      </x:c>
      <x:c r="L1590" s="47" t="n">
        <x:v>0.672805145544149</x:v>
      </x:c>
      <x:c r="M1590" s="47" t="n">
        <x:v>0.11413731118881534</x:v>
      </x:c>
      <x:c r="N1590" s="47" t="n">
        <x:v>0.7603055376146781</x:v>
      </x:c>
      <x:c r="O1590" s="47" t="n">
        <x:v>0.8939722496260456</x:v>
      </x:c>
      <x:c r="P1590" s="47" t="n">
        <x:v>0.5143012680609952</x:v>
      </x:c>
      <x:c r="Q1590" s="47" t="n">
        <x:v>1</x:v>
      </x:c>
      <x:c r="R1590" s="47" t="n">
        <x:v>0.8690723700283352</x:v>
      </x:c>
      <x:c r="S1590" s="27" t="n">
        <x:v>0</x:v>
      </x:c>
    </x:row>
    <x:row r="1591" ht="21.600000381469727" hidden="0" customHeight="1">
      <x:c r="A1591" s="29" t="n">
        <x:v>529</x:v>
      </x:c>
      <x:c r="B1591" s="29" t="str">
        <x:v>A3</x:v>
      </x:c>
      <x:c r="C1591" s="48" t="n">
        <x:v>1.2517911984524912</x:v>
      </x:c>
      <x:c r="D1591" s="48" t="n">
        <x:v>0.9774809612020521</x:v>
      </x:c>
      <x:c r="E1591" s="48" t="n">
        <x:v>0.7081803652924287</x:v>
      </x:c>
      <x:c r="F1591" s="48" t="n">
        <x:v>-0.07806463502833422</x:v>
      </x:c>
      <x:c r="G1591" s="48" t="n">
        <x:v>-0.052517274959197946</x:v>
      </x:c>
      <x:c r="H1591" s="48" t="n">
        <x:v>0.5911931204094159</x:v>
      </x:c>
      <x:c r="I1591" s="48" t="n">
        <x:v>0.905999612193881</x:v>
      </x:c>
      <x:c r="J1591" s="48" t="n">
        <x:v>0.962810385206917</x:v>
      </x:c>
      <x:c r="K1591" s="48" t="n">
        <x:v>0.6253260903579616</x:v>
      </x:c>
      <x:c r="L1591" s="48" t="n">
        <x:v>0.672805145544149</x:v>
      </x:c>
      <x:c r="M1591" s="48" t="n">
        <x:v>0.11413731118881534</x:v>
      </x:c>
      <x:c r="N1591" s="48" t="n">
        <x:v>0.7603055376146781</x:v>
      </x:c>
      <x:c r="O1591" s="48" t="n">
        <x:v>1.0000000000000002</x:v>
      </x:c>
      <x:c r="P1591" s="48" t="n">
        <x:v>1</x:v>
      </x:c>
      <x:c r="Q1591" s="48" t="n">
        <x:v>1</x:v>
      </x:c>
      <x:c r="R1591" s="48" t="n">
        <x:v>1</x:v>
      </x:c>
      <x:c r="S1591" s="29" t="n">
        <x:v>1</x:v>
      </x:c>
    </x:row>
    <x:row r="1592" ht="21.600000381469727" hidden="0" customHeight="1">
      <x:c r="A1592" s="27" t="n">
        <x:v>530</x:v>
      </x:c>
      <x:c r="B1592" s="27" t="str">
        <x:v>A1</x:v>
      </x:c>
      <x:c r="C1592" s="47" t="n">
        <x:v>1.0414766196726226</x:v>
      </x:c>
      <x:c r="D1592" s="47" t="n">
        <x:v>0.9398570754038525</x:v>
      </x:c>
      <x:c r="E1592" s="47" t="n">
        <x:v>0.8832204005289149</x:v>
      </x:c>
      <x:c r="F1592" s="47" t="n">
        <x:v>0.033912083096802104</x:v>
      </x:c>
      <x:c r="G1592" s="47" t="n">
        <x:v>-0.0007687844319611004</x:v>
      </x:c>
      <x:c r="H1592" s="47" t="n">
        <x:v>0.7490909041290271</x:v>
      </x:c>
      <x:c r="I1592" s="47" t="n">
        <x:v>0.7105257487534296</x:v>
      </x:c>
      <x:c r="J1592" s="47" t="n">
        <x:v>0.9360219629960211</x:v>
      </x:c>
      <x:c r="K1592" s="47" t="n">
        <x:v>0.9669117870816183</x:v>
      </x:c>
      <x:c r="L1592" s="47" t="n">
        <x:v>0.6500913587942865</x:v>
      </x:c>
      <x:c r="M1592" s="47" t="n">
        <x:v>0.06311464114887493</x:v>
      </x:c>
      <x:c r="N1592" s="47" t="n">
        <x:v>0.8101554971733322</x:v>
      </x:c>
      <x:c r="O1592" s="47" t="n">
        <x:v>0.9165585406880901</x:v>
      </x:c>
      <x:c r="P1592" s="47" t="n">
        <x:v>0.6421252776234811</x:v>
      </x:c>
      <x:c r="Q1592" s="47" t="n">
        <x:v>1</x:v>
      </x:c>
      <x:c r="R1592" s="47" t="n">
        <x:v>0.8969628944257114</x:v>
      </x:c>
      <x:c r="S1592" s="27" t="n">
        <x:v>0</x:v>
      </x:c>
    </x:row>
    <x:row r="1593" ht="21.600000381469727" hidden="0" customHeight="1">
      <x:c r="A1593" s="29" t="n">
        <x:v>530</x:v>
      </x:c>
      <x:c r="B1593" s="29" t="str">
        <x:v>A2</x:v>
      </x:c>
      <x:c r="C1593" s="48" t="n">
        <x:v>1.0414766196726226</x:v>
      </x:c>
      <x:c r="D1593" s="48" t="n">
        <x:v>0.9398570754038525</x:v>
      </x:c>
      <x:c r="E1593" s="48" t="n">
        <x:v>0.8832204005289149</x:v>
      </x:c>
      <x:c r="F1593" s="48" t="n">
        <x:v>0.033912083096802104</x:v>
      </x:c>
      <x:c r="G1593" s="48" t="n">
        <x:v>-0.0007687844319611004</x:v>
      </x:c>
      <x:c r="H1593" s="48" t="n">
        <x:v>0.7490909041290271</x:v>
      </x:c>
      <x:c r="I1593" s="48" t="n">
        <x:v>0.7105257487534296</x:v>
      </x:c>
      <x:c r="J1593" s="48" t="n">
        <x:v>0.9360219629960211</x:v>
      </x:c>
      <x:c r="K1593" s="48" t="n">
        <x:v>0.9669117870816183</x:v>
      </x:c>
      <x:c r="L1593" s="48" t="n">
        <x:v>0.6500913587942865</x:v>
      </x:c>
      <x:c r="M1593" s="48" t="n">
        <x:v>0.06311464114887493</x:v>
      </x:c>
      <x:c r="N1593" s="48" t="n">
        <x:v>0.8101554971733322</x:v>
      </x:c>
      <x:c r="O1593" s="48" t="n">
        <x:v>0.9733619998563836</x:v>
      </x:c>
      <x:c r="P1593" s="48" t="n">
        <x:v>0.7585983922319383</x:v>
      </x:c>
      <x:c r="Q1593" s="48" t="n">
        <x:v>1</x:v>
      </x:c>
      <x:c r="R1593" s="48" t="n">
        <x:v>0.9671062508287898</x:v>
      </x:c>
      <x:c r="S1593" s="29" t="n">
        <x:v>0</x:v>
      </x:c>
    </x:row>
    <x:row r="1594" ht="21.600000381469727" hidden="0" customHeight="1">
      <x:c r="A1594" s="27" t="n">
        <x:v>530</x:v>
      </x:c>
      <x:c r="B1594" s="27" t="str">
        <x:v>A3</x:v>
      </x:c>
      <x:c r="C1594" s="47" t="n">
        <x:v>1.0414766196726226</x:v>
      </x:c>
      <x:c r="D1594" s="47" t="n">
        <x:v>0.9398570754038525</x:v>
      </x:c>
      <x:c r="E1594" s="47" t="n">
        <x:v>0.8832204005289149</x:v>
      </x:c>
      <x:c r="F1594" s="47" t="n">
        <x:v>0.033912083096802104</x:v>
      </x:c>
      <x:c r="G1594" s="47" t="n">
        <x:v>-0.0007687844319611004</x:v>
      </x:c>
      <x:c r="H1594" s="47" t="n">
        <x:v>0.7490909041290271</x:v>
      </x:c>
      <x:c r="I1594" s="47" t="n">
        <x:v>0.7105257487534296</x:v>
      </x:c>
      <x:c r="J1594" s="47" t="n">
        <x:v>0.9360219629960211</x:v>
      </x:c>
      <x:c r="K1594" s="47" t="n">
        <x:v>0.9669117870816183</x:v>
      </x:c>
      <x:c r="L1594" s="47" t="n">
        <x:v>0.6500913587942865</x:v>
      </x:c>
      <x:c r="M1594" s="47" t="n">
        <x:v>0.06311464114887493</x:v>
      </x:c>
      <x:c r="N1594" s="47" t="n">
        <x:v>0.8101554971733322</x:v>
      </x:c>
      <x:c r="O1594" s="47" t="n">
        <x:v>1</x:v>
      </x:c>
      <x:c r="P1594" s="47" t="n">
        <x:v>1</x:v>
      </x:c>
      <x:c r="Q1594" s="47" t="n">
        <x:v>1</x:v>
      </x:c>
      <x:c r="R1594" s="47" t="n">
        <x:v>1</x:v>
      </x:c>
      <x:c r="S1594" s="27" t="n">
        <x:v>1</x:v>
      </x:c>
    </x:row>
    <x:row r="1595" ht="15" hidden="0" customHeight="1">
      <x:c r="A1595" s="29" t="n">
        <x:v>531</x:v>
      </x:c>
      <x:c r="B1595" s="29" t="str">
        <x:v>A1</x:v>
      </x:c>
      <x:c r="C1595" s="48" t="n">
        <x:v>0.9249790058552988</x:v>
      </x:c>
      <x:c r="D1595" s="48" t="n">
        <x:v>0.814555156083565</x:v>
      </x:c>
      <x:c r="E1595" s="48" t="n">
        <x:v>0.9682995954733999</x:v>
      </x:c>
      <x:c r="F1595" s="48" t="n">
        <x:v>0.015736543758100185</x:v>
      </x:c>
      <x:c r="G1595" s="48" t="n">
        <x:v>0.017212707049722303</x:v>
      </x:c>
      <x:c r="H1595" s="48" t="n">
        <x:v>0.35327555883872985</x:v>
      </x:c>
      <x:c r="I1595" s="48" t="n">
        <x:v>0.7985004760857369</x:v>
      </x:c>
      <x:c r="J1595" s="48" t="n">
        <x:v>0.952044374312054</x:v>
      </x:c>
      <x:c r="K1595" s="48" t="n">
        <x:v>0.6985644488393854</x:v>
      </x:c>
      <x:c r="L1595" s="48" t="n">
        <x:v>0.5101938231964648</x:v>
      </x:c>
      <x:c r="M1595" s="48" t="n">
        <x:v>0.11121244760169886</x:v>
      </x:c>
      <x:c r="N1595" s="48" t="n">
        <x:v>0.9003893730471146</x:v>
      </x:c>
      <x:c r="O1595" s="48" t="n">
        <x:v>0.9171459348004145</x:v>
      </x:c>
      <x:c r="P1595" s="48" t="n">
        <x:v>0.6338193103747358</x:v>
      </x:c>
      <x:c r="Q1595" s="48" t="n">
        <x:v>1</x:v>
      </x:c>
      <x:c r="R1595" s="48" t="n">
        <x:v>0.8976882339591327</x:v>
      </x:c>
      <x:c r="S1595" s="29" t="n">
        <x:v>0</x:v>
      </x:c>
    </x:row>
    <x:row r="1596" ht="15" hidden="0" customHeight="1">
      <x:c r="A1596" s="27" t="n">
        <x:v>531</x:v>
      </x:c>
      <x:c r="B1596" s="27" t="str">
        <x:v>A2</x:v>
      </x:c>
      <x:c r="C1596" s="47" t="n">
        <x:v>0.9249790058552988</x:v>
      </x:c>
      <x:c r="D1596" s="47" t="n">
        <x:v>0.814555156083565</x:v>
      </x:c>
      <x:c r="E1596" s="47" t="n">
        <x:v>0.9682995954733999</x:v>
      </x:c>
      <x:c r="F1596" s="47" t="n">
        <x:v>0.015736543758100185</x:v>
      </x:c>
      <x:c r="G1596" s="47" t="n">
        <x:v>0.017212707049722303</x:v>
      </x:c>
      <x:c r="H1596" s="47" t="n">
        <x:v>0.35327555883872985</x:v>
      </x:c>
      <x:c r="I1596" s="47" t="n">
        <x:v>0.7985004760857369</x:v>
      </x:c>
      <x:c r="J1596" s="47" t="n">
        <x:v>0.952044374312054</x:v>
      </x:c>
      <x:c r="K1596" s="47" t="n">
        <x:v>0.6985644488393854</x:v>
      </x:c>
      <x:c r="L1596" s="47" t="n">
        <x:v>0.5101938231964648</x:v>
      </x:c>
      <x:c r="M1596" s="47" t="n">
        <x:v>0.11121244760169886</x:v>
      </x:c>
      <x:c r="N1596" s="47" t="n">
        <x:v>0.9003893730471146</x:v>
      </x:c>
      <x:c r="O1596" s="47" t="n">
        <x:v>0.9838146599585762</x:v>
      </x:c>
      <x:c r="P1596" s="47" t="n">
        <x:v>0.8381465995857625</x:v>
      </x:c>
      <x:c r="Q1596" s="47" t="n">
        <x:v>1</x:v>
      </x:c>
      <x:c r="R1596" s="47" t="n">
        <x:v>0.9800136454424893</x:v>
      </x:c>
      <x:c r="S1596" s="27" t="n">
        <x:v>0</x:v>
      </x:c>
    </x:row>
    <x:row r="1597" ht="15" hidden="0" customHeight="1">
      <x:c r="A1597" s="29" t="n">
        <x:v>531</x:v>
      </x:c>
      <x:c r="B1597" s="29" t="str">
        <x:v>A3</x:v>
      </x:c>
      <x:c r="C1597" s="48" t="n">
        <x:v>0.9249790058552988</x:v>
      </x:c>
      <x:c r="D1597" s="48" t="n">
        <x:v>0.814555156083565</x:v>
      </x:c>
      <x:c r="E1597" s="48" t="n">
        <x:v>0.9682995954733999</x:v>
      </x:c>
      <x:c r="F1597" s="48" t="n">
        <x:v>0.015736543758100185</x:v>
      </x:c>
      <x:c r="G1597" s="48" t="n">
        <x:v>0.017212707049722303</x:v>
      </x:c>
      <x:c r="H1597" s="48" t="n">
        <x:v>0.35327555883872985</x:v>
      </x:c>
      <x:c r="I1597" s="48" t="n">
        <x:v>0.7985004760857369</x:v>
      </x:c>
      <x:c r="J1597" s="48" t="n">
        <x:v>0.952044374312054</x:v>
      </x:c>
      <x:c r="K1597" s="48" t="n">
        <x:v>0.6985644488393854</x:v>
      </x:c>
      <x:c r="L1597" s="48" t="n">
        <x:v>0.5101938231964648</x:v>
      </x:c>
      <x:c r="M1597" s="48" t="n">
        <x:v>0.11121244760169886</x:v>
      </x:c>
      <x:c r="N1597" s="48" t="n">
        <x:v>0.9003893730471146</x:v>
      </x:c>
      <x:c r="O1597" s="48" t="n">
        <x:v>1</x:v>
      </x:c>
      <x:c r="P1597" s="48" t="n">
        <x:v>1</x:v>
      </x:c>
      <x:c r="Q1597" s="48" t="n">
        <x:v>1</x:v>
      </x:c>
      <x:c r="R1597" s="48" t="n">
        <x:v>1</x:v>
      </x:c>
      <x:c r="S1597" s="29" t="n">
        <x:v>1</x:v>
      </x:c>
    </x:row>
    <x:row r="1598" ht="21.600000381469727" hidden="0" customHeight="1">
      <x:c r="A1598" s="27" t="n">
        <x:v>532</x:v>
      </x:c>
      <x:c r="B1598" s="27" t="str">
        <x:v>A1</x:v>
      </x:c>
      <x:c r="C1598" s="47" t="n">
        <x:v>1.0717947653600994</x:v>
      </x:c>
      <x:c r="D1598" s="47" t="n">
        <x:v>0.8668750648828627</x:v>
      </x:c>
      <x:c r="E1598" s="47" t="n">
        <x:v>1.0032797219122196</x:v>
      </x:c>
      <x:c r="F1598" s="47" t="n">
        <x:v>0.03248683218300949</x:v>
      </x:c>
      <x:c r="G1598" s="47" t="n">
        <x:v>-0.18911430135210047</x:v>
      </x:c>
      <x:c r="H1598" s="47" t="n">
        <x:v>1.0706090490004625</x:v>
      </x:c>
      <x:c r="I1598" s="47" t="n">
        <x:v>0.9442691406540947</x:v>
      </x:c>
      <x:c r="J1598" s="47" t="n">
        <x:v>0.5492267177432741</x:v>
      </x:c>
      <x:c r="K1598" s="47" t="n">
        <x:v>0.9248727298927548</x:v>
      </x:c>
      <x:c r="L1598" s="47" t="n">
        <x:v>0.7672051288091937</x:v>
      </x:c>
      <x:c r="M1598" s="47" t="n">
        <x:v>0.1489844507878679</x:v>
      </x:c>
      <x:c r="N1598" s="47" t="n">
        <x:v>0.9246224966567806</x:v>
      </x:c>
      <x:c r="O1598" s="47" t="n">
        <x:v>0.8739870420518049</x:v>
      </x:c>
      <x:c r="P1598" s="47" t="n">
        <x:v>0.6273176689808477</x:v>
      </x:c>
      <x:c r="Q1598" s="47" t="n">
        <x:v>1</x:v>
      </x:c>
      <x:c r="R1598" s="47" t="n">
        <x:v>0.844393775481545</x:v>
      </x:c>
      <x:c r="S1598" s="27" t="n">
        <x:v>0</x:v>
      </x:c>
    </x:row>
    <x:row r="1599" ht="21.600000381469727" hidden="0" customHeight="1">
      <x:c r="A1599" s="29" t="n">
        <x:v>532</x:v>
      </x:c>
      <x:c r="B1599" s="29" t="str">
        <x:v>A2</x:v>
      </x:c>
      <x:c r="C1599" s="48" t="n">
        <x:v>1.0717947653600994</x:v>
      </x:c>
      <x:c r="D1599" s="48" t="n">
        <x:v>0.8668750648828627</x:v>
      </x:c>
      <x:c r="E1599" s="48" t="n">
        <x:v>1.0032797219122196</x:v>
      </x:c>
      <x:c r="F1599" s="48" t="n">
        <x:v>0.03248683218300949</x:v>
      </x:c>
      <x:c r="G1599" s="48" t="n">
        <x:v>-0.18911430135210047</x:v>
      </x:c>
      <x:c r="H1599" s="48" t="n">
        <x:v>1.0706090490004625</x:v>
      </x:c>
      <x:c r="I1599" s="48" t="n">
        <x:v>0.9442691406540947</x:v>
      </x:c>
      <x:c r="J1599" s="48" t="n">
        <x:v>0.5492267177432741</x:v>
      </x:c>
      <x:c r="K1599" s="48" t="n">
        <x:v>0.9248727298927548</x:v>
      </x:c>
      <x:c r="L1599" s="48" t="n">
        <x:v>0.7672051288091937</x:v>
      </x:c>
      <x:c r="M1599" s="48" t="n">
        <x:v>0.1489844507878679</x:v>
      </x:c>
      <x:c r="N1599" s="48" t="n">
        <x:v>0.9246224966567806</x:v>
      </x:c>
      <x:c r="O1599" s="48" t="n">
        <x:v>0.9555143746344106</x:v>
      </x:c>
      <x:c r="P1599" s="48" t="n">
        <x:v>0.7881681120279992</x:v>
      </x:c>
      <x:c r="Q1599" s="48" t="n">
        <x:v>1</x:v>
      </x:c>
      <x:c r="R1599" s="48" t="n">
        <x:v>0.9450672349796949</x:v>
      </x:c>
      <x:c r="S1599" s="29" t="n">
        <x:v>0</x:v>
      </x:c>
    </x:row>
    <x:row r="1600" ht="21.600000381469727" hidden="0" customHeight="1">
      <x:c r="A1600" s="27" t="n">
        <x:v>532</x:v>
      </x:c>
      <x:c r="B1600" s="27" t="str">
        <x:v>A3</x:v>
      </x:c>
      <x:c r="C1600" s="47" t="n">
        <x:v>1.0717947653600994</x:v>
      </x:c>
      <x:c r="D1600" s="47" t="n">
        <x:v>0.8668750648828627</x:v>
      </x:c>
      <x:c r="E1600" s="47" t="n">
        <x:v>1.0032797219122196</x:v>
      </x:c>
      <x:c r="F1600" s="47" t="n">
        <x:v>0.03248683218300949</x:v>
      </x:c>
      <x:c r="G1600" s="47" t="n">
        <x:v>-0.18911430135210047</x:v>
      </x:c>
      <x:c r="H1600" s="47" t="n">
        <x:v>1.0706090490004625</x:v>
      </x:c>
      <x:c r="I1600" s="47" t="n">
        <x:v>0.9442691406540947</x:v>
      </x:c>
      <x:c r="J1600" s="47" t="n">
        <x:v>0.5492267177432741</x:v>
      </x:c>
      <x:c r="K1600" s="47" t="n">
        <x:v>0.9248727298927548</x:v>
      </x:c>
      <x:c r="L1600" s="47" t="n">
        <x:v>0.7672051288091937</x:v>
      </x:c>
      <x:c r="M1600" s="47" t="n">
        <x:v>0.1489844507878679</x:v>
      </x:c>
      <x:c r="N1600" s="47" t="n">
        <x:v>0.9246224966567806</x:v>
      </x:c>
      <x:c r="O1600" s="47" t="n">
        <x:v>1</x:v>
      </x:c>
      <x:c r="P1600" s="47" t="n">
        <x:v>1</x:v>
      </x:c>
      <x:c r="Q1600" s="47" t="n">
        <x:v>1</x:v>
      </x:c>
      <x:c r="R1600" s="47" t="n">
        <x:v>1</x:v>
      </x:c>
      <x:c r="S1600" s="27" t="n">
        <x:v>1</x:v>
      </x:c>
    </x:row>
    <x:row r="1601" ht="21.600000381469727" hidden="0" customHeight="1">
      <x:c r="A1601" s="29" t="n">
        <x:v>533</x:v>
      </x:c>
      <x:c r="B1601" s="29" t="str">
        <x:v>A1</x:v>
      </x:c>
      <x:c r="C1601" s="48" t="n">
        <x:v>1.2077542531833516</x:v>
      </x:c>
      <x:c r="D1601" s="48" t="n">
        <x:v>0.9763080440798814</x:v>
      </x:c>
      <x:c r="E1601" s="48" t="n">
        <x:v>1.099681182404766</x:v>
      </x:c>
      <x:c r="F1601" s="48" t="n">
        <x:v>-0.1317072233568578</x:v>
      </x:c>
      <x:c r="G1601" s="48" t="n">
        <x:v>-0.1918192708643699</x:v>
      </x:c>
      <x:c r="H1601" s="48" t="n">
        <x:v>0.7277294774441012</x:v>
      </x:c>
      <x:c r="I1601" s="48" t="n">
        <x:v>0.8297039281178126</x:v>
      </x:c>
      <x:c r="J1601" s="48" t="n">
        <x:v>0.9395161090494017</x:v>
      </x:c>
      <x:c r="K1601" s="48" t="n">
        <x:v>0.7856373309538</x:v>
      </x:c>
      <x:c r="L1601" s="48" t="n">
        <x:v>0.5394852090733113</x:v>
      </x:c>
      <x:c r="M1601" s="48" t="n">
        <x:v>0.11566177187091581</x:v>
      </x:c>
      <x:c r="N1601" s="48" t="n">
        <x:v>0.7997935179887329</x:v>
      </x:c>
      <x:c r="O1601" s="48" t="n">
        <x:v>0.895497646054695</x:v>
      </x:c>
      <x:c r="P1601" s="48" t="n">
        <x:v>0.6257320964992008</x:v>
      </x:c>
      <x:c r="Q1601" s="48" t="n">
        <x:v>1</x:v>
      </x:c>
      <x:c r="R1601" s="48" t="n">
        <x:v>0.8709559951968965</x:v>
      </x:c>
      <x:c r="S1601" s="29" t="n">
        <x:v>0</x:v>
      </x:c>
    </x:row>
    <x:row r="1602" ht="21.600000381469727" hidden="0" customHeight="1">
      <x:c r="A1602" s="27" t="n">
        <x:v>533</x:v>
      </x:c>
      <x:c r="B1602" s="27" t="str">
        <x:v>A2</x:v>
      </x:c>
      <x:c r="C1602" s="47" t="n">
        <x:v>1.2077542531833516</x:v>
      </x:c>
      <x:c r="D1602" s="47" t="n">
        <x:v>0.9763080440798814</x:v>
      </x:c>
      <x:c r="E1602" s="47" t="n">
        <x:v>1.099681182404766</x:v>
      </x:c>
      <x:c r="F1602" s="47" t="n">
        <x:v>-0.1317072233568578</x:v>
      </x:c>
      <x:c r="G1602" s="47" t="n">
        <x:v>-0.1918192708643699</x:v>
      </x:c>
      <x:c r="H1602" s="47" t="n">
        <x:v>0.7277294774441012</x:v>
      </x:c>
      <x:c r="I1602" s="47" t="n">
        <x:v>0.8297039281178126</x:v>
      </x:c>
      <x:c r="J1602" s="47" t="n">
        <x:v>0.9395161090494017</x:v>
      </x:c>
      <x:c r="K1602" s="47" t="n">
        <x:v>0.7856373309538</x:v>
      </x:c>
      <x:c r="L1602" s="47" t="n">
        <x:v>0.5394852090733113</x:v>
      </x:c>
      <x:c r="M1602" s="47" t="n">
        <x:v>0.11566177187091581</x:v>
      </x:c>
      <x:c r="N1602" s="47" t="n">
        <x:v>0.7997935179887329</x:v>
      </x:c>
      <x:c r="O1602" s="47" t="n">
        <x:v>0.9635447892186831</x:v>
      </x:c>
      <x:c r="P1602" s="47" t="n">
        <x:v>0.7064021718080435</x:v>
      </x:c>
      <x:c r="Q1602" s="47" t="n">
        <x:v>1</x:v>
      </x:c>
      <x:c r="R1602" s="47" t="n">
        <x:v>0.9549835365658409</x:v>
      </x:c>
      <x:c r="S1602" s="27" t="n">
        <x:v>0</x:v>
      </x:c>
    </x:row>
    <x:row r="1603" ht="21.600000381469727" hidden="0" customHeight="1">
      <x:c r="A1603" s="29" t="n">
        <x:v>533</x:v>
      </x:c>
      <x:c r="B1603" s="29" t="str">
        <x:v>A3</x:v>
      </x:c>
      <x:c r="C1603" s="48" t="n">
        <x:v>1.2077542531833516</x:v>
      </x:c>
      <x:c r="D1603" s="48" t="n">
        <x:v>0.9763080440798814</x:v>
      </x:c>
      <x:c r="E1603" s="48" t="n">
        <x:v>1.099681182404766</x:v>
      </x:c>
      <x:c r="F1603" s="48" t="n">
        <x:v>-0.1317072233568578</x:v>
      </x:c>
      <x:c r="G1603" s="48" t="n">
        <x:v>-0.1918192708643699</x:v>
      </x:c>
      <x:c r="H1603" s="48" t="n">
        <x:v>0.7277294774441012</x:v>
      </x:c>
      <x:c r="I1603" s="48" t="n">
        <x:v>0.8297039281178126</x:v>
      </x:c>
      <x:c r="J1603" s="48" t="n">
        <x:v>0.9395161090494017</x:v>
      </x:c>
      <x:c r="K1603" s="48" t="n">
        <x:v>0.7856373309538</x:v>
      </x:c>
      <x:c r="L1603" s="48" t="n">
        <x:v>0.5394852090733113</x:v>
      </x:c>
      <x:c r="M1603" s="48" t="n">
        <x:v>0.11566177187091581</x:v>
      </x:c>
      <x:c r="N1603" s="48" t="n">
        <x:v>0.7997935179887329</x:v>
      </x:c>
      <x:c r="O1603" s="48" t="n">
        <x:v>1</x:v>
      </x:c>
      <x:c r="P1603" s="48" t="n">
        <x:v>1</x:v>
      </x:c>
      <x:c r="Q1603" s="48" t="n">
        <x:v>1</x:v>
      </x:c>
      <x:c r="R1603" s="48" t="n">
        <x:v>1</x:v>
      </x:c>
      <x:c r="S1603" s="29" t="n">
        <x:v>1</x:v>
      </x:c>
    </x:row>
    <x:row r="1604" ht="21.600000381469727" hidden="0" customHeight="1">
      <x:c r="A1604" s="27" t="n">
        <x:v>534</x:v>
      </x:c>
      <x:c r="B1604" s="27" t="str">
        <x:v>A1</x:v>
      </x:c>
      <x:c r="C1604" s="47" t="n">
        <x:v>1.2635621651537805</x:v>
      </x:c>
      <x:c r="D1604" s="47" t="n">
        <x:v>0.8332573455325476</x:v>
      </x:c>
      <x:c r="E1604" s="47" t="n">
        <x:v>0.5603788366911145</x:v>
      </x:c>
      <x:c r="F1604" s="47" t="n">
        <x:v>-0.07409196267740523</x:v>
      </x:c>
      <x:c r="G1604" s="47" t="n">
        <x:v>-0.1051459564690814</x:v>
      </x:c>
      <x:c r="H1604" s="47" t="n">
        <x:v>0.8847647617220931</x:v>
      </x:c>
      <x:c r="I1604" s="47" t="n">
        <x:v>0.9957453125897906</x:v>
      </x:c>
      <x:c r="J1604" s="47" t="n">
        <x:v>0.8273530141539158</x:v>
      </x:c>
      <x:c r="K1604" s="47" t="n">
        <x:v>0.7889928047773612</x:v>
      </x:c>
      <x:c r="L1604" s="47" t="n">
        <x:v>0.5975617107140802</x:v>
      </x:c>
      <x:c r="M1604" s="47" t="n">
        <x:v>0.171480249252853</x:v>
      </x:c>
      <x:c r="N1604" s="47" t="n">
        <x:v>0.7390188875899611</x:v>
      </x:c>
      <x:c r="O1604" s="47" t="n">
        <x:v>0.7427968306188298</x:v>
      </x:c>
      <x:c r="P1604" s="47" t="n">
        <x:v>0.4186824080618411</x:v>
      </x:c>
      <x:c r="Q1604" s="47" t="n">
        <x:v>1</x:v>
      </x:c>
      <x:c r="R1604" s="47" t="n">
        <x:v>0.6823944555127575</x:v>
      </x:c>
      <x:c r="S1604" s="27" t="n">
        <x:v>0</x:v>
      </x:c>
    </x:row>
    <x:row r="1605" ht="21.600000381469727" hidden="0" customHeight="1">
      <x:c r="A1605" s="29" t="n">
        <x:v>534</x:v>
      </x:c>
      <x:c r="B1605" s="29" t="str">
        <x:v>A2</x:v>
      </x:c>
      <x:c r="C1605" s="48" t="n">
        <x:v>1.2635621651537805</x:v>
      </x:c>
      <x:c r="D1605" s="48" t="n">
        <x:v>0.8332573455325476</x:v>
      </x:c>
      <x:c r="E1605" s="48" t="n">
        <x:v>0.5603788366911145</x:v>
      </x:c>
      <x:c r="F1605" s="48" t="n">
        <x:v>-0.07409196267740523</x:v>
      </x:c>
      <x:c r="G1605" s="48" t="n">
        <x:v>-0.1051459564690814</x:v>
      </x:c>
      <x:c r="H1605" s="48" t="n">
        <x:v>0.8847647617220931</x:v>
      </x:c>
      <x:c r="I1605" s="48" t="n">
        <x:v>0.9957453125897906</x:v>
      </x:c>
      <x:c r="J1605" s="48" t="n">
        <x:v>0.8273530141539158</x:v>
      </x:c>
      <x:c r="K1605" s="48" t="n">
        <x:v>0.7889928047773612</x:v>
      </x:c>
      <x:c r="L1605" s="48" t="n">
        <x:v>0.5975617107140802</x:v>
      </x:c>
      <x:c r="M1605" s="48" t="n">
        <x:v>0.171480249252853</x:v>
      </x:c>
      <x:c r="N1605" s="48" t="n">
        <x:v>0.7390188875899611</x:v>
      </x:c>
      <x:c r="O1605" s="48" t="n">
        <x:v>0.8156671728341696</x:v>
      </x:c>
      <x:c r="P1605" s="48" t="n">
        <x:v>0.4825611863377017</x:v>
      </x:c>
      <x:c r="Q1605" s="48" t="n">
        <x:v>1</x:v>
      </x:c>
      <x:c r="R1605" s="48" t="n">
        <x:v>0.7723778906778804</x:v>
      </x:c>
      <x:c r="S1605" s="29" t="n">
        <x:v>0</x:v>
      </x:c>
    </x:row>
    <x:row r="1606" ht="21.600000381469727" hidden="0" customHeight="1">
      <x:c r="A1606" s="27" t="n">
        <x:v>534</x:v>
      </x:c>
      <x:c r="B1606" s="27" t="str">
        <x:v>A3</x:v>
      </x:c>
      <x:c r="C1606" s="47" t="n">
        <x:v>1.2635621651537805</x:v>
      </x:c>
      <x:c r="D1606" s="47" t="n">
        <x:v>0.8332573455325476</x:v>
      </x:c>
      <x:c r="E1606" s="47" t="n">
        <x:v>0.5603788366911145</x:v>
      </x:c>
      <x:c r="F1606" s="47" t="n">
        <x:v>-0.07409196267740523</x:v>
      </x:c>
      <x:c r="G1606" s="47" t="n">
        <x:v>-0.1051459564690814</x:v>
      </x:c>
      <x:c r="H1606" s="47" t="n">
        <x:v>0.8847647617220931</x:v>
      </x:c>
      <x:c r="I1606" s="47" t="n">
        <x:v>0.9957453125897906</x:v>
      </x:c>
      <x:c r="J1606" s="47" t="n">
        <x:v>0.8273530141539158</x:v>
      </x:c>
      <x:c r="K1606" s="47" t="n">
        <x:v>0.7889928047773612</x:v>
      </x:c>
      <x:c r="L1606" s="47" t="n">
        <x:v>0.5975617107140802</x:v>
      </x:c>
      <x:c r="M1606" s="47" t="n">
        <x:v>0.171480249252853</x:v>
      </x:c>
      <x:c r="N1606" s="47" t="n">
        <x:v>0.7390188875899611</x:v>
      </x:c>
      <x:c r="O1606" s="47" t="n">
        <x:v>1</x:v>
      </x:c>
      <x:c r="P1606" s="47" t="n">
        <x:v>1</x:v>
      </x:c>
      <x:c r="Q1606" s="47" t="n">
        <x:v>1</x:v>
      </x:c>
      <x:c r="R1606" s="47" t="n">
        <x:v>1</x:v>
      </x:c>
      <x:c r="S1606" s="27" t="n">
        <x:v>1</x:v>
      </x:c>
    </x:row>
    <x:row r="1607" ht="21.600000381469727" hidden="0" customHeight="1">
      <x:c r="A1607" s="29" t="n">
        <x:v>535</x:v>
      </x:c>
      <x:c r="B1607" s="29" t="str">
        <x:v>A1</x:v>
      </x:c>
      <x:c r="C1607" s="48" t="n">
        <x:v>1.0563784677421515</x:v>
      </x:c>
      <x:c r="D1607" s="48" t="n">
        <x:v>0.8430725352452685</x:v>
      </x:c>
      <x:c r="E1607" s="48" t="n">
        <x:v>0.7110232630298925</x:v>
      </x:c>
      <x:c r="F1607" s="48" t="n">
        <x:v>-0.017243288751439184</x:v>
      </x:c>
      <x:c r="G1607" s="48" t="n">
        <x:v>-0.18493392722412802</x:v>
      </x:c>
      <x:c r="H1607" s="48" t="n">
        <x:v>0.7032207040740632</x:v>
      </x:c>
      <x:c r="I1607" s="48" t="n">
        <x:v>0.7522713581418653</x:v>
      </x:c>
      <x:c r="J1607" s="48" t="n">
        <x:v>0.5825098437507633</x:v>
      </x:c>
      <x:c r="K1607" s="48" t="n">
        <x:v>0.6602770940379193</x:v>
      </x:c>
      <x:c r="L1607" s="48" t="n">
        <x:v>0.630659774075564</x:v>
      </x:c>
      <x:c r="M1607" s="48" t="n">
        <x:v>0.018925652737884914</x:v>
      </x:c>
      <x:c r="N1607" s="48" t="n">
        <x:v>0.7058953941121714</x:v>
      </x:c>
      <x:c r="O1607" s="48" t="n">
        <x:v>0.8430672167355568</x:v>
      </x:c>
      <x:c r="P1607" s="48" t="n">
        <x:v>0.5132273689387922</x:v>
      </x:c>
      <x:c r="Q1607" s="48" t="n">
        <x:v>1</x:v>
      </x:c>
      <x:c r="R1607" s="48" t="n">
        <x:v>0.8062126442822483</x:v>
      </x:c>
      <x:c r="S1607" s="29" t="n">
        <x:v>0</x:v>
      </x:c>
    </x:row>
    <x:row r="1608" ht="21.600000381469727" hidden="0" customHeight="1">
      <x:c r="A1608" s="27" t="n">
        <x:v>535</x:v>
      </x:c>
      <x:c r="B1608" s="27" t="str">
        <x:v>A2</x:v>
      </x:c>
      <x:c r="C1608" s="47" t="n">
        <x:v>1.0563784677421515</x:v>
      </x:c>
      <x:c r="D1608" s="47" t="n">
        <x:v>0.8430725352452685</x:v>
      </x:c>
      <x:c r="E1608" s="47" t="n">
        <x:v>0.7110232630298925</x:v>
      </x:c>
      <x:c r="F1608" s="47" t="n">
        <x:v>-0.017243288751439184</x:v>
      </x:c>
      <x:c r="G1608" s="47" t="n">
        <x:v>-0.18493392722412802</x:v>
      </x:c>
      <x:c r="H1608" s="47" t="n">
        <x:v>0.7032207040740632</x:v>
      </x:c>
      <x:c r="I1608" s="47" t="n">
        <x:v>0.7522713581418653</x:v>
      </x:c>
      <x:c r="J1608" s="47" t="n">
        <x:v>0.5825098437507633</x:v>
      </x:c>
      <x:c r="K1608" s="47" t="n">
        <x:v>0.6602770940379193</x:v>
      </x:c>
      <x:c r="L1608" s="47" t="n">
        <x:v>0.630659774075564</x:v>
      </x:c>
      <x:c r="M1608" s="47" t="n">
        <x:v>0.018925652737884914</x:v>
      </x:c>
      <x:c r="N1608" s="47" t="n">
        <x:v>0.7058953941121714</x:v>
      </x:c>
      <x:c r="O1608" s="47" t="n">
        <x:v>0.9496005799986122</x:v>
      </x:c>
      <x:c r="P1608" s="47" t="n">
        <x:v>0.72979311007242</x:v>
      </x:c>
      <x:c r="Q1608" s="47" t="n">
        <x:v>1</x:v>
      </x:c>
      <x:c r="R1608" s="47" t="n">
        <x:v>0.9377646268127445</x:v>
      </x:c>
      <x:c r="S1608" s="27" t="n">
        <x:v>0</x:v>
      </x:c>
    </x:row>
    <x:row r="1609" ht="21.600000381469727" hidden="0" customHeight="1">
      <x:c r="A1609" s="29" t="n">
        <x:v>535</x:v>
      </x:c>
      <x:c r="B1609" s="29" t="str">
        <x:v>A3</x:v>
      </x:c>
      <x:c r="C1609" s="48" t="n">
        <x:v>1.0563784677421515</x:v>
      </x:c>
      <x:c r="D1609" s="48" t="n">
        <x:v>0.8430725352452685</x:v>
      </x:c>
      <x:c r="E1609" s="48" t="n">
        <x:v>0.7110232630298925</x:v>
      </x:c>
      <x:c r="F1609" s="48" t="n">
        <x:v>-0.017243288751439184</x:v>
      </x:c>
      <x:c r="G1609" s="48" t="n">
        <x:v>-0.18493392722412802</x:v>
      </x:c>
      <x:c r="H1609" s="48" t="n">
        <x:v>0.7032207040740632</x:v>
      </x:c>
      <x:c r="I1609" s="48" t="n">
        <x:v>0.7522713581418653</x:v>
      </x:c>
      <x:c r="J1609" s="48" t="n">
        <x:v>0.5825098437507633</x:v>
      </x:c>
      <x:c r="K1609" s="48" t="n">
        <x:v>0.6602770940379193</x:v>
      </x:c>
      <x:c r="L1609" s="48" t="n">
        <x:v>0.630659774075564</x:v>
      </x:c>
      <x:c r="M1609" s="48" t="n">
        <x:v>0.018925652737884914</x:v>
      </x:c>
      <x:c r="N1609" s="48" t="n">
        <x:v>0.7058953941121714</x:v>
      </x:c>
      <x:c r="O1609" s="48" t="n">
        <x:v>1</x:v>
      </x:c>
      <x:c r="P1609" s="48" t="n">
        <x:v>1</x:v>
      </x:c>
      <x:c r="Q1609" s="48" t="n">
        <x:v>1</x:v>
      </x:c>
      <x:c r="R1609" s="48" t="n">
        <x:v>1</x:v>
      </x:c>
      <x:c r="S1609" s="29" t="n">
        <x:v>1</x:v>
      </x:c>
    </x:row>
    <x:row r="1610" ht="21.600000381469727" hidden="0" customHeight="1">
      <x:c r="A1610" s="27" t="n">
        <x:v>536</x:v>
      </x:c>
      <x:c r="B1610" s="27" t="str">
        <x:v>A1</x:v>
      </x:c>
      <x:c r="C1610" s="47" t="n">
        <x:v>0.9362905173828389</x:v>
      </x:c>
      <x:c r="D1610" s="47" t="n">
        <x:v>0.968718851974765</x:v>
      </x:c>
      <x:c r="E1610" s="47" t="n">
        <x:v>0.8549175221341843</x:v>
      </x:c>
      <x:c r="F1610" s="47" t="n">
        <x:v>-0.16337891023759504</x:v>
      </x:c>
      <x:c r="G1610" s="47" t="n">
        <x:v>-0.15399103162452932</x:v>
      </x:c>
      <x:c r="H1610" s="47" t="n">
        <x:v>0.675395405981581</x:v>
      </x:c>
      <x:c r="I1610" s="47" t="n">
        <x:v>0.7882902358934316</x:v>
      </x:c>
      <x:c r="J1610" s="47" t="n">
        <x:v>0.78001513959129</x:v>
      </x:c>
      <x:c r="K1610" s="47" t="n">
        <x:v>0.6949137966423555</x:v>
      </x:c>
      <x:c r="L1610" s="47" t="n">
        <x:v>0.9044506254168905</x:v>
      </x:c>
      <x:c r="M1610" s="47" t="n">
        <x:v>0.06546402830297662</x:v>
      </x:c>
      <x:c r="N1610" s="47" t="n">
        <x:v>0.8575817728982703</x:v>
      </x:c>
      <x:c r="O1610" s="47" t="n">
        <x:v>0.9601664034230024</x:v>
      </x:c>
      <x:c r="P1610" s="47" t="n">
        <x:v>0.7315625073987037</x:v>
      </x:c>
      <x:c r="Q1610" s="47" t="n">
        <x:v>1</x:v>
      </x:c>
      <x:c r="R1610" s="47" t="n">
        <x:v>0.9508117603676439</x:v>
      </x:c>
      <x:c r="S1610" s="27" t="n">
        <x:v>0</x:v>
      </x:c>
    </x:row>
    <x:row r="1611" ht="21.600000381469727" hidden="0" customHeight="1">
      <x:c r="A1611" s="29" t="n">
        <x:v>536</x:v>
      </x:c>
      <x:c r="B1611" s="29" t="str">
        <x:v>A2</x:v>
      </x:c>
      <x:c r="C1611" s="48" t="n">
        <x:v>0.9362905173828389</x:v>
      </x:c>
      <x:c r="D1611" s="48" t="n">
        <x:v>0.968718851974765</x:v>
      </x:c>
      <x:c r="E1611" s="48" t="n">
        <x:v>0.8549175221341843</x:v>
      </x:c>
      <x:c r="F1611" s="48" t="n">
        <x:v>-0.16337891023759504</x:v>
      </x:c>
      <x:c r="G1611" s="48" t="n">
        <x:v>-0.15399103162452932</x:v>
      </x:c>
      <x:c r="H1611" s="48" t="n">
        <x:v>0.675395405981581</x:v>
      </x:c>
      <x:c r="I1611" s="48" t="n">
        <x:v>0.7882902358934316</x:v>
      </x:c>
      <x:c r="J1611" s="48" t="n">
        <x:v>0.78001513959129</x:v>
      </x:c>
      <x:c r="K1611" s="48" t="n">
        <x:v>0.6949137966423555</x:v>
      </x:c>
      <x:c r="L1611" s="48" t="n">
        <x:v>0.9044506254168905</x:v>
      </x:c>
      <x:c r="M1611" s="48" t="n">
        <x:v>0.06546402830297662</x:v>
      </x:c>
      <x:c r="N1611" s="48" t="n">
        <x:v>0.8575817728982703</x:v>
      </x:c>
      <x:c r="O1611" s="48" t="n">
        <x:v>1</x:v>
      </x:c>
      <x:c r="P1611" s="48" t="n">
        <x:v>1</x:v>
      </x:c>
      <x:c r="Q1611" s="48" t="n">
        <x:v>1</x:v>
      </x:c>
      <x:c r="R1611" s="48" t="n">
        <x:v>1</x:v>
      </x:c>
      <x:c r="S1611" s="29" t="n">
        <x:v>1</x:v>
      </x:c>
    </x:row>
    <x:row r="1612" ht="21.600000381469727" hidden="0" customHeight="1">
      <x:c r="A1612" s="27" t="n">
        <x:v>536</x:v>
      </x:c>
      <x:c r="B1612" s="27" t="str">
        <x:v>A3</x:v>
      </x:c>
      <x:c r="C1612" s="47" t="n">
        <x:v>0.9362905173828389</x:v>
      </x:c>
      <x:c r="D1612" s="47" t="n">
        <x:v>0.968718851974765</x:v>
      </x:c>
      <x:c r="E1612" s="47" t="n">
        <x:v>0.8549175221341843</x:v>
      </x:c>
      <x:c r="F1612" s="47" t="n">
        <x:v>-0.16337891023759504</x:v>
      </x:c>
      <x:c r="G1612" s="47" t="n">
        <x:v>-0.15399103162452932</x:v>
      </x:c>
      <x:c r="H1612" s="47" t="n">
        <x:v>0.675395405981581</x:v>
      </x:c>
      <x:c r="I1612" s="47" t="n">
        <x:v>0.7882902358934316</x:v>
      </x:c>
      <x:c r="J1612" s="47" t="n">
        <x:v>0.78001513959129</x:v>
      </x:c>
      <x:c r="K1612" s="47" t="n">
        <x:v>0.6949137966423555</x:v>
      </x:c>
      <x:c r="L1612" s="47" t="n">
        <x:v>0.9044506254168905</x:v>
      </x:c>
      <x:c r="M1612" s="47" t="n">
        <x:v>0.06546402830297662</x:v>
      </x:c>
      <x:c r="N1612" s="47" t="n">
        <x:v>0.8575817728982703</x:v>
      </x:c>
      <x:c r="O1612" s="47" t="n">
        <x:v>1</x:v>
      </x:c>
      <x:c r="P1612" s="47" t="n">
        <x:v>1</x:v>
      </x:c>
      <x:c r="Q1612" s="47" t="n">
        <x:v>1</x:v>
      </x:c>
      <x:c r="R1612" s="47" t="n">
        <x:v>1</x:v>
      </x:c>
      <x:c r="S1612" s="27" t="n">
        <x:v>1</x:v>
      </x:c>
    </x:row>
    <x:row r="1613" ht="21.600000381469727" hidden="0" customHeight="1">
      <x:c r="A1613" s="29" t="n">
        <x:v>537</x:v>
      </x:c>
      <x:c r="B1613" s="29" t="str">
        <x:v>A1</x:v>
      </x:c>
      <x:c r="C1613" s="48" t="n">
        <x:v>1.3232509324830541</x:v>
      </x:c>
      <x:c r="D1613" s="48" t="n">
        <x:v>0.7667977013465703</x:v>
      </x:c>
      <x:c r="E1613" s="48" t="n">
        <x:v>0.45644387752886795</x:v>
      </x:c>
      <x:c r="F1613" s="48" t="n">
        <x:v>-0.1758874340053029</x:v>
      </x:c>
      <x:c r="G1613" s="48" t="n">
        <x:v>0.019358220106705543</x:v>
      </x:c>
      <x:c r="H1613" s="48" t="n">
        <x:v>0.9304915047996194</x:v>
      </x:c>
      <x:c r="I1613" s="48" t="n">
        <x:v>0.7498771727581409</x:v>
      </x:c>
      <x:c r="J1613" s="48" t="n">
        <x:v>0.7306220654734465</x:v>
      </x:c>
      <x:c r="K1613" s="48" t="n">
        <x:v>0.5762539412309957</x:v>
      </x:c>
      <x:c r="L1613" s="48" t="n">
        <x:v>0.7766058964442901</x:v>
      </x:c>
      <x:c r="M1613" s="48" t="n">
        <x:v>0.0166401451123703</x:v>
      </x:c>
      <x:c r="N1613" s="48" t="n">
        <x:v>0.8763895605722098</x:v>
      </x:c>
      <x:c r="O1613" s="48" t="n">
        <x:v>0.6549552523276603</x:v>
      </x:c>
      <x:c r="P1613" s="48" t="n">
        <x:v>0.3803989857233126</x:v>
      </x:c>
      <x:c r="Q1613" s="48" t="n">
        <x:v>0.8248073122163682</x:v>
      </x:c>
      <x:c r="R1613" s="48" t="n">
        <x:v>0.5780265750842274</x:v>
      </x:c>
      <x:c r="S1613" s="29" t="n">
        <x:v>0</x:v>
      </x:c>
    </x:row>
    <x:row r="1614" ht="21.600000381469727" hidden="0" customHeight="1">
      <x:c r="A1614" s="27" t="n">
        <x:v>537</x:v>
      </x:c>
      <x:c r="B1614" s="27" t="str">
        <x:v>A2</x:v>
      </x:c>
      <x:c r="C1614" s="47" t="n">
        <x:v>1.3232509324830541</x:v>
      </x:c>
      <x:c r="D1614" s="47" t="n">
        <x:v>0.7667977013465703</x:v>
      </x:c>
      <x:c r="E1614" s="47" t="n">
        <x:v>0.45644387752886795</x:v>
      </x:c>
      <x:c r="F1614" s="47" t="n">
        <x:v>-0.1758874340053029</x:v>
      </x:c>
      <x:c r="G1614" s="47" t="n">
        <x:v>0.019358220106705543</x:v>
      </x:c>
      <x:c r="H1614" s="47" t="n">
        <x:v>0.9304915047996194</x:v>
      </x:c>
      <x:c r="I1614" s="47" t="n">
        <x:v>0.7498771727581409</x:v>
      </x:c>
      <x:c r="J1614" s="47" t="n">
        <x:v>0.7306220654734465</x:v>
      </x:c>
      <x:c r="K1614" s="47" t="n">
        <x:v>0.5762539412309957</x:v>
      </x:c>
      <x:c r="L1614" s="47" t="n">
        <x:v>0.7766058964442901</x:v>
      </x:c>
      <x:c r="M1614" s="47" t="n">
        <x:v>0.0166401451123703</x:v>
      </x:c>
      <x:c r="N1614" s="47" t="n">
        <x:v>0.8763895605722098</x:v>
      </x:c>
      <x:c r="O1614" s="47" t="n">
        <x:v>0.7021836207434461</x:v>
      </x:c>
      <x:c r="P1614" s="47" t="n">
        <x:v>0.39048599062293754</x:v>
      </x:c>
      <x:c r="Q1614" s="47" t="n">
        <x:v>0.9205262635760059</x:v>
      </x:c>
      <x:c r="R1614" s="47" t="n">
        <x:v>0.6328337556214262</x:v>
      </x:c>
      <x:c r="S1614" s="27" t="n">
        <x:v>0</x:v>
      </x:c>
    </x:row>
    <x:row r="1615" ht="21.600000381469727" hidden="0" customHeight="1">
      <x:c r="A1615" s="29" t="n">
        <x:v>537</x:v>
      </x:c>
      <x:c r="B1615" s="29" t="str">
        <x:v>A3</x:v>
      </x:c>
      <x:c r="C1615" s="48" t="n">
        <x:v>1.3232509324830541</x:v>
      </x:c>
      <x:c r="D1615" s="48" t="n">
        <x:v>0.7667977013465703</x:v>
      </x:c>
      <x:c r="E1615" s="48" t="n">
        <x:v>0.45644387752886795</x:v>
      </x:c>
      <x:c r="F1615" s="48" t="n">
        <x:v>-0.1758874340053029</x:v>
      </x:c>
      <x:c r="G1615" s="48" t="n">
        <x:v>0.019358220106705543</x:v>
      </x:c>
      <x:c r="H1615" s="48" t="n">
        <x:v>0.9304915047996194</x:v>
      </x:c>
      <x:c r="I1615" s="48" t="n">
        <x:v>0.7498771727581409</x:v>
      </x:c>
      <x:c r="J1615" s="48" t="n">
        <x:v>0.7306220654734465</x:v>
      </x:c>
      <x:c r="K1615" s="48" t="n">
        <x:v>0.5762539412309957</x:v>
      </x:c>
      <x:c r="L1615" s="48" t="n">
        <x:v>0.7766058964442901</x:v>
      </x:c>
      <x:c r="M1615" s="48" t="n">
        <x:v>0.0166401451123703</x:v>
      </x:c>
      <x:c r="N1615" s="48" t="n">
        <x:v>0.8763895605722098</x:v>
      </x:c>
      <x:c r="O1615" s="48" t="n">
        <x:v>0.9931105508036941</x:v>
      </x:c>
      <x:c r="P1615" s="48" t="n">
        <x:v>0.9461032200112739</x:v>
      </x:c>
      <x:c r="Q1615" s="48" t="n">
        <x:v>1</x:v>
      </x:c>
      <x:c r="R1615" s="48" t="n">
        <x:v>0.9914926115861072</x:v>
      </x:c>
      <x:c r="S1615" s="29" t="n">
        <x:v>0</x:v>
      </x:c>
    </x:row>
    <x:row r="1616" ht="21.600000381469727" hidden="0" customHeight="1">
      <x:c r="A1616" s="27" t="n">
        <x:v>538</x:v>
      </x:c>
      <x:c r="B1616" s="27" t="str">
        <x:v>A1</x:v>
      </x:c>
      <x:c r="C1616" s="47" t="n">
        <x:v>1.2202491122884143</x:v>
      </x:c>
      <x:c r="D1616" s="47" t="n">
        <x:v>0.8657616562231469</x:v>
      </x:c>
      <x:c r="E1616" s="47" t="n">
        <x:v>0.5295555739522897</x:v>
      </x:c>
      <x:c r="F1616" s="47" t="n">
        <x:v>-0.058888294246216305</x:v>
      </x:c>
      <x:c r="G1616" s="47" t="n">
        <x:v>0.022747891132821663</x:v>
      </x:c>
      <x:c r="H1616" s="47" t="n">
        <x:v>1.0483382922441449</x:v>
      </x:c>
      <x:c r="I1616" s="47" t="n">
        <x:v>0.8917150287353202</x:v>
      </x:c>
      <x:c r="J1616" s="47" t="n">
        <x:v>0.4270827316688166</x:v>
      </x:c>
      <x:c r="K1616" s="47" t="n">
        <x:v>0.6008709743653083</x:v>
      </x:c>
      <x:c r="L1616" s="47" t="n">
        <x:v>0.664531471447565</x:v>
      </x:c>
      <x:c r="M1616" s="47" t="n">
        <x:v>0.06087570413332035</x:v>
      </x:c>
      <x:c r="N1616" s="47" t="n">
        <x:v>0.9073555093945684</x:v>
      </x:c>
      <x:c r="O1616" s="47" t="n">
        <x:v>0.7754940402952752</x:v>
      </x:c>
      <x:c r="P1616" s="47" t="n">
        <x:v>0.5145118707624654</x:v>
      </x:c>
      <x:c r="Q1616" s="47" t="n">
        <x:v>0.9470400337886273</x:v>
      </x:c>
      <x:c r="R1616" s="47" t="n">
        <x:v>0.7231637033364743</x:v>
      </x:c>
      <x:c r="S1616" s="27" t="n">
        <x:v>0</x:v>
      </x:c>
    </x:row>
    <x:row r="1617" ht="21.600000381469727" hidden="0" customHeight="1">
      <x:c r="A1617" s="29" t="n">
        <x:v>538</x:v>
      </x:c>
      <x:c r="B1617" s="29" t="str">
        <x:v>A2</x:v>
      </x:c>
      <x:c r="C1617" s="48" t="n">
        <x:v>1.2202491122884143</x:v>
      </x:c>
      <x:c r="D1617" s="48" t="n">
        <x:v>0.8657616562231469</x:v>
      </x:c>
      <x:c r="E1617" s="48" t="n">
        <x:v>0.5295555739522897</x:v>
      </x:c>
      <x:c r="F1617" s="48" t="n">
        <x:v>-0.058888294246216305</x:v>
      </x:c>
      <x:c r="G1617" s="48" t="n">
        <x:v>0.022747891132821663</x:v>
      </x:c>
      <x:c r="H1617" s="48" t="n">
        <x:v>1.0483382922441449</x:v>
      </x:c>
      <x:c r="I1617" s="48" t="n">
        <x:v>0.8917150287353202</x:v>
      </x:c>
      <x:c r="J1617" s="48" t="n">
        <x:v>0.4270827316688166</x:v>
      </x:c>
      <x:c r="K1617" s="48" t="n">
        <x:v>0.6008709743653083</x:v>
      </x:c>
      <x:c r="L1617" s="48" t="n">
        <x:v>0.664531471447565</x:v>
      </x:c>
      <x:c r="M1617" s="48" t="n">
        <x:v>0.06087570413332035</x:v>
      </x:c>
      <x:c r="N1617" s="48" t="n">
        <x:v>0.9073555093945684</x:v>
      </x:c>
      <x:c r="O1617" s="48" t="n">
        <x:v>0.8462007665056193</x:v>
      </x:c>
      <x:c r="P1617" s="48" t="n">
        <x:v>0.6366767622666084</x:v>
      </x:c>
      <x:c r="Q1617" s="48" t="n">
        <x:v>1</x:v>
      </x:c>
      <x:c r="R1617" s="48" t="n">
        <x:v>0.8100820864174021</x:v>
      </x:c>
      <x:c r="S1617" s="29" t="n">
        <x:v>0</x:v>
      </x:c>
    </x:row>
    <x:row r="1618" ht="21.600000381469727" hidden="0" customHeight="1">
      <x:c r="A1618" s="27" t="n">
        <x:v>538</x:v>
      </x:c>
      <x:c r="B1618" s="27" t="str">
        <x:v>A3</x:v>
      </x:c>
      <x:c r="C1618" s="47" t="n">
        <x:v>1.2202491122884143</x:v>
      </x:c>
      <x:c r="D1618" s="47" t="n">
        <x:v>0.8657616562231469</x:v>
      </x:c>
      <x:c r="E1618" s="47" t="n">
        <x:v>0.5295555739522897</x:v>
      </x:c>
      <x:c r="F1618" s="47" t="n">
        <x:v>-0.058888294246216305</x:v>
      </x:c>
      <x:c r="G1618" s="47" t="n">
        <x:v>0.022747891132821663</x:v>
      </x:c>
      <x:c r="H1618" s="47" t="n">
        <x:v>1.0483382922441449</x:v>
      </x:c>
      <x:c r="I1618" s="47" t="n">
        <x:v>0.8917150287353202</x:v>
      </x:c>
      <x:c r="J1618" s="47" t="n">
        <x:v>0.4270827316688166</x:v>
      </x:c>
      <x:c r="K1618" s="47" t="n">
        <x:v>0.6008709743653083</x:v>
      </x:c>
      <x:c r="L1618" s="47" t="n">
        <x:v>0.664531471447565</x:v>
      </x:c>
      <x:c r="M1618" s="47" t="n">
        <x:v>0.06087570413332035</x:v>
      </x:c>
      <x:c r="N1618" s="47" t="n">
        <x:v>0.9073555093945684</x:v>
      </x:c>
      <x:c r="O1618" s="47" t="n">
        <x:v>1</x:v>
      </x:c>
      <x:c r="P1618" s="47" t="n">
        <x:v>1</x:v>
      </x:c>
      <x:c r="Q1618" s="47" t="n">
        <x:v>1</x:v>
      </x:c>
      <x:c r="R1618" s="47" t="n">
        <x:v>1</x:v>
      </x:c>
      <x:c r="S1618" s="27" t="n">
        <x:v>1</x:v>
      </x:c>
    </x:row>
    <x:row r="1619" ht="21.600000381469727" hidden="0" customHeight="1">
      <x:c r="A1619" s="29" t="n">
        <x:v>539</x:v>
      </x:c>
      <x:c r="B1619" s="29" t="str">
        <x:v>A1</x:v>
      </x:c>
      <x:c r="C1619" s="48" t="n">
        <x:v>1.266520086776163</x:v>
      </x:c>
      <x:c r="D1619" s="48" t="n">
        <x:v>0.9438235729559613</x:v>
      </x:c>
      <x:c r="E1619" s="48" t="n">
        <x:v>0.9456959777725182</x:v>
      </x:c>
      <x:c r="F1619" s="48" t="n">
        <x:v>-0.06066630306300255</x:v>
      </x:c>
      <x:c r="G1619" s="48" t="n">
        <x:v>-0.11615603951438784</x:v>
      </x:c>
      <x:c r="H1619" s="48" t="n">
        <x:v>0.8806459105706619</x:v>
      </x:c>
      <x:c r="I1619" s="48" t="n">
        <x:v>0.9964319003616174</x:v>
      </x:c>
      <x:c r="J1619" s="48" t="n">
        <x:v>0.5904683212025611</x:v>
      </x:c>
      <x:c r="K1619" s="48" t="n">
        <x:v>0.626739361691345</x:v>
      </x:c>
      <x:c r="L1619" s="48" t="n">
        <x:v>0.7202194264042296</x:v>
      </x:c>
      <x:c r="M1619" s="48" t="n">
        <x:v>0.04469073533954946</x:v>
      </x:c>
      <x:c r="N1619" s="48" t="n">
        <x:v>0.7388595661801363</x:v>
      </x:c>
      <x:c r="O1619" s="48" t="n">
        <x:v>0.8362293224391365</x:v>
      </x:c>
      <x:c r="P1619" s="48" t="n">
        <x:v>0.48737179791290863</x:v>
      </x:c>
      <x:c r="Q1619" s="48" t="n">
        <x:v>1</x:v>
      </x:c>
      <x:c r="R1619" s="48" t="n">
        <x:v>0.7977689180778397</x:v>
      </x:c>
      <x:c r="S1619" s="29" t="n">
        <x:v>0</x:v>
      </x:c>
    </x:row>
    <x:row r="1620" ht="21.600000381469727" hidden="0" customHeight="1">
      <x:c r="A1620" s="27" t="n">
        <x:v>539</x:v>
      </x:c>
      <x:c r="B1620" s="27" t="str">
        <x:v>A2</x:v>
      </x:c>
      <x:c r="C1620" s="47" t="n">
        <x:v>1.266520086776163</x:v>
      </x:c>
      <x:c r="D1620" s="47" t="n">
        <x:v>0.9438235729559613</x:v>
      </x:c>
      <x:c r="E1620" s="47" t="n">
        <x:v>0.9456959777725182</x:v>
      </x:c>
      <x:c r="F1620" s="47" t="n">
        <x:v>-0.06066630306300255</x:v>
      </x:c>
      <x:c r="G1620" s="47" t="n">
        <x:v>-0.11615603951438784</x:v>
      </x:c>
      <x:c r="H1620" s="47" t="n">
        <x:v>0.8806459105706619</x:v>
      </x:c>
      <x:c r="I1620" s="47" t="n">
        <x:v>0.9964319003616174</x:v>
      </x:c>
      <x:c r="J1620" s="47" t="n">
        <x:v>0.5904683212025611</x:v>
      </x:c>
      <x:c r="K1620" s="47" t="n">
        <x:v>0.626739361691345</x:v>
      </x:c>
      <x:c r="L1620" s="47" t="n">
        <x:v>0.7202194264042296</x:v>
      </x:c>
      <x:c r="M1620" s="47" t="n">
        <x:v>0.04469073533954946</x:v>
      </x:c>
      <x:c r="N1620" s="47" t="n">
        <x:v>0.7388595661801363</x:v>
      </x:c>
      <x:c r="O1620" s="47" t="n">
        <x:v>0.9553843532921606</x:v>
      </x:c>
      <x:c r="P1620" s="47" t="n">
        <x:v>0.7518247714487734</x:v>
      </x:c>
      <x:c r="Q1620" s="47" t="n">
        <x:v>1</x:v>
      </x:c>
      <x:c r="R1620" s="47" t="n">
        <x:v>0.9449066790297058</x:v>
      </x:c>
      <x:c r="S1620" s="27" t="n">
        <x:v>0</x:v>
      </x:c>
    </x:row>
    <x:row r="1621" ht="21.600000381469727" hidden="0" customHeight="1">
      <x:c r="A1621" s="29" t="n">
        <x:v>539</x:v>
      </x:c>
      <x:c r="B1621" s="29" t="str">
        <x:v>A3</x:v>
      </x:c>
      <x:c r="C1621" s="48" t="n">
        <x:v>1.266520086776163</x:v>
      </x:c>
      <x:c r="D1621" s="48" t="n">
        <x:v>0.9438235729559613</x:v>
      </x:c>
      <x:c r="E1621" s="48" t="n">
        <x:v>0.9456959777725182</x:v>
      </x:c>
      <x:c r="F1621" s="48" t="n">
        <x:v>-0.06066630306300255</x:v>
      </x:c>
      <x:c r="G1621" s="48" t="n">
        <x:v>-0.11615603951438784</x:v>
      </x:c>
      <x:c r="H1621" s="48" t="n">
        <x:v>0.8806459105706619</x:v>
      </x:c>
      <x:c r="I1621" s="48" t="n">
        <x:v>0.9964319003616174</x:v>
      </x:c>
      <x:c r="J1621" s="48" t="n">
        <x:v>0.5904683212025611</x:v>
      </x:c>
      <x:c r="K1621" s="48" t="n">
        <x:v>0.626739361691345</x:v>
      </x:c>
      <x:c r="L1621" s="48" t="n">
        <x:v>0.7202194264042296</x:v>
      </x:c>
      <x:c r="M1621" s="48" t="n">
        <x:v>0.04469073533954946</x:v>
      </x:c>
      <x:c r="N1621" s="48" t="n">
        <x:v>0.7388595661801363</x:v>
      </x:c>
      <x:c r="O1621" s="48" t="n">
        <x:v>1</x:v>
      </x:c>
      <x:c r="P1621" s="48" t="n">
        <x:v>1</x:v>
      </x:c>
      <x:c r="Q1621" s="48" t="n">
        <x:v>1</x:v>
      </x:c>
      <x:c r="R1621" s="48" t="n">
        <x:v>1</x:v>
      </x:c>
      <x:c r="S1621" s="29" t="n">
        <x:v>1</x:v>
      </x:c>
    </x:row>
    <x:row r="1622" ht="21.600000381469727" hidden="0" customHeight="1">
      <x:c r="A1622" s="27" t="n">
        <x:v>540</x:v>
      </x:c>
      <x:c r="B1622" s="27" t="str">
        <x:v>A1</x:v>
      </x:c>
      <x:c r="C1622" s="47" t="n">
        <x:v>1.1100638788669657</x:v>
      </x:c>
      <x:c r="D1622" s="47" t="n">
        <x:v>0.7429329556218744</x:v>
      </x:c>
      <x:c r="E1622" s="47" t="n">
        <x:v>1.0383357892022005</x:v>
      </x:c>
      <x:c r="F1622" s="47" t="n">
        <x:v>-0.1636392179564325</x:v>
      </x:c>
      <x:c r="G1622" s="47" t="n">
        <x:v>0.02351381446236539</x:v>
      </x:c>
      <x:c r="H1622" s="47" t="n">
        <x:v>1.0220781366354197</x:v>
      </x:c>
      <x:c r="I1622" s="47" t="n">
        <x:v>0.9213231320795283</x:v>
      </x:c>
      <x:c r="J1622" s="47" t="n">
        <x:v>0.771947688487514</x:v>
      </x:c>
      <x:c r="K1622" s="47" t="n">
        <x:v>0.6013992831925942</x:v>
      </x:c>
      <x:c r="L1622" s="47" t="n">
        <x:v>0.5694114903192021</x:v>
      </x:c>
      <x:c r="M1622" s="47" t="n">
        <x:v>0.13073589082289505</x:v>
      </x:c>
      <x:c r="N1622" s="47" t="n">
        <x:v>0.8879574975919348</x:v>
      </x:c>
      <x:c r="O1622" s="47" t="n">
        <x:v>0.7709436924112812</x:v>
      </x:c>
      <x:c r="P1622" s="47" t="n">
        <x:v>0.49071810684256295</x:v>
      </x:c>
      <x:c r="Q1622" s="47" t="n">
        <x:v>1</x:v>
      </x:c>
      <x:c r="R1622" s="47" t="n">
        <x:v>0.7171514119946985</x:v>
      </x:c>
      <x:c r="S1622" s="27" t="n">
        <x:v>0</x:v>
      </x:c>
    </x:row>
    <x:row r="1623" ht="21.600000381469727" hidden="0" customHeight="1">
      <x:c r="A1623" s="29" t="n">
        <x:v>540</x:v>
      </x:c>
      <x:c r="B1623" s="29" t="str">
        <x:v>A2</x:v>
      </x:c>
      <x:c r="C1623" s="48" t="n">
        <x:v>1.1100638788669657</x:v>
      </x:c>
      <x:c r="D1623" s="48" t="n">
        <x:v>0.7429329556218744</x:v>
      </x:c>
      <x:c r="E1623" s="48" t="n">
        <x:v>1.0383357892022005</x:v>
      </x:c>
      <x:c r="F1623" s="48" t="n">
        <x:v>-0.1636392179564325</x:v>
      </x:c>
      <x:c r="G1623" s="48" t="n">
        <x:v>0.02351381446236539</x:v>
      </x:c>
      <x:c r="H1623" s="48" t="n">
        <x:v>1.0220781366354197</x:v>
      </x:c>
      <x:c r="I1623" s="48" t="n">
        <x:v>0.9213231320795283</x:v>
      </x:c>
      <x:c r="J1623" s="48" t="n">
        <x:v>0.771947688487514</x:v>
      </x:c>
      <x:c r="K1623" s="48" t="n">
        <x:v>0.6013992831925942</x:v>
      </x:c>
      <x:c r="L1623" s="48" t="n">
        <x:v>0.5694114903192021</x:v>
      </x:c>
      <x:c r="M1623" s="48" t="n">
        <x:v>0.13073589082289505</x:v>
      </x:c>
      <x:c r="N1623" s="48" t="n">
        <x:v>0.8879574975919348</x:v>
      </x:c>
      <x:c r="O1623" s="48" t="n">
        <x:v>0.8570276170874362</x:v>
      </x:c>
      <x:c r="P1623" s="48" t="n">
        <x:v>0.5675274855689627</x:v>
      </x:c>
      <x:c r="Q1623" s="48" t="n">
        <x:v>1</x:v>
      </x:c>
      <x:c r="R1623" s="48" t="n">
        <x:v>0.8234515475418253</x:v>
      </x:c>
      <x:c r="S1623" s="29" t="n">
        <x:v>0</x:v>
      </x:c>
    </x:row>
    <x:row r="1624" ht="21.600000381469727" hidden="0" customHeight="1">
      <x:c r="A1624" s="27" t="n">
        <x:v>540</x:v>
      </x:c>
      <x:c r="B1624" s="27" t="str">
        <x:v>A3</x:v>
      </x:c>
      <x:c r="C1624" s="47" t="n">
        <x:v>1.1100638788669657</x:v>
      </x:c>
      <x:c r="D1624" s="47" t="n">
        <x:v>0.7429329556218744</x:v>
      </x:c>
      <x:c r="E1624" s="47" t="n">
        <x:v>1.0383357892022005</x:v>
      </x:c>
      <x:c r="F1624" s="47" t="n">
        <x:v>-0.1636392179564325</x:v>
      </x:c>
      <x:c r="G1624" s="47" t="n">
        <x:v>0.02351381446236539</x:v>
      </x:c>
      <x:c r="H1624" s="47" t="n">
        <x:v>1.0220781366354197</x:v>
      </x:c>
      <x:c r="I1624" s="47" t="n">
        <x:v>0.9213231320795283</x:v>
      </x:c>
      <x:c r="J1624" s="47" t="n">
        <x:v>0.771947688487514</x:v>
      </x:c>
      <x:c r="K1624" s="47" t="n">
        <x:v>0.6013992831925942</x:v>
      </x:c>
      <x:c r="L1624" s="47" t="n">
        <x:v>0.5694114903192021</x:v>
      </x:c>
      <x:c r="M1624" s="47" t="n">
        <x:v>0.13073589082289505</x:v>
      </x:c>
      <x:c r="N1624" s="47" t="n">
        <x:v>0.8879574975919348</x:v>
      </x:c>
      <x:c r="O1624" s="47" t="n">
        <x:v>1</x:v>
      </x:c>
      <x:c r="P1624" s="47" t="n">
        <x:v>1</x:v>
      </x:c>
      <x:c r="Q1624" s="47" t="n">
        <x:v>1</x:v>
      </x:c>
      <x:c r="R1624" s="47" t="n">
        <x:v>1.0000000000000002</x:v>
      </x:c>
      <x:c r="S1624" s="27" t="n">
        <x:v>1</x:v>
      </x:c>
    </x:row>
    <x:row r="1625" ht="21.600000381469727" hidden="0" customHeight="1">
      <x:c r="A1625" s="29" t="n">
        <x:v>541</x:v>
      </x:c>
      <x:c r="B1625" s="29" t="str">
        <x:v>A1</x:v>
      </x:c>
      <x:c r="C1625" s="48" t="n">
        <x:v>0.9585798276603744</x:v>
      </x:c>
      <x:c r="D1625" s="48" t="n">
        <x:v>0.7334209980839177</x:v>
      </x:c>
      <x:c r="E1625" s="48" t="n">
        <x:v>0.9043618958924762</x:v>
      </x:c>
      <x:c r="F1625" s="48" t="n">
        <x:v>0.03574124506704343</x:v>
      </x:c>
      <x:c r="G1625" s="48" t="n">
        <x:v>-0.01713049679510123</x:v>
      </x:c>
      <x:c r="H1625" s="48" t="n">
        <x:v>0.6783833186790578</x:v>
      </x:c>
      <x:c r="I1625" s="48" t="n">
        <x:v>0.8209642520533005</x:v>
      </x:c>
      <x:c r="J1625" s="48" t="n">
        <x:v>0.9793433460606482</x:v>
      </x:c>
      <x:c r="K1625" s="48" t="n">
        <x:v>0.9040327822332443</x:v>
      </x:c>
      <x:c r="L1625" s="48" t="n">
        <x:v>0.5414288775698097</x:v>
      </x:c>
      <x:c r="M1625" s="48" t="n">
        <x:v>0.11381222739136576</x:v>
      </x:c>
      <x:c r="N1625" s="48" t="n">
        <x:v>0.6699091761159575</x:v>
      </x:c>
      <x:c r="O1625" s="48" t="n">
        <x:v>0.8594404274467871</x:v>
      </x:c>
      <x:c r="P1625" s="48" t="n">
        <x:v>0.5760054503364083</x:v>
      </x:c>
      <x:c r="Q1625" s="48" t="n">
        <x:v>1</x:v>
      </x:c>
      <x:c r="R1625" s="48" t="n">
        <x:v>0.8264309896294554</x:v>
      </x:c>
      <x:c r="S1625" s="29" t="n">
        <x:v>0</x:v>
      </x:c>
    </x:row>
    <x:row r="1626" ht="21.600000381469727" hidden="0" customHeight="1">
      <x:c r="A1626" s="27" t="n">
        <x:v>541</x:v>
      </x:c>
      <x:c r="B1626" s="27" t="str">
        <x:v>A2</x:v>
      </x:c>
      <x:c r="C1626" s="47" t="n">
        <x:v>0.9585798276603744</x:v>
      </x:c>
      <x:c r="D1626" s="47" t="n">
        <x:v>0.7334209980839177</x:v>
      </x:c>
      <x:c r="E1626" s="47" t="n">
        <x:v>0.9043618958924762</x:v>
      </x:c>
      <x:c r="F1626" s="47" t="n">
        <x:v>0.03574124506704343</x:v>
      </x:c>
      <x:c r="G1626" s="47" t="n">
        <x:v>-0.01713049679510123</x:v>
      </x:c>
      <x:c r="H1626" s="47" t="n">
        <x:v>0.6783833186790578</x:v>
      </x:c>
      <x:c r="I1626" s="47" t="n">
        <x:v>0.8209642520533005</x:v>
      </x:c>
      <x:c r="J1626" s="47" t="n">
        <x:v>0.9793433460606482</x:v>
      </x:c>
      <x:c r="K1626" s="47" t="n">
        <x:v>0.9040327822332443</x:v>
      </x:c>
      <x:c r="L1626" s="47" t="n">
        <x:v>0.5414288775698097</x:v>
      </x:c>
      <x:c r="M1626" s="47" t="n">
        <x:v>0.11381222739136576</x:v>
      </x:c>
      <x:c r="N1626" s="47" t="n">
        <x:v>0.6699091761159575</x:v>
      </x:c>
      <x:c r="O1626" s="47" t="n">
        <x:v>0.9657897783016551</x:v>
      </x:c>
      <x:c r="P1626" s="47" t="n">
        <x:v>0.7071381242962672</x:v>
      </x:c>
      <x:c r="Q1626" s="47" t="n">
        <x:v>1</x:v>
      </x:c>
      <x:c r="R1626" s="47" t="n">
        <x:v>0.957755745717776</x:v>
      </x:c>
      <x:c r="S1626" s="27" t="n">
        <x:v>0</x:v>
      </x:c>
    </x:row>
    <x:row r="1627" ht="21.600000381469727" hidden="0" customHeight="1">
      <x:c r="A1627" s="29" t="n">
        <x:v>541</x:v>
      </x:c>
      <x:c r="B1627" s="29" t="str">
        <x:v>A3</x:v>
      </x:c>
      <x:c r="C1627" s="48" t="n">
        <x:v>0.9585798276603744</x:v>
      </x:c>
      <x:c r="D1627" s="48" t="n">
        <x:v>0.7334209980839177</x:v>
      </x:c>
      <x:c r="E1627" s="48" t="n">
        <x:v>0.9043618958924762</x:v>
      </x:c>
      <x:c r="F1627" s="48" t="n">
        <x:v>0.03574124506704343</x:v>
      </x:c>
      <x:c r="G1627" s="48" t="n">
        <x:v>-0.01713049679510123</x:v>
      </x:c>
      <x:c r="H1627" s="48" t="n">
        <x:v>0.6783833186790578</x:v>
      </x:c>
      <x:c r="I1627" s="48" t="n">
        <x:v>0.8209642520533005</x:v>
      </x:c>
      <x:c r="J1627" s="48" t="n">
        <x:v>0.9793433460606482</x:v>
      </x:c>
      <x:c r="K1627" s="48" t="n">
        <x:v>0.9040327822332443</x:v>
      </x:c>
      <x:c r="L1627" s="48" t="n">
        <x:v>0.5414288775698097</x:v>
      </x:c>
      <x:c r="M1627" s="48" t="n">
        <x:v>0.11381222739136576</x:v>
      </x:c>
      <x:c r="N1627" s="48" t="n">
        <x:v>0.6699091761159575</x:v>
      </x:c>
      <x:c r="O1627" s="48" t="n">
        <x:v>1</x:v>
      </x:c>
      <x:c r="P1627" s="48" t="n">
        <x:v>1</x:v>
      </x:c>
      <x:c r="Q1627" s="48" t="n">
        <x:v>1</x:v>
      </x:c>
      <x:c r="R1627" s="48" t="n">
        <x:v>1</x:v>
      </x:c>
      <x:c r="S1627" s="29" t="n">
        <x:v>1</x:v>
      </x:c>
    </x:row>
    <x:row r="1628" ht="15" hidden="0" customHeight="1">
      <x:c r="A1628" s="27" t="n">
        <x:v>542</x:v>
      </x:c>
      <x:c r="B1628" s="27" t="str">
        <x:v>A1</x:v>
      </x:c>
      <x:c r="C1628" s="47" t="n">
        <x:v>1.0041745074792</x:v>
      </x:c>
      <x:c r="D1628" s="47" t="n">
        <x:v>0.9692773644180649</x:v>
      </x:c>
      <x:c r="E1628" s="47" t="n">
        <x:v>0.466958082562572</x:v>
      </x:c>
      <x:c r="F1628" s="47" t="n">
        <x:v>0.00014158725753657397</x:v>
      </x:c>
      <x:c r="G1628" s="47" t="n">
        <x:v>-0.09173323954019302</x:v>
      </x:c>
      <x:c r="H1628" s="47" t="n">
        <x:v>1.005046005072433</x:v>
      </x:c>
      <x:c r="I1628" s="47" t="n">
        <x:v>0.9255590575995422</x:v>
      </x:c>
      <x:c r="J1628" s="47" t="n">
        <x:v>0.6920994099116551</x:v>
      </x:c>
      <x:c r="K1628" s="47" t="n">
        <x:v>0.775031434928126</x:v>
      </x:c>
      <x:c r="L1628" s="47" t="n">
        <x:v>0.6530671012832863</x:v>
      </x:c>
      <x:c r="M1628" s="47" t="n">
        <x:v>0.11803904603099873</x:v>
      </x:c>
      <x:c r="N1628" s="47" t="n">
        <x:v>0.8402785304678673</x:v>
      </x:c>
      <x:c r="O1628" s="47" t="n">
        <x:v>0.9266333257153802</x:v>
      </x:c>
      <x:c r="P1628" s="47" t="n">
        <x:v>0.7370087183311804</x:v>
      </x:c>
      <x:c r="Q1628" s="47" t="n">
        <x:v>1</x:v>
      </x:c>
      <x:c r="R1628" s="47" t="n">
        <x:v>0.9094036726318397</x:v>
      </x:c>
      <x:c r="S1628" s="27" t="n">
        <x:v>0</x:v>
      </x:c>
    </x:row>
    <x:row r="1629" ht="15" hidden="0" customHeight="1">
      <x:c r="A1629" s="29" t="n">
        <x:v>542</x:v>
      </x:c>
      <x:c r="B1629" s="29" t="str">
        <x:v>A2</x:v>
      </x:c>
      <x:c r="C1629" s="48" t="n">
        <x:v>1.0041745074792</x:v>
      </x:c>
      <x:c r="D1629" s="48" t="n">
        <x:v>0.9692773644180649</x:v>
      </x:c>
      <x:c r="E1629" s="48" t="n">
        <x:v>0.466958082562572</x:v>
      </x:c>
      <x:c r="F1629" s="48" t="n">
        <x:v>0.00014158725753657397</x:v>
      </x:c>
      <x:c r="G1629" s="48" t="n">
        <x:v>-0.09173323954019302</x:v>
      </x:c>
      <x:c r="H1629" s="48" t="n">
        <x:v>1.005046005072433</x:v>
      </x:c>
      <x:c r="I1629" s="48" t="n">
        <x:v>0.9255590575995422</x:v>
      </x:c>
      <x:c r="J1629" s="48" t="n">
        <x:v>0.6920994099116551</x:v>
      </x:c>
      <x:c r="K1629" s="48" t="n">
        <x:v>0.775031434928126</x:v>
      </x:c>
      <x:c r="L1629" s="48" t="n">
        <x:v>0.6530671012832863</x:v>
      </x:c>
      <x:c r="M1629" s="48" t="n">
        <x:v>0.11803904603099873</x:v>
      </x:c>
      <x:c r="N1629" s="48" t="n">
        <x:v>0.8402785304678673</x:v>
      </x:c>
      <x:c r="O1629" s="48" t="n">
        <x:v>0.987136493449606</x:v>
      </x:c>
      <x:c r="P1629" s="48" t="n">
        <x:v>0.8713649344960592</x:v>
      </x:c>
      <x:c r="Q1629" s="48" t="n">
        <x:v>1</x:v>
      </x:c>
      <x:c r="R1629" s="48" t="n">
        <x:v>0.9841155884206915</x:v>
      </x:c>
      <x:c r="S1629" s="29" t="n">
        <x:v>0</x:v>
      </x:c>
    </x:row>
    <x:row r="1630" ht="15" hidden="0" customHeight="1">
      <x:c r="A1630" s="27" t="n">
        <x:v>542</x:v>
      </x:c>
      <x:c r="B1630" s="27" t="str">
        <x:v>A3</x:v>
      </x:c>
      <x:c r="C1630" s="47" t="n">
        <x:v>1.0041745074792</x:v>
      </x:c>
      <x:c r="D1630" s="47" t="n">
        <x:v>0.9692773644180649</x:v>
      </x:c>
      <x:c r="E1630" s="47" t="n">
        <x:v>0.466958082562572</x:v>
      </x:c>
      <x:c r="F1630" s="47" t="n">
        <x:v>0.00014158725753657397</x:v>
      </x:c>
      <x:c r="G1630" s="47" t="n">
        <x:v>-0.09173323954019302</x:v>
      </x:c>
      <x:c r="H1630" s="47" t="n">
        <x:v>1.005046005072433</x:v>
      </x:c>
      <x:c r="I1630" s="47" t="n">
        <x:v>0.9255590575995422</x:v>
      </x:c>
      <x:c r="J1630" s="47" t="n">
        <x:v>0.6920994099116551</x:v>
      </x:c>
      <x:c r="K1630" s="47" t="n">
        <x:v>0.775031434928126</x:v>
      </x:c>
      <x:c r="L1630" s="47" t="n">
        <x:v>0.6530671012832863</x:v>
      </x:c>
      <x:c r="M1630" s="47" t="n">
        <x:v>0.11803904603099873</x:v>
      </x:c>
      <x:c r="N1630" s="47" t="n">
        <x:v>0.8402785304678673</x:v>
      </x:c>
      <x:c r="O1630" s="47" t="n">
        <x:v>1</x:v>
      </x:c>
      <x:c r="P1630" s="47" t="n">
        <x:v>1</x:v>
      </x:c>
      <x:c r="Q1630" s="47" t="n">
        <x:v>1</x:v>
      </x:c>
      <x:c r="R1630" s="47" t="n">
        <x:v>1</x:v>
      </x:c>
      <x:c r="S1630" s="27" t="n">
        <x:v>1</x:v>
      </x:c>
    </x:row>
    <x:row r="1631" ht="21.600000381469727" hidden="0" customHeight="1">
      <x:c r="A1631" s="29" t="n">
        <x:v>543</x:v>
      </x:c>
      <x:c r="B1631" s="29" t="str">
        <x:v>A1</x:v>
      </x:c>
      <x:c r="C1631" s="48" t="n">
        <x:v>1.0045113140961552</x:v>
      </x:c>
      <x:c r="D1631" s="48" t="n">
        <x:v>0.9657371134146626</x:v>
      </x:c>
      <x:c r="E1631" s="48" t="n">
        <x:v>0.9508209912235748</x:v>
      </x:c>
      <x:c r="F1631" s="48" t="n">
        <x:v>-0.15114189769668443</x:v>
      </x:c>
      <x:c r="G1631" s="48" t="n">
        <x:v>-0.18476248232936154</x:v>
      </x:c>
      <x:c r="H1631" s="48" t="n">
        <x:v>0.8581895916959781</x:v>
      </x:c>
      <x:c r="I1631" s="48" t="n">
        <x:v>0.8830975487735528</x:v>
      </x:c>
      <x:c r="J1631" s="48" t="n">
        <x:v>0.8352476749602229</x:v>
      </x:c>
      <x:c r="K1631" s="48" t="n">
        <x:v>0.9565471843808555</x:v>
      </x:c>
      <x:c r="L1631" s="48" t="n">
        <x:v>0.7074010425890509</x:v>
      </x:c>
      <x:c r="M1631" s="48" t="n">
        <x:v>0.10765744506357568</x:v>
      </x:c>
      <x:c r="N1631" s="48" t="n">
        <x:v>0.8214535137855216</x:v>
      </x:c>
      <x:c r="O1631" s="48" t="n">
        <x:v>0.9372481150329833</x:v>
      </x:c>
      <x:c r="P1631" s="48" t="n">
        <x:v>0.571592456674682</x:v>
      </x:c>
      <x:c r="Q1631" s="48" t="n">
        <x:v>1</x:v>
      </x:c>
      <x:c r="R1631" s="48" t="n">
        <x:v>0.9225112713793437</x:v>
      </x:c>
      <x:c r="S1631" s="29" t="n">
        <x:v>0</x:v>
      </x:c>
    </x:row>
    <x:row r="1632" ht="21.600000381469727" hidden="0" customHeight="1">
      <x:c r="A1632" s="27" t="n">
        <x:v>543</x:v>
      </x:c>
      <x:c r="B1632" s="27" t="str">
        <x:v>A2</x:v>
      </x:c>
      <x:c r="C1632" s="47" t="n">
        <x:v>1.0045113140961552</x:v>
      </x:c>
      <x:c r="D1632" s="47" t="n">
        <x:v>0.9657371134146626</x:v>
      </x:c>
      <x:c r="E1632" s="47" t="n">
        <x:v>0.9508209912235748</x:v>
      </x:c>
      <x:c r="F1632" s="47" t="n">
        <x:v>-0.15114189769668443</x:v>
      </x:c>
      <x:c r="G1632" s="47" t="n">
        <x:v>-0.18476248232936154</x:v>
      </x:c>
      <x:c r="H1632" s="47" t="n">
        <x:v>0.8581895916959781</x:v>
      </x:c>
      <x:c r="I1632" s="47" t="n">
        <x:v>0.8830975487735528</x:v>
      </x:c>
      <x:c r="J1632" s="47" t="n">
        <x:v>0.8352476749602229</x:v>
      </x:c>
      <x:c r="K1632" s="47" t="n">
        <x:v>0.9565471843808555</x:v>
      </x:c>
      <x:c r="L1632" s="47" t="n">
        <x:v>0.7074010425890509</x:v>
      </x:c>
      <x:c r="M1632" s="47" t="n">
        <x:v>0.10765744506357568</x:v>
      </x:c>
      <x:c r="N1632" s="47" t="n">
        <x:v>0.8214535137855216</x:v>
      </x:c>
      <x:c r="O1632" s="47" t="n">
        <x:v>0.9839479822596005</x:v>
      </x:c>
      <x:c r="P1632" s="47" t="n">
        <x:v>0.8567243015342657</x:v>
      </x:c>
      <x:c r="Q1632" s="47" t="n">
        <x:v>1</x:v>
      </x:c>
      <x:c r="R1632" s="47" t="n">
        <x:v>0.980178277558458</x:v>
      </x:c>
      <x:c r="S1632" s="27" t="n">
        <x:v>0</x:v>
      </x:c>
    </x:row>
    <x:row r="1633" ht="21.600000381469727" hidden="0" customHeight="1">
      <x:c r="A1633" s="29" t="n">
        <x:v>543</x:v>
      </x:c>
      <x:c r="B1633" s="29" t="str">
        <x:v>A3</x:v>
      </x:c>
      <x:c r="C1633" s="48" t="n">
        <x:v>1.0045113140961552</x:v>
      </x:c>
      <x:c r="D1633" s="48" t="n">
        <x:v>0.9657371134146626</x:v>
      </x:c>
      <x:c r="E1633" s="48" t="n">
        <x:v>0.9508209912235748</x:v>
      </x:c>
      <x:c r="F1633" s="48" t="n">
        <x:v>-0.15114189769668443</x:v>
      </x:c>
      <x:c r="G1633" s="48" t="n">
        <x:v>-0.18476248232936154</x:v>
      </x:c>
      <x:c r="H1633" s="48" t="n">
        <x:v>0.8581895916959781</x:v>
      </x:c>
      <x:c r="I1633" s="48" t="n">
        <x:v>0.8830975487735528</x:v>
      </x:c>
      <x:c r="J1633" s="48" t="n">
        <x:v>0.8352476749602229</x:v>
      </x:c>
      <x:c r="K1633" s="48" t="n">
        <x:v>0.9565471843808555</x:v>
      </x:c>
      <x:c r="L1633" s="48" t="n">
        <x:v>0.7074010425890509</x:v>
      </x:c>
      <x:c r="M1633" s="48" t="n">
        <x:v>0.10765744506357568</x:v>
      </x:c>
      <x:c r="N1633" s="48" t="n">
        <x:v>0.8214535137855216</x:v>
      </x:c>
      <x:c r="O1633" s="48" t="n">
        <x:v>1</x:v>
      </x:c>
      <x:c r="P1633" s="48" t="n">
        <x:v>1</x:v>
      </x:c>
      <x:c r="Q1633" s="48" t="n">
        <x:v>1</x:v>
      </x:c>
      <x:c r="R1633" s="48" t="n">
        <x:v>1</x:v>
      </x:c>
      <x:c r="S1633" s="29" t="n">
        <x:v>1</x:v>
      </x:c>
    </x:row>
    <x:row r="1634" ht="15" hidden="0" customHeight="1">
      <x:c r="A1634" s="27" t="n">
        <x:v>544</x:v>
      </x:c>
      <x:c r="B1634" s="27" t="str">
        <x:v>A1</x:v>
      </x:c>
      <x:c r="C1634" s="47" t="n">
        <x:v>1.0224325667310992</x:v>
      </x:c>
      <x:c r="D1634" s="47" t="n">
        <x:v>0.9704173625955692</x:v>
      </x:c>
      <x:c r="E1634" s="47" t="n">
        <x:v>0.7016675849915738</x:v>
      </x:c>
      <x:c r="F1634" s="47" t="n">
        <x:v>0.016464709804184324</x:v>
      </x:c>
      <x:c r="G1634" s="47" t="n">
        <x:v>-0.12194251982811376</x:v>
      </x:c>
      <x:c r="H1634" s="47" t="n">
        <x:v>1.0968148517251475</x:v>
      </x:c>
      <x:c r="I1634" s="47" t="n">
        <x:v>0.9882754717655547</x:v>
      </x:c>
      <x:c r="J1634" s="47" t="n">
        <x:v>0.6673257688367089</x:v>
      </x:c>
      <x:c r="K1634" s="47" t="n">
        <x:v>0.8953737506236034</x:v>
      </x:c>
      <x:c r="L1634" s="47" t="n">
        <x:v>0.5161389892597574</x:v>
      </x:c>
      <x:c r="M1634" s="47" t="n">
        <x:v>0.143940764763649</x:v>
      </x:c>
      <x:c r="N1634" s="47" t="n">
        <x:v>0.7952455398241087</x:v>
      </x:c>
      <x:c r="O1634" s="47" t="n">
        <x:v>0.9239826642955691</x:v>
      </x:c>
      <x:c r="P1634" s="47" t="n">
        <x:v>0.7453489352394459</x:v>
      </x:c>
      <x:c r="Q1634" s="47" t="n">
        <x:v>1</x:v>
      </x:c>
      <x:c r="R1634" s="47" t="n">
        <x:v>0.9061305218168014</x:v>
      </x:c>
      <x:c r="S1634" s="27" t="n">
        <x:v>0</x:v>
      </x:c>
    </x:row>
    <x:row r="1635" ht="15" hidden="0" customHeight="1">
      <x:c r="A1635" s="29" t="n">
        <x:v>544</x:v>
      </x:c>
      <x:c r="B1635" s="29" t="str">
        <x:v>A2</x:v>
      </x:c>
      <x:c r="C1635" s="48" t="n">
        <x:v>1.0224325667310992</x:v>
      </x:c>
      <x:c r="D1635" s="48" t="n">
        <x:v>0.9704173625955692</x:v>
      </x:c>
      <x:c r="E1635" s="48" t="n">
        <x:v>0.7016675849915738</x:v>
      </x:c>
      <x:c r="F1635" s="48" t="n">
        <x:v>0.016464709804184324</x:v>
      </x:c>
      <x:c r="G1635" s="48" t="n">
        <x:v>-0.12194251982811376</x:v>
      </x:c>
      <x:c r="H1635" s="48" t="n">
        <x:v>1.0968148517251475</x:v>
      </x:c>
      <x:c r="I1635" s="48" t="n">
        <x:v>0.9882754717655547</x:v>
      </x:c>
      <x:c r="J1635" s="48" t="n">
        <x:v>0.6673257688367089</x:v>
      </x:c>
      <x:c r="K1635" s="48" t="n">
        <x:v>0.8953737506236034</x:v>
      </x:c>
      <x:c r="L1635" s="48" t="n">
        <x:v>0.5161389892597574</x:v>
      </x:c>
      <x:c r="M1635" s="48" t="n">
        <x:v>0.143940764763649</x:v>
      </x:c>
      <x:c r="N1635" s="48" t="n">
        <x:v>0.7952455398241087</x:v>
      </x:c>
      <x:c r="O1635" s="48" t="n">
        <x:v>0.9856770773058074</x:v>
      </x:c>
      <x:c r="P1635" s="48" t="n">
        <x:v>0.8567707730580754</x:v>
      </x:c>
      <x:c r="Q1635" s="48" t="n">
        <x:v>1</x:v>
      </x:c>
      <x:c r="R1635" s="48" t="n">
        <x:v>0.9823134385478893</x:v>
      </x:c>
      <x:c r="S1635" s="29" t="n">
        <x:v>0</x:v>
      </x:c>
    </x:row>
    <x:row r="1636" ht="15" hidden="0" customHeight="1">
      <x:c r="A1636" s="27" t="n">
        <x:v>544</x:v>
      </x:c>
      <x:c r="B1636" s="27" t="str">
        <x:v>A3</x:v>
      </x:c>
      <x:c r="C1636" s="47" t="n">
        <x:v>1.0224325667310992</x:v>
      </x:c>
      <x:c r="D1636" s="47" t="n">
        <x:v>0.9704173625955692</x:v>
      </x:c>
      <x:c r="E1636" s="47" t="n">
        <x:v>0.7016675849915738</x:v>
      </x:c>
      <x:c r="F1636" s="47" t="n">
        <x:v>0.016464709804184324</x:v>
      </x:c>
      <x:c r="G1636" s="47" t="n">
        <x:v>-0.12194251982811376</x:v>
      </x:c>
      <x:c r="H1636" s="47" t="n">
        <x:v>1.0968148517251475</x:v>
      </x:c>
      <x:c r="I1636" s="47" t="n">
        <x:v>0.9882754717655547</x:v>
      </x:c>
      <x:c r="J1636" s="47" t="n">
        <x:v>0.6673257688367089</x:v>
      </x:c>
      <x:c r="K1636" s="47" t="n">
        <x:v>0.8953737506236034</x:v>
      </x:c>
      <x:c r="L1636" s="47" t="n">
        <x:v>0.5161389892597574</x:v>
      </x:c>
      <x:c r="M1636" s="47" t="n">
        <x:v>0.143940764763649</x:v>
      </x:c>
      <x:c r="N1636" s="47" t="n">
        <x:v>0.7952455398241087</x:v>
      </x:c>
      <x:c r="O1636" s="47" t="n">
        <x:v>1</x:v>
      </x:c>
      <x:c r="P1636" s="47" t="n">
        <x:v>1</x:v>
      </x:c>
      <x:c r="Q1636" s="47" t="n">
        <x:v>1</x:v>
      </x:c>
      <x:c r="R1636" s="47" t="n">
        <x:v>1</x:v>
      </x:c>
      <x:c r="S1636" s="27" t="n">
        <x:v>1</x:v>
      </x:c>
    </x:row>
    <x:row r="1637" ht="21.600000381469727" hidden="0" customHeight="1">
      <x:c r="A1637" s="29" t="n">
        <x:v>545</x:v>
      </x:c>
      <x:c r="B1637" s="29" t="str">
        <x:v>A1</x:v>
      </x:c>
      <x:c r="C1637" s="48" t="n">
        <x:v>0.9674571999827164</x:v>
      </x:c>
      <x:c r="D1637" s="48" t="n">
        <x:v>0.7421399224352295</x:v>
      </x:c>
      <x:c r="E1637" s="48" t="n">
        <x:v>0.8527080256833062</x:v>
      </x:c>
      <x:c r="F1637" s="48" t="n">
        <x:v>-0.14648978229120402</x:v>
      </x:c>
      <x:c r="G1637" s="48" t="n">
        <x:v>-0.11577865902170942</x:v>
      </x:c>
      <x:c r="H1637" s="48" t="n">
        <x:v>0.8075428076344304</x:v>
      </x:c>
      <x:c r="I1637" s="48" t="n">
        <x:v>0.8310110663144756</x:v>
      </x:c>
      <x:c r="J1637" s="48" t="n">
        <x:v>0.8344949466024041</x:v>
      </x:c>
      <x:c r="K1637" s="48" t="n">
        <x:v>0.6433293071721703</x:v>
      </x:c>
      <x:c r="L1637" s="48" t="n">
        <x:v>0.761618381722958</x:v>
      </x:c>
      <x:c r="M1637" s="48" t="n">
        <x:v>0.16958643249091096</x:v>
      </x:c>
      <x:c r="N1637" s="48" t="n">
        <x:v>0.7121282088653382</x:v>
      </x:c>
      <x:c r="O1637" s="48" t="n">
        <x:v>0.8732160898618632</x:v>
      </x:c>
      <x:c r="P1637" s="48" t="n">
        <x:v>0.5997143110731105</x:v>
      </x:c>
      <x:c r="Q1637" s="48" t="n">
        <x:v>1</x:v>
      </x:c>
      <x:c r="R1637" s="48" t="n">
        <x:v>0.8434417705328923</x:v>
      </x:c>
      <x:c r="S1637" s="29" t="n">
        <x:v>0</x:v>
      </x:c>
    </x:row>
    <x:row r="1638" ht="21.600000381469727" hidden="0" customHeight="1">
      <x:c r="A1638" s="27" t="n">
        <x:v>545</x:v>
      </x:c>
      <x:c r="B1638" s="27" t="str">
        <x:v>A2</x:v>
      </x:c>
      <x:c r="C1638" s="47" t="n">
        <x:v>0.9674571999827164</x:v>
      </x:c>
      <x:c r="D1638" s="47" t="n">
        <x:v>0.7421399224352295</x:v>
      </x:c>
      <x:c r="E1638" s="47" t="n">
        <x:v>0.8527080256833062</x:v>
      </x:c>
      <x:c r="F1638" s="47" t="n">
        <x:v>-0.14648978229120402</x:v>
      </x:c>
      <x:c r="G1638" s="47" t="n">
        <x:v>-0.11577865902170942</x:v>
      </x:c>
      <x:c r="H1638" s="47" t="n">
        <x:v>0.8075428076344304</x:v>
      </x:c>
      <x:c r="I1638" s="47" t="n">
        <x:v>0.8310110663144756</x:v>
      </x:c>
      <x:c r="J1638" s="47" t="n">
        <x:v>0.8344949466024041</x:v>
      </x:c>
      <x:c r="K1638" s="47" t="n">
        <x:v>0.6433293071721703</x:v>
      </x:c>
      <x:c r="L1638" s="47" t="n">
        <x:v>0.761618381722958</x:v>
      </x:c>
      <x:c r="M1638" s="47" t="n">
        <x:v>0.16958643249091096</x:v>
      </x:c>
      <x:c r="N1638" s="47" t="n">
        <x:v>0.7121282088653382</x:v>
      </x:c>
      <x:c r="O1638" s="47" t="n">
        <x:v>0.9647550170824005</x:v>
      </x:c>
      <x:c r="P1638" s="47" t="n">
        <x:v>0.6965509669312667</x:v>
      </x:c>
      <x:c r="Q1638" s="47" t="n">
        <x:v>1</x:v>
      </x:c>
      <x:c r="R1638" s="47" t="n">
        <x:v>0.9564779780244523</x:v>
      </x:c>
      <x:c r="S1638" s="27" t="n">
        <x:v>0</x:v>
      </x:c>
    </x:row>
    <x:row r="1639" ht="21.600000381469727" hidden="0" customHeight="1">
      <x:c r="A1639" s="29" t="n">
        <x:v>545</x:v>
      </x:c>
      <x:c r="B1639" s="29" t="str">
        <x:v>A3</x:v>
      </x:c>
      <x:c r="C1639" s="48" t="n">
        <x:v>0.9674571999827164</x:v>
      </x:c>
      <x:c r="D1639" s="48" t="n">
        <x:v>0.7421399224352295</x:v>
      </x:c>
      <x:c r="E1639" s="48" t="n">
        <x:v>0.8527080256833062</x:v>
      </x:c>
      <x:c r="F1639" s="48" t="n">
        <x:v>-0.14648978229120402</x:v>
      </x:c>
      <x:c r="G1639" s="48" t="n">
        <x:v>-0.11577865902170942</x:v>
      </x:c>
      <x:c r="H1639" s="48" t="n">
        <x:v>0.8075428076344304</x:v>
      </x:c>
      <x:c r="I1639" s="48" t="n">
        <x:v>0.8310110663144756</x:v>
      </x:c>
      <x:c r="J1639" s="48" t="n">
        <x:v>0.8344949466024041</x:v>
      </x:c>
      <x:c r="K1639" s="48" t="n">
        <x:v>0.6433293071721703</x:v>
      </x:c>
      <x:c r="L1639" s="48" t="n">
        <x:v>0.761618381722958</x:v>
      </x:c>
      <x:c r="M1639" s="48" t="n">
        <x:v>0.16958643249091096</x:v>
      </x:c>
      <x:c r="N1639" s="48" t="n">
        <x:v>0.7121282088653382</x:v>
      </x:c>
      <x:c r="O1639" s="48" t="n">
        <x:v>1</x:v>
      </x:c>
      <x:c r="P1639" s="48" t="n">
        <x:v>1</x:v>
      </x:c>
      <x:c r="Q1639" s="48" t="n">
        <x:v>1</x:v>
      </x:c>
      <x:c r="R1639" s="48" t="n">
        <x:v>1</x:v>
      </x:c>
      <x:c r="S1639" s="29" t="n">
        <x:v>1</x:v>
      </x:c>
    </x:row>
    <x:row r="1640" ht="21.600000381469727" hidden="0" customHeight="1">
      <x:c r="A1640" s="27" t="n">
        <x:v>546</x:v>
      </x:c>
      <x:c r="B1640" s="27" t="str">
        <x:v>A1</x:v>
      </x:c>
      <x:c r="C1640" s="47" t="n">
        <x:v>1.317869642852459</x:v>
      </x:c>
      <x:c r="D1640" s="47" t="n">
        <x:v>0.728158137164475</x:v>
      </x:c>
      <x:c r="E1640" s="47" t="n">
        <x:v>0.7474272401498471</x:v>
      </x:c>
      <x:c r="F1640" s="47" t="n">
        <x:v>-0.07424531521306457</x:v>
      </x:c>
      <x:c r="G1640" s="47" t="n">
        <x:v>-0.13770670202717947</x:v>
      </x:c>
      <x:c r="H1640" s="47" t="n">
        <x:v>0.7024748171071629</x:v>
      </x:c>
      <x:c r="I1640" s="47" t="n">
        <x:v>0.7336806546370374</x:v>
      </x:c>
      <x:c r="J1640" s="47" t="n">
        <x:v>0.458736474986987</x:v>
      </x:c>
      <x:c r="K1640" s="47" t="n">
        <x:v>0.7183426710949796</x:v>
      </x:c>
      <x:c r="L1640" s="47" t="n">
        <x:v>0.9761989786384182</x:v>
      </x:c>
      <x:c r="M1640" s="47" t="n">
        <x:v>0.07050098326740982</x:v>
      </x:c>
      <x:c r="N1640" s="47" t="n">
        <x:v>0.8787775698155642</x:v>
      </x:c>
      <x:c r="O1640" s="47" t="n">
        <x:v>0.7065089943110396</x:v>
      </x:c>
      <x:c r="P1640" s="47" t="n">
        <x:v>0.4384982152300591</x:v>
      </x:c>
      <x:c r="Q1640" s="47" t="n">
        <x:v>1</x:v>
      </x:c>
      <x:c r="R1640" s="47" t="n">
        <x:v>0.6375846732828987</x:v>
      </x:c>
      <x:c r="S1640" s="27" t="n">
        <x:v>0</x:v>
      </x:c>
    </x:row>
    <x:row r="1641" ht="21.600000381469727" hidden="0" customHeight="1">
      <x:c r="A1641" s="29" t="n">
        <x:v>546</x:v>
      </x:c>
      <x:c r="B1641" s="29" t="str">
        <x:v>A2</x:v>
      </x:c>
      <x:c r="C1641" s="48" t="n">
        <x:v>1.317869642852459</x:v>
      </x:c>
      <x:c r="D1641" s="48" t="n">
        <x:v>0.728158137164475</x:v>
      </x:c>
      <x:c r="E1641" s="48" t="n">
        <x:v>0.7474272401498471</x:v>
      </x:c>
      <x:c r="F1641" s="48" t="n">
        <x:v>-0.07424531521306457</x:v>
      </x:c>
      <x:c r="G1641" s="48" t="n">
        <x:v>-0.13770670202717947</x:v>
      </x:c>
      <x:c r="H1641" s="48" t="n">
        <x:v>0.7024748171071629</x:v>
      </x:c>
      <x:c r="I1641" s="48" t="n">
        <x:v>0.7336806546370374</x:v>
      </x:c>
      <x:c r="J1641" s="48" t="n">
        <x:v>0.458736474986987</x:v>
      </x:c>
      <x:c r="K1641" s="48" t="n">
        <x:v>0.7183426710949796</x:v>
      </x:c>
      <x:c r="L1641" s="48" t="n">
        <x:v>0.9761989786384182</x:v>
      </x:c>
      <x:c r="M1641" s="48" t="n">
        <x:v>0.07050098326740982</x:v>
      </x:c>
      <x:c r="N1641" s="48" t="n">
        <x:v>0.8787775698155642</x:v>
      </x:c>
      <x:c r="O1641" s="48" t="n">
        <x:v>0.7885477668092763</x:v>
      </x:c>
      <x:c r="P1641" s="48" t="n">
        <x:v>0.5039399319007101</x:v>
      </x:c>
      <x:c r="Q1641" s="48" t="n">
        <x:v>1</x:v>
      </x:c>
      <x:c r="R1641" s="48" t="n">
        <x:v>0.7388896808030551</x:v>
      </x:c>
      <x:c r="S1641" s="29" t="n">
        <x:v>0</x:v>
      </x:c>
    </x:row>
    <x:row r="1642" ht="21.600000381469727" hidden="0" customHeight="1">
      <x:c r="A1642" s="27" t="n">
        <x:v>546</x:v>
      </x:c>
      <x:c r="B1642" s="27" t="str">
        <x:v>A3</x:v>
      </x:c>
      <x:c r="C1642" s="47" t="n">
        <x:v>1.317869642852459</x:v>
      </x:c>
      <x:c r="D1642" s="47" t="n">
        <x:v>0.728158137164475</x:v>
      </x:c>
      <x:c r="E1642" s="47" t="n">
        <x:v>0.7474272401498471</x:v>
      </x:c>
      <x:c r="F1642" s="47" t="n">
        <x:v>-0.07424531521306457</x:v>
      </x:c>
      <x:c r="G1642" s="47" t="n">
        <x:v>-0.13770670202717947</x:v>
      </x:c>
      <x:c r="H1642" s="47" t="n">
        <x:v>0.7024748171071629</x:v>
      </x:c>
      <x:c r="I1642" s="47" t="n">
        <x:v>0.7336806546370374</x:v>
      </x:c>
      <x:c r="J1642" s="47" t="n">
        <x:v>0.458736474986987</x:v>
      </x:c>
      <x:c r="K1642" s="47" t="n">
        <x:v>0.7183426710949796</x:v>
      </x:c>
      <x:c r="L1642" s="47" t="n">
        <x:v>0.9761989786384182</x:v>
      </x:c>
      <x:c r="M1642" s="47" t="n">
        <x:v>0.07050098326740982</x:v>
      </x:c>
      <x:c r="N1642" s="47" t="n">
        <x:v>0.8787775698155642</x:v>
      </x:c>
      <x:c r="O1642" s="47" t="n">
        <x:v>1</x:v>
      </x:c>
      <x:c r="P1642" s="47" t="n">
        <x:v>1</x:v>
      </x:c>
      <x:c r="Q1642" s="47" t="n">
        <x:v>1</x:v>
      </x:c>
      <x:c r="R1642" s="47" t="n">
        <x:v>1</x:v>
      </x:c>
      <x:c r="S1642" s="27" t="n">
        <x:v>1</x:v>
      </x:c>
    </x:row>
    <x:row r="1643" ht="21.600000381469727" hidden="0" customHeight="1">
      <x:c r="A1643" s="29" t="n">
        <x:v>547</x:v>
      </x:c>
      <x:c r="B1643" s="29" t="str">
        <x:v>A1</x:v>
      </x:c>
      <x:c r="C1643" s="48" t="n">
        <x:v>1.2278150786141628</x:v>
      </x:c>
      <x:c r="D1643" s="48" t="n">
        <x:v>0.8016856318020352</x:v>
      </x:c>
      <x:c r="E1643" s="48" t="n">
        <x:v>0.5593543493075253</x:v>
      </x:c>
      <x:c r="F1643" s="48" t="n">
        <x:v>-0.05396708391943503</x:v>
      </x:c>
      <x:c r="G1643" s="48" t="n">
        <x:v>-0.11819204634225695</x:v>
      </x:c>
      <x:c r="H1643" s="48" t="n">
        <x:v>1.0565461515682226</x:v>
      </x:c>
      <x:c r="I1643" s="48" t="n">
        <x:v>0.7636492139247759</x:v>
      </x:c>
      <x:c r="J1643" s="48" t="n">
        <x:v>0.6426454025260473</x:v>
      </x:c>
      <x:c r="K1643" s="48" t="n">
        <x:v>0.7717599130933656</x:v>
      </x:c>
      <x:c r="L1643" s="48" t="n">
        <x:v>0.7474611628472033</x:v>
      </x:c>
      <x:c r="M1643" s="48" t="n">
        <x:v>0.14437908983411804</x:v>
      </x:c>
      <x:c r="N1643" s="48" t="n">
        <x:v>0.660304457737524</x:v>
      </x:c>
      <x:c r="O1643" s="48" t="n">
        <x:v>0.7703741773251939</x:v>
      </x:c>
      <x:c r="P1643" s="48" t="n">
        <x:v>0.49269460216669914</x:v>
      </x:c>
      <x:c r="Q1643" s="48" t="n">
        <x:v>1</x:v>
      </x:c>
      <x:c r="R1643" s="48" t="n">
        <x:v>0.7164481502524513</x:v>
      </x:c>
      <x:c r="S1643" s="29" t="n">
        <x:v>0</x:v>
      </x:c>
    </x:row>
    <x:row r="1644" ht="21.600000381469727" hidden="0" customHeight="1">
      <x:c r="A1644" s="27" t="n">
        <x:v>547</x:v>
      </x:c>
      <x:c r="B1644" s="27" t="str">
        <x:v>A2</x:v>
      </x:c>
      <x:c r="C1644" s="47" t="n">
        <x:v>1.2278150786141628</x:v>
      </x:c>
      <x:c r="D1644" s="47" t="n">
        <x:v>0.8016856318020352</x:v>
      </x:c>
      <x:c r="E1644" s="47" t="n">
        <x:v>0.5593543493075253</x:v>
      </x:c>
      <x:c r="F1644" s="47" t="n">
        <x:v>-0.05396708391943503</x:v>
      </x:c>
      <x:c r="G1644" s="47" t="n">
        <x:v>-0.11819204634225695</x:v>
      </x:c>
      <x:c r="H1644" s="47" t="n">
        <x:v>1.0565461515682226</x:v>
      </x:c>
      <x:c r="I1644" s="47" t="n">
        <x:v>0.7636492139247759</x:v>
      </x:c>
      <x:c r="J1644" s="47" t="n">
        <x:v>0.6426454025260473</x:v>
      </x:c>
      <x:c r="K1644" s="47" t="n">
        <x:v>0.7717599130933656</x:v>
      </x:c>
      <x:c r="L1644" s="47" t="n">
        <x:v>0.7474611628472033</x:v>
      </x:c>
      <x:c r="M1644" s="47" t="n">
        <x:v>0.14437908983411804</x:v>
      </x:c>
      <x:c r="N1644" s="47" t="n">
        <x:v>0.660304457737524</x:v>
      </x:c>
      <x:c r="O1644" s="47" t="n">
        <x:v>0.8463034283518983</x:v>
      </x:c>
      <x:c r="P1644" s="47" t="n">
        <x:v>0.466150354473307</x:v>
      </x:c>
      <x:c r="Q1644" s="47" t="n">
        <x:v>1</x:v>
      </x:c>
      <x:c r="R1644" s="47" t="n">
        <x:v>0.8102088576841169</x:v>
      </x:c>
      <x:c r="S1644" s="27" t="n">
        <x:v>0</x:v>
      </x:c>
    </x:row>
    <x:row r="1645" ht="21.600000381469727" hidden="0" customHeight="1">
      <x:c r="A1645" s="29" t="n">
        <x:v>547</x:v>
      </x:c>
      <x:c r="B1645" s="29" t="str">
        <x:v>A3</x:v>
      </x:c>
      <x:c r="C1645" s="48" t="n">
        <x:v>1.2278150786141628</x:v>
      </x:c>
      <x:c r="D1645" s="48" t="n">
        <x:v>0.8016856318020352</x:v>
      </x:c>
      <x:c r="E1645" s="48" t="n">
        <x:v>0.5593543493075253</x:v>
      </x:c>
      <x:c r="F1645" s="48" t="n">
        <x:v>-0.05396708391943503</x:v>
      </x:c>
      <x:c r="G1645" s="48" t="n">
        <x:v>-0.11819204634225695</x:v>
      </x:c>
      <x:c r="H1645" s="48" t="n">
        <x:v>1.0565461515682226</x:v>
      </x:c>
      <x:c r="I1645" s="48" t="n">
        <x:v>0.7636492139247759</x:v>
      </x:c>
      <x:c r="J1645" s="48" t="n">
        <x:v>0.6426454025260473</x:v>
      </x:c>
      <x:c r="K1645" s="48" t="n">
        <x:v>0.7717599130933656</x:v>
      </x:c>
      <x:c r="L1645" s="48" t="n">
        <x:v>0.7474611628472033</x:v>
      </x:c>
      <x:c r="M1645" s="48" t="n">
        <x:v>0.14437908983411804</x:v>
      </x:c>
      <x:c r="N1645" s="48" t="n">
        <x:v>0.660304457737524</x:v>
      </x:c>
      <x:c r="O1645" s="48" t="n">
        <x:v>1</x:v>
      </x:c>
      <x:c r="P1645" s="48" t="n">
        <x:v>1</x:v>
      </x:c>
      <x:c r="Q1645" s="48" t="n">
        <x:v>1</x:v>
      </x:c>
      <x:c r="R1645" s="48" t="n">
        <x:v>1</x:v>
      </x:c>
      <x:c r="S1645" s="29" t="n">
        <x:v>1</x:v>
      </x:c>
    </x:row>
    <x:row r="1646" ht="21.600000381469727" hidden="0" customHeight="1">
      <x:c r="A1646" s="27" t="n">
        <x:v>548</x:v>
      </x:c>
      <x:c r="B1646" s="27" t="str">
        <x:v>A1</x:v>
      </x:c>
      <x:c r="C1646" s="47" t="n">
        <x:v>1.034379440676605</x:v>
      </x:c>
      <x:c r="D1646" s="47" t="n">
        <x:v>0.9477767831533037</x:v>
      </x:c>
      <x:c r="E1646" s="47" t="n">
        <x:v>0.7913356147805704</x:v>
      </x:c>
      <x:c r="F1646" s="47" t="n">
        <x:v>-0.025838445073613714</x:v>
      </x:c>
      <x:c r="G1646" s="47" t="n">
        <x:v>-0.08718218753282846</x:v>
      </x:c>
      <x:c r="H1646" s="47" t="n">
        <x:v>0.9503540947259568</x:v>
      </x:c>
      <x:c r="I1646" s="47" t="n">
        <x:v>0.9105963851679224</x:v>
      </x:c>
      <x:c r="J1646" s="47" t="n">
        <x:v>0.75284206540589</x:v>
      </x:c>
      <x:c r="K1646" s="47" t="n">
        <x:v>0.8577682960503372</x:v>
      </x:c>
      <x:c r="L1646" s="47" t="n">
        <x:v>0.6376673294616267</x:v>
      </x:c>
      <x:c r="M1646" s="47" t="n">
        <x:v>0.11903733312671988</x:v>
      </x:c>
      <x:c r="N1646" s="47" t="n">
        <x:v>0.7446199863726498</x:v>
      </x:c>
      <x:c r="O1646" s="47" t="n">
        <x:v>0.9304107001850108</x:v>
      </x:c>
      <x:c r="P1646" s="47" t="n">
        <x:v>0.6906251806958191</x:v>
      </x:c>
      <x:c r="Q1646" s="47" t="n">
        <x:v>0.9999999999999998</x:v>
      </x:c>
      <x:c r="R1646" s="47" t="n">
        <x:v>0.9140681372185154</x:v>
      </x:c>
      <x:c r="S1646" s="27" t="n">
        <x:v>0</x:v>
      </x:c>
    </x:row>
    <x:row r="1647" ht="21.600000381469727" hidden="0" customHeight="1">
      <x:c r="A1647" s="29" t="n">
        <x:v>548</x:v>
      </x:c>
      <x:c r="B1647" s="29" t="str">
        <x:v>A2</x:v>
      </x:c>
      <x:c r="C1647" s="48" t="n">
        <x:v>1.034379440676605</x:v>
      </x:c>
      <x:c r="D1647" s="48" t="n">
        <x:v>0.9477767831533037</x:v>
      </x:c>
      <x:c r="E1647" s="48" t="n">
        <x:v>0.7913356147805704</x:v>
      </x:c>
      <x:c r="F1647" s="48" t="n">
        <x:v>-0.025838445073613714</x:v>
      </x:c>
      <x:c r="G1647" s="48" t="n">
        <x:v>-0.08718218753282846</x:v>
      </x:c>
      <x:c r="H1647" s="48" t="n">
        <x:v>0.9503540947259568</x:v>
      </x:c>
      <x:c r="I1647" s="48" t="n">
        <x:v>0.9105963851679224</x:v>
      </x:c>
      <x:c r="J1647" s="48" t="n">
        <x:v>0.75284206540589</x:v>
      </x:c>
      <x:c r="K1647" s="48" t="n">
        <x:v>0.8577682960503372</x:v>
      </x:c>
      <x:c r="L1647" s="48" t="n">
        <x:v>0.6376673294616267</x:v>
      </x:c>
      <x:c r="M1647" s="48" t="n">
        <x:v>0.11903733312671988</x:v>
      </x:c>
      <x:c r="N1647" s="48" t="n">
        <x:v>0.7446199863726498</x:v>
      </x:c>
      <x:c r="O1647" s="48" t="n">
        <x:v>0.9823232338828</x:v>
      </x:c>
      <x:c r="P1647" s="48" t="n">
        <x:v>0.8364288577239963</x:v>
      </x:c>
      <x:c r="Q1647" s="48" t="n">
        <x:v>1</x:v>
      </x:c>
      <x:c r="R1647" s="48" t="n">
        <x:v>0.9781719683278598</x:v>
      </x:c>
      <x:c r="S1647" s="29" t="n">
        <x:v>0</x:v>
      </x:c>
    </x:row>
    <x:row r="1648" ht="21.600000381469727" hidden="0" customHeight="1">
      <x:c r="A1648" s="27" t="n">
        <x:v>548</x:v>
      </x:c>
      <x:c r="B1648" s="27" t="str">
        <x:v>A3</x:v>
      </x:c>
      <x:c r="C1648" s="47" t="n">
        <x:v>1.034379440676605</x:v>
      </x:c>
      <x:c r="D1648" s="47" t="n">
        <x:v>0.9477767831533037</x:v>
      </x:c>
      <x:c r="E1648" s="47" t="n">
        <x:v>0.7913356147805704</x:v>
      </x:c>
      <x:c r="F1648" s="47" t="n">
        <x:v>-0.025838445073613714</x:v>
      </x:c>
      <x:c r="G1648" s="47" t="n">
        <x:v>-0.08718218753282846</x:v>
      </x:c>
      <x:c r="H1648" s="47" t="n">
        <x:v>0.9503540947259568</x:v>
      </x:c>
      <x:c r="I1648" s="47" t="n">
        <x:v>0.9105963851679224</x:v>
      </x:c>
      <x:c r="J1648" s="47" t="n">
        <x:v>0.75284206540589</x:v>
      </x:c>
      <x:c r="K1648" s="47" t="n">
        <x:v>0.8577682960503372</x:v>
      </x:c>
      <x:c r="L1648" s="47" t="n">
        <x:v>0.6376673294616267</x:v>
      </x:c>
      <x:c r="M1648" s="47" t="n">
        <x:v>0.11903733312671988</x:v>
      </x:c>
      <x:c r="N1648" s="47" t="n">
        <x:v>0.7446199863726498</x:v>
      </x:c>
      <x:c r="O1648" s="47" t="n">
        <x:v>1</x:v>
      </x:c>
      <x:c r="P1648" s="47" t="n">
        <x:v>1</x:v>
      </x:c>
      <x:c r="Q1648" s="47" t="n">
        <x:v>1</x:v>
      </x:c>
      <x:c r="R1648" s="47" t="n">
        <x:v>1</x:v>
      </x:c>
      <x:c r="S1648" s="27" t="n">
        <x:v>1</x:v>
      </x:c>
    </x:row>
    <x:row r="1649" ht="21.600000381469727" hidden="0" customHeight="1">
      <x:c r="A1649" s="29" t="n">
        <x:v>549</x:v>
      </x:c>
      <x:c r="B1649" s="29" t="str">
        <x:v>A1</x:v>
      </x:c>
      <x:c r="C1649" s="48" t="n">
        <x:v>1.19538495251986</x:v>
      </x:c>
      <x:c r="D1649" s="48" t="n">
        <x:v>0.8875693678928797</x:v>
      </x:c>
      <x:c r="E1649" s="48" t="n">
        <x:v>0.7225997884762382</x:v>
      </x:c>
      <x:c r="F1649" s="48" t="n">
        <x:v>-0.1566031402863993</x:v>
      </x:c>
      <x:c r="G1649" s="48" t="n">
        <x:v>-0.006216664919884041</x:v>
      </x:c>
      <x:c r="H1649" s="48" t="n">
        <x:v>0.765158058207343</x:v>
      </x:c>
      <x:c r="I1649" s="48" t="n">
        <x:v>0.6665209732409593</x:v>
      </x:c>
      <x:c r="J1649" s="48" t="n">
        <x:v>0.6700098834049641</x:v>
      </x:c>
      <x:c r="K1649" s="48" t="n">
        <x:v>0.6238604068231397</x:v>
      </x:c>
      <x:c r="L1649" s="48" t="n">
        <x:v>0.8409046373183494</x:v>
      </x:c>
      <x:c r="M1649" s="48" t="n">
        <x:v>0.10688110265601415</x:v>
      </x:c>
      <x:c r="N1649" s="48" t="n">
        <x:v>0.8088847481427981</x:v>
      </x:c>
      <x:c r="O1649" s="48" t="n">
        <x:v>0.8351483811758915</x:v>
      </x:c>
      <x:c r="P1649" s="48" t="n">
        <x:v>0.49034374787443913</x:v>
      </x:c>
      <x:c r="Q1649" s="48" t="n">
        <x:v>1</x:v>
      </x:c>
      <x:c r="R1649" s="48" t="n">
        <x:v>0.7964341252784443</x:v>
      </x:c>
      <x:c r="S1649" s="29" t="n">
        <x:v>0</x:v>
      </x:c>
    </x:row>
    <x:row r="1650" ht="21.600000381469727" hidden="0" customHeight="1">
      <x:c r="A1650" s="27" t="n">
        <x:v>549</x:v>
      </x:c>
      <x:c r="B1650" s="27" t="str">
        <x:v>A2</x:v>
      </x:c>
      <x:c r="C1650" s="47" t="n">
        <x:v>1.19538495251986</x:v>
      </x:c>
      <x:c r="D1650" s="47" t="n">
        <x:v>0.8875693678928797</x:v>
      </x:c>
      <x:c r="E1650" s="47" t="n">
        <x:v>0.7225997884762382</x:v>
      </x:c>
      <x:c r="F1650" s="47" t="n">
        <x:v>-0.1566031402863993</x:v>
      </x:c>
      <x:c r="G1650" s="47" t="n">
        <x:v>-0.006216664919884041</x:v>
      </x:c>
      <x:c r="H1650" s="47" t="n">
        <x:v>0.765158058207343</x:v>
      </x:c>
      <x:c r="I1650" s="47" t="n">
        <x:v>0.6665209732409593</x:v>
      </x:c>
      <x:c r="J1650" s="47" t="n">
        <x:v>0.6700098834049641</x:v>
      </x:c>
      <x:c r="K1650" s="47" t="n">
        <x:v>0.6238604068231397</x:v>
      </x:c>
      <x:c r="L1650" s="47" t="n">
        <x:v>0.8409046373183494</x:v>
      </x:c>
      <x:c r="M1650" s="47" t="n">
        <x:v>0.10688110265601415</x:v>
      </x:c>
      <x:c r="N1650" s="47" t="n">
        <x:v>0.8088847481427981</x:v>
      </x:c>
      <x:c r="O1650" s="47" t="n">
        <x:v>0.9176992953017905</x:v>
      </x:c>
      <x:c r="P1650" s="47" t="n">
        <x:v>0.6092487821565605</x:v>
      </x:c>
      <x:c r="Q1650" s="47" t="n">
        <x:v>1</x:v>
      </x:c>
      <x:c r="R1650" s="47" t="n">
        <x:v>0.8983715473248276</x:v>
      </x:c>
      <x:c r="S1650" s="27" t="n">
        <x:v>0</x:v>
      </x:c>
    </x:row>
    <x:row r="1651" ht="21.600000381469727" hidden="0" customHeight="1">
      <x:c r="A1651" s="29" t="n">
        <x:v>549</x:v>
      </x:c>
      <x:c r="B1651" s="29" t="str">
        <x:v>A3</x:v>
      </x:c>
      <x:c r="C1651" s="48" t="n">
        <x:v>1.19538495251986</x:v>
      </x:c>
      <x:c r="D1651" s="48" t="n">
        <x:v>0.8875693678928797</x:v>
      </x:c>
      <x:c r="E1651" s="48" t="n">
        <x:v>0.7225997884762382</x:v>
      </x:c>
      <x:c r="F1651" s="48" t="n">
        <x:v>-0.1566031402863993</x:v>
      </x:c>
      <x:c r="G1651" s="48" t="n">
        <x:v>-0.006216664919884041</x:v>
      </x:c>
      <x:c r="H1651" s="48" t="n">
        <x:v>0.765158058207343</x:v>
      </x:c>
      <x:c r="I1651" s="48" t="n">
        <x:v>0.6665209732409593</x:v>
      </x:c>
      <x:c r="J1651" s="48" t="n">
        <x:v>0.6700098834049641</x:v>
      </x:c>
      <x:c r="K1651" s="48" t="n">
        <x:v>0.6238604068231397</x:v>
      </x:c>
      <x:c r="L1651" s="48" t="n">
        <x:v>0.8409046373183494</x:v>
      </x:c>
      <x:c r="M1651" s="48" t="n">
        <x:v>0.10688110265601415</x:v>
      </x:c>
      <x:c r="N1651" s="48" t="n">
        <x:v>0.8088847481427981</x:v>
      </x:c>
      <x:c r="O1651" s="48" t="n">
        <x:v>1</x:v>
      </x:c>
      <x:c r="P1651" s="48" t="n">
        <x:v>1</x:v>
      </x:c>
      <x:c r="Q1651" s="48" t="n">
        <x:v>1</x:v>
      </x:c>
      <x:c r="R1651" s="48" t="n">
        <x:v>1</x:v>
      </x:c>
      <x:c r="S1651" s="29" t="n">
        <x:v>1</x:v>
      </x:c>
    </x:row>
    <x:row r="1652" ht="21.600000381469727" hidden="0" customHeight="1">
      <x:c r="A1652" s="27" t="n">
        <x:v>550</x:v>
      </x:c>
      <x:c r="B1652" s="27" t="str">
        <x:v>A1</x:v>
      </x:c>
      <x:c r="C1652" s="47" t="n">
        <x:v>1.19037045438009</x:v>
      </x:c>
      <x:c r="D1652" s="47" t="n">
        <x:v>0.9453824909649289</x:v>
      </x:c>
      <x:c r="E1652" s="47" t="n">
        <x:v>1.0594312320454156</x:v>
      </x:c>
      <x:c r="F1652" s="47" t="n">
        <x:v>-0.13568295465029045</x:v>
      </x:c>
      <x:c r="G1652" s="47" t="n">
        <x:v>-0.027436078130626068</x:v>
      </x:c>
      <x:c r="H1652" s="47" t="n">
        <x:v>0.9213366949621931</x:v>
      </x:c>
      <x:c r="I1652" s="47" t="n">
        <x:v>0.774707459005673</x:v>
      </x:c>
      <x:c r="J1652" s="47" t="n">
        <x:v>0.9715033229657687</x:v>
      </x:c>
      <x:c r="K1652" s="47" t="n">
        <x:v>0.7406736944605743</x:v>
      </x:c>
      <x:c r="L1652" s="47" t="n">
        <x:v>0.7261084977505663</x:v>
      </x:c>
      <x:c r="M1652" s="47" t="n">
        <x:v>0.031047684920707093</x:v>
      </x:c>
      <x:c r="N1652" s="47" t="n">
        <x:v>0.9268942424503936</x:v>
      </x:c>
      <x:c r="O1652" s="47" t="n">
        <x:v>0.9082060961684878</x:v>
      </x:c>
      <x:c r="P1652" s="47" t="n">
        <x:v>0.6289883917256066</x:v>
      </x:c>
      <x:c r="Q1652" s="47" t="n">
        <x:v>1</x:v>
      </x:c>
      <x:c r="R1652" s="47" t="n">
        <x:v>0.8866489364141118</x:v>
      </x:c>
      <x:c r="S1652" s="27" t="n">
        <x:v>0</x:v>
      </x:c>
    </x:row>
    <x:row r="1653" ht="21.600000381469727" hidden="0" customHeight="1">
      <x:c r="A1653" s="29" t="n">
        <x:v>550</x:v>
      </x:c>
      <x:c r="B1653" s="29" t="str">
        <x:v>A2</x:v>
      </x:c>
      <x:c r="C1653" s="48" t="n">
        <x:v>1.19037045438009</x:v>
      </x:c>
      <x:c r="D1653" s="48" t="n">
        <x:v>0.9453824909649289</x:v>
      </x:c>
      <x:c r="E1653" s="48" t="n">
        <x:v>1.0594312320454156</x:v>
      </x:c>
      <x:c r="F1653" s="48" t="n">
        <x:v>-0.13568295465029045</x:v>
      </x:c>
      <x:c r="G1653" s="48" t="n">
        <x:v>-0.027436078130626068</x:v>
      </x:c>
      <x:c r="H1653" s="48" t="n">
        <x:v>0.9213366949621931</x:v>
      </x:c>
      <x:c r="I1653" s="48" t="n">
        <x:v>0.774707459005673</x:v>
      </x:c>
      <x:c r="J1653" s="48" t="n">
        <x:v>0.9715033229657687</x:v>
      </x:c>
      <x:c r="K1653" s="48" t="n">
        <x:v>0.7406736944605743</x:v>
      </x:c>
      <x:c r="L1653" s="48" t="n">
        <x:v>0.7261084977505663</x:v>
      </x:c>
      <x:c r="M1653" s="48" t="n">
        <x:v>0.031047684920707093</x:v>
      </x:c>
      <x:c r="N1653" s="48" t="n">
        <x:v>0.9268942424503936</x:v>
      </x:c>
      <x:c r="O1653" s="48" t="n">
        <x:v>0.9437630925899779</x:v>
      </x:c>
      <x:c r="P1653" s="48" t="n">
        <x:v>0.608223747374309</x:v>
      </x:c>
      <x:c r="Q1653" s="48" t="n">
        <x:v>1</x:v>
      </x:c>
      <x:c r="R1653" s="48" t="n">
        <x:v>0.9305562460944297</x:v>
      </x:c>
      <x:c r="S1653" s="29" t="n">
        <x:v>0</x:v>
      </x:c>
    </x:row>
    <x:row r="1654" ht="21.600000381469727" hidden="0" customHeight="1">
      <x:c r="A1654" s="27" t="n">
        <x:v>550</x:v>
      </x:c>
      <x:c r="B1654" s="27" t="str">
        <x:v>A3</x:v>
      </x:c>
      <x:c r="C1654" s="47" t="n">
        <x:v>1.19037045438009</x:v>
      </x:c>
      <x:c r="D1654" s="47" t="n">
        <x:v>0.9453824909649289</x:v>
      </x:c>
      <x:c r="E1654" s="47" t="n">
        <x:v>1.0594312320454156</x:v>
      </x:c>
      <x:c r="F1654" s="47" t="n">
        <x:v>-0.13568295465029045</x:v>
      </x:c>
      <x:c r="G1654" s="47" t="n">
        <x:v>-0.027436078130626068</x:v>
      </x:c>
      <x:c r="H1654" s="47" t="n">
        <x:v>0.9213366949621931</x:v>
      </x:c>
      <x:c r="I1654" s="47" t="n">
        <x:v>0.774707459005673</x:v>
      </x:c>
      <x:c r="J1654" s="47" t="n">
        <x:v>0.9715033229657687</x:v>
      </x:c>
      <x:c r="K1654" s="47" t="n">
        <x:v>0.7406736944605743</x:v>
      </x:c>
      <x:c r="L1654" s="47" t="n">
        <x:v>0.7261084977505663</x:v>
      </x:c>
      <x:c r="M1654" s="47" t="n">
        <x:v>0.031047684920707093</x:v>
      </x:c>
      <x:c r="N1654" s="47" t="n">
        <x:v>0.9268942424503936</x:v>
      </x:c>
      <x:c r="O1654" s="47" t="n">
        <x:v>1</x:v>
      </x:c>
      <x:c r="P1654" s="47" t="n">
        <x:v>1</x:v>
      </x:c>
      <x:c r="Q1654" s="47" t="n">
        <x:v>1</x:v>
      </x:c>
      <x:c r="R1654" s="47" t="n">
        <x:v>1</x:v>
      </x:c>
      <x:c r="S1654" s="27" t="n">
        <x:v>1</x:v>
      </x:c>
    </x:row>
    <x:row r="1655" ht="21.600000381469727" hidden="0" customHeight="1">
      <x:c r="A1655" s="29" t="n">
        <x:v>551</x:v>
      </x:c>
      <x:c r="B1655" s="29" t="str">
        <x:v>A1</x:v>
      </x:c>
      <x:c r="C1655" s="48" t="n">
        <x:v>1.0299098184729414</x:v>
      </x:c>
      <x:c r="D1655" s="48" t="n">
        <x:v>0.9345725349599949</x:v>
      </x:c>
      <x:c r="E1655" s="48" t="n">
        <x:v>0.8694918112739559</x:v>
      </x:c>
      <x:c r="F1655" s="48" t="n">
        <x:v>-0.06551636877947553</x:v>
      </x:c>
      <x:c r="G1655" s="48" t="n">
        <x:v>-0.11593094017910588</x:v>
      </x:c>
      <x:c r="H1655" s="48" t="n">
        <x:v>0.5173377797289289</x:v>
      </x:c>
      <x:c r="I1655" s="48" t="n">
        <x:v>0.6931072619205529</x:v>
      </x:c>
      <x:c r="J1655" s="48" t="n">
        <x:v>0.8919270432299762</x:v>
      </x:c>
      <x:c r="K1655" s="48" t="n">
        <x:v>0.8971604097572656</x:v>
      </x:c>
      <x:c r="L1655" s="48" t="n">
        <x:v>0.9084853056193157</x:v>
      </x:c>
      <x:c r="M1655" s="48" t="n">
        <x:v>0.0853685998201487</x:v>
      </x:c>
      <x:c r="N1655" s="48" t="n">
        <x:v>0.8581550181420082</x:v>
      </x:c>
      <x:c r="O1655" s="48" t="n">
        <x:v>0.9483903257797435</x:v>
      </x:c>
      <x:c r="P1655" s="48" t="n">
        <x:v>0.6370640341839782</x:v>
      </x:c>
      <x:c r="Q1655" s="48" t="n">
        <x:v>1</x:v>
      </x:c>
      <x:c r="R1655" s="48" t="n">
        <x:v>0.9362701528096572</x:v>
      </x:c>
      <x:c r="S1655" s="29" t="n">
        <x:v>0</x:v>
      </x:c>
    </x:row>
    <x:row r="1656" ht="21.600000381469727" hidden="0" customHeight="1">
      <x:c r="A1656" s="27" t="n">
        <x:v>551</x:v>
      </x:c>
      <x:c r="B1656" s="27" t="str">
        <x:v>A2</x:v>
      </x:c>
      <x:c r="C1656" s="47" t="n">
        <x:v>1.0299098184729414</x:v>
      </x:c>
      <x:c r="D1656" s="47" t="n">
        <x:v>0.9345725349599949</x:v>
      </x:c>
      <x:c r="E1656" s="47" t="n">
        <x:v>0.8694918112739559</x:v>
      </x:c>
      <x:c r="F1656" s="47" t="n">
        <x:v>-0.06551636877947553</x:v>
      </x:c>
      <x:c r="G1656" s="47" t="n">
        <x:v>-0.11593094017910588</x:v>
      </x:c>
      <x:c r="H1656" s="47" t="n">
        <x:v>0.5173377797289289</x:v>
      </x:c>
      <x:c r="I1656" s="47" t="n">
        <x:v>0.6931072619205529</x:v>
      </x:c>
      <x:c r="J1656" s="47" t="n">
        <x:v>0.8919270432299762</x:v>
      </x:c>
      <x:c r="K1656" s="47" t="n">
        <x:v>0.8971604097572656</x:v>
      </x:c>
      <x:c r="L1656" s="47" t="n">
        <x:v>0.9084853056193157</x:v>
      </x:c>
      <x:c r="M1656" s="47" t="n">
        <x:v>0.0853685998201487</x:v>
      </x:c>
      <x:c r="N1656" s="47" t="n">
        <x:v>0.8581550181420082</x:v>
      </x:c>
      <x:c r="O1656" s="47" t="n">
        <x:v>0.9888839297575892</x:v>
      </x:c>
      <x:c r="P1656" s="47" t="n">
        <x:v>0.8888392975758908</x:v>
      </x:c>
      <x:c r="Q1656" s="47" t="n">
        <x:v>1</x:v>
      </x:c>
      <x:c r="R1656" s="47" t="n">
        <x:v>0.9862733979896368</x:v>
      </x:c>
      <x:c r="S1656" s="27" t="n">
        <x:v>0</x:v>
      </x:c>
    </x:row>
    <x:row r="1657" ht="21.600000381469727" hidden="0" customHeight="1">
      <x:c r="A1657" s="29" t="n">
        <x:v>551</x:v>
      </x:c>
      <x:c r="B1657" s="29" t="str">
        <x:v>A3</x:v>
      </x:c>
      <x:c r="C1657" s="48" t="n">
        <x:v>1.0299098184729414</x:v>
      </x:c>
      <x:c r="D1657" s="48" t="n">
        <x:v>0.9345725349599949</x:v>
      </x:c>
      <x:c r="E1657" s="48" t="n">
        <x:v>0.8694918112739559</x:v>
      </x:c>
      <x:c r="F1657" s="48" t="n">
        <x:v>-0.06551636877947553</x:v>
      </x:c>
      <x:c r="G1657" s="48" t="n">
        <x:v>-0.11593094017910588</x:v>
      </x:c>
      <x:c r="H1657" s="48" t="n">
        <x:v>0.5173377797289289</x:v>
      </x:c>
      <x:c r="I1657" s="48" t="n">
        <x:v>0.6931072619205529</x:v>
      </x:c>
      <x:c r="J1657" s="48" t="n">
        <x:v>0.8919270432299762</x:v>
      </x:c>
      <x:c r="K1657" s="48" t="n">
        <x:v>0.8971604097572656</x:v>
      </x:c>
      <x:c r="L1657" s="48" t="n">
        <x:v>0.9084853056193157</x:v>
      </x:c>
      <x:c r="M1657" s="48" t="n">
        <x:v>0.0853685998201487</x:v>
      </x:c>
      <x:c r="N1657" s="48" t="n">
        <x:v>0.8581550181420082</x:v>
      </x:c>
      <x:c r="O1657" s="48" t="n">
        <x:v>1</x:v>
      </x:c>
      <x:c r="P1657" s="48" t="n">
        <x:v>1</x:v>
      </x:c>
      <x:c r="Q1657" s="48" t="n">
        <x:v>1</x:v>
      </x:c>
      <x:c r="R1657" s="48" t="n">
        <x:v>1</x:v>
      </x:c>
      <x:c r="S1657" s="29" t="n">
        <x:v>1</x:v>
      </x:c>
    </x:row>
    <x:row r="1658" ht="21.600000381469727" hidden="0" customHeight="1">
      <x:c r="A1658" s="27" t="n">
        <x:v>552</x:v>
      </x:c>
      <x:c r="B1658" s="27" t="str">
        <x:v>A1</x:v>
      </x:c>
      <x:c r="C1658" s="47" t="n">
        <x:v>0.9122219609855682</x:v>
      </x:c>
      <x:c r="D1658" s="47" t="n">
        <x:v>0.820327740392135</x:v>
      </x:c>
      <x:c r="E1658" s="47" t="n">
        <x:v>0.8941033809941668</x:v>
      </x:c>
      <x:c r="F1658" s="47" t="n">
        <x:v>-0.03571615661400321</x:v>
      </x:c>
      <x:c r="G1658" s="47" t="n">
        <x:v>-0.08696975967755519</x:v>
      </x:c>
      <x:c r="H1658" s="47" t="n">
        <x:v>0.33106267379402854</x:v>
      </x:c>
      <x:c r="I1658" s="47" t="n">
        <x:v>0.6831745041546875</x:v>
      </x:c>
      <x:c r="J1658" s="47" t="n">
        <x:v>0.598253867054272</x:v>
      </x:c>
      <x:c r="K1658" s="47" t="n">
        <x:v>0.6480668623614316</x:v>
      </x:c>
      <x:c r="L1658" s="47" t="n">
        <x:v>0.8620430120920077</x:v>
      </x:c>
      <x:c r="M1658" s="47" t="n">
        <x:v>0.17378840699319478</x:v>
      </x:c>
      <x:c r="N1658" s="47" t="n">
        <x:v>0.6577274702594307</x:v>
      </x:c>
      <x:c r="O1658" s="47" t="n">
        <x:v>0.8975359538241546</x:v>
      </x:c>
      <x:c r="P1658" s="47" t="n">
        <x:v>0.5409321976838595</x:v>
      </x:c>
      <x:c r="Q1658" s="47" t="n">
        <x:v>1</x:v>
      </x:c>
      <x:c r="R1658" s="47" t="n">
        <x:v>0.8734729853666109</x:v>
      </x:c>
      <x:c r="S1658" s="27" t="n">
        <x:v>0</x:v>
      </x:c>
    </x:row>
    <x:row r="1659" ht="21.600000381469727" hidden="0" customHeight="1">
      <x:c r="A1659" s="29" t="n">
        <x:v>552</x:v>
      </x:c>
      <x:c r="B1659" s="29" t="str">
        <x:v>A2</x:v>
      </x:c>
      <x:c r="C1659" s="48" t="n">
        <x:v>0.9122219609855682</x:v>
      </x:c>
      <x:c r="D1659" s="48" t="n">
        <x:v>0.820327740392135</x:v>
      </x:c>
      <x:c r="E1659" s="48" t="n">
        <x:v>0.8941033809941668</x:v>
      </x:c>
      <x:c r="F1659" s="48" t="n">
        <x:v>-0.03571615661400321</x:v>
      </x:c>
      <x:c r="G1659" s="48" t="n">
        <x:v>-0.08696975967755519</x:v>
      </x:c>
      <x:c r="H1659" s="48" t="n">
        <x:v>0.33106267379402854</x:v>
      </x:c>
      <x:c r="I1659" s="48" t="n">
        <x:v>0.6831745041546875</x:v>
      </x:c>
      <x:c r="J1659" s="48" t="n">
        <x:v>0.598253867054272</x:v>
      </x:c>
      <x:c r="K1659" s="48" t="n">
        <x:v>0.6480668623614316</x:v>
      </x:c>
      <x:c r="L1659" s="48" t="n">
        <x:v>0.8620430120920077</x:v>
      </x:c>
      <x:c r="M1659" s="48" t="n">
        <x:v>0.17378840699319478</x:v>
      </x:c>
      <x:c r="N1659" s="48" t="n">
        <x:v>0.6577274702594307</x:v>
      </x:c>
      <x:c r="O1659" s="48" t="n">
        <x:v>0.9441097991213835</x:v>
      </x:c>
      <x:c r="P1659" s="48" t="n">
        <x:v>0.5864009525217755</x:v>
      </x:c>
      <x:c r="Q1659" s="48" t="n">
        <x:v>1</x:v>
      </x:c>
      <x:c r="R1659" s="48" t="n">
        <x:v>0.9309843742428863</x:v>
      </x:c>
      <x:c r="S1659" s="29" t="n">
        <x:v>0</x:v>
      </x:c>
    </x:row>
    <x:row r="1660" ht="21.600000381469727" hidden="0" customHeight="1">
      <x:c r="A1660" s="27" t="n">
        <x:v>552</x:v>
      </x:c>
      <x:c r="B1660" s="27" t="str">
        <x:v>A3</x:v>
      </x:c>
      <x:c r="C1660" s="47" t="n">
        <x:v>0.9122219609855682</x:v>
      </x:c>
      <x:c r="D1660" s="47" t="n">
        <x:v>0.820327740392135</x:v>
      </x:c>
      <x:c r="E1660" s="47" t="n">
        <x:v>0.8941033809941668</x:v>
      </x:c>
      <x:c r="F1660" s="47" t="n">
        <x:v>-0.03571615661400321</x:v>
      </x:c>
      <x:c r="G1660" s="47" t="n">
        <x:v>-0.08696975967755519</x:v>
      </x:c>
      <x:c r="H1660" s="47" t="n">
        <x:v>0.33106267379402854</x:v>
      </x:c>
      <x:c r="I1660" s="47" t="n">
        <x:v>0.6831745041546875</x:v>
      </x:c>
      <x:c r="J1660" s="47" t="n">
        <x:v>0.598253867054272</x:v>
      </x:c>
      <x:c r="K1660" s="47" t="n">
        <x:v>0.6480668623614316</x:v>
      </x:c>
      <x:c r="L1660" s="47" t="n">
        <x:v>0.8620430120920077</x:v>
      </x:c>
      <x:c r="M1660" s="47" t="n">
        <x:v>0.17378840699319478</x:v>
      </x:c>
      <x:c r="N1660" s="47" t="n">
        <x:v>0.6577274702594307</x:v>
      </x:c>
      <x:c r="O1660" s="47" t="n">
        <x:v>1</x:v>
      </x:c>
      <x:c r="P1660" s="47" t="n">
        <x:v>1</x:v>
      </x:c>
      <x:c r="Q1660" s="47" t="n">
        <x:v>1</x:v>
      </x:c>
      <x:c r="R1660" s="47" t="n">
        <x:v>1</x:v>
      </x:c>
      <x:c r="S1660" s="27" t="n">
        <x:v>1</x:v>
      </x:c>
    </x:row>
    <x:row r="1661" ht="21.600000381469727" hidden="0" customHeight="1">
      <x:c r="A1661" s="29" t="n">
        <x:v>553</x:v>
      </x:c>
      <x:c r="B1661" s="29" t="str">
        <x:v>A1</x:v>
      </x:c>
      <x:c r="C1661" s="48" t="n">
        <x:v>1.0006321261298576</x:v>
      </x:c>
      <x:c r="D1661" s="48" t="n">
        <x:v>0.8191465350115369</x:v>
      </x:c>
      <x:c r="E1661" s="48" t="n">
        <x:v>0.8354248855073636</x:v>
      </x:c>
      <x:c r="F1661" s="48" t="n">
        <x:v>-0.04965155652029821</x:v>
      </x:c>
      <x:c r="G1661" s="48" t="n">
        <x:v>-0.07086617258358477</x:v>
      </x:c>
      <x:c r="H1661" s="48" t="n">
        <x:v>0.6788307563482319</x:v>
      </x:c>
      <x:c r="I1661" s="48" t="n">
        <x:v>0.8095288821430446</x:v>
      </x:c>
      <x:c r="J1661" s="48" t="n">
        <x:v>0.7952975242407812</x:v>
      </x:c>
      <x:c r="K1661" s="48" t="n">
        <x:v>0.7860040331068257</x:v>
      </x:c>
      <x:c r="L1661" s="48" t="n">
        <x:v>0.5914920068016679</x:v>
      </x:c>
      <x:c r="M1661" s="48" t="n">
        <x:v>0.1394094154839923</x:v>
      </x:c>
      <x:c r="N1661" s="48" t="n">
        <x:v>0.8900497585016001</x:v>
      </x:c>
      <x:c r="O1661" s="48" t="n">
        <x:v>0.9028938660760372</x:v>
      </x:c>
      <x:c r="P1661" s="48" t="n">
        <x:v>0.6103073398348664</x:v>
      </x:c>
      <x:c r="Q1661" s="48" t="n">
        <x:v>0.9846756428733617</x:v>
      </x:c>
      <x:c r="R1661" s="48" t="n">
        <x:v>0.8802029777944391</x:v>
      </x:c>
      <x:c r="S1661" s="29" t="n">
        <x:v>0</x:v>
      </x:c>
    </x:row>
    <x:row r="1662" ht="21.600000381469727" hidden="0" customHeight="1">
      <x:c r="A1662" s="27" t="n">
        <x:v>553</x:v>
      </x:c>
      <x:c r="B1662" s="27" t="str">
        <x:v>A2</x:v>
      </x:c>
      <x:c r="C1662" s="47" t="n">
        <x:v>1.0006321261298576</x:v>
      </x:c>
      <x:c r="D1662" s="47" t="n">
        <x:v>0.8191465350115369</x:v>
      </x:c>
      <x:c r="E1662" s="47" t="n">
        <x:v>0.8354248855073636</x:v>
      </x:c>
      <x:c r="F1662" s="47" t="n">
        <x:v>-0.04965155652029821</x:v>
      </x:c>
      <x:c r="G1662" s="47" t="n">
        <x:v>-0.07086617258358477</x:v>
      </x:c>
      <x:c r="H1662" s="47" t="n">
        <x:v>0.6788307563482319</x:v>
      </x:c>
      <x:c r="I1662" s="47" t="n">
        <x:v>0.8095288821430446</x:v>
      </x:c>
      <x:c r="J1662" s="47" t="n">
        <x:v>0.7952975242407812</x:v>
      </x:c>
      <x:c r="K1662" s="47" t="n">
        <x:v>0.7860040331068257</x:v>
      </x:c>
      <x:c r="L1662" s="47" t="n">
        <x:v>0.5914920068016679</x:v>
      </x:c>
      <x:c r="M1662" s="47" t="n">
        <x:v>0.1394094154839923</x:v>
      </x:c>
      <x:c r="N1662" s="47" t="n">
        <x:v>0.8900497585016001</x:v>
      </x:c>
      <x:c r="O1662" s="47" t="n">
        <x:v>0.9751468542898212</x:v>
      </x:c>
      <x:c r="P1662" s="47" t="n">
        <x:v>0.7704689154715076</x:v>
      </x:c>
      <x:c r="Q1662" s="47" t="n">
        <x:v>1</x:v>
      </x:c>
      <x:c r="R1662" s="47" t="n">
        <x:v>0.969310265909655</x:v>
      </x:c>
      <x:c r="S1662" s="27" t="n">
        <x:v>0</x:v>
      </x:c>
    </x:row>
    <x:row r="1663" ht="21.600000381469727" hidden="0" customHeight="1">
      <x:c r="A1663" s="29" t="n">
        <x:v>553</x:v>
      </x:c>
      <x:c r="B1663" s="29" t="str">
        <x:v>A3</x:v>
      </x:c>
      <x:c r="C1663" s="48" t="n">
        <x:v>1.0006321261298576</x:v>
      </x:c>
      <x:c r="D1663" s="48" t="n">
        <x:v>0.8191465350115369</x:v>
      </x:c>
      <x:c r="E1663" s="48" t="n">
        <x:v>0.8354248855073636</x:v>
      </x:c>
      <x:c r="F1663" s="48" t="n">
        <x:v>-0.04965155652029821</x:v>
      </x:c>
      <x:c r="G1663" s="48" t="n">
        <x:v>-0.07086617258358477</x:v>
      </x:c>
      <x:c r="H1663" s="48" t="n">
        <x:v>0.6788307563482319</x:v>
      </x:c>
      <x:c r="I1663" s="48" t="n">
        <x:v>0.8095288821430446</x:v>
      </x:c>
      <x:c r="J1663" s="48" t="n">
        <x:v>0.7952975242407812</x:v>
      </x:c>
      <x:c r="K1663" s="48" t="n">
        <x:v>0.7860040331068257</x:v>
      </x:c>
      <x:c r="L1663" s="48" t="n">
        <x:v>0.5914920068016679</x:v>
      </x:c>
      <x:c r="M1663" s="48" t="n">
        <x:v>0.1394094154839923</x:v>
      </x:c>
      <x:c r="N1663" s="48" t="n">
        <x:v>0.8900497585016001</x:v>
      </x:c>
      <x:c r="O1663" s="48" t="n">
        <x:v>1</x:v>
      </x:c>
      <x:c r="P1663" s="48" t="n">
        <x:v>1</x:v>
      </x:c>
      <x:c r="Q1663" s="48" t="n">
        <x:v>1</x:v>
      </x:c>
      <x:c r="R1663" s="48" t="n">
        <x:v>1</x:v>
      </x:c>
      <x:c r="S1663" s="29" t="n">
        <x:v>1</x:v>
      </x:c>
    </x:row>
    <x:row r="1664" ht="21.600000381469727" hidden="0" customHeight="1">
      <x:c r="A1664" s="27" t="n">
        <x:v>554</x:v>
      </x:c>
      <x:c r="B1664" s="27" t="str">
        <x:v>A1</x:v>
      </x:c>
      <x:c r="C1664" s="47" t="n">
        <x:v>1.0831784024247602</x:v>
      </x:c>
      <x:c r="D1664" s="47" t="n">
        <x:v>0.7405132150173012</x:v>
      </x:c>
      <x:c r="E1664" s="47" t="n">
        <x:v>0.4571494447914173</x:v>
      </x:c>
      <x:c r="F1664" s="47" t="n">
        <x:v>-0.008292457015669497</x:v>
      </x:c>
      <x:c r="G1664" s="47" t="n">
        <x:v>-0.11639852338030478</x:v>
      </x:c>
      <x:c r="H1664" s="47" t="n">
        <x:v>0.8161343977586852</x:v>
      </x:c>
      <x:c r="I1664" s="47" t="n">
        <x:v>0.8183571794347811</x:v>
      </x:c>
      <x:c r="J1664" s="47" t="n">
        <x:v>0.6480217952089851</x:v>
      </x:c>
      <x:c r="K1664" s="47" t="n">
        <x:v>0.8483636405897411</x:v>
      </x:c>
      <x:c r="L1664" s="47" t="n">
        <x:v>0.5180665010535592</x:v>
      </x:c>
      <x:c r="M1664" s="47" t="n">
        <x:v>0.04282543820953644</x:v>
      </x:c>
      <x:c r="N1664" s="47" t="n">
        <x:v>0.7987680951133311</x:v>
      </x:c>
      <x:c r="O1664" s="47" t="n">
        <x:v>0.7707236296784654</x:v>
      </x:c>
      <x:c r="P1664" s="47" t="n">
        <x:v>0.4968234522224177</x:v>
      </x:c>
      <x:c r="Q1664" s="47" t="n">
        <x:v>0.8914996420142752</x:v>
      </x:c>
      <x:c r="R1664" s="47" t="n">
        <x:v>0.7176854853256773</x:v>
      </x:c>
      <x:c r="S1664" s="27" t="n">
        <x:v>0</x:v>
      </x:c>
    </x:row>
    <x:row r="1665" ht="21.600000381469727" hidden="0" customHeight="1">
      <x:c r="A1665" s="29" t="n">
        <x:v>554</x:v>
      </x:c>
      <x:c r="B1665" s="29" t="str">
        <x:v>A2</x:v>
      </x:c>
      <x:c r="C1665" s="48" t="n">
        <x:v>1.0831784024247602</x:v>
      </x:c>
      <x:c r="D1665" s="48" t="n">
        <x:v>0.7405132150173012</x:v>
      </x:c>
      <x:c r="E1665" s="48" t="n">
        <x:v>0.4571494447914173</x:v>
      </x:c>
      <x:c r="F1665" s="48" t="n">
        <x:v>-0.008292457015669497</x:v>
      </x:c>
      <x:c r="G1665" s="48" t="n">
        <x:v>-0.11639852338030478</x:v>
      </x:c>
      <x:c r="H1665" s="48" t="n">
        <x:v>0.8161343977586852</x:v>
      </x:c>
      <x:c r="I1665" s="48" t="n">
        <x:v>0.8183571794347811</x:v>
      </x:c>
      <x:c r="J1665" s="48" t="n">
        <x:v>0.6480217952089851</x:v>
      </x:c>
      <x:c r="K1665" s="48" t="n">
        <x:v>0.8483636405897411</x:v>
      </x:c>
      <x:c r="L1665" s="48" t="n">
        <x:v>0.5180665010535592</x:v>
      </x:c>
      <x:c r="M1665" s="48" t="n">
        <x:v>0.04282543820953644</x:v>
      </x:c>
      <x:c r="N1665" s="48" t="n">
        <x:v>0.7987680951133311</x:v>
      </x:c>
      <x:c r="O1665" s="48" t="n">
        <x:v>0.8388250303188306</x:v>
      </x:c>
      <x:c r="P1665" s="48" t="n">
        <x:v>0.5364134604863449</x:v>
      </x:c>
      <x:c r="Q1665" s="48" t="n">
        <x:v>1</x:v>
      </x:c>
      <x:c r="R1665" s="48" t="n">
        <x:v>0.8009742098961465</x:v>
      </x:c>
      <x:c r="S1665" s="29" t="n">
        <x:v>0</x:v>
      </x:c>
    </x:row>
    <x:row r="1666" ht="21.600000381469727" hidden="0" customHeight="1">
      <x:c r="A1666" s="27" t="n">
        <x:v>554</x:v>
      </x:c>
      <x:c r="B1666" s="27" t="str">
        <x:v>A3</x:v>
      </x:c>
      <x:c r="C1666" s="47" t="n">
        <x:v>1.0831784024247602</x:v>
      </x:c>
      <x:c r="D1666" s="47" t="n">
        <x:v>0.7405132150173012</x:v>
      </x:c>
      <x:c r="E1666" s="47" t="n">
        <x:v>0.4571494447914173</x:v>
      </x:c>
      <x:c r="F1666" s="47" t="n">
        <x:v>-0.008292457015669497</x:v>
      </x:c>
      <x:c r="G1666" s="47" t="n">
        <x:v>-0.11639852338030478</x:v>
      </x:c>
      <x:c r="H1666" s="47" t="n">
        <x:v>0.8161343977586852</x:v>
      </x:c>
      <x:c r="I1666" s="47" t="n">
        <x:v>0.8183571794347811</x:v>
      </x:c>
      <x:c r="J1666" s="47" t="n">
        <x:v>0.6480217952089851</x:v>
      </x:c>
      <x:c r="K1666" s="47" t="n">
        <x:v>0.8483636405897411</x:v>
      </x:c>
      <x:c r="L1666" s="47" t="n">
        <x:v>0.5180665010535592</x:v>
      </x:c>
      <x:c r="M1666" s="47" t="n">
        <x:v>0.04282543820953644</x:v>
      </x:c>
      <x:c r="N1666" s="47" t="n">
        <x:v>0.7987680951133311</x:v>
      </x:c>
      <x:c r="O1666" s="47" t="n">
        <x:v>1</x:v>
      </x:c>
      <x:c r="P1666" s="47" t="n">
        <x:v>1</x:v>
      </x:c>
      <x:c r="Q1666" s="47" t="n">
        <x:v>1</x:v>
      </x:c>
      <x:c r="R1666" s="47" t="n">
        <x:v>1</x:v>
      </x:c>
      <x:c r="S1666" s="27" t="n">
        <x:v>1</x:v>
      </x:c>
    </x:row>
    <x:row r="1667" ht="21.600000381469727" hidden="0" customHeight="1">
      <x:c r="A1667" s="29" t="n">
        <x:v>555</x:v>
      </x:c>
      <x:c r="B1667" s="29" t="str">
        <x:v>A1</x:v>
      </x:c>
      <x:c r="C1667" s="48" t="n">
        <x:v>1.0010590977403357</x:v>
      </x:c>
      <x:c r="D1667" s="48" t="n">
        <x:v>0.8217496274748556</x:v>
      </x:c>
      <x:c r="E1667" s="48" t="n">
        <x:v>0.887135565344977</x:v>
      </x:c>
      <x:c r="F1667" s="48" t="n">
        <x:v>-0.12100386946224818</x:v>
      </x:c>
      <x:c r="G1667" s="48" t="n">
        <x:v>-0.04246456353159858</x:v>
      </x:c>
      <x:c r="H1667" s="48" t="n">
        <x:v>1.0151226075763347</x:v>
      </x:c>
      <x:c r="I1667" s="48" t="n">
        <x:v>0.7617033850088925</x:v>
      </x:c>
      <x:c r="J1667" s="48" t="n">
        <x:v>0.9168842271625849</x:v>
      </x:c>
      <x:c r="K1667" s="48" t="n">
        <x:v>0.849900207173633</x:v>
      </x:c>
      <x:c r="L1667" s="48" t="n">
        <x:v>0.7926689498454178</x:v>
      </x:c>
      <x:c r="M1667" s="48" t="n">
        <x:v>0.09040019003925932</x:v>
      </x:c>
      <x:c r="N1667" s="48" t="n">
        <x:v>0.7300145331812612</x:v>
      </x:c>
      <x:c r="O1667" s="48" t="n">
        <x:v>0.9106648528814774</x:v>
      </x:c>
      <x:c r="P1667" s="48" t="n">
        <x:v>0.5642372160091801</x:v>
      </x:c>
      <x:c r="Q1667" s="48" t="n">
        <x:v>1</x:v>
      </x:c>
      <x:c r="R1667" s="48" t="n">
        <x:v>0.8896851150369085</x:v>
      </x:c>
      <x:c r="S1667" s="29" t="n">
        <x:v>0</x:v>
      </x:c>
    </x:row>
    <x:row r="1668" ht="21.600000381469727" hidden="0" customHeight="1">
      <x:c r="A1668" s="27" t="n">
        <x:v>555</x:v>
      </x:c>
      <x:c r="B1668" s="27" t="str">
        <x:v>A2</x:v>
      </x:c>
      <x:c r="C1668" s="47" t="n">
        <x:v>1.0010590977403357</x:v>
      </x:c>
      <x:c r="D1668" s="47" t="n">
        <x:v>0.8217496274748556</x:v>
      </x:c>
      <x:c r="E1668" s="47" t="n">
        <x:v>0.887135565344977</x:v>
      </x:c>
      <x:c r="F1668" s="47" t="n">
        <x:v>-0.12100386946224818</x:v>
      </x:c>
      <x:c r="G1668" s="47" t="n">
        <x:v>-0.04246456353159858</x:v>
      </x:c>
      <x:c r="H1668" s="47" t="n">
        <x:v>1.0151226075763347</x:v>
      </x:c>
      <x:c r="I1668" s="47" t="n">
        <x:v>0.7617033850088925</x:v>
      </x:c>
      <x:c r="J1668" s="47" t="n">
        <x:v>0.9168842271625849</x:v>
      </x:c>
      <x:c r="K1668" s="47" t="n">
        <x:v>0.849900207173633</x:v>
      </x:c>
      <x:c r="L1668" s="47" t="n">
        <x:v>0.7926689498454178</x:v>
      </x:c>
      <x:c r="M1668" s="47" t="n">
        <x:v>0.09040019003925932</x:v>
      </x:c>
      <x:c r="N1668" s="47" t="n">
        <x:v>0.7300145331812612</x:v>
      </x:c>
      <x:c r="O1668" s="47" t="n">
        <x:v>0.9732670580919095</x:v>
      </x:c>
      <x:c r="P1668" s="47" t="n">
        <x:v>0.773515539677668</x:v>
      </x:c>
      <x:c r="Q1668" s="47" t="n">
        <x:v>1</x:v>
      </x:c>
      <x:c r="R1668" s="47" t="n">
        <x:v>0.9669890126513873</x:v>
      </x:c>
      <x:c r="S1668" s="27" t="n">
        <x:v>0</x:v>
      </x:c>
    </x:row>
    <x:row r="1669" ht="21.600000381469727" hidden="0" customHeight="1">
      <x:c r="A1669" s="29" t="n">
        <x:v>555</x:v>
      </x:c>
      <x:c r="B1669" s="29" t="str">
        <x:v>A3</x:v>
      </x:c>
      <x:c r="C1669" s="48" t="n">
        <x:v>1.0010590977403357</x:v>
      </x:c>
      <x:c r="D1669" s="48" t="n">
        <x:v>0.8217496274748556</x:v>
      </x:c>
      <x:c r="E1669" s="48" t="n">
        <x:v>0.887135565344977</x:v>
      </x:c>
      <x:c r="F1669" s="48" t="n">
        <x:v>-0.12100386946224818</x:v>
      </x:c>
      <x:c r="G1669" s="48" t="n">
        <x:v>-0.04246456353159858</x:v>
      </x:c>
      <x:c r="H1669" s="48" t="n">
        <x:v>1.0151226075763347</x:v>
      </x:c>
      <x:c r="I1669" s="48" t="n">
        <x:v>0.7617033850088925</x:v>
      </x:c>
      <x:c r="J1669" s="48" t="n">
        <x:v>0.9168842271625849</x:v>
      </x:c>
      <x:c r="K1669" s="48" t="n">
        <x:v>0.849900207173633</x:v>
      </x:c>
      <x:c r="L1669" s="48" t="n">
        <x:v>0.7926689498454178</x:v>
      </x:c>
      <x:c r="M1669" s="48" t="n">
        <x:v>0.09040019003925932</x:v>
      </x:c>
      <x:c r="N1669" s="48" t="n">
        <x:v>0.7300145331812612</x:v>
      </x:c>
      <x:c r="O1669" s="48" t="n">
        <x:v>1</x:v>
      </x:c>
      <x:c r="P1669" s="48" t="n">
        <x:v>1</x:v>
      </x:c>
      <x:c r="Q1669" s="48" t="n">
        <x:v>1</x:v>
      </x:c>
      <x:c r="R1669" s="48" t="n">
        <x:v>1</x:v>
      </x:c>
      <x:c r="S1669" s="29" t="n">
        <x:v>1</x:v>
      </x:c>
    </x:row>
    <x:row r="1670" ht="21.600000381469727" hidden="0" customHeight="1">
      <x:c r="A1670" s="27" t="n">
        <x:v>556</x:v>
      </x:c>
      <x:c r="B1670" s="27" t="str">
        <x:v>A1</x:v>
      </x:c>
      <x:c r="C1670" s="47" t="n">
        <x:v>1.0035404962906938</x:v>
      </x:c>
      <x:c r="D1670" s="47" t="n">
        <x:v>0.7231538209019831</x:v>
      </x:c>
      <x:c r="E1670" s="47" t="n">
        <x:v>1.0752479995329365</x:v>
      </x:c>
      <x:c r="F1670" s="47" t="n">
        <x:v>-0.05212668312797619</x:v>
      </x:c>
      <x:c r="G1670" s="47" t="n">
        <x:v>-0.02011391657358713</x:v>
      </x:c>
      <x:c r="H1670" s="47" t="n">
        <x:v>0.7009993423743809</x:v>
      </x:c>
      <x:c r="I1670" s="47" t="n">
        <x:v>0.9233113616599713</x:v>
      </x:c>
      <x:c r="J1670" s="47" t="n">
        <x:v>0.5790700644163056</x:v>
      </x:c>
      <x:c r="K1670" s="47" t="n">
        <x:v>0.9706073687491359</x:v>
      </x:c>
      <x:c r="L1670" s="47" t="n">
        <x:v>0.7186154328043707</x:v>
      </x:c>
      <x:c r="M1670" s="47" t="n">
        <x:v>0.10698095188515322</x:v>
      </x:c>
      <x:c r="N1670" s="47" t="n">
        <x:v>0.83804832289133</x:v>
      </x:c>
      <x:c r="O1670" s="47" t="n">
        <x:v>0.8502660359953431</x:v>
      </x:c>
      <x:c r="P1670" s="47" t="n">
        <x:v>0.5291037947381861</x:v>
      </x:c>
      <x:c r="Q1670" s="47" t="n">
        <x:v>1</x:v>
      </x:c>
      <x:c r="R1670" s="47" t="n">
        <x:v>0.8151020561669102</x:v>
      </x:c>
      <x:c r="S1670" s="27" t="n">
        <x:v>0</x:v>
      </x:c>
    </x:row>
    <x:row r="1671" ht="21.600000381469727" hidden="0" customHeight="1">
      <x:c r="A1671" s="29" t="n">
        <x:v>556</x:v>
      </x:c>
      <x:c r="B1671" s="29" t="str">
        <x:v>A2</x:v>
      </x:c>
      <x:c r="C1671" s="48" t="n">
        <x:v>1.0035404962906938</x:v>
      </x:c>
      <x:c r="D1671" s="48" t="n">
        <x:v>0.7231538209019831</x:v>
      </x:c>
      <x:c r="E1671" s="48" t="n">
        <x:v>1.0752479995329365</x:v>
      </x:c>
      <x:c r="F1671" s="48" t="n">
        <x:v>-0.05212668312797619</x:v>
      </x:c>
      <x:c r="G1671" s="48" t="n">
        <x:v>-0.02011391657358713</x:v>
      </x:c>
      <x:c r="H1671" s="48" t="n">
        <x:v>0.7009993423743809</x:v>
      </x:c>
      <x:c r="I1671" s="48" t="n">
        <x:v>0.9233113616599713</x:v>
      </x:c>
      <x:c r="J1671" s="48" t="n">
        <x:v>0.5790700644163056</x:v>
      </x:c>
      <x:c r="K1671" s="48" t="n">
        <x:v>0.9706073687491359</x:v>
      </x:c>
      <x:c r="L1671" s="48" t="n">
        <x:v>0.7186154328043707</x:v>
      </x:c>
      <x:c r="M1671" s="48" t="n">
        <x:v>0.10698095188515322</x:v>
      </x:c>
      <x:c r="N1671" s="48" t="n">
        <x:v>0.83804832289133</x:v>
      </x:c>
      <x:c r="O1671" s="48" t="n">
        <x:v>0.9264487226895688</x:v>
      </x:c>
      <x:c r="P1671" s="48" t="n">
        <x:v>0.5353890383298827</x:v>
      </x:c>
      <x:c r="Q1671" s="48" t="n">
        <x:v>1</x:v>
      </x:c>
      <x:c r="R1671" s="48" t="n">
        <x:v>0.9091757168695997</x:v>
      </x:c>
      <x:c r="S1671" s="29" t="n">
        <x:v>0</x:v>
      </x:c>
    </x:row>
    <x:row r="1672" ht="21.600000381469727" hidden="0" customHeight="1">
      <x:c r="A1672" s="27" t="n">
        <x:v>556</x:v>
      </x:c>
      <x:c r="B1672" s="27" t="str">
        <x:v>A3</x:v>
      </x:c>
      <x:c r="C1672" s="47" t="n">
        <x:v>1.0035404962906938</x:v>
      </x:c>
      <x:c r="D1672" s="47" t="n">
        <x:v>0.7231538209019831</x:v>
      </x:c>
      <x:c r="E1672" s="47" t="n">
        <x:v>1.0752479995329365</x:v>
      </x:c>
      <x:c r="F1672" s="47" t="n">
        <x:v>-0.05212668312797619</x:v>
      </x:c>
      <x:c r="G1672" s="47" t="n">
        <x:v>-0.02011391657358713</x:v>
      </x:c>
      <x:c r="H1672" s="47" t="n">
        <x:v>0.7009993423743809</x:v>
      </x:c>
      <x:c r="I1672" s="47" t="n">
        <x:v>0.9233113616599713</x:v>
      </x:c>
      <x:c r="J1672" s="47" t="n">
        <x:v>0.5790700644163056</x:v>
      </x:c>
      <x:c r="K1672" s="47" t="n">
        <x:v>0.9706073687491359</x:v>
      </x:c>
      <x:c r="L1672" s="47" t="n">
        <x:v>0.7186154328043707</x:v>
      </x:c>
      <x:c r="M1672" s="47" t="n">
        <x:v>0.10698095188515322</x:v>
      </x:c>
      <x:c r="N1672" s="47" t="n">
        <x:v>0.83804832289133</x:v>
      </x:c>
      <x:c r="O1672" s="47" t="n">
        <x:v>1</x:v>
      </x:c>
      <x:c r="P1672" s="47" t="n">
        <x:v>1</x:v>
      </x:c>
      <x:c r="Q1672" s="47" t="n">
        <x:v>1</x:v>
      </x:c>
      <x:c r="R1672" s="47" t="n">
        <x:v>1</x:v>
      </x:c>
      <x:c r="S1672" s="27" t="n">
        <x:v>1</x:v>
      </x:c>
    </x:row>
    <x:row r="1673" ht="21.600000381469727" hidden="0" customHeight="1">
      <x:c r="A1673" s="29" t="n">
        <x:v>557</x:v>
      </x:c>
      <x:c r="B1673" s="29" t="str">
        <x:v>A1</x:v>
      </x:c>
      <x:c r="C1673" s="48" t="n">
        <x:v>1.341734767767293</x:v>
      </x:c>
      <x:c r="D1673" s="48" t="n">
        <x:v>0.9251343474531413</x:v>
      </x:c>
      <x:c r="E1673" s="48" t="n">
        <x:v>0.8845794835369789</x:v>
      </x:c>
      <x:c r="F1673" s="48" t="n">
        <x:v>-0.020111419225620403</x:v>
      </x:c>
      <x:c r="G1673" s="48" t="n">
        <x:v>-0.18074708833667147</x:v>
      </x:c>
      <x:c r="H1673" s="48" t="n">
        <x:v>0.8836961639952292</x:v>
      </x:c>
      <x:c r="I1673" s="48" t="n">
        <x:v>0.9124452177374277</x:v>
      </x:c>
      <x:c r="J1673" s="48" t="n">
        <x:v>0.5853797877101045</x:v>
      </x:c>
      <x:c r="K1673" s="48" t="n">
        <x:v>0.9160284603889592</x:v>
      </x:c>
      <x:c r="L1673" s="48" t="n">
        <x:v>0.6340158164257765</x:v>
      </x:c>
      <x:c r="M1673" s="48" t="n">
        <x:v>0.17845949651241602</x:v>
      </x:c>
      <x:c r="N1673" s="48" t="n">
        <x:v>0.6940447859401716</x:v>
      </x:c>
      <x:c r="O1673" s="48" t="n">
        <x:v>0.8104180696323343</x:v>
      </x:c>
      <x:c r="P1673" s="48" t="n">
        <x:v>0.5374528170792666</x:v>
      </x:c>
      <x:c r="Q1673" s="48" t="n">
        <x:v>1</x:v>
      </x:c>
      <x:c r="R1673" s="48" t="n">
        <x:v>0.7658960721042611</x:v>
      </x:c>
      <x:c r="S1673" s="29" t="n">
        <x:v>0</x:v>
      </x:c>
    </x:row>
    <x:row r="1674" ht="21.600000381469727" hidden="0" customHeight="1">
      <x:c r="A1674" s="27" t="n">
        <x:v>557</x:v>
      </x:c>
      <x:c r="B1674" s="27" t="str">
        <x:v>A2</x:v>
      </x:c>
      <x:c r="C1674" s="47" t="n">
        <x:v>1.341734767767293</x:v>
      </x:c>
      <x:c r="D1674" s="47" t="n">
        <x:v>0.9251343474531413</x:v>
      </x:c>
      <x:c r="E1674" s="47" t="n">
        <x:v>0.8845794835369789</x:v>
      </x:c>
      <x:c r="F1674" s="47" t="n">
        <x:v>-0.020111419225620403</x:v>
      </x:c>
      <x:c r="G1674" s="47" t="n">
        <x:v>-0.18074708833667147</x:v>
      </x:c>
      <x:c r="H1674" s="47" t="n">
        <x:v>0.8836961639952292</x:v>
      </x:c>
      <x:c r="I1674" s="47" t="n">
        <x:v>0.9124452177374277</x:v>
      </x:c>
      <x:c r="J1674" s="47" t="n">
        <x:v>0.5853797877101045</x:v>
      </x:c>
      <x:c r="K1674" s="47" t="n">
        <x:v>0.9160284603889592</x:v>
      </x:c>
      <x:c r="L1674" s="47" t="n">
        <x:v>0.6340158164257765</x:v>
      </x:c>
      <x:c r="M1674" s="47" t="n">
        <x:v>0.17845949651241602</x:v>
      </x:c>
      <x:c r="N1674" s="47" t="n">
        <x:v>0.6940447859401716</x:v>
      </x:c>
      <x:c r="O1674" s="47" t="n">
        <x:v>0.8806063631569668</x:v>
      </x:c>
      <x:c r="P1674" s="47" t="n">
        <x:v>0.5825058084424206</x:v>
      </x:c>
      <x:c r="Q1674" s="47" t="n">
        <x:v>1</x:v>
      </x:c>
      <x:c r="R1674" s="47" t="n">
        <x:v>0.8525675981012238</x:v>
      </x:c>
      <x:c r="S1674" s="27" t="n">
        <x:v>0</x:v>
      </x:c>
    </x:row>
    <x:row r="1675" ht="21.600000381469727" hidden="0" customHeight="1">
      <x:c r="A1675" s="29" t="n">
        <x:v>557</x:v>
      </x:c>
      <x:c r="B1675" s="29" t="str">
        <x:v>A3</x:v>
      </x:c>
      <x:c r="C1675" s="48" t="n">
        <x:v>1.341734767767293</x:v>
      </x:c>
      <x:c r="D1675" s="48" t="n">
        <x:v>0.9251343474531413</x:v>
      </x:c>
      <x:c r="E1675" s="48" t="n">
        <x:v>0.8845794835369789</x:v>
      </x:c>
      <x:c r="F1675" s="48" t="n">
        <x:v>-0.020111419225620403</x:v>
      </x:c>
      <x:c r="G1675" s="48" t="n">
        <x:v>-0.18074708833667147</x:v>
      </x:c>
      <x:c r="H1675" s="48" t="n">
        <x:v>0.8836961639952292</x:v>
      </x:c>
      <x:c r="I1675" s="48" t="n">
        <x:v>0.9124452177374277</x:v>
      </x:c>
      <x:c r="J1675" s="48" t="n">
        <x:v>0.5853797877101045</x:v>
      </x:c>
      <x:c r="K1675" s="48" t="n">
        <x:v>0.9160284603889592</x:v>
      </x:c>
      <x:c r="L1675" s="48" t="n">
        <x:v>0.6340158164257765</x:v>
      </x:c>
      <x:c r="M1675" s="48" t="n">
        <x:v>0.17845949651241602</x:v>
      </x:c>
      <x:c r="N1675" s="48" t="n">
        <x:v>0.6940447859401716</x:v>
      </x:c>
      <x:c r="O1675" s="48" t="n">
        <x:v>1</x:v>
      </x:c>
      <x:c r="P1675" s="48" t="n">
        <x:v>1</x:v>
      </x:c>
      <x:c r="Q1675" s="48" t="n">
        <x:v>1</x:v>
      </x:c>
      <x:c r="R1675" s="48" t="n">
        <x:v>1</x:v>
      </x:c>
      <x:c r="S1675" s="29" t="n">
        <x:v>1</x:v>
      </x:c>
    </x:row>
    <x:row r="1676" ht="21.600000381469727" hidden="0" customHeight="1">
      <x:c r="A1676" s="27" t="n">
        <x:v>558</x:v>
      </x:c>
      <x:c r="B1676" s="27" t="str">
        <x:v>A1</x:v>
      </x:c>
      <x:c r="C1676" s="47" t="n">
        <x:v>0.9790301037610013</x:v>
      </x:c>
      <x:c r="D1676" s="47" t="n">
        <x:v>0.8984452911657458</x:v>
      </x:c>
      <x:c r="E1676" s="47" t="n">
        <x:v>0.6932729044321334</x:v>
      </x:c>
      <x:c r="F1676" s="47" t="n">
        <x:v>-0.0373719436144721</x:v>
      </x:c>
      <x:c r="G1676" s="47" t="n">
        <x:v>-0.16977822688652644</x:v>
      </x:c>
      <x:c r="H1676" s="47" t="n">
        <x:v>0.7325700943770816</x:v>
      </x:c>
      <x:c r="I1676" s="47" t="n">
        <x:v>0.8252669590600608</x:v>
      </x:c>
      <x:c r="J1676" s="47" t="n">
        <x:v>0.6336407366536375</x:v>
      </x:c>
      <x:c r="K1676" s="47" t="n">
        <x:v>0.8052366158950494</x:v>
      </x:c>
      <x:c r="L1676" s="47" t="n">
        <x:v>0.9157764634470895</x:v>
      </x:c>
      <x:c r="M1676" s="47" t="n">
        <x:v>0.08478667149460624</x:v>
      </x:c>
      <x:c r="N1676" s="47" t="n">
        <x:v>0.7524483597992209</x:v>
      </x:c>
      <x:c r="O1676" s="47" t="n">
        <x:v>0.935120618840738</x:v>
      </x:c>
      <x:c r="P1676" s="47" t="n">
        <x:v>0.7638791769245867</x:v>
      </x:c>
      <x:c r="Q1676" s="47" t="n">
        <x:v>1</x:v>
      </x:c>
      <x:c r="R1676" s="47" t="n">
        <x:v>0.9198841475061882</x:v>
      </x:c>
      <x:c r="S1676" s="27" t="n">
        <x:v>0</x:v>
      </x:c>
    </x:row>
    <x:row r="1677" ht="21.600000381469727" hidden="0" customHeight="1">
      <x:c r="A1677" s="29" t="n">
        <x:v>558</x:v>
      </x:c>
      <x:c r="B1677" s="29" t="str">
        <x:v>A2</x:v>
      </x:c>
      <x:c r="C1677" s="48" t="n">
        <x:v>0.9790301037610013</x:v>
      </x:c>
      <x:c r="D1677" s="48" t="n">
        <x:v>0.8984452911657458</x:v>
      </x:c>
      <x:c r="E1677" s="48" t="n">
        <x:v>0.6932729044321334</x:v>
      </x:c>
      <x:c r="F1677" s="48" t="n">
        <x:v>-0.0373719436144721</x:v>
      </x:c>
      <x:c r="G1677" s="48" t="n">
        <x:v>-0.16977822688652644</x:v>
      </x:c>
      <x:c r="H1677" s="48" t="n">
        <x:v>0.7325700943770816</x:v>
      </x:c>
      <x:c r="I1677" s="48" t="n">
        <x:v>0.8252669590600608</x:v>
      </x:c>
      <x:c r="J1677" s="48" t="n">
        <x:v>0.6336407366536375</x:v>
      </x:c>
      <x:c r="K1677" s="48" t="n">
        <x:v>0.8052366158950494</x:v>
      </x:c>
      <x:c r="L1677" s="48" t="n">
        <x:v>0.9157764634470895</x:v>
      </x:c>
      <x:c r="M1677" s="48" t="n">
        <x:v>0.08478667149460624</x:v>
      </x:c>
      <x:c r="N1677" s="48" t="n">
        <x:v>0.7524483597992209</x:v>
      </x:c>
      <x:c r="O1677" s="48" t="n">
        <x:v>0.9994883318990774</x:v>
      </x:c>
      <x:c r="P1677" s="48" t="n">
        <x:v>0.994883318990775</x:v>
      </x:c>
      <x:c r="Q1677" s="48" t="n">
        <x:v>1</x:v>
      </x:c>
      <x:c r="R1677" s="48" t="n">
        <x:v>0.9993681702049737</x:v>
      </x:c>
      <x:c r="S1677" s="29" t="n">
        <x:v>1</x:v>
      </x:c>
    </x:row>
    <x:row r="1678" ht="21.600000381469727" hidden="0" customHeight="1">
      <x:c r="A1678" s="27" t="n">
        <x:v>558</x:v>
      </x:c>
      <x:c r="B1678" s="27" t="str">
        <x:v>A3</x:v>
      </x:c>
      <x:c r="C1678" s="47" t="n">
        <x:v>0.9790301037610013</x:v>
      </x:c>
      <x:c r="D1678" s="47" t="n">
        <x:v>0.8984452911657458</x:v>
      </x:c>
      <x:c r="E1678" s="47" t="n">
        <x:v>0.6932729044321334</x:v>
      </x:c>
      <x:c r="F1678" s="47" t="n">
        <x:v>-0.0373719436144721</x:v>
      </x:c>
      <x:c r="G1678" s="47" t="n">
        <x:v>-0.16977822688652644</x:v>
      </x:c>
      <x:c r="H1678" s="47" t="n">
        <x:v>0.7325700943770816</x:v>
      </x:c>
      <x:c r="I1678" s="47" t="n">
        <x:v>0.8252669590600608</x:v>
      </x:c>
      <x:c r="J1678" s="47" t="n">
        <x:v>0.6336407366536375</x:v>
      </x:c>
      <x:c r="K1678" s="47" t="n">
        <x:v>0.8052366158950494</x:v>
      </x:c>
      <x:c r="L1678" s="47" t="n">
        <x:v>0.9157764634470895</x:v>
      </x:c>
      <x:c r="M1678" s="47" t="n">
        <x:v>0.08478667149460624</x:v>
      </x:c>
      <x:c r="N1678" s="47" t="n">
        <x:v>0.7524483597992209</x:v>
      </x:c>
      <x:c r="O1678" s="47" t="n">
        <x:v>1</x:v>
      </x:c>
      <x:c r="P1678" s="47" t="n">
        <x:v>1</x:v>
      </x:c>
      <x:c r="Q1678" s="47" t="n">
        <x:v>1</x:v>
      </x:c>
      <x:c r="R1678" s="47" t="n">
        <x:v>1</x:v>
      </x:c>
      <x:c r="S1678" s="27" t="n">
        <x:v>1</x:v>
      </x:c>
    </x:row>
    <x:row r="1679" ht="21.600000381469727" hidden="0" customHeight="1">
      <x:c r="A1679" s="29" t="n">
        <x:v>559</x:v>
      </x:c>
      <x:c r="B1679" s="29" t="str">
        <x:v>A1</x:v>
      </x:c>
      <x:c r="C1679" s="48" t="n">
        <x:v>1.0152096132742336</x:v>
      </x:c>
      <x:c r="D1679" s="48" t="n">
        <x:v>0.8910315005776028</x:v>
      </x:c>
      <x:c r="E1679" s="48" t="n">
        <x:v>0.9693415275193327</x:v>
      </x:c>
      <x:c r="F1679" s="48" t="n">
        <x:v>-0.0863434103148959</x:v>
      </x:c>
      <x:c r="G1679" s="48" t="n">
        <x:v>-0.16710666532075552</x:v>
      </x:c>
      <x:c r="H1679" s="48" t="n">
        <x:v>0.4449816557705817</x:v>
      </x:c>
      <x:c r="I1679" s="48" t="n">
        <x:v>0.6851515873548786</x:v>
      </x:c>
      <x:c r="J1679" s="48" t="n">
        <x:v>0.9121543260563514</x:v>
      </x:c>
      <x:c r="K1679" s="48" t="n">
        <x:v>0.8488357243257239</x:v>
      </x:c>
      <x:c r="L1679" s="48" t="n">
        <x:v>0.6226611652790147</x:v>
      </x:c>
      <x:c r="M1679" s="48" t="n">
        <x:v>0.03619673348754305</x:v>
      </x:c>
      <x:c r="N1679" s="48" t="n">
        <x:v>0.789684907699247</x:v>
      </x:c>
      <x:c r="O1679" s="48" t="n">
        <x:v>0.9093805049135082</x:v>
      </x:c>
      <x:c r="P1679" s="48" t="n">
        <x:v>0.610252354403533</x:v>
      </x:c>
      <x:c r="Q1679" s="48" t="n">
        <x:v>1</x:v>
      </x:c>
      <x:c r="R1679" s="48" t="n">
        <x:v>0.8880991468831747</x:v>
      </x:c>
      <x:c r="S1679" s="29" t="n">
        <x:v>0</x:v>
      </x:c>
    </x:row>
    <x:row r="1680" ht="21.600000381469727" hidden="0" customHeight="1">
      <x:c r="A1680" s="27" t="n">
        <x:v>559</x:v>
      </x:c>
      <x:c r="B1680" s="27" t="str">
        <x:v>A2</x:v>
      </x:c>
      <x:c r="C1680" s="47" t="n">
        <x:v>1.0152096132742336</x:v>
      </x:c>
      <x:c r="D1680" s="47" t="n">
        <x:v>0.8910315005776028</x:v>
      </x:c>
      <x:c r="E1680" s="47" t="n">
        <x:v>0.9693415275193327</x:v>
      </x:c>
      <x:c r="F1680" s="47" t="n">
        <x:v>-0.0863434103148959</x:v>
      </x:c>
      <x:c r="G1680" s="47" t="n">
        <x:v>-0.16710666532075552</x:v>
      </x:c>
      <x:c r="H1680" s="47" t="n">
        <x:v>0.4449816557705817</x:v>
      </x:c>
      <x:c r="I1680" s="47" t="n">
        <x:v>0.6851515873548786</x:v>
      </x:c>
      <x:c r="J1680" s="47" t="n">
        <x:v>0.9121543260563514</x:v>
      </x:c>
      <x:c r="K1680" s="47" t="n">
        <x:v>0.8488357243257239</x:v>
      </x:c>
      <x:c r="L1680" s="47" t="n">
        <x:v>0.6226611652790147</x:v>
      </x:c>
      <x:c r="M1680" s="47" t="n">
        <x:v>0.03619673348754305</x:v>
      </x:c>
      <x:c r="N1680" s="47" t="n">
        <x:v>0.789684907699247</x:v>
      </x:c>
      <x:c r="O1680" s="47" t="n">
        <x:v>0.9594070937117908</x:v>
      </x:c>
      <x:c r="P1680" s="47" t="n">
        <x:v>0.7601368067723663</x:v>
      </x:c>
      <x:c r="Q1680" s="47" t="n">
        <x:v>1</x:v>
      </x:c>
      <x:c r="R1680" s="47" t="n">
        <x:v>0.9498741320528603</x:v>
      </x:c>
      <x:c r="S1680" s="27" t="n">
        <x:v>0</x:v>
      </x:c>
    </x:row>
    <x:row r="1681" ht="21.600000381469727" hidden="0" customHeight="1">
      <x:c r="A1681" s="29" t="n">
        <x:v>559</x:v>
      </x:c>
      <x:c r="B1681" s="29" t="str">
        <x:v>A3</x:v>
      </x:c>
      <x:c r="C1681" s="48" t="n">
        <x:v>1.0152096132742336</x:v>
      </x:c>
      <x:c r="D1681" s="48" t="n">
        <x:v>0.8910315005776028</x:v>
      </x:c>
      <x:c r="E1681" s="48" t="n">
        <x:v>0.9693415275193327</x:v>
      </x:c>
      <x:c r="F1681" s="48" t="n">
        <x:v>-0.0863434103148959</x:v>
      </x:c>
      <x:c r="G1681" s="48" t="n">
        <x:v>-0.16710666532075552</x:v>
      </x:c>
      <x:c r="H1681" s="48" t="n">
        <x:v>0.4449816557705817</x:v>
      </x:c>
      <x:c r="I1681" s="48" t="n">
        <x:v>0.6851515873548786</x:v>
      </x:c>
      <x:c r="J1681" s="48" t="n">
        <x:v>0.9121543260563514</x:v>
      </x:c>
      <x:c r="K1681" s="48" t="n">
        <x:v>0.8488357243257239</x:v>
      </x:c>
      <x:c r="L1681" s="48" t="n">
        <x:v>0.6226611652790147</x:v>
      </x:c>
      <x:c r="M1681" s="48" t="n">
        <x:v>0.03619673348754305</x:v>
      </x:c>
      <x:c r="N1681" s="48" t="n">
        <x:v>0.789684907699247</x:v>
      </x:c>
      <x:c r="O1681" s="48" t="n">
        <x:v>1</x:v>
      </x:c>
      <x:c r="P1681" s="48" t="n">
        <x:v>1</x:v>
      </x:c>
      <x:c r="Q1681" s="48" t="n">
        <x:v>1</x:v>
      </x:c>
      <x:c r="R1681" s="48" t="n">
        <x:v>1</x:v>
      </x:c>
      <x:c r="S1681" s="29" t="n">
        <x:v>1</x:v>
      </x:c>
    </x:row>
    <x:row r="1682" ht="21.600000381469727" hidden="0" customHeight="1">
      <x:c r="A1682" s="27" t="n">
        <x:v>560</x:v>
      </x:c>
      <x:c r="B1682" s="27" t="str">
        <x:v>A1</x:v>
      </x:c>
      <x:c r="C1682" s="47" t="n">
        <x:v>1.2854784562335415</x:v>
      </x:c>
      <x:c r="D1682" s="47" t="n">
        <x:v>0.7622278628347073</x:v>
      </x:c>
      <x:c r="E1682" s="47" t="n">
        <x:v>0.5527134644372117</x:v>
      </x:c>
      <x:c r="F1682" s="47" t="n">
        <x:v>-0.07915375630077635</x:v>
      </x:c>
      <x:c r="G1682" s="47" t="n">
        <x:v>-0.17733919379415497</x:v>
      </x:c>
      <x:c r="H1682" s="47" t="n">
        <x:v>0.6721135147598911</x:v>
      </x:c>
      <x:c r="I1682" s="47" t="n">
        <x:v>0.6411313292560931</x:v>
      </x:c>
      <x:c r="J1682" s="47" t="n">
        <x:v>0.6528394364796054</x:v>
      </x:c>
      <x:c r="K1682" s="47" t="n">
        <x:v>0.567817877827797</x:v>
      </x:c>
      <x:c r="L1682" s="47" t="n">
        <x:v>0.9495962373459252</x:v>
      </x:c>
      <x:c r="M1682" s="47" t="n">
        <x:v>0.1551697364607388</x:v>
      </x:c>
      <x:c r="N1682" s="47" t="n">
        <x:v>0.8388976024548335</x:v>
      </x:c>
      <x:c r="O1682" s="47" t="n">
        <x:v>0.7038672152026658</x:v>
      </x:c>
      <x:c r="P1682" s="47" t="n">
        <x:v>0.38495259925019887</x:v>
      </x:c>
      <x:c r="Q1682" s="47" t="n">
        <x:v>0.9123693368052866</x:v>
      </x:c>
      <x:c r="R1682" s="47" t="n">
        <x:v>0.6359542412630651</x:v>
      </x:c>
      <x:c r="S1682" s="27" t="n">
        <x:v>0</x:v>
      </x:c>
    </x:row>
    <x:row r="1683" ht="21.600000381469727" hidden="0" customHeight="1">
      <x:c r="A1683" s="29" t="n">
        <x:v>560</x:v>
      </x:c>
      <x:c r="B1683" s="29" t="str">
        <x:v>A2</x:v>
      </x:c>
      <x:c r="C1683" s="48" t="n">
        <x:v>1.2854784562335415</x:v>
      </x:c>
      <x:c r="D1683" s="48" t="n">
        <x:v>0.7622278628347073</x:v>
      </x:c>
      <x:c r="E1683" s="48" t="n">
        <x:v>0.5527134644372117</x:v>
      </x:c>
      <x:c r="F1683" s="48" t="n">
        <x:v>-0.07915375630077635</x:v>
      </x:c>
      <x:c r="G1683" s="48" t="n">
        <x:v>-0.17733919379415497</x:v>
      </x:c>
      <x:c r="H1683" s="48" t="n">
        <x:v>0.6721135147598911</x:v>
      </x:c>
      <x:c r="I1683" s="48" t="n">
        <x:v>0.6411313292560931</x:v>
      </x:c>
      <x:c r="J1683" s="48" t="n">
        <x:v>0.6528394364796054</x:v>
      </x:c>
      <x:c r="K1683" s="48" t="n">
        <x:v>0.567817877827797</x:v>
      </x:c>
      <x:c r="L1683" s="48" t="n">
        <x:v>0.9495962373459252</x:v>
      </x:c>
      <x:c r="M1683" s="48" t="n">
        <x:v>0.1551697364607388</x:v>
      </x:c>
      <x:c r="N1683" s="48" t="n">
        <x:v>0.8388976024548335</x:v>
      </x:c>
      <x:c r="O1683" s="48" t="n">
        <x:v>0.7728582843111145</x:v>
      </x:c>
      <x:c r="P1683" s="48" t="n">
        <x:v>0.44717527445632815</x:v>
      </x:c>
      <x:c r="Q1683" s="48" t="n">
        <x:v>1</x:v>
      </x:c>
      <x:c r="R1683" s="48" t="n">
        <x:v>0.719515632483429</x:v>
      </x:c>
      <x:c r="S1683" s="29" t="n">
        <x:v>0</x:v>
      </x:c>
    </x:row>
    <x:row r="1684" ht="21.600000381469727" hidden="0" customHeight="1">
      <x:c r="A1684" s="27" t="n">
        <x:v>560</x:v>
      </x:c>
      <x:c r="B1684" s="27" t="str">
        <x:v>A3</x:v>
      </x:c>
      <x:c r="C1684" s="47" t="n">
        <x:v>1.2854784562335415</x:v>
      </x:c>
      <x:c r="D1684" s="47" t="n">
        <x:v>0.7622278628347073</x:v>
      </x:c>
      <x:c r="E1684" s="47" t="n">
        <x:v>0.5527134644372117</x:v>
      </x:c>
      <x:c r="F1684" s="47" t="n">
        <x:v>-0.07915375630077635</x:v>
      </x:c>
      <x:c r="G1684" s="47" t="n">
        <x:v>-0.17733919379415497</x:v>
      </x:c>
      <x:c r="H1684" s="47" t="n">
        <x:v>0.6721135147598911</x:v>
      </x:c>
      <x:c r="I1684" s="47" t="n">
        <x:v>0.6411313292560931</x:v>
      </x:c>
      <x:c r="J1684" s="47" t="n">
        <x:v>0.6528394364796054</x:v>
      </x:c>
      <x:c r="K1684" s="47" t="n">
        <x:v>0.567817877827797</x:v>
      </x:c>
      <x:c r="L1684" s="47" t="n">
        <x:v>0.9495962373459252</x:v>
      </x:c>
      <x:c r="M1684" s="47" t="n">
        <x:v>0.1551697364607388</x:v>
      </x:c>
      <x:c r="N1684" s="47" t="n">
        <x:v>0.8388976024548335</x:v>
      </x:c>
      <x:c r="O1684" s="47" t="n">
        <x:v>1</x:v>
      </x:c>
      <x:c r="P1684" s="47" t="n">
        <x:v>1</x:v>
      </x:c>
      <x:c r="Q1684" s="47" t="n">
        <x:v>1</x:v>
      </x:c>
      <x:c r="R1684" s="47" t="n">
        <x:v>1</x:v>
      </x:c>
      <x:c r="S1684" s="27" t="n">
        <x:v>1</x:v>
      </x:c>
    </x:row>
    <x:row r="1685" ht="21.600000381469727" hidden="0" customHeight="1">
      <x:c r="A1685" s="29" t="n">
        <x:v>561</x:v>
      </x:c>
      <x:c r="B1685" s="29" t="str">
        <x:v>A1</x:v>
      </x:c>
      <x:c r="C1685" s="48" t="n">
        <x:v>1.1532675780821917</x:v>
      </x:c>
      <x:c r="D1685" s="48" t="n">
        <x:v>0.7400294812580211</x:v>
      </x:c>
      <x:c r="E1685" s="48" t="n">
        <x:v>0.7728964688149448</x:v>
      </x:c>
      <x:c r="F1685" s="48" t="n">
        <x:v>-0.09924476580098834</x:v>
      </x:c>
      <x:c r="G1685" s="48" t="n">
        <x:v>-0.041895057115394374</x:v>
      </x:c>
      <x:c r="H1685" s="48" t="n">
        <x:v>0.46602883681546936</x:v>
      </x:c>
      <x:c r="I1685" s="48" t="n">
        <x:v>0.7911596775994075</x:v>
      </x:c>
      <x:c r="J1685" s="48" t="n">
        <x:v>0.6245424334377238</x:v>
      </x:c>
      <x:c r="K1685" s="48" t="n">
        <x:v>0.6560897786662122</x:v>
      </x:c>
      <x:c r="L1685" s="48" t="n">
        <x:v>0.7325735624056388</x:v>
      </x:c>
      <x:c r="M1685" s="48" t="n">
        <x:v>0.02534490407170607</x:v>
      </x:c>
      <x:c r="N1685" s="48" t="n">
        <x:v>0.9048323312555732</x:v>
      </x:c>
      <x:c r="O1685" s="48" t="n">
        <x:v>0.7384721433835628</x:v>
      </x:c>
      <x:c r="P1685" s="48" t="n">
        <x:v>0.4476368162600625</x:v>
      </x:c>
      <x:c r="Q1685" s="48" t="n">
        <x:v>0.8720098149574781</x:v>
      </x:c>
      <x:c r="R1685" s="48" t="n">
        <x:v>0.6782366138175937</x:v>
      </x:c>
      <x:c r="S1685" s="29" t="n">
        <x:v>0</x:v>
      </x:c>
    </x:row>
    <x:row r="1686" ht="21.600000381469727" hidden="0" customHeight="1">
      <x:c r="A1686" s="27" t="n">
        <x:v>561</x:v>
      </x:c>
      <x:c r="B1686" s="27" t="str">
        <x:v>A2</x:v>
      </x:c>
      <x:c r="C1686" s="47" t="n">
        <x:v>1.1532675780821917</x:v>
      </x:c>
      <x:c r="D1686" s="47" t="n">
        <x:v>0.7400294812580211</x:v>
      </x:c>
      <x:c r="E1686" s="47" t="n">
        <x:v>0.7728964688149448</x:v>
      </x:c>
      <x:c r="F1686" s="47" t="n">
        <x:v>-0.09924476580098834</x:v>
      </x:c>
      <x:c r="G1686" s="47" t="n">
        <x:v>-0.041895057115394374</x:v>
      </x:c>
      <x:c r="H1686" s="47" t="n">
        <x:v>0.46602883681546936</x:v>
      </x:c>
      <x:c r="I1686" s="47" t="n">
        <x:v>0.7911596775994075</x:v>
      </x:c>
      <x:c r="J1686" s="47" t="n">
        <x:v>0.6245424334377238</x:v>
      </x:c>
      <x:c r="K1686" s="47" t="n">
        <x:v>0.6560897786662122</x:v>
      </x:c>
      <x:c r="L1686" s="47" t="n">
        <x:v>0.7325735624056388</x:v>
      </x:c>
      <x:c r="M1686" s="47" t="n">
        <x:v>0.02534490407170607</x:v>
      </x:c>
      <x:c r="N1686" s="47" t="n">
        <x:v>0.9048323312555732</x:v>
      </x:c>
      <x:c r="O1686" s="47" t="n">
        <x:v>0.8159842940311608</x:v>
      </x:c>
      <x:c r="P1686" s="47" t="n">
        <x:v>0.4617504692789069</x:v>
      </x:c>
      <x:c r="Q1686" s="47" t="n">
        <x:v>1</x:v>
      </x:c>
      <x:c r="R1686" s="47" t="n">
        <x:v>0.7727694855819445</x:v>
      </x:c>
      <x:c r="S1686" s="27" t="n">
        <x:v>0</x:v>
      </x:c>
    </x:row>
    <x:row r="1687" ht="21.600000381469727" hidden="0" customHeight="1">
      <x:c r="A1687" s="29" t="n">
        <x:v>561</x:v>
      </x:c>
      <x:c r="B1687" s="29" t="str">
        <x:v>A3</x:v>
      </x:c>
      <x:c r="C1687" s="48" t="n">
        <x:v>1.1532675780821917</x:v>
      </x:c>
      <x:c r="D1687" s="48" t="n">
        <x:v>0.7400294812580211</x:v>
      </x:c>
      <x:c r="E1687" s="48" t="n">
        <x:v>0.7728964688149448</x:v>
      </x:c>
      <x:c r="F1687" s="48" t="n">
        <x:v>-0.09924476580098834</x:v>
      </x:c>
      <x:c r="G1687" s="48" t="n">
        <x:v>-0.041895057115394374</x:v>
      </x:c>
      <x:c r="H1687" s="48" t="n">
        <x:v>0.46602883681546936</x:v>
      </x:c>
      <x:c r="I1687" s="48" t="n">
        <x:v>0.7911596775994075</x:v>
      </x:c>
      <x:c r="J1687" s="48" t="n">
        <x:v>0.6245424334377238</x:v>
      </x:c>
      <x:c r="K1687" s="48" t="n">
        <x:v>0.6560897786662122</x:v>
      </x:c>
      <x:c r="L1687" s="48" t="n">
        <x:v>0.7325735624056388</x:v>
      </x:c>
      <x:c r="M1687" s="48" t="n">
        <x:v>0.02534490407170607</x:v>
      </x:c>
      <x:c r="N1687" s="48" t="n">
        <x:v>0.9048323312555732</x:v>
      </x:c>
      <x:c r="O1687" s="48" t="n">
        <x:v>1</x:v>
      </x:c>
      <x:c r="P1687" s="48" t="n">
        <x:v>1</x:v>
      </x:c>
      <x:c r="Q1687" s="48" t="n">
        <x:v>1</x:v>
      </x:c>
      <x:c r="R1687" s="48" t="n">
        <x:v>1</x:v>
      </x:c>
      <x:c r="S1687" s="29" t="n">
        <x:v>1</x:v>
      </x:c>
    </x:row>
    <x:row r="1688" ht="21.600000381469727" hidden="0" customHeight="1">
      <x:c r="A1688" s="27" t="n">
        <x:v>562</x:v>
      </x:c>
      <x:c r="B1688" s="27" t="str">
        <x:v>A1</x:v>
      </x:c>
      <x:c r="C1688" s="47" t="n">
        <x:v>1.1924898669727781</x:v>
      </x:c>
      <x:c r="D1688" s="47" t="n">
        <x:v>0.7365212804055782</x:v>
      </x:c>
      <x:c r="E1688" s="47" t="n">
        <x:v>0.5149070997437856</x:v>
      </x:c>
      <x:c r="F1688" s="47" t="n">
        <x:v>-0.07746262215337005</x:v>
      </x:c>
      <x:c r="G1688" s="47" t="n">
        <x:v>-0.16672474907249563</x:v>
      </x:c>
      <x:c r="H1688" s="47" t="n">
        <x:v>0.97045837963439</x:v>
      </x:c>
      <x:c r="I1688" s="47" t="n">
        <x:v>0.9438711124451744</x:v>
      </x:c>
      <x:c r="J1688" s="47" t="n">
        <x:v>0.8641908072212543</x:v>
      </x:c>
      <x:c r="K1688" s="47" t="n">
        <x:v>0.7391177312294612</x:v>
      </x:c>
      <x:c r="L1688" s="47" t="n">
        <x:v>0.7511182034762133</x:v>
      </x:c>
      <x:c r="M1688" s="47" t="n">
        <x:v>0.12900803371159503</x:v>
      </x:c>
      <x:c r="N1688" s="47" t="n">
        <x:v>0.8314666087316818</x:v>
      </x:c>
      <x:c r="O1688" s="47" t="n">
        <x:v>0.7356737089686078</x:v>
      </x:c>
      <x:c r="P1688" s="47" t="n">
        <x:v>0.43370268601975087</x:v>
      </x:c>
      <x:c r="Q1688" s="47" t="n">
        <x:v>1</x:v>
      </x:c>
      <x:c r="R1688" s="47" t="n">
        <x:v>0.6735985182946784</x:v>
      </x:c>
      <x:c r="S1688" s="27" t="n">
        <x:v>0</x:v>
      </x:c>
    </x:row>
    <x:row r="1689" ht="21.600000381469727" hidden="0" customHeight="1">
      <x:c r="A1689" s="29" t="n">
        <x:v>562</x:v>
      </x:c>
      <x:c r="B1689" s="29" t="str">
        <x:v>A2</x:v>
      </x:c>
      <x:c r="C1689" s="48" t="n">
        <x:v>1.1924898669727781</x:v>
      </x:c>
      <x:c r="D1689" s="48" t="n">
        <x:v>0.7365212804055782</x:v>
      </x:c>
      <x:c r="E1689" s="48" t="n">
        <x:v>0.5149070997437856</x:v>
      </x:c>
      <x:c r="F1689" s="48" t="n">
        <x:v>-0.07746262215337005</x:v>
      </x:c>
      <x:c r="G1689" s="48" t="n">
        <x:v>-0.16672474907249563</x:v>
      </x:c>
      <x:c r="H1689" s="48" t="n">
        <x:v>0.97045837963439</x:v>
      </x:c>
      <x:c r="I1689" s="48" t="n">
        <x:v>0.9438711124451744</x:v>
      </x:c>
      <x:c r="J1689" s="48" t="n">
        <x:v>0.8641908072212543</x:v>
      </x:c>
      <x:c r="K1689" s="48" t="n">
        <x:v>0.7391177312294612</x:v>
      </x:c>
      <x:c r="L1689" s="48" t="n">
        <x:v>0.7511182034762133</x:v>
      </x:c>
      <x:c r="M1689" s="48" t="n">
        <x:v>0.12900803371159503</x:v>
      </x:c>
      <x:c r="N1689" s="48" t="n">
        <x:v>0.8314666087316818</x:v>
      </x:c>
      <x:c r="O1689" s="48" t="n">
        <x:v>0.8044019809966151</x:v>
      </x:c>
      <x:c r="P1689" s="48" t="n">
        <x:v>0.4494008373884094</x:v>
      </x:c>
      <x:c r="Q1689" s="48" t="n">
        <x:v>1</x:v>
      </x:c>
      <x:c r="R1689" s="48" t="n">
        <x:v>0.7584671469031122</x:v>
      </x:c>
      <x:c r="S1689" s="29" t="n">
        <x:v>0</x:v>
      </x:c>
    </x:row>
    <x:row r="1690" ht="21.600000381469727" hidden="0" customHeight="1">
      <x:c r="A1690" s="27" t="n">
        <x:v>562</x:v>
      </x:c>
      <x:c r="B1690" s="27" t="str">
        <x:v>A3</x:v>
      </x:c>
      <x:c r="C1690" s="47" t="n">
        <x:v>1.1924898669727781</x:v>
      </x:c>
      <x:c r="D1690" s="47" t="n">
        <x:v>0.7365212804055782</x:v>
      </x:c>
      <x:c r="E1690" s="47" t="n">
        <x:v>0.5149070997437856</x:v>
      </x:c>
      <x:c r="F1690" s="47" t="n">
        <x:v>-0.07746262215337005</x:v>
      </x:c>
      <x:c r="G1690" s="47" t="n">
        <x:v>-0.16672474907249563</x:v>
      </x:c>
      <x:c r="H1690" s="47" t="n">
        <x:v>0.97045837963439</x:v>
      </x:c>
      <x:c r="I1690" s="47" t="n">
        <x:v>0.9438711124451744</x:v>
      </x:c>
      <x:c r="J1690" s="47" t="n">
        <x:v>0.8641908072212543</x:v>
      </x:c>
      <x:c r="K1690" s="47" t="n">
        <x:v>0.7391177312294612</x:v>
      </x:c>
      <x:c r="L1690" s="47" t="n">
        <x:v>0.7511182034762133</x:v>
      </x:c>
      <x:c r="M1690" s="47" t="n">
        <x:v>0.12900803371159503</x:v>
      </x:c>
      <x:c r="N1690" s="47" t="n">
        <x:v>0.8314666087316818</x:v>
      </x:c>
      <x:c r="O1690" s="47" t="n">
        <x:v>1</x:v>
      </x:c>
      <x:c r="P1690" s="47" t="n">
        <x:v>1</x:v>
      </x:c>
      <x:c r="Q1690" s="47" t="n">
        <x:v>1</x:v>
      </x:c>
      <x:c r="R1690" s="47" t="n">
        <x:v>1</x:v>
      </x:c>
      <x:c r="S1690" s="27" t="n">
        <x:v>1</x:v>
      </x:c>
    </x:row>
    <x:row r="1691" ht="21.600000381469727" hidden="0" customHeight="1">
      <x:c r="A1691" s="29" t="n">
        <x:v>563</x:v>
      </x:c>
      <x:c r="B1691" s="29" t="str">
        <x:v>A1</x:v>
      </x:c>
      <x:c r="C1691" s="48" t="n">
        <x:v>0.9897209184756731</x:v>
      </x:c>
      <x:c r="D1691" s="48" t="n">
        <x:v>0.7758859814918244</x:v>
      </x:c>
      <x:c r="E1691" s="48" t="n">
        <x:v>0.8233640234636623</x:v>
      </x:c>
      <x:c r="F1691" s="48" t="n">
        <x:v>-0.11090568283203014</x:v>
      </x:c>
      <x:c r="G1691" s="48" t="n">
        <x:v>-0.06600560303932648</x:v>
      </x:c>
      <x:c r="H1691" s="48" t="n">
        <x:v>0.756340933323812</x:v>
      </x:c>
      <x:c r="I1691" s="48" t="n">
        <x:v>0.6731413799882447</x:v>
      </x:c>
      <x:c r="J1691" s="48" t="n">
        <x:v>0.6538790517832457</x:v>
      </x:c>
      <x:c r="K1691" s="48" t="n">
        <x:v>0.6680221765960528</x:v>
      </x:c>
      <x:c r="L1691" s="48" t="n">
        <x:v>0.7036648092222044</x:v>
      </x:c>
      <x:c r="M1691" s="48" t="n">
        <x:v>0.08137127818606078</x:v>
      </x:c>
      <x:c r="N1691" s="48" t="n">
        <x:v>0.9064067712390307</x:v>
      </x:c>
      <x:c r="O1691" s="48" t="n">
        <x:v>0.861989943455252</x:v>
      </x:c>
      <x:c r="P1691" s="48" t="n">
        <x:v>0.5817522049741426</x:v>
      </x:c>
      <x:c r="Q1691" s="48" t="n">
        <x:v>1</x:v>
      </x:c>
      <x:c r="R1691" s="48" t="n">
        <x:v>0.8295792417369068</x:v>
      </x:c>
      <x:c r="S1691" s="29" t="n">
        <x:v>0</x:v>
      </x:c>
    </x:row>
    <x:row r="1692" ht="21.600000381469727" hidden="0" customHeight="1">
      <x:c r="A1692" s="27" t="n">
        <x:v>563</x:v>
      </x:c>
      <x:c r="B1692" s="27" t="str">
        <x:v>A2</x:v>
      </x:c>
      <x:c r="C1692" s="47" t="n">
        <x:v>0.9897209184756731</x:v>
      </x:c>
      <x:c r="D1692" s="47" t="n">
        <x:v>0.7758859814918244</x:v>
      </x:c>
      <x:c r="E1692" s="47" t="n">
        <x:v>0.8233640234636623</x:v>
      </x:c>
      <x:c r="F1692" s="47" t="n">
        <x:v>-0.11090568283203014</x:v>
      </x:c>
      <x:c r="G1692" s="47" t="n">
        <x:v>-0.06600560303932648</x:v>
      </x:c>
      <x:c r="H1692" s="47" t="n">
        <x:v>0.756340933323812</x:v>
      </x:c>
      <x:c r="I1692" s="47" t="n">
        <x:v>0.6731413799882447</x:v>
      </x:c>
      <x:c r="J1692" s="47" t="n">
        <x:v>0.6538790517832457</x:v>
      </x:c>
      <x:c r="K1692" s="47" t="n">
        <x:v>0.6680221765960528</x:v>
      </x:c>
      <x:c r="L1692" s="47" t="n">
        <x:v>0.7036648092222044</x:v>
      </x:c>
      <x:c r="M1692" s="47" t="n">
        <x:v>0.08137127818606078</x:v>
      </x:c>
      <x:c r="N1692" s="47" t="n">
        <x:v>0.9064067712390307</x:v>
      </x:c>
      <x:c r="O1692" s="47" t="n">
        <x:v>0.9479236298704904</x:v>
      </x:c>
      <x:c r="P1692" s="47" t="n">
        <x:v>0.6787731790203868</x:v>
      </x:c>
      <x:c r="Q1692" s="47" t="n">
        <x:v>1</x:v>
      </x:c>
      <x:c r="R1692" s="47" t="n">
        <x:v>0.9356938566126667</x:v>
      </x:c>
      <x:c r="S1692" s="27" t="n">
        <x:v>0</x:v>
      </x:c>
    </x:row>
    <x:row r="1693" ht="21.600000381469727" hidden="0" customHeight="1">
      <x:c r="A1693" s="29" t="n">
        <x:v>563</x:v>
      </x:c>
      <x:c r="B1693" s="29" t="str">
        <x:v>A3</x:v>
      </x:c>
      <x:c r="C1693" s="48" t="n">
        <x:v>0.9897209184756731</x:v>
      </x:c>
      <x:c r="D1693" s="48" t="n">
        <x:v>0.7758859814918244</x:v>
      </x:c>
      <x:c r="E1693" s="48" t="n">
        <x:v>0.8233640234636623</x:v>
      </x:c>
      <x:c r="F1693" s="48" t="n">
        <x:v>-0.11090568283203014</x:v>
      </x:c>
      <x:c r="G1693" s="48" t="n">
        <x:v>-0.06600560303932648</x:v>
      </x:c>
      <x:c r="H1693" s="48" t="n">
        <x:v>0.756340933323812</x:v>
      </x:c>
      <x:c r="I1693" s="48" t="n">
        <x:v>0.6731413799882447</x:v>
      </x:c>
      <x:c r="J1693" s="48" t="n">
        <x:v>0.6538790517832457</x:v>
      </x:c>
      <x:c r="K1693" s="48" t="n">
        <x:v>0.6680221765960528</x:v>
      </x:c>
      <x:c r="L1693" s="48" t="n">
        <x:v>0.7036648092222044</x:v>
      </x:c>
      <x:c r="M1693" s="48" t="n">
        <x:v>0.08137127818606078</x:v>
      </x:c>
      <x:c r="N1693" s="48" t="n">
        <x:v>0.9064067712390307</x:v>
      </x:c>
      <x:c r="O1693" s="48" t="n">
        <x:v>1</x:v>
      </x:c>
      <x:c r="P1693" s="48" t="n">
        <x:v>1</x:v>
      </x:c>
      <x:c r="Q1693" s="48" t="n">
        <x:v>1</x:v>
      </x:c>
      <x:c r="R1693" s="48" t="n">
        <x:v>1</x:v>
      </x:c>
      <x:c r="S1693" s="29" t="n">
        <x:v>1</x:v>
      </x:c>
    </x:row>
    <x:row r="1694" ht="21.600000381469727" hidden="0" customHeight="1">
      <x:c r="A1694" s="27" t="n">
        <x:v>564</x:v>
      </x:c>
      <x:c r="B1694" s="27" t="str">
        <x:v>A1</x:v>
      </x:c>
      <x:c r="C1694" s="47" t="n">
        <x:v>1.2960881873486012</x:v>
      </x:c>
      <x:c r="D1694" s="47" t="n">
        <x:v>0.7760314288443896</x:v>
      </x:c>
      <x:c r="E1694" s="47" t="n">
        <x:v>0.49225729777915184</x:v>
      </x:c>
      <x:c r="F1694" s="47" t="n">
        <x:v>-0.1957698411976816</x:v>
      </x:c>
      <x:c r="G1694" s="47" t="n">
        <x:v>-0.02811519688393113</x:v>
      </x:c>
      <x:c r="H1694" s="47" t="n">
        <x:v>0.4045022504155205</x:v>
      </x:c>
      <x:c r="I1694" s="47" t="n">
        <x:v>0.8475851929291729</x:v>
      </x:c>
      <x:c r="J1694" s="47" t="n">
        <x:v>0.6488288820386077</x:v>
      </x:c>
      <x:c r="K1694" s="47" t="n">
        <x:v>0.8948043303365408</x:v>
      </x:c>
      <x:c r="L1694" s="47" t="n">
        <x:v>0.6447654440298858</x:v>
      </x:c>
      <x:c r="M1694" s="47" t="n">
        <x:v>0.028355530841658833</x:v>
      </x:c>
      <x:c r="N1694" s="47" t="n">
        <x:v>0.9473652118375386</x:v>
      </x:c>
      <x:c r="O1694" s="47" t="n">
        <x:v>0.7282757209161562</x:v>
      </x:c>
      <x:c r="P1694" s="47" t="n">
        <x:v>0.42401373322752256</x:v>
      </x:c>
      <x:c r="Q1694" s="47" t="n">
        <x:v>1</x:v>
      </x:c>
      <x:c r="R1694" s="47" t="n">
        <x:v>0.6644631642119033</x:v>
      </x:c>
      <x:c r="S1694" s="27" t="n">
        <x:v>0</x:v>
      </x:c>
    </x:row>
    <x:row r="1695" ht="21.600000381469727" hidden="0" customHeight="1">
      <x:c r="A1695" s="29" t="n">
        <x:v>564</x:v>
      </x:c>
      <x:c r="B1695" s="29" t="str">
        <x:v>A2</x:v>
      </x:c>
      <x:c r="C1695" s="48" t="n">
        <x:v>1.2960881873486012</x:v>
      </x:c>
      <x:c r="D1695" s="48" t="n">
        <x:v>0.7760314288443896</x:v>
      </x:c>
      <x:c r="E1695" s="48" t="n">
        <x:v>0.49225729777915184</x:v>
      </x:c>
      <x:c r="F1695" s="48" t="n">
        <x:v>-0.1957698411976816</x:v>
      </x:c>
      <x:c r="G1695" s="48" t="n">
        <x:v>-0.02811519688393113</x:v>
      </x:c>
      <x:c r="H1695" s="48" t="n">
        <x:v>0.4045022504155205</x:v>
      </x:c>
      <x:c r="I1695" s="48" t="n">
        <x:v>0.8475851929291729</x:v>
      </x:c>
      <x:c r="J1695" s="48" t="n">
        <x:v>0.6488288820386077</x:v>
      </x:c>
      <x:c r="K1695" s="48" t="n">
        <x:v>0.8948043303365408</x:v>
      </x:c>
      <x:c r="L1695" s="48" t="n">
        <x:v>0.6447654440298858</x:v>
      </x:c>
      <x:c r="M1695" s="48" t="n">
        <x:v>0.028355530841658833</x:v>
      </x:c>
      <x:c r="N1695" s="48" t="n">
        <x:v>0.9473652118375386</x:v>
      </x:c>
      <x:c r="O1695" s="48" t="n">
        <x:v>0.7895882523330802</x:v>
      </x:c>
      <x:c r="P1695" s="48" t="n">
        <x:v>0.5741761386140848</x:v>
      </x:c>
      <x:c r="Q1695" s="48" t="n">
        <x:v>1</x:v>
      </x:c>
      <x:c r="R1695" s="48" t="n">
        <x:v>0.7401745171140302</x:v>
      </x:c>
      <x:c r="S1695" s="29" t="n">
        <x:v>0</x:v>
      </x:c>
    </x:row>
    <x:row r="1696" ht="21.600000381469727" hidden="0" customHeight="1">
      <x:c r="A1696" s="27" t="n">
        <x:v>564</x:v>
      </x:c>
      <x:c r="B1696" s="27" t="str">
        <x:v>A3</x:v>
      </x:c>
      <x:c r="C1696" s="47" t="n">
        <x:v>1.2960881873486012</x:v>
      </x:c>
      <x:c r="D1696" s="47" t="n">
        <x:v>0.7760314288443896</x:v>
      </x:c>
      <x:c r="E1696" s="47" t="n">
        <x:v>0.49225729777915184</x:v>
      </x:c>
      <x:c r="F1696" s="47" t="n">
        <x:v>-0.1957698411976816</x:v>
      </x:c>
      <x:c r="G1696" s="47" t="n">
        <x:v>-0.02811519688393113</x:v>
      </x:c>
      <x:c r="H1696" s="47" t="n">
        <x:v>0.4045022504155205</x:v>
      </x:c>
      <x:c r="I1696" s="47" t="n">
        <x:v>0.8475851929291729</x:v>
      </x:c>
      <x:c r="J1696" s="47" t="n">
        <x:v>0.6488288820386077</x:v>
      </x:c>
      <x:c r="K1696" s="47" t="n">
        <x:v>0.8948043303365408</x:v>
      </x:c>
      <x:c r="L1696" s="47" t="n">
        <x:v>0.6447654440298858</x:v>
      </x:c>
      <x:c r="M1696" s="47" t="n">
        <x:v>0.028355530841658833</x:v>
      </x:c>
      <x:c r="N1696" s="47" t="n">
        <x:v>0.9473652118375386</x:v>
      </x:c>
      <x:c r="O1696" s="47" t="n">
        <x:v>1</x:v>
      </x:c>
      <x:c r="P1696" s="47" t="n">
        <x:v>1</x:v>
      </x:c>
      <x:c r="Q1696" s="47" t="n">
        <x:v>1</x:v>
      </x:c>
      <x:c r="R1696" s="47" t="n">
        <x:v>1</x:v>
      </x:c>
      <x:c r="S1696" s="27" t="n">
        <x:v>1</x:v>
      </x:c>
    </x:row>
    <x:row r="1697" ht="21.600000381469727" hidden="0" customHeight="1">
      <x:c r="A1697" s="29" t="n">
        <x:v>565</x:v>
      </x:c>
      <x:c r="B1697" s="29" t="str">
        <x:v>A1</x:v>
      </x:c>
      <x:c r="C1697" s="48" t="n">
        <x:v>1.0633568030400227</x:v>
      </x:c>
      <x:c r="D1697" s="48" t="n">
        <x:v>0.9443988676821291</x:v>
      </x:c>
      <x:c r="E1697" s="48" t="n">
        <x:v>0.5706405154205638</x:v>
      </x:c>
      <x:c r="F1697" s="48" t="n">
        <x:v>-0.1050175974414823</x:v>
      </x:c>
      <x:c r="G1697" s="48" t="n">
        <x:v>-0.14869220218763482</x:v>
      </x:c>
      <x:c r="H1697" s="48" t="n">
        <x:v>0.6951586519134911</x:v>
      </x:c>
      <x:c r="I1697" s="48" t="n">
        <x:v>0.9435262114229555</x:v>
      </x:c>
      <x:c r="J1697" s="48" t="n">
        <x:v>0.7187829899317035</x:v>
      </x:c>
      <x:c r="K1697" s="48" t="n">
        <x:v>0.6332597770986048</x:v>
      </x:c>
      <x:c r="L1697" s="48" t="n">
        <x:v>0.7267812241573981</x:v>
      </x:c>
      <x:c r="M1697" s="48" t="n">
        <x:v>0.011279205218684727</x:v>
      </x:c>
      <x:c r="N1697" s="48" t="n">
        <x:v>0.7087111122180291</x:v>
      </x:c>
      <x:c r="O1697" s="48" t="n">
        <x:v>0.9169378083659027</x:v>
      </x:c>
      <x:c r="P1697" s="48" t="n">
        <x:v>0.7153000928979389</x:v>
      </x:c>
      <x:c r="Q1697" s="48" t="n">
        <x:v>1</x:v>
      </x:c>
      <x:c r="R1697" s="48" t="n">
        <x:v>0.8974312304792985</x:v>
      </x:c>
      <x:c r="S1697" s="29" t="n">
        <x:v>0</x:v>
      </x:c>
    </x:row>
    <x:row r="1698" ht="21.600000381469727" hidden="0" customHeight="1">
      <x:c r="A1698" s="27" t="n">
        <x:v>565</x:v>
      </x:c>
      <x:c r="B1698" s="27" t="str">
        <x:v>A2</x:v>
      </x:c>
      <x:c r="C1698" s="47" t="n">
        <x:v>1.0633568030400227</x:v>
      </x:c>
      <x:c r="D1698" s="47" t="n">
        <x:v>0.9443988676821291</x:v>
      </x:c>
      <x:c r="E1698" s="47" t="n">
        <x:v>0.5706405154205638</x:v>
      </x:c>
      <x:c r="F1698" s="47" t="n">
        <x:v>-0.1050175974414823</x:v>
      </x:c>
      <x:c r="G1698" s="47" t="n">
        <x:v>-0.14869220218763482</x:v>
      </x:c>
      <x:c r="H1698" s="47" t="n">
        <x:v>0.6951586519134911</x:v>
      </x:c>
      <x:c r="I1698" s="47" t="n">
        <x:v>0.9435262114229555</x:v>
      </x:c>
      <x:c r="J1698" s="47" t="n">
        <x:v>0.7187829899317035</x:v>
      </x:c>
      <x:c r="K1698" s="47" t="n">
        <x:v>0.6332597770986048</x:v>
      </x:c>
      <x:c r="L1698" s="47" t="n">
        <x:v>0.7267812241573981</x:v>
      </x:c>
      <x:c r="M1698" s="47" t="n">
        <x:v>0.011279205218684727</x:v>
      </x:c>
      <x:c r="N1698" s="47" t="n">
        <x:v>0.7087111122180291</x:v>
      </x:c>
      <x:c r="O1698" s="47" t="n">
        <x:v>0.9771295864076645</x:v>
      </x:c>
      <x:c r="P1698" s="47" t="n">
        <x:v>0.7905610392910353</x:v>
      </x:c>
      <x:c r="Q1698" s="47" t="n">
        <x:v>1</x:v>
      </x:c>
      <x:c r="R1698" s="47" t="n">
        <x:v>0.9717586288725802</x:v>
      </x:c>
      <x:c r="S1698" s="27" t="n">
        <x:v>0</x:v>
      </x:c>
    </x:row>
    <x:row r="1699" ht="21.600000381469727" hidden="0" customHeight="1">
      <x:c r="A1699" s="29" t="n">
        <x:v>565</x:v>
      </x:c>
      <x:c r="B1699" s="29" t="str">
        <x:v>A3</x:v>
      </x:c>
      <x:c r="C1699" s="48" t="n">
        <x:v>1.0633568030400227</x:v>
      </x:c>
      <x:c r="D1699" s="48" t="n">
        <x:v>0.9443988676821291</x:v>
      </x:c>
      <x:c r="E1699" s="48" t="n">
        <x:v>0.5706405154205638</x:v>
      </x:c>
      <x:c r="F1699" s="48" t="n">
        <x:v>-0.1050175974414823</x:v>
      </x:c>
      <x:c r="G1699" s="48" t="n">
        <x:v>-0.14869220218763482</x:v>
      </x:c>
      <x:c r="H1699" s="48" t="n">
        <x:v>0.6951586519134911</x:v>
      </x:c>
      <x:c r="I1699" s="48" t="n">
        <x:v>0.9435262114229555</x:v>
      </x:c>
      <x:c r="J1699" s="48" t="n">
        <x:v>0.7187829899317035</x:v>
      </x:c>
      <x:c r="K1699" s="48" t="n">
        <x:v>0.6332597770986048</x:v>
      </x:c>
      <x:c r="L1699" s="48" t="n">
        <x:v>0.7267812241573981</x:v>
      </x:c>
      <x:c r="M1699" s="48" t="n">
        <x:v>0.011279205218684727</x:v>
      </x:c>
      <x:c r="N1699" s="48" t="n">
        <x:v>0.7087111122180291</x:v>
      </x:c>
      <x:c r="O1699" s="48" t="n">
        <x:v>1</x:v>
      </x:c>
      <x:c r="P1699" s="48" t="n">
        <x:v>1</x:v>
      </x:c>
      <x:c r="Q1699" s="48" t="n">
        <x:v>1</x:v>
      </x:c>
      <x:c r="R1699" s="48" t="n">
        <x:v>1</x:v>
      </x:c>
      <x:c r="S1699" s="29" t="n">
        <x:v>1</x:v>
      </x:c>
    </x:row>
    <x:row r="1700" ht="21.600000381469727" hidden="0" customHeight="1">
      <x:c r="A1700" s="27" t="n">
        <x:v>566</x:v>
      </x:c>
      <x:c r="B1700" s="27" t="str">
        <x:v>A1</x:v>
      </x:c>
      <x:c r="C1700" s="47" t="n">
        <x:v>1.2345882852207017</x:v>
      </x:c>
      <x:c r="D1700" s="47" t="n">
        <x:v>0.9961506882357295</x:v>
      </x:c>
      <x:c r="E1700" s="47" t="n">
        <x:v>0.47439724543525674</x:v>
      </x:c>
      <x:c r="F1700" s="47" t="n">
        <x:v>0.034617384847159455</x:v>
      </x:c>
      <x:c r="G1700" s="47" t="n">
        <x:v>-0.022120420533973284</x:v>
      </x:c>
      <x:c r="H1700" s="47" t="n">
        <x:v>0.5482350006623332</x:v>
      </x:c>
      <x:c r="I1700" s="47" t="n">
        <x:v>0.8002894757828951</x:v>
      </x:c>
      <x:c r="J1700" s="47" t="n">
        <x:v>0.8890351615876941</x:v>
      </x:c>
      <x:c r="K1700" s="47" t="n">
        <x:v>0.947754091417029</x:v>
      </x:c>
      <x:c r="L1700" s="47" t="n">
        <x:v>0.9344234700007641</x:v>
      </x:c>
      <x:c r="M1700" s="47" t="n">
        <x:v>0.09465259461843831</x:v>
      </x:c>
      <x:c r="N1700" s="47" t="n">
        <x:v>0.8414112401168238</x:v>
      </x:c>
      <x:c r="O1700" s="47" t="n">
        <x:v>0.8785235925938167</x:v>
      </x:c>
      <x:c r="P1700" s="47" t="n">
        <x:v>0.5796518166928788</x:v>
      </x:c>
      <x:c r="Q1700" s="47" t="n">
        <x:v>1</x:v>
      </x:c>
      <x:c r="R1700" s="47" t="n">
        <x:v>0.8499957033600243</x:v>
      </x:c>
      <x:c r="S1700" s="27" t="n">
        <x:v>0</x:v>
      </x:c>
    </x:row>
    <x:row r="1701" ht="21.600000381469727" hidden="0" customHeight="1">
      <x:c r="A1701" s="29" t="n">
        <x:v>566</x:v>
      </x:c>
      <x:c r="B1701" s="29" t="str">
        <x:v>A2</x:v>
      </x:c>
      <x:c r="C1701" s="48" t="n">
        <x:v>1.2345882852207017</x:v>
      </x:c>
      <x:c r="D1701" s="48" t="n">
        <x:v>0.9961506882357295</x:v>
      </x:c>
      <x:c r="E1701" s="48" t="n">
        <x:v>0.47439724543525674</x:v>
      </x:c>
      <x:c r="F1701" s="48" t="n">
        <x:v>0.034617384847159455</x:v>
      </x:c>
      <x:c r="G1701" s="48" t="n">
        <x:v>-0.022120420533973284</x:v>
      </x:c>
      <x:c r="H1701" s="48" t="n">
        <x:v>0.5482350006623332</x:v>
      </x:c>
      <x:c r="I1701" s="48" t="n">
        <x:v>0.8002894757828951</x:v>
      </x:c>
      <x:c r="J1701" s="48" t="n">
        <x:v>0.8890351615876941</x:v>
      </x:c>
      <x:c r="K1701" s="48" t="n">
        <x:v>0.947754091417029</x:v>
      </x:c>
      <x:c r="L1701" s="48" t="n">
        <x:v>0.9344234700007641</x:v>
      </x:c>
      <x:c r="M1701" s="48" t="n">
        <x:v>0.09465259461843831</x:v>
      </x:c>
      <x:c r="N1701" s="48" t="n">
        <x:v>0.8414112401168238</x:v>
      </x:c>
      <x:c r="O1701" s="48" t="n">
        <x:v>0.9597398485487499</x:v>
      </x:c>
      <x:c r="P1701" s="48" t="n">
        <x:v>0.7171399186411209</x:v>
      </x:c>
      <x:c r="Q1701" s="48" t="n">
        <x:v>1</x:v>
      </x:c>
      <x:c r="R1701" s="48" t="n">
        <x:v>0.9502850320484844</x:v>
      </x:c>
      <x:c r="S1701" s="29" t="n">
        <x:v>0</x:v>
      </x:c>
    </x:row>
    <x:row r="1702" ht="21.600000381469727" hidden="0" customHeight="1">
      <x:c r="A1702" s="27" t="n">
        <x:v>566</x:v>
      </x:c>
      <x:c r="B1702" s="27" t="str">
        <x:v>A3</x:v>
      </x:c>
      <x:c r="C1702" s="47" t="n">
        <x:v>1.2345882852207017</x:v>
      </x:c>
      <x:c r="D1702" s="47" t="n">
        <x:v>0.9961506882357295</x:v>
      </x:c>
      <x:c r="E1702" s="47" t="n">
        <x:v>0.47439724543525674</x:v>
      </x:c>
      <x:c r="F1702" s="47" t="n">
        <x:v>0.034617384847159455</x:v>
      </x:c>
      <x:c r="G1702" s="47" t="n">
        <x:v>-0.022120420533973284</x:v>
      </x:c>
      <x:c r="H1702" s="47" t="n">
        <x:v>0.5482350006623332</x:v>
      </x:c>
      <x:c r="I1702" s="47" t="n">
        <x:v>0.8002894757828951</x:v>
      </x:c>
      <x:c r="J1702" s="47" t="n">
        <x:v>0.8890351615876941</x:v>
      </x:c>
      <x:c r="K1702" s="47" t="n">
        <x:v>0.947754091417029</x:v>
      </x:c>
      <x:c r="L1702" s="47" t="n">
        <x:v>0.9344234700007641</x:v>
      </x:c>
      <x:c r="M1702" s="47" t="n">
        <x:v>0.09465259461843831</x:v>
      </x:c>
      <x:c r="N1702" s="47" t="n">
        <x:v>0.8414112401168238</x:v>
      </x:c>
      <x:c r="O1702" s="47" t="n">
        <x:v>1</x:v>
      </x:c>
      <x:c r="P1702" s="47" t="n">
        <x:v>1</x:v>
      </x:c>
      <x:c r="Q1702" s="47" t="n">
        <x:v>1</x:v>
      </x:c>
      <x:c r="R1702" s="47" t="n">
        <x:v>1</x:v>
      </x:c>
      <x:c r="S1702" s="27" t="n">
        <x:v>1</x:v>
      </x:c>
    </x:row>
    <x:row r="1703" ht="21.600000381469727" hidden="0" customHeight="1">
      <x:c r="A1703" s="29" t="n">
        <x:v>567</x:v>
      </x:c>
      <x:c r="B1703" s="29" t="str">
        <x:v>A1</x:v>
      </x:c>
      <x:c r="C1703" s="48" t="n">
        <x:v>1.0614178993511545</x:v>
      </x:c>
      <x:c r="D1703" s="48" t="n">
        <x:v>0.9365966546003831</x:v>
      </x:c>
      <x:c r="E1703" s="48" t="n">
        <x:v>1.0822903983372263</x:v>
      </x:c>
      <x:c r="F1703" s="48" t="n">
        <x:v>-0.061643601612748594</x:v>
      </x:c>
      <x:c r="G1703" s="48" t="n">
        <x:v>-0.053552358144290074</x:v>
      </x:c>
      <x:c r="H1703" s="48" t="n">
        <x:v>0.8983195465152514</x:v>
      </x:c>
      <x:c r="I1703" s="48" t="n">
        <x:v>0.6230670145767044</x:v>
      </x:c>
      <x:c r="J1703" s="48" t="n">
        <x:v>0.8941887821988419</x:v>
      </x:c>
      <x:c r="K1703" s="48" t="n">
        <x:v>0.9872951948683322</x:v>
      </x:c>
      <x:c r="L1703" s="48" t="n">
        <x:v>0.539659619591483</x:v>
      </x:c>
      <x:c r="M1703" s="48" t="n">
        <x:v>0.06995176710233551</x:v>
      </x:c>
      <x:c r="N1703" s="48" t="n">
        <x:v>0.6947193154379587</x:v>
      </x:c>
      <x:c r="O1703" s="48" t="n">
        <x:v>0.9500684622052841</x:v>
      </x:c>
      <x:c r="P1703" s="48" t="n">
        <x:v>0.7047693309791943</x:v>
      </x:c>
      <x:c r="Q1703" s="48" t="n">
        <x:v>1</x:v>
      </x:c>
      <x:c r="R1703" s="48" t="n">
        <x:v>0.9383423879008501</x:v>
      </x:c>
      <x:c r="S1703" s="29" t="n">
        <x:v>0</x:v>
      </x:c>
    </x:row>
    <x:row r="1704" ht="21.600000381469727" hidden="0" customHeight="1">
      <x:c r="A1704" s="27" t="n">
        <x:v>567</x:v>
      </x:c>
      <x:c r="B1704" s="27" t="str">
        <x:v>A2</x:v>
      </x:c>
      <x:c r="C1704" s="47" t="n">
        <x:v>1.0614178993511545</x:v>
      </x:c>
      <x:c r="D1704" s="47" t="n">
        <x:v>0.9365966546003831</x:v>
      </x:c>
      <x:c r="E1704" s="47" t="n">
        <x:v>1.0822903983372263</x:v>
      </x:c>
      <x:c r="F1704" s="47" t="n">
        <x:v>-0.061643601612748594</x:v>
      </x:c>
      <x:c r="G1704" s="47" t="n">
        <x:v>-0.053552358144290074</x:v>
      </x:c>
      <x:c r="H1704" s="47" t="n">
        <x:v>0.8983195465152514</x:v>
      </x:c>
      <x:c r="I1704" s="47" t="n">
        <x:v>0.6230670145767044</x:v>
      </x:c>
      <x:c r="J1704" s="47" t="n">
        <x:v>0.8941887821988419</x:v>
      </x:c>
      <x:c r="K1704" s="47" t="n">
        <x:v>0.9872951948683322</x:v>
      </x:c>
      <x:c r="L1704" s="47" t="n">
        <x:v>0.539659619591483</x:v>
      </x:c>
      <x:c r="M1704" s="47" t="n">
        <x:v>0.06995176710233551</x:v>
      </x:c>
      <x:c r="N1704" s="47" t="n">
        <x:v>0.6947193154379587</x:v>
      </x:c>
      <x:c r="O1704" s="47" t="n">
        <x:v>0.9705012679394642</x:v>
      </x:c>
      <x:c r="P1704" s="47" t="n">
        <x:v>0.7339442089426909</x:v>
      </x:c>
      <x:c r="Q1704" s="47" t="n">
        <x:v>1</x:v>
      </x:c>
      <x:c r="R1704" s="47" t="n">
        <x:v>0.9635736959217437</x:v>
      </x:c>
      <x:c r="S1704" s="27" t="n">
        <x:v>0</x:v>
      </x:c>
    </x:row>
    <x:row r="1705" ht="21.600000381469727" hidden="0" customHeight="1">
      <x:c r="A1705" s="29" t="n">
        <x:v>567</x:v>
      </x:c>
      <x:c r="B1705" s="29" t="str">
        <x:v>A3</x:v>
      </x:c>
      <x:c r="C1705" s="48" t="n">
        <x:v>1.0614178993511545</x:v>
      </x:c>
      <x:c r="D1705" s="48" t="n">
        <x:v>0.9365966546003831</x:v>
      </x:c>
      <x:c r="E1705" s="48" t="n">
        <x:v>1.0822903983372263</x:v>
      </x:c>
      <x:c r="F1705" s="48" t="n">
        <x:v>-0.061643601612748594</x:v>
      </x:c>
      <x:c r="G1705" s="48" t="n">
        <x:v>-0.053552358144290074</x:v>
      </x:c>
      <x:c r="H1705" s="48" t="n">
        <x:v>0.8983195465152514</x:v>
      </x:c>
      <x:c r="I1705" s="48" t="n">
        <x:v>0.6230670145767044</x:v>
      </x:c>
      <x:c r="J1705" s="48" t="n">
        <x:v>0.8941887821988419</x:v>
      </x:c>
      <x:c r="K1705" s="48" t="n">
        <x:v>0.9872951948683322</x:v>
      </x:c>
      <x:c r="L1705" s="48" t="n">
        <x:v>0.539659619591483</x:v>
      </x:c>
      <x:c r="M1705" s="48" t="n">
        <x:v>0.06995176710233551</x:v>
      </x:c>
      <x:c r="N1705" s="48" t="n">
        <x:v>0.6947193154379587</x:v>
      </x:c>
      <x:c r="O1705" s="48" t="n">
        <x:v>1</x:v>
      </x:c>
      <x:c r="P1705" s="48" t="n">
        <x:v>1</x:v>
      </x:c>
      <x:c r="Q1705" s="48" t="n">
        <x:v>1</x:v>
      </x:c>
      <x:c r="R1705" s="48" t="n">
        <x:v>1</x:v>
      </x:c>
      <x:c r="S1705" s="29" t="n">
        <x:v>1</x:v>
      </x:c>
    </x:row>
    <x:row r="1706" ht="21.600000381469727" hidden="0" customHeight="1">
      <x:c r="A1706" s="27" t="n">
        <x:v>568</x:v>
      </x:c>
      <x:c r="B1706" s="27" t="str">
        <x:v>A1</x:v>
      </x:c>
      <x:c r="C1706" s="47" t="n">
        <x:v>0.983965502756031</x:v>
      </x:c>
      <x:c r="D1706" s="47" t="n">
        <x:v>0.9009946028360142</x:v>
      </x:c>
      <x:c r="E1706" s="47" t="n">
        <x:v>0.9618666175964385</x:v>
      </x:c>
      <x:c r="F1706" s="47" t="n">
        <x:v>-0.02211728231222096</x:v>
      </x:c>
      <x:c r="G1706" s="47" t="n">
        <x:v>-0.16523368585202175</x:v>
      </x:c>
      <x:c r="H1706" s="47" t="n">
        <x:v>0.8607132190343245</x:v>
      </x:c>
      <x:c r="I1706" s="47" t="n">
        <x:v>0.745821543116066</x:v>
      </x:c>
      <x:c r="J1706" s="47" t="n">
        <x:v>0.993918501801207</x:v>
      </x:c>
      <x:c r="K1706" s="47" t="n">
        <x:v>0.7309694112445783</x:v>
      </x:c>
      <x:c r="L1706" s="47" t="n">
        <x:v>0.9173064911275066</x:v>
      </x:c>
      <x:c r="M1706" s="47" t="n">
        <x:v>0.16024707183469644</x:v>
      </x:c>
      <x:c r="N1706" s="47" t="n">
        <x:v>0.6892253877113326</x:v>
      </x:c>
      <x:c r="O1706" s="47" t="n">
        <x:v>0.9343701505847049</x:v>
      </x:c>
      <x:c r="P1706" s="47" t="n">
        <x:v>0.6912874691698829</x:v>
      </x:c>
      <x:c r="Q1706" s="47" t="n">
        <x:v>1</x:v>
      </x:c>
      <x:c r="R1706" s="47" t="n">
        <x:v>0.9189574370008264</x:v>
      </x:c>
      <x:c r="S1706" s="27" t="n">
        <x:v>0</x:v>
      </x:c>
    </x:row>
    <x:row r="1707" ht="21.600000381469727" hidden="0" customHeight="1">
      <x:c r="A1707" s="29" t="n">
        <x:v>568</x:v>
      </x:c>
      <x:c r="B1707" s="29" t="str">
        <x:v>A2</x:v>
      </x:c>
      <x:c r="C1707" s="48" t="n">
        <x:v>0.983965502756031</x:v>
      </x:c>
      <x:c r="D1707" s="48" t="n">
        <x:v>0.9009946028360142</x:v>
      </x:c>
      <x:c r="E1707" s="48" t="n">
        <x:v>0.9618666175964385</x:v>
      </x:c>
      <x:c r="F1707" s="48" t="n">
        <x:v>-0.02211728231222096</x:v>
      </x:c>
      <x:c r="G1707" s="48" t="n">
        <x:v>-0.16523368585202175</x:v>
      </x:c>
      <x:c r="H1707" s="48" t="n">
        <x:v>0.8607132190343245</x:v>
      </x:c>
      <x:c r="I1707" s="48" t="n">
        <x:v>0.745821543116066</x:v>
      </x:c>
      <x:c r="J1707" s="48" t="n">
        <x:v>0.993918501801207</x:v>
      </x:c>
      <x:c r="K1707" s="48" t="n">
        <x:v>0.7309694112445783</x:v>
      </x:c>
      <x:c r="L1707" s="48" t="n">
        <x:v>0.9173064911275066</x:v>
      </x:c>
      <x:c r="M1707" s="48" t="n">
        <x:v>0.16024707183469644</x:v>
      </x:c>
      <x:c r="N1707" s="48" t="n">
        <x:v>0.6892253877113326</x:v>
      </x:c>
      <x:c r="O1707" s="48" t="n">
        <x:v>0.9722407122714137</x:v>
      </x:c>
      <x:c r="P1707" s="48" t="n">
        <x:v>0.762868117866353</x:v>
      </x:c>
      <x:c r="Q1707" s="48" t="n">
        <x:v>1</x:v>
      </x:c>
      <x:c r="R1707" s="48" t="n">
        <x:v>0.9657216366546799</x:v>
      </x:c>
      <x:c r="S1707" s="29" t="n">
        <x:v>0</x:v>
      </x:c>
    </x:row>
    <x:row r="1708" ht="21.600000381469727" hidden="0" customHeight="1">
      <x:c r="A1708" s="27" t="n">
        <x:v>568</x:v>
      </x:c>
      <x:c r="B1708" s="27" t="str">
        <x:v>A3</x:v>
      </x:c>
      <x:c r="C1708" s="47" t="n">
        <x:v>0.983965502756031</x:v>
      </x:c>
      <x:c r="D1708" s="47" t="n">
        <x:v>0.9009946028360142</x:v>
      </x:c>
      <x:c r="E1708" s="47" t="n">
        <x:v>0.9618666175964385</x:v>
      </x:c>
      <x:c r="F1708" s="47" t="n">
        <x:v>-0.02211728231222096</x:v>
      </x:c>
      <x:c r="G1708" s="47" t="n">
        <x:v>-0.16523368585202175</x:v>
      </x:c>
      <x:c r="H1708" s="47" t="n">
        <x:v>0.8607132190343245</x:v>
      </x:c>
      <x:c r="I1708" s="47" t="n">
        <x:v>0.745821543116066</x:v>
      </x:c>
      <x:c r="J1708" s="47" t="n">
        <x:v>0.993918501801207</x:v>
      </x:c>
      <x:c r="K1708" s="47" t="n">
        <x:v>0.7309694112445783</x:v>
      </x:c>
      <x:c r="L1708" s="47" t="n">
        <x:v>0.9173064911275066</x:v>
      </x:c>
      <x:c r="M1708" s="47" t="n">
        <x:v>0.16024707183469644</x:v>
      </x:c>
      <x:c r="N1708" s="47" t="n">
        <x:v>0.6892253877113326</x:v>
      </x:c>
      <x:c r="O1708" s="47" t="n">
        <x:v>1</x:v>
      </x:c>
      <x:c r="P1708" s="47" t="n">
        <x:v>1</x:v>
      </x:c>
      <x:c r="Q1708" s="47" t="n">
        <x:v>1</x:v>
      </x:c>
      <x:c r="R1708" s="47" t="n">
        <x:v>1</x:v>
      </x:c>
      <x:c r="S1708" s="27" t="n">
        <x:v>1</x:v>
      </x:c>
    </x:row>
    <x:row r="1709" ht="21.600000381469727" hidden="0" customHeight="1">
      <x:c r="A1709" s="29" t="n">
        <x:v>569</x:v>
      </x:c>
      <x:c r="B1709" s="29" t="str">
        <x:v>A1</x:v>
      </x:c>
      <x:c r="C1709" s="48" t="n">
        <x:v>1.1497306284640878</x:v>
      </x:c>
      <x:c r="D1709" s="48" t="n">
        <x:v>0.813069180178101</x:v>
      </x:c>
      <x:c r="E1709" s="48" t="n">
        <x:v>1.076255456105675</x:v>
      </x:c>
      <x:c r="F1709" s="48" t="n">
        <x:v>-0.053030026337818975</x:v>
      </x:c>
      <x:c r="G1709" s="48" t="n">
        <x:v>-0.03871099600434977</x:v>
      </x:c>
      <x:c r="H1709" s="48" t="n">
        <x:v>0.45063135185378106</x:v>
      </x:c>
      <x:c r="I1709" s="48" t="n">
        <x:v>0.7644888524135247</x:v>
      </x:c>
      <x:c r="J1709" s="48" t="n">
        <x:v>0.9643640093388487</x:v>
      </x:c>
      <x:c r="K1709" s="48" t="n">
        <x:v>0.9270462544188909</x:v>
      </x:c>
      <x:c r="L1709" s="48" t="n">
        <x:v>0.7475194139046486</x:v>
      </x:c>
      <x:c r="M1709" s="48" t="n">
        <x:v>0.1473563620124115</x:v>
      </x:c>
      <x:c r="N1709" s="48" t="n">
        <x:v>0.9218749794111141</x:v>
      </x:c>
      <x:c r="O1709" s="48" t="n">
        <x:v>0.8881369327174661</x:v>
      </x:c>
      <x:c r="P1709" s="48" t="n">
        <x:v>0.5327654165557377</x:v>
      </x:c>
      <x:c r="Q1709" s="48" t="n">
        <x:v>1</x:v>
      </x:c>
      <x:c r="R1709" s="48" t="n">
        <x:v>0.8618666695369139</x:v>
      </x:c>
      <x:c r="S1709" s="29" t="n">
        <x:v>0</x:v>
      </x:c>
    </x:row>
    <x:row r="1710" ht="21.600000381469727" hidden="0" customHeight="1">
      <x:c r="A1710" s="27" t="n">
        <x:v>569</x:v>
      </x:c>
      <x:c r="B1710" s="27" t="str">
        <x:v>A2</x:v>
      </x:c>
      <x:c r="C1710" s="47" t="n">
        <x:v>1.1497306284640878</x:v>
      </x:c>
      <x:c r="D1710" s="47" t="n">
        <x:v>0.813069180178101</x:v>
      </x:c>
      <x:c r="E1710" s="47" t="n">
        <x:v>1.076255456105675</x:v>
      </x:c>
      <x:c r="F1710" s="47" t="n">
        <x:v>-0.053030026337818975</x:v>
      </x:c>
      <x:c r="G1710" s="47" t="n">
        <x:v>-0.03871099600434977</x:v>
      </x:c>
      <x:c r="H1710" s="47" t="n">
        <x:v>0.45063135185378106</x:v>
      </x:c>
      <x:c r="I1710" s="47" t="n">
        <x:v>0.7644888524135247</x:v>
      </x:c>
      <x:c r="J1710" s="47" t="n">
        <x:v>0.9643640093388487</x:v>
      </x:c>
      <x:c r="K1710" s="47" t="n">
        <x:v>0.9270462544188909</x:v>
      </x:c>
      <x:c r="L1710" s="47" t="n">
        <x:v>0.7475194139046486</x:v>
      </x:c>
      <x:c r="M1710" s="47" t="n">
        <x:v>0.1473563620124115</x:v>
      </x:c>
      <x:c r="N1710" s="47" t="n">
        <x:v>0.9218749794111141</x:v>
      </x:c>
      <x:c r="O1710" s="47" t="n">
        <x:v>0.9314523077937693</x:v>
      </x:c>
      <x:c r="P1710" s="47" t="n">
        <x:v>0.6512912479865005</x:v>
      </x:c>
      <x:c r="Q1710" s="47" t="n">
        <x:v>1</x:v>
      </x:c>
      <x:c r="R1710" s="47" t="n">
        <x:v>0.9153543591282912</x:v>
      </x:c>
      <x:c r="S1710" s="27" t="n">
        <x:v>0</x:v>
      </x:c>
    </x:row>
    <x:row r="1711" ht="21.600000381469727" hidden="0" customHeight="1">
      <x:c r="A1711" s="29" t="n">
        <x:v>569</x:v>
      </x:c>
      <x:c r="B1711" s="29" t="str">
        <x:v>A3</x:v>
      </x:c>
      <x:c r="C1711" s="48" t="n">
        <x:v>1.1497306284640878</x:v>
      </x:c>
      <x:c r="D1711" s="48" t="n">
        <x:v>0.813069180178101</x:v>
      </x:c>
      <x:c r="E1711" s="48" t="n">
        <x:v>1.076255456105675</x:v>
      </x:c>
      <x:c r="F1711" s="48" t="n">
        <x:v>-0.053030026337818975</x:v>
      </x:c>
      <x:c r="G1711" s="48" t="n">
        <x:v>-0.03871099600434977</x:v>
      </x:c>
      <x:c r="H1711" s="48" t="n">
        <x:v>0.45063135185378106</x:v>
      </x:c>
      <x:c r="I1711" s="48" t="n">
        <x:v>0.7644888524135247</x:v>
      </x:c>
      <x:c r="J1711" s="48" t="n">
        <x:v>0.9643640093388487</x:v>
      </x:c>
      <x:c r="K1711" s="48" t="n">
        <x:v>0.9270462544188909</x:v>
      </x:c>
      <x:c r="L1711" s="48" t="n">
        <x:v>0.7475194139046486</x:v>
      </x:c>
      <x:c r="M1711" s="48" t="n">
        <x:v>0.1473563620124115</x:v>
      </x:c>
      <x:c r="N1711" s="48" t="n">
        <x:v>0.9218749794111141</x:v>
      </x:c>
      <x:c r="O1711" s="48" t="n">
        <x:v>1</x:v>
      </x:c>
      <x:c r="P1711" s="48" t="n">
        <x:v>1</x:v>
      </x:c>
      <x:c r="Q1711" s="48" t="n">
        <x:v>1</x:v>
      </x:c>
      <x:c r="R1711" s="48" t="n">
        <x:v>1</x:v>
      </x:c>
      <x:c r="S1711" s="29" t="n">
        <x:v>1</x:v>
      </x:c>
    </x:row>
    <x:row r="1712" ht="21.600000381469727" hidden="0" customHeight="1">
      <x:c r="A1712" s="27" t="n">
        <x:v>570</x:v>
      </x:c>
      <x:c r="B1712" s="27" t="str">
        <x:v>A1</x:v>
      </x:c>
      <x:c r="C1712" s="47" t="n">
        <x:v>1.032007012436365</x:v>
      </x:c>
      <x:c r="D1712" s="47" t="n">
        <x:v>0.9631920179281895</x:v>
      </x:c>
      <x:c r="E1712" s="47" t="n">
        <x:v>0.4825485257168129</x:v>
      </x:c>
      <x:c r="F1712" s="47" t="n">
        <x:v>-0.057042374830419046</x:v>
      </x:c>
      <x:c r="G1712" s="47" t="n">
        <x:v>-0.14436060727031896</x:v>
      </x:c>
      <x:c r="H1712" s="47" t="n">
        <x:v>0.9155781765520254</x:v>
      </x:c>
      <x:c r="I1712" s="47" t="n">
        <x:v>0.9125836883004754</x:v>
      </x:c>
      <x:c r="J1712" s="47" t="n">
        <x:v>0.5164558472567236</x:v>
      </x:c>
      <x:c r="K1712" s="47" t="n">
        <x:v>0.8120115623526112</x:v>
      </x:c>
      <x:c r="L1712" s="47" t="n">
        <x:v>0.7223872984661137</x:v>
      </x:c>
      <x:c r="M1712" s="47" t="n">
        <x:v>0.06756280936687586</x:v>
      </x:c>
      <x:c r="N1712" s="47" t="n">
        <x:v>0.7133262085581316</x:v>
      </x:c>
      <x:c r="O1712" s="47" t="n">
        <x:v>0.8663481627776053</x:v>
      </x:c>
      <x:c r="P1712" s="47" t="n">
        <x:v>0.6231124252295367</x:v>
      </x:c>
      <x:c r="Q1712" s="47" t="n">
        <x:v>1</x:v>
      </x:c>
      <x:c r="R1712" s="47" t="n">
        <x:v>0.8349609585493439</x:v>
      </x:c>
      <x:c r="S1712" s="27" t="n">
        <x:v>0</x:v>
      </x:c>
    </x:row>
    <x:row r="1713" ht="21.600000381469727" hidden="0" customHeight="1">
      <x:c r="A1713" s="29" t="n">
        <x:v>570</x:v>
      </x:c>
      <x:c r="B1713" s="29" t="str">
        <x:v>A2</x:v>
      </x:c>
      <x:c r="C1713" s="48" t="n">
        <x:v>1.032007012436365</x:v>
      </x:c>
      <x:c r="D1713" s="48" t="n">
        <x:v>0.9631920179281895</x:v>
      </x:c>
      <x:c r="E1713" s="48" t="n">
        <x:v>0.4825485257168129</x:v>
      </x:c>
      <x:c r="F1713" s="48" t="n">
        <x:v>-0.057042374830419046</x:v>
      </x:c>
      <x:c r="G1713" s="48" t="n">
        <x:v>-0.14436060727031896</x:v>
      </x:c>
      <x:c r="H1713" s="48" t="n">
        <x:v>0.9155781765520254</x:v>
      </x:c>
      <x:c r="I1713" s="48" t="n">
        <x:v>0.9125836883004754</x:v>
      </x:c>
      <x:c r="J1713" s="48" t="n">
        <x:v>0.5164558472567236</x:v>
      </x:c>
      <x:c r="K1713" s="48" t="n">
        <x:v>0.8120115623526112</x:v>
      </x:c>
      <x:c r="L1713" s="48" t="n">
        <x:v>0.7223872984661137</x:v>
      </x:c>
      <x:c r="M1713" s="48" t="n">
        <x:v>0.06756280936687586</x:v>
      </x:c>
      <x:c r="N1713" s="48" t="n">
        <x:v>0.7133262085581316</x:v>
      </x:c>
      <x:c r="O1713" s="48" t="n">
        <x:v>0.9578743748474845</x:v>
      </x:c>
      <x:c r="P1713" s="48" t="n">
        <x:v>0.819117744939262</x:v>
      </x:c>
      <x:c r="Q1713" s="48" t="n">
        <x:v>1</x:v>
      </x:c>
      <x:c r="R1713" s="48" t="n">
        <x:v>0.9479814648255662</x:v>
      </x:c>
      <x:c r="S1713" s="29" t="n">
        <x:v>0</x:v>
      </x:c>
    </x:row>
    <x:row r="1714" ht="21.600000381469727" hidden="0" customHeight="1">
      <x:c r="A1714" s="27" t="n">
        <x:v>570</x:v>
      </x:c>
      <x:c r="B1714" s="27" t="str">
        <x:v>A3</x:v>
      </x:c>
      <x:c r="C1714" s="47" t="n">
        <x:v>1.032007012436365</x:v>
      </x:c>
      <x:c r="D1714" s="47" t="n">
        <x:v>0.9631920179281895</x:v>
      </x:c>
      <x:c r="E1714" s="47" t="n">
        <x:v>0.4825485257168129</x:v>
      </x:c>
      <x:c r="F1714" s="47" t="n">
        <x:v>-0.057042374830419046</x:v>
      </x:c>
      <x:c r="G1714" s="47" t="n">
        <x:v>-0.14436060727031896</x:v>
      </x:c>
      <x:c r="H1714" s="47" t="n">
        <x:v>0.9155781765520254</x:v>
      </x:c>
      <x:c r="I1714" s="47" t="n">
        <x:v>0.9125836883004754</x:v>
      </x:c>
      <x:c r="J1714" s="47" t="n">
        <x:v>0.5164558472567236</x:v>
      </x:c>
      <x:c r="K1714" s="47" t="n">
        <x:v>0.8120115623526112</x:v>
      </x:c>
      <x:c r="L1714" s="47" t="n">
        <x:v>0.7223872984661137</x:v>
      </x:c>
      <x:c r="M1714" s="47" t="n">
        <x:v>0.06756280936687586</x:v>
      </x:c>
      <x:c r="N1714" s="47" t="n">
        <x:v>0.7133262085581316</x:v>
      </x:c>
      <x:c r="O1714" s="47" t="n">
        <x:v>1</x:v>
      </x:c>
      <x:c r="P1714" s="47" t="n">
        <x:v>1</x:v>
      </x:c>
      <x:c r="Q1714" s="47" t="n">
        <x:v>1</x:v>
      </x:c>
      <x:c r="R1714" s="47" t="n">
        <x:v>1</x:v>
      </x:c>
      <x:c r="S1714" s="27" t="n">
        <x:v>1</x:v>
      </x:c>
    </x:row>
    <x:row r="1715" ht="21.600000381469727" hidden="0" customHeight="1">
      <x:c r="A1715" s="29" t="n">
        <x:v>571</x:v>
      </x:c>
      <x:c r="B1715" s="29" t="str">
        <x:v>A1</x:v>
      </x:c>
      <x:c r="C1715" s="48" t="n">
        <x:v>1.3299116666100061</x:v>
      </x:c>
      <x:c r="D1715" s="48" t="n">
        <x:v>0.9840692782116569</x:v>
      </x:c>
      <x:c r="E1715" s="48" t="n">
        <x:v>0.4987494407797881</x:v>
      </x:c>
      <x:c r="F1715" s="48" t="n">
        <x:v>-0.02432886693888553</x:v>
      </x:c>
      <x:c r="G1715" s="48" t="n">
        <x:v>-0.023566917364827467</x:v>
      </x:c>
      <x:c r="H1715" s="48" t="n">
        <x:v>0.3897663027826482</x:v>
      </x:c>
      <x:c r="I1715" s="48" t="n">
        <x:v>0.7671950649504689</x:v>
      </x:c>
      <x:c r="J1715" s="48" t="n">
        <x:v>0.953164767035342</x:v>
      </x:c>
      <x:c r="K1715" s="48" t="n">
        <x:v>0.8349612730311828</x:v>
      </x:c>
      <x:c r="L1715" s="48" t="n">
        <x:v>0.7448323542692348</x:v>
      </x:c>
      <x:c r="M1715" s="48" t="n">
        <x:v>0.009695656755504524</x:v>
      </x:c>
      <x:c r="N1715" s="48" t="n">
        <x:v>0.687363835608306</x:v>
      </x:c>
      <x:c r="O1715" s="48" t="n">
        <x:v>0.8374609195139409</x:v>
      </x:c>
      <x:c r="P1715" s="48" t="n">
        <x:v>0.4990207422372632</x:v>
      </x:c>
      <x:c r="Q1715" s="48" t="n">
        <x:v>0.9850569714026318</x:v>
      </x:c>
      <x:c r="R1715" s="48" t="n">
        <x:v>0.7994007268426615</x:v>
      </x:c>
      <x:c r="S1715" s="29" t="n">
        <x:v>0</x:v>
      </x:c>
    </x:row>
    <x:row r="1716" ht="21.600000381469727" hidden="0" customHeight="1">
      <x:c r="A1716" s="27" t="n">
        <x:v>571</x:v>
      </x:c>
      <x:c r="B1716" s="27" t="str">
        <x:v>A2</x:v>
      </x:c>
      <x:c r="C1716" s="47" t="n">
        <x:v>1.3299116666100061</x:v>
      </x:c>
      <x:c r="D1716" s="47" t="n">
        <x:v>0.9840692782116569</x:v>
      </x:c>
      <x:c r="E1716" s="47" t="n">
        <x:v>0.4987494407797881</x:v>
      </x:c>
      <x:c r="F1716" s="47" t="n">
        <x:v>-0.02432886693888553</x:v>
      </x:c>
      <x:c r="G1716" s="47" t="n">
        <x:v>-0.023566917364827467</x:v>
      </x:c>
      <x:c r="H1716" s="47" t="n">
        <x:v>0.3897663027826482</x:v>
      </x:c>
      <x:c r="I1716" s="47" t="n">
        <x:v>0.7671950649504689</x:v>
      </x:c>
      <x:c r="J1716" s="47" t="n">
        <x:v>0.953164767035342</x:v>
      </x:c>
      <x:c r="K1716" s="47" t="n">
        <x:v>0.8349612730311828</x:v>
      </x:c>
      <x:c r="L1716" s="47" t="n">
        <x:v>0.7448323542692348</x:v>
      </x:c>
      <x:c r="M1716" s="47" t="n">
        <x:v>0.009695656755504524</x:v>
      </x:c>
      <x:c r="N1716" s="47" t="n">
        <x:v>0.687363835608306</x:v>
      </x:c>
      <x:c r="O1716" s="47" t="n">
        <x:v>0.8959448779227464</x:v>
      </x:c>
      <x:c r="P1716" s="47" t="n">
        <x:v>0.4845867627058656</x:v>
      </x:c>
      <x:c r="Q1716" s="47" t="n">
        <x:v>1</x:v>
      </x:c>
      <x:c r="R1716" s="47" t="n">
        <x:v>0.8715082563580099</x:v>
      </x:c>
      <x:c r="S1716" s="27" t="n">
        <x:v>0</x:v>
      </x:c>
    </x:row>
    <x:row r="1717" ht="21.600000381469727" hidden="0" customHeight="1">
      <x:c r="A1717" s="29" t="n">
        <x:v>571</x:v>
      </x:c>
      <x:c r="B1717" s="29" t="str">
        <x:v>A3</x:v>
      </x:c>
      <x:c r="C1717" s="48" t="n">
        <x:v>1.3299116666100061</x:v>
      </x:c>
      <x:c r="D1717" s="48" t="n">
        <x:v>0.9840692782116569</x:v>
      </x:c>
      <x:c r="E1717" s="48" t="n">
        <x:v>0.4987494407797881</x:v>
      </x:c>
      <x:c r="F1717" s="48" t="n">
        <x:v>-0.02432886693888553</x:v>
      </x:c>
      <x:c r="G1717" s="48" t="n">
        <x:v>-0.023566917364827467</x:v>
      </x:c>
      <x:c r="H1717" s="48" t="n">
        <x:v>0.3897663027826482</x:v>
      </x:c>
      <x:c r="I1717" s="48" t="n">
        <x:v>0.7671950649504689</x:v>
      </x:c>
      <x:c r="J1717" s="48" t="n">
        <x:v>0.953164767035342</x:v>
      </x:c>
      <x:c r="K1717" s="48" t="n">
        <x:v>0.8349612730311828</x:v>
      </x:c>
      <x:c r="L1717" s="48" t="n">
        <x:v>0.7448323542692348</x:v>
      </x:c>
      <x:c r="M1717" s="48" t="n">
        <x:v>0.009695656755504524</x:v>
      </x:c>
      <x:c r="N1717" s="48" t="n">
        <x:v>0.687363835608306</x:v>
      </x:c>
      <x:c r="O1717" s="48" t="n">
        <x:v>1</x:v>
      </x:c>
      <x:c r="P1717" s="48" t="n">
        <x:v>1</x:v>
      </x:c>
      <x:c r="Q1717" s="48" t="n">
        <x:v>1</x:v>
      </x:c>
      <x:c r="R1717" s="48" t="n">
        <x:v>1</x:v>
      </x:c>
      <x:c r="S1717" s="29" t="n">
        <x:v>1</x:v>
      </x:c>
    </x:row>
    <x:row r="1718" ht="21.600000381469727" hidden="0" customHeight="1">
      <x:c r="A1718" s="27" t="n">
        <x:v>572</x:v>
      </x:c>
      <x:c r="B1718" s="27" t="str">
        <x:v>A1</x:v>
      </x:c>
      <x:c r="C1718" s="47" t="n">
        <x:v>1.0448198873450785</x:v>
      </x:c>
      <x:c r="D1718" s="47" t="n">
        <x:v>0.8254552456992806</x:v>
      </x:c>
      <x:c r="E1718" s="47" t="n">
        <x:v>0.8835929738962867</x:v>
      </x:c>
      <x:c r="F1718" s="47" t="n">
        <x:v>-0.15291753070571523</x:v>
      </x:c>
      <x:c r="G1718" s="47" t="n">
        <x:v>-0.10281298171934193</x:v>
      </x:c>
      <x:c r="H1718" s="47" t="n">
        <x:v>0.34840082742610656</x:v>
      </x:c>
      <x:c r="I1718" s="47" t="n">
        <x:v>0.976424959376315</x:v>
      </x:c>
      <x:c r="J1718" s="47" t="n">
        <x:v>0.6149817326109158</x:v>
      </x:c>
      <x:c r="K1718" s="47" t="n">
        <x:v>0.793227840695654</x:v>
      </x:c>
      <x:c r="L1718" s="47" t="n">
        <x:v>0.570866717138793</x:v>
      </x:c>
      <x:c r="M1718" s="47" t="n">
        <x:v>0.03254575233943476</x:v>
      </x:c>
      <x:c r="N1718" s="47" t="n">
        <x:v>0.7812847437443933</x:v>
      </x:c>
      <x:c r="O1718" s="47" t="n">
        <x:v>0.8906639360093308</x:v>
      </x:c>
      <x:c r="P1718" s="47" t="n">
        <x:v>0.6886568169977767</x:v>
      </x:c>
      <x:c r="Q1718" s="47" t="n">
        <x:v>1</x:v>
      </x:c>
      <x:c r="R1718" s="47" t="n">
        <x:v>0.8649871219728803</x:v>
      </x:c>
      <x:c r="S1718" s="27" t="n">
        <x:v>0</x:v>
      </x:c>
    </x:row>
    <x:row r="1719" ht="21.600000381469727" hidden="0" customHeight="1">
      <x:c r="A1719" s="29" t="n">
        <x:v>572</x:v>
      </x:c>
      <x:c r="B1719" s="29" t="str">
        <x:v>A2</x:v>
      </x:c>
      <x:c r="C1719" s="48" t="n">
        <x:v>1.0448198873450785</x:v>
      </x:c>
      <x:c r="D1719" s="48" t="n">
        <x:v>0.8254552456992806</x:v>
      </x:c>
      <x:c r="E1719" s="48" t="n">
        <x:v>0.8835929738962867</x:v>
      </x:c>
      <x:c r="F1719" s="48" t="n">
        <x:v>-0.15291753070571523</x:v>
      </x:c>
      <x:c r="G1719" s="48" t="n">
        <x:v>-0.10281298171934193</x:v>
      </x:c>
      <x:c r="H1719" s="48" t="n">
        <x:v>0.34840082742610656</x:v>
      </x:c>
      <x:c r="I1719" s="48" t="n">
        <x:v>0.976424959376315</x:v>
      </x:c>
      <x:c r="J1719" s="48" t="n">
        <x:v>0.6149817326109158</x:v>
      </x:c>
      <x:c r="K1719" s="48" t="n">
        <x:v>0.793227840695654</x:v>
      </x:c>
      <x:c r="L1719" s="48" t="n">
        <x:v>0.570866717138793</x:v>
      </x:c>
      <x:c r="M1719" s="48" t="n">
        <x:v>0.03254575233943476</x:v>
      </x:c>
      <x:c r="N1719" s="48" t="n">
        <x:v>0.7812847437443933</x:v>
      </x:c>
      <x:c r="O1719" s="48" t="n">
        <x:v>0.9757980795905834</x:v>
      </x:c>
      <x:c r="P1719" s="48" t="n">
        <x:v>0.7862424876424536</x:v>
      </x:c>
      <x:c r="Q1719" s="48" t="n">
        <x:v>1</x:v>
      </x:c>
      <x:c r="R1719" s="48" t="n">
        <x:v>0.9701144269420794</x:v>
      </x:c>
      <x:c r="S1719" s="29" t="n">
        <x:v>0</x:v>
      </x:c>
    </x:row>
    <x:row r="1720" ht="21.600000381469727" hidden="0" customHeight="1">
      <x:c r="A1720" s="27" t="n">
        <x:v>572</x:v>
      </x:c>
      <x:c r="B1720" s="27" t="str">
        <x:v>A3</x:v>
      </x:c>
      <x:c r="C1720" s="47" t="n">
        <x:v>1.0448198873450785</x:v>
      </x:c>
      <x:c r="D1720" s="47" t="n">
        <x:v>0.8254552456992806</x:v>
      </x:c>
      <x:c r="E1720" s="47" t="n">
        <x:v>0.8835929738962867</x:v>
      </x:c>
      <x:c r="F1720" s="47" t="n">
        <x:v>-0.15291753070571523</x:v>
      </x:c>
      <x:c r="G1720" s="47" t="n">
        <x:v>-0.10281298171934193</x:v>
      </x:c>
      <x:c r="H1720" s="47" t="n">
        <x:v>0.34840082742610656</x:v>
      </x:c>
      <x:c r="I1720" s="47" t="n">
        <x:v>0.976424959376315</x:v>
      </x:c>
      <x:c r="J1720" s="47" t="n">
        <x:v>0.6149817326109158</x:v>
      </x:c>
      <x:c r="K1720" s="47" t="n">
        <x:v>0.793227840695654</x:v>
      </x:c>
      <x:c r="L1720" s="47" t="n">
        <x:v>0.570866717138793</x:v>
      </x:c>
      <x:c r="M1720" s="47" t="n">
        <x:v>0.03254575233943476</x:v>
      </x:c>
      <x:c r="N1720" s="47" t="n">
        <x:v>0.7812847437443933</x:v>
      </x:c>
      <x:c r="O1720" s="47" t="n">
        <x:v>1</x:v>
      </x:c>
      <x:c r="P1720" s="47" t="n">
        <x:v>1</x:v>
      </x:c>
      <x:c r="Q1720" s="47" t="n">
        <x:v>1</x:v>
      </x:c>
      <x:c r="R1720" s="47" t="n">
        <x:v>1</x:v>
      </x:c>
      <x:c r="S1720" s="27" t="n">
        <x:v>1</x:v>
      </x:c>
    </x:row>
    <x:row r="1721" ht="21.600000381469727" hidden="0" customHeight="1">
      <x:c r="A1721" s="29" t="n">
        <x:v>573</x:v>
      </x:c>
      <x:c r="B1721" s="29" t="str">
        <x:v>A1</x:v>
      </x:c>
      <x:c r="C1721" s="48" t="n">
        <x:v>1.0608485277320674</x:v>
      </x:c>
      <x:c r="D1721" s="48" t="n">
        <x:v>0.8052195589549512</x:v>
      </x:c>
      <x:c r="E1721" s="48" t="n">
        <x:v>0.991612350836353</x:v>
      </x:c>
      <x:c r="F1721" s="48" t="n">
        <x:v>-0.0428001449054107</x:v>
      </x:c>
      <x:c r="G1721" s="48" t="n">
        <x:v>-0.047195596530880624</x:v>
      </x:c>
      <x:c r="H1721" s="48" t="n">
        <x:v>0.43444924689962916</x:v>
      </x:c>
      <x:c r="I1721" s="48" t="n">
        <x:v>0.8633551949185598</x:v>
      </x:c>
      <x:c r="J1721" s="48" t="n">
        <x:v>0.7827248034216356</x:v>
      </x:c>
      <x:c r="K1721" s="48" t="n">
        <x:v>0.5995591686365429</x:v>
      </x:c>
      <x:c r="L1721" s="48" t="n">
        <x:v>0.8284740853601462</x:v>
      </x:c>
      <x:c r="M1721" s="48" t="n">
        <x:v>0.08731857292988672</x:v>
      </x:c>
      <x:c r="N1721" s="48" t="n">
        <x:v>0.679504600949016</x:v>
      </x:c>
      <x:c r="O1721" s="48" t="n">
        <x:v>0.8838551205357694</x:v>
      </x:c>
      <x:c r="P1721" s="48" t="n">
        <x:v>0.583497369638855</x:v>
      </x:c>
      <x:c r="Q1721" s="48" t="n">
        <x:v>1</x:v>
      </x:c>
      <x:c r="R1721" s="48" t="n">
        <x:v>0.8565793035505934</x:v>
      </x:c>
      <x:c r="S1721" s="29" t="n">
        <x:v>0</x:v>
      </x:c>
    </x:row>
    <x:row r="1722" ht="21.600000381469727" hidden="0" customHeight="1">
      <x:c r="A1722" s="27" t="n">
        <x:v>573</x:v>
      </x:c>
      <x:c r="B1722" s="27" t="str">
        <x:v>A2</x:v>
      </x:c>
      <x:c r="C1722" s="47" t="n">
        <x:v>1.0608485277320674</x:v>
      </x:c>
      <x:c r="D1722" s="47" t="n">
        <x:v>0.8052195589549512</x:v>
      </x:c>
      <x:c r="E1722" s="47" t="n">
        <x:v>0.991612350836353</x:v>
      </x:c>
      <x:c r="F1722" s="47" t="n">
        <x:v>-0.0428001449054107</x:v>
      </x:c>
      <x:c r="G1722" s="47" t="n">
        <x:v>-0.047195596530880624</x:v>
      </x:c>
      <x:c r="H1722" s="47" t="n">
        <x:v>0.43444924689962916</x:v>
      </x:c>
      <x:c r="I1722" s="47" t="n">
        <x:v>0.8633551949185598</x:v>
      </x:c>
      <x:c r="J1722" s="47" t="n">
        <x:v>0.7827248034216356</x:v>
      </x:c>
      <x:c r="K1722" s="47" t="n">
        <x:v>0.5995591686365429</x:v>
      </x:c>
      <x:c r="L1722" s="47" t="n">
        <x:v>0.8284740853601462</x:v>
      </x:c>
      <x:c r="M1722" s="47" t="n">
        <x:v>0.08731857292988672</x:v>
      </x:c>
      <x:c r="N1722" s="47" t="n">
        <x:v>0.679504600949016</x:v>
      </x:c>
      <x:c r="O1722" s="47" t="n">
        <x:v>0.9211829130363622</x:v>
      </x:c>
      <x:c r="P1722" s="47" t="n">
        <x:v>0.5908828366275527</x:v>
      </x:c>
      <x:c r="Q1722" s="47" t="n">
        <x:v>1</x:v>
      </x:c>
      <x:c r="R1722" s="47" t="n">
        <x:v>0.9026732684507225</x:v>
      </x:c>
      <x:c r="S1722" s="27" t="n">
        <x:v>0</x:v>
      </x:c>
    </x:row>
    <x:row r="1723" ht="21.600000381469727" hidden="0" customHeight="1">
      <x:c r="A1723" s="29" t="n">
        <x:v>573</x:v>
      </x:c>
      <x:c r="B1723" s="29" t="str">
        <x:v>A3</x:v>
      </x:c>
      <x:c r="C1723" s="48" t="n">
        <x:v>1.0608485277320674</x:v>
      </x:c>
      <x:c r="D1723" s="48" t="n">
        <x:v>0.8052195589549512</x:v>
      </x:c>
      <x:c r="E1723" s="48" t="n">
        <x:v>0.991612350836353</x:v>
      </x:c>
      <x:c r="F1723" s="48" t="n">
        <x:v>-0.0428001449054107</x:v>
      </x:c>
      <x:c r="G1723" s="48" t="n">
        <x:v>-0.047195596530880624</x:v>
      </x:c>
      <x:c r="H1723" s="48" t="n">
        <x:v>0.43444924689962916</x:v>
      </x:c>
      <x:c r="I1723" s="48" t="n">
        <x:v>0.8633551949185598</x:v>
      </x:c>
      <x:c r="J1723" s="48" t="n">
        <x:v>0.7827248034216356</x:v>
      </x:c>
      <x:c r="K1723" s="48" t="n">
        <x:v>0.5995591686365429</x:v>
      </x:c>
      <x:c r="L1723" s="48" t="n">
        <x:v>0.8284740853601462</x:v>
      </x:c>
      <x:c r="M1723" s="48" t="n">
        <x:v>0.08731857292988672</x:v>
      </x:c>
      <x:c r="N1723" s="48" t="n">
        <x:v>0.679504600949016</x:v>
      </x:c>
      <x:c r="O1723" s="48" t="n">
        <x:v>1</x:v>
      </x:c>
      <x:c r="P1723" s="48" t="n">
        <x:v>1</x:v>
      </x:c>
      <x:c r="Q1723" s="48" t="n">
        <x:v>1</x:v>
      </x:c>
      <x:c r="R1723" s="48" t="n">
        <x:v>1</x:v>
      </x:c>
      <x:c r="S1723" s="29" t="n">
        <x:v>1</x:v>
      </x:c>
    </x:row>
    <x:row r="1724" ht="21.600000381469727" hidden="0" customHeight="1">
      <x:c r="A1724" s="27" t="n">
        <x:v>574</x:v>
      </x:c>
      <x:c r="B1724" s="27" t="str">
        <x:v>A1</x:v>
      </x:c>
      <x:c r="C1724" s="47" t="n">
        <x:v>1.140044825998322</x:v>
      </x:c>
      <x:c r="D1724" s="47" t="n">
        <x:v>0.9017210158893303</x:v>
      </x:c>
      <x:c r="E1724" s="47" t="n">
        <x:v>0.9971872996689775</x:v>
      </x:c>
      <x:c r="F1724" s="47" t="n">
        <x:v>0.02506574128596817</x:v>
      </x:c>
      <x:c r="G1724" s="47" t="n">
        <x:v>-0.03655761602877031</x:v>
      </x:c>
      <x:c r="H1724" s="47" t="n">
        <x:v>0.8250962924878251</x:v>
      </x:c>
      <x:c r="I1724" s="47" t="n">
        <x:v>0.866364269265212</x:v>
      </x:c>
      <x:c r="J1724" s="47" t="n">
        <x:v>0.7244388225541822</x:v>
      </x:c>
      <x:c r="K1724" s="47" t="n">
        <x:v>0.9085562296969685</x:v>
      </x:c>
      <x:c r="L1724" s="47" t="n">
        <x:v>0.6776976078817836</x:v>
      </x:c>
      <x:c r="M1724" s="47" t="n">
        <x:v>0.02030474083450093</x:v>
      </x:c>
      <x:c r="N1724" s="47" t="n">
        <x:v>0.7999491844985696</x:v>
      </x:c>
      <x:c r="O1724" s="47" t="n">
        <x:v>0.888611478316778</x:v>
      </x:c>
      <x:c r="P1724" s="47" t="n">
        <x:v>0.6111916537239891</x:v>
      </x:c>
      <x:c r="Q1724" s="47" t="n">
        <x:v>1</x:v>
      </x:c>
      <x:c r="R1724" s="47" t="n">
        <x:v>0.8624526588690676</x:v>
      </x:c>
      <x:c r="S1724" s="27" t="n">
        <x:v>0</x:v>
      </x:c>
    </x:row>
    <x:row r="1725" ht="21.600000381469727" hidden="0" customHeight="1">
      <x:c r="A1725" s="29" t="n">
        <x:v>574</x:v>
      </x:c>
      <x:c r="B1725" s="29" t="str">
        <x:v>A2</x:v>
      </x:c>
      <x:c r="C1725" s="48" t="n">
        <x:v>1.140044825998322</x:v>
      </x:c>
      <x:c r="D1725" s="48" t="n">
        <x:v>0.9017210158893303</x:v>
      </x:c>
      <x:c r="E1725" s="48" t="n">
        <x:v>0.9971872996689775</x:v>
      </x:c>
      <x:c r="F1725" s="48" t="n">
        <x:v>0.02506574128596817</x:v>
      </x:c>
      <x:c r="G1725" s="48" t="n">
        <x:v>-0.03655761602877031</x:v>
      </x:c>
      <x:c r="H1725" s="48" t="n">
        <x:v>0.8250962924878251</x:v>
      </x:c>
      <x:c r="I1725" s="48" t="n">
        <x:v>0.866364269265212</x:v>
      </x:c>
      <x:c r="J1725" s="48" t="n">
        <x:v>0.7244388225541822</x:v>
      </x:c>
      <x:c r="K1725" s="48" t="n">
        <x:v>0.9085562296969685</x:v>
      </x:c>
      <x:c r="L1725" s="48" t="n">
        <x:v>0.6776976078817836</x:v>
      </x:c>
      <x:c r="M1725" s="48" t="n">
        <x:v>0.02030474083450093</x:v>
      </x:c>
      <x:c r="N1725" s="48" t="n">
        <x:v>0.7999491844985696</x:v>
      </x:c>
      <x:c r="O1725" s="48" t="n">
        <x:v>0.9596027146735299</x:v>
      </x:c>
      <x:c r="P1725" s="48" t="n">
        <x:v>0.670258650145711</x:v>
      </x:c>
      <x:c r="Q1725" s="48" t="n">
        <x:v>1</x:v>
      </x:c>
      <x:c r="R1725" s="48" t="n">
        <x:v>0.9501156932366347</x:v>
      </x:c>
      <x:c r="S1725" s="29" t="n">
        <x:v>0</x:v>
      </x:c>
    </x:row>
    <x:row r="1726" ht="21.600000381469727" hidden="0" customHeight="1">
      <x:c r="A1726" s="27" t="n">
        <x:v>574</x:v>
      </x:c>
      <x:c r="B1726" s="27" t="str">
        <x:v>A3</x:v>
      </x:c>
      <x:c r="C1726" s="47" t="n">
        <x:v>1.140044825998322</x:v>
      </x:c>
      <x:c r="D1726" s="47" t="n">
        <x:v>0.9017210158893303</x:v>
      </x:c>
      <x:c r="E1726" s="47" t="n">
        <x:v>0.9971872996689775</x:v>
      </x:c>
      <x:c r="F1726" s="47" t="n">
        <x:v>0.02506574128596817</x:v>
      </x:c>
      <x:c r="G1726" s="47" t="n">
        <x:v>-0.03655761602877031</x:v>
      </x:c>
      <x:c r="H1726" s="47" t="n">
        <x:v>0.8250962924878251</x:v>
      </x:c>
      <x:c r="I1726" s="47" t="n">
        <x:v>0.866364269265212</x:v>
      </x:c>
      <x:c r="J1726" s="47" t="n">
        <x:v>0.7244388225541822</x:v>
      </x:c>
      <x:c r="K1726" s="47" t="n">
        <x:v>0.9085562296969685</x:v>
      </x:c>
      <x:c r="L1726" s="47" t="n">
        <x:v>0.6776976078817836</x:v>
      </x:c>
      <x:c r="M1726" s="47" t="n">
        <x:v>0.02030474083450093</x:v>
      </x:c>
      <x:c r="N1726" s="47" t="n">
        <x:v>0.7999491844985696</x:v>
      </x:c>
      <x:c r="O1726" s="47" t="n">
        <x:v>1</x:v>
      </x:c>
      <x:c r="P1726" s="47" t="n">
        <x:v>1</x:v>
      </x:c>
      <x:c r="Q1726" s="47" t="n">
        <x:v>1</x:v>
      </x:c>
      <x:c r="R1726" s="47" t="n">
        <x:v>1</x:v>
      </x:c>
      <x:c r="S1726" s="27" t="n">
        <x:v>1</x:v>
      </x:c>
    </x:row>
    <x:row r="1727" ht="21.600000381469727" hidden="0" customHeight="1">
      <x:c r="A1727" s="29" t="n">
        <x:v>575</x:v>
      </x:c>
      <x:c r="B1727" s="29" t="str">
        <x:v>A1</x:v>
      </x:c>
      <x:c r="C1727" s="48" t="n">
        <x:v>1.1633250675598852</x:v>
      </x:c>
      <x:c r="D1727" s="48" t="n">
        <x:v>0.8117358054317065</x:v>
      </x:c>
      <x:c r="E1727" s="48" t="n">
        <x:v>0.9647145877609253</x:v>
      </x:c>
      <x:c r="F1727" s="48" t="n">
        <x:v>-0.1723258461610099</x:v>
      </x:c>
      <x:c r="G1727" s="48" t="n">
        <x:v>0.024669577216128252</x:v>
      </x:c>
      <x:c r="H1727" s="48" t="n">
        <x:v>0.7149577494955237</x:v>
      </x:c>
      <x:c r="I1727" s="48" t="n">
        <x:v>0.7722959048350511</x:v>
      </x:c>
      <x:c r="J1727" s="48" t="n">
        <x:v>0.5894436518579615</x:v>
      </x:c>
      <x:c r="K1727" s="48" t="n">
        <x:v>0.6815695534936296</x:v>
      </x:c>
      <x:c r="L1727" s="48" t="n">
        <x:v>0.9493075096524155</x:v>
      </x:c>
      <x:c r="M1727" s="48" t="n">
        <x:v>0.06026031917330352</x:v>
      </x:c>
      <x:c r="N1727" s="48" t="n">
        <x:v>0.9465609250513842</x:v>
      </x:c>
      <x:c r="O1727" s="48" t="n">
        <x:v>0.8354749365264105</x:v>
      </x:c>
      <x:c r="P1727" s="48" t="n">
        <x:v>0.5633312999814681</x:v>
      </x:c>
      <x:c r="Q1727" s="48" t="n">
        <x:v>1</x:v>
      </x:c>
      <x:c r="R1727" s="48" t="n">
        <x:v>0.796837369881364</x:v>
      </x:c>
      <x:c r="S1727" s="29" t="n">
        <x:v>0</x:v>
      </x:c>
    </x:row>
    <x:row r="1728" ht="21.600000381469727" hidden="0" customHeight="1">
      <x:c r="A1728" s="27" t="n">
        <x:v>575</x:v>
      </x:c>
      <x:c r="B1728" s="27" t="str">
        <x:v>A2</x:v>
      </x:c>
      <x:c r="C1728" s="47" t="n">
        <x:v>1.1633250675598852</x:v>
      </x:c>
      <x:c r="D1728" s="47" t="n">
        <x:v>0.8117358054317065</x:v>
      </x:c>
      <x:c r="E1728" s="47" t="n">
        <x:v>0.9647145877609253</x:v>
      </x:c>
      <x:c r="F1728" s="47" t="n">
        <x:v>-0.1723258461610099</x:v>
      </x:c>
      <x:c r="G1728" s="47" t="n">
        <x:v>0.024669577216128252</x:v>
      </x:c>
      <x:c r="H1728" s="47" t="n">
        <x:v>0.7149577494955237</x:v>
      </x:c>
      <x:c r="I1728" s="47" t="n">
        <x:v>0.7722959048350511</x:v>
      </x:c>
      <x:c r="J1728" s="47" t="n">
        <x:v>0.5894436518579615</x:v>
      </x:c>
      <x:c r="K1728" s="47" t="n">
        <x:v>0.6815695534936296</x:v>
      </x:c>
      <x:c r="L1728" s="47" t="n">
        <x:v>0.9493075096524155</x:v>
      </x:c>
      <x:c r="M1728" s="47" t="n">
        <x:v>0.06026031917330352</x:v>
      </x:c>
      <x:c r="N1728" s="47" t="n">
        <x:v>0.9465609250513842</x:v>
      </x:c>
      <x:c r="O1728" s="47" t="n">
        <x:v>0.9164485048530777</x:v>
      </x:c>
      <x:c r="P1728" s="47" t="n">
        <x:v>0.5909053303665608</x:v>
      </x:c>
      <x:c r="Q1728" s="47" t="n">
        <x:v>1</x:v>
      </x:c>
      <x:c r="R1728" s="47" t="n">
        <x:v>0.8968270174403061</x:v>
      </x:c>
      <x:c r="S1728" s="27" t="n">
        <x:v>0</x:v>
      </x:c>
    </x:row>
    <x:row r="1729" ht="21.600000381469727" hidden="0" customHeight="1">
      <x:c r="A1729" s="29" t="n">
        <x:v>575</x:v>
      </x:c>
      <x:c r="B1729" s="29" t="str">
        <x:v>A3</x:v>
      </x:c>
      <x:c r="C1729" s="48" t="n">
        <x:v>1.1633250675598852</x:v>
      </x:c>
      <x:c r="D1729" s="48" t="n">
        <x:v>0.8117358054317065</x:v>
      </x:c>
      <x:c r="E1729" s="48" t="n">
        <x:v>0.9647145877609253</x:v>
      </x:c>
      <x:c r="F1729" s="48" t="n">
        <x:v>-0.1723258461610099</x:v>
      </x:c>
      <x:c r="G1729" s="48" t="n">
        <x:v>0.024669577216128252</x:v>
      </x:c>
      <x:c r="H1729" s="48" t="n">
        <x:v>0.7149577494955237</x:v>
      </x:c>
      <x:c r="I1729" s="48" t="n">
        <x:v>0.7722959048350511</x:v>
      </x:c>
      <x:c r="J1729" s="48" t="n">
        <x:v>0.5894436518579615</x:v>
      </x:c>
      <x:c r="K1729" s="48" t="n">
        <x:v>0.6815695534936296</x:v>
      </x:c>
      <x:c r="L1729" s="48" t="n">
        <x:v>0.9493075096524155</x:v>
      </x:c>
      <x:c r="M1729" s="48" t="n">
        <x:v>0.06026031917330352</x:v>
      </x:c>
      <x:c r="N1729" s="48" t="n">
        <x:v>0.9465609250513842</x:v>
      </x:c>
      <x:c r="O1729" s="48" t="n">
        <x:v>1</x:v>
      </x:c>
      <x:c r="P1729" s="48" t="n">
        <x:v>1</x:v>
      </x:c>
      <x:c r="Q1729" s="48" t="n">
        <x:v>1</x:v>
      </x:c>
      <x:c r="R1729" s="48" t="n">
        <x:v>1</x:v>
      </x:c>
      <x:c r="S1729" s="29" t="n">
        <x:v>1</x:v>
      </x:c>
    </x:row>
    <x:row r="1730" ht="21.600000381469727" hidden="0" customHeight="1">
      <x:c r="A1730" s="27" t="n">
        <x:v>576</x:v>
      </x:c>
      <x:c r="B1730" s="27" t="str">
        <x:v>A1</x:v>
      </x:c>
      <x:c r="C1730" s="47" t="n">
        <x:v>1.2891384920665434</x:v>
      </x:c>
      <x:c r="D1730" s="47" t="n">
        <x:v>0.7349951490287896</x:v>
      </x:c>
      <x:c r="E1730" s="47" t="n">
        <x:v>0.8087919699672291</x:v>
      </x:c>
      <x:c r="F1730" s="47" t="n">
        <x:v>-0.09673011186557272</x:v>
      </x:c>
      <x:c r="G1730" s="47" t="n">
        <x:v>-0.11257536740044162</x:v>
      </x:c>
      <x:c r="H1730" s="47" t="n">
        <x:v>0.6893252315657081</x:v>
      </x:c>
      <x:c r="I1730" s="47" t="n">
        <x:v>0.6539167096543979</x:v>
      </x:c>
      <x:c r="J1730" s="47" t="n">
        <x:v>0.5717309403480719</x:v>
      </x:c>
      <x:c r="K1730" s="47" t="n">
        <x:v>0.8724706230115684</x:v>
      </x:c>
      <x:c r="L1730" s="47" t="n">
        <x:v>0.629899043041962</x:v>
      </x:c>
      <x:c r="M1730" s="47" t="n">
        <x:v>0.10980067314945315</x:v>
      </x:c>
      <x:c r="N1730" s="47" t="n">
        <x:v>0.6677463795745988</x:v>
      </x:c>
      <x:c r="O1730" s="47" t="n">
        <x:v>0.7109400209710511</x:v>
      </x:c>
      <x:c r="P1730" s="47" t="n">
        <x:v>0.34925478968716167</x:v>
      </x:c>
      <x:c r="Q1730" s="47" t="n">
        <x:v>0.8645803417096392</x:v>
      </x:c>
      <x:c r="R1730" s="47" t="n">
        <x:v>0.6440620376957528</x:v>
      </x:c>
      <x:c r="S1730" s="27" t="n">
        <x:v>0</x:v>
      </x:c>
    </x:row>
    <x:row r="1731" ht="21.600000381469727" hidden="0" customHeight="1">
      <x:c r="A1731" s="29" t="n">
        <x:v>576</x:v>
      </x:c>
      <x:c r="B1731" s="29" t="str">
        <x:v>A2</x:v>
      </x:c>
      <x:c r="C1731" s="48" t="n">
        <x:v>1.2891384920665434</x:v>
      </x:c>
      <x:c r="D1731" s="48" t="n">
        <x:v>0.7349951490287896</x:v>
      </x:c>
      <x:c r="E1731" s="48" t="n">
        <x:v>0.8087919699672291</x:v>
      </x:c>
      <x:c r="F1731" s="48" t="n">
        <x:v>-0.09673011186557272</x:v>
      </x:c>
      <x:c r="G1731" s="48" t="n">
        <x:v>-0.11257536740044162</x:v>
      </x:c>
      <x:c r="H1731" s="48" t="n">
        <x:v>0.6893252315657081</x:v>
      </x:c>
      <x:c r="I1731" s="48" t="n">
        <x:v>0.6539167096543979</x:v>
      </x:c>
      <x:c r="J1731" s="48" t="n">
        <x:v>0.5717309403480719</x:v>
      </x:c>
      <x:c r="K1731" s="48" t="n">
        <x:v>0.8724706230115684</x:v>
      </x:c>
      <x:c r="L1731" s="48" t="n">
        <x:v>0.629899043041962</x:v>
      </x:c>
      <x:c r="M1731" s="48" t="n">
        <x:v>0.10980067314945315</x:v>
      </x:c>
      <x:c r="N1731" s="48" t="n">
        <x:v>0.6677463795745988</x:v>
      </x:c>
      <x:c r="O1731" s="48" t="n">
        <x:v>0.7825217762712504</x:v>
      </x:c>
      <x:c r="P1731" s="48" t="n">
        <x:v>0.4015140179663084</x:v>
      </x:c>
      <x:c r="Q1731" s="48" t="n">
        <x:v>1</x:v>
      </x:c>
      <x:c r="R1731" s="48" t="n">
        <x:v>0.7314485283067251</x:v>
      </x:c>
      <x:c r="S1731" s="29" t="n">
        <x:v>0</x:v>
      </x:c>
    </x:row>
    <x:row r="1732" ht="21.600000381469727" hidden="0" customHeight="1">
      <x:c r="A1732" s="27" t="n">
        <x:v>576</x:v>
      </x:c>
      <x:c r="B1732" s="27" t="str">
        <x:v>A3</x:v>
      </x:c>
      <x:c r="C1732" s="47" t="n">
        <x:v>1.2891384920665434</x:v>
      </x:c>
      <x:c r="D1732" s="47" t="n">
        <x:v>0.7349951490287896</x:v>
      </x:c>
      <x:c r="E1732" s="47" t="n">
        <x:v>0.8087919699672291</x:v>
      </x:c>
      <x:c r="F1732" s="47" t="n">
        <x:v>-0.09673011186557272</x:v>
      </x:c>
      <x:c r="G1732" s="47" t="n">
        <x:v>-0.11257536740044162</x:v>
      </x:c>
      <x:c r="H1732" s="47" t="n">
        <x:v>0.6893252315657081</x:v>
      </x:c>
      <x:c r="I1732" s="47" t="n">
        <x:v>0.6539167096543979</x:v>
      </x:c>
      <x:c r="J1732" s="47" t="n">
        <x:v>0.5717309403480719</x:v>
      </x:c>
      <x:c r="K1732" s="47" t="n">
        <x:v>0.8724706230115684</x:v>
      </x:c>
      <x:c r="L1732" s="47" t="n">
        <x:v>0.629899043041962</x:v>
      </x:c>
      <x:c r="M1732" s="47" t="n">
        <x:v>0.10980067314945315</x:v>
      </x:c>
      <x:c r="N1732" s="47" t="n">
        <x:v>0.6677463795745988</x:v>
      </x:c>
      <x:c r="O1732" s="47" t="n">
        <x:v>1</x:v>
      </x:c>
      <x:c r="P1732" s="47" t="n">
        <x:v>1</x:v>
      </x:c>
      <x:c r="Q1732" s="47" t="n">
        <x:v>1</x:v>
      </x:c>
      <x:c r="R1732" s="47" t="n">
        <x:v>1</x:v>
      </x:c>
      <x:c r="S1732" s="27" t="n">
        <x:v>1</x:v>
      </x:c>
    </x:row>
    <x:row r="1733" ht="21.600000381469727" hidden="0" customHeight="1">
      <x:c r="A1733" s="29" t="n">
        <x:v>577</x:v>
      </x:c>
      <x:c r="B1733" s="29" t="str">
        <x:v>A1</x:v>
      </x:c>
      <x:c r="C1733" s="48" t="n">
        <x:v>1.002790339814083</x:v>
      </x:c>
      <x:c r="D1733" s="48" t="n">
        <x:v>0.8173008290997043</x:v>
      </x:c>
      <x:c r="E1733" s="48" t="n">
        <x:v>0.7911360876839733</x:v>
      </x:c>
      <x:c r="F1733" s="48" t="n">
        <x:v>-0.05025512372390373</x:v>
      </x:c>
      <x:c r="G1733" s="48" t="n">
        <x:v>-0.023164181050209898</x:v>
      </x:c>
      <x:c r="H1733" s="48" t="n">
        <x:v>0.7396269812289381</x:v>
      </x:c>
      <x:c r="I1733" s="48" t="n">
        <x:v>0.7206765842056109</x:v>
      </x:c>
      <x:c r="J1733" s="48" t="n">
        <x:v>0.5145045729717285</x:v>
      </x:c>
      <x:c r="K1733" s="48" t="n">
        <x:v>0.977360888261386</x:v>
      </x:c>
      <x:c r="L1733" s="48" t="n">
        <x:v>0.954176226813614</x:v>
      </x:c>
      <x:c r="M1733" s="48" t="n">
        <x:v>0.026885958430789916</x:v>
      </x:c>
      <x:c r="N1733" s="48" t="n">
        <x:v>0.7254006337387853</x:v>
      </x:c>
      <x:c r="O1733" s="48" t="n">
        <x:v>0.8549412604902502</x:v>
      </x:c>
      <x:c r="P1733" s="48" t="n">
        <x:v>0.6236052587459302</x:v>
      </x:c>
      <x:c r="Q1733" s="48" t="n">
        <x:v>1</x:v>
      </x:c>
      <x:c r="R1733" s="48" t="n">
        <x:v>0.8208752246114427</x:v>
      </x:c>
      <x:c r="S1733" s="29" t="n">
        <x:v>0</x:v>
      </x:c>
    </x:row>
    <x:row r="1734" ht="21.600000381469727" hidden="0" customHeight="1">
      <x:c r="A1734" s="27" t="n">
        <x:v>577</x:v>
      </x:c>
      <x:c r="B1734" s="27" t="str">
        <x:v>A2</x:v>
      </x:c>
      <x:c r="C1734" s="47" t="n">
        <x:v>1.002790339814083</x:v>
      </x:c>
      <x:c r="D1734" s="47" t="n">
        <x:v>0.8173008290997043</x:v>
      </x:c>
      <x:c r="E1734" s="47" t="n">
        <x:v>0.7911360876839733</x:v>
      </x:c>
      <x:c r="F1734" s="47" t="n">
        <x:v>-0.05025512372390373</x:v>
      </x:c>
      <x:c r="G1734" s="47" t="n">
        <x:v>-0.023164181050209898</x:v>
      </x:c>
      <x:c r="H1734" s="47" t="n">
        <x:v>0.7396269812289381</x:v>
      </x:c>
      <x:c r="I1734" s="47" t="n">
        <x:v>0.7206765842056109</x:v>
      </x:c>
      <x:c r="J1734" s="47" t="n">
        <x:v>0.5145045729717285</x:v>
      </x:c>
      <x:c r="K1734" s="47" t="n">
        <x:v>0.977360888261386</x:v>
      </x:c>
      <x:c r="L1734" s="47" t="n">
        <x:v>0.954176226813614</x:v>
      </x:c>
      <x:c r="M1734" s="47" t="n">
        <x:v>0.026885958430789916</x:v>
      </x:c>
      <x:c r="N1734" s="47" t="n">
        <x:v>0.7254006337387853</x:v>
      </x:c>
      <x:c r="O1734" s="47" t="n">
        <x:v>0.975586594534947</x:v>
      </x:c>
      <x:c r="P1734" s="47" t="n">
        <x:v>0.8678065039952312</x:v>
      </x:c>
      <x:c r="Q1734" s="47" t="n">
        <x:v>1</x:v>
      </x:c>
      <x:c r="R1734" s="47" t="n">
        <x:v>0.9698532760923139</x:v>
      </x:c>
      <x:c r="S1734" s="27" t="n">
        <x:v>0</x:v>
      </x:c>
    </x:row>
    <x:row r="1735" ht="21.600000381469727" hidden="0" customHeight="1">
      <x:c r="A1735" s="29" t="n">
        <x:v>577</x:v>
      </x:c>
      <x:c r="B1735" s="29" t="str">
        <x:v>A3</x:v>
      </x:c>
      <x:c r="C1735" s="48" t="n">
        <x:v>1.002790339814083</x:v>
      </x:c>
      <x:c r="D1735" s="48" t="n">
        <x:v>0.8173008290997043</x:v>
      </x:c>
      <x:c r="E1735" s="48" t="n">
        <x:v>0.7911360876839733</x:v>
      </x:c>
      <x:c r="F1735" s="48" t="n">
        <x:v>-0.05025512372390373</x:v>
      </x:c>
      <x:c r="G1735" s="48" t="n">
        <x:v>-0.023164181050209898</x:v>
      </x:c>
      <x:c r="H1735" s="48" t="n">
        <x:v>0.7396269812289381</x:v>
      </x:c>
      <x:c r="I1735" s="48" t="n">
        <x:v>0.7206765842056109</x:v>
      </x:c>
      <x:c r="J1735" s="48" t="n">
        <x:v>0.5145045729717285</x:v>
      </x:c>
      <x:c r="K1735" s="48" t="n">
        <x:v>0.977360888261386</x:v>
      </x:c>
      <x:c r="L1735" s="48" t="n">
        <x:v>0.954176226813614</x:v>
      </x:c>
      <x:c r="M1735" s="48" t="n">
        <x:v>0.026885958430789916</x:v>
      </x:c>
      <x:c r="N1735" s="48" t="n">
        <x:v>0.7254006337387853</x:v>
      </x:c>
      <x:c r="O1735" s="48" t="n">
        <x:v>1</x:v>
      </x:c>
      <x:c r="P1735" s="48" t="n">
        <x:v>1</x:v>
      </x:c>
      <x:c r="Q1735" s="48" t="n">
        <x:v>1</x:v>
      </x:c>
      <x:c r="R1735" s="48" t="n">
        <x:v>1</x:v>
      </x:c>
      <x:c r="S1735" s="29" t="n">
        <x:v>1</x:v>
      </x:c>
    </x:row>
    <x:row r="1736" ht="21.600000381469727" hidden="0" customHeight="1">
      <x:c r="A1736" s="27" t="n">
        <x:v>578</x:v>
      </x:c>
      <x:c r="B1736" s="27" t="str">
        <x:v>A1</x:v>
      </x:c>
      <x:c r="C1736" s="47" t="n">
        <x:v>0.976093113464653</x:v>
      </x:c>
      <x:c r="D1736" s="47" t="n">
        <x:v>0.9583531870208419</x:v>
      </x:c>
      <x:c r="E1736" s="47" t="n">
        <x:v>0.7689716673200158</x:v>
      </x:c>
      <x:c r="F1736" s="47" t="n">
        <x:v>0.0033283022753939906</x:v>
      </x:c>
      <x:c r="G1736" s="47" t="n">
        <x:v>-0.1760298157062808</x:v>
      </x:c>
      <x:c r="H1736" s="47" t="n">
        <x:v>1.014067135940316</x:v>
      </x:c>
      <x:c r="I1736" s="47" t="n">
        <x:v>0.6106960841479863</x:v>
      </x:c>
      <x:c r="J1736" s="47" t="n">
        <x:v>0.9068589757926951</x:v>
      </x:c>
      <x:c r="K1736" s="47" t="n">
        <x:v>0.8441252676736977</x:v>
      </x:c>
      <x:c r="L1736" s="47" t="n">
        <x:v>0.8084830468068263</x:v>
      </x:c>
      <x:c r="M1736" s="47" t="n">
        <x:v>0.11054218766723022</x:v>
      </x:c>
      <x:c r="N1736" s="47" t="n">
        <x:v>0.8565648917358707</x:v>
      </x:c>
      <x:c r="O1736" s="47" t="n">
        <x:v>0.9496586266298993</x:v>
      </x:c>
      <x:c r="P1736" s="47" t="n">
        <x:v>0.5670191517622813</x:v>
      </x:c>
      <x:c r="Q1736" s="47" t="n">
        <x:v>1</x:v>
      </x:c>
      <x:c r="R1736" s="47" t="n">
        <x:v>0.9378363052915902</x:v>
      </x:c>
      <x:c r="S1736" s="27" t="n">
        <x:v>0</x:v>
      </x:c>
    </x:row>
    <x:row r="1737" ht="21.600000381469727" hidden="0" customHeight="1">
      <x:c r="A1737" s="29" t="n">
        <x:v>578</x:v>
      </x:c>
      <x:c r="B1737" s="29" t="str">
        <x:v>A2</x:v>
      </x:c>
      <x:c r="C1737" s="48" t="n">
        <x:v>0.976093113464653</x:v>
      </x:c>
      <x:c r="D1737" s="48" t="n">
        <x:v>0.9583531870208419</x:v>
      </x:c>
      <x:c r="E1737" s="48" t="n">
        <x:v>0.7689716673200158</x:v>
      </x:c>
      <x:c r="F1737" s="48" t="n">
        <x:v>0.0033283022753939906</x:v>
      </x:c>
      <x:c r="G1737" s="48" t="n">
        <x:v>-0.1760298157062808</x:v>
      </x:c>
      <x:c r="H1737" s="48" t="n">
        <x:v>1.014067135940316</x:v>
      </x:c>
      <x:c r="I1737" s="48" t="n">
        <x:v>0.6106960841479863</x:v>
      </x:c>
      <x:c r="J1737" s="48" t="n">
        <x:v>0.9068589757926951</x:v>
      </x:c>
      <x:c r="K1737" s="48" t="n">
        <x:v>0.8441252676736977</x:v>
      </x:c>
      <x:c r="L1737" s="48" t="n">
        <x:v>0.8084830468068263</x:v>
      </x:c>
      <x:c r="M1737" s="48" t="n">
        <x:v>0.11054218766723022</x:v>
      </x:c>
      <x:c r="N1737" s="48" t="n">
        <x:v>0.8565648917358707</x:v>
      </x:c>
      <x:c r="O1737" s="48" t="n">
        <x:v>1</x:v>
      </x:c>
      <x:c r="P1737" s="48" t="n">
        <x:v>0.9999999999999999</x:v>
      </x:c>
      <x:c r="Q1737" s="48" t="n">
        <x:v>1</x:v>
      </x:c>
      <x:c r="R1737" s="48" t="n">
        <x:v>1</x:v>
      </x:c>
      <x:c r="S1737" s="29" t="n">
        <x:v>1</x:v>
      </x:c>
    </x:row>
    <x:row r="1738" ht="21.600000381469727" hidden="0" customHeight="1">
      <x:c r="A1738" s="27" t="n">
        <x:v>578</x:v>
      </x:c>
      <x:c r="B1738" s="27" t="str">
        <x:v>A3</x:v>
      </x:c>
      <x:c r="C1738" s="47" t="n">
        <x:v>0.976093113464653</x:v>
      </x:c>
      <x:c r="D1738" s="47" t="n">
        <x:v>0.9583531870208419</x:v>
      </x:c>
      <x:c r="E1738" s="47" t="n">
        <x:v>0.7689716673200158</x:v>
      </x:c>
      <x:c r="F1738" s="47" t="n">
        <x:v>0.0033283022753939906</x:v>
      </x:c>
      <x:c r="G1738" s="47" t="n">
        <x:v>-0.1760298157062808</x:v>
      </x:c>
      <x:c r="H1738" s="47" t="n">
        <x:v>1.014067135940316</x:v>
      </x:c>
      <x:c r="I1738" s="47" t="n">
        <x:v>0.6106960841479863</x:v>
      </x:c>
      <x:c r="J1738" s="47" t="n">
        <x:v>0.9068589757926951</x:v>
      </x:c>
      <x:c r="K1738" s="47" t="n">
        <x:v>0.8441252676736977</x:v>
      </x:c>
      <x:c r="L1738" s="47" t="n">
        <x:v>0.8084830468068263</x:v>
      </x:c>
      <x:c r="M1738" s="47" t="n">
        <x:v>0.11054218766723022</x:v>
      </x:c>
      <x:c r="N1738" s="47" t="n">
        <x:v>0.8565648917358707</x:v>
      </x:c>
      <x:c r="O1738" s="47" t="n">
        <x:v>1</x:v>
      </x:c>
      <x:c r="P1738" s="47" t="n">
        <x:v>1</x:v>
      </x:c>
      <x:c r="Q1738" s="47" t="n">
        <x:v>1</x:v>
      </x:c>
      <x:c r="R1738" s="47" t="n">
        <x:v>1</x:v>
      </x:c>
      <x:c r="S1738" s="27" t="n">
        <x:v>1</x:v>
      </x:c>
    </x:row>
    <x:row r="1739" ht="21.600000381469727" hidden="0" customHeight="1">
      <x:c r="A1739" s="29" t="n">
        <x:v>579</x:v>
      </x:c>
      <x:c r="B1739" s="29" t="str">
        <x:v>A1</x:v>
      </x:c>
      <x:c r="C1739" s="48" t="n">
        <x:v>1.1560955322328206</x:v>
      </x:c>
      <x:c r="D1739" s="48" t="n">
        <x:v>0.9098632700844428</x:v>
      </x:c>
      <x:c r="E1739" s="48" t="n">
        <x:v>0.8411514689985191</x:v>
      </x:c>
      <x:c r="F1739" s="48" t="n">
        <x:v>-0.18346898097657485</x:v>
      </x:c>
      <x:c r="G1739" s="48" t="n">
        <x:v>0.028206943109647553</x:v>
      </x:c>
      <x:c r="H1739" s="48" t="n">
        <x:v>1.0906431200933975</x:v>
      </x:c>
      <x:c r="I1739" s="48" t="n">
        <x:v>0.677663319339647</x:v>
      </x:c>
      <x:c r="J1739" s="48" t="n">
        <x:v>0.980215709851049</x:v>
      </x:c>
      <x:c r="K1739" s="48" t="n">
        <x:v>0.6436688857980501</x:v>
      </x:c>
      <x:c r="L1739" s="48" t="n">
        <x:v>0.70349978820291</x:v>
      </x:c>
      <x:c r="M1739" s="48" t="n">
        <x:v>0.010431258514900487</x:v>
      </x:c>
      <x:c r="N1739" s="48" t="n">
        <x:v>0.9406283599609637</x:v>
      </x:c>
      <x:c r="O1739" s="48" t="n">
        <x:v>0.8577297019752635</x:v>
      </x:c>
      <x:c r="P1739" s="48" t="n">
        <x:v>0.5430466771395192</x:v>
      </x:c>
      <x:c r="Q1739" s="48" t="n">
        <x:v>1</x:v>
      </x:c>
      <x:c r="R1739" s="48" t="n">
        <x:v>0.8243185121815347</x:v>
      </x:c>
      <x:c r="S1739" s="29" t="n">
        <x:v>0</x:v>
      </x:c>
    </x:row>
    <x:row r="1740" ht="21.600000381469727" hidden="0" customHeight="1">
      <x:c r="A1740" s="27" t="n">
        <x:v>579</x:v>
      </x:c>
      <x:c r="B1740" s="27" t="str">
        <x:v>A2</x:v>
      </x:c>
      <x:c r="C1740" s="47" t="n">
        <x:v>1.1560955322328206</x:v>
      </x:c>
      <x:c r="D1740" s="47" t="n">
        <x:v>0.9098632700844428</x:v>
      </x:c>
      <x:c r="E1740" s="47" t="n">
        <x:v>0.8411514689985191</x:v>
      </x:c>
      <x:c r="F1740" s="47" t="n">
        <x:v>-0.18346898097657485</x:v>
      </x:c>
      <x:c r="G1740" s="47" t="n">
        <x:v>0.028206943109647553</x:v>
      </x:c>
      <x:c r="H1740" s="47" t="n">
        <x:v>1.0906431200933975</x:v>
      </x:c>
      <x:c r="I1740" s="47" t="n">
        <x:v>0.677663319339647</x:v>
      </x:c>
      <x:c r="J1740" s="47" t="n">
        <x:v>0.980215709851049</x:v>
      </x:c>
      <x:c r="K1740" s="47" t="n">
        <x:v>0.6436688857980501</x:v>
      </x:c>
      <x:c r="L1740" s="47" t="n">
        <x:v>0.70349978820291</x:v>
      </x:c>
      <x:c r="M1740" s="47" t="n">
        <x:v>0.010431258514900487</x:v>
      </x:c>
      <x:c r="N1740" s="47" t="n">
        <x:v>0.9406283599609637</x:v>
      </x:c>
      <x:c r="O1740" s="47" t="n">
        <x:v>0.9216521896404051</x:v>
      </x:c>
      <x:c r="P1740" s="47" t="n">
        <x:v>0.6278666908519762</x:v>
      </x:c>
      <x:c r="Q1740" s="47" t="n">
        <x:v>1</x:v>
      </x:c>
      <x:c r="R1740" s="47" t="n">
        <x:v>0.9032527514007216</x:v>
      </x:c>
      <x:c r="S1740" s="27" t="n">
        <x:v>0</x:v>
      </x:c>
    </x:row>
    <x:row r="1741" ht="21.600000381469727" hidden="0" customHeight="1">
      <x:c r="A1741" s="29" t="n">
        <x:v>579</x:v>
      </x:c>
      <x:c r="B1741" s="29" t="str">
        <x:v>A3</x:v>
      </x:c>
      <x:c r="C1741" s="48" t="n">
        <x:v>1.1560955322328206</x:v>
      </x:c>
      <x:c r="D1741" s="48" t="n">
        <x:v>0.9098632700844428</x:v>
      </x:c>
      <x:c r="E1741" s="48" t="n">
        <x:v>0.8411514689985191</x:v>
      </x:c>
      <x:c r="F1741" s="48" t="n">
        <x:v>-0.18346898097657485</x:v>
      </x:c>
      <x:c r="G1741" s="48" t="n">
        <x:v>0.028206943109647553</x:v>
      </x:c>
      <x:c r="H1741" s="48" t="n">
        <x:v>1.0906431200933975</x:v>
      </x:c>
      <x:c r="I1741" s="48" t="n">
        <x:v>0.677663319339647</x:v>
      </x:c>
      <x:c r="J1741" s="48" t="n">
        <x:v>0.980215709851049</x:v>
      </x:c>
      <x:c r="K1741" s="48" t="n">
        <x:v>0.6436688857980501</x:v>
      </x:c>
      <x:c r="L1741" s="48" t="n">
        <x:v>0.70349978820291</x:v>
      </x:c>
      <x:c r="M1741" s="48" t="n">
        <x:v>0.010431258514900487</x:v>
      </x:c>
      <x:c r="N1741" s="48" t="n">
        <x:v>0.9406283599609637</x:v>
      </x:c>
      <x:c r="O1741" s="48" t="n">
        <x:v>1</x:v>
      </x:c>
      <x:c r="P1741" s="48" t="n">
        <x:v>1</x:v>
      </x:c>
      <x:c r="Q1741" s="48" t="n">
        <x:v>1</x:v>
      </x:c>
      <x:c r="R1741" s="48" t="n">
        <x:v>1</x:v>
      </x:c>
      <x:c r="S1741" s="29" t="n">
        <x:v>1</x:v>
      </x:c>
    </x:row>
    <x:row r="1742" ht="21.600000381469727" hidden="0" customHeight="1">
      <x:c r="A1742" s="27" t="n">
        <x:v>580</x:v>
      </x:c>
      <x:c r="B1742" s="27" t="str">
        <x:v>A1</x:v>
      </x:c>
      <x:c r="C1742" s="47" t="n">
        <x:v>1.2475083794918373</x:v>
      </x:c>
      <x:c r="D1742" s="47" t="n">
        <x:v>0.9651760373783453</x:v>
      </x:c>
      <x:c r="E1742" s="47" t="n">
        <x:v>0.7324194715007051</x:v>
      </x:c>
      <x:c r="F1742" s="47" t="n">
        <x:v>-0.09599590349989773</x:v>
      </x:c>
      <x:c r="G1742" s="47" t="n">
        <x:v>-0.1750513950890198</x:v>
      </x:c>
      <x:c r="H1742" s="47" t="n">
        <x:v>0.778071047619</x:v>
      </x:c>
      <x:c r="I1742" s="47" t="n">
        <x:v>0.7278771566722739</x:v>
      </x:c>
      <x:c r="J1742" s="47" t="n">
        <x:v>0.9465535500706868</x:v>
      </x:c>
      <x:c r="K1742" s="47" t="n">
        <x:v>0.6709584403801622</x:v>
      </x:c>
      <x:c r="L1742" s="47" t="n">
        <x:v>0.7650870599263782</x:v>
      </x:c>
      <x:c r="M1742" s="47" t="n">
        <x:v>0.14091177561032567</x:v>
      </x:c>
      <x:c r="N1742" s="47" t="n">
        <x:v>0.982601998614729</x:v>
      </x:c>
      <x:c r="O1742" s="47" t="n">
        <x:v>0.8601419996542257</x:v>
      </x:c>
      <x:c r="P1742" s="47" t="n">
        <x:v>0.48956328488814027</x:v>
      </x:c>
      <x:c r="Q1742" s="47" t="n">
        <x:v>0.953149285641009</x:v>
      </x:c>
      <x:c r="R1742" s="47" t="n">
        <x:v>0.8276452745822529</x:v>
      </x:c>
      <x:c r="S1742" s="27" t="n">
        <x:v>0</x:v>
      </x:c>
    </x:row>
    <x:row r="1743" ht="21.600000381469727" hidden="0" customHeight="1">
      <x:c r="A1743" s="29" t="n">
        <x:v>580</x:v>
      </x:c>
      <x:c r="B1743" s="29" t="str">
        <x:v>A2</x:v>
      </x:c>
      <x:c r="C1743" s="48" t="n">
        <x:v>1.2475083794918373</x:v>
      </x:c>
      <x:c r="D1743" s="48" t="n">
        <x:v>0.9651760373783453</x:v>
      </x:c>
      <x:c r="E1743" s="48" t="n">
        <x:v>0.7324194715007051</x:v>
      </x:c>
      <x:c r="F1743" s="48" t="n">
        <x:v>-0.09599590349989773</x:v>
      </x:c>
      <x:c r="G1743" s="48" t="n">
        <x:v>-0.1750513950890198</x:v>
      </x:c>
      <x:c r="H1743" s="48" t="n">
        <x:v>0.778071047619</x:v>
      </x:c>
      <x:c r="I1743" s="48" t="n">
        <x:v>0.7278771566722739</x:v>
      </x:c>
      <x:c r="J1743" s="48" t="n">
        <x:v>0.9465535500706868</x:v>
      </x:c>
      <x:c r="K1743" s="48" t="n">
        <x:v>0.6709584403801622</x:v>
      </x:c>
      <x:c r="L1743" s="48" t="n">
        <x:v>0.7650870599263782</x:v>
      </x:c>
      <x:c r="M1743" s="48" t="n">
        <x:v>0.14091177561032567</x:v>
      </x:c>
      <x:c r="N1743" s="48" t="n">
        <x:v>0.982601998614729</x:v>
      </x:c>
      <x:c r="O1743" s="48" t="n">
        <x:v>0.9173174363839591</x:v>
      </x:c>
      <x:c r="P1743" s="48" t="n">
        <x:v>0.6402019594292558</x:v>
      </x:c>
      <x:c r="Q1743" s="48" t="n">
        <x:v>1</x:v>
      </x:c>
      <x:c r="R1743" s="48" t="n">
        <x:v>0.8979000114965291</x:v>
      </x:c>
      <x:c r="S1743" s="29" t="n">
        <x:v>0</x:v>
      </x:c>
    </x:row>
    <x:row r="1744" ht="21.600000381469727" hidden="0" customHeight="1">
      <x:c r="A1744" s="27" t="n">
        <x:v>580</x:v>
      </x:c>
      <x:c r="B1744" s="27" t="str">
        <x:v>A3</x:v>
      </x:c>
      <x:c r="C1744" s="47" t="n">
        <x:v>1.2475083794918373</x:v>
      </x:c>
      <x:c r="D1744" s="47" t="n">
        <x:v>0.9651760373783453</x:v>
      </x:c>
      <x:c r="E1744" s="47" t="n">
        <x:v>0.7324194715007051</x:v>
      </x:c>
      <x:c r="F1744" s="47" t="n">
        <x:v>-0.09599590349989773</x:v>
      </x:c>
      <x:c r="G1744" s="47" t="n">
        <x:v>-0.1750513950890198</x:v>
      </x:c>
      <x:c r="H1744" s="47" t="n">
        <x:v>0.778071047619</x:v>
      </x:c>
      <x:c r="I1744" s="47" t="n">
        <x:v>0.7278771566722739</x:v>
      </x:c>
      <x:c r="J1744" s="47" t="n">
        <x:v>0.9465535500706868</x:v>
      </x:c>
      <x:c r="K1744" s="47" t="n">
        <x:v>0.6709584403801622</x:v>
      </x:c>
      <x:c r="L1744" s="47" t="n">
        <x:v>0.7650870599263782</x:v>
      </x:c>
      <x:c r="M1744" s="47" t="n">
        <x:v>0.14091177561032567</x:v>
      </x:c>
      <x:c r="N1744" s="47" t="n">
        <x:v>0.982601998614729</x:v>
      </x:c>
      <x:c r="O1744" s="47" t="n">
        <x:v>1</x:v>
      </x:c>
      <x:c r="P1744" s="47" t="n">
        <x:v>1</x:v>
      </x:c>
      <x:c r="Q1744" s="47" t="n">
        <x:v>1</x:v>
      </x:c>
      <x:c r="R1744" s="47" t="n">
        <x:v>1</x:v>
      </x:c>
      <x:c r="S1744" s="27" t="n">
        <x:v>1</x:v>
      </x:c>
    </x:row>
    <x:row r="1745" ht="21.600000381469727" hidden="0" customHeight="1">
      <x:c r="A1745" s="29" t="n">
        <x:v>581</x:v>
      </x:c>
      <x:c r="B1745" s="29" t="str">
        <x:v>A1</x:v>
      </x:c>
      <x:c r="C1745" s="48" t="n">
        <x:v>0.9493407571755318</x:v>
      </x:c>
      <x:c r="D1745" s="48" t="n">
        <x:v>0.855780667879823</x:v>
      </x:c>
      <x:c r="E1745" s="48" t="n">
        <x:v>0.7243397147071093</x:v>
      </x:c>
      <x:c r="F1745" s="48" t="n">
        <x:v>-0.08660487357813355</x:v>
      </x:c>
      <x:c r="G1745" s="48" t="n">
        <x:v>-0.13888753915142754</x:v>
      </x:c>
      <x:c r="H1745" s="48" t="n">
        <x:v>0.3145422803808961</x:v>
      </x:c>
      <x:c r="I1745" s="48" t="n">
        <x:v>0.6867836451607264</x:v>
      </x:c>
      <x:c r="J1745" s="48" t="n">
        <x:v>0.7456791759493979</x:v>
      </x:c>
      <x:c r="K1745" s="48" t="n">
        <x:v>0.8410552609822899</x:v>
      </x:c>
      <x:c r="L1745" s="48" t="n">
        <x:v>0.7209271912892536</x:v>
      </x:c>
      <x:c r="M1745" s="48" t="n">
        <x:v>0.08004938940426755</x:v>
      </x:c>
      <x:c r="N1745" s="48" t="n">
        <x:v>0.6974305740289389</x:v>
      </x:c>
      <x:c r="O1745" s="48" t="n">
        <x:v>0.9370868180863277</x:v>
      </x:c>
      <x:c r="P1745" s="48" t="n">
        <x:v>0.676664505952376</x:v>
      </x:c>
      <x:c r="Q1745" s="48" t="n">
        <x:v>1</x:v>
      </x:c>
      <x:c r="R1745" s="48" t="n">
        <x:v>0.9223120949668216</x:v>
      </x:c>
      <x:c r="S1745" s="29" t="n">
        <x:v>0</x:v>
      </x:c>
    </x:row>
    <x:row r="1746" ht="21.600000381469727" hidden="0" customHeight="1">
      <x:c r="A1746" s="27" t="n">
        <x:v>581</x:v>
      </x:c>
      <x:c r="B1746" s="27" t="str">
        <x:v>A2</x:v>
      </x:c>
      <x:c r="C1746" s="47" t="n">
        <x:v>0.9493407571755318</x:v>
      </x:c>
      <x:c r="D1746" s="47" t="n">
        <x:v>0.855780667879823</x:v>
      </x:c>
      <x:c r="E1746" s="47" t="n">
        <x:v>0.7243397147071093</x:v>
      </x:c>
      <x:c r="F1746" s="47" t="n">
        <x:v>-0.08660487357813355</x:v>
      </x:c>
      <x:c r="G1746" s="47" t="n">
        <x:v>-0.13888753915142754</x:v>
      </x:c>
      <x:c r="H1746" s="47" t="n">
        <x:v>0.3145422803808961</x:v>
      </x:c>
      <x:c r="I1746" s="47" t="n">
        <x:v>0.6867836451607264</x:v>
      </x:c>
      <x:c r="J1746" s="47" t="n">
        <x:v>0.7456791759493979</x:v>
      </x:c>
      <x:c r="K1746" s="47" t="n">
        <x:v>0.8410552609822899</x:v>
      </x:c>
      <x:c r="L1746" s="47" t="n">
        <x:v>0.7209271912892536</x:v>
      </x:c>
      <x:c r="M1746" s="47" t="n">
        <x:v>0.08004938940426755</x:v>
      </x:c>
      <x:c r="N1746" s="47" t="n">
        <x:v>0.6974305740289389</x:v>
      </x:c>
      <x:c r="O1746" s="47" t="n">
        <x:v>0.9919170088961767</x:v>
      </x:c>
      <x:c r="P1746" s="47" t="n">
        <x:v>0.9191700889617679</x:v>
      </x:c>
      <x:c r="Q1746" s="47" t="n">
        <x:v>1</x:v>
      </x:c>
      <x:c r="R1746" s="47" t="n">
        <x:v>0.9900187746644336</x:v>
      </x:c>
      <x:c r="S1746" s="27" t="n">
        <x:v>0</x:v>
      </x:c>
    </x:row>
    <x:row r="1747" ht="21.600000381469727" hidden="0" customHeight="1">
      <x:c r="A1747" s="29" t="n">
        <x:v>581</x:v>
      </x:c>
      <x:c r="B1747" s="29" t="str">
        <x:v>A3</x:v>
      </x:c>
      <x:c r="C1747" s="48" t="n">
        <x:v>0.9493407571755318</x:v>
      </x:c>
      <x:c r="D1747" s="48" t="n">
        <x:v>0.855780667879823</x:v>
      </x:c>
      <x:c r="E1747" s="48" t="n">
        <x:v>0.7243397147071093</x:v>
      </x:c>
      <x:c r="F1747" s="48" t="n">
        <x:v>-0.08660487357813355</x:v>
      </x:c>
      <x:c r="G1747" s="48" t="n">
        <x:v>-0.13888753915142754</x:v>
      </x:c>
      <x:c r="H1747" s="48" t="n">
        <x:v>0.3145422803808961</x:v>
      </x:c>
      <x:c r="I1747" s="48" t="n">
        <x:v>0.6867836451607264</x:v>
      </x:c>
      <x:c r="J1747" s="48" t="n">
        <x:v>0.7456791759493979</x:v>
      </x:c>
      <x:c r="K1747" s="48" t="n">
        <x:v>0.8410552609822899</x:v>
      </x:c>
      <x:c r="L1747" s="48" t="n">
        <x:v>0.7209271912892536</x:v>
      </x:c>
      <x:c r="M1747" s="48" t="n">
        <x:v>0.08004938940426755</x:v>
      </x:c>
      <x:c r="N1747" s="48" t="n">
        <x:v>0.6974305740289389</x:v>
      </x:c>
      <x:c r="O1747" s="48" t="n">
        <x:v>1</x:v>
      </x:c>
      <x:c r="P1747" s="48" t="n">
        <x:v>1</x:v>
      </x:c>
      <x:c r="Q1747" s="48" t="n">
        <x:v>1</x:v>
      </x:c>
      <x:c r="R1747" s="48" t="n">
        <x:v>1</x:v>
      </x:c>
      <x:c r="S1747" s="29" t="n">
        <x:v>1</x:v>
      </x:c>
    </x:row>
    <x:row r="1748" ht="15" hidden="0" customHeight="1">
      <x:c r="A1748" s="27" t="n">
        <x:v>582</x:v>
      </x:c>
      <x:c r="B1748" s="27" t="str">
        <x:v>A1</x:v>
      </x:c>
      <x:c r="C1748" s="47" t="n">
        <x:v>1.235042412346318</x:v>
      </x:c>
      <x:c r="D1748" s="47" t="n">
        <x:v>0.7666431531031197</x:v>
      </x:c>
      <x:c r="E1748" s="47" t="n">
        <x:v>0.8343504750605265</x:v>
      </x:c>
      <x:c r="F1748" s="47" t="n">
        <x:v>0.03047557979391638</x:v>
      </x:c>
      <x:c r="G1748" s="47" t="n">
        <x:v>0.00024583650766035747</x:v>
      </x:c>
      <x:c r="H1748" s="47" t="n">
        <x:v>0.6472845991722961</x:v>
      </x:c>
      <x:c r="I1748" s="47" t="n">
        <x:v>0.9319543311890276</x:v>
      </x:c>
      <x:c r="J1748" s="47" t="n">
        <x:v>0.6457576986520748</x:v>
      </x:c>
      <x:c r="K1748" s="47" t="n">
        <x:v>0.7415095370548997</x:v>
      </x:c>
      <x:c r="L1748" s="47" t="n">
        <x:v>0.7826760973276377</x:v>
      </x:c>
      <x:c r="M1748" s="47" t="n">
        <x:v>0.009908577029129515</x:v>
      </x:c>
      <x:c r="N1748" s="47" t="n">
        <x:v>0.9470990061967914</x:v>
      </x:c>
      <x:c r="O1748" s="47" t="n">
        <x:v>0.7413175050834426</x:v>
      </x:c>
      <x:c r="P1748" s="47" t="n">
        <x:v>0.506145244371103</x:v>
      </x:c>
      <x:c r="Q1748" s="47" t="n">
        <x:v>1</x:v>
      </x:c>
      <x:c r="R1748" s="47" t="n">
        <x:v>0.6805677206662506</x:v>
      </x:c>
      <x:c r="S1748" s="27" t="n">
        <x:v>0</x:v>
      </x:c>
    </x:row>
    <x:row r="1749" ht="15" hidden="0" customHeight="1">
      <x:c r="A1749" s="29" t="n">
        <x:v>582</x:v>
      </x:c>
      <x:c r="B1749" s="29" t="str">
        <x:v>A2</x:v>
      </x:c>
      <x:c r="C1749" s="48" t="n">
        <x:v>1.235042412346318</x:v>
      </x:c>
      <x:c r="D1749" s="48" t="n">
        <x:v>0.7666431531031197</x:v>
      </x:c>
      <x:c r="E1749" s="48" t="n">
        <x:v>0.8343504750605265</x:v>
      </x:c>
      <x:c r="F1749" s="48" t="n">
        <x:v>0.03047557979391638</x:v>
      </x:c>
      <x:c r="G1749" s="48" t="n">
        <x:v>0.00024583650766035747</x:v>
      </x:c>
      <x:c r="H1749" s="48" t="n">
        <x:v>0.6472845991722961</x:v>
      </x:c>
      <x:c r="I1749" s="48" t="n">
        <x:v>0.9319543311890276</x:v>
      </x:c>
      <x:c r="J1749" s="48" t="n">
        <x:v>0.6457576986520748</x:v>
      </x:c>
      <x:c r="K1749" s="48" t="n">
        <x:v>0.7415095370548997</x:v>
      </x:c>
      <x:c r="L1749" s="48" t="n">
        <x:v>0.7826760973276377</x:v>
      </x:c>
      <x:c r="M1749" s="48" t="n">
        <x:v>0.009908577029129515</x:v>
      </x:c>
      <x:c r="N1749" s="48" t="n">
        <x:v>0.9470990061967914</x:v>
      </x:c>
      <x:c r="O1749" s="48" t="n">
        <x:v>0.8297929713942019</x:v>
      </x:c>
      <x:c r="P1749" s="48" t="n">
        <x:v>0.5383702441468059</x:v>
      </x:c>
      <x:c r="Q1749" s="48" t="n">
        <x:v>1</x:v>
      </x:c>
      <x:c r="R1749" s="48" t="n">
        <x:v>0.7898210347642093</x:v>
      </x:c>
      <x:c r="S1749" s="29" t="n">
        <x:v>0</x:v>
      </x:c>
    </x:row>
    <x:row r="1750" ht="15" hidden="0" customHeight="1">
      <x:c r="A1750" s="27" t="n">
        <x:v>582</x:v>
      </x:c>
      <x:c r="B1750" s="27" t="str">
        <x:v>A3</x:v>
      </x:c>
      <x:c r="C1750" s="47" t="n">
        <x:v>1.235042412346318</x:v>
      </x:c>
      <x:c r="D1750" s="47" t="n">
        <x:v>0.7666431531031197</x:v>
      </x:c>
      <x:c r="E1750" s="47" t="n">
        <x:v>0.8343504750605265</x:v>
      </x:c>
      <x:c r="F1750" s="47" t="n">
        <x:v>0.03047557979391638</x:v>
      </x:c>
      <x:c r="G1750" s="47" t="n">
        <x:v>0.00024583650766035747</x:v>
      </x:c>
      <x:c r="H1750" s="47" t="n">
        <x:v>0.6472845991722961</x:v>
      </x:c>
      <x:c r="I1750" s="47" t="n">
        <x:v>0.9319543311890276</x:v>
      </x:c>
      <x:c r="J1750" s="47" t="n">
        <x:v>0.6457576986520748</x:v>
      </x:c>
      <x:c r="K1750" s="47" t="n">
        <x:v>0.7415095370548997</x:v>
      </x:c>
      <x:c r="L1750" s="47" t="n">
        <x:v>0.7826760973276377</x:v>
      </x:c>
      <x:c r="M1750" s="47" t="n">
        <x:v>0.009908577029129515</x:v>
      </x:c>
      <x:c r="N1750" s="47" t="n">
        <x:v>0.9470990061967914</x:v>
      </x:c>
      <x:c r="O1750" s="47" t="n">
        <x:v>1</x:v>
      </x:c>
      <x:c r="P1750" s="47" t="n">
        <x:v>1</x:v>
      </x:c>
      <x:c r="Q1750" s="47" t="n">
        <x:v>1</x:v>
      </x:c>
      <x:c r="R1750" s="47" t="n">
        <x:v>1</x:v>
      </x:c>
      <x:c r="S1750" s="27" t="n">
        <x:v>1</x:v>
      </x:c>
    </x:row>
    <x:row r="1751" ht="21.600000381469727" hidden="0" customHeight="1">
      <x:c r="A1751" s="29" t="n">
        <x:v>583</x:v>
      </x:c>
      <x:c r="B1751" s="29" t="str">
        <x:v>A1</x:v>
      </x:c>
      <x:c r="C1751" s="48" t="n">
        <x:v>1.1257639493837746</x:v>
      </x:c>
      <x:c r="D1751" s="48" t="n">
        <x:v>0.8996382047128777</x:v>
      </x:c>
      <x:c r="E1751" s="48" t="n">
        <x:v>0.931271282713358</x:v>
      </x:c>
      <x:c r="F1751" s="48" t="n">
        <x:v>-0.058556851279167405</x:v>
      </x:c>
      <x:c r="G1751" s="48" t="n">
        <x:v>-0.1582470094036056</x:v>
      </x:c>
      <x:c r="H1751" s="48" t="n">
        <x:v>1.0526590194685972</x:v>
      </x:c>
      <x:c r="I1751" s="48" t="n">
        <x:v>0.9615478612961036</x:v>
      </x:c>
      <x:c r="J1751" s="48" t="n">
        <x:v>0.7548265175283877</x:v>
      </x:c>
      <x:c r="K1751" s="48" t="n">
        <x:v>0.9418149538975504</x:v>
      </x:c>
      <x:c r="L1751" s="48" t="n">
        <x:v>0.8233561746580805</x:v>
      </x:c>
      <x:c r="M1751" s="48" t="n">
        <x:v>0.07470510687544998</x:v>
      </x:c>
      <x:c r="N1751" s="48" t="n">
        <x:v>0.9200825689579124</x:v>
      </x:c>
      <x:c r="O1751" s="48" t="n">
        <x:v>0.8753197550841666</x:v>
      </x:c>
      <x:c r="P1751" s="48" t="n">
        <x:v>0.5922004758296404</x:v>
      </x:c>
      <x:c r="Q1751" s="48" t="n">
        <x:v>1</x:v>
      </x:c>
      <x:c r="R1751" s="48" t="n">
        <x:v>0.8460394668985945</x:v>
      </x:c>
      <x:c r="S1751" s="29" t="n">
        <x:v>0</x:v>
      </x:c>
    </x:row>
    <x:row r="1752" ht="21.600000381469727" hidden="0" customHeight="1">
      <x:c r="A1752" s="27" t="n">
        <x:v>583</x:v>
      </x:c>
      <x:c r="B1752" s="27" t="str">
        <x:v>A2</x:v>
      </x:c>
      <x:c r="C1752" s="47" t="n">
        <x:v>1.1257639493837746</x:v>
      </x:c>
      <x:c r="D1752" s="47" t="n">
        <x:v>0.8996382047128777</x:v>
      </x:c>
      <x:c r="E1752" s="47" t="n">
        <x:v>0.931271282713358</x:v>
      </x:c>
      <x:c r="F1752" s="47" t="n">
        <x:v>-0.058556851279167405</x:v>
      </x:c>
      <x:c r="G1752" s="47" t="n">
        <x:v>-0.1582470094036056</x:v>
      </x:c>
      <x:c r="H1752" s="47" t="n">
        <x:v>1.0526590194685972</x:v>
      </x:c>
      <x:c r="I1752" s="47" t="n">
        <x:v>0.9615478612961036</x:v>
      </x:c>
      <x:c r="J1752" s="47" t="n">
        <x:v>0.7548265175283877</x:v>
      </x:c>
      <x:c r="K1752" s="47" t="n">
        <x:v>0.9418149538975504</x:v>
      </x:c>
      <x:c r="L1752" s="47" t="n">
        <x:v>0.8233561746580805</x:v>
      </x:c>
      <x:c r="M1752" s="47" t="n">
        <x:v>0.07470510687544998</x:v>
      </x:c>
      <x:c r="N1752" s="47" t="n">
        <x:v>0.9200825689579124</x:v>
      </x:c>
      <x:c r="O1752" s="47" t="n">
        <x:v>0.9843813153150273</x:v>
      </x:c>
      <x:c r="P1752" s="47" t="n">
        <x:v>0.8438131531502719</x:v>
      </x:c>
      <x:c r="Q1752" s="47" t="n">
        <x:v>1</x:v>
      </x:c>
      <x:c r="R1752" s="47" t="n">
        <x:v>0.9807133758674884</x:v>
      </x:c>
      <x:c r="S1752" s="27" t="n">
        <x:v>0</x:v>
      </x:c>
    </x:row>
    <x:row r="1753" ht="21.600000381469727" hidden="0" customHeight="1">
      <x:c r="A1753" s="29" t="n">
        <x:v>583</x:v>
      </x:c>
      <x:c r="B1753" s="29" t="str">
        <x:v>A3</x:v>
      </x:c>
      <x:c r="C1753" s="48" t="n">
        <x:v>1.1257639493837746</x:v>
      </x:c>
      <x:c r="D1753" s="48" t="n">
        <x:v>0.8996382047128777</x:v>
      </x:c>
      <x:c r="E1753" s="48" t="n">
        <x:v>0.931271282713358</x:v>
      </x:c>
      <x:c r="F1753" s="48" t="n">
        <x:v>-0.058556851279167405</x:v>
      </x:c>
      <x:c r="G1753" s="48" t="n">
        <x:v>-0.1582470094036056</x:v>
      </x:c>
      <x:c r="H1753" s="48" t="n">
        <x:v>1.0526590194685972</x:v>
      </x:c>
      <x:c r="I1753" s="48" t="n">
        <x:v>0.9615478612961036</x:v>
      </x:c>
      <x:c r="J1753" s="48" t="n">
        <x:v>0.7548265175283877</x:v>
      </x:c>
      <x:c r="K1753" s="48" t="n">
        <x:v>0.9418149538975504</x:v>
      </x:c>
      <x:c r="L1753" s="48" t="n">
        <x:v>0.8233561746580805</x:v>
      </x:c>
      <x:c r="M1753" s="48" t="n">
        <x:v>0.07470510687544998</x:v>
      </x:c>
      <x:c r="N1753" s="48" t="n">
        <x:v>0.9200825689579124</x:v>
      </x:c>
      <x:c r="O1753" s="48" t="n">
        <x:v>1</x:v>
      </x:c>
      <x:c r="P1753" s="48" t="n">
        <x:v>1</x:v>
      </x:c>
      <x:c r="Q1753" s="48" t="n">
        <x:v>1</x:v>
      </x:c>
      <x:c r="R1753" s="48" t="n">
        <x:v>1</x:v>
      </x:c>
      <x:c r="S1753" s="29" t="n">
        <x:v>1</x:v>
      </x:c>
    </x:row>
    <x:row r="1754" ht="21.600000381469727" hidden="0" customHeight="1">
      <x:c r="A1754" s="27" t="n">
        <x:v>584</x:v>
      </x:c>
      <x:c r="B1754" s="27" t="str">
        <x:v>A1</x:v>
      </x:c>
      <x:c r="C1754" s="47" t="n">
        <x:v>1.340946268403143</x:v>
      </x:c>
      <x:c r="D1754" s="47" t="n">
        <x:v>0.7791470731519374</x:v>
      </x:c>
      <x:c r="E1754" s="47" t="n">
        <x:v>1.0265109610308836</x:v>
      </x:c>
      <x:c r="F1754" s="47" t="n">
        <x:v>-0.19929648294325716</x:v>
      </x:c>
      <x:c r="G1754" s="47" t="n">
        <x:v>-0.11537470852162703</x:v>
      </x:c>
      <x:c r="H1754" s="47" t="n">
        <x:v>1.059868336438715</x:v>
      </x:c>
      <x:c r="I1754" s="47" t="n">
        <x:v>0.6184177193750668</x:v>
      </x:c>
      <x:c r="J1754" s="47" t="n">
        <x:v>0.603668765166027</x:v>
      </x:c>
      <x:c r="K1754" s="47" t="n">
        <x:v>0.8254143885239521</x:v>
      </x:c>
      <x:c r="L1754" s="47" t="n">
        <x:v>0.5856853424295443</x:v>
      </x:c>
      <x:c r="M1754" s="47" t="n">
        <x:v>0.17358332514108996</x:v>
      </x:c>
      <x:c r="N1754" s="47" t="n">
        <x:v>0.7954640990672691</x:v>
      </x:c>
      <x:c r="O1754" s="47" t="n">
        <x:v>0.7112411027953334</x:v>
      </x:c>
      <x:c r="P1754" s="47" t="n">
        <x:v>0.37009253824874366</x:v>
      </x:c>
      <x:c r="Q1754" s="47" t="n">
        <x:v>0.9214834416152355</x:v>
      </x:c>
      <x:c r="R1754" s="47" t="n">
        <x:v>0.6444349109908992</x:v>
      </x:c>
      <x:c r="S1754" s="27" t="n">
        <x:v>0</x:v>
      </x:c>
    </x:row>
    <x:row r="1755" ht="21.600000381469727" hidden="0" customHeight="1">
      <x:c r="A1755" s="29" t="n">
        <x:v>584</x:v>
      </x:c>
      <x:c r="B1755" s="29" t="str">
        <x:v>A2</x:v>
      </x:c>
      <x:c r="C1755" s="48" t="n">
        <x:v>1.340946268403143</x:v>
      </x:c>
      <x:c r="D1755" s="48" t="n">
        <x:v>0.7791470731519374</x:v>
      </x:c>
      <x:c r="E1755" s="48" t="n">
        <x:v>1.0265109610308836</x:v>
      </x:c>
      <x:c r="F1755" s="48" t="n">
        <x:v>-0.19929648294325716</x:v>
      </x:c>
      <x:c r="G1755" s="48" t="n">
        <x:v>-0.11537470852162703</x:v>
      </x:c>
      <x:c r="H1755" s="48" t="n">
        <x:v>1.059868336438715</x:v>
      </x:c>
      <x:c r="I1755" s="48" t="n">
        <x:v>0.6184177193750668</x:v>
      </x:c>
      <x:c r="J1755" s="48" t="n">
        <x:v>0.603668765166027</x:v>
      </x:c>
      <x:c r="K1755" s="48" t="n">
        <x:v>0.8254143885239521</x:v>
      </x:c>
      <x:c r="L1755" s="48" t="n">
        <x:v>0.5856853424295443</x:v>
      </x:c>
      <x:c r="M1755" s="48" t="n">
        <x:v>0.17358332514108996</x:v>
      </x:c>
      <x:c r="N1755" s="48" t="n">
        <x:v>0.7954640990672691</x:v>
      </x:c>
      <x:c r="O1755" s="48" t="n">
        <x:v>0.7932552917405639</x:v>
      </x:c>
      <x:c r="P1755" s="48" t="n">
        <x:v>0.4996292868513012</x:v>
      </x:c>
      <x:c r="Q1755" s="48" t="n">
        <x:v>1</x:v>
      </x:c>
      <x:c r="R1755" s="48" t="n">
        <x:v>0.7447027352167553</x:v>
      </x:c>
      <x:c r="S1755" s="29" t="n">
        <x:v>0</x:v>
      </x:c>
    </x:row>
    <x:row r="1756" ht="21.600000381469727" hidden="0" customHeight="1">
      <x:c r="A1756" s="27" t="n">
        <x:v>584</x:v>
      </x:c>
      <x:c r="B1756" s="27" t="str">
        <x:v>A3</x:v>
      </x:c>
      <x:c r="C1756" s="47" t="n">
        <x:v>1.340946268403143</x:v>
      </x:c>
      <x:c r="D1756" s="47" t="n">
        <x:v>0.7791470731519374</x:v>
      </x:c>
      <x:c r="E1756" s="47" t="n">
        <x:v>1.0265109610308836</x:v>
      </x:c>
      <x:c r="F1756" s="47" t="n">
        <x:v>-0.19929648294325716</x:v>
      </x:c>
      <x:c r="G1756" s="47" t="n">
        <x:v>-0.11537470852162703</x:v>
      </x:c>
      <x:c r="H1756" s="47" t="n">
        <x:v>1.059868336438715</x:v>
      </x:c>
      <x:c r="I1756" s="47" t="n">
        <x:v>0.6184177193750668</x:v>
      </x:c>
      <x:c r="J1756" s="47" t="n">
        <x:v>0.603668765166027</x:v>
      </x:c>
      <x:c r="K1756" s="47" t="n">
        <x:v>0.8254143885239521</x:v>
      </x:c>
      <x:c r="L1756" s="47" t="n">
        <x:v>0.5856853424295443</x:v>
      </x:c>
      <x:c r="M1756" s="47" t="n">
        <x:v>0.17358332514108996</x:v>
      </x:c>
      <x:c r="N1756" s="47" t="n">
        <x:v>0.7954640990672691</x:v>
      </x:c>
      <x:c r="O1756" s="47" t="n">
        <x:v>1</x:v>
      </x:c>
      <x:c r="P1756" s="47" t="n">
        <x:v>1</x:v>
      </x:c>
      <x:c r="Q1756" s="47" t="n">
        <x:v>1</x:v>
      </x:c>
      <x:c r="R1756" s="47" t="n">
        <x:v>1.0000000000000002</x:v>
      </x:c>
      <x:c r="S1756" s="27" t="n">
        <x:v>1</x:v>
      </x:c>
    </x:row>
    <x:row r="1757" ht="21.600000381469727" hidden="0" customHeight="1">
      <x:c r="A1757" s="29" t="n">
        <x:v>585</x:v>
      </x:c>
      <x:c r="B1757" s="29" t="str">
        <x:v>A1</x:v>
      </x:c>
      <x:c r="C1757" s="48" t="n">
        <x:v>1.2468188735249819</x:v>
      </x:c>
      <x:c r="D1757" s="48" t="n">
        <x:v>0.9546867515095417</x:v>
      </x:c>
      <x:c r="E1757" s="48" t="n">
        <x:v>0.6152691474075795</x:v>
      </x:c>
      <x:c r="F1757" s="48" t="n">
        <x:v>-0.19264255875059283</x:v>
      </x:c>
      <x:c r="G1757" s="48" t="n">
        <x:v>0.004997919207814894</x:v>
      </x:c>
      <x:c r="H1757" s="48" t="n">
        <x:v>0.8294583883397106</x:v>
      </x:c>
      <x:c r="I1757" s="48" t="n">
        <x:v>0.7323902158717888</x:v>
      </x:c>
      <x:c r="J1757" s="48" t="n">
        <x:v>0.647546148497266</x:v>
      </x:c>
      <x:c r="K1757" s="48" t="n">
        <x:v>0.7316593787414787</x:v>
      </x:c>
      <x:c r="L1757" s="48" t="n">
        <x:v>0.9590400979971565</x:v>
      </x:c>
      <x:c r="M1757" s="48" t="n">
        <x:v>0.08372044424920494</x:v>
      </x:c>
      <x:c r="N1757" s="48" t="n">
        <x:v>0.9865088041831439</x:v>
      </x:c>
      <x:c r="O1757" s="48" t="n">
        <x:v>0.8454111938956933</x:v>
      </x:c>
      <x:c r="P1757" s="48" t="n">
        <x:v>0.48626663312373014</x:v>
      </x:c>
      <x:c r="Q1757" s="48" t="n">
        <x:v>1</x:v>
      </x:c>
      <x:c r="R1757" s="48" t="n">
        <x:v>0.8091070881726637</x:v>
      </x:c>
      <x:c r="S1757" s="29" t="n">
        <x:v>0</x:v>
      </x:c>
    </x:row>
    <x:row r="1758" ht="21.600000381469727" hidden="0" customHeight="1">
      <x:c r="A1758" s="27" t="n">
        <x:v>585</x:v>
      </x:c>
      <x:c r="B1758" s="27" t="str">
        <x:v>A2</x:v>
      </x:c>
      <x:c r="C1758" s="47" t="n">
        <x:v>1.2468188735249819</x:v>
      </x:c>
      <x:c r="D1758" s="47" t="n">
        <x:v>0.9546867515095417</x:v>
      </x:c>
      <x:c r="E1758" s="47" t="n">
        <x:v>0.6152691474075795</x:v>
      </x:c>
      <x:c r="F1758" s="47" t="n">
        <x:v>-0.19264255875059283</x:v>
      </x:c>
      <x:c r="G1758" s="47" t="n">
        <x:v>0.004997919207814894</x:v>
      </x:c>
      <x:c r="H1758" s="47" t="n">
        <x:v>0.8294583883397106</x:v>
      </x:c>
      <x:c r="I1758" s="47" t="n">
        <x:v>0.7323902158717888</x:v>
      </x:c>
      <x:c r="J1758" s="47" t="n">
        <x:v>0.647546148497266</x:v>
      </x:c>
      <x:c r="K1758" s="47" t="n">
        <x:v>0.7316593787414787</x:v>
      </x:c>
      <x:c r="L1758" s="47" t="n">
        <x:v>0.9590400979971565</x:v>
      </x:c>
      <x:c r="M1758" s="47" t="n">
        <x:v>0.08372044424920494</x:v>
      </x:c>
      <x:c r="N1758" s="47" t="n">
        <x:v>0.9865088041831439</x:v>
      </x:c>
      <x:c r="O1758" s="47" t="n">
        <x:v>0.9216650931680505</x:v>
      </x:c>
      <x:c r="P1758" s="47" t="n">
        <x:v>0.6341134073091551</x:v>
      </x:c>
      <x:c r="Q1758" s="47" t="n">
        <x:v>1</x:v>
      </x:c>
      <x:c r="R1758" s="47" t="n">
        <x:v>0.9032686852320716</x:v>
      </x:c>
      <x:c r="S1758" s="27" t="n">
        <x:v>0</x:v>
      </x:c>
    </x:row>
    <x:row r="1759" ht="21.600000381469727" hidden="0" customHeight="1">
      <x:c r="A1759" s="29" t="n">
        <x:v>585</x:v>
      </x:c>
      <x:c r="B1759" s="29" t="str">
        <x:v>A3</x:v>
      </x:c>
      <x:c r="C1759" s="48" t="n">
        <x:v>1.2468188735249819</x:v>
      </x:c>
      <x:c r="D1759" s="48" t="n">
        <x:v>0.9546867515095417</x:v>
      </x:c>
      <x:c r="E1759" s="48" t="n">
        <x:v>0.6152691474075795</x:v>
      </x:c>
      <x:c r="F1759" s="48" t="n">
        <x:v>-0.19264255875059283</x:v>
      </x:c>
      <x:c r="G1759" s="48" t="n">
        <x:v>0.004997919207814894</x:v>
      </x:c>
      <x:c r="H1759" s="48" t="n">
        <x:v>0.8294583883397106</x:v>
      </x:c>
      <x:c r="I1759" s="48" t="n">
        <x:v>0.7323902158717888</x:v>
      </x:c>
      <x:c r="J1759" s="48" t="n">
        <x:v>0.647546148497266</x:v>
      </x:c>
      <x:c r="K1759" s="48" t="n">
        <x:v>0.7316593787414787</x:v>
      </x:c>
      <x:c r="L1759" s="48" t="n">
        <x:v>0.9590400979971565</x:v>
      </x:c>
      <x:c r="M1759" s="48" t="n">
        <x:v>0.08372044424920494</x:v>
      </x:c>
      <x:c r="N1759" s="48" t="n">
        <x:v>0.9865088041831439</x:v>
      </x:c>
      <x:c r="O1759" s="48" t="n">
        <x:v>1</x:v>
      </x:c>
      <x:c r="P1759" s="48" t="n">
        <x:v>1</x:v>
      </x:c>
      <x:c r="Q1759" s="48" t="n">
        <x:v>1</x:v>
      </x:c>
      <x:c r="R1759" s="48" t="n">
        <x:v>1</x:v>
      </x:c>
      <x:c r="S1759" s="29" t="n">
        <x:v>1</x:v>
      </x:c>
    </x:row>
    <x:row r="1760" ht="21.600000381469727" hidden="0" customHeight="1">
      <x:c r="A1760" s="27" t="n">
        <x:v>586</x:v>
      </x:c>
      <x:c r="B1760" s="27" t="str">
        <x:v>A1</x:v>
      </x:c>
      <x:c r="C1760" s="47" t="n">
        <x:v>1.2334159343405824</x:v>
      </x:c>
      <x:c r="D1760" s="47" t="n">
        <x:v>0.7474316392999877</x:v>
      </x:c>
      <x:c r="E1760" s="47" t="n">
        <x:v>0.7869814415808152</x:v>
      </x:c>
      <x:c r="F1760" s="47" t="n">
        <x:v>-0.18479124469597702</x:v>
      </x:c>
      <x:c r="G1760" s="47" t="n">
        <x:v>-0.1604436943481956</x:v>
      </x:c>
      <x:c r="H1760" s="47" t="n">
        <x:v>0.8609383822019923</x:v>
      </x:c>
      <x:c r="I1760" s="47" t="n">
        <x:v>0.6889517557625603</x:v>
      </x:c>
      <x:c r="J1760" s="47" t="n">
        <x:v>0.43784275931531264</x:v>
      </x:c>
      <x:c r="K1760" s="47" t="n">
        <x:v>0.7288954893687325</x:v>
      </x:c>
      <x:c r="L1760" s="47" t="n">
        <x:v>0.7338198508352956</x:v>
      </x:c>
      <x:c r="M1760" s="47" t="n">
        <x:v>0.13204445918273933</x:v>
      </x:c>
      <x:c r="N1760" s="47" t="n">
        <x:v>0.731177768655106</x:v>
      </x:c>
      <x:c r="O1760" s="47" t="n">
        <x:v>0.7301471954636347</x:v>
      </x:c>
      <x:c r="P1760" s="47" t="n">
        <x:v>0.4735696662405914</x:v>
      </x:c>
      <x:c r="Q1760" s="47" t="n">
        <x:v>0.9453251026354075</x:v>
      </x:c>
      <x:c r="R1760" s="47" t="n">
        <x:v>0.6671802039920267</x:v>
      </x:c>
      <x:c r="S1760" s="27" t="n">
        <x:v>0</x:v>
      </x:c>
    </x:row>
    <x:row r="1761" ht="21.600000381469727" hidden="0" customHeight="1">
      <x:c r="A1761" s="29" t="n">
        <x:v>586</x:v>
      </x:c>
      <x:c r="B1761" s="29" t="str">
        <x:v>A2</x:v>
      </x:c>
      <x:c r="C1761" s="48" t="n">
        <x:v>1.2334159343405824</x:v>
      </x:c>
      <x:c r="D1761" s="48" t="n">
        <x:v>0.7474316392999877</x:v>
      </x:c>
      <x:c r="E1761" s="48" t="n">
        <x:v>0.7869814415808152</x:v>
      </x:c>
      <x:c r="F1761" s="48" t="n">
        <x:v>-0.18479124469597702</x:v>
      </x:c>
      <x:c r="G1761" s="48" t="n">
        <x:v>-0.1604436943481956</x:v>
      </x:c>
      <x:c r="H1761" s="48" t="n">
        <x:v>0.8609383822019923</x:v>
      </x:c>
      <x:c r="I1761" s="48" t="n">
        <x:v>0.6889517557625603</x:v>
      </x:c>
      <x:c r="J1761" s="48" t="n">
        <x:v>0.43784275931531264</x:v>
      </x:c>
      <x:c r="K1761" s="48" t="n">
        <x:v>0.7288954893687325</x:v>
      </x:c>
      <x:c r="L1761" s="48" t="n">
        <x:v>0.7338198508352956</x:v>
      </x:c>
      <x:c r="M1761" s="48" t="n">
        <x:v>0.13204445918273933</x:v>
      </x:c>
      <x:c r="N1761" s="48" t="n">
        <x:v>0.731177768655106</x:v>
      </x:c>
      <x:c r="O1761" s="48" t="n">
        <x:v>0.8142711978817584</x:v>
      </x:c>
      <x:c r="P1761" s="48" t="n">
        <x:v>0.5221411761182223</x:v>
      </x:c>
      <x:c r="Q1761" s="48" t="n">
        <x:v>1</x:v>
      </x:c>
      <x:c r="R1761" s="48" t="n">
        <x:v>0.7706540807189367</x:v>
      </x:c>
      <x:c r="S1761" s="29" t="n">
        <x:v>0</x:v>
      </x:c>
    </x:row>
    <x:row r="1762" ht="21.600000381469727" hidden="0" customHeight="1">
      <x:c r="A1762" s="27" t="n">
        <x:v>586</x:v>
      </x:c>
      <x:c r="B1762" s="27" t="str">
        <x:v>A3</x:v>
      </x:c>
      <x:c r="C1762" s="47" t="n">
        <x:v>1.2334159343405824</x:v>
      </x:c>
      <x:c r="D1762" s="47" t="n">
        <x:v>0.7474316392999877</x:v>
      </x:c>
      <x:c r="E1762" s="47" t="n">
        <x:v>0.7869814415808152</x:v>
      </x:c>
      <x:c r="F1762" s="47" t="n">
        <x:v>-0.18479124469597702</x:v>
      </x:c>
      <x:c r="G1762" s="47" t="n">
        <x:v>-0.1604436943481956</x:v>
      </x:c>
      <x:c r="H1762" s="47" t="n">
        <x:v>0.8609383822019923</x:v>
      </x:c>
      <x:c r="I1762" s="47" t="n">
        <x:v>0.6889517557625603</x:v>
      </x:c>
      <x:c r="J1762" s="47" t="n">
        <x:v>0.43784275931531264</x:v>
      </x:c>
      <x:c r="K1762" s="47" t="n">
        <x:v>0.7288954893687325</x:v>
      </x:c>
      <x:c r="L1762" s="47" t="n">
        <x:v>0.7338198508352956</x:v>
      </x:c>
      <x:c r="M1762" s="47" t="n">
        <x:v>0.13204445918273933</x:v>
      </x:c>
      <x:c r="N1762" s="47" t="n">
        <x:v>0.731177768655106</x:v>
      </x:c>
      <x:c r="O1762" s="47" t="n">
        <x:v>1</x:v>
      </x:c>
      <x:c r="P1762" s="47" t="n">
        <x:v>1</x:v>
      </x:c>
      <x:c r="Q1762" s="47" t="n">
        <x:v>1</x:v>
      </x:c>
      <x:c r="R1762" s="47" t="n">
        <x:v>1</x:v>
      </x:c>
      <x:c r="S1762" s="27" t="n">
        <x:v>1</x:v>
      </x:c>
    </x:row>
    <x:row r="1763" ht="21.600000381469727" hidden="0" customHeight="1">
      <x:c r="A1763" s="29" t="n">
        <x:v>587</x:v>
      </x:c>
      <x:c r="B1763" s="29" t="str">
        <x:v>A1</x:v>
      </x:c>
      <x:c r="C1763" s="48" t="n">
        <x:v>0.9132926737441625</x:v>
      </x:c>
      <x:c r="D1763" s="48" t="n">
        <x:v>0.8110769175599207</x:v>
      </x:c>
      <x:c r="E1763" s="48" t="n">
        <x:v>0.9159755106509591</x:v>
      </x:c>
      <x:c r="F1763" s="48" t="n">
        <x:v>-0.19861247458744063</x:v>
      </x:c>
      <x:c r="G1763" s="48" t="n">
        <x:v>-0.036181166019264965</x:v>
      </x:c>
      <x:c r="H1763" s="48" t="n">
        <x:v>0.37431823297460504</x:v>
      </x:c>
      <x:c r="I1763" s="48" t="n">
        <x:v>0.8234698376508318</x:v>
      </x:c>
      <x:c r="J1763" s="48" t="n">
        <x:v>0.9155489513820437</x:v>
      </x:c>
      <x:c r="K1763" s="48" t="n">
        <x:v>0.6829237990765228</x:v>
      </x:c>
      <x:c r="L1763" s="48" t="n">
        <x:v>0.5407185784606574</x:v>
      </x:c>
      <x:c r="M1763" s="48" t="n">
        <x:v>0.06172843557935621</x:v>
      </x:c>
      <x:c r="N1763" s="48" t="n">
        <x:v>0.7269003055375671</x:v>
      </x:c>
      <x:c r="O1763" s="48" t="n">
        <x:v>0.9215202472264988</x:v>
      </x:c>
      <x:c r="P1763" s="48" t="n">
        <x:v>0.6571492697207696</x:v>
      </x:c>
      <x:c r="Q1763" s="48" t="n">
        <x:v>1</x:v>
      </x:c>
      <x:c r="R1763" s="48" t="n">
        <x:v>0.9030898232287615</x:v>
      </x:c>
      <x:c r="S1763" s="29" t="n">
        <x:v>0</x:v>
      </x:c>
    </x:row>
    <x:row r="1764" ht="21.600000381469727" hidden="0" customHeight="1">
      <x:c r="A1764" s="27" t="n">
        <x:v>587</x:v>
      </x:c>
      <x:c r="B1764" s="27" t="str">
        <x:v>A2</x:v>
      </x:c>
      <x:c r="C1764" s="47" t="n">
        <x:v>0.9132926737441625</x:v>
      </x:c>
      <x:c r="D1764" s="47" t="n">
        <x:v>0.8110769175599207</x:v>
      </x:c>
      <x:c r="E1764" s="47" t="n">
        <x:v>0.9159755106509591</x:v>
      </x:c>
      <x:c r="F1764" s="47" t="n">
        <x:v>-0.19861247458744063</x:v>
      </x:c>
      <x:c r="G1764" s="47" t="n">
        <x:v>-0.036181166019264965</x:v>
      </x:c>
      <x:c r="H1764" s="47" t="n">
        <x:v>0.37431823297460504</x:v>
      </x:c>
      <x:c r="I1764" s="47" t="n">
        <x:v>0.8234698376508318</x:v>
      </x:c>
      <x:c r="J1764" s="47" t="n">
        <x:v>0.9155489513820437</x:v>
      </x:c>
      <x:c r="K1764" s="47" t="n">
        <x:v>0.6829237990765228</x:v>
      </x:c>
      <x:c r="L1764" s="47" t="n">
        <x:v>0.5407185784606574</x:v>
      </x:c>
      <x:c r="M1764" s="47" t="n">
        <x:v>0.06172843557935621</x:v>
      </x:c>
      <x:c r="N1764" s="47" t="n">
        <x:v>0.7269003055375671</x:v>
      </x:c>
      <x:c r="O1764" s="47" t="n">
        <x:v>0.9837785765767278</x:v>
      </x:c>
      <x:c r="P1764" s="47" t="n">
        <x:v>0.8377857657672785</x:v>
      </x:c>
      <x:c r="Q1764" s="47" t="n">
        <x:v>1</x:v>
      </x:c>
      <x:c r="R1764" s="47" t="n">
        <x:v>0.9799690881294263</x:v>
      </x:c>
      <x:c r="S1764" s="27" t="n">
        <x:v>0</x:v>
      </x:c>
    </x:row>
    <x:row r="1765" ht="21.600000381469727" hidden="0" customHeight="1">
      <x:c r="A1765" s="29" t="n">
        <x:v>587</x:v>
      </x:c>
      <x:c r="B1765" s="29" t="str">
        <x:v>A3</x:v>
      </x:c>
      <x:c r="C1765" s="48" t="n">
        <x:v>0.9132926737441625</x:v>
      </x:c>
      <x:c r="D1765" s="48" t="n">
        <x:v>0.8110769175599207</x:v>
      </x:c>
      <x:c r="E1765" s="48" t="n">
        <x:v>0.9159755106509591</x:v>
      </x:c>
      <x:c r="F1765" s="48" t="n">
        <x:v>-0.19861247458744063</x:v>
      </x:c>
      <x:c r="G1765" s="48" t="n">
        <x:v>-0.036181166019264965</x:v>
      </x:c>
      <x:c r="H1765" s="48" t="n">
        <x:v>0.37431823297460504</x:v>
      </x:c>
      <x:c r="I1765" s="48" t="n">
        <x:v>0.8234698376508318</x:v>
      </x:c>
      <x:c r="J1765" s="48" t="n">
        <x:v>0.9155489513820437</x:v>
      </x:c>
      <x:c r="K1765" s="48" t="n">
        <x:v>0.6829237990765228</x:v>
      </x:c>
      <x:c r="L1765" s="48" t="n">
        <x:v>0.5407185784606574</x:v>
      </x:c>
      <x:c r="M1765" s="48" t="n">
        <x:v>0.06172843557935621</x:v>
      </x:c>
      <x:c r="N1765" s="48" t="n">
        <x:v>0.7269003055375671</x:v>
      </x:c>
      <x:c r="O1765" s="48" t="n">
        <x:v>1</x:v>
      </x:c>
      <x:c r="P1765" s="48" t="n">
        <x:v>1</x:v>
      </x:c>
      <x:c r="Q1765" s="48" t="n">
        <x:v>1</x:v>
      </x:c>
      <x:c r="R1765" s="48" t="n">
        <x:v>1</x:v>
      </x:c>
      <x:c r="S1765" s="29" t="n">
        <x:v>1</x:v>
      </x:c>
    </x:row>
    <x:row r="1766" ht="21.600000381469727" hidden="0" customHeight="1">
      <x:c r="A1766" s="27" t="n">
        <x:v>588</x:v>
      </x:c>
      <x:c r="B1766" s="27" t="str">
        <x:v>A1</x:v>
      </x:c>
      <x:c r="C1766" s="47" t="n">
        <x:v>1.252523640715541</x:v>
      </x:c>
      <x:c r="D1766" s="47" t="n">
        <x:v>0.8574326096755512</x:v>
      </x:c>
      <x:c r="E1766" s="47" t="n">
        <x:v>0.45935202216405197</x:v>
      </x:c>
      <x:c r="F1766" s="47" t="n">
        <x:v>-0.11765098306010843</x:v>
      </x:c>
      <x:c r="G1766" s="47" t="n">
        <x:v>-0.09685747366153623</x:v>
      </x:c>
      <x:c r="H1766" s="47" t="n">
        <x:v>0.6920301767130488</x:v>
      </x:c>
      <x:c r="I1766" s="47" t="n">
        <x:v>0.9654101691523937</x:v>
      </x:c>
      <x:c r="J1766" s="47" t="n">
        <x:v>0.852140217353669</x:v>
      </x:c>
      <x:c r="K1766" s="47" t="n">
        <x:v>0.8152407537911974</x:v>
      </x:c>
      <x:c r="L1766" s="47" t="n">
        <x:v>0.9137671896863149</x:v>
      </x:c>
      <x:c r="M1766" s="47" t="n">
        <x:v>0.09517836932347143</x:v>
      </x:c>
      <x:c r="N1766" s="47" t="n">
        <x:v>0.7428796937046032</x:v>
      </x:c>
      <x:c r="O1766" s="47" t="n">
        <x:v>0.8289514882711146</x:v>
      </x:c>
      <x:c r="P1766" s="47" t="n">
        <x:v>0.529093398228658</x:v>
      </x:c>
      <x:c r="Q1766" s="47" t="n">
        <x:v>1</x:v>
      </x:c>
      <x:c r="R1766" s="47" t="n">
        <x:v>0.788781935183407</x:v>
      </x:c>
      <x:c r="S1766" s="27" t="n">
        <x:v>0</x:v>
      </x:c>
    </x:row>
    <x:row r="1767" ht="21.600000381469727" hidden="0" customHeight="1">
      <x:c r="A1767" s="29" t="n">
        <x:v>588</x:v>
      </x:c>
      <x:c r="B1767" s="29" t="str">
        <x:v>A2</x:v>
      </x:c>
      <x:c r="C1767" s="48" t="n">
        <x:v>1.252523640715541</x:v>
      </x:c>
      <x:c r="D1767" s="48" t="n">
        <x:v>0.8574326096755512</x:v>
      </x:c>
      <x:c r="E1767" s="48" t="n">
        <x:v>0.45935202216405197</x:v>
      </x:c>
      <x:c r="F1767" s="48" t="n">
        <x:v>-0.11765098306010843</x:v>
      </x:c>
      <x:c r="G1767" s="48" t="n">
        <x:v>-0.09685747366153623</x:v>
      </x:c>
      <x:c r="H1767" s="48" t="n">
        <x:v>0.6920301767130488</x:v>
      </x:c>
      <x:c r="I1767" s="48" t="n">
        <x:v>0.9654101691523937</x:v>
      </x:c>
      <x:c r="J1767" s="48" t="n">
        <x:v>0.852140217353669</x:v>
      </x:c>
      <x:c r="K1767" s="48" t="n">
        <x:v>0.8152407537911974</x:v>
      </x:c>
      <x:c r="L1767" s="48" t="n">
        <x:v>0.9137671896863149</x:v>
      </x:c>
      <x:c r="M1767" s="48" t="n">
        <x:v>0.09517836932347143</x:v>
      </x:c>
      <x:c r="N1767" s="48" t="n">
        <x:v>0.7428796937046032</x:v>
      </x:c>
      <x:c r="O1767" s="48" t="n">
        <x:v>0.9176188550960299</x:v>
      </x:c>
      <x:c r="P1767" s="48" t="n">
        <x:v>0.6301373770834015</x:v>
      </x:c>
      <x:c r="Q1767" s="48" t="n">
        <x:v>1</x:v>
      </x:c>
      <x:c r="R1767" s="48" t="n">
        <x:v>0.8982722162963233</x:v>
      </x:c>
      <x:c r="S1767" s="29" t="n">
        <x:v>0</x:v>
      </x:c>
    </x:row>
    <x:row r="1768" ht="21.600000381469727" hidden="0" customHeight="1">
      <x:c r="A1768" s="27" t="n">
        <x:v>588</x:v>
      </x:c>
      <x:c r="B1768" s="27" t="str">
        <x:v>A3</x:v>
      </x:c>
      <x:c r="C1768" s="47" t="n">
        <x:v>1.252523640715541</x:v>
      </x:c>
      <x:c r="D1768" s="47" t="n">
        <x:v>0.8574326096755512</x:v>
      </x:c>
      <x:c r="E1768" s="47" t="n">
        <x:v>0.45935202216405197</x:v>
      </x:c>
      <x:c r="F1768" s="47" t="n">
        <x:v>-0.11765098306010843</x:v>
      </x:c>
      <x:c r="G1768" s="47" t="n">
        <x:v>-0.09685747366153623</x:v>
      </x:c>
      <x:c r="H1768" s="47" t="n">
        <x:v>0.6920301767130488</x:v>
      </x:c>
      <x:c r="I1768" s="47" t="n">
        <x:v>0.9654101691523937</x:v>
      </x:c>
      <x:c r="J1768" s="47" t="n">
        <x:v>0.852140217353669</x:v>
      </x:c>
      <x:c r="K1768" s="47" t="n">
        <x:v>0.8152407537911974</x:v>
      </x:c>
      <x:c r="L1768" s="47" t="n">
        <x:v>0.9137671896863149</x:v>
      </x:c>
      <x:c r="M1768" s="47" t="n">
        <x:v>0.09517836932347143</x:v>
      </x:c>
      <x:c r="N1768" s="47" t="n">
        <x:v>0.7428796937046032</x:v>
      </x:c>
      <x:c r="O1768" s="47" t="n">
        <x:v>1</x:v>
      </x:c>
      <x:c r="P1768" s="47" t="n">
        <x:v>1</x:v>
      </x:c>
      <x:c r="Q1768" s="47" t="n">
        <x:v>1</x:v>
      </x:c>
      <x:c r="R1768" s="47" t="n">
        <x:v>1</x:v>
      </x:c>
      <x:c r="S1768" s="27" t="n">
        <x:v>1</x:v>
      </x:c>
    </x:row>
    <x:row r="1769" ht="21.600000381469727" hidden="0" customHeight="1">
      <x:c r="A1769" s="29" t="n">
        <x:v>589</x:v>
      </x:c>
      <x:c r="B1769" s="29" t="str">
        <x:v>A1</x:v>
      </x:c>
      <x:c r="C1769" s="48" t="n">
        <x:v>1.0813151657384674</x:v>
      </x:c>
      <x:c r="D1769" s="48" t="n">
        <x:v>0.8842400232987844</x:v>
      </x:c>
      <x:c r="E1769" s="48" t="n">
        <x:v>0.4634845303901137</x:v>
      </x:c>
      <x:c r="F1769" s="48" t="n">
        <x:v>-0.16936172280784165</x:v>
      </x:c>
      <x:c r="G1769" s="48" t="n">
        <x:v>0.02595171115156586</x:v>
      </x:c>
      <x:c r="H1769" s="48" t="n">
        <x:v>0.9011034995104195</x:v>
      </x:c>
      <x:c r="I1769" s="48" t="n">
        <x:v>0.9471778036603167</x:v>
      </x:c>
      <x:c r="J1769" s="48" t="n">
        <x:v>0.5434129381501882</x:v>
      </x:c>
      <x:c r="K1769" s="48" t="n">
        <x:v>0.9208412258103436</x:v>
      </x:c>
      <x:c r="L1769" s="48" t="n">
        <x:v>0.5794607258710627</x:v>
      </x:c>
      <x:c r="M1769" s="48" t="n">
        <x:v>0.05415637676121576</x:v>
      </x:c>
      <x:c r="N1769" s="48" t="n">
        <x:v>0.86208576771109</x:v>
      </x:c>
      <x:c r="O1769" s="48" t="n">
        <x:v>0.8501925177201705</x:v>
      </x:c>
      <x:c r="P1769" s="48" t="n">
        <x:v>0.6130078117293797</x:v>
      </x:c>
      <x:c r="Q1769" s="48" t="n">
        <x:v>1</x:v>
      </x:c>
      <x:c r="R1769" s="48" t="n">
        <x:v>0.81501127263624</x:v>
      </x:c>
      <x:c r="S1769" s="29" t="n">
        <x:v>0</x:v>
      </x:c>
    </x:row>
    <x:row r="1770" ht="21.600000381469727" hidden="0" customHeight="1">
      <x:c r="A1770" s="27" t="n">
        <x:v>589</x:v>
      </x:c>
      <x:c r="B1770" s="27" t="str">
        <x:v>A2</x:v>
      </x:c>
      <x:c r="C1770" s="47" t="n">
        <x:v>1.0813151657384674</x:v>
      </x:c>
      <x:c r="D1770" s="47" t="n">
        <x:v>0.8842400232987844</x:v>
      </x:c>
      <x:c r="E1770" s="47" t="n">
        <x:v>0.4634845303901137</x:v>
      </x:c>
      <x:c r="F1770" s="47" t="n">
        <x:v>-0.16936172280784165</x:v>
      </x:c>
      <x:c r="G1770" s="47" t="n">
        <x:v>0.02595171115156586</x:v>
      </x:c>
      <x:c r="H1770" s="47" t="n">
        <x:v>0.9011034995104195</x:v>
      </x:c>
      <x:c r="I1770" s="47" t="n">
        <x:v>0.9471778036603167</x:v>
      </x:c>
      <x:c r="J1770" s="47" t="n">
        <x:v>0.5434129381501882</x:v>
      </x:c>
      <x:c r="K1770" s="47" t="n">
        <x:v>0.9208412258103436</x:v>
      </x:c>
      <x:c r="L1770" s="47" t="n">
        <x:v>0.5794607258710627</x:v>
      </x:c>
      <x:c r="M1770" s="47" t="n">
        <x:v>0.05415637676121576</x:v>
      </x:c>
      <x:c r="N1770" s="47" t="n">
        <x:v>0.86208576771109</x:v>
      </x:c>
      <x:c r="O1770" s="47" t="n">
        <x:v>0.9423371795702058</x:v>
      </x:c>
      <x:c r="P1770" s="47" t="n">
        <x:v>0.7194098247851763</x:v>
      </x:c>
      <x:c r="Q1770" s="47" t="n">
        <x:v>1</x:v>
      </x:c>
      <x:c r="R1770" s="47" t="n">
        <x:v>0.9287954673212683</x:v>
      </x:c>
      <x:c r="S1770" s="27" t="n">
        <x:v>0</x:v>
      </x:c>
    </x:row>
    <x:row r="1771" ht="21.600000381469727" hidden="0" customHeight="1">
      <x:c r="A1771" s="29" t="n">
        <x:v>589</x:v>
      </x:c>
      <x:c r="B1771" s="29" t="str">
        <x:v>A3</x:v>
      </x:c>
      <x:c r="C1771" s="48" t="n">
        <x:v>1.0813151657384674</x:v>
      </x:c>
      <x:c r="D1771" s="48" t="n">
        <x:v>0.8842400232987844</x:v>
      </x:c>
      <x:c r="E1771" s="48" t="n">
        <x:v>0.4634845303901137</x:v>
      </x:c>
      <x:c r="F1771" s="48" t="n">
        <x:v>-0.16936172280784165</x:v>
      </x:c>
      <x:c r="G1771" s="48" t="n">
        <x:v>0.02595171115156586</x:v>
      </x:c>
      <x:c r="H1771" s="48" t="n">
        <x:v>0.9011034995104195</x:v>
      </x:c>
      <x:c r="I1771" s="48" t="n">
        <x:v>0.9471778036603167</x:v>
      </x:c>
      <x:c r="J1771" s="48" t="n">
        <x:v>0.5434129381501882</x:v>
      </x:c>
      <x:c r="K1771" s="48" t="n">
        <x:v>0.9208412258103436</x:v>
      </x:c>
      <x:c r="L1771" s="48" t="n">
        <x:v>0.5794607258710627</x:v>
      </x:c>
      <x:c r="M1771" s="48" t="n">
        <x:v>0.05415637676121576</x:v>
      </x:c>
      <x:c r="N1771" s="48" t="n">
        <x:v>0.86208576771109</x:v>
      </x:c>
      <x:c r="O1771" s="48" t="n">
        <x:v>1</x:v>
      </x:c>
      <x:c r="P1771" s="48" t="n">
        <x:v>1</x:v>
      </x:c>
      <x:c r="Q1771" s="48" t="n">
        <x:v>1</x:v>
      </x:c>
      <x:c r="R1771" s="48" t="n">
        <x:v>1</x:v>
      </x:c>
      <x:c r="S1771" s="29" t="n">
        <x:v>1</x:v>
      </x:c>
    </x:row>
    <x:row r="1772" ht="21.600000381469727" hidden="0" customHeight="1">
      <x:c r="A1772" s="27" t="n">
        <x:v>590</x:v>
      </x:c>
      <x:c r="B1772" s="27" t="str">
        <x:v>A1</x:v>
      </x:c>
      <x:c r="C1772" s="47" t="n">
        <x:v>1.3143929531559588</x:v>
      </x:c>
      <x:c r="D1772" s="47" t="n">
        <x:v>0.8284919154274885</x:v>
      </x:c>
      <x:c r="E1772" s="47" t="n">
        <x:v>1.0646230707537352</x:v>
      </x:c>
      <x:c r="F1772" s="47" t="n">
        <x:v>0.0158811164970816</x:v>
      </x:c>
      <x:c r="G1772" s="47" t="n">
        <x:v>-0.07813785293690693</x:v>
      </x:c>
      <x:c r="H1772" s="47" t="n">
        <x:v>0.9954896156658386</x:v>
      </x:c>
      <x:c r="I1772" s="47" t="n">
        <x:v>1.0138933065838307</x:v>
      </x:c>
      <x:c r="J1772" s="47" t="n">
        <x:v>0.8578576459827104</x:v>
      </x:c>
      <x:c r="K1772" s="47" t="n">
        <x:v>0.8360572843646654</x:v>
      </x:c>
      <x:c r="L1772" s="47" t="n">
        <x:v>0.9707004037320169</x:v>
      </x:c>
      <x:c r="M1772" s="47" t="n">
        <x:v>0.163242555311227</x:v>
      </x:c>
      <x:c r="N1772" s="47" t="n">
        <x:v>0.652847100363684</x:v>
      </x:c>
      <x:c r="O1772" s="47" t="n">
        <x:v>0.8477951194120259</x:v>
      </x:c>
      <x:c r="P1772" s="47" t="n">
        <x:v>0.5304274396111717</x:v>
      </x:c>
      <x:c r="Q1772" s="47" t="n">
        <x:v>1</x:v>
      </x:c>
      <x:c r="R1772" s="47" t="n">
        <x:v>0.8120508620128288</x:v>
      </x:c>
      <x:c r="S1772" s="27" t="n">
        <x:v>0</x:v>
      </x:c>
    </x:row>
    <x:row r="1773" ht="21.600000381469727" hidden="0" customHeight="1">
      <x:c r="A1773" s="29" t="n">
        <x:v>590</x:v>
      </x:c>
      <x:c r="B1773" s="29" t="str">
        <x:v>A2</x:v>
      </x:c>
      <x:c r="C1773" s="48" t="n">
        <x:v>1.3143929531559588</x:v>
      </x:c>
      <x:c r="D1773" s="48" t="n">
        <x:v>0.8284919154274885</x:v>
      </x:c>
      <x:c r="E1773" s="48" t="n">
        <x:v>1.0646230707537352</x:v>
      </x:c>
      <x:c r="F1773" s="48" t="n">
        <x:v>0.0158811164970816</x:v>
      </x:c>
      <x:c r="G1773" s="48" t="n">
        <x:v>-0.07813785293690693</x:v>
      </x:c>
      <x:c r="H1773" s="48" t="n">
        <x:v>0.9954896156658386</x:v>
      </x:c>
      <x:c r="I1773" s="48" t="n">
        <x:v>1.0138933065838307</x:v>
      </x:c>
      <x:c r="J1773" s="48" t="n">
        <x:v>0.8578576459827104</x:v>
      </x:c>
      <x:c r="K1773" s="48" t="n">
        <x:v>0.8360572843646654</x:v>
      </x:c>
      <x:c r="L1773" s="48" t="n">
        <x:v>0.9707004037320169</x:v>
      </x:c>
      <x:c r="M1773" s="48" t="n">
        <x:v>0.163242555311227</x:v>
      </x:c>
      <x:c r="N1773" s="48" t="n">
        <x:v>0.652847100363684</x:v>
      </x:c>
      <x:c r="O1773" s="48" t="n">
        <x:v>0.933008182395623</x:v>
      </x:c>
      <x:c r="P1773" s="48" t="n">
        <x:v>0.6407885251457263</x:v>
      </x:c>
      <x:c r="Q1773" s="48" t="n">
        <x:v>1</x:v>
      </x:c>
      <x:c r="R1773" s="48" t="n">
        <x:v>0.9172756200570135</x:v>
      </x:c>
      <x:c r="S1773" s="29" t="n">
        <x:v>0</x:v>
      </x:c>
    </x:row>
    <x:row r="1774" ht="21.600000381469727" hidden="0" customHeight="1">
      <x:c r="A1774" s="27" t="n">
        <x:v>590</x:v>
      </x:c>
      <x:c r="B1774" s="27" t="str">
        <x:v>A3</x:v>
      </x:c>
      <x:c r="C1774" s="47" t="n">
        <x:v>1.3143929531559588</x:v>
      </x:c>
      <x:c r="D1774" s="47" t="n">
        <x:v>0.8284919154274885</x:v>
      </x:c>
      <x:c r="E1774" s="47" t="n">
        <x:v>1.0646230707537352</x:v>
      </x:c>
      <x:c r="F1774" s="47" t="n">
        <x:v>0.0158811164970816</x:v>
      </x:c>
      <x:c r="G1774" s="47" t="n">
        <x:v>-0.07813785293690693</x:v>
      </x:c>
      <x:c r="H1774" s="47" t="n">
        <x:v>0.9954896156658386</x:v>
      </x:c>
      <x:c r="I1774" s="47" t="n">
        <x:v>1.0138933065838307</x:v>
      </x:c>
      <x:c r="J1774" s="47" t="n">
        <x:v>0.8578576459827104</x:v>
      </x:c>
      <x:c r="K1774" s="47" t="n">
        <x:v>0.8360572843646654</x:v>
      </x:c>
      <x:c r="L1774" s="47" t="n">
        <x:v>0.9707004037320169</x:v>
      </x:c>
      <x:c r="M1774" s="47" t="n">
        <x:v>0.163242555311227</x:v>
      </x:c>
      <x:c r="N1774" s="47" t="n">
        <x:v>0.652847100363684</x:v>
      </x:c>
      <x:c r="O1774" s="47" t="n">
        <x:v>1</x:v>
      </x:c>
      <x:c r="P1774" s="47" t="n">
        <x:v>1</x:v>
      </x:c>
      <x:c r="Q1774" s="47" t="n">
        <x:v>1</x:v>
      </x:c>
      <x:c r="R1774" s="47" t="n">
        <x:v>1</x:v>
      </x:c>
      <x:c r="S1774" s="27" t="n">
        <x:v>1</x:v>
      </x:c>
    </x:row>
    <x:row r="1775" ht="21.600000381469727" hidden="0" customHeight="1">
      <x:c r="A1775" s="29" t="n">
        <x:v>591</x:v>
      </x:c>
      <x:c r="B1775" s="29" t="str">
        <x:v>A1</x:v>
      </x:c>
      <x:c r="C1775" s="48" t="n">
        <x:v>0.9546453601305837</x:v>
      </x:c>
      <x:c r="D1775" s="48" t="n">
        <x:v>0.9945364992891919</x:v>
      </x:c>
      <x:c r="E1775" s="48" t="n">
        <x:v>0.6855544647908944</x:v>
      </x:c>
      <x:c r="F1775" s="48" t="n">
        <x:v>-0.015775478367307666</x:v>
      </x:c>
      <x:c r="G1775" s="48" t="n">
        <x:v>-0.09581189177369571</x:v>
      </x:c>
      <x:c r="H1775" s="48" t="n">
        <x:v>0.3640492238918336</x:v>
      </x:c>
      <x:c r="I1775" s="48" t="n">
        <x:v>0.8147975825246908</x:v>
      </x:c>
      <x:c r="J1775" s="48" t="n">
        <x:v>0.7067866134012364</x:v>
      </x:c>
      <x:c r="K1775" s="48" t="n">
        <x:v>0.8230123584091781</x:v>
      </x:c>
      <x:c r="L1775" s="48" t="n">
        <x:v>0.6259017339967967</x:v>
      </x:c>
      <x:c r="M1775" s="48" t="n">
        <x:v>0.00694976041644274</x:v>
      </x:c>
      <x:c r="N1775" s="48" t="n">
        <x:v>0.8714226789010484</x:v>
      </x:c>
      <x:c r="O1775" s="48" t="n">
        <x:v>0.96368418181238</x:v>
      </x:c>
      <x:c r="P1775" s="48" t="n">
        <x:v>0.7965309821041401</x:v>
      </x:c>
      <x:c r="Q1775" s="48" t="n">
        <x:v>1</x:v>
      </x:c>
      <x:c r="R1775" s="48" t="n">
        <x:v>0.9551556645404885</x:v>
      </x:c>
      <x:c r="S1775" s="29" t="n">
        <x:v>0</x:v>
      </x:c>
    </x:row>
    <x:row r="1776" ht="21.600000381469727" hidden="0" customHeight="1">
      <x:c r="A1776" s="27" t="n">
        <x:v>591</x:v>
      </x:c>
      <x:c r="B1776" s="27" t="str">
        <x:v>A2</x:v>
      </x:c>
      <x:c r="C1776" s="47" t="n">
        <x:v>0.9546453601305837</x:v>
      </x:c>
      <x:c r="D1776" s="47" t="n">
        <x:v>0.9945364992891919</x:v>
      </x:c>
      <x:c r="E1776" s="47" t="n">
        <x:v>0.6855544647908944</x:v>
      </x:c>
      <x:c r="F1776" s="47" t="n">
        <x:v>-0.015775478367307666</x:v>
      </x:c>
      <x:c r="G1776" s="47" t="n">
        <x:v>-0.09581189177369571</x:v>
      </x:c>
      <x:c r="H1776" s="47" t="n">
        <x:v>0.3640492238918336</x:v>
      </x:c>
      <x:c r="I1776" s="47" t="n">
        <x:v>0.8147975825246908</x:v>
      </x:c>
      <x:c r="J1776" s="47" t="n">
        <x:v>0.7067866134012364</x:v>
      </x:c>
      <x:c r="K1776" s="47" t="n">
        <x:v>0.8230123584091781</x:v>
      </x:c>
      <x:c r="L1776" s="47" t="n">
        <x:v>0.6259017339967967</x:v>
      </x:c>
      <x:c r="M1776" s="47" t="n">
        <x:v>0.00694976041644274</x:v>
      </x:c>
      <x:c r="N1776" s="47" t="n">
        <x:v>0.8714226789010484</x:v>
      </x:c>
      <x:c r="O1776" s="47" t="n">
        <x:v>1</x:v>
      </x:c>
      <x:c r="P1776" s="47" t="n">
        <x:v>1</x:v>
      </x:c>
      <x:c r="Q1776" s="47" t="n">
        <x:v>1</x:v>
      </x:c>
      <x:c r="R1776" s="47" t="n">
        <x:v>1</x:v>
      </x:c>
      <x:c r="S1776" s="27" t="n">
        <x:v>1</x:v>
      </x:c>
    </x:row>
    <x:row r="1777" ht="21.600000381469727" hidden="0" customHeight="1">
      <x:c r="A1777" s="29" t="n">
        <x:v>591</x:v>
      </x:c>
      <x:c r="B1777" s="29" t="str">
        <x:v>A3</x:v>
      </x:c>
      <x:c r="C1777" s="48" t="n">
        <x:v>0.9546453601305837</x:v>
      </x:c>
      <x:c r="D1777" s="48" t="n">
        <x:v>0.9945364992891919</x:v>
      </x:c>
      <x:c r="E1777" s="48" t="n">
        <x:v>0.6855544647908944</x:v>
      </x:c>
      <x:c r="F1777" s="48" t="n">
        <x:v>-0.015775478367307666</x:v>
      </x:c>
      <x:c r="G1777" s="48" t="n">
        <x:v>-0.09581189177369571</x:v>
      </x:c>
      <x:c r="H1777" s="48" t="n">
        <x:v>0.3640492238918336</x:v>
      </x:c>
      <x:c r="I1777" s="48" t="n">
        <x:v>0.8147975825246908</x:v>
      </x:c>
      <x:c r="J1777" s="48" t="n">
        <x:v>0.7067866134012364</x:v>
      </x:c>
      <x:c r="K1777" s="48" t="n">
        <x:v>0.8230123584091781</x:v>
      </x:c>
      <x:c r="L1777" s="48" t="n">
        <x:v>0.6259017339967967</x:v>
      </x:c>
      <x:c r="M1777" s="48" t="n">
        <x:v>0.00694976041644274</x:v>
      </x:c>
      <x:c r="N1777" s="48" t="n">
        <x:v>0.8714226789010484</x:v>
      </x:c>
      <x:c r="O1777" s="48" t="n">
        <x:v>1</x:v>
      </x:c>
      <x:c r="P1777" s="48" t="n">
        <x:v>1</x:v>
      </x:c>
      <x:c r="Q1777" s="48" t="n">
        <x:v>1</x:v>
      </x:c>
      <x:c r="R1777" s="48" t="n">
        <x:v>1.0000000000000002</x:v>
      </x:c>
      <x:c r="S1777" s="29" t="n">
        <x:v>1</x:v>
      </x:c>
    </x:row>
    <x:row r="1778" ht="21.600000381469727" hidden="0" customHeight="1">
      <x:c r="A1778" s="27" t="n">
        <x:v>592</x:v>
      </x:c>
      <x:c r="B1778" s="27" t="str">
        <x:v>A1</x:v>
      </x:c>
      <x:c r="C1778" s="47" t="n">
        <x:v>1.1053527481927024</x:v>
      </x:c>
      <x:c r="D1778" s="47" t="n">
        <x:v>0.9113225350025986</x:v>
      </x:c>
      <x:c r="E1778" s="47" t="n">
        <x:v>0.6878556756313898</x:v>
      </x:c>
      <x:c r="F1778" s="47" t="n">
        <x:v>-0.012747469756819646</x:v>
      </x:c>
      <x:c r="G1778" s="47" t="n">
        <x:v>-0.19056089706525886</x:v>
      </x:c>
      <x:c r="H1778" s="47" t="n">
        <x:v>1.091458957410174</x:v>
      </x:c>
      <x:c r="I1778" s="47" t="n">
        <x:v>0.8650519877283256</x:v>
      </x:c>
      <x:c r="J1778" s="47" t="n">
        <x:v>0.8118126393287413</x:v>
      </x:c>
      <x:c r="K1778" s="47" t="n">
        <x:v>0.6760409784980633</x:v>
      </x:c>
      <x:c r="L1778" s="47" t="n">
        <x:v>0.5584366559079722</x:v>
      </x:c>
      <x:c r="M1778" s="47" t="n">
        <x:v>0.10419953741573992</x:v>
      </x:c>
      <x:c r="N1778" s="47" t="n">
        <x:v>0.6558203975912827</x:v>
      </x:c>
      <x:c r="O1778" s="47" t="n">
        <x:v>0.8625242053129366</x:v>
      </x:c>
      <x:c r="P1778" s="47" t="n">
        <x:v>0.5470314760698336</x:v>
      </x:c>
      <x:c r="Q1778" s="47" t="n">
        <x:v>1</x:v>
      </x:c>
      <x:c r="R1778" s="47" t="n">
        <x:v>0.8302389712752982</x:v>
      </x:c>
      <x:c r="S1778" s="27" t="n">
        <x:v>0</x:v>
      </x:c>
    </x:row>
    <x:row r="1779" ht="21.600000381469727" hidden="0" customHeight="1">
      <x:c r="A1779" s="29" t="n">
        <x:v>592</x:v>
      </x:c>
      <x:c r="B1779" s="29" t="str">
        <x:v>A2</x:v>
      </x:c>
      <x:c r="C1779" s="48" t="n">
        <x:v>1.1053527481927024</x:v>
      </x:c>
      <x:c r="D1779" s="48" t="n">
        <x:v>0.9113225350025986</x:v>
      </x:c>
      <x:c r="E1779" s="48" t="n">
        <x:v>0.6878556756313898</x:v>
      </x:c>
      <x:c r="F1779" s="48" t="n">
        <x:v>-0.012747469756819646</x:v>
      </x:c>
      <x:c r="G1779" s="48" t="n">
        <x:v>-0.19056089706525886</x:v>
      </x:c>
      <x:c r="H1779" s="48" t="n">
        <x:v>1.091458957410174</x:v>
      </x:c>
      <x:c r="I1779" s="48" t="n">
        <x:v>0.8650519877283256</x:v>
      </x:c>
      <x:c r="J1779" s="48" t="n">
        <x:v>0.8118126393287413</x:v>
      </x:c>
      <x:c r="K1779" s="48" t="n">
        <x:v>0.6760409784980633</x:v>
      </x:c>
      <x:c r="L1779" s="48" t="n">
        <x:v>0.5584366559079722</x:v>
      </x:c>
      <x:c r="M1779" s="48" t="n">
        <x:v>0.10419953741573992</x:v>
      </x:c>
      <x:c r="N1779" s="48" t="n">
        <x:v>0.6558203975912827</x:v>
      </x:c>
      <x:c r="O1779" s="48" t="n">
        <x:v>0.9478869973764645</x:v>
      </x:c>
      <x:c r="P1779" s="48" t="n">
        <x:v>0.652327880899282</x:v>
      </x:c>
      <x:c r="Q1779" s="48" t="n">
        <x:v>1</x:v>
      </x:c>
      <x:c r="R1779" s="48" t="n">
        <x:v>0.9356486212322516</x:v>
      </x:c>
      <x:c r="S1779" s="29" t="n">
        <x:v>0</x:v>
      </x:c>
    </x:row>
    <x:row r="1780" ht="21.600000381469727" hidden="0" customHeight="1">
      <x:c r="A1780" s="27" t="n">
        <x:v>592</x:v>
      </x:c>
      <x:c r="B1780" s="27" t="str">
        <x:v>A3</x:v>
      </x:c>
      <x:c r="C1780" s="47" t="n">
        <x:v>1.1053527481927024</x:v>
      </x:c>
      <x:c r="D1780" s="47" t="n">
        <x:v>0.9113225350025986</x:v>
      </x:c>
      <x:c r="E1780" s="47" t="n">
        <x:v>0.6878556756313898</x:v>
      </x:c>
      <x:c r="F1780" s="47" t="n">
        <x:v>-0.012747469756819646</x:v>
      </x:c>
      <x:c r="G1780" s="47" t="n">
        <x:v>-0.19056089706525886</x:v>
      </x:c>
      <x:c r="H1780" s="47" t="n">
        <x:v>1.091458957410174</x:v>
      </x:c>
      <x:c r="I1780" s="47" t="n">
        <x:v>0.8650519877283256</x:v>
      </x:c>
      <x:c r="J1780" s="47" t="n">
        <x:v>0.8118126393287413</x:v>
      </x:c>
      <x:c r="K1780" s="47" t="n">
        <x:v>0.6760409784980633</x:v>
      </x:c>
      <x:c r="L1780" s="47" t="n">
        <x:v>0.5584366559079722</x:v>
      </x:c>
      <x:c r="M1780" s="47" t="n">
        <x:v>0.10419953741573992</x:v>
      </x:c>
      <x:c r="N1780" s="47" t="n">
        <x:v>0.6558203975912827</x:v>
      </x:c>
      <x:c r="O1780" s="47" t="n">
        <x:v>1</x:v>
      </x:c>
      <x:c r="P1780" s="47" t="n">
        <x:v>1</x:v>
      </x:c>
      <x:c r="Q1780" s="47" t="n">
        <x:v>1</x:v>
      </x:c>
      <x:c r="R1780" s="47" t="n">
        <x:v>1</x:v>
      </x:c>
      <x:c r="S1780" s="27" t="n">
        <x:v>1</x:v>
      </x:c>
    </x:row>
    <x:row r="1781" ht="21.600000381469727" hidden="0" customHeight="1">
      <x:c r="A1781" s="29" t="n">
        <x:v>593</x:v>
      </x:c>
      <x:c r="B1781" s="29" t="str">
        <x:v>A1</x:v>
      </x:c>
      <x:c r="C1781" s="48" t="n">
        <x:v>1.254055281866139</x:v>
      </x:c>
      <x:c r="D1781" s="48" t="n">
        <x:v>0.894061937399449</x:v>
      </x:c>
      <x:c r="E1781" s="48" t="n">
        <x:v>0.6921461494658978</x:v>
      </x:c>
      <x:c r="F1781" s="48" t="n">
        <x:v>-0.16157735857230993</x:v>
      </x:c>
      <x:c r="G1781" s="48" t="n">
        <x:v>-0.05430940956031352</x:v>
      </x:c>
      <x:c r="H1781" s="48" t="n">
        <x:v>0.4990911319105823</x:v>
      </x:c>
      <x:c r="I1781" s="48" t="n">
        <x:v>0.6506035381471077</x:v>
      </x:c>
      <x:c r="J1781" s="48" t="n">
        <x:v>0.7276031023614029</x:v>
      </x:c>
      <x:c r="K1781" s="48" t="n">
        <x:v>0.5694902148256493</x:v>
      </x:c>
      <x:c r="L1781" s="48" t="n">
        <x:v>0.9890327952893714</x:v>
      </x:c>
      <x:c r="M1781" s="48" t="n">
        <x:v>0.1689095550593723</x:v>
      </x:c>
      <x:c r="N1781" s="48" t="n">
        <x:v>0.8291822909291179</x:v>
      </x:c>
      <x:c r="O1781" s="48" t="n">
        <x:v>0.815428455904712</x:v>
      </x:c>
      <x:c r="P1781" s="48" t="n">
        <x:v>0.44568435866068495</x:v>
      </x:c>
      <x:c r="Q1781" s="48" t="n">
        <x:v>1</x:v>
      </x:c>
      <x:c r="R1781" s="48" t="n">
        <x:v>0.7720831127381639</x:v>
      </x:c>
      <x:c r="S1781" s="29" t="n">
        <x:v>0</x:v>
      </x:c>
    </x:row>
    <x:row r="1782" ht="21.600000381469727" hidden="0" customHeight="1">
      <x:c r="A1782" s="27" t="n">
        <x:v>593</x:v>
      </x:c>
      <x:c r="B1782" s="27" t="str">
        <x:v>A2</x:v>
      </x:c>
      <x:c r="C1782" s="47" t="n">
        <x:v>1.254055281866139</x:v>
      </x:c>
      <x:c r="D1782" s="47" t="n">
        <x:v>0.894061937399449</x:v>
      </x:c>
      <x:c r="E1782" s="47" t="n">
        <x:v>0.6921461494658978</x:v>
      </x:c>
      <x:c r="F1782" s="47" t="n">
        <x:v>-0.16157735857230993</x:v>
      </x:c>
      <x:c r="G1782" s="47" t="n">
        <x:v>-0.05430940956031352</x:v>
      </x:c>
      <x:c r="H1782" s="47" t="n">
        <x:v>0.4990911319105823</x:v>
      </x:c>
      <x:c r="I1782" s="47" t="n">
        <x:v>0.6506035381471077</x:v>
      </x:c>
      <x:c r="J1782" s="47" t="n">
        <x:v>0.7276031023614029</x:v>
      </x:c>
      <x:c r="K1782" s="47" t="n">
        <x:v>0.5694902148256493</x:v>
      </x:c>
      <x:c r="L1782" s="47" t="n">
        <x:v>0.9890327952893714</x:v>
      </x:c>
      <x:c r="M1782" s="47" t="n">
        <x:v>0.1689095550593723</x:v>
      </x:c>
      <x:c r="N1782" s="47" t="n">
        <x:v>0.8291822909291179</x:v>
      </x:c>
      <x:c r="O1782" s="47" t="n">
        <x:v>0.8752695723386431</x:v>
      </x:c>
      <x:c r="P1782" s="47" t="n">
        <x:v>0.487659405924872</x:v>
      </x:c>
      <x:c r="Q1782" s="47" t="n">
        <x:v>0.9999999999999999</x:v>
      </x:c>
      <x:c r="R1782" s="47" t="n">
        <x:v>0.8459774990843788</x:v>
      </x:c>
      <x:c r="S1782" s="27" t="n">
        <x:v>0</x:v>
      </x:c>
    </x:row>
    <x:row r="1783" ht="21.600000381469727" hidden="0" customHeight="1">
      <x:c r="A1783" s="29" t="n">
        <x:v>593</x:v>
      </x:c>
      <x:c r="B1783" s="29" t="str">
        <x:v>A3</x:v>
      </x:c>
      <x:c r="C1783" s="48" t="n">
        <x:v>1.254055281866139</x:v>
      </x:c>
      <x:c r="D1783" s="48" t="n">
        <x:v>0.894061937399449</x:v>
      </x:c>
      <x:c r="E1783" s="48" t="n">
        <x:v>0.6921461494658978</x:v>
      </x:c>
      <x:c r="F1783" s="48" t="n">
        <x:v>-0.16157735857230993</x:v>
      </x:c>
      <x:c r="G1783" s="48" t="n">
        <x:v>-0.05430940956031352</x:v>
      </x:c>
      <x:c r="H1783" s="48" t="n">
        <x:v>0.4990911319105823</x:v>
      </x:c>
      <x:c r="I1783" s="48" t="n">
        <x:v>0.6506035381471077</x:v>
      </x:c>
      <x:c r="J1783" s="48" t="n">
        <x:v>0.7276031023614029</x:v>
      </x:c>
      <x:c r="K1783" s="48" t="n">
        <x:v>0.5694902148256493</x:v>
      </x:c>
      <x:c r="L1783" s="48" t="n">
        <x:v>0.9890327952893714</x:v>
      </x:c>
      <x:c r="M1783" s="48" t="n">
        <x:v>0.1689095550593723</x:v>
      </x:c>
      <x:c r="N1783" s="48" t="n">
        <x:v>0.8291822909291179</x:v>
      </x:c>
      <x:c r="O1783" s="48" t="n">
        <x:v>1</x:v>
      </x:c>
      <x:c r="P1783" s="48" t="n">
        <x:v>1</x:v>
      </x:c>
      <x:c r="Q1783" s="48" t="n">
        <x:v>1</x:v>
      </x:c>
      <x:c r="R1783" s="48" t="n">
        <x:v>1</x:v>
      </x:c>
      <x:c r="S1783" s="29" t="n">
        <x:v>1</x:v>
      </x:c>
    </x:row>
    <x:row r="1784" ht="21.600000381469727" hidden="0" customHeight="1">
      <x:c r="A1784" s="27" t="n">
        <x:v>594</x:v>
      </x:c>
      <x:c r="B1784" s="27" t="str">
        <x:v>A1</x:v>
      </x:c>
      <x:c r="C1784" s="47" t="n">
        <x:v>1.0720588715600687</x:v>
      </x:c>
      <x:c r="D1784" s="47" t="n">
        <x:v>0.9778460903870146</x:v>
      </x:c>
      <x:c r="E1784" s="47" t="n">
        <x:v>0.4601797585389756</x:v>
      </x:c>
      <x:c r="F1784" s="47" t="n">
        <x:v>-0.16051126749493114</x:v>
      </x:c>
      <x:c r="G1784" s="47" t="n">
        <x:v>-0.0849074657873698</x:v>
      </x:c>
      <x:c r="H1784" s="47" t="n">
        <x:v>1.0951949631963407</x:v>
      </x:c>
      <x:c r="I1784" s="47" t="n">
        <x:v>0.6406423621057424</x:v>
      </x:c>
      <x:c r="J1784" s="47" t="n">
        <x:v>0.47645857327116864</x:v>
      </x:c>
      <x:c r="K1784" s="47" t="n">
        <x:v>0.6958392932254118</x:v>
      </x:c>
      <x:c r="L1784" s="47" t="n">
        <x:v>0.8804553919317037</x:v>
      </x:c>
      <x:c r="M1784" s="47" t="n">
        <x:v>0.14869639563818196</x:v>
      </x:c>
      <x:c r="N1784" s="47" t="n">
        <x:v>0.7163403445421829</x:v>
      </x:c>
      <x:c r="O1784" s="47" t="n">
        <x:v>0.8828111220395033</x:v>
      </x:c>
      <x:c r="P1784" s="47" t="n">
        <x:v>0.6292077788454294</x:v>
      </x:c>
      <x:c r="Q1784" s="47" t="n">
        <x:v>1</x:v>
      </x:c>
      <x:c r="R1784" s="47" t="n">
        <x:v>0.8552901292700111</x:v>
      </x:c>
      <x:c r="S1784" s="27" t="n">
        <x:v>0</x:v>
      </x:c>
    </x:row>
    <x:row r="1785" ht="21.600000381469727" hidden="0" customHeight="1">
      <x:c r="A1785" s="29" t="n">
        <x:v>594</x:v>
      </x:c>
      <x:c r="B1785" s="29" t="str">
        <x:v>A2</x:v>
      </x:c>
      <x:c r="C1785" s="48" t="n">
        <x:v>1.0720588715600687</x:v>
      </x:c>
      <x:c r="D1785" s="48" t="n">
        <x:v>0.9778460903870146</x:v>
      </x:c>
      <x:c r="E1785" s="48" t="n">
        <x:v>0.4601797585389756</x:v>
      </x:c>
      <x:c r="F1785" s="48" t="n">
        <x:v>-0.16051126749493114</x:v>
      </x:c>
      <x:c r="G1785" s="48" t="n">
        <x:v>-0.0849074657873698</x:v>
      </x:c>
      <x:c r="H1785" s="48" t="n">
        <x:v>1.0951949631963407</x:v>
      </x:c>
      <x:c r="I1785" s="48" t="n">
        <x:v>0.6406423621057424</x:v>
      </x:c>
      <x:c r="J1785" s="48" t="n">
        <x:v>0.47645857327116864</x:v>
      </x:c>
      <x:c r="K1785" s="48" t="n">
        <x:v>0.6958392932254118</x:v>
      </x:c>
      <x:c r="L1785" s="48" t="n">
        <x:v>0.8804553919317037</x:v>
      </x:c>
      <x:c r="M1785" s="48" t="n">
        <x:v>0.14869639563818196</x:v>
      </x:c>
      <x:c r="N1785" s="48" t="n">
        <x:v>0.7163403445421829</x:v>
      </x:c>
      <x:c r="O1785" s="48" t="n">
        <x:v>0.9498238406446752</x:v>
      </x:c>
      <x:c r="P1785" s="48" t="n">
        <x:v>0.7918361182413602</x:v>
      </x:c>
      <x:c r="Q1785" s="48" t="n">
        <x:v>1</x:v>
      </x:c>
      <x:c r="R1785" s="48" t="n">
        <x:v>0.9380403186684321</x:v>
      </x:c>
      <x:c r="S1785" s="29" t="n">
        <x:v>0</x:v>
      </x:c>
    </x:row>
    <x:row r="1786" ht="21.600000381469727" hidden="0" customHeight="1">
      <x:c r="A1786" s="27" t="n">
        <x:v>594</x:v>
      </x:c>
      <x:c r="B1786" s="27" t="str">
        <x:v>A3</x:v>
      </x:c>
      <x:c r="C1786" s="47" t="n">
        <x:v>1.0720588715600687</x:v>
      </x:c>
      <x:c r="D1786" s="47" t="n">
        <x:v>0.9778460903870146</x:v>
      </x:c>
      <x:c r="E1786" s="47" t="n">
        <x:v>0.4601797585389756</x:v>
      </x:c>
      <x:c r="F1786" s="47" t="n">
        <x:v>-0.16051126749493114</x:v>
      </x:c>
      <x:c r="G1786" s="47" t="n">
        <x:v>-0.0849074657873698</x:v>
      </x:c>
      <x:c r="H1786" s="47" t="n">
        <x:v>1.0951949631963407</x:v>
      </x:c>
      <x:c r="I1786" s="47" t="n">
        <x:v>0.6406423621057424</x:v>
      </x:c>
      <x:c r="J1786" s="47" t="n">
        <x:v>0.47645857327116864</x:v>
      </x:c>
      <x:c r="K1786" s="47" t="n">
        <x:v>0.6958392932254118</x:v>
      </x:c>
      <x:c r="L1786" s="47" t="n">
        <x:v>0.8804553919317037</x:v>
      </x:c>
      <x:c r="M1786" s="47" t="n">
        <x:v>0.14869639563818196</x:v>
      </x:c>
      <x:c r="N1786" s="47" t="n">
        <x:v>0.7163403445421829</x:v>
      </x:c>
      <x:c r="O1786" s="47" t="n">
        <x:v>1</x:v>
      </x:c>
      <x:c r="P1786" s="47" t="n">
        <x:v>1</x:v>
      </x:c>
      <x:c r="Q1786" s="47" t="n">
        <x:v>1</x:v>
      </x:c>
      <x:c r="R1786" s="47" t="n">
        <x:v>1</x:v>
      </x:c>
      <x:c r="S1786" s="27" t="n">
        <x:v>1</x:v>
      </x:c>
    </x:row>
    <x:row r="1787" ht="15" hidden="0" customHeight="1">
      <x:c r="A1787" s="29" t="n">
        <x:v>595</x:v>
      </x:c>
      <x:c r="B1787" s="29" t="str">
        <x:v>A1</x:v>
      </x:c>
      <x:c r="C1787" s="48" t="n">
        <x:v>1.2835666619691328</x:v>
      </x:c>
      <x:c r="D1787" s="48" t="n">
        <x:v>0.9718848987951801</x:v>
      </x:c>
      <x:c r="E1787" s="48" t="n">
        <x:v>0.6622864411783178</x:v>
      </x:c>
      <x:c r="F1787" s="48" t="n">
        <x:v>0.03364787344848441</x:v>
      </x:c>
      <x:c r="G1787" s="48" t="n">
        <x:v>0.028085959888333484</x:v>
      </x:c>
      <x:c r="H1787" s="48" t="n">
        <x:v>0.6608528044184667</x:v>
      </x:c>
      <x:c r="I1787" s="48" t="n">
        <x:v>0.7064454722435243</x:v>
      </x:c>
      <x:c r="J1787" s="48" t="n">
        <x:v>0.4816963071384705</x:v>
      </x:c>
      <x:c r="K1787" s="48" t="n">
        <x:v>0.6957878599141514</x:v>
      </x:c>
      <x:c r="L1787" s="48" t="n">
        <x:v>0.5923260071474432</x:v>
      </x:c>
      <x:c r="M1787" s="48" t="n">
        <x:v>0.04534908147312988</x:v>
      </x:c>
      <x:c r="N1787" s="48" t="n">
        <x:v>0.9850702915196653</x:v>
      </x:c>
      <x:c r="O1787" s="48" t="n">
        <x:v>0.8163825404503118</x:v>
      </x:c>
      <x:c r="P1787" s="48" t="n">
        <x:v>0.5509583519525018</x:v>
      </x:c>
      <x:c r="Q1787" s="48" t="n">
        <x:v>1</x:v>
      </x:c>
      <x:c r="R1787" s="48" t="n">
        <x:v>0.7732612574022487</x:v>
      </x:c>
      <x:c r="S1787" s="29" t="n">
        <x:v>0</x:v>
      </x:c>
    </x:row>
    <x:row r="1788" ht="15" hidden="0" customHeight="1">
      <x:c r="A1788" s="27" t="n">
        <x:v>595</x:v>
      </x:c>
      <x:c r="B1788" s="27" t="str">
        <x:v>A2</x:v>
      </x:c>
      <x:c r="C1788" s="47" t="n">
        <x:v>1.2835666619691328</x:v>
      </x:c>
      <x:c r="D1788" s="47" t="n">
        <x:v>0.9718848987951801</x:v>
      </x:c>
      <x:c r="E1788" s="47" t="n">
        <x:v>0.6622864411783178</x:v>
      </x:c>
      <x:c r="F1788" s="47" t="n">
        <x:v>0.03364787344848441</x:v>
      </x:c>
      <x:c r="G1788" s="47" t="n">
        <x:v>0.028085959888333484</x:v>
      </x:c>
      <x:c r="H1788" s="47" t="n">
        <x:v>0.6608528044184667</x:v>
      </x:c>
      <x:c r="I1788" s="47" t="n">
        <x:v>0.7064454722435243</x:v>
      </x:c>
      <x:c r="J1788" s="47" t="n">
        <x:v>0.4816963071384705</x:v>
      </x:c>
      <x:c r="K1788" s="47" t="n">
        <x:v>0.6957878599141514</x:v>
      </x:c>
      <x:c r="L1788" s="47" t="n">
        <x:v>0.5923260071474432</x:v>
      </x:c>
      <x:c r="M1788" s="47" t="n">
        <x:v>0.04534908147312988</x:v>
      </x:c>
      <x:c r="N1788" s="47" t="n">
        <x:v>0.9850702915196653</x:v>
      </x:c>
      <x:c r="O1788" s="47" t="n">
        <x:v>0.8784221409204415</x:v>
      </x:c>
      <x:c r="P1788" s="47" t="n">
        <x:v>0.5964231616071444</x:v>
      </x:c>
      <x:c r="Q1788" s="47" t="n">
        <x:v>1</x:v>
      </x:c>
      <x:c r="R1788" s="47" t="n">
        <x:v>0.8498704264669013</x:v>
      </x:c>
      <x:c r="S1788" s="27" t="n">
        <x:v>0</x:v>
      </x:c>
    </x:row>
    <x:row r="1789" ht="15" hidden="0" customHeight="1">
      <x:c r="A1789" s="29" t="n">
        <x:v>595</x:v>
      </x:c>
      <x:c r="B1789" s="29" t="str">
        <x:v>A3</x:v>
      </x:c>
      <x:c r="C1789" s="48" t="n">
        <x:v>1.2835666619691328</x:v>
      </x:c>
      <x:c r="D1789" s="48" t="n">
        <x:v>0.9718848987951801</x:v>
      </x:c>
      <x:c r="E1789" s="48" t="n">
        <x:v>0.6622864411783178</x:v>
      </x:c>
      <x:c r="F1789" s="48" t="n">
        <x:v>0.03364787344848441</x:v>
      </x:c>
      <x:c r="G1789" s="48" t="n">
        <x:v>0.028085959888333484</x:v>
      </x:c>
      <x:c r="H1789" s="48" t="n">
        <x:v>0.6608528044184667</x:v>
      </x:c>
      <x:c r="I1789" s="48" t="n">
        <x:v>0.7064454722435243</x:v>
      </x:c>
      <x:c r="J1789" s="48" t="n">
        <x:v>0.4816963071384705</x:v>
      </x:c>
      <x:c r="K1789" s="48" t="n">
        <x:v>0.6957878599141514</x:v>
      </x:c>
      <x:c r="L1789" s="48" t="n">
        <x:v>0.5923260071474432</x:v>
      </x:c>
      <x:c r="M1789" s="48" t="n">
        <x:v>0.04534908147312988</x:v>
      </x:c>
      <x:c r="N1789" s="48" t="n">
        <x:v>0.9850702915196653</x:v>
      </x:c>
      <x:c r="O1789" s="48" t="n">
        <x:v>1</x:v>
      </x:c>
      <x:c r="P1789" s="48" t="n">
        <x:v>1</x:v>
      </x:c>
      <x:c r="Q1789" s="48" t="n">
        <x:v>1</x:v>
      </x:c>
      <x:c r="R1789" s="48" t="n">
        <x:v>1</x:v>
      </x:c>
      <x:c r="S1789" s="29" t="n">
        <x:v>1</x:v>
      </x:c>
    </x:row>
    <x:row r="1790" ht="21.600000381469727" hidden="0" customHeight="1">
      <x:c r="A1790" s="27" t="n">
        <x:v>596</x:v>
      </x:c>
      <x:c r="B1790" s="27" t="str">
        <x:v>A1</x:v>
      </x:c>
      <x:c r="C1790" s="47" t="n">
        <x:v>1.0018273959520905</x:v>
      </x:c>
      <x:c r="D1790" s="47" t="n">
        <x:v>0.7542550804946159</x:v>
      </x:c>
      <x:c r="E1790" s="47" t="n">
        <x:v>0.9596818193633152</x:v>
      </x:c>
      <x:c r="F1790" s="47" t="n">
        <x:v>0.022413697878715083</x:v>
      </x:c>
      <x:c r="G1790" s="47" t="n">
        <x:v>-0.11342030795672155</x:v>
      </x:c>
      <x:c r="H1790" s="47" t="n">
        <x:v>0.5641855698117543</x:v>
      </x:c>
      <x:c r="I1790" s="47" t="n">
        <x:v>0.7843815890980242</x:v>
      </x:c>
      <x:c r="J1790" s="47" t="n">
        <x:v>0.7660332829583367</x:v>
      </x:c>
      <x:c r="K1790" s="47" t="n">
        <x:v>0.9731989995126902</x:v>
      </x:c>
      <x:c r="L1790" s="47" t="n">
        <x:v>0.894205204835918</x:v>
      </x:c>
      <x:c r="M1790" s="47" t="n">
        <x:v>0.056347490657086836</x:v>
      </x:c>
      <x:c r="N1790" s="47" t="n">
        <x:v>0.7657893767066682</x:v>
      </x:c>
      <x:c r="O1790" s="47" t="n">
        <x:v>0.8883485312550508</x:v>
      </x:c>
      <x:c r="P1790" s="47" t="n">
        <x:v>0.570094130211207</x:v>
      </x:c>
      <x:c r="Q1790" s="47" t="n">
        <x:v>1</x:v>
      </x:c>
      <x:c r="R1790" s="47" t="n">
        <x:v>0.862127960519074</x:v>
      </x:c>
      <x:c r="S1790" s="27" t="n">
        <x:v>0</x:v>
      </x:c>
    </x:row>
    <x:row r="1791" ht="21.600000381469727" hidden="0" customHeight="1">
      <x:c r="A1791" s="29" t="n">
        <x:v>596</x:v>
      </x:c>
      <x:c r="B1791" s="29" t="str">
        <x:v>A2</x:v>
      </x:c>
      <x:c r="C1791" s="48" t="n">
        <x:v>1.0018273959520905</x:v>
      </x:c>
      <x:c r="D1791" s="48" t="n">
        <x:v>0.7542550804946159</x:v>
      </x:c>
      <x:c r="E1791" s="48" t="n">
        <x:v>0.9596818193633152</x:v>
      </x:c>
      <x:c r="F1791" s="48" t="n">
        <x:v>0.022413697878715083</x:v>
      </x:c>
      <x:c r="G1791" s="48" t="n">
        <x:v>-0.11342030795672155</x:v>
      </x:c>
      <x:c r="H1791" s="48" t="n">
        <x:v>0.5641855698117543</x:v>
      </x:c>
      <x:c r="I1791" s="48" t="n">
        <x:v>0.7843815890980242</x:v>
      </x:c>
      <x:c r="J1791" s="48" t="n">
        <x:v>0.7660332829583367</x:v>
      </x:c>
      <x:c r="K1791" s="48" t="n">
        <x:v>0.9731989995126902</x:v>
      </x:c>
      <x:c r="L1791" s="48" t="n">
        <x:v>0.894205204835918</x:v>
      </x:c>
      <x:c r="M1791" s="48" t="n">
        <x:v>0.056347490657086836</x:v>
      </x:c>
      <x:c r="N1791" s="48" t="n">
        <x:v>0.7657893767066682</x:v>
      </x:c>
      <x:c r="O1791" s="48" t="n">
        <x:v>0.9618924764140591</x:v>
      </x:c>
      <x:c r="P1791" s="48" t="n">
        <x:v>0.6520250412645717</x:v>
      </x:c>
      <x:c r="Q1791" s="48" t="n">
        <x:v>1</x:v>
      </x:c>
      <x:c r="R1791" s="48" t="n">
        <x:v>0.9529431895932954</x:v>
      </x:c>
      <x:c r="S1791" s="29" t="n">
        <x:v>0</x:v>
      </x:c>
    </x:row>
    <x:row r="1792" ht="21.600000381469727" hidden="0" customHeight="1">
      <x:c r="A1792" s="27" t="n">
        <x:v>596</x:v>
      </x:c>
      <x:c r="B1792" s="27" t="str">
        <x:v>A3</x:v>
      </x:c>
      <x:c r="C1792" s="47" t="n">
        <x:v>1.0018273959520905</x:v>
      </x:c>
      <x:c r="D1792" s="47" t="n">
        <x:v>0.7542550804946159</x:v>
      </x:c>
      <x:c r="E1792" s="47" t="n">
        <x:v>0.9596818193633152</x:v>
      </x:c>
      <x:c r="F1792" s="47" t="n">
        <x:v>0.022413697878715083</x:v>
      </x:c>
      <x:c r="G1792" s="47" t="n">
        <x:v>-0.11342030795672155</x:v>
      </x:c>
      <x:c r="H1792" s="47" t="n">
        <x:v>0.5641855698117543</x:v>
      </x:c>
      <x:c r="I1792" s="47" t="n">
        <x:v>0.7843815890980242</x:v>
      </x:c>
      <x:c r="J1792" s="47" t="n">
        <x:v>0.7660332829583367</x:v>
      </x:c>
      <x:c r="K1792" s="47" t="n">
        <x:v>0.9731989995126902</x:v>
      </x:c>
      <x:c r="L1792" s="47" t="n">
        <x:v>0.894205204835918</x:v>
      </x:c>
      <x:c r="M1792" s="47" t="n">
        <x:v>0.056347490657086836</x:v>
      </x:c>
      <x:c r="N1792" s="47" t="n">
        <x:v>0.7657893767066682</x:v>
      </x:c>
      <x:c r="O1792" s="47" t="n">
        <x:v>1.0000000000000002</x:v>
      </x:c>
      <x:c r="P1792" s="47" t="n">
        <x:v>1</x:v>
      </x:c>
      <x:c r="Q1792" s="47" t="n">
        <x:v>1</x:v>
      </x:c>
      <x:c r="R1792" s="47" t="n">
        <x:v>1</x:v>
      </x:c>
      <x:c r="S1792" s="27" t="n">
        <x:v>1</x:v>
      </x:c>
    </x:row>
    <x:row r="1793" ht="21.600000381469727" hidden="0" customHeight="1">
      <x:c r="A1793" s="29" t="n">
        <x:v>597</x:v>
      </x:c>
      <x:c r="B1793" s="29" t="str">
        <x:v>A1</x:v>
      </x:c>
      <x:c r="C1793" s="48" t="n">
        <x:v>0.970832421638474</x:v>
      </x:c>
      <x:c r="D1793" s="48" t="n">
        <x:v>0.7478621918666258</x:v>
      </x:c>
      <x:c r="E1793" s="48" t="n">
        <x:v>0.7661915943985581</x:v>
      </x:c>
      <x:c r="F1793" s="48" t="n">
        <x:v>-0.11680938299381916</x:v>
      </x:c>
      <x:c r="G1793" s="48" t="n">
        <x:v>-0.15588339632388504</x:v>
      </x:c>
      <x:c r="H1793" s="48" t="n">
        <x:v>0.6742575280708436</x:v>
      </x:c>
      <x:c r="I1793" s="48" t="n">
        <x:v>0.7428712911096067</x:v>
      </x:c>
      <x:c r="J1793" s="48" t="n">
        <x:v>0.8816962175304465</x:v>
      </x:c>
      <x:c r="K1793" s="48" t="n">
        <x:v>0.5652882379586326</x:v>
      </x:c>
      <x:c r="L1793" s="48" t="n">
        <x:v>0.830849857281819</x:v>
      </x:c>
      <x:c r="M1793" s="48" t="n">
        <x:v>0.028547298265274343</x:v>
      </x:c>
      <x:c r="N1793" s="48" t="n">
        <x:v>0.6521532065314852</x:v>
      </x:c>
      <x:c r="O1793" s="48" t="n">
        <x:v>0.8766024474540178</x:v>
      </x:c>
      <x:c r="P1793" s="48" t="n">
        <x:v>0.588915001743288</x:v>
      </x:c>
      <x:c r="Q1793" s="48" t="n">
        <x:v>1</x:v>
      </x:c>
      <x:c r="R1793" s="48" t="n">
        <x:v>0.8476233906485093</x:v>
      </x:c>
      <x:c r="S1793" s="29" t="n">
        <x:v>0</x:v>
      </x:c>
    </x:row>
    <x:row r="1794" ht="21.600000381469727" hidden="0" customHeight="1">
      <x:c r="A1794" s="27" t="n">
        <x:v>597</x:v>
      </x:c>
      <x:c r="B1794" s="27" t="str">
        <x:v>A2</x:v>
      </x:c>
      <x:c r="C1794" s="47" t="n">
        <x:v>0.970832421638474</x:v>
      </x:c>
      <x:c r="D1794" s="47" t="n">
        <x:v>0.7478621918666258</x:v>
      </x:c>
      <x:c r="E1794" s="47" t="n">
        <x:v>0.7661915943985581</x:v>
      </x:c>
      <x:c r="F1794" s="47" t="n">
        <x:v>-0.11680938299381916</x:v>
      </x:c>
      <x:c r="G1794" s="47" t="n">
        <x:v>-0.15588339632388504</x:v>
      </x:c>
      <x:c r="H1794" s="47" t="n">
        <x:v>0.6742575280708436</x:v>
      </x:c>
      <x:c r="I1794" s="47" t="n">
        <x:v>0.7428712911096067</x:v>
      </x:c>
      <x:c r="J1794" s="47" t="n">
        <x:v>0.8816962175304465</x:v>
      </x:c>
      <x:c r="K1794" s="47" t="n">
        <x:v>0.5652882379586326</x:v>
      </x:c>
      <x:c r="L1794" s="47" t="n">
        <x:v>0.830849857281819</x:v>
      </x:c>
      <x:c r="M1794" s="47" t="n">
        <x:v>0.028547298265274343</x:v>
      </x:c>
      <x:c r="N1794" s="47" t="n">
        <x:v>0.6521532065314852</x:v>
      </x:c>
      <x:c r="O1794" s="47" t="n">
        <x:v>0.9427558393395511</x:v>
      </x:c>
      <x:c r="P1794" s="47" t="n">
        <x:v>0.6452417810059475</x:v>
      </x:c>
      <x:c r="Q1794" s="47" t="n">
        <x:v>1</x:v>
      </x:c>
      <x:c r="R1794" s="47" t="n">
        <x:v>0.9293124464250553</x:v>
      </x:c>
      <x:c r="S1794" s="27" t="n">
        <x:v>0</x:v>
      </x:c>
    </x:row>
    <x:row r="1795" ht="21.600000381469727" hidden="0" customHeight="1">
      <x:c r="A1795" s="29" t="n">
        <x:v>597</x:v>
      </x:c>
      <x:c r="B1795" s="29" t="str">
        <x:v>A3</x:v>
      </x:c>
      <x:c r="C1795" s="48" t="n">
        <x:v>0.970832421638474</x:v>
      </x:c>
      <x:c r="D1795" s="48" t="n">
        <x:v>0.7478621918666258</x:v>
      </x:c>
      <x:c r="E1795" s="48" t="n">
        <x:v>0.7661915943985581</x:v>
      </x:c>
      <x:c r="F1795" s="48" t="n">
        <x:v>-0.11680938299381916</x:v>
      </x:c>
      <x:c r="G1795" s="48" t="n">
        <x:v>-0.15588339632388504</x:v>
      </x:c>
      <x:c r="H1795" s="48" t="n">
        <x:v>0.6742575280708436</x:v>
      </x:c>
      <x:c r="I1795" s="48" t="n">
        <x:v>0.7428712911096067</x:v>
      </x:c>
      <x:c r="J1795" s="48" t="n">
        <x:v>0.8816962175304465</x:v>
      </x:c>
      <x:c r="K1795" s="48" t="n">
        <x:v>0.5652882379586326</x:v>
      </x:c>
      <x:c r="L1795" s="48" t="n">
        <x:v>0.830849857281819</x:v>
      </x:c>
      <x:c r="M1795" s="48" t="n">
        <x:v>0.028547298265274343</x:v>
      </x:c>
      <x:c r="N1795" s="48" t="n">
        <x:v>0.6521532065314852</x:v>
      </x:c>
      <x:c r="O1795" s="48" t="n">
        <x:v>1</x:v>
      </x:c>
      <x:c r="P1795" s="48" t="n">
        <x:v>1</x:v>
      </x:c>
      <x:c r="Q1795" s="48" t="n">
        <x:v>1</x:v>
      </x:c>
      <x:c r="R1795" s="48" t="n">
        <x:v>1</x:v>
      </x:c>
      <x:c r="S1795" s="29" t="n">
        <x:v>1</x:v>
      </x:c>
    </x:row>
    <x:row r="1796" ht="21.600000381469727" hidden="0" customHeight="1">
      <x:c r="A1796" s="27" t="n">
        <x:v>598</x:v>
      </x:c>
      <x:c r="B1796" s="27" t="str">
        <x:v>A1</x:v>
      </x:c>
      <x:c r="C1796" s="47" t="n">
        <x:v>1.1523268338907962</x:v>
      </x:c>
      <x:c r="D1796" s="47" t="n">
        <x:v>0.79308876032731</x:v>
      </x:c>
      <x:c r="E1796" s="47" t="n">
        <x:v>0.6653371765355481</x:v>
      </x:c>
      <x:c r="F1796" s="47" t="n">
        <x:v>-0.08536837463063919</x:v>
      </x:c>
      <x:c r="G1796" s="47" t="n">
        <x:v>-0.19525763238681568</x:v>
      </x:c>
      <x:c r="H1796" s="47" t="n">
        <x:v>0.3891879212864359</x:v>
      </x:c>
      <x:c r="I1796" s="47" t="n">
        <x:v>0.6101155056404346</x:v>
      </x:c>
      <x:c r="J1796" s="47" t="n">
        <x:v>0.7149095837919994</x:v>
      </x:c>
      <x:c r="K1796" s="47" t="n">
        <x:v>0.7445976882847939</x:v>
      </x:c>
      <x:c r="L1796" s="47" t="n">
        <x:v>0.7744512835314861</x:v>
      </x:c>
      <x:c r="M1796" s="47" t="n">
        <x:v>0.00409815210725604</x:v>
      </x:c>
      <x:c r="N1796" s="47" t="n">
        <x:v>0.8098293275239309</x:v>
      </x:c>
      <x:c r="O1796" s="47" t="n">
        <x:v>0.8123696490239573</x:v>
      </x:c>
      <x:c r="P1796" s="47" t="n">
        <x:v>0.47668863205067746</x:v>
      </x:c>
      <x:c r="Q1796" s="47" t="n">
        <x:v>0.9454389279042116</x:v>
      </x:c>
      <x:c r="R1796" s="47" t="n">
        <x:v>0.7687111834303317</x:v>
      </x:c>
      <x:c r="S1796" s="27" t="n">
        <x:v>0</x:v>
      </x:c>
    </x:row>
    <x:row r="1797" ht="21.600000381469727" hidden="0" customHeight="1">
      <x:c r="A1797" s="29" t="n">
        <x:v>598</x:v>
      </x:c>
      <x:c r="B1797" s="29" t="str">
        <x:v>A2</x:v>
      </x:c>
      <x:c r="C1797" s="48" t="n">
        <x:v>1.1523268338907962</x:v>
      </x:c>
      <x:c r="D1797" s="48" t="n">
        <x:v>0.79308876032731</x:v>
      </x:c>
      <x:c r="E1797" s="48" t="n">
        <x:v>0.6653371765355481</x:v>
      </x:c>
      <x:c r="F1797" s="48" t="n">
        <x:v>-0.08536837463063919</x:v>
      </x:c>
      <x:c r="G1797" s="48" t="n">
        <x:v>-0.19525763238681568</x:v>
      </x:c>
      <x:c r="H1797" s="48" t="n">
        <x:v>0.3891879212864359</x:v>
      </x:c>
      <x:c r="I1797" s="48" t="n">
        <x:v>0.6101155056404346</x:v>
      </x:c>
      <x:c r="J1797" s="48" t="n">
        <x:v>0.7149095837919994</x:v>
      </x:c>
      <x:c r="K1797" s="48" t="n">
        <x:v>0.7445976882847939</x:v>
      </x:c>
      <x:c r="L1797" s="48" t="n">
        <x:v>0.7744512835314861</x:v>
      </x:c>
      <x:c r="M1797" s="48" t="n">
        <x:v>0.00409815210725604</x:v>
      </x:c>
      <x:c r="N1797" s="48" t="n">
        <x:v>0.8098293275239309</x:v>
      </x:c>
      <x:c r="O1797" s="48" t="n">
        <x:v>0.8904679748373578</x:v>
      </x:c>
      <x:c r="P1797" s="48" t="n">
        <x:v>0.5738051981221866</x:v>
      </x:c>
      <x:c r="Q1797" s="48" t="n">
        <x:v>1</x:v>
      </x:c>
      <x:c r="R1797" s="48" t="n">
        <x:v>0.8647451406828652</x:v>
      </x:c>
      <x:c r="S1797" s="29" t="n">
        <x:v>0</x:v>
      </x:c>
    </x:row>
    <x:row r="1798" ht="21.600000381469727" hidden="0" customHeight="1">
      <x:c r="A1798" s="27" t="n">
        <x:v>598</x:v>
      </x:c>
      <x:c r="B1798" s="27" t="str">
        <x:v>A3</x:v>
      </x:c>
      <x:c r="C1798" s="47" t="n">
        <x:v>1.1523268338907962</x:v>
      </x:c>
      <x:c r="D1798" s="47" t="n">
        <x:v>0.79308876032731</x:v>
      </x:c>
      <x:c r="E1798" s="47" t="n">
        <x:v>0.6653371765355481</x:v>
      </x:c>
      <x:c r="F1798" s="47" t="n">
        <x:v>-0.08536837463063919</x:v>
      </x:c>
      <x:c r="G1798" s="47" t="n">
        <x:v>-0.19525763238681568</x:v>
      </x:c>
      <x:c r="H1798" s="47" t="n">
        <x:v>0.3891879212864359</x:v>
      </x:c>
      <x:c r="I1798" s="47" t="n">
        <x:v>0.6101155056404346</x:v>
      </x:c>
      <x:c r="J1798" s="47" t="n">
        <x:v>0.7149095837919994</x:v>
      </x:c>
      <x:c r="K1798" s="47" t="n">
        <x:v>0.7445976882847939</x:v>
      </x:c>
      <x:c r="L1798" s="47" t="n">
        <x:v>0.7744512835314861</x:v>
      </x:c>
      <x:c r="M1798" s="47" t="n">
        <x:v>0.00409815210725604</x:v>
      </x:c>
      <x:c r="N1798" s="47" t="n">
        <x:v>0.8098293275239309</x:v>
      </x:c>
      <x:c r="O1798" s="47" t="n">
        <x:v>1</x:v>
      </x:c>
      <x:c r="P1798" s="47" t="n">
        <x:v>1</x:v>
      </x:c>
      <x:c r="Q1798" s="47" t="n">
        <x:v>1</x:v>
      </x:c>
      <x:c r="R1798" s="47" t="n">
        <x:v>1</x:v>
      </x:c>
      <x:c r="S1798" s="27" t="n">
        <x:v>1</x:v>
      </x:c>
    </x:row>
    <x:row r="1799" ht="21.600000381469727" hidden="0" customHeight="1">
      <x:c r="A1799" s="29" t="n">
        <x:v>599</x:v>
      </x:c>
      <x:c r="B1799" s="29" t="str">
        <x:v>A1</x:v>
      </x:c>
      <x:c r="C1799" s="48" t="n">
        <x:v>0.9483986602207273</x:v>
      </x:c>
      <x:c r="D1799" s="48" t="n">
        <x:v>0.9393348181192077</x:v>
      </x:c>
      <x:c r="E1799" s="48" t="n">
        <x:v>0.8654514823083423</x:v>
      </x:c>
      <x:c r="F1799" s="48" t="n">
        <x:v>-0.13630400413582278</x:v>
      </x:c>
      <x:c r="G1799" s="48" t="n">
        <x:v>-0.0791609636416632</x:v>
      </x:c>
      <x:c r="H1799" s="48" t="n">
        <x:v>0.6057919240859226</x:v>
      </x:c>
      <x:c r="I1799" s="48" t="n">
        <x:v>0.6205160697256707</x:v>
      </x:c>
      <x:c r="J1799" s="48" t="n">
        <x:v>0.5780898374710857</x:v>
      </x:c>
      <x:c r="K1799" s="48" t="n">
        <x:v>0.6235411549873493</x:v>
      </x:c>
      <x:c r="L1799" s="48" t="n">
        <x:v>0.8974497778439348</x:v>
      </x:c>
      <x:c r="M1799" s="48" t="n">
        <x:v>0.05747197757049487</x:v>
      </x:c>
      <x:c r="N1799" s="48" t="n">
        <x:v>0.6963974728424138</x:v>
      </x:c>
      <x:c r="O1799" s="48" t="n">
        <x:v>0.9268482859675401</x:v>
      </x:c>
      <x:c r="P1799" s="48" t="n">
        <x:v>0.7427279935348929</x:v>
      </x:c>
      <x:c r="Q1799" s="48" t="n">
        <x:v>1</x:v>
      </x:c>
      <x:c r="R1799" s="48" t="n">
        <x:v>0.9096691148038575</x:v>
      </x:c>
      <x:c r="S1799" s="29" t="n">
        <x:v>0</x:v>
      </x:c>
    </x:row>
    <x:row r="1800" ht="21.600000381469727" hidden="0" customHeight="1">
      <x:c r="A1800" s="27" t="n">
        <x:v>599</x:v>
      </x:c>
      <x:c r="B1800" s="27" t="str">
        <x:v>A2</x:v>
      </x:c>
      <x:c r="C1800" s="47" t="n">
        <x:v>0.9483986602207273</x:v>
      </x:c>
      <x:c r="D1800" s="47" t="n">
        <x:v>0.9393348181192077</x:v>
      </x:c>
      <x:c r="E1800" s="47" t="n">
        <x:v>0.8654514823083423</x:v>
      </x:c>
      <x:c r="F1800" s="47" t="n">
        <x:v>-0.13630400413582278</x:v>
      </x:c>
      <x:c r="G1800" s="47" t="n">
        <x:v>-0.0791609636416632</x:v>
      </x:c>
      <x:c r="H1800" s="47" t="n">
        <x:v>0.6057919240859226</x:v>
      </x:c>
      <x:c r="I1800" s="47" t="n">
        <x:v>0.6205160697256707</x:v>
      </x:c>
      <x:c r="J1800" s="47" t="n">
        <x:v>0.5780898374710857</x:v>
      </x:c>
      <x:c r="K1800" s="47" t="n">
        <x:v>0.6235411549873493</x:v>
      </x:c>
      <x:c r="L1800" s="47" t="n">
        <x:v>0.8974497778439348</x:v>
      </x:c>
      <x:c r="M1800" s="47" t="n">
        <x:v>0.05747197757049487</x:v>
      </x:c>
      <x:c r="N1800" s="47" t="n">
        <x:v>0.6963974728424138</x:v>
      </x:c>
      <x:c r="O1800" s="47" t="n">
        <x:v>0.9804806446591113</x:v>
      </x:c>
      <x:c r="P1800" s="47" t="n">
        <x:v>0.8691749069245153</x:v>
      </x:c>
      <x:c r="Q1800" s="47" t="n">
        <x:v>1</x:v>
      </x:c>
      <x:c r="R1800" s="47" t="n">
        <x:v>0.975896659842883</x:v>
      </x:c>
      <x:c r="S1800" s="27" t="n">
        <x:v>0</x:v>
      </x:c>
    </x:row>
    <x:row r="1801" ht="21.600000381469727" hidden="0" customHeight="1">
      <x:c r="A1801" s="29" t="n">
        <x:v>599</x:v>
      </x:c>
      <x:c r="B1801" s="29" t="str">
        <x:v>A3</x:v>
      </x:c>
      <x:c r="C1801" s="48" t="n">
        <x:v>0.9483986602207273</x:v>
      </x:c>
      <x:c r="D1801" s="48" t="n">
        <x:v>0.9393348181192077</x:v>
      </x:c>
      <x:c r="E1801" s="48" t="n">
        <x:v>0.8654514823083423</x:v>
      </x:c>
      <x:c r="F1801" s="48" t="n">
        <x:v>-0.13630400413582278</x:v>
      </x:c>
      <x:c r="G1801" s="48" t="n">
        <x:v>-0.0791609636416632</x:v>
      </x:c>
      <x:c r="H1801" s="48" t="n">
        <x:v>0.6057919240859226</x:v>
      </x:c>
      <x:c r="I1801" s="48" t="n">
        <x:v>0.6205160697256707</x:v>
      </x:c>
      <x:c r="J1801" s="48" t="n">
        <x:v>0.5780898374710857</x:v>
      </x:c>
      <x:c r="K1801" s="48" t="n">
        <x:v>0.6235411549873493</x:v>
      </x:c>
      <x:c r="L1801" s="48" t="n">
        <x:v>0.8974497778439348</x:v>
      </x:c>
      <x:c r="M1801" s="48" t="n">
        <x:v>0.05747197757049487</x:v>
      </x:c>
      <x:c r="N1801" s="48" t="n">
        <x:v>0.6963974728424138</x:v>
      </x:c>
      <x:c r="O1801" s="48" t="n">
        <x:v>1</x:v>
      </x:c>
      <x:c r="P1801" s="48" t="n">
        <x:v>1</x:v>
      </x:c>
      <x:c r="Q1801" s="48" t="n">
        <x:v>1</x:v>
      </x:c>
      <x:c r="R1801" s="48" t="n">
        <x:v>1</x:v>
      </x:c>
      <x:c r="S1801" s="29" t="n">
        <x:v>1</x:v>
      </x:c>
    </x:row>
    <x:row r="1802" ht="21.600000381469727" hidden="0" customHeight="1">
      <x:c r="A1802" s="27" t="n">
        <x:v>600</x:v>
      </x:c>
      <x:c r="B1802" s="27" t="str">
        <x:v>A1</x:v>
      </x:c>
      <x:c r="C1802" s="47" t="n">
        <x:v>1.12195982236173</x:v>
      </x:c>
      <x:c r="D1802" s="47" t="n">
        <x:v>0.7480203075014398</x:v>
      </x:c>
      <x:c r="E1802" s="47" t="n">
        <x:v>0.4834709445422197</x:v>
      </x:c>
      <x:c r="F1802" s="47" t="n">
        <x:v>-0.18637532740844082</x:v>
      </x:c>
      <x:c r="G1802" s="47" t="n">
        <x:v>-0.08783316013076332</x:v>
      </x:c>
      <x:c r="H1802" s="47" t="n">
        <x:v>1.0535396697538972</x:v>
      </x:c>
      <x:c r="I1802" s="47" t="n">
        <x:v>0.6445587076752327</x:v>
      </x:c>
      <x:c r="J1802" s="47" t="n">
        <x:v>0.5745215102435836</x:v>
      </x:c>
      <x:c r="K1802" s="47" t="n">
        <x:v>0.74820035676021</x:v>
      </x:c>
      <x:c r="L1802" s="47" t="n">
        <x:v>0.7496721926366928</x:v>
      </x:c>
      <x:c r="M1802" s="47" t="n">
        <x:v>0.030751561540146122</x:v>
      </x:c>
      <x:c r="N1802" s="47" t="n">
        <x:v>0.9453107840306227</x:v>
      </x:c>
      <x:c r="O1802" s="47" t="n">
        <x:v>0.7866394147445065</x:v>
      </x:c>
      <x:c r="P1802" s="47" t="n">
        <x:v>0.4579027930942702</x:v>
      </x:c>
      <x:c r="Q1802" s="47" t="n">
        <x:v>1</x:v>
      </x:c>
      <x:c r="R1802" s="47" t="n">
        <x:v>0.7365331655312454</x:v>
      </x:c>
      <x:c r="S1802" s="27" t="n">
        <x:v>0</x:v>
      </x:c>
    </x:row>
    <x:row r="1803" ht="21.600000381469727" hidden="0" customHeight="1">
      <x:c r="A1803" s="29" t="n">
        <x:v>600</x:v>
      </x:c>
      <x:c r="B1803" s="29" t="str">
        <x:v>A2</x:v>
      </x:c>
      <x:c r="C1803" s="48" t="n">
        <x:v>1.12195982236173</x:v>
      </x:c>
      <x:c r="D1803" s="48" t="n">
        <x:v>0.7480203075014398</x:v>
      </x:c>
      <x:c r="E1803" s="48" t="n">
        <x:v>0.4834709445422197</x:v>
      </x:c>
      <x:c r="F1803" s="48" t="n">
        <x:v>-0.18637532740844082</x:v>
      </x:c>
      <x:c r="G1803" s="48" t="n">
        <x:v>-0.08783316013076332</x:v>
      </x:c>
      <x:c r="H1803" s="48" t="n">
        <x:v>1.0535396697538972</x:v>
      </x:c>
      <x:c r="I1803" s="48" t="n">
        <x:v>0.6445587076752327</x:v>
      </x:c>
      <x:c r="J1803" s="48" t="n">
        <x:v>0.5745215102435836</x:v>
      </x:c>
      <x:c r="K1803" s="48" t="n">
        <x:v>0.74820035676021</x:v>
      </x:c>
      <x:c r="L1803" s="48" t="n">
        <x:v>0.7496721926366928</x:v>
      </x:c>
      <x:c r="M1803" s="48" t="n">
        <x:v>0.030751561540146122</x:v>
      </x:c>
      <x:c r="N1803" s="48" t="n">
        <x:v>0.9453107840306227</x:v>
      </x:c>
      <x:c r="O1803" s="48" t="n">
        <x:v>0.8682884822626558</x:v>
      </x:c>
      <x:c r="P1803" s="48" t="n">
        <x:v>0.5496571776675218</x:v>
      </x:c>
      <x:c r="Q1803" s="48" t="n">
        <x:v>1</x:v>
      </x:c>
      <x:c r="R1803" s="48" t="n">
        <x:v>0.8373569485677074</x:v>
      </x:c>
      <x:c r="S1803" s="29" t="n">
        <x:v>0</x:v>
      </x:c>
    </x:row>
    <x:row r="1804" ht="21.600000381469727" hidden="0" customHeight="1">
      <x:c r="A1804" s="27" t="n">
        <x:v>600</x:v>
      </x:c>
      <x:c r="B1804" s="27" t="str">
        <x:v>A3</x:v>
      </x:c>
      <x:c r="C1804" s="47" t="n">
        <x:v>1.12195982236173</x:v>
      </x:c>
      <x:c r="D1804" s="47" t="n">
        <x:v>0.7480203075014398</x:v>
      </x:c>
      <x:c r="E1804" s="47" t="n">
        <x:v>0.4834709445422197</x:v>
      </x:c>
      <x:c r="F1804" s="47" t="n">
        <x:v>-0.18637532740844082</x:v>
      </x:c>
      <x:c r="G1804" s="47" t="n">
        <x:v>-0.08783316013076332</x:v>
      </x:c>
      <x:c r="H1804" s="47" t="n">
        <x:v>1.0535396697538972</x:v>
      </x:c>
      <x:c r="I1804" s="47" t="n">
        <x:v>0.6445587076752327</x:v>
      </x:c>
      <x:c r="J1804" s="47" t="n">
        <x:v>0.5745215102435836</x:v>
      </x:c>
      <x:c r="K1804" s="47" t="n">
        <x:v>0.74820035676021</x:v>
      </x:c>
      <x:c r="L1804" s="47" t="n">
        <x:v>0.7496721926366928</x:v>
      </x:c>
      <x:c r="M1804" s="47" t="n">
        <x:v>0.030751561540146122</x:v>
      </x:c>
      <x:c r="N1804" s="47" t="n">
        <x:v>0.9453107840306227</x:v>
      </x:c>
      <x:c r="O1804" s="47" t="n">
        <x:v>1</x:v>
      </x:c>
      <x:c r="P1804" s="47" t="n">
        <x:v>1</x:v>
      </x:c>
      <x:c r="Q1804" s="47" t="n">
        <x:v>1</x:v>
      </x:c>
      <x:c r="R1804" s="47" t="n">
        <x:v>1</x:v>
      </x:c>
      <x:c r="S1804" s="27" t="n">
        <x:v>1</x:v>
      </x:c>
    </x:row>
    <x:row r="1805" ht="21.600000381469727" hidden="0" customHeight="1">
      <x:c r="A1805" s="29" t="n">
        <x:v>601</x:v>
      </x:c>
      <x:c r="B1805" s="29" t="str">
        <x:v>A1</x:v>
      </x:c>
      <x:c r="C1805" s="48" t="n">
        <x:v>1.094097408271113</x:v>
      </x:c>
      <x:c r="D1805" s="48" t="n">
        <x:v>0.8737134924308909</x:v>
      </x:c>
      <x:c r="E1805" s="48" t="n">
        <x:v>1.0846056008842844</x:v>
      </x:c>
      <x:c r="F1805" s="48" t="n">
        <x:v>-0.06428949115817989</x:v>
      </x:c>
      <x:c r="G1805" s="48" t="n">
        <x:v>-0.005964454554385185</x:v>
      </x:c>
      <x:c r="H1805" s="48" t="n">
        <x:v>0.36063690814988414</x:v>
      </x:c>
      <x:c r="I1805" s="48" t="n">
        <x:v>0.9980155191851923</x:v>
      </x:c>
      <x:c r="J1805" s="48" t="n">
        <x:v>0.614094028689377</x:v>
      </x:c>
      <x:c r="K1805" s="48" t="n">
        <x:v>0.7182518655882904</x:v>
      </x:c>
      <x:c r="L1805" s="48" t="n">
        <x:v>0.7546389138530306</x:v>
      </x:c>
      <x:c r="M1805" s="48" t="n">
        <x:v>0.1346198768914801</x:v>
      </x:c>
      <x:c r="N1805" s="48" t="n">
        <x:v>0.820306417932763</x:v>
      </x:c>
      <x:c r="O1805" s="48" t="n">
        <x:v>0.8823860063930692</x:v>
      </x:c>
      <x:c r="P1805" s="48" t="n">
        <x:v>0.6819279328817912</x:v>
      </x:c>
      <x:c r="Q1805" s="48" t="n">
        <x:v>1</x:v>
      </x:c>
      <x:c r="R1805" s="48" t="n">
        <x:v>0.8547651781713111</x:v>
      </x:c>
      <x:c r="S1805" s="29" t="n">
        <x:v>0</x:v>
      </x:c>
    </x:row>
    <x:row r="1806" ht="21.600000381469727" hidden="0" customHeight="1">
      <x:c r="A1806" s="27" t="n">
        <x:v>601</x:v>
      </x:c>
      <x:c r="B1806" s="27" t="str">
        <x:v>A2</x:v>
      </x:c>
      <x:c r="C1806" s="47" t="n">
        <x:v>1.094097408271113</x:v>
      </x:c>
      <x:c r="D1806" s="47" t="n">
        <x:v>0.8737134924308909</x:v>
      </x:c>
      <x:c r="E1806" s="47" t="n">
        <x:v>1.0846056008842844</x:v>
      </x:c>
      <x:c r="F1806" s="47" t="n">
        <x:v>-0.06428949115817989</x:v>
      </x:c>
      <x:c r="G1806" s="47" t="n">
        <x:v>-0.005964454554385185</x:v>
      </x:c>
      <x:c r="H1806" s="47" t="n">
        <x:v>0.36063690814988414</x:v>
      </x:c>
      <x:c r="I1806" s="47" t="n">
        <x:v>0.9980155191851923</x:v>
      </x:c>
      <x:c r="J1806" s="47" t="n">
        <x:v>0.614094028689377</x:v>
      </x:c>
      <x:c r="K1806" s="47" t="n">
        <x:v>0.7182518655882904</x:v>
      </x:c>
      <x:c r="L1806" s="47" t="n">
        <x:v>0.7546389138530306</x:v>
      </x:c>
      <x:c r="M1806" s="47" t="n">
        <x:v>0.1346198768914801</x:v>
      </x:c>
      <x:c r="N1806" s="47" t="n">
        <x:v>0.820306417932763</x:v>
      </x:c>
      <x:c r="O1806" s="47" t="n">
        <x:v>0.9758772905033553</x:v>
      </x:c>
      <x:c r="P1806" s="47" t="n">
        <x:v>0.788450693795019</x:v>
      </x:c>
      <x:c r="Q1806" s="47" t="n">
        <x:v>1</x:v>
      </x:c>
      <x:c r="R1806" s="47" t="n">
        <x:v>0.9702122399866884</x:v>
      </x:c>
      <x:c r="S1806" s="27" t="n">
        <x:v>0</x:v>
      </x:c>
    </x:row>
    <x:row r="1807" ht="21.600000381469727" hidden="0" customHeight="1">
      <x:c r="A1807" s="29" t="n">
        <x:v>601</x:v>
      </x:c>
      <x:c r="B1807" s="29" t="str">
        <x:v>A3</x:v>
      </x:c>
      <x:c r="C1807" s="48" t="n">
        <x:v>1.094097408271113</x:v>
      </x:c>
      <x:c r="D1807" s="48" t="n">
        <x:v>0.8737134924308909</x:v>
      </x:c>
      <x:c r="E1807" s="48" t="n">
        <x:v>1.0846056008842844</x:v>
      </x:c>
      <x:c r="F1807" s="48" t="n">
        <x:v>-0.06428949115817989</x:v>
      </x:c>
      <x:c r="G1807" s="48" t="n">
        <x:v>-0.005964454554385185</x:v>
      </x:c>
      <x:c r="H1807" s="48" t="n">
        <x:v>0.36063690814988414</x:v>
      </x:c>
      <x:c r="I1807" s="48" t="n">
        <x:v>0.9980155191851923</x:v>
      </x:c>
      <x:c r="J1807" s="48" t="n">
        <x:v>0.614094028689377</x:v>
      </x:c>
      <x:c r="K1807" s="48" t="n">
        <x:v>0.7182518655882904</x:v>
      </x:c>
      <x:c r="L1807" s="48" t="n">
        <x:v>0.7546389138530306</x:v>
      </x:c>
      <x:c r="M1807" s="48" t="n">
        <x:v>0.1346198768914801</x:v>
      </x:c>
      <x:c r="N1807" s="48" t="n">
        <x:v>0.820306417932763</x:v>
      </x:c>
      <x:c r="O1807" s="48" t="n">
        <x:v>1</x:v>
      </x:c>
      <x:c r="P1807" s="48" t="n">
        <x:v>1</x:v>
      </x:c>
      <x:c r="Q1807" s="48" t="n">
        <x:v>1</x:v>
      </x:c>
      <x:c r="R1807" s="48" t="n">
        <x:v>1</x:v>
      </x:c>
      <x:c r="S1807" s="29" t="n">
        <x:v>1</x:v>
      </x:c>
    </x:row>
    <x:row r="1808" ht="21.600000381469727" hidden="0" customHeight="1">
      <x:c r="A1808" s="27" t="n">
        <x:v>602</x:v>
      </x:c>
      <x:c r="B1808" s="27" t="str">
        <x:v>A1</x:v>
      </x:c>
      <x:c r="C1808" s="47" t="n">
        <x:v>1.1173497690792669</x:v>
      </x:c>
      <x:c r="D1808" s="47" t="n">
        <x:v>0.7672520200362454</x:v>
      </x:c>
      <x:c r="E1808" s="47" t="n">
        <x:v>0.5613530363980579</x:v>
      </x:c>
      <x:c r="F1808" s="47" t="n">
        <x:v>-0.02397981043684483</x:v>
      </x:c>
      <x:c r="G1808" s="47" t="n">
        <x:v>-0.10036208373042171</x:v>
      </x:c>
      <x:c r="H1808" s="47" t="n">
        <x:v>0.7920276665845412</x:v>
      </x:c>
      <x:c r="I1808" s="47" t="n">
        <x:v>0.6712512577311511</x:v>
      </x:c>
      <x:c r="J1808" s="47" t="n">
        <x:v>0.5015314416792459</x:v>
      </x:c>
      <x:c r="K1808" s="47" t="n">
        <x:v>0.8145860002301959</x:v>
      </x:c>
      <x:c r="L1808" s="47" t="n">
        <x:v>0.7649345251836173</x:v>
      </x:c>
      <x:c r="M1808" s="47" t="n">
        <x:v>0.11029157192144658</x:v>
      </x:c>
      <x:c r="N1808" s="47" t="n">
        <x:v>0.948590163763753</x:v>
      </x:c>
      <x:c r="O1808" s="47" t="n">
        <x:v>0.7954389388923436</x:v>
      </x:c>
      <x:c r="P1808" s="47" t="n">
        <x:v>0.5094495451998649</x:v>
      </x:c>
      <x:c r="Q1808" s="47" t="n">
        <x:v>1</x:v>
      </x:c>
      <x:c r="R1808" s="47" t="n">
        <x:v>0.7473991967116804</x:v>
      </x:c>
      <x:c r="S1808" s="27" t="n">
        <x:v>0</x:v>
      </x:c>
    </x:row>
    <x:row r="1809" ht="21.600000381469727" hidden="0" customHeight="1">
      <x:c r="A1809" s="29" t="n">
        <x:v>602</x:v>
      </x:c>
      <x:c r="B1809" s="29" t="str">
        <x:v>A2</x:v>
      </x:c>
      <x:c r="C1809" s="48" t="n">
        <x:v>1.1173497690792669</x:v>
      </x:c>
      <x:c r="D1809" s="48" t="n">
        <x:v>0.7672520200362454</x:v>
      </x:c>
      <x:c r="E1809" s="48" t="n">
        <x:v>0.5613530363980579</x:v>
      </x:c>
      <x:c r="F1809" s="48" t="n">
        <x:v>-0.02397981043684483</x:v>
      </x:c>
      <x:c r="G1809" s="48" t="n">
        <x:v>-0.10036208373042171</x:v>
      </x:c>
      <x:c r="H1809" s="48" t="n">
        <x:v>0.7920276665845412</x:v>
      </x:c>
      <x:c r="I1809" s="48" t="n">
        <x:v>0.6712512577311511</x:v>
      </x:c>
      <x:c r="J1809" s="48" t="n">
        <x:v>0.5015314416792459</x:v>
      </x:c>
      <x:c r="K1809" s="48" t="n">
        <x:v>0.8145860002301959</x:v>
      </x:c>
      <x:c r="L1809" s="48" t="n">
        <x:v>0.7649345251836173</x:v>
      </x:c>
      <x:c r="M1809" s="48" t="n">
        <x:v>0.11029157192144658</x:v>
      </x:c>
      <x:c r="N1809" s="48" t="n">
        <x:v>0.948590163763753</x:v>
      </x:c>
      <x:c r="O1809" s="48" t="n">
        <x:v>0.8777466376511571</x:v>
      </x:c>
      <x:c r="P1809" s="48" t="n">
        <x:v>0.4970579323254883</x:v>
      </x:c>
      <x:c r="Q1809" s="48" t="n">
        <x:v>0.9999999999999999</x:v>
      </x:c>
      <x:c r="R1809" s="48" t="n">
        <x:v>0.8490362859539358</x:v>
      </x:c>
      <x:c r="S1809" s="29" t="n">
        <x:v>0</x:v>
      </x:c>
    </x:row>
    <x:row r="1810" ht="21.600000381469727" hidden="0" customHeight="1">
      <x:c r="A1810" s="27" t="n">
        <x:v>602</x:v>
      </x:c>
      <x:c r="B1810" s="27" t="str">
        <x:v>A3</x:v>
      </x:c>
      <x:c r="C1810" s="47" t="n">
        <x:v>1.1173497690792669</x:v>
      </x:c>
      <x:c r="D1810" s="47" t="n">
        <x:v>0.7672520200362454</x:v>
      </x:c>
      <x:c r="E1810" s="47" t="n">
        <x:v>0.5613530363980579</x:v>
      </x:c>
      <x:c r="F1810" s="47" t="n">
        <x:v>-0.02397981043684483</x:v>
      </x:c>
      <x:c r="G1810" s="47" t="n">
        <x:v>-0.10036208373042171</x:v>
      </x:c>
      <x:c r="H1810" s="47" t="n">
        <x:v>0.7920276665845412</x:v>
      </x:c>
      <x:c r="I1810" s="47" t="n">
        <x:v>0.6712512577311511</x:v>
      </x:c>
      <x:c r="J1810" s="47" t="n">
        <x:v>0.5015314416792459</x:v>
      </x:c>
      <x:c r="K1810" s="47" t="n">
        <x:v>0.8145860002301959</x:v>
      </x:c>
      <x:c r="L1810" s="47" t="n">
        <x:v>0.7649345251836173</x:v>
      </x:c>
      <x:c r="M1810" s="47" t="n">
        <x:v>0.11029157192144658</x:v>
      </x:c>
      <x:c r="N1810" s="47" t="n">
        <x:v>0.948590163763753</x:v>
      </x:c>
      <x:c r="O1810" s="47" t="n">
        <x:v>1</x:v>
      </x:c>
      <x:c r="P1810" s="47" t="n">
        <x:v>1</x:v>
      </x:c>
      <x:c r="Q1810" s="47" t="n">
        <x:v>1</x:v>
      </x:c>
      <x:c r="R1810" s="47" t="n">
        <x:v>1</x:v>
      </x:c>
      <x:c r="S1810" s="27" t="n">
        <x:v>1</x:v>
      </x:c>
    </x:row>
    <x:row r="1811" ht="15" hidden="0" customHeight="1">
      <x:c r="A1811" s="29" t="n">
        <x:v>603</x:v>
      </x:c>
      <x:c r="B1811" s="29" t="str">
        <x:v>A1</x:v>
      </x:c>
      <x:c r="C1811" s="48" t="n">
        <x:v>1.1392180633741429</x:v>
      </x:c>
      <x:c r="D1811" s="48" t="n">
        <x:v>0.8184772179193976</x:v>
      </x:c>
      <x:c r="E1811" s="48" t="n">
        <x:v>0.5672071849528776</x:v>
      </x:c>
      <x:c r="F1811" s="48" t="n">
        <x:v>-0.14248843005006132</x:v>
      </x:c>
      <x:c r="G1811" s="48" t="n">
        <x:v>-0.10883389968122463</x:v>
      </x:c>
      <x:c r="H1811" s="48" t="n">
        <x:v>0.44351708334022233</x:v>
      </x:c>
      <x:c r="I1811" s="48" t="n">
        <x:v>0.9262667992826857</x:v>
      </x:c>
      <x:c r="J1811" s="48" t="n">
        <x:v>0.7127346786759605</x:v>
      </x:c>
      <x:c r="K1811" s="48" t="n">
        <x:v>0.9405877051835463</x:v>
      </x:c>
      <x:c r="L1811" s="48" t="n">
        <x:v>0.6680015428490453</x:v>
      </x:c>
      <x:c r="M1811" s="48" t="n">
        <x:v>0.17532352222870842</x:v>
      </x:c>
      <x:c r="N1811" s="48" t="n">
        <x:v>0.7454310339934638</x:v>
      </x:c>
      <x:c r="O1811" s="48" t="n">
        <x:v>0.8322508082958064</x:v>
      </x:c>
      <x:c r="P1811" s="48" t="n">
        <x:v>0.6017407606046996</x:v>
      </x:c>
      <x:c r="Q1811" s="48" t="n">
        <x:v>1</x:v>
      </x:c>
      <x:c r="R1811" s="48" t="n">
        <x:v>0.7928560775643159</x:v>
      </x:c>
      <x:c r="S1811" s="29" t="n">
        <x:v>0</x:v>
      </x:c>
    </x:row>
    <x:row r="1812" ht="15" hidden="0" customHeight="1">
      <x:c r="A1812" s="27" t="n">
        <x:v>603</x:v>
      </x:c>
      <x:c r="B1812" s="27" t="str">
        <x:v>A2</x:v>
      </x:c>
      <x:c r="C1812" s="47" t="n">
        <x:v>1.1392180633741429</x:v>
      </x:c>
      <x:c r="D1812" s="47" t="n">
        <x:v>0.8184772179193976</x:v>
      </x:c>
      <x:c r="E1812" s="47" t="n">
        <x:v>0.5672071849528776</x:v>
      </x:c>
      <x:c r="F1812" s="47" t="n">
        <x:v>-0.14248843005006132</x:v>
      </x:c>
      <x:c r="G1812" s="47" t="n">
        <x:v>-0.10883389968122463</x:v>
      </x:c>
      <x:c r="H1812" s="47" t="n">
        <x:v>0.44351708334022233</x:v>
      </x:c>
      <x:c r="I1812" s="47" t="n">
        <x:v>0.9262667992826857</x:v>
      </x:c>
      <x:c r="J1812" s="47" t="n">
        <x:v>0.7127346786759605</x:v>
      </x:c>
      <x:c r="K1812" s="47" t="n">
        <x:v>0.9405877051835463</x:v>
      </x:c>
      <x:c r="L1812" s="47" t="n">
        <x:v>0.6680015428490453</x:v>
      </x:c>
      <x:c r="M1812" s="47" t="n">
        <x:v>0.17532352222870842</x:v>
      </x:c>
      <x:c r="N1812" s="47" t="n">
        <x:v>0.7454310339934638</x:v>
      </x:c>
      <x:c r="O1812" s="47" t="n">
        <x:v>0.9214610642973896</x:v>
      </x:c>
      <x:c r="P1812" s="47" t="n">
        <x:v>0.6377517953720776</x:v>
      </x:c>
      <x:c r="Q1812" s="47" t="n">
        <x:v>1</x:v>
      </x:c>
      <x:c r="R1812" s="47" t="n">
        <x:v>0.9030167416004544</x:v>
      </x:c>
      <x:c r="S1812" s="27" t="n">
        <x:v>0</x:v>
      </x:c>
    </x:row>
    <x:row r="1813" ht="15" hidden="0" customHeight="1">
      <x:c r="A1813" s="29" t="n">
        <x:v>603</x:v>
      </x:c>
      <x:c r="B1813" s="29" t="str">
        <x:v>A3</x:v>
      </x:c>
      <x:c r="C1813" s="48" t="n">
        <x:v>1.1392180633741429</x:v>
      </x:c>
      <x:c r="D1813" s="48" t="n">
        <x:v>0.8184772179193976</x:v>
      </x:c>
      <x:c r="E1813" s="48" t="n">
        <x:v>0.5672071849528776</x:v>
      </x:c>
      <x:c r="F1813" s="48" t="n">
        <x:v>-0.14248843005006132</x:v>
      </x:c>
      <x:c r="G1813" s="48" t="n">
        <x:v>-0.10883389968122463</x:v>
      </x:c>
      <x:c r="H1813" s="48" t="n">
        <x:v>0.44351708334022233</x:v>
      </x:c>
      <x:c r="I1813" s="48" t="n">
        <x:v>0.9262667992826857</x:v>
      </x:c>
      <x:c r="J1813" s="48" t="n">
        <x:v>0.7127346786759605</x:v>
      </x:c>
      <x:c r="K1813" s="48" t="n">
        <x:v>0.9405877051835463</x:v>
      </x:c>
      <x:c r="L1813" s="48" t="n">
        <x:v>0.6680015428490453</x:v>
      </x:c>
      <x:c r="M1813" s="48" t="n">
        <x:v>0.17532352222870842</x:v>
      </x:c>
      <x:c r="N1813" s="48" t="n">
        <x:v>0.7454310339934638</x:v>
      </x:c>
      <x:c r="O1813" s="48" t="n">
        <x:v>1</x:v>
      </x:c>
      <x:c r="P1813" s="48" t="n">
        <x:v>1</x:v>
      </x:c>
      <x:c r="Q1813" s="48" t="n">
        <x:v>1</x:v>
      </x:c>
      <x:c r="R1813" s="48" t="n">
        <x:v>1</x:v>
      </x:c>
      <x:c r="S1813" s="29" t="n">
        <x:v>1</x:v>
      </x:c>
    </x:row>
    <x:row r="1814" ht="21.600000381469727" hidden="0" customHeight="1">
      <x:c r="A1814" s="27" t="n">
        <x:v>604</x:v>
      </x:c>
      <x:c r="B1814" s="27" t="str">
        <x:v>A1</x:v>
      </x:c>
      <x:c r="C1814" s="47" t="n">
        <x:v>0.9852956210250258</x:v>
      </x:c>
      <x:c r="D1814" s="47" t="n">
        <x:v>0.8964734553064254</x:v>
      </x:c>
      <x:c r="E1814" s="47" t="n">
        <x:v>0.5883580381790068</x:v>
      </x:c>
      <x:c r="F1814" s="47" t="n">
        <x:v>-0.08795640947597919</x:v>
      </x:c>
      <x:c r="G1814" s="47" t="n">
        <x:v>-0.016786095328122475</x:v>
      </x:c>
      <x:c r="H1814" s="47" t="n">
        <x:v>0.5733821429105981</x:v>
      </x:c>
      <x:c r="I1814" s="47" t="n">
        <x:v>0.8302161327539346</x:v>
      </x:c>
      <x:c r="J1814" s="47" t="n">
        <x:v>0.46218302854402715</x:v>
      </x:c>
      <x:c r="K1814" s="47" t="n">
        <x:v>0.8739753201157432</x:v>
      </x:c>
      <x:c r="L1814" s="47" t="n">
        <x:v>0.9574352189563252</x:v>
      </x:c>
      <x:c r="M1814" s="47" t="n">
        <x:v>0.1224289500809254</x:v>
      </x:c>
      <x:c r="N1814" s="47" t="n">
        <x:v>0.679852641268383</x:v>
      </x:c>
      <x:c r="O1814" s="47" t="n">
        <x:v>0.8917878280968372</x:v>
      </x:c>
      <x:c r="P1814" s="47" t="n">
        <x:v>0.646621539645275</x:v>
      </x:c>
      <x:c r="Q1814" s="47" t="n">
        <x:v>1</x:v>
      </x:c>
      <x:c r="R1814" s="47" t="n">
        <x:v>0.8663749522988292</x:v>
      </x:c>
      <x:c r="S1814" s="27" t="n">
        <x:v>0</x:v>
      </x:c>
    </x:row>
    <x:row r="1815" ht="21.600000381469727" hidden="0" customHeight="1">
      <x:c r="A1815" s="29" t="n">
        <x:v>604</x:v>
      </x:c>
      <x:c r="B1815" s="29" t="str">
        <x:v>A2</x:v>
      </x:c>
      <x:c r="C1815" s="48" t="n">
        <x:v>0.9852956210250258</x:v>
      </x:c>
      <x:c r="D1815" s="48" t="n">
        <x:v>0.8964734553064254</x:v>
      </x:c>
      <x:c r="E1815" s="48" t="n">
        <x:v>0.5883580381790068</x:v>
      </x:c>
      <x:c r="F1815" s="48" t="n">
        <x:v>-0.08795640947597919</x:v>
      </x:c>
      <x:c r="G1815" s="48" t="n">
        <x:v>-0.016786095328122475</x:v>
      </x:c>
      <x:c r="H1815" s="48" t="n">
        <x:v>0.5733821429105981</x:v>
      </x:c>
      <x:c r="I1815" s="48" t="n">
        <x:v>0.8302161327539346</x:v>
      </x:c>
      <x:c r="J1815" s="48" t="n">
        <x:v>0.46218302854402715</x:v>
      </x:c>
      <x:c r="K1815" s="48" t="n">
        <x:v>0.8739753201157432</x:v>
      </x:c>
      <x:c r="L1815" s="48" t="n">
        <x:v>0.9574352189563252</x:v>
      </x:c>
      <x:c r="M1815" s="48" t="n">
        <x:v>0.1224289500809254</x:v>
      </x:c>
      <x:c r="N1815" s="48" t="n">
        <x:v>0.679852641268383</x:v>
      </x:c>
      <x:c r="O1815" s="48" t="n">
        <x:v>0.9743329738836711</x:v>
      </x:c>
      <x:c r="P1815" s="48" t="n">
        <x:v>0.8704129022203033</x:v>
      </x:c>
      <x:c r="Q1815" s="48" t="n">
        <x:v>1</x:v>
      </x:c>
      <x:c r="R1815" s="48" t="n">
        <x:v>0.9683052513518455</x:v>
      </x:c>
      <x:c r="S1815" s="29" t="n">
        <x:v>0</x:v>
      </x:c>
    </x:row>
    <x:row r="1816" ht="21.600000381469727" hidden="0" customHeight="1">
      <x:c r="A1816" s="27" t="n">
        <x:v>604</x:v>
      </x:c>
      <x:c r="B1816" s="27" t="str">
        <x:v>A3</x:v>
      </x:c>
      <x:c r="C1816" s="47" t="n">
        <x:v>0.9852956210250258</x:v>
      </x:c>
      <x:c r="D1816" s="47" t="n">
        <x:v>0.8964734553064254</x:v>
      </x:c>
      <x:c r="E1816" s="47" t="n">
        <x:v>0.5883580381790068</x:v>
      </x:c>
      <x:c r="F1816" s="47" t="n">
        <x:v>-0.08795640947597919</x:v>
      </x:c>
      <x:c r="G1816" s="47" t="n">
        <x:v>-0.016786095328122475</x:v>
      </x:c>
      <x:c r="H1816" s="47" t="n">
        <x:v>0.5733821429105981</x:v>
      </x:c>
      <x:c r="I1816" s="47" t="n">
        <x:v>0.8302161327539346</x:v>
      </x:c>
      <x:c r="J1816" s="47" t="n">
        <x:v>0.46218302854402715</x:v>
      </x:c>
      <x:c r="K1816" s="47" t="n">
        <x:v>0.8739753201157432</x:v>
      </x:c>
      <x:c r="L1816" s="47" t="n">
        <x:v>0.9574352189563252</x:v>
      </x:c>
      <x:c r="M1816" s="47" t="n">
        <x:v>0.1224289500809254</x:v>
      </x:c>
      <x:c r="N1816" s="47" t="n">
        <x:v>0.679852641268383</x:v>
      </x:c>
      <x:c r="O1816" s="47" t="n">
        <x:v>1</x:v>
      </x:c>
      <x:c r="P1816" s="47" t="n">
        <x:v>1</x:v>
      </x:c>
      <x:c r="Q1816" s="47" t="n">
        <x:v>1</x:v>
      </x:c>
      <x:c r="R1816" s="47" t="n">
        <x:v>1</x:v>
      </x:c>
      <x:c r="S1816" s="27" t="n">
        <x:v>1</x:v>
      </x:c>
    </x:row>
    <x:row r="1817" ht="21.600000381469727" hidden="0" customHeight="1">
      <x:c r="A1817" s="29" t="n">
        <x:v>605</x:v>
      </x:c>
      <x:c r="B1817" s="29" t="str">
        <x:v>A1</x:v>
      </x:c>
      <x:c r="C1817" s="48" t="n">
        <x:v>1.2955311844073805</x:v>
      </x:c>
      <x:c r="D1817" s="48" t="n">
        <x:v>0.8678053873520994</x:v>
      </x:c>
      <x:c r="E1817" s="48" t="n">
        <x:v>0.6063958633009108</x:v>
      </x:c>
      <x:c r="F1817" s="48" t="n">
        <x:v>-0.10463538360516807</x:v>
      </x:c>
      <x:c r="G1817" s="48" t="n">
        <x:v>-0.07599502425060316</x:v>
      </x:c>
      <x:c r="H1817" s="48" t="n">
        <x:v>0.9426430448225844</x:v>
      </x:c>
      <x:c r="I1817" s="48" t="n">
        <x:v>0.6605501962384878</x:v>
      </x:c>
      <x:c r="J1817" s="48" t="n">
        <x:v>0.7884385096890527</x:v>
      </x:c>
      <x:c r="K1817" s="48" t="n">
        <x:v>0.9304234404956023</x:v>
      </x:c>
      <x:c r="L1817" s="48" t="n">
        <x:v>0.8335318437337296</x:v>
      </x:c>
      <x:c r="M1817" s="48" t="n">
        <x:v>0.03991706023302173</x:v>
      </x:c>
      <x:c r="N1817" s="48" t="n">
        <x:v>0.9689499409194793</x:v>
      </x:c>
      <x:c r="O1817" s="48" t="n">
        <x:v>0.8339275307482029</x:v>
      </x:c>
      <x:c r="P1817" s="48" t="n">
        <x:v>0.4886371584589691</x:v>
      </x:c>
      <x:c r="Q1817" s="48" t="n">
        <x:v>1</x:v>
      </x:c>
      <x:c r="R1817" s="48" t="n">
        <x:v>0.794926566620608</x:v>
      </x:c>
      <x:c r="S1817" s="29" t="n">
        <x:v>0</x:v>
      </x:c>
    </x:row>
    <x:row r="1818" ht="21.600000381469727" hidden="0" customHeight="1">
      <x:c r="A1818" s="27" t="n">
        <x:v>605</x:v>
      </x:c>
      <x:c r="B1818" s="27" t="str">
        <x:v>A2</x:v>
      </x:c>
      <x:c r="C1818" s="47" t="n">
        <x:v>1.2955311844073805</x:v>
      </x:c>
      <x:c r="D1818" s="47" t="n">
        <x:v>0.8678053873520994</x:v>
      </x:c>
      <x:c r="E1818" s="47" t="n">
        <x:v>0.6063958633009108</x:v>
      </x:c>
      <x:c r="F1818" s="47" t="n">
        <x:v>-0.10463538360516807</x:v>
      </x:c>
      <x:c r="G1818" s="47" t="n">
        <x:v>-0.07599502425060316</x:v>
      </x:c>
      <x:c r="H1818" s="47" t="n">
        <x:v>0.9426430448225844</x:v>
      </x:c>
      <x:c r="I1818" s="47" t="n">
        <x:v>0.6605501962384878</x:v>
      </x:c>
      <x:c r="J1818" s="47" t="n">
        <x:v>0.7884385096890527</x:v>
      </x:c>
      <x:c r="K1818" s="47" t="n">
        <x:v>0.9304234404956023</x:v>
      </x:c>
      <x:c r="L1818" s="47" t="n">
        <x:v>0.8335318437337296</x:v>
      </x:c>
      <x:c r="M1818" s="47" t="n">
        <x:v>0.03991706023302173</x:v>
      </x:c>
      <x:c r="N1818" s="47" t="n">
        <x:v>0.9689499409194793</x:v>
      </x:c>
      <x:c r="O1818" s="47" t="n">
        <x:v>0.9073610445640209</x:v>
      </x:c>
      <x:c r="P1818" s="47" t="n">
        <x:v>0.5978459635158789</x:v>
      </x:c>
      <x:c r="Q1818" s="47" t="n">
        <x:v>1</x:v>
      </x:c>
      <x:c r="R1818" s="47" t="n">
        <x:v>0.8856054303189016</x:v>
      </x:c>
      <x:c r="S1818" s="27" t="n">
        <x:v>0</x:v>
      </x:c>
    </x:row>
    <x:row r="1819" ht="21.600000381469727" hidden="0" customHeight="1">
      <x:c r="A1819" s="29" t="n">
        <x:v>605</x:v>
      </x:c>
      <x:c r="B1819" s="29" t="str">
        <x:v>A3</x:v>
      </x:c>
      <x:c r="C1819" s="48" t="n">
        <x:v>1.2955311844073805</x:v>
      </x:c>
      <x:c r="D1819" s="48" t="n">
        <x:v>0.8678053873520994</x:v>
      </x:c>
      <x:c r="E1819" s="48" t="n">
        <x:v>0.6063958633009108</x:v>
      </x:c>
      <x:c r="F1819" s="48" t="n">
        <x:v>-0.10463538360516807</x:v>
      </x:c>
      <x:c r="G1819" s="48" t="n">
        <x:v>-0.07599502425060316</x:v>
      </x:c>
      <x:c r="H1819" s="48" t="n">
        <x:v>0.9426430448225844</x:v>
      </x:c>
      <x:c r="I1819" s="48" t="n">
        <x:v>0.6605501962384878</x:v>
      </x:c>
      <x:c r="J1819" s="48" t="n">
        <x:v>0.7884385096890527</x:v>
      </x:c>
      <x:c r="K1819" s="48" t="n">
        <x:v>0.9304234404956023</x:v>
      </x:c>
      <x:c r="L1819" s="48" t="n">
        <x:v>0.8335318437337296</x:v>
      </x:c>
      <x:c r="M1819" s="48" t="n">
        <x:v>0.03991706023302173</x:v>
      </x:c>
      <x:c r="N1819" s="48" t="n">
        <x:v>0.9689499409194793</x:v>
      </x:c>
      <x:c r="O1819" s="48" t="n">
        <x:v>1</x:v>
      </x:c>
      <x:c r="P1819" s="48" t="n">
        <x:v>1</x:v>
      </x:c>
      <x:c r="Q1819" s="48" t="n">
        <x:v>1</x:v>
      </x:c>
      <x:c r="R1819" s="48" t="n">
        <x:v>1</x:v>
      </x:c>
      <x:c r="S1819" s="29" t="n">
        <x:v>1</x:v>
      </x:c>
    </x:row>
    <x:row r="1820" ht="21.600000381469727" hidden="0" customHeight="1">
      <x:c r="A1820" s="27" t="n">
        <x:v>606</x:v>
      </x:c>
      <x:c r="B1820" s="27" t="str">
        <x:v>A1</x:v>
      </x:c>
      <x:c r="C1820" s="47" t="n">
        <x:v>1.090862987724015</x:v>
      </x:c>
      <x:c r="D1820" s="47" t="n">
        <x:v>0.9354160864706857</x:v>
      </x:c>
      <x:c r="E1820" s="47" t="n">
        <x:v>0.5843817846416461</x:v>
      </x:c>
      <x:c r="F1820" s="47" t="n">
        <x:v>0.03845420471245209</x:v>
      </x:c>
      <x:c r="G1820" s="47" t="n">
        <x:v>-0.010899262100354884</x:v>
      </x:c>
      <x:c r="H1820" s="47" t="n">
        <x:v>0.6401735763656466</x:v>
      </x:c>
      <x:c r="I1820" s="47" t="n">
        <x:v>0.639223901904686</x:v>
      </x:c>
      <x:c r="J1820" s="47" t="n">
        <x:v>0.46391035993371776</x:v>
      </x:c>
      <x:c r="K1820" s="47" t="n">
        <x:v>0.8930519039258404</x:v>
      </x:c>
      <x:c r="L1820" s="47" t="n">
        <x:v>0.7734906715884571</x:v>
      </x:c>
      <x:c r="M1820" s="47" t="n">
        <x:v>0.16362830424702354</x:v>
      </x:c>
      <x:c r="N1820" s="47" t="n">
        <x:v>0.8976294300426322</x:v>
      </x:c>
      <x:c r="O1820" s="47" t="n">
        <x:v>0.8696475279223298</x:v>
      </x:c>
      <x:c r="P1820" s="47" t="n">
        <x:v>0.5943886672169355</x:v>
      </x:c>
      <x:c r="Q1820" s="47" t="n">
        <x:v>1</x:v>
      </x:c>
      <x:c r="R1820" s="47" t="n">
        <x:v>0.8390351566464114</x:v>
      </x:c>
      <x:c r="S1820" s="27" t="n">
        <x:v>0</x:v>
      </x:c>
    </x:row>
    <x:row r="1821" ht="21.600000381469727" hidden="0" customHeight="1">
      <x:c r="A1821" s="29" t="n">
        <x:v>606</x:v>
      </x:c>
      <x:c r="B1821" s="29" t="str">
        <x:v>A2</x:v>
      </x:c>
      <x:c r="C1821" s="48" t="n">
        <x:v>1.090862987724015</x:v>
      </x:c>
      <x:c r="D1821" s="48" t="n">
        <x:v>0.9354160864706857</x:v>
      </x:c>
      <x:c r="E1821" s="48" t="n">
        <x:v>0.5843817846416461</x:v>
      </x:c>
      <x:c r="F1821" s="48" t="n">
        <x:v>0.03845420471245209</x:v>
      </x:c>
      <x:c r="G1821" s="48" t="n">
        <x:v>-0.010899262100354884</x:v>
      </x:c>
      <x:c r="H1821" s="48" t="n">
        <x:v>0.6401735763656466</x:v>
      </x:c>
      <x:c r="I1821" s="48" t="n">
        <x:v>0.639223901904686</x:v>
      </x:c>
      <x:c r="J1821" s="48" t="n">
        <x:v>0.46391035993371776</x:v>
      </x:c>
      <x:c r="K1821" s="48" t="n">
        <x:v>0.8930519039258404</x:v>
      </x:c>
      <x:c r="L1821" s="48" t="n">
        <x:v>0.7734906715884571</x:v>
      </x:c>
      <x:c r="M1821" s="48" t="n">
        <x:v>0.16362830424702354</x:v>
      </x:c>
      <x:c r="N1821" s="48" t="n">
        <x:v>0.8976294300426322</x:v>
      </x:c>
      <x:c r="O1821" s="48" t="n">
        <x:v>0.9489465603240504</x:v>
      </x:c>
      <x:c r="P1821" s="48" t="n">
        <x:v>0.7365013445668879</x:v>
      </x:c>
      <x:c r="Q1821" s="48" t="n">
        <x:v>1</x:v>
      </x:c>
      <x:c r="R1821" s="48" t="n">
        <x:v>0.9369570151672723</x:v>
      </x:c>
      <x:c r="S1821" s="29" t="n">
        <x:v>0</x:v>
      </x:c>
    </x:row>
    <x:row r="1822" ht="21.600000381469727" hidden="0" customHeight="1">
      <x:c r="A1822" s="27" t="n">
        <x:v>606</x:v>
      </x:c>
      <x:c r="B1822" s="27" t="str">
        <x:v>A3</x:v>
      </x:c>
      <x:c r="C1822" s="47" t="n">
        <x:v>1.090862987724015</x:v>
      </x:c>
      <x:c r="D1822" s="47" t="n">
        <x:v>0.9354160864706857</x:v>
      </x:c>
      <x:c r="E1822" s="47" t="n">
        <x:v>0.5843817846416461</x:v>
      </x:c>
      <x:c r="F1822" s="47" t="n">
        <x:v>0.03845420471245209</x:v>
      </x:c>
      <x:c r="G1822" s="47" t="n">
        <x:v>-0.010899262100354884</x:v>
      </x:c>
      <x:c r="H1822" s="47" t="n">
        <x:v>0.6401735763656466</x:v>
      </x:c>
      <x:c r="I1822" s="47" t="n">
        <x:v>0.639223901904686</x:v>
      </x:c>
      <x:c r="J1822" s="47" t="n">
        <x:v>0.46391035993371776</x:v>
      </x:c>
      <x:c r="K1822" s="47" t="n">
        <x:v>0.8930519039258404</x:v>
      </x:c>
      <x:c r="L1822" s="47" t="n">
        <x:v>0.7734906715884571</x:v>
      </x:c>
      <x:c r="M1822" s="47" t="n">
        <x:v>0.16362830424702354</x:v>
      </x:c>
      <x:c r="N1822" s="47" t="n">
        <x:v>0.8976294300426322</x:v>
      </x:c>
      <x:c r="O1822" s="47" t="n">
        <x:v>1</x:v>
      </x:c>
      <x:c r="P1822" s="47" t="n">
        <x:v>1</x:v>
      </x:c>
      <x:c r="Q1822" s="47" t="n">
        <x:v>1</x:v>
      </x:c>
      <x:c r="R1822" s="47" t="n">
        <x:v>1</x:v>
      </x:c>
      <x:c r="S1822" s="27" t="n">
        <x:v>1</x:v>
      </x:c>
    </x:row>
    <x:row r="1823" ht="21.600000381469727" hidden="0" customHeight="1">
      <x:c r="A1823" s="29" t="n">
        <x:v>607</x:v>
      </x:c>
      <x:c r="B1823" s="29" t="str">
        <x:v>A1</x:v>
      </x:c>
      <x:c r="C1823" s="48" t="n">
        <x:v>1.0087150738398234</x:v>
      </x:c>
      <x:c r="D1823" s="48" t="n">
        <x:v>0.7518425289303777</x:v>
      </x:c>
      <x:c r="E1823" s="48" t="n">
        <x:v>0.9825568271050906</x:v>
      </x:c>
      <x:c r="F1823" s="48" t="n">
        <x:v>-0.19530871164032418</x:v>
      </x:c>
      <x:c r="G1823" s="48" t="n">
        <x:v>-0.0174470618774758</x:v>
      </x:c>
      <x:c r="H1823" s="48" t="n">
        <x:v>0.5825140348430029</x:v>
      </x:c>
      <x:c r="I1823" s="48" t="n">
        <x:v>0.8047266271469813</x:v>
      </x:c>
      <x:c r="J1823" s="48" t="n">
        <x:v>0.7878357972394234</x:v>
      </x:c>
      <x:c r="K1823" s="48" t="n">
        <x:v>0.9259786046406941</x:v>
      </x:c>
      <x:c r="L1823" s="48" t="n">
        <x:v>0.9862229937492162</x:v>
      </x:c>
      <x:c r="M1823" s="48" t="n">
        <x:v>0.08715444717473904</x:v>
      </x:c>
      <x:c r="N1823" s="48" t="n">
        <x:v>0.7674708349314113</x:v>
      </x:c>
      <x:c r="O1823" s="48" t="n">
        <x:v>0.9192482886299627</x:v>
      </x:c>
      <x:c r="P1823" s="48" t="n">
        <x:v>0.6415996040546551</x:v>
      </x:c>
      <x:c r="Q1823" s="48" t="n">
        <x:v>1</x:v>
      </x:c>
      <x:c r="R1823" s="48" t="n">
        <x:v>0.9002843109606136</x:v>
      </x:c>
      <x:c r="S1823" s="29" t="n">
        <x:v>0</x:v>
      </x:c>
    </x:row>
    <x:row r="1824" ht="21.600000381469727" hidden="0" customHeight="1">
      <x:c r="A1824" s="27" t="n">
        <x:v>607</x:v>
      </x:c>
      <x:c r="B1824" s="27" t="str">
        <x:v>A2</x:v>
      </x:c>
      <x:c r="C1824" s="47" t="n">
        <x:v>1.0087150738398234</x:v>
      </x:c>
      <x:c r="D1824" s="47" t="n">
        <x:v>0.7518425289303777</x:v>
      </x:c>
      <x:c r="E1824" s="47" t="n">
        <x:v>0.9825568271050906</x:v>
      </x:c>
      <x:c r="F1824" s="47" t="n">
        <x:v>-0.19530871164032418</x:v>
      </x:c>
      <x:c r="G1824" s="47" t="n">
        <x:v>-0.0174470618774758</x:v>
      </x:c>
      <x:c r="H1824" s="47" t="n">
        <x:v>0.5825140348430029</x:v>
      </x:c>
      <x:c r="I1824" s="47" t="n">
        <x:v>0.8047266271469813</x:v>
      </x:c>
      <x:c r="J1824" s="47" t="n">
        <x:v>0.7878357972394234</x:v>
      </x:c>
      <x:c r="K1824" s="47" t="n">
        <x:v>0.9259786046406941</x:v>
      </x:c>
      <x:c r="L1824" s="47" t="n">
        <x:v>0.9862229937492162</x:v>
      </x:c>
      <x:c r="M1824" s="47" t="n">
        <x:v>0.08715444717473904</x:v>
      </x:c>
      <x:c r="N1824" s="47" t="n">
        <x:v>0.7674708349314113</x:v>
      </x:c>
      <x:c r="O1824" s="47" t="n">
        <x:v>0.9761824345986879</x:v>
      </x:c>
      <x:c r="P1824" s="47" t="n">
        <x:v>0.7618243459868798</x:v>
      </x:c>
      <x:c r="Q1824" s="47" t="n">
        <x:v>1</x:v>
      </x:c>
      <x:c r="R1824" s="47" t="n">
        <x:v>0.9705890450500878</x:v>
      </x:c>
      <x:c r="S1824" s="27" t="n">
        <x:v>0</x:v>
      </x:c>
    </x:row>
    <x:row r="1825" ht="21.600000381469727" hidden="0" customHeight="1">
      <x:c r="A1825" s="29" t="n">
        <x:v>607</x:v>
      </x:c>
      <x:c r="B1825" s="29" t="str">
        <x:v>A3</x:v>
      </x:c>
      <x:c r="C1825" s="48" t="n">
        <x:v>1.0087150738398234</x:v>
      </x:c>
      <x:c r="D1825" s="48" t="n">
        <x:v>0.7518425289303777</x:v>
      </x:c>
      <x:c r="E1825" s="48" t="n">
        <x:v>0.9825568271050906</x:v>
      </x:c>
      <x:c r="F1825" s="48" t="n">
        <x:v>-0.19530871164032418</x:v>
      </x:c>
      <x:c r="G1825" s="48" t="n">
        <x:v>-0.0174470618774758</x:v>
      </x:c>
      <x:c r="H1825" s="48" t="n">
        <x:v>0.5825140348430029</x:v>
      </x:c>
      <x:c r="I1825" s="48" t="n">
        <x:v>0.8047266271469813</x:v>
      </x:c>
      <x:c r="J1825" s="48" t="n">
        <x:v>0.7878357972394234</x:v>
      </x:c>
      <x:c r="K1825" s="48" t="n">
        <x:v>0.9259786046406941</x:v>
      </x:c>
      <x:c r="L1825" s="48" t="n">
        <x:v>0.9862229937492162</x:v>
      </x:c>
      <x:c r="M1825" s="48" t="n">
        <x:v>0.08715444717473904</x:v>
      </x:c>
      <x:c r="N1825" s="48" t="n">
        <x:v>0.7674708349314113</x:v>
      </x:c>
      <x:c r="O1825" s="48" t="n">
        <x:v>1</x:v>
      </x:c>
      <x:c r="P1825" s="48" t="n">
        <x:v>1</x:v>
      </x:c>
      <x:c r="Q1825" s="48" t="n">
        <x:v>1</x:v>
      </x:c>
      <x:c r="R1825" s="48" t="n">
        <x:v>1</x:v>
      </x:c>
      <x:c r="S1825" s="29" t="n">
        <x:v>1</x:v>
      </x:c>
    </x:row>
    <x:row r="1826" ht="21.600000381469727" hidden="0" customHeight="1">
      <x:c r="A1826" s="27" t="n">
        <x:v>608</x:v>
      </x:c>
      <x:c r="B1826" s="27" t="str">
        <x:v>A1</x:v>
      </x:c>
      <x:c r="C1826" s="47" t="n">
        <x:v>1.029195165968651</x:v>
      </x:c>
      <x:c r="D1826" s="47" t="n">
        <x:v>0.934448070365394</x:v>
      </x:c>
      <x:c r="E1826" s="47" t="n">
        <x:v>0.4890998311720208</x:v>
      </x:c>
      <x:c r="F1826" s="47" t="n">
        <x:v>-0.1338171767051588</x:v>
      </x:c>
      <x:c r="G1826" s="47" t="n">
        <x:v>-0.18806318373892708</x:v>
      </x:c>
      <x:c r="H1826" s="47" t="n">
        <x:v>0.4830149051147797</x:v>
      </x:c>
      <x:c r="I1826" s="47" t="n">
        <x:v>0.7795949229564916</x:v>
      </x:c>
      <x:c r="J1826" s="47" t="n">
        <x:v>0.8041319168652512</x:v>
      </x:c>
      <x:c r="K1826" s="47" t="n">
        <x:v>0.8467761590925924</x:v>
      </x:c>
      <x:c r="L1826" s="47" t="n">
        <x:v>0.5054372662112813</x:v>
      </x:c>
      <x:c r="M1826" s="47" t="n">
        <x:v>0.019320687510776126</x:v>
      </x:c>
      <x:c r="N1826" s="47" t="n">
        <x:v>0.7554247562543921</x:v>
      </x:c>
      <x:c r="O1826" s="47" t="n">
        <x:v>0.9027404410314939</x:v>
      </x:c>
      <x:c r="P1826" s="47" t="n">
        <x:v>0.6362911894091526</x:v>
      </x:c>
      <x:c r="Q1826" s="47" t="n">
        <x:v>1</x:v>
      </x:c>
      <x:c r="R1826" s="47" t="n">
        <x:v>0.8798997101897963</x:v>
      </x:c>
      <x:c r="S1826" s="27" t="n">
        <x:v>0</x:v>
      </x:c>
    </x:row>
    <x:row r="1827" ht="21.600000381469727" hidden="0" customHeight="1">
      <x:c r="A1827" s="29" t="n">
        <x:v>608</x:v>
      </x:c>
      <x:c r="B1827" s="29" t="str">
        <x:v>A2</x:v>
      </x:c>
      <x:c r="C1827" s="48" t="n">
        <x:v>1.029195165968651</x:v>
      </x:c>
      <x:c r="D1827" s="48" t="n">
        <x:v>0.934448070365394</x:v>
      </x:c>
      <x:c r="E1827" s="48" t="n">
        <x:v>0.4890998311720208</x:v>
      </x:c>
      <x:c r="F1827" s="48" t="n">
        <x:v>-0.1338171767051588</x:v>
      </x:c>
      <x:c r="G1827" s="48" t="n">
        <x:v>-0.18806318373892708</x:v>
      </x:c>
      <x:c r="H1827" s="48" t="n">
        <x:v>0.4830149051147797</x:v>
      </x:c>
      <x:c r="I1827" s="48" t="n">
        <x:v>0.7795949229564916</x:v>
      </x:c>
      <x:c r="J1827" s="48" t="n">
        <x:v>0.8041319168652512</x:v>
      </x:c>
      <x:c r="K1827" s="48" t="n">
        <x:v>0.8467761590925924</x:v>
      </x:c>
      <x:c r="L1827" s="48" t="n">
        <x:v>0.5054372662112813</x:v>
      </x:c>
      <x:c r="M1827" s="48" t="n">
        <x:v>0.019320687510776126</x:v>
      </x:c>
      <x:c r="N1827" s="48" t="n">
        <x:v>0.7554247562543921</x:v>
      </x:c>
      <x:c r="O1827" s="48" t="n">
        <x:v>0.9717300436668171</x:v>
      </x:c>
      <x:c r="P1827" s="48" t="n">
        <x:v>0.7768319073432466</x:v>
      </x:c>
      <x:c r="Q1827" s="48" t="n">
        <x:v>1</x:v>
      </x:c>
      <x:c r="R1827" s="48" t="n">
        <x:v>0.9650910410807387</x:v>
      </x:c>
      <x:c r="S1827" s="29" t="n">
        <x:v>0</x:v>
      </x:c>
    </x:row>
    <x:row r="1828" ht="21.600000381469727" hidden="0" customHeight="1">
      <x:c r="A1828" s="27" t="n">
        <x:v>608</x:v>
      </x:c>
      <x:c r="B1828" s="27" t="str">
        <x:v>A3</x:v>
      </x:c>
      <x:c r="C1828" s="47" t="n">
        <x:v>1.029195165968651</x:v>
      </x:c>
      <x:c r="D1828" s="47" t="n">
        <x:v>0.934448070365394</x:v>
      </x:c>
      <x:c r="E1828" s="47" t="n">
        <x:v>0.4890998311720208</x:v>
      </x:c>
      <x:c r="F1828" s="47" t="n">
        <x:v>-0.1338171767051588</x:v>
      </x:c>
      <x:c r="G1828" s="47" t="n">
        <x:v>-0.18806318373892708</x:v>
      </x:c>
      <x:c r="H1828" s="47" t="n">
        <x:v>0.4830149051147797</x:v>
      </x:c>
      <x:c r="I1828" s="47" t="n">
        <x:v>0.7795949229564916</x:v>
      </x:c>
      <x:c r="J1828" s="47" t="n">
        <x:v>0.8041319168652512</x:v>
      </x:c>
      <x:c r="K1828" s="47" t="n">
        <x:v>0.8467761590925924</x:v>
      </x:c>
      <x:c r="L1828" s="47" t="n">
        <x:v>0.5054372662112813</x:v>
      </x:c>
      <x:c r="M1828" s="47" t="n">
        <x:v>0.019320687510776126</x:v>
      </x:c>
      <x:c r="N1828" s="47" t="n">
        <x:v>0.7554247562543921</x:v>
      </x:c>
      <x:c r="O1828" s="47" t="n">
        <x:v>1</x:v>
      </x:c>
      <x:c r="P1828" s="47" t="n">
        <x:v>1</x:v>
      </x:c>
      <x:c r="Q1828" s="47" t="n">
        <x:v>1</x:v>
      </x:c>
      <x:c r="R1828" s="47" t="n">
        <x:v>1</x:v>
      </x:c>
      <x:c r="S1828" s="27" t="n">
        <x:v>1</x:v>
      </x:c>
    </x:row>
    <x:row r="1829" ht="21.600000381469727" hidden="0" customHeight="1">
      <x:c r="A1829" s="29" t="n">
        <x:v>609</x:v>
      </x:c>
      <x:c r="B1829" s="29" t="str">
        <x:v>A1</x:v>
      </x:c>
      <x:c r="C1829" s="48" t="n">
        <x:v>0.9353324807275653</x:v>
      </x:c>
      <x:c r="D1829" s="48" t="n">
        <x:v>0.9364343924183347</x:v>
      </x:c>
      <x:c r="E1829" s="48" t="n">
        <x:v>0.861740049183147</x:v>
      </x:c>
      <x:c r="F1829" s="48" t="n">
        <x:v>-0.07116771618766002</x:v>
      </x:c>
      <x:c r="G1829" s="48" t="n">
        <x:v>-0.046443173607796345</x:v>
      </x:c>
      <x:c r="H1829" s="48" t="n">
        <x:v>0.78397910415182</x:v>
      </x:c>
      <x:c r="I1829" s="48" t="n">
        <x:v>0.9075219629631968</x:v>
      </x:c>
      <x:c r="J1829" s="48" t="n">
        <x:v>0.6010144956660185</x:v>
      </x:c>
      <x:c r="K1829" s="48" t="n">
        <x:v>0.877616073147953</x:v>
      </x:c>
      <x:c r="L1829" s="48" t="n">
        <x:v>0.7431951155670964</x:v>
      </x:c>
      <x:c r="M1829" s="48" t="n">
        <x:v>0.020950223750125892</x:v>
      </x:c>
      <x:c r="N1829" s="48" t="n">
        <x:v>0.7180357979111065</x:v>
      </x:c>
      <x:c r="O1829" s="48" t="n">
        <x:v>0.949362753507757</x:v>
      </x:c>
      <x:c r="P1829" s="48" t="n">
        <x:v>0.7680971126937584</x:v>
      </x:c>
      <x:c r="Q1829" s="48" t="n">
        <x:v>1</x:v>
      </x:c>
      <x:c r="R1829" s="48" t="n">
        <x:v>0.937470948424942</x:v>
      </x:c>
      <x:c r="S1829" s="29" t="n">
        <x:v>0</x:v>
      </x:c>
    </x:row>
    <x:row r="1830" ht="21.600000381469727" hidden="0" customHeight="1">
      <x:c r="A1830" s="27" t="n">
        <x:v>609</x:v>
      </x:c>
      <x:c r="B1830" s="27" t="str">
        <x:v>A2</x:v>
      </x:c>
      <x:c r="C1830" s="47" t="n">
        <x:v>0.9353324807275653</x:v>
      </x:c>
      <x:c r="D1830" s="47" t="n">
        <x:v>0.9364343924183347</x:v>
      </x:c>
      <x:c r="E1830" s="47" t="n">
        <x:v>0.861740049183147</x:v>
      </x:c>
      <x:c r="F1830" s="47" t="n">
        <x:v>-0.07116771618766002</x:v>
      </x:c>
      <x:c r="G1830" s="47" t="n">
        <x:v>-0.046443173607796345</x:v>
      </x:c>
      <x:c r="H1830" s="47" t="n">
        <x:v>0.78397910415182</x:v>
      </x:c>
      <x:c r="I1830" s="47" t="n">
        <x:v>0.9075219629631968</x:v>
      </x:c>
      <x:c r="J1830" s="47" t="n">
        <x:v>0.6010144956660185</x:v>
      </x:c>
      <x:c r="K1830" s="47" t="n">
        <x:v>0.877616073147953</x:v>
      </x:c>
      <x:c r="L1830" s="47" t="n">
        <x:v>0.7431951155670964</x:v>
      </x:c>
      <x:c r="M1830" s="47" t="n">
        <x:v>0.020950223750125892</x:v>
      </x:c>
      <x:c r="N1830" s="47" t="n">
        <x:v>0.7180357979111065</x:v>
      </x:c>
      <x:c r="O1830" s="47" t="n">
        <x:v>1</x:v>
      </x:c>
      <x:c r="P1830" s="47" t="n">
        <x:v>0.9999999999999999</x:v>
      </x:c>
      <x:c r="Q1830" s="47" t="n">
        <x:v>1</x:v>
      </x:c>
      <x:c r="R1830" s="47" t="n">
        <x:v>1</x:v>
      </x:c>
      <x:c r="S1830" s="27" t="n">
        <x:v>1</x:v>
      </x:c>
    </x:row>
    <x:row r="1831" ht="21.600000381469727" hidden="0" customHeight="1">
      <x:c r="A1831" s="29" t="n">
        <x:v>609</x:v>
      </x:c>
      <x:c r="B1831" s="29" t="str">
        <x:v>A3</x:v>
      </x:c>
      <x:c r="C1831" s="48" t="n">
        <x:v>0.9353324807275653</x:v>
      </x:c>
      <x:c r="D1831" s="48" t="n">
        <x:v>0.9364343924183347</x:v>
      </x:c>
      <x:c r="E1831" s="48" t="n">
        <x:v>0.861740049183147</x:v>
      </x:c>
      <x:c r="F1831" s="48" t="n">
        <x:v>-0.07116771618766002</x:v>
      </x:c>
      <x:c r="G1831" s="48" t="n">
        <x:v>-0.046443173607796345</x:v>
      </x:c>
      <x:c r="H1831" s="48" t="n">
        <x:v>0.78397910415182</x:v>
      </x:c>
      <x:c r="I1831" s="48" t="n">
        <x:v>0.9075219629631968</x:v>
      </x:c>
      <x:c r="J1831" s="48" t="n">
        <x:v>0.6010144956660185</x:v>
      </x:c>
      <x:c r="K1831" s="48" t="n">
        <x:v>0.877616073147953</x:v>
      </x:c>
      <x:c r="L1831" s="48" t="n">
        <x:v>0.7431951155670964</x:v>
      </x:c>
      <x:c r="M1831" s="48" t="n">
        <x:v>0.020950223750125892</x:v>
      </x:c>
      <x:c r="N1831" s="48" t="n">
        <x:v>0.7180357979111065</x:v>
      </x:c>
      <x:c r="O1831" s="48" t="n">
        <x:v>1</x:v>
      </x:c>
      <x:c r="P1831" s="48" t="n">
        <x:v>1</x:v>
      </x:c>
      <x:c r="Q1831" s="48" t="n">
        <x:v>1</x:v>
      </x:c>
      <x:c r="R1831" s="48" t="n">
        <x:v>1</x:v>
      </x:c>
      <x:c r="S1831" s="29" t="n">
        <x:v>1</x:v>
      </x:c>
    </x:row>
    <x:row r="1832" ht="21.600000381469727" hidden="0" customHeight="1">
      <x:c r="A1832" s="27" t="n">
        <x:v>610</x:v>
      </x:c>
      <x:c r="B1832" s="27" t="str">
        <x:v>A1</x:v>
      </x:c>
      <x:c r="C1832" s="47" t="n">
        <x:v>1.1514037757599658</x:v>
      </x:c>
      <x:c r="D1832" s="47" t="n">
        <x:v>0.7574513601085805</x:v>
      </x:c>
      <x:c r="E1832" s="47" t="n">
        <x:v>0.550811907050105</x:v>
      </x:c>
      <x:c r="F1832" s="47" t="n">
        <x:v>-0.07547120693177496</x:v>
      </x:c>
      <x:c r="G1832" s="47" t="n">
        <x:v>-0.03517394438476815</x:v>
      </x:c>
      <x:c r="H1832" s="47" t="n">
        <x:v>0.7192641983938766</x:v>
      </x:c>
      <x:c r="I1832" s="47" t="n">
        <x:v>0.626770742609998</x:v>
      </x:c>
      <x:c r="J1832" s="47" t="n">
        <x:v>0.5518513488141356</x:v>
      </x:c>
      <x:c r="K1832" s="47" t="n">
        <x:v>0.5778323934648975</x:v>
      </x:c>
      <x:c r="L1832" s="47" t="n">
        <x:v>0.8548304941913728</x:v>
      </x:c>
      <x:c r="M1832" s="47" t="n">
        <x:v>0.04126349915782301</x:v>
      </x:c>
      <x:c r="N1832" s="47" t="n">
        <x:v>0.9484777620095206</x:v>
      </x:c>
      <x:c r="O1832" s="47" t="n">
        <x:v>0.7438872346271792</x:v>
      </x:c>
      <x:c r="P1832" s="47" t="n">
        <x:v>0.435602277023993</x:v>
      </x:c>
      <x:c r="Q1832" s="47" t="n">
        <x:v>0.9438279616870328</x:v>
      </x:c>
      <x:c r="R1832" s="47" t="n">
        <x:v>0.6841581148176458</x:v>
      </x:c>
      <x:c r="S1832" s="27" t="n">
        <x:v>0</x:v>
      </x:c>
    </x:row>
    <x:row r="1833" ht="21.600000381469727" hidden="0" customHeight="1">
      <x:c r="A1833" s="29" t="n">
        <x:v>610</x:v>
      </x:c>
      <x:c r="B1833" s="29" t="str">
        <x:v>A2</x:v>
      </x:c>
      <x:c r="C1833" s="48" t="n">
        <x:v>1.1514037757599658</x:v>
      </x:c>
      <x:c r="D1833" s="48" t="n">
        <x:v>0.7574513601085805</x:v>
      </x:c>
      <x:c r="E1833" s="48" t="n">
        <x:v>0.550811907050105</x:v>
      </x:c>
      <x:c r="F1833" s="48" t="n">
        <x:v>-0.07547120693177496</x:v>
      </x:c>
      <x:c r="G1833" s="48" t="n">
        <x:v>-0.03517394438476815</x:v>
      </x:c>
      <x:c r="H1833" s="48" t="n">
        <x:v>0.7192641983938766</x:v>
      </x:c>
      <x:c r="I1833" s="48" t="n">
        <x:v>0.626770742609998</x:v>
      </x:c>
      <x:c r="J1833" s="48" t="n">
        <x:v>0.5518513488141356</x:v>
      </x:c>
      <x:c r="K1833" s="48" t="n">
        <x:v>0.5778323934648975</x:v>
      </x:c>
      <x:c r="L1833" s="48" t="n">
        <x:v>0.8548304941913728</x:v>
      </x:c>
      <x:c r="M1833" s="48" t="n">
        <x:v>0.04126349915782301</x:v>
      </x:c>
      <x:c r="N1833" s="48" t="n">
        <x:v>0.9484777620095206</x:v>
      </x:c>
      <x:c r="O1833" s="48" t="n">
        <x:v>0.8178569432897917</x:v>
      </x:c>
      <x:c r="P1833" s="48" t="n">
        <x:v>0.4721256984685152</x:v>
      </x:c>
      <x:c r="Q1833" s="48" t="n">
        <x:v>1</x:v>
      </x:c>
      <x:c r="R1833" s="48" t="n">
        <x:v>0.7750819134919587</x:v>
      </x:c>
      <x:c r="S1833" s="29" t="n">
        <x:v>0</x:v>
      </x:c>
    </x:row>
    <x:row r="1834" ht="21.600000381469727" hidden="0" customHeight="1">
      <x:c r="A1834" s="27" t="n">
        <x:v>610</x:v>
      </x:c>
      <x:c r="B1834" s="27" t="str">
        <x:v>A3</x:v>
      </x:c>
      <x:c r="C1834" s="47" t="n">
        <x:v>1.1514037757599658</x:v>
      </x:c>
      <x:c r="D1834" s="47" t="n">
        <x:v>0.7574513601085805</x:v>
      </x:c>
      <x:c r="E1834" s="47" t="n">
        <x:v>0.550811907050105</x:v>
      </x:c>
      <x:c r="F1834" s="47" t="n">
        <x:v>-0.07547120693177496</x:v>
      </x:c>
      <x:c r="G1834" s="47" t="n">
        <x:v>-0.03517394438476815</x:v>
      </x:c>
      <x:c r="H1834" s="47" t="n">
        <x:v>0.7192641983938766</x:v>
      </x:c>
      <x:c r="I1834" s="47" t="n">
        <x:v>0.626770742609998</x:v>
      </x:c>
      <x:c r="J1834" s="47" t="n">
        <x:v>0.5518513488141356</x:v>
      </x:c>
      <x:c r="K1834" s="47" t="n">
        <x:v>0.5778323934648975</x:v>
      </x:c>
      <x:c r="L1834" s="47" t="n">
        <x:v>0.8548304941913728</x:v>
      </x:c>
      <x:c r="M1834" s="47" t="n">
        <x:v>0.04126349915782301</x:v>
      </x:c>
      <x:c r="N1834" s="47" t="n">
        <x:v>0.9484777620095206</x:v>
      </x:c>
      <x:c r="O1834" s="47" t="n">
        <x:v>1</x:v>
      </x:c>
      <x:c r="P1834" s="47" t="n">
        <x:v>1</x:v>
      </x:c>
      <x:c r="Q1834" s="47" t="n">
        <x:v>1</x:v>
      </x:c>
      <x:c r="R1834" s="47" t="n">
        <x:v>1</x:v>
      </x:c>
      <x:c r="S1834" s="27" t="n">
        <x:v>1</x:v>
      </x:c>
    </x:row>
    <x:row r="1835" ht="21.600000381469727" hidden="0" customHeight="1">
      <x:c r="A1835" s="29" t="n">
        <x:v>611</x:v>
      </x:c>
      <x:c r="B1835" s="29" t="str">
        <x:v>A1</x:v>
      </x:c>
      <x:c r="C1835" s="48" t="n">
        <x:v>1.3272848590916353</x:v>
      </x:c>
      <x:c r="D1835" s="48" t="n">
        <x:v>0.7775720329973678</x:v>
      </x:c>
      <x:c r="E1835" s="48" t="n">
        <x:v>0.7011971667245869</x:v>
      </x:c>
      <x:c r="F1835" s="48" t="n">
        <x:v>-0.08843485635382721</x:v>
      </x:c>
      <x:c r="G1835" s="48" t="n">
        <x:v>0.02414801137836528</x:v>
      </x:c>
      <x:c r="H1835" s="48" t="n">
        <x:v>1.0983046592746957</x:v>
      </x:c>
      <x:c r="I1835" s="48" t="n">
        <x:v>0.9791217710585378</x:v>
      </x:c>
      <x:c r="J1835" s="48" t="n">
        <x:v>0.6622840551676019</x:v>
      </x:c>
      <x:c r="K1835" s="48" t="n">
        <x:v>0.7759762394327141</x:v>
      </x:c>
      <x:c r="L1835" s="48" t="n">
        <x:v>0.8142021859985069</x:v>
      </x:c>
      <x:c r="M1835" s="48" t="n">
        <x:v>0.15794290280326445</x:v>
      </x:c>
      <x:c r="N1835" s="48" t="n">
        <x:v>0.8359435422703408</x:v>
      </x:c>
      <x:c r="O1835" s="48" t="n">
        <x:v>0.71802324249689</x:v>
      </x:c>
      <x:c r="P1835" s="48" t="n">
        <x:v>0.45308172370494554</x:v>
      </x:c>
      <x:c r="Q1835" s="48" t="n">
        <x:v>1</x:v>
      </x:c>
      <x:c r="R1835" s="48" t="n">
        <x:v>0.6518029625568098</x:v>
      </x:c>
      <x:c r="S1835" s="29" t="n">
        <x:v>0</x:v>
      </x:c>
    </x:row>
    <x:row r="1836" ht="21.600000381469727" hidden="0" customHeight="1">
      <x:c r="A1836" s="27" t="n">
        <x:v>611</x:v>
      </x:c>
      <x:c r="B1836" s="27" t="str">
        <x:v>A2</x:v>
      </x:c>
      <x:c r="C1836" s="47" t="n">
        <x:v>1.3272848590916353</x:v>
      </x:c>
      <x:c r="D1836" s="47" t="n">
        <x:v>0.7775720329973678</x:v>
      </x:c>
      <x:c r="E1836" s="47" t="n">
        <x:v>0.7011971667245869</x:v>
      </x:c>
      <x:c r="F1836" s="47" t="n">
        <x:v>-0.08843485635382721</x:v>
      </x:c>
      <x:c r="G1836" s="47" t="n">
        <x:v>0.02414801137836528</x:v>
      </x:c>
      <x:c r="H1836" s="47" t="n">
        <x:v>1.0983046592746957</x:v>
      </x:c>
      <x:c r="I1836" s="47" t="n">
        <x:v>0.9791217710585378</x:v>
      </x:c>
      <x:c r="J1836" s="47" t="n">
        <x:v>0.6622840551676019</x:v>
      </x:c>
      <x:c r="K1836" s="47" t="n">
        <x:v>0.7759762394327141</x:v>
      </x:c>
      <x:c r="L1836" s="47" t="n">
        <x:v>0.8142021859985069</x:v>
      </x:c>
      <x:c r="M1836" s="47" t="n">
        <x:v>0.15794290280326445</x:v>
      </x:c>
      <x:c r="N1836" s="47" t="n">
        <x:v>0.8359435422703408</x:v>
      </x:c>
      <x:c r="O1836" s="47" t="n">
        <x:v>0.7938928030158923</x:v>
      </x:c>
      <x:c r="P1836" s="47" t="n">
        <x:v>0.4391567208449649</x:v>
      </x:c>
      <x:c r="Q1836" s="47" t="n">
        <x:v>1</x:v>
      </x:c>
      <x:c r="R1836" s="47" t="n">
        <x:v>0.7454899615802739</x:v>
      </x:c>
      <x:c r="S1836" s="27" t="n">
        <x:v>0</x:v>
      </x:c>
    </x:row>
    <x:row r="1837" ht="21.600000381469727" hidden="0" customHeight="1">
      <x:c r="A1837" s="29" t="n">
        <x:v>611</x:v>
      </x:c>
      <x:c r="B1837" s="29" t="str">
        <x:v>A3</x:v>
      </x:c>
      <x:c r="C1837" s="48" t="n">
        <x:v>1.3272848590916353</x:v>
      </x:c>
      <x:c r="D1837" s="48" t="n">
        <x:v>0.7775720329973678</x:v>
      </x:c>
      <x:c r="E1837" s="48" t="n">
        <x:v>0.7011971667245869</x:v>
      </x:c>
      <x:c r="F1837" s="48" t="n">
        <x:v>-0.08843485635382721</x:v>
      </x:c>
      <x:c r="G1837" s="48" t="n">
        <x:v>0.02414801137836528</x:v>
      </x:c>
      <x:c r="H1837" s="48" t="n">
        <x:v>1.0983046592746957</x:v>
      </x:c>
      <x:c r="I1837" s="48" t="n">
        <x:v>0.9791217710585378</x:v>
      </x:c>
      <x:c r="J1837" s="48" t="n">
        <x:v>0.6622840551676019</x:v>
      </x:c>
      <x:c r="K1837" s="48" t="n">
        <x:v>0.7759762394327141</x:v>
      </x:c>
      <x:c r="L1837" s="48" t="n">
        <x:v>0.8142021859985069</x:v>
      </x:c>
      <x:c r="M1837" s="48" t="n">
        <x:v>0.15794290280326445</x:v>
      </x:c>
      <x:c r="N1837" s="48" t="n">
        <x:v>0.8359435422703408</x:v>
      </x:c>
      <x:c r="O1837" s="48" t="n">
        <x:v>1</x:v>
      </x:c>
      <x:c r="P1837" s="48" t="n">
        <x:v>1</x:v>
      </x:c>
      <x:c r="Q1837" s="48" t="n">
        <x:v>1</x:v>
      </x:c>
      <x:c r="R1837" s="48" t="n">
        <x:v>1</x:v>
      </x:c>
      <x:c r="S1837" s="29" t="n">
        <x:v>1</x:v>
      </x:c>
    </x:row>
    <x:row r="1838" ht="21.600000381469727" hidden="0" customHeight="1">
      <x:c r="A1838" s="27" t="n">
        <x:v>612</x:v>
      </x:c>
      <x:c r="B1838" s="27" t="str">
        <x:v>A1</x:v>
      </x:c>
      <x:c r="C1838" s="47" t="n">
        <x:v>0.9480077094121949</x:v>
      </x:c>
      <x:c r="D1838" s="47" t="n">
        <x:v>0.8943085514133063</x:v>
      </x:c>
      <x:c r="E1838" s="47" t="n">
        <x:v>0.8413778656300692</x:v>
      </x:c>
      <x:c r="F1838" s="47" t="n">
        <x:v>-0.003354548161150911</x:v>
      </x:c>
      <x:c r="G1838" s="47" t="n">
        <x:v>-0.10123351157823328</x:v>
      </x:c>
      <x:c r="H1838" s="47" t="n">
        <x:v>1.0394079621537482</x:v>
      </x:c>
      <x:c r="I1838" s="47" t="n">
        <x:v>0.9357576924979812</x:v>
      </x:c>
      <x:c r="J1838" s="47" t="n">
        <x:v>0.7217238476891508</x:v>
      </x:c>
      <x:c r="K1838" s="47" t="n">
        <x:v>0.9495779787191877</x:v>
      </x:c>
      <x:c r="L1838" s="47" t="n">
        <x:v>0.8299351887780608</x:v>
      </x:c>
      <x:c r="M1838" s="47" t="n">
        <x:v>0.11353355033655747</x:v>
      </x:c>
      <x:c r="N1838" s="47" t="n">
        <x:v>0.8587479540159044</x:v>
      </x:c>
      <x:c r="O1838" s="47" t="n">
        <x:v>0.9599794246958874</x:v>
      </x:c>
      <x:c r="P1838" s="47" t="n">
        <x:v>0.7637181158023901</x:v>
      </x:c>
      <x:c r="Q1838" s="47" t="n">
        <x:v>1</x:v>
      </x:c>
      <x:c r="R1838" s="47" t="n">
        <x:v>0.9505808709871754</x:v>
      </x:c>
      <x:c r="S1838" s="27" t="n">
        <x:v>0</x:v>
      </x:c>
    </x:row>
    <x:row r="1839" ht="21.600000381469727" hidden="0" customHeight="1">
      <x:c r="A1839" s="29" t="n">
        <x:v>612</x:v>
      </x:c>
      <x:c r="B1839" s="29" t="str">
        <x:v>A2</x:v>
      </x:c>
      <x:c r="C1839" s="48" t="n">
        <x:v>0.9480077094121949</x:v>
      </x:c>
      <x:c r="D1839" s="48" t="n">
        <x:v>0.8943085514133063</x:v>
      </x:c>
      <x:c r="E1839" s="48" t="n">
        <x:v>0.8413778656300692</x:v>
      </x:c>
      <x:c r="F1839" s="48" t="n">
        <x:v>-0.003354548161150911</x:v>
      </x:c>
      <x:c r="G1839" s="48" t="n">
        <x:v>-0.10123351157823328</x:v>
      </x:c>
      <x:c r="H1839" s="48" t="n">
        <x:v>1.0394079621537482</x:v>
      </x:c>
      <x:c r="I1839" s="48" t="n">
        <x:v>0.9357576924979812</x:v>
      </x:c>
      <x:c r="J1839" s="48" t="n">
        <x:v>0.7217238476891508</x:v>
      </x:c>
      <x:c r="K1839" s="48" t="n">
        <x:v>0.9495779787191877</x:v>
      </x:c>
      <x:c r="L1839" s="48" t="n">
        <x:v>0.8299351887780608</x:v>
      </x:c>
      <x:c r="M1839" s="48" t="n">
        <x:v>0.11353355033655747</x:v>
      </x:c>
      <x:c r="N1839" s="48" t="n">
        <x:v>0.8587479540159044</x:v>
      </x:c>
      <x:c r="O1839" s="48" t="n">
        <x:v>1</x:v>
      </x:c>
      <x:c r="P1839" s="48" t="n">
        <x:v>0.9999999999999999</x:v>
      </x:c>
      <x:c r="Q1839" s="48" t="n">
        <x:v>1</x:v>
      </x:c>
      <x:c r="R1839" s="48" t="n">
        <x:v>1</x:v>
      </x:c>
      <x:c r="S1839" s="29" t="n">
        <x:v>1</x:v>
      </x:c>
    </x:row>
    <x:row r="1840" ht="21.600000381469727" hidden="0" customHeight="1">
      <x:c r="A1840" s="27" t="n">
        <x:v>612</x:v>
      </x:c>
      <x:c r="B1840" s="27" t="str">
        <x:v>A3</x:v>
      </x:c>
      <x:c r="C1840" s="47" t="n">
        <x:v>0.9480077094121949</x:v>
      </x:c>
      <x:c r="D1840" s="47" t="n">
        <x:v>0.8943085514133063</x:v>
      </x:c>
      <x:c r="E1840" s="47" t="n">
        <x:v>0.8413778656300692</x:v>
      </x:c>
      <x:c r="F1840" s="47" t="n">
        <x:v>-0.003354548161150911</x:v>
      </x:c>
      <x:c r="G1840" s="47" t="n">
        <x:v>-0.10123351157823328</x:v>
      </x:c>
      <x:c r="H1840" s="47" t="n">
        <x:v>1.0394079621537482</x:v>
      </x:c>
      <x:c r="I1840" s="47" t="n">
        <x:v>0.9357576924979812</x:v>
      </x:c>
      <x:c r="J1840" s="47" t="n">
        <x:v>0.7217238476891508</x:v>
      </x:c>
      <x:c r="K1840" s="47" t="n">
        <x:v>0.9495779787191877</x:v>
      </x:c>
      <x:c r="L1840" s="47" t="n">
        <x:v>0.8299351887780608</x:v>
      </x:c>
      <x:c r="M1840" s="47" t="n">
        <x:v>0.11353355033655747</x:v>
      </x:c>
      <x:c r="N1840" s="47" t="n">
        <x:v>0.8587479540159044</x:v>
      </x:c>
      <x:c r="O1840" s="47" t="n">
        <x:v>1</x:v>
      </x:c>
      <x:c r="P1840" s="47" t="n">
        <x:v>1</x:v>
      </x:c>
      <x:c r="Q1840" s="47" t="n">
        <x:v>1</x:v>
      </x:c>
      <x:c r="R1840" s="47" t="n">
        <x:v>1</x:v>
      </x:c>
      <x:c r="S1840" s="27" t="n">
        <x:v>1</x:v>
      </x:c>
    </x:row>
    <x:row r="1841" ht="21.600000381469727" hidden="0" customHeight="1">
      <x:c r="A1841" s="29" t="n">
        <x:v>613</x:v>
      </x:c>
      <x:c r="B1841" s="29" t="str">
        <x:v>A1</x:v>
      </x:c>
      <x:c r="C1841" s="48" t="n">
        <x:v>1.1527407237033025</x:v>
      </x:c>
      <x:c r="D1841" s="48" t="n">
        <x:v>0.8390434506650751</x:v>
      </x:c>
      <x:c r="E1841" s="48" t="n">
        <x:v>0.49025117275441166</x:v>
      </x:c>
      <x:c r="F1841" s="48" t="n">
        <x:v>-0.19350143633045871</x:v>
      </x:c>
      <x:c r="G1841" s="48" t="n">
        <x:v>-0.06452485717773776</x:v>
      </x:c>
      <x:c r="H1841" s="48" t="n">
        <x:v>0.5695221269566754</x:v>
      </x:c>
      <x:c r="I1841" s="48" t="n">
        <x:v>0.7417371044778127</x:v>
      </x:c>
      <x:c r="J1841" s="48" t="n">
        <x:v>0.8474586587397657</x:v>
      </x:c>
      <x:c r="K1841" s="48" t="n">
        <x:v>0.9635135361449941</x:v>
      </x:c>
      <x:c r="L1841" s="48" t="n">
        <x:v>0.5061747495184223</x:v>
      </x:c>
      <x:c r="M1841" s="48" t="n">
        <x:v>0.007491094581099951</x:v>
      </x:c>
      <x:c r="N1841" s="48" t="n">
        <x:v>0.7028980845954579</x:v>
      </x:c>
      <x:c r="O1841" s="48" t="n">
        <x:v>0.8152757964203474</x:v>
      </x:c>
      <x:c r="P1841" s="48" t="n">
        <x:v>0.5443954507674134</x:v>
      </x:c>
      <x:c r="Q1841" s="48" t="n">
        <x:v>1</x:v>
      </x:c>
      <x:c r="R1841" s="48" t="n">
        <x:v>0.7718946022358657</x:v>
      </x:c>
      <x:c r="S1841" s="29" t="n">
        <x:v>0</x:v>
      </x:c>
    </x:row>
    <x:row r="1842" ht="21.600000381469727" hidden="0" customHeight="1">
      <x:c r="A1842" s="27" t="n">
        <x:v>613</x:v>
      </x:c>
      <x:c r="B1842" s="27" t="str">
        <x:v>A2</x:v>
      </x:c>
      <x:c r="C1842" s="47" t="n">
        <x:v>1.1527407237033025</x:v>
      </x:c>
      <x:c r="D1842" s="47" t="n">
        <x:v>0.8390434506650751</x:v>
      </x:c>
      <x:c r="E1842" s="47" t="n">
        <x:v>0.49025117275441166</x:v>
      </x:c>
      <x:c r="F1842" s="47" t="n">
        <x:v>-0.19350143633045871</x:v>
      </x:c>
      <x:c r="G1842" s="47" t="n">
        <x:v>-0.06452485717773776</x:v>
      </x:c>
      <x:c r="H1842" s="47" t="n">
        <x:v>0.5695221269566754</x:v>
      </x:c>
      <x:c r="I1842" s="47" t="n">
        <x:v>0.7417371044778127</x:v>
      </x:c>
      <x:c r="J1842" s="47" t="n">
        <x:v>0.8474586587397657</x:v>
      </x:c>
      <x:c r="K1842" s="47" t="n">
        <x:v>0.9635135361449941</x:v>
      </x:c>
      <x:c r="L1842" s="47" t="n">
        <x:v>0.5061747495184223</x:v>
      </x:c>
      <x:c r="M1842" s="47" t="n">
        <x:v>0.007491094581099951</x:v>
      </x:c>
      <x:c r="N1842" s="47" t="n">
        <x:v>0.7028980845954579</x:v>
      </x:c>
      <x:c r="O1842" s="47" t="n">
        <x:v>0.8856783422469704</x:v>
      </x:c>
      <x:c r="P1842" s="47" t="n">
        <x:v>0.5859789581576526</x:v>
      </x:c>
      <x:c r="Q1842" s="47" t="n">
        <x:v>1</x:v>
      </x:c>
      <x:c r="R1842" s="47" t="n">
        <x:v>0.8588306961975042</x:v>
      </x:c>
      <x:c r="S1842" s="27" t="n">
        <x:v>0</x:v>
      </x:c>
    </x:row>
    <x:row r="1843" ht="21.600000381469727" hidden="0" customHeight="1">
      <x:c r="A1843" s="29" t="n">
        <x:v>613</x:v>
      </x:c>
      <x:c r="B1843" s="29" t="str">
        <x:v>A3</x:v>
      </x:c>
      <x:c r="C1843" s="48" t="n">
        <x:v>1.1527407237033025</x:v>
      </x:c>
      <x:c r="D1843" s="48" t="n">
        <x:v>0.8390434506650751</x:v>
      </x:c>
      <x:c r="E1843" s="48" t="n">
        <x:v>0.49025117275441166</x:v>
      </x:c>
      <x:c r="F1843" s="48" t="n">
        <x:v>-0.19350143633045871</x:v>
      </x:c>
      <x:c r="G1843" s="48" t="n">
        <x:v>-0.06452485717773776</x:v>
      </x:c>
      <x:c r="H1843" s="48" t="n">
        <x:v>0.5695221269566754</x:v>
      </x:c>
      <x:c r="I1843" s="48" t="n">
        <x:v>0.7417371044778127</x:v>
      </x:c>
      <x:c r="J1843" s="48" t="n">
        <x:v>0.8474586587397657</x:v>
      </x:c>
      <x:c r="K1843" s="48" t="n">
        <x:v>0.9635135361449941</x:v>
      </x:c>
      <x:c r="L1843" s="48" t="n">
        <x:v>0.5061747495184223</x:v>
      </x:c>
      <x:c r="M1843" s="48" t="n">
        <x:v>0.007491094581099951</x:v>
      </x:c>
      <x:c r="N1843" s="48" t="n">
        <x:v>0.7028980845954579</x:v>
      </x:c>
      <x:c r="O1843" s="48" t="n">
        <x:v>1</x:v>
      </x:c>
      <x:c r="P1843" s="48" t="n">
        <x:v>1</x:v>
      </x:c>
      <x:c r="Q1843" s="48" t="n">
        <x:v>1</x:v>
      </x:c>
      <x:c r="R1843" s="48" t="n">
        <x:v>1</x:v>
      </x:c>
      <x:c r="S1843" s="29" t="n">
        <x:v>1</x:v>
      </x:c>
    </x:row>
    <x:row r="1844" ht="21.600000381469727" hidden="0" customHeight="1">
      <x:c r="A1844" s="27" t="n">
        <x:v>614</x:v>
      </x:c>
      <x:c r="B1844" s="27" t="str">
        <x:v>A1</x:v>
      </x:c>
      <x:c r="C1844" s="47" t="n">
        <x:v>1.179319794146834</x:v>
      </x:c>
      <x:c r="D1844" s="47" t="n">
        <x:v>0.7535533311056082</x:v>
      </x:c>
      <x:c r="E1844" s="47" t="n">
        <x:v>0.7370007291211511</x:v>
      </x:c>
      <x:c r="F1844" s="47" t="n">
        <x:v>-0.05187309416081892</x:v>
      </x:c>
      <x:c r="G1844" s="47" t="n">
        <x:v>-0.1185932416047071</x:v>
      </x:c>
      <x:c r="H1844" s="47" t="n">
        <x:v>0.48046396732915353</x:v>
      </x:c>
      <x:c r="I1844" s="47" t="n">
        <x:v>0.986738872409141</x:v>
      </x:c>
      <x:c r="J1844" s="47" t="n">
        <x:v>0.4569151364090067</x:v>
      </x:c>
      <x:c r="K1844" s="47" t="n">
        <x:v>0.6035599906257271</x:v>
      </x:c>
      <x:c r="L1844" s="47" t="n">
        <x:v>0.8181153289567555</x:v>
      </x:c>
      <x:c r="M1844" s="47" t="n">
        <x:v>0.10476510713961597</x:v>
      </x:c>
      <x:c r="N1844" s="47" t="n">
        <x:v>0.690836532689075</x:v>
      </x:c>
      <x:c r="O1844" s="47" t="n">
        <x:v>0.7568781943285277</x:v>
      </x:c>
      <x:c r="P1844" s="47" t="n">
        <x:v>0.4910491412681805</x:v>
      </x:c>
      <x:c r="Q1844" s="47" t="n">
        <x:v>0.9999999999999999</x:v>
      </x:c>
      <x:c r="R1844" s="47" t="n">
        <x:v>0.6997827295332595</x:v>
      </x:c>
      <x:c r="S1844" s="27" t="n">
        <x:v>0</x:v>
      </x:c>
    </x:row>
    <x:row r="1845" ht="21.600000381469727" hidden="0" customHeight="1">
      <x:c r="A1845" s="29" t="n">
        <x:v>614</x:v>
      </x:c>
      <x:c r="B1845" s="29" t="str">
        <x:v>A2</x:v>
      </x:c>
      <x:c r="C1845" s="48" t="n">
        <x:v>1.179319794146834</x:v>
      </x:c>
      <x:c r="D1845" s="48" t="n">
        <x:v>0.7535533311056082</x:v>
      </x:c>
      <x:c r="E1845" s="48" t="n">
        <x:v>0.7370007291211511</x:v>
      </x:c>
      <x:c r="F1845" s="48" t="n">
        <x:v>-0.05187309416081892</x:v>
      </x:c>
      <x:c r="G1845" s="48" t="n">
        <x:v>-0.1185932416047071</x:v>
      </x:c>
      <x:c r="H1845" s="48" t="n">
        <x:v>0.48046396732915353</x:v>
      </x:c>
      <x:c r="I1845" s="48" t="n">
        <x:v>0.986738872409141</x:v>
      </x:c>
      <x:c r="J1845" s="48" t="n">
        <x:v>0.4569151364090067</x:v>
      </x:c>
      <x:c r="K1845" s="48" t="n">
        <x:v>0.6035599906257271</x:v>
      </x:c>
      <x:c r="L1845" s="48" t="n">
        <x:v>0.8181153289567555</x:v>
      </x:c>
      <x:c r="M1845" s="48" t="n">
        <x:v>0.10476510713961597</x:v>
      </x:c>
      <x:c r="N1845" s="48" t="n">
        <x:v>0.690836532689075</x:v>
      </x:c>
      <x:c r="O1845" s="48" t="n">
        <x:v>0.8269942068299055</x:v>
      </x:c>
      <x:c r="P1845" s="48" t="n">
        <x:v>0.6255369934544704</x:v>
      </x:c>
      <x:c r="Q1845" s="48" t="n">
        <x:v>1</x:v>
      </x:c>
      <x:c r="R1845" s="48" t="n">
        <x:v>0.7863649998114765</x:v>
      </x:c>
      <x:c r="S1845" s="29" t="n">
        <x:v>0</x:v>
      </x:c>
    </x:row>
    <x:row r="1846" ht="21.600000381469727" hidden="0" customHeight="1">
      <x:c r="A1846" s="27" t="n">
        <x:v>614</x:v>
      </x:c>
      <x:c r="B1846" s="27" t="str">
        <x:v>A3</x:v>
      </x:c>
      <x:c r="C1846" s="47" t="n">
        <x:v>1.179319794146834</x:v>
      </x:c>
      <x:c r="D1846" s="47" t="n">
        <x:v>0.7535533311056082</x:v>
      </x:c>
      <x:c r="E1846" s="47" t="n">
        <x:v>0.7370007291211511</x:v>
      </x:c>
      <x:c r="F1846" s="47" t="n">
        <x:v>-0.05187309416081892</x:v>
      </x:c>
      <x:c r="G1846" s="47" t="n">
        <x:v>-0.1185932416047071</x:v>
      </x:c>
      <x:c r="H1846" s="47" t="n">
        <x:v>0.48046396732915353</x:v>
      </x:c>
      <x:c r="I1846" s="47" t="n">
        <x:v>0.986738872409141</x:v>
      </x:c>
      <x:c r="J1846" s="47" t="n">
        <x:v>0.4569151364090067</x:v>
      </x:c>
      <x:c r="K1846" s="47" t="n">
        <x:v>0.6035599906257271</x:v>
      </x:c>
      <x:c r="L1846" s="47" t="n">
        <x:v>0.8181153289567555</x:v>
      </x:c>
      <x:c r="M1846" s="47" t="n">
        <x:v>0.10476510713961597</x:v>
      </x:c>
      <x:c r="N1846" s="47" t="n">
        <x:v>0.690836532689075</x:v>
      </x:c>
      <x:c r="O1846" s="47" t="n">
        <x:v>1</x:v>
      </x:c>
      <x:c r="P1846" s="47" t="n">
        <x:v>1</x:v>
      </x:c>
      <x:c r="Q1846" s="47" t="n">
        <x:v>1</x:v>
      </x:c>
      <x:c r="R1846" s="47" t="n">
        <x:v>1</x:v>
      </x:c>
      <x:c r="S1846" s="27" t="n">
        <x:v>1</x:v>
      </x:c>
    </x:row>
    <x:row r="1847" ht="21.600000381469727" hidden="0" customHeight="1">
      <x:c r="A1847" s="29" t="n">
        <x:v>615</x:v>
      </x:c>
      <x:c r="B1847" s="29" t="str">
        <x:v>A1</x:v>
      </x:c>
      <x:c r="C1847" s="48" t="n">
        <x:v>1.1537345924778124</x:v>
      </x:c>
      <x:c r="D1847" s="48" t="n">
        <x:v>0.8848925196367616</x:v>
      </x:c>
      <x:c r="E1847" s="48" t="n">
        <x:v>0.9658362100941855</x:v>
      </x:c>
      <x:c r="F1847" s="48" t="n">
        <x:v>-0.08157216200225666</x:v>
      </x:c>
      <x:c r="G1847" s="48" t="n">
        <x:v>-0.1427893689660042</x:v>
      </x:c>
      <x:c r="H1847" s="48" t="n">
        <x:v>1.001659000617461</x:v>
      </x:c>
      <x:c r="I1847" s="48" t="n">
        <x:v>0.6525562864942449</x:v>
      </x:c>
      <x:c r="J1847" s="48" t="n">
        <x:v>0.5233396752719462</x:v>
      </x:c>
      <x:c r="K1847" s="48" t="n">
        <x:v>0.6579388711927342</x:v>
      </x:c>
      <x:c r="L1847" s="48" t="n">
        <x:v>0.833330087508029</x:v>
      </x:c>
      <x:c r="M1847" s="48" t="n">
        <x:v>0.14353395930677357</x:v>
      </x:c>
      <x:c r="N1847" s="48" t="n">
        <x:v>0.9334949084544198</x:v>
      </x:c>
      <x:c r="O1847" s="48" t="n">
        <x:v>0.8397047257489819</x:v>
      </x:c>
      <x:c r="P1847" s="48" t="n">
        <x:v>0.5656863457770382</x:v>
      </x:c>
      <x:c r="Q1847" s="48" t="n">
        <x:v>1</x:v>
      </x:c>
      <x:c r="R1847" s="48" t="n">
        <x:v>0.8020604956785043</x:v>
      </x:c>
      <x:c r="S1847" s="29" t="n">
        <x:v>0</x:v>
      </x:c>
    </x:row>
    <x:row r="1848" ht="21.600000381469727" hidden="0" customHeight="1">
      <x:c r="A1848" s="27" t="n">
        <x:v>615</x:v>
      </x:c>
      <x:c r="B1848" s="27" t="str">
        <x:v>A2</x:v>
      </x:c>
      <x:c r="C1848" s="47" t="n">
        <x:v>1.1537345924778124</x:v>
      </x:c>
      <x:c r="D1848" s="47" t="n">
        <x:v>0.8848925196367616</x:v>
      </x:c>
      <x:c r="E1848" s="47" t="n">
        <x:v>0.9658362100941855</x:v>
      </x:c>
      <x:c r="F1848" s="47" t="n">
        <x:v>-0.08157216200225666</x:v>
      </x:c>
      <x:c r="G1848" s="47" t="n">
        <x:v>-0.1427893689660042</x:v>
      </x:c>
      <x:c r="H1848" s="47" t="n">
        <x:v>1.001659000617461</x:v>
      </x:c>
      <x:c r="I1848" s="47" t="n">
        <x:v>0.6525562864942449</x:v>
      </x:c>
      <x:c r="J1848" s="47" t="n">
        <x:v>0.5233396752719462</x:v>
      </x:c>
      <x:c r="K1848" s="47" t="n">
        <x:v>0.6579388711927342</x:v>
      </x:c>
      <x:c r="L1848" s="47" t="n">
        <x:v>0.833330087508029</x:v>
      </x:c>
      <x:c r="M1848" s="47" t="n">
        <x:v>0.14353395930677357</x:v>
      </x:c>
      <x:c r="N1848" s="47" t="n">
        <x:v>0.9334949084544198</x:v>
      </x:c>
      <x:c r="O1848" s="47" t="n">
        <x:v>0.9203556788340861</x:v>
      </x:c>
      <x:c r="P1848" s="47" t="n">
        <x:v>0.6110439797437842</x:v>
      </x:c>
      <x:c r="Q1848" s="47" t="n">
        <x:v>1</x:v>
      </x:c>
      <x:c r="R1848" s="47" t="n">
        <x:v>0.9016517640506618</x:v>
      </x:c>
      <x:c r="S1848" s="27" t="n">
        <x:v>0</x:v>
      </x:c>
    </x:row>
    <x:row r="1849" ht="21.600000381469727" hidden="0" customHeight="1">
      <x:c r="A1849" s="29" t="n">
        <x:v>615</x:v>
      </x:c>
      <x:c r="B1849" s="29" t="str">
        <x:v>A3</x:v>
      </x:c>
      <x:c r="C1849" s="48" t="n">
        <x:v>1.1537345924778124</x:v>
      </x:c>
      <x:c r="D1849" s="48" t="n">
        <x:v>0.8848925196367616</x:v>
      </x:c>
      <x:c r="E1849" s="48" t="n">
        <x:v>0.9658362100941855</x:v>
      </x:c>
      <x:c r="F1849" s="48" t="n">
        <x:v>-0.08157216200225666</x:v>
      </x:c>
      <x:c r="G1849" s="48" t="n">
        <x:v>-0.1427893689660042</x:v>
      </x:c>
      <x:c r="H1849" s="48" t="n">
        <x:v>1.001659000617461</x:v>
      </x:c>
      <x:c r="I1849" s="48" t="n">
        <x:v>0.6525562864942449</x:v>
      </x:c>
      <x:c r="J1849" s="48" t="n">
        <x:v>0.5233396752719462</x:v>
      </x:c>
      <x:c r="K1849" s="48" t="n">
        <x:v>0.6579388711927342</x:v>
      </x:c>
      <x:c r="L1849" s="48" t="n">
        <x:v>0.833330087508029</x:v>
      </x:c>
      <x:c r="M1849" s="48" t="n">
        <x:v>0.14353395930677357</x:v>
      </x:c>
      <x:c r="N1849" s="48" t="n">
        <x:v>0.9334949084544198</x:v>
      </x:c>
      <x:c r="O1849" s="48" t="n">
        <x:v>1</x:v>
      </x:c>
      <x:c r="P1849" s="48" t="n">
        <x:v>1</x:v>
      </x:c>
      <x:c r="Q1849" s="48" t="n">
        <x:v>1</x:v>
      </x:c>
      <x:c r="R1849" s="48" t="n">
        <x:v>1</x:v>
      </x:c>
      <x:c r="S1849" s="29" t="n">
        <x:v>1</x:v>
      </x:c>
    </x:row>
    <x:row r="1850" ht="21.600000381469727" hidden="0" customHeight="1">
      <x:c r="A1850" s="27" t="n">
        <x:v>616</x:v>
      </x:c>
      <x:c r="B1850" s="27" t="str">
        <x:v>A1</x:v>
      </x:c>
      <x:c r="C1850" s="47" t="n">
        <x:v>1.1232640859484062</x:v>
      </x:c>
      <x:c r="D1850" s="47" t="n">
        <x:v>0.8885515471049225</x:v>
      </x:c>
      <x:c r="E1850" s="47" t="n">
        <x:v>0.7982724005404201</x:v>
      </x:c>
      <x:c r="F1850" s="47" t="n">
        <x:v>-0.12451646887094231</x:v>
      </x:c>
      <x:c r="G1850" s="47" t="n">
        <x:v>-0.06805062086431032</x:v>
      </x:c>
      <x:c r="H1850" s="47" t="n">
        <x:v>0.8434306505199021</x:v>
      </x:c>
      <x:c r="I1850" s="47" t="n">
        <x:v>0.6270833302140499</x:v>
      </x:c>
      <x:c r="J1850" s="47" t="n">
        <x:v>0.5267062057007161</x:v>
      </x:c>
      <x:c r="K1850" s="47" t="n">
        <x:v>0.868085855351896</x:v>
      </x:c>
      <x:c r="L1850" s="47" t="n">
        <x:v>0.9367990813427095</x:v>
      </x:c>
      <x:c r="M1850" s="47" t="n">
        <x:v>0.13762417923543147</x:v>
      </x:c>
      <x:c r="N1850" s="47" t="n">
        <x:v>0.9149371072756605</x:v>
      </x:c>
      <x:c r="O1850" s="47" t="n">
        <x:v>0.8579948391228417</x:v>
      </x:c>
      <x:c r="P1850" s="47" t="n">
        <x:v>0.6254299421788885</x:v>
      </x:c>
      <x:c r="Q1850" s="47" t="n">
        <x:v>1</x:v>
      </x:c>
      <x:c r="R1850" s="47" t="n">
        <x:v>0.8246459149438059</x:v>
      </x:c>
      <x:c r="S1850" s="27" t="n">
        <x:v>0</x:v>
      </x:c>
    </x:row>
    <x:row r="1851" ht="21.600000381469727" hidden="0" customHeight="1">
      <x:c r="A1851" s="29" t="n">
        <x:v>616</x:v>
      </x:c>
      <x:c r="B1851" s="29" t="str">
        <x:v>A2</x:v>
      </x:c>
      <x:c r="C1851" s="48" t="n">
        <x:v>1.1232640859484062</x:v>
      </x:c>
      <x:c r="D1851" s="48" t="n">
        <x:v>0.8885515471049225</x:v>
      </x:c>
      <x:c r="E1851" s="48" t="n">
        <x:v>0.7982724005404201</x:v>
      </x:c>
      <x:c r="F1851" s="48" t="n">
        <x:v>-0.12451646887094231</x:v>
      </x:c>
      <x:c r="G1851" s="48" t="n">
        <x:v>-0.06805062086431032</x:v>
      </x:c>
      <x:c r="H1851" s="48" t="n">
        <x:v>0.8434306505199021</x:v>
      </x:c>
      <x:c r="I1851" s="48" t="n">
        <x:v>0.6270833302140499</x:v>
      </x:c>
      <x:c r="J1851" s="48" t="n">
        <x:v>0.5267062057007161</x:v>
      </x:c>
      <x:c r="K1851" s="48" t="n">
        <x:v>0.868085855351896</x:v>
      </x:c>
      <x:c r="L1851" s="48" t="n">
        <x:v>0.9367990813427095</x:v>
      </x:c>
      <x:c r="M1851" s="48" t="n">
        <x:v>0.13762417923543147</x:v>
      </x:c>
      <x:c r="N1851" s="48" t="n">
        <x:v>0.9149371072756605</x:v>
      </x:c>
      <x:c r="O1851" s="48" t="n">
        <x:v>0.9534828508096945</x:v>
      </x:c>
      <x:c r="P1851" s="48" t="n">
        <x:v>0.7450193330493072</x:v>
      </x:c>
      <x:c r="Q1851" s="48" t="n">
        <x:v>1</x:v>
      </x:c>
      <x:c r="R1851" s="48" t="n">
        <x:v>0.9425586219169549</x:v>
      </x:c>
      <x:c r="S1851" s="29" t="n">
        <x:v>0</x:v>
      </x:c>
    </x:row>
    <x:row r="1852" ht="21.600000381469727" hidden="0" customHeight="1">
      <x:c r="A1852" s="27" t="n">
        <x:v>616</x:v>
      </x:c>
      <x:c r="B1852" s="27" t="str">
        <x:v>A3</x:v>
      </x:c>
      <x:c r="C1852" s="47" t="n">
        <x:v>1.1232640859484062</x:v>
      </x:c>
      <x:c r="D1852" s="47" t="n">
        <x:v>0.8885515471049225</x:v>
      </x:c>
      <x:c r="E1852" s="47" t="n">
        <x:v>0.7982724005404201</x:v>
      </x:c>
      <x:c r="F1852" s="47" t="n">
        <x:v>-0.12451646887094231</x:v>
      </x:c>
      <x:c r="G1852" s="47" t="n">
        <x:v>-0.06805062086431032</x:v>
      </x:c>
      <x:c r="H1852" s="47" t="n">
        <x:v>0.8434306505199021</x:v>
      </x:c>
      <x:c r="I1852" s="47" t="n">
        <x:v>0.6270833302140499</x:v>
      </x:c>
      <x:c r="J1852" s="47" t="n">
        <x:v>0.5267062057007161</x:v>
      </x:c>
      <x:c r="K1852" s="47" t="n">
        <x:v>0.868085855351896</x:v>
      </x:c>
      <x:c r="L1852" s="47" t="n">
        <x:v>0.9367990813427095</x:v>
      </x:c>
      <x:c r="M1852" s="47" t="n">
        <x:v>0.13762417923543147</x:v>
      </x:c>
      <x:c r="N1852" s="47" t="n">
        <x:v>0.9149371072756605</x:v>
      </x:c>
      <x:c r="O1852" s="47" t="n">
        <x:v>1</x:v>
      </x:c>
      <x:c r="P1852" s="47" t="n">
        <x:v>1</x:v>
      </x:c>
      <x:c r="Q1852" s="47" t="n">
        <x:v>1</x:v>
      </x:c>
      <x:c r="R1852" s="47" t="n">
        <x:v>1</x:v>
      </x:c>
      <x:c r="S1852" s="27" t="n">
        <x:v>1</x:v>
      </x:c>
    </x:row>
    <x:row r="1853" ht="21.600000381469727" hidden="0" customHeight="1">
      <x:c r="A1853" s="29" t="n">
        <x:v>617</x:v>
      </x:c>
      <x:c r="B1853" s="29" t="str">
        <x:v>A1</x:v>
      </x:c>
      <x:c r="C1853" s="48" t="n">
        <x:v>1.2399234085851818</x:v>
      </x:c>
      <x:c r="D1853" s="48" t="n">
        <x:v>0.8662057431971969</x:v>
      </x:c>
      <x:c r="E1853" s="48" t="n">
        <x:v>0.605696281398975</x:v>
      </x:c>
      <x:c r="F1853" s="48" t="n">
        <x:v>-0.05081054548919209</x:v>
      </x:c>
      <x:c r="G1853" s="48" t="n">
        <x:v>-0.05527376004918377</x:v>
      </x:c>
      <x:c r="H1853" s="48" t="n">
        <x:v>0.48760575408946083</x:v>
      </x:c>
      <x:c r="I1853" s="48" t="n">
        <x:v>1.002458288926785</x:v>
      </x:c>
      <x:c r="J1853" s="48" t="n">
        <x:v>0.4501842651887046</x:v>
      </x:c>
      <x:c r="K1853" s="48" t="n">
        <x:v>0.6390170154013061</x:v>
      </x:c>
      <x:c r="L1853" s="48" t="n">
        <x:v>0.8603139687593784</x:v>
      </x:c>
      <x:c r="M1853" s="48" t="n">
        <x:v>0.005499497111600816</x:v>
      </x:c>
      <x:c r="N1853" s="48" t="n">
        <x:v>0.755981364753933</x:v>
      </x:c>
      <x:c r="O1853" s="48" t="n">
        <x:v>0.7850723237373557</x:v>
      </x:c>
      <x:c r="P1853" s="48" t="n">
        <x:v>0.49405565749938174</x:v>
      </x:c>
      <x:c r="Q1853" s="48" t="n">
        <x:v>1</x:v>
      </x:c>
      <x:c r="R1853" s="48" t="n">
        <x:v>0.7345980541024685</x:v>
      </x:c>
      <x:c r="S1853" s="29" t="n">
        <x:v>0</x:v>
      </x:c>
    </x:row>
    <x:row r="1854" ht="21.600000381469727" hidden="0" customHeight="1">
      <x:c r="A1854" s="27" t="n">
        <x:v>617</x:v>
      </x:c>
      <x:c r="B1854" s="27" t="str">
        <x:v>A2</x:v>
      </x:c>
      <x:c r="C1854" s="47" t="n">
        <x:v>1.2399234085851818</x:v>
      </x:c>
      <x:c r="D1854" s="47" t="n">
        <x:v>0.8662057431971969</x:v>
      </x:c>
      <x:c r="E1854" s="47" t="n">
        <x:v>0.605696281398975</x:v>
      </x:c>
      <x:c r="F1854" s="47" t="n">
        <x:v>-0.05081054548919209</x:v>
      </x:c>
      <x:c r="G1854" s="47" t="n">
        <x:v>-0.05527376004918377</x:v>
      </x:c>
      <x:c r="H1854" s="47" t="n">
        <x:v>0.48760575408946083</x:v>
      </x:c>
      <x:c r="I1854" s="47" t="n">
        <x:v>1.002458288926785</x:v>
      </x:c>
      <x:c r="J1854" s="47" t="n">
        <x:v>0.4501842651887046</x:v>
      </x:c>
      <x:c r="K1854" s="47" t="n">
        <x:v>0.6390170154013061</x:v>
      </x:c>
      <x:c r="L1854" s="47" t="n">
        <x:v>0.8603139687593784</x:v>
      </x:c>
      <x:c r="M1854" s="47" t="n">
        <x:v>0.005499497111600816</x:v>
      </x:c>
      <x:c r="N1854" s="47" t="n">
        <x:v>0.755981364753933</x:v>
      </x:c>
      <x:c r="O1854" s="47" t="n">
        <x:v>0.8577382876098214</x:v>
      </x:c>
      <x:c r="P1854" s="47" t="n">
        <x:v>0.5738461546415959</x:v>
      </x:c>
      <x:c r="Q1854" s="47" t="n">
        <x:v>1</x:v>
      </x:c>
      <x:c r="R1854" s="47" t="n">
        <x:v>0.8243291140926429</x:v>
      </x:c>
      <x:c r="S1854" s="27" t="n">
        <x:v>0</x:v>
      </x:c>
    </x:row>
    <x:row r="1855" ht="21.600000381469727" hidden="0" customHeight="1">
      <x:c r="A1855" s="29" t="n">
        <x:v>617</x:v>
      </x:c>
      <x:c r="B1855" s="29" t="str">
        <x:v>A3</x:v>
      </x:c>
      <x:c r="C1855" s="48" t="n">
        <x:v>1.2399234085851818</x:v>
      </x:c>
      <x:c r="D1855" s="48" t="n">
        <x:v>0.8662057431971969</x:v>
      </x:c>
      <x:c r="E1855" s="48" t="n">
        <x:v>0.605696281398975</x:v>
      </x:c>
      <x:c r="F1855" s="48" t="n">
        <x:v>-0.05081054548919209</x:v>
      </x:c>
      <x:c r="G1855" s="48" t="n">
        <x:v>-0.05527376004918377</x:v>
      </x:c>
      <x:c r="H1855" s="48" t="n">
        <x:v>0.48760575408946083</x:v>
      </x:c>
      <x:c r="I1855" s="48" t="n">
        <x:v>1.002458288926785</x:v>
      </x:c>
      <x:c r="J1855" s="48" t="n">
        <x:v>0.4501842651887046</x:v>
      </x:c>
      <x:c r="K1855" s="48" t="n">
        <x:v>0.6390170154013061</x:v>
      </x:c>
      <x:c r="L1855" s="48" t="n">
        <x:v>0.8603139687593784</x:v>
      </x:c>
      <x:c r="M1855" s="48" t="n">
        <x:v>0.005499497111600816</x:v>
      </x:c>
      <x:c r="N1855" s="48" t="n">
        <x:v>0.755981364753933</x:v>
      </x:c>
      <x:c r="O1855" s="48" t="n">
        <x:v>1</x:v>
      </x:c>
      <x:c r="P1855" s="48" t="n">
        <x:v>1</x:v>
      </x:c>
      <x:c r="Q1855" s="48" t="n">
        <x:v>1</x:v>
      </x:c>
      <x:c r="R1855" s="48" t="n">
        <x:v>1</x:v>
      </x:c>
      <x:c r="S1855" s="29" t="n">
        <x:v>1</x:v>
      </x:c>
    </x:row>
    <x:row r="1856" ht="21.600000381469727" hidden="0" customHeight="1">
      <x:c r="A1856" s="27" t="n">
        <x:v>618</x:v>
      </x:c>
      <x:c r="B1856" s="27" t="str">
        <x:v>A1</x:v>
      </x:c>
      <x:c r="C1856" s="47" t="n">
        <x:v>1.0934093092504764</x:v>
      </x:c>
      <x:c r="D1856" s="47" t="n">
        <x:v>0.744986453729009</x:v>
      </x:c>
      <x:c r="E1856" s="47" t="n">
        <x:v>0.7554577914003215</x:v>
      </x:c>
      <x:c r="F1856" s="47" t="n">
        <x:v>-0.029155094057941283</x:v>
      </x:c>
      <x:c r="G1856" s="47" t="n">
        <x:v>-0.13806723437179694</x:v>
      </x:c>
      <x:c r="H1856" s="47" t="n">
        <x:v>0.8912827377102419</x:v>
      </x:c>
      <x:c r="I1856" s="47" t="n">
        <x:v>0.7650609775600712</x:v>
      </x:c>
      <x:c r="J1856" s="47" t="n">
        <x:v>0.841139485969121</x:v>
      </x:c>
      <x:c r="K1856" s="47" t="n">
        <x:v>0.6618878514460151</x:v>
      </x:c>
      <x:c r="L1856" s="47" t="n">
        <x:v>0.8432913204799468</x:v>
      </x:c>
      <x:c r="M1856" s="47" t="n">
        <x:v>0.07756126186320181</x:v>
      </x:c>
      <x:c r="N1856" s="47" t="n">
        <x:v>0.6782766762497681</x:v>
      </x:c>
      <x:c r="O1856" s="47" t="n">
        <x:v>0.7922968709205604</x:v>
      </x:c>
      <x:c r="P1856" s="47" t="n">
        <x:v>0.4887508055296495</x:v>
      </x:c>
      <x:c r="Q1856" s="47" t="n">
        <x:v>1</x:v>
      </x:c>
      <x:c r="R1856" s="47" t="n">
        <x:v>0.7435192359343884</x:v>
      </x:c>
      <x:c r="S1856" s="27" t="n">
        <x:v>0</x:v>
      </x:c>
    </x:row>
    <x:row r="1857" ht="21.600000381469727" hidden="0" customHeight="1">
      <x:c r="A1857" s="29" t="n">
        <x:v>618</x:v>
      </x:c>
      <x:c r="B1857" s="29" t="str">
        <x:v>A2</x:v>
      </x:c>
      <x:c r="C1857" s="48" t="n">
        <x:v>1.0934093092504764</x:v>
      </x:c>
      <x:c r="D1857" s="48" t="n">
        <x:v>0.744986453729009</x:v>
      </x:c>
      <x:c r="E1857" s="48" t="n">
        <x:v>0.7554577914003215</x:v>
      </x:c>
      <x:c r="F1857" s="48" t="n">
        <x:v>-0.029155094057941283</x:v>
      </x:c>
      <x:c r="G1857" s="48" t="n">
        <x:v>-0.13806723437179694</x:v>
      </x:c>
      <x:c r="H1857" s="48" t="n">
        <x:v>0.8912827377102419</x:v>
      </x:c>
      <x:c r="I1857" s="48" t="n">
        <x:v>0.7650609775600712</x:v>
      </x:c>
      <x:c r="J1857" s="48" t="n">
        <x:v>0.841139485969121</x:v>
      </x:c>
      <x:c r="K1857" s="48" t="n">
        <x:v>0.6618878514460151</x:v>
      </x:c>
      <x:c r="L1857" s="48" t="n">
        <x:v>0.8432913204799468</x:v>
      </x:c>
      <x:c r="M1857" s="48" t="n">
        <x:v>0.07756126186320181</x:v>
      </x:c>
      <x:c r="N1857" s="48" t="n">
        <x:v>0.6782766762497681</x:v>
      </x:c>
      <x:c r="O1857" s="48" t="n">
        <x:v>0.8832648245677597</x:v>
      </x:c>
      <x:c r="P1857" s="48" t="n">
        <x:v>0.4535249771080784</x:v>
      </x:c>
      <x:c r="Q1857" s="48" t="n">
        <x:v>1</x:v>
      </x:c>
      <x:c r="R1857" s="48" t="n">
        <x:v>0.8558503806808657</x:v>
      </x:c>
      <x:c r="S1857" s="29" t="n">
        <x:v>0</x:v>
      </x:c>
    </x:row>
    <x:row r="1858" ht="21.600000381469727" hidden="0" customHeight="1">
      <x:c r="A1858" s="27" t="n">
        <x:v>618</x:v>
      </x:c>
      <x:c r="B1858" s="27" t="str">
        <x:v>A3</x:v>
      </x:c>
      <x:c r="C1858" s="47" t="n">
        <x:v>1.0934093092504764</x:v>
      </x:c>
      <x:c r="D1858" s="47" t="n">
        <x:v>0.744986453729009</x:v>
      </x:c>
      <x:c r="E1858" s="47" t="n">
        <x:v>0.7554577914003215</x:v>
      </x:c>
      <x:c r="F1858" s="47" t="n">
        <x:v>-0.029155094057941283</x:v>
      </x:c>
      <x:c r="G1858" s="47" t="n">
        <x:v>-0.13806723437179694</x:v>
      </x:c>
      <x:c r="H1858" s="47" t="n">
        <x:v>0.8912827377102419</x:v>
      </x:c>
      <x:c r="I1858" s="47" t="n">
        <x:v>0.7650609775600712</x:v>
      </x:c>
      <x:c r="J1858" s="47" t="n">
        <x:v>0.841139485969121</x:v>
      </x:c>
      <x:c r="K1858" s="47" t="n">
        <x:v>0.6618878514460151</x:v>
      </x:c>
      <x:c r="L1858" s="47" t="n">
        <x:v>0.8432913204799468</x:v>
      </x:c>
      <x:c r="M1858" s="47" t="n">
        <x:v>0.07756126186320181</x:v>
      </x:c>
      <x:c r="N1858" s="47" t="n">
        <x:v>0.6782766762497681</x:v>
      </x:c>
      <x:c r="O1858" s="47" t="n">
        <x:v>1</x:v>
      </x:c>
      <x:c r="P1858" s="47" t="n">
        <x:v>1</x:v>
      </x:c>
      <x:c r="Q1858" s="47" t="n">
        <x:v>1</x:v>
      </x:c>
      <x:c r="R1858" s="47" t="n">
        <x:v>1</x:v>
      </x:c>
      <x:c r="S1858" s="27" t="n">
        <x:v>1</x:v>
      </x:c>
    </x:row>
    <x:row r="1859" ht="21.600000381469727" hidden="0" customHeight="1">
      <x:c r="A1859" s="29" t="n">
        <x:v>619</x:v>
      </x:c>
      <x:c r="B1859" s="29" t="str">
        <x:v>A1</x:v>
      </x:c>
      <x:c r="C1859" s="48" t="n">
        <x:v>1.2973474779309533</x:v>
      </x:c>
      <x:c r="D1859" s="48" t="n">
        <x:v>0.9227678495022416</x:v>
      </x:c>
      <x:c r="E1859" s="48" t="n">
        <x:v>0.758072422430135</x:v>
      </x:c>
      <x:c r="F1859" s="48" t="n">
        <x:v>-0.19241063091084115</x:v>
      </x:c>
      <x:c r="G1859" s="48" t="n">
        <x:v>-0.007328344717434071</x:v>
      </x:c>
      <x:c r="H1859" s="48" t="n">
        <x:v>0.9509365142825603</x:v>
      </x:c>
      <x:c r="I1859" s="48" t="n">
        <x:v>0.9844882650011093</x:v>
      </x:c>
      <x:c r="J1859" s="48" t="n">
        <x:v>0.9480277813671806</x:v>
      </x:c>
      <x:c r="K1859" s="48" t="n">
        <x:v>0.5855891646120721</x:v>
      </x:c>
      <x:c r="L1859" s="48" t="n">
        <x:v>0.7298069346371139</x:v>
      </x:c>
      <x:c r="M1859" s="48" t="n">
        <x:v>0.15461610727333247</x:v>
      </x:c>
      <x:c r="N1859" s="48" t="n">
        <x:v>0.8615356328020373</x:v>
      </x:c>
      <x:c r="O1859" s="48" t="n">
        <x:v>0.7934921798691276</x:v>
      </x:c>
      <x:c r="P1859" s="48" t="n">
        <x:v>0.4988360700451878</x:v>
      </x:c>
      <x:c r="Q1859" s="48" t="n">
        <x:v>0.8750513843782737</x:v>
      </x:c>
      <x:c r="R1859" s="48" t="n">
        <x:v>0.7459232299402879</x:v>
      </x:c>
      <x:c r="S1859" s="29" t="n">
        <x:v>0</x:v>
      </x:c>
    </x:row>
    <x:row r="1860" ht="21.600000381469727" hidden="0" customHeight="1">
      <x:c r="A1860" s="27" t="n">
        <x:v>619</x:v>
      </x:c>
      <x:c r="B1860" s="27" t="str">
        <x:v>A2</x:v>
      </x:c>
      <x:c r="C1860" s="47" t="n">
        <x:v>1.2973474779309533</x:v>
      </x:c>
      <x:c r="D1860" s="47" t="n">
        <x:v>0.9227678495022416</x:v>
      </x:c>
      <x:c r="E1860" s="47" t="n">
        <x:v>0.758072422430135</x:v>
      </x:c>
      <x:c r="F1860" s="47" t="n">
        <x:v>-0.19241063091084115</x:v>
      </x:c>
      <x:c r="G1860" s="47" t="n">
        <x:v>-0.007328344717434071</x:v>
      </x:c>
      <x:c r="H1860" s="47" t="n">
        <x:v>0.9509365142825603</x:v>
      </x:c>
      <x:c r="I1860" s="47" t="n">
        <x:v>0.9844882650011093</x:v>
      </x:c>
      <x:c r="J1860" s="47" t="n">
        <x:v>0.9480277813671806</x:v>
      </x:c>
      <x:c r="K1860" s="47" t="n">
        <x:v>0.5855891646120721</x:v>
      </x:c>
      <x:c r="L1860" s="47" t="n">
        <x:v>0.7298069346371139</x:v>
      </x:c>
      <x:c r="M1860" s="47" t="n">
        <x:v>0.15461610727333247</x:v>
      </x:c>
      <x:c r="N1860" s="47" t="n">
        <x:v>0.8615356328020373</x:v>
      </x:c>
      <x:c r="O1860" s="47" t="n">
        <x:v>0.8785455912298159</x:v>
      </x:c>
      <x:c r="P1860" s="47" t="n">
        <x:v>0.5684847543440376</x:v>
      </x:c>
      <x:c r="Q1860" s="47" t="n">
        <x:v>1</x:v>
      </x:c>
      <x:c r="R1860" s="47" t="n">
        <x:v>0.8500228682226553</x:v>
      </x:c>
      <x:c r="S1860" s="27" t="n">
        <x:v>0</x:v>
      </x:c>
    </x:row>
    <x:row r="1861" ht="21.600000381469727" hidden="0" customHeight="1">
      <x:c r="A1861" s="29" t="n">
        <x:v>619</x:v>
      </x:c>
      <x:c r="B1861" s="29" t="str">
        <x:v>A3</x:v>
      </x:c>
      <x:c r="C1861" s="48" t="n">
        <x:v>1.2973474779309533</x:v>
      </x:c>
      <x:c r="D1861" s="48" t="n">
        <x:v>0.9227678495022416</x:v>
      </x:c>
      <x:c r="E1861" s="48" t="n">
        <x:v>0.758072422430135</x:v>
      </x:c>
      <x:c r="F1861" s="48" t="n">
        <x:v>-0.19241063091084115</x:v>
      </x:c>
      <x:c r="G1861" s="48" t="n">
        <x:v>-0.007328344717434071</x:v>
      </x:c>
      <x:c r="H1861" s="48" t="n">
        <x:v>0.9509365142825603</x:v>
      </x:c>
      <x:c r="I1861" s="48" t="n">
        <x:v>0.9844882650011093</x:v>
      </x:c>
      <x:c r="J1861" s="48" t="n">
        <x:v>0.9480277813671806</x:v>
      </x:c>
      <x:c r="K1861" s="48" t="n">
        <x:v>0.5855891646120721</x:v>
      </x:c>
      <x:c r="L1861" s="48" t="n">
        <x:v>0.7298069346371139</x:v>
      </x:c>
      <x:c r="M1861" s="48" t="n">
        <x:v>0.15461610727333247</x:v>
      </x:c>
      <x:c r="N1861" s="48" t="n">
        <x:v>0.8615356328020373</x:v>
      </x:c>
      <x:c r="O1861" s="48" t="n">
        <x:v>1</x:v>
      </x:c>
      <x:c r="P1861" s="48" t="n">
        <x:v>1</x:v>
      </x:c>
      <x:c r="Q1861" s="48" t="n">
        <x:v>1</x:v>
      </x:c>
      <x:c r="R1861" s="48" t="n">
        <x:v>1</x:v>
      </x:c>
      <x:c r="S1861" s="29" t="n">
        <x:v>1</x:v>
      </x:c>
    </x:row>
    <x:row r="1862" ht="21.600000381469727" hidden="0" customHeight="1">
      <x:c r="A1862" s="27" t="n">
        <x:v>620</x:v>
      </x:c>
      <x:c r="B1862" s="27" t="str">
        <x:v>A1</x:v>
      </x:c>
      <x:c r="C1862" s="47" t="n">
        <x:v>1.2163511140483596</x:v>
      </x:c>
      <x:c r="D1862" s="47" t="n">
        <x:v>0.7395572526696086</x:v>
      </x:c>
      <x:c r="E1862" s="47" t="n">
        <x:v>0.8066331972005858</x:v>
      </x:c>
      <x:c r="F1862" s="47" t="n">
        <x:v>-0.008967992329873414</x:v>
      </x:c>
      <x:c r="G1862" s="47" t="n">
        <x:v>-0.05201969655601088</x:v>
      </x:c>
      <x:c r="H1862" s="47" t="n">
        <x:v>0.5377110719637017</x:v>
      </x:c>
      <x:c r="I1862" s="47" t="n">
        <x:v>0.9468107488616448</x:v>
      </x:c>
      <x:c r="J1862" s="47" t="n">
        <x:v>0.9950780546457432</x:v>
      </x:c>
      <x:c r="K1862" s="47" t="n">
        <x:v>0.7280089690947837</x:v>
      </x:c>
      <x:c r="L1862" s="47" t="n">
        <x:v>0.8310842509803437</x:v>
      </x:c>
      <x:c r="M1862" s="47" t="n">
        <x:v>0.041610402635531535</x:v>
      </x:c>
      <x:c r="N1862" s="47" t="n">
        <x:v>0.9776105494305092</x:v>
      </x:c>
      <x:c r="O1862" s="47" t="n">
        <x:v>0.7371388358230138</x:v>
      </x:c>
      <x:c r="P1862" s="47" t="n">
        <x:v>0.39770930562002454</x:v>
      </x:c>
      <x:c r="Q1862" s="47" t="n">
        <x:v>1</x:v>
      </x:c>
      <x:c r="R1862" s="47" t="n">
        <x:v>0.6754077199987479</x:v>
      </x:c>
      <x:c r="S1862" s="27" t="n">
        <x:v>0</x:v>
      </x:c>
    </x:row>
    <x:row r="1863" ht="21.600000381469727" hidden="0" customHeight="1">
      <x:c r="A1863" s="29" t="n">
        <x:v>620</x:v>
      </x:c>
      <x:c r="B1863" s="29" t="str">
        <x:v>A2</x:v>
      </x:c>
      <x:c r="C1863" s="48" t="n">
        <x:v>1.2163511140483596</x:v>
      </x:c>
      <x:c r="D1863" s="48" t="n">
        <x:v>0.7395572526696086</x:v>
      </x:c>
      <x:c r="E1863" s="48" t="n">
        <x:v>0.8066331972005858</x:v>
      </x:c>
      <x:c r="F1863" s="48" t="n">
        <x:v>-0.008967992329873414</x:v>
      </x:c>
      <x:c r="G1863" s="48" t="n">
        <x:v>-0.05201969655601088</x:v>
      </x:c>
      <x:c r="H1863" s="48" t="n">
        <x:v>0.5377110719637017</x:v>
      </x:c>
      <x:c r="I1863" s="48" t="n">
        <x:v>0.9468107488616448</x:v>
      </x:c>
      <x:c r="J1863" s="48" t="n">
        <x:v>0.9950780546457432</x:v>
      </x:c>
      <x:c r="K1863" s="48" t="n">
        <x:v>0.7280089690947837</x:v>
      </x:c>
      <x:c r="L1863" s="48" t="n">
        <x:v>0.8310842509803437</x:v>
      </x:c>
      <x:c r="M1863" s="48" t="n">
        <x:v>0.041610402635531535</x:v>
      </x:c>
      <x:c r="N1863" s="48" t="n">
        <x:v>0.9776105494305092</x:v>
      </x:c>
      <x:c r="O1863" s="48" t="n">
        <x:v>0.8247392766601979</x:v>
      </x:c>
      <x:c r="P1863" s="48" t="n">
        <x:v>0.4346492275232647</x:v>
      </x:c>
      <x:c r="Q1863" s="48" t="n">
        <x:v>1</x:v>
      </x:c>
      <x:c r="R1863" s="48" t="n">
        <x:v>0.7835805149777402</x:v>
      </x:c>
      <x:c r="S1863" s="29" t="n">
        <x:v>0</x:v>
      </x:c>
    </x:row>
    <x:row r="1864" ht="21.600000381469727" hidden="0" customHeight="1">
      <x:c r="A1864" s="27" t="n">
        <x:v>620</x:v>
      </x:c>
      <x:c r="B1864" s="27" t="str">
        <x:v>A3</x:v>
      </x:c>
      <x:c r="C1864" s="47" t="n">
        <x:v>1.2163511140483596</x:v>
      </x:c>
      <x:c r="D1864" s="47" t="n">
        <x:v>0.7395572526696086</x:v>
      </x:c>
      <x:c r="E1864" s="47" t="n">
        <x:v>0.8066331972005858</x:v>
      </x:c>
      <x:c r="F1864" s="47" t="n">
        <x:v>-0.008967992329873414</x:v>
      </x:c>
      <x:c r="G1864" s="47" t="n">
        <x:v>-0.05201969655601088</x:v>
      </x:c>
      <x:c r="H1864" s="47" t="n">
        <x:v>0.5377110719637017</x:v>
      </x:c>
      <x:c r="I1864" s="47" t="n">
        <x:v>0.9468107488616448</x:v>
      </x:c>
      <x:c r="J1864" s="47" t="n">
        <x:v>0.9950780546457432</x:v>
      </x:c>
      <x:c r="K1864" s="47" t="n">
        <x:v>0.7280089690947837</x:v>
      </x:c>
      <x:c r="L1864" s="47" t="n">
        <x:v>0.8310842509803437</x:v>
      </x:c>
      <x:c r="M1864" s="47" t="n">
        <x:v>0.041610402635531535</x:v>
      </x:c>
      <x:c r="N1864" s="47" t="n">
        <x:v>0.9776105494305092</x:v>
      </x:c>
      <x:c r="O1864" s="47" t="n">
        <x:v>1</x:v>
      </x:c>
      <x:c r="P1864" s="47" t="n">
        <x:v>1</x:v>
      </x:c>
      <x:c r="Q1864" s="47" t="n">
        <x:v>1</x:v>
      </x:c>
      <x:c r="R1864" s="47" t="n">
        <x:v>1</x:v>
      </x:c>
      <x:c r="S1864" s="27" t="n">
        <x:v>1</x:v>
      </x:c>
    </x:row>
    <x:row r="1865" ht="21.600000381469727" hidden="0" customHeight="1">
      <x:c r="A1865" s="29" t="n">
        <x:v>621</x:v>
      </x:c>
      <x:c r="B1865" s="29" t="str">
        <x:v>A1</x:v>
      </x:c>
      <x:c r="C1865" s="48" t="n">
        <x:v>1.0399456830277565</x:v>
      </x:c>
      <x:c r="D1865" s="48" t="n">
        <x:v>0.750986241029125</x:v>
      </x:c>
      <x:c r="E1865" s="48" t="n">
        <x:v>0.9480362547176054</x:v>
      </x:c>
      <x:c r="F1865" s="48" t="n">
        <x:v>-0.10532260303816623</x:v>
      </x:c>
      <x:c r="G1865" s="48" t="n">
        <x:v>-0.039816286253336164</x:v>
      </x:c>
      <x:c r="H1865" s="48" t="n">
        <x:v>0.5387899159773469</x:v>
      </x:c>
      <x:c r="I1865" s="48" t="n">
        <x:v>0.6746970071077569</x:v>
      </x:c>
      <x:c r="J1865" s="48" t="n">
        <x:v>0.9681770592463761</x:v>
      </x:c>
      <x:c r="K1865" s="48" t="n">
        <x:v>0.9439396094553089</x:v>
      </x:c>
      <x:c r="L1865" s="48" t="n">
        <x:v>0.8563546810709417</x:v>
      </x:c>
      <x:c r="M1865" s="48" t="n">
        <x:v>0.0019583242548657422</x:v>
      </x:c>
      <x:c r="N1865" s="48" t="n">
        <x:v>0.9068301427015669</x:v>
      </x:c>
      <x:c r="O1865" s="48" t="n">
        <x:v>0.883863739584225</x:v>
      </x:c>
      <x:c r="P1865" s="48" t="n">
        <x:v>0.4700552178644636</x:v>
      </x:c>
      <x:c r="Q1865" s="48" t="n">
        <x:v>1</x:v>
      </x:c>
      <x:c r="R1865" s="48" t="n">
        <x:v>0.8565899467226207</x:v>
      </x:c>
      <x:c r="S1865" s="29" t="n">
        <x:v>0</x:v>
      </x:c>
    </x:row>
    <x:row r="1866" ht="21.600000381469727" hidden="0" customHeight="1">
      <x:c r="A1866" s="27" t="n">
        <x:v>621</x:v>
      </x:c>
      <x:c r="B1866" s="27" t="str">
        <x:v>A2</x:v>
      </x:c>
      <x:c r="C1866" s="47" t="n">
        <x:v>1.0399456830277565</x:v>
      </x:c>
      <x:c r="D1866" s="47" t="n">
        <x:v>0.750986241029125</x:v>
      </x:c>
      <x:c r="E1866" s="47" t="n">
        <x:v>0.9480362547176054</x:v>
      </x:c>
      <x:c r="F1866" s="47" t="n">
        <x:v>-0.10532260303816623</x:v>
      </x:c>
      <x:c r="G1866" s="47" t="n">
        <x:v>-0.039816286253336164</x:v>
      </x:c>
      <x:c r="H1866" s="47" t="n">
        <x:v>0.5387899159773469</x:v>
      </x:c>
      <x:c r="I1866" s="47" t="n">
        <x:v>0.6746970071077569</x:v>
      </x:c>
      <x:c r="J1866" s="47" t="n">
        <x:v>0.9681770592463761</x:v>
      </x:c>
      <x:c r="K1866" s="47" t="n">
        <x:v>0.9439396094553089</x:v>
      </x:c>
      <x:c r="L1866" s="47" t="n">
        <x:v>0.8563546810709417</x:v>
      </x:c>
      <x:c r="M1866" s="47" t="n">
        <x:v>0.0019583242548657422</x:v>
      </x:c>
      <x:c r="N1866" s="47" t="n">
        <x:v>0.9068301427015669</x:v>
      </x:c>
      <x:c r="O1866" s="47" t="n">
        <x:v>0.9302776573653679</x:v>
      </x:c>
      <x:c r="P1866" s="47" t="n">
        <x:v>0.6342375579172143</x:v>
      </x:c>
      <x:c r="Q1866" s="47" t="n">
        <x:v>1</x:v>
      </x:c>
      <x:c r="R1866" s="47" t="n">
        <x:v>0.9139038502181864</x:v>
      </x:c>
      <x:c r="S1866" s="27" t="n">
        <x:v>0</x:v>
      </x:c>
    </x:row>
    <x:row r="1867" ht="21.600000381469727" hidden="0" customHeight="1">
      <x:c r="A1867" s="29" t="n">
        <x:v>621</x:v>
      </x:c>
      <x:c r="B1867" s="29" t="str">
        <x:v>A3</x:v>
      </x:c>
      <x:c r="C1867" s="48" t="n">
        <x:v>1.0399456830277565</x:v>
      </x:c>
      <x:c r="D1867" s="48" t="n">
        <x:v>0.750986241029125</x:v>
      </x:c>
      <x:c r="E1867" s="48" t="n">
        <x:v>0.9480362547176054</x:v>
      </x:c>
      <x:c r="F1867" s="48" t="n">
        <x:v>-0.10532260303816623</x:v>
      </x:c>
      <x:c r="G1867" s="48" t="n">
        <x:v>-0.039816286253336164</x:v>
      </x:c>
      <x:c r="H1867" s="48" t="n">
        <x:v>0.5387899159773469</x:v>
      </x:c>
      <x:c r="I1867" s="48" t="n">
        <x:v>0.6746970071077569</x:v>
      </x:c>
      <x:c r="J1867" s="48" t="n">
        <x:v>0.9681770592463761</x:v>
      </x:c>
      <x:c r="K1867" s="48" t="n">
        <x:v>0.9439396094553089</x:v>
      </x:c>
      <x:c r="L1867" s="48" t="n">
        <x:v>0.8563546810709417</x:v>
      </x:c>
      <x:c r="M1867" s="48" t="n">
        <x:v>0.0019583242548657422</x:v>
      </x:c>
      <x:c r="N1867" s="48" t="n">
        <x:v>0.9068301427015669</x:v>
      </x:c>
      <x:c r="O1867" s="48" t="n">
        <x:v>1</x:v>
      </x:c>
      <x:c r="P1867" s="48" t="n">
        <x:v>1</x:v>
      </x:c>
      <x:c r="Q1867" s="48" t="n">
        <x:v>1</x:v>
      </x:c>
      <x:c r="R1867" s="48" t="n">
        <x:v>1.0000000000000002</x:v>
      </x:c>
      <x:c r="S1867" s="29" t="n">
        <x:v>1</x:v>
      </x:c>
    </x:row>
    <x:row r="1868" ht="21.600000381469727" hidden="0" customHeight="1">
      <x:c r="A1868" s="27" t="n">
        <x:v>622</x:v>
      </x:c>
      <x:c r="B1868" s="27" t="str">
        <x:v>A1</x:v>
      </x:c>
      <x:c r="C1868" s="47" t="n">
        <x:v>1.2644061246880929</x:v>
      </x:c>
      <x:c r="D1868" s="47" t="n">
        <x:v>0.8226944506628476</x:v>
      </x:c>
      <x:c r="E1868" s="47" t="n">
        <x:v>0.9856485489659428</x:v>
      </x:c>
      <x:c r="F1868" s="47" t="n">
        <x:v>-0.04494470168549</x:v>
      </x:c>
      <x:c r="G1868" s="47" t="n">
        <x:v>-0.06854361826895797</x:v>
      </x:c>
      <x:c r="H1868" s="47" t="n">
        <x:v>0.5310836925322034</x:v>
      </x:c>
      <x:c r="I1868" s="47" t="n">
        <x:v>0.745573359321211</x:v>
      </x:c>
      <x:c r="J1868" s="47" t="n">
        <x:v>0.9751940678497619</x:v>
      </x:c>
      <x:c r="K1868" s="47" t="n">
        <x:v>0.5951641901267879</x:v>
      </x:c>
      <x:c r="L1868" s="47" t="n">
        <x:v>0.9460654218033933</x:v>
      </x:c>
      <x:c r="M1868" s="47" t="n">
        <x:v>0.01594188834481178</x:v>
      </x:c>
      <x:c r="N1868" s="47" t="n">
        <x:v>0.650725737043146</x:v>
      </x:c>
      <x:c r="O1868" s="47" t="n">
        <x:v>0.7970051867616738</x:v>
      </x:c>
      <x:c r="P1868" s="47" t="n">
        <x:v>0.4310594542790331</x:v>
      </x:c>
      <x:c r="Q1868" s="47" t="n">
        <x:v>0.9210767853005085</x:v>
      </x:c>
      <x:c r="R1868" s="47" t="n">
        <x:v>0.75473562884456</x:v>
      </x:c>
      <x:c r="S1868" s="27" t="n">
        <x:v>0</x:v>
      </x:c>
    </x:row>
    <x:row r="1869" ht="21.600000381469727" hidden="0" customHeight="1">
      <x:c r="A1869" s="29" t="n">
        <x:v>622</x:v>
      </x:c>
      <x:c r="B1869" s="29" t="str">
        <x:v>A2</x:v>
      </x:c>
      <x:c r="C1869" s="48" t="n">
        <x:v>1.2644061246880929</x:v>
      </x:c>
      <x:c r="D1869" s="48" t="n">
        <x:v>0.8226944506628476</x:v>
      </x:c>
      <x:c r="E1869" s="48" t="n">
        <x:v>0.9856485489659428</x:v>
      </x:c>
      <x:c r="F1869" s="48" t="n">
        <x:v>-0.04494470168549</x:v>
      </x:c>
      <x:c r="G1869" s="48" t="n">
        <x:v>-0.06854361826895797</x:v>
      </x:c>
      <x:c r="H1869" s="48" t="n">
        <x:v>0.5310836925322034</x:v>
      </x:c>
      <x:c r="I1869" s="48" t="n">
        <x:v>0.745573359321211</x:v>
      </x:c>
      <x:c r="J1869" s="48" t="n">
        <x:v>0.9751940678497619</x:v>
      </x:c>
      <x:c r="K1869" s="48" t="n">
        <x:v>0.5951641901267879</x:v>
      </x:c>
      <x:c r="L1869" s="48" t="n">
        <x:v>0.9460654218033933</x:v>
      </x:c>
      <x:c r="M1869" s="48" t="n">
        <x:v>0.01594188834481178</x:v>
      </x:c>
      <x:c r="N1869" s="48" t="n">
        <x:v>0.650725737043146</x:v>
      </x:c>
      <x:c r="O1869" s="48" t="n">
        <x:v>0.880403320419638</x:v>
      </x:c>
      <x:c r="P1869" s="48" t="n">
        <x:v>0.4730956673810712</x:v>
      </x:c>
      <x:c r="Q1869" s="48" t="n">
        <x:v>1</x:v>
      </x:c>
      <x:c r="R1869" s="48" t="n">
        <x:v>0.8523168721894915</x:v>
      </x:c>
      <x:c r="S1869" s="29" t="n">
        <x:v>0</x:v>
      </x:c>
    </x:row>
    <x:row r="1870" ht="21.600000381469727" hidden="0" customHeight="1">
      <x:c r="A1870" s="27" t="n">
        <x:v>622</x:v>
      </x:c>
      <x:c r="B1870" s="27" t="str">
        <x:v>A3</x:v>
      </x:c>
      <x:c r="C1870" s="47" t="n">
        <x:v>1.2644061246880929</x:v>
      </x:c>
      <x:c r="D1870" s="47" t="n">
        <x:v>0.8226944506628476</x:v>
      </x:c>
      <x:c r="E1870" s="47" t="n">
        <x:v>0.9856485489659428</x:v>
      </x:c>
      <x:c r="F1870" s="47" t="n">
        <x:v>-0.04494470168549</x:v>
      </x:c>
      <x:c r="G1870" s="47" t="n">
        <x:v>-0.06854361826895797</x:v>
      </x:c>
      <x:c r="H1870" s="47" t="n">
        <x:v>0.5310836925322034</x:v>
      </x:c>
      <x:c r="I1870" s="47" t="n">
        <x:v>0.745573359321211</x:v>
      </x:c>
      <x:c r="J1870" s="47" t="n">
        <x:v>0.9751940678497619</x:v>
      </x:c>
      <x:c r="K1870" s="47" t="n">
        <x:v>0.5951641901267879</x:v>
      </x:c>
      <x:c r="L1870" s="47" t="n">
        <x:v>0.9460654218033933</x:v>
      </x:c>
      <x:c r="M1870" s="47" t="n">
        <x:v>0.01594188834481178</x:v>
      </x:c>
      <x:c r="N1870" s="47" t="n">
        <x:v>0.650725737043146</x:v>
      </x:c>
      <x:c r="O1870" s="47" t="n">
        <x:v>1</x:v>
      </x:c>
      <x:c r="P1870" s="47" t="n">
        <x:v>1</x:v>
      </x:c>
      <x:c r="Q1870" s="47" t="n">
        <x:v>1</x:v>
      </x:c>
      <x:c r="R1870" s="47" t="n">
        <x:v>1</x:v>
      </x:c>
      <x:c r="S1870" s="27" t="n">
        <x:v>1</x:v>
      </x:c>
    </x:row>
    <x:row r="1871" ht="21.600000381469727" hidden="0" customHeight="1">
      <x:c r="A1871" s="29" t="n">
        <x:v>623</x:v>
      </x:c>
      <x:c r="B1871" s="29" t="str">
        <x:v>A1</x:v>
      </x:c>
      <x:c r="C1871" s="48" t="n">
        <x:v>1.211937923167972</x:v>
      </x:c>
      <x:c r="D1871" s="48" t="n">
        <x:v>0.9803606990815779</x:v>
      </x:c>
      <x:c r="E1871" s="48" t="n">
        <x:v>0.453310970796818</x:v>
      </x:c>
      <x:c r="F1871" s="48" t="n">
        <x:v>-0.006605705232602899</x:v>
      </x:c>
      <x:c r="G1871" s="48" t="n">
        <x:v>-0.12279781218139384</x:v>
      </x:c>
      <x:c r="H1871" s="48" t="n">
        <x:v>0.4180059568987723</x:v>
      </x:c>
      <x:c r="I1871" s="48" t="n">
        <x:v>0.8904138070058888</x:v>
      </x:c>
      <x:c r="J1871" s="48" t="n">
        <x:v>0.9634024366050054</x:v>
      </x:c>
      <x:c r="K1871" s="48" t="n">
        <x:v>0.784999998840671</x:v>
      </x:c>
      <x:c r="L1871" s="48" t="n">
        <x:v>0.6570117958982673</x:v>
      </x:c>
      <x:c r="M1871" s="48" t="n">
        <x:v>0.1599180704799598</x:v>
      </x:c>
      <x:c r="N1871" s="48" t="n">
        <x:v>0.742291594604067</x:v>
      </x:c>
      <x:c r="O1871" s="48" t="n">
        <x:v>0.8699076106801953</x:v>
      </x:c>
      <x:c r="P1871" s="48" t="n">
        <x:v>0.5267239429889864</x:v>
      </x:c>
      <x:c r="Q1871" s="48" t="n">
        <x:v>1</x:v>
      </x:c>
      <x:c r="R1871" s="48" t="n">
        <x:v>0.8393563180307066</x:v>
      </x:c>
      <x:c r="S1871" s="29" t="n">
        <x:v>0</x:v>
      </x:c>
    </x:row>
    <x:row r="1872" ht="21.600000381469727" hidden="0" customHeight="1">
      <x:c r="A1872" s="27" t="n">
        <x:v>623</x:v>
      </x:c>
      <x:c r="B1872" s="27" t="str">
        <x:v>A2</x:v>
      </x:c>
      <x:c r="C1872" s="47" t="n">
        <x:v>1.211937923167972</x:v>
      </x:c>
      <x:c r="D1872" s="47" t="n">
        <x:v>0.9803606990815779</x:v>
      </x:c>
      <x:c r="E1872" s="47" t="n">
        <x:v>0.453310970796818</x:v>
      </x:c>
      <x:c r="F1872" s="47" t="n">
        <x:v>-0.006605705232602899</x:v>
      </x:c>
      <x:c r="G1872" s="47" t="n">
        <x:v>-0.12279781218139384</x:v>
      </x:c>
      <x:c r="H1872" s="47" t="n">
        <x:v>0.4180059568987723</x:v>
      </x:c>
      <x:c r="I1872" s="47" t="n">
        <x:v>0.8904138070058888</x:v>
      </x:c>
      <x:c r="J1872" s="47" t="n">
        <x:v>0.9634024366050054</x:v>
      </x:c>
      <x:c r="K1872" s="47" t="n">
        <x:v>0.784999998840671</x:v>
      </x:c>
      <x:c r="L1872" s="47" t="n">
        <x:v>0.6570117958982673</x:v>
      </x:c>
      <x:c r="M1872" s="47" t="n">
        <x:v>0.1599180704799598</x:v>
      </x:c>
      <x:c r="N1872" s="47" t="n">
        <x:v>0.742291594604067</x:v>
      </x:c>
      <x:c r="O1872" s="47" t="n">
        <x:v>0.8966829421497436</x:v>
      </x:c>
      <x:c r="P1872" s="47" t="n">
        <x:v>0.48360414965525356</x:v>
      </x:c>
      <x:c r="Q1872" s="47" t="n">
        <x:v>1</x:v>
      </x:c>
      <x:c r="R1872" s="47" t="n">
        <x:v>0.8724196498344045</x:v>
      </x:c>
      <x:c r="S1872" s="27" t="n">
        <x:v>0</x:v>
      </x:c>
    </x:row>
    <x:row r="1873" ht="21.600000381469727" hidden="0" customHeight="1">
      <x:c r="A1873" s="29" t="n">
        <x:v>623</x:v>
      </x:c>
      <x:c r="B1873" s="29" t="str">
        <x:v>A3</x:v>
      </x:c>
      <x:c r="C1873" s="48" t="n">
        <x:v>1.211937923167972</x:v>
      </x:c>
      <x:c r="D1873" s="48" t="n">
        <x:v>0.9803606990815779</x:v>
      </x:c>
      <x:c r="E1873" s="48" t="n">
        <x:v>0.453310970796818</x:v>
      </x:c>
      <x:c r="F1873" s="48" t="n">
        <x:v>-0.006605705232602899</x:v>
      </x:c>
      <x:c r="G1873" s="48" t="n">
        <x:v>-0.12279781218139384</x:v>
      </x:c>
      <x:c r="H1873" s="48" t="n">
        <x:v>0.4180059568987723</x:v>
      </x:c>
      <x:c r="I1873" s="48" t="n">
        <x:v>0.8904138070058888</x:v>
      </x:c>
      <x:c r="J1873" s="48" t="n">
        <x:v>0.9634024366050054</x:v>
      </x:c>
      <x:c r="K1873" s="48" t="n">
        <x:v>0.784999998840671</x:v>
      </x:c>
      <x:c r="L1873" s="48" t="n">
        <x:v>0.6570117958982673</x:v>
      </x:c>
      <x:c r="M1873" s="48" t="n">
        <x:v>0.1599180704799598</x:v>
      </x:c>
      <x:c r="N1873" s="48" t="n">
        <x:v>0.742291594604067</x:v>
      </x:c>
      <x:c r="O1873" s="48" t="n">
        <x:v>1</x:v>
      </x:c>
      <x:c r="P1873" s="48" t="n">
        <x:v>1</x:v>
      </x:c>
      <x:c r="Q1873" s="48" t="n">
        <x:v>1</x:v>
      </x:c>
      <x:c r="R1873" s="48" t="n">
        <x:v>1</x:v>
      </x:c>
      <x:c r="S1873" s="29" t="n">
        <x:v>1</x:v>
      </x:c>
    </x:row>
    <x:row r="1874" ht="21.600000381469727" hidden="0" customHeight="1">
      <x:c r="A1874" s="27" t="n">
        <x:v>624</x:v>
      </x:c>
      <x:c r="B1874" s="27" t="str">
        <x:v>A1</x:v>
      </x:c>
      <x:c r="C1874" s="47" t="n">
        <x:v>1.2021740204321165</x:v>
      </x:c>
      <x:c r="D1874" s="47" t="n">
        <x:v>0.9853452149646027</x:v>
      </x:c>
      <x:c r="E1874" s="47" t="n">
        <x:v>0.8681910243197533</x:v>
      </x:c>
      <x:c r="F1874" s="47" t="n">
        <x:v>-0.056096157462457275</x:v>
      </x:c>
      <x:c r="G1874" s="47" t="n">
        <x:v>-0.06673336153814338</x:v>
      </x:c>
      <x:c r="H1874" s="47" t="n">
        <x:v>0.6861421073699977</x:v>
      </x:c>
      <x:c r="I1874" s="47" t="n">
        <x:v>0.9644532266739408</x:v>
      </x:c>
      <x:c r="J1874" s="47" t="n">
        <x:v>0.735849063638585</x:v>
      </x:c>
      <x:c r="K1874" s="47" t="n">
        <x:v>0.6686837836364018</x:v>
      </x:c>
      <x:c r="L1874" s="47" t="n">
        <x:v>0.6999365032106999</x:v>
      </x:c>
      <x:c r="M1874" s="47" t="n">
        <x:v>0.009211935908569046</x:v>
      </x:c>
      <x:c r="N1874" s="47" t="n">
        <x:v>0.9619360073207972</x:v>
      </x:c>
      <x:c r="O1874" s="47" t="n">
        <x:v>0.8749050872531634</x:v>
      </x:c>
      <x:c r="P1874" s="47" t="n">
        <x:v>0.6124404882282357</x:v>
      </x:c>
      <x:c r="Q1874" s="47" t="n">
        <x:v>1</x:v>
      </x:c>
      <x:c r="R1874" s="47" t="n">
        <x:v>0.8455274172120998</x:v>
      </x:c>
      <x:c r="S1874" s="27" t="n">
        <x:v>0</x:v>
      </x:c>
    </x:row>
    <x:row r="1875" ht="21.600000381469727" hidden="0" customHeight="1">
      <x:c r="A1875" s="29" t="n">
        <x:v>624</x:v>
      </x:c>
      <x:c r="B1875" s="29" t="str">
        <x:v>A2</x:v>
      </x:c>
      <x:c r="C1875" s="48" t="n">
        <x:v>1.2021740204321165</x:v>
      </x:c>
      <x:c r="D1875" s="48" t="n">
        <x:v>0.9853452149646027</x:v>
      </x:c>
      <x:c r="E1875" s="48" t="n">
        <x:v>0.8681910243197533</x:v>
      </x:c>
      <x:c r="F1875" s="48" t="n">
        <x:v>-0.056096157462457275</x:v>
      </x:c>
      <x:c r="G1875" s="48" t="n">
        <x:v>-0.06673336153814338</x:v>
      </x:c>
      <x:c r="H1875" s="48" t="n">
        <x:v>0.6861421073699977</x:v>
      </x:c>
      <x:c r="I1875" s="48" t="n">
        <x:v>0.9644532266739408</x:v>
      </x:c>
      <x:c r="J1875" s="48" t="n">
        <x:v>0.735849063638585</x:v>
      </x:c>
      <x:c r="K1875" s="48" t="n">
        <x:v>0.6686837836364018</x:v>
      </x:c>
      <x:c r="L1875" s="48" t="n">
        <x:v>0.6999365032106999</x:v>
      </x:c>
      <x:c r="M1875" s="48" t="n">
        <x:v>0.009211935908569046</x:v>
      </x:c>
      <x:c r="N1875" s="48" t="n">
        <x:v>0.9619360073207972</x:v>
      </x:c>
      <x:c r="O1875" s="48" t="n">
        <x:v>0.9577703681501707</x:v>
      </x:c>
      <x:c r="P1875" s="48" t="n">
        <x:v>0.6690686664460366</x:v>
      </x:c>
      <x:c r="Q1875" s="48" t="n">
        <x:v>1</x:v>
      </x:c>
      <x:c r="R1875" s="48" t="n">
        <x:v>0.9478530328789069</x:v>
      </x:c>
      <x:c r="S1875" s="29" t="n">
        <x:v>0</x:v>
      </x:c>
    </x:row>
    <x:row r="1876" ht="21.600000381469727" hidden="0" customHeight="1">
      <x:c r="A1876" s="27" t="n">
        <x:v>624</x:v>
      </x:c>
      <x:c r="B1876" s="27" t="str">
        <x:v>A3</x:v>
      </x:c>
      <x:c r="C1876" s="47" t="n">
        <x:v>1.2021740204321165</x:v>
      </x:c>
      <x:c r="D1876" s="47" t="n">
        <x:v>0.9853452149646027</x:v>
      </x:c>
      <x:c r="E1876" s="47" t="n">
        <x:v>0.8681910243197533</x:v>
      </x:c>
      <x:c r="F1876" s="47" t="n">
        <x:v>-0.056096157462457275</x:v>
      </x:c>
      <x:c r="G1876" s="47" t="n">
        <x:v>-0.06673336153814338</x:v>
      </x:c>
      <x:c r="H1876" s="47" t="n">
        <x:v>0.6861421073699977</x:v>
      </x:c>
      <x:c r="I1876" s="47" t="n">
        <x:v>0.9644532266739408</x:v>
      </x:c>
      <x:c r="J1876" s="47" t="n">
        <x:v>0.735849063638585</x:v>
      </x:c>
      <x:c r="K1876" s="47" t="n">
        <x:v>0.6686837836364018</x:v>
      </x:c>
      <x:c r="L1876" s="47" t="n">
        <x:v>0.6999365032106999</x:v>
      </x:c>
      <x:c r="M1876" s="47" t="n">
        <x:v>0.009211935908569046</x:v>
      </x:c>
      <x:c r="N1876" s="47" t="n">
        <x:v>0.9619360073207972</x:v>
      </x:c>
      <x:c r="O1876" s="47" t="n">
        <x:v>1</x:v>
      </x:c>
      <x:c r="P1876" s="47" t="n">
        <x:v>1</x:v>
      </x:c>
      <x:c r="Q1876" s="47" t="n">
        <x:v>1</x:v>
      </x:c>
      <x:c r="R1876" s="47" t="n">
        <x:v>1.0000000000000002</x:v>
      </x:c>
      <x:c r="S1876" s="27" t="n">
        <x:v>1</x:v>
      </x:c>
    </x:row>
    <x:row r="1877" ht="21.600000381469727" hidden="0" customHeight="1">
      <x:c r="A1877" s="29" t="n">
        <x:v>625</x:v>
      </x:c>
      <x:c r="B1877" s="29" t="str">
        <x:v>A1</x:v>
      </x:c>
      <x:c r="C1877" s="48" t="n">
        <x:v>1.059049996623505</x:v>
      </x:c>
      <x:c r="D1877" s="48" t="n">
        <x:v>0.7968373844796492</x:v>
      </x:c>
      <x:c r="E1877" s="48" t="n">
        <x:v>0.6548326763472911</x:v>
      </x:c>
      <x:c r="F1877" s="48" t="n">
        <x:v>0.004491121849397206</x:v>
      </x:c>
      <x:c r="G1877" s="48" t="n">
        <x:v>-0.045396585464204386</x:v>
      </x:c>
      <x:c r="H1877" s="48" t="n">
        <x:v>0.8642179151071401</x:v>
      </x:c>
      <x:c r="I1877" s="48" t="n">
        <x:v>0.9166387492638143</x:v>
      </x:c>
      <x:c r="J1877" s="48" t="n">
        <x:v>0.5831161789296078</x:v>
      </x:c>
      <x:c r="K1877" s="48" t="n">
        <x:v>0.6259183316082029</x:v>
      </x:c>
      <x:c r="L1877" s="48" t="n">
        <x:v>0.891002676127272</x:v>
      </x:c>
      <x:c r="M1877" s="48" t="n">
        <x:v>0.08175699395363577</x:v>
      </x:c>
      <x:c r="N1877" s="48" t="n">
        <x:v>0.9082785463955119</x:v>
      </x:c>
      <x:c r="O1877" s="48" t="n">
        <x:v>0.8444720135207673</x:v>
      </x:c>
      <x:c r="P1877" s="48" t="n">
        <x:v>0.5744861117060176</x:v>
      </x:c>
      <x:c r="Q1877" s="48" t="n">
        <x:v>1</x:v>
      </x:c>
      <x:c r="R1877" s="48" t="n">
        <x:v>0.8079473478200554</x:v>
      </x:c>
      <x:c r="S1877" s="29" t="n">
        <x:v>0</x:v>
      </x:c>
    </x:row>
    <x:row r="1878" ht="21.600000381469727" hidden="0" customHeight="1">
      <x:c r="A1878" s="27" t="n">
        <x:v>625</x:v>
      </x:c>
      <x:c r="B1878" s="27" t="str">
        <x:v>A2</x:v>
      </x:c>
      <x:c r="C1878" s="47" t="n">
        <x:v>1.059049996623505</x:v>
      </x:c>
      <x:c r="D1878" s="47" t="n">
        <x:v>0.7968373844796492</x:v>
      </x:c>
      <x:c r="E1878" s="47" t="n">
        <x:v>0.6548326763472911</x:v>
      </x:c>
      <x:c r="F1878" s="47" t="n">
        <x:v>0.004491121849397206</x:v>
      </x:c>
      <x:c r="G1878" s="47" t="n">
        <x:v>-0.045396585464204386</x:v>
      </x:c>
      <x:c r="H1878" s="47" t="n">
        <x:v>0.8642179151071401</x:v>
      </x:c>
      <x:c r="I1878" s="47" t="n">
        <x:v>0.9166387492638143</x:v>
      </x:c>
      <x:c r="J1878" s="47" t="n">
        <x:v>0.5831161789296078</x:v>
      </x:c>
      <x:c r="K1878" s="47" t="n">
        <x:v>0.6259183316082029</x:v>
      </x:c>
      <x:c r="L1878" s="47" t="n">
        <x:v>0.891002676127272</x:v>
      </x:c>
      <x:c r="M1878" s="47" t="n">
        <x:v>0.08175699395363577</x:v>
      </x:c>
      <x:c r="N1878" s="47" t="n">
        <x:v>0.9082785463955119</x:v>
      </x:c>
      <x:c r="O1878" s="47" t="n">
        <x:v>0.937425237977654</x:v>
      </x:c>
      <x:c r="P1878" s="47" t="n">
        <x:v>0.6186639402686327</x:v>
      </x:c>
      <x:c r="Q1878" s="47" t="n">
        <x:v>1</x:v>
      </x:c>
      <x:c r="R1878" s="47" t="n">
        <x:v>0.922729990415422</x:v>
      </x:c>
      <x:c r="S1878" s="27" t="n">
        <x:v>0</x:v>
      </x:c>
    </x:row>
    <x:row r="1879" ht="21.600000381469727" hidden="0" customHeight="1">
      <x:c r="A1879" s="29" t="n">
        <x:v>625</x:v>
      </x:c>
      <x:c r="B1879" s="29" t="str">
        <x:v>A3</x:v>
      </x:c>
      <x:c r="C1879" s="48" t="n">
        <x:v>1.059049996623505</x:v>
      </x:c>
      <x:c r="D1879" s="48" t="n">
        <x:v>0.7968373844796492</x:v>
      </x:c>
      <x:c r="E1879" s="48" t="n">
        <x:v>0.6548326763472911</x:v>
      </x:c>
      <x:c r="F1879" s="48" t="n">
        <x:v>0.004491121849397206</x:v>
      </x:c>
      <x:c r="G1879" s="48" t="n">
        <x:v>-0.045396585464204386</x:v>
      </x:c>
      <x:c r="H1879" s="48" t="n">
        <x:v>0.8642179151071401</x:v>
      </x:c>
      <x:c r="I1879" s="48" t="n">
        <x:v>0.9166387492638143</x:v>
      </x:c>
      <x:c r="J1879" s="48" t="n">
        <x:v>0.5831161789296078</x:v>
      </x:c>
      <x:c r="K1879" s="48" t="n">
        <x:v>0.6259183316082029</x:v>
      </x:c>
      <x:c r="L1879" s="48" t="n">
        <x:v>0.891002676127272</x:v>
      </x:c>
      <x:c r="M1879" s="48" t="n">
        <x:v>0.08175699395363577</x:v>
      </x:c>
      <x:c r="N1879" s="48" t="n">
        <x:v>0.9082785463955119</x:v>
      </x:c>
      <x:c r="O1879" s="48" t="n">
        <x:v>1</x:v>
      </x:c>
      <x:c r="P1879" s="48" t="n">
        <x:v>1</x:v>
      </x:c>
      <x:c r="Q1879" s="48" t="n">
        <x:v>1</x:v>
      </x:c>
      <x:c r="R1879" s="48" t="n">
        <x:v>1</x:v>
      </x:c>
      <x:c r="S1879" s="29" t="n">
        <x:v>1</x:v>
      </x:c>
    </x:row>
    <x:row r="1880" ht="21.600000381469727" hidden="0" customHeight="1">
      <x:c r="A1880" s="27" t="n">
        <x:v>626</x:v>
      </x:c>
      <x:c r="B1880" s="27" t="str">
        <x:v>A1</x:v>
      </x:c>
      <x:c r="C1880" s="47" t="n">
        <x:v>1.0171374466415424</x:v>
      </x:c>
      <x:c r="D1880" s="47" t="n">
        <x:v>0.8550125861789144</x:v>
      </x:c>
      <x:c r="E1880" s="47" t="n">
        <x:v>0.9194885407260238</x:v>
      </x:c>
      <x:c r="F1880" s="47" t="n">
        <x:v>-0.06970667855261478</x:v>
      </x:c>
      <x:c r="G1880" s="47" t="n">
        <x:v>-0.0838292832889437</x:v>
      </x:c>
      <x:c r="H1880" s="47" t="n">
        <x:v>0.5088971412607082</x:v>
      </x:c>
      <x:c r="I1880" s="47" t="n">
        <x:v>0.8847668267019777</x:v>
      </x:c>
      <x:c r="J1880" s="47" t="n">
        <x:v>0.8526138452407639</x:v>
      </x:c>
      <x:c r="K1880" s="47" t="n">
        <x:v>0.9836433900727269</x:v>
      </x:c>
      <x:c r="L1880" s="47" t="n">
        <x:v>0.872585156748346</x:v>
      </x:c>
      <x:c r="M1880" s="47" t="n">
        <x:v>0.1750988675647015</x:v>
      </x:c>
      <x:c r="N1880" s="47" t="n">
        <x:v>0.7530144212492232</x:v>
      </x:c>
      <x:c r="O1880" s="47" t="n">
        <x:v>0.9486291896097967</x:v>
      </x:c>
      <x:c r="P1880" s="47" t="n">
        <x:v>0.7121244837690422</x:v>
      </x:c>
      <x:c r="Q1880" s="47" t="n">
        <x:v>1</x:v>
      </x:c>
      <x:c r="R1880" s="47" t="n">
        <x:v>0.9365651121485523</x:v>
      </x:c>
      <x:c r="S1880" s="27" t="n">
        <x:v>0</x:v>
      </x:c>
    </x:row>
    <x:row r="1881" ht="21.600000381469727" hidden="0" customHeight="1">
      <x:c r="A1881" s="29" t="n">
        <x:v>626</x:v>
      </x:c>
      <x:c r="B1881" s="29" t="str">
        <x:v>A2</x:v>
      </x:c>
      <x:c r="C1881" s="48" t="n">
        <x:v>1.0171374466415424</x:v>
      </x:c>
      <x:c r="D1881" s="48" t="n">
        <x:v>0.8550125861789144</x:v>
      </x:c>
      <x:c r="E1881" s="48" t="n">
        <x:v>0.9194885407260238</x:v>
      </x:c>
      <x:c r="F1881" s="48" t="n">
        <x:v>-0.06970667855261478</x:v>
      </x:c>
      <x:c r="G1881" s="48" t="n">
        <x:v>-0.0838292832889437</x:v>
      </x:c>
      <x:c r="H1881" s="48" t="n">
        <x:v>0.5088971412607082</x:v>
      </x:c>
      <x:c r="I1881" s="48" t="n">
        <x:v>0.8847668267019777</x:v>
      </x:c>
      <x:c r="J1881" s="48" t="n">
        <x:v>0.8526138452407639</x:v>
      </x:c>
      <x:c r="K1881" s="48" t="n">
        <x:v>0.9836433900727269</x:v>
      </x:c>
      <x:c r="L1881" s="48" t="n">
        <x:v>0.872585156748346</x:v>
      </x:c>
      <x:c r="M1881" s="48" t="n">
        <x:v>0.1750988675647015</x:v>
      </x:c>
      <x:c r="N1881" s="48" t="n">
        <x:v>0.7530144212492232</x:v>
      </x:c>
      <x:c r="O1881" s="48" t="n">
        <x:v>0.987323725370198</x:v>
      </x:c>
      <x:c r="P1881" s="48" t="n">
        <x:v>0.8732372537019794</x:v>
      </x:c>
      <x:c r="Q1881" s="48" t="n">
        <x:v>1</x:v>
      </x:c>
      <x:c r="R1881" s="48" t="n">
        <x:v>0.9843467904553634</x:v>
      </x:c>
      <x:c r="S1881" s="29" t="n">
        <x:v>0</x:v>
      </x:c>
    </x:row>
    <x:row r="1882" ht="21.600000381469727" hidden="0" customHeight="1">
      <x:c r="A1882" s="27" t="n">
        <x:v>626</x:v>
      </x:c>
      <x:c r="B1882" s="27" t="str">
        <x:v>A3</x:v>
      </x:c>
      <x:c r="C1882" s="47" t="n">
        <x:v>1.0171374466415424</x:v>
      </x:c>
      <x:c r="D1882" s="47" t="n">
        <x:v>0.8550125861789144</x:v>
      </x:c>
      <x:c r="E1882" s="47" t="n">
        <x:v>0.9194885407260238</x:v>
      </x:c>
      <x:c r="F1882" s="47" t="n">
        <x:v>-0.06970667855261478</x:v>
      </x:c>
      <x:c r="G1882" s="47" t="n">
        <x:v>-0.0838292832889437</x:v>
      </x:c>
      <x:c r="H1882" s="47" t="n">
        <x:v>0.5088971412607082</x:v>
      </x:c>
      <x:c r="I1882" s="47" t="n">
        <x:v>0.8847668267019777</x:v>
      </x:c>
      <x:c r="J1882" s="47" t="n">
        <x:v>0.8526138452407639</x:v>
      </x:c>
      <x:c r="K1882" s="47" t="n">
        <x:v>0.9836433900727269</x:v>
      </x:c>
      <x:c r="L1882" s="47" t="n">
        <x:v>0.872585156748346</x:v>
      </x:c>
      <x:c r="M1882" s="47" t="n">
        <x:v>0.1750988675647015</x:v>
      </x:c>
      <x:c r="N1882" s="47" t="n">
        <x:v>0.7530144212492232</x:v>
      </x:c>
      <x:c r="O1882" s="47" t="n">
        <x:v>1</x:v>
      </x:c>
      <x:c r="P1882" s="47" t="n">
        <x:v>1</x:v>
      </x:c>
      <x:c r="Q1882" s="47" t="n">
        <x:v>1</x:v>
      </x:c>
      <x:c r="R1882" s="47" t="n">
        <x:v>1</x:v>
      </x:c>
      <x:c r="S1882" s="27" t="n">
        <x:v>1</x:v>
      </x:c>
    </x:row>
    <x:row r="1883" ht="21.600000381469727" hidden="0" customHeight="1">
      <x:c r="A1883" s="29" t="n">
        <x:v>627</x:v>
      </x:c>
      <x:c r="B1883" s="29" t="str">
        <x:v>A1</x:v>
      </x:c>
      <x:c r="C1883" s="48" t="n">
        <x:v>1.3071009073023183</x:v>
      </x:c>
      <x:c r="D1883" s="48" t="n">
        <x:v>0.7531425568646163</x:v>
      </x:c>
      <x:c r="E1883" s="48" t="n">
        <x:v>0.4972086926093301</x:v>
      </x:c>
      <x:c r="F1883" s="48" t="n">
        <x:v>-0.08711966493862855</x:v>
      </x:c>
      <x:c r="G1883" s="48" t="n">
        <x:v>0.026787130184201063</x:v>
      </x:c>
      <x:c r="H1883" s="48" t="n">
        <x:v>0.7848638474612177</x:v>
      </x:c>
      <x:c r="I1883" s="48" t="n">
        <x:v>0.7503131716636382</x:v>
      </x:c>
      <x:c r="J1883" s="48" t="n">
        <x:v>0.6066607381969809</x:v>
      </x:c>
      <x:c r="K1883" s="48" t="n">
        <x:v>0.7979125310571036</x:v>
      </x:c>
      <x:c r="L1883" s="48" t="n">
        <x:v>0.5561990242948784</x:v>
      </x:c>
      <x:c r="M1883" s="48" t="n">
        <x:v>0.10128335762342217</x:v>
      </x:c>
      <x:c r="N1883" s="48" t="n">
        <x:v>0.9669309643806119</x:v>
      </x:c>
      <x:c r="O1883" s="48" t="n">
        <x:v>0.6619670126434565</x:v>
      </x:c>
      <x:c r="P1883" s="48" t="n">
        <x:v>0.34001463248288205</x:v>
      </x:c>
      <x:c r="Q1883" s="48" t="n">
        <x:v>0.8285961251227716</x:v>
      </x:c>
      <x:c r="R1883" s="48" t="n">
        <x:v>0.5839562731434499</x:v>
      </x:c>
      <x:c r="S1883" s="29" t="n">
        <x:v>0</x:v>
      </x:c>
    </x:row>
    <x:row r="1884" ht="21.600000381469727" hidden="0" customHeight="1">
      <x:c r="A1884" s="27" t="n">
        <x:v>627</x:v>
      </x:c>
      <x:c r="B1884" s="27" t="str">
        <x:v>A2</x:v>
      </x:c>
      <x:c r="C1884" s="47" t="n">
        <x:v>1.3071009073023183</x:v>
      </x:c>
      <x:c r="D1884" s="47" t="n">
        <x:v>0.7531425568646163</x:v>
      </x:c>
      <x:c r="E1884" s="47" t="n">
        <x:v>0.4972086926093301</x:v>
      </x:c>
      <x:c r="F1884" s="47" t="n">
        <x:v>-0.08711966493862855</x:v>
      </x:c>
      <x:c r="G1884" s="47" t="n">
        <x:v>0.026787130184201063</x:v>
      </x:c>
      <x:c r="H1884" s="47" t="n">
        <x:v>0.7848638474612177</x:v>
      </x:c>
      <x:c r="I1884" s="47" t="n">
        <x:v>0.7503131716636382</x:v>
      </x:c>
      <x:c r="J1884" s="47" t="n">
        <x:v>0.6066607381969809</x:v>
      </x:c>
      <x:c r="K1884" s="47" t="n">
        <x:v>0.7979125310571036</x:v>
      </x:c>
      <x:c r="L1884" s="47" t="n">
        <x:v>0.5561990242948784</x:v>
      </x:c>
      <x:c r="M1884" s="47" t="n">
        <x:v>0.10128335762342217</x:v>
      </x:c>
      <x:c r="N1884" s="47" t="n">
        <x:v>0.9669309643806119</x:v>
      </x:c>
      <x:c r="O1884" s="47" t="n">
        <x:v>0.7181295841934278</x:v>
      </x:c>
      <x:c r="P1884" s="47" t="n">
        <x:v>0.3708223000281902</x:v>
      </x:c>
      <x:c r="Q1884" s="47" t="n">
        <x:v>1</x:v>
      </x:c>
      <x:c r="R1884" s="47" t="n">
        <x:v>0.651934277861018</x:v>
      </x:c>
      <x:c r="S1884" s="27" t="n">
        <x:v>0</x:v>
      </x:c>
    </x:row>
    <x:row r="1885" ht="21.600000381469727" hidden="0" customHeight="1">
      <x:c r="A1885" s="29" t="n">
        <x:v>627</x:v>
      </x:c>
      <x:c r="B1885" s="29" t="str">
        <x:v>A3</x:v>
      </x:c>
      <x:c r="C1885" s="48" t="n">
        <x:v>1.3071009073023183</x:v>
      </x:c>
      <x:c r="D1885" s="48" t="n">
        <x:v>0.7531425568646163</x:v>
      </x:c>
      <x:c r="E1885" s="48" t="n">
        <x:v>0.4972086926093301</x:v>
      </x:c>
      <x:c r="F1885" s="48" t="n">
        <x:v>-0.08711966493862855</x:v>
      </x:c>
      <x:c r="G1885" s="48" t="n">
        <x:v>0.026787130184201063</x:v>
      </x:c>
      <x:c r="H1885" s="48" t="n">
        <x:v>0.7848638474612177</x:v>
      </x:c>
      <x:c r="I1885" s="48" t="n">
        <x:v>0.7503131716636382</x:v>
      </x:c>
      <x:c r="J1885" s="48" t="n">
        <x:v>0.6066607381969809</x:v>
      </x:c>
      <x:c r="K1885" s="48" t="n">
        <x:v>0.7979125310571036</x:v>
      </x:c>
      <x:c r="L1885" s="48" t="n">
        <x:v>0.5561990242948784</x:v>
      </x:c>
      <x:c r="M1885" s="48" t="n">
        <x:v>0.10128335762342217</x:v>
      </x:c>
      <x:c r="N1885" s="48" t="n">
        <x:v>0.9669309643806119</x:v>
      </x:c>
      <x:c r="O1885" s="48" t="n">
        <x:v>0.9956181908699321</x:v>
      </x:c>
      <x:c r="P1885" s="48" t="n">
        <x:v>0.9561819086993201</x:v>
      </x:c>
      <x:c r="Q1885" s="48" t="n">
        <x:v>1</x:v>
      </x:c>
      <x:c r="R1885" s="48" t="n">
        <x:v>0.9945891534776076</x:v>
      </x:c>
      <x:c r="S1885" s="29" t="n">
        <x:v>1</x:v>
      </x:c>
    </x:row>
    <x:row r="1886" ht="21.600000381469727" hidden="0" customHeight="1">
      <x:c r="A1886" s="27" t="n">
        <x:v>628</x:v>
      </x:c>
      <x:c r="B1886" s="27" t="str">
        <x:v>A1</x:v>
      </x:c>
      <x:c r="C1886" s="47" t="n">
        <x:v>1.0229977378856088</x:v>
      </x:c>
      <x:c r="D1886" s="47" t="n">
        <x:v>0.8814621175605684</x:v>
      </x:c>
      <x:c r="E1886" s="47" t="n">
        <x:v>0.49519538541896857</x:v>
      </x:c>
      <x:c r="F1886" s="47" t="n">
        <x:v>0.017554917969343775</x:v>
      </x:c>
      <x:c r="G1886" s="47" t="n">
        <x:v>-0.02079140478906505</x:v>
      </x:c>
      <x:c r="H1886" s="47" t="n">
        <x:v>0.4524744499150914</x:v>
      </x:c>
      <x:c r="I1886" s="47" t="n">
        <x:v>0.6874332982462681</x:v>
      </x:c>
      <x:c r="J1886" s="47" t="n">
        <x:v>0.8646211588305939</x:v>
      </x:c>
      <x:c r="K1886" s="47" t="n">
        <x:v>0.6050048658348519</x:v>
      </x:c>
      <x:c r="L1886" s="47" t="n">
        <x:v>0.8227634331560234</x:v>
      </x:c>
      <x:c r="M1886" s="47" t="n">
        <x:v>0.12012988457540032</x:v>
      </x:c>
      <x:c r="N1886" s="47" t="n">
        <x:v>0.9184864179091172</x:v>
      </x:c>
      <x:c r="O1886" s="47" t="n">
        <x:v>0.9120638824908394</x:v>
      </x:c>
      <x:c r="P1886" s="47" t="n">
        <x:v>0.5500274319491478</x:v>
      </x:c>
      <x:c r="Q1886" s="47" t="n">
        <x:v>1</x:v>
      </x:c>
      <x:c r="R1886" s="47" t="n">
        <x:v>0.8914126970177382</x:v>
      </x:c>
      <x:c r="S1886" s="27" t="n">
        <x:v>0</x:v>
      </x:c>
    </x:row>
    <x:row r="1887" ht="21.600000381469727" hidden="0" customHeight="1">
      <x:c r="A1887" s="29" t="n">
        <x:v>628</x:v>
      </x:c>
      <x:c r="B1887" s="29" t="str">
        <x:v>A2</x:v>
      </x:c>
      <x:c r="C1887" s="48" t="n">
        <x:v>1.0229977378856088</x:v>
      </x:c>
      <x:c r="D1887" s="48" t="n">
        <x:v>0.8814621175605684</x:v>
      </x:c>
      <x:c r="E1887" s="48" t="n">
        <x:v>0.49519538541896857</x:v>
      </x:c>
      <x:c r="F1887" s="48" t="n">
        <x:v>0.017554917969343775</x:v>
      </x:c>
      <x:c r="G1887" s="48" t="n">
        <x:v>-0.02079140478906505</x:v>
      </x:c>
      <x:c r="H1887" s="48" t="n">
        <x:v>0.4524744499150914</x:v>
      </x:c>
      <x:c r="I1887" s="48" t="n">
        <x:v>0.6874332982462681</x:v>
      </x:c>
      <x:c r="J1887" s="48" t="n">
        <x:v>0.8646211588305939</x:v>
      </x:c>
      <x:c r="K1887" s="48" t="n">
        <x:v>0.6050048658348519</x:v>
      </x:c>
      <x:c r="L1887" s="48" t="n">
        <x:v>0.8227634331560234</x:v>
      </x:c>
      <x:c r="M1887" s="48" t="n">
        <x:v>0.12012988457540032</x:v>
      </x:c>
      <x:c r="N1887" s="48" t="n">
        <x:v>0.9184864179091172</x:v>
      </x:c>
      <x:c r="O1887" s="48" t="n">
        <x:v>0.9419337171282187</x:v>
      </x:c>
      <x:c r="P1887" s="48" t="n">
        <x:v>0.6719715164103113</x:v>
      </x:c>
      <x:c r="Q1887" s="48" t="n">
        <x:v>1</x:v>
      </x:c>
      <x:c r="R1887" s="48" t="n">
        <x:v>0.9282972545314498</x:v>
      </x:c>
      <x:c r="S1887" s="29" t="n">
        <x:v>0</x:v>
      </x:c>
    </x:row>
    <x:row r="1888" ht="21.600000381469727" hidden="0" customHeight="1">
      <x:c r="A1888" s="27" t="n">
        <x:v>628</x:v>
      </x:c>
      <x:c r="B1888" s="27" t="str">
        <x:v>A3</x:v>
      </x:c>
      <x:c r="C1888" s="47" t="n">
        <x:v>1.0229977378856088</x:v>
      </x:c>
      <x:c r="D1888" s="47" t="n">
        <x:v>0.8814621175605684</x:v>
      </x:c>
      <x:c r="E1888" s="47" t="n">
        <x:v>0.49519538541896857</x:v>
      </x:c>
      <x:c r="F1888" s="47" t="n">
        <x:v>0.017554917969343775</x:v>
      </x:c>
      <x:c r="G1888" s="47" t="n">
        <x:v>-0.02079140478906505</x:v>
      </x:c>
      <x:c r="H1888" s="47" t="n">
        <x:v>0.4524744499150914</x:v>
      </x:c>
      <x:c r="I1888" s="47" t="n">
        <x:v>0.6874332982462681</x:v>
      </x:c>
      <x:c r="J1888" s="47" t="n">
        <x:v>0.8646211588305939</x:v>
      </x:c>
      <x:c r="K1888" s="47" t="n">
        <x:v>0.6050048658348519</x:v>
      </x:c>
      <x:c r="L1888" s="47" t="n">
        <x:v>0.8227634331560234</x:v>
      </x:c>
      <x:c r="M1888" s="47" t="n">
        <x:v>0.12012988457540032</x:v>
      </x:c>
      <x:c r="N1888" s="47" t="n">
        <x:v>0.9184864179091172</x:v>
      </x:c>
      <x:c r="O1888" s="47" t="n">
        <x:v>1</x:v>
      </x:c>
      <x:c r="P1888" s="47" t="n">
        <x:v>1</x:v>
      </x:c>
      <x:c r="Q1888" s="47" t="n">
        <x:v>1</x:v>
      </x:c>
      <x:c r="R1888" s="47" t="n">
        <x:v>1</x:v>
      </x:c>
      <x:c r="S1888" s="27" t="n">
        <x:v>1</x:v>
      </x:c>
    </x:row>
    <x:row r="1889" ht="21.600000381469727" hidden="0" customHeight="1">
      <x:c r="A1889" s="29" t="n">
        <x:v>629</x:v>
      </x:c>
      <x:c r="B1889" s="29" t="str">
        <x:v>A1</x:v>
      </x:c>
      <x:c r="C1889" s="48" t="n">
        <x:v>0.9807888371134484</x:v>
      </x:c>
      <x:c r="D1889" s="48" t="n">
        <x:v>0.9810569912711519</x:v>
      </x:c>
      <x:c r="E1889" s="48" t="n">
        <x:v>0.5024792640599625</x:v>
      </x:c>
      <x:c r="F1889" s="48" t="n">
        <x:v>-0.048333103918274556</x:v>
      </x:c>
      <x:c r="G1889" s="48" t="n">
        <x:v>-0.05266282029954328</x:v>
      </x:c>
      <x:c r="H1889" s="48" t="n">
        <x:v>0.9929110589479173</x:v>
      </x:c>
      <x:c r="I1889" s="48" t="n">
        <x:v>0.6458828432498542</x:v>
      </x:c>
      <x:c r="J1889" s="48" t="n">
        <x:v>0.6620340977669443</x:v>
      </x:c>
      <x:c r="K1889" s="48" t="n">
        <x:v>0.6659716478022208</x:v>
      </x:c>
      <x:c r="L1889" s="48" t="n">
        <x:v>0.6568680196401373</x:v>
      </x:c>
      <x:c r="M1889" s="48" t="n">
        <x:v>0.07336164993918708</x:v>
      </x:c>
      <x:c r="N1889" s="48" t="n">
        <x:v>0.9071670084859687</x:v>
      </x:c>
      <x:c r="O1889" s="48" t="n">
        <x:v>0.8924615319618695</x:v>
      </x:c>
      <x:c r="P1889" s="48" t="n">
        <x:v>0.6030381561970125</x:v>
      </x:c>
      <x:c r="Q1889" s="48" t="n">
        <x:v>1</x:v>
      </x:c>
      <x:c r="R1889" s="48" t="n">
        <x:v>0.8672068708299716</x:v>
      </x:c>
      <x:c r="S1889" s="29" t="n">
        <x:v>0</x:v>
      </x:c>
    </x:row>
    <x:row r="1890" ht="21.600000381469727" hidden="0" customHeight="1">
      <x:c r="A1890" s="27" t="n">
        <x:v>629</x:v>
      </x:c>
      <x:c r="B1890" s="27" t="str">
        <x:v>A2</x:v>
      </x:c>
      <x:c r="C1890" s="47" t="n">
        <x:v>0.9807888371134484</x:v>
      </x:c>
      <x:c r="D1890" s="47" t="n">
        <x:v>0.9810569912711519</x:v>
      </x:c>
      <x:c r="E1890" s="47" t="n">
        <x:v>0.5024792640599625</x:v>
      </x:c>
      <x:c r="F1890" s="47" t="n">
        <x:v>-0.048333103918274556</x:v>
      </x:c>
      <x:c r="G1890" s="47" t="n">
        <x:v>-0.05266282029954328</x:v>
      </x:c>
      <x:c r="H1890" s="47" t="n">
        <x:v>0.9929110589479173</x:v>
      </x:c>
      <x:c r="I1890" s="47" t="n">
        <x:v>0.6458828432498542</x:v>
      </x:c>
      <x:c r="J1890" s="47" t="n">
        <x:v>0.6620340977669443</x:v>
      </x:c>
      <x:c r="K1890" s="47" t="n">
        <x:v>0.6659716478022208</x:v>
      </x:c>
      <x:c r="L1890" s="47" t="n">
        <x:v>0.6568680196401373</x:v>
      </x:c>
      <x:c r="M1890" s="47" t="n">
        <x:v>0.07336164993918708</x:v>
      </x:c>
      <x:c r="N1890" s="47" t="n">
        <x:v>0.9071670084859687</x:v>
      </x:c>
      <x:c r="O1890" s="47" t="n">
        <x:v>0.9663259937537166</x:v>
      </x:c>
      <x:c r="P1890" s="47" t="n">
        <x:v>0.7241024227989327</x:v>
      </x:c>
      <x:c r="Q1890" s="47" t="n">
        <x:v>1</x:v>
      </x:c>
      <x:c r="R1890" s="47" t="n">
        <x:v>0.9584178876385935</x:v>
      </x:c>
      <x:c r="S1890" s="27" t="n">
        <x:v>0</x:v>
      </x:c>
    </x:row>
    <x:row r="1891" ht="21.600000381469727" hidden="0" customHeight="1">
      <x:c r="A1891" s="29" t="n">
        <x:v>629</x:v>
      </x:c>
      <x:c r="B1891" s="29" t="str">
        <x:v>A3</x:v>
      </x:c>
      <x:c r="C1891" s="48" t="n">
        <x:v>0.9807888371134484</x:v>
      </x:c>
      <x:c r="D1891" s="48" t="n">
        <x:v>0.9810569912711519</x:v>
      </x:c>
      <x:c r="E1891" s="48" t="n">
        <x:v>0.5024792640599625</x:v>
      </x:c>
      <x:c r="F1891" s="48" t="n">
        <x:v>-0.048333103918274556</x:v>
      </x:c>
      <x:c r="G1891" s="48" t="n">
        <x:v>-0.05266282029954328</x:v>
      </x:c>
      <x:c r="H1891" s="48" t="n">
        <x:v>0.9929110589479173</x:v>
      </x:c>
      <x:c r="I1891" s="48" t="n">
        <x:v>0.6458828432498542</x:v>
      </x:c>
      <x:c r="J1891" s="48" t="n">
        <x:v>0.6620340977669443</x:v>
      </x:c>
      <x:c r="K1891" s="48" t="n">
        <x:v>0.6659716478022208</x:v>
      </x:c>
      <x:c r="L1891" s="48" t="n">
        <x:v>0.6568680196401373</x:v>
      </x:c>
      <x:c r="M1891" s="48" t="n">
        <x:v>0.07336164993918708</x:v>
      </x:c>
      <x:c r="N1891" s="48" t="n">
        <x:v>0.9071670084859687</x:v>
      </x:c>
      <x:c r="O1891" s="48" t="n">
        <x:v>1</x:v>
      </x:c>
      <x:c r="P1891" s="48" t="n">
        <x:v>1</x:v>
      </x:c>
      <x:c r="Q1891" s="48" t="n">
        <x:v>1</x:v>
      </x:c>
      <x:c r="R1891" s="48" t="n">
        <x:v>1</x:v>
      </x:c>
      <x:c r="S1891" s="29" t="n">
        <x:v>1</x:v>
      </x:c>
    </x:row>
    <x:row r="1892" ht="21.600000381469727" hidden="0" customHeight="1">
      <x:c r="A1892" s="27" t="n">
        <x:v>630</x:v>
      </x:c>
      <x:c r="B1892" s="27" t="str">
        <x:v>A1</x:v>
      </x:c>
      <x:c r="C1892" s="47" t="n">
        <x:v>1.250084439685339</x:v>
      </x:c>
      <x:c r="D1892" s="47" t="n">
        <x:v>0.9286524651224989</x:v>
      </x:c>
      <x:c r="E1892" s="47" t="n">
        <x:v>0.94253472617021</x:v>
      </x:c>
      <x:c r="F1892" s="47" t="n">
        <x:v>-0.1587791014609311</x:v>
      </x:c>
      <x:c r="G1892" s="47" t="n">
        <x:v>-0.009119398913840338</x:v>
      </x:c>
      <x:c r="H1892" s="47" t="n">
        <x:v>0.9521478153052811</x:v>
      </x:c>
      <x:c r="I1892" s="47" t="n">
        <x:v>0.7549734074130139</x:v>
      </x:c>
      <x:c r="J1892" s="47" t="n">
        <x:v>0.511545254375146</x:v>
      </x:c>
      <x:c r="K1892" s="47" t="n">
        <x:v>0.7049660130084064</x:v>
      </x:c>
      <x:c r="L1892" s="47" t="n">
        <x:v>0.8030127726261886</x:v>
      </x:c>
      <x:c r="M1892" s="47" t="n">
        <x:v>0.13569945504733863</x:v>
      </x:c>
      <x:c r="N1892" s="47" t="n">
        <x:v>0.8439071526849543</x:v>
      </x:c>
      <x:c r="O1892" s="47" t="n">
        <x:v>0.8428534840637625</x:v>
      </x:c>
      <x:c r="P1892" s="47" t="n">
        <x:v>0.5819830930894055</x:v>
      </x:c>
      <x:c r="Q1892" s="47" t="n">
        <x:v>1</x:v>
      </x:c>
      <x:c r="R1892" s="47" t="n">
        <x:v>0.8059487179793056</x:v>
      </x:c>
      <x:c r="S1892" s="27" t="n">
        <x:v>0</x:v>
      </x:c>
    </x:row>
    <x:row r="1893" ht="21.600000381469727" hidden="0" customHeight="1">
      <x:c r="A1893" s="29" t="n">
        <x:v>630</x:v>
      </x:c>
      <x:c r="B1893" s="29" t="str">
        <x:v>A2</x:v>
      </x:c>
      <x:c r="C1893" s="48" t="n">
        <x:v>1.250084439685339</x:v>
      </x:c>
      <x:c r="D1893" s="48" t="n">
        <x:v>0.9286524651224989</x:v>
      </x:c>
      <x:c r="E1893" s="48" t="n">
        <x:v>0.94253472617021</x:v>
      </x:c>
      <x:c r="F1893" s="48" t="n">
        <x:v>-0.1587791014609311</x:v>
      </x:c>
      <x:c r="G1893" s="48" t="n">
        <x:v>-0.009119398913840338</x:v>
      </x:c>
      <x:c r="H1893" s="48" t="n">
        <x:v>0.9521478153052811</x:v>
      </x:c>
      <x:c r="I1893" s="48" t="n">
        <x:v>0.7549734074130139</x:v>
      </x:c>
      <x:c r="J1893" s="48" t="n">
        <x:v>0.511545254375146</x:v>
      </x:c>
      <x:c r="K1893" s="48" t="n">
        <x:v>0.7049660130084064</x:v>
      </x:c>
      <x:c r="L1893" s="48" t="n">
        <x:v>0.8030127726261886</x:v>
      </x:c>
      <x:c r="M1893" s="48" t="n">
        <x:v>0.13569945504733863</x:v>
      </x:c>
      <x:c r="N1893" s="48" t="n">
        <x:v>0.8439071526849543</x:v>
      </x:c>
      <x:c r="O1893" s="48" t="n">
        <x:v>0.9124715864093033</x:v>
      </x:c>
      <x:c r="P1893" s="48" t="n">
        <x:v>0.6345391431636542</x:v>
      </x:c>
      <x:c r="Q1893" s="48" t="n">
        <x:v>1</x:v>
      </x:c>
      <x:c r="R1893" s="48" t="n">
        <x:v>0.8919161473652782</x:v>
      </x:c>
      <x:c r="S1893" s="29" t="n">
        <x:v>0</x:v>
      </x:c>
    </x:row>
    <x:row r="1894" ht="21.600000381469727" hidden="0" customHeight="1">
      <x:c r="A1894" s="27" t="n">
        <x:v>630</x:v>
      </x:c>
      <x:c r="B1894" s="27" t="str">
        <x:v>A3</x:v>
      </x:c>
      <x:c r="C1894" s="47" t="n">
        <x:v>1.250084439685339</x:v>
      </x:c>
      <x:c r="D1894" s="47" t="n">
        <x:v>0.9286524651224989</x:v>
      </x:c>
      <x:c r="E1894" s="47" t="n">
        <x:v>0.94253472617021</x:v>
      </x:c>
      <x:c r="F1894" s="47" t="n">
        <x:v>-0.1587791014609311</x:v>
      </x:c>
      <x:c r="G1894" s="47" t="n">
        <x:v>-0.009119398913840338</x:v>
      </x:c>
      <x:c r="H1894" s="47" t="n">
        <x:v>0.9521478153052811</x:v>
      </x:c>
      <x:c r="I1894" s="47" t="n">
        <x:v>0.7549734074130139</x:v>
      </x:c>
      <x:c r="J1894" s="47" t="n">
        <x:v>0.511545254375146</x:v>
      </x:c>
      <x:c r="K1894" s="47" t="n">
        <x:v>0.7049660130084064</x:v>
      </x:c>
      <x:c r="L1894" s="47" t="n">
        <x:v>0.8030127726261886</x:v>
      </x:c>
      <x:c r="M1894" s="47" t="n">
        <x:v>0.13569945504733863</x:v>
      </x:c>
      <x:c r="N1894" s="47" t="n">
        <x:v>0.8439071526849543</x:v>
      </x:c>
      <x:c r="O1894" s="47" t="n">
        <x:v>1</x:v>
      </x:c>
      <x:c r="P1894" s="47" t="n">
        <x:v>1</x:v>
      </x:c>
      <x:c r="Q1894" s="47" t="n">
        <x:v>1</x:v>
      </x:c>
      <x:c r="R1894" s="47" t="n">
        <x:v>1</x:v>
      </x:c>
      <x:c r="S1894" s="27" t="n">
        <x:v>1</x:v>
      </x:c>
    </x:row>
    <x:row r="1895" ht="21.600000381469727" hidden="0" customHeight="1">
      <x:c r="A1895" s="29" t="n">
        <x:v>631</x:v>
      </x:c>
      <x:c r="B1895" s="29" t="str">
        <x:v>A1</x:v>
      </x:c>
      <x:c r="C1895" s="48" t="n">
        <x:v>1.1568966745382925</x:v>
      </x:c>
      <x:c r="D1895" s="48" t="n">
        <x:v>0.7819380836643598</x:v>
      </x:c>
      <x:c r="E1895" s="48" t="n">
        <x:v>0.611764423817848</x:v>
      </x:c>
      <x:c r="F1895" s="48" t="n">
        <x:v>-0.048632317240552975</x:v>
      </x:c>
      <x:c r="G1895" s="48" t="n">
        <x:v>-0.09057340415318241</x:v>
      </x:c>
      <x:c r="H1895" s="48" t="n">
        <x:v>0.7052593629750161</x:v>
      </x:c>
      <x:c r="I1895" s="48" t="n">
        <x:v>0.6429738170306862</x:v>
      </x:c>
      <x:c r="J1895" s="48" t="n">
        <x:v>0.9457068289706958</x:v>
      </x:c>
      <x:c r="K1895" s="48" t="n">
        <x:v>0.9551731263964596</x:v>
      </x:c>
      <x:c r="L1895" s="48" t="n">
        <x:v>0.6067332868237529</x:v>
      </x:c>
      <x:c r="M1895" s="48" t="n">
        <x:v>0.07618818868473089</x:v>
      </x:c>
      <x:c r="N1895" s="48" t="n">
        <x:v>0.7991777813216141</x:v>
      </x:c>
      <x:c r="O1895" s="48" t="n">
        <x:v>0.7887898418642616</x:v>
      </x:c>
      <x:c r="P1895" s="48" t="n">
        <x:v>0.46795903772863295</x:v>
      </x:c>
      <x:c r="Q1895" s="48" t="n">
        <x:v>1</x:v>
      </x:c>
      <x:c r="R1895" s="48" t="n">
        <x:v>0.7391886055007187</x:v>
      </x:c>
      <x:c r="S1895" s="29" t="n">
        <x:v>0</x:v>
      </x:c>
    </x:row>
    <x:row r="1896" ht="21.600000381469727" hidden="0" customHeight="1">
      <x:c r="A1896" s="27" t="n">
        <x:v>631</x:v>
      </x:c>
      <x:c r="B1896" s="27" t="str">
        <x:v>A2</x:v>
      </x:c>
      <x:c r="C1896" s="47" t="n">
        <x:v>1.1568966745382925</x:v>
      </x:c>
      <x:c r="D1896" s="47" t="n">
        <x:v>0.7819380836643598</x:v>
      </x:c>
      <x:c r="E1896" s="47" t="n">
        <x:v>0.611764423817848</x:v>
      </x:c>
      <x:c r="F1896" s="47" t="n">
        <x:v>-0.048632317240552975</x:v>
      </x:c>
      <x:c r="G1896" s="47" t="n">
        <x:v>-0.09057340415318241</x:v>
      </x:c>
      <x:c r="H1896" s="47" t="n">
        <x:v>0.7052593629750161</x:v>
      </x:c>
      <x:c r="I1896" s="47" t="n">
        <x:v>0.6429738170306862</x:v>
      </x:c>
      <x:c r="J1896" s="47" t="n">
        <x:v>0.9457068289706958</x:v>
      </x:c>
      <x:c r="K1896" s="47" t="n">
        <x:v>0.9551731263964596</x:v>
      </x:c>
      <x:c r="L1896" s="47" t="n">
        <x:v>0.6067332868237529</x:v>
      </x:c>
      <x:c r="M1896" s="47" t="n">
        <x:v>0.07618818868473089</x:v>
      </x:c>
      <x:c r="N1896" s="47" t="n">
        <x:v>0.7991777813216141</x:v>
      </x:c>
      <x:c r="O1896" s="47" t="n">
        <x:v>0.873986636520516</x:v>
      </x:c>
      <x:c r="P1896" s="47" t="n">
        <x:v>0.5456379883702569</x:v>
      </x:c>
      <x:c r="Q1896" s="47" t="n">
        <x:v>1</x:v>
      </x:c>
      <x:c r="R1896" s="47" t="n">
        <x:v>0.8443932747140541</x:v>
      </x:c>
      <x:c r="S1896" s="27" t="n">
        <x:v>0</x:v>
      </x:c>
    </x:row>
    <x:row r="1897" ht="21.600000381469727" hidden="0" customHeight="1">
      <x:c r="A1897" s="29" t="n">
        <x:v>631</x:v>
      </x:c>
      <x:c r="B1897" s="29" t="str">
        <x:v>A3</x:v>
      </x:c>
      <x:c r="C1897" s="48" t="n">
        <x:v>1.1568966745382925</x:v>
      </x:c>
      <x:c r="D1897" s="48" t="n">
        <x:v>0.7819380836643598</x:v>
      </x:c>
      <x:c r="E1897" s="48" t="n">
        <x:v>0.611764423817848</x:v>
      </x:c>
      <x:c r="F1897" s="48" t="n">
        <x:v>-0.048632317240552975</x:v>
      </x:c>
      <x:c r="G1897" s="48" t="n">
        <x:v>-0.09057340415318241</x:v>
      </x:c>
      <x:c r="H1897" s="48" t="n">
        <x:v>0.7052593629750161</x:v>
      </x:c>
      <x:c r="I1897" s="48" t="n">
        <x:v>0.6429738170306862</x:v>
      </x:c>
      <x:c r="J1897" s="48" t="n">
        <x:v>0.9457068289706958</x:v>
      </x:c>
      <x:c r="K1897" s="48" t="n">
        <x:v>0.9551731263964596</x:v>
      </x:c>
      <x:c r="L1897" s="48" t="n">
        <x:v>0.6067332868237529</x:v>
      </x:c>
      <x:c r="M1897" s="48" t="n">
        <x:v>0.07618818868473089</x:v>
      </x:c>
      <x:c r="N1897" s="48" t="n">
        <x:v>0.7991777813216141</x:v>
      </x:c>
      <x:c r="O1897" s="48" t="n">
        <x:v>1</x:v>
      </x:c>
      <x:c r="P1897" s="48" t="n">
        <x:v>1</x:v>
      </x:c>
      <x:c r="Q1897" s="48" t="n">
        <x:v>1</x:v>
      </x:c>
      <x:c r="R1897" s="48" t="n">
        <x:v>1</x:v>
      </x:c>
      <x:c r="S1897" s="29" t="n">
        <x:v>1</x:v>
      </x:c>
    </x:row>
    <x:row r="1898" ht="21.600000381469727" hidden="0" customHeight="1">
      <x:c r="A1898" s="27" t="n">
        <x:v>632</x:v>
      </x:c>
      <x:c r="B1898" s="27" t="str">
        <x:v>A1</x:v>
      </x:c>
      <x:c r="C1898" s="47" t="n">
        <x:v>1.0583442125728302</x:v>
      </x:c>
      <x:c r="D1898" s="47" t="n">
        <x:v>0.8328822261136752</x:v>
      </x:c>
      <x:c r="E1898" s="47" t="n">
        <x:v>0.5741417975694756</x:v>
      </x:c>
      <x:c r="F1898" s="47" t="n">
        <x:v>0.012549294747658174</x:v>
      </x:c>
      <x:c r="G1898" s="47" t="n">
        <x:v>-0.17205248695686898</x:v>
      </x:c>
      <x:c r="H1898" s="47" t="n">
        <x:v>0.4856610671727396</x:v>
      </x:c>
      <x:c r="I1898" s="47" t="n">
        <x:v>0.8285585322774647</x:v>
      </x:c>
      <x:c r="J1898" s="47" t="n">
        <x:v>0.9984364208435302</x:v>
      </x:c>
      <x:c r="K1898" s="47" t="n">
        <x:v>0.9079689984912229</x:v>
      </x:c>
      <x:c r="L1898" s="47" t="n">
        <x:v>0.6856438804017028</x:v>
      </x:c>
      <x:c r="M1898" s="47" t="n">
        <x:v>0.07013670177040884</x:v>
      </x:c>
      <x:c r="N1898" s="47" t="n">
        <x:v>0.9953334563136758</x:v>
      </x:c>
      <x:c r="O1898" s="47" t="n">
        <x:v>0.8759029860009236</x:v>
      </x:c>
      <x:c r="P1898" s="47" t="n">
        <x:v>0.4292506266069651</x:v>
      </x:c>
      <x:c r="Q1898" s="47" t="n">
        <x:v>1</x:v>
      </x:c>
      <x:c r="R1898" s="47" t="n">
        <x:v>0.8467596655389305</x:v>
      </x:c>
      <x:c r="S1898" s="27" t="n">
        <x:v>0</x:v>
      </x:c>
    </x:row>
    <x:row r="1899" ht="21.600000381469727" hidden="0" customHeight="1">
      <x:c r="A1899" s="29" t="n">
        <x:v>632</x:v>
      </x:c>
      <x:c r="B1899" s="29" t="str">
        <x:v>A2</x:v>
      </x:c>
      <x:c r="C1899" s="48" t="n">
        <x:v>1.0583442125728302</x:v>
      </x:c>
      <x:c r="D1899" s="48" t="n">
        <x:v>0.8328822261136752</x:v>
      </x:c>
      <x:c r="E1899" s="48" t="n">
        <x:v>0.5741417975694756</x:v>
      </x:c>
      <x:c r="F1899" s="48" t="n">
        <x:v>0.012549294747658174</x:v>
      </x:c>
      <x:c r="G1899" s="48" t="n">
        <x:v>-0.17205248695686898</x:v>
      </x:c>
      <x:c r="H1899" s="48" t="n">
        <x:v>0.4856610671727396</x:v>
      </x:c>
      <x:c r="I1899" s="48" t="n">
        <x:v>0.8285585322774647</x:v>
      </x:c>
      <x:c r="J1899" s="48" t="n">
        <x:v>0.9984364208435302</x:v>
      </x:c>
      <x:c r="K1899" s="48" t="n">
        <x:v>0.9079689984912229</x:v>
      </x:c>
      <x:c r="L1899" s="48" t="n">
        <x:v>0.6856438804017028</x:v>
      </x:c>
      <x:c r="M1899" s="48" t="n">
        <x:v>0.07013670177040884</x:v>
      </x:c>
      <x:c r="N1899" s="48" t="n">
        <x:v>0.9953334563136758</x:v>
      </x:c>
      <x:c r="O1899" s="48" t="n">
        <x:v>0.9488169780045722</x:v>
      </x:c>
      <x:c r="P1899" s="48" t="n">
        <x:v>0.6110655458872227</x:v>
      </x:c>
      <x:c r="Q1899" s="48" t="n">
        <x:v>1</x:v>
      </x:c>
      <x:c r="R1899" s="48" t="n">
        <x:v>0.9367970013414988</x:v>
      </x:c>
      <x:c r="S1899" s="29" t="n">
        <x:v>0</x:v>
      </x:c>
    </x:row>
    <x:row r="1900" ht="21.600000381469727" hidden="0" customHeight="1">
      <x:c r="A1900" s="27" t="n">
        <x:v>632</x:v>
      </x:c>
      <x:c r="B1900" s="27" t="str">
        <x:v>A3</x:v>
      </x:c>
      <x:c r="C1900" s="47" t="n">
        <x:v>1.0583442125728302</x:v>
      </x:c>
      <x:c r="D1900" s="47" t="n">
        <x:v>0.8328822261136752</x:v>
      </x:c>
      <x:c r="E1900" s="47" t="n">
        <x:v>0.5741417975694756</x:v>
      </x:c>
      <x:c r="F1900" s="47" t="n">
        <x:v>0.012549294747658174</x:v>
      </x:c>
      <x:c r="G1900" s="47" t="n">
        <x:v>-0.17205248695686898</x:v>
      </x:c>
      <x:c r="H1900" s="47" t="n">
        <x:v>0.4856610671727396</x:v>
      </x:c>
      <x:c r="I1900" s="47" t="n">
        <x:v>0.8285585322774647</x:v>
      </x:c>
      <x:c r="J1900" s="47" t="n">
        <x:v>0.9984364208435302</x:v>
      </x:c>
      <x:c r="K1900" s="47" t="n">
        <x:v>0.9079689984912229</x:v>
      </x:c>
      <x:c r="L1900" s="47" t="n">
        <x:v>0.6856438804017028</x:v>
      </x:c>
      <x:c r="M1900" s="47" t="n">
        <x:v>0.07013670177040884</x:v>
      </x:c>
      <x:c r="N1900" s="47" t="n">
        <x:v>0.9953334563136758</x:v>
      </x:c>
      <x:c r="O1900" s="47" t="n">
        <x:v>1</x:v>
      </x:c>
      <x:c r="P1900" s="47" t="n">
        <x:v>1</x:v>
      </x:c>
      <x:c r="Q1900" s="47" t="n">
        <x:v>1</x:v>
      </x:c>
      <x:c r="R1900" s="47" t="n">
        <x:v>1</x:v>
      </x:c>
      <x:c r="S1900" s="27" t="n">
        <x:v>1</x:v>
      </x:c>
    </x:row>
    <x:row r="1901" ht="21.600000381469727" hidden="0" customHeight="1">
      <x:c r="A1901" s="29" t="n">
        <x:v>633</x:v>
      </x:c>
      <x:c r="B1901" s="29" t="str">
        <x:v>A1</x:v>
      </x:c>
      <x:c r="C1901" s="48" t="n">
        <x:v>1.2319300709149443</x:v>
      </x:c>
      <x:c r="D1901" s="48" t="n">
        <x:v>0.9618292819514487</x:v>
      </x:c>
      <x:c r="E1901" s="48" t="n">
        <x:v>0.57602088055797</x:v>
      </x:c>
      <x:c r="F1901" s="48" t="n">
        <x:v>0.003599914538275739</x:v>
      </x:c>
      <x:c r="G1901" s="48" t="n">
        <x:v>-0.03138043817416006</x:v>
      </x:c>
      <x:c r="H1901" s="48" t="n">
        <x:v>0.35939684064014543</x:v>
      </x:c>
      <x:c r="I1901" s="48" t="n">
        <x:v>0.9120570046221077</x:v>
      </x:c>
      <x:c r="J1901" s="48" t="n">
        <x:v>0.9268826436503467</x:v>
      </x:c>
      <x:c r="K1901" s="48" t="n">
        <x:v>0.7045864925092696</x:v>
      </x:c>
      <x:c r="L1901" s="48" t="n">
        <x:v>0.890116883129992</x:v>
      </x:c>
      <x:c r="M1901" s="48" t="n">
        <x:v>0.0895302763649947</x:v>
      </x:c>
      <x:c r="N1901" s="48" t="n">
        <x:v>0.6750171941605251</x:v>
      </x:c>
      <x:c r="O1901" s="48" t="n">
        <x:v>0.8562198477085183</x:v>
      </x:c>
      <x:c r="P1901" s="48" t="n">
        <x:v>0.4782905287446667</x:v>
      </x:c>
      <x:c r="Q1901" s="48" t="n">
        <x:v>1</x:v>
      </x:c>
      <x:c r="R1901" s="48" t="n">
        <x:v>0.8224540791434826</x:v>
      </x:c>
      <x:c r="S1901" s="29" t="n">
        <x:v>0</x:v>
      </x:c>
    </x:row>
    <x:row r="1902" ht="21.600000381469727" hidden="0" customHeight="1">
      <x:c r="A1902" s="27" t="n">
        <x:v>633</x:v>
      </x:c>
      <x:c r="B1902" s="27" t="str">
        <x:v>A2</x:v>
      </x:c>
      <x:c r="C1902" s="47" t="n">
        <x:v>1.2319300709149443</x:v>
      </x:c>
      <x:c r="D1902" s="47" t="n">
        <x:v>0.9618292819514487</x:v>
      </x:c>
      <x:c r="E1902" s="47" t="n">
        <x:v>0.57602088055797</x:v>
      </x:c>
      <x:c r="F1902" s="47" t="n">
        <x:v>0.003599914538275739</x:v>
      </x:c>
      <x:c r="G1902" s="47" t="n">
        <x:v>-0.03138043817416006</x:v>
      </x:c>
      <x:c r="H1902" s="47" t="n">
        <x:v>0.35939684064014543</x:v>
      </x:c>
      <x:c r="I1902" s="47" t="n">
        <x:v>0.9120570046221077</x:v>
      </x:c>
      <x:c r="J1902" s="47" t="n">
        <x:v>0.9268826436503467</x:v>
      </x:c>
      <x:c r="K1902" s="47" t="n">
        <x:v>0.7045864925092696</x:v>
      </x:c>
      <x:c r="L1902" s="47" t="n">
        <x:v>0.890116883129992</x:v>
      </x:c>
      <x:c r="M1902" s="47" t="n">
        <x:v>0.0895302763649947</x:v>
      </x:c>
      <x:c r="N1902" s="47" t="n">
        <x:v>0.6750171941605251</x:v>
      </x:c>
      <x:c r="O1902" s="47" t="n">
        <x:v>0.896334706506309</x:v>
      </x:c>
      <x:c r="P1902" s="47" t="n">
        <x:v>0.5094738200299467</x:v>
      </x:c>
      <x:c r="Q1902" s="47" t="n">
        <x:v>1</x:v>
      </x:c>
      <x:c r="R1902" s="47" t="n">
        <x:v>0.8719896334725961</x:v>
      </x:c>
      <x:c r="S1902" s="27" t="n">
        <x:v>0</x:v>
      </x:c>
    </x:row>
    <x:row r="1903" ht="21.600000381469727" hidden="0" customHeight="1">
      <x:c r="A1903" s="29" t="n">
        <x:v>633</x:v>
      </x:c>
      <x:c r="B1903" s="29" t="str">
        <x:v>A3</x:v>
      </x:c>
      <x:c r="C1903" s="48" t="n">
        <x:v>1.2319300709149443</x:v>
      </x:c>
      <x:c r="D1903" s="48" t="n">
        <x:v>0.9618292819514487</x:v>
      </x:c>
      <x:c r="E1903" s="48" t="n">
        <x:v>0.57602088055797</x:v>
      </x:c>
      <x:c r="F1903" s="48" t="n">
        <x:v>0.003599914538275739</x:v>
      </x:c>
      <x:c r="G1903" s="48" t="n">
        <x:v>-0.03138043817416006</x:v>
      </x:c>
      <x:c r="H1903" s="48" t="n">
        <x:v>0.35939684064014543</x:v>
      </x:c>
      <x:c r="I1903" s="48" t="n">
        <x:v>0.9120570046221077</x:v>
      </x:c>
      <x:c r="J1903" s="48" t="n">
        <x:v>0.9268826436503467</x:v>
      </x:c>
      <x:c r="K1903" s="48" t="n">
        <x:v>0.7045864925092696</x:v>
      </x:c>
      <x:c r="L1903" s="48" t="n">
        <x:v>0.890116883129992</x:v>
      </x:c>
      <x:c r="M1903" s="48" t="n">
        <x:v>0.0895302763649947</x:v>
      </x:c>
      <x:c r="N1903" s="48" t="n">
        <x:v>0.6750171941605251</x:v>
      </x:c>
      <x:c r="O1903" s="48" t="n">
        <x:v>1</x:v>
      </x:c>
      <x:c r="P1903" s="48" t="n">
        <x:v>1</x:v>
      </x:c>
      <x:c r="Q1903" s="48" t="n">
        <x:v>1</x:v>
      </x:c>
      <x:c r="R1903" s="48" t="n">
        <x:v>1</x:v>
      </x:c>
      <x:c r="S1903" s="29" t="n">
        <x:v>1</x:v>
      </x:c>
    </x:row>
    <x:row r="1904" ht="21.600000381469727" hidden="0" customHeight="1">
      <x:c r="A1904" s="27" t="n">
        <x:v>634</x:v>
      </x:c>
      <x:c r="B1904" s="27" t="str">
        <x:v>A1</x:v>
      </x:c>
      <x:c r="C1904" s="47" t="n">
        <x:v>1.1664934561981566</x:v>
      </x:c>
      <x:c r="D1904" s="47" t="n">
        <x:v>0.8594831332224124</x:v>
      </x:c>
      <x:c r="E1904" s="47" t="n">
        <x:v>0.7586713620753527</x:v>
      </x:c>
      <x:c r="F1904" s="47" t="n">
        <x:v>-0.1779157315930257</x:v>
      </x:c>
      <x:c r="G1904" s="47" t="n">
        <x:v>-0.005516034946488363</x:v>
      </x:c>
      <x:c r="H1904" s="47" t="n">
        <x:v>0.4822329987599192</x:v>
      </x:c>
      <x:c r="I1904" s="47" t="n">
        <x:v>0.6628831023453527</x:v>
      </x:c>
      <x:c r="J1904" s="47" t="n">
        <x:v>0.4600030761961518</x:v>
      </x:c>
      <x:c r="K1904" s="47" t="n">
        <x:v>0.7707438078556852</x:v>
      </x:c>
      <x:c r="L1904" s="47" t="n">
        <x:v>0.9529162114833006</x:v>
      </x:c>
      <x:c r="M1904" s="47" t="n">
        <x:v>0.08305630558523405</x:v>
      </x:c>
      <x:c r="N1904" s="47" t="n">
        <x:v>0.9320979993267411</x:v>
      </x:c>
      <x:c r="O1904" s="47" t="n">
        <x:v>0.8286275934371102</x:v>
      </x:c>
      <x:c r="P1904" s="47" t="n">
        <x:v>0.5566110961060181</x:v>
      </x:c>
      <x:c r="Q1904" s="47" t="n">
        <x:v>1</x:v>
      </x:c>
      <x:c r="R1904" s="47" t="n">
        <x:v>0.7883819759007975</x:v>
      </x:c>
      <x:c r="S1904" s="27" t="n">
        <x:v>0</x:v>
      </x:c>
    </x:row>
    <x:row r="1905" ht="21.600000381469727" hidden="0" customHeight="1">
      <x:c r="A1905" s="29" t="n">
        <x:v>634</x:v>
      </x:c>
      <x:c r="B1905" s="29" t="str">
        <x:v>A2</x:v>
      </x:c>
      <x:c r="C1905" s="48" t="n">
        <x:v>1.1664934561981566</x:v>
      </x:c>
      <x:c r="D1905" s="48" t="n">
        <x:v>0.8594831332224124</x:v>
      </x:c>
      <x:c r="E1905" s="48" t="n">
        <x:v>0.7586713620753527</x:v>
      </x:c>
      <x:c r="F1905" s="48" t="n">
        <x:v>-0.1779157315930257</x:v>
      </x:c>
      <x:c r="G1905" s="48" t="n">
        <x:v>-0.005516034946488363</x:v>
      </x:c>
      <x:c r="H1905" s="48" t="n">
        <x:v>0.4822329987599192</x:v>
      </x:c>
      <x:c r="I1905" s="48" t="n">
        <x:v>0.6628831023453527</x:v>
      </x:c>
      <x:c r="J1905" s="48" t="n">
        <x:v>0.4600030761961518</x:v>
      </x:c>
      <x:c r="K1905" s="48" t="n">
        <x:v>0.7707438078556852</x:v>
      </x:c>
      <x:c r="L1905" s="48" t="n">
        <x:v>0.9529162114833006</x:v>
      </x:c>
      <x:c r="M1905" s="48" t="n">
        <x:v>0.08305630558523405</x:v>
      </x:c>
      <x:c r="N1905" s="48" t="n">
        <x:v>0.9320979993267411</x:v>
      </x:c>
      <x:c r="O1905" s="48" t="n">
        <x:v>0.9109640939535798</x:v>
      </x:c>
      <x:c r="P1905" s="48" t="n">
        <x:v>0.573164085213892</x:v>
      </x:c>
      <x:c r="Q1905" s="48" t="n">
        <x:v>1</x:v>
      </x:c>
      <x:c r="R1905" s="48" t="n">
        <x:v>0.8900546307931361</x:v>
      </x:c>
      <x:c r="S1905" s="29" t="n">
        <x:v>0</x:v>
      </x:c>
    </x:row>
    <x:row r="1906" ht="21.600000381469727" hidden="0" customHeight="1">
      <x:c r="A1906" s="27" t="n">
        <x:v>634</x:v>
      </x:c>
      <x:c r="B1906" s="27" t="str">
        <x:v>A3</x:v>
      </x:c>
      <x:c r="C1906" s="47" t="n">
        <x:v>1.1664934561981566</x:v>
      </x:c>
      <x:c r="D1906" s="47" t="n">
        <x:v>0.8594831332224124</x:v>
      </x:c>
      <x:c r="E1906" s="47" t="n">
        <x:v>0.7586713620753527</x:v>
      </x:c>
      <x:c r="F1906" s="47" t="n">
        <x:v>-0.1779157315930257</x:v>
      </x:c>
      <x:c r="G1906" s="47" t="n">
        <x:v>-0.005516034946488363</x:v>
      </x:c>
      <x:c r="H1906" s="47" t="n">
        <x:v>0.4822329987599192</x:v>
      </x:c>
      <x:c r="I1906" s="47" t="n">
        <x:v>0.6628831023453527</x:v>
      </x:c>
      <x:c r="J1906" s="47" t="n">
        <x:v>0.4600030761961518</x:v>
      </x:c>
      <x:c r="K1906" s="47" t="n">
        <x:v>0.7707438078556852</x:v>
      </x:c>
      <x:c r="L1906" s="47" t="n">
        <x:v>0.9529162114833006</x:v>
      </x:c>
      <x:c r="M1906" s="47" t="n">
        <x:v>0.08305630558523405</x:v>
      </x:c>
      <x:c r="N1906" s="47" t="n">
        <x:v>0.9320979993267411</x:v>
      </x:c>
      <x:c r="O1906" s="47" t="n">
        <x:v>1</x:v>
      </x:c>
      <x:c r="P1906" s="47" t="n">
        <x:v>1</x:v>
      </x:c>
      <x:c r="Q1906" s="47" t="n">
        <x:v>1</x:v>
      </x:c>
      <x:c r="R1906" s="47" t="n">
        <x:v>1</x:v>
      </x:c>
      <x:c r="S1906" s="27" t="n">
        <x:v>1</x:v>
      </x:c>
    </x:row>
    <x:row r="1907" ht="21.600000381469727" hidden="0" customHeight="1">
      <x:c r="A1907" s="29" t="n">
        <x:v>635</x:v>
      </x:c>
      <x:c r="B1907" s="29" t="str">
        <x:v>A1</x:v>
      </x:c>
      <x:c r="C1907" s="48" t="n">
        <x:v>0.9978646120900985</x:v>
      </x:c>
      <x:c r="D1907" s="48" t="n">
        <x:v>0.9296627083207518</x:v>
      </x:c>
      <x:c r="E1907" s="48" t="n">
        <x:v>1.018292614709018</x:v>
      </x:c>
      <x:c r="F1907" s="48" t="n">
        <x:v>0.030652710197578314</x:v>
      </x:c>
      <x:c r="G1907" s="48" t="n">
        <x:v>-0.08916987487745438</x:v>
      </x:c>
      <x:c r="H1907" s="48" t="n">
        <x:v>0.7640960798818259</x:v>
      </x:c>
      <x:c r="I1907" s="48" t="n">
        <x:v>1.013558183887568</x:v>
      </x:c>
      <x:c r="J1907" s="48" t="n">
        <x:v>0.44953033845370144</x:v>
      </x:c>
      <x:c r="K1907" s="48" t="n">
        <x:v>0.8843922098489224</x:v>
      </x:c>
      <x:c r="L1907" s="48" t="n">
        <x:v>0.9228272239400992</x:v>
      </x:c>
      <x:c r="M1907" s="48" t="n">
        <x:v>0.03772411273650633</x:v>
      </x:c>
      <x:c r="N1907" s="48" t="n">
        <x:v>0.7622111552847147</x:v>
      </x:c>
      <x:c r="O1907" s="48" t="n">
        <x:v>0.9130944061724644</x:v>
      </x:c>
      <x:c r="P1907" s="48" t="n">
        <x:v>0.7145880080050241</x:v>
      </x:c>
      <x:c r="Q1907" s="48" t="n">
        <x:v>1</x:v>
      </x:c>
      <x:c r="R1907" s="48" t="n">
        <x:v>0.8926852320171981</x:v>
      </x:c>
      <x:c r="S1907" s="29" t="n">
        <x:v>0</x:v>
      </x:c>
    </x:row>
    <x:row r="1908" ht="21.600000381469727" hidden="0" customHeight="1">
      <x:c r="A1908" s="27" t="n">
        <x:v>635</x:v>
      </x:c>
      <x:c r="B1908" s="27" t="str">
        <x:v>A2</x:v>
      </x:c>
      <x:c r="C1908" s="47" t="n">
        <x:v>0.9978646120900985</x:v>
      </x:c>
      <x:c r="D1908" s="47" t="n">
        <x:v>0.9296627083207518</x:v>
      </x:c>
      <x:c r="E1908" s="47" t="n">
        <x:v>1.018292614709018</x:v>
      </x:c>
      <x:c r="F1908" s="47" t="n">
        <x:v>0.030652710197578314</x:v>
      </x:c>
      <x:c r="G1908" s="47" t="n">
        <x:v>-0.08916987487745438</x:v>
      </x:c>
      <x:c r="H1908" s="47" t="n">
        <x:v>0.7640960798818259</x:v>
      </x:c>
      <x:c r="I1908" s="47" t="n">
        <x:v>1.013558183887568</x:v>
      </x:c>
      <x:c r="J1908" s="47" t="n">
        <x:v>0.44953033845370144</x:v>
      </x:c>
      <x:c r="K1908" s="47" t="n">
        <x:v>0.8843922098489224</x:v>
      </x:c>
      <x:c r="L1908" s="47" t="n">
        <x:v>0.9228272239400992</x:v>
      </x:c>
      <x:c r="M1908" s="47" t="n">
        <x:v>0.03772411273650633</x:v>
      </x:c>
      <x:c r="N1908" s="47" t="n">
        <x:v>0.7622111552847147</x:v>
      </x:c>
      <x:c r="O1908" s="47" t="n">
        <x:v>0.9955920784472787</x:v>
      </x:c>
      <x:c r="P1908" s="47" t="n">
        <x:v>0.9559207844727873</x:v>
      </x:c>
      <x:c r="Q1908" s="47" t="n">
        <x:v>1</x:v>
      </x:c>
      <x:c r="R1908" s="47" t="n">
        <x:v>0.9945569087341442</x:v>
      </x:c>
      <x:c r="S1908" s="27" t="n">
        <x:v>1</x:v>
      </x:c>
    </x:row>
    <x:row r="1909" ht="21.600000381469727" hidden="0" customHeight="1">
      <x:c r="A1909" s="29" t="n">
        <x:v>635</x:v>
      </x:c>
      <x:c r="B1909" s="29" t="str">
        <x:v>A3</x:v>
      </x:c>
      <x:c r="C1909" s="48" t="n">
        <x:v>0.9978646120900985</x:v>
      </x:c>
      <x:c r="D1909" s="48" t="n">
        <x:v>0.9296627083207518</x:v>
      </x:c>
      <x:c r="E1909" s="48" t="n">
        <x:v>1.018292614709018</x:v>
      </x:c>
      <x:c r="F1909" s="48" t="n">
        <x:v>0.030652710197578314</x:v>
      </x:c>
      <x:c r="G1909" s="48" t="n">
        <x:v>-0.08916987487745438</x:v>
      </x:c>
      <x:c r="H1909" s="48" t="n">
        <x:v>0.7640960798818259</x:v>
      </x:c>
      <x:c r="I1909" s="48" t="n">
        <x:v>1.013558183887568</x:v>
      </x:c>
      <x:c r="J1909" s="48" t="n">
        <x:v>0.44953033845370144</x:v>
      </x:c>
      <x:c r="K1909" s="48" t="n">
        <x:v>0.8843922098489224</x:v>
      </x:c>
      <x:c r="L1909" s="48" t="n">
        <x:v>0.9228272239400992</x:v>
      </x:c>
      <x:c r="M1909" s="48" t="n">
        <x:v>0.03772411273650633</x:v>
      </x:c>
      <x:c r="N1909" s="48" t="n">
        <x:v>0.7622111552847147</x:v>
      </x:c>
      <x:c r="O1909" s="48" t="n">
        <x:v>1</x:v>
      </x:c>
      <x:c r="P1909" s="48" t="n">
        <x:v>1</x:v>
      </x:c>
      <x:c r="Q1909" s="48" t="n">
        <x:v>1</x:v>
      </x:c>
      <x:c r="R1909" s="48" t="n">
        <x:v>1</x:v>
      </x:c>
      <x:c r="S1909" s="29" t="n">
        <x:v>1</x:v>
      </x:c>
    </x:row>
    <x:row r="1910" ht="21.600000381469727" hidden="0" customHeight="1">
      <x:c r="A1910" s="27" t="n">
        <x:v>636</x:v>
      </x:c>
      <x:c r="B1910" s="27" t="str">
        <x:v>A1</x:v>
      </x:c>
      <x:c r="C1910" s="47" t="n">
        <x:v>0.9690098000329863</x:v>
      </x:c>
      <x:c r="D1910" s="47" t="n">
        <x:v>0.7772544498685233</x:v>
      </x:c>
      <x:c r="E1910" s="47" t="n">
        <x:v>0.828227724648605</x:v>
      </x:c>
      <x:c r="F1910" s="47" t="n">
        <x:v>-0.14789659378940256</x:v>
      </x:c>
      <x:c r="G1910" s="47" t="n">
        <x:v>-0.10094606204536746</x:v>
      </x:c>
      <x:c r="H1910" s="47" t="n">
        <x:v>0.3363135281615861</x:v>
      </x:c>
      <x:c r="I1910" s="47" t="n">
        <x:v>0.664938410976059</x:v>
      </x:c>
      <x:c r="J1910" s="47" t="n">
        <x:v>0.7038125828418108</x:v>
      </x:c>
      <x:c r="K1910" s="47" t="n">
        <x:v>0.7740530087415254</x:v>
      </x:c>
      <x:c r="L1910" s="47" t="n">
        <x:v>0.7974494732408042</x:v>
      </x:c>
      <x:c r="M1910" s="47" t="n">
        <x:v>0.008139861820563766</x:v>
      </x:c>
      <x:c r="N1910" s="47" t="n">
        <x:v>0.7571911157671933</x:v>
      </x:c>
      <x:c r="O1910" s="47" t="n">
        <x:v>0.8942407815813389</x:v>
      </x:c>
      <x:c r="P1910" s="47" t="n">
        <x:v>0.6101094051179999</x:v>
      </x:c>
      <x:c r="Q1910" s="47" t="n">
        <x:v>1</x:v>
      </x:c>
      <x:c r="R1910" s="47" t="n">
        <x:v>0.8694039648452978</x:v>
      </x:c>
      <x:c r="S1910" s="27" t="n">
        <x:v>0</x:v>
      </x:c>
    </x:row>
    <x:row r="1911" ht="21.600000381469727" hidden="0" customHeight="1">
      <x:c r="A1911" s="29" t="n">
        <x:v>636</x:v>
      </x:c>
      <x:c r="B1911" s="29" t="str">
        <x:v>A2</x:v>
      </x:c>
      <x:c r="C1911" s="48" t="n">
        <x:v>0.9690098000329863</x:v>
      </x:c>
      <x:c r="D1911" s="48" t="n">
        <x:v>0.7772544498685233</x:v>
      </x:c>
      <x:c r="E1911" s="48" t="n">
        <x:v>0.828227724648605</x:v>
      </x:c>
      <x:c r="F1911" s="48" t="n">
        <x:v>-0.14789659378940256</x:v>
      </x:c>
      <x:c r="G1911" s="48" t="n">
        <x:v>-0.10094606204536746</x:v>
      </x:c>
      <x:c r="H1911" s="48" t="n">
        <x:v>0.3363135281615861</x:v>
      </x:c>
      <x:c r="I1911" s="48" t="n">
        <x:v>0.664938410976059</x:v>
      </x:c>
      <x:c r="J1911" s="48" t="n">
        <x:v>0.7038125828418108</x:v>
      </x:c>
      <x:c r="K1911" s="48" t="n">
        <x:v>0.7740530087415254</x:v>
      </x:c>
      <x:c r="L1911" s="48" t="n">
        <x:v>0.7974494732408042</x:v>
      </x:c>
      <x:c r="M1911" s="48" t="n">
        <x:v>0.008139861820563766</x:v>
      </x:c>
      <x:c r="N1911" s="48" t="n">
        <x:v>0.7571911157671933</x:v>
      </x:c>
      <x:c r="O1911" s="48" t="n">
        <x:v>0.9770086839973068</x:v>
      </x:c>
      <x:c r="P1911" s="48" t="n">
        <x:v>0.770086839973068</x:v>
      </x:c>
      <x:c r="Q1911" s="48" t="n">
        <x:v>1</x:v>
      </x:c>
      <x:c r="R1911" s="48" t="n">
        <x:v>0.9716093333722029</x:v>
      </x:c>
      <x:c r="S1911" s="29" t="n">
        <x:v>0</x:v>
      </x:c>
    </x:row>
    <x:row r="1912" ht="21.600000381469727" hidden="0" customHeight="1">
      <x:c r="A1912" s="27" t="n">
        <x:v>636</x:v>
      </x:c>
      <x:c r="B1912" s="27" t="str">
        <x:v>A3</x:v>
      </x:c>
      <x:c r="C1912" s="47" t="n">
        <x:v>0.9690098000329863</x:v>
      </x:c>
      <x:c r="D1912" s="47" t="n">
        <x:v>0.7772544498685233</x:v>
      </x:c>
      <x:c r="E1912" s="47" t="n">
        <x:v>0.828227724648605</x:v>
      </x:c>
      <x:c r="F1912" s="47" t="n">
        <x:v>-0.14789659378940256</x:v>
      </x:c>
      <x:c r="G1912" s="47" t="n">
        <x:v>-0.10094606204536746</x:v>
      </x:c>
      <x:c r="H1912" s="47" t="n">
        <x:v>0.3363135281615861</x:v>
      </x:c>
      <x:c r="I1912" s="47" t="n">
        <x:v>0.664938410976059</x:v>
      </x:c>
      <x:c r="J1912" s="47" t="n">
        <x:v>0.7038125828418108</x:v>
      </x:c>
      <x:c r="K1912" s="47" t="n">
        <x:v>0.7740530087415254</x:v>
      </x:c>
      <x:c r="L1912" s="47" t="n">
        <x:v>0.7974494732408042</x:v>
      </x:c>
      <x:c r="M1912" s="47" t="n">
        <x:v>0.008139861820563766</x:v>
      </x:c>
      <x:c r="N1912" s="47" t="n">
        <x:v>0.7571911157671933</x:v>
      </x:c>
      <x:c r="O1912" s="47" t="n">
        <x:v>1</x:v>
      </x:c>
      <x:c r="P1912" s="47" t="n">
        <x:v>1</x:v>
      </x:c>
      <x:c r="Q1912" s="47" t="n">
        <x:v>1</x:v>
      </x:c>
      <x:c r="R1912" s="47" t="n">
        <x:v>1</x:v>
      </x:c>
      <x:c r="S1912" s="27" t="n">
        <x:v>1</x:v>
      </x:c>
    </x:row>
    <x:row r="1913" ht="21.600000381469727" hidden="0" customHeight="1">
      <x:c r="A1913" s="29" t="n">
        <x:v>637</x:v>
      </x:c>
      <x:c r="B1913" s="29" t="str">
        <x:v>A1</x:v>
      </x:c>
      <x:c r="C1913" s="48" t="n">
        <x:v>1.207197691570295</x:v>
      </x:c>
      <x:c r="D1913" s="48" t="n">
        <x:v>0.8674761331964143</x:v>
      </x:c>
      <x:c r="E1913" s="48" t="n">
        <x:v>0.7231615332252077</x:v>
      </x:c>
      <x:c r="F1913" s="48" t="n">
        <x:v>-0.017943782863536317</x:v>
      </x:c>
      <x:c r="G1913" s="48" t="n">
        <x:v>-0.1661704168247153</x:v>
      </x:c>
      <x:c r="H1913" s="48" t="n">
        <x:v>0.4607406184680411</x:v>
      </x:c>
      <x:c r="I1913" s="48" t="n">
        <x:v>0.7037179004780417</x:v>
      </x:c>
      <x:c r="J1913" s="48" t="n">
        <x:v>0.7784803715414974</x:v>
      </x:c>
      <x:c r="K1913" s="48" t="n">
        <x:v>0.8567597241532328</x:v>
      </x:c>
      <x:c r="L1913" s="48" t="n">
        <x:v>0.9012887925619691</x:v>
      </x:c>
      <x:c r="M1913" s="48" t="n">
        <x:v>0.08777990881023688</x:v>
      </x:c>
      <x:c r="N1913" s="48" t="n">
        <x:v>0.6711165458722353</x:v>
      </x:c>
      <x:c r="O1913" s="48" t="n">
        <x:v>0.8556090492323359</x:v>
      </x:c>
      <x:c r="P1913" s="48" t="n">
        <x:v>0.5079118853402964</x:v>
      </x:c>
      <x:c r="Q1913" s="48" t="n">
        <x:v>1</x:v>
      </x:c>
      <x:c r="R1913" s="48" t="n">
        <x:v>0.8216998388941628</x:v>
      </x:c>
      <x:c r="S1913" s="29" t="n">
        <x:v>0</x:v>
      </x:c>
    </x:row>
    <x:row r="1914" ht="21.600000381469727" hidden="0" customHeight="1">
      <x:c r="A1914" s="27" t="n">
        <x:v>637</x:v>
      </x:c>
      <x:c r="B1914" s="27" t="str">
        <x:v>A2</x:v>
      </x:c>
      <x:c r="C1914" s="47" t="n">
        <x:v>1.207197691570295</x:v>
      </x:c>
      <x:c r="D1914" s="47" t="n">
        <x:v>0.8674761331964143</x:v>
      </x:c>
      <x:c r="E1914" s="47" t="n">
        <x:v>0.7231615332252077</x:v>
      </x:c>
      <x:c r="F1914" s="47" t="n">
        <x:v>-0.017943782863536317</x:v>
      </x:c>
      <x:c r="G1914" s="47" t="n">
        <x:v>-0.1661704168247153</x:v>
      </x:c>
      <x:c r="H1914" s="47" t="n">
        <x:v>0.4607406184680411</x:v>
      </x:c>
      <x:c r="I1914" s="47" t="n">
        <x:v>0.7037179004780417</x:v>
      </x:c>
      <x:c r="J1914" s="47" t="n">
        <x:v>0.7784803715414974</x:v>
      </x:c>
      <x:c r="K1914" s="47" t="n">
        <x:v>0.8567597241532328</x:v>
      </x:c>
      <x:c r="L1914" s="47" t="n">
        <x:v>0.9012887925619691</x:v>
      </x:c>
      <x:c r="M1914" s="47" t="n">
        <x:v>0.08777990881023688</x:v>
      </x:c>
      <x:c r="N1914" s="47" t="n">
        <x:v>0.6711165458722353</x:v>
      </x:c>
      <x:c r="O1914" s="47" t="n">
        <x:v>0.921258654698028</x:v>
      </x:c>
      <x:c r="P1914" s="47" t="n">
        <x:v>0.5170358801458785</x:v>
      </x:c>
      <x:c r="Q1914" s="47" t="n">
        <x:v>1</x:v>
      </x:c>
      <x:c r="R1914" s="47" t="n">
        <x:v>0.9027667975147367</x:v>
      </x:c>
      <x:c r="S1914" s="27" t="n">
        <x:v>0</x:v>
      </x:c>
    </x:row>
    <x:row r="1915" ht="21.600000381469727" hidden="0" customHeight="1">
      <x:c r="A1915" s="29" t="n">
        <x:v>637</x:v>
      </x:c>
      <x:c r="B1915" s="29" t="str">
        <x:v>A3</x:v>
      </x:c>
      <x:c r="C1915" s="48" t="n">
        <x:v>1.207197691570295</x:v>
      </x:c>
      <x:c r="D1915" s="48" t="n">
        <x:v>0.8674761331964143</x:v>
      </x:c>
      <x:c r="E1915" s="48" t="n">
        <x:v>0.7231615332252077</x:v>
      </x:c>
      <x:c r="F1915" s="48" t="n">
        <x:v>-0.017943782863536317</x:v>
      </x:c>
      <x:c r="G1915" s="48" t="n">
        <x:v>-0.1661704168247153</x:v>
      </x:c>
      <x:c r="H1915" s="48" t="n">
        <x:v>0.4607406184680411</x:v>
      </x:c>
      <x:c r="I1915" s="48" t="n">
        <x:v>0.7037179004780417</x:v>
      </x:c>
      <x:c r="J1915" s="48" t="n">
        <x:v>0.7784803715414974</x:v>
      </x:c>
      <x:c r="K1915" s="48" t="n">
        <x:v>0.8567597241532328</x:v>
      </x:c>
      <x:c r="L1915" s="48" t="n">
        <x:v>0.9012887925619691</x:v>
      </x:c>
      <x:c r="M1915" s="48" t="n">
        <x:v>0.08777990881023688</x:v>
      </x:c>
      <x:c r="N1915" s="48" t="n">
        <x:v>0.6711165458722353</x:v>
      </x:c>
      <x:c r="O1915" s="48" t="n">
        <x:v>1</x:v>
      </x:c>
      <x:c r="P1915" s="48" t="n">
        <x:v>1</x:v>
      </x:c>
      <x:c r="Q1915" s="48" t="n">
        <x:v>1</x:v>
      </x:c>
      <x:c r="R1915" s="48" t="n">
        <x:v>1</x:v>
      </x:c>
      <x:c r="S1915" s="29" t="n">
        <x:v>1</x:v>
      </x:c>
    </x:row>
    <x:row r="1916" ht="21.600000381469727" hidden="0" customHeight="1">
      <x:c r="A1916" s="27" t="n">
        <x:v>638</x:v>
      </x:c>
      <x:c r="B1916" s="27" t="str">
        <x:v>A1</x:v>
      </x:c>
      <x:c r="C1916" s="47" t="n">
        <x:v>0.9569225405208467</x:v>
      </x:c>
      <x:c r="D1916" s="47" t="n">
        <x:v>0.7345013270393178</x:v>
      </x:c>
      <x:c r="E1916" s="47" t="n">
        <x:v>0.9226973552534046</x:v>
      </x:c>
      <x:c r="F1916" s="47" t="n">
        <x:v>-0.1558381610692418</x:v>
      </x:c>
      <x:c r="G1916" s="47" t="n">
        <x:v>-0.138633922381213</x:v>
      </x:c>
      <x:c r="H1916" s="47" t="n">
        <x:v>0.39480589523625853</x:v>
      </x:c>
      <x:c r="I1916" s="47" t="n">
        <x:v>0.6936590969875326</x:v>
      </x:c>
      <x:c r="J1916" s="47" t="n">
        <x:v>0.9298433143004586</x:v>
      </x:c>
      <x:c r="K1916" s="47" t="n">
        <x:v>0.6332398681752098</x:v>
      </x:c>
      <x:c r="L1916" s="47" t="n">
        <x:v>0.5059578936692729</x:v>
      </x:c>
      <x:c r="M1916" s="47" t="n">
        <x:v>0.09086206627681301</x:v>
      </x:c>
      <x:c r="N1916" s="47" t="n">
        <x:v>0.7379888202329941</x:v>
      </x:c>
      <x:c r="O1916" s="47" t="n">
        <x:v>0.8182168382553694</x:v>
      </x:c>
      <x:c r="P1916" s="47" t="n">
        <x:v>0.5515545528143722</x:v>
      </x:c>
      <x:c r="Q1916" s="47" t="n">
        <x:v>0.9357840246851555</x:v>
      </x:c>
      <x:c r="R1916" s="47" t="n">
        <x:v>0.7760032499289814</x:v>
      </x:c>
      <x:c r="S1916" s="27" t="n">
        <x:v>0</x:v>
      </x:c>
    </x:row>
    <x:row r="1917" ht="21.600000381469727" hidden="0" customHeight="1">
      <x:c r="A1917" s="29" t="n">
        <x:v>638</x:v>
      </x:c>
      <x:c r="B1917" s="29" t="str">
        <x:v>A2</x:v>
      </x:c>
      <x:c r="C1917" s="48" t="n">
        <x:v>0.9569225405208467</x:v>
      </x:c>
      <x:c r="D1917" s="48" t="n">
        <x:v>0.7345013270393178</x:v>
      </x:c>
      <x:c r="E1917" s="48" t="n">
        <x:v>0.9226973552534046</x:v>
      </x:c>
      <x:c r="F1917" s="48" t="n">
        <x:v>-0.1558381610692418</x:v>
      </x:c>
      <x:c r="G1917" s="48" t="n">
        <x:v>-0.138633922381213</x:v>
      </x:c>
      <x:c r="H1917" s="48" t="n">
        <x:v>0.39480589523625853</x:v>
      </x:c>
      <x:c r="I1917" s="48" t="n">
        <x:v>0.6936590969875326</x:v>
      </x:c>
      <x:c r="J1917" s="48" t="n">
        <x:v>0.9298433143004586</x:v>
      </x:c>
      <x:c r="K1917" s="48" t="n">
        <x:v>0.6332398681752098</x:v>
      </x:c>
      <x:c r="L1917" s="48" t="n">
        <x:v>0.5059578936692729</x:v>
      </x:c>
      <x:c r="M1917" s="48" t="n">
        <x:v>0.09086206627681301</x:v>
      </x:c>
      <x:c r="N1917" s="48" t="n">
        <x:v>0.7379888202329941</x:v>
      </x:c>
      <x:c r="O1917" s="48" t="n">
        <x:v>0.9123827945357051</x:v>
      </x:c>
      <x:c r="P1917" s="48" t="n">
        <x:v>0.6776688521930059</x:v>
      </x:c>
      <x:c r="Q1917" s="48" t="n">
        <x:v>1</x:v>
      </x:c>
      <x:c r="R1917" s="48" t="n">
        <x:v>0.8918065033378423</x:v>
      </x:c>
      <x:c r="S1917" s="29" t="n">
        <x:v>0</x:v>
      </x:c>
    </x:row>
    <x:row r="1918" ht="21.600000381469727" hidden="0" customHeight="1">
      <x:c r="A1918" s="27" t="n">
        <x:v>638</x:v>
      </x:c>
      <x:c r="B1918" s="27" t="str">
        <x:v>A3</x:v>
      </x:c>
      <x:c r="C1918" s="47" t="n">
        <x:v>0.9569225405208467</x:v>
      </x:c>
      <x:c r="D1918" s="47" t="n">
        <x:v>0.7345013270393178</x:v>
      </x:c>
      <x:c r="E1918" s="47" t="n">
        <x:v>0.9226973552534046</x:v>
      </x:c>
      <x:c r="F1918" s="47" t="n">
        <x:v>-0.1558381610692418</x:v>
      </x:c>
      <x:c r="G1918" s="47" t="n">
        <x:v>-0.138633922381213</x:v>
      </x:c>
      <x:c r="H1918" s="47" t="n">
        <x:v>0.39480589523625853</x:v>
      </x:c>
      <x:c r="I1918" s="47" t="n">
        <x:v>0.6936590969875326</x:v>
      </x:c>
      <x:c r="J1918" s="47" t="n">
        <x:v>0.9298433143004586</x:v>
      </x:c>
      <x:c r="K1918" s="47" t="n">
        <x:v>0.6332398681752098</x:v>
      </x:c>
      <x:c r="L1918" s="47" t="n">
        <x:v>0.5059578936692729</x:v>
      </x:c>
      <x:c r="M1918" s="47" t="n">
        <x:v>0.09086206627681301</x:v>
      </x:c>
      <x:c r="N1918" s="47" t="n">
        <x:v>0.7379888202329941</x:v>
      </x:c>
      <x:c r="O1918" s="47" t="n">
        <x:v>1</x:v>
      </x:c>
      <x:c r="P1918" s="47" t="n">
        <x:v>1</x:v>
      </x:c>
      <x:c r="Q1918" s="47" t="n">
        <x:v>1</x:v>
      </x:c>
      <x:c r="R1918" s="47" t="n">
        <x:v>1</x:v>
      </x:c>
      <x:c r="S1918" s="27" t="n">
        <x:v>1</x:v>
      </x:c>
    </x:row>
    <x:row r="1919" ht="21.600000381469727" hidden="0" customHeight="1">
      <x:c r="A1919" s="29" t="n">
        <x:v>639</x:v>
      </x:c>
      <x:c r="B1919" s="29" t="str">
        <x:v>A1</x:v>
      </x:c>
      <x:c r="C1919" s="48" t="n">
        <x:v>0.9118361913401634</x:v>
      </x:c>
      <x:c r="D1919" s="48" t="n">
        <x:v>0.9307260353616794</x:v>
      </x:c>
      <x:c r="E1919" s="48" t="n">
        <x:v>1.0828763554573586</x:v>
      </x:c>
      <x:c r="F1919" s="48" t="n">
        <x:v>-0.17402421333162407</x:v>
      </x:c>
      <x:c r="G1919" s="48" t="n">
        <x:v>-0.009371975078391659</x:v>
      </x:c>
      <x:c r="H1919" s="48" t="n">
        <x:v>0.5275317475212604</x:v>
      </x:c>
      <x:c r="I1919" s="48" t="n">
        <x:v>0.7225201253124206</x:v>
      </x:c>
      <x:c r="J1919" s="48" t="n">
        <x:v>0.453228302100612</x:v>
      </x:c>
      <x:c r="K1919" s="48" t="n">
        <x:v>0.9627095412958866</x:v>
      </x:c>
      <x:c r="L1919" s="48" t="n">
        <x:v>0.7856664857308769</x:v>
      </x:c>
      <x:c r="M1919" s="48" t="n">
        <x:v>0.04312476042783241</x:v>
      </x:c>
      <x:c r="N1919" s="48" t="n">
        <x:v>0.9154096157682243</x:v>
      </x:c>
      <x:c r="O1919" s="48" t="n">
        <x:v>0.9395219619316686</x:v>
      </x:c>
      <x:c r="P1919" s="48" t="n">
        <x:v>0.7524636798494369</x:v>
      </x:c>
      <x:c r="Q1919" s="48" t="n">
        <x:v>1</x:v>
      </x:c>
      <x:c r="R1919" s="48" t="n">
        <x:v>0.9253191154042646</x:v>
      </x:c>
      <x:c r="S1919" s="29" t="n">
        <x:v>0</x:v>
      </x:c>
    </x:row>
    <x:row r="1920" ht="21.600000381469727" hidden="0" customHeight="1">
      <x:c r="A1920" s="27" t="n">
        <x:v>639</x:v>
      </x:c>
      <x:c r="B1920" s="27" t="str">
        <x:v>A2</x:v>
      </x:c>
      <x:c r="C1920" s="47" t="n">
        <x:v>0.9118361913401634</x:v>
      </x:c>
      <x:c r="D1920" s="47" t="n">
        <x:v>0.9307260353616794</x:v>
      </x:c>
      <x:c r="E1920" s="47" t="n">
        <x:v>1.0828763554573586</x:v>
      </x:c>
      <x:c r="F1920" s="47" t="n">
        <x:v>-0.17402421333162407</x:v>
      </x:c>
      <x:c r="G1920" s="47" t="n">
        <x:v>-0.009371975078391659</x:v>
      </x:c>
      <x:c r="H1920" s="47" t="n">
        <x:v>0.5275317475212604</x:v>
      </x:c>
      <x:c r="I1920" s="47" t="n">
        <x:v>0.7225201253124206</x:v>
      </x:c>
      <x:c r="J1920" s="47" t="n">
        <x:v>0.453228302100612</x:v>
      </x:c>
      <x:c r="K1920" s="47" t="n">
        <x:v>0.9627095412958866</x:v>
      </x:c>
      <x:c r="L1920" s="47" t="n">
        <x:v>0.7856664857308769</x:v>
      </x:c>
      <x:c r="M1920" s="47" t="n">
        <x:v>0.04312476042783241</x:v>
      </x:c>
      <x:c r="N1920" s="47" t="n">
        <x:v>0.9154096157682243</x:v>
      </x:c>
      <x:c r="O1920" s="47" t="n">
        <x:v>1</x:v>
      </x:c>
      <x:c r="P1920" s="47" t="n">
        <x:v>1</x:v>
      </x:c>
      <x:c r="Q1920" s="47" t="n">
        <x:v>1</x:v>
      </x:c>
      <x:c r="R1920" s="47" t="n">
        <x:v>1</x:v>
      </x:c>
      <x:c r="S1920" s="27" t="n">
        <x:v>1</x:v>
      </x:c>
    </x:row>
    <x:row r="1921" ht="21.600000381469727" hidden="0" customHeight="1">
      <x:c r="A1921" s="29" t="n">
        <x:v>639</x:v>
      </x:c>
      <x:c r="B1921" s="29" t="str">
        <x:v>A3</x:v>
      </x:c>
      <x:c r="C1921" s="48" t="n">
        <x:v>0.9118361913401634</x:v>
      </x:c>
      <x:c r="D1921" s="48" t="n">
        <x:v>0.9307260353616794</x:v>
      </x:c>
      <x:c r="E1921" s="48" t="n">
        <x:v>1.0828763554573586</x:v>
      </x:c>
      <x:c r="F1921" s="48" t="n">
        <x:v>-0.17402421333162407</x:v>
      </x:c>
      <x:c r="G1921" s="48" t="n">
        <x:v>-0.009371975078391659</x:v>
      </x:c>
      <x:c r="H1921" s="48" t="n">
        <x:v>0.5275317475212604</x:v>
      </x:c>
      <x:c r="I1921" s="48" t="n">
        <x:v>0.7225201253124206</x:v>
      </x:c>
      <x:c r="J1921" s="48" t="n">
        <x:v>0.453228302100612</x:v>
      </x:c>
      <x:c r="K1921" s="48" t="n">
        <x:v>0.9627095412958866</x:v>
      </x:c>
      <x:c r="L1921" s="48" t="n">
        <x:v>0.7856664857308769</x:v>
      </x:c>
      <x:c r="M1921" s="48" t="n">
        <x:v>0.04312476042783241</x:v>
      </x:c>
      <x:c r="N1921" s="48" t="n">
        <x:v>0.9154096157682243</x:v>
      </x:c>
      <x:c r="O1921" s="48" t="n">
        <x:v>1</x:v>
      </x:c>
      <x:c r="P1921" s="48" t="n">
        <x:v>1</x:v>
      </x:c>
      <x:c r="Q1921" s="48" t="n">
        <x:v>1</x:v>
      </x:c>
      <x:c r="R1921" s="48" t="n">
        <x:v>1.0000000000000002</x:v>
      </x:c>
      <x:c r="S1921" s="29" t="n">
        <x:v>1</x:v>
      </x:c>
    </x:row>
    <x:row r="1922" ht="21.600000381469727" hidden="0" customHeight="1">
      <x:c r="A1922" s="27" t="n">
        <x:v>640</x:v>
      </x:c>
      <x:c r="B1922" s="27" t="str">
        <x:v>A1</x:v>
      </x:c>
      <x:c r="C1922" s="47" t="n">
        <x:v>1.2364258847524596</x:v>
      </x:c>
      <x:c r="D1922" s="47" t="n">
        <x:v>0.9223476221696765</x:v>
      </x:c>
      <x:c r="E1922" s="47" t="n">
        <x:v>1.0477970020603165</x:v>
      </x:c>
      <x:c r="F1922" s="47" t="n">
        <x:v>-0.14333668469549019</x:v>
      </x:c>
      <x:c r="G1922" s="47" t="n">
        <x:v>-0.09213225165885548</x:v>
      </x:c>
      <x:c r="H1922" s="47" t="n">
        <x:v>0.8045857339166438</x:v>
      </x:c>
      <x:c r="I1922" s="47" t="n">
        <x:v>0.897769473039185</x:v>
      </x:c>
      <x:c r="J1922" s="47" t="n">
        <x:v>0.8109525232323944</x:v>
      </x:c>
      <x:c r="K1922" s="47" t="n">
        <x:v>0.7004637814583561</x:v>
      </x:c>
      <x:c r="L1922" s="47" t="n">
        <x:v>0.9857681366846094</x:v>
      </x:c>
      <x:c r="M1922" s="47" t="n">
        <x:v>0.12322497800302777</x:v>
      </x:c>
      <x:c r="N1922" s="47" t="n">
        <x:v>0.7973533774316339</x:v>
      </x:c>
      <x:c r="O1922" s="47" t="n">
        <x:v>0.8869082255121341</x:v>
      </x:c>
      <x:c r="P1922" s="47" t="n">
        <x:v>0.6505105576034567</x:v>
      </x:c>
      <x:c r="Q1922" s="47" t="n">
        <x:v>1</x:v>
      </x:c>
      <x:c r="R1922" s="47" t="n">
        <x:v>0.86034940899186</x:v>
      </x:c>
      <x:c r="S1922" s="27" t="n">
        <x:v>0</x:v>
      </x:c>
    </x:row>
    <x:row r="1923" ht="21.600000381469727" hidden="0" customHeight="1">
      <x:c r="A1923" s="29" t="n">
        <x:v>640</x:v>
      </x:c>
      <x:c r="B1923" s="29" t="str">
        <x:v>A2</x:v>
      </x:c>
      <x:c r="C1923" s="48" t="n">
        <x:v>1.2364258847524596</x:v>
      </x:c>
      <x:c r="D1923" s="48" t="n">
        <x:v>0.9223476221696765</x:v>
      </x:c>
      <x:c r="E1923" s="48" t="n">
        <x:v>1.0477970020603165</x:v>
      </x:c>
      <x:c r="F1923" s="48" t="n">
        <x:v>-0.14333668469549019</x:v>
      </x:c>
      <x:c r="G1923" s="48" t="n">
        <x:v>-0.09213225165885548</x:v>
      </x:c>
      <x:c r="H1923" s="48" t="n">
        <x:v>0.8045857339166438</x:v>
      </x:c>
      <x:c r="I1923" s="48" t="n">
        <x:v>0.897769473039185</x:v>
      </x:c>
      <x:c r="J1923" s="48" t="n">
        <x:v>0.8109525232323944</x:v>
      </x:c>
      <x:c r="K1923" s="48" t="n">
        <x:v>0.7004637814583561</x:v>
      </x:c>
      <x:c r="L1923" s="48" t="n">
        <x:v>0.9857681366846094</x:v>
      </x:c>
      <x:c r="M1923" s="48" t="n">
        <x:v>0.12322497800302777</x:v>
      </x:c>
      <x:c r="N1923" s="48" t="n">
        <x:v>0.7973533774316339</x:v>
      </x:c>
      <x:c r="O1923" s="48" t="n">
        <x:v>0.9606789700206385</x:v>
      </x:c>
      <x:c r="P1923" s="48" t="n">
        <x:v>0.6634108413462314</x:v>
      </x:c>
      <x:c r="Q1923" s="48" t="n">
        <x:v>1</x:v>
      </x:c>
      <x:c r="R1923" s="48" t="n">
        <x:v>0.9514446996650867</x:v>
      </x:c>
      <x:c r="S1923" s="29" t="n">
        <x:v>0</x:v>
      </x:c>
    </x:row>
    <x:row r="1924" ht="21.600000381469727" hidden="0" customHeight="1">
      <x:c r="A1924" s="27" t="n">
        <x:v>640</x:v>
      </x:c>
      <x:c r="B1924" s="27" t="str">
        <x:v>A3</x:v>
      </x:c>
      <x:c r="C1924" s="47" t="n">
        <x:v>1.2364258847524596</x:v>
      </x:c>
      <x:c r="D1924" s="47" t="n">
        <x:v>0.9223476221696765</x:v>
      </x:c>
      <x:c r="E1924" s="47" t="n">
        <x:v>1.0477970020603165</x:v>
      </x:c>
      <x:c r="F1924" s="47" t="n">
        <x:v>-0.14333668469549019</x:v>
      </x:c>
      <x:c r="G1924" s="47" t="n">
        <x:v>-0.09213225165885548</x:v>
      </x:c>
      <x:c r="H1924" s="47" t="n">
        <x:v>0.8045857339166438</x:v>
      </x:c>
      <x:c r="I1924" s="47" t="n">
        <x:v>0.897769473039185</x:v>
      </x:c>
      <x:c r="J1924" s="47" t="n">
        <x:v>0.8109525232323944</x:v>
      </x:c>
      <x:c r="K1924" s="47" t="n">
        <x:v>0.7004637814583561</x:v>
      </x:c>
      <x:c r="L1924" s="47" t="n">
        <x:v>0.9857681366846094</x:v>
      </x:c>
      <x:c r="M1924" s="47" t="n">
        <x:v>0.12322497800302777</x:v>
      </x:c>
      <x:c r="N1924" s="47" t="n">
        <x:v>0.7973533774316339</x:v>
      </x:c>
      <x:c r="O1924" s="47" t="n">
        <x:v>1</x:v>
      </x:c>
      <x:c r="P1924" s="47" t="n">
        <x:v>1</x:v>
      </x:c>
      <x:c r="Q1924" s="47" t="n">
        <x:v>1</x:v>
      </x:c>
      <x:c r="R1924" s="47" t="n">
        <x:v>1</x:v>
      </x:c>
      <x:c r="S1924" s="27" t="n">
        <x:v>1</x:v>
      </x:c>
    </x:row>
    <x:row r="1925" ht="21.600000381469727" hidden="0" customHeight="1">
      <x:c r="A1925" s="29" t="n">
        <x:v>641</x:v>
      </x:c>
      <x:c r="B1925" s="29" t="str">
        <x:v>A1</x:v>
      </x:c>
      <x:c r="C1925" s="48" t="n">
        <x:v>1.226858223446939</x:v>
      </x:c>
      <x:c r="D1925" s="48" t="n">
        <x:v>0.9806265347662124</x:v>
      </x:c>
      <x:c r="E1925" s="48" t="n">
        <x:v>1.0854101174105775</x:v>
      </x:c>
      <x:c r="F1925" s="48" t="n">
        <x:v>-0.12341979775071185</x:v>
      </x:c>
      <x:c r="G1925" s="48" t="n">
        <x:v>-0.00907404718156335</x:v>
      </x:c>
      <x:c r="H1925" s="48" t="n">
        <x:v>0.9631333324064921</x:v>
      </x:c>
      <x:c r="I1925" s="48" t="n">
        <x:v>0.8493844974128552</x:v>
      </x:c>
      <x:c r="J1925" s="48" t="n">
        <x:v>0.6738157249361427</x:v>
      </x:c>
      <x:c r="K1925" s="48" t="n">
        <x:v>0.9659709199612986</x:v>
      </x:c>
      <x:c r="L1925" s="48" t="n">
        <x:v>0.9101315819174223</x:v>
      </x:c>
      <x:c r="M1925" s="48" t="n">
        <x:v>0.013900697521554664</x:v>
      </x:c>
      <x:c r="N1925" s="48" t="n">
        <x:v>0.9013779755821205</x:v>
      </x:c>
      <x:c r="O1925" s="48" t="n">
        <x:v>0.8880027152235717</x:v>
      </x:c>
      <x:c r="P1925" s="48" t="n">
        <x:v>0.6289301443544839</x:v>
      </x:c>
      <x:c r="Q1925" s="48" t="n">
        <x:v>1</x:v>
      </x:c>
      <x:c r="R1925" s="48" t="n">
        <x:v>0.8617009319982568</x:v>
      </x:c>
      <x:c r="S1925" s="29" t="n">
        <x:v>0</x:v>
      </x:c>
    </x:row>
    <x:row r="1926" ht="21.600000381469727" hidden="0" customHeight="1">
      <x:c r="A1926" s="27" t="n">
        <x:v>641</x:v>
      </x:c>
      <x:c r="B1926" s="27" t="str">
        <x:v>A2</x:v>
      </x:c>
      <x:c r="C1926" s="47" t="n">
        <x:v>1.226858223446939</x:v>
      </x:c>
      <x:c r="D1926" s="47" t="n">
        <x:v>0.9806265347662124</x:v>
      </x:c>
      <x:c r="E1926" s="47" t="n">
        <x:v>1.0854101174105775</x:v>
      </x:c>
      <x:c r="F1926" s="47" t="n">
        <x:v>-0.12341979775071185</x:v>
      </x:c>
      <x:c r="G1926" s="47" t="n">
        <x:v>-0.00907404718156335</x:v>
      </x:c>
      <x:c r="H1926" s="47" t="n">
        <x:v>0.9631333324064921</x:v>
      </x:c>
      <x:c r="I1926" s="47" t="n">
        <x:v>0.8493844974128552</x:v>
      </x:c>
      <x:c r="J1926" s="47" t="n">
        <x:v>0.6738157249361427</x:v>
      </x:c>
      <x:c r="K1926" s="47" t="n">
        <x:v>0.9659709199612986</x:v>
      </x:c>
      <x:c r="L1926" s="47" t="n">
        <x:v>0.9101315819174223</x:v>
      </x:c>
      <x:c r="M1926" s="47" t="n">
        <x:v>0.013900697521554664</x:v>
      </x:c>
      <x:c r="N1926" s="47" t="n">
        <x:v>0.9013779755821205</x:v>
      </x:c>
      <x:c r="O1926" s="47" t="n">
        <x:v>0.9834440895190916</x:v>
      </x:c>
      <x:c r="P1926" s="47" t="n">
        <x:v>0.8688566344928942</x:v>
      </x:c>
      <x:c r="Q1926" s="47" t="n">
        <x:v>1</x:v>
      </x:c>
      <x:c r="R1926" s="47" t="n">
        <x:v>0.9795560491131493</x:v>
      </x:c>
      <x:c r="S1926" s="27" t="n">
        <x:v>0</x:v>
      </x:c>
    </x:row>
    <x:row r="1927" ht="21.600000381469727" hidden="0" customHeight="1">
      <x:c r="A1927" s="29" t="n">
        <x:v>641</x:v>
      </x:c>
      <x:c r="B1927" s="29" t="str">
        <x:v>A3</x:v>
      </x:c>
      <x:c r="C1927" s="48" t="n">
        <x:v>1.226858223446939</x:v>
      </x:c>
      <x:c r="D1927" s="48" t="n">
        <x:v>0.9806265347662124</x:v>
      </x:c>
      <x:c r="E1927" s="48" t="n">
        <x:v>1.0854101174105775</x:v>
      </x:c>
      <x:c r="F1927" s="48" t="n">
        <x:v>-0.12341979775071185</x:v>
      </x:c>
      <x:c r="G1927" s="48" t="n">
        <x:v>-0.00907404718156335</x:v>
      </x:c>
      <x:c r="H1927" s="48" t="n">
        <x:v>0.9631333324064921</x:v>
      </x:c>
      <x:c r="I1927" s="48" t="n">
        <x:v>0.8493844974128552</x:v>
      </x:c>
      <x:c r="J1927" s="48" t="n">
        <x:v>0.6738157249361427</x:v>
      </x:c>
      <x:c r="K1927" s="48" t="n">
        <x:v>0.9659709199612986</x:v>
      </x:c>
      <x:c r="L1927" s="48" t="n">
        <x:v>0.9101315819174223</x:v>
      </x:c>
      <x:c r="M1927" s="48" t="n">
        <x:v>0.013900697521554664</x:v>
      </x:c>
      <x:c r="N1927" s="48" t="n">
        <x:v>0.9013779755821205</x:v>
      </x:c>
      <x:c r="O1927" s="48" t="n">
        <x:v>1</x:v>
      </x:c>
      <x:c r="P1927" s="48" t="n">
        <x:v>1</x:v>
      </x:c>
      <x:c r="Q1927" s="48" t="n">
        <x:v>1</x:v>
      </x:c>
      <x:c r="R1927" s="48" t="n">
        <x:v>1</x:v>
      </x:c>
      <x:c r="S1927" s="29" t="n">
        <x:v>1</x:v>
      </x:c>
    </x:row>
    <x:row r="1928" ht="21.600000381469727" hidden="0" customHeight="1">
      <x:c r="A1928" s="27" t="n">
        <x:v>642</x:v>
      </x:c>
      <x:c r="B1928" s="27" t="str">
        <x:v>A1</x:v>
      </x:c>
      <x:c r="C1928" s="47" t="n">
        <x:v>1.3450440978992269</x:v>
      </x:c>
      <x:c r="D1928" s="47" t="n">
        <x:v>0.9050261537434022</x:v>
      </x:c>
      <x:c r="E1928" s="47" t="n">
        <x:v>0.7746073905228906</x:v>
      </x:c>
      <x:c r="F1928" s="47" t="n">
        <x:v>-0.09945590151396258</x:v>
      </x:c>
      <x:c r="G1928" s="47" t="n">
        <x:v>-0.15912513168178286</x:v>
      </x:c>
      <x:c r="H1928" s="47" t="n">
        <x:v>0.38531864830766943</x:v>
      </x:c>
      <x:c r="I1928" s="47" t="n">
        <x:v>0.7011772557424849</x:v>
      </x:c>
      <x:c r="J1928" s="47" t="n">
        <x:v>0.4078014455427722</x:v>
      </x:c>
      <x:c r="K1928" s="47" t="n">
        <x:v>0.6770941730133133</x:v>
      </x:c>
      <x:c r="L1928" s="47" t="n">
        <x:v>0.8905066156620766</x:v>
      </x:c>
      <x:c r="M1928" s="47" t="n">
        <x:v>0.0349011300869886</x:v>
      </x:c>
      <x:c r="N1928" s="47" t="n">
        <x:v>0.9412722017374022</x:v>
      </x:c>
      <x:c r="O1928" s="47" t="n">
        <x:v>0.7562780460212589</x:v>
      </x:c>
      <x:c r="P1928" s="47" t="n">
        <x:v>0.41619297209725337</x:v>
      </x:c>
      <x:c r="Q1928" s="47" t="n">
        <x:v>1</x:v>
      </x:c>
      <x:c r="R1928" s="47" t="n">
        <x:v>0.6990416405709354</x:v>
      </x:c>
      <x:c r="S1928" s="27" t="n">
        <x:v>0</x:v>
      </x:c>
    </x:row>
    <x:row r="1929" ht="21.600000381469727" hidden="0" customHeight="1">
      <x:c r="A1929" s="29" t="n">
        <x:v>642</x:v>
      </x:c>
      <x:c r="B1929" s="29" t="str">
        <x:v>A2</x:v>
      </x:c>
      <x:c r="C1929" s="48" t="n">
        <x:v>1.3450440978992269</x:v>
      </x:c>
      <x:c r="D1929" s="48" t="n">
        <x:v>0.9050261537434022</x:v>
      </x:c>
      <x:c r="E1929" s="48" t="n">
        <x:v>0.7746073905228906</x:v>
      </x:c>
      <x:c r="F1929" s="48" t="n">
        <x:v>-0.09945590151396258</x:v>
      </x:c>
      <x:c r="G1929" s="48" t="n">
        <x:v>-0.15912513168178286</x:v>
      </x:c>
      <x:c r="H1929" s="48" t="n">
        <x:v>0.38531864830766943</x:v>
      </x:c>
      <x:c r="I1929" s="48" t="n">
        <x:v>0.7011772557424849</x:v>
      </x:c>
      <x:c r="J1929" s="48" t="n">
        <x:v>0.4078014455427722</x:v>
      </x:c>
      <x:c r="K1929" s="48" t="n">
        <x:v>0.6770941730133133</x:v>
      </x:c>
      <x:c r="L1929" s="48" t="n">
        <x:v>0.8905066156620766</x:v>
      </x:c>
      <x:c r="M1929" s="48" t="n">
        <x:v>0.0349011300869886</x:v>
      </x:c>
      <x:c r="N1929" s="48" t="n">
        <x:v>0.9412722017374022</x:v>
      </x:c>
      <x:c r="O1929" s="48" t="n">
        <x:v>0.841204561999726</x:v>
      </x:c>
      <x:c r="P1929" s="48" t="n">
        <x:v>0.5378903049422645</x:v>
      </x:c>
      <x:c r="Q1929" s="48" t="n">
        <x:v>1</x:v>
      </x:c>
      <x:c r="R1929" s="48" t="n">
        <x:v>0.8039125580391876</x:v>
      </x:c>
      <x:c r="S1929" s="29" t="n">
        <x:v>0</x:v>
      </x:c>
    </x:row>
    <x:row r="1930" ht="21.600000381469727" hidden="0" customHeight="1">
      <x:c r="A1930" s="27" t="n">
        <x:v>642</x:v>
      </x:c>
      <x:c r="B1930" s="27" t="str">
        <x:v>A3</x:v>
      </x:c>
      <x:c r="C1930" s="47" t="n">
        <x:v>1.3450440978992269</x:v>
      </x:c>
      <x:c r="D1930" s="47" t="n">
        <x:v>0.9050261537434022</x:v>
      </x:c>
      <x:c r="E1930" s="47" t="n">
        <x:v>0.7746073905228906</x:v>
      </x:c>
      <x:c r="F1930" s="47" t="n">
        <x:v>-0.09945590151396258</x:v>
      </x:c>
      <x:c r="G1930" s="47" t="n">
        <x:v>-0.15912513168178286</x:v>
      </x:c>
      <x:c r="H1930" s="47" t="n">
        <x:v>0.38531864830766943</x:v>
      </x:c>
      <x:c r="I1930" s="47" t="n">
        <x:v>0.7011772557424849</x:v>
      </x:c>
      <x:c r="J1930" s="47" t="n">
        <x:v>0.4078014455427722</x:v>
      </x:c>
      <x:c r="K1930" s="47" t="n">
        <x:v>0.6770941730133133</x:v>
      </x:c>
      <x:c r="L1930" s="47" t="n">
        <x:v>0.8905066156620766</x:v>
      </x:c>
      <x:c r="M1930" s="47" t="n">
        <x:v>0.0349011300869886</x:v>
      </x:c>
      <x:c r="N1930" s="47" t="n">
        <x:v>0.9412722017374022</x:v>
      </x:c>
      <x:c r="O1930" s="47" t="n">
        <x:v>1</x:v>
      </x:c>
      <x:c r="P1930" s="47" t="n">
        <x:v>1</x:v>
      </x:c>
      <x:c r="Q1930" s="47" t="n">
        <x:v>1</x:v>
      </x:c>
      <x:c r="R1930" s="47" t="n">
        <x:v>1</x:v>
      </x:c>
      <x:c r="S1930" s="27" t="n">
        <x:v>1</x:v>
      </x:c>
    </x:row>
    <x:row r="1931" ht="21.600000381469727" hidden="0" customHeight="1">
      <x:c r="A1931" s="29" t="n">
        <x:v>643</x:v>
      </x:c>
      <x:c r="B1931" s="29" t="str">
        <x:v>A1</x:v>
      </x:c>
      <x:c r="C1931" s="48" t="n">
        <x:v>1.3205455010282872</x:v>
      </x:c>
      <x:c r="D1931" s="48" t="n">
        <x:v>0.8337492590662935</x:v>
      </x:c>
      <x:c r="E1931" s="48" t="n">
        <x:v>0.8435811787124837</x:v>
      </x:c>
      <x:c r="F1931" s="48" t="n">
        <x:v>-0.043298275813220155</x:v>
      </x:c>
      <x:c r="G1931" s="48" t="n">
        <x:v>-0.10299476749329337</x:v>
      </x:c>
      <x:c r="H1931" s="48" t="n">
        <x:v>0.5325998709982027</x:v>
      </x:c>
      <x:c r="I1931" s="48" t="n">
        <x:v>0.874123336701816</x:v>
      </x:c>
      <x:c r="J1931" s="48" t="n">
        <x:v>0.6952848744988582</x:v>
      </x:c>
      <x:c r="K1931" s="48" t="n">
        <x:v>0.7744632271846916</x:v>
      </x:c>
      <x:c r="L1931" s="48" t="n">
        <x:v>0.9334837997045597</x:v>
      </x:c>
      <x:c r="M1931" s="48" t="n">
        <x:v>0.13089972753130874</x:v>
      </x:c>
      <x:c r="N1931" s="48" t="n">
        <x:v>0.8191586434847287</x:v>
      </x:c>
      <x:c r="O1931" s="48" t="n">
        <x:v>0.8054358824830397</x:v>
      </x:c>
      <x:c r="P1931" s="48" t="n">
        <x:v>0.5001693168175642</x:v>
      </x:c>
      <x:c r="Q1931" s="48" t="n">
        <x:v>1</x:v>
      </x:c>
      <x:c r="R1931" s="48" t="n">
        <x:v>0.759743852961331</x:v>
      </x:c>
      <x:c r="S1931" s="29" t="n">
        <x:v>0</x:v>
      </x:c>
    </x:row>
    <x:row r="1932" ht="21.600000381469727" hidden="0" customHeight="1">
      <x:c r="A1932" s="27" t="n">
        <x:v>643</x:v>
      </x:c>
      <x:c r="B1932" s="27" t="str">
        <x:v>A2</x:v>
      </x:c>
      <x:c r="C1932" s="47" t="n">
        <x:v>1.3205455010282872</x:v>
      </x:c>
      <x:c r="D1932" s="47" t="n">
        <x:v>0.8337492590662935</x:v>
      </x:c>
      <x:c r="E1932" s="47" t="n">
        <x:v>0.8435811787124837</x:v>
      </x:c>
      <x:c r="F1932" s="47" t="n">
        <x:v>-0.043298275813220155</x:v>
      </x:c>
      <x:c r="G1932" s="47" t="n">
        <x:v>-0.10299476749329337</x:v>
      </x:c>
      <x:c r="H1932" s="47" t="n">
        <x:v>0.5325998709982027</x:v>
      </x:c>
      <x:c r="I1932" s="47" t="n">
        <x:v>0.874123336701816</x:v>
      </x:c>
      <x:c r="J1932" s="47" t="n">
        <x:v>0.6952848744988582</x:v>
      </x:c>
      <x:c r="K1932" s="47" t="n">
        <x:v>0.7744632271846916</x:v>
      </x:c>
      <x:c r="L1932" s="47" t="n">
        <x:v>0.9334837997045597</x:v>
      </x:c>
      <x:c r="M1932" s="47" t="n">
        <x:v>0.13089972753130874</x:v>
      </x:c>
      <x:c r="N1932" s="47" t="n">
        <x:v>0.8191586434847287</x:v>
      </x:c>
      <x:c r="O1932" s="47" t="n">
        <x:v>0.9036705375770726</x:v>
      </x:c>
      <x:c r="P1932" s="47" t="n">
        <x:v>0.5417155425477205</x:v>
      </x:c>
      <x:c r="Q1932" s="47" t="n">
        <x:v>1</x:v>
      </x:c>
      <x:c r="R1932" s="47" t="n">
        <x:v>0.8810482334389261</x:v>
      </x:c>
      <x:c r="S1932" s="27" t="n">
        <x:v>0</x:v>
      </x:c>
    </x:row>
    <x:row r="1933" ht="21.600000381469727" hidden="0" customHeight="1">
      <x:c r="A1933" s="29" t="n">
        <x:v>643</x:v>
      </x:c>
      <x:c r="B1933" s="29" t="str">
        <x:v>A3</x:v>
      </x:c>
      <x:c r="C1933" s="48" t="n">
        <x:v>1.3205455010282872</x:v>
      </x:c>
      <x:c r="D1933" s="48" t="n">
        <x:v>0.8337492590662935</x:v>
      </x:c>
      <x:c r="E1933" s="48" t="n">
        <x:v>0.8435811787124837</x:v>
      </x:c>
      <x:c r="F1933" s="48" t="n">
        <x:v>-0.043298275813220155</x:v>
      </x:c>
      <x:c r="G1933" s="48" t="n">
        <x:v>-0.10299476749329337</x:v>
      </x:c>
      <x:c r="H1933" s="48" t="n">
        <x:v>0.5325998709982027</x:v>
      </x:c>
      <x:c r="I1933" s="48" t="n">
        <x:v>0.874123336701816</x:v>
      </x:c>
      <x:c r="J1933" s="48" t="n">
        <x:v>0.6952848744988582</x:v>
      </x:c>
      <x:c r="K1933" s="48" t="n">
        <x:v>0.7744632271846916</x:v>
      </x:c>
      <x:c r="L1933" s="48" t="n">
        <x:v>0.9334837997045597</x:v>
      </x:c>
      <x:c r="M1933" s="48" t="n">
        <x:v>0.13089972753130874</x:v>
      </x:c>
      <x:c r="N1933" s="48" t="n">
        <x:v>0.8191586434847287</x:v>
      </x:c>
      <x:c r="O1933" s="48" t="n">
        <x:v>1</x:v>
      </x:c>
      <x:c r="P1933" s="48" t="n">
        <x:v>1</x:v>
      </x:c>
      <x:c r="Q1933" s="48" t="n">
        <x:v>1</x:v>
      </x:c>
      <x:c r="R1933" s="48" t="n">
        <x:v>1</x:v>
      </x:c>
      <x:c r="S1933" s="29" t="n">
        <x:v>1</x:v>
      </x:c>
    </x:row>
    <x:row r="1934" ht="21.600000381469727" hidden="0" customHeight="1">
      <x:c r="A1934" s="27" t="n">
        <x:v>644</x:v>
      </x:c>
      <x:c r="B1934" s="27" t="str">
        <x:v>A1</x:v>
      </x:c>
      <x:c r="C1934" s="47" t="n">
        <x:v>0.9930891797947308</x:v>
      </x:c>
      <x:c r="D1934" s="47" t="n">
        <x:v>0.8042327183566808</x:v>
      </x:c>
      <x:c r="E1934" s="47" t="n">
        <x:v>0.7502969737253733</x:v>
      </x:c>
      <x:c r="F1934" s="47" t="n">
        <x:v>0.02080407170046686</x:v>
      </x:c>
      <x:c r="G1934" s="47" t="n">
        <x:v>-0.05499906891029677</x:v>
      </x:c>
      <x:c r="H1934" s="47" t="n">
        <x:v>1.0252007072022835</x:v>
      </x:c>
      <x:c r="I1934" s="47" t="n">
        <x:v>0.7514386735079098</x:v>
      </x:c>
      <x:c r="J1934" s="47" t="n">
        <x:v>0.5309825809108811</x:v>
      </x:c>
      <x:c r="K1934" s="47" t="n">
        <x:v>0.619265233305548</x:v>
      </x:c>
      <x:c r="L1934" s="47" t="n">
        <x:v>0.7930805665254566</x:v>
      </x:c>
      <x:c r="M1934" s="47" t="n">
        <x:v>0.1521776064291321</x:v>
      </x:c>
      <x:c r="N1934" s="47" t="n">
        <x:v>0.8232107831860733</x:v>
      </x:c>
      <x:c r="O1934" s="47" t="n">
        <x:v>0.8595735240774788</x:v>
      </x:c>
      <x:c r="P1934" s="47" t="n">
        <x:v>0.6449897606907584</x:v>
      </x:c>
      <x:c r="Q1934" s="47" t="n">
        <x:v>1</x:v>
      </x:c>
      <x:c r="R1934" s="47" t="n">
        <x:v>0.8265953430779839</x:v>
      </x:c>
      <x:c r="S1934" s="27" t="n">
        <x:v>0</x:v>
      </x:c>
    </x:row>
    <x:row r="1935" ht="21.600000381469727" hidden="0" customHeight="1">
      <x:c r="A1935" s="29" t="n">
        <x:v>644</x:v>
      </x:c>
      <x:c r="B1935" s="29" t="str">
        <x:v>A2</x:v>
      </x:c>
      <x:c r="C1935" s="48" t="n">
        <x:v>0.9930891797947308</x:v>
      </x:c>
      <x:c r="D1935" s="48" t="n">
        <x:v>0.8042327183566808</x:v>
      </x:c>
      <x:c r="E1935" s="48" t="n">
        <x:v>0.7502969737253733</x:v>
      </x:c>
      <x:c r="F1935" s="48" t="n">
        <x:v>0.02080407170046686</x:v>
      </x:c>
      <x:c r="G1935" s="48" t="n">
        <x:v>-0.05499906891029677</x:v>
      </x:c>
      <x:c r="H1935" s="48" t="n">
        <x:v>1.0252007072022835</x:v>
      </x:c>
      <x:c r="I1935" s="48" t="n">
        <x:v>0.7514386735079098</x:v>
      </x:c>
      <x:c r="J1935" s="48" t="n">
        <x:v>0.5309825809108811</x:v>
      </x:c>
      <x:c r="K1935" s="48" t="n">
        <x:v>0.619265233305548</x:v>
      </x:c>
      <x:c r="L1935" s="48" t="n">
        <x:v>0.7930805665254566</x:v>
      </x:c>
      <x:c r="M1935" s="48" t="n">
        <x:v>0.1521776064291321</x:v>
      </x:c>
      <x:c r="N1935" s="48" t="n">
        <x:v>0.8232107831860733</x:v>
      </x:c>
      <x:c r="O1935" s="48" t="n">
        <x:v>0.9389456566413644</x:v>
      </x:c>
      <x:c r="P1935" s="48" t="n">
        <x:v>0.6510655866965858</x:v>
      </x:c>
      <x:c r="Q1935" s="48" t="n">
        <x:v>1</x:v>
      </x:c>
      <x:c r="R1935" s="48" t="n">
        <x:v>0.924607468825576</x:v>
      </x:c>
      <x:c r="S1935" s="29" t="n">
        <x:v>0</x:v>
      </x:c>
    </x:row>
    <x:row r="1936" ht="21.600000381469727" hidden="0" customHeight="1">
      <x:c r="A1936" s="27" t="n">
        <x:v>644</x:v>
      </x:c>
      <x:c r="B1936" s="27" t="str">
        <x:v>A3</x:v>
      </x:c>
      <x:c r="C1936" s="47" t="n">
        <x:v>0.9930891797947308</x:v>
      </x:c>
      <x:c r="D1936" s="47" t="n">
        <x:v>0.8042327183566808</x:v>
      </x:c>
      <x:c r="E1936" s="47" t="n">
        <x:v>0.7502969737253733</x:v>
      </x:c>
      <x:c r="F1936" s="47" t="n">
        <x:v>0.02080407170046686</x:v>
      </x:c>
      <x:c r="G1936" s="47" t="n">
        <x:v>-0.05499906891029677</x:v>
      </x:c>
      <x:c r="H1936" s="47" t="n">
        <x:v>1.0252007072022835</x:v>
      </x:c>
      <x:c r="I1936" s="47" t="n">
        <x:v>0.7514386735079098</x:v>
      </x:c>
      <x:c r="J1936" s="47" t="n">
        <x:v>0.5309825809108811</x:v>
      </x:c>
      <x:c r="K1936" s="47" t="n">
        <x:v>0.619265233305548</x:v>
      </x:c>
      <x:c r="L1936" s="47" t="n">
        <x:v>0.7930805665254566</x:v>
      </x:c>
      <x:c r="M1936" s="47" t="n">
        <x:v>0.1521776064291321</x:v>
      </x:c>
      <x:c r="N1936" s="47" t="n">
        <x:v>0.8232107831860733</x:v>
      </x:c>
      <x:c r="O1936" s="47" t="n">
        <x:v>1</x:v>
      </x:c>
      <x:c r="P1936" s="47" t="n">
        <x:v>1</x:v>
      </x:c>
      <x:c r="Q1936" s="47" t="n">
        <x:v>1</x:v>
      </x:c>
      <x:c r="R1936" s="47" t="n">
        <x:v>1</x:v>
      </x:c>
      <x:c r="S1936" s="27" t="n">
        <x:v>1</x:v>
      </x:c>
    </x:row>
    <x:row r="1937" ht="21.600000381469727" hidden="0" customHeight="1">
      <x:c r="A1937" s="29" t="n">
        <x:v>645</x:v>
      </x:c>
      <x:c r="B1937" s="29" t="str">
        <x:v>A1</x:v>
      </x:c>
      <x:c r="C1937" s="48" t="n">
        <x:v>1.12144715180403</x:v>
      </x:c>
      <x:c r="D1937" s="48" t="n">
        <x:v>0.954512430704922</x:v>
      </x:c>
      <x:c r="E1937" s="48" t="n">
        <x:v>0.6029627966062713</x:v>
      </x:c>
      <x:c r="F1937" s="48" t="n">
        <x:v>-0.09445162798597746</x:v>
      </x:c>
      <x:c r="G1937" s="48" t="n">
        <x:v>0.002029696920116869</x:v>
      </x:c>
      <x:c r="H1937" s="48" t="n">
        <x:v>0.6896960655357147</x:v>
      </x:c>
      <x:c r="I1937" s="48" t="n">
        <x:v>0.7875481733093315</x:v>
      </x:c>
      <x:c r="J1937" s="48" t="n">
        <x:v>0.5602504659074212</x:v>
      </x:c>
      <x:c r="K1937" s="48" t="n">
        <x:v>0.9148578348663388</x:v>
      </x:c>
      <x:c r="L1937" s="48" t="n">
        <x:v>0.5025163161165247</x:v>
      </x:c>
      <x:c r="M1937" s="48" t="n">
        <x:v>0.00014785471084631985</x:v>
      </x:c>
      <x:c r="N1937" s="48" t="n">
        <x:v>0.6685297878985624</x:v>
      </x:c>
      <x:c r="O1937" s="48" t="n">
        <x:v>0.8651811259691549</x:v>
      </x:c>
      <x:c r="P1937" s="48" t="n">
        <x:v>0.6462735766948324</x:v>
      </x:c>
      <x:c r="Q1937" s="48" t="n">
        <x:v>1</x:v>
      </x:c>
      <x:c r="R1937" s="48" t="n">
        <x:v>0.8335198512648718</x:v>
      </x:c>
      <x:c r="S1937" s="29" t="n">
        <x:v>0</x:v>
      </x:c>
    </x:row>
    <x:row r="1938" ht="21.600000381469727" hidden="0" customHeight="1">
      <x:c r="A1938" s="27" t="n">
        <x:v>645</x:v>
      </x:c>
      <x:c r="B1938" s="27" t="str">
        <x:v>A2</x:v>
      </x:c>
      <x:c r="C1938" s="47" t="n">
        <x:v>1.12144715180403</x:v>
      </x:c>
      <x:c r="D1938" s="47" t="n">
        <x:v>0.954512430704922</x:v>
      </x:c>
      <x:c r="E1938" s="47" t="n">
        <x:v>0.6029627966062713</x:v>
      </x:c>
      <x:c r="F1938" s="47" t="n">
        <x:v>-0.09445162798597746</x:v>
      </x:c>
      <x:c r="G1938" s="47" t="n">
        <x:v>0.002029696920116869</x:v>
      </x:c>
      <x:c r="H1938" s="47" t="n">
        <x:v>0.6896960655357147</x:v>
      </x:c>
      <x:c r="I1938" s="47" t="n">
        <x:v>0.7875481733093315</x:v>
      </x:c>
      <x:c r="J1938" s="47" t="n">
        <x:v>0.5602504659074212</x:v>
      </x:c>
      <x:c r="K1938" s="47" t="n">
        <x:v>0.9148578348663388</x:v>
      </x:c>
      <x:c r="L1938" s="47" t="n">
        <x:v>0.5025163161165247</x:v>
      </x:c>
      <x:c r="M1938" s="47" t="n">
        <x:v>0.00014785471084631985</x:v>
      </x:c>
      <x:c r="N1938" s="47" t="n">
        <x:v>0.6685297878985624</x:v>
      </x:c>
      <x:c r="O1938" s="47" t="n">
        <x:v>0.9329242382705522</x:v>
      </x:c>
      <x:c r="P1938" s="47" t="n">
        <x:v>0.6713279222906834</x:v>
      </x:c>
      <x:c r="Q1938" s="47" t="n">
        <x:v>1</x:v>
      </x:c>
      <x:c r="R1938" s="47" t="n">
        <x:v>0.9171719622381236</x:v>
      </x:c>
      <x:c r="S1938" s="27" t="n">
        <x:v>0</x:v>
      </x:c>
    </x:row>
    <x:row r="1939" ht="21.600000381469727" hidden="0" customHeight="1">
      <x:c r="A1939" s="29" t="n">
        <x:v>645</x:v>
      </x:c>
      <x:c r="B1939" s="29" t="str">
        <x:v>A3</x:v>
      </x:c>
      <x:c r="C1939" s="48" t="n">
        <x:v>1.12144715180403</x:v>
      </x:c>
      <x:c r="D1939" s="48" t="n">
        <x:v>0.954512430704922</x:v>
      </x:c>
      <x:c r="E1939" s="48" t="n">
        <x:v>0.6029627966062713</x:v>
      </x:c>
      <x:c r="F1939" s="48" t="n">
        <x:v>-0.09445162798597746</x:v>
      </x:c>
      <x:c r="G1939" s="48" t="n">
        <x:v>0.002029696920116869</x:v>
      </x:c>
      <x:c r="H1939" s="48" t="n">
        <x:v>0.6896960655357147</x:v>
      </x:c>
      <x:c r="I1939" s="48" t="n">
        <x:v>0.7875481733093315</x:v>
      </x:c>
      <x:c r="J1939" s="48" t="n">
        <x:v>0.5602504659074212</x:v>
      </x:c>
      <x:c r="K1939" s="48" t="n">
        <x:v>0.9148578348663388</x:v>
      </x:c>
      <x:c r="L1939" s="48" t="n">
        <x:v>0.5025163161165247</x:v>
      </x:c>
      <x:c r="M1939" s="48" t="n">
        <x:v>0.00014785471084631985</x:v>
      </x:c>
      <x:c r="N1939" s="48" t="n">
        <x:v>0.6685297878985624</x:v>
      </x:c>
      <x:c r="O1939" s="48" t="n">
        <x:v>1.0000000000000002</x:v>
      </x:c>
      <x:c r="P1939" s="48" t="n">
        <x:v>1</x:v>
      </x:c>
      <x:c r="Q1939" s="48" t="n">
        <x:v>1</x:v>
      </x:c>
      <x:c r="R1939" s="48" t="n">
        <x:v>1</x:v>
      </x:c>
      <x:c r="S1939" s="29" t="n">
        <x:v>1</x:v>
      </x:c>
    </x:row>
    <x:row r="1940" ht="21.600000381469727" hidden="0" customHeight="1">
      <x:c r="A1940" s="27" t="n">
        <x:v>646</x:v>
      </x:c>
      <x:c r="B1940" s="27" t="str">
        <x:v>A1</x:v>
      </x:c>
      <x:c r="C1940" s="47" t="n">
        <x:v>1.2000706305445061</x:v>
      </x:c>
      <x:c r="D1940" s="47" t="n">
        <x:v>0.9238881366697359</x:v>
      </x:c>
      <x:c r="E1940" s="47" t="n">
        <x:v>0.6236109313570735</x:v>
      </x:c>
      <x:c r="F1940" s="47" t="n">
        <x:v>-0.11352130517602414</x:v>
      </x:c>
      <x:c r="G1940" s="47" t="n">
        <x:v>-0.1210960993962995</x:v>
      </x:c>
      <x:c r="H1940" s="47" t="n">
        <x:v>0.513464997541568</x:v>
      </x:c>
      <x:c r="I1940" s="47" t="n">
        <x:v>0.6468161546393062</x:v>
      </x:c>
      <x:c r="J1940" s="47" t="n">
        <x:v>0.9345866113918858</x:v>
      </x:c>
      <x:c r="K1940" s="47" t="n">
        <x:v>0.843643532477161</x:v>
      </x:c>
      <x:c r="L1940" s="47" t="n">
        <x:v>0.810789708348525</x:v>
      </x:c>
      <x:c r="M1940" s="47" t="n">
        <x:v>0.08944213200330642</x:v>
      </x:c>
      <x:c r="N1940" s="47" t="n">
        <x:v>0.9737747131920336</x:v>
      </x:c>
      <x:c r="O1940" s="47" t="n">
        <x:v>0.8673242330157187</x:v>
      </x:c>
      <x:c r="P1940" s="47" t="n">
        <x:v>0.45687451421428005</x:v>
      </x:c>
      <x:c r="Q1940" s="47" t="n">
        <x:v>1</x:v>
      </x:c>
      <x:c r="R1940" s="47" t="n">
        <x:v>0.8361662520928865</x:v>
      </x:c>
      <x:c r="S1940" s="27" t="n">
        <x:v>0</x:v>
      </x:c>
    </x:row>
    <x:row r="1941" ht="21.600000381469727" hidden="0" customHeight="1">
      <x:c r="A1941" s="29" t="n">
        <x:v>646</x:v>
      </x:c>
      <x:c r="B1941" s="29" t="str">
        <x:v>A2</x:v>
      </x:c>
      <x:c r="C1941" s="48" t="n">
        <x:v>1.2000706305445061</x:v>
      </x:c>
      <x:c r="D1941" s="48" t="n">
        <x:v>0.9238881366697359</x:v>
      </x:c>
      <x:c r="E1941" s="48" t="n">
        <x:v>0.6236109313570735</x:v>
      </x:c>
      <x:c r="F1941" s="48" t="n">
        <x:v>-0.11352130517602414</x:v>
      </x:c>
      <x:c r="G1941" s="48" t="n">
        <x:v>-0.1210960993962995</x:v>
      </x:c>
      <x:c r="H1941" s="48" t="n">
        <x:v>0.513464997541568</x:v>
      </x:c>
      <x:c r="I1941" s="48" t="n">
        <x:v>0.6468161546393062</x:v>
      </x:c>
      <x:c r="J1941" s="48" t="n">
        <x:v>0.9345866113918858</x:v>
      </x:c>
      <x:c r="K1941" s="48" t="n">
        <x:v>0.843643532477161</x:v>
      </x:c>
      <x:c r="L1941" s="48" t="n">
        <x:v>0.810789708348525</x:v>
      </x:c>
      <x:c r="M1941" s="48" t="n">
        <x:v>0.08944213200330642</x:v>
      </x:c>
      <x:c r="N1941" s="48" t="n">
        <x:v>0.9737747131920336</x:v>
      </x:c>
      <x:c r="O1941" s="48" t="n">
        <x:v>0.9256440766892626</x:v>
      </x:c>
      <x:c r="P1941" s="48" t="n">
        <x:v>0.5494593102185792</x:v>
      </x:c>
      <x:c r="Q1941" s="48" t="n">
        <x:v>1</x:v>
      </x:c>
      <x:c r="R1941" s="48" t="n">
        <x:v>0.9081821053536079</x:v>
      </x:c>
      <x:c r="S1941" s="29" t="n">
        <x:v>0</x:v>
      </x:c>
    </x:row>
    <x:row r="1942" ht="21.600000381469727" hidden="0" customHeight="1">
      <x:c r="A1942" s="27" t="n">
        <x:v>646</x:v>
      </x:c>
      <x:c r="B1942" s="27" t="str">
        <x:v>A3</x:v>
      </x:c>
      <x:c r="C1942" s="47" t="n">
        <x:v>1.2000706305445061</x:v>
      </x:c>
      <x:c r="D1942" s="47" t="n">
        <x:v>0.9238881366697359</x:v>
      </x:c>
      <x:c r="E1942" s="47" t="n">
        <x:v>0.6236109313570735</x:v>
      </x:c>
      <x:c r="F1942" s="47" t="n">
        <x:v>-0.11352130517602414</x:v>
      </x:c>
      <x:c r="G1942" s="47" t="n">
        <x:v>-0.1210960993962995</x:v>
      </x:c>
      <x:c r="H1942" s="47" t="n">
        <x:v>0.513464997541568</x:v>
      </x:c>
      <x:c r="I1942" s="47" t="n">
        <x:v>0.6468161546393062</x:v>
      </x:c>
      <x:c r="J1942" s="47" t="n">
        <x:v>0.9345866113918858</x:v>
      </x:c>
      <x:c r="K1942" s="47" t="n">
        <x:v>0.843643532477161</x:v>
      </x:c>
      <x:c r="L1942" s="47" t="n">
        <x:v>0.810789708348525</x:v>
      </x:c>
      <x:c r="M1942" s="47" t="n">
        <x:v>0.08944213200330642</x:v>
      </x:c>
      <x:c r="N1942" s="47" t="n">
        <x:v>0.9737747131920336</x:v>
      </x:c>
      <x:c r="O1942" s="47" t="n">
        <x:v>1</x:v>
      </x:c>
      <x:c r="P1942" s="47" t="n">
        <x:v>1</x:v>
      </x:c>
      <x:c r="Q1942" s="47" t="n">
        <x:v>1</x:v>
      </x:c>
      <x:c r="R1942" s="47" t="n">
        <x:v>1</x:v>
      </x:c>
      <x:c r="S1942" s="27" t="n">
        <x:v>1</x:v>
      </x:c>
    </x:row>
    <x:row r="1943" ht="21.600000381469727" hidden="0" customHeight="1">
      <x:c r="A1943" s="29" t="n">
        <x:v>647</x:v>
      </x:c>
      <x:c r="B1943" s="29" t="str">
        <x:v>A1</x:v>
      </x:c>
      <x:c r="C1943" s="48" t="n">
        <x:v>0.9699768171351172</x:v>
      </x:c>
      <x:c r="D1943" s="48" t="n">
        <x:v>0.8854912569012535</x:v>
      </x:c>
      <x:c r="E1943" s="48" t="n">
        <x:v>0.7863757590255641</x:v>
      </x:c>
      <x:c r="F1943" s="48" t="n">
        <x:v>-0.019868393812126517</x:v>
      </x:c>
      <x:c r="G1943" s="48" t="n">
        <x:v>-0.11188335514787248</x:v>
      </x:c>
      <x:c r="H1943" s="48" t="n">
        <x:v>1.0879784290083585</x:v>
      </x:c>
      <x:c r="I1943" s="48" t="n">
        <x:v>0.8390191962046885</x:v>
      </x:c>
      <x:c r="J1943" s="48" t="n">
        <x:v>0.9652502406115934</x:v>
      </x:c>
      <x:c r="K1943" s="48" t="n">
        <x:v>0.9409308179144982</x:v>
      </x:c>
      <x:c r="L1943" s="48" t="n">
        <x:v>0.6479614965124382</x:v>
      </x:c>
      <x:c r="M1943" s="48" t="n">
        <x:v>0.10435285249218708</x:v>
      </x:c>
      <x:c r="N1943" s="48" t="n">
        <x:v>0.6803162599189836</x:v>
      </x:c>
      <x:c r="O1943" s="48" t="n">
        <x:v>0.9256043795236057</x:v>
      </x:c>
      <x:c r="P1943" s="48" t="n">
        <x:v>0.613111000488146</x:v>
      </x:c>
      <x:c r="Q1943" s="48" t="n">
        <x:v>1</x:v>
      </x:c>
      <x:c r="R1943" s="48" t="n">
        <x:v>0.9081330855847484</x:v>
      </x:c>
      <x:c r="S1943" s="29" t="n">
        <x:v>0</x:v>
      </x:c>
    </x:row>
    <x:row r="1944" ht="21.600000381469727" hidden="0" customHeight="1">
      <x:c r="A1944" s="27" t="n">
        <x:v>647</x:v>
      </x:c>
      <x:c r="B1944" s="27" t="str">
        <x:v>A2</x:v>
      </x:c>
      <x:c r="C1944" s="47" t="n">
        <x:v>0.9699768171351172</x:v>
      </x:c>
      <x:c r="D1944" s="47" t="n">
        <x:v>0.8854912569012535</x:v>
      </x:c>
      <x:c r="E1944" s="47" t="n">
        <x:v>0.7863757590255641</x:v>
      </x:c>
      <x:c r="F1944" s="47" t="n">
        <x:v>-0.019868393812126517</x:v>
      </x:c>
      <x:c r="G1944" s="47" t="n">
        <x:v>-0.11188335514787248</x:v>
      </x:c>
      <x:c r="H1944" s="47" t="n">
        <x:v>1.0879784290083585</x:v>
      </x:c>
      <x:c r="I1944" s="47" t="n">
        <x:v>0.8390191962046885</x:v>
      </x:c>
      <x:c r="J1944" s="47" t="n">
        <x:v>0.9652502406115934</x:v>
      </x:c>
      <x:c r="K1944" s="47" t="n">
        <x:v>0.9409308179144982</x:v>
      </x:c>
      <x:c r="L1944" s="47" t="n">
        <x:v>0.6479614965124382</x:v>
      </x:c>
      <x:c r="M1944" s="47" t="n">
        <x:v>0.10435285249218708</x:v>
      </x:c>
      <x:c r="N1944" s="47" t="n">
        <x:v>0.6803162599189836</x:v>
      </x:c>
      <x:c r="O1944" s="47" t="n">
        <x:v>0.9771013930637404</x:v>
      </x:c>
      <x:c r="P1944" s="47" t="n">
        <x:v>0.7870042920392402</x:v>
      </x:c>
      <x:c r="Q1944" s="47" t="n">
        <x:v>1</x:v>
      </x:c>
      <x:c r="R1944" s="47" t="n">
        <x:v>0.9717238145179619</x:v>
      </x:c>
      <x:c r="S1944" s="27" t="n">
        <x:v>0</x:v>
      </x:c>
    </x:row>
    <x:row r="1945" ht="21.600000381469727" hidden="0" customHeight="1">
      <x:c r="A1945" s="29" t="n">
        <x:v>647</x:v>
      </x:c>
      <x:c r="B1945" s="29" t="str">
        <x:v>A3</x:v>
      </x:c>
      <x:c r="C1945" s="48" t="n">
        <x:v>0.9699768171351172</x:v>
      </x:c>
      <x:c r="D1945" s="48" t="n">
        <x:v>0.8854912569012535</x:v>
      </x:c>
      <x:c r="E1945" s="48" t="n">
        <x:v>0.7863757590255641</x:v>
      </x:c>
      <x:c r="F1945" s="48" t="n">
        <x:v>-0.019868393812126517</x:v>
      </x:c>
      <x:c r="G1945" s="48" t="n">
        <x:v>-0.11188335514787248</x:v>
      </x:c>
      <x:c r="H1945" s="48" t="n">
        <x:v>1.0879784290083585</x:v>
      </x:c>
      <x:c r="I1945" s="48" t="n">
        <x:v>0.8390191962046885</x:v>
      </x:c>
      <x:c r="J1945" s="48" t="n">
        <x:v>0.9652502406115934</x:v>
      </x:c>
      <x:c r="K1945" s="48" t="n">
        <x:v>0.9409308179144982</x:v>
      </x:c>
      <x:c r="L1945" s="48" t="n">
        <x:v>0.6479614965124382</x:v>
      </x:c>
      <x:c r="M1945" s="48" t="n">
        <x:v>0.10435285249218708</x:v>
      </x:c>
      <x:c r="N1945" s="48" t="n">
        <x:v>0.6803162599189836</x:v>
      </x:c>
      <x:c r="O1945" s="48" t="n">
        <x:v>1</x:v>
      </x:c>
      <x:c r="P1945" s="48" t="n">
        <x:v>1</x:v>
      </x:c>
      <x:c r="Q1945" s="48" t="n">
        <x:v>1</x:v>
      </x:c>
      <x:c r="R1945" s="48" t="n">
        <x:v>1</x:v>
      </x:c>
      <x:c r="S1945" s="29" t="n">
        <x:v>1</x:v>
      </x:c>
    </x:row>
    <x:row r="1946" ht="21.600000381469727" hidden="0" customHeight="1">
      <x:c r="A1946" s="27" t="n">
        <x:v>648</x:v>
      </x:c>
      <x:c r="B1946" s="27" t="str">
        <x:v>A1</x:v>
      </x:c>
      <x:c r="C1946" s="47" t="n">
        <x:v>1.0514697085196125</x:v>
      </x:c>
      <x:c r="D1946" s="47" t="n">
        <x:v>0.7544485209740809</x:v>
      </x:c>
      <x:c r="E1946" s="47" t="n">
        <x:v>0.855544224673058</x:v>
      </x:c>
      <x:c r="F1946" s="47" t="n">
        <x:v>-0.08777916245013742</x:v>
      </x:c>
      <x:c r="G1946" s="47" t="n">
        <x:v>-0.003545837799362933</x:v>
      </x:c>
      <x:c r="H1946" s="47" t="n">
        <x:v>0.6415241809365074</x:v>
      </x:c>
      <x:c r="I1946" s="47" t="n">
        <x:v>0.7237495753071734</x:v>
      </x:c>
      <x:c r="J1946" s="47" t="n">
        <x:v>0.7324535483559459</x:v>
      </x:c>
      <x:c r="K1946" s="47" t="n">
        <x:v>0.5664986158443398</x:v>
      </x:c>
      <x:c r="L1946" s="47" t="n">
        <x:v>0.7075204849323241</x:v>
      </x:c>
      <x:c r="M1946" s="47" t="n">
        <x:v>0.06445182675970282</x:v>
      </x:c>
      <x:c r="N1946" s="47" t="n">
        <x:v>0.9371488157140861</x:v>
      </x:c>
      <x:c r="O1946" s="47" t="n">
        <x:v>0.8022486591494928</x:v>
      </x:c>
      <x:c r="P1946" s="47" t="n">
        <x:v>0.501989495147462</x:v>
      </x:c>
      <x:c r="Q1946" s="47" t="n">
        <x:v>0.9506738411022208</x:v>
      </x:c>
      <x:c r="R1946" s="47" t="n">
        <x:v>0.7561744705565754</x:v>
      </x:c>
      <x:c r="S1946" s="27" t="n">
        <x:v>0</x:v>
      </x:c>
    </x:row>
    <x:row r="1947" ht="21.600000381469727" hidden="0" customHeight="1">
      <x:c r="A1947" s="29" t="n">
        <x:v>648</x:v>
      </x:c>
      <x:c r="B1947" s="29" t="str">
        <x:v>A2</x:v>
      </x:c>
      <x:c r="C1947" s="48" t="n">
        <x:v>1.0514697085196125</x:v>
      </x:c>
      <x:c r="D1947" s="48" t="n">
        <x:v>0.7544485209740809</x:v>
      </x:c>
      <x:c r="E1947" s="48" t="n">
        <x:v>0.855544224673058</x:v>
      </x:c>
      <x:c r="F1947" s="48" t="n">
        <x:v>-0.08777916245013742</x:v>
      </x:c>
      <x:c r="G1947" s="48" t="n">
        <x:v>-0.003545837799362933</x:v>
      </x:c>
      <x:c r="H1947" s="48" t="n">
        <x:v>0.6415241809365074</x:v>
      </x:c>
      <x:c r="I1947" s="48" t="n">
        <x:v>0.7237495753071734</x:v>
      </x:c>
      <x:c r="J1947" s="48" t="n">
        <x:v>0.7324535483559459</x:v>
      </x:c>
      <x:c r="K1947" s="48" t="n">
        <x:v>0.5664986158443398</x:v>
      </x:c>
      <x:c r="L1947" s="48" t="n">
        <x:v>0.7075204849323241</x:v>
      </x:c>
      <x:c r="M1947" s="48" t="n">
        <x:v>0.06445182675970282</x:v>
      </x:c>
      <x:c r="N1947" s="48" t="n">
        <x:v>0.9371488157140861</x:v>
      </x:c>
      <x:c r="O1947" s="48" t="n">
        <x:v>0.8924698138957282</x:v>
      </x:c>
      <x:c r="P1947" s="48" t="n">
        <x:v>0.5400799667058277</x:v>
      </x:c>
      <x:c r="Q1947" s="48" t="n">
        <x:v>1</x:v>
      </x:c>
      <x:c r="R1947" s="48" t="n">
        <x:v>0.8672170977183841</x:v>
      </x:c>
      <x:c r="S1947" s="29" t="n">
        <x:v>0</x:v>
      </x:c>
    </x:row>
    <x:row r="1948" ht="21.600000381469727" hidden="0" customHeight="1">
      <x:c r="A1948" s="27" t="n">
        <x:v>648</x:v>
      </x:c>
      <x:c r="B1948" s="27" t="str">
        <x:v>A3</x:v>
      </x:c>
      <x:c r="C1948" s="47" t="n">
        <x:v>1.0514697085196125</x:v>
      </x:c>
      <x:c r="D1948" s="47" t="n">
        <x:v>0.7544485209740809</x:v>
      </x:c>
      <x:c r="E1948" s="47" t="n">
        <x:v>0.855544224673058</x:v>
      </x:c>
      <x:c r="F1948" s="47" t="n">
        <x:v>-0.08777916245013742</x:v>
      </x:c>
      <x:c r="G1948" s="47" t="n">
        <x:v>-0.003545837799362933</x:v>
      </x:c>
      <x:c r="H1948" s="47" t="n">
        <x:v>0.6415241809365074</x:v>
      </x:c>
      <x:c r="I1948" s="47" t="n">
        <x:v>0.7237495753071734</x:v>
      </x:c>
      <x:c r="J1948" s="47" t="n">
        <x:v>0.7324535483559459</x:v>
      </x:c>
      <x:c r="K1948" s="47" t="n">
        <x:v>0.5664986158443398</x:v>
      </x:c>
      <x:c r="L1948" s="47" t="n">
        <x:v>0.7075204849323241</x:v>
      </x:c>
      <x:c r="M1948" s="47" t="n">
        <x:v>0.06445182675970282</x:v>
      </x:c>
      <x:c r="N1948" s="47" t="n">
        <x:v>0.9371488157140861</x:v>
      </x:c>
      <x:c r="O1948" s="47" t="n">
        <x:v>1</x:v>
      </x:c>
      <x:c r="P1948" s="47" t="n">
        <x:v>1</x:v>
      </x:c>
      <x:c r="Q1948" s="47" t="n">
        <x:v>1</x:v>
      </x:c>
      <x:c r="R1948" s="47" t="n">
        <x:v>1</x:v>
      </x:c>
      <x:c r="S1948" s="27" t="n">
        <x:v>1</x:v>
      </x:c>
    </x:row>
    <x:row r="1949" ht="21.600000381469727" hidden="0" customHeight="1">
      <x:c r="A1949" s="29" t="n">
        <x:v>649</x:v>
      </x:c>
      <x:c r="B1949" s="29" t="str">
        <x:v>A1</x:v>
      </x:c>
      <x:c r="C1949" s="48" t="n">
        <x:v>1.0072083893117534</x:v>
      </x:c>
      <x:c r="D1949" s="48" t="n">
        <x:v>0.8367732179188503</x:v>
      </x:c>
      <x:c r="E1949" s="48" t="n">
        <x:v>0.7043375712632028</x:v>
      </x:c>
      <x:c r="F1949" s="48" t="n">
        <x:v>-0.12936999068351968</x:v>
      </x:c>
      <x:c r="G1949" s="48" t="n">
        <x:v>0.00393702141129787</x:v>
      </x:c>
      <x:c r="H1949" s="48" t="n">
        <x:v>0.9366265237277622</x:v>
      </x:c>
      <x:c r="I1949" s="48" t="n">
        <x:v>0.9015662817708147</x:v>
      </x:c>
      <x:c r="J1949" s="48" t="n">
        <x:v>0.6552410370146535</x:v>
      </x:c>
      <x:c r="K1949" s="48" t="n">
        <x:v>0.8268502002646435</x:v>
      </x:c>
      <x:c r="L1949" s="48" t="n">
        <x:v>0.9682979077812459</x:v>
      </x:c>
      <x:c r="M1949" s="48" t="n">
        <x:v>0.16986020757468198</x:v>
      </x:c>
      <x:c r="N1949" s="48" t="n">
        <x:v>0.832289682763388</x:v>
      </x:c>
      <x:c r="O1949" s="48" t="n">
        <x:v>0.8967820256497862</x:v>
      </x:c>
      <x:c r="P1949" s="48" t="n">
        <x:v>0.6589476114561941</x:v>
      </x:c>
      <x:c r="Q1949" s="48" t="n">
        <x:v>1</x:v>
      </x:c>
      <x:c r="R1949" s="48" t="n">
        <x:v>0.8725420024051619</x:v>
      </x:c>
      <x:c r="S1949" s="29" t="n">
        <x:v>0</x:v>
      </x:c>
    </x:row>
    <x:row r="1950" ht="21.600000381469727" hidden="0" customHeight="1">
      <x:c r="A1950" s="27" t="n">
        <x:v>649</x:v>
      </x:c>
      <x:c r="B1950" s="27" t="str">
        <x:v>A2</x:v>
      </x:c>
      <x:c r="C1950" s="47" t="n">
        <x:v>1.0072083893117534</x:v>
      </x:c>
      <x:c r="D1950" s="47" t="n">
        <x:v>0.8367732179188503</x:v>
      </x:c>
      <x:c r="E1950" s="47" t="n">
        <x:v>0.7043375712632028</x:v>
      </x:c>
      <x:c r="F1950" s="47" t="n">
        <x:v>-0.12936999068351968</x:v>
      </x:c>
      <x:c r="G1950" s="47" t="n">
        <x:v>0.00393702141129787</x:v>
      </x:c>
      <x:c r="H1950" s="47" t="n">
        <x:v>0.9366265237277622</x:v>
      </x:c>
      <x:c r="I1950" s="47" t="n">
        <x:v>0.9015662817708147</x:v>
      </x:c>
      <x:c r="J1950" s="47" t="n">
        <x:v>0.6552410370146535</x:v>
      </x:c>
      <x:c r="K1950" s="47" t="n">
        <x:v>0.8268502002646435</x:v>
      </x:c>
      <x:c r="L1950" s="47" t="n">
        <x:v>0.9682979077812459</x:v>
      </x:c>
      <x:c r="M1950" s="47" t="n">
        <x:v>0.16986020757468198</x:v>
      </x:c>
      <x:c r="N1950" s="47" t="n">
        <x:v>0.832289682763388</x:v>
      </x:c>
      <x:c r="O1950" s="47" t="n">
        <x:v>0.9691926877191759</x:v>
      </x:c>
      <x:c r="P1950" s="47" t="n">
        <x:v>0.7815954345465709</x:v>
      </x:c>
      <x:c r="Q1950" s="47" t="n">
        <x:v>1</x:v>
      </x:c>
      <x:c r="R1950" s="47" t="n">
        <x:v>0.9619578047398043</x:v>
      </x:c>
      <x:c r="S1950" s="27" t="n">
        <x:v>0</x:v>
      </x:c>
    </x:row>
    <x:row r="1951" ht="21.600000381469727" hidden="0" customHeight="1">
      <x:c r="A1951" s="29" t="n">
        <x:v>649</x:v>
      </x:c>
      <x:c r="B1951" s="29" t="str">
        <x:v>A3</x:v>
      </x:c>
      <x:c r="C1951" s="48" t="n">
        <x:v>1.0072083893117534</x:v>
      </x:c>
      <x:c r="D1951" s="48" t="n">
        <x:v>0.8367732179188503</x:v>
      </x:c>
      <x:c r="E1951" s="48" t="n">
        <x:v>0.7043375712632028</x:v>
      </x:c>
      <x:c r="F1951" s="48" t="n">
        <x:v>-0.12936999068351968</x:v>
      </x:c>
      <x:c r="G1951" s="48" t="n">
        <x:v>0.00393702141129787</x:v>
      </x:c>
      <x:c r="H1951" s="48" t="n">
        <x:v>0.9366265237277622</x:v>
      </x:c>
      <x:c r="I1951" s="48" t="n">
        <x:v>0.9015662817708147</x:v>
      </x:c>
      <x:c r="J1951" s="48" t="n">
        <x:v>0.6552410370146535</x:v>
      </x:c>
      <x:c r="K1951" s="48" t="n">
        <x:v>0.8268502002646435</x:v>
      </x:c>
      <x:c r="L1951" s="48" t="n">
        <x:v>0.9682979077812459</x:v>
      </x:c>
      <x:c r="M1951" s="48" t="n">
        <x:v>0.16986020757468198</x:v>
      </x:c>
      <x:c r="N1951" s="48" t="n">
        <x:v>0.832289682763388</x:v>
      </x:c>
      <x:c r="O1951" s="48" t="n">
        <x:v>1</x:v>
      </x:c>
      <x:c r="P1951" s="48" t="n">
        <x:v>1</x:v>
      </x:c>
      <x:c r="Q1951" s="48" t="n">
        <x:v>1</x:v>
      </x:c>
      <x:c r="R1951" s="48" t="n">
        <x:v>1</x:v>
      </x:c>
      <x:c r="S1951" s="29" t="n">
        <x:v>1</x:v>
      </x:c>
    </x:row>
    <x:row r="1952" ht="21.600000381469727" hidden="0" customHeight="1">
      <x:c r="A1952" s="27" t="n">
        <x:v>650</x:v>
      </x:c>
      <x:c r="B1952" s="27" t="str">
        <x:v>A1</x:v>
      </x:c>
      <x:c r="C1952" s="47" t="n">
        <x:v>1.0409799627130254</x:v>
      </x:c>
      <x:c r="D1952" s="47" t="n">
        <x:v>0.9568225510947307</x:v>
      </x:c>
      <x:c r="E1952" s="47" t="n">
        <x:v>0.9881088830717537</x:v>
      </x:c>
      <x:c r="F1952" s="47" t="n">
        <x:v>-0.19853627111869393</x:v>
      </x:c>
      <x:c r="G1952" s="47" t="n">
        <x:v>-0.12044581496010515</x:v>
      </x:c>
      <x:c r="H1952" s="47" t="n">
        <x:v>0.8925566124396183</x:v>
      </x:c>
      <x:c r="I1952" s="47" t="n">
        <x:v>0.6250443343839432</x:v>
      </x:c>
      <x:c r="J1952" s="47" t="n">
        <x:v>0.5879898756450094</x:v>
      </x:c>
      <x:c r="K1952" s="47" t="n">
        <x:v>0.6993556586238197</x:v>
      </x:c>
      <x:c r="L1952" s="47" t="n">
        <x:v>0.7745681628609993</x:v>
      </x:c>
      <x:c r="M1952" s="47" t="n">
        <x:v>0.06517128926485855</x:v>
      </x:c>
      <x:c r="N1952" s="47" t="n">
        <x:v>0.8640373890159858</x:v>
      </x:c>
      <x:c r="O1952" s="47" t="n">
        <x:v>0.9058359098554567</x:v>
      </x:c>
      <x:c r="P1952" s="47" t="n">
        <x:v>0.6821730432082018</x:v>
      </x:c>
      <x:c r="Q1952" s="47" t="n">
        <x:v>0.9999999999999998</x:v>
      </x:c>
      <x:c r="R1952" s="47" t="n">
        <x:v>0.8837221283335673</x:v>
      </x:c>
      <x:c r="S1952" s="27" t="n">
        <x:v>0</x:v>
      </x:c>
    </x:row>
    <x:row r="1953" ht="21.600000381469727" hidden="0" customHeight="1">
      <x:c r="A1953" s="29" t="n">
        <x:v>650</x:v>
      </x:c>
      <x:c r="B1953" s="29" t="str">
        <x:v>A2</x:v>
      </x:c>
      <x:c r="C1953" s="48" t="n">
        <x:v>1.0409799627130254</x:v>
      </x:c>
      <x:c r="D1953" s="48" t="n">
        <x:v>0.9568225510947307</x:v>
      </x:c>
      <x:c r="E1953" s="48" t="n">
        <x:v>0.9881088830717537</x:v>
      </x:c>
      <x:c r="F1953" s="48" t="n">
        <x:v>-0.19853627111869393</x:v>
      </x:c>
      <x:c r="G1953" s="48" t="n">
        <x:v>-0.12044581496010515</x:v>
      </x:c>
      <x:c r="H1953" s="48" t="n">
        <x:v>0.8925566124396183</x:v>
      </x:c>
      <x:c r="I1953" s="48" t="n">
        <x:v>0.6250443343839432</x:v>
      </x:c>
      <x:c r="J1953" s="48" t="n">
        <x:v>0.5879898756450094</x:v>
      </x:c>
      <x:c r="K1953" s="48" t="n">
        <x:v>0.6993556586238197</x:v>
      </x:c>
      <x:c r="L1953" s="48" t="n">
        <x:v>0.7745681628609993</x:v>
      </x:c>
      <x:c r="M1953" s="48" t="n">
        <x:v>0.06517128926485855</x:v>
      </x:c>
      <x:c r="N1953" s="48" t="n">
        <x:v>0.8640373890159858</x:v>
      </x:c>
      <x:c r="O1953" s="48" t="n">
        <x:v>0.9571870909647527</x:v>
      </x:c>
      <x:c r="P1953" s="48" t="n">
        <x:v>0.6747471711025491</x:v>
      </x:c>
      <x:c r="Q1953" s="48" t="n">
        <x:v>1</x:v>
      </x:c>
      <x:c r="R1953" s="48" t="n">
        <x:v>0.947132777104037</x:v>
      </x:c>
      <x:c r="S1953" s="29" t="n">
        <x:v>0</x:v>
      </x:c>
    </x:row>
    <x:row r="1954" ht="21.600000381469727" hidden="0" customHeight="1">
      <x:c r="A1954" s="27" t="n">
        <x:v>650</x:v>
      </x:c>
      <x:c r="B1954" s="27" t="str">
        <x:v>A3</x:v>
      </x:c>
      <x:c r="C1954" s="47" t="n">
        <x:v>1.0409799627130254</x:v>
      </x:c>
      <x:c r="D1954" s="47" t="n">
        <x:v>0.9568225510947307</x:v>
      </x:c>
      <x:c r="E1954" s="47" t="n">
        <x:v>0.9881088830717537</x:v>
      </x:c>
      <x:c r="F1954" s="47" t="n">
        <x:v>-0.19853627111869393</x:v>
      </x:c>
      <x:c r="G1954" s="47" t="n">
        <x:v>-0.12044581496010515</x:v>
      </x:c>
      <x:c r="H1954" s="47" t="n">
        <x:v>0.8925566124396183</x:v>
      </x:c>
      <x:c r="I1954" s="47" t="n">
        <x:v>0.6250443343839432</x:v>
      </x:c>
      <x:c r="J1954" s="47" t="n">
        <x:v>0.5879898756450094</x:v>
      </x:c>
      <x:c r="K1954" s="47" t="n">
        <x:v>0.6993556586238197</x:v>
      </x:c>
      <x:c r="L1954" s="47" t="n">
        <x:v>0.7745681628609993</x:v>
      </x:c>
      <x:c r="M1954" s="47" t="n">
        <x:v>0.06517128926485855</x:v>
      </x:c>
      <x:c r="N1954" s="47" t="n">
        <x:v>0.8640373890159858</x:v>
      </x:c>
      <x:c r="O1954" s="47" t="n">
        <x:v>1</x:v>
      </x:c>
      <x:c r="P1954" s="47" t="n">
        <x:v>1</x:v>
      </x:c>
      <x:c r="Q1954" s="47" t="n">
        <x:v>1</x:v>
      </x:c>
      <x:c r="R1954" s="47" t="n">
        <x:v>1</x:v>
      </x:c>
      <x:c r="S1954" s="27" t="n">
        <x:v>1</x:v>
      </x:c>
    </x:row>
    <x:row r="1955" ht="21.600000381469727" hidden="0" customHeight="1">
      <x:c r="A1955" s="29" t="n">
        <x:v>651</x:v>
      </x:c>
      <x:c r="B1955" s="29" t="str">
        <x:v>A1</x:v>
      </x:c>
      <x:c r="C1955" s="48" t="n">
        <x:v>0.9187749302303299</x:v>
      </x:c>
      <x:c r="D1955" s="48" t="n">
        <x:v>0.7875982604168266</x:v>
      </x:c>
      <x:c r="E1955" s="48" t="n">
        <x:v>0.6162948900527996</x:v>
      </x:c>
      <x:c r="F1955" s="48" t="n">
        <x:v>0.01179708510734856</x:v>
      </x:c>
      <x:c r="G1955" s="48" t="n">
        <x:v>-0.13385436913541998</x:v>
      </x:c>
      <x:c r="H1955" s="48" t="n">
        <x:v>0.4303193737929241</x:v>
      </x:c>
      <x:c r="I1955" s="48" t="n">
        <x:v>0.6123255696446621</x:v>
      </x:c>
      <x:c r="J1955" s="48" t="n">
        <x:v>0.8765162399190158</x:v>
      </x:c>
      <x:c r="K1955" s="48" t="n">
        <x:v>0.9485839966782297</x:v>
      </x:c>
      <x:c r="L1955" s="48" t="n">
        <x:v>0.8837112555212601</x:v>
      </x:c>
      <x:c r="M1955" s="48" t="n">
        <x:v>0.09631125295347367</x:v>
      </x:c>
      <x:c r="N1955" s="48" t="n">
        <x:v>0.9205636274597089</x:v>
      </x:c>
      <x:c r="O1955" s="48" t="n">
        <x:v>0.9010783597704373</x:v>
      </x:c>
      <x:c r="P1955" s="48" t="n">
        <x:v>0.6177398712747348</x:v>
      </x:c>
      <x:c r="Q1955" s="48" t="n">
        <x:v>1</x:v>
      </x:c>
      <x:c r="R1955" s="48" t="n">
        <x:v>0.8778473007067791</x:v>
      </x:c>
      <x:c r="S1955" s="29" t="n">
        <x:v>0</x:v>
      </x:c>
    </x:row>
    <x:row r="1956" ht="21.600000381469727" hidden="0" customHeight="1">
      <x:c r="A1956" s="27" t="n">
        <x:v>651</x:v>
      </x:c>
      <x:c r="B1956" s="27" t="str">
        <x:v>A2</x:v>
      </x:c>
      <x:c r="C1956" s="47" t="n">
        <x:v>0.9187749302303299</x:v>
      </x:c>
      <x:c r="D1956" s="47" t="n">
        <x:v>0.7875982604168266</x:v>
      </x:c>
      <x:c r="E1956" s="47" t="n">
        <x:v>0.6162948900527996</x:v>
      </x:c>
      <x:c r="F1956" s="47" t="n">
        <x:v>0.01179708510734856</x:v>
      </x:c>
      <x:c r="G1956" s="47" t="n">
        <x:v>-0.13385436913541998</x:v>
      </x:c>
      <x:c r="H1956" s="47" t="n">
        <x:v>0.4303193737929241</x:v>
      </x:c>
      <x:c r="I1956" s="47" t="n">
        <x:v>0.6123255696446621</x:v>
      </x:c>
      <x:c r="J1956" s="47" t="n">
        <x:v>0.8765162399190158</x:v>
      </x:c>
      <x:c r="K1956" s="47" t="n">
        <x:v>0.9485839966782297</x:v>
      </x:c>
      <x:c r="L1956" s="47" t="n">
        <x:v>0.8837112555212601</x:v>
      </x:c>
      <x:c r="M1956" s="47" t="n">
        <x:v>0.09631125295347367</x:v>
      </x:c>
      <x:c r="N1956" s="47" t="n">
        <x:v>0.9205636274597089</x:v>
      </x:c>
      <x:c r="O1956" s="47" t="n">
        <x:v>0.9600021917561513</x:v>
      </x:c>
      <x:c r="P1956" s="47" t="n">
        <x:v>0.7282481946398062</x:v>
      </x:c>
      <x:c r="Q1956" s="47" t="n">
        <x:v>1</x:v>
      </x:c>
      <x:c r="R1956" s="47" t="n">
        <x:v>0.9506089847331642</x:v>
      </x:c>
      <x:c r="S1956" s="27" t="n">
        <x:v>0</x:v>
      </x:c>
    </x:row>
    <x:row r="1957" ht="21.600000381469727" hidden="0" customHeight="1">
      <x:c r="A1957" s="29" t="n">
        <x:v>651</x:v>
      </x:c>
      <x:c r="B1957" s="29" t="str">
        <x:v>A3</x:v>
      </x:c>
      <x:c r="C1957" s="48" t="n">
        <x:v>0.9187749302303299</x:v>
      </x:c>
      <x:c r="D1957" s="48" t="n">
        <x:v>0.7875982604168266</x:v>
      </x:c>
      <x:c r="E1957" s="48" t="n">
        <x:v>0.6162948900527996</x:v>
      </x:c>
      <x:c r="F1957" s="48" t="n">
        <x:v>0.01179708510734856</x:v>
      </x:c>
      <x:c r="G1957" s="48" t="n">
        <x:v>-0.13385436913541998</x:v>
      </x:c>
      <x:c r="H1957" s="48" t="n">
        <x:v>0.4303193737929241</x:v>
      </x:c>
      <x:c r="I1957" s="48" t="n">
        <x:v>0.6123255696446621</x:v>
      </x:c>
      <x:c r="J1957" s="48" t="n">
        <x:v>0.8765162399190158</x:v>
      </x:c>
      <x:c r="K1957" s="48" t="n">
        <x:v>0.9485839966782297</x:v>
      </x:c>
      <x:c r="L1957" s="48" t="n">
        <x:v>0.8837112555212601</x:v>
      </x:c>
      <x:c r="M1957" s="48" t="n">
        <x:v>0.09631125295347367</x:v>
      </x:c>
      <x:c r="N1957" s="48" t="n">
        <x:v>0.9205636274597089</x:v>
      </x:c>
      <x:c r="O1957" s="48" t="n">
        <x:v>1</x:v>
      </x:c>
      <x:c r="P1957" s="48" t="n">
        <x:v>1</x:v>
      </x:c>
      <x:c r="Q1957" s="48" t="n">
        <x:v>1</x:v>
      </x:c>
      <x:c r="R1957" s="48" t="n">
        <x:v>1</x:v>
      </x:c>
      <x:c r="S1957" s="29" t="n">
        <x:v>1</x:v>
      </x:c>
    </x:row>
    <x:row r="1958" ht="21.600000381469727" hidden="0" customHeight="1">
      <x:c r="A1958" s="27" t="n">
        <x:v>652</x:v>
      </x:c>
      <x:c r="B1958" s="27" t="str">
        <x:v>A1</x:v>
      </x:c>
      <x:c r="C1958" s="47" t="n">
        <x:v>1.126820204025901</x:v>
      </x:c>
      <x:c r="D1958" s="47" t="n">
        <x:v>0.8419866061194776</x:v>
      </x:c>
      <x:c r="E1958" s="47" t="n">
        <x:v>0.7681493611319921</x:v>
      </x:c>
      <x:c r="F1958" s="47" t="n">
        <x:v>-0.01096484222099306</x:v>
      </x:c>
      <x:c r="G1958" s="47" t="n">
        <x:v>-0.06375858533207004</x:v>
      </x:c>
      <x:c r="H1958" s="47" t="n">
        <x:v>0.7137570395097543</x:v>
      </x:c>
      <x:c r="I1958" s="47" t="n">
        <x:v>0.9932547491570796</x:v>
      </x:c>
      <x:c r="J1958" s="47" t="n">
        <x:v>0.9408007283399771</x:v>
      </x:c>
      <x:c r="K1958" s="47" t="n">
        <x:v>0.9002413561649312</x:v>
      </x:c>
      <x:c r="L1958" s="47" t="n">
        <x:v>0.7979466572670706</x:v>
      </x:c>
      <x:c r="M1958" s="47" t="n">
        <x:v>0.012732251743495515</x:v>
      </x:c>
      <x:c r="N1958" s="47" t="n">
        <x:v>0.9956329338121701</x:v>
      </x:c>
      <x:c r="O1958" s="47" t="n">
        <x:v>0.9026921657545124</x:v>
      </x:c>
      <x:c r="P1958" s="47" t="n">
        <x:v>0.5027645509440302</x:v>
      </x:c>
      <x:c r="Q1958" s="47" t="n">
        <x:v>1</x:v>
      </x:c>
      <x:c r="R1958" s="47" t="n">
        <x:v>0.8798400977998404</x:v>
      </x:c>
      <x:c r="S1958" s="27" t="n">
        <x:v>0</x:v>
      </x:c>
    </x:row>
    <x:row r="1959" ht="21.600000381469727" hidden="0" customHeight="1">
      <x:c r="A1959" s="29" t="n">
        <x:v>652</x:v>
      </x:c>
      <x:c r="B1959" s="29" t="str">
        <x:v>A2</x:v>
      </x:c>
      <x:c r="C1959" s="48" t="n">
        <x:v>1.126820204025901</x:v>
      </x:c>
      <x:c r="D1959" s="48" t="n">
        <x:v>0.8419866061194776</x:v>
      </x:c>
      <x:c r="E1959" s="48" t="n">
        <x:v>0.7681493611319921</x:v>
      </x:c>
      <x:c r="F1959" s="48" t="n">
        <x:v>-0.01096484222099306</x:v>
      </x:c>
      <x:c r="G1959" s="48" t="n">
        <x:v>-0.06375858533207004</x:v>
      </x:c>
      <x:c r="H1959" s="48" t="n">
        <x:v>0.7137570395097543</x:v>
      </x:c>
      <x:c r="I1959" s="48" t="n">
        <x:v>0.9932547491570796</x:v>
      </x:c>
      <x:c r="J1959" s="48" t="n">
        <x:v>0.9408007283399771</x:v>
      </x:c>
      <x:c r="K1959" s="48" t="n">
        <x:v>0.9002413561649312</x:v>
      </x:c>
      <x:c r="L1959" s="48" t="n">
        <x:v>0.7979466572670706</x:v>
      </x:c>
      <x:c r="M1959" s="48" t="n">
        <x:v>0.012732251743495515</x:v>
      </x:c>
      <x:c r="N1959" s="48" t="n">
        <x:v>0.9956329338121701</x:v>
      </x:c>
      <x:c r="O1959" s="48" t="n">
        <x:v>0.9744398111060659</x:v>
      </x:c>
      <x:c r="P1959" s="48" t="n">
        <x:v>0.7443981110606598</x:v>
      </x:c>
      <x:c r="Q1959" s="48" t="n">
        <x:v>1</x:v>
      </x:c>
      <x:c r="R1959" s="48" t="n">
        <x:v>0.968437178552711</x:v>
      </x:c>
      <x:c r="S1959" s="29" t="n">
        <x:v>0</x:v>
      </x:c>
    </x:row>
    <x:row r="1960" ht="21.600000381469727" hidden="0" customHeight="1">
      <x:c r="A1960" s="27" t="n">
        <x:v>652</x:v>
      </x:c>
      <x:c r="B1960" s="27" t="str">
        <x:v>A3</x:v>
      </x:c>
      <x:c r="C1960" s="47" t="n">
        <x:v>1.126820204025901</x:v>
      </x:c>
      <x:c r="D1960" s="47" t="n">
        <x:v>0.8419866061194776</x:v>
      </x:c>
      <x:c r="E1960" s="47" t="n">
        <x:v>0.7681493611319921</x:v>
      </x:c>
      <x:c r="F1960" s="47" t="n">
        <x:v>-0.01096484222099306</x:v>
      </x:c>
      <x:c r="G1960" s="47" t="n">
        <x:v>-0.06375858533207004</x:v>
      </x:c>
      <x:c r="H1960" s="47" t="n">
        <x:v>0.7137570395097543</x:v>
      </x:c>
      <x:c r="I1960" s="47" t="n">
        <x:v>0.9932547491570796</x:v>
      </x:c>
      <x:c r="J1960" s="47" t="n">
        <x:v>0.9408007283399771</x:v>
      </x:c>
      <x:c r="K1960" s="47" t="n">
        <x:v>0.9002413561649312</x:v>
      </x:c>
      <x:c r="L1960" s="47" t="n">
        <x:v>0.7979466572670706</x:v>
      </x:c>
      <x:c r="M1960" s="47" t="n">
        <x:v>0.012732251743495515</x:v>
      </x:c>
      <x:c r="N1960" s="47" t="n">
        <x:v>0.9956329338121701</x:v>
      </x:c>
      <x:c r="O1960" s="47" t="n">
        <x:v>1</x:v>
      </x:c>
      <x:c r="P1960" s="47" t="n">
        <x:v>1</x:v>
      </x:c>
      <x:c r="Q1960" s="47" t="n">
        <x:v>1</x:v>
      </x:c>
      <x:c r="R1960" s="47" t="n">
        <x:v>1</x:v>
      </x:c>
      <x:c r="S1960" s="27" t="n">
        <x:v>1</x:v>
      </x:c>
    </x:row>
    <x:row r="1961" ht="21.600000381469727" hidden="0" customHeight="1">
      <x:c r="A1961" s="29" t="n">
        <x:v>653</x:v>
      </x:c>
      <x:c r="B1961" s="29" t="str">
        <x:v>A1</x:v>
      </x:c>
      <x:c r="C1961" s="48" t="n">
        <x:v>0.9769898557892922</x:v>
      </x:c>
      <x:c r="D1961" s="48" t="n">
        <x:v>0.9672325047434689</x:v>
      </x:c>
      <x:c r="E1961" s="48" t="n">
        <x:v>0.8194299372491535</x:v>
      </x:c>
      <x:c r="F1961" s="48" t="n">
        <x:v>-0.15163591579158264</x:v>
      </x:c>
      <x:c r="G1961" s="48" t="n">
        <x:v>-0.01388105331665021</x:v>
      </x:c>
      <x:c r="H1961" s="48" t="n">
        <x:v>1.084171471623513</x:v>
      </x:c>
      <x:c r="I1961" s="48" t="n">
        <x:v>0.8363669173957602</x:v>
      </x:c>
      <x:c r="J1961" s="48" t="n">
        <x:v>0.6819019650749969</x:v>
      </x:c>
      <x:c r="K1961" s="48" t="n">
        <x:v>0.9758332843424172</x:v>
      </x:c>
      <x:c r="L1961" s="48" t="n">
        <x:v>0.519694426065801</x:v>
      </x:c>
      <x:c r="M1961" s="48" t="n">
        <x:v>0.10215964045260702</x:v>
      </x:c>
      <x:c r="N1961" s="48" t="n">
        <x:v>0.7737046169012982</x:v>
      </x:c>
      <x:c r="O1961" s="48" t="n">
        <x:v>0.9455119389350829</x:v>
      </x:c>
      <x:c r="P1961" s="48" t="n">
        <x:v>0.7421269224539289</x:v>
      </x:c>
      <x:c r="Q1961" s="48" t="n">
        <x:v>1</x:v>
      </x:c>
      <x:c r="R1961" s="48" t="n">
        <x:v>0.9327157968379061</x:v>
      </x:c>
      <x:c r="S1961" s="29" t="n">
        <x:v>0</x:v>
      </x:c>
    </x:row>
    <x:row r="1962" ht="21.600000381469727" hidden="0" customHeight="1">
      <x:c r="A1962" s="27" t="n">
        <x:v>653</x:v>
      </x:c>
      <x:c r="B1962" s="27" t="str">
        <x:v>A2</x:v>
      </x:c>
      <x:c r="C1962" s="47" t="n">
        <x:v>0.9769898557892922</x:v>
      </x:c>
      <x:c r="D1962" s="47" t="n">
        <x:v>0.9672325047434689</x:v>
      </x:c>
      <x:c r="E1962" s="47" t="n">
        <x:v>0.8194299372491535</x:v>
      </x:c>
      <x:c r="F1962" s="47" t="n">
        <x:v>-0.15163591579158264</x:v>
      </x:c>
      <x:c r="G1962" s="47" t="n">
        <x:v>-0.01388105331665021</x:v>
      </x:c>
      <x:c r="H1962" s="47" t="n">
        <x:v>1.084171471623513</x:v>
      </x:c>
      <x:c r="I1962" s="47" t="n">
        <x:v>0.8363669173957602</x:v>
      </x:c>
      <x:c r="J1962" s="47" t="n">
        <x:v>0.6819019650749969</x:v>
      </x:c>
      <x:c r="K1962" s="47" t="n">
        <x:v>0.9758332843424172</x:v>
      </x:c>
      <x:c r="L1962" s="47" t="n">
        <x:v>0.519694426065801</x:v>
      </x:c>
      <x:c r="M1962" s="47" t="n">
        <x:v>0.10215964045260702</x:v>
      </x:c>
      <x:c r="N1962" s="47" t="n">
        <x:v>0.7737046169012982</x:v>
      </x:c>
      <x:c r="O1962" s="47" t="n">
        <x:v>0.992200518248633</x:v>
      </x:c>
      <x:c r="P1962" s="47" t="n">
        <x:v>0.9220051824863293</x:v>
      </x:c>
      <x:c r="Q1962" s="47" t="n">
        <x:v>1</x:v>
      </x:c>
      <x:c r="R1962" s="47" t="n">
        <x:v>0.9903688642160932</x:v>
      </x:c>
      <x:c r="S1962" s="27" t="n">
        <x:v>0</x:v>
      </x:c>
    </x:row>
    <x:row r="1963" ht="21.600000381469727" hidden="0" customHeight="1">
      <x:c r="A1963" s="29" t="n">
        <x:v>653</x:v>
      </x:c>
      <x:c r="B1963" s="29" t="str">
        <x:v>A3</x:v>
      </x:c>
      <x:c r="C1963" s="48" t="n">
        <x:v>0.9769898557892922</x:v>
      </x:c>
      <x:c r="D1963" s="48" t="n">
        <x:v>0.9672325047434689</x:v>
      </x:c>
      <x:c r="E1963" s="48" t="n">
        <x:v>0.8194299372491535</x:v>
      </x:c>
      <x:c r="F1963" s="48" t="n">
        <x:v>-0.15163591579158264</x:v>
      </x:c>
      <x:c r="G1963" s="48" t="n">
        <x:v>-0.01388105331665021</x:v>
      </x:c>
      <x:c r="H1963" s="48" t="n">
        <x:v>1.084171471623513</x:v>
      </x:c>
      <x:c r="I1963" s="48" t="n">
        <x:v>0.8363669173957602</x:v>
      </x:c>
      <x:c r="J1963" s="48" t="n">
        <x:v>0.6819019650749969</x:v>
      </x:c>
      <x:c r="K1963" s="48" t="n">
        <x:v>0.9758332843424172</x:v>
      </x:c>
      <x:c r="L1963" s="48" t="n">
        <x:v>0.519694426065801</x:v>
      </x:c>
      <x:c r="M1963" s="48" t="n">
        <x:v>0.10215964045260702</x:v>
      </x:c>
      <x:c r="N1963" s="48" t="n">
        <x:v>0.7737046169012982</x:v>
      </x:c>
      <x:c r="O1963" s="48" t="n">
        <x:v>1</x:v>
      </x:c>
      <x:c r="P1963" s="48" t="n">
        <x:v>1</x:v>
      </x:c>
      <x:c r="Q1963" s="48" t="n">
        <x:v>1</x:v>
      </x:c>
      <x:c r="R1963" s="48" t="n">
        <x:v>1</x:v>
      </x:c>
      <x:c r="S1963" s="29" t="n">
        <x:v>1</x:v>
      </x:c>
    </x:row>
    <x:row r="1964" ht="21.600000381469727" hidden="0" customHeight="1">
      <x:c r="A1964" s="27" t="n">
        <x:v>654</x:v>
      </x:c>
      <x:c r="B1964" s="27" t="str">
        <x:v>A1</x:v>
      </x:c>
      <x:c r="C1964" s="47" t="n">
        <x:v>1.2957351896793194</x:v>
      </x:c>
      <x:c r="D1964" s="47" t="n">
        <x:v>0.8205259882794641</x:v>
      </x:c>
      <x:c r="E1964" s="47" t="n">
        <x:v>0.9744934194920032</x:v>
      </x:c>
      <x:c r="F1964" s="47" t="n">
        <x:v>-0.18603735718475528</x:v>
      </x:c>
      <x:c r="G1964" s="47" t="n">
        <x:v>-0.1095853181635785</x:v>
      </x:c>
      <x:c r="H1964" s="47" t="n">
        <x:v>0.5164993416637441</x:v>
      </x:c>
      <x:c r="I1964" s="47" t="n">
        <x:v>0.889795566036518</x:v>
      </x:c>
      <x:c r="J1964" s="47" t="n">
        <x:v>0.4210566759824357</x:v>
      </x:c>
      <x:c r="K1964" s="47" t="n">
        <x:v>0.7684588477824748</x:v>
      </x:c>
      <x:c r="L1964" s="47" t="n">
        <x:v>0.6149079011514632</x:v>
      </x:c>
      <x:c r="M1964" s="47" t="n">
        <x:v>0.05822223305943059</x:v>
      </x:c>
      <x:c r="N1964" s="47" t="n">
        <x:v>0.7696196028663952</x:v>
      </x:c>
      <x:c r="O1964" s="47" t="n">
        <x:v>0.7527310257167303</x:v>
      </x:c>
      <x:c r="P1964" s="47" t="n">
        <x:v>0.4750573294233828</x:v>
      </x:c>
      <x:c r="Q1964" s="47" t="n">
        <x:v>0.9690222050529776</x:v>
      </x:c>
      <x:c r="R1964" s="47" t="n">
        <x:v>0.6996759439111296</x:v>
      </x:c>
      <x:c r="S1964" s="27" t="n">
        <x:v>0</x:v>
      </x:c>
    </x:row>
    <x:row r="1965" ht="21.600000381469727" hidden="0" customHeight="1">
      <x:c r="A1965" s="29" t="n">
        <x:v>654</x:v>
      </x:c>
      <x:c r="B1965" s="29" t="str">
        <x:v>A2</x:v>
      </x:c>
      <x:c r="C1965" s="48" t="n">
        <x:v>1.2957351896793194</x:v>
      </x:c>
      <x:c r="D1965" s="48" t="n">
        <x:v>0.8205259882794641</x:v>
      </x:c>
      <x:c r="E1965" s="48" t="n">
        <x:v>0.9744934194920032</x:v>
      </x:c>
      <x:c r="F1965" s="48" t="n">
        <x:v>-0.18603735718475528</x:v>
      </x:c>
      <x:c r="G1965" s="48" t="n">
        <x:v>-0.1095853181635785</x:v>
      </x:c>
      <x:c r="H1965" s="48" t="n">
        <x:v>0.5164993416637441</x:v>
      </x:c>
      <x:c r="I1965" s="48" t="n">
        <x:v>0.889795566036518</x:v>
      </x:c>
      <x:c r="J1965" s="48" t="n">
        <x:v>0.4210566759824357</x:v>
      </x:c>
      <x:c r="K1965" s="48" t="n">
        <x:v>0.7684588477824748</x:v>
      </x:c>
      <x:c r="L1965" s="48" t="n">
        <x:v>0.6149079011514632</x:v>
      </x:c>
      <x:c r="M1965" s="48" t="n">
        <x:v>0.05822223305943059</x:v>
      </x:c>
      <x:c r="N1965" s="48" t="n">
        <x:v>0.7696196028663952</x:v>
      </x:c>
      <x:c r="O1965" s="48" t="n">
        <x:v>0.8425709756335692</x:v>
      </x:c>
      <x:c r="P1965" s="48" t="n">
        <x:v>0.621926175199562</x:v>
      </x:c>
      <x:c r="Q1965" s="48" t="n">
        <x:v>1</x:v>
      </x:c>
      <x:c r="R1965" s="48" t="n">
        <x:v>0.8055998644095397</x:v>
      </x:c>
      <x:c r="S1965" s="29" t="n">
        <x:v>0</x:v>
      </x:c>
    </x:row>
    <x:row r="1966" ht="21.600000381469727" hidden="0" customHeight="1">
      <x:c r="A1966" s="27" t="n">
        <x:v>654</x:v>
      </x:c>
      <x:c r="B1966" s="27" t="str">
        <x:v>A3</x:v>
      </x:c>
      <x:c r="C1966" s="47" t="n">
        <x:v>1.2957351896793194</x:v>
      </x:c>
      <x:c r="D1966" s="47" t="n">
        <x:v>0.8205259882794641</x:v>
      </x:c>
      <x:c r="E1966" s="47" t="n">
        <x:v>0.9744934194920032</x:v>
      </x:c>
      <x:c r="F1966" s="47" t="n">
        <x:v>-0.18603735718475528</x:v>
      </x:c>
      <x:c r="G1966" s="47" t="n">
        <x:v>-0.1095853181635785</x:v>
      </x:c>
      <x:c r="H1966" s="47" t="n">
        <x:v>0.5164993416637441</x:v>
      </x:c>
      <x:c r="I1966" s="47" t="n">
        <x:v>0.889795566036518</x:v>
      </x:c>
      <x:c r="J1966" s="47" t="n">
        <x:v>0.4210566759824357</x:v>
      </x:c>
      <x:c r="K1966" s="47" t="n">
        <x:v>0.7684588477824748</x:v>
      </x:c>
      <x:c r="L1966" s="47" t="n">
        <x:v>0.6149079011514632</x:v>
      </x:c>
      <x:c r="M1966" s="47" t="n">
        <x:v>0.05822223305943059</x:v>
      </x:c>
      <x:c r="N1966" s="47" t="n">
        <x:v>0.7696196028663952</x:v>
      </x:c>
      <x:c r="O1966" s="47" t="n">
        <x:v>1</x:v>
      </x:c>
      <x:c r="P1966" s="47" t="n">
        <x:v>1</x:v>
      </x:c>
      <x:c r="Q1966" s="47" t="n">
        <x:v>1</x:v>
      </x:c>
      <x:c r="R1966" s="47" t="n">
        <x:v>1</x:v>
      </x:c>
      <x:c r="S1966" s="27" t="n">
        <x:v>1</x:v>
      </x:c>
    </x:row>
    <x:row r="1967" ht="21.600000381469727" hidden="0" customHeight="1">
      <x:c r="A1967" s="29" t="n">
        <x:v>655</x:v>
      </x:c>
      <x:c r="B1967" s="29" t="str">
        <x:v>A1</x:v>
      </x:c>
      <x:c r="C1967" s="48" t="n">
        <x:v>1.0469458742249478</x:v>
      </x:c>
      <x:c r="D1967" s="48" t="n">
        <x:v>0.836340822309596</x:v>
      </x:c>
      <x:c r="E1967" s="48" t="n">
        <x:v>0.7469383853425551</x:v>
      </x:c>
      <x:c r="F1967" s="48" t="n">
        <x:v>-0.05790677172875494</x:v>
      </x:c>
      <x:c r="G1967" s="48" t="n">
        <x:v>-0.07040529200391493</x:v>
      </x:c>
      <x:c r="H1967" s="48" t="n">
        <x:v>0.7345278284260606</x:v>
      </x:c>
      <x:c r="I1967" s="48" t="n">
        <x:v>0.7570014399968383</x:v>
      </x:c>
      <x:c r="J1967" s="48" t="n">
        <x:v>0.43045848474492887</x:v>
      </x:c>
      <x:c r="K1967" s="48" t="n">
        <x:v>0.9815633162823449</x:v>
      </x:c>
      <x:c r="L1967" s="48" t="n">
        <x:v>0.810025418734156</x:v>
      </x:c>
      <x:c r="M1967" s="48" t="n">
        <x:v>0.05111968860871512</x:v>
      </x:c>
      <x:c r="N1967" s="48" t="n">
        <x:v>0.6703205641883195</x:v>
      </x:c>
      <x:c r="O1967" s="48" t="n">
        <x:v>0.8366707957038093</x:v>
      </x:c>
      <x:c r="P1967" s="48" t="n">
        <x:v>0.5425974852784656</x:v>
      </x:c>
      <x:c r="Q1967" s="48" t="n">
        <x:v>1</x:v>
      </x:c>
      <x:c r="R1967" s="48" t="n">
        <x:v>0.7983140682676303</x:v>
      </x:c>
      <x:c r="S1967" s="29" t="n">
        <x:v>0</x:v>
      </x:c>
    </x:row>
    <x:row r="1968" ht="21.600000381469727" hidden="0" customHeight="1">
      <x:c r="A1968" s="27" t="n">
        <x:v>655</x:v>
      </x:c>
      <x:c r="B1968" s="27" t="str">
        <x:v>A2</x:v>
      </x:c>
      <x:c r="C1968" s="47" t="n">
        <x:v>1.0469458742249478</x:v>
      </x:c>
      <x:c r="D1968" s="47" t="n">
        <x:v>0.836340822309596</x:v>
      </x:c>
      <x:c r="E1968" s="47" t="n">
        <x:v>0.7469383853425551</x:v>
      </x:c>
      <x:c r="F1968" s="47" t="n">
        <x:v>-0.05790677172875494</x:v>
      </x:c>
      <x:c r="G1968" s="47" t="n">
        <x:v>-0.07040529200391493</x:v>
      </x:c>
      <x:c r="H1968" s="47" t="n">
        <x:v>0.7345278284260606</x:v>
      </x:c>
      <x:c r="I1968" s="47" t="n">
        <x:v>0.7570014399968383</x:v>
      </x:c>
      <x:c r="J1968" s="47" t="n">
        <x:v>0.43045848474492887</x:v>
      </x:c>
      <x:c r="K1968" s="47" t="n">
        <x:v>0.9815633162823449</x:v>
      </x:c>
      <x:c r="L1968" s="47" t="n">
        <x:v>0.810025418734156</x:v>
      </x:c>
      <x:c r="M1968" s="47" t="n">
        <x:v>0.05111968860871512</x:v>
      </x:c>
      <x:c r="N1968" s="47" t="n">
        <x:v>0.6703205641883195</x:v>
      </x:c>
      <x:c r="O1968" s="47" t="n">
        <x:v>0.9114103587196548</x:v>
      </x:c>
      <x:c r="P1968" s="47" t="n">
        <x:v>0.7245068803872476</x:v>
      </x:c>
      <x:c r="Q1968" s="47" t="n">
        <x:v>1</x:v>
      </x:c>
      <x:c r="R1968" s="47" t="n">
        <x:v>0.8906056977351016</x:v>
      </x:c>
      <x:c r="S1968" s="27" t="n">
        <x:v>0</x:v>
      </x:c>
    </x:row>
    <x:row r="1969" ht="21.600000381469727" hidden="0" customHeight="1">
      <x:c r="A1969" s="29" t="n">
        <x:v>655</x:v>
      </x:c>
      <x:c r="B1969" s="29" t="str">
        <x:v>A3</x:v>
      </x:c>
      <x:c r="C1969" s="48" t="n">
        <x:v>1.0469458742249478</x:v>
      </x:c>
      <x:c r="D1969" s="48" t="n">
        <x:v>0.836340822309596</x:v>
      </x:c>
      <x:c r="E1969" s="48" t="n">
        <x:v>0.7469383853425551</x:v>
      </x:c>
      <x:c r="F1969" s="48" t="n">
        <x:v>-0.05790677172875494</x:v>
      </x:c>
      <x:c r="G1969" s="48" t="n">
        <x:v>-0.07040529200391493</x:v>
      </x:c>
      <x:c r="H1969" s="48" t="n">
        <x:v>0.7345278284260606</x:v>
      </x:c>
      <x:c r="I1969" s="48" t="n">
        <x:v>0.7570014399968383</x:v>
      </x:c>
      <x:c r="J1969" s="48" t="n">
        <x:v>0.43045848474492887</x:v>
      </x:c>
      <x:c r="K1969" s="48" t="n">
        <x:v>0.9815633162823449</x:v>
      </x:c>
      <x:c r="L1969" s="48" t="n">
        <x:v>0.810025418734156</x:v>
      </x:c>
      <x:c r="M1969" s="48" t="n">
        <x:v>0.05111968860871512</x:v>
      </x:c>
      <x:c r="N1969" s="48" t="n">
        <x:v>0.6703205641883195</x:v>
      </x:c>
      <x:c r="O1969" s="48" t="n">
        <x:v>1</x:v>
      </x:c>
      <x:c r="P1969" s="48" t="n">
        <x:v>1</x:v>
      </x:c>
      <x:c r="Q1969" s="48" t="n">
        <x:v>1</x:v>
      </x:c>
      <x:c r="R1969" s="48" t="n">
        <x:v>1</x:v>
      </x:c>
      <x:c r="S1969" s="29" t="n">
        <x:v>1</x:v>
      </x:c>
    </x:row>
    <x:row r="1970" ht="21.600000381469727" hidden="0" customHeight="1">
      <x:c r="A1970" s="27" t="n">
        <x:v>656</x:v>
      </x:c>
      <x:c r="B1970" s="27" t="str">
        <x:v>A1</x:v>
      </x:c>
      <x:c r="C1970" s="47" t="n">
        <x:v>1.1690197789703647</x:v>
      </x:c>
      <x:c r="D1970" s="47" t="n">
        <x:v>0.8387077648639791</x:v>
      </x:c>
      <x:c r="E1970" s="47" t="n">
        <x:v>0.7999379370407371</x:v>
      </x:c>
      <x:c r="F1970" s="47" t="n">
        <x:v>-0.1764067541509837</x:v>
      </x:c>
      <x:c r="G1970" s="47" t="n">
        <x:v>-0.09503394542038714</x:v>
      </x:c>
      <x:c r="H1970" s="47" t="n">
        <x:v>0.5052320715362186</x:v>
      </x:c>
      <x:c r="I1970" s="47" t="n">
        <x:v>0.8071622259453806</x:v>
      </x:c>
      <x:c r="J1970" s="47" t="n">
        <x:v>0.577437036928335</x:v>
      </x:c>
      <x:c r="K1970" s="47" t="n">
        <x:v>0.806122938985943</x:v>
      </x:c>
      <x:c r="L1970" s="47" t="n">
        <x:v>0.6201267972586553</x:v>
      </x:c>
      <x:c r="M1970" s="47" t="n">
        <x:v>0.016234111314981974</x:v>
      </x:c>
      <x:c r="N1970" s="47" t="n">
        <x:v>0.7219970544745579</x:v>
      </x:c>
      <x:c r="O1970" s="47" t="n">
        <x:v>0.8157817492610728</x:v>
      </x:c>
      <x:c r="P1970" s="47" t="n">
        <x:v>0.4844476812908277</x:v>
      </x:c>
      <x:c r="Q1970" s="47" t="n">
        <x:v>1</x:v>
      </x:c>
      <x:c r="R1970" s="47" t="n">
        <x:v>0.7725193745815957</x:v>
      </x:c>
      <x:c r="S1970" s="27" t="n">
        <x:v>0</x:v>
      </x:c>
    </x:row>
    <x:row r="1971" ht="21.600000381469727" hidden="0" customHeight="1">
      <x:c r="A1971" s="29" t="n">
        <x:v>656</x:v>
      </x:c>
      <x:c r="B1971" s="29" t="str">
        <x:v>A2</x:v>
      </x:c>
      <x:c r="C1971" s="48" t="n">
        <x:v>1.1690197789703647</x:v>
      </x:c>
      <x:c r="D1971" s="48" t="n">
        <x:v>0.8387077648639791</x:v>
      </x:c>
      <x:c r="E1971" s="48" t="n">
        <x:v>0.7999379370407371</x:v>
      </x:c>
      <x:c r="F1971" s="48" t="n">
        <x:v>-0.1764067541509837</x:v>
      </x:c>
      <x:c r="G1971" s="48" t="n">
        <x:v>-0.09503394542038714</x:v>
      </x:c>
      <x:c r="H1971" s="48" t="n">
        <x:v>0.5052320715362186</x:v>
      </x:c>
      <x:c r="I1971" s="48" t="n">
        <x:v>0.8071622259453806</x:v>
      </x:c>
      <x:c r="J1971" s="48" t="n">
        <x:v>0.577437036928335</x:v>
      </x:c>
      <x:c r="K1971" s="48" t="n">
        <x:v>0.806122938985943</x:v>
      </x:c>
      <x:c r="L1971" s="48" t="n">
        <x:v>0.6201267972586553</x:v>
      </x:c>
      <x:c r="M1971" s="48" t="n">
        <x:v>0.016234111314981974</x:v>
      </x:c>
      <x:c r="N1971" s="48" t="n">
        <x:v>0.7219970544745579</x:v>
      </x:c>
      <x:c r="O1971" s="48" t="n">
        <x:v>0.8866015361878363</x:v>
      </x:c>
      <x:c r="P1971" s="48" t="n">
        <x:v>0.49568141718166275</x:v>
      </x:c>
      <x:c r="Q1971" s="48" t="n">
        <x:v>1</x:v>
      </x:c>
      <x:c r="R1971" s="48" t="n">
        <x:v>0.8599706958132226</x:v>
      </x:c>
      <x:c r="S1971" s="29" t="n">
        <x:v>0</x:v>
      </x:c>
    </x:row>
    <x:row r="1972" ht="21.600000381469727" hidden="0" customHeight="1">
      <x:c r="A1972" s="27" t="n">
        <x:v>656</x:v>
      </x:c>
      <x:c r="B1972" s="27" t="str">
        <x:v>A3</x:v>
      </x:c>
      <x:c r="C1972" s="47" t="n">
        <x:v>1.1690197789703647</x:v>
      </x:c>
      <x:c r="D1972" s="47" t="n">
        <x:v>0.8387077648639791</x:v>
      </x:c>
      <x:c r="E1972" s="47" t="n">
        <x:v>0.7999379370407371</x:v>
      </x:c>
      <x:c r="F1972" s="47" t="n">
        <x:v>-0.1764067541509837</x:v>
      </x:c>
      <x:c r="G1972" s="47" t="n">
        <x:v>-0.09503394542038714</x:v>
      </x:c>
      <x:c r="H1972" s="47" t="n">
        <x:v>0.5052320715362186</x:v>
      </x:c>
      <x:c r="I1972" s="47" t="n">
        <x:v>0.8071622259453806</x:v>
      </x:c>
      <x:c r="J1972" s="47" t="n">
        <x:v>0.577437036928335</x:v>
      </x:c>
      <x:c r="K1972" s="47" t="n">
        <x:v>0.806122938985943</x:v>
      </x:c>
      <x:c r="L1972" s="47" t="n">
        <x:v>0.6201267972586553</x:v>
      </x:c>
      <x:c r="M1972" s="47" t="n">
        <x:v>0.016234111314981974</x:v>
      </x:c>
      <x:c r="N1972" s="47" t="n">
        <x:v>0.7219970544745579</x:v>
      </x:c>
      <x:c r="O1972" s="47" t="n">
        <x:v>1</x:v>
      </x:c>
      <x:c r="P1972" s="47" t="n">
        <x:v>1</x:v>
      </x:c>
      <x:c r="Q1972" s="47" t="n">
        <x:v>1</x:v>
      </x:c>
      <x:c r="R1972" s="47" t="n">
        <x:v>1</x:v>
      </x:c>
      <x:c r="S1972" s="27" t="n">
        <x:v>1</x:v>
      </x:c>
    </x:row>
    <x:row r="1973" ht="21.600000381469727" hidden="0" customHeight="1">
      <x:c r="A1973" s="29" t="n">
        <x:v>657</x:v>
      </x:c>
      <x:c r="B1973" s="29" t="str">
        <x:v>A1</x:v>
      </x:c>
      <x:c r="C1973" s="48" t="n">
        <x:v>1.260024754354887</x:v>
      </x:c>
      <x:c r="D1973" s="48" t="n">
        <x:v>0.9205868101874258</x:v>
      </x:c>
      <x:c r="E1973" s="48" t="n">
        <x:v>0.9982408875712718</x:v>
      </x:c>
      <x:c r="F1973" s="48" t="n">
        <x:v>-0.1353777424182297</x:v>
      </x:c>
      <x:c r="G1973" s="48" t="n">
        <x:v>0.019674454247357254</x:v>
      </x:c>
      <x:c r="H1973" s="48" t="n">
        <x:v>0.5298050331071709</x:v>
      </x:c>
      <x:c r="I1973" s="48" t="n">
        <x:v>0.747672783711835</x:v>
      </x:c>
      <x:c r="J1973" s="48" t="n">
        <x:v>0.73422438806542</x:v>
      </x:c>
      <x:c r="K1973" s="48" t="n">
        <x:v>0.7423414522338401</x:v>
      </x:c>
      <x:c r="L1973" s="48" t="n">
        <x:v>0.503259807451617</x:v>
      </x:c>
      <x:c r="M1973" s="48" t="n">
        <x:v>0.17213169490063185</x:v>
      </x:c>
      <x:c r="N1973" s="48" t="n">
        <x:v>0.7237372010986434</x:v>
      </x:c>
      <x:c r="O1973" s="48" t="n">
        <x:v>0.7932809063487358</x:v>
      </x:c>
      <x:c r="P1973" s="48" t="n">
        <x:v>0.4575853755818454</x:v>
      </x:c>
      <x:c r="Q1973" s="48" t="n">
        <x:v>0.8985043984511176</x:v>
      </x:c>
      <x:c r="R1973" s="48" t="n">
        <x:v>0.7454881582032018</x:v>
      </x:c>
      <x:c r="S1973" s="29" t="n">
        <x:v>0</x:v>
      </x:c>
    </x:row>
    <x:row r="1974" ht="21.600000381469727" hidden="0" customHeight="1">
      <x:c r="A1974" s="27" t="n">
        <x:v>657</x:v>
      </x:c>
      <x:c r="B1974" s="27" t="str">
        <x:v>A2</x:v>
      </x:c>
      <x:c r="C1974" s="47" t="n">
        <x:v>1.260024754354887</x:v>
      </x:c>
      <x:c r="D1974" s="47" t="n">
        <x:v>0.9205868101874258</x:v>
      </x:c>
      <x:c r="E1974" s="47" t="n">
        <x:v>0.9982408875712718</x:v>
      </x:c>
      <x:c r="F1974" s="47" t="n">
        <x:v>-0.1353777424182297</x:v>
      </x:c>
      <x:c r="G1974" s="47" t="n">
        <x:v>0.019674454247357254</x:v>
      </x:c>
      <x:c r="H1974" s="47" t="n">
        <x:v>0.5298050331071709</x:v>
      </x:c>
      <x:c r="I1974" s="47" t="n">
        <x:v>0.747672783711835</x:v>
      </x:c>
      <x:c r="J1974" s="47" t="n">
        <x:v>0.73422438806542</x:v>
      </x:c>
      <x:c r="K1974" s="47" t="n">
        <x:v>0.7423414522338401</x:v>
      </x:c>
      <x:c r="L1974" s="47" t="n">
        <x:v>0.503259807451617</x:v>
      </x:c>
      <x:c r="M1974" s="47" t="n">
        <x:v>0.17213169490063185</x:v>
      </x:c>
      <x:c r="N1974" s="47" t="n">
        <x:v>0.7237372010986434</x:v>
      </x:c>
      <x:c r="O1974" s="47" t="n">
        <x:v>0.8859851645420594</x:v>
      </x:c>
      <x:c r="P1974" s="47" t="n">
        <x:v>0.5692975606140035</x:v>
      </x:c>
      <x:c r="Q1974" s="47" t="n">
        <x:v>1</x:v>
      </x:c>
      <x:c r="R1974" s="47" t="n">
        <x:v>0.8592095735741985</x:v>
      </x:c>
      <x:c r="S1974" s="27" t="n">
        <x:v>0</x:v>
      </x:c>
    </x:row>
    <x:row r="1975" ht="21.600000381469727" hidden="0" customHeight="1">
      <x:c r="A1975" s="29" t="n">
        <x:v>657</x:v>
      </x:c>
      <x:c r="B1975" s="29" t="str">
        <x:v>A3</x:v>
      </x:c>
      <x:c r="C1975" s="48" t="n">
        <x:v>1.260024754354887</x:v>
      </x:c>
      <x:c r="D1975" s="48" t="n">
        <x:v>0.9205868101874258</x:v>
      </x:c>
      <x:c r="E1975" s="48" t="n">
        <x:v>0.9982408875712718</x:v>
      </x:c>
      <x:c r="F1975" s="48" t="n">
        <x:v>-0.1353777424182297</x:v>
      </x:c>
      <x:c r="G1975" s="48" t="n">
        <x:v>0.019674454247357254</x:v>
      </x:c>
      <x:c r="H1975" s="48" t="n">
        <x:v>0.5298050331071709</x:v>
      </x:c>
      <x:c r="I1975" s="48" t="n">
        <x:v>0.747672783711835</x:v>
      </x:c>
      <x:c r="J1975" s="48" t="n">
        <x:v>0.73422438806542</x:v>
      </x:c>
      <x:c r="K1975" s="48" t="n">
        <x:v>0.7423414522338401</x:v>
      </x:c>
      <x:c r="L1975" s="48" t="n">
        <x:v>0.503259807451617</x:v>
      </x:c>
      <x:c r="M1975" s="48" t="n">
        <x:v>0.17213169490063185</x:v>
      </x:c>
      <x:c r="N1975" s="48" t="n">
        <x:v>0.7237372010986434</x:v>
      </x:c>
      <x:c r="O1975" s="48" t="n">
        <x:v>1</x:v>
      </x:c>
      <x:c r="P1975" s="48" t="n">
        <x:v>1</x:v>
      </x:c>
      <x:c r="Q1975" s="48" t="n">
        <x:v>1</x:v>
      </x:c>
      <x:c r="R1975" s="48" t="n">
        <x:v>1</x:v>
      </x:c>
      <x:c r="S1975" s="29" t="n">
        <x:v>1</x:v>
      </x:c>
    </x:row>
    <x:row r="1976" ht="21.600000381469727" hidden="0" customHeight="1">
      <x:c r="A1976" s="27" t="n">
        <x:v>658</x:v>
      </x:c>
      <x:c r="B1976" s="27" t="str">
        <x:v>A1</x:v>
      </x:c>
      <x:c r="C1976" s="47" t="n">
        <x:v>1.005174647650794</x:v>
      </x:c>
      <x:c r="D1976" s="47" t="n">
        <x:v>0.7250016028476949</x:v>
      </x:c>
      <x:c r="E1976" s="47" t="n">
        <x:v>0.7374746017085552</x:v>
      </x:c>
      <x:c r="F1976" s="47" t="n">
        <x:v>-0.19517219216497497</x:v>
      </x:c>
      <x:c r="G1976" s="47" t="n">
        <x:v>-0.003236231963667402</x:v>
      </x:c>
      <x:c r="H1976" s="47" t="n">
        <x:v>0.874150785491786</x:v>
      </x:c>
      <x:c r="I1976" s="47" t="n">
        <x:v>0.8862050912940163</x:v>
      </x:c>
      <x:c r="J1976" s="47" t="n">
        <x:v>0.8230895564887732</x:v>
      </x:c>
      <x:c r="K1976" s="47" t="n">
        <x:v>0.8742864954358991</x:v>
      </x:c>
      <x:c r="L1976" s="47" t="n">
        <x:v>0.5478865029254157</x:v>
      </x:c>
      <x:c r="M1976" s="47" t="n">
        <x:v>0.07918774424330687</x:v>
      </x:c>
      <x:c r="N1976" s="47" t="n">
        <x:v>0.9429122852187353</x:v>
      </x:c>
      <x:c r="O1976" s="47" t="n">
        <x:v>0.8183206374653444</x:v>
      </x:c>
      <x:c r="P1976" s="47" t="n">
        <x:v>0.5471120206355469</x:v>
      </x:c>
      <x:c r="Q1976" s="47" t="n">
        <x:v>1</x:v>
      </x:c>
      <x:c r="R1976" s="47" t="n">
        <x:v>0.7756545030189708</x:v>
      </x:c>
      <x:c r="S1976" s="27" t="n">
        <x:v>0</x:v>
      </x:c>
    </x:row>
    <x:row r="1977" ht="21.600000381469727" hidden="0" customHeight="1">
      <x:c r="A1977" s="29" t="n">
        <x:v>658</x:v>
      </x:c>
      <x:c r="B1977" s="29" t="str">
        <x:v>A2</x:v>
      </x:c>
      <x:c r="C1977" s="48" t="n">
        <x:v>1.005174647650794</x:v>
      </x:c>
      <x:c r="D1977" s="48" t="n">
        <x:v>0.7250016028476949</x:v>
      </x:c>
      <x:c r="E1977" s="48" t="n">
        <x:v>0.7374746017085552</x:v>
      </x:c>
      <x:c r="F1977" s="48" t="n">
        <x:v>-0.19517219216497497</x:v>
      </x:c>
      <x:c r="G1977" s="48" t="n">
        <x:v>-0.003236231963667402</x:v>
      </x:c>
      <x:c r="H1977" s="48" t="n">
        <x:v>0.874150785491786</x:v>
      </x:c>
      <x:c r="I1977" s="48" t="n">
        <x:v>0.8862050912940163</x:v>
      </x:c>
      <x:c r="J1977" s="48" t="n">
        <x:v>0.8230895564887732</x:v>
      </x:c>
      <x:c r="K1977" s="48" t="n">
        <x:v>0.8742864954358991</x:v>
      </x:c>
      <x:c r="L1977" s="48" t="n">
        <x:v>0.5478865029254157</x:v>
      </x:c>
      <x:c r="M1977" s="48" t="n">
        <x:v>0.07918774424330687</x:v>
      </x:c>
      <x:c r="N1977" s="48" t="n">
        <x:v>0.9429122852187353</x:v>
      </x:c>
      <x:c r="O1977" s="48" t="n">
        <x:v>0.908840077955962</x:v>
      </x:c>
      <x:c r="P1977" s="48" t="n">
        <x:v>0.5772969754435487</x:v>
      </x:c>
      <x:c r="Q1977" s="48" t="n">
        <x:v>1</x:v>
      </x:c>
      <x:c r="R1977" s="48" t="n">
        <x:v>0.8874318044141063</x:v>
      </x:c>
      <x:c r="S1977" s="29" t="n">
        <x:v>0</x:v>
      </x:c>
    </x:row>
    <x:row r="1978" ht="21.600000381469727" hidden="0" customHeight="1">
      <x:c r="A1978" s="27" t="n">
        <x:v>658</x:v>
      </x:c>
      <x:c r="B1978" s="27" t="str">
        <x:v>A3</x:v>
      </x:c>
      <x:c r="C1978" s="47" t="n">
        <x:v>1.005174647650794</x:v>
      </x:c>
      <x:c r="D1978" s="47" t="n">
        <x:v>0.7250016028476949</x:v>
      </x:c>
      <x:c r="E1978" s="47" t="n">
        <x:v>0.7374746017085552</x:v>
      </x:c>
      <x:c r="F1978" s="47" t="n">
        <x:v>-0.19517219216497497</x:v>
      </x:c>
      <x:c r="G1978" s="47" t="n">
        <x:v>-0.003236231963667402</x:v>
      </x:c>
      <x:c r="H1978" s="47" t="n">
        <x:v>0.874150785491786</x:v>
      </x:c>
      <x:c r="I1978" s="47" t="n">
        <x:v>0.8862050912940163</x:v>
      </x:c>
      <x:c r="J1978" s="47" t="n">
        <x:v>0.8230895564887732</x:v>
      </x:c>
      <x:c r="K1978" s="47" t="n">
        <x:v>0.8742864954358991</x:v>
      </x:c>
      <x:c r="L1978" s="47" t="n">
        <x:v>0.5478865029254157</x:v>
      </x:c>
      <x:c r="M1978" s="47" t="n">
        <x:v>0.07918774424330687</x:v>
      </x:c>
      <x:c r="N1978" s="47" t="n">
        <x:v>0.9429122852187353</x:v>
      </x:c>
      <x:c r="O1978" s="47" t="n">
        <x:v>1</x:v>
      </x:c>
      <x:c r="P1978" s="47" t="n">
        <x:v>1</x:v>
      </x:c>
      <x:c r="Q1978" s="47" t="n">
        <x:v>1</x:v>
      </x:c>
      <x:c r="R1978" s="47" t="n">
        <x:v>1</x:v>
      </x:c>
      <x:c r="S1978" s="27" t="n">
        <x:v>1</x:v>
      </x:c>
    </x:row>
    <x:row r="1979" ht="21.600000381469727" hidden="0" customHeight="1">
      <x:c r="A1979" s="29" t="n">
        <x:v>659</x:v>
      </x:c>
      <x:c r="B1979" s="29" t="str">
        <x:v>A1</x:v>
      </x:c>
      <x:c r="C1979" s="48" t="n">
        <x:v>0.9015609013022905</x:v>
      </x:c>
      <x:c r="D1979" s="48" t="n">
        <x:v>0.9908567620148503</x:v>
      </x:c>
      <x:c r="E1979" s="48" t="n">
        <x:v>1.0106551706064084</x:v>
      </x:c>
      <x:c r="F1979" s="48" t="n">
        <x:v>-0.17153614328996114</x:v>
      </x:c>
      <x:c r="G1979" s="48" t="n">
        <x:v>-0.14087051053018246</x:v>
      </x:c>
      <x:c r="H1979" s="48" t="n">
        <x:v>0.47925955012971777</x:v>
      </x:c>
      <x:c r="I1979" s="48" t="n">
        <x:v>0.6301538330278329</x:v>
      </x:c>
      <x:c r="J1979" s="48" t="n">
        <x:v>0.6358218481367843</x:v>
      </x:c>
      <x:c r="K1979" s="48" t="n">
        <x:v>0.8366286205146851</x:v>
      </x:c>
      <x:c r="L1979" s="48" t="n">
        <x:v>0.868362213235337</x:v>
      </x:c>
      <x:c r="M1979" s="48" t="n">
        <x:v>0.14594884653368614</x:v>
      </x:c>
      <x:c r="N1979" s="48" t="n">
        <x:v>0.8651456177934006</x:v>
      </x:c>
      <x:c r="O1979" s="48" t="n">
        <x:v>0.9630212847455561</x:v>
      </x:c>
      <x:c r="P1979" s="48" t="n">
        <x:v>0.7800378812542322</x:v>
      </x:c>
      <x:c r="Q1979" s="48" t="n">
        <x:v>1</x:v>
      </x:c>
      <x:c r="R1979" s="48" t="n">
        <x:v>0.9543370907089367</x:v>
      </x:c>
      <x:c r="S1979" s="29" t="n">
        <x:v>0</x:v>
      </x:c>
    </x:row>
    <x:row r="1980" ht="21.600000381469727" hidden="0" customHeight="1">
      <x:c r="A1980" s="27" t="n">
        <x:v>659</x:v>
      </x:c>
      <x:c r="B1980" s="27" t="str">
        <x:v>A2</x:v>
      </x:c>
      <x:c r="C1980" s="47" t="n">
        <x:v>0.9015609013022905</x:v>
      </x:c>
      <x:c r="D1980" s="47" t="n">
        <x:v>0.9908567620148503</x:v>
      </x:c>
      <x:c r="E1980" s="47" t="n">
        <x:v>1.0106551706064084</x:v>
      </x:c>
      <x:c r="F1980" s="47" t="n">
        <x:v>-0.17153614328996114</x:v>
      </x:c>
      <x:c r="G1980" s="47" t="n">
        <x:v>-0.14087051053018246</x:v>
      </x:c>
      <x:c r="H1980" s="47" t="n">
        <x:v>0.47925955012971777</x:v>
      </x:c>
      <x:c r="I1980" s="47" t="n">
        <x:v>0.6301538330278329</x:v>
      </x:c>
      <x:c r="J1980" s="47" t="n">
        <x:v>0.6358218481367843</x:v>
      </x:c>
      <x:c r="K1980" s="47" t="n">
        <x:v>0.8366286205146851</x:v>
      </x:c>
      <x:c r="L1980" s="47" t="n">
        <x:v>0.868362213235337</x:v>
      </x:c>
      <x:c r="M1980" s="47" t="n">
        <x:v>0.14594884653368614</x:v>
      </x:c>
      <x:c r="N1980" s="47" t="n">
        <x:v>0.8651456177934006</x:v>
      </x:c>
      <x:c r="O1980" s="47" t="n">
        <x:v>1</x:v>
      </x:c>
      <x:c r="P1980" s="47" t="n">
        <x:v>1</x:v>
      </x:c>
      <x:c r="Q1980" s="47" t="n">
        <x:v>1</x:v>
      </x:c>
      <x:c r="R1980" s="47" t="n">
        <x:v>1</x:v>
      </x:c>
      <x:c r="S1980" s="27" t="n">
        <x:v>1</x:v>
      </x:c>
    </x:row>
    <x:row r="1981" ht="21.600000381469727" hidden="0" customHeight="1">
      <x:c r="A1981" s="29" t="n">
        <x:v>659</x:v>
      </x:c>
      <x:c r="B1981" s="29" t="str">
        <x:v>A3</x:v>
      </x:c>
      <x:c r="C1981" s="48" t="n">
        <x:v>0.9015609013022905</x:v>
      </x:c>
      <x:c r="D1981" s="48" t="n">
        <x:v>0.9908567620148503</x:v>
      </x:c>
      <x:c r="E1981" s="48" t="n">
        <x:v>1.0106551706064084</x:v>
      </x:c>
      <x:c r="F1981" s="48" t="n">
        <x:v>-0.17153614328996114</x:v>
      </x:c>
      <x:c r="G1981" s="48" t="n">
        <x:v>-0.14087051053018246</x:v>
      </x:c>
      <x:c r="H1981" s="48" t="n">
        <x:v>0.47925955012971777</x:v>
      </x:c>
      <x:c r="I1981" s="48" t="n">
        <x:v>0.6301538330278329</x:v>
      </x:c>
      <x:c r="J1981" s="48" t="n">
        <x:v>0.6358218481367843</x:v>
      </x:c>
      <x:c r="K1981" s="48" t="n">
        <x:v>0.8366286205146851</x:v>
      </x:c>
      <x:c r="L1981" s="48" t="n">
        <x:v>0.868362213235337</x:v>
      </x:c>
      <x:c r="M1981" s="48" t="n">
        <x:v>0.14594884653368614</x:v>
      </x:c>
      <x:c r="N1981" s="48" t="n">
        <x:v>0.8651456177934006</x:v>
      </x:c>
      <x:c r="O1981" s="48" t="n">
        <x:v>1</x:v>
      </x:c>
      <x:c r="P1981" s="48" t="n">
        <x:v>1</x:v>
      </x:c>
      <x:c r="Q1981" s="48" t="n">
        <x:v>1</x:v>
      </x:c>
      <x:c r="R1981" s="48" t="n">
        <x:v>1</x:v>
      </x:c>
      <x:c r="S1981" s="29" t="n">
        <x:v>1</x:v>
      </x:c>
    </x:row>
    <x:row r="1982" ht="21.600000381469727" hidden="0" customHeight="1">
      <x:c r="A1982" s="27" t="n">
        <x:v>660</x:v>
      </x:c>
      <x:c r="B1982" s="27" t="str">
        <x:v>A1</x:v>
      </x:c>
      <x:c r="C1982" s="47" t="n">
        <x:v>1.074167063295139</x:v>
      </x:c>
      <x:c r="D1982" s="47" t="n">
        <x:v>0.7500751769395823</x:v>
      </x:c>
      <x:c r="E1982" s="47" t="n">
        <x:v>0.7940709749628267</x:v>
      </x:c>
      <x:c r="F1982" s="47" t="n">
        <x:v>-0.19619987281918944</x:v>
      </x:c>
      <x:c r="G1982" s="47" t="n">
        <x:v>-0.15615424081094592</x:v>
      </x:c>
      <x:c r="H1982" s="47" t="n">
        <x:v>0.4730423255966988</x:v>
      </x:c>
      <x:c r="I1982" s="47" t="n">
        <x:v>0.7068331173030418</x:v>
      </x:c>
      <x:c r="J1982" s="47" t="n">
        <x:v>0.7927365739784682</x:v>
      </x:c>
      <x:c r="K1982" s="47" t="n">
        <x:v>0.7968654357999989</x:v>
      </x:c>
      <x:c r="L1982" s="47" t="n">
        <x:v>0.5117579124319267</x:v>
      </x:c>
      <x:c r="M1982" s="47" t="n">
        <x:v>0.04064280982548225</x:v>
      </x:c>
      <x:c r="N1982" s="47" t="n">
        <x:v>0.9604483413206442</x:v>
      </x:c>
      <x:c r="O1982" s="47" t="n">
        <x:v>0.7753710212318222</x:v>
      </x:c>
      <x:c r="P1982" s="47" t="n">
        <x:v>0.43119170826037734</x:v>
      </x:c>
      <x:c r="Q1982" s="47" t="n">
        <x:v>0.9570993772044966</x:v>
      </x:c>
      <x:c r="R1982" s="47" t="n">
        <x:v>0.7244014782586106</x:v>
      </x:c>
      <x:c r="S1982" s="27" t="n">
        <x:v>0</x:v>
      </x:c>
    </x:row>
    <x:row r="1983" ht="21.600000381469727" hidden="0" customHeight="1">
      <x:c r="A1983" s="29" t="n">
        <x:v>660</x:v>
      </x:c>
      <x:c r="B1983" s="29" t="str">
        <x:v>A2</x:v>
      </x:c>
      <x:c r="C1983" s="48" t="n">
        <x:v>1.074167063295139</x:v>
      </x:c>
      <x:c r="D1983" s="48" t="n">
        <x:v>0.7500751769395823</x:v>
      </x:c>
      <x:c r="E1983" s="48" t="n">
        <x:v>0.7940709749628267</x:v>
      </x:c>
      <x:c r="F1983" s="48" t="n">
        <x:v>-0.19619987281918944</x:v>
      </x:c>
      <x:c r="G1983" s="48" t="n">
        <x:v>-0.15615424081094592</x:v>
      </x:c>
      <x:c r="H1983" s="48" t="n">
        <x:v>0.4730423255966988</x:v>
      </x:c>
      <x:c r="I1983" s="48" t="n">
        <x:v>0.7068331173030418</x:v>
      </x:c>
      <x:c r="J1983" s="48" t="n">
        <x:v>0.7927365739784682</x:v>
      </x:c>
      <x:c r="K1983" s="48" t="n">
        <x:v>0.7968654357999989</x:v>
      </x:c>
      <x:c r="L1983" s="48" t="n">
        <x:v>0.5117579124319267</x:v>
      </x:c>
      <x:c r="M1983" s="48" t="n">
        <x:v>0.04064280982548225</x:v>
      </x:c>
      <x:c r="N1983" s="48" t="n">
        <x:v>0.9604483413206442</x:v>
      </x:c>
      <x:c r="O1983" s="48" t="n">
        <x:v>0.865656687533429</x:v>
      </x:c>
      <x:c r="P1983" s="48" t="n">
        <x:v>0.5309704426854703</x:v>
      </x:c>
      <x:c r="Q1983" s="48" t="n">
        <x:v>1</x:v>
      </x:c>
      <x:c r="R1983" s="48" t="n">
        <x:v>0.8341070951542915</x:v>
      </x:c>
      <x:c r="S1983" s="29" t="n">
        <x:v>0</x:v>
      </x:c>
    </x:row>
    <x:row r="1984" ht="21.600000381469727" hidden="0" customHeight="1">
      <x:c r="A1984" s="27" t="n">
        <x:v>660</x:v>
      </x:c>
      <x:c r="B1984" s="27" t="str">
        <x:v>A3</x:v>
      </x:c>
      <x:c r="C1984" s="47" t="n">
        <x:v>1.074167063295139</x:v>
      </x:c>
      <x:c r="D1984" s="47" t="n">
        <x:v>0.7500751769395823</x:v>
      </x:c>
      <x:c r="E1984" s="47" t="n">
        <x:v>0.7940709749628267</x:v>
      </x:c>
      <x:c r="F1984" s="47" t="n">
        <x:v>-0.19619987281918944</x:v>
      </x:c>
      <x:c r="G1984" s="47" t="n">
        <x:v>-0.15615424081094592</x:v>
      </x:c>
      <x:c r="H1984" s="47" t="n">
        <x:v>0.4730423255966988</x:v>
      </x:c>
      <x:c r="I1984" s="47" t="n">
        <x:v>0.7068331173030418</x:v>
      </x:c>
      <x:c r="J1984" s="47" t="n">
        <x:v>0.7927365739784682</x:v>
      </x:c>
      <x:c r="K1984" s="47" t="n">
        <x:v>0.7968654357999989</x:v>
      </x:c>
      <x:c r="L1984" s="47" t="n">
        <x:v>0.5117579124319267</x:v>
      </x:c>
      <x:c r="M1984" s="47" t="n">
        <x:v>0.04064280982548225</x:v>
      </x:c>
      <x:c r="N1984" s="47" t="n">
        <x:v>0.9604483413206442</x:v>
      </x:c>
      <x:c r="O1984" s="47" t="n">
        <x:v>1</x:v>
      </x:c>
      <x:c r="P1984" s="47" t="n">
        <x:v>1</x:v>
      </x:c>
      <x:c r="Q1984" s="47" t="n">
        <x:v>1</x:v>
      </x:c>
      <x:c r="R1984" s="47" t="n">
        <x:v>1</x:v>
      </x:c>
      <x:c r="S1984" s="27" t="n">
        <x:v>1</x:v>
      </x:c>
    </x:row>
    <x:row r="1985" ht="15" hidden="0" customHeight="1">
      <x:c r="A1985" s="29" t="n">
        <x:v>661</x:v>
      </x:c>
      <x:c r="B1985" s="29" t="str">
        <x:v>A1</x:v>
      </x:c>
      <x:c r="C1985" s="48" t="n">
        <x:v>1.3133512225299013</x:v>
      </x:c>
      <x:c r="D1985" s="48" t="n">
        <x:v>0.8351871659447256</x:v>
      </x:c>
      <x:c r="E1985" s="48" t="n">
        <x:v>1.09736047091832</x:v>
      </x:c>
      <x:c r="F1985" s="48" t="n">
        <x:v>0.0042672349464916715</x:v>
      </x:c>
      <x:c r="G1985" s="48" t="n">
        <x:v>0.017545415811961534</x:v>
      </x:c>
      <x:c r="H1985" s="48" t="n">
        <x:v>0.6910426082293841</x:v>
      </x:c>
      <x:c r="I1985" s="48" t="n">
        <x:v>0.797803666545815</x:v>
      </x:c>
      <x:c r="J1985" s="48" t="n">
        <x:v>0.8743169668213933</x:v>
      </x:c>
      <x:c r="K1985" s="48" t="n">
        <x:v>0.6827483287682916</x:v>
      </x:c>
      <x:c r="L1985" s="48" t="n">
        <x:v>0.7636463067984381</x:v>
      </x:c>
      <x:c r="M1985" s="48" t="n">
        <x:v>0.15037480379898996</x:v>
      </x:c>
      <x:c r="N1985" s="48" t="n">
        <x:v>0.9623230530188808</x:v>
      </x:c>
      <x:c r="O1985" s="48" t="n">
        <x:v>0.7807575464962649</x:v>
      </x:c>
      <x:c r="P1985" s="48" t="n">
        <x:v>0.4233444642814447</x:v>
      </x:c>
      <x:c r="Q1985" s="48" t="n">
        <x:v>1</x:v>
      </x:c>
      <x:c r="R1985" s="48" t="n">
        <x:v>0.7292699814418749</x:v>
      </x:c>
      <x:c r="S1985" s="29" t="n">
        <x:v>0</x:v>
      </x:c>
    </x:row>
    <x:row r="1986" ht="15" hidden="0" customHeight="1">
      <x:c r="A1986" s="27" t="n">
        <x:v>661</x:v>
      </x:c>
      <x:c r="B1986" s="27" t="str">
        <x:v>A2</x:v>
      </x:c>
      <x:c r="C1986" s="47" t="n">
        <x:v>1.3133512225299013</x:v>
      </x:c>
      <x:c r="D1986" s="47" t="n">
        <x:v>0.8351871659447256</x:v>
      </x:c>
      <x:c r="E1986" s="47" t="n">
        <x:v>1.09736047091832</x:v>
      </x:c>
      <x:c r="F1986" s="47" t="n">
        <x:v>0.0042672349464916715</x:v>
      </x:c>
      <x:c r="G1986" s="47" t="n">
        <x:v>0.017545415811961534</x:v>
      </x:c>
      <x:c r="H1986" s="47" t="n">
        <x:v>0.6910426082293841</x:v>
      </x:c>
      <x:c r="I1986" s="47" t="n">
        <x:v>0.797803666545815</x:v>
      </x:c>
      <x:c r="J1986" s="47" t="n">
        <x:v>0.8743169668213933</x:v>
      </x:c>
      <x:c r="K1986" s="47" t="n">
        <x:v>0.6827483287682916</x:v>
      </x:c>
      <x:c r="L1986" s="47" t="n">
        <x:v>0.7636463067984381</x:v>
      </x:c>
      <x:c r="M1986" s="47" t="n">
        <x:v>0.15037480379898996</x:v>
      </x:c>
      <x:c r="N1986" s="47" t="n">
        <x:v>0.9623230530188808</x:v>
      </x:c>
      <x:c r="O1986" s="47" t="n">
        <x:v>0.8778912227937005</x:v>
      </x:c>
      <x:c r="P1986" s="47" t="n">
        <x:v>0.4763675015918253</x:v>
      </x:c>
      <x:c r="Q1986" s="47" t="n">
        <x:v>1</x:v>
      </x:c>
      <x:c r="R1986" s="47" t="n">
        <x:v>0.8492148259114048</x:v>
      </x:c>
      <x:c r="S1986" s="27" t="n">
        <x:v>0</x:v>
      </x:c>
    </x:row>
    <x:row r="1987" ht="15" hidden="0" customHeight="1">
      <x:c r="A1987" s="29" t="n">
        <x:v>661</x:v>
      </x:c>
      <x:c r="B1987" s="29" t="str">
        <x:v>A3</x:v>
      </x:c>
      <x:c r="C1987" s="48" t="n">
        <x:v>1.3133512225299013</x:v>
      </x:c>
      <x:c r="D1987" s="48" t="n">
        <x:v>0.8351871659447256</x:v>
      </x:c>
      <x:c r="E1987" s="48" t="n">
        <x:v>1.09736047091832</x:v>
      </x:c>
      <x:c r="F1987" s="48" t="n">
        <x:v>0.0042672349464916715</x:v>
      </x:c>
      <x:c r="G1987" s="48" t="n">
        <x:v>0.017545415811961534</x:v>
      </x:c>
      <x:c r="H1987" s="48" t="n">
        <x:v>0.6910426082293841</x:v>
      </x:c>
      <x:c r="I1987" s="48" t="n">
        <x:v>0.797803666545815</x:v>
      </x:c>
      <x:c r="J1987" s="48" t="n">
        <x:v>0.8743169668213933</x:v>
      </x:c>
      <x:c r="K1987" s="48" t="n">
        <x:v>0.6827483287682916</x:v>
      </x:c>
      <x:c r="L1987" s="48" t="n">
        <x:v>0.7636463067984381</x:v>
      </x:c>
      <x:c r="M1987" s="48" t="n">
        <x:v>0.15037480379898996</x:v>
      </x:c>
      <x:c r="N1987" s="48" t="n">
        <x:v>0.9623230530188808</x:v>
      </x:c>
      <x:c r="O1987" s="48" t="n">
        <x:v>1</x:v>
      </x:c>
      <x:c r="P1987" s="48" t="n">
        <x:v>1</x:v>
      </x:c>
      <x:c r="Q1987" s="48" t="n">
        <x:v>1</x:v>
      </x:c>
      <x:c r="R1987" s="48" t="n">
        <x:v>1</x:v>
      </x:c>
      <x:c r="S1987" s="29" t="n">
        <x:v>1</x:v>
      </x:c>
    </x:row>
    <x:row r="1988" ht="21.600000381469727" hidden="0" customHeight="1">
      <x:c r="A1988" s="27" t="n">
        <x:v>662</x:v>
      </x:c>
      <x:c r="B1988" s="27" t="str">
        <x:v>A1</x:v>
      </x:c>
      <x:c r="C1988" s="47" t="n">
        <x:v>1.0188205189656638</x:v>
      </x:c>
      <x:c r="D1988" s="47" t="n">
        <x:v>0.9230762043420795</x:v>
      </x:c>
      <x:c r="E1988" s="47" t="n">
        <x:v>0.47180083858230654</x:v>
      </x:c>
      <x:c r="F1988" s="47" t="n">
        <x:v>0.0015904586348890748</x:v>
      </x:c>
      <x:c r="G1988" s="47" t="n">
        <x:v>-0.10811903150213197</x:v>
      </x:c>
      <x:c r="H1988" s="47" t="n">
        <x:v>0.5720040129363754</x:v>
      </x:c>
      <x:c r="I1988" s="47" t="n">
        <x:v>0.9808113744056928</x:v>
      </x:c>
      <x:c r="J1988" s="47" t="n">
        <x:v>0.9730298333211699</x:v>
      </x:c>
      <x:c r="K1988" s="47" t="n">
        <x:v>0.8446440678874034</x:v>
      </x:c>
      <x:c r="L1988" s="47" t="n">
        <x:v>0.7242382400353145</x:v>
      </x:c>
      <x:c r="M1988" s="47" t="n">
        <x:v>0.05080335226719435</x:v>
      </x:c>
      <x:c r="N1988" s="47" t="n">
        <x:v>0.7204746662417503</x:v>
      </x:c>
      <x:c r="O1988" s="47" t="n">
        <x:v>0.937260364745241</x:v>
      </x:c>
      <x:c r="P1988" s="47" t="n">
        <x:v>0.657018064631543</x:v>
      </x:c>
      <x:c r="Q1988" s="47" t="n">
        <x:v>1</x:v>
      </x:c>
      <x:c r="R1988" s="47" t="n">
        <x:v>0.9225263978513106</x:v>
      </x:c>
      <x:c r="S1988" s="27" t="n">
        <x:v>0</x:v>
      </x:c>
    </x:row>
    <x:row r="1989" ht="21.600000381469727" hidden="0" customHeight="1">
      <x:c r="A1989" s="29" t="n">
        <x:v>662</x:v>
      </x:c>
      <x:c r="B1989" s="29" t="str">
        <x:v>A2</x:v>
      </x:c>
      <x:c r="C1989" s="48" t="n">
        <x:v>1.0188205189656638</x:v>
      </x:c>
      <x:c r="D1989" s="48" t="n">
        <x:v>0.9230762043420795</x:v>
      </x:c>
      <x:c r="E1989" s="48" t="n">
        <x:v>0.47180083858230654</x:v>
      </x:c>
      <x:c r="F1989" s="48" t="n">
        <x:v>0.0015904586348890748</x:v>
      </x:c>
      <x:c r="G1989" s="48" t="n">
        <x:v>-0.10811903150213197</x:v>
      </x:c>
      <x:c r="H1989" s="48" t="n">
        <x:v>0.5720040129363754</x:v>
      </x:c>
      <x:c r="I1989" s="48" t="n">
        <x:v>0.9808113744056928</x:v>
      </x:c>
      <x:c r="J1989" s="48" t="n">
        <x:v>0.9730298333211699</x:v>
      </x:c>
      <x:c r="K1989" s="48" t="n">
        <x:v>0.8446440678874034</x:v>
      </x:c>
      <x:c r="L1989" s="48" t="n">
        <x:v>0.7242382400353145</x:v>
      </x:c>
      <x:c r="M1989" s="48" t="n">
        <x:v>0.05080335226719435</x:v>
      </x:c>
      <x:c r="N1989" s="48" t="n">
        <x:v>0.7204746662417503</x:v>
      </x:c>
      <x:c r="O1989" s="48" t="n">
        <x:v>0.9896965822773539</x:v>
      </x:c>
      <x:c r="P1989" s="48" t="n">
        <x:v>0.8969658227735395</x:v>
      </x:c>
      <x:c r="Q1989" s="48" t="n">
        <x:v>1</x:v>
      </x:c>
      <x:c r="R1989" s="48" t="n">
        <x:v>0.9872768963004852</x:v>
      </x:c>
      <x:c r="S1989" s="29" t="n">
        <x:v>0</x:v>
      </x:c>
    </x:row>
    <x:row r="1990" ht="21.600000381469727" hidden="0" customHeight="1">
      <x:c r="A1990" s="27" t="n">
        <x:v>662</x:v>
      </x:c>
      <x:c r="B1990" s="27" t="str">
        <x:v>A3</x:v>
      </x:c>
      <x:c r="C1990" s="47" t="n">
        <x:v>1.0188205189656638</x:v>
      </x:c>
      <x:c r="D1990" s="47" t="n">
        <x:v>0.9230762043420795</x:v>
      </x:c>
      <x:c r="E1990" s="47" t="n">
        <x:v>0.47180083858230654</x:v>
      </x:c>
      <x:c r="F1990" s="47" t="n">
        <x:v>0.0015904586348890748</x:v>
      </x:c>
      <x:c r="G1990" s="47" t="n">
        <x:v>-0.10811903150213197</x:v>
      </x:c>
      <x:c r="H1990" s="47" t="n">
        <x:v>0.5720040129363754</x:v>
      </x:c>
      <x:c r="I1990" s="47" t="n">
        <x:v>0.9808113744056928</x:v>
      </x:c>
      <x:c r="J1990" s="47" t="n">
        <x:v>0.9730298333211699</x:v>
      </x:c>
      <x:c r="K1990" s="47" t="n">
        <x:v>0.8446440678874034</x:v>
      </x:c>
      <x:c r="L1990" s="47" t="n">
        <x:v>0.7242382400353145</x:v>
      </x:c>
      <x:c r="M1990" s="47" t="n">
        <x:v>0.05080335226719435</x:v>
      </x:c>
      <x:c r="N1990" s="47" t="n">
        <x:v>0.7204746662417503</x:v>
      </x:c>
      <x:c r="O1990" s="47" t="n">
        <x:v>1</x:v>
      </x:c>
      <x:c r="P1990" s="47" t="n">
        <x:v>1</x:v>
      </x:c>
      <x:c r="Q1990" s="47" t="n">
        <x:v>1</x:v>
      </x:c>
      <x:c r="R1990" s="47" t="n">
        <x:v>1</x:v>
      </x:c>
      <x:c r="S1990" s="27" t="n">
        <x:v>1</x:v>
      </x:c>
    </x:row>
    <x:row r="1991" ht="21.600000381469727" hidden="0" customHeight="1">
      <x:c r="A1991" s="29" t="n">
        <x:v>663</x:v>
      </x:c>
      <x:c r="B1991" s="29" t="str">
        <x:v>A1</x:v>
      </x:c>
      <x:c r="C1991" s="48" t="n">
        <x:v>1.0137952467489209</x:v>
      </x:c>
      <x:c r="D1991" s="48" t="n">
        <x:v>0.7719496437520471</x:v>
      </x:c>
      <x:c r="E1991" s="48" t="n">
        <x:v>0.6866585134293114</x:v>
      </x:c>
      <x:c r="F1991" s="48" t="n">
        <x:v>-0.014848725587071177</x:v>
      </x:c>
      <x:c r="G1991" s="48" t="n">
        <x:v>-0.071185371695941</x:v>
      </x:c>
      <x:c r="H1991" s="48" t="n">
        <x:v>0.8196584382890086</x:v>
      </x:c>
      <x:c r="I1991" s="48" t="n">
        <x:v>0.6098746846707229</x:v>
      </x:c>
      <x:c r="J1991" s="48" t="n">
        <x:v>0.9105296231132605</x:v>
      </x:c>
      <x:c r="K1991" s="48" t="n">
        <x:v>0.6168087520203641</x:v>
      </x:c>
      <x:c r="L1991" s="48" t="n">
        <x:v>0.9971034261199933</x:v>
      </x:c>
      <x:c r="M1991" s="48" t="n">
        <x:v>0.09121286106192712</x:v>
      </x:c>
      <x:c r="N1991" s="48" t="n">
        <x:v>0.8051982609402876</x:v>
      </x:c>
      <x:c r="O1991" s="48" t="n">
        <x:v>0.8599105374702611</x:v>
      </x:c>
      <x:c r="P1991" s="48" t="n">
        <x:v>0.45015947462258554</x:v>
      </x:c>
      <x:c r="Q1991" s="48" t="n">
        <x:v>1</x:v>
      </x:c>
      <x:c r="R1991" s="48" t="n">
        <x:v>0.8270115017216416</x:v>
      </x:c>
      <x:c r="S1991" s="29" t="n">
        <x:v>0</x:v>
      </x:c>
    </x:row>
    <x:row r="1992" ht="21.600000381469727" hidden="0" customHeight="1">
      <x:c r="A1992" s="27" t="n">
        <x:v>663</x:v>
      </x:c>
      <x:c r="B1992" s="27" t="str">
        <x:v>A2</x:v>
      </x:c>
      <x:c r="C1992" s="47" t="n">
        <x:v>1.0137952467489209</x:v>
      </x:c>
      <x:c r="D1992" s="47" t="n">
        <x:v>0.7719496437520471</x:v>
      </x:c>
      <x:c r="E1992" s="47" t="n">
        <x:v>0.6866585134293114</x:v>
      </x:c>
      <x:c r="F1992" s="47" t="n">
        <x:v>-0.014848725587071177</x:v>
      </x:c>
      <x:c r="G1992" s="47" t="n">
        <x:v>-0.071185371695941</x:v>
      </x:c>
      <x:c r="H1992" s="47" t="n">
        <x:v>0.8196584382890086</x:v>
      </x:c>
      <x:c r="I1992" s="47" t="n">
        <x:v>0.6098746846707229</x:v>
      </x:c>
      <x:c r="J1992" s="47" t="n">
        <x:v>0.9105296231132605</x:v>
      </x:c>
      <x:c r="K1992" s="47" t="n">
        <x:v>0.6168087520203641</x:v>
      </x:c>
      <x:c r="L1992" s="47" t="n">
        <x:v>0.9971034261199933</x:v>
      </x:c>
      <x:c r="M1992" s="47" t="n">
        <x:v>0.09121286106192712</x:v>
      </x:c>
      <x:c r="N1992" s="47" t="n">
        <x:v>0.8051982609402876</x:v>
      </x:c>
      <x:c r="O1992" s="47" t="n">
        <x:v>0.915573205240423</x:v>
      </x:c>
      <x:c r="P1992" s="47" t="n">
        <x:v>0.630602845653967</x:v>
      </x:c>
      <x:c r="Q1992" s="47" t="n">
        <x:v>1</x:v>
      </x:c>
      <x:c r="R1992" s="47" t="n">
        <x:v>0.8957461598026046</x:v>
      </x:c>
      <x:c r="S1992" s="27" t="n">
        <x:v>0</x:v>
      </x:c>
    </x:row>
    <x:row r="1993" ht="21.600000381469727" hidden="0" customHeight="1">
      <x:c r="A1993" s="29" t="n">
        <x:v>663</x:v>
      </x:c>
      <x:c r="B1993" s="29" t="str">
        <x:v>A3</x:v>
      </x:c>
      <x:c r="C1993" s="48" t="n">
        <x:v>1.0137952467489209</x:v>
      </x:c>
      <x:c r="D1993" s="48" t="n">
        <x:v>0.7719496437520471</x:v>
      </x:c>
      <x:c r="E1993" s="48" t="n">
        <x:v>0.6866585134293114</x:v>
      </x:c>
      <x:c r="F1993" s="48" t="n">
        <x:v>-0.014848725587071177</x:v>
      </x:c>
      <x:c r="G1993" s="48" t="n">
        <x:v>-0.071185371695941</x:v>
      </x:c>
      <x:c r="H1993" s="48" t="n">
        <x:v>0.8196584382890086</x:v>
      </x:c>
      <x:c r="I1993" s="48" t="n">
        <x:v>0.6098746846707229</x:v>
      </x:c>
      <x:c r="J1993" s="48" t="n">
        <x:v>0.9105296231132605</x:v>
      </x:c>
      <x:c r="K1993" s="48" t="n">
        <x:v>0.6168087520203641</x:v>
      </x:c>
      <x:c r="L1993" s="48" t="n">
        <x:v>0.9971034261199933</x:v>
      </x:c>
      <x:c r="M1993" s="48" t="n">
        <x:v>0.09121286106192712</x:v>
      </x:c>
      <x:c r="N1993" s="48" t="n">
        <x:v>0.8051982609402876</x:v>
      </x:c>
      <x:c r="O1993" s="48" t="n">
        <x:v>1</x:v>
      </x:c>
      <x:c r="P1993" s="48" t="n">
        <x:v>1</x:v>
      </x:c>
      <x:c r="Q1993" s="48" t="n">
        <x:v>1</x:v>
      </x:c>
      <x:c r="R1993" s="48" t="n">
        <x:v>1</x:v>
      </x:c>
      <x:c r="S1993" s="29" t="n">
        <x:v>1</x:v>
      </x:c>
    </x:row>
    <x:row r="1994" ht="21.600000381469727" hidden="0" customHeight="1">
      <x:c r="A1994" s="27" t="n">
        <x:v>664</x:v>
      </x:c>
      <x:c r="B1994" s="27" t="str">
        <x:v>A1</x:v>
      </x:c>
      <x:c r="C1994" s="47" t="n">
        <x:v>1.0381370066965232</x:v>
      </x:c>
      <x:c r="D1994" s="47" t="n">
        <x:v>0.8746233884161145</x:v>
      </x:c>
      <x:c r="E1994" s="47" t="n">
        <x:v>0.8026328271787282</x:v>
      </x:c>
      <x:c r="F1994" s="47" t="n">
        <x:v>-0.1161550853265562</x:v>
      </x:c>
      <x:c r="G1994" s="47" t="n">
        <x:v>-0.056054885017499806</x:v>
      </x:c>
      <x:c r="H1994" s="47" t="n">
        <x:v>0.8229373050268638</x:v>
      </x:c>
      <x:c r="I1994" s="47" t="n">
        <x:v>0.650159895684976</x:v>
      </x:c>
      <x:c r="J1994" s="47" t="n">
        <x:v>0.7709996345798509</x:v>
      </x:c>
      <x:c r="K1994" s="47" t="n">
        <x:v>0.627247246101738</x:v>
      </x:c>
      <x:c r="L1994" s="47" t="n">
        <x:v>0.5259552262455336</x:v>
      </x:c>
      <x:c r="M1994" s="47" t="n">
        <x:v>0.0760415595524484</x:v>
      </x:c>
      <x:c r="N1994" s="47" t="n">
        <x:v>0.7980756388646495</x:v>
      </x:c>
      <x:c r="O1994" s="47" t="n">
        <x:v>0.861587089278692</x:v>
      </x:c>
      <x:c r="P1994" s="47" t="n">
        <x:v>0.5535372490909969</x:v>
      </x:c>
      <x:c r="Q1994" s="47" t="n">
        <x:v>1</x:v>
      </x:c>
      <x:c r="R1994" s="47" t="n">
        <x:v>0.8290817800594199</x:v>
      </x:c>
      <x:c r="S1994" s="27" t="n">
        <x:v>0</x:v>
      </x:c>
    </x:row>
    <x:row r="1995" ht="21.600000381469727" hidden="0" customHeight="1">
      <x:c r="A1995" s="29" t="n">
        <x:v>664</x:v>
      </x:c>
      <x:c r="B1995" s="29" t="str">
        <x:v>A2</x:v>
      </x:c>
      <x:c r="C1995" s="48" t="n">
        <x:v>1.0381370066965232</x:v>
      </x:c>
      <x:c r="D1995" s="48" t="n">
        <x:v>0.8746233884161145</x:v>
      </x:c>
      <x:c r="E1995" s="48" t="n">
        <x:v>0.8026328271787282</x:v>
      </x:c>
      <x:c r="F1995" s="48" t="n">
        <x:v>-0.1161550853265562</x:v>
      </x:c>
      <x:c r="G1995" s="48" t="n">
        <x:v>-0.056054885017499806</x:v>
      </x:c>
      <x:c r="H1995" s="48" t="n">
        <x:v>0.8229373050268638</x:v>
      </x:c>
      <x:c r="I1995" s="48" t="n">
        <x:v>0.650159895684976</x:v>
      </x:c>
      <x:c r="J1995" s="48" t="n">
        <x:v>0.7709996345798509</x:v>
      </x:c>
      <x:c r="K1995" s="48" t="n">
        <x:v>0.627247246101738</x:v>
      </x:c>
      <x:c r="L1995" s="48" t="n">
        <x:v>0.5259552262455336</x:v>
      </x:c>
      <x:c r="M1995" s="48" t="n">
        <x:v>0.0760415595524484</x:v>
      </x:c>
      <x:c r="N1995" s="48" t="n">
        <x:v>0.7980756388646495</x:v>
      </x:c>
      <x:c r="O1995" s="48" t="n">
        <x:v>0.9430641083469488</x:v>
      </x:c>
      <x:c r="P1995" s="48" t="n">
        <x:v>0.7061261768280406</x:v>
      </x:c>
      <x:c r="Q1995" s="48" t="n">
        <x:v>1</x:v>
      </x:c>
      <x:c r="R1995" s="48" t="n">
        <x:v>0.9296931102643798</x:v>
      </x:c>
      <x:c r="S1995" s="29" t="n">
        <x:v>0</x:v>
      </x:c>
    </x:row>
    <x:row r="1996" ht="21.600000381469727" hidden="0" customHeight="1">
      <x:c r="A1996" s="27" t="n">
        <x:v>664</x:v>
      </x:c>
      <x:c r="B1996" s="27" t="str">
        <x:v>A3</x:v>
      </x:c>
      <x:c r="C1996" s="47" t="n">
        <x:v>1.0381370066965232</x:v>
      </x:c>
      <x:c r="D1996" s="47" t="n">
        <x:v>0.8746233884161145</x:v>
      </x:c>
      <x:c r="E1996" s="47" t="n">
        <x:v>0.8026328271787282</x:v>
      </x:c>
      <x:c r="F1996" s="47" t="n">
        <x:v>-0.1161550853265562</x:v>
      </x:c>
      <x:c r="G1996" s="47" t="n">
        <x:v>-0.056054885017499806</x:v>
      </x:c>
      <x:c r="H1996" s="47" t="n">
        <x:v>0.8229373050268638</x:v>
      </x:c>
      <x:c r="I1996" s="47" t="n">
        <x:v>0.650159895684976</x:v>
      </x:c>
      <x:c r="J1996" s="47" t="n">
        <x:v>0.7709996345798509</x:v>
      </x:c>
      <x:c r="K1996" s="47" t="n">
        <x:v>0.627247246101738</x:v>
      </x:c>
      <x:c r="L1996" s="47" t="n">
        <x:v>0.5259552262455336</x:v>
      </x:c>
      <x:c r="M1996" s="47" t="n">
        <x:v>0.0760415595524484</x:v>
      </x:c>
      <x:c r="N1996" s="47" t="n">
        <x:v>0.7980756388646495</x:v>
      </x:c>
      <x:c r="O1996" s="47" t="n">
        <x:v>1</x:v>
      </x:c>
      <x:c r="P1996" s="47" t="n">
        <x:v>1</x:v>
      </x:c>
      <x:c r="Q1996" s="47" t="n">
        <x:v>1</x:v>
      </x:c>
      <x:c r="R1996" s="47" t="n">
        <x:v>1</x:v>
      </x:c>
      <x:c r="S1996" s="27" t="n">
        <x:v>1</x:v>
      </x:c>
    </x:row>
    <x:row r="1997" ht="21.600000381469727" hidden="0" customHeight="1">
      <x:c r="A1997" s="29" t="n">
        <x:v>665</x:v>
      </x:c>
      <x:c r="B1997" s="29" t="str">
        <x:v>A1</x:v>
      </x:c>
      <x:c r="C1997" s="48" t="n">
        <x:v>1.34409676741816</x:v>
      </x:c>
      <x:c r="D1997" s="48" t="n">
        <x:v>0.8315959154431073</x:v>
      </x:c>
      <x:c r="E1997" s="48" t="n">
        <x:v>0.9461240280574547</x:v>
      </x:c>
      <x:c r="F1997" s="48" t="n">
        <x:v>-0.051187982320307635</x:v>
      </x:c>
      <x:c r="G1997" s="48" t="n">
        <x:v>-0.13645788453309887</x:v>
      </x:c>
      <x:c r="H1997" s="48" t="n">
        <x:v>1.0413370280822634</x:v>
      </x:c>
      <x:c r="I1997" s="48" t="n">
        <x:v>0.6550367552669303</x:v>
      </x:c>
      <x:c r="J1997" s="48" t="n">
        <x:v>0.8101496942007185</x:v>
      </x:c>
      <x:c r="K1997" s="48" t="n">
        <x:v>0.7948948053898657</x:v>
      </x:c>
      <x:c r="L1997" s="48" t="n">
        <x:v>0.8678528087844408</x:v>
      </x:c>
      <x:c r="M1997" s="48" t="n">
        <x:v>0.06785461955277179</x:v>
      </x:c>
      <x:c r="N1997" s="48" t="n">
        <x:v>0.8816506006884455</x:v>
      </x:c>
      <x:c r="O1997" s="48" t="n">
        <x:v>0.7710367546422812</x:v>
      </x:c>
      <x:c r="P1997" s="48" t="n">
        <x:v>0.4316597650291466</x:v>
      </x:c>
      <x:c r="Q1997" s="48" t="n">
        <x:v>1</x:v>
      </x:c>
      <x:c r="R1997" s="48" t="n">
        <x:v>0.7172663292432652</x:v>
      </x:c>
      <x:c r="S1997" s="29" t="n">
        <x:v>0</x:v>
      </x:c>
    </x:row>
    <x:row r="1998" ht="21.600000381469727" hidden="0" customHeight="1">
      <x:c r="A1998" s="27" t="n">
        <x:v>665</x:v>
      </x:c>
      <x:c r="B1998" s="27" t="str">
        <x:v>A2</x:v>
      </x:c>
      <x:c r="C1998" s="47" t="n">
        <x:v>1.34409676741816</x:v>
      </x:c>
      <x:c r="D1998" s="47" t="n">
        <x:v>0.8315959154431073</x:v>
      </x:c>
      <x:c r="E1998" s="47" t="n">
        <x:v>0.9461240280574547</x:v>
      </x:c>
      <x:c r="F1998" s="47" t="n">
        <x:v>-0.051187982320307635</x:v>
      </x:c>
      <x:c r="G1998" s="47" t="n">
        <x:v>-0.13645788453309887</x:v>
      </x:c>
      <x:c r="H1998" s="47" t="n">
        <x:v>1.0413370280822634</x:v>
      </x:c>
      <x:c r="I1998" s="47" t="n">
        <x:v>0.6550367552669303</x:v>
      </x:c>
      <x:c r="J1998" s="47" t="n">
        <x:v>0.8101496942007185</x:v>
      </x:c>
      <x:c r="K1998" s="47" t="n">
        <x:v>0.7948948053898657</x:v>
      </x:c>
      <x:c r="L1998" s="47" t="n">
        <x:v>0.8678528087844408</x:v>
      </x:c>
      <x:c r="M1998" s="47" t="n">
        <x:v>0.06785461955277179</x:v>
      </x:c>
      <x:c r="N1998" s="47" t="n">
        <x:v>0.8816506006884455</x:v>
      </x:c>
      <x:c r="O1998" s="47" t="n">
        <x:v>0.8701104718465065</x:v>
      </x:c>
      <x:c r="P1998" s="47" t="n">
        <x:v>0.5623652441068908</x:v>
      </x:c>
      <x:c r="Q1998" s="47" t="n">
        <x:v>1</x:v>
      </x:c>
      <x:c r="R1998" s="47" t="n">
        <x:v>0.8396068197307309</x:v>
      </x:c>
      <x:c r="S1998" s="27" t="n">
        <x:v>0</x:v>
      </x:c>
    </x:row>
    <x:row r="1999" ht="21.600000381469727" hidden="0" customHeight="1">
      <x:c r="A1999" s="29" t="n">
        <x:v>665</x:v>
      </x:c>
      <x:c r="B1999" s="29" t="str">
        <x:v>A3</x:v>
      </x:c>
      <x:c r="C1999" s="48" t="n">
        <x:v>1.34409676741816</x:v>
      </x:c>
      <x:c r="D1999" s="48" t="n">
        <x:v>0.8315959154431073</x:v>
      </x:c>
      <x:c r="E1999" s="48" t="n">
        <x:v>0.9461240280574547</x:v>
      </x:c>
      <x:c r="F1999" s="48" t="n">
        <x:v>-0.051187982320307635</x:v>
      </x:c>
      <x:c r="G1999" s="48" t="n">
        <x:v>-0.13645788453309887</x:v>
      </x:c>
      <x:c r="H1999" s="48" t="n">
        <x:v>1.0413370280822634</x:v>
      </x:c>
      <x:c r="I1999" s="48" t="n">
        <x:v>0.6550367552669303</x:v>
      </x:c>
      <x:c r="J1999" s="48" t="n">
        <x:v>0.8101496942007185</x:v>
      </x:c>
      <x:c r="K1999" s="48" t="n">
        <x:v>0.7948948053898657</x:v>
      </x:c>
      <x:c r="L1999" s="48" t="n">
        <x:v>0.8678528087844408</x:v>
      </x:c>
      <x:c r="M1999" s="48" t="n">
        <x:v>0.06785461955277179</x:v>
      </x:c>
      <x:c r="N1999" s="48" t="n">
        <x:v>0.8816506006884455</x:v>
      </x:c>
      <x:c r="O1999" s="48" t="n">
        <x:v>1</x:v>
      </x:c>
      <x:c r="P1999" s="48" t="n">
        <x:v>1</x:v>
      </x:c>
      <x:c r="Q1999" s="48" t="n">
        <x:v>1</x:v>
      </x:c>
      <x:c r="R1999" s="48" t="n">
        <x:v>1</x:v>
      </x:c>
      <x:c r="S1999" s="29" t="n">
        <x:v>1</x:v>
      </x:c>
    </x:row>
    <x:row r="2000" ht="21.600000381469727" hidden="0" customHeight="1">
      <x:c r="A2000" s="27" t="n">
        <x:v>666</x:v>
      </x:c>
      <x:c r="B2000" s="27" t="str">
        <x:v>A1</x:v>
      </x:c>
      <x:c r="C2000" s="47" t="n">
        <x:v>0.979982787869694</x:v>
      </x:c>
      <x:c r="D2000" s="47" t="n">
        <x:v>0.9464790410686459</x:v>
      </x:c>
      <x:c r="E2000" s="47" t="n">
        <x:v>0.7399098973411322</x:v>
      </x:c>
      <x:c r="F2000" s="47" t="n">
        <x:v>-0.1035849480448082</x:v>
      </x:c>
      <x:c r="G2000" s="47" t="n">
        <x:v>-0.13146448539775946</x:v>
      </x:c>
      <x:c r="H2000" s="47" t="n">
        <x:v>1.0228433582033005</x:v>
      </x:c>
      <x:c r="I2000" s="47" t="n">
        <x:v>0.8027316854474282</x:v>
      </x:c>
      <x:c r="J2000" s="47" t="n">
        <x:v>0.6388979289876531</x:v>
      </x:c>
      <x:c r="K2000" s="47" t="n">
        <x:v>0.7554026512950771</x:v>
      </x:c>
      <x:c r="L2000" s="47" t="n">
        <x:v>0.6193530511514999</x:v>
      </x:c>
      <x:c r="M2000" s="47" t="n">
        <x:v>0.12846426887054402</x:v>
      </x:c>
      <x:c r="N2000" s="47" t="n">
        <x:v>0.7835051312264047</x:v>
      </x:c>
      <x:c r="O2000" s="47" t="n">
        <x:v>0.9275035309537072</x:v>
      </x:c>
      <x:c r="P2000" s="47" t="n">
        <x:v>0.7420742045304423</x:v>
      </x:c>
      <x:c r="Q2000" s="47" t="n">
        <x:v>1</x:v>
      </x:c>
      <x:c r="R2000" s="47" t="n">
        <x:v>0.9104782395168415</x:v>
      </x:c>
      <x:c r="S2000" s="27" t="n">
        <x:v>0</x:v>
      </x:c>
    </x:row>
    <x:row r="2001" ht="21.600000381469727" hidden="0" customHeight="1">
      <x:c r="A2001" s="29" t="n">
        <x:v>666</x:v>
      </x:c>
      <x:c r="B2001" s="29" t="str">
        <x:v>A2</x:v>
      </x:c>
      <x:c r="C2001" s="48" t="n">
        <x:v>0.979982787869694</x:v>
      </x:c>
      <x:c r="D2001" s="48" t="n">
        <x:v>0.9464790410686459</x:v>
      </x:c>
      <x:c r="E2001" s="48" t="n">
        <x:v>0.7399098973411322</x:v>
      </x:c>
      <x:c r="F2001" s="48" t="n">
        <x:v>-0.1035849480448082</x:v>
      </x:c>
      <x:c r="G2001" s="48" t="n">
        <x:v>-0.13146448539775946</x:v>
      </x:c>
      <x:c r="H2001" s="48" t="n">
        <x:v>1.0228433582033005</x:v>
      </x:c>
      <x:c r="I2001" s="48" t="n">
        <x:v>0.8027316854474282</x:v>
      </x:c>
      <x:c r="J2001" s="48" t="n">
        <x:v>0.6388979289876531</x:v>
      </x:c>
      <x:c r="K2001" s="48" t="n">
        <x:v>0.7554026512950771</x:v>
      </x:c>
      <x:c r="L2001" s="48" t="n">
        <x:v>0.6193530511514999</x:v>
      </x:c>
      <x:c r="M2001" s="48" t="n">
        <x:v>0.12846426887054402</x:v>
      </x:c>
      <x:c r="N2001" s="48" t="n">
        <x:v>0.7835051312264047</x:v>
      </x:c>
      <x:c r="O2001" s="48" t="n">
        <x:v>0.9901168187118864</x:v>
      </x:c>
      <x:c r="P2001" s="48" t="n">
        <x:v>0.9011681871188642</x:v>
      </x:c>
      <x:c r="Q2001" s="48" t="n">
        <x:v>1</x:v>
      </x:c>
      <x:c r="R2001" s="48" t="n">
        <x:v>0.9877958223383104</x:v>
      </x:c>
      <x:c r="S2001" s="29" t="n">
        <x:v>0</x:v>
      </x:c>
    </x:row>
    <x:row r="2002" ht="21.600000381469727" hidden="0" customHeight="1">
      <x:c r="A2002" s="27" t="n">
        <x:v>666</x:v>
      </x:c>
      <x:c r="B2002" s="27" t="str">
        <x:v>A3</x:v>
      </x:c>
      <x:c r="C2002" s="47" t="n">
        <x:v>0.979982787869694</x:v>
      </x:c>
      <x:c r="D2002" s="47" t="n">
        <x:v>0.9464790410686459</x:v>
      </x:c>
      <x:c r="E2002" s="47" t="n">
        <x:v>0.7399098973411322</x:v>
      </x:c>
      <x:c r="F2002" s="47" t="n">
        <x:v>-0.1035849480448082</x:v>
      </x:c>
      <x:c r="G2002" s="47" t="n">
        <x:v>-0.13146448539775946</x:v>
      </x:c>
      <x:c r="H2002" s="47" t="n">
        <x:v>1.0228433582033005</x:v>
      </x:c>
      <x:c r="I2002" s="47" t="n">
        <x:v>0.8027316854474282</x:v>
      </x:c>
      <x:c r="J2002" s="47" t="n">
        <x:v>0.6388979289876531</x:v>
      </x:c>
      <x:c r="K2002" s="47" t="n">
        <x:v>0.7554026512950771</x:v>
      </x:c>
      <x:c r="L2002" s="47" t="n">
        <x:v>0.6193530511514999</x:v>
      </x:c>
      <x:c r="M2002" s="47" t="n">
        <x:v>0.12846426887054402</x:v>
      </x:c>
      <x:c r="N2002" s="47" t="n">
        <x:v>0.7835051312264047</x:v>
      </x:c>
      <x:c r="O2002" s="47" t="n">
        <x:v>1</x:v>
      </x:c>
      <x:c r="P2002" s="47" t="n">
        <x:v>1</x:v>
      </x:c>
      <x:c r="Q2002" s="47" t="n">
        <x:v>1</x:v>
      </x:c>
      <x:c r="R2002" s="47" t="n">
        <x:v>1</x:v>
      </x:c>
      <x:c r="S2002" s="27" t="n">
        <x:v>1</x:v>
      </x:c>
    </x:row>
    <x:row r="2003" ht="21.600000381469727" hidden="0" customHeight="1">
      <x:c r="A2003" s="29" t="n">
        <x:v>667</x:v>
      </x:c>
      <x:c r="B2003" s="29" t="str">
        <x:v>A1</x:v>
      </x:c>
      <x:c r="C2003" s="48" t="n">
        <x:v>1.1735830416842918</x:v>
      </x:c>
      <x:c r="D2003" s="48" t="n">
        <x:v>0.8299415065006983</x:v>
      </x:c>
      <x:c r="E2003" s="48" t="n">
        <x:v>0.7067133490301933</x:v>
      </x:c>
      <x:c r="F2003" s="48" t="n">
        <x:v>-0.06629272810879608</x:v>
      </x:c>
      <x:c r="G2003" s="48" t="n">
        <x:v>0.009569965330081837</x:v>
      </x:c>
      <x:c r="H2003" s="48" t="n">
        <x:v>0.8424884221374436</x:v>
      </x:c>
      <x:c r="I2003" s="48" t="n">
        <x:v>0.9680830674816963</x:v>
      </x:c>
      <x:c r="J2003" s="48" t="n">
        <x:v>0.9658775308120185</x:v>
      </x:c>
      <x:c r="K2003" s="48" t="n">
        <x:v>0.5930962865971874</x:v>
      </x:c>
      <x:c r="L2003" s="48" t="n">
        <x:v>0.9110408360840234</x:v>
      </x:c>
      <x:c r="M2003" s="48" t="n">
        <x:v>0.0478941472396701</x:v>
      </x:c>
      <x:c r="N2003" s="48" t="n">
        <x:v>0.8686020714105752</x:v>
      </x:c>
      <x:c r="O2003" s="48" t="n">
        <x:v>0.8284803445616551</x:v>
      </x:c>
      <x:c r="P2003" s="48" t="n">
        <x:v>0.4873308634127949</x:v>
      </x:c>
      <x:c r="Q2003" s="48" t="n">
        <x:v>1</x:v>
      </x:c>
      <x:c r="R2003" s="48" t="n">
        <x:v>0.7882001466512721</x:v>
      </x:c>
      <x:c r="S2003" s="29" t="n">
        <x:v>0</x:v>
      </x:c>
    </x:row>
    <x:row r="2004" ht="21.600000381469727" hidden="0" customHeight="1">
      <x:c r="A2004" s="27" t="n">
        <x:v>667</x:v>
      </x:c>
      <x:c r="B2004" s="27" t="str">
        <x:v>A2</x:v>
      </x:c>
      <x:c r="C2004" s="47" t="n">
        <x:v>1.1735830416842918</x:v>
      </x:c>
      <x:c r="D2004" s="47" t="n">
        <x:v>0.8299415065006983</x:v>
      </x:c>
      <x:c r="E2004" s="47" t="n">
        <x:v>0.7067133490301933</x:v>
      </x:c>
      <x:c r="F2004" s="47" t="n">
        <x:v>-0.06629272810879608</x:v>
      </x:c>
      <x:c r="G2004" s="47" t="n">
        <x:v>0.009569965330081837</x:v>
      </x:c>
      <x:c r="H2004" s="47" t="n">
        <x:v>0.8424884221374436</x:v>
      </x:c>
      <x:c r="I2004" s="47" t="n">
        <x:v>0.9680830674816963</x:v>
      </x:c>
      <x:c r="J2004" s="47" t="n">
        <x:v>0.9658775308120185</x:v>
      </x:c>
      <x:c r="K2004" s="47" t="n">
        <x:v>0.5930962865971874</x:v>
      </x:c>
      <x:c r="L2004" s="47" t="n">
        <x:v>0.9110408360840234</x:v>
      </x:c>
      <x:c r="M2004" s="47" t="n">
        <x:v>0.0478941472396701</x:v>
      </x:c>
      <x:c r="N2004" s="47" t="n">
        <x:v>0.8686020714105752</x:v>
      </x:c>
      <x:c r="O2004" s="47" t="n">
        <x:v>0.9184654632422731</x:v>
      </x:c>
      <x:c r="P2004" s="47" t="n">
        <x:v>0.5758446341327568</x:v>
      </x:c>
      <x:c r="Q2004" s="47" t="n">
        <x:v>1</x:v>
      </x:c>
      <x:c r="R2004" s="47" t="n">
        <x:v>0.8993176444763172</x:v>
      </x:c>
      <x:c r="S2004" s="27" t="n">
        <x:v>0</x:v>
      </x:c>
    </x:row>
    <x:row r="2005" ht="21.600000381469727" hidden="0" customHeight="1">
      <x:c r="A2005" s="29" t="n">
        <x:v>667</x:v>
      </x:c>
      <x:c r="B2005" s="29" t="str">
        <x:v>A3</x:v>
      </x:c>
      <x:c r="C2005" s="48" t="n">
        <x:v>1.1735830416842918</x:v>
      </x:c>
      <x:c r="D2005" s="48" t="n">
        <x:v>0.8299415065006983</x:v>
      </x:c>
      <x:c r="E2005" s="48" t="n">
        <x:v>0.7067133490301933</x:v>
      </x:c>
      <x:c r="F2005" s="48" t="n">
        <x:v>-0.06629272810879608</x:v>
      </x:c>
      <x:c r="G2005" s="48" t="n">
        <x:v>0.009569965330081837</x:v>
      </x:c>
      <x:c r="H2005" s="48" t="n">
        <x:v>0.8424884221374436</x:v>
      </x:c>
      <x:c r="I2005" s="48" t="n">
        <x:v>0.9680830674816963</x:v>
      </x:c>
      <x:c r="J2005" s="48" t="n">
        <x:v>0.9658775308120185</x:v>
      </x:c>
      <x:c r="K2005" s="48" t="n">
        <x:v>0.5930962865971874</x:v>
      </x:c>
      <x:c r="L2005" s="48" t="n">
        <x:v>0.9110408360840234</x:v>
      </x:c>
      <x:c r="M2005" s="48" t="n">
        <x:v>0.0478941472396701</x:v>
      </x:c>
      <x:c r="N2005" s="48" t="n">
        <x:v>0.8686020714105752</x:v>
      </x:c>
      <x:c r="O2005" s="48" t="n">
        <x:v>1</x:v>
      </x:c>
      <x:c r="P2005" s="48" t="n">
        <x:v>1</x:v>
      </x:c>
      <x:c r="Q2005" s="48" t="n">
        <x:v>1</x:v>
      </x:c>
      <x:c r="R2005" s="48" t="n">
        <x:v>1</x:v>
      </x:c>
      <x:c r="S2005" s="29" t="n">
        <x:v>1</x:v>
      </x:c>
    </x:row>
    <x:row r="2006" ht="21.600000381469727" hidden="0" customHeight="1">
      <x:c r="A2006" s="27" t="n">
        <x:v>668</x:v>
      </x:c>
      <x:c r="B2006" s="27" t="str">
        <x:v>A1</x:v>
      </x:c>
      <x:c r="C2006" s="47" t="n">
        <x:v>1.3276089874678525</x:v>
      </x:c>
      <x:c r="D2006" s="47" t="n">
        <x:v>0.7308522967019816</x:v>
      </x:c>
      <x:c r="E2006" s="47" t="n">
        <x:v>1.0704743668873853</x:v>
      </x:c>
      <x:c r="F2006" s="47" t="n">
        <x:v>-0.014685609794322707</x:v>
      </x:c>
      <x:c r="G2006" s="47" t="n">
        <x:v>-0.020344588638572747</x:v>
      </x:c>
      <x:c r="H2006" s="47" t="n">
        <x:v>0.3939804275615506</x:v>
      </x:c>
      <x:c r="I2006" s="47" t="n">
        <x:v>0.7362011034751447</x:v>
      </x:c>
      <x:c r="J2006" s="47" t="n">
        <x:v>0.6903110550556762</x:v>
      </x:c>
      <x:c r="K2006" s="47" t="n">
        <x:v>0.9176591915367522</x:v>
      </x:c>
      <x:c r="L2006" s="47" t="n">
        <x:v>0.5726749304567632</x:v>
      </x:c>
      <x:c r="M2006" s="47" t="n">
        <x:v>0.07761312835302078</x:v>
      </x:c>
      <x:c r="N2006" s="47" t="n">
        <x:v>0.8044370144140133</x:v>
      </x:c>
      <x:c r="O2006" s="47" t="n">
        <x:v>0.697387431284017</x:v>
      </x:c>
      <x:c r="P2006" s="47" t="n">
        <x:v>0.37780033197775226</x:v>
      </x:c>
      <x:c r="Q2006" s="47" t="n">
        <x:v>0.9437319176285195</x:v>
      </x:c>
      <x:c r="R2006" s="47" t="n">
        <x:v>0.6268510789782612</x:v>
      </x:c>
      <x:c r="S2006" s="27" t="n">
        <x:v>0</x:v>
      </x:c>
    </x:row>
    <x:row r="2007" ht="21.600000381469727" hidden="0" customHeight="1">
      <x:c r="A2007" s="29" t="n">
        <x:v>668</x:v>
      </x:c>
      <x:c r="B2007" s="29" t="str">
        <x:v>A2</x:v>
      </x:c>
      <x:c r="C2007" s="48" t="n">
        <x:v>1.3276089874678525</x:v>
      </x:c>
      <x:c r="D2007" s="48" t="n">
        <x:v>0.7308522967019816</x:v>
      </x:c>
      <x:c r="E2007" s="48" t="n">
        <x:v>1.0704743668873853</x:v>
      </x:c>
      <x:c r="F2007" s="48" t="n">
        <x:v>-0.014685609794322707</x:v>
      </x:c>
      <x:c r="G2007" s="48" t="n">
        <x:v>-0.020344588638572747</x:v>
      </x:c>
      <x:c r="H2007" s="48" t="n">
        <x:v>0.3939804275615506</x:v>
      </x:c>
      <x:c r="I2007" s="48" t="n">
        <x:v>0.7362011034751447</x:v>
      </x:c>
      <x:c r="J2007" s="48" t="n">
        <x:v>0.6903110550556762</x:v>
      </x:c>
      <x:c r="K2007" s="48" t="n">
        <x:v>0.9176591915367522</x:v>
      </x:c>
      <x:c r="L2007" s="48" t="n">
        <x:v>0.5726749304567632</x:v>
      </x:c>
      <x:c r="M2007" s="48" t="n">
        <x:v>0.07761312835302078</x:v>
      </x:c>
      <x:c r="N2007" s="48" t="n">
        <x:v>0.8044370144140133</x:v>
      </x:c>
      <x:c r="O2007" s="48" t="n">
        <x:v>0.7777621686972314</x:v>
      </x:c>
      <x:c r="P2007" s="48" t="n">
        <x:v>0.42602027153281863</x:v>
      </x:c>
      <x:c r="Q2007" s="48" t="n">
        <x:v>1</x:v>
      </x:c>
      <x:c r="R2007" s="48" t="n">
        <x:v>0.7255711600039587</x:v>
      </x:c>
      <x:c r="S2007" s="29" t="n">
        <x:v>0</x:v>
      </x:c>
    </x:row>
    <x:row r="2008" ht="21.600000381469727" hidden="0" customHeight="1">
      <x:c r="A2008" s="27" t="n">
        <x:v>668</x:v>
      </x:c>
      <x:c r="B2008" s="27" t="str">
        <x:v>A3</x:v>
      </x:c>
      <x:c r="C2008" s="47" t="n">
        <x:v>1.3276089874678525</x:v>
      </x:c>
      <x:c r="D2008" s="47" t="n">
        <x:v>0.7308522967019816</x:v>
      </x:c>
      <x:c r="E2008" s="47" t="n">
        <x:v>1.0704743668873853</x:v>
      </x:c>
      <x:c r="F2008" s="47" t="n">
        <x:v>-0.014685609794322707</x:v>
      </x:c>
      <x:c r="G2008" s="47" t="n">
        <x:v>-0.020344588638572747</x:v>
      </x:c>
      <x:c r="H2008" s="47" t="n">
        <x:v>0.3939804275615506</x:v>
      </x:c>
      <x:c r="I2008" s="47" t="n">
        <x:v>0.7362011034751447</x:v>
      </x:c>
      <x:c r="J2008" s="47" t="n">
        <x:v>0.6903110550556762</x:v>
      </x:c>
      <x:c r="K2008" s="47" t="n">
        <x:v>0.9176591915367522</x:v>
      </x:c>
      <x:c r="L2008" s="47" t="n">
        <x:v>0.5726749304567632</x:v>
      </x:c>
      <x:c r="M2008" s="47" t="n">
        <x:v>0.07761312835302078</x:v>
      </x:c>
      <x:c r="N2008" s="47" t="n">
        <x:v>0.8044370144140133</x:v>
      </x:c>
      <x:c r="O2008" s="47" t="n">
        <x:v>1</x:v>
      </x:c>
      <x:c r="P2008" s="47" t="n">
        <x:v>1</x:v>
      </x:c>
      <x:c r="Q2008" s="47" t="n">
        <x:v>1</x:v>
      </x:c>
      <x:c r="R2008" s="47" t="n">
        <x:v>1</x:v>
      </x:c>
      <x:c r="S2008" s="27" t="n">
        <x:v>1</x:v>
      </x:c>
    </x:row>
    <x:row r="2009" ht="21.600000381469727" hidden="0" customHeight="1">
      <x:c r="A2009" s="29" t="n">
        <x:v>669</x:v>
      </x:c>
      <x:c r="B2009" s="29" t="str">
        <x:v>A1</x:v>
      </x:c>
      <x:c r="C2009" s="48" t="n">
        <x:v>1.1336093599706731</x:v>
      </x:c>
      <x:c r="D2009" s="48" t="n">
        <x:v>0.9279216194848955</x:v>
      </x:c>
      <x:c r="E2009" s="48" t="n">
        <x:v>0.9082695078087551</x:v>
      </x:c>
      <x:c r="F2009" s="48" t="n">
        <x:v>0.03995341796525434</x:v>
      </x:c>
      <x:c r="G2009" s="48" t="n">
        <x:v>-0.07699794293800435</x:v>
      </x:c>
      <x:c r="H2009" s="48" t="n">
        <x:v>0.3260053278337767</x:v>
      </x:c>
      <x:c r="I2009" s="48" t="n">
        <x:v>0.8435047328126816</x:v>
      </x:c>
      <x:c r="J2009" s="48" t="n">
        <x:v>0.7248821127265419</x:v>
      </x:c>
      <x:c r="K2009" s="48" t="n">
        <x:v>0.7567713824648767</x:v>
      </x:c>
      <x:c r="L2009" s="48" t="n">
        <x:v>0.5363338151962419</x:v>
      </x:c>
      <x:c r="M2009" s="48" t="n">
        <x:v>0.0865650831909064</x:v>
      </x:c>
      <x:c r="N2009" s="48" t="n">
        <x:v>0.8808081035437756</x:v>
      </x:c>
      <x:c r="O2009" s="48" t="n">
        <x:v>0.8705829133595157</x:v>
      </x:c>
      <x:c r="P2009" s="48" t="n">
        <x:v>0.6278078881258443</x:v>
      </x:c>
      <x:c r="Q2009" s="48" t="n">
        <x:v>1</x:v>
      </x:c>
      <x:c r="R2009" s="48" t="n">
        <x:v>0.8401902108465509</x:v>
      </x:c>
      <x:c r="S2009" s="29" t="n">
        <x:v>0</x:v>
      </x:c>
    </x:row>
    <x:row r="2010" ht="21.600000381469727" hidden="0" customHeight="1">
      <x:c r="A2010" s="27" t="n">
        <x:v>669</x:v>
      </x:c>
      <x:c r="B2010" s="27" t="str">
        <x:v>A2</x:v>
      </x:c>
      <x:c r="C2010" s="47" t="n">
        <x:v>1.1336093599706731</x:v>
      </x:c>
      <x:c r="D2010" s="47" t="n">
        <x:v>0.9279216194848955</x:v>
      </x:c>
      <x:c r="E2010" s="47" t="n">
        <x:v>0.9082695078087551</x:v>
      </x:c>
      <x:c r="F2010" s="47" t="n">
        <x:v>0.03995341796525434</x:v>
      </x:c>
      <x:c r="G2010" s="47" t="n">
        <x:v>-0.07699794293800435</x:v>
      </x:c>
      <x:c r="H2010" s="47" t="n">
        <x:v>0.3260053278337767</x:v>
      </x:c>
      <x:c r="I2010" s="47" t="n">
        <x:v>0.8435047328126816</x:v>
      </x:c>
      <x:c r="J2010" s="47" t="n">
        <x:v>0.7248821127265419</x:v>
      </x:c>
      <x:c r="K2010" s="47" t="n">
        <x:v>0.7567713824648767</x:v>
      </x:c>
      <x:c r="L2010" s="47" t="n">
        <x:v>0.5363338151962419</x:v>
      </x:c>
      <x:c r="M2010" s="47" t="n">
        <x:v>0.0865650831909064</x:v>
      </x:c>
      <x:c r="N2010" s="47" t="n">
        <x:v>0.8808081035437756</x:v>
      </x:c>
      <x:c r="O2010" s="47" t="n">
        <x:v>0.9604282175956033</x:v>
      </x:c>
      <x:c r="P2010" s="47" t="n">
        <x:v>0.6864564068770528</x:v>
      </x:c>
      <x:c r="Q2010" s="47" t="n">
        <x:v>1</x:v>
      </x:c>
      <x:c r="R2010" s="47" t="n">
        <x:v>0.9511350597773808</x:v>
      </x:c>
      <x:c r="S2010" s="27" t="n">
        <x:v>0</x:v>
      </x:c>
    </x:row>
    <x:row r="2011" ht="21.600000381469727" hidden="0" customHeight="1">
      <x:c r="A2011" s="29" t="n">
        <x:v>669</x:v>
      </x:c>
      <x:c r="B2011" s="29" t="str">
        <x:v>A3</x:v>
      </x:c>
      <x:c r="C2011" s="48" t="n">
        <x:v>1.1336093599706731</x:v>
      </x:c>
      <x:c r="D2011" s="48" t="n">
        <x:v>0.9279216194848955</x:v>
      </x:c>
      <x:c r="E2011" s="48" t="n">
        <x:v>0.9082695078087551</x:v>
      </x:c>
      <x:c r="F2011" s="48" t="n">
        <x:v>0.03995341796525434</x:v>
      </x:c>
      <x:c r="G2011" s="48" t="n">
        <x:v>-0.07699794293800435</x:v>
      </x:c>
      <x:c r="H2011" s="48" t="n">
        <x:v>0.3260053278337767</x:v>
      </x:c>
      <x:c r="I2011" s="48" t="n">
        <x:v>0.8435047328126816</x:v>
      </x:c>
      <x:c r="J2011" s="48" t="n">
        <x:v>0.7248821127265419</x:v>
      </x:c>
      <x:c r="K2011" s="48" t="n">
        <x:v>0.7567713824648767</x:v>
      </x:c>
      <x:c r="L2011" s="48" t="n">
        <x:v>0.5363338151962419</x:v>
      </x:c>
      <x:c r="M2011" s="48" t="n">
        <x:v>0.0865650831909064</x:v>
      </x:c>
      <x:c r="N2011" s="48" t="n">
        <x:v>0.8808081035437756</x:v>
      </x:c>
      <x:c r="O2011" s="48" t="n">
        <x:v>1</x:v>
      </x:c>
      <x:c r="P2011" s="48" t="n">
        <x:v>1</x:v>
      </x:c>
      <x:c r="Q2011" s="48" t="n">
        <x:v>1</x:v>
      </x:c>
      <x:c r="R2011" s="48" t="n">
        <x:v>1</x:v>
      </x:c>
      <x:c r="S2011" s="29" t="n">
        <x:v>1</x:v>
      </x:c>
    </x:row>
    <x:row r="2012" ht="21.600000381469727" hidden="0" customHeight="1">
      <x:c r="A2012" s="27" t="n">
        <x:v>670</x:v>
      </x:c>
      <x:c r="B2012" s="27" t="str">
        <x:v>A1</x:v>
      </x:c>
      <x:c r="C2012" s="47" t="n">
        <x:v>0.9868193371084331</x:v>
      </x:c>
      <x:c r="D2012" s="47" t="n">
        <x:v>0.7441148263829972</x:v>
      </x:c>
      <x:c r="E2012" s="47" t="n">
        <x:v>0.4779362600493277</x:v>
      </x:c>
      <x:c r="F2012" s="47" t="n">
        <x:v>-0.06532718517501643</x:v>
      </x:c>
      <x:c r="G2012" s="47" t="n">
        <x:v>-0.09634331883310246</x:v>
      </x:c>
      <x:c r="H2012" s="47" t="n">
        <x:v>0.45790405871846945</x:v>
      </x:c>
      <x:c r="I2012" s="47" t="n">
        <x:v>0.8649927009937648</x:v>
      </x:c>
      <x:c r="J2012" s="47" t="n">
        <x:v>0.6304709653250493</x:v>
      </x:c>
      <x:c r="K2012" s="47" t="n">
        <x:v>0.9396522206333966</x:v>
      </x:c>
      <x:c r="L2012" s="47" t="n">
        <x:v>0.5142992750871258</x:v>
      </x:c>
      <x:c r="M2012" s="47" t="n">
        <x:v>0.030326488803972644</x:v>
      </x:c>
      <x:c r="N2012" s="47" t="n">
        <x:v>0.7091226877168871</x:v>
      </x:c>
      <x:c r="O2012" s="47" t="n">
        <x:v>0.8560580883165219</x:v>
      </x:c>
      <x:c r="P2012" s="47" t="n">
        <x:v>0.6589528069989233</x:v>
      </x:c>
      <x:c r="Q2012" s="47" t="n">
        <x:v>1</x:v>
      </x:c>
      <x:c r="R2012" s="47" t="n">
        <x:v>0.8222543316835479</x:v>
      </x:c>
      <x:c r="S2012" s="27" t="n">
        <x:v>0</x:v>
      </x:c>
    </x:row>
    <x:row r="2013" ht="21.600000381469727" hidden="0" customHeight="1">
      <x:c r="A2013" s="29" t="n">
        <x:v>670</x:v>
      </x:c>
      <x:c r="B2013" s="29" t="str">
        <x:v>A2</x:v>
      </x:c>
      <x:c r="C2013" s="48" t="n">
        <x:v>0.9868193371084331</x:v>
      </x:c>
      <x:c r="D2013" s="48" t="n">
        <x:v>0.7441148263829972</x:v>
      </x:c>
      <x:c r="E2013" s="48" t="n">
        <x:v>0.4779362600493277</x:v>
      </x:c>
      <x:c r="F2013" s="48" t="n">
        <x:v>-0.06532718517501643</x:v>
      </x:c>
      <x:c r="G2013" s="48" t="n">
        <x:v>-0.09634331883310246</x:v>
      </x:c>
      <x:c r="H2013" s="48" t="n">
        <x:v>0.45790405871846945</x:v>
      </x:c>
      <x:c r="I2013" s="48" t="n">
        <x:v>0.8649927009937648</x:v>
      </x:c>
      <x:c r="J2013" s="48" t="n">
        <x:v>0.6304709653250493</x:v>
      </x:c>
      <x:c r="K2013" s="48" t="n">
        <x:v>0.9396522206333966</x:v>
      </x:c>
      <x:c r="L2013" s="48" t="n">
        <x:v>0.5142992750871258</x:v>
      </x:c>
      <x:c r="M2013" s="48" t="n">
        <x:v>0.030326488803972644</x:v>
      </x:c>
      <x:c r="N2013" s="48" t="n">
        <x:v>0.7091226877168871</x:v>
      </x:c>
      <x:c r="O2013" s="48" t="n">
        <x:v>0.9404955411779364</x:v>
      </x:c>
      <x:c r="P2013" s="48" t="n">
        <x:v>0.6297654282023981</x:v>
      </x:c>
      <x:c r="Q2013" s="48" t="n">
        <x:v>1</x:v>
      </x:c>
      <x:c r="R2013" s="48" t="n">
        <x:v>0.9265213329638547</x:v>
      </x:c>
      <x:c r="S2013" s="29" t="n">
        <x:v>0</x:v>
      </x:c>
    </x:row>
    <x:row r="2014" ht="21.600000381469727" hidden="0" customHeight="1">
      <x:c r="A2014" s="27" t="n">
        <x:v>670</x:v>
      </x:c>
      <x:c r="B2014" s="27" t="str">
        <x:v>A3</x:v>
      </x:c>
      <x:c r="C2014" s="47" t="n">
        <x:v>0.9868193371084331</x:v>
      </x:c>
      <x:c r="D2014" s="47" t="n">
        <x:v>0.7441148263829972</x:v>
      </x:c>
      <x:c r="E2014" s="47" t="n">
        <x:v>0.4779362600493277</x:v>
      </x:c>
      <x:c r="F2014" s="47" t="n">
        <x:v>-0.06532718517501643</x:v>
      </x:c>
      <x:c r="G2014" s="47" t="n">
        <x:v>-0.09634331883310246</x:v>
      </x:c>
      <x:c r="H2014" s="47" t="n">
        <x:v>0.45790405871846945</x:v>
      </x:c>
      <x:c r="I2014" s="47" t="n">
        <x:v>0.8649927009937648</x:v>
      </x:c>
      <x:c r="J2014" s="47" t="n">
        <x:v>0.6304709653250493</x:v>
      </x:c>
      <x:c r="K2014" s="47" t="n">
        <x:v>0.9396522206333966</x:v>
      </x:c>
      <x:c r="L2014" s="47" t="n">
        <x:v>0.5142992750871258</x:v>
      </x:c>
      <x:c r="M2014" s="47" t="n">
        <x:v>0.030326488803972644</x:v>
      </x:c>
      <x:c r="N2014" s="47" t="n">
        <x:v>0.7091226877168871</x:v>
      </x:c>
      <x:c r="O2014" s="47" t="n">
        <x:v>1</x:v>
      </x:c>
      <x:c r="P2014" s="47" t="n">
        <x:v>1</x:v>
      </x:c>
      <x:c r="Q2014" s="47" t="n">
        <x:v>1</x:v>
      </x:c>
      <x:c r="R2014" s="47" t="n">
        <x:v>1</x:v>
      </x:c>
      <x:c r="S2014" s="27" t="n">
        <x:v>1</x:v>
      </x:c>
    </x:row>
    <x:row r="2015" ht="21.600000381469727" hidden="0" customHeight="1">
      <x:c r="A2015" s="29" t="n">
        <x:v>671</x:v>
      </x:c>
      <x:c r="B2015" s="29" t="str">
        <x:v>A1</x:v>
      </x:c>
      <x:c r="C2015" s="48" t="n">
        <x:v>1.2375604372367075</x:v>
      </x:c>
      <x:c r="D2015" s="48" t="n">
        <x:v>0.7390887306656121</x:v>
      </x:c>
      <x:c r="E2015" s="48" t="n">
        <x:v>0.6048267958514959</x:v>
      </x:c>
      <x:c r="F2015" s="48" t="n">
        <x:v>-0.17048924171403781</x:v>
      </x:c>
      <x:c r="G2015" s="48" t="n">
        <x:v>-0.13714345463476765</x:v>
      </x:c>
      <x:c r="H2015" s="48" t="n">
        <x:v>0.4057606377634183</x:v>
      </x:c>
      <x:c r="I2015" s="48" t="n">
        <x:v>0.6509909821441479</x:v>
      </x:c>
      <x:c r="J2015" s="48" t="n">
        <x:v>0.4205394869227654</x:v>
      </x:c>
      <x:c r="K2015" s="48" t="n">
        <x:v>0.8215779250339681</x:v>
      </x:c>
      <x:c r="L2015" s="48" t="n">
        <x:v>0.7029649334235721</x:v>
      </x:c>
      <x:c r="M2015" s="48" t="n">
        <x:v>0.15842819318113158</x:v>
      </x:c>
      <x:c r="N2015" s="48" t="n">
        <x:v>0.8476258018691218</x:v>
      </x:c>
      <x:c r="O2015" s="48" t="n">
        <x:v>0.7094341794389155</x:v>
      </x:c>
      <x:c r="P2015" s="48" t="n">
        <x:v>0.3775605224250688</x:v>
      </x:c>
      <x:c r="Q2015" s="48" t="n">
        <x:v>0.8857507192922439</x:v>
      </x:c>
      <x:c r="R2015" s="48" t="n">
        <x:v>0.642045330461828</x:v>
      </x:c>
      <x:c r="S2015" s="29" t="n">
        <x:v>0</x:v>
      </x:c>
    </x:row>
    <x:row r="2016" ht="21.600000381469727" hidden="0" customHeight="1">
      <x:c r="A2016" s="27" t="n">
        <x:v>671</x:v>
      </x:c>
      <x:c r="B2016" s="27" t="str">
        <x:v>A2</x:v>
      </x:c>
      <x:c r="C2016" s="47" t="n">
        <x:v>1.2375604372367075</x:v>
      </x:c>
      <x:c r="D2016" s="47" t="n">
        <x:v>0.7390887306656121</x:v>
      </x:c>
      <x:c r="E2016" s="47" t="n">
        <x:v>0.6048267958514959</x:v>
      </x:c>
      <x:c r="F2016" s="47" t="n">
        <x:v>-0.17048924171403781</x:v>
      </x:c>
      <x:c r="G2016" s="47" t="n">
        <x:v>-0.13714345463476765</x:v>
      </x:c>
      <x:c r="H2016" s="47" t="n">
        <x:v>0.4057606377634183</x:v>
      </x:c>
      <x:c r="I2016" s="47" t="n">
        <x:v>0.6509909821441479</x:v>
      </x:c>
      <x:c r="J2016" s="47" t="n">
        <x:v>0.4205394869227654</x:v>
      </x:c>
      <x:c r="K2016" s="47" t="n">
        <x:v>0.8215779250339681</x:v>
      </x:c>
      <x:c r="L2016" s="47" t="n">
        <x:v>0.7029649334235721</x:v>
      </x:c>
      <x:c r="M2016" s="47" t="n">
        <x:v>0.15842819318113158</x:v>
      </x:c>
      <x:c r="N2016" s="47" t="n">
        <x:v>0.8476258018691218</x:v>
      </x:c>
      <x:c r="O2016" s="47" t="n">
        <x:v>0.7836704800686504</x:v>
      </x:c>
      <x:c r="P2016" s="47" t="n">
        <x:v>0.4195400263473674</x:v>
      </x:c>
      <x:c r="Q2016" s="47" t="n">
        <x:v>1</x:v>
      </x:c>
      <x:c r="R2016" s="47" t="n">
        <x:v>0.7328669972000346</x:v>
      </x:c>
      <x:c r="S2016" s="27" t="n">
        <x:v>0</x:v>
      </x:c>
    </x:row>
    <x:row r="2017" ht="21.600000381469727" hidden="0" customHeight="1">
      <x:c r="A2017" s="29" t="n">
        <x:v>671</x:v>
      </x:c>
      <x:c r="B2017" s="29" t="str">
        <x:v>A3</x:v>
      </x:c>
      <x:c r="C2017" s="48" t="n">
        <x:v>1.2375604372367075</x:v>
      </x:c>
      <x:c r="D2017" s="48" t="n">
        <x:v>0.7390887306656121</x:v>
      </x:c>
      <x:c r="E2017" s="48" t="n">
        <x:v>0.6048267958514959</x:v>
      </x:c>
      <x:c r="F2017" s="48" t="n">
        <x:v>-0.17048924171403781</x:v>
      </x:c>
      <x:c r="G2017" s="48" t="n">
        <x:v>-0.13714345463476765</x:v>
      </x:c>
      <x:c r="H2017" s="48" t="n">
        <x:v>0.4057606377634183</x:v>
      </x:c>
      <x:c r="I2017" s="48" t="n">
        <x:v>0.6509909821441479</x:v>
      </x:c>
      <x:c r="J2017" s="48" t="n">
        <x:v>0.4205394869227654</x:v>
      </x:c>
      <x:c r="K2017" s="48" t="n">
        <x:v>0.8215779250339681</x:v>
      </x:c>
      <x:c r="L2017" s="48" t="n">
        <x:v>0.7029649334235721</x:v>
      </x:c>
      <x:c r="M2017" s="48" t="n">
        <x:v>0.15842819318113158</x:v>
      </x:c>
      <x:c r="N2017" s="48" t="n">
        <x:v>0.8476258018691218</x:v>
      </x:c>
      <x:c r="O2017" s="48" t="n">
        <x:v>1</x:v>
      </x:c>
      <x:c r="P2017" s="48" t="n">
        <x:v>1</x:v>
      </x:c>
      <x:c r="Q2017" s="48" t="n">
        <x:v>1</x:v>
      </x:c>
      <x:c r="R2017" s="48" t="n">
        <x:v>1</x:v>
      </x:c>
      <x:c r="S2017" s="29" t="n">
        <x:v>1</x:v>
      </x:c>
    </x:row>
    <x:row r="2018" ht="15" hidden="0" customHeight="1">
      <x:c r="A2018" s="27" t="n">
        <x:v>672</x:v>
      </x:c>
      <x:c r="B2018" s="27" t="str">
        <x:v>A1</x:v>
      </x:c>
      <x:c r="C2018" s="47" t="n">
        <x:v>0.9196695305951467</x:v>
      </x:c>
      <x:c r="D2018" s="47" t="n">
        <x:v>0.8860711563741757</x:v>
      </x:c>
      <x:c r="E2018" s="47" t="n">
        <x:v>0.9122915336455175</x:v>
      </x:c>
      <x:c r="F2018" s="47" t="n">
        <x:v>-0.02628742024286901</x:v>
      </x:c>
      <x:c r="G2018" s="47" t="n">
        <x:v>0.004085215955786953</x:v>
      </x:c>
      <x:c r="H2018" s="47" t="n">
        <x:v>0.718860723458352</x:v>
      </x:c>
      <x:c r="I2018" s="47" t="n">
        <x:v>0.6014196065766433</x:v>
      </x:c>
      <x:c r="J2018" s="47" t="n">
        <x:v>0.5960720347595535</x:v>
      </x:c>
      <x:c r="K2018" s="47" t="n">
        <x:v>0.9317488495836446</x:v>
      </x:c>
      <x:c r="L2018" s="47" t="n">
        <x:v>0.7850221962189219</x:v>
      </x:c>
      <x:c r="M2018" s="47" t="n">
        <x:v>0.07645046534570359</x:v>
      </x:c>
      <x:c r="N2018" s="47" t="n">
        <x:v>0.6725514913331514</x:v>
      </x:c>
      <x:c r="O2018" s="47" t="n">
        <x:v>0.9278300013813323</x:v>
      </x:c>
      <x:c r="P2018" s="47" t="n">
        <x:v>0.7440312716442044</x:v>
      </x:c>
      <x:c r="Q2018" s="47" t="n">
        <x:v>1</x:v>
      </x:c>
      <x:c r="R2018" s="47" t="n">
        <x:v>0.9108813792533165</x:v>
      </x:c>
      <x:c r="S2018" s="27" t="n">
        <x:v>0</x:v>
      </x:c>
    </x:row>
    <x:row r="2019" ht="15" hidden="0" customHeight="1">
      <x:c r="A2019" s="29" t="n">
        <x:v>672</x:v>
      </x:c>
      <x:c r="B2019" s="29" t="str">
        <x:v>A2</x:v>
      </x:c>
      <x:c r="C2019" s="48" t="n">
        <x:v>0.9196695305951467</x:v>
      </x:c>
      <x:c r="D2019" s="48" t="n">
        <x:v>0.8860711563741757</x:v>
      </x:c>
      <x:c r="E2019" s="48" t="n">
        <x:v>0.9122915336455175</x:v>
      </x:c>
      <x:c r="F2019" s="48" t="n">
        <x:v>-0.02628742024286901</x:v>
      </x:c>
      <x:c r="G2019" s="48" t="n">
        <x:v>0.004085215955786953</x:v>
      </x:c>
      <x:c r="H2019" s="48" t="n">
        <x:v>0.718860723458352</x:v>
      </x:c>
      <x:c r="I2019" s="48" t="n">
        <x:v>0.6014196065766433</x:v>
      </x:c>
      <x:c r="J2019" s="48" t="n">
        <x:v>0.5960720347595535</x:v>
      </x:c>
      <x:c r="K2019" s="48" t="n">
        <x:v>0.9317488495836446</x:v>
      </x:c>
      <x:c r="L2019" s="48" t="n">
        <x:v>0.7850221962189219</x:v>
      </x:c>
      <x:c r="M2019" s="48" t="n">
        <x:v>0.07645046534570359</x:v>
      </x:c>
      <x:c r="N2019" s="48" t="n">
        <x:v>0.6725514913331514</x:v>
      </x:c>
      <x:c r="O2019" s="48" t="n">
        <x:v>1</x:v>
      </x:c>
      <x:c r="P2019" s="48" t="n">
        <x:v>0.9999999999999999</x:v>
      </x:c>
      <x:c r="Q2019" s="48" t="n">
        <x:v>1</x:v>
      </x:c>
      <x:c r="R2019" s="48" t="n">
        <x:v>1</x:v>
      </x:c>
      <x:c r="S2019" s="29" t="n">
        <x:v>1</x:v>
      </x:c>
    </x:row>
    <x:row r="2020" ht="15" hidden="0" customHeight="1">
      <x:c r="A2020" s="27" t="n">
        <x:v>672</x:v>
      </x:c>
      <x:c r="B2020" s="27" t="str">
        <x:v>A3</x:v>
      </x:c>
      <x:c r="C2020" s="47" t="n">
        <x:v>0.9196695305951467</x:v>
      </x:c>
      <x:c r="D2020" s="47" t="n">
        <x:v>0.8860711563741757</x:v>
      </x:c>
      <x:c r="E2020" s="47" t="n">
        <x:v>0.9122915336455175</x:v>
      </x:c>
      <x:c r="F2020" s="47" t="n">
        <x:v>-0.02628742024286901</x:v>
      </x:c>
      <x:c r="G2020" s="47" t="n">
        <x:v>0.004085215955786953</x:v>
      </x:c>
      <x:c r="H2020" s="47" t="n">
        <x:v>0.718860723458352</x:v>
      </x:c>
      <x:c r="I2020" s="47" t="n">
        <x:v>0.6014196065766433</x:v>
      </x:c>
      <x:c r="J2020" s="47" t="n">
        <x:v>0.5960720347595535</x:v>
      </x:c>
      <x:c r="K2020" s="47" t="n">
        <x:v>0.9317488495836446</x:v>
      </x:c>
      <x:c r="L2020" s="47" t="n">
        <x:v>0.7850221962189219</x:v>
      </x:c>
      <x:c r="M2020" s="47" t="n">
        <x:v>0.07645046534570359</x:v>
      </x:c>
      <x:c r="N2020" s="47" t="n">
        <x:v>0.6725514913331514</x:v>
      </x:c>
      <x:c r="O2020" s="47" t="n">
        <x:v>1</x:v>
      </x:c>
      <x:c r="P2020" s="47" t="n">
        <x:v>1</x:v>
      </x:c>
      <x:c r="Q2020" s="47" t="n">
        <x:v>1</x:v>
      </x:c>
      <x:c r="R2020" s="47" t="n">
        <x:v>1</x:v>
      </x:c>
      <x:c r="S2020" s="27" t="n">
        <x:v>1</x:v>
      </x:c>
    </x:row>
    <x:row r="2021" ht="21.600000381469727" hidden="0" customHeight="1">
      <x:c r="A2021" s="29" t="n">
        <x:v>673</x:v>
      </x:c>
      <x:c r="B2021" s="29" t="str">
        <x:v>A1</x:v>
      </x:c>
      <x:c r="C2021" s="48" t="n">
        <x:v>0.9646358666504709</x:v>
      </x:c>
      <x:c r="D2021" s="48" t="n">
        <x:v>0.9090868591185288</x:v>
      </x:c>
      <x:c r="E2021" s="48" t="n">
        <x:v>0.9184874763454665</x:v>
      </x:c>
      <x:c r="F2021" s="48" t="n">
        <x:v>-0.12115954375197004</x:v>
      </x:c>
      <x:c r="G2021" s="48" t="n">
        <x:v>-0.04041245247764372</x:v>
      </x:c>
      <x:c r="H2021" s="48" t="n">
        <x:v>0.8371761980131591</x:v>
      </x:c>
      <x:c r="I2021" s="48" t="n">
        <x:v>0.958325127277343</x:v>
      </x:c>
      <x:c r="J2021" s="48" t="n">
        <x:v>0.6763900147367925</x:v>
      </x:c>
      <x:c r="K2021" s="48" t="n">
        <x:v>0.8721781946668935</x:v>
      </x:c>
      <x:c r="L2021" s="48" t="n">
        <x:v>0.5487498532036629</x:v>
      </x:c>
      <x:c r="M2021" s="48" t="n">
        <x:v>0.11170457545773682</x:v>
      </x:c>
      <x:c r="N2021" s="48" t="n">
        <x:v>0.9629056912343092</x:v>
      </x:c>
      <x:c r="O2021" s="48" t="n">
        <x:v>0.9449393663060307</x:v>
      </x:c>
      <x:c r="P2021" s="48" t="n">
        <x:v>0.781316542447704</x:v>
      </x:c>
      <x:c r="Q2021" s="48" t="n">
        <x:v>1</x:v>
      </x:c>
      <x:c r="R2021" s="48" t="n">
        <x:v>0.9320087595099984</x:v>
      </x:c>
      <x:c r="S2021" s="29" t="n">
        <x:v>0</x:v>
      </x:c>
    </x:row>
    <x:row r="2022" ht="21.600000381469727" hidden="0" customHeight="1">
      <x:c r="A2022" s="27" t="n">
        <x:v>673</x:v>
      </x:c>
      <x:c r="B2022" s="27" t="str">
        <x:v>A2</x:v>
      </x:c>
      <x:c r="C2022" s="47" t="n">
        <x:v>0.9646358666504709</x:v>
      </x:c>
      <x:c r="D2022" s="47" t="n">
        <x:v>0.9090868591185288</x:v>
      </x:c>
      <x:c r="E2022" s="47" t="n">
        <x:v>0.9184874763454665</x:v>
      </x:c>
      <x:c r="F2022" s="47" t="n">
        <x:v>-0.12115954375197004</x:v>
      </x:c>
      <x:c r="G2022" s="47" t="n">
        <x:v>-0.04041245247764372</x:v>
      </x:c>
      <x:c r="H2022" s="47" t="n">
        <x:v>0.8371761980131591</x:v>
      </x:c>
      <x:c r="I2022" s="47" t="n">
        <x:v>0.958325127277343</x:v>
      </x:c>
      <x:c r="J2022" s="47" t="n">
        <x:v>0.6763900147367925</x:v>
      </x:c>
      <x:c r="K2022" s="47" t="n">
        <x:v>0.8721781946668935</x:v>
      </x:c>
      <x:c r="L2022" s="47" t="n">
        <x:v>0.5487498532036629</x:v>
      </x:c>
      <x:c r="M2022" s="47" t="n">
        <x:v>0.11170457545773682</x:v>
      </x:c>
      <x:c r="N2022" s="47" t="n">
        <x:v>0.9629056912343092</x:v>
      </x:c>
      <x:c r="O2022" s="47" t="n">
        <x:v>0.9867599028615938</x:v>
      </x:c>
      <x:c r="P2022" s="47" t="n">
        <x:v>0.8675990286159371</x:v>
      </x:c>
      <x:c r="Q2022" s="47" t="n">
        <x:v>1</x:v>
      </x:c>
      <x:c r="R2022" s="47" t="n">
        <x:v>0.9836505581528213</x:v>
      </x:c>
      <x:c r="S2022" s="27" t="n">
        <x:v>0</x:v>
      </x:c>
    </x:row>
    <x:row r="2023" ht="21.600000381469727" hidden="0" customHeight="1">
      <x:c r="A2023" s="29" t="n">
        <x:v>673</x:v>
      </x:c>
      <x:c r="B2023" s="29" t="str">
        <x:v>A3</x:v>
      </x:c>
      <x:c r="C2023" s="48" t="n">
        <x:v>0.9646358666504709</x:v>
      </x:c>
      <x:c r="D2023" s="48" t="n">
        <x:v>0.9090868591185288</x:v>
      </x:c>
      <x:c r="E2023" s="48" t="n">
        <x:v>0.9184874763454665</x:v>
      </x:c>
      <x:c r="F2023" s="48" t="n">
        <x:v>-0.12115954375197004</x:v>
      </x:c>
      <x:c r="G2023" s="48" t="n">
        <x:v>-0.04041245247764372</x:v>
      </x:c>
      <x:c r="H2023" s="48" t="n">
        <x:v>0.8371761980131591</x:v>
      </x:c>
      <x:c r="I2023" s="48" t="n">
        <x:v>0.958325127277343</x:v>
      </x:c>
      <x:c r="J2023" s="48" t="n">
        <x:v>0.6763900147367925</x:v>
      </x:c>
      <x:c r="K2023" s="48" t="n">
        <x:v>0.8721781946668935</x:v>
      </x:c>
      <x:c r="L2023" s="48" t="n">
        <x:v>0.5487498532036629</x:v>
      </x:c>
      <x:c r="M2023" s="48" t="n">
        <x:v>0.11170457545773682</x:v>
      </x:c>
      <x:c r="N2023" s="48" t="n">
        <x:v>0.9629056912343092</x:v>
      </x:c>
      <x:c r="O2023" s="48" t="n">
        <x:v>1</x:v>
      </x:c>
      <x:c r="P2023" s="48" t="n">
        <x:v>1</x:v>
      </x:c>
      <x:c r="Q2023" s="48" t="n">
        <x:v>1</x:v>
      </x:c>
      <x:c r="R2023" s="48" t="n">
        <x:v>1</x:v>
      </x:c>
      <x:c r="S2023" s="29" t="n">
        <x:v>1</x:v>
      </x:c>
    </x:row>
    <x:row r="2024" ht="21.600000381469727" hidden="0" customHeight="1">
      <x:c r="A2024" s="27" t="n">
        <x:v>674</x:v>
      </x:c>
      <x:c r="B2024" s="27" t="str">
        <x:v>A1</x:v>
      </x:c>
      <x:c r="C2024" s="47" t="n">
        <x:v>0.931374458106123</x:v>
      </x:c>
      <x:c r="D2024" s="47" t="n">
        <x:v>0.801245131575463</x:v>
      </x:c>
      <x:c r="E2024" s="47" t="n">
        <x:v>0.7443251362683201</x:v>
      </x:c>
      <x:c r="F2024" s="47" t="n">
        <x:v>-0.19709830245207213</x:v>
      </x:c>
      <x:c r="G2024" s="47" t="n">
        <x:v>-0.15750425374376176</x:v>
      </x:c>
      <x:c r="H2024" s="47" t="n">
        <x:v>0.959190617168737</x:v>
      </x:c>
      <x:c r="I2024" s="47" t="n">
        <x:v>0.8539420773616351</x:v>
      </x:c>
      <x:c r="J2024" s="47" t="n">
        <x:v>0.8707270088814634</x:v>
      </x:c>
      <x:c r="K2024" s="47" t="n">
        <x:v>0.7337631200718665</x:v>
      </x:c>
      <x:c r="L2024" s="47" t="n">
        <x:v>0.6294413389682474</x:v>
      </x:c>
      <x:c r="M2024" s="47" t="n">
        <x:v>0.1270694163513467</x:v>
      </x:c>
      <x:c r="N2024" s="47" t="n">
        <x:v>0.7139046617642796</x:v>
      </x:c>
      <x:c r="O2024" s="47" t="n">
        <x:v>0.8952634416983228</x:v>
      </x:c>
      <x:c r="P2024" s="47" t="n">
        <x:v>0.5063598922831207</x:v>
      </x:c>
      <x:c r="Q2024" s="47" t="n">
        <x:v>1</x:v>
      </x:c>
      <x:c r="R2024" s="47" t="n">
        <x:v>0.8706667895766633</x:v>
      </x:c>
      <x:c r="S2024" s="27" t="n">
        <x:v>0</x:v>
      </x:c>
    </x:row>
    <x:row r="2025" ht="21.600000381469727" hidden="0" customHeight="1">
      <x:c r="A2025" s="29" t="n">
        <x:v>674</x:v>
      </x:c>
      <x:c r="B2025" s="29" t="str">
        <x:v>A2</x:v>
      </x:c>
      <x:c r="C2025" s="48" t="n">
        <x:v>0.931374458106123</x:v>
      </x:c>
      <x:c r="D2025" s="48" t="n">
        <x:v>0.801245131575463</x:v>
      </x:c>
      <x:c r="E2025" s="48" t="n">
        <x:v>0.7443251362683201</x:v>
      </x:c>
      <x:c r="F2025" s="48" t="n">
        <x:v>-0.19709830245207213</x:v>
      </x:c>
      <x:c r="G2025" s="48" t="n">
        <x:v>-0.15750425374376176</x:v>
      </x:c>
      <x:c r="H2025" s="48" t="n">
        <x:v>0.959190617168737</x:v>
      </x:c>
      <x:c r="I2025" s="48" t="n">
        <x:v>0.8539420773616351</x:v>
      </x:c>
      <x:c r="J2025" s="48" t="n">
        <x:v>0.8707270088814634</x:v>
      </x:c>
      <x:c r="K2025" s="48" t="n">
        <x:v>0.7337631200718665</x:v>
      </x:c>
      <x:c r="L2025" s="48" t="n">
        <x:v>0.6294413389682474</x:v>
      </x:c>
      <x:c r="M2025" s="48" t="n">
        <x:v>0.1270694163513467</x:v>
      </x:c>
      <x:c r="N2025" s="48" t="n">
        <x:v>0.7139046617642796</x:v>
      </x:c>
      <x:c r="O2025" s="48" t="n">
        <x:v>0.9830810415551083</x:v>
      </x:c>
      <x:c r="P2025" s="48" t="n">
        <x:v>0.8308104155510836</x:v>
      </x:c>
      <x:c r="Q2025" s="48" t="n">
        <x:v>1</x:v>
      </x:c>
      <x:c r="R2025" s="48" t="n">
        <x:v>0.9791077418603528</x:v>
      </x:c>
      <x:c r="S2025" s="29" t="n">
        <x:v>0</x:v>
      </x:c>
    </x:row>
    <x:row r="2026" ht="21.600000381469727" hidden="0" customHeight="1">
      <x:c r="A2026" s="27" t="n">
        <x:v>674</x:v>
      </x:c>
      <x:c r="B2026" s="27" t="str">
        <x:v>A3</x:v>
      </x:c>
      <x:c r="C2026" s="47" t="n">
        <x:v>0.931374458106123</x:v>
      </x:c>
      <x:c r="D2026" s="47" t="n">
        <x:v>0.801245131575463</x:v>
      </x:c>
      <x:c r="E2026" s="47" t="n">
        <x:v>0.7443251362683201</x:v>
      </x:c>
      <x:c r="F2026" s="47" t="n">
        <x:v>-0.19709830245207213</x:v>
      </x:c>
      <x:c r="G2026" s="47" t="n">
        <x:v>-0.15750425374376176</x:v>
      </x:c>
      <x:c r="H2026" s="47" t="n">
        <x:v>0.959190617168737</x:v>
      </x:c>
      <x:c r="I2026" s="47" t="n">
        <x:v>0.8539420773616351</x:v>
      </x:c>
      <x:c r="J2026" s="47" t="n">
        <x:v>0.8707270088814634</x:v>
      </x:c>
      <x:c r="K2026" s="47" t="n">
        <x:v>0.7337631200718665</x:v>
      </x:c>
      <x:c r="L2026" s="47" t="n">
        <x:v>0.6294413389682474</x:v>
      </x:c>
      <x:c r="M2026" s="47" t="n">
        <x:v>0.1270694163513467</x:v>
      </x:c>
      <x:c r="N2026" s="47" t="n">
        <x:v>0.7139046617642796</x:v>
      </x:c>
      <x:c r="O2026" s="47" t="n">
        <x:v>1</x:v>
      </x:c>
      <x:c r="P2026" s="47" t="n">
        <x:v>1</x:v>
      </x:c>
      <x:c r="Q2026" s="47" t="n">
        <x:v>1</x:v>
      </x:c>
      <x:c r="R2026" s="47" t="n">
        <x:v>1</x:v>
      </x:c>
      <x:c r="S2026" s="27" t="n">
        <x:v>1</x:v>
      </x:c>
    </x:row>
    <x:row r="2027" ht="21.600000381469727" hidden="0" customHeight="1">
      <x:c r="A2027" s="29" t="n">
        <x:v>675</x:v>
      </x:c>
      <x:c r="B2027" s="29" t="str">
        <x:v>A1</x:v>
      </x:c>
      <x:c r="C2027" s="48" t="n">
        <x:v>1.0109971317516544</x:v>
      </x:c>
      <x:c r="D2027" s="48" t="n">
        <x:v>0.7323636562360654</x:v>
      </x:c>
      <x:c r="E2027" s="48" t="n">
        <x:v>0.8383274418643273</x:v>
      </x:c>
      <x:c r="F2027" s="48" t="n">
        <x:v>-0.029071514260848558</x:v>
      </x:c>
      <x:c r="G2027" s="48" t="n">
        <x:v>-0.1014375738257716</x:v>
      </x:c>
      <x:c r="H2027" s="48" t="n">
        <x:v>0.48542006948332084</x:v>
      </x:c>
      <x:c r="I2027" s="48" t="n">
        <x:v>0.606225911735406</x:v>
      </x:c>
      <x:c r="J2027" s="48" t="n">
        <x:v>0.7335616845069397</x:v>
      </x:c>
      <x:c r="K2027" s="48" t="n">
        <x:v>0.6182564737404218</x:v>
      </x:c>
      <x:c r="L2027" s="48" t="n">
        <x:v>0.7502784555020375</x:v>
      </x:c>
      <x:c r="M2027" s="48" t="n">
        <x:v>0.11404215115523068</x:v>
      </x:c>
      <x:c r="N2027" s="48" t="n">
        <x:v>0.9695000585634193</x:v>
      </x:c>
      <x:c r="O2027" s="48" t="n">
        <x:v>0.8257532785407877</x:v>
      </x:c>
      <x:c r="P2027" s="48" t="n">
        <x:v>0.4842415032227599</x:v>
      </x:c>
      <x:c r="Q2027" s="48" t="n">
        <x:v>1</x:v>
      </x:c>
      <x:c r="R2027" s="48" t="n">
        <x:v>0.7848326481461247</x:v>
      </x:c>
      <x:c r="S2027" s="29" t="n">
        <x:v>0</x:v>
      </x:c>
    </x:row>
    <x:row r="2028" ht="21.600000381469727" hidden="0" customHeight="1">
      <x:c r="A2028" s="27" t="n">
        <x:v>675</x:v>
      </x:c>
      <x:c r="B2028" s="27" t="str">
        <x:v>A2</x:v>
      </x:c>
      <x:c r="C2028" s="47" t="n">
        <x:v>1.0109971317516544</x:v>
      </x:c>
      <x:c r="D2028" s="47" t="n">
        <x:v>0.7323636562360654</x:v>
      </x:c>
      <x:c r="E2028" s="47" t="n">
        <x:v>0.8383274418643273</x:v>
      </x:c>
      <x:c r="F2028" s="47" t="n">
        <x:v>-0.029071514260848558</x:v>
      </x:c>
      <x:c r="G2028" s="47" t="n">
        <x:v>-0.1014375738257716</x:v>
      </x:c>
      <x:c r="H2028" s="47" t="n">
        <x:v>0.48542006948332084</x:v>
      </x:c>
      <x:c r="I2028" s="47" t="n">
        <x:v>0.606225911735406</x:v>
      </x:c>
      <x:c r="J2028" s="47" t="n">
        <x:v>0.7335616845069397</x:v>
      </x:c>
      <x:c r="K2028" s="47" t="n">
        <x:v>0.6182564737404218</x:v>
      </x:c>
      <x:c r="L2028" s="47" t="n">
        <x:v>0.7502784555020375</x:v>
      </x:c>
      <x:c r="M2028" s="47" t="n">
        <x:v>0.11404215115523068</x:v>
      </x:c>
      <x:c r="N2028" s="47" t="n">
        <x:v>0.9695000585634193</x:v>
      </x:c>
      <x:c r="O2028" s="47" t="n">
        <x:v>0.9058714993040398</x:v>
      </x:c>
      <x:c r="P2028" s="47" t="n">
        <x:v>0.5261747189345404</x:v>
      </x:c>
      <x:c r="Q2028" s="47" t="n">
        <x:v>1</x:v>
      </x:c>
      <x:c r="R2028" s="47" t="n">
        <x:v>0.8837660757165734</x:v>
      </x:c>
      <x:c r="S2028" s="27" t="n">
        <x:v>0</x:v>
      </x:c>
    </x:row>
    <x:row r="2029" ht="21.600000381469727" hidden="0" customHeight="1">
      <x:c r="A2029" s="29" t="n">
        <x:v>675</x:v>
      </x:c>
      <x:c r="B2029" s="29" t="str">
        <x:v>A3</x:v>
      </x:c>
      <x:c r="C2029" s="48" t="n">
        <x:v>1.0109971317516544</x:v>
      </x:c>
      <x:c r="D2029" s="48" t="n">
        <x:v>0.7323636562360654</x:v>
      </x:c>
      <x:c r="E2029" s="48" t="n">
        <x:v>0.8383274418643273</x:v>
      </x:c>
      <x:c r="F2029" s="48" t="n">
        <x:v>-0.029071514260848558</x:v>
      </x:c>
      <x:c r="G2029" s="48" t="n">
        <x:v>-0.1014375738257716</x:v>
      </x:c>
      <x:c r="H2029" s="48" t="n">
        <x:v>0.48542006948332084</x:v>
      </x:c>
      <x:c r="I2029" s="48" t="n">
        <x:v>0.606225911735406</x:v>
      </x:c>
      <x:c r="J2029" s="48" t="n">
        <x:v>0.7335616845069397</x:v>
      </x:c>
      <x:c r="K2029" s="48" t="n">
        <x:v>0.6182564737404218</x:v>
      </x:c>
      <x:c r="L2029" s="48" t="n">
        <x:v>0.7502784555020375</x:v>
      </x:c>
      <x:c r="M2029" s="48" t="n">
        <x:v>0.11404215115523068</x:v>
      </x:c>
      <x:c r="N2029" s="48" t="n">
        <x:v>0.9695000585634193</x:v>
      </x:c>
      <x:c r="O2029" s="48" t="n">
        <x:v>1</x:v>
      </x:c>
      <x:c r="P2029" s="48" t="n">
        <x:v>1</x:v>
      </x:c>
      <x:c r="Q2029" s="48" t="n">
        <x:v>1</x:v>
      </x:c>
      <x:c r="R2029" s="48" t="n">
        <x:v>1</x:v>
      </x:c>
      <x:c r="S2029" s="29" t="n">
        <x:v>1</x:v>
      </x:c>
    </x:row>
    <x:row r="2030" ht="21.600000381469727" hidden="0" customHeight="1">
      <x:c r="A2030" s="27" t="n">
        <x:v>676</x:v>
      </x:c>
      <x:c r="B2030" s="27" t="str">
        <x:v>A1</x:v>
      </x:c>
      <x:c r="C2030" s="47" t="n">
        <x:v>1.3462635092807653</x:v>
      </x:c>
      <x:c r="D2030" s="47" t="n">
        <x:v>0.7444317733532537</x:v>
      </x:c>
      <x:c r="E2030" s="47" t="n">
        <x:v>1.020487426615789</x:v>
      </x:c>
      <x:c r="F2030" s="47" t="n">
        <x:v>-0.180683151696531</x:v>
      </x:c>
      <x:c r="G2030" s="47" t="n">
        <x:v>-0.19853663062015314</x:v>
      </x:c>
      <x:c r="H2030" s="47" t="n">
        <x:v>0.30121373358524084</x:v>
      </x:c>
      <x:c r="I2030" s="47" t="n">
        <x:v>0.8512387074054597</x:v>
      </x:c>
      <x:c r="J2030" s="47" t="n">
        <x:v>0.7539417145025233</x:v>
      </x:c>
      <x:c r="K2030" s="47" t="n">
        <x:v>0.9264486857309797</x:v>
      </x:c>
      <x:c r="L2030" s="47" t="n">
        <x:v>0.5739697378351849</x:v>
      </x:c>
      <x:c r="M2030" s="47" t="n">
        <x:v>0.14432697300573472</x:v>
      </x:c>
      <x:c r="N2030" s="47" t="n">
        <x:v>0.9381655551088514</x:v>
      </x:c>
      <x:c r="O2030" s="47" t="n">
        <x:v>0.6982040156367075</x:v>
      </x:c>
      <x:c r="P2030" s="47" t="n">
        <x:v>0.3973303227526983</x:v>
      </x:c>
      <x:c r="Q2030" s="47" t="n">
        <x:v>0.96869972205396</x:v>
      </x:c>
      <x:c r="R2030" s="47" t="n">
        <x:v>0.6301651966337437</x:v>
      </x:c>
      <x:c r="S2030" s="27" t="n">
        <x:v>0</x:v>
      </x:c>
    </x:row>
    <x:row r="2031" ht="21.600000381469727" hidden="0" customHeight="1">
      <x:c r="A2031" s="29" t="n">
        <x:v>676</x:v>
      </x:c>
      <x:c r="B2031" s="29" t="str">
        <x:v>A2</x:v>
      </x:c>
      <x:c r="C2031" s="48" t="n">
        <x:v>1.3462635092807653</x:v>
      </x:c>
      <x:c r="D2031" s="48" t="n">
        <x:v>0.7444317733532537</x:v>
      </x:c>
      <x:c r="E2031" s="48" t="n">
        <x:v>1.020487426615789</x:v>
      </x:c>
      <x:c r="F2031" s="48" t="n">
        <x:v>-0.180683151696531</x:v>
      </x:c>
      <x:c r="G2031" s="48" t="n">
        <x:v>-0.19853663062015314</x:v>
      </x:c>
      <x:c r="H2031" s="48" t="n">
        <x:v>0.30121373358524084</x:v>
      </x:c>
      <x:c r="I2031" s="48" t="n">
        <x:v>0.8512387074054597</x:v>
      </x:c>
      <x:c r="J2031" s="48" t="n">
        <x:v>0.7539417145025233</x:v>
      </x:c>
      <x:c r="K2031" s="48" t="n">
        <x:v>0.9264486857309797</x:v>
      </x:c>
      <x:c r="L2031" s="48" t="n">
        <x:v>0.5739697378351849</x:v>
      </x:c>
      <x:c r="M2031" s="48" t="n">
        <x:v>0.14432697300573472</x:v>
      </x:c>
      <x:c r="N2031" s="48" t="n">
        <x:v>0.9381655551088514</x:v>
      </x:c>
      <x:c r="O2031" s="48" t="n">
        <x:v>0.782548612083653</x:v>
      </x:c>
      <x:c r="P2031" s="48" t="n">
        <x:v>0.46039356500032613</x:v>
      </x:c>
      <x:c r="Q2031" s="48" t="n">
        <x:v>1</x:v>
      </x:c>
      <x:c r="R2031" s="48" t="n">
        <x:v>0.7314816663229882</x:v>
      </x:c>
      <x:c r="S2031" s="29" t="n">
        <x:v>0</x:v>
      </x:c>
    </x:row>
    <x:row r="2032" ht="21.600000381469727" hidden="0" customHeight="1">
      <x:c r="A2032" s="27" t="n">
        <x:v>676</x:v>
      </x:c>
      <x:c r="B2032" s="27" t="str">
        <x:v>A3</x:v>
      </x:c>
      <x:c r="C2032" s="47" t="n">
        <x:v>1.3462635092807653</x:v>
      </x:c>
      <x:c r="D2032" s="47" t="n">
        <x:v>0.7444317733532537</x:v>
      </x:c>
      <x:c r="E2032" s="47" t="n">
        <x:v>1.020487426615789</x:v>
      </x:c>
      <x:c r="F2032" s="47" t="n">
        <x:v>-0.180683151696531</x:v>
      </x:c>
      <x:c r="G2032" s="47" t="n">
        <x:v>-0.19853663062015314</x:v>
      </x:c>
      <x:c r="H2032" s="47" t="n">
        <x:v>0.30121373358524084</x:v>
      </x:c>
      <x:c r="I2032" s="47" t="n">
        <x:v>0.8512387074054597</x:v>
      </x:c>
      <x:c r="J2032" s="47" t="n">
        <x:v>0.7539417145025233</x:v>
      </x:c>
      <x:c r="K2032" s="47" t="n">
        <x:v>0.9264486857309797</x:v>
      </x:c>
      <x:c r="L2032" s="47" t="n">
        <x:v>0.5739697378351849</x:v>
      </x:c>
      <x:c r="M2032" s="47" t="n">
        <x:v>0.14432697300573472</x:v>
      </x:c>
      <x:c r="N2032" s="47" t="n">
        <x:v>0.9381655551088514</x:v>
      </x:c>
      <x:c r="O2032" s="47" t="n">
        <x:v>1</x:v>
      </x:c>
      <x:c r="P2032" s="47" t="n">
        <x:v>1</x:v>
      </x:c>
      <x:c r="Q2032" s="47" t="n">
        <x:v>1</x:v>
      </x:c>
      <x:c r="R2032" s="47" t="n">
        <x:v>1.0000000000000002</x:v>
      </x:c>
      <x:c r="S2032" s="27" t="n">
        <x:v>1</x:v>
      </x:c>
    </x:row>
    <x:row r="2033" ht="21.600000381469727" hidden="0" customHeight="1">
      <x:c r="A2033" s="29" t="n">
        <x:v>677</x:v>
      </x:c>
      <x:c r="B2033" s="29" t="str">
        <x:v>A1</x:v>
      </x:c>
      <x:c r="C2033" s="48" t="n">
        <x:v>1.0239330974169825</x:v>
      </x:c>
      <x:c r="D2033" s="48" t="n">
        <x:v>0.8372169912808739</x:v>
      </x:c>
      <x:c r="E2033" s="48" t="n">
        <x:v>0.9056199345162854</x:v>
      </x:c>
      <x:c r="F2033" s="48" t="n">
        <x:v>-0.06443434442304044</x:v>
      </x:c>
      <x:c r="G2033" s="48" t="n">
        <x:v>-0.013133017143477893</x:v>
      </x:c>
      <x:c r="H2033" s="48" t="n">
        <x:v>0.7497265557139845</x:v>
      </x:c>
      <x:c r="I2033" s="48" t="n">
        <x:v>0.7150283551215602</x:v>
      </x:c>
      <x:c r="J2033" s="48" t="n">
        <x:v>0.5001285412017642</x:v>
      </x:c>
      <x:c r="K2033" s="48" t="n">
        <x:v>0.5993698195541225</x:v>
      </x:c>
      <x:c r="L2033" s="48" t="n">
        <x:v>0.7091356614208233</x:v>
      </x:c>
      <x:c r="M2033" s="48" t="n">
        <x:v>0.10059517196975268</x:v>
      </x:c>
      <x:c r="N2033" s="48" t="n">
        <x:v>0.6734588361014209</x:v>
      </x:c>
      <x:c r="O2033" s="48" t="n">
        <x:v>0.8738502044477428</x:v>
      </x:c>
      <x:c r="P2033" s="48" t="n">
        <x:v>0.6771967751498276</x:v>
      </x:c>
      <x:c r="Q2033" s="48" t="n">
        <x:v>1</x:v>
      </x:c>
      <x:c r="R2033" s="48" t="n">
        <x:v>0.8442248025180742</x:v>
      </x:c>
      <x:c r="S2033" s="29" t="n">
        <x:v>0</x:v>
      </x:c>
    </x:row>
    <x:row r="2034" ht="21.600000381469727" hidden="0" customHeight="1">
      <x:c r="A2034" s="27" t="n">
        <x:v>677</x:v>
      </x:c>
      <x:c r="B2034" s="27" t="str">
        <x:v>A2</x:v>
      </x:c>
      <x:c r="C2034" s="47" t="n">
        <x:v>1.0239330974169825</x:v>
      </x:c>
      <x:c r="D2034" s="47" t="n">
        <x:v>0.8372169912808739</x:v>
      </x:c>
      <x:c r="E2034" s="47" t="n">
        <x:v>0.9056199345162854</x:v>
      </x:c>
      <x:c r="F2034" s="47" t="n">
        <x:v>-0.06443434442304044</x:v>
      </x:c>
      <x:c r="G2034" s="47" t="n">
        <x:v>-0.013133017143477893</x:v>
      </x:c>
      <x:c r="H2034" s="47" t="n">
        <x:v>0.7497265557139845</x:v>
      </x:c>
      <x:c r="I2034" s="47" t="n">
        <x:v>0.7150283551215602</x:v>
      </x:c>
      <x:c r="J2034" s="47" t="n">
        <x:v>0.5001285412017642</x:v>
      </x:c>
      <x:c r="K2034" s="47" t="n">
        <x:v>0.5993698195541225</x:v>
      </x:c>
      <x:c r="L2034" s="47" t="n">
        <x:v>0.7091356614208233</x:v>
      </x:c>
      <x:c r="M2034" s="47" t="n">
        <x:v>0.10059517196975268</x:v>
      </x:c>
      <x:c r="N2034" s="47" t="n">
        <x:v>0.6734588361014209</x:v>
      </x:c>
      <x:c r="O2034" s="47" t="n">
        <x:v>0.951147305524741</x:v>
      </x:c>
      <x:c r="P2034" s="47" t="n">
        <x:v>0.692781332060515</x:v>
      </x:c>
      <x:c r="Q2034" s="47" t="n">
        <x:v>1</x:v>
      </x:c>
      <x:c r="R2034" s="47" t="n">
        <x:v>0.9396745900689532</x:v>
      </x:c>
      <x:c r="S2034" s="27" t="n">
        <x:v>0</x:v>
      </x:c>
    </x:row>
    <x:row r="2035" ht="21.600000381469727" hidden="0" customHeight="1">
      <x:c r="A2035" s="29" t="n">
        <x:v>677</x:v>
      </x:c>
      <x:c r="B2035" s="29" t="str">
        <x:v>A3</x:v>
      </x:c>
      <x:c r="C2035" s="48" t="n">
        <x:v>1.0239330974169825</x:v>
      </x:c>
      <x:c r="D2035" s="48" t="n">
        <x:v>0.8372169912808739</x:v>
      </x:c>
      <x:c r="E2035" s="48" t="n">
        <x:v>0.9056199345162854</x:v>
      </x:c>
      <x:c r="F2035" s="48" t="n">
        <x:v>-0.06443434442304044</x:v>
      </x:c>
      <x:c r="G2035" s="48" t="n">
        <x:v>-0.013133017143477893</x:v>
      </x:c>
      <x:c r="H2035" s="48" t="n">
        <x:v>0.7497265557139845</x:v>
      </x:c>
      <x:c r="I2035" s="48" t="n">
        <x:v>0.7150283551215602</x:v>
      </x:c>
      <x:c r="J2035" s="48" t="n">
        <x:v>0.5001285412017642</x:v>
      </x:c>
      <x:c r="K2035" s="48" t="n">
        <x:v>0.5993698195541225</x:v>
      </x:c>
      <x:c r="L2035" s="48" t="n">
        <x:v>0.7091356614208233</x:v>
      </x:c>
      <x:c r="M2035" s="48" t="n">
        <x:v>0.10059517196975268</x:v>
      </x:c>
      <x:c r="N2035" s="48" t="n">
        <x:v>0.6734588361014209</x:v>
      </x:c>
      <x:c r="O2035" s="48" t="n">
        <x:v>1</x:v>
      </x:c>
      <x:c r="P2035" s="48" t="n">
        <x:v>1</x:v>
      </x:c>
      <x:c r="Q2035" s="48" t="n">
        <x:v>1</x:v>
      </x:c>
      <x:c r="R2035" s="48" t="n">
        <x:v>1</x:v>
      </x:c>
      <x:c r="S2035" s="29" t="n">
        <x:v>1</x:v>
      </x:c>
    </x:row>
    <x:row r="2036" ht="21.600000381469727" hidden="0" customHeight="1">
      <x:c r="A2036" s="27" t="n">
        <x:v>678</x:v>
      </x:c>
      <x:c r="B2036" s="27" t="str">
        <x:v>A1</x:v>
      </x:c>
      <x:c r="C2036" s="47" t="n">
        <x:v>1.1426223813311247</x:v>
      </x:c>
      <x:c r="D2036" s="47" t="n">
        <x:v>0.7266057082112483</x:v>
      </x:c>
      <x:c r="E2036" s="47" t="n">
        <x:v>0.8177828559722595</x:v>
      </x:c>
      <x:c r="F2036" s="47" t="n">
        <x:v>-0.027303004565817496</x:v>
      </x:c>
      <x:c r="G2036" s="47" t="n">
        <x:v>-0.01019070859572796</x:v>
      </x:c>
      <x:c r="H2036" s="47" t="n">
        <x:v>0.6732959117182908</x:v>
      </x:c>
      <x:c r="I2036" s="47" t="n">
        <x:v>0.9222013650860014</x:v>
      </x:c>
      <x:c r="J2036" s="47" t="n">
        <x:v>0.6031936297571849</x:v>
      </x:c>
      <x:c r="K2036" s="47" t="n">
        <x:v>0.8367353144189354</x:v>
      </x:c>
      <x:c r="L2036" s="47" t="n">
        <x:v>0.9205719493932225</x:v>
      </x:c>
      <x:c r="M2036" s="47" t="n">
        <x:v>0.02415681152140478</x:v>
      </x:c>
      <x:c r="N2036" s="47" t="n">
        <x:v>0.8038450357953202</x:v>
      </x:c>
      <x:c r="O2036" s="47" t="n">
        <x:v>0.8165159140591863</x:v>
      </x:c>
      <x:c r="P2036" s="47" t="n">
        <x:v>0.49120309417500496</x:v>
      </x:c>
      <x:c r="Q2036" s="47" t="n">
        <x:v>1</x:v>
      </x:c>
      <x:c r="R2036" s="47" t="n">
        <x:v>0.7734259528753592</x:v>
      </x:c>
      <x:c r="S2036" s="27" t="n">
        <x:v>0</x:v>
      </x:c>
    </x:row>
    <x:row r="2037" ht="21.600000381469727" hidden="0" customHeight="1">
      <x:c r="A2037" s="29" t="n">
        <x:v>678</x:v>
      </x:c>
      <x:c r="B2037" s="29" t="str">
        <x:v>A2</x:v>
      </x:c>
      <x:c r="C2037" s="48" t="n">
        <x:v>1.1426223813311247</x:v>
      </x:c>
      <x:c r="D2037" s="48" t="n">
        <x:v>0.7266057082112483</x:v>
      </x:c>
      <x:c r="E2037" s="48" t="n">
        <x:v>0.8177828559722595</x:v>
      </x:c>
      <x:c r="F2037" s="48" t="n">
        <x:v>-0.027303004565817496</x:v>
      </x:c>
      <x:c r="G2037" s="48" t="n">
        <x:v>-0.01019070859572796</x:v>
      </x:c>
      <x:c r="H2037" s="48" t="n">
        <x:v>0.6732959117182908</x:v>
      </x:c>
      <x:c r="I2037" s="48" t="n">
        <x:v>0.9222013650860014</x:v>
      </x:c>
      <x:c r="J2037" s="48" t="n">
        <x:v>0.6031936297571849</x:v>
      </x:c>
      <x:c r="K2037" s="48" t="n">
        <x:v>0.8367353144189354</x:v>
      </x:c>
      <x:c r="L2037" s="48" t="n">
        <x:v>0.9205719493932225</x:v>
      </x:c>
      <x:c r="M2037" s="48" t="n">
        <x:v>0.02415681152140478</x:v>
      </x:c>
      <x:c r="N2037" s="48" t="n">
        <x:v>0.8038450357953202</x:v>
      </x:c>
      <x:c r="O2037" s="48" t="n">
        <x:v>0.923139782383684</x:v>
      </x:c>
      <x:c r="P2037" s="48" t="n">
        <x:v>0.624195410196785</x:v>
      </x:c>
      <x:c r="Q2037" s="48" t="n">
        <x:v>1</x:v>
      </x:c>
      <x:c r="R2037" s="48" t="n">
        <x:v>0.9050896949513826</x:v>
      </x:c>
      <x:c r="S2037" s="29" t="n">
        <x:v>0</x:v>
      </x:c>
    </x:row>
    <x:row r="2038" ht="21.600000381469727" hidden="0" customHeight="1">
      <x:c r="A2038" s="27" t="n">
        <x:v>678</x:v>
      </x:c>
      <x:c r="B2038" s="27" t="str">
        <x:v>A3</x:v>
      </x:c>
      <x:c r="C2038" s="47" t="n">
        <x:v>1.1426223813311247</x:v>
      </x:c>
      <x:c r="D2038" s="47" t="n">
        <x:v>0.7266057082112483</x:v>
      </x:c>
      <x:c r="E2038" s="47" t="n">
        <x:v>0.8177828559722595</x:v>
      </x:c>
      <x:c r="F2038" s="47" t="n">
        <x:v>-0.027303004565817496</x:v>
      </x:c>
      <x:c r="G2038" s="47" t="n">
        <x:v>-0.01019070859572796</x:v>
      </x:c>
      <x:c r="H2038" s="47" t="n">
        <x:v>0.6732959117182908</x:v>
      </x:c>
      <x:c r="I2038" s="47" t="n">
        <x:v>0.9222013650860014</x:v>
      </x:c>
      <x:c r="J2038" s="47" t="n">
        <x:v>0.6031936297571849</x:v>
      </x:c>
      <x:c r="K2038" s="47" t="n">
        <x:v>0.8367353144189354</x:v>
      </x:c>
      <x:c r="L2038" s="47" t="n">
        <x:v>0.9205719493932225</x:v>
      </x:c>
      <x:c r="M2038" s="47" t="n">
        <x:v>0.02415681152140478</x:v>
      </x:c>
      <x:c r="N2038" s="47" t="n">
        <x:v>0.8038450357953202</x:v>
      </x:c>
      <x:c r="O2038" s="47" t="n">
        <x:v>1</x:v>
      </x:c>
      <x:c r="P2038" s="47" t="n">
        <x:v>1</x:v>
      </x:c>
      <x:c r="Q2038" s="47" t="n">
        <x:v>1</x:v>
      </x:c>
      <x:c r="R2038" s="47" t="n">
        <x:v>1</x:v>
      </x:c>
      <x:c r="S2038" s="27" t="n">
        <x:v>1</x:v>
      </x:c>
    </x:row>
    <x:row r="2039" ht="21.600000381469727" hidden="0" customHeight="1">
      <x:c r="A2039" s="29" t="n">
        <x:v>679</x:v>
      </x:c>
      <x:c r="B2039" s="29" t="str">
        <x:v>A1</x:v>
      </x:c>
      <x:c r="C2039" s="48" t="n">
        <x:v>1.116800841281532</x:v>
      </x:c>
      <x:c r="D2039" s="48" t="n">
        <x:v>0.8343014828282727</x:v>
      </x:c>
      <x:c r="E2039" s="48" t="n">
        <x:v>0.5166114677364774</x:v>
      </x:c>
      <x:c r="F2039" s="48" t="n">
        <x:v>0.01694466054382937</x:v>
      </x:c>
      <x:c r="G2039" s="48" t="n">
        <x:v>-0.0279388510062977</x:v>
      </x:c>
      <x:c r="H2039" s="48" t="n">
        <x:v>0.849323875816804</x:v>
      </x:c>
      <x:c r="I2039" s="48" t="n">
        <x:v>0.9565425890491088</x:v>
      </x:c>
      <x:c r="J2039" s="48" t="n">
        <x:v>0.9433116158796969</x:v>
      </x:c>
      <x:c r="K2039" s="48" t="n">
        <x:v>0.8304184608344851</x:v>
      </x:c>
      <x:c r="L2039" s="48" t="n">
        <x:v>0.5796058112811362</x:v>
      </x:c>
      <x:c r="M2039" s="48" t="n">
        <x:v>0.02576158001743736</x:v>
      </x:c>
      <x:c r="N2039" s="48" t="n">
        <x:v>0.827163943604125</x:v>
      </x:c>
      <x:c r="O2039" s="48" t="n">
        <x:v>0.8272094459663134</x:v>
      </x:c>
      <x:c r="P2039" s="48" t="n">
        <x:v>0.5484740254049505</x:v>
      </x:c>
      <x:c r="Q2039" s="48" t="n">
        <x:v>1</x:v>
      </x:c>
      <x:c r="R2039" s="48" t="n">
        <x:v>0.7866307863617674</x:v>
      </x:c>
      <x:c r="S2039" s="29" t="n">
        <x:v>0</x:v>
      </x:c>
    </x:row>
    <x:row r="2040" ht="21.600000381469727" hidden="0" customHeight="1">
      <x:c r="A2040" s="27" t="n">
        <x:v>679</x:v>
      </x:c>
      <x:c r="B2040" s="27" t="str">
        <x:v>A2</x:v>
      </x:c>
      <x:c r="C2040" s="47" t="n">
        <x:v>1.116800841281532</x:v>
      </x:c>
      <x:c r="D2040" s="47" t="n">
        <x:v>0.8343014828282727</x:v>
      </x:c>
      <x:c r="E2040" s="47" t="n">
        <x:v>0.5166114677364774</x:v>
      </x:c>
      <x:c r="F2040" s="47" t="n">
        <x:v>0.01694466054382937</x:v>
      </x:c>
      <x:c r="G2040" s="47" t="n">
        <x:v>-0.0279388510062977</x:v>
      </x:c>
      <x:c r="H2040" s="47" t="n">
        <x:v>0.849323875816804</x:v>
      </x:c>
      <x:c r="I2040" s="47" t="n">
        <x:v>0.9565425890491088</x:v>
      </x:c>
      <x:c r="J2040" s="47" t="n">
        <x:v>0.9433116158796969</x:v>
      </x:c>
      <x:c r="K2040" s="47" t="n">
        <x:v>0.8304184608344851</x:v>
      </x:c>
      <x:c r="L2040" s="47" t="n">
        <x:v>0.5796058112811362</x:v>
      </x:c>
      <x:c r="M2040" s="47" t="n">
        <x:v>0.02576158001743736</x:v>
      </x:c>
      <x:c r="N2040" s="47" t="n">
        <x:v>0.827163943604125</x:v>
      </x:c>
      <x:c r="O2040" s="47" t="n">
        <x:v>0.9122549313511893</x:v>
      </x:c>
      <x:c r="P2040" s="47" t="n">
        <x:v>0.6004630716659611</x:v>
      </x:c>
      <x:c r="Q2040" s="47" t="n">
        <x:v>1</x:v>
      </x:c>
      <x:c r="R2040" s="47" t="n">
        <x:v>0.8916486123739178</x:v>
      </x:c>
      <x:c r="S2040" s="27" t="n">
        <x:v>0</x:v>
      </x:c>
    </x:row>
    <x:row r="2041" ht="21.600000381469727" hidden="0" customHeight="1">
      <x:c r="A2041" s="29" t="n">
        <x:v>679</x:v>
      </x:c>
      <x:c r="B2041" s="29" t="str">
        <x:v>A3</x:v>
      </x:c>
      <x:c r="C2041" s="48" t="n">
        <x:v>1.116800841281532</x:v>
      </x:c>
      <x:c r="D2041" s="48" t="n">
        <x:v>0.8343014828282727</x:v>
      </x:c>
      <x:c r="E2041" s="48" t="n">
        <x:v>0.5166114677364774</x:v>
      </x:c>
      <x:c r="F2041" s="48" t="n">
        <x:v>0.01694466054382937</x:v>
      </x:c>
      <x:c r="G2041" s="48" t="n">
        <x:v>-0.0279388510062977</x:v>
      </x:c>
      <x:c r="H2041" s="48" t="n">
        <x:v>0.849323875816804</x:v>
      </x:c>
      <x:c r="I2041" s="48" t="n">
        <x:v>0.9565425890491088</x:v>
      </x:c>
      <x:c r="J2041" s="48" t="n">
        <x:v>0.9433116158796969</x:v>
      </x:c>
      <x:c r="K2041" s="48" t="n">
        <x:v>0.8304184608344851</x:v>
      </x:c>
      <x:c r="L2041" s="48" t="n">
        <x:v>0.5796058112811362</x:v>
      </x:c>
      <x:c r="M2041" s="48" t="n">
        <x:v>0.02576158001743736</x:v>
      </x:c>
      <x:c r="N2041" s="48" t="n">
        <x:v>0.827163943604125</x:v>
      </x:c>
      <x:c r="O2041" s="48" t="n">
        <x:v>1</x:v>
      </x:c>
      <x:c r="P2041" s="48" t="n">
        <x:v>1</x:v>
      </x:c>
      <x:c r="Q2041" s="48" t="n">
        <x:v>1</x:v>
      </x:c>
      <x:c r="R2041" s="48" t="n">
        <x:v>1</x:v>
      </x:c>
      <x:c r="S2041" s="29" t="n">
        <x:v>1</x:v>
      </x:c>
    </x:row>
    <x:row r="2042" ht="21.600000381469727" hidden="0" customHeight="1">
      <x:c r="A2042" s="27" t="n">
        <x:v>680</x:v>
      </x:c>
      <x:c r="B2042" s="27" t="str">
        <x:v>A1</x:v>
      </x:c>
      <x:c r="C2042" s="47" t="n">
        <x:v>1.033397395103347</x:v>
      </x:c>
      <x:c r="D2042" s="47" t="n">
        <x:v>0.9467556434613915</x:v>
      </x:c>
      <x:c r="E2042" s="47" t="n">
        <x:v>0.4530565261848602</x:v>
      </x:c>
      <x:c r="F2042" s="47" t="n">
        <x:v>-0.0525947754630742</x:v>
      </x:c>
      <x:c r="G2042" s="47" t="n">
        <x:v>-0.17397977030863743</x:v>
      </x:c>
      <x:c r="H2042" s="47" t="n">
        <x:v>0.3414296462789695</x:v>
      </x:c>
      <x:c r="I2042" s="47" t="n">
        <x:v>0.6601048178500781</x:v>
      </x:c>
      <x:c r="J2042" s="47" t="n">
        <x:v>0.8963543779831006</x:v>
      </x:c>
      <x:c r="K2042" s="47" t="n">
        <x:v>0.6925881642527157</x:v>
      </x:c>
      <x:c r="L2042" s="47" t="n">
        <x:v>0.8325834256920019</x:v>
      </x:c>
      <x:c r="M2042" s="47" t="n">
        <x:v>0.032216518626075774</x:v>
      </x:c>
      <x:c r="N2042" s="47" t="n">
        <x:v>0.9741935693224901</x:v>
      </x:c>
      <x:c r="O2042" s="47" t="n">
        <x:v>0.8884339482945993</x:v>
      </x:c>
      <x:c r="P2042" s="47" t="n">
        <x:v>0.5071738998256948</x:v>
      </x:c>
      <x:c r="Q2042" s="47" t="n">
        <x:v>1</x:v>
      </x:c>
      <x:c r="R2042" s="47" t="n">
        <x:v>0.8622334371561607</x:v>
      </x:c>
      <x:c r="S2042" s="27" t="n">
        <x:v>0</x:v>
      </x:c>
    </x:row>
    <x:row r="2043" ht="21.600000381469727" hidden="0" customHeight="1">
      <x:c r="A2043" s="29" t="n">
        <x:v>680</x:v>
      </x:c>
      <x:c r="B2043" s="29" t="str">
        <x:v>A2</x:v>
      </x:c>
      <x:c r="C2043" s="48" t="n">
        <x:v>1.033397395103347</x:v>
      </x:c>
      <x:c r="D2043" s="48" t="n">
        <x:v>0.9467556434613915</x:v>
      </x:c>
      <x:c r="E2043" s="48" t="n">
        <x:v>0.4530565261848602</x:v>
      </x:c>
      <x:c r="F2043" s="48" t="n">
        <x:v>-0.0525947754630742</x:v>
      </x:c>
      <x:c r="G2043" s="48" t="n">
        <x:v>-0.17397977030863743</x:v>
      </x:c>
      <x:c r="H2043" s="48" t="n">
        <x:v>0.3414296462789695</x:v>
      </x:c>
      <x:c r="I2043" s="48" t="n">
        <x:v>0.6601048178500781</x:v>
      </x:c>
      <x:c r="J2043" s="48" t="n">
        <x:v>0.8963543779831006</x:v>
      </x:c>
      <x:c r="K2043" s="48" t="n">
        <x:v>0.6925881642527157</x:v>
      </x:c>
      <x:c r="L2043" s="48" t="n">
        <x:v>0.8325834256920019</x:v>
      </x:c>
      <x:c r="M2043" s="48" t="n">
        <x:v>0.032216518626075774</x:v>
      </x:c>
      <x:c r="N2043" s="48" t="n">
        <x:v>0.9741935693224901</x:v>
      </x:c>
      <x:c r="O2043" s="48" t="n">
        <x:v>0.9258810776106535</x:v>
      </x:c>
      <x:c r="P2043" s="48" t="n">
        <x:v>0.5610689933188372</x:v>
      </x:c>
      <x:c r="Q2043" s="48" t="n">
        <x:v>1</x:v>
      </x:c>
      <x:c r="R2043" s="48" t="n">
        <x:v>0.9084747642927006</x:v>
      </x:c>
      <x:c r="S2043" s="29" t="n">
        <x:v>0</x:v>
      </x:c>
    </x:row>
    <x:row r="2044" ht="21.600000381469727" hidden="0" customHeight="1">
      <x:c r="A2044" s="27" t="n">
        <x:v>680</x:v>
      </x:c>
      <x:c r="B2044" s="27" t="str">
        <x:v>A3</x:v>
      </x:c>
      <x:c r="C2044" s="47" t="n">
        <x:v>1.033397395103347</x:v>
      </x:c>
      <x:c r="D2044" s="47" t="n">
        <x:v>0.9467556434613915</x:v>
      </x:c>
      <x:c r="E2044" s="47" t="n">
        <x:v>0.4530565261848602</x:v>
      </x:c>
      <x:c r="F2044" s="47" t="n">
        <x:v>-0.0525947754630742</x:v>
      </x:c>
      <x:c r="G2044" s="47" t="n">
        <x:v>-0.17397977030863743</x:v>
      </x:c>
      <x:c r="H2044" s="47" t="n">
        <x:v>0.3414296462789695</x:v>
      </x:c>
      <x:c r="I2044" s="47" t="n">
        <x:v>0.6601048178500781</x:v>
      </x:c>
      <x:c r="J2044" s="47" t="n">
        <x:v>0.8963543779831006</x:v>
      </x:c>
      <x:c r="K2044" s="47" t="n">
        <x:v>0.6925881642527157</x:v>
      </x:c>
      <x:c r="L2044" s="47" t="n">
        <x:v>0.8325834256920019</x:v>
      </x:c>
      <x:c r="M2044" s="47" t="n">
        <x:v>0.032216518626075774</x:v>
      </x:c>
      <x:c r="N2044" s="47" t="n">
        <x:v>0.9741935693224901</x:v>
      </x:c>
      <x:c r="O2044" s="47" t="n">
        <x:v>1</x:v>
      </x:c>
      <x:c r="P2044" s="47" t="n">
        <x:v>1</x:v>
      </x:c>
      <x:c r="Q2044" s="47" t="n">
        <x:v>1</x:v>
      </x:c>
      <x:c r="R2044" s="47" t="n">
        <x:v>1</x:v>
      </x:c>
      <x:c r="S2044" s="27" t="n">
        <x:v>1</x:v>
      </x:c>
    </x:row>
    <x:row r="2045" ht="21.600000381469727" hidden="0" customHeight="1">
      <x:c r="A2045" s="29" t="n">
        <x:v>681</x:v>
      </x:c>
      <x:c r="B2045" s="29" t="str">
        <x:v>A1</x:v>
      </x:c>
      <x:c r="C2045" s="48" t="n">
        <x:v>1.3043235392571915</x:v>
      </x:c>
      <x:c r="D2045" s="48" t="n">
        <x:v>0.9326337565573485</x:v>
      </x:c>
      <x:c r="E2045" s="48" t="n">
        <x:v>0.9736535516315237</x:v>
      </x:c>
      <x:c r="F2045" s="48" t="n">
        <x:v>-0.1295797446352057</x:v>
      </x:c>
      <x:c r="G2045" s="48" t="n">
        <x:v>-0.15004086766278754</x:v>
      </x:c>
      <x:c r="H2045" s="48" t="n">
        <x:v>1.0108445114857467</x:v>
      </x:c>
      <x:c r="I2045" s="48" t="n">
        <x:v>0.7017726911962033</x:v>
      </x:c>
      <x:c r="J2045" s="48" t="n">
        <x:v>0.674530485404617</x:v>
      </x:c>
      <x:c r="K2045" s="48" t="n">
        <x:v>0.8699219261566589</x:v>
      </x:c>
      <x:c r="L2045" s="48" t="n">
        <x:v>0.7531736671320373</x:v>
      </x:c>
      <x:c r="M2045" s="48" t="n">
        <x:v>0.01457150357652973</x:v>
      </x:c>
      <x:c r="N2045" s="48" t="n">
        <x:v>0.7026088568768873</x:v>
      </x:c>
      <x:c r="O2045" s="48" t="n">
        <x:v>0.8466447348358733</x:v>
      </x:c>
      <x:c r="P2045" s="48" t="n">
        <x:v>0.563792807926319</x:v>
      </x:c>
      <x:c r="Q2045" s="48" t="n">
        <x:v>1</x:v>
      </x:c>
      <x:c r="R2045" s="48" t="n">
        <x:v>0.8106303176215692</x:v>
      </x:c>
      <x:c r="S2045" s="29" t="n">
        <x:v>0</x:v>
      </x:c>
    </x:row>
    <x:row r="2046" ht="21.600000381469727" hidden="0" customHeight="1">
      <x:c r="A2046" s="27" t="n">
        <x:v>681</x:v>
      </x:c>
      <x:c r="B2046" s="27" t="str">
        <x:v>A2</x:v>
      </x:c>
      <x:c r="C2046" s="47" t="n">
        <x:v>1.3043235392571915</x:v>
      </x:c>
      <x:c r="D2046" s="47" t="n">
        <x:v>0.9326337565573485</x:v>
      </x:c>
      <x:c r="E2046" s="47" t="n">
        <x:v>0.9736535516315237</x:v>
      </x:c>
      <x:c r="F2046" s="47" t="n">
        <x:v>-0.1295797446352057</x:v>
      </x:c>
      <x:c r="G2046" s="47" t="n">
        <x:v>-0.15004086766278754</x:v>
      </x:c>
      <x:c r="H2046" s="47" t="n">
        <x:v>1.0108445114857467</x:v>
      </x:c>
      <x:c r="I2046" s="47" t="n">
        <x:v>0.7017726911962033</x:v>
      </x:c>
      <x:c r="J2046" s="47" t="n">
        <x:v>0.674530485404617</x:v>
      </x:c>
      <x:c r="K2046" s="47" t="n">
        <x:v>0.8699219261566589</x:v>
      </x:c>
      <x:c r="L2046" s="47" t="n">
        <x:v>0.7531736671320373</x:v>
      </x:c>
      <x:c r="M2046" s="47" t="n">
        <x:v>0.01457150357652973</x:v>
      </x:c>
      <x:c r="N2046" s="47" t="n">
        <x:v>0.7026088568768873</x:v>
      </x:c>
      <x:c r="O2046" s="47" t="n">
        <x:v>0.9082696162676696</x:v>
      </x:c>
      <x:c r="P2046" s="47" t="n">
        <x:v>0.5669873310338106</x:v>
      </x:c>
      <x:c r="Q2046" s="47" t="n">
        <x:v>1</x:v>
      </x:c>
      <x:c r="R2046" s="47" t="n">
        <x:v>0.8867273737667114</x:v>
      </x:c>
      <x:c r="S2046" s="27" t="n">
        <x:v>0</x:v>
      </x:c>
    </x:row>
    <x:row r="2047" ht="21.600000381469727" hidden="0" customHeight="1">
      <x:c r="A2047" s="29" t="n">
        <x:v>681</x:v>
      </x:c>
      <x:c r="B2047" s="29" t="str">
        <x:v>A3</x:v>
      </x:c>
      <x:c r="C2047" s="48" t="n">
        <x:v>1.3043235392571915</x:v>
      </x:c>
      <x:c r="D2047" s="48" t="n">
        <x:v>0.9326337565573485</x:v>
      </x:c>
      <x:c r="E2047" s="48" t="n">
        <x:v>0.9736535516315237</x:v>
      </x:c>
      <x:c r="F2047" s="48" t="n">
        <x:v>-0.1295797446352057</x:v>
      </x:c>
      <x:c r="G2047" s="48" t="n">
        <x:v>-0.15004086766278754</x:v>
      </x:c>
      <x:c r="H2047" s="48" t="n">
        <x:v>1.0108445114857467</x:v>
      </x:c>
      <x:c r="I2047" s="48" t="n">
        <x:v>0.7017726911962033</x:v>
      </x:c>
      <x:c r="J2047" s="48" t="n">
        <x:v>0.674530485404617</x:v>
      </x:c>
      <x:c r="K2047" s="48" t="n">
        <x:v>0.8699219261566589</x:v>
      </x:c>
      <x:c r="L2047" s="48" t="n">
        <x:v>0.7531736671320373</x:v>
      </x:c>
      <x:c r="M2047" s="48" t="n">
        <x:v>0.01457150357652973</x:v>
      </x:c>
      <x:c r="N2047" s="48" t="n">
        <x:v>0.7026088568768873</x:v>
      </x:c>
      <x:c r="O2047" s="48" t="n">
        <x:v>1</x:v>
      </x:c>
      <x:c r="P2047" s="48" t="n">
        <x:v>1</x:v>
      </x:c>
      <x:c r="Q2047" s="48" t="n">
        <x:v>1</x:v>
      </x:c>
      <x:c r="R2047" s="48" t="n">
        <x:v>1</x:v>
      </x:c>
      <x:c r="S2047" s="29" t="n">
        <x:v>1</x:v>
      </x:c>
    </x:row>
    <x:row r="2048" ht="21.600000381469727" hidden="0" customHeight="1">
      <x:c r="A2048" s="27" t="n">
        <x:v>682</x:v>
      </x:c>
      <x:c r="B2048" s="27" t="str">
        <x:v>A1</x:v>
      </x:c>
      <x:c r="C2048" s="47" t="n">
        <x:v>1.0393589792945743</x:v>
      </x:c>
      <x:c r="D2048" s="47" t="n">
        <x:v>0.7959291613579697</x:v>
      </x:c>
      <x:c r="E2048" s="47" t="n">
        <x:v>1.0298546029599</x:v>
      </x:c>
      <x:c r="F2048" s="47" t="n">
        <x:v>0.0006421464284143141</x:v>
      </x:c>
      <x:c r="G2048" s="47" t="n">
        <x:v>-0.1638730865194466</x:v>
      </x:c>
      <x:c r="H2048" s="47" t="n">
        <x:v>0.45005716341073804</x:v>
      </x:c>
      <x:c r="I2048" s="47" t="n">
        <x:v>0.6515127280490136</x:v>
      </x:c>
      <x:c r="J2048" s="47" t="n">
        <x:v>0.6258462093852835</x:v>
      </x:c>
      <x:c r="K2048" s="47" t="n">
        <x:v>0.6764885270663412</x:v>
      </x:c>
      <x:c r="L2048" s="47" t="n">
        <x:v>0.6960950583373244</x:v>
      </x:c>
      <x:c r="M2048" s="47" t="n">
        <x:v>0.1178464834076554</x:v>
      </x:c>
      <x:c r="N2048" s="47" t="n">
        <x:v>0.9018689671976853</x:v>
      </x:c>
      <x:c r="O2048" s="47" t="n">
        <x:v>0.8552026618179971</x:v>
      </x:c>
      <x:c r="P2048" s="47" t="n">
        <x:v>0.6002042352220575</x:v>
      </x:c>
      <x:c r="Q2048" s="47" t="n">
        <x:v>0.9489885760014276</x:v>
      </x:c>
      <x:c r="R2048" s="47" t="n">
        <x:v>0.8215768685965198</x:v>
      </x:c>
      <x:c r="S2048" s="27" t="n">
        <x:v>0</x:v>
      </x:c>
    </x:row>
    <x:row r="2049" ht="21.600000381469727" hidden="0" customHeight="1">
      <x:c r="A2049" s="29" t="n">
        <x:v>682</x:v>
      </x:c>
      <x:c r="B2049" s="29" t="str">
        <x:v>A2</x:v>
      </x:c>
      <x:c r="C2049" s="48" t="n">
        <x:v>1.0393589792945743</x:v>
      </x:c>
      <x:c r="D2049" s="48" t="n">
        <x:v>0.7959291613579697</x:v>
      </x:c>
      <x:c r="E2049" s="48" t="n">
        <x:v>1.0298546029599</x:v>
      </x:c>
      <x:c r="F2049" s="48" t="n">
        <x:v>0.0006421464284143141</x:v>
      </x:c>
      <x:c r="G2049" s="48" t="n">
        <x:v>-0.1638730865194466</x:v>
      </x:c>
      <x:c r="H2049" s="48" t="n">
        <x:v>0.45005716341073804</x:v>
      </x:c>
      <x:c r="I2049" s="48" t="n">
        <x:v>0.6515127280490136</x:v>
      </x:c>
      <x:c r="J2049" s="48" t="n">
        <x:v>0.6258462093852835</x:v>
      </x:c>
      <x:c r="K2049" s="48" t="n">
        <x:v>0.6764885270663412</x:v>
      </x:c>
      <x:c r="L2049" s="48" t="n">
        <x:v>0.6960950583373244</x:v>
      </x:c>
      <x:c r="M2049" s="48" t="n">
        <x:v>0.1178464834076554</x:v>
      </x:c>
      <x:c r="N2049" s="48" t="n">
        <x:v>0.9018689671976853</x:v>
      </x:c>
      <x:c r="O2049" s="48" t="n">
        <x:v>0.9368136092962633</x:v>
      </x:c>
      <x:c r="P2049" s="48" t="n">
        <x:v>0.6520699881713361</x:v>
      </x:c>
      <x:c r="Q2049" s="48" t="n">
        <x:v>1</x:v>
      </x:c>
      <x:c r="R2049" s="48" t="n">
        <x:v>0.9219747249929761</x:v>
      </x:c>
      <x:c r="S2049" s="29" t="n">
        <x:v>0</x:v>
      </x:c>
    </x:row>
    <x:row r="2050" ht="21.600000381469727" hidden="0" customHeight="1">
      <x:c r="A2050" s="27" t="n">
        <x:v>682</x:v>
      </x:c>
      <x:c r="B2050" s="27" t="str">
        <x:v>A3</x:v>
      </x:c>
      <x:c r="C2050" s="47" t="n">
        <x:v>1.0393589792945743</x:v>
      </x:c>
      <x:c r="D2050" s="47" t="n">
        <x:v>0.7959291613579697</x:v>
      </x:c>
      <x:c r="E2050" s="47" t="n">
        <x:v>1.0298546029599</x:v>
      </x:c>
      <x:c r="F2050" s="47" t="n">
        <x:v>0.0006421464284143141</x:v>
      </x:c>
      <x:c r="G2050" s="47" t="n">
        <x:v>-0.1638730865194466</x:v>
      </x:c>
      <x:c r="H2050" s="47" t="n">
        <x:v>0.45005716341073804</x:v>
      </x:c>
      <x:c r="I2050" s="47" t="n">
        <x:v>0.6515127280490136</x:v>
      </x:c>
      <x:c r="J2050" s="47" t="n">
        <x:v>0.6258462093852835</x:v>
      </x:c>
      <x:c r="K2050" s="47" t="n">
        <x:v>0.6764885270663412</x:v>
      </x:c>
      <x:c r="L2050" s="47" t="n">
        <x:v>0.6960950583373244</x:v>
      </x:c>
      <x:c r="M2050" s="47" t="n">
        <x:v>0.1178464834076554</x:v>
      </x:c>
      <x:c r="N2050" s="47" t="n">
        <x:v>0.9018689671976853</x:v>
      </x:c>
      <x:c r="O2050" s="47" t="n">
        <x:v>1</x:v>
      </x:c>
      <x:c r="P2050" s="47" t="n">
        <x:v>1</x:v>
      </x:c>
      <x:c r="Q2050" s="47" t="n">
        <x:v>1</x:v>
      </x:c>
      <x:c r="R2050" s="47" t="n">
        <x:v>1</x:v>
      </x:c>
      <x:c r="S2050" s="27" t="n">
        <x:v>1</x:v>
      </x:c>
    </x:row>
    <x:row r="2051" ht="21.600000381469727" hidden="0" customHeight="1">
      <x:c r="A2051" s="29" t="n">
        <x:v>683</x:v>
      </x:c>
      <x:c r="B2051" s="29" t="str">
        <x:v>A1</x:v>
      </x:c>
      <x:c r="C2051" s="48" t="n">
        <x:v>1.0950725040893183</x:v>
      </x:c>
      <x:c r="D2051" s="48" t="n">
        <x:v>0.7998645228592854</x:v>
      </x:c>
      <x:c r="E2051" s="48" t="n">
        <x:v>1.0199589214982252</x:v>
      </x:c>
      <x:c r="F2051" s="48" t="n">
        <x:v>0.02263591301706258</x:v>
      </x:c>
      <x:c r="G2051" s="48" t="n">
        <x:v>-0.1391198370142302</x:v>
      </x:c>
      <x:c r="H2051" s="48" t="n">
        <x:v>0.5041574506773324</x:v>
      </x:c>
      <x:c r="I2051" s="48" t="n">
        <x:v>0.6940136147450042</x:v>
      </x:c>
      <x:c r="J2051" s="48" t="n">
        <x:v>0.8695548303622704</x:v>
      </x:c>
      <x:c r="K2051" s="48" t="n">
        <x:v>0.712491502463745</x:v>
      </x:c>
      <x:c r="L2051" s="48" t="n">
        <x:v>0.8918329939366121</x:v>
      </x:c>
      <x:c r="M2051" s="48" t="n">
        <x:v>0.1184066783487105</x:v>
      </x:c>
      <x:c r="N2051" s="48" t="n">
        <x:v>0.9009357738965107</x:v>
      </x:c>
      <x:c r="O2051" s="48" t="n">
        <x:v>0.9048320969140142</x:v>
      </x:c>
      <x:c r="P2051" s="48" t="n">
        <x:v>0.6148661951808787</x:v>
      </x:c>
      <x:c r="Q2051" s="48" t="n">
        <x:v>1</x:v>
      </x:c>
      <x:c r="R2051" s="48" t="n">
        <x:v>0.8824825769058098</x:v>
      </x:c>
      <x:c r="S2051" s="29" t="n">
        <x:v>0</x:v>
      </x:c>
    </x:row>
    <x:row r="2052" ht="21.600000381469727" hidden="0" customHeight="1">
      <x:c r="A2052" s="27" t="n">
        <x:v>683</x:v>
      </x:c>
      <x:c r="B2052" s="27" t="str">
        <x:v>A2</x:v>
      </x:c>
      <x:c r="C2052" s="47" t="n">
        <x:v>1.0950725040893183</x:v>
      </x:c>
      <x:c r="D2052" s="47" t="n">
        <x:v>0.7998645228592854</x:v>
      </x:c>
      <x:c r="E2052" s="47" t="n">
        <x:v>1.0199589214982252</x:v>
      </x:c>
      <x:c r="F2052" s="47" t="n">
        <x:v>0.02263591301706258</x:v>
      </x:c>
      <x:c r="G2052" s="47" t="n">
        <x:v>-0.1391198370142302</x:v>
      </x:c>
      <x:c r="H2052" s="47" t="n">
        <x:v>0.5041574506773324</x:v>
      </x:c>
      <x:c r="I2052" s="47" t="n">
        <x:v>0.6940136147450042</x:v>
      </x:c>
      <x:c r="J2052" s="47" t="n">
        <x:v>0.8695548303622704</x:v>
      </x:c>
      <x:c r="K2052" s="47" t="n">
        <x:v>0.712491502463745</x:v>
      </x:c>
      <x:c r="L2052" s="47" t="n">
        <x:v>0.8918329939366121</x:v>
      </x:c>
      <x:c r="M2052" s="47" t="n">
        <x:v>0.1184066783487105</x:v>
      </x:c>
      <x:c r="N2052" s="47" t="n">
        <x:v>0.9009357738965107</x:v>
      </x:c>
      <x:c r="O2052" s="47" t="n">
        <x:v>0.9567522883163854</x:v>
      </x:c>
      <x:c r="P2052" s="47" t="n">
        <x:v>0.717257945540771</x:v>
      </x:c>
      <x:c r="Q2052" s="47" t="n">
        <x:v>1</x:v>
      </x:c>
      <x:c r="R2052" s="47" t="n">
        <x:v>0.9465958640783868</x:v>
      </x:c>
      <x:c r="S2052" s="27" t="n">
        <x:v>0</x:v>
      </x:c>
    </x:row>
    <x:row r="2053" ht="21.600000381469727" hidden="0" customHeight="1">
      <x:c r="A2053" s="29" t="n">
        <x:v>683</x:v>
      </x:c>
      <x:c r="B2053" s="29" t="str">
        <x:v>A3</x:v>
      </x:c>
      <x:c r="C2053" s="48" t="n">
        <x:v>1.0950725040893183</x:v>
      </x:c>
      <x:c r="D2053" s="48" t="n">
        <x:v>0.7998645228592854</x:v>
      </x:c>
      <x:c r="E2053" s="48" t="n">
        <x:v>1.0199589214982252</x:v>
      </x:c>
      <x:c r="F2053" s="48" t="n">
        <x:v>0.02263591301706258</x:v>
      </x:c>
      <x:c r="G2053" s="48" t="n">
        <x:v>-0.1391198370142302</x:v>
      </x:c>
      <x:c r="H2053" s="48" t="n">
        <x:v>0.5041574506773324</x:v>
      </x:c>
      <x:c r="I2053" s="48" t="n">
        <x:v>0.6940136147450042</x:v>
      </x:c>
      <x:c r="J2053" s="48" t="n">
        <x:v>0.8695548303622704</x:v>
      </x:c>
      <x:c r="K2053" s="48" t="n">
        <x:v>0.712491502463745</x:v>
      </x:c>
      <x:c r="L2053" s="48" t="n">
        <x:v>0.8918329939366121</x:v>
      </x:c>
      <x:c r="M2053" s="48" t="n">
        <x:v>0.1184066783487105</x:v>
      </x:c>
      <x:c r="N2053" s="48" t="n">
        <x:v>0.9009357738965107</x:v>
      </x:c>
      <x:c r="O2053" s="48" t="n">
        <x:v>1</x:v>
      </x:c>
      <x:c r="P2053" s="48" t="n">
        <x:v>1</x:v>
      </x:c>
      <x:c r="Q2053" s="48" t="n">
        <x:v>1</x:v>
      </x:c>
      <x:c r="R2053" s="48" t="n">
        <x:v>1</x:v>
      </x:c>
      <x:c r="S2053" s="29" t="n">
        <x:v>1</x:v>
      </x:c>
    </x:row>
    <x:row r="2054" ht="21.600000381469727" hidden="0" customHeight="1">
      <x:c r="A2054" s="27" t="n">
        <x:v>684</x:v>
      </x:c>
      <x:c r="B2054" s="27" t="str">
        <x:v>A1</x:v>
      </x:c>
      <x:c r="C2054" s="47" t="n">
        <x:v>1.064427614040345</x:v>
      </x:c>
      <x:c r="D2054" s="47" t="n">
        <x:v>0.9146110636496417</x:v>
      </x:c>
      <x:c r="E2054" s="47" t="n">
        <x:v>0.6350895538085296</x:v>
      </x:c>
      <x:c r="F2054" s="47" t="n">
        <x:v>-0.001533877201331857</x:v>
      </x:c>
      <x:c r="G2054" s="47" t="n">
        <x:v>-0.13626894483939445</x:v>
      </x:c>
      <x:c r="H2054" s="47" t="n">
        <x:v>0.3726442058930635</x:v>
      </x:c>
      <x:c r="I2054" s="47" t="n">
        <x:v>0.8194820146334121</x:v>
      </x:c>
      <x:c r="J2054" s="47" t="n">
        <x:v>0.7639725246674149</x:v>
      </x:c>
      <x:c r="K2054" s="47" t="n">
        <x:v>0.7559570792413073</x:v>
      </x:c>
      <x:c r="L2054" s="47" t="n">
        <x:v>0.6557308884325372</x:v>
      </x:c>
      <x:c r="M2054" s="47" t="n">
        <x:v>0.07544917494961653</x:v>
      </x:c>
      <x:c r="N2054" s="47" t="n">
        <x:v>0.894116658552929</x:v>
      </x:c>
      <x:c r="O2054" s="47" t="n">
        <x:v>0.8861192268550224</x:v>
      </x:c>
      <x:c r="P2054" s="47" t="n">
        <x:v>0.5205539116586141</x:v>
      </x:c>
      <x:c r="Q2054" s="47" t="n">
        <x:v>1</x:v>
      </x:c>
      <x:c r="R2054" s="47" t="n">
        <x:v>0.8593751194887618</x:v>
      </x:c>
      <x:c r="S2054" s="27" t="n">
        <x:v>0</x:v>
      </x:c>
    </x:row>
    <x:row r="2055" ht="21.600000381469727" hidden="0" customHeight="1">
      <x:c r="A2055" s="29" t="n">
        <x:v>684</x:v>
      </x:c>
      <x:c r="B2055" s="29" t="str">
        <x:v>A2</x:v>
      </x:c>
      <x:c r="C2055" s="48" t="n">
        <x:v>1.064427614040345</x:v>
      </x:c>
      <x:c r="D2055" s="48" t="n">
        <x:v>0.9146110636496417</x:v>
      </x:c>
      <x:c r="E2055" s="48" t="n">
        <x:v>0.6350895538085296</x:v>
      </x:c>
      <x:c r="F2055" s="48" t="n">
        <x:v>-0.001533877201331857</x:v>
      </x:c>
      <x:c r="G2055" s="48" t="n">
        <x:v>-0.13626894483939445</x:v>
      </x:c>
      <x:c r="H2055" s="48" t="n">
        <x:v>0.3726442058930635</x:v>
      </x:c>
      <x:c r="I2055" s="48" t="n">
        <x:v>0.8194820146334121</x:v>
      </x:c>
      <x:c r="J2055" s="48" t="n">
        <x:v>0.7639725246674149</x:v>
      </x:c>
      <x:c r="K2055" s="48" t="n">
        <x:v>0.7559570792413073</x:v>
      </x:c>
      <x:c r="L2055" s="48" t="n">
        <x:v>0.6557308884325372</x:v>
      </x:c>
      <x:c r="M2055" s="48" t="n">
        <x:v>0.07544917494961653</x:v>
      </x:c>
      <x:c r="N2055" s="48" t="n">
        <x:v>0.894116658552929</x:v>
      </x:c>
      <x:c r="O2055" s="48" t="n">
        <x:v>0.9222659581544158</x:v>
      </x:c>
      <x:c r="P2055" s="48" t="n">
        <x:v>0.5444086642475631</x:v>
      </x:c>
      <x:c r="Q2055" s="48" t="n">
        <x:v>1</x:v>
      </x:c>
      <x:c r="R2055" s="48" t="n">
        <x:v>0.9040106591805928</x:v>
      </x:c>
      <x:c r="S2055" s="29" t="n">
        <x:v>0</x:v>
      </x:c>
    </x:row>
    <x:row r="2056" ht="21.600000381469727" hidden="0" customHeight="1">
      <x:c r="A2056" s="27" t="n">
        <x:v>684</x:v>
      </x:c>
      <x:c r="B2056" s="27" t="str">
        <x:v>A3</x:v>
      </x:c>
      <x:c r="C2056" s="47" t="n">
        <x:v>1.064427614040345</x:v>
      </x:c>
      <x:c r="D2056" s="47" t="n">
        <x:v>0.9146110636496417</x:v>
      </x:c>
      <x:c r="E2056" s="47" t="n">
        <x:v>0.6350895538085296</x:v>
      </x:c>
      <x:c r="F2056" s="47" t="n">
        <x:v>-0.001533877201331857</x:v>
      </x:c>
      <x:c r="G2056" s="47" t="n">
        <x:v>-0.13626894483939445</x:v>
      </x:c>
      <x:c r="H2056" s="47" t="n">
        <x:v>0.3726442058930635</x:v>
      </x:c>
      <x:c r="I2056" s="47" t="n">
        <x:v>0.8194820146334121</x:v>
      </x:c>
      <x:c r="J2056" s="47" t="n">
        <x:v>0.7639725246674149</x:v>
      </x:c>
      <x:c r="K2056" s="47" t="n">
        <x:v>0.7559570792413073</x:v>
      </x:c>
      <x:c r="L2056" s="47" t="n">
        <x:v>0.6557308884325372</x:v>
      </x:c>
      <x:c r="M2056" s="47" t="n">
        <x:v>0.07544917494961653</x:v>
      </x:c>
      <x:c r="N2056" s="47" t="n">
        <x:v>0.894116658552929</x:v>
      </x:c>
      <x:c r="O2056" s="47" t="n">
        <x:v>1</x:v>
      </x:c>
      <x:c r="P2056" s="47" t="n">
        <x:v>1</x:v>
      </x:c>
      <x:c r="Q2056" s="47" t="n">
        <x:v>1</x:v>
      </x:c>
      <x:c r="R2056" s="47" t="n">
        <x:v>1</x:v>
      </x:c>
      <x:c r="S2056" s="27" t="n">
        <x:v>1</x:v>
      </x:c>
    </x:row>
    <x:row r="2057" ht="21.600000381469727" hidden="0" customHeight="1">
      <x:c r="A2057" s="29" t="n">
        <x:v>685</x:v>
      </x:c>
      <x:c r="B2057" s="29" t="str">
        <x:v>A1</x:v>
      </x:c>
      <x:c r="C2057" s="48" t="n">
        <x:v>1.229456453331973</x:v>
      </x:c>
      <x:c r="D2057" s="48" t="n">
        <x:v>0.7583227217107559</x:v>
      </x:c>
      <x:c r="E2057" s="48" t="n">
        <x:v>1.099169799051611</x:v>
      </x:c>
      <x:c r="F2057" s="48" t="n">
        <x:v>-0.08510159535251453</x:v>
      </x:c>
      <x:c r="G2057" s="48" t="n">
        <x:v>-0.0909849764994569</x:v>
      </x:c>
      <x:c r="H2057" s="48" t="n">
        <x:v>0.6094232505256318</x:v>
      </x:c>
      <x:c r="I2057" s="48" t="n">
        <x:v>0.7717760144655554</x:v>
      </x:c>
      <x:c r="J2057" s="48" t="n">
        <x:v>0.6868975792804309</x:v>
      </x:c>
      <x:c r="K2057" s="48" t="n">
        <x:v>0.82105450052056</x:v>
      </x:c>
      <x:c r="L2057" s="48" t="n">
        <x:v>0.8640434395342736</x:v>
      </x:c>
      <x:c r="M2057" s="48" t="n">
        <x:v>0.06284006278497885</x:v>
      </x:c>
      <x:c r="N2057" s="48" t="n">
        <x:v>0.8419936906775372</x:v>
      </x:c>
      <x:c r="O2057" s="48" t="n">
        <x:v>0.7975897733105032</x:v>
      </x:c>
      <x:c r="P2057" s="48" t="n">
        <x:v>0.480004414075271</x:v>
      </x:c>
      <x:c r="Q2057" s="48" t="n">
        <x:v>1</x:v>
      </x:c>
      <x:c r="R2057" s="48" t="n">
        <x:v>0.7500551396307551</x:v>
      </x:c>
      <x:c r="S2057" s="29" t="n">
        <x:v>0</x:v>
      </x:c>
    </x:row>
    <x:row r="2058" ht="21.600000381469727" hidden="0" customHeight="1">
      <x:c r="A2058" s="27" t="n">
        <x:v>685</x:v>
      </x:c>
      <x:c r="B2058" s="27" t="str">
        <x:v>A2</x:v>
      </x:c>
      <x:c r="C2058" s="47" t="n">
        <x:v>1.229456453331973</x:v>
      </x:c>
      <x:c r="D2058" s="47" t="n">
        <x:v>0.7583227217107559</x:v>
      </x:c>
      <x:c r="E2058" s="47" t="n">
        <x:v>1.099169799051611</x:v>
      </x:c>
      <x:c r="F2058" s="47" t="n">
        <x:v>-0.08510159535251453</x:v>
      </x:c>
      <x:c r="G2058" s="47" t="n">
        <x:v>-0.0909849764994569</x:v>
      </x:c>
      <x:c r="H2058" s="47" t="n">
        <x:v>0.6094232505256318</x:v>
      </x:c>
      <x:c r="I2058" s="47" t="n">
        <x:v>0.7717760144655554</x:v>
      </x:c>
      <x:c r="J2058" s="47" t="n">
        <x:v>0.6868975792804309</x:v>
      </x:c>
      <x:c r="K2058" s="47" t="n">
        <x:v>0.82105450052056</x:v>
      </x:c>
      <x:c r="L2058" s="47" t="n">
        <x:v>0.8640434395342736</x:v>
      </x:c>
      <x:c r="M2058" s="47" t="n">
        <x:v>0.06284006278497885</x:v>
      </x:c>
      <x:c r="N2058" s="47" t="n">
        <x:v>0.8419936906775372</x:v>
      </x:c>
      <x:c r="O2058" s="47" t="n">
        <x:v>0.9093430100906795</x:v>
      </x:c>
      <x:c r="P2058" s="47" t="n">
        <x:v>0.635113832728365</x:v>
      </x:c>
      <x:c r="Q2058" s="47" t="n">
        <x:v>1</x:v>
      </x:c>
      <x:c r="R2058" s="47" t="n">
        <x:v>0.888052846662036</x:v>
      </x:c>
      <x:c r="S2058" s="27" t="n">
        <x:v>0</x:v>
      </x:c>
    </x:row>
    <x:row r="2059" ht="21.600000381469727" hidden="0" customHeight="1">
      <x:c r="A2059" s="29" t="n">
        <x:v>685</x:v>
      </x:c>
      <x:c r="B2059" s="29" t="str">
        <x:v>A3</x:v>
      </x:c>
      <x:c r="C2059" s="48" t="n">
        <x:v>1.229456453331973</x:v>
      </x:c>
      <x:c r="D2059" s="48" t="n">
        <x:v>0.7583227217107559</x:v>
      </x:c>
      <x:c r="E2059" s="48" t="n">
        <x:v>1.099169799051611</x:v>
      </x:c>
      <x:c r="F2059" s="48" t="n">
        <x:v>-0.08510159535251453</x:v>
      </x:c>
      <x:c r="G2059" s="48" t="n">
        <x:v>-0.0909849764994569</x:v>
      </x:c>
      <x:c r="H2059" s="48" t="n">
        <x:v>0.6094232505256318</x:v>
      </x:c>
      <x:c r="I2059" s="48" t="n">
        <x:v>0.7717760144655554</x:v>
      </x:c>
      <x:c r="J2059" s="48" t="n">
        <x:v>0.6868975792804309</x:v>
      </x:c>
      <x:c r="K2059" s="48" t="n">
        <x:v>0.82105450052056</x:v>
      </x:c>
      <x:c r="L2059" s="48" t="n">
        <x:v>0.8640434395342736</x:v>
      </x:c>
      <x:c r="M2059" s="48" t="n">
        <x:v>0.06284006278497885</x:v>
      </x:c>
      <x:c r="N2059" s="48" t="n">
        <x:v>0.8419936906775372</x:v>
      </x:c>
      <x:c r="O2059" s="48" t="n">
        <x:v>1</x:v>
      </x:c>
      <x:c r="P2059" s="48" t="n">
        <x:v>1</x:v>
      </x:c>
      <x:c r="Q2059" s="48" t="n">
        <x:v>1</x:v>
      </x:c>
      <x:c r="R2059" s="48" t="n">
        <x:v>1</x:v>
      </x:c>
      <x:c r="S2059" s="29" t="n">
        <x:v>1</x:v>
      </x:c>
    </x:row>
    <x:row r="2060" ht="21.600000381469727" hidden="0" customHeight="1">
      <x:c r="A2060" s="27" t="n">
        <x:v>686</x:v>
      </x:c>
      <x:c r="B2060" s="27" t="str">
        <x:v>A1</x:v>
      </x:c>
      <x:c r="C2060" s="47" t="n">
        <x:v>1.2058300994131703</x:v>
      </x:c>
      <x:c r="D2060" s="47" t="n">
        <x:v>0.9226864213853013</x:v>
      </x:c>
      <x:c r="E2060" s="47" t="n">
        <x:v>0.6201065078695817</x:v>
      </x:c>
      <x:c r="F2060" s="47" t="n">
        <x:v>0.03143544937689077</x:v>
      </x:c>
      <x:c r="G2060" s="47" t="n">
        <x:v>-0.0001249861788964468</x:v>
      </x:c>
      <x:c r="H2060" s="47" t="n">
        <x:v>0.40250952364637926</x:v>
      </x:c>
      <x:c r="I2060" s="47" t="n">
        <x:v>0.921955183201751</x:v>
      </x:c>
      <x:c r="J2060" s="47" t="n">
        <x:v>0.47732776218053174</x:v>
      </x:c>
      <x:c r="K2060" s="47" t="n">
        <x:v>0.807025684621379</x:v>
      </x:c>
      <x:c r="L2060" s="47" t="n">
        <x:v>0.6668354687858302</x:v>
      </x:c>
      <x:c r="M2060" s="47" t="n">
        <x:v>0.1015179889978003</x:v>
      </x:c>
      <x:c r="N2060" s="47" t="n">
        <x:v>0.7042401494511049</x:v>
      </x:c>
      <x:c r="O2060" s="47" t="n">
        <x:v>0.8327945464698185</x:v>
      </x:c>
      <x:c r="P2060" s="47" t="n">
        <x:v>0.5966572607595305</x:v>
      </x:c>
      <x:c r="Q2060" s="47" t="n">
        <x:v>1</x:v>
      </x:c>
      <x:c r="R2060" s="47" t="n">
        <x:v>0.7935275088660028</x:v>
      </x:c>
      <x:c r="S2060" s="27" t="n">
        <x:v>0</x:v>
      </x:c>
    </x:row>
    <x:row r="2061" ht="21.600000381469727" hidden="0" customHeight="1">
      <x:c r="A2061" s="29" t="n">
        <x:v>686</x:v>
      </x:c>
      <x:c r="B2061" s="29" t="str">
        <x:v>A2</x:v>
      </x:c>
      <x:c r="C2061" s="48" t="n">
        <x:v>1.2058300994131703</x:v>
      </x:c>
      <x:c r="D2061" s="48" t="n">
        <x:v>0.9226864213853013</x:v>
      </x:c>
      <x:c r="E2061" s="48" t="n">
        <x:v>0.6201065078695817</x:v>
      </x:c>
      <x:c r="F2061" s="48" t="n">
        <x:v>0.03143544937689077</x:v>
      </x:c>
      <x:c r="G2061" s="48" t="n">
        <x:v>-0.0001249861788964468</x:v>
      </x:c>
      <x:c r="H2061" s="48" t="n">
        <x:v>0.40250952364637926</x:v>
      </x:c>
      <x:c r="I2061" s="48" t="n">
        <x:v>0.921955183201751</x:v>
      </x:c>
      <x:c r="J2061" s="48" t="n">
        <x:v>0.47732776218053174</x:v>
      </x:c>
      <x:c r="K2061" s="48" t="n">
        <x:v>0.807025684621379</x:v>
      </x:c>
      <x:c r="L2061" s="48" t="n">
        <x:v>0.6668354687858302</x:v>
      </x:c>
      <x:c r="M2061" s="48" t="n">
        <x:v>0.1015179889978003</x:v>
      </x:c>
      <x:c r="N2061" s="48" t="n">
        <x:v>0.7042401494511049</x:v>
      </x:c>
      <x:c r="O2061" s="48" t="n">
        <x:v>0.904093432223315</x:v>
      </x:c>
      <x:c r="P2061" s="48" t="n">
        <x:v>0.6693580294687234</x:v>
      </x:c>
      <x:c r="Q2061" s="48" t="n">
        <x:v>1</x:v>
      </x:c>
      <x:c r="R2061" s="48" t="n">
        <x:v>0.8815704419509898</x:v>
      </x:c>
      <x:c r="S2061" s="29" t="n">
        <x:v>0</x:v>
      </x:c>
    </x:row>
    <x:row r="2062" ht="21.600000381469727" hidden="0" customHeight="1">
      <x:c r="A2062" s="27" t="n">
        <x:v>686</x:v>
      </x:c>
      <x:c r="B2062" s="27" t="str">
        <x:v>A3</x:v>
      </x:c>
      <x:c r="C2062" s="47" t="n">
        <x:v>1.2058300994131703</x:v>
      </x:c>
      <x:c r="D2062" s="47" t="n">
        <x:v>0.9226864213853013</x:v>
      </x:c>
      <x:c r="E2062" s="47" t="n">
        <x:v>0.6201065078695817</x:v>
      </x:c>
      <x:c r="F2062" s="47" t="n">
        <x:v>0.03143544937689077</x:v>
      </x:c>
      <x:c r="G2062" s="47" t="n">
        <x:v>-0.0001249861788964468</x:v>
      </x:c>
      <x:c r="H2062" s="47" t="n">
        <x:v>0.40250952364637926</x:v>
      </x:c>
      <x:c r="I2062" s="47" t="n">
        <x:v>0.921955183201751</x:v>
      </x:c>
      <x:c r="J2062" s="47" t="n">
        <x:v>0.47732776218053174</x:v>
      </x:c>
      <x:c r="K2062" s="47" t="n">
        <x:v>0.807025684621379</x:v>
      </x:c>
      <x:c r="L2062" s="47" t="n">
        <x:v>0.6668354687858302</x:v>
      </x:c>
      <x:c r="M2062" s="47" t="n">
        <x:v>0.1015179889978003</x:v>
      </x:c>
      <x:c r="N2062" s="47" t="n">
        <x:v>0.7042401494511049</x:v>
      </x:c>
      <x:c r="O2062" s="47" t="n">
        <x:v>1</x:v>
      </x:c>
      <x:c r="P2062" s="47" t="n">
        <x:v>1</x:v>
      </x:c>
      <x:c r="Q2062" s="47" t="n">
        <x:v>1</x:v>
      </x:c>
      <x:c r="R2062" s="47" t="n">
        <x:v>1.0000000000000002</x:v>
      </x:c>
      <x:c r="S2062" s="27" t="n">
        <x:v>1</x:v>
      </x:c>
    </x:row>
    <x:row r="2063" ht="21.600000381469727" hidden="0" customHeight="1">
      <x:c r="A2063" s="29" t="n">
        <x:v>687</x:v>
      </x:c>
      <x:c r="B2063" s="29" t="str">
        <x:v>A1</x:v>
      </x:c>
      <x:c r="C2063" s="48" t="n">
        <x:v>1.2710632077655657</x:v>
      </x:c>
      <x:c r="D2063" s="48" t="n">
        <x:v>0.9960200809853417</x:v>
      </x:c>
      <x:c r="E2063" s="48" t="n">
        <x:v>0.9699876712202593</x:v>
      </x:c>
      <x:c r="F2063" s="48" t="n">
        <x:v>0.03473921878686881</x:v>
      </x:c>
      <x:c r="G2063" s="48" t="n">
        <x:v>-0.17469174286746028</x:v>
      </x:c>
      <x:c r="H2063" s="48" t="n">
        <x:v>0.5930568740796918</x:v>
      </x:c>
      <x:c r="I2063" s="48" t="n">
        <x:v>0.9420914075299731</x:v>
      </x:c>
      <x:c r="J2063" s="48" t="n">
        <x:v>0.9219276928179956</x:v>
      </x:c>
      <x:c r="K2063" s="48" t="n">
        <x:v>0.6482127672323894</x:v>
      </x:c>
      <x:c r="L2063" s="48" t="n">
        <x:v>0.6061905715667651</x:v>
      </x:c>
      <x:c r="M2063" s="48" t="n">
        <x:v>0.15112237692282596</x:v>
      </x:c>
      <x:c r="N2063" s="48" t="n">
        <x:v>0.9445083206238659</x:v>
      </x:c>
      <x:c r="O2063" s="48" t="n">
        <x:v>0.8570211766313375</x:v>
      </x:c>
      <x:c r="P2063" s="48" t="n">
        <x:v>0.6063254764328725</x:v>
      </x:c>
      <x:c r="Q2063" s="48" t="n">
        <x:v>1</x:v>
      </x:c>
      <x:c r="R2063" s="48" t="n">
        <x:v>0.8234435945894143</x:v>
      </x:c>
      <x:c r="S2063" s="29" t="n">
        <x:v>0</x:v>
      </x:c>
    </x:row>
    <x:row r="2064" ht="21.600000381469727" hidden="0" customHeight="1">
      <x:c r="A2064" s="27" t="n">
        <x:v>687</x:v>
      </x:c>
      <x:c r="B2064" s="27" t="str">
        <x:v>A2</x:v>
      </x:c>
      <x:c r="C2064" s="47" t="n">
        <x:v>1.2710632077655657</x:v>
      </x:c>
      <x:c r="D2064" s="47" t="n">
        <x:v>0.9960200809853417</x:v>
      </x:c>
      <x:c r="E2064" s="47" t="n">
        <x:v>0.9699876712202593</x:v>
      </x:c>
      <x:c r="F2064" s="47" t="n">
        <x:v>0.03473921878686881</x:v>
      </x:c>
      <x:c r="G2064" s="47" t="n">
        <x:v>-0.17469174286746028</x:v>
      </x:c>
      <x:c r="H2064" s="47" t="n">
        <x:v>0.5930568740796918</x:v>
      </x:c>
      <x:c r="I2064" s="47" t="n">
        <x:v>0.9420914075299731</x:v>
      </x:c>
      <x:c r="J2064" s="47" t="n">
        <x:v>0.9219276928179956</x:v>
      </x:c>
      <x:c r="K2064" s="47" t="n">
        <x:v>0.6482127672323894</x:v>
      </x:c>
      <x:c r="L2064" s="47" t="n">
        <x:v>0.6061905715667651</x:v>
      </x:c>
      <x:c r="M2064" s="47" t="n">
        <x:v>0.15112237692282596</x:v>
      </x:c>
      <x:c r="N2064" s="47" t="n">
        <x:v>0.9445083206238659</x:v>
      </x:c>
      <x:c r="O2064" s="47" t="n">
        <x:v>0.9535562334518874</x:v>
      </x:c>
      <x:c r="P2064" s="47" t="n">
        <x:v>0.6659571615445159</x:v>
      </x:c>
      <x:c r="Q2064" s="47" t="n">
        <x:v>1</x:v>
      </x:c>
      <x:c r="R2064" s="47" t="n">
        <x:v>0.9426492379621834</x:v>
      </x:c>
      <x:c r="S2064" s="27" t="n">
        <x:v>0</x:v>
      </x:c>
    </x:row>
    <x:row r="2065" ht="21.600000381469727" hidden="0" customHeight="1">
      <x:c r="A2065" s="29" t="n">
        <x:v>687</x:v>
      </x:c>
      <x:c r="B2065" s="29" t="str">
        <x:v>A3</x:v>
      </x:c>
      <x:c r="C2065" s="48" t="n">
        <x:v>1.2710632077655657</x:v>
      </x:c>
      <x:c r="D2065" s="48" t="n">
        <x:v>0.9960200809853417</x:v>
      </x:c>
      <x:c r="E2065" s="48" t="n">
        <x:v>0.9699876712202593</x:v>
      </x:c>
      <x:c r="F2065" s="48" t="n">
        <x:v>0.03473921878686881</x:v>
      </x:c>
      <x:c r="G2065" s="48" t="n">
        <x:v>-0.17469174286746028</x:v>
      </x:c>
      <x:c r="H2065" s="48" t="n">
        <x:v>0.5930568740796918</x:v>
      </x:c>
      <x:c r="I2065" s="48" t="n">
        <x:v>0.9420914075299731</x:v>
      </x:c>
      <x:c r="J2065" s="48" t="n">
        <x:v>0.9219276928179956</x:v>
      </x:c>
      <x:c r="K2065" s="48" t="n">
        <x:v>0.6482127672323894</x:v>
      </x:c>
      <x:c r="L2065" s="48" t="n">
        <x:v>0.6061905715667651</x:v>
      </x:c>
      <x:c r="M2065" s="48" t="n">
        <x:v>0.15112237692282596</x:v>
      </x:c>
      <x:c r="N2065" s="48" t="n">
        <x:v>0.9445083206238659</x:v>
      </x:c>
      <x:c r="O2065" s="48" t="n">
        <x:v>1</x:v>
      </x:c>
      <x:c r="P2065" s="48" t="n">
        <x:v>1</x:v>
      </x:c>
      <x:c r="Q2065" s="48" t="n">
        <x:v>1</x:v>
      </x:c>
      <x:c r="R2065" s="48" t="n">
        <x:v>1</x:v>
      </x:c>
      <x:c r="S2065" s="29" t="n">
        <x:v>1</x:v>
      </x:c>
    </x:row>
    <x:row r="2066" ht="21.600000381469727" hidden="0" customHeight="1">
      <x:c r="A2066" s="27" t="n">
        <x:v>688</x:v>
      </x:c>
      <x:c r="B2066" s="27" t="str">
        <x:v>A1</x:v>
      </x:c>
      <x:c r="C2066" s="47" t="n">
        <x:v>0.98169725012539</x:v>
      </x:c>
      <x:c r="D2066" s="47" t="n">
        <x:v>0.9743627575164253</x:v>
      </x:c>
      <x:c r="E2066" s="47" t="n">
        <x:v>0.5290093756350819</x:v>
      </x:c>
      <x:c r="F2066" s="47" t="n">
        <x:v>-0.06711814165366833</x:v>
      </x:c>
      <x:c r="G2066" s="47" t="n">
        <x:v>-0.1114062570204021</x:v>
      </x:c>
      <x:c r="H2066" s="47" t="n">
        <x:v>0.3875054612198384</x:v>
      </x:c>
      <x:c r="I2066" s="47" t="n">
        <x:v>0.8374458347018595</x:v>
      </x:c>
      <x:c r="J2066" s="47" t="n">
        <x:v>0.5976267099879488</x:v>
      </x:c>
      <x:c r="K2066" s="47" t="n">
        <x:v>0.933687421136399</x:v>
      </x:c>
      <x:c r="L2066" s="47" t="n">
        <x:v>0.8651141744115254</x:v>
      </x:c>
      <x:c r="M2066" s="47" t="n">
        <x:v>0.02706451158112553</x:v>
      </x:c>
      <x:c r="N2066" s="47" t="n">
        <x:v>0.8279052979218663</x:v>
      </x:c>
      <x:c r="O2066" s="47" t="n">
        <x:v>0.9346612073763072</x:v>
      </x:c>
      <x:c r="P2066" s="47" t="n">
        <x:v>0.7048138536198376</x:v>
      </x:c>
      <x:c r="Q2066" s="47" t="n">
        <x:v>1</x:v>
      </x:c>
      <x:c r="R2066" s="47" t="n">
        <x:v>0.9193168464552124</x:v>
      </x:c>
      <x:c r="S2066" s="27" t="n">
        <x:v>0</x:v>
      </x:c>
    </x:row>
    <x:row r="2067" ht="21.600000381469727" hidden="0" customHeight="1">
      <x:c r="A2067" s="29" t="n">
        <x:v>688</x:v>
      </x:c>
      <x:c r="B2067" s="29" t="str">
        <x:v>A2</x:v>
      </x:c>
      <x:c r="C2067" s="48" t="n">
        <x:v>0.98169725012539</x:v>
      </x:c>
      <x:c r="D2067" s="48" t="n">
        <x:v>0.9743627575164253</x:v>
      </x:c>
      <x:c r="E2067" s="48" t="n">
        <x:v>0.5290093756350819</x:v>
      </x:c>
      <x:c r="F2067" s="48" t="n">
        <x:v>-0.06711814165366833</x:v>
      </x:c>
      <x:c r="G2067" s="48" t="n">
        <x:v>-0.1114062570204021</x:v>
      </x:c>
      <x:c r="H2067" s="48" t="n">
        <x:v>0.3875054612198384</x:v>
      </x:c>
      <x:c r="I2067" s="48" t="n">
        <x:v>0.8374458347018595</x:v>
      </x:c>
      <x:c r="J2067" s="48" t="n">
        <x:v>0.5976267099879488</x:v>
      </x:c>
      <x:c r="K2067" s="48" t="n">
        <x:v>0.933687421136399</x:v>
      </x:c>
      <x:c r="L2067" s="48" t="n">
        <x:v>0.8651141744115254</x:v>
      </x:c>
      <x:c r="M2067" s="48" t="n">
        <x:v>0.02706451158112553</x:v>
      </x:c>
      <x:c r="N2067" s="48" t="n">
        <x:v>0.8279052979218663</x:v>
      </x:c>
      <x:c r="O2067" s="48" t="n">
        <x:v>0.9847558518648202</x:v>
      </x:c>
      <x:c r="P2067" s="48" t="n">
        <x:v>0.8732775481376706</x:v>
      </x:c>
      <x:c r="Q2067" s="48" t="n">
        <x:v>1</x:v>
      </x:c>
      <x:c r="R2067" s="48" t="n">
        <x:v>0.9811758697205525</x:v>
      </x:c>
      <x:c r="S2067" s="29" t="n">
        <x:v>0</x:v>
      </x:c>
    </x:row>
    <x:row r="2068" ht="21.600000381469727" hidden="0" customHeight="1">
      <x:c r="A2068" s="27" t="n">
        <x:v>688</x:v>
      </x:c>
      <x:c r="B2068" s="27" t="str">
        <x:v>A3</x:v>
      </x:c>
      <x:c r="C2068" s="47" t="n">
        <x:v>0.98169725012539</x:v>
      </x:c>
      <x:c r="D2068" s="47" t="n">
        <x:v>0.9743627575164253</x:v>
      </x:c>
      <x:c r="E2068" s="47" t="n">
        <x:v>0.5290093756350819</x:v>
      </x:c>
      <x:c r="F2068" s="47" t="n">
        <x:v>-0.06711814165366833</x:v>
      </x:c>
      <x:c r="G2068" s="47" t="n">
        <x:v>-0.1114062570204021</x:v>
      </x:c>
      <x:c r="H2068" s="47" t="n">
        <x:v>0.3875054612198384</x:v>
      </x:c>
      <x:c r="I2068" s="47" t="n">
        <x:v>0.8374458347018595</x:v>
      </x:c>
      <x:c r="J2068" s="47" t="n">
        <x:v>0.5976267099879488</x:v>
      </x:c>
      <x:c r="K2068" s="47" t="n">
        <x:v>0.933687421136399</x:v>
      </x:c>
      <x:c r="L2068" s="47" t="n">
        <x:v>0.8651141744115254</x:v>
      </x:c>
      <x:c r="M2068" s="47" t="n">
        <x:v>0.02706451158112553</x:v>
      </x:c>
      <x:c r="N2068" s="47" t="n">
        <x:v>0.8279052979218663</x:v>
      </x:c>
      <x:c r="O2068" s="47" t="n">
        <x:v>1</x:v>
      </x:c>
      <x:c r="P2068" s="47" t="n">
        <x:v>1</x:v>
      </x:c>
      <x:c r="Q2068" s="47" t="n">
        <x:v>1</x:v>
      </x:c>
      <x:c r="R2068" s="47" t="n">
        <x:v>1</x:v>
      </x:c>
      <x:c r="S2068" s="27" t="n">
        <x:v>1</x:v>
      </x:c>
    </x:row>
    <x:row r="2069" ht="21.600000381469727" hidden="0" customHeight="1">
      <x:c r="A2069" s="29" t="n">
        <x:v>689</x:v>
      </x:c>
      <x:c r="B2069" s="29" t="str">
        <x:v>A1</x:v>
      </x:c>
      <x:c r="C2069" s="48" t="n">
        <x:v>1.28401871763216</x:v>
      </x:c>
      <x:c r="D2069" s="48" t="n">
        <x:v>0.9975998149639522</x:v>
      </x:c>
      <x:c r="E2069" s="48" t="n">
        <x:v>0.8510188419091831</x:v>
      </x:c>
      <x:c r="F2069" s="48" t="n">
        <x:v>-0.12467063384069901</x:v>
      </x:c>
      <x:c r="G2069" s="48" t="n">
        <x:v>-0.0289630955530939</x:v>
      </x:c>
      <x:c r="H2069" s="48" t="n">
        <x:v>0.45144743240948954</x:v>
      </x:c>
      <x:c r="I2069" s="48" t="n">
        <x:v>0.9027413051416922</x:v>
      </x:c>
      <x:c r="J2069" s="48" t="n">
        <x:v>0.48818150182668235</x:v>
      </x:c>
      <x:c r="K2069" s="48" t="n">
        <x:v>0.8581114103623546</x:v>
      </x:c>
      <x:c r="L2069" s="48" t="n">
        <x:v>0.6909312714518612</x:v>
      </x:c>
      <x:c r="M2069" s="48" t="n">
        <x:v>0.05206571158422788</x:v>
      </x:c>
      <x:c r="N2069" s="48" t="n">
        <x:v>0.9106484119757146</x:v>
      </x:c>
      <x:c r="O2069" s="48" t="n">
        <x:v>0.8290319090185909</x:v>
      </x:c>
      <x:c r="P2069" s="48" t="n">
        <x:v>0.5278930937672557</x:v>
      </x:c>
      <x:c r="Q2069" s="48" t="n">
        <x:v>1</x:v>
      </x:c>
      <x:c r="R2069" s="48" t="n">
        <x:v>0.7888812421839844</x:v>
      </x:c>
      <x:c r="S2069" s="29" t="n">
        <x:v>0</x:v>
      </x:c>
    </x:row>
    <x:row r="2070" ht="21.600000381469727" hidden="0" customHeight="1">
      <x:c r="A2070" s="27" t="n">
        <x:v>689</x:v>
      </x:c>
      <x:c r="B2070" s="27" t="str">
        <x:v>A2</x:v>
      </x:c>
      <x:c r="C2070" s="47" t="n">
        <x:v>1.28401871763216</x:v>
      </x:c>
      <x:c r="D2070" s="47" t="n">
        <x:v>0.9975998149639522</x:v>
      </x:c>
      <x:c r="E2070" s="47" t="n">
        <x:v>0.8510188419091831</x:v>
      </x:c>
      <x:c r="F2070" s="47" t="n">
        <x:v>-0.12467063384069901</x:v>
      </x:c>
      <x:c r="G2070" s="47" t="n">
        <x:v>-0.0289630955530939</x:v>
      </x:c>
      <x:c r="H2070" s="47" t="n">
        <x:v>0.45144743240948954</x:v>
      </x:c>
      <x:c r="I2070" s="47" t="n">
        <x:v>0.9027413051416922</x:v>
      </x:c>
      <x:c r="J2070" s="47" t="n">
        <x:v>0.48818150182668235</x:v>
      </x:c>
      <x:c r="K2070" s="47" t="n">
        <x:v>0.8581114103623546</x:v>
      </x:c>
      <x:c r="L2070" s="47" t="n">
        <x:v>0.6909312714518612</x:v>
      </x:c>
      <x:c r="M2070" s="47" t="n">
        <x:v>0.05206571158422788</x:v>
      </x:c>
      <x:c r="N2070" s="47" t="n">
        <x:v>0.9106484119757146</x:v>
      </x:c>
      <x:c r="O2070" s="47" t="n">
        <x:v>0.9149010462934907</x:v>
      </x:c>
      <x:c r="P2070" s="47" t="n">
        <x:v>0.7033099733868838</x:v>
      </x:c>
      <x:c r="Q2070" s="47" t="n">
        <x:v>1</x:v>
      </x:c>
      <x:c r="R2070" s="47" t="n">
        <x:v>0.8949161490028308</x:v>
      </x:c>
      <x:c r="S2070" s="27" t="n">
        <x:v>0</x:v>
      </x:c>
    </x:row>
    <x:row r="2071" ht="21.600000381469727" hidden="0" customHeight="1">
      <x:c r="A2071" s="29" t="n">
        <x:v>689</x:v>
      </x:c>
      <x:c r="B2071" s="29" t="str">
        <x:v>A3</x:v>
      </x:c>
      <x:c r="C2071" s="48" t="n">
        <x:v>1.28401871763216</x:v>
      </x:c>
      <x:c r="D2071" s="48" t="n">
        <x:v>0.9975998149639522</x:v>
      </x:c>
      <x:c r="E2071" s="48" t="n">
        <x:v>0.8510188419091831</x:v>
      </x:c>
      <x:c r="F2071" s="48" t="n">
        <x:v>-0.12467063384069901</x:v>
      </x:c>
      <x:c r="G2071" s="48" t="n">
        <x:v>-0.0289630955530939</x:v>
      </x:c>
      <x:c r="H2071" s="48" t="n">
        <x:v>0.45144743240948954</x:v>
      </x:c>
      <x:c r="I2071" s="48" t="n">
        <x:v>0.9027413051416922</x:v>
      </x:c>
      <x:c r="J2071" s="48" t="n">
        <x:v>0.48818150182668235</x:v>
      </x:c>
      <x:c r="K2071" s="48" t="n">
        <x:v>0.8581114103623546</x:v>
      </x:c>
      <x:c r="L2071" s="48" t="n">
        <x:v>0.6909312714518612</x:v>
      </x:c>
      <x:c r="M2071" s="48" t="n">
        <x:v>0.05206571158422788</x:v>
      </x:c>
      <x:c r="N2071" s="48" t="n">
        <x:v>0.9106484119757146</x:v>
      </x:c>
      <x:c r="O2071" s="48" t="n">
        <x:v>1</x:v>
      </x:c>
      <x:c r="P2071" s="48" t="n">
        <x:v>1</x:v>
      </x:c>
      <x:c r="Q2071" s="48" t="n">
        <x:v>1</x:v>
      </x:c>
      <x:c r="R2071" s="48" t="n">
        <x:v>1</x:v>
      </x:c>
      <x:c r="S2071" s="29" t="n">
        <x:v>1</x:v>
      </x:c>
    </x:row>
    <x:row r="2072" ht="21.600000381469727" hidden="0" customHeight="1">
      <x:c r="A2072" s="27" t="n">
        <x:v>690</x:v>
      </x:c>
      <x:c r="B2072" s="27" t="str">
        <x:v>A1</x:v>
      </x:c>
      <x:c r="C2072" s="47" t="n">
        <x:v>1.1024484155701904</x:v>
      </x:c>
      <x:c r="D2072" s="47" t="n">
        <x:v>0.8187450254593379</x:v>
      </x:c>
      <x:c r="E2072" s="47" t="n">
        <x:v>0.7314567029750745</x:v>
      </x:c>
      <x:c r="F2072" s="47" t="n">
        <x:v>-0.09685512473093527</x:v>
      </x:c>
      <x:c r="G2072" s="47" t="n">
        <x:v>-0.04989388250406415</x:v>
      </x:c>
      <x:c r="H2072" s="47" t="n">
        <x:v>0.9077291174235198</x:v>
      </x:c>
      <x:c r="I2072" s="47" t="n">
        <x:v>0.6331762692669107</x:v>
      </x:c>
      <x:c r="J2072" s="47" t="n">
        <x:v>0.4219559718007263</x:v>
      </x:c>
      <x:c r="K2072" s="47" t="n">
        <x:v>0.8157766757993223</x:v>
      </x:c>
      <x:c r="L2072" s="47" t="n">
        <x:v>0.9983702150249103</x:v>
      </x:c>
      <x:c r="M2072" s="47" t="n">
        <x:v>0.07422512852111302</x:v>
      </x:c>
      <x:c r="N2072" s="47" t="n">
        <x:v>0.9858462076726298</x:v>
      </x:c>
      <x:c r="O2072" s="47" t="n">
        <x:v>0.8188788579630705</x:v>
      </x:c>
      <x:c r="P2072" s="47" t="n">
        <x:v>0.5682874734826124</x:v>
      </x:c>
      <x:c r="Q2072" s="47" t="n">
        <x:v>1</x:v>
      </x:c>
      <x:c r="R2072" s="47" t="n">
        <x:v>0.7763438177173504</x:v>
      </x:c>
      <x:c r="S2072" s="27" t="n">
        <x:v>0</x:v>
      </x:c>
    </x:row>
    <x:row r="2073" ht="21.600000381469727" hidden="0" customHeight="1">
      <x:c r="A2073" s="29" t="n">
        <x:v>690</x:v>
      </x:c>
      <x:c r="B2073" s="29" t="str">
        <x:v>A2</x:v>
      </x:c>
      <x:c r="C2073" s="48" t="n">
        <x:v>1.1024484155701904</x:v>
      </x:c>
      <x:c r="D2073" s="48" t="n">
        <x:v>0.8187450254593379</x:v>
      </x:c>
      <x:c r="E2073" s="48" t="n">
        <x:v>0.7314567029750745</x:v>
      </x:c>
      <x:c r="F2073" s="48" t="n">
        <x:v>-0.09685512473093527</x:v>
      </x:c>
      <x:c r="G2073" s="48" t="n">
        <x:v>-0.04989388250406415</x:v>
      </x:c>
      <x:c r="H2073" s="48" t="n">
        <x:v>0.9077291174235198</x:v>
      </x:c>
      <x:c r="I2073" s="48" t="n">
        <x:v>0.6331762692669107</x:v>
      </x:c>
      <x:c r="J2073" s="48" t="n">
        <x:v>0.4219559718007263</x:v>
      </x:c>
      <x:c r="K2073" s="48" t="n">
        <x:v>0.8157766757993223</x:v>
      </x:c>
      <x:c r="L2073" s="48" t="n">
        <x:v>0.9983702150249103</x:v>
      </x:c>
      <x:c r="M2073" s="48" t="n">
        <x:v>0.07422512852111302</x:v>
      </x:c>
      <x:c r="N2073" s="48" t="n">
        <x:v>0.9858462076726298</x:v>
      </x:c>
      <x:c r="O2073" s="48" t="n">
        <x:v>0.9065916940384885</x:v>
      </x:c>
      <x:c r="P2073" s="48" t="n">
        <x:v>0.7388458230215385</x:v>
      </x:c>
      <x:c r="Q2073" s="48" t="n">
        <x:v>1</x:v>
      </x:c>
      <x:c r="R2073" s="48" t="n">
        <x:v>0.884655403174403</x:v>
      </x:c>
      <x:c r="S2073" s="29" t="n">
        <x:v>0</x:v>
      </x:c>
    </x:row>
    <x:row r="2074" ht="21.600000381469727" hidden="0" customHeight="1">
      <x:c r="A2074" s="27" t="n">
        <x:v>690</x:v>
      </x:c>
      <x:c r="B2074" s="27" t="str">
        <x:v>A3</x:v>
      </x:c>
      <x:c r="C2074" s="47" t="n">
        <x:v>1.1024484155701904</x:v>
      </x:c>
      <x:c r="D2074" s="47" t="n">
        <x:v>0.8187450254593379</x:v>
      </x:c>
      <x:c r="E2074" s="47" t="n">
        <x:v>0.7314567029750745</x:v>
      </x:c>
      <x:c r="F2074" s="47" t="n">
        <x:v>-0.09685512473093527</x:v>
      </x:c>
      <x:c r="G2074" s="47" t="n">
        <x:v>-0.04989388250406415</x:v>
      </x:c>
      <x:c r="H2074" s="47" t="n">
        <x:v>0.9077291174235198</x:v>
      </x:c>
      <x:c r="I2074" s="47" t="n">
        <x:v>0.6331762692669107</x:v>
      </x:c>
      <x:c r="J2074" s="47" t="n">
        <x:v>0.4219559718007263</x:v>
      </x:c>
      <x:c r="K2074" s="47" t="n">
        <x:v>0.8157766757993223</x:v>
      </x:c>
      <x:c r="L2074" s="47" t="n">
        <x:v>0.9983702150249103</x:v>
      </x:c>
      <x:c r="M2074" s="47" t="n">
        <x:v>0.07422512852111302</x:v>
      </x:c>
      <x:c r="N2074" s="47" t="n">
        <x:v>0.9858462076726298</x:v>
      </x:c>
      <x:c r="O2074" s="47" t="n">
        <x:v>1</x:v>
      </x:c>
      <x:c r="P2074" s="47" t="n">
        <x:v>1</x:v>
      </x:c>
      <x:c r="Q2074" s="47" t="n">
        <x:v>1</x:v>
      </x:c>
      <x:c r="R2074" s="47" t="n">
        <x:v>1</x:v>
      </x:c>
      <x:c r="S2074" s="27" t="n">
        <x:v>1</x:v>
      </x:c>
    </x:row>
    <x:row r="2075" ht="21.600000381469727" hidden="0" customHeight="1">
      <x:c r="A2075" s="29" t="n">
        <x:v>691</x:v>
      </x:c>
      <x:c r="B2075" s="29" t="str">
        <x:v>A1</x:v>
      </x:c>
      <x:c r="C2075" s="48" t="n">
        <x:v>0.9432936966052751</x:v>
      </x:c>
      <x:c r="D2075" s="48" t="n">
        <x:v>0.8297197577687166</x:v>
      </x:c>
      <x:c r="E2075" s="48" t="n">
        <x:v>1.0500416928639877</x:v>
      </x:c>
      <x:c r="F2075" s="48" t="n">
        <x:v>-0.02601953579786412</x:v>
      </x:c>
      <x:c r="G2075" s="48" t="n">
        <x:v>-0.06507173351151704</x:v>
      </x:c>
      <x:c r="H2075" s="48" t="n">
        <x:v>0.56063958141133</x:v>
      </x:c>
      <x:c r="I2075" s="48" t="n">
        <x:v>0.6633818111937533</x:v>
      </x:c>
      <x:c r="J2075" s="48" t="n">
        <x:v>0.8798342778591437</x:v>
      </x:c>
      <x:c r="K2075" s="48" t="n">
        <x:v>0.9253107633854896</x:v>
      </x:c>
      <x:c r="L2075" s="48" t="n">
        <x:v>0.5530228707277485</x:v>
      </x:c>
      <x:c r="M2075" s="48" t="n">
        <x:v>0.13630220242287583</x:v>
      </x:c>
      <x:c r="N2075" s="48" t="n">
        <x:v>0.7589719427381185</x:v>
      </x:c>
      <x:c r="O2075" s="48" t="n">
        <x:v>0.9186128696640828</x:v>
      </x:c>
      <x:c r="P2075" s="48" t="n">
        <x:v>0.5883469970851443</x:v>
      </x:c>
      <x:c r="Q2075" s="48" t="n">
        <x:v>1</x:v>
      </x:c>
      <x:c r="R2075" s="48" t="n">
        <x:v>0.8994996682708624</x:v>
      </x:c>
      <x:c r="S2075" s="29" t="n">
        <x:v>0</x:v>
      </x:c>
    </x:row>
    <x:row r="2076" ht="21.600000381469727" hidden="0" customHeight="1">
      <x:c r="A2076" s="27" t="n">
        <x:v>691</x:v>
      </x:c>
      <x:c r="B2076" s="27" t="str">
        <x:v>A2</x:v>
      </x:c>
      <x:c r="C2076" s="47" t="n">
        <x:v>0.9432936966052751</x:v>
      </x:c>
      <x:c r="D2076" s="47" t="n">
        <x:v>0.8297197577687166</x:v>
      </x:c>
      <x:c r="E2076" s="47" t="n">
        <x:v>1.0500416928639877</x:v>
      </x:c>
      <x:c r="F2076" s="47" t="n">
        <x:v>-0.02601953579786412</x:v>
      </x:c>
      <x:c r="G2076" s="47" t="n">
        <x:v>-0.06507173351151704</x:v>
      </x:c>
      <x:c r="H2076" s="47" t="n">
        <x:v>0.56063958141133</x:v>
      </x:c>
      <x:c r="I2076" s="47" t="n">
        <x:v>0.6633818111937533</x:v>
      </x:c>
      <x:c r="J2076" s="47" t="n">
        <x:v>0.8798342778591437</x:v>
      </x:c>
      <x:c r="K2076" s="47" t="n">
        <x:v>0.9253107633854896</x:v>
      </x:c>
      <x:c r="L2076" s="47" t="n">
        <x:v>0.5530228707277485</x:v>
      </x:c>
      <x:c r="M2076" s="47" t="n">
        <x:v>0.13630220242287583</x:v>
      </x:c>
      <x:c r="N2076" s="47" t="n">
        <x:v>0.7589719427381185</x:v>
      </x:c>
      <x:c r="O2076" s="47" t="n">
        <x:v>0.9825332274834632</x:v>
      </x:c>
      <x:c r="P2076" s="47" t="n">
        <x:v>0.8253322748346307</x:v>
      </x:c>
      <x:c r="Q2076" s="47" t="n">
        <x:v>1</x:v>
      </x:c>
      <x:c r="R2076" s="47" t="n">
        <x:v>0.9784312774648272</x:v>
      </x:c>
      <x:c r="S2076" s="27" t="n">
        <x:v>0</x:v>
      </x:c>
    </x:row>
    <x:row r="2077" ht="21.600000381469727" hidden="0" customHeight="1">
      <x:c r="A2077" s="29" t="n">
        <x:v>691</x:v>
      </x:c>
      <x:c r="B2077" s="29" t="str">
        <x:v>A3</x:v>
      </x:c>
      <x:c r="C2077" s="48" t="n">
        <x:v>0.9432936966052751</x:v>
      </x:c>
      <x:c r="D2077" s="48" t="n">
        <x:v>0.8297197577687166</x:v>
      </x:c>
      <x:c r="E2077" s="48" t="n">
        <x:v>1.0500416928639877</x:v>
      </x:c>
      <x:c r="F2077" s="48" t="n">
        <x:v>-0.02601953579786412</x:v>
      </x:c>
      <x:c r="G2077" s="48" t="n">
        <x:v>-0.06507173351151704</x:v>
      </x:c>
      <x:c r="H2077" s="48" t="n">
        <x:v>0.56063958141133</x:v>
      </x:c>
      <x:c r="I2077" s="48" t="n">
        <x:v>0.6633818111937533</x:v>
      </x:c>
      <x:c r="J2077" s="48" t="n">
        <x:v>0.8798342778591437</x:v>
      </x:c>
      <x:c r="K2077" s="48" t="n">
        <x:v>0.9253107633854896</x:v>
      </x:c>
      <x:c r="L2077" s="48" t="n">
        <x:v>0.5530228707277485</x:v>
      </x:c>
      <x:c r="M2077" s="48" t="n">
        <x:v>0.13630220242287583</x:v>
      </x:c>
      <x:c r="N2077" s="48" t="n">
        <x:v>0.7589719427381185</x:v>
      </x:c>
      <x:c r="O2077" s="48" t="n">
        <x:v>1</x:v>
      </x:c>
      <x:c r="P2077" s="48" t="n">
        <x:v>1</x:v>
      </x:c>
      <x:c r="Q2077" s="48" t="n">
        <x:v>1</x:v>
      </x:c>
      <x:c r="R2077" s="48" t="n">
        <x:v>1</x:v>
      </x:c>
      <x:c r="S2077" s="29" t="n">
        <x:v>1</x:v>
      </x:c>
    </x:row>
    <x:row r="2078" ht="21.600000381469727" hidden="0" customHeight="1">
      <x:c r="A2078" s="27" t="n">
        <x:v>692</x:v>
      </x:c>
      <x:c r="B2078" s="27" t="str">
        <x:v>A1</x:v>
      </x:c>
      <x:c r="C2078" s="47" t="n">
        <x:v>1.145419940345164</x:v>
      </x:c>
      <x:c r="D2078" s="47" t="n">
        <x:v>0.9023871614713906</x:v>
      </x:c>
      <x:c r="E2078" s="47" t="n">
        <x:v>0.9489295091204866</x:v>
      </x:c>
      <x:c r="F2078" s="47" t="n">
        <x:v>-0.15261481863336074</x:v>
      </x:c>
      <x:c r="G2078" s="47" t="n">
        <x:v>-0.08091907930481869</x:v>
      </x:c>
      <x:c r="H2078" s="47" t="n">
        <x:v>0.32772982943868106</x:v>
      </x:c>
      <x:c r="I2078" s="47" t="n">
        <x:v>0.8421424649971057</x:v>
      </x:c>
      <x:c r="J2078" s="47" t="n">
        <x:v>0.7495433490400099</x:v>
      </x:c>
      <x:c r="K2078" s="47" t="n">
        <x:v>0.7666594483350613</x:v>
      </x:c>
      <x:c r="L2078" s="47" t="n">
        <x:v>0.6031420431349979</x:v>
      </x:c>
      <x:c r="M2078" s="47" t="n">
        <x:v>0.1783721461103243</x:v>
      </x:c>
      <x:c r="N2078" s="47" t="n">
        <x:v>0.6543329660360558</x:v>
      </x:c>
      <x:c r="O2078" s="47" t="n">
        <x:v>0.888621734879821</x:v>
      </x:c>
      <x:c r="P2078" s="47" t="n">
        <x:v>0.5895331803960382</x:v>
      </x:c>
      <x:c r="Q2078" s="47" t="n">
        <x:v>1</x:v>
      </x:c>
      <x:c r="R2078" s="47" t="n">
        <x:v>0.862465324114592</x:v>
      </x:c>
      <x:c r="S2078" s="27" t="n">
        <x:v>0</x:v>
      </x:c>
    </x:row>
    <x:row r="2079" ht="21.600000381469727" hidden="0" customHeight="1">
      <x:c r="A2079" s="29" t="n">
        <x:v>692</x:v>
      </x:c>
      <x:c r="B2079" s="29" t="str">
        <x:v>A2</x:v>
      </x:c>
      <x:c r="C2079" s="48" t="n">
        <x:v>1.145419940345164</x:v>
      </x:c>
      <x:c r="D2079" s="48" t="n">
        <x:v>0.9023871614713906</x:v>
      </x:c>
      <x:c r="E2079" s="48" t="n">
        <x:v>0.9489295091204866</x:v>
      </x:c>
      <x:c r="F2079" s="48" t="n">
        <x:v>-0.15261481863336074</x:v>
      </x:c>
      <x:c r="G2079" s="48" t="n">
        <x:v>-0.08091907930481869</x:v>
      </x:c>
      <x:c r="H2079" s="48" t="n">
        <x:v>0.32772982943868106</x:v>
      </x:c>
      <x:c r="I2079" s="48" t="n">
        <x:v>0.8421424649971057</x:v>
      </x:c>
      <x:c r="J2079" s="48" t="n">
        <x:v>0.7495433490400099</x:v>
      </x:c>
      <x:c r="K2079" s="48" t="n">
        <x:v>0.7666594483350613</x:v>
      </x:c>
      <x:c r="L2079" s="48" t="n">
        <x:v>0.6031420431349979</x:v>
      </x:c>
      <x:c r="M2079" s="48" t="n">
        <x:v>0.1783721461103243</x:v>
      </x:c>
      <x:c r="N2079" s="48" t="n">
        <x:v>0.6543329660360558</x:v>
      </x:c>
      <x:c r="O2079" s="48" t="n">
        <x:v>0.9567895411838173</x:v>
      </x:c>
      <x:c r="P2079" s="48" t="n">
        <x:v>0.6437329818031501</x:v>
      </x:c>
      <x:c r="Q2079" s="48" t="n">
        <x:v>1</x:v>
      </x:c>
      <x:c r="R2079" s="48" t="n">
        <x:v>0.9466418655225871</x:v>
      </x:c>
      <x:c r="S2079" s="29" t="n">
        <x:v>0</x:v>
      </x:c>
    </x:row>
    <x:row r="2080" ht="21.600000381469727" hidden="0" customHeight="1">
      <x:c r="A2080" s="27" t="n">
        <x:v>692</x:v>
      </x:c>
      <x:c r="B2080" s="27" t="str">
        <x:v>A3</x:v>
      </x:c>
      <x:c r="C2080" s="47" t="n">
        <x:v>1.145419940345164</x:v>
      </x:c>
      <x:c r="D2080" s="47" t="n">
        <x:v>0.9023871614713906</x:v>
      </x:c>
      <x:c r="E2080" s="47" t="n">
        <x:v>0.9489295091204866</x:v>
      </x:c>
      <x:c r="F2080" s="47" t="n">
        <x:v>-0.15261481863336074</x:v>
      </x:c>
      <x:c r="G2080" s="47" t="n">
        <x:v>-0.08091907930481869</x:v>
      </x:c>
      <x:c r="H2080" s="47" t="n">
        <x:v>0.32772982943868106</x:v>
      </x:c>
      <x:c r="I2080" s="47" t="n">
        <x:v>0.8421424649971057</x:v>
      </x:c>
      <x:c r="J2080" s="47" t="n">
        <x:v>0.7495433490400099</x:v>
      </x:c>
      <x:c r="K2080" s="47" t="n">
        <x:v>0.7666594483350613</x:v>
      </x:c>
      <x:c r="L2080" s="47" t="n">
        <x:v>0.6031420431349979</x:v>
      </x:c>
      <x:c r="M2080" s="47" t="n">
        <x:v>0.1783721461103243</x:v>
      </x:c>
      <x:c r="N2080" s="47" t="n">
        <x:v>0.6543329660360558</x:v>
      </x:c>
      <x:c r="O2080" s="47" t="n">
        <x:v>1</x:v>
      </x:c>
      <x:c r="P2080" s="47" t="n">
        <x:v>1</x:v>
      </x:c>
      <x:c r="Q2080" s="47" t="n">
        <x:v>1</x:v>
      </x:c>
      <x:c r="R2080" s="47" t="n">
        <x:v>1</x:v>
      </x:c>
      <x:c r="S2080" s="27" t="n">
        <x:v>1</x:v>
      </x:c>
    </x:row>
    <x:row r="2081" ht="21.600000381469727" hidden="0" customHeight="1">
      <x:c r="A2081" s="29" t="n">
        <x:v>693</x:v>
      </x:c>
      <x:c r="B2081" s="29" t="str">
        <x:v>A1</x:v>
      </x:c>
      <x:c r="C2081" s="48" t="n">
        <x:v>1.0025521953534327</x:v>
      </x:c>
      <x:c r="D2081" s="48" t="n">
        <x:v>0.8063995360012656</x:v>
      </x:c>
      <x:c r="E2081" s="48" t="n">
        <x:v>0.6911644852952514</x:v>
      </x:c>
      <x:c r="F2081" s="48" t="n">
        <x:v>-0.11194190001855878</x:v>
      </x:c>
      <x:c r="G2081" s="48" t="n">
        <x:v>-0.13031724867950667</x:v>
      </x:c>
      <x:c r="H2081" s="48" t="n">
        <x:v>0.43617257243616825</x:v>
      </x:c>
      <x:c r="I2081" s="48" t="n">
        <x:v>0.7926044551339301</x:v>
      </x:c>
      <x:c r="J2081" s="48" t="n">
        <x:v>0.5794631293366199</x:v>
      </x:c>
      <x:c r="K2081" s="48" t="n">
        <x:v>0.6689530035641356</x:v>
      </x:c>
      <x:c r="L2081" s="48" t="n">
        <x:v>0.5049616270473417</x:v>
      </x:c>
      <x:c r="M2081" s="48" t="n">
        <x:v>0.07094373427213847</x:v>
      </x:c>
      <x:c r="N2081" s="48" t="n">
        <x:v>0.785899970415908</x:v>
      </x:c>
      <x:c r="O2081" s="48" t="n">
        <x:v>0.8253739651273392</x:v>
      </x:c>
      <x:c r="P2081" s="48" t="n">
        <x:v>0.5580159063035707</x:v>
      </x:c>
      <x:c r="Q2081" s="48" t="n">
        <x:v>1</x:v>
      </x:c>
      <x:c r="R2081" s="48" t="n">
        <x:v>0.784364255616206</x:v>
      </x:c>
      <x:c r="S2081" s="29" t="n">
        <x:v>0</x:v>
      </x:c>
    </x:row>
    <x:row r="2082" ht="21.600000381469727" hidden="0" customHeight="1">
      <x:c r="A2082" s="27" t="n">
        <x:v>693</x:v>
      </x:c>
      <x:c r="B2082" s="27" t="str">
        <x:v>A2</x:v>
      </x:c>
      <x:c r="C2082" s="47" t="n">
        <x:v>1.0025521953534327</x:v>
      </x:c>
      <x:c r="D2082" s="47" t="n">
        <x:v>0.8063995360012656</x:v>
      </x:c>
      <x:c r="E2082" s="47" t="n">
        <x:v>0.6911644852952514</x:v>
      </x:c>
      <x:c r="F2082" s="47" t="n">
        <x:v>-0.11194190001855878</x:v>
      </x:c>
      <x:c r="G2082" s="47" t="n">
        <x:v>-0.13031724867950667</x:v>
      </x:c>
      <x:c r="H2082" s="47" t="n">
        <x:v>0.43617257243616825</x:v>
      </x:c>
      <x:c r="I2082" s="47" t="n">
        <x:v>0.7926044551339301</x:v>
      </x:c>
      <x:c r="J2082" s="47" t="n">
        <x:v>0.5794631293366199</x:v>
      </x:c>
      <x:c r="K2082" s="47" t="n">
        <x:v>0.6689530035641356</x:v>
      </x:c>
      <x:c r="L2082" s="47" t="n">
        <x:v>0.5049616270473417</x:v>
      </x:c>
      <x:c r="M2082" s="47" t="n">
        <x:v>0.07094373427213847</x:v>
      </x:c>
      <x:c r="N2082" s="47" t="n">
        <x:v>0.785899970415908</x:v>
      </x:c>
      <x:c r="O2082" s="47" t="n">
        <x:v>0.8869933251734944</x:v>
      </x:c>
      <x:c r="P2082" s="47" t="n">
        <x:v>0.5399942834974432</x:v>
      </x:c>
      <x:c r="Q2082" s="47" t="n">
        <x:v>1</x:v>
      </x:c>
      <x:c r="R2082" s="47" t="n">
        <x:v>0.8604544937166984</x:v>
      </x:c>
      <x:c r="S2082" s="27" t="n">
        <x:v>0</x:v>
      </x:c>
    </x:row>
    <x:row r="2083" ht="21.600000381469727" hidden="0" customHeight="1">
      <x:c r="A2083" s="29" t="n">
        <x:v>693</x:v>
      </x:c>
      <x:c r="B2083" s="29" t="str">
        <x:v>A3</x:v>
      </x:c>
      <x:c r="C2083" s="48" t="n">
        <x:v>1.0025521953534327</x:v>
      </x:c>
      <x:c r="D2083" s="48" t="n">
        <x:v>0.8063995360012656</x:v>
      </x:c>
      <x:c r="E2083" s="48" t="n">
        <x:v>0.6911644852952514</x:v>
      </x:c>
      <x:c r="F2083" s="48" t="n">
        <x:v>-0.11194190001855878</x:v>
      </x:c>
      <x:c r="G2083" s="48" t="n">
        <x:v>-0.13031724867950667</x:v>
      </x:c>
      <x:c r="H2083" s="48" t="n">
        <x:v>0.43617257243616825</x:v>
      </x:c>
      <x:c r="I2083" s="48" t="n">
        <x:v>0.7926044551339301</x:v>
      </x:c>
      <x:c r="J2083" s="48" t="n">
        <x:v>0.5794631293366199</x:v>
      </x:c>
      <x:c r="K2083" s="48" t="n">
        <x:v>0.6689530035641356</x:v>
      </x:c>
      <x:c r="L2083" s="48" t="n">
        <x:v>0.5049616270473417</x:v>
      </x:c>
      <x:c r="M2083" s="48" t="n">
        <x:v>0.07094373427213847</x:v>
      </x:c>
      <x:c r="N2083" s="48" t="n">
        <x:v>0.785899970415908</x:v>
      </x:c>
      <x:c r="O2083" s="48" t="n">
        <x:v>1</x:v>
      </x:c>
      <x:c r="P2083" s="48" t="n">
        <x:v>1</x:v>
      </x:c>
      <x:c r="Q2083" s="48" t="n">
        <x:v>1</x:v>
      </x:c>
      <x:c r="R2083" s="48" t="n">
        <x:v>1</x:v>
      </x:c>
      <x:c r="S2083" s="29" t="n">
        <x:v>1</x:v>
      </x:c>
    </x:row>
    <x:row r="2084" ht="21.600000381469727" hidden="0" customHeight="1">
      <x:c r="A2084" s="27" t="n">
        <x:v>694</x:v>
      </x:c>
      <x:c r="B2084" s="27" t="str">
        <x:v>A1</x:v>
      </x:c>
      <x:c r="C2084" s="47" t="n">
        <x:v>1.2619098827928206</x:v>
      </x:c>
      <x:c r="D2084" s="47" t="n">
        <x:v>0.7639005927609588</x:v>
      </x:c>
      <x:c r="E2084" s="47" t="n">
        <x:v>0.503080236811268</x:v>
      </x:c>
      <x:c r="F2084" s="47" t="n">
        <x:v>-0.054493063699943806</x:v>
      </x:c>
      <x:c r="G2084" s="47" t="n">
        <x:v>-0.1787253701295192</x:v>
      </x:c>
      <x:c r="H2084" s="47" t="n">
        <x:v>0.4015858247542645</x:v>
      </x:c>
      <x:c r="I2084" s="47" t="n">
        <x:v>0.696386967144976</x:v>
      </x:c>
      <x:c r="J2084" s="47" t="n">
        <x:v>0.7450019731843314</x:v>
      </x:c>
      <x:c r="K2084" s="47" t="n">
        <x:v>0.9397914543246884</x:v>
      </x:c>
      <x:c r="L2084" s="47" t="n">
        <x:v>0.6553052425915742</x:v>
      </x:c>
      <x:c r="M2084" s="47" t="n">
        <x:v>0.102049980405484</x:v>
      </x:c>
      <x:c r="N2084" s="47" t="n">
        <x:v>0.7004083184244656</x:v>
      </x:c>
      <x:c r="O2084" s="47" t="n">
        <x:v>0.7110428311281458</x:v>
      </x:c>
      <x:c r="P2084" s="47" t="n">
        <x:v>0.4333890037633968</x:v>
      </x:c>
      <x:c r="Q2084" s="47" t="n">
        <x:v>0.9529017231429628</x:v>
      </x:c>
      <x:c r="R2084" s="47" t="n">
        <x:v>0.6507217283211609</x:v>
      </x:c>
      <x:c r="S2084" s="27" t="n">
        <x:v>0</x:v>
      </x:c>
    </x:row>
    <x:row r="2085" ht="21.600000381469727" hidden="0" customHeight="1">
      <x:c r="A2085" s="29" t="n">
        <x:v>694</x:v>
      </x:c>
      <x:c r="B2085" s="29" t="str">
        <x:v>A2</x:v>
      </x:c>
      <x:c r="C2085" s="48" t="n">
        <x:v>1.2619098827928206</x:v>
      </x:c>
      <x:c r="D2085" s="48" t="n">
        <x:v>0.7639005927609588</x:v>
      </x:c>
      <x:c r="E2085" s="48" t="n">
        <x:v>0.503080236811268</x:v>
      </x:c>
      <x:c r="F2085" s="48" t="n">
        <x:v>-0.054493063699943806</x:v>
      </x:c>
      <x:c r="G2085" s="48" t="n">
        <x:v>-0.1787253701295192</x:v>
      </x:c>
      <x:c r="H2085" s="48" t="n">
        <x:v>0.4015858247542645</x:v>
      </x:c>
      <x:c r="I2085" s="48" t="n">
        <x:v>0.696386967144976</x:v>
      </x:c>
      <x:c r="J2085" s="48" t="n">
        <x:v>0.7450019731843314</x:v>
      </x:c>
      <x:c r="K2085" s="48" t="n">
        <x:v>0.9397914543246884</x:v>
      </x:c>
      <x:c r="L2085" s="48" t="n">
        <x:v>0.6553052425915742</x:v>
      </x:c>
      <x:c r="M2085" s="48" t="n">
        <x:v>0.102049980405484</x:v>
      </x:c>
      <x:c r="N2085" s="48" t="n">
        <x:v>0.7004083184244656</x:v>
      </x:c>
      <x:c r="O2085" s="48" t="n">
        <x:v>0.7838182386713087</x:v>
      </x:c>
      <x:c r="P2085" s="48" t="n">
        <x:v>0.4339488837477732</x:v>
      </x:c>
      <x:c r="Q2085" s="48" t="n">
        <x:v>1</x:v>
      </x:c>
      <x:c r="R2085" s="48" t="n">
        <x:v>0.7330494558826506</x:v>
      </x:c>
      <x:c r="S2085" s="29" t="n">
        <x:v>0</x:v>
      </x:c>
    </x:row>
    <x:row r="2086" ht="21.600000381469727" hidden="0" customHeight="1">
      <x:c r="A2086" s="27" t="n">
        <x:v>694</x:v>
      </x:c>
      <x:c r="B2086" s="27" t="str">
        <x:v>A3</x:v>
      </x:c>
      <x:c r="C2086" s="47" t="n">
        <x:v>1.2619098827928206</x:v>
      </x:c>
      <x:c r="D2086" s="47" t="n">
        <x:v>0.7639005927609588</x:v>
      </x:c>
      <x:c r="E2086" s="47" t="n">
        <x:v>0.503080236811268</x:v>
      </x:c>
      <x:c r="F2086" s="47" t="n">
        <x:v>-0.054493063699943806</x:v>
      </x:c>
      <x:c r="G2086" s="47" t="n">
        <x:v>-0.1787253701295192</x:v>
      </x:c>
      <x:c r="H2086" s="47" t="n">
        <x:v>0.4015858247542645</x:v>
      </x:c>
      <x:c r="I2086" s="47" t="n">
        <x:v>0.696386967144976</x:v>
      </x:c>
      <x:c r="J2086" s="47" t="n">
        <x:v>0.7450019731843314</x:v>
      </x:c>
      <x:c r="K2086" s="47" t="n">
        <x:v>0.9397914543246884</x:v>
      </x:c>
      <x:c r="L2086" s="47" t="n">
        <x:v>0.6553052425915742</x:v>
      </x:c>
      <x:c r="M2086" s="47" t="n">
        <x:v>0.102049980405484</x:v>
      </x:c>
      <x:c r="N2086" s="47" t="n">
        <x:v>0.7004083184244656</x:v>
      </x:c>
      <x:c r="O2086" s="47" t="n">
        <x:v>1</x:v>
      </x:c>
      <x:c r="P2086" s="47" t="n">
        <x:v>1</x:v>
      </x:c>
      <x:c r="Q2086" s="47" t="n">
        <x:v>1</x:v>
      </x:c>
      <x:c r="R2086" s="47" t="n">
        <x:v>1</x:v>
      </x:c>
      <x:c r="S2086" s="27" t="n">
        <x:v>1</x:v>
      </x:c>
    </x:row>
    <x:row r="2087" ht="21.600000381469727" hidden="0" customHeight="1">
      <x:c r="A2087" s="29" t="n">
        <x:v>695</x:v>
      </x:c>
      <x:c r="B2087" s="29" t="str">
        <x:v>A1</x:v>
      </x:c>
      <x:c r="C2087" s="48" t="n">
        <x:v>1.1652816681905553</x:v>
      </x:c>
      <x:c r="D2087" s="48" t="n">
        <x:v>0.8325045246824807</x:v>
      </x:c>
      <x:c r="E2087" s="48" t="n">
        <x:v>0.6441381998936477</x:v>
      </x:c>
      <x:c r="F2087" s="48" t="n">
        <x:v>-0.1013063655465173</x:v>
      </x:c>
      <x:c r="G2087" s="48" t="n">
        <x:v>-0.037479318321238686</x:v>
      </x:c>
      <x:c r="H2087" s="48" t="n">
        <x:v>0.6772034010107397</x:v>
      </x:c>
      <x:c r="I2087" s="48" t="n">
        <x:v>0.8097663266178773</x:v>
      </x:c>
      <x:c r="J2087" s="48" t="n">
        <x:v>0.7013064391246822</x:v>
      </x:c>
      <x:c r="K2087" s="48" t="n">
        <x:v>0.9827611848111835</x:v>
      </x:c>
      <x:c r="L2087" s="48" t="n">
        <x:v>0.930053978276956</x:v>
      </x:c>
      <x:c r="M2087" s="48" t="n">
        <x:v>0.11481949846100134</x:v>
      </x:c>
      <x:c r="N2087" s="48" t="n">
        <x:v>0.9561008414948431</x:v>
      </x:c>
      <x:c r="O2087" s="48" t="n">
        <x:v>0.8589479347347058</x:v>
      </x:c>
      <x:c r="P2087" s="48" t="n">
        <x:v>0.5308618097339809</x:v>
      </x:c>
      <x:c r="Q2087" s="48" t="n">
        <x:v>1</x:v>
      </x:c>
      <x:c r="R2087" s="48" t="n">
        <x:v>0.8258228384299466</x:v>
      </x:c>
      <x:c r="S2087" s="29" t="n">
        <x:v>0</x:v>
      </x:c>
    </x:row>
    <x:row r="2088" ht="21.600000381469727" hidden="0" customHeight="1">
      <x:c r="A2088" s="27" t="n">
        <x:v>695</x:v>
      </x:c>
      <x:c r="B2088" s="27" t="str">
        <x:v>A2</x:v>
      </x:c>
      <x:c r="C2088" s="47" t="n">
        <x:v>1.1652816681905553</x:v>
      </x:c>
      <x:c r="D2088" s="47" t="n">
        <x:v>0.8325045246824807</x:v>
      </x:c>
      <x:c r="E2088" s="47" t="n">
        <x:v>0.6441381998936477</x:v>
      </x:c>
      <x:c r="F2088" s="47" t="n">
        <x:v>-0.1013063655465173</x:v>
      </x:c>
      <x:c r="G2088" s="47" t="n">
        <x:v>-0.037479318321238686</x:v>
      </x:c>
      <x:c r="H2088" s="47" t="n">
        <x:v>0.6772034010107397</x:v>
      </x:c>
      <x:c r="I2088" s="47" t="n">
        <x:v>0.8097663266178773</x:v>
      </x:c>
      <x:c r="J2088" s="47" t="n">
        <x:v>0.7013064391246822</x:v>
      </x:c>
      <x:c r="K2088" s="47" t="n">
        <x:v>0.9827611848111835</x:v>
      </x:c>
      <x:c r="L2088" s="47" t="n">
        <x:v>0.930053978276956</x:v>
      </x:c>
      <x:c r="M2088" s="47" t="n">
        <x:v>0.11481949846100134</x:v>
      </x:c>
      <x:c r="N2088" s="47" t="n">
        <x:v>0.9561008414948431</x:v>
      </x:c>
      <x:c r="O2088" s="47" t="n">
        <x:v>0.9439839708993324</x:v>
      </x:c>
      <x:c r="P2088" s="47" t="n">
        <x:v>0.657360166259951</x:v>
      </x:c>
      <x:c r="Q2088" s="47" t="n">
        <x:v>1</x:v>
      </x:c>
      <x:c r="R2088" s="47" t="n">
        <x:v>0.9308289961382054</x:v>
      </x:c>
      <x:c r="S2088" s="27" t="n">
        <x:v>0</x:v>
      </x:c>
    </x:row>
    <x:row r="2089" ht="21.600000381469727" hidden="0" customHeight="1">
      <x:c r="A2089" s="29" t="n">
        <x:v>695</x:v>
      </x:c>
      <x:c r="B2089" s="29" t="str">
        <x:v>A3</x:v>
      </x:c>
      <x:c r="C2089" s="48" t="n">
        <x:v>1.1652816681905553</x:v>
      </x:c>
      <x:c r="D2089" s="48" t="n">
        <x:v>0.8325045246824807</x:v>
      </x:c>
      <x:c r="E2089" s="48" t="n">
        <x:v>0.6441381998936477</x:v>
      </x:c>
      <x:c r="F2089" s="48" t="n">
        <x:v>-0.1013063655465173</x:v>
      </x:c>
      <x:c r="G2089" s="48" t="n">
        <x:v>-0.037479318321238686</x:v>
      </x:c>
      <x:c r="H2089" s="48" t="n">
        <x:v>0.6772034010107397</x:v>
      </x:c>
      <x:c r="I2089" s="48" t="n">
        <x:v>0.8097663266178773</x:v>
      </x:c>
      <x:c r="J2089" s="48" t="n">
        <x:v>0.7013064391246822</x:v>
      </x:c>
      <x:c r="K2089" s="48" t="n">
        <x:v>0.9827611848111835</x:v>
      </x:c>
      <x:c r="L2089" s="48" t="n">
        <x:v>0.930053978276956</x:v>
      </x:c>
      <x:c r="M2089" s="48" t="n">
        <x:v>0.11481949846100134</x:v>
      </x:c>
      <x:c r="N2089" s="48" t="n">
        <x:v>0.9561008414948431</x:v>
      </x:c>
      <x:c r="O2089" s="48" t="n">
        <x:v>1</x:v>
      </x:c>
      <x:c r="P2089" s="48" t="n">
        <x:v>1</x:v>
      </x:c>
      <x:c r="Q2089" s="48" t="n">
        <x:v>1</x:v>
      </x:c>
      <x:c r="R2089" s="48" t="n">
        <x:v>1</x:v>
      </x:c>
      <x:c r="S2089" s="29" t="n">
        <x:v>1</x:v>
      </x:c>
    </x:row>
    <x:row r="2090" ht="21.600000381469727" hidden="0" customHeight="1">
      <x:c r="A2090" s="27" t="n">
        <x:v>696</x:v>
      </x:c>
      <x:c r="B2090" s="27" t="str">
        <x:v>A1</x:v>
      </x:c>
      <x:c r="C2090" s="47" t="n">
        <x:v>1.3354649582662281</x:v>
      </x:c>
      <x:c r="D2090" s="47" t="n">
        <x:v>0.8272456578222622</x:v>
      </x:c>
      <x:c r="E2090" s="47" t="n">
        <x:v>0.5824642739175745</x:v>
      </x:c>
      <x:c r="F2090" s="47" t="n">
        <x:v>-0.04980323444063739</x:v>
      </x:c>
      <x:c r="G2090" s="47" t="n">
        <x:v>-0.16260722964366384</x:v>
      </x:c>
      <x:c r="H2090" s="47" t="n">
        <x:v>0.9789478080876286</x:v>
      </x:c>
      <x:c r="I2090" s="47" t="n">
        <x:v>0.9368524246129848</x:v>
      </x:c>
      <x:c r="J2090" s="47" t="n">
        <x:v>0.9136415817531232</x:v>
      </x:c>
      <x:c r="K2090" s="47" t="n">
        <x:v>0.8525789590564388</x:v>
      </x:c>
      <x:c r="L2090" s="47" t="n">
        <x:v>0.8599348780127994</x:v>
      </x:c>
      <x:c r="M2090" s="47" t="n">
        <x:v>0.13121714491642836</x:v>
      </x:c>
      <x:c r="N2090" s="47" t="n">
        <x:v>0.8963887769096159</x:v>
      </x:c>
      <x:c r="O2090" s="47" t="n">
        <x:v>0.7743379886366485</x:v>
      </x:c>
      <x:c r="P2090" s="47" t="n">
        <x:v>0.4918674138976291</x:v>
      </x:c>
      <x:c r="Q2090" s="47" t="n">
        <x:v>1</x:v>
      </x:c>
      <x:c r="R2090" s="47" t="n">
        <x:v>0.7213428350763134</x:v>
      </x:c>
      <x:c r="S2090" s="27" t="n">
        <x:v>0</x:v>
      </x:c>
    </x:row>
    <x:row r="2091" ht="21.600000381469727" hidden="0" customHeight="1">
      <x:c r="A2091" s="29" t="n">
        <x:v>696</x:v>
      </x:c>
      <x:c r="B2091" s="29" t="str">
        <x:v>A2</x:v>
      </x:c>
      <x:c r="C2091" s="48" t="n">
        <x:v>1.3354649582662281</x:v>
      </x:c>
      <x:c r="D2091" s="48" t="n">
        <x:v>0.8272456578222622</x:v>
      </x:c>
      <x:c r="E2091" s="48" t="n">
        <x:v>0.5824642739175745</x:v>
      </x:c>
      <x:c r="F2091" s="48" t="n">
        <x:v>-0.04980323444063739</x:v>
      </x:c>
      <x:c r="G2091" s="48" t="n">
        <x:v>-0.16260722964366384</x:v>
      </x:c>
      <x:c r="H2091" s="48" t="n">
        <x:v>0.9789478080876286</x:v>
      </x:c>
      <x:c r="I2091" s="48" t="n">
        <x:v>0.9368524246129848</x:v>
      </x:c>
      <x:c r="J2091" s="48" t="n">
        <x:v>0.9136415817531232</x:v>
      </x:c>
      <x:c r="K2091" s="48" t="n">
        <x:v>0.8525789590564388</x:v>
      </x:c>
      <x:c r="L2091" s="48" t="n">
        <x:v>0.8599348780127994</x:v>
      </x:c>
      <x:c r="M2091" s="48" t="n">
        <x:v>0.13121714491642836</x:v>
      </x:c>
      <x:c r="N2091" s="48" t="n">
        <x:v>0.8963887769096159</x:v>
      </x:c>
      <x:c r="O2091" s="48" t="n">
        <x:v>0.8588088381856596</x:v>
      </x:c>
      <x:c r="P2091" s="48" t="n">
        <x:v>0.46134305447998475</x:v>
      </x:c>
      <x:c r="Q2091" s="48" t="n">
        <x:v>1</x:v>
      </x:c>
      <x:c r="R2091" s="48" t="n">
        <x:v>0.8256510760239762</x:v>
      </x:c>
      <x:c r="S2091" s="29" t="n">
        <x:v>0</x:v>
      </x:c>
    </x:row>
    <x:row r="2092" ht="21.600000381469727" hidden="0" customHeight="1">
      <x:c r="A2092" s="27" t="n">
        <x:v>696</x:v>
      </x:c>
      <x:c r="B2092" s="27" t="str">
        <x:v>A3</x:v>
      </x:c>
      <x:c r="C2092" s="47" t="n">
        <x:v>1.3354649582662281</x:v>
      </x:c>
      <x:c r="D2092" s="47" t="n">
        <x:v>0.8272456578222622</x:v>
      </x:c>
      <x:c r="E2092" s="47" t="n">
        <x:v>0.5824642739175745</x:v>
      </x:c>
      <x:c r="F2092" s="47" t="n">
        <x:v>-0.04980323444063739</x:v>
      </x:c>
      <x:c r="G2092" s="47" t="n">
        <x:v>-0.16260722964366384</x:v>
      </x:c>
      <x:c r="H2092" s="47" t="n">
        <x:v>0.9789478080876286</x:v>
      </x:c>
      <x:c r="I2092" s="47" t="n">
        <x:v>0.9368524246129848</x:v>
      </x:c>
      <x:c r="J2092" s="47" t="n">
        <x:v>0.9136415817531232</x:v>
      </x:c>
      <x:c r="K2092" s="47" t="n">
        <x:v>0.8525789590564388</x:v>
      </x:c>
      <x:c r="L2092" s="47" t="n">
        <x:v>0.8599348780127994</x:v>
      </x:c>
      <x:c r="M2092" s="47" t="n">
        <x:v>0.13121714491642836</x:v>
      </x:c>
      <x:c r="N2092" s="47" t="n">
        <x:v>0.8963887769096159</x:v>
      </x:c>
      <x:c r="O2092" s="47" t="n">
        <x:v>1</x:v>
      </x:c>
      <x:c r="P2092" s="47" t="n">
        <x:v>1</x:v>
      </x:c>
      <x:c r="Q2092" s="47" t="n">
        <x:v>1</x:v>
      </x:c>
      <x:c r="R2092" s="47" t="n">
        <x:v>1</x:v>
      </x:c>
      <x:c r="S2092" s="27" t="n">
        <x:v>1</x:v>
      </x:c>
    </x:row>
    <x:row r="2093" ht="21.600000381469727" hidden="0" customHeight="1">
      <x:c r="A2093" s="29" t="n">
        <x:v>697</x:v>
      </x:c>
      <x:c r="B2093" s="29" t="str">
        <x:v>A1</x:v>
      </x:c>
      <x:c r="C2093" s="48" t="n">
        <x:v>1.1436846306973971</x:v>
      </x:c>
      <x:c r="D2093" s="48" t="n">
        <x:v>0.814902080558853</x:v>
      </x:c>
      <x:c r="E2093" s="48" t="n">
        <x:v>0.484363095857378</x:v>
      </x:c>
      <x:c r="F2093" s="48" t="n">
        <x:v>0.03514851811864064</x:v>
      </x:c>
      <x:c r="G2093" s="48" t="n">
        <x:v>-0.0127187049647072</x:v>
      </x:c>
      <x:c r="H2093" s="48" t="n">
        <x:v>0.7573141247303017</x:v>
      </x:c>
      <x:c r="I2093" s="48" t="n">
        <x:v>0.8919030408008668</x:v>
      </x:c>
      <x:c r="J2093" s="48" t="n">
        <x:v>0.9244679109880689</x:v>
      </x:c>
      <x:c r="K2093" s="48" t="n">
        <x:v>0.7957867697274147</x:v>
      </x:c>
      <x:c r="L2093" s="48" t="n">
        <x:v>0.7508090557392614</x:v>
      </x:c>
      <x:c r="M2093" s="48" t="n">
        <x:v>0.04951730763838384</x:v>
      </x:c>
      <x:c r="N2093" s="48" t="n">
        <x:v>0.7665792842947758</x:v>
      </x:c>
      <x:c r="O2093" s="48" t="n">
        <x:v>0.8167785418685838</x:v>
      </x:c>
      <x:c r="P2093" s="48" t="n">
        <x:v>0.4859164249049367</x:v>
      </x:c>
      <x:c r="Q2093" s="48" t="n">
        <x:v>1</x:v>
      </x:c>
      <x:c r="R2093" s="48" t="n">
        <x:v>0.7737502569988346</x:v>
      </x:c>
      <x:c r="S2093" s="29" t="n">
        <x:v>0</x:v>
      </x:c>
    </x:row>
    <x:row r="2094" ht="21.600000381469727" hidden="0" customHeight="1">
      <x:c r="A2094" s="27" t="n">
        <x:v>697</x:v>
      </x:c>
      <x:c r="B2094" s="27" t="str">
        <x:v>A2</x:v>
      </x:c>
      <x:c r="C2094" s="47" t="n">
        <x:v>1.1436846306973971</x:v>
      </x:c>
      <x:c r="D2094" s="47" t="n">
        <x:v>0.814902080558853</x:v>
      </x:c>
      <x:c r="E2094" s="47" t="n">
        <x:v>0.484363095857378</x:v>
      </x:c>
      <x:c r="F2094" s="47" t="n">
        <x:v>0.03514851811864064</x:v>
      </x:c>
      <x:c r="G2094" s="47" t="n">
        <x:v>-0.0127187049647072</x:v>
      </x:c>
      <x:c r="H2094" s="47" t="n">
        <x:v>0.7573141247303017</x:v>
      </x:c>
      <x:c r="I2094" s="47" t="n">
        <x:v>0.8919030408008668</x:v>
      </x:c>
      <x:c r="J2094" s="47" t="n">
        <x:v>0.9244679109880689</x:v>
      </x:c>
      <x:c r="K2094" s="47" t="n">
        <x:v>0.7957867697274147</x:v>
      </x:c>
      <x:c r="L2094" s="47" t="n">
        <x:v>0.7508090557392614</x:v>
      </x:c>
      <x:c r="M2094" s="47" t="n">
        <x:v>0.04951730763838384</x:v>
      </x:c>
      <x:c r="N2094" s="47" t="n">
        <x:v>0.7665792842947758</x:v>
      </x:c>
      <x:c r="O2094" s="47" t="n">
        <x:v>0.901498346120977</x:v>
      </x:c>
      <x:c r="P2094" s="47" t="n">
        <x:v>0.46443819308630424</x:v>
      </x:c>
      <x:c r="Q2094" s="47" t="n">
        <x:v>1</x:v>
      </x:c>
      <x:c r="R2094" s="47" t="n">
        <x:v>0.8783659179301259</x:v>
      </x:c>
      <x:c r="S2094" s="27" t="n">
        <x:v>0</x:v>
      </x:c>
    </x:row>
    <x:row r="2095" ht="21.600000381469727" hidden="0" customHeight="1">
      <x:c r="A2095" s="29" t="n">
        <x:v>697</x:v>
      </x:c>
      <x:c r="B2095" s="29" t="str">
        <x:v>A3</x:v>
      </x:c>
      <x:c r="C2095" s="48" t="n">
        <x:v>1.1436846306973971</x:v>
      </x:c>
      <x:c r="D2095" s="48" t="n">
        <x:v>0.814902080558853</x:v>
      </x:c>
      <x:c r="E2095" s="48" t="n">
        <x:v>0.484363095857378</x:v>
      </x:c>
      <x:c r="F2095" s="48" t="n">
        <x:v>0.03514851811864064</x:v>
      </x:c>
      <x:c r="G2095" s="48" t="n">
        <x:v>-0.0127187049647072</x:v>
      </x:c>
      <x:c r="H2095" s="48" t="n">
        <x:v>0.7573141247303017</x:v>
      </x:c>
      <x:c r="I2095" s="48" t="n">
        <x:v>0.8919030408008668</x:v>
      </x:c>
      <x:c r="J2095" s="48" t="n">
        <x:v>0.9244679109880689</x:v>
      </x:c>
      <x:c r="K2095" s="48" t="n">
        <x:v>0.7957867697274147</x:v>
      </x:c>
      <x:c r="L2095" s="48" t="n">
        <x:v>0.7508090557392614</x:v>
      </x:c>
      <x:c r="M2095" s="48" t="n">
        <x:v>0.04951730763838384</x:v>
      </x:c>
      <x:c r="N2095" s="48" t="n">
        <x:v>0.7665792842947758</x:v>
      </x:c>
      <x:c r="O2095" s="48" t="n">
        <x:v>1</x:v>
      </x:c>
      <x:c r="P2095" s="48" t="n">
        <x:v>1</x:v>
      </x:c>
      <x:c r="Q2095" s="48" t="n">
        <x:v>1</x:v>
      </x:c>
      <x:c r="R2095" s="48" t="n">
        <x:v>1</x:v>
      </x:c>
      <x:c r="S2095" s="29" t="n">
        <x:v>1</x:v>
      </x:c>
    </x:row>
    <x:row r="2096" ht="21.600000381469727" hidden="0" customHeight="1">
      <x:c r="A2096" s="27" t="n">
        <x:v>698</x:v>
      </x:c>
      <x:c r="B2096" s="27" t="str">
        <x:v>A1</x:v>
      </x:c>
      <x:c r="C2096" s="47" t="n">
        <x:v>1.2360952065156805</x:v>
      </x:c>
      <x:c r="D2096" s="47" t="n">
        <x:v>0.8624094768286089</x:v>
      </x:c>
      <x:c r="E2096" s="47" t="n">
        <x:v>0.7826619594361148</x:v>
      </x:c>
      <x:c r="F2096" s="47" t="n">
        <x:v>-0.16743085056357337</x:v>
      </x:c>
      <x:c r="G2096" s="47" t="n">
        <x:v>-0.14548010640545642</x:v>
      </x:c>
      <x:c r="H2096" s="47" t="n">
        <x:v>0.7133614890221824</x:v>
      </x:c>
      <x:c r="I2096" s="47" t="n">
        <x:v>0.8179438842139248</x:v>
      </x:c>
      <x:c r="J2096" s="47" t="n">
        <x:v>0.9274333947510116</x:v>
      </x:c>
      <x:c r="K2096" s="47" t="n">
        <x:v>0.9274518815626218</x:v>
      </x:c>
      <x:c r="L2096" s="47" t="n">
        <x:v>0.9582559181128439</x:v>
      </x:c>
      <x:c r="M2096" s="47" t="n">
        <x:v>0.14000553674382757</x:v>
      </x:c>
      <x:c r="N2096" s="47" t="n">
        <x:v>0.7968149144163419</x:v>
      </x:c>
      <x:c r="O2096" s="47" t="n">
        <x:v>0.8604847605641495</x:v>
      </x:c>
      <x:c r="P2096" s="47" t="n">
        <x:v>0.5470115417729218</x:v>
      </x:c>
      <x:c r="Q2096" s="47" t="n">
        <x:v>1</x:v>
      </x:c>
      <x:c r="R2096" s="47" t="n">
        <x:v>0.8277205771145707</x:v>
      </x:c>
      <x:c r="S2096" s="27" t="n">
        <x:v>0</x:v>
      </x:c>
    </x:row>
    <x:row r="2097" ht="21.600000381469727" hidden="0" customHeight="1">
      <x:c r="A2097" s="29" t="n">
        <x:v>698</x:v>
      </x:c>
      <x:c r="B2097" s="29" t="str">
        <x:v>A2</x:v>
      </x:c>
      <x:c r="C2097" s="48" t="n">
        <x:v>1.2360952065156805</x:v>
      </x:c>
      <x:c r="D2097" s="48" t="n">
        <x:v>0.8624094768286089</x:v>
      </x:c>
      <x:c r="E2097" s="48" t="n">
        <x:v>0.7826619594361148</x:v>
      </x:c>
      <x:c r="F2097" s="48" t="n">
        <x:v>-0.16743085056357337</x:v>
      </x:c>
      <x:c r="G2097" s="48" t="n">
        <x:v>-0.14548010640545642</x:v>
      </x:c>
      <x:c r="H2097" s="48" t="n">
        <x:v>0.7133614890221824</x:v>
      </x:c>
      <x:c r="I2097" s="48" t="n">
        <x:v>0.8179438842139248</x:v>
      </x:c>
      <x:c r="J2097" s="48" t="n">
        <x:v>0.9274333947510116</x:v>
      </x:c>
      <x:c r="K2097" s="48" t="n">
        <x:v>0.9274518815626218</x:v>
      </x:c>
      <x:c r="L2097" s="48" t="n">
        <x:v>0.9582559181128439</x:v>
      </x:c>
      <x:c r="M2097" s="48" t="n">
        <x:v>0.14000553674382757</x:v>
      </x:c>
      <x:c r="N2097" s="48" t="n">
        <x:v>0.7968149144163419</x:v>
      </x:c>
      <x:c r="O2097" s="48" t="n">
        <x:v>0.926953084768256</x:v>
      </x:c>
      <x:c r="P2097" s="48" t="n">
        <x:v>0.6706717956926436</x:v>
      </x:c>
      <x:c r="Q2097" s="48" t="n">
        <x:v>1</x:v>
      </x:c>
      <x:c r="R2097" s="48" t="n">
        <x:v>0.9097985248738929</x:v>
      </x:c>
      <x:c r="S2097" s="29" t="n">
        <x:v>0</x:v>
      </x:c>
    </x:row>
    <x:row r="2098" ht="21.600000381469727" hidden="0" customHeight="1">
      <x:c r="A2098" s="27" t="n">
        <x:v>698</x:v>
      </x:c>
      <x:c r="B2098" s="27" t="str">
        <x:v>A3</x:v>
      </x:c>
      <x:c r="C2098" s="47" t="n">
        <x:v>1.2360952065156805</x:v>
      </x:c>
      <x:c r="D2098" s="47" t="n">
        <x:v>0.8624094768286089</x:v>
      </x:c>
      <x:c r="E2098" s="47" t="n">
        <x:v>0.7826619594361148</x:v>
      </x:c>
      <x:c r="F2098" s="47" t="n">
        <x:v>-0.16743085056357337</x:v>
      </x:c>
      <x:c r="G2098" s="47" t="n">
        <x:v>-0.14548010640545642</x:v>
      </x:c>
      <x:c r="H2098" s="47" t="n">
        <x:v>0.7133614890221824</x:v>
      </x:c>
      <x:c r="I2098" s="47" t="n">
        <x:v>0.8179438842139248</x:v>
      </x:c>
      <x:c r="J2098" s="47" t="n">
        <x:v>0.9274333947510116</x:v>
      </x:c>
      <x:c r="K2098" s="47" t="n">
        <x:v>0.9274518815626218</x:v>
      </x:c>
      <x:c r="L2098" s="47" t="n">
        <x:v>0.9582559181128439</x:v>
      </x:c>
      <x:c r="M2098" s="47" t="n">
        <x:v>0.14000553674382757</x:v>
      </x:c>
      <x:c r="N2098" s="47" t="n">
        <x:v>0.7968149144163419</x:v>
      </x:c>
      <x:c r="O2098" s="47" t="n">
        <x:v>1</x:v>
      </x:c>
      <x:c r="P2098" s="47" t="n">
        <x:v>1</x:v>
      </x:c>
      <x:c r="Q2098" s="47" t="n">
        <x:v>1</x:v>
      </x:c>
      <x:c r="R2098" s="47" t="n">
        <x:v>1</x:v>
      </x:c>
      <x:c r="S2098" s="27" t="n">
        <x:v>1</x:v>
      </x:c>
    </x:row>
    <x:row r="2099" ht="15" hidden="0" customHeight="1">
      <x:c r="A2099" s="29" t="n">
        <x:v>699</x:v>
      </x:c>
      <x:c r="B2099" s="29" t="str">
        <x:v>A1</x:v>
      </x:c>
      <x:c r="C2099" s="48" t="n">
        <x:v>1.0362114952831858</x:v>
      </x:c>
      <x:c r="D2099" s="48" t="n">
        <x:v>0.8632607698734287</x:v>
      </x:c>
      <x:c r="E2099" s="48" t="n">
        <x:v>0.921382176318438</x:v>
      </x:c>
      <x:c r="F2099" s="48" t="n">
        <x:v>0.0101727195387801</x:v>
      </x:c>
      <x:c r="G2099" s="48" t="n">
        <x:v>-0.19619974950902247</x:v>
      </x:c>
      <x:c r="H2099" s="48" t="n">
        <x:v>0.3281992500632843</x:v>
      </x:c>
      <x:c r="I2099" s="48" t="n">
        <x:v>0.8805279789772995</x:v>
      </x:c>
      <x:c r="J2099" s="48" t="n">
        <x:v>0.8863394126415309</x:v>
      </x:c>
      <x:c r="K2099" s="48" t="n">
        <x:v>0.8636073298418128</x:v>
      </x:c>
      <x:c r="L2099" s="48" t="n">
        <x:v>0.5120049564951522</x:v>
      </x:c>
      <x:c r="M2099" s="48" t="n">
        <x:v>0.032377085808297734</x:v>
      </x:c>
      <x:c r="N2099" s="48" t="n">
        <x:v>0.7768606443943451</x:v>
      </x:c>
      <x:c r="O2099" s="48" t="n">
        <x:v>0.8876622801750105</x:v>
      </x:c>
      <x:c r="P2099" s="48" t="n">
        <x:v>0.5870034626770173</x:v>
      </x:c>
      <x:c r="Q2099" s="48" t="n">
        <x:v>1</x:v>
      </x:c>
      <x:c r="R2099" s="48" t="n">
        <x:v>0.8612805481467634</x:v>
      </x:c>
      <x:c r="S2099" s="29" t="n">
        <x:v>0</x:v>
      </x:c>
    </x:row>
    <x:row r="2100" ht="15" hidden="0" customHeight="1">
      <x:c r="A2100" s="27" t="n">
        <x:v>699</x:v>
      </x:c>
      <x:c r="B2100" s="27" t="str">
        <x:v>A2</x:v>
      </x:c>
      <x:c r="C2100" s="47" t="n">
        <x:v>1.0362114952831858</x:v>
      </x:c>
      <x:c r="D2100" s="47" t="n">
        <x:v>0.8632607698734287</x:v>
      </x:c>
      <x:c r="E2100" s="47" t="n">
        <x:v>0.921382176318438</x:v>
      </x:c>
      <x:c r="F2100" s="47" t="n">
        <x:v>0.0101727195387801</x:v>
      </x:c>
      <x:c r="G2100" s="47" t="n">
        <x:v>-0.19619974950902247</x:v>
      </x:c>
      <x:c r="H2100" s="47" t="n">
        <x:v>0.3281992500632843</x:v>
      </x:c>
      <x:c r="I2100" s="47" t="n">
        <x:v>0.8805279789772995</x:v>
      </x:c>
      <x:c r="J2100" s="47" t="n">
        <x:v>0.8863394126415309</x:v>
      </x:c>
      <x:c r="K2100" s="47" t="n">
        <x:v>0.8636073298418128</x:v>
      </x:c>
      <x:c r="L2100" s="47" t="n">
        <x:v>0.5120049564951522</x:v>
      </x:c>
      <x:c r="M2100" s="47" t="n">
        <x:v>0.032377085808297734</x:v>
      </x:c>
      <x:c r="N2100" s="47" t="n">
        <x:v>0.7768606443943451</x:v>
      </x:c>
      <x:c r="O2100" s="47" t="n">
        <x:v>0.9722244843155344</x:v>
      </x:c>
      <x:c r="P2100" s="47" t="n">
        <x:v>0.7465025866261167</x:v>
      </x:c>
      <x:c r="Q2100" s="47" t="n">
        <x:v>1</x:v>
      </x:c>
      <x:c r="R2100" s="47" t="n">
        <x:v>0.9657015976762516</x:v>
      </x:c>
      <x:c r="S2100" s="27" t="n">
        <x:v>0</x:v>
      </x:c>
    </x:row>
    <x:row r="2101" ht="15" hidden="0" customHeight="1">
      <x:c r="A2101" s="29" t="n">
        <x:v>699</x:v>
      </x:c>
      <x:c r="B2101" s="29" t="str">
        <x:v>A3</x:v>
      </x:c>
      <x:c r="C2101" s="48" t="n">
        <x:v>1.0362114952831858</x:v>
      </x:c>
      <x:c r="D2101" s="48" t="n">
        <x:v>0.8632607698734287</x:v>
      </x:c>
      <x:c r="E2101" s="48" t="n">
        <x:v>0.921382176318438</x:v>
      </x:c>
      <x:c r="F2101" s="48" t="n">
        <x:v>0.0101727195387801</x:v>
      </x:c>
      <x:c r="G2101" s="48" t="n">
        <x:v>-0.19619974950902247</x:v>
      </x:c>
      <x:c r="H2101" s="48" t="n">
        <x:v>0.3281992500632843</x:v>
      </x:c>
      <x:c r="I2101" s="48" t="n">
        <x:v>0.8805279789772995</x:v>
      </x:c>
      <x:c r="J2101" s="48" t="n">
        <x:v>0.8863394126415309</x:v>
      </x:c>
      <x:c r="K2101" s="48" t="n">
        <x:v>0.8636073298418128</x:v>
      </x:c>
      <x:c r="L2101" s="48" t="n">
        <x:v>0.5120049564951522</x:v>
      </x:c>
      <x:c r="M2101" s="48" t="n">
        <x:v>0.032377085808297734</x:v>
      </x:c>
      <x:c r="N2101" s="48" t="n">
        <x:v>0.7768606443943451</x:v>
      </x:c>
      <x:c r="O2101" s="48" t="n">
        <x:v>1</x:v>
      </x:c>
      <x:c r="P2101" s="48" t="n">
        <x:v>1</x:v>
      </x:c>
      <x:c r="Q2101" s="48" t="n">
        <x:v>1</x:v>
      </x:c>
      <x:c r="R2101" s="48" t="n">
        <x:v>1</x:v>
      </x:c>
      <x:c r="S2101" s="29" t="n">
        <x:v>1</x:v>
      </x:c>
    </x:row>
    <x:row r="2102" ht="21.600000381469727" hidden="0" customHeight="1">
      <x:c r="A2102" s="27" t="n">
        <x:v>700</x:v>
      </x:c>
      <x:c r="B2102" s="27" t="str">
        <x:v>A1</x:v>
      </x:c>
      <x:c r="C2102" s="47" t="n">
        <x:v>1.0814997867803338</x:v>
      </x:c>
      <x:c r="D2102" s="47" t="n">
        <x:v>0.7977458566591471</x:v>
      </x:c>
      <x:c r="E2102" s="47" t="n">
        <x:v>0.6223150950898362</x:v>
      </x:c>
      <x:c r="F2102" s="47" t="n">
        <x:v>0.024525154014816697</x:v>
      </x:c>
      <x:c r="G2102" s="47" t="n">
        <x:v>-0.1907614740354075</x:v>
      </x:c>
      <x:c r="H2102" s="47" t="n">
        <x:v>1.0176499570590658</x:v>
      </x:c>
      <x:c r="I2102" s="47" t="n">
        <x:v>0.8039844275149002</x:v>
      </x:c>
      <x:c r="J2102" s="47" t="n">
        <x:v>0.48003194193661014</x:v>
      </x:c>
      <x:c r="K2102" s="47" t="n">
        <x:v>0.6647776746052613</x:v>
      </x:c>
      <x:c r="L2102" s="47" t="n">
        <x:v>0.8315192424730091</x:v>
      </x:c>
      <x:c r="M2102" s="47" t="n">
        <x:v>0.07534439739696062</x:v>
      </x:c>
      <x:c r="N2102" s="47" t="n">
        <x:v>0.6551868134234438</x:v>
      </x:c>
      <x:c r="O2102" s="47" t="n">
        <x:v>0.7882048231357612</x:v>
      </x:c>
      <x:c r="P2102" s="47" t="n">
        <x:v>0.4485391202318831</x:v>
      </x:c>
      <x:c r="Q2102" s="47" t="n">
        <x:v>1</x:v>
      </x:c>
      <x:c r="R2102" s="47" t="n">
        <x:v>0.7384661991934883</x:v>
      </x:c>
      <x:c r="S2102" s="27" t="n">
        <x:v>0</x:v>
      </x:c>
    </x:row>
    <x:row r="2103" ht="21.600000381469727" hidden="0" customHeight="1">
      <x:c r="A2103" s="29" t="n">
        <x:v>700</x:v>
      </x:c>
      <x:c r="B2103" s="29" t="str">
        <x:v>A2</x:v>
      </x:c>
      <x:c r="C2103" s="48" t="n">
        <x:v>1.0814997867803338</x:v>
      </x:c>
      <x:c r="D2103" s="48" t="n">
        <x:v>0.7977458566591471</x:v>
      </x:c>
      <x:c r="E2103" s="48" t="n">
        <x:v>0.6223150950898362</x:v>
      </x:c>
      <x:c r="F2103" s="48" t="n">
        <x:v>0.024525154014816697</x:v>
      </x:c>
      <x:c r="G2103" s="48" t="n">
        <x:v>-0.1907614740354075</x:v>
      </x:c>
      <x:c r="H2103" s="48" t="n">
        <x:v>1.0176499570590658</x:v>
      </x:c>
      <x:c r="I2103" s="48" t="n">
        <x:v>0.8039844275149002</x:v>
      </x:c>
      <x:c r="J2103" s="48" t="n">
        <x:v>0.48003194193661014</x:v>
      </x:c>
      <x:c r="K2103" s="48" t="n">
        <x:v>0.6647776746052613</x:v>
      </x:c>
      <x:c r="L2103" s="48" t="n">
        <x:v>0.8315192424730091</x:v>
      </x:c>
      <x:c r="M2103" s="48" t="n">
        <x:v>0.07534439739696062</x:v>
      </x:c>
      <x:c r="N2103" s="48" t="n">
        <x:v>0.6551868134234438</x:v>
      </x:c>
      <x:c r="O2103" s="48" t="n">
        <x:v>0.8912153875992852</x:v>
      </x:c>
      <x:c r="P2103" s="48" t="n">
        <x:v>0.5852213414495487</x:v>
      </x:c>
      <x:c r="Q2103" s="48" t="n">
        <x:v>1</x:v>
      </x:c>
      <x:c r="R2103" s="48" t="n">
        <x:v>0.8656680781325856</x:v>
      </x:c>
      <x:c r="S2103" s="29" t="n">
        <x:v>0</x:v>
      </x:c>
    </x:row>
    <x:row r="2104" ht="21.600000381469727" hidden="0" customHeight="1">
      <x:c r="A2104" s="27" t="n">
        <x:v>700</x:v>
      </x:c>
      <x:c r="B2104" s="27" t="str">
        <x:v>A3</x:v>
      </x:c>
      <x:c r="C2104" s="47" t="n">
        <x:v>1.0814997867803338</x:v>
      </x:c>
      <x:c r="D2104" s="47" t="n">
        <x:v>0.7977458566591471</x:v>
      </x:c>
      <x:c r="E2104" s="47" t="n">
        <x:v>0.6223150950898362</x:v>
      </x:c>
      <x:c r="F2104" s="47" t="n">
        <x:v>0.024525154014816697</x:v>
      </x:c>
      <x:c r="G2104" s="47" t="n">
        <x:v>-0.1907614740354075</x:v>
      </x:c>
      <x:c r="H2104" s="47" t="n">
        <x:v>1.0176499570590658</x:v>
      </x:c>
      <x:c r="I2104" s="47" t="n">
        <x:v>0.8039844275149002</x:v>
      </x:c>
      <x:c r="J2104" s="47" t="n">
        <x:v>0.48003194193661014</x:v>
      </x:c>
      <x:c r="K2104" s="47" t="n">
        <x:v>0.6647776746052613</x:v>
      </x:c>
      <x:c r="L2104" s="47" t="n">
        <x:v>0.8315192424730091</x:v>
      </x:c>
      <x:c r="M2104" s="47" t="n">
        <x:v>0.07534439739696062</x:v>
      </x:c>
      <x:c r="N2104" s="47" t="n">
        <x:v>0.6551868134234438</x:v>
      </x:c>
      <x:c r="O2104" s="47" t="n">
        <x:v>1</x:v>
      </x:c>
      <x:c r="P2104" s="47" t="n">
        <x:v>1</x:v>
      </x:c>
      <x:c r="Q2104" s="47" t="n">
        <x:v>1</x:v>
      </x:c>
      <x:c r="R2104" s="47" t="n">
        <x:v>1</x:v>
      </x:c>
      <x:c r="S2104" s="27" t="n">
        <x:v>1</x:v>
      </x:c>
    </x:row>
    <x:row r="2105" ht="21.600000381469727" hidden="0" customHeight="1">
      <x:c r="A2105" s="29" t="n">
        <x:v>701</x:v>
      </x:c>
      <x:c r="B2105" s="29" t="str">
        <x:v>A1</x:v>
      </x:c>
      <x:c r="C2105" s="48" t="n">
        <x:v>1.085744458353812</x:v>
      </x:c>
      <x:c r="D2105" s="48" t="n">
        <x:v>0.8948405611776418</x:v>
      </x:c>
      <x:c r="E2105" s="48" t="n">
        <x:v>0.829397207364779</x:v>
      </x:c>
      <x:c r="F2105" s="48" t="n">
        <x:v>0.025412063011002683</x:v>
      </x:c>
      <x:c r="G2105" s="48" t="n">
        <x:v>-0.13312485518509024</x:v>
      </x:c>
      <x:c r="H2105" s="48" t="n">
        <x:v>1.0307801727900463</x:v>
      </x:c>
      <x:c r="I2105" s="48" t="n">
        <x:v>0.9974635521836672</x:v>
      </x:c>
      <x:c r="J2105" s="48" t="n">
        <x:v>0.8076892955074094</x:v>
      </x:c>
      <x:c r="K2105" s="48" t="n">
        <x:v>0.9428553702738265</x:v>
      </x:c>
      <x:c r="L2105" s="48" t="n">
        <x:v>0.7416878312303251</x:v>
      </x:c>
      <x:c r="M2105" s="48" t="n">
        <x:v>0.17919560729417477</x:v>
      </x:c>
      <x:c r="N2105" s="48" t="n">
        <x:v>0.8891400304787809</x:v>
      </x:c>
      <x:c r="O2105" s="48" t="n">
        <x:v>0.9182324695049866</x:v>
      </x:c>
      <x:c r="P2105" s="48" t="n">
        <x:v>0.6990737573316262</x:v>
      </x:c>
      <x:c r="Q2105" s="48" t="n">
        <x:v>1</x:v>
      </x:c>
      <x:c r="R2105" s="48" t="n">
        <x:v>0.8990299337806402</x:v>
      </x:c>
      <x:c r="S2105" s="29" t="n">
        <x:v>0</x:v>
      </x:c>
    </x:row>
    <x:row r="2106" ht="21.600000381469727" hidden="0" customHeight="1">
      <x:c r="A2106" s="27" t="n">
        <x:v>701</x:v>
      </x:c>
      <x:c r="B2106" s="27" t="str">
        <x:v>A2</x:v>
      </x:c>
      <x:c r="C2106" s="47" t="n">
        <x:v>1.085744458353812</x:v>
      </x:c>
      <x:c r="D2106" s="47" t="n">
        <x:v>0.8948405611776418</x:v>
      </x:c>
      <x:c r="E2106" s="47" t="n">
        <x:v>0.829397207364779</x:v>
      </x:c>
      <x:c r="F2106" s="47" t="n">
        <x:v>0.025412063011002683</x:v>
      </x:c>
      <x:c r="G2106" s="47" t="n">
        <x:v>-0.13312485518509024</x:v>
      </x:c>
      <x:c r="H2106" s="47" t="n">
        <x:v>1.0307801727900463</x:v>
      </x:c>
      <x:c r="I2106" s="47" t="n">
        <x:v>0.9974635521836672</x:v>
      </x:c>
      <x:c r="J2106" s="47" t="n">
        <x:v>0.8076892955074094</x:v>
      </x:c>
      <x:c r="K2106" s="47" t="n">
        <x:v>0.9428553702738265</x:v>
      </x:c>
      <x:c r="L2106" s="47" t="n">
        <x:v>0.7416878312303251</x:v>
      </x:c>
      <x:c r="M2106" s="47" t="n">
        <x:v>0.17919560729417477</x:v>
      </x:c>
      <x:c r="N2106" s="47" t="n">
        <x:v>0.8891400304787809</x:v>
      </x:c>
      <x:c r="O2106" s="47" t="n">
        <x:v>0.9865862742199462</x:v>
      </x:c>
      <x:c r="P2106" s="47" t="n">
        <x:v>0.8658627421994611</x:v>
      </x:c>
      <x:c r="Q2106" s="47" t="n">
        <x:v>1</x:v>
      </x:c>
      <x:c r="R2106" s="47" t="n">
        <x:v>0.983436154032523</x:v>
      </x:c>
      <x:c r="S2106" s="27" t="n">
        <x:v>0</x:v>
      </x:c>
    </x:row>
    <x:row r="2107" ht="21.600000381469727" hidden="0" customHeight="1">
      <x:c r="A2107" s="29" t="n">
        <x:v>701</x:v>
      </x:c>
      <x:c r="B2107" s="29" t="str">
        <x:v>A3</x:v>
      </x:c>
      <x:c r="C2107" s="48" t="n">
        <x:v>1.085744458353812</x:v>
      </x:c>
      <x:c r="D2107" s="48" t="n">
        <x:v>0.8948405611776418</x:v>
      </x:c>
      <x:c r="E2107" s="48" t="n">
        <x:v>0.829397207364779</x:v>
      </x:c>
      <x:c r="F2107" s="48" t="n">
        <x:v>0.025412063011002683</x:v>
      </x:c>
      <x:c r="G2107" s="48" t="n">
        <x:v>-0.13312485518509024</x:v>
      </x:c>
      <x:c r="H2107" s="48" t="n">
        <x:v>1.0307801727900463</x:v>
      </x:c>
      <x:c r="I2107" s="48" t="n">
        <x:v>0.9974635521836672</x:v>
      </x:c>
      <x:c r="J2107" s="48" t="n">
        <x:v>0.8076892955074094</x:v>
      </x:c>
      <x:c r="K2107" s="48" t="n">
        <x:v>0.9428553702738265</x:v>
      </x:c>
      <x:c r="L2107" s="48" t="n">
        <x:v>0.7416878312303251</x:v>
      </x:c>
      <x:c r="M2107" s="48" t="n">
        <x:v>0.17919560729417477</x:v>
      </x:c>
      <x:c r="N2107" s="48" t="n">
        <x:v>0.8891400304787809</x:v>
      </x:c>
      <x:c r="O2107" s="48" t="n">
        <x:v>1</x:v>
      </x:c>
      <x:c r="P2107" s="48" t="n">
        <x:v>1</x:v>
      </x:c>
      <x:c r="Q2107" s="48" t="n">
        <x:v>1</x:v>
      </x:c>
      <x:c r="R2107" s="48" t="n">
        <x:v>1</x:v>
      </x:c>
      <x:c r="S2107" s="29" t="n">
        <x:v>1</x:v>
      </x:c>
    </x:row>
    <x:row r="2108" ht="21.600000381469727" hidden="0" customHeight="1">
      <x:c r="A2108" s="27" t="n">
        <x:v>702</x:v>
      </x:c>
      <x:c r="B2108" s="27" t="str">
        <x:v>A1</x:v>
      </x:c>
      <x:c r="C2108" s="47" t="n">
        <x:v>1.0554164912580053</x:v>
      </x:c>
      <x:c r="D2108" s="47" t="n">
        <x:v>0.9730836863054797</x:v>
      </x:c>
      <x:c r="E2108" s="47" t="n">
        <x:v>0.4992495553902195</x:v>
      </x:c>
      <x:c r="F2108" s="47" t="n">
        <x:v>-0.18970351846881792</x:v>
      </x:c>
      <x:c r="G2108" s="47" t="n">
        <x:v>-0.05123987943661304</x:v>
      </x:c>
      <x:c r="H2108" s="47" t="n">
        <x:v>0.8895490732467786</x:v>
      </x:c>
      <x:c r="I2108" s="47" t="n">
        <x:v>0.9649447363630019</x:v>
      </x:c>
      <x:c r="J2108" s="47" t="n">
        <x:v>0.4542407593733362</x:v>
      </x:c>
      <x:c r="K2108" s="47" t="n">
        <x:v>0.6594879661792882</x:v>
      </x:c>
      <x:c r="L2108" s="47" t="n">
        <x:v>0.9055281885856498</x:v>
      </x:c>
      <x:c r="M2108" s="47" t="n">
        <x:v>0.046835025241829545</x:v>
      </x:c>
      <x:c r="N2108" s="47" t="n">
        <x:v>0.9596894620137766</x:v>
      </x:c>
      <x:c r="O2108" s="47" t="n">
        <x:v>0.8585588796977153</x:v>
      </x:c>
      <x:c r="P2108" s="47" t="n">
        <x:v>0.606539096272912</x:v>
      </x:c>
      <x:c r="Q2108" s="47" t="n">
        <x:v>1</x:v>
      </x:c>
      <x:c r="R2108" s="47" t="n">
        <x:v>0.8253424165239641</x:v>
      </x:c>
      <x:c r="S2108" s="27" t="n">
        <x:v>0</x:v>
      </x:c>
    </x:row>
    <x:row r="2109" ht="21.600000381469727" hidden="0" customHeight="1">
      <x:c r="A2109" s="29" t="n">
        <x:v>702</x:v>
      </x:c>
      <x:c r="B2109" s="29" t="str">
        <x:v>A2</x:v>
      </x:c>
      <x:c r="C2109" s="48" t="n">
        <x:v>1.0554164912580053</x:v>
      </x:c>
      <x:c r="D2109" s="48" t="n">
        <x:v>0.9730836863054797</x:v>
      </x:c>
      <x:c r="E2109" s="48" t="n">
        <x:v>0.4992495553902195</x:v>
      </x:c>
      <x:c r="F2109" s="48" t="n">
        <x:v>-0.18970351846881792</x:v>
      </x:c>
      <x:c r="G2109" s="48" t="n">
        <x:v>-0.05123987943661304</x:v>
      </x:c>
      <x:c r="H2109" s="48" t="n">
        <x:v>0.8895490732467786</x:v>
      </x:c>
      <x:c r="I2109" s="48" t="n">
        <x:v>0.9649447363630019</x:v>
      </x:c>
      <x:c r="J2109" s="48" t="n">
        <x:v>0.4542407593733362</x:v>
      </x:c>
      <x:c r="K2109" s="48" t="n">
        <x:v>0.6594879661792882</x:v>
      </x:c>
      <x:c r="L2109" s="48" t="n">
        <x:v>0.9055281885856498</x:v>
      </x:c>
      <x:c r="M2109" s="48" t="n">
        <x:v>0.046835025241829545</x:v>
      </x:c>
      <x:c r="N2109" s="48" t="n">
        <x:v>0.9596894620137766</x:v>
      </x:c>
      <x:c r="O2109" s="48" t="n">
        <x:v>0.9408884305530832</x:v>
      </x:c>
      <x:c r="P2109" s="48" t="n">
        <x:v>0.7549866221540751</x:v>
      </x:c>
      <x:c r="Q2109" s="48" t="n">
        <x:v>1</x:v>
      </x:c>
      <x:c r="R2109" s="48" t="n">
        <x:v>0.9270064896756364</x:v>
      </x:c>
      <x:c r="S2109" s="29" t="n">
        <x:v>0</x:v>
      </x:c>
    </x:row>
    <x:row r="2110" ht="21.600000381469727" hidden="0" customHeight="1">
      <x:c r="A2110" s="27" t="n">
        <x:v>702</x:v>
      </x:c>
      <x:c r="B2110" s="27" t="str">
        <x:v>A3</x:v>
      </x:c>
      <x:c r="C2110" s="47" t="n">
        <x:v>1.0554164912580053</x:v>
      </x:c>
      <x:c r="D2110" s="47" t="n">
        <x:v>0.9730836863054797</x:v>
      </x:c>
      <x:c r="E2110" s="47" t="n">
        <x:v>0.4992495553902195</x:v>
      </x:c>
      <x:c r="F2110" s="47" t="n">
        <x:v>-0.18970351846881792</x:v>
      </x:c>
      <x:c r="G2110" s="47" t="n">
        <x:v>-0.05123987943661304</x:v>
      </x:c>
      <x:c r="H2110" s="47" t="n">
        <x:v>0.8895490732467786</x:v>
      </x:c>
      <x:c r="I2110" s="47" t="n">
        <x:v>0.9649447363630019</x:v>
      </x:c>
      <x:c r="J2110" s="47" t="n">
        <x:v>0.4542407593733362</x:v>
      </x:c>
      <x:c r="K2110" s="47" t="n">
        <x:v>0.6594879661792882</x:v>
      </x:c>
      <x:c r="L2110" s="47" t="n">
        <x:v>0.9055281885856498</x:v>
      </x:c>
      <x:c r="M2110" s="47" t="n">
        <x:v>0.046835025241829545</x:v>
      </x:c>
      <x:c r="N2110" s="47" t="n">
        <x:v>0.9596894620137766</x:v>
      </x:c>
      <x:c r="O2110" s="47" t="n">
        <x:v>1</x:v>
      </x:c>
      <x:c r="P2110" s="47" t="n">
        <x:v>1</x:v>
      </x:c>
      <x:c r="Q2110" s="47" t="n">
        <x:v>1</x:v>
      </x:c>
      <x:c r="R2110" s="47" t="n">
        <x:v>1</x:v>
      </x:c>
      <x:c r="S2110" s="27" t="n">
        <x:v>1</x:v>
      </x:c>
    </x:row>
    <x:row r="2111" ht="21.600000381469727" hidden="0" customHeight="1">
      <x:c r="A2111" s="29" t="n">
        <x:v>703</x:v>
      </x:c>
      <x:c r="B2111" s="29" t="str">
        <x:v>A1</x:v>
      </x:c>
      <x:c r="C2111" s="48" t="n">
        <x:v>1.2097906729278856</x:v>
      </x:c>
      <x:c r="D2111" s="48" t="n">
        <x:v>0.8690377395438753</x:v>
      </x:c>
      <x:c r="E2111" s="48" t="n">
        <x:v>0.5051425363783131</x:v>
      </x:c>
      <x:c r="F2111" s="48" t="n">
        <x:v>-0.14522228834350812</x:v>
      </x:c>
      <x:c r="G2111" s="48" t="n">
        <x:v>-0.013626840042932353</x:v>
      </x:c>
      <x:c r="H2111" s="48" t="n">
        <x:v>0.6693274439034449</x:v>
      </x:c>
      <x:c r="I2111" s="48" t="n">
        <x:v>0.9303665764752287</x:v>
      </x:c>
      <x:c r="J2111" s="48" t="n">
        <x:v>0.8830253396014461</x:v>
      </x:c>
      <x:c r="K2111" s="48" t="n">
        <x:v>0.9750462220177801</x:v>
      </x:c>
      <x:c r="L2111" s="48" t="n">
        <x:v>0.756605707953405</x:v>
      </x:c>
      <x:c r="M2111" s="48" t="n">
        <x:v>0.13884672070637608</x:v>
      </x:c>
      <x:c r="N2111" s="48" t="n">
        <x:v>0.890548045714695</x:v>
      </x:c>
      <x:c r="O2111" s="48" t="n">
        <x:v>0.8468389975524269</x:v>
      </x:c>
      <x:c r="P2111" s="48" t="n">
        <x:v>0.5104848846924951</x:v>
      </x:c>
      <x:c r="Q2111" s="48" t="n">
        <x:v>1</x:v>
      </x:c>
      <x:c r="R2111" s="48" t="n">
        <x:v>0.810870201585725</x:v>
      </x:c>
      <x:c r="S2111" s="29" t="n">
        <x:v>0</x:v>
      </x:c>
    </x:row>
    <x:row r="2112" ht="21.600000381469727" hidden="0" customHeight="1">
      <x:c r="A2112" s="27" t="n">
        <x:v>703</x:v>
      </x:c>
      <x:c r="B2112" s="27" t="str">
        <x:v>A2</x:v>
      </x:c>
      <x:c r="C2112" s="47" t="n">
        <x:v>1.2097906729278856</x:v>
      </x:c>
      <x:c r="D2112" s="47" t="n">
        <x:v>0.8690377395438753</x:v>
      </x:c>
      <x:c r="E2112" s="47" t="n">
        <x:v>0.5051425363783131</x:v>
      </x:c>
      <x:c r="F2112" s="47" t="n">
        <x:v>-0.14522228834350812</x:v>
      </x:c>
      <x:c r="G2112" s="47" t="n">
        <x:v>-0.013626840042932353</x:v>
      </x:c>
      <x:c r="H2112" s="47" t="n">
        <x:v>0.6693274439034449</x:v>
      </x:c>
      <x:c r="I2112" s="47" t="n">
        <x:v>0.9303665764752287</x:v>
      </x:c>
      <x:c r="J2112" s="47" t="n">
        <x:v>0.8830253396014461</x:v>
      </x:c>
      <x:c r="K2112" s="47" t="n">
        <x:v>0.9750462220177801</x:v>
      </x:c>
      <x:c r="L2112" s="47" t="n">
        <x:v>0.756605707953405</x:v>
      </x:c>
      <x:c r="M2112" s="47" t="n">
        <x:v>0.13884672070637608</x:v>
      </x:c>
      <x:c r="N2112" s="47" t="n">
        <x:v>0.890548045714695</x:v>
      </x:c>
      <x:c r="O2112" s="47" t="n">
        <x:v>0.9104003687046881</x:v>
      </x:c>
      <x:c r="P2112" s="47" t="n">
        <x:v>0.4781214916514569</x:v>
      </x:c>
      <x:c r="Q2112" s="47" t="n">
        <x:v>1</x:v>
      </x:c>
      <x:c r="R2112" s="47" t="n">
        <x:v>0.8893585185910734</x:v>
      </x:c>
      <x:c r="S2112" s="27" t="n">
        <x:v>0</x:v>
      </x:c>
    </x:row>
    <x:row r="2113" ht="21.600000381469727" hidden="0" customHeight="1">
      <x:c r="A2113" s="29" t="n">
        <x:v>703</x:v>
      </x:c>
      <x:c r="B2113" s="29" t="str">
        <x:v>A3</x:v>
      </x:c>
      <x:c r="C2113" s="48" t="n">
        <x:v>1.2097906729278856</x:v>
      </x:c>
      <x:c r="D2113" s="48" t="n">
        <x:v>0.8690377395438753</x:v>
      </x:c>
      <x:c r="E2113" s="48" t="n">
        <x:v>0.5051425363783131</x:v>
      </x:c>
      <x:c r="F2113" s="48" t="n">
        <x:v>-0.14522228834350812</x:v>
      </x:c>
      <x:c r="G2113" s="48" t="n">
        <x:v>-0.013626840042932353</x:v>
      </x:c>
      <x:c r="H2113" s="48" t="n">
        <x:v>0.6693274439034449</x:v>
      </x:c>
      <x:c r="I2113" s="48" t="n">
        <x:v>0.9303665764752287</x:v>
      </x:c>
      <x:c r="J2113" s="48" t="n">
        <x:v>0.8830253396014461</x:v>
      </x:c>
      <x:c r="K2113" s="48" t="n">
        <x:v>0.9750462220177801</x:v>
      </x:c>
      <x:c r="L2113" s="48" t="n">
        <x:v>0.756605707953405</x:v>
      </x:c>
      <x:c r="M2113" s="48" t="n">
        <x:v>0.13884672070637608</x:v>
      </x:c>
      <x:c r="N2113" s="48" t="n">
        <x:v>0.890548045714695</x:v>
      </x:c>
      <x:c r="O2113" s="48" t="n">
        <x:v>1</x:v>
      </x:c>
      <x:c r="P2113" s="48" t="n">
        <x:v>1</x:v>
      </x:c>
      <x:c r="Q2113" s="48" t="n">
        <x:v>1</x:v>
      </x:c>
      <x:c r="R2113" s="48" t="n">
        <x:v>1</x:v>
      </x:c>
      <x:c r="S2113" s="29" t="n">
        <x:v>1</x:v>
      </x:c>
    </x:row>
    <x:row r="2114" ht="21.600000381469727" hidden="0" customHeight="1">
      <x:c r="A2114" s="27" t="n">
        <x:v>704</x:v>
      </x:c>
      <x:c r="B2114" s="27" t="str">
        <x:v>A1</x:v>
      </x:c>
      <x:c r="C2114" s="47" t="n">
        <x:v>0.9578892016646479</x:v>
      </x:c>
      <x:c r="D2114" s="47" t="n">
        <x:v>0.956419841677266</x:v>
      </x:c>
      <x:c r="E2114" s="47" t="n">
        <x:v>0.6774569419894699</x:v>
      </x:c>
      <x:c r="F2114" s="47" t="n">
        <x:v>-0.03266771800280174</x:v>
      </x:c>
      <x:c r="G2114" s="47" t="n">
        <x:v>-0.09851330041903573</x:v>
      </x:c>
      <x:c r="H2114" s="47" t="n">
        <x:v>0.9183577415631021</x:v>
      </x:c>
      <x:c r="I2114" s="47" t="n">
        <x:v>0.9475937832606216</x:v>
      </x:c>
      <x:c r="J2114" s="47" t="n">
        <x:v>0.6158757860798777</x:v>
      </x:c>
      <x:c r="K2114" s="47" t="n">
        <x:v>0.9024587484549829</x:v>
      </x:c>
      <x:c r="L2114" s="47" t="n">
        <x:v>0.8768807151041759</x:v>
      </x:c>
      <x:c r="M2114" s="47" t="n">
        <x:v>0.04746313346170929</x:v>
      </x:c>
      <x:c r="N2114" s="47" t="n">
        <x:v>0.7385079846937781</x:v>
      </x:c>
      <x:c r="O2114" s="47" t="n">
        <x:v>0.9365794898036155</x:v>
      </x:c>
      <x:c r="P2114" s="47" t="n">
        <x:v>0.7835443863317096</x:v>
      </x:c>
      <x:c r="Q2114" s="47" t="n">
        <x:v>1</x:v>
      </x:c>
      <x:c r="R2114" s="47" t="n">
        <x:v>0.9216856241661224</x:v>
      </x:c>
      <x:c r="S2114" s="27" t="n">
        <x:v>0</x:v>
      </x:c>
    </x:row>
    <x:row r="2115" ht="21.600000381469727" hidden="0" customHeight="1">
      <x:c r="A2115" s="29" t="n">
        <x:v>704</x:v>
      </x:c>
      <x:c r="B2115" s="29" t="str">
        <x:v>A2</x:v>
      </x:c>
      <x:c r="C2115" s="48" t="n">
        <x:v>0.9578892016646479</x:v>
      </x:c>
      <x:c r="D2115" s="48" t="n">
        <x:v>0.956419841677266</x:v>
      </x:c>
      <x:c r="E2115" s="48" t="n">
        <x:v>0.6774569419894699</x:v>
      </x:c>
      <x:c r="F2115" s="48" t="n">
        <x:v>-0.03266771800280174</x:v>
      </x:c>
      <x:c r="G2115" s="48" t="n">
        <x:v>-0.09851330041903573</x:v>
      </x:c>
      <x:c r="H2115" s="48" t="n">
        <x:v>0.9183577415631021</x:v>
      </x:c>
      <x:c r="I2115" s="48" t="n">
        <x:v>0.9475937832606216</x:v>
      </x:c>
      <x:c r="J2115" s="48" t="n">
        <x:v>0.6158757860798777</x:v>
      </x:c>
      <x:c r="K2115" s="48" t="n">
        <x:v>0.9024587484549829</x:v>
      </x:c>
      <x:c r="L2115" s="48" t="n">
        <x:v>0.8768807151041759</x:v>
      </x:c>
      <x:c r="M2115" s="48" t="n">
        <x:v>0.04746313346170929</x:v>
      </x:c>
      <x:c r="N2115" s="48" t="n">
        <x:v>0.7385079846937781</x:v>
      </x:c>
      <x:c r="O2115" s="48" t="n">
        <x:v>1</x:v>
      </x:c>
      <x:c r="P2115" s="48" t="n">
        <x:v>1</x:v>
      </x:c>
      <x:c r="Q2115" s="48" t="n">
        <x:v>1</x:v>
      </x:c>
      <x:c r="R2115" s="48" t="n">
        <x:v>1</x:v>
      </x:c>
      <x:c r="S2115" s="29" t="n">
        <x:v>1</x:v>
      </x:c>
    </x:row>
    <x:row r="2116" ht="21.600000381469727" hidden="0" customHeight="1">
      <x:c r="A2116" s="27" t="n">
        <x:v>704</x:v>
      </x:c>
      <x:c r="B2116" s="27" t="str">
        <x:v>A3</x:v>
      </x:c>
      <x:c r="C2116" s="47" t="n">
        <x:v>0.9578892016646479</x:v>
      </x:c>
      <x:c r="D2116" s="47" t="n">
        <x:v>0.956419841677266</x:v>
      </x:c>
      <x:c r="E2116" s="47" t="n">
        <x:v>0.6774569419894699</x:v>
      </x:c>
      <x:c r="F2116" s="47" t="n">
        <x:v>-0.03266771800280174</x:v>
      </x:c>
      <x:c r="G2116" s="47" t="n">
        <x:v>-0.09851330041903573</x:v>
      </x:c>
      <x:c r="H2116" s="47" t="n">
        <x:v>0.9183577415631021</x:v>
      </x:c>
      <x:c r="I2116" s="47" t="n">
        <x:v>0.9475937832606216</x:v>
      </x:c>
      <x:c r="J2116" s="47" t="n">
        <x:v>0.6158757860798777</x:v>
      </x:c>
      <x:c r="K2116" s="47" t="n">
        <x:v>0.9024587484549829</x:v>
      </x:c>
      <x:c r="L2116" s="47" t="n">
        <x:v>0.8768807151041759</x:v>
      </x:c>
      <x:c r="M2116" s="47" t="n">
        <x:v>0.04746313346170929</x:v>
      </x:c>
      <x:c r="N2116" s="47" t="n">
        <x:v>0.7385079846937781</x:v>
      </x:c>
      <x:c r="O2116" s="47" t="n">
        <x:v>1</x:v>
      </x:c>
      <x:c r="P2116" s="47" t="n">
        <x:v>1</x:v>
      </x:c>
      <x:c r="Q2116" s="47" t="n">
        <x:v>1</x:v>
      </x:c>
      <x:c r="R2116" s="47" t="n">
        <x:v>1</x:v>
      </x:c>
      <x:c r="S2116" s="27" t="n">
        <x:v>1</x:v>
      </x:c>
    </x:row>
    <x:row r="2117" ht="21.600000381469727" hidden="0" customHeight="1">
      <x:c r="A2117" s="29" t="n">
        <x:v>705</x:v>
      </x:c>
      <x:c r="B2117" s="29" t="str">
        <x:v>A1</x:v>
      </x:c>
      <x:c r="C2117" s="48" t="n">
        <x:v>1.2645700140349587</x:v>
      </x:c>
      <x:c r="D2117" s="48" t="n">
        <x:v>0.7692397566191089</x:v>
      </x:c>
      <x:c r="E2117" s="48" t="n">
        <x:v>0.6475487997886811</x:v>
      </x:c>
      <x:c r="F2117" s="48" t="n">
        <x:v>-0.10960861537089532</x:v>
      </x:c>
      <x:c r="G2117" s="48" t="n">
        <x:v>-0.1674258401389737</x:v>
      </x:c>
      <x:c r="H2117" s="48" t="n">
        <x:v>0.6867435790620087</x:v>
      </x:c>
      <x:c r="I2117" s="48" t="n">
        <x:v>0.7866506693454516</x:v>
      </x:c>
      <x:c r="J2117" s="48" t="n">
        <x:v>0.7657298593021157</x:v>
      </x:c>
      <x:c r="K2117" s="48" t="n">
        <x:v>0.7656102522020909</x:v>
      </x:c>
      <x:c r="L2117" s="48" t="n">
        <x:v>0.5242880493887485</x:v>
      </x:c>
      <x:c r="M2117" s="48" t="n">
        <x:v>0.14341760311722798</x:v>
      </x:c>
      <x:c r="N2117" s="48" t="n">
        <x:v>0.8124728770098645</x:v>
      </x:c>
      <x:c r="O2117" s="48" t="n">
        <x:v>0.7121078028260488</x:v>
      </x:c>
      <x:c r="P2117" s="48" t="n">
        <x:v>0.4190198762929637</x:v>
      </x:c>
      <x:c r="Q2117" s="48" t="n">
        <x:v>0.9783016439636343</x:v>
      </x:c>
      <x:c r="R2117" s="48" t="n">
        <x:v>0.6480105771651686</x:v>
      </x:c>
      <x:c r="S2117" s="29" t="n">
        <x:v>0</x:v>
      </x:c>
    </x:row>
    <x:row r="2118" ht="21.600000381469727" hidden="0" customHeight="1">
      <x:c r="A2118" s="27" t="n">
        <x:v>705</x:v>
      </x:c>
      <x:c r="B2118" s="27" t="str">
        <x:v>A2</x:v>
      </x:c>
      <x:c r="C2118" s="47" t="n">
        <x:v>1.2645700140349587</x:v>
      </x:c>
      <x:c r="D2118" s="47" t="n">
        <x:v>0.7692397566191089</x:v>
      </x:c>
      <x:c r="E2118" s="47" t="n">
        <x:v>0.6475487997886811</x:v>
      </x:c>
      <x:c r="F2118" s="47" t="n">
        <x:v>-0.10960861537089532</x:v>
      </x:c>
      <x:c r="G2118" s="47" t="n">
        <x:v>-0.1674258401389737</x:v>
      </x:c>
      <x:c r="H2118" s="47" t="n">
        <x:v>0.6867435790620087</x:v>
      </x:c>
      <x:c r="I2118" s="47" t="n">
        <x:v>0.7866506693454516</x:v>
      </x:c>
      <x:c r="J2118" s="47" t="n">
        <x:v>0.7657298593021157</x:v>
      </x:c>
      <x:c r="K2118" s="47" t="n">
        <x:v>0.7656102522020909</x:v>
      </x:c>
      <x:c r="L2118" s="47" t="n">
        <x:v>0.5242880493887485</x:v>
      </x:c>
      <x:c r="M2118" s="47" t="n">
        <x:v>0.14341760311722798</x:v>
      </x:c>
      <x:c r="N2118" s="47" t="n">
        <x:v>0.8124728770098645</x:v>
      </x:c>
      <x:c r="O2118" s="47" t="n">
        <x:v>0.7750888511645128</x:v>
      </x:c>
      <x:c r="P2118" s="47" t="n">
        <x:v>0.4900273003305846</x:v>
      </x:c>
      <x:c r="Q2118" s="47" t="n">
        <x:v>1</x:v>
      </x:c>
      <x:c r="R2118" s="47" t="n">
        <x:v>0.7222700324455028</x:v>
      </x:c>
      <x:c r="S2118" s="27" t="n">
        <x:v>0</x:v>
      </x:c>
    </x:row>
    <x:row r="2119" ht="21.600000381469727" hidden="0" customHeight="1">
      <x:c r="A2119" s="29" t="n">
        <x:v>705</x:v>
      </x:c>
      <x:c r="B2119" s="29" t="str">
        <x:v>A3</x:v>
      </x:c>
      <x:c r="C2119" s="48" t="n">
        <x:v>1.2645700140349587</x:v>
      </x:c>
      <x:c r="D2119" s="48" t="n">
        <x:v>0.7692397566191089</x:v>
      </x:c>
      <x:c r="E2119" s="48" t="n">
        <x:v>0.6475487997886811</x:v>
      </x:c>
      <x:c r="F2119" s="48" t="n">
        <x:v>-0.10960861537089532</x:v>
      </x:c>
      <x:c r="G2119" s="48" t="n">
        <x:v>-0.1674258401389737</x:v>
      </x:c>
      <x:c r="H2119" s="48" t="n">
        <x:v>0.6867435790620087</x:v>
      </x:c>
      <x:c r="I2119" s="48" t="n">
        <x:v>0.7866506693454516</x:v>
      </x:c>
      <x:c r="J2119" s="48" t="n">
        <x:v>0.7657298593021157</x:v>
      </x:c>
      <x:c r="K2119" s="48" t="n">
        <x:v>0.7656102522020909</x:v>
      </x:c>
      <x:c r="L2119" s="48" t="n">
        <x:v>0.5242880493887485</x:v>
      </x:c>
      <x:c r="M2119" s="48" t="n">
        <x:v>0.14341760311722798</x:v>
      </x:c>
      <x:c r="N2119" s="48" t="n">
        <x:v>0.8124728770098645</x:v>
      </x:c>
      <x:c r="O2119" s="48" t="n">
        <x:v>1</x:v>
      </x:c>
      <x:c r="P2119" s="48" t="n">
        <x:v>1</x:v>
      </x:c>
      <x:c r="Q2119" s="48" t="n">
        <x:v>1</x:v>
      </x:c>
      <x:c r="R2119" s="48" t="n">
        <x:v>1</x:v>
      </x:c>
      <x:c r="S2119" s="29" t="n">
        <x:v>1</x:v>
      </x:c>
    </x:row>
    <x:row r="2120" ht="21.600000381469727" hidden="0" customHeight="1">
      <x:c r="A2120" s="27" t="n">
        <x:v>706</x:v>
      </x:c>
      <x:c r="B2120" s="27" t="str">
        <x:v>A1</x:v>
      </x:c>
      <x:c r="C2120" s="47" t="n">
        <x:v>1.0265314622251724</x:v>
      </x:c>
      <x:c r="D2120" s="47" t="n">
        <x:v>0.9994226205536942</x:v>
      </x:c>
      <x:c r="E2120" s="47" t="n">
        <x:v>0.6904109328345066</x:v>
      </x:c>
      <x:c r="F2120" s="47" t="n">
        <x:v>-0.1720583246642389</x:v>
      </x:c>
      <x:c r="G2120" s="47" t="n">
        <x:v>-0.10791702227071019</x:v>
      </x:c>
      <x:c r="H2120" s="47" t="n">
        <x:v>0.3814042363169514</x:v>
      </x:c>
      <x:c r="I2120" s="47" t="n">
        <x:v>0.9543908471461959</x:v>
      </x:c>
      <x:c r="J2120" s="47" t="n">
        <x:v>0.46556259704931235</x:v>
      </x:c>
      <x:c r="K2120" s="47" t="n">
        <x:v>0.9602402848063756</x:v>
      </x:c>
      <x:c r="L2120" s="47" t="n">
        <x:v>0.9721962898253295</x:v>
      </x:c>
      <x:c r="M2120" s="47" t="n">
        <x:v>0.03946119057044394</x:v>
      </x:c>
      <x:c r="N2120" s="47" t="n">
        <x:v>0.750984536324727</x:v>
      </x:c>
      <x:c r="O2120" s="47" t="n">
        <x:v>0.9279972907833219</x:v>
      </x:c>
      <x:c r="P2120" s="47" t="n">
        <x:v>0.7231167218077279</x:v>
      </x:c>
      <x:c r="Q2120" s="47" t="n">
        <x:v>1</x:v>
      </x:c>
      <x:c r="R2120" s="47" t="n">
        <x:v>0.9110879554076217</x:v>
      </x:c>
      <x:c r="S2120" s="27" t="n">
        <x:v>0</x:v>
      </x:c>
    </x:row>
    <x:row r="2121" ht="21.600000381469727" hidden="0" customHeight="1">
      <x:c r="A2121" s="29" t="n">
        <x:v>706</x:v>
      </x:c>
      <x:c r="B2121" s="29" t="str">
        <x:v>A2</x:v>
      </x:c>
      <x:c r="C2121" s="48" t="n">
        <x:v>1.0265314622251724</x:v>
      </x:c>
      <x:c r="D2121" s="48" t="n">
        <x:v>0.9994226205536942</x:v>
      </x:c>
      <x:c r="E2121" s="48" t="n">
        <x:v>0.6904109328345066</x:v>
      </x:c>
      <x:c r="F2121" s="48" t="n">
        <x:v>-0.1720583246642389</x:v>
      </x:c>
      <x:c r="G2121" s="48" t="n">
        <x:v>-0.10791702227071019</x:v>
      </x:c>
      <x:c r="H2121" s="48" t="n">
        <x:v>0.3814042363169514</x:v>
      </x:c>
      <x:c r="I2121" s="48" t="n">
        <x:v>0.9543908471461959</x:v>
      </x:c>
      <x:c r="J2121" s="48" t="n">
        <x:v>0.46556259704931235</x:v>
      </x:c>
      <x:c r="K2121" s="48" t="n">
        <x:v>0.9602402848063756</x:v>
      </x:c>
      <x:c r="L2121" s="48" t="n">
        <x:v>0.9721962898253295</x:v>
      </x:c>
      <x:c r="M2121" s="48" t="n">
        <x:v>0.03946119057044394</x:v>
      </x:c>
      <x:c r="N2121" s="48" t="n">
        <x:v>0.750984536324727</x:v>
      </x:c>
      <x:c r="O2121" s="48" t="n">
        <x:v>0.9949874060269482</x:v>
      </x:c>
      <x:c r="P2121" s="48" t="n">
        <x:v>0.9498740602694822</x:v>
      </x:c>
      <x:c r="Q2121" s="48" t="n">
        <x:v>1</x:v>
      </x:c>
      <x:c r="R2121" s="48" t="n">
        <x:v>0.9938102332022775</x:v>
      </x:c>
      <x:c r="S2121" s="29" t="n">
        <x:v>0</x:v>
      </x:c>
    </x:row>
    <x:row r="2122" ht="21.600000381469727" hidden="0" customHeight="1">
      <x:c r="A2122" s="27" t="n">
        <x:v>706</x:v>
      </x:c>
      <x:c r="B2122" s="27" t="str">
        <x:v>A3</x:v>
      </x:c>
      <x:c r="C2122" s="47" t="n">
        <x:v>1.0265314622251724</x:v>
      </x:c>
      <x:c r="D2122" s="47" t="n">
        <x:v>0.9994226205536942</x:v>
      </x:c>
      <x:c r="E2122" s="47" t="n">
        <x:v>0.6904109328345066</x:v>
      </x:c>
      <x:c r="F2122" s="47" t="n">
        <x:v>-0.1720583246642389</x:v>
      </x:c>
      <x:c r="G2122" s="47" t="n">
        <x:v>-0.10791702227071019</x:v>
      </x:c>
      <x:c r="H2122" s="47" t="n">
        <x:v>0.3814042363169514</x:v>
      </x:c>
      <x:c r="I2122" s="47" t="n">
        <x:v>0.9543908471461959</x:v>
      </x:c>
      <x:c r="J2122" s="47" t="n">
        <x:v>0.46556259704931235</x:v>
      </x:c>
      <x:c r="K2122" s="47" t="n">
        <x:v>0.9602402848063756</x:v>
      </x:c>
      <x:c r="L2122" s="47" t="n">
        <x:v>0.9721962898253295</x:v>
      </x:c>
      <x:c r="M2122" s="47" t="n">
        <x:v>0.03946119057044394</x:v>
      </x:c>
      <x:c r="N2122" s="47" t="n">
        <x:v>0.750984536324727</x:v>
      </x:c>
      <x:c r="O2122" s="47" t="n">
        <x:v>1</x:v>
      </x:c>
      <x:c r="P2122" s="47" t="n">
        <x:v>1</x:v>
      </x:c>
      <x:c r="Q2122" s="47" t="n">
        <x:v>1</x:v>
      </x:c>
      <x:c r="R2122" s="47" t="n">
        <x:v>1</x:v>
      </x:c>
      <x:c r="S2122" s="27" t="n">
        <x:v>1</x:v>
      </x:c>
    </x:row>
    <x:row r="2123" ht="21.600000381469727" hidden="0" customHeight="1">
      <x:c r="A2123" s="29" t="n">
        <x:v>707</x:v>
      </x:c>
      <x:c r="B2123" s="29" t="str">
        <x:v>A1</x:v>
      </x:c>
      <x:c r="C2123" s="48" t="n">
        <x:v>1.134826931385696</x:v>
      </x:c>
      <x:c r="D2123" s="48" t="n">
        <x:v>0.9390055453120302</x:v>
      </x:c>
      <x:c r="E2123" s="48" t="n">
        <x:v>1.0923824609482713</x:v>
      </x:c>
      <x:c r="F2123" s="48" t="n">
        <x:v>-0.11014767272203009</x:v>
      </x:c>
      <x:c r="G2123" s="48" t="n">
        <x:v>0.010601532454514395</x:v>
      </x:c>
      <x:c r="H2123" s="48" t="n">
        <x:v>0.5101097510471909</x:v>
      </x:c>
      <x:c r="I2123" s="48" t="n">
        <x:v>0.9092128883438415</x:v>
      </x:c>
      <x:c r="J2123" s="48" t="n">
        <x:v>0.4009412587340692</x:v>
      </x:c>
      <x:c r="K2123" s="48" t="n">
        <x:v>0.9035272042817943</x:v>
      </x:c>
      <x:c r="L2123" s="48" t="n">
        <x:v>0.8268025657238456</x:v>
      </x:c>
      <x:c r="M2123" s="48" t="n">
        <x:v>0.047876463054189786</x:v>
      </x:c>
      <x:c r="N2123" s="48" t="n">
        <x:v>0.8209459067068884</x:v>
      </x:c>
      <x:c r="O2123" s="48" t="n">
        <x:v>0.8622276989573844</x:v>
      </x:c>
      <x:c r="P2123" s="48" t="n">
        <x:v>0.5669436309408438</x:v>
      </x:c>
      <x:c r="Q2123" s="48" t="n">
        <x:v>1</x:v>
      </x:c>
      <x:c r="R2123" s="48" t="n">
        <x:v>0.8298728324647785</x:v>
      </x:c>
      <x:c r="S2123" s="29" t="n">
        <x:v>0</x:v>
      </x:c>
    </x:row>
    <x:row r="2124" ht="21.600000381469727" hidden="0" customHeight="1">
      <x:c r="A2124" s="27" t="n">
        <x:v>707</x:v>
      </x:c>
      <x:c r="B2124" s="27" t="str">
        <x:v>A2</x:v>
      </x:c>
      <x:c r="C2124" s="47" t="n">
        <x:v>1.134826931385696</x:v>
      </x:c>
      <x:c r="D2124" s="47" t="n">
        <x:v>0.9390055453120302</x:v>
      </x:c>
      <x:c r="E2124" s="47" t="n">
        <x:v>1.0923824609482713</x:v>
      </x:c>
      <x:c r="F2124" s="47" t="n">
        <x:v>-0.11014767272203009</x:v>
      </x:c>
      <x:c r="G2124" s="47" t="n">
        <x:v>0.010601532454514395</x:v>
      </x:c>
      <x:c r="H2124" s="47" t="n">
        <x:v>0.5101097510471909</x:v>
      </x:c>
      <x:c r="I2124" s="47" t="n">
        <x:v>0.9092128883438415</x:v>
      </x:c>
      <x:c r="J2124" s="47" t="n">
        <x:v>0.4009412587340692</x:v>
      </x:c>
      <x:c r="K2124" s="47" t="n">
        <x:v>0.9035272042817943</x:v>
      </x:c>
      <x:c r="L2124" s="47" t="n">
        <x:v>0.8268025657238456</x:v>
      </x:c>
      <x:c r="M2124" s="47" t="n">
        <x:v>0.047876463054189786</x:v>
      </x:c>
      <x:c r="N2124" s="47" t="n">
        <x:v>0.8209459067068884</x:v>
      </x:c>
      <x:c r="O2124" s="47" t="n">
        <x:v>0.9475664319916549</x:v>
      </x:c>
      <x:c r="P2124" s="47" t="n">
        <x:v>0.7700279848205812</x:v>
      </x:c>
      <x:c r="Q2124" s="47" t="n">
        <x:v>1</x:v>
      </x:c>
      <x:c r="R2124" s="47" t="n">
        <x:v>0.9352527732968189</x:v>
      </x:c>
      <x:c r="S2124" s="27" t="n">
        <x:v>0</x:v>
      </x:c>
    </x:row>
    <x:row r="2125" ht="21.600000381469727" hidden="0" customHeight="1">
      <x:c r="A2125" s="29" t="n">
        <x:v>707</x:v>
      </x:c>
      <x:c r="B2125" s="29" t="str">
        <x:v>A3</x:v>
      </x:c>
      <x:c r="C2125" s="48" t="n">
        <x:v>1.134826931385696</x:v>
      </x:c>
      <x:c r="D2125" s="48" t="n">
        <x:v>0.9390055453120302</x:v>
      </x:c>
      <x:c r="E2125" s="48" t="n">
        <x:v>1.0923824609482713</x:v>
      </x:c>
      <x:c r="F2125" s="48" t="n">
        <x:v>-0.11014767272203009</x:v>
      </x:c>
      <x:c r="G2125" s="48" t="n">
        <x:v>0.010601532454514395</x:v>
      </x:c>
      <x:c r="H2125" s="48" t="n">
        <x:v>0.5101097510471909</x:v>
      </x:c>
      <x:c r="I2125" s="48" t="n">
        <x:v>0.9092128883438415</x:v>
      </x:c>
      <x:c r="J2125" s="48" t="n">
        <x:v>0.4009412587340692</x:v>
      </x:c>
      <x:c r="K2125" s="48" t="n">
        <x:v>0.9035272042817943</x:v>
      </x:c>
      <x:c r="L2125" s="48" t="n">
        <x:v>0.8268025657238456</x:v>
      </x:c>
      <x:c r="M2125" s="48" t="n">
        <x:v>0.047876463054189786</x:v>
      </x:c>
      <x:c r="N2125" s="48" t="n">
        <x:v>0.8209459067068884</x:v>
      </x:c>
      <x:c r="O2125" s="48" t="n">
        <x:v>1</x:v>
      </x:c>
      <x:c r="P2125" s="48" t="n">
        <x:v>1</x:v>
      </x:c>
      <x:c r="Q2125" s="48" t="n">
        <x:v>1</x:v>
      </x:c>
      <x:c r="R2125" s="48" t="n">
        <x:v>1</x:v>
      </x:c>
      <x:c r="S2125" s="29" t="n">
        <x:v>1</x:v>
      </x:c>
    </x:row>
    <x:row r="2126" ht="21.600000381469727" hidden="0" customHeight="1">
      <x:c r="A2126" s="27" t="n">
        <x:v>708</x:v>
      </x:c>
      <x:c r="B2126" s="27" t="str">
        <x:v>A1</x:v>
      </x:c>
      <x:c r="C2126" s="47" t="n">
        <x:v>0.9724829536224259</x:v>
      </x:c>
      <x:c r="D2126" s="47" t="n">
        <x:v>0.8544578017647112</x:v>
      </x:c>
      <x:c r="E2126" s="47" t="n">
        <x:v>0.9781169734352184</x:v>
      </x:c>
      <x:c r="F2126" s="47" t="n">
        <x:v>-0.1483263724252512</x:v>
      </x:c>
      <x:c r="G2126" s="47" t="n">
        <x:v>-0.06656365463161765</x:v>
      </x:c>
      <x:c r="H2126" s="47" t="n">
        <x:v>0.7097900731895035</x:v>
      </x:c>
      <x:c r="I2126" s="47" t="n">
        <x:v>0.9483856411964251</x:v>
      </x:c>
      <x:c r="J2126" s="47" t="n">
        <x:v>0.8444797606637613</x:v>
      </x:c>
      <x:c r="K2126" s="47" t="n">
        <x:v>0.7520152308855943</x:v>
      </x:c>
      <x:c r="L2126" s="47" t="n">
        <x:v>0.8586475180952045</x:v>
      </x:c>
      <x:c r="M2126" s="47" t="n">
        <x:v>0.033825576466112894</x:v>
      </x:c>
      <x:c r="N2126" s="47" t="n">
        <x:v>0.9374929278162305</x:v>
      </x:c>
      <x:c r="O2126" s="47" t="n">
        <x:v>0.9470812885130563</x:v>
      </x:c>
      <x:c r="P2126" s="47" t="n">
        <x:v>0.6641984456684763</x:v>
      </x:c>
      <x:c r="Q2126" s="47" t="n">
        <x:v>1</x:v>
      </x:c>
      <x:c r="R2126" s="47" t="n">
        <x:v>0.9346536972471516</x:v>
      </x:c>
      <x:c r="S2126" s="27" t="n">
        <x:v>0</x:v>
      </x:c>
    </x:row>
    <x:row r="2127" ht="21.600000381469727" hidden="0" customHeight="1">
      <x:c r="A2127" s="29" t="n">
        <x:v>708</x:v>
      </x:c>
      <x:c r="B2127" s="29" t="str">
        <x:v>A2</x:v>
      </x:c>
      <x:c r="C2127" s="48" t="n">
        <x:v>0.9724829536224259</x:v>
      </x:c>
      <x:c r="D2127" s="48" t="n">
        <x:v>0.8544578017647112</x:v>
      </x:c>
      <x:c r="E2127" s="48" t="n">
        <x:v>0.9781169734352184</x:v>
      </x:c>
      <x:c r="F2127" s="48" t="n">
        <x:v>-0.1483263724252512</x:v>
      </x:c>
      <x:c r="G2127" s="48" t="n">
        <x:v>-0.06656365463161765</x:v>
      </x:c>
      <x:c r="H2127" s="48" t="n">
        <x:v>0.7097900731895035</x:v>
      </x:c>
      <x:c r="I2127" s="48" t="n">
        <x:v>0.9483856411964251</x:v>
      </x:c>
      <x:c r="J2127" s="48" t="n">
        <x:v>0.8444797606637613</x:v>
      </x:c>
      <x:c r="K2127" s="48" t="n">
        <x:v>0.7520152308855943</x:v>
      </x:c>
      <x:c r="L2127" s="48" t="n">
        <x:v>0.8586475180952045</x:v>
      </x:c>
      <x:c r="M2127" s="48" t="n">
        <x:v>0.033825576466112894</x:v>
      </x:c>
      <x:c r="N2127" s="48" t="n">
        <x:v>0.9374929278162305</x:v>
      </x:c>
      <x:c r="O2127" s="48" t="n">
        <x:v>0.9842151822847577</x:v>
      </x:c>
      <x:c r="P2127" s="48" t="n">
        <x:v>0.8421518228475771</x:v>
      </x:c>
      <x:c r="Q2127" s="48" t="n">
        <x:v>1</x:v>
      </x:c>
      <x:c r="R2127" s="48" t="n">
        <x:v>0.9805082276507575</x:v>
      </x:c>
      <x:c r="S2127" s="29" t="n">
        <x:v>0</x:v>
      </x:c>
    </x:row>
    <x:row r="2128" ht="21.600000381469727" hidden="0" customHeight="1">
      <x:c r="A2128" s="27" t="n">
        <x:v>708</x:v>
      </x:c>
      <x:c r="B2128" s="27" t="str">
        <x:v>A3</x:v>
      </x:c>
      <x:c r="C2128" s="47" t="n">
        <x:v>0.9724829536224259</x:v>
      </x:c>
      <x:c r="D2128" s="47" t="n">
        <x:v>0.8544578017647112</x:v>
      </x:c>
      <x:c r="E2128" s="47" t="n">
        <x:v>0.9781169734352184</x:v>
      </x:c>
      <x:c r="F2128" s="47" t="n">
        <x:v>-0.1483263724252512</x:v>
      </x:c>
      <x:c r="G2128" s="47" t="n">
        <x:v>-0.06656365463161765</x:v>
      </x:c>
      <x:c r="H2128" s="47" t="n">
        <x:v>0.7097900731895035</x:v>
      </x:c>
      <x:c r="I2128" s="47" t="n">
        <x:v>0.9483856411964251</x:v>
      </x:c>
      <x:c r="J2128" s="47" t="n">
        <x:v>0.8444797606637613</x:v>
      </x:c>
      <x:c r="K2128" s="47" t="n">
        <x:v>0.7520152308855943</x:v>
      </x:c>
      <x:c r="L2128" s="47" t="n">
        <x:v>0.8586475180952045</x:v>
      </x:c>
      <x:c r="M2128" s="47" t="n">
        <x:v>0.033825576466112894</x:v>
      </x:c>
      <x:c r="N2128" s="47" t="n">
        <x:v>0.9374929278162305</x:v>
      </x:c>
      <x:c r="O2128" s="47" t="n">
        <x:v>1</x:v>
      </x:c>
      <x:c r="P2128" s="47" t="n">
        <x:v>1</x:v>
      </x:c>
      <x:c r="Q2128" s="47" t="n">
        <x:v>1</x:v>
      </x:c>
      <x:c r="R2128" s="47" t="n">
        <x:v>1</x:v>
      </x:c>
      <x:c r="S2128" s="27" t="n">
        <x:v>1</x:v>
      </x:c>
    </x:row>
    <x:row r="2129" ht="21.600000381469727" hidden="0" customHeight="1">
      <x:c r="A2129" s="29" t="n">
        <x:v>709</x:v>
      </x:c>
      <x:c r="B2129" s="29" t="str">
        <x:v>A1</x:v>
      </x:c>
      <x:c r="C2129" s="48" t="n">
        <x:v>1.0302602155773208</x:v>
      </x:c>
      <x:c r="D2129" s="48" t="n">
        <x:v>0.7639700959366234</x:v>
      </x:c>
      <x:c r="E2129" s="48" t="n">
        <x:v>0.8300312796294957</x:v>
      </x:c>
      <x:c r="F2129" s="48" t="n">
        <x:v>-0.17536260729387151</x:v>
      </x:c>
      <x:c r="G2129" s="48" t="n">
        <x:v>-0.14090243898450966</x:v>
      </x:c>
      <x:c r="H2129" s="48" t="n">
        <x:v>0.985129011750951</x:v>
      </x:c>
      <x:c r="I2129" s="48" t="n">
        <x:v>0.8377462729562537</x:v>
      </x:c>
      <x:c r="J2129" s="48" t="n">
        <x:v>0.43647181421748554</x:v>
      </x:c>
      <x:c r="K2129" s="48" t="n">
        <x:v>0.7362825312045337</x:v>
      </x:c>
      <x:c r="L2129" s="48" t="n">
        <x:v>0.9883278424386912</x:v>
      </x:c>
      <x:c r="M2129" s="48" t="n">
        <x:v>0.08925515563110487</x:v>
      </x:c>
      <x:c r="N2129" s="48" t="n">
        <x:v>0.9758480407304875</x:v>
      </x:c>
      <x:c r="O2129" s="48" t="n">
        <x:v>0.8348925267069127</x:v>
      </x:c>
      <x:c r="P2129" s="48" t="n">
        <x:v>0.5502315912551239</x:v>
      </x:c>
      <x:c r="Q2129" s="48" t="n">
        <x:v>1</x:v>
      </x:c>
      <x:c r="R2129" s="48" t="n">
        <x:v>0.7961181851672665</x:v>
      </x:c>
      <x:c r="S2129" s="29" t="n">
        <x:v>0</x:v>
      </x:c>
    </x:row>
    <x:row r="2130" ht="21.600000381469727" hidden="0" customHeight="1">
      <x:c r="A2130" s="27" t="n">
        <x:v>709</x:v>
      </x:c>
      <x:c r="B2130" s="27" t="str">
        <x:v>A2</x:v>
      </x:c>
      <x:c r="C2130" s="47" t="n">
        <x:v>1.0302602155773208</x:v>
      </x:c>
      <x:c r="D2130" s="47" t="n">
        <x:v>0.7639700959366234</x:v>
      </x:c>
      <x:c r="E2130" s="47" t="n">
        <x:v>0.8300312796294957</x:v>
      </x:c>
      <x:c r="F2130" s="47" t="n">
        <x:v>-0.17536260729387151</x:v>
      </x:c>
      <x:c r="G2130" s="47" t="n">
        <x:v>-0.14090243898450966</x:v>
      </x:c>
      <x:c r="H2130" s="47" t="n">
        <x:v>0.985129011750951</x:v>
      </x:c>
      <x:c r="I2130" s="47" t="n">
        <x:v>0.8377462729562537</x:v>
      </x:c>
      <x:c r="J2130" s="47" t="n">
        <x:v>0.43647181421748554</x:v>
      </x:c>
      <x:c r="K2130" s="47" t="n">
        <x:v>0.7362825312045337</x:v>
      </x:c>
      <x:c r="L2130" s="47" t="n">
        <x:v>0.9883278424386912</x:v>
      </x:c>
      <x:c r="M2130" s="47" t="n">
        <x:v>0.08925515563110487</x:v>
      </x:c>
      <x:c r="N2130" s="47" t="n">
        <x:v>0.9758480407304875</x:v>
      </x:c>
      <x:c r="O2130" s="47" t="n">
        <x:v>0.9242016207005068</x:v>
      </x:c>
      <x:c r="P2130" s="47" t="n">
        <x:v>0.6910159709373928</x:v>
      </x:c>
      <x:c r="Q2130" s="47" t="n">
        <x:v>1</x:v>
      </x:c>
      <x:c r="R2130" s="47" t="n">
        <x:v>0.9064008986102774</x:v>
      </x:c>
      <x:c r="S2130" s="27" t="n">
        <x:v>0</x:v>
      </x:c>
    </x:row>
    <x:row r="2131" ht="21.600000381469727" hidden="0" customHeight="1">
      <x:c r="A2131" s="29" t="n">
        <x:v>709</x:v>
      </x:c>
      <x:c r="B2131" s="29" t="str">
        <x:v>A3</x:v>
      </x:c>
      <x:c r="C2131" s="48" t="n">
        <x:v>1.0302602155773208</x:v>
      </x:c>
      <x:c r="D2131" s="48" t="n">
        <x:v>0.7639700959366234</x:v>
      </x:c>
      <x:c r="E2131" s="48" t="n">
        <x:v>0.8300312796294957</x:v>
      </x:c>
      <x:c r="F2131" s="48" t="n">
        <x:v>-0.17536260729387151</x:v>
      </x:c>
      <x:c r="G2131" s="48" t="n">
        <x:v>-0.14090243898450966</x:v>
      </x:c>
      <x:c r="H2131" s="48" t="n">
        <x:v>0.985129011750951</x:v>
      </x:c>
      <x:c r="I2131" s="48" t="n">
        <x:v>0.8377462729562537</x:v>
      </x:c>
      <x:c r="J2131" s="48" t="n">
        <x:v>0.43647181421748554</x:v>
      </x:c>
      <x:c r="K2131" s="48" t="n">
        <x:v>0.7362825312045337</x:v>
      </x:c>
      <x:c r="L2131" s="48" t="n">
        <x:v>0.9883278424386912</x:v>
      </x:c>
      <x:c r="M2131" s="48" t="n">
        <x:v>0.08925515563110487</x:v>
      </x:c>
      <x:c r="N2131" s="48" t="n">
        <x:v>0.9758480407304875</x:v>
      </x:c>
      <x:c r="O2131" s="48" t="n">
        <x:v>1.0000000000000002</x:v>
      </x:c>
      <x:c r="P2131" s="48" t="n">
        <x:v>1</x:v>
      </x:c>
      <x:c r="Q2131" s="48" t="n">
        <x:v>1</x:v>
      </x:c>
      <x:c r="R2131" s="48" t="n">
        <x:v>1</x:v>
      </x:c>
      <x:c r="S2131" s="29" t="n">
        <x:v>1</x:v>
      </x:c>
    </x:row>
    <x:row r="2132" ht="21.600000381469727" hidden="0" customHeight="1">
      <x:c r="A2132" s="27" t="n">
        <x:v>710</x:v>
      </x:c>
      <x:c r="B2132" s="27" t="str">
        <x:v>A1</x:v>
      </x:c>
      <x:c r="C2132" s="47" t="n">
        <x:v>1.1677397631812303</x:v>
      </x:c>
      <x:c r="D2132" s="47" t="n">
        <x:v>0.8167837108822937</x:v>
      </x:c>
      <x:c r="E2132" s="47" t="n">
        <x:v>0.8220098140169714</x:v>
      </x:c>
      <x:c r="F2132" s="47" t="n">
        <x:v>-0.17940018730262755</x:v>
      </x:c>
      <x:c r="G2132" s="47" t="n">
        <x:v>-0.14814079606803732</x:v>
      </x:c>
      <x:c r="H2132" s="47" t="n">
        <x:v>1.0682685506119334</x:v>
      </x:c>
      <x:c r="I2132" s="47" t="n">
        <x:v>0.6394961147255049</x:v>
      </x:c>
      <x:c r="J2132" s="47" t="n">
        <x:v>0.8397953826828135</x:v>
      </x:c>
      <x:c r="K2132" s="47" t="n">
        <x:v>0.7296438301597349</x:v>
      </x:c>
      <x:c r="L2132" s="47" t="n">
        <x:v>0.6942946129751804</x:v>
      </x:c>
      <x:c r="M2132" s="47" t="n">
        <x:v>0.00329110937695504</x:v>
      </x:c>
      <x:c r="N2132" s="47" t="n">
        <x:v>0.7103210748108347</x:v>
      </x:c>
      <x:c r="O2132" s="47" t="n">
        <x:v>0.8079617598451965</x:v>
      </x:c>
      <x:c r="P2132" s="47" t="n">
        <x:v>0.4328105114540697</x:v>
      </x:c>
      <x:c r="Q2132" s="47" t="n">
        <x:v>0.980536528532698</x:v>
      </x:c>
      <x:c r="R2132" s="47" t="n">
        <x:v>0.7630074674024286</x:v>
      </x:c>
      <x:c r="S2132" s="27" t="n">
        <x:v>0</x:v>
      </x:c>
    </x:row>
    <x:row r="2133" ht="21.600000381469727" hidden="0" customHeight="1">
      <x:c r="A2133" s="29" t="n">
        <x:v>710</x:v>
      </x:c>
      <x:c r="B2133" s="29" t="str">
        <x:v>A2</x:v>
      </x:c>
      <x:c r="C2133" s="48" t="n">
        <x:v>1.1677397631812303</x:v>
      </x:c>
      <x:c r="D2133" s="48" t="n">
        <x:v>0.8167837108822937</x:v>
      </x:c>
      <x:c r="E2133" s="48" t="n">
        <x:v>0.8220098140169714</x:v>
      </x:c>
      <x:c r="F2133" s="48" t="n">
        <x:v>-0.17940018730262755</x:v>
      </x:c>
      <x:c r="G2133" s="48" t="n">
        <x:v>-0.14814079606803732</x:v>
      </x:c>
      <x:c r="H2133" s="48" t="n">
        <x:v>1.0682685506119334</x:v>
      </x:c>
      <x:c r="I2133" s="48" t="n">
        <x:v>0.6394961147255049</x:v>
      </x:c>
      <x:c r="J2133" s="48" t="n">
        <x:v>0.8397953826828135</x:v>
      </x:c>
      <x:c r="K2133" s="48" t="n">
        <x:v>0.7296438301597349</x:v>
      </x:c>
      <x:c r="L2133" s="48" t="n">
        <x:v>0.6942946129751804</x:v>
      </x:c>
      <x:c r="M2133" s="48" t="n">
        <x:v>0.00329110937695504</x:v>
      </x:c>
      <x:c r="N2133" s="48" t="n">
        <x:v>0.7103210748108347</x:v>
      </x:c>
      <x:c r="O2133" s="48" t="n">
        <x:v>0.902618325432053</x:v>
      </x:c>
      <x:c r="P2133" s="48" t="n">
        <x:v>0.5805264840554749</x:v>
      </x:c>
      <x:c r="Q2133" s="48" t="n">
        <x:v>1</x:v>
      </x:c>
      <x:c r="R2133" s="48" t="n">
        <x:v>0.8797489165913186</x:v>
      </x:c>
      <x:c r="S2133" s="29" t="n">
        <x:v>0</x:v>
      </x:c>
    </x:row>
    <x:row r="2134" ht="21.600000381469727" hidden="0" customHeight="1">
      <x:c r="A2134" s="27" t="n">
        <x:v>710</x:v>
      </x:c>
      <x:c r="B2134" s="27" t="str">
        <x:v>A3</x:v>
      </x:c>
      <x:c r="C2134" s="47" t="n">
        <x:v>1.1677397631812303</x:v>
      </x:c>
      <x:c r="D2134" s="47" t="n">
        <x:v>0.8167837108822937</x:v>
      </x:c>
      <x:c r="E2134" s="47" t="n">
        <x:v>0.8220098140169714</x:v>
      </x:c>
      <x:c r="F2134" s="47" t="n">
        <x:v>-0.17940018730262755</x:v>
      </x:c>
      <x:c r="G2134" s="47" t="n">
        <x:v>-0.14814079606803732</x:v>
      </x:c>
      <x:c r="H2134" s="47" t="n">
        <x:v>1.0682685506119334</x:v>
      </x:c>
      <x:c r="I2134" s="47" t="n">
        <x:v>0.6394961147255049</x:v>
      </x:c>
      <x:c r="J2134" s="47" t="n">
        <x:v>0.8397953826828135</x:v>
      </x:c>
      <x:c r="K2134" s="47" t="n">
        <x:v>0.7296438301597349</x:v>
      </x:c>
      <x:c r="L2134" s="47" t="n">
        <x:v>0.6942946129751804</x:v>
      </x:c>
      <x:c r="M2134" s="47" t="n">
        <x:v>0.00329110937695504</x:v>
      </x:c>
      <x:c r="N2134" s="47" t="n">
        <x:v>0.7103210748108347</x:v>
      </x:c>
      <x:c r="O2134" s="47" t="n">
        <x:v>1</x:v>
      </x:c>
      <x:c r="P2134" s="47" t="n">
        <x:v>1</x:v>
      </x:c>
      <x:c r="Q2134" s="47" t="n">
        <x:v>1</x:v>
      </x:c>
      <x:c r="R2134" s="47" t="n">
        <x:v>1</x:v>
      </x:c>
      <x:c r="S2134" s="27" t="n">
        <x:v>1</x:v>
      </x:c>
    </x:row>
    <x:row r="2135" ht="21.600000381469727" hidden="0" customHeight="1">
      <x:c r="A2135" s="29" t="n">
        <x:v>711</x:v>
      </x:c>
      <x:c r="B2135" s="29" t="str">
        <x:v>A1</x:v>
      </x:c>
      <x:c r="C2135" s="48" t="n">
        <x:v>0.931809618926688</x:v>
      </x:c>
      <x:c r="D2135" s="48" t="n">
        <x:v>0.8784886367642584</x:v>
      </x:c>
      <x:c r="E2135" s="48" t="n">
        <x:v>0.5062743646196839</x:v>
      </x:c>
      <x:c r="F2135" s="48" t="n">
        <x:v>-0.13410924168538488</x:v>
      </x:c>
      <x:c r="G2135" s="48" t="n">
        <x:v>0.012897727330656056</x:v>
      </x:c>
      <x:c r="H2135" s="48" t="n">
        <x:v>0.928629665613731</x:v>
      </x:c>
      <x:c r="I2135" s="48" t="n">
        <x:v>0.8823534303455491</x:v>
      </x:c>
      <x:c r="J2135" s="48" t="n">
        <x:v>0.8505744471140184</x:v>
      </x:c>
      <x:c r="K2135" s="48" t="n">
        <x:v>0.8885454948964835</x:v>
      </x:c>
      <x:c r="L2135" s="48" t="n">
        <x:v>0.5247899371661051</x:v>
      </x:c>
      <x:c r="M2135" s="48" t="n">
        <x:v>0.12001054235878927</x:v>
      </x:c>
      <x:c r="N2135" s="48" t="n">
        <x:v>0.9968602490886562</x:v>
      </x:c>
      <x:c r="O2135" s="48" t="n">
        <x:v>0.9335396664822635</x:v>
      </x:c>
      <x:c r="P2135" s="48" t="n">
        <x:v>0.6613491186772293</x:v>
      </x:c>
      <x:c r="Q2135" s="48" t="n">
        <x:v>1</x:v>
      </x:c>
      <x:c r="R2135" s="48" t="n">
        <x:v>0.9179319194841548</x:v>
      </x:c>
      <x:c r="S2135" s="29" t="n">
        <x:v>0</x:v>
      </x:c>
    </x:row>
    <x:row r="2136" ht="21.600000381469727" hidden="0" customHeight="1">
      <x:c r="A2136" s="27" t="n">
        <x:v>711</x:v>
      </x:c>
      <x:c r="B2136" s="27" t="str">
        <x:v>A2</x:v>
      </x:c>
      <x:c r="C2136" s="47" t="n">
        <x:v>0.931809618926688</x:v>
      </x:c>
      <x:c r="D2136" s="47" t="n">
        <x:v>0.8784886367642584</x:v>
      </x:c>
      <x:c r="E2136" s="47" t="n">
        <x:v>0.5062743646196839</x:v>
      </x:c>
      <x:c r="F2136" s="47" t="n">
        <x:v>-0.13410924168538488</x:v>
      </x:c>
      <x:c r="G2136" s="47" t="n">
        <x:v>0.012897727330656056</x:v>
      </x:c>
      <x:c r="H2136" s="47" t="n">
        <x:v>0.928629665613731</x:v>
      </x:c>
      <x:c r="I2136" s="47" t="n">
        <x:v>0.8823534303455491</x:v>
      </x:c>
      <x:c r="J2136" s="47" t="n">
        <x:v>0.8505744471140184</x:v>
      </x:c>
      <x:c r="K2136" s="47" t="n">
        <x:v>0.8885454948964835</x:v>
      </x:c>
      <x:c r="L2136" s="47" t="n">
        <x:v>0.5247899371661051</x:v>
      </x:c>
      <x:c r="M2136" s="47" t="n">
        <x:v>0.12001054235878927</x:v>
      </x:c>
      <x:c r="N2136" s="47" t="n">
        <x:v>0.9968602490886562</x:v>
      </x:c>
      <x:c r="O2136" s="47" t="n">
        <x:v>0.9840887874287166</x:v>
      </x:c>
      <x:c r="P2136" s="47" t="n">
        <x:v>0.8408878742871676</x:v>
      </x:c>
      <x:c r="Q2136" s="47" t="n">
        <x:v>1</x:v>
      </x:c>
      <x:c r="R2136" s="47" t="n">
        <x:v>0.9803521498420359</x:v>
      </x:c>
      <x:c r="S2136" s="27" t="n">
        <x:v>0</x:v>
      </x:c>
    </x:row>
    <x:row r="2137" ht="21.600000381469727" hidden="0" customHeight="1">
      <x:c r="A2137" s="29" t="n">
        <x:v>711</x:v>
      </x:c>
      <x:c r="B2137" s="29" t="str">
        <x:v>A3</x:v>
      </x:c>
      <x:c r="C2137" s="48" t="n">
        <x:v>0.931809618926688</x:v>
      </x:c>
      <x:c r="D2137" s="48" t="n">
        <x:v>0.8784886367642584</x:v>
      </x:c>
      <x:c r="E2137" s="48" t="n">
        <x:v>0.5062743646196839</x:v>
      </x:c>
      <x:c r="F2137" s="48" t="n">
        <x:v>-0.13410924168538488</x:v>
      </x:c>
      <x:c r="G2137" s="48" t="n">
        <x:v>0.012897727330656056</x:v>
      </x:c>
      <x:c r="H2137" s="48" t="n">
        <x:v>0.928629665613731</x:v>
      </x:c>
      <x:c r="I2137" s="48" t="n">
        <x:v>0.8823534303455491</x:v>
      </x:c>
      <x:c r="J2137" s="48" t="n">
        <x:v>0.8505744471140184</x:v>
      </x:c>
      <x:c r="K2137" s="48" t="n">
        <x:v>0.8885454948964835</x:v>
      </x:c>
      <x:c r="L2137" s="48" t="n">
        <x:v>0.5247899371661051</x:v>
      </x:c>
      <x:c r="M2137" s="48" t="n">
        <x:v>0.12001054235878927</x:v>
      </x:c>
      <x:c r="N2137" s="48" t="n">
        <x:v>0.9968602490886562</x:v>
      </x:c>
      <x:c r="O2137" s="48" t="n">
        <x:v>1</x:v>
      </x:c>
      <x:c r="P2137" s="48" t="n">
        <x:v>1</x:v>
      </x:c>
      <x:c r="Q2137" s="48" t="n">
        <x:v>1</x:v>
      </x:c>
      <x:c r="R2137" s="48" t="n">
        <x:v>1</x:v>
      </x:c>
      <x:c r="S2137" s="29" t="n">
        <x:v>1</x:v>
      </x:c>
    </x:row>
    <x:row r="2138" ht="21.600000381469727" hidden="0" customHeight="1">
      <x:c r="A2138" s="27" t="n">
        <x:v>712</x:v>
      </x:c>
      <x:c r="B2138" s="27" t="str">
        <x:v>A1</x:v>
      </x:c>
      <x:c r="C2138" s="47" t="n">
        <x:v>1.054011441132911</x:v>
      </x:c>
      <x:c r="D2138" s="47" t="n">
        <x:v>0.8072582298531318</x:v>
      </x:c>
      <x:c r="E2138" s="47" t="n">
        <x:v>0.7039141742114912</x:v>
      </x:c>
      <x:c r="F2138" s="47" t="n">
        <x:v>-0.05270496381085624</x:v>
      </x:c>
      <x:c r="G2138" s="47" t="n">
        <x:v>-0.06769783754545614</x:v>
      </x:c>
      <x:c r="H2138" s="47" t="n">
        <x:v>0.9405550237951636</x:v>
      </x:c>
      <x:c r="I2138" s="47" t="n">
        <x:v>0.7627094768076125</x:v>
      </x:c>
      <x:c r="J2138" s="47" t="n">
        <x:v>0.9973982268463679</x:v>
      </x:c>
      <x:c r="K2138" s="47" t="n">
        <x:v>0.7661709998754418</x:v>
      </x:c>
      <x:c r="L2138" s="47" t="n">
        <x:v>0.901866471902733</x:v>
      </x:c>
      <x:c r="M2138" s="47" t="n">
        <x:v>0.05074776112572595</x:v>
      </x:c>
      <x:c r="N2138" s="47" t="n">
        <x:v>0.9159111025994087</x:v>
      </x:c>
      <x:c r="O2138" s="47" t="n">
        <x:v>0.9123453866760021</x:v>
      </x:c>
      <x:c r="P2138" s="47" t="n">
        <x:v>0.6038473720205065</x:v>
      </x:c>
      <x:c r="Q2138" s="47" t="n">
        <x:v>1</x:v>
      </x:c>
      <x:c r="R2138" s="47" t="n">
        <x:v>0.8917603105025143</x:v>
      </x:c>
      <x:c r="S2138" s="27" t="n">
        <x:v>0</x:v>
      </x:c>
    </x:row>
    <x:row r="2139" ht="21.600000381469727" hidden="0" customHeight="1">
      <x:c r="A2139" s="29" t="n">
        <x:v>712</x:v>
      </x:c>
      <x:c r="B2139" s="29" t="str">
        <x:v>A2</x:v>
      </x:c>
      <x:c r="C2139" s="48" t="n">
        <x:v>1.054011441132911</x:v>
      </x:c>
      <x:c r="D2139" s="48" t="n">
        <x:v>0.8072582298531318</x:v>
      </x:c>
      <x:c r="E2139" s="48" t="n">
        <x:v>0.7039141742114912</x:v>
      </x:c>
      <x:c r="F2139" s="48" t="n">
        <x:v>-0.05270496381085624</x:v>
      </x:c>
      <x:c r="G2139" s="48" t="n">
        <x:v>-0.06769783754545614</x:v>
      </x:c>
      <x:c r="H2139" s="48" t="n">
        <x:v>0.9405550237951636</x:v>
      </x:c>
      <x:c r="I2139" s="48" t="n">
        <x:v>0.7627094768076125</x:v>
      </x:c>
      <x:c r="J2139" s="48" t="n">
        <x:v>0.9973982268463679</x:v>
      </x:c>
      <x:c r="K2139" s="48" t="n">
        <x:v>0.7661709998754418</x:v>
      </x:c>
      <x:c r="L2139" s="48" t="n">
        <x:v>0.901866471902733</x:v>
      </x:c>
      <x:c r="M2139" s="48" t="n">
        <x:v>0.05074776112572595</x:v>
      </x:c>
      <x:c r="N2139" s="48" t="n">
        <x:v>0.9159111025994087</x:v>
      </x:c>
      <x:c r="O2139" s="48" t="n">
        <x:v>0.9370085536684896</x:v>
      </x:c>
      <x:c r="P2139" s="48" t="n">
        <x:v>0.6322605719959594</x:v>
      </x:c>
      <x:c r="Q2139" s="48" t="n">
        <x:v>1</x:v>
      </x:c>
      <x:c r="R2139" s="48" t="n">
        <x:v>0.9222154506948973</x:v>
      </x:c>
      <x:c r="S2139" s="29" t="n">
        <x:v>0</x:v>
      </x:c>
    </x:row>
    <x:row r="2140" ht="21.600000381469727" hidden="0" customHeight="1">
      <x:c r="A2140" s="27" t="n">
        <x:v>712</x:v>
      </x:c>
      <x:c r="B2140" s="27" t="str">
        <x:v>A3</x:v>
      </x:c>
      <x:c r="C2140" s="47" t="n">
        <x:v>1.054011441132911</x:v>
      </x:c>
      <x:c r="D2140" s="47" t="n">
        <x:v>0.8072582298531318</x:v>
      </x:c>
      <x:c r="E2140" s="47" t="n">
        <x:v>0.7039141742114912</x:v>
      </x:c>
      <x:c r="F2140" s="47" t="n">
        <x:v>-0.05270496381085624</x:v>
      </x:c>
      <x:c r="G2140" s="47" t="n">
        <x:v>-0.06769783754545614</x:v>
      </x:c>
      <x:c r="H2140" s="47" t="n">
        <x:v>0.9405550237951636</x:v>
      </x:c>
      <x:c r="I2140" s="47" t="n">
        <x:v>0.7627094768076125</x:v>
      </x:c>
      <x:c r="J2140" s="47" t="n">
        <x:v>0.9973982268463679</x:v>
      </x:c>
      <x:c r="K2140" s="47" t="n">
        <x:v>0.7661709998754418</x:v>
      </x:c>
      <x:c r="L2140" s="47" t="n">
        <x:v>0.901866471902733</x:v>
      </x:c>
      <x:c r="M2140" s="47" t="n">
        <x:v>0.05074776112572595</x:v>
      </x:c>
      <x:c r="N2140" s="47" t="n">
        <x:v>0.9159111025994087</x:v>
      </x:c>
      <x:c r="O2140" s="47" t="n">
        <x:v>1</x:v>
      </x:c>
      <x:c r="P2140" s="47" t="n">
        <x:v>1</x:v>
      </x:c>
      <x:c r="Q2140" s="47" t="n">
        <x:v>1</x:v>
      </x:c>
      <x:c r="R2140" s="47" t="n">
        <x:v>1</x:v>
      </x:c>
      <x:c r="S2140" s="27" t="n">
        <x:v>1</x:v>
      </x:c>
    </x:row>
    <x:row r="2141" ht="21.600000381469727" hidden="0" customHeight="1">
      <x:c r="A2141" s="29" t="n">
        <x:v>713</x:v>
      </x:c>
      <x:c r="B2141" s="29" t="str">
        <x:v>A1</x:v>
      </x:c>
      <x:c r="C2141" s="48" t="n">
        <x:v>1.2675963561884374</x:v>
      </x:c>
      <x:c r="D2141" s="48" t="n">
        <x:v>0.956910056936875</x:v>
      </x:c>
      <x:c r="E2141" s="48" t="n">
        <x:v>0.5228752403995649</x:v>
      </x:c>
      <x:c r="F2141" s="48" t="n">
        <x:v>-0.10931478974456917</x:v>
      </x:c>
      <x:c r="G2141" s="48" t="n">
        <x:v>-0.04795927776330183</x:v>
      </x:c>
      <x:c r="H2141" s="48" t="n">
        <x:v>1.0953479824111454</x:v>
      </x:c>
      <x:c r="I2141" s="48" t="n">
        <x:v>0.7128818251266418</x:v>
      </x:c>
      <x:c r="J2141" s="48" t="n">
        <x:v>0.5674861297797608</x:v>
      </x:c>
      <x:c r="K2141" s="48" t="n">
        <x:v>0.9549113107708012</x:v>
      </x:c>
      <x:c r="L2141" s="48" t="n">
        <x:v>0.9912200660467994</x:v>
      </x:c>
      <x:c r="M2141" s="48" t="n">
        <x:v>0.051364353111213755</x:v>
      </x:c>
      <x:c r="N2141" s="48" t="n">
        <x:v>0.8253016284215381</x:v>
      </x:c>
      <x:c r="O2141" s="48" t="n">
        <x:v>0.8283232689315213</x:v>
      </x:c>
      <x:c r="P2141" s="48" t="n">
        <x:v>0.5213856690750341</x:v>
      </x:c>
      <x:c r="Q2141" s="48" t="n">
        <x:v>1</x:v>
      </x:c>
      <x:c r="R2141" s="48" t="n">
        <x:v>0.7880061829020916</x:v>
      </x:c>
      <x:c r="S2141" s="29" t="n">
        <x:v>0</x:v>
      </x:c>
    </x:row>
    <x:row r="2142" ht="21.600000381469727" hidden="0" customHeight="1">
      <x:c r="A2142" s="27" t="n">
        <x:v>713</x:v>
      </x:c>
      <x:c r="B2142" s="27" t="str">
        <x:v>A2</x:v>
      </x:c>
      <x:c r="C2142" s="47" t="n">
        <x:v>1.2675963561884374</x:v>
      </x:c>
      <x:c r="D2142" s="47" t="n">
        <x:v>0.956910056936875</x:v>
      </x:c>
      <x:c r="E2142" s="47" t="n">
        <x:v>0.5228752403995649</x:v>
      </x:c>
      <x:c r="F2142" s="47" t="n">
        <x:v>-0.10931478974456917</x:v>
      </x:c>
      <x:c r="G2142" s="47" t="n">
        <x:v>-0.04795927776330183</x:v>
      </x:c>
      <x:c r="H2142" s="47" t="n">
        <x:v>1.0953479824111454</x:v>
      </x:c>
      <x:c r="I2142" s="47" t="n">
        <x:v>0.7128818251266418</x:v>
      </x:c>
      <x:c r="J2142" s="47" t="n">
        <x:v>0.5674861297797608</x:v>
      </x:c>
      <x:c r="K2142" s="47" t="n">
        <x:v>0.9549113107708012</x:v>
      </x:c>
      <x:c r="L2142" s="47" t="n">
        <x:v>0.9912200660467994</x:v>
      </x:c>
      <x:c r="M2142" s="47" t="n">
        <x:v>0.051364353111213755</x:v>
      </x:c>
      <x:c r="N2142" s="47" t="n">
        <x:v>0.8253016284215381</x:v>
      </x:c>
      <x:c r="O2142" s="47" t="n">
        <x:v>0.9073134405206461</x:v>
      </x:c>
      <x:c r="P2142" s="47" t="n">
        <x:v>0.6777222967300403</x:v>
      </x:c>
      <x:c r="Q2142" s="47" t="n">
        <x:v>1</x:v>
      </x:c>
      <x:c r="R2142" s="47" t="n">
        <x:v>0.8855466467970963</x:v>
      </x:c>
      <x:c r="S2142" s="27" t="n">
        <x:v>0</x:v>
      </x:c>
    </x:row>
    <x:row r="2143" ht="21.600000381469727" hidden="0" customHeight="1">
      <x:c r="A2143" s="29" t="n">
        <x:v>713</x:v>
      </x:c>
      <x:c r="B2143" s="29" t="str">
        <x:v>A3</x:v>
      </x:c>
      <x:c r="C2143" s="48" t="n">
        <x:v>1.2675963561884374</x:v>
      </x:c>
      <x:c r="D2143" s="48" t="n">
        <x:v>0.956910056936875</x:v>
      </x:c>
      <x:c r="E2143" s="48" t="n">
        <x:v>0.5228752403995649</x:v>
      </x:c>
      <x:c r="F2143" s="48" t="n">
        <x:v>-0.10931478974456917</x:v>
      </x:c>
      <x:c r="G2143" s="48" t="n">
        <x:v>-0.04795927776330183</x:v>
      </x:c>
      <x:c r="H2143" s="48" t="n">
        <x:v>1.0953479824111454</x:v>
      </x:c>
      <x:c r="I2143" s="48" t="n">
        <x:v>0.7128818251266418</x:v>
      </x:c>
      <x:c r="J2143" s="48" t="n">
        <x:v>0.5674861297797608</x:v>
      </x:c>
      <x:c r="K2143" s="48" t="n">
        <x:v>0.9549113107708012</x:v>
      </x:c>
      <x:c r="L2143" s="48" t="n">
        <x:v>0.9912200660467994</x:v>
      </x:c>
      <x:c r="M2143" s="48" t="n">
        <x:v>0.051364353111213755</x:v>
      </x:c>
      <x:c r="N2143" s="48" t="n">
        <x:v>0.8253016284215381</x:v>
      </x:c>
      <x:c r="O2143" s="48" t="n">
        <x:v>1</x:v>
      </x:c>
      <x:c r="P2143" s="48" t="n">
        <x:v>1</x:v>
      </x:c>
      <x:c r="Q2143" s="48" t="n">
        <x:v>1</x:v>
      </x:c>
      <x:c r="R2143" s="48" t="n">
        <x:v>1</x:v>
      </x:c>
      <x:c r="S2143" s="29" t="n">
        <x:v>1</x:v>
      </x:c>
    </x:row>
    <x:row r="2144" ht="15" hidden="0" customHeight="1">
      <x:c r="A2144" s="27" t="n">
        <x:v>714</x:v>
      </x:c>
      <x:c r="B2144" s="27" t="str">
        <x:v>A1</x:v>
      </x:c>
      <x:c r="C2144" s="47" t="n">
        <x:v>0.9780695791676717</x:v>
      </x:c>
      <x:c r="D2144" s="47" t="n">
        <x:v>0.7722007163125617</x:v>
      </x:c>
      <x:c r="E2144" s="47" t="n">
        <x:v>0.9351424055027941</x:v>
      </x:c>
      <x:c r="F2144" s="47" t="n">
        <x:v>-0.047737530120770505</x:v>
      </x:c>
      <x:c r="G2144" s="47" t="n">
        <x:v>0.001457074932549568</x:v>
      </x:c>
      <x:c r="H2144" s="47" t="n">
        <x:v>1.0772140750137669</x:v>
      </x:c>
      <x:c r="I2144" s="47" t="n">
        <x:v>0.6595244470180107</x:v>
      </x:c>
      <x:c r="J2144" s="47" t="n">
        <x:v>0.7156089310076771</x:v>
      </x:c>
      <x:c r="K2144" s="47" t="n">
        <x:v>0.8237449149992546</x:v>
      </x:c>
      <x:c r="L2144" s="47" t="n">
        <x:v>0.8198443573925481</x:v>
      </x:c>
      <x:c r="M2144" s="47" t="n">
        <x:v>0.1525890900055093</x:v>
      </x:c>
      <x:c r="N2144" s="47" t="n">
        <x:v>0.7003045644595455</x:v>
      </x:c>
      <x:c r="O2144" s="47" t="n">
        <x:v>0.9004399436424596</x:v>
      </x:c>
      <x:c r="P2144" s="47" t="n">
        <x:v>0.6069696669561799</x:v>
      </x:c>
      <x:c r="Q2144" s="47" t="n">
        <x:v>1</x:v>
      </x:c>
      <x:c r="R2144" s="47" t="n">
        <x:v>0.8770589569922611</x:v>
      </x:c>
      <x:c r="S2144" s="27" t="n">
        <x:v>0</x:v>
      </x:c>
    </x:row>
    <x:row r="2145" ht="15" hidden="0" customHeight="1">
      <x:c r="A2145" s="29" t="n">
        <x:v>714</x:v>
      </x:c>
      <x:c r="B2145" s="29" t="str">
        <x:v>A2</x:v>
      </x:c>
      <x:c r="C2145" s="48" t="n">
        <x:v>0.9780695791676717</x:v>
      </x:c>
      <x:c r="D2145" s="48" t="n">
        <x:v>0.7722007163125617</x:v>
      </x:c>
      <x:c r="E2145" s="48" t="n">
        <x:v>0.9351424055027941</x:v>
      </x:c>
      <x:c r="F2145" s="48" t="n">
        <x:v>-0.047737530120770505</x:v>
      </x:c>
      <x:c r="G2145" s="48" t="n">
        <x:v>0.001457074932549568</x:v>
      </x:c>
      <x:c r="H2145" s="48" t="n">
        <x:v>1.0772140750137669</x:v>
      </x:c>
      <x:c r="I2145" s="48" t="n">
        <x:v>0.6595244470180107</x:v>
      </x:c>
      <x:c r="J2145" s="48" t="n">
        <x:v>0.7156089310076771</x:v>
      </x:c>
      <x:c r="K2145" s="48" t="n">
        <x:v>0.8237449149992546</x:v>
      </x:c>
      <x:c r="L2145" s="48" t="n">
        <x:v>0.8198443573925481</x:v>
      </x:c>
      <x:c r="M2145" s="48" t="n">
        <x:v>0.1525890900055093</x:v>
      </x:c>
      <x:c r="N2145" s="48" t="n">
        <x:v>0.7003045644595455</x:v>
      </x:c>
      <x:c r="O2145" s="48" t="n">
        <x:v>0.9631757780988011</x:v>
      </x:c>
      <x:c r="P2145" s="48" t="n">
        <x:v>0.6653811177534389</x:v>
      </x:c>
      <x:c r="Q2145" s="48" t="n">
        <x:v>1</x:v>
      </x:c>
      <x:c r="R2145" s="48" t="n">
        <x:v>0.9545278657514648</x:v>
      </x:c>
      <x:c r="S2145" s="29" t="n">
        <x:v>0</x:v>
      </x:c>
    </x:row>
    <x:row r="2146" ht="15" hidden="0" customHeight="1">
      <x:c r="A2146" s="27" t="n">
        <x:v>714</x:v>
      </x:c>
      <x:c r="B2146" s="27" t="str">
        <x:v>A3</x:v>
      </x:c>
      <x:c r="C2146" s="47" t="n">
        <x:v>0.9780695791676717</x:v>
      </x:c>
      <x:c r="D2146" s="47" t="n">
        <x:v>0.7722007163125617</x:v>
      </x:c>
      <x:c r="E2146" s="47" t="n">
        <x:v>0.9351424055027941</x:v>
      </x:c>
      <x:c r="F2146" s="47" t="n">
        <x:v>-0.047737530120770505</x:v>
      </x:c>
      <x:c r="G2146" s="47" t="n">
        <x:v>0.001457074932549568</x:v>
      </x:c>
      <x:c r="H2146" s="47" t="n">
        <x:v>1.0772140750137669</x:v>
      </x:c>
      <x:c r="I2146" s="47" t="n">
        <x:v>0.6595244470180107</x:v>
      </x:c>
      <x:c r="J2146" s="47" t="n">
        <x:v>0.7156089310076771</x:v>
      </x:c>
      <x:c r="K2146" s="47" t="n">
        <x:v>0.8237449149992546</x:v>
      </x:c>
      <x:c r="L2146" s="47" t="n">
        <x:v>0.8198443573925481</x:v>
      </x:c>
      <x:c r="M2146" s="47" t="n">
        <x:v>0.1525890900055093</x:v>
      </x:c>
      <x:c r="N2146" s="47" t="n">
        <x:v>0.7003045644595455</x:v>
      </x:c>
      <x:c r="O2146" s="47" t="n">
        <x:v>1</x:v>
      </x:c>
      <x:c r="P2146" s="47" t="n">
        <x:v>1</x:v>
      </x:c>
      <x:c r="Q2146" s="47" t="n">
        <x:v>1</x:v>
      </x:c>
      <x:c r="R2146" s="47" t="n">
        <x:v>1</x:v>
      </x:c>
      <x:c r="S2146" s="27" t="n">
        <x:v>1</x:v>
      </x:c>
    </x:row>
    <x:row r="2147" ht="21.600000381469727" hidden="0" customHeight="1">
      <x:c r="A2147" s="29" t="n">
        <x:v>715</x:v>
      </x:c>
      <x:c r="B2147" s="29" t="str">
        <x:v>A1</x:v>
      </x:c>
      <x:c r="C2147" s="48" t="n">
        <x:v>1.2696080076739162</x:v>
      </x:c>
      <x:c r="D2147" s="48" t="n">
        <x:v>0.8764154436360104</x:v>
      </x:c>
      <x:c r="E2147" s="48" t="n">
        <x:v>1.094422005234496</x:v>
      </x:c>
      <x:c r="F2147" s="48" t="n">
        <x:v>-0.034191165654221506</x:v>
      </x:c>
      <x:c r="G2147" s="48" t="n">
        <x:v>-0.19487348513925964</x:v>
      </x:c>
      <x:c r="H2147" s="48" t="n">
        <x:v>0.785910578254083</x:v>
      </x:c>
      <x:c r="I2147" s="48" t="n">
        <x:v>0.780117574927718</x:v>
      </x:c>
      <x:c r="J2147" s="48" t="n">
        <x:v>0.5857612432211021</x:v>
      </x:c>
      <x:c r="K2147" s="48" t="n">
        <x:v>0.6747111237638639</x:v>
      </x:c>
      <x:c r="L2147" s="48" t="n">
        <x:v>0.5305951907317933</x:v>
      </x:c>
      <x:c r="M2147" s="48" t="n">
        <x:v>0.09375544860844892</x:v>
      </x:c>
      <x:c r="N2147" s="48" t="n">
        <x:v>0.6540973293796901</x:v>
      </x:c>
      <x:c r="O2147" s="48" t="n">
        <x:v>0.7908647581156947</x:v>
      </x:c>
      <x:c r="P2147" s="48" t="n">
        <x:v>0.5241310323206767</x:v>
      </x:c>
      <x:c r="Q2147" s="48" t="n">
        <x:v>0.9750739358618811</x:v>
      </x:c>
      <x:c r="R2147" s="48" t="n">
        <x:v>0.7419359236269423</x:v>
      </x:c>
      <x:c r="S2147" s="29" t="n">
        <x:v>0</x:v>
      </x:c>
    </x:row>
    <x:row r="2148" ht="21.600000381469727" hidden="0" customHeight="1">
      <x:c r="A2148" s="27" t="n">
        <x:v>715</x:v>
      </x:c>
      <x:c r="B2148" s="27" t="str">
        <x:v>A2</x:v>
      </x:c>
      <x:c r="C2148" s="47" t="n">
        <x:v>1.2696080076739162</x:v>
      </x:c>
      <x:c r="D2148" s="47" t="n">
        <x:v>0.8764154436360104</x:v>
      </x:c>
      <x:c r="E2148" s="47" t="n">
        <x:v>1.094422005234496</x:v>
      </x:c>
      <x:c r="F2148" s="47" t="n">
        <x:v>-0.034191165654221506</x:v>
      </x:c>
      <x:c r="G2148" s="47" t="n">
        <x:v>-0.19487348513925964</x:v>
      </x:c>
      <x:c r="H2148" s="47" t="n">
        <x:v>0.785910578254083</x:v>
      </x:c>
      <x:c r="I2148" s="47" t="n">
        <x:v>0.780117574927718</x:v>
      </x:c>
      <x:c r="J2148" s="47" t="n">
        <x:v>0.5857612432211021</x:v>
      </x:c>
      <x:c r="K2148" s="47" t="n">
        <x:v>0.6747111237638639</x:v>
      </x:c>
      <x:c r="L2148" s="47" t="n">
        <x:v>0.5305951907317933</x:v>
      </x:c>
      <x:c r="M2148" s="47" t="n">
        <x:v>0.09375544860844892</x:v>
      </x:c>
      <x:c r="N2148" s="47" t="n">
        <x:v>0.6540973293796901</x:v>
      </x:c>
      <x:c r="O2148" s="47" t="n">
        <x:v>0.8848234016182429</x:v>
      </x:c>
      <x:c r="P2148" s="47" t="n">
        <x:v>0.6230984020460186</x:v>
      </x:c>
      <x:c r="Q2148" s="47" t="n">
        <x:v>1</x:v>
      </x:c>
      <x:c r="R2148" s="47" t="n">
        <x:v>0.857774978709479</x:v>
      </x:c>
      <x:c r="S2148" s="27" t="n">
        <x:v>0</x:v>
      </x:c>
    </x:row>
    <x:row r="2149" ht="21.600000381469727" hidden="0" customHeight="1">
      <x:c r="A2149" s="29" t="n">
        <x:v>715</x:v>
      </x:c>
      <x:c r="B2149" s="29" t="str">
        <x:v>A3</x:v>
      </x:c>
      <x:c r="C2149" s="48" t="n">
        <x:v>1.2696080076739162</x:v>
      </x:c>
      <x:c r="D2149" s="48" t="n">
        <x:v>0.8764154436360104</x:v>
      </x:c>
      <x:c r="E2149" s="48" t="n">
        <x:v>1.094422005234496</x:v>
      </x:c>
      <x:c r="F2149" s="48" t="n">
        <x:v>-0.034191165654221506</x:v>
      </x:c>
      <x:c r="G2149" s="48" t="n">
        <x:v>-0.19487348513925964</x:v>
      </x:c>
      <x:c r="H2149" s="48" t="n">
        <x:v>0.785910578254083</x:v>
      </x:c>
      <x:c r="I2149" s="48" t="n">
        <x:v>0.780117574927718</x:v>
      </x:c>
      <x:c r="J2149" s="48" t="n">
        <x:v>0.5857612432211021</x:v>
      </x:c>
      <x:c r="K2149" s="48" t="n">
        <x:v>0.6747111237638639</x:v>
      </x:c>
      <x:c r="L2149" s="48" t="n">
        <x:v>0.5305951907317933</x:v>
      </x:c>
      <x:c r="M2149" s="48" t="n">
        <x:v>0.09375544860844892</x:v>
      </x:c>
      <x:c r="N2149" s="48" t="n">
        <x:v>0.6540973293796901</x:v>
      </x:c>
      <x:c r="O2149" s="48" t="n">
        <x:v>1</x:v>
      </x:c>
      <x:c r="P2149" s="48" t="n">
        <x:v>1</x:v>
      </x:c>
      <x:c r="Q2149" s="48" t="n">
        <x:v>1</x:v>
      </x:c>
      <x:c r="R2149" s="48" t="n">
        <x:v>1</x:v>
      </x:c>
      <x:c r="S2149" s="29" t="n">
        <x:v>1</x:v>
      </x:c>
    </x:row>
    <x:row r="2150" ht="21.600000381469727" hidden="0" customHeight="1">
      <x:c r="A2150" s="27" t="n">
        <x:v>716</x:v>
      </x:c>
      <x:c r="B2150" s="27" t="str">
        <x:v>A1</x:v>
      </x:c>
      <x:c r="C2150" s="47" t="n">
        <x:v>1.1741558361408364</x:v>
      </x:c>
      <x:c r="D2150" s="47" t="n">
        <x:v>0.7995043416523403</x:v>
      </x:c>
      <x:c r="E2150" s="47" t="n">
        <x:v>0.46578710205459717</x:v>
      </x:c>
      <x:c r="F2150" s="47" t="n">
        <x:v>-0.1916766455239134</x:v>
      </x:c>
      <x:c r="G2150" s="47" t="n">
        <x:v>-0.1752560977348438</x:v>
      </x:c>
      <x:c r="H2150" s="47" t="n">
        <x:v>0.8406080168637442</x:v>
      </x:c>
      <x:c r="I2150" s="47" t="n">
        <x:v>0.7239244558070818</x:v>
      </x:c>
      <x:c r="J2150" s="47" t="n">
        <x:v>0.5124397399506891</x:v>
      </x:c>
      <x:c r="K2150" s="47" t="n">
        <x:v>0.6511742827221324</x:v>
      </x:c>
      <x:c r="L2150" s="47" t="n">
        <x:v>0.6588823968909254</x:v>
      </x:c>
      <x:c r="M2150" s="47" t="n">
        <x:v>0.11985927116210679</x:v>
      </x:c>
      <x:c r="N2150" s="47" t="n">
        <x:v>0.9679796848511304</x:v>
      </x:c>
      <x:c r="O2150" s="47" t="n">
        <x:v>0.7508232499511569</x:v>
      </x:c>
      <x:c r="P2150" s="47" t="n">
        <x:v>0.3905873898295558</x:v>
      </x:c>
      <x:c r="Q2150" s="47" t="n">
        <x:v>0.8630738639015734</x:v>
      </x:c>
      <x:c r="R2150" s="47" t="n">
        <x:v>0.6988837374321984</x:v>
      </x:c>
      <x:c r="S2150" s="27" t="n">
        <x:v>0</x:v>
      </x:c>
    </x:row>
    <x:row r="2151" ht="21.600000381469727" hidden="0" customHeight="1">
      <x:c r="A2151" s="29" t="n">
        <x:v>716</x:v>
      </x:c>
      <x:c r="B2151" s="29" t="str">
        <x:v>A2</x:v>
      </x:c>
      <x:c r="C2151" s="48" t="n">
        <x:v>1.1741558361408364</x:v>
      </x:c>
      <x:c r="D2151" s="48" t="n">
        <x:v>0.7995043416523403</x:v>
      </x:c>
      <x:c r="E2151" s="48" t="n">
        <x:v>0.46578710205459717</x:v>
      </x:c>
      <x:c r="F2151" s="48" t="n">
        <x:v>-0.1916766455239134</x:v>
      </x:c>
      <x:c r="G2151" s="48" t="n">
        <x:v>-0.1752560977348438</x:v>
      </x:c>
      <x:c r="H2151" s="48" t="n">
        <x:v>0.8406080168637442</x:v>
      </x:c>
      <x:c r="I2151" s="48" t="n">
        <x:v>0.7239244558070818</x:v>
      </x:c>
      <x:c r="J2151" s="48" t="n">
        <x:v>0.5124397399506891</x:v>
      </x:c>
      <x:c r="K2151" s="48" t="n">
        <x:v>0.6511742827221324</x:v>
      </x:c>
      <x:c r="L2151" s="48" t="n">
        <x:v>0.6588823968909254</x:v>
      </x:c>
      <x:c r="M2151" s="48" t="n">
        <x:v>0.11985927116210679</x:v>
      </x:c>
      <x:c r="N2151" s="48" t="n">
        <x:v>0.9679796848511304</x:v>
      </x:c>
      <x:c r="O2151" s="48" t="n">
        <x:v>0.8153855910426279</x:v>
      </x:c>
      <x:c r="P2151" s="48" t="n">
        <x:v>0.4252449191504833</x:v>
      </x:c>
      <x:c r="Q2151" s="48" t="n">
        <x:v>1</x:v>
      </x:c>
      <x:c r="R2151" s="48" t="n">
        <x:v>0.772030181361407</x:v>
      </x:c>
      <x:c r="S2151" s="29" t="n">
        <x:v>0</x:v>
      </x:c>
    </x:row>
    <x:row r="2152" ht="21.600000381469727" hidden="0" customHeight="1">
      <x:c r="A2152" s="27" t="n">
        <x:v>716</x:v>
      </x:c>
      <x:c r="B2152" s="27" t="str">
        <x:v>A3</x:v>
      </x:c>
      <x:c r="C2152" s="47" t="n">
        <x:v>1.1741558361408364</x:v>
      </x:c>
      <x:c r="D2152" s="47" t="n">
        <x:v>0.7995043416523403</x:v>
      </x:c>
      <x:c r="E2152" s="47" t="n">
        <x:v>0.46578710205459717</x:v>
      </x:c>
      <x:c r="F2152" s="47" t="n">
        <x:v>-0.1916766455239134</x:v>
      </x:c>
      <x:c r="G2152" s="47" t="n">
        <x:v>-0.1752560977348438</x:v>
      </x:c>
      <x:c r="H2152" s="47" t="n">
        <x:v>0.8406080168637442</x:v>
      </x:c>
      <x:c r="I2152" s="47" t="n">
        <x:v>0.7239244558070818</x:v>
      </x:c>
      <x:c r="J2152" s="47" t="n">
        <x:v>0.5124397399506891</x:v>
      </x:c>
      <x:c r="K2152" s="47" t="n">
        <x:v>0.6511742827221324</x:v>
      </x:c>
      <x:c r="L2152" s="47" t="n">
        <x:v>0.6588823968909254</x:v>
      </x:c>
      <x:c r="M2152" s="47" t="n">
        <x:v>0.11985927116210679</x:v>
      </x:c>
      <x:c r="N2152" s="47" t="n">
        <x:v>0.9679796848511304</x:v>
      </x:c>
      <x:c r="O2152" s="47" t="n">
        <x:v>1</x:v>
      </x:c>
      <x:c r="P2152" s="47" t="n">
        <x:v>1</x:v>
      </x:c>
      <x:c r="Q2152" s="47" t="n">
        <x:v>1</x:v>
      </x:c>
      <x:c r="R2152" s="47" t="n">
        <x:v>1</x:v>
      </x:c>
      <x:c r="S2152" s="27" t="n">
        <x:v>1</x:v>
      </x:c>
    </x:row>
    <x:row r="2153" ht="21.600000381469727" hidden="0" customHeight="1">
      <x:c r="A2153" s="29" t="n">
        <x:v>717</x:v>
      </x:c>
      <x:c r="B2153" s="29" t="str">
        <x:v>A1</x:v>
      </x:c>
      <x:c r="C2153" s="48" t="n">
        <x:v>1.0970198991293794</x:v>
      </x:c>
      <x:c r="D2153" s="48" t="n">
        <x:v>0.9883659528134732</x:v>
      </x:c>
      <x:c r="E2153" s="48" t="n">
        <x:v>0.7616285289557523</x:v>
      </x:c>
      <x:c r="F2153" s="48" t="n">
        <x:v>-0.13049095118384613</x:v>
      </x:c>
      <x:c r="G2153" s="48" t="n">
        <x:v>-0.15743906390936563</x:v>
      </x:c>
      <x:c r="H2153" s="48" t="n">
        <x:v>0.37453993678039554</x:v>
      </x:c>
      <x:c r="I2153" s="48" t="n">
        <x:v>0.9399037230098932</x:v>
      </x:c>
      <x:c r="J2153" s="48" t="n">
        <x:v>0.9199727987084096</x:v>
      </x:c>
      <x:c r="K2153" s="48" t="n">
        <x:v>0.6534966814913292</x:v>
      </x:c>
      <x:c r="L2153" s="48" t="n">
        <x:v>0.5637380653340528</x:v>
      </x:c>
      <x:c r="M2153" s="48" t="n">
        <x:v>0.015035628864378859</x:v>
      </x:c>
      <x:c r="N2153" s="48" t="n">
        <x:v>0.9396884542549484</x:v>
      </x:c>
      <x:c r="O2153" s="48" t="n">
        <x:v>0.9200571464609316</x:v>
      </x:c>
      <x:c r="P2153" s="48" t="n">
        <x:v>0.6578700414491906</x:v>
      </x:c>
      <x:c r="Q2153" s="48" t="n">
        <x:v>1</x:v>
      </x:c>
      <x:c r="R2153" s="48" t="n">
        <x:v>0.9012831234263999</x:v>
      </x:c>
      <x:c r="S2153" s="29" t="n">
        <x:v>0</x:v>
      </x:c>
    </x:row>
    <x:row r="2154" ht="21.600000381469727" hidden="0" customHeight="1">
      <x:c r="A2154" s="27" t="n">
        <x:v>717</x:v>
      </x:c>
      <x:c r="B2154" s="27" t="str">
        <x:v>A2</x:v>
      </x:c>
      <x:c r="C2154" s="47" t="n">
        <x:v>1.0970198991293794</x:v>
      </x:c>
      <x:c r="D2154" s="47" t="n">
        <x:v>0.9883659528134732</x:v>
      </x:c>
      <x:c r="E2154" s="47" t="n">
        <x:v>0.7616285289557523</x:v>
      </x:c>
      <x:c r="F2154" s="47" t="n">
        <x:v>-0.13049095118384613</x:v>
      </x:c>
      <x:c r="G2154" s="47" t="n">
        <x:v>-0.15743906390936563</x:v>
      </x:c>
      <x:c r="H2154" s="47" t="n">
        <x:v>0.37453993678039554</x:v>
      </x:c>
      <x:c r="I2154" s="47" t="n">
        <x:v>0.9399037230098932</x:v>
      </x:c>
      <x:c r="J2154" s="47" t="n">
        <x:v>0.9199727987084096</x:v>
      </x:c>
      <x:c r="K2154" s="47" t="n">
        <x:v>0.6534966814913292</x:v>
      </x:c>
      <x:c r="L2154" s="47" t="n">
        <x:v>0.5637380653340528</x:v>
      </x:c>
      <x:c r="M2154" s="47" t="n">
        <x:v>0.015035628864378859</x:v>
      </x:c>
      <x:c r="N2154" s="47" t="n">
        <x:v>0.9396884542549484</x:v>
      </x:c>
      <x:c r="O2154" s="47" t="n">
        <x:v>0.9799868501677205</x:v>
      </x:c>
      <x:c r="P2154" s="47" t="n">
        <x:v>0.8358521028818139</x:v>
      </x:c>
      <x:c r="Q2154" s="47" t="n">
        <x:v>1</x:v>
      </x:c>
      <x:c r="R2154" s="47" t="n">
        <x:v>0.9752869011502497</x:v>
      </x:c>
      <x:c r="S2154" s="27" t="n">
        <x:v>0</x:v>
      </x:c>
    </x:row>
    <x:row r="2155" ht="21.600000381469727" hidden="0" customHeight="1">
      <x:c r="A2155" s="29" t="n">
        <x:v>717</x:v>
      </x:c>
      <x:c r="B2155" s="29" t="str">
        <x:v>A3</x:v>
      </x:c>
      <x:c r="C2155" s="48" t="n">
        <x:v>1.0970198991293794</x:v>
      </x:c>
      <x:c r="D2155" s="48" t="n">
        <x:v>0.9883659528134732</x:v>
      </x:c>
      <x:c r="E2155" s="48" t="n">
        <x:v>0.7616285289557523</x:v>
      </x:c>
      <x:c r="F2155" s="48" t="n">
        <x:v>-0.13049095118384613</x:v>
      </x:c>
      <x:c r="G2155" s="48" t="n">
        <x:v>-0.15743906390936563</x:v>
      </x:c>
      <x:c r="H2155" s="48" t="n">
        <x:v>0.37453993678039554</x:v>
      </x:c>
      <x:c r="I2155" s="48" t="n">
        <x:v>0.9399037230098932</x:v>
      </x:c>
      <x:c r="J2155" s="48" t="n">
        <x:v>0.9199727987084096</x:v>
      </x:c>
      <x:c r="K2155" s="48" t="n">
        <x:v>0.6534966814913292</x:v>
      </x:c>
      <x:c r="L2155" s="48" t="n">
        <x:v>0.5637380653340528</x:v>
      </x:c>
      <x:c r="M2155" s="48" t="n">
        <x:v>0.015035628864378859</x:v>
      </x:c>
      <x:c r="N2155" s="48" t="n">
        <x:v>0.9396884542549484</x:v>
      </x:c>
      <x:c r="O2155" s="48" t="n">
        <x:v>1</x:v>
      </x:c>
      <x:c r="P2155" s="48" t="n">
        <x:v>1</x:v>
      </x:c>
      <x:c r="Q2155" s="48" t="n">
        <x:v>1</x:v>
      </x:c>
      <x:c r="R2155" s="48" t="n">
        <x:v>1</x:v>
      </x:c>
      <x:c r="S2155" s="29" t="n">
        <x:v>1</x:v>
      </x:c>
    </x:row>
    <x:row r="2156" ht="21.600000381469727" hidden="0" customHeight="1">
      <x:c r="A2156" s="27" t="n">
        <x:v>718</x:v>
      </x:c>
      <x:c r="B2156" s="27" t="str">
        <x:v>A1</x:v>
      </x:c>
      <x:c r="C2156" s="47" t="n">
        <x:v>0.9422733035559524</x:v>
      </x:c>
      <x:c r="D2156" s="47" t="n">
        <x:v>0.7225117384389723</x:v>
      </x:c>
      <x:c r="E2156" s="47" t="n">
        <x:v>1.009212236902855</x:v>
      </x:c>
      <x:c r="F2156" s="47" t="n">
        <x:v>0.017733063613720845</x:v>
      </x:c>
      <x:c r="G2156" s="47" t="n">
        <x:v>-0.11797128365367958</x:v>
      </x:c>
      <x:c r="H2156" s="47" t="n">
        <x:v>0.7965283310050086</x:v>
      </x:c>
      <x:c r="I2156" s="47" t="n">
        <x:v>0.9379165822082087</x:v>
      </x:c>
      <x:c r="J2156" s="47" t="n">
        <x:v>0.4282014325512156</x:v>
      </x:c>
      <x:c r="K2156" s="47" t="n">
        <x:v>0.721366294914648</x:v>
      </x:c>
      <x:c r="L2156" s="47" t="n">
        <x:v>0.7824737631190309</x:v>
      </x:c>
      <x:c r="M2156" s="47" t="n">
        <x:v>0.12207787115233348</x:v>
      </x:c>
      <x:c r="N2156" s="47" t="n">
        <x:v>0.9289981895066032</x:v>
      </x:c>
      <x:c r="O2156" s="47" t="n">
        <x:v>0.8357630742261638</x:v>
      </x:c>
      <x:c r="P2156" s="47" t="n">
        <x:v>0.4958623641880338</x:v>
      </x:c>
      <x:c r="Q2156" s="47" t="n">
        <x:v>1</x:v>
      </x:c>
      <x:c r="R2156" s="47" t="n">
        <x:v>0.7971931747154865</x:v>
      </x:c>
      <x:c r="S2156" s="27" t="n">
        <x:v>0</x:v>
      </x:c>
    </x:row>
    <x:row r="2157" ht="21.600000381469727" hidden="0" customHeight="1">
      <x:c r="A2157" s="29" t="n">
        <x:v>718</x:v>
      </x:c>
      <x:c r="B2157" s="29" t="str">
        <x:v>A2</x:v>
      </x:c>
      <x:c r="C2157" s="48" t="n">
        <x:v>0.9422733035559524</x:v>
      </x:c>
      <x:c r="D2157" s="48" t="n">
        <x:v>0.7225117384389723</x:v>
      </x:c>
      <x:c r="E2157" s="48" t="n">
        <x:v>1.009212236902855</x:v>
      </x:c>
      <x:c r="F2157" s="48" t="n">
        <x:v>0.017733063613720845</x:v>
      </x:c>
      <x:c r="G2157" s="48" t="n">
        <x:v>-0.11797128365367958</x:v>
      </x:c>
      <x:c r="H2157" s="48" t="n">
        <x:v>0.7965283310050086</x:v>
      </x:c>
      <x:c r="I2157" s="48" t="n">
        <x:v>0.9379165822082087</x:v>
      </x:c>
      <x:c r="J2157" s="48" t="n">
        <x:v>0.4282014325512156</x:v>
      </x:c>
      <x:c r="K2157" s="48" t="n">
        <x:v>0.721366294914648</x:v>
      </x:c>
      <x:c r="L2157" s="48" t="n">
        <x:v>0.7824737631190309</x:v>
      </x:c>
      <x:c r="M2157" s="48" t="n">
        <x:v>0.12207787115233348</x:v>
      </x:c>
      <x:c r="N2157" s="48" t="n">
        <x:v>0.9289981895066032</x:v>
      </x:c>
      <x:c r="O2157" s="48" t="n">
        <x:v>0.9509772536291609</x:v>
      </x:c>
      <x:c r="P2157" s="48" t="n">
        <x:v>0.725703876360795</x:v>
      </x:c>
      <x:c r="Q2157" s="48" t="n">
        <x:v>1</x:v>
      </x:c>
      <x:c r="R2157" s="48" t="n">
        <x:v>0.9394646026686548</x:v>
      </x:c>
      <x:c r="S2157" s="29" t="n">
        <x:v>0</x:v>
      </x:c>
    </x:row>
    <x:row r="2158" ht="21.600000381469727" hidden="0" customHeight="1">
      <x:c r="A2158" s="27" t="n">
        <x:v>718</x:v>
      </x:c>
      <x:c r="B2158" s="27" t="str">
        <x:v>A3</x:v>
      </x:c>
      <x:c r="C2158" s="47" t="n">
        <x:v>0.9422733035559524</x:v>
      </x:c>
      <x:c r="D2158" s="47" t="n">
        <x:v>0.7225117384389723</x:v>
      </x:c>
      <x:c r="E2158" s="47" t="n">
        <x:v>1.009212236902855</x:v>
      </x:c>
      <x:c r="F2158" s="47" t="n">
        <x:v>0.017733063613720845</x:v>
      </x:c>
      <x:c r="G2158" s="47" t="n">
        <x:v>-0.11797128365367958</x:v>
      </x:c>
      <x:c r="H2158" s="47" t="n">
        <x:v>0.7965283310050086</x:v>
      </x:c>
      <x:c r="I2158" s="47" t="n">
        <x:v>0.9379165822082087</x:v>
      </x:c>
      <x:c r="J2158" s="47" t="n">
        <x:v>0.4282014325512156</x:v>
      </x:c>
      <x:c r="K2158" s="47" t="n">
        <x:v>0.721366294914648</x:v>
      </x:c>
      <x:c r="L2158" s="47" t="n">
        <x:v>0.7824737631190309</x:v>
      </x:c>
      <x:c r="M2158" s="47" t="n">
        <x:v>0.12207787115233348</x:v>
      </x:c>
      <x:c r="N2158" s="47" t="n">
        <x:v>0.9289981895066032</x:v>
      </x:c>
      <x:c r="O2158" s="47" t="n">
        <x:v>1</x:v>
      </x:c>
      <x:c r="P2158" s="47" t="n">
        <x:v>1</x:v>
      </x:c>
      <x:c r="Q2158" s="47" t="n">
        <x:v>1</x:v>
      </x:c>
      <x:c r="R2158" s="47" t="n">
        <x:v>1</x:v>
      </x:c>
      <x:c r="S2158" s="27" t="n">
        <x:v>1</x:v>
      </x:c>
    </x:row>
    <x:row r="2159" ht="21.600000381469727" hidden="0" customHeight="1">
      <x:c r="A2159" s="29" t="n">
        <x:v>719</x:v>
      </x:c>
      <x:c r="B2159" s="29" t="str">
        <x:v>A1</x:v>
      </x:c>
      <x:c r="C2159" s="48" t="n">
        <x:v>0.9948214534300408</x:v>
      </x:c>
      <x:c r="D2159" s="48" t="n">
        <x:v>0.8562302173758112</x:v>
      </x:c>
      <x:c r="E2159" s="48" t="n">
        <x:v>0.8161622943983518</x:v>
      </x:c>
      <x:c r="F2159" s="48" t="n">
        <x:v>-0.05682494650757944</x:v>
      </x:c>
      <x:c r="G2159" s="48" t="n">
        <x:v>-0.1203244669408525</x:v>
      </x:c>
      <x:c r="H2159" s="48" t="n">
        <x:v>0.8022021120790304</x:v>
      </x:c>
      <x:c r="I2159" s="48" t="n">
        <x:v>0.6175401221459703</x:v>
      </x:c>
      <x:c r="J2159" s="48" t="n">
        <x:v>0.7633204370927433</x:v>
      </x:c>
      <x:c r="K2159" s="48" t="n">
        <x:v>0.648984749005052</x:v>
      </x:c>
      <x:c r="L2159" s="48" t="n">
        <x:v>0.6234306494186315</x:v>
      </x:c>
      <x:c r="M2159" s="48" t="n">
        <x:v>0.025003382230791325</x:v>
      </x:c>
      <x:c r="N2159" s="48" t="n">
        <x:v>0.8371512759645932</x:v>
      </x:c>
      <x:c r="O2159" s="48" t="n">
        <x:v>0.8913489080839946</x:v>
      </x:c>
      <x:c r="P2159" s="48" t="n">
        <x:v>0.5525599737527129</x:v>
      </x:c>
      <x:c r="Q2159" s="48" t="n">
        <x:v>1</x:v>
      </x:c>
      <x:c r="R2159" s="48" t="n">
        <x:v>0.8658329549742995</x:v>
      </x:c>
      <x:c r="S2159" s="29" t="n">
        <x:v>0</x:v>
      </x:c>
    </x:row>
    <x:row r="2160" ht="21.600000381469727" hidden="0" customHeight="1">
      <x:c r="A2160" s="27" t="n">
        <x:v>719</x:v>
      </x:c>
      <x:c r="B2160" s="27" t="str">
        <x:v>A2</x:v>
      </x:c>
      <x:c r="C2160" s="47" t="n">
        <x:v>0.9948214534300408</x:v>
      </x:c>
      <x:c r="D2160" s="47" t="n">
        <x:v>0.8562302173758112</x:v>
      </x:c>
      <x:c r="E2160" s="47" t="n">
        <x:v>0.8161622943983518</x:v>
      </x:c>
      <x:c r="F2160" s="47" t="n">
        <x:v>-0.05682494650757944</x:v>
      </x:c>
      <x:c r="G2160" s="47" t="n">
        <x:v>-0.1203244669408525</x:v>
      </x:c>
      <x:c r="H2160" s="47" t="n">
        <x:v>0.8022021120790304</x:v>
      </x:c>
      <x:c r="I2160" s="47" t="n">
        <x:v>0.6175401221459703</x:v>
      </x:c>
      <x:c r="J2160" s="47" t="n">
        <x:v>0.7633204370927433</x:v>
      </x:c>
      <x:c r="K2160" s="47" t="n">
        <x:v>0.648984749005052</x:v>
      </x:c>
      <x:c r="L2160" s="47" t="n">
        <x:v>0.6234306494186315</x:v>
      </x:c>
      <x:c r="M2160" s="47" t="n">
        <x:v>0.025003382230791325</x:v>
      </x:c>
      <x:c r="N2160" s="47" t="n">
        <x:v>0.8371512759645932</x:v>
      </x:c>
      <x:c r="O2160" s="47" t="n">
        <x:v>0.9479141012216521</x:v>
      </x:c>
      <x:c r="P2160" s="47" t="n">
        <x:v>0.6837674826810259</x:v>
      </x:c>
      <x:c r="Q2160" s="47" t="n">
        <x:v>0.9999999999999998</x:v>
      </x:c>
      <x:c r="R2160" s="47" t="n">
        <x:v>0.9356820902269344</x:v>
      </x:c>
      <x:c r="S2160" s="27" t="n">
        <x:v>0</x:v>
      </x:c>
    </x:row>
    <x:row r="2161" ht="21.600000381469727" hidden="0" customHeight="1">
      <x:c r="A2161" s="29" t="n">
        <x:v>719</x:v>
      </x:c>
      <x:c r="B2161" s="29" t="str">
        <x:v>A3</x:v>
      </x:c>
      <x:c r="C2161" s="48" t="n">
        <x:v>0.9948214534300408</x:v>
      </x:c>
      <x:c r="D2161" s="48" t="n">
        <x:v>0.8562302173758112</x:v>
      </x:c>
      <x:c r="E2161" s="48" t="n">
        <x:v>0.8161622943983518</x:v>
      </x:c>
      <x:c r="F2161" s="48" t="n">
        <x:v>-0.05682494650757944</x:v>
      </x:c>
      <x:c r="G2161" s="48" t="n">
        <x:v>-0.1203244669408525</x:v>
      </x:c>
      <x:c r="H2161" s="48" t="n">
        <x:v>0.8022021120790304</x:v>
      </x:c>
      <x:c r="I2161" s="48" t="n">
        <x:v>0.6175401221459703</x:v>
      </x:c>
      <x:c r="J2161" s="48" t="n">
        <x:v>0.7633204370927433</x:v>
      </x:c>
      <x:c r="K2161" s="48" t="n">
        <x:v>0.648984749005052</x:v>
      </x:c>
      <x:c r="L2161" s="48" t="n">
        <x:v>0.6234306494186315</x:v>
      </x:c>
      <x:c r="M2161" s="48" t="n">
        <x:v>0.025003382230791325</x:v>
      </x:c>
      <x:c r="N2161" s="48" t="n">
        <x:v>0.8371512759645932</x:v>
      </x:c>
      <x:c r="O2161" s="48" t="n">
        <x:v>1</x:v>
      </x:c>
      <x:c r="P2161" s="48" t="n">
        <x:v>1</x:v>
      </x:c>
      <x:c r="Q2161" s="48" t="n">
        <x:v>1</x:v>
      </x:c>
      <x:c r="R2161" s="48" t="n">
        <x:v>1</x:v>
      </x:c>
      <x:c r="S2161" s="29" t="n">
        <x:v>1</x:v>
      </x:c>
    </x:row>
    <x:row r="2162" ht="21.600000381469727" hidden="0" customHeight="1">
      <x:c r="A2162" s="27" t="n">
        <x:v>720</x:v>
      </x:c>
      <x:c r="B2162" s="27" t="str">
        <x:v>A1</x:v>
      </x:c>
      <x:c r="C2162" s="47" t="n">
        <x:v>1.2950356645677383</x:v>
      </x:c>
      <x:c r="D2162" s="47" t="n">
        <x:v>0.9266777222249475</x:v>
      </x:c>
      <x:c r="E2162" s="47" t="n">
        <x:v>0.5324011645453838</x:v>
      </x:c>
      <x:c r="F2162" s="47" t="n">
        <x:v>-0.18268577276550788</x:v>
      </x:c>
      <x:c r="G2162" s="47" t="n">
        <x:v>-0.19247116116664473</x:v>
      </x:c>
      <x:c r="H2162" s="47" t="n">
        <x:v>0.37557785449073666</x:v>
      </x:c>
      <x:c r="I2162" s="47" t="n">
        <x:v>0.7838013022249093</x:v>
      </x:c>
      <x:c r="J2162" s="47" t="n">
        <x:v>0.7432596245847074</x:v>
      </x:c>
      <x:c r="K2162" s="47" t="n">
        <x:v>0.6027085354037816</x:v>
      </x:c>
      <x:c r="L2162" s="47" t="n">
        <x:v>0.6977808630211522</x:v>
      </x:c>
      <x:c r="M2162" s="47" t="n">
        <x:v>0.11668614829348553</x:v>
      </x:c>
      <x:c r="N2162" s="47" t="n">
        <x:v>0.8880250304889623</x:v>
      </x:c>
      <x:c r="O2162" s="47" t="n">
        <x:v>0.769328129388127</x:v>
      </x:c>
      <x:c r="P2162" s="47" t="n">
        <x:v>0.42450497400607023</x:v>
      </x:c>
      <x:c r="Q2162" s="47" t="n">
        <x:v>1</x:v>
      </x:c>
      <x:c r="R2162" s="47" t="n">
        <x:v>0.7151564452341532</x:v>
      </x:c>
      <x:c r="S2162" s="27" t="n">
        <x:v>0</x:v>
      </x:c>
    </x:row>
    <x:row r="2163" ht="21.600000381469727" hidden="0" customHeight="1">
      <x:c r="A2163" s="29" t="n">
        <x:v>720</x:v>
      </x:c>
      <x:c r="B2163" s="29" t="str">
        <x:v>A2</x:v>
      </x:c>
      <x:c r="C2163" s="48" t="n">
        <x:v>1.2950356645677383</x:v>
      </x:c>
      <x:c r="D2163" s="48" t="n">
        <x:v>0.9266777222249475</x:v>
      </x:c>
      <x:c r="E2163" s="48" t="n">
        <x:v>0.5324011645453838</x:v>
      </x:c>
      <x:c r="F2163" s="48" t="n">
        <x:v>-0.18268577276550788</x:v>
      </x:c>
      <x:c r="G2163" s="48" t="n">
        <x:v>-0.19247116116664473</x:v>
      </x:c>
      <x:c r="H2163" s="48" t="n">
        <x:v>0.37557785449073666</x:v>
      </x:c>
      <x:c r="I2163" s="48" t="n">
        <x:v>0.7838013022249093</x:v>
      </x:c>
      <x:c r="J2163" s="48" t="n">
        <x:v>0.7432596245847074</x:v>
      </x:c>
      <x:c r="K2163" s="48" t="n">
        <x:v>0.6027085354037816</x:v>
      </x:c>
      <x:c r="L2163" s="48" t="n">
        <x:v>0.6977808630211522</x:v>
      </x:c>
      <x:c r="M2163" s="48" t="n">
        <x:v>0.11668614829348553</x:v>
      </x:c>
      <x:c r="N2163" s="48" t="n">
        <x:v>0.8880250304889623</x:v>
      </x:c>
      <x:c r="O2163" s="48" t="n">
        <x:v>0.8488318941967741</x:v>
      </x:c>
      <x:c r="P2163" s="48" t="n">
        <x:v>0.5467776103866504</x:v>
      </x:c>
      <x:c r="Q2163" s="48" t="n">
        <x:v>1</x:v>
      </x:c>
      <x:c r="R2163" s="48" t="n">
        <x:v>0.8133311161434947</x:v>
      </x:c>
      <x:c r="S2163" s="29" t="n">
        <x:v>0</x:v>
      </x:c>
    </x:row>
    <x:row r="2164" ht="21.600000381469727" hidden="0" customHeight="1">
      <x:c r="A2164" s="27" t="n">
        <x:v>720</x:v>
      </x:c>
      <x:c r="B2164" s="27" t="str">
        <x:v>A3</x:v>
      </x:c>
      <x:c r="C2164" s="47" t="n">
        <x:v>1.2950356645677383</x:v>
      </x:c>
      <x:c r="D2164" s="47" t="n">
        <x:v>0.9266777222249475</x:v>
      </x:c>
      <x:c r="E2164" s="47" t="n">
        <x:v>0.5324011645453838</x:v>
      </x:c>
      <x:c r="F2164" s="47" t="n">
        <x:v>-0.18268577276550788</x:v>
      </x:c>
      <x:c r="G2164" s="47" t="n">
        <x:v>-0.19247116116664473</x:v>
      </x:c>
      <x:c r="H2164" s="47" t="n">
        <x:v>0.37557785449073666</x:v>
      </x:c>
      <x:c r="I2164" s="47" t="n">
        <x:v>0.7838013022249093</x:v>
      </x:c>
      <x:c r="J2164" s="47" t="n">
        <x:v>0.7432596245847074</x:v>
      </x:c>
      <x:c r="K2164" s="47" t="n">
        <x:v>0.6027085354037816</x:v>
      </x:c>
      <x:c r="L2164" s="47" t="n">
        <x:v>0.6977808630211522</x:v>
      </x:c>
      <x:c r="M2164" s="47" t="n">
        <x:v>0.11668614829348553</x:v>
      </x:c>
      <x:c r="N2164" s="47" t="n">
        <x:v>0.8880250304889623</x:v>
      </x:c>
      <x:c r="O2164" s="47" t="n">
        <x:v>1</x:v>
      </x:c>
      <x:c r="P2164" s="47" t="n">
        <x:v>1</x:v>
      </x:c>
      <x:c r="Q2164" s="47" t="n">
        <x:v>1</x:v>
      </x:c>
      <x:c r="R2164" s="47" t="n">
        <x:v>1</x:v>
      </x:c>
      <x:c r="S2164" s="27" t="n">
        <x:v>1</x:v>
      </x:c>
    </x:row>
    <x:row r="2165" ht="21.600000381469727" hidden="0" customHeight="1">
      <x:c r="A2165" s="29" t="n">
        <x:v>721</x:v>
      </x:c>
      <x:c r="B2165" s="29" t="str">
        <x:v>A1</x:v>
      </x:c>
      <x:c r="C2165" s="48" t="n">
        <x:v>1.1596766145240922</x:v>
      </x:c>
      <x:c r="D2165" s="48" t="n">
        <x:v>0.7635907552083171</x:v>
      </x:c>
      <x:c r="E2165" s="48" t="n">
        <x:v>0.5572576295141187</x:v>
      </x:c>
      <x:c r="F2165" s="48" t="n">
        <x:v>-0.05585030106009117</x:v>
      </x:c>
      <x:c r="G2165" s="48" t="n">
        <x:v>-0.03146175029899795</x:v>
      </x:c>
      <x:c r="H2165" s="48" t="n">
        <x:v>0.4391916438672138</x:v>
      </x:c>
      <x:c r="I2165" s="48" t="n">
        <x:v>0.9428824891344312</x:v>
      </x:c>
      <x:c r="J2165" s="48" t="n">
        <x:v>0.47377708807838576</x:v>
      </x:c>
      <x:c r="K2165" s="48" t="n">
        <x:v>0.9222894378482974</x:v>
      </x:c>
      <x:c r="L2165" s="48" t="n">
        <x:v>0.6762731098377549</x:v>
      </x:c>
      <x:c r="M2165" s="48" t="n">
        <x:v>0.034555014483778505</x:v>
      </x:c>
      <x:c r="N2165" s="48" t="n">
        <x:v>0.7916286381240357</x:v>
      </x:c>
      <x:c r="O2165" s="48" t="n">
        <x:v>0.7520917797778416</x:v>
      </x:c>
      <x:c r="P2165" s="48" t="n">
        <x:v>0.40813146320708915</x:v>
      </x:c>
      <x:c r="Q2165" s="48" t="n">
        <x:v>1</x:v>
      </x:c>
      <x:c r="R2165" s="48" t="n">
        <x:v>0.6938722588218375</x:v>
      </x:c>
      <x:c r="S2165" s="29" t="n">
        <x:v>0</x:v>
      </x:c>
    </x:row>
    <x:row r="2166" ht="21.600000381469727" hidden="0" customHeight="1">
      <x:c r="A2166" s="27" t="n">
        <x:v>721</x:v>
      </x:c>
      <x:c r="B2166" s="27" t="str">
        <x:v>A2</x:v>
      </x:c>
      <x:c r="C2166" s="47" t="n">
        <x:v>1.1596766145240922</x:v>
      </x:c>
      <x:c r="D2166" s="47" t="n">
        <x:v>0.7635907552083171</x:v>
      </x:c>
      <x:c r="E2166" s="47" t="n">
        <x:v>0.5572576295141187</x:v>
      </x:c>
      <x:c r="F2166" s="47" t="n">
        <x:v>-0.05585030106009117</x:v>
      </x:c>
      <x:c r="G2166" s="47" t="n">
        <x:v>-0.03146175029899795</x:v>
      </x:c>
      <x:c r="H2166" s="47" t="n">
        <x:v>0.4391916438672138</x:v>
      </x:c>
      <x:c r="I2166" s="47" t="n">
        <x:v>0.9428824891344312</x:v>
      </x:c>
      <x:c r="J2166" s="47" t="n">
        <x:v>0.47377708807838576</x:v>
      </x:c>
      <x:c r="K2166" s="47" t="n">
        <x:v>0.9222894378482974</x:v>
      </x:c>
      <x:c r="L2166" s="47" t="n">
        <x:v>0.6762731098377549</x:v>
      </x:c>
      <x:c r="M2166" s="47" t="n">
        <x:v>0.034555014483778505</x:v>
      </x:c>
      <x:c r="N2166" s="47" t="n">
        <x:v>0.7916286381240357</x:v>
      </x:c>
      <x:c r="O2166" s="47" t="n">
        <x:v>0.8437177665210391</x:v>
      </x:c>
      <x:c r="P2166" s="47" t="n">
        <x:v>0.45040805404196327</x:v>
      </x:c>
      <x:c r="Q2166" s="47" t="n">
        <x:v>1</x:v>
      </x:c>
      <x:c r="R2166" s="47" t="n">
        <x:v>0.8070159711593289</x:v>
      </x:c>
      <x:c r="S2166" s="27" t="n">
        <x:v>0</x:v>
      </x:c>
    </x:row>
    <x:row r="2167" ht="21.600000381469727" hidden="0" customHeight="1">
      <x:c r="A2167" s="29" t="n">
        <x:v>721</x:v>
      </x:c>
      <x:c r="B2167" s="29" t="str">
        <x:v>A3</x:v>
      </x:c>
      <x:c r="C2167" s="48" t="n">
        <x:v>1.1596766145240922</x:v>
      </x:c>
      <x:c r="D2167" s="48" t="n">
        <x:v>0.7635907552083171</x:v>
      </x:c>
      <x:c r="E2167" s="48" t="n">
        <x:v>0.5572576295141187</x:v>
      </x:c>
      <x:c r="F2167" s="48" t="n">
        <x:v>-0.05585030106009117</x:v>
      </x:c>
      <x:c r="G2167" s="48" t="n">
        <x:v>-0.03146175029899795</x:v>
      </x:c>
      <x:c r="H2167" s="48" t="n">
        <x:v>0.4391916438672138</x:v>
      </x:c>
      <x:c r="I2167" s="48" t="n">
        <x:v>0.9428824891344312</x:v>
      </x:c>
      <x:c r="J2167" s="48" t="n">
        <x:v>0.47377708807838576</x:v>
      </x:c>
      <x:c r="K2167" s="48" t="n">
        <x:v>0.9222894378482974</x:v>
      </x:c>
      <x:c r="L2167" s="48" t="n">
        <x:v>0.6762731098377549</x:v>
      </x:c>
      <x:c r="M2167" s="48" t="n">
        <x:v>0.034555014483778505</x:v>
      </x:c>
      <x:c r="N2167" s="48" t="n">
        <x:v>0.7916286381240357</x:v>
      </x:c>
      <x:c r="O2167" s="48" t="n">
        <x:v>1</x:v>
      </x:c>
      <x:c r="P2167" s="48" t="n">
        <x:v>1</x:v>
      </x:c>
      <x:c r="Q2167" s="48" t="n">
        <x:v>1</x:v>
      </x:c>
      <x:c r="R2167" s="48" t="n">
        <x:v>1</x:v>
      </x:c>
      <x:c r="S2167" s="29" t="n">
        <x:v>1</x:v>
      </x:c>
    </x:row>
    <x:row r="2168" ht="15" hidden="0" customHeight="1">
      <x:c r="A2168" s="27" t="n">
        <x:v>722</x:v>
      </x:c>
      <x:c r="B2168" s="27" t="str">
        <x:v>A1</x:v>
      </x:c>
      <x:c r="C2168" s="47" t="n">
        <x:v>0.9397488042832737</x:v>
      </x:c>
      <x:c r="D2168" s="47" t="n">
        <x:v>0.9527389100459311</x:v>
      </x:c>
      <x:c r="E2168" s="47" t="n">
        <x:v>0.96025271502944</x:v>
      </x:c>
      <x:c r="F2168" s="47" t="n">
        <x:v>0.007922036888456913</x:v>
      </x:c>
      <x:c r="G2168" s="47" t="n">
        <x:v>0.02378858784989249</x:v>
      </x:c>
      <x:c r="H2168" s="47" t="n">
        <x:v>0.7065087911902526</x:v>
      </x:c>
      <x:c r="I2168" s="47" t="n">
        <x:v>0.6092300105150812</x:v>
      </x:c>
      <x:c r="J2168" s="47" t="n">
        <x:v>0.403787302349989</x:v>
      </x:c>
      <x:c r="K2168" s="47" t="n">
        <x:v>0.5568225432526882</x:v>
      </x:c>
      <x:c r="L2168" s="47" t="n">
        <x:v>0.8667174289714832</x:v>
      </x:c>
      <x:c r="M2168" s="47" t="n">
        <x:v>0.17274489726109618</x:v>
      </x:c>
      <x:c r="N2168" s="47" t="n">
        <x:v>0.7142238337340728</x:v>
      </x:c>
      <x:c r="O2168" s="47" t="n">
        <x:v>0.9069417382645507</x:v>
      </x:c>
      <x:c r="P2168" s="47" t="n">
        <x:v>0.7060862555946766</x:v>
      </x:c>
      <x:c r="Q2168" s="47" t="n">
        <x:v>1</x:v>
      </x:c>
      <x:c r="R2168" s="47" t="n">
        <x:v>0.885087652851888</x:v>
      </x:c>
      <x:c r="S2168" s="27" t="n">
        <x:v>0</x:v>
      </x:c>
    </x:row>
    <x:row r="2169" ht="15" hidden="0" customHeight="1">
      <x:c r="A2169" s="29" t="n">
        <x:v>722</x:v>
      </x:c>
      <x:c r="B2169" s="29" t="str">
        <x:v>A2</x:v>
      </x:c>
      <x:c r="C2169" s="48" t="n">
        <x:v>0.9397488042832737</x:v>
      </x:c>
      <x:c r="D2169" s="48" t="n">
        <x:v>0.9527389100459311</x:v>
      </x:c>
      <x:c r="E2169" s="48" t="n">
        <x:v>0.96025271502944</x:v>
      </x:c>
      <x:c r="F2169" s="48" t="n">
        <x:v>0.007922036888456913</x:v>
      </x:c>
      <x:c r="G2169" s="48" t="n">
        <x:v>0.02378858784989249</x:v>
      </x:c>
      <x:c r="H2169" s="48" t="n">
        <x:v>0.7065087911902526</x:v>
      </x:c>
      <x:c r="I2169" s="48" t="n">
        <x:v>0.6092300105150812</x:v>
      </x:c>
      <x:c r="J2169" s="48" t="n">
        <x:v>0.403787302349989</x:v>
      </x:c>
      <x:c r="K2169" s="48" t="n">
        <x:v>0.5568225432526882</x:v>
      </x:c>
      <x:c r="L2169" s="48" t="n">
        <x:v>0.8667174289714832</x:v>
      </x:c>
      <x:c r="M2169" s="48" t="n">
        <x:v>0.17274489726109618</x:v>
      </x:c>
      <x:c r="N2169" s="48" t="n">
        <x:v>0.7142238337340728</x:v>
      </x:c>
      <x:c r="O2169" s="48" t="n">
        <x:v>0.9932549435470418</x:v>
      </x:c>
      <x:c r="P2169" s="48" t="n">
        <x:v>0.9475960684280663</x:v>
      </x:c>
      <x:c r="Q2169" s="48" t="n">
        <x:v>1</x:v>
      </x:c>
      <x:c r="R2169" s="48" t="n">
        <x:v>0.9916709139607678</x:v>
      </x:c>
      <x:c r="S2169" s="29" t="n">
        <x:v>0</x:v>
      </x:c>
    </x:row>
    <x:row r="2170" ht="15" hidden="0" customHeight="1">
      <x:c r="A2170" s="27" t="n">
        <x:v>722</x:v>
      </x:c>
      <x:c r="B2170" s="27" t="str">
        <x:v>A3</x:v>
      </x:c>
      <x:c r="C2170" s="47" t="n">
        <x:v>0.9397488042832737</x:v>
      </x:c>
      <x:c r="D2170" s="47" t="n">
        <x:v>0.9527389100459311</x:v>
      </x:c>
      <x:c r="E2170" s="47" t="n">
        <x:v>0.96025271502944</x:v>
      </x:c>
      <x:c r="F2170" s="47" t="n">
        <x:v>0.007922036888456913</x:v>
      </x:c>
      <x:c r="G2170" s="47" t="n">
        <x:v>0.02378858784989249</x:v>
      </x:c>
      <x:c r="H2170" s="47" t="n">
        <x:v>0.7065087911902526</x:v>
      </x:c>
      <x:c r="I2170" s="47" t="n">
        <x:v>0.6092300105150812</x:v>
      </x:c>
      <x:c r="J2170" s="47" t="n">
        <x:v>0.403787302349989</x:v>
      </x:c>
      <x:c r="K2170" s="47" t="n">
        <x:v>0.5568225432526882</x:v>
      </x:c>
      <x:c r="L2170" s="47" t="n">
        <x:v>0.8667174289714832</x:v>
      </x:c>
      <x:c r="M2170" s="47" t="n">
        <x:v>0.17274489726109618</x:v>
      </x:c>
      <x:c r="N2170" s="47" t="n">
        <x:v>0.7142238337340728</x:v>
      </x:c>
      <x:c r="O2170" s="47" t="n">
        <x:v>1</x:v>
      </x:c>
      <x:c r="P2170" s="47" t="n">
        <x:v>1</x:v>
      </x:c>
      <x:c r="Q2170" s="47" t="n">
        <x:v>1</x:v>
      </x:c>
      <x:c r="R2170" s="47" t="n">
        <x:v>1</x:v>
      </x:c>
      <x:c r="S2170" s="27" t="n">
        <x:v>1</x:v>
      </x:c>
    </x:row>
    <x:row r="2171" ht="21.600000381469727" hidden="0" customHeight="1">
      <x:c r="A2171" s="29" t="n">
        <x:v>723</x:v>
      </x:c>
      <x:c r="B2171" s="29" t="str">
        <x:v>A1</x:v>
      </x:c>
      <x:c r="C2171" s="48" t="n">
        <x:v>1.2116856922503723</x:v>
      </x:c>
      <x:c r="D2171" s="48" t="n">
        <x:v>0.8905947460869028</x:v>
      </x:c>
      <x:c r="E2171" s="48" t="n">
        <x:v>0.9640348875757334</x:v>
      </x:c>
      <x:c r="F2171" s="48" t="n">
        <x:v>-0.10976477812058427</x:v>
      </x:c>
      <x:c r="G2171" s="48" t="n">
        <x:v>0.009195940077041082</x:v>
      </x:c>
      <x:c r="H2171" s="48" t="n">
        <x:v>0.7310155225465065</x:v>
      </x:c>
      <x:c r="I2171" s="48" t="n">
        <x:v>0.8779395588629716</x:v>
      </x:c>
      <x:c r="J2171" s="48" t="n">
        <x:v>0.5569353241099668</x:v>
      </x:c>
      <x:c r="K2171" s="48" t="n">
        <x:v>0.7998405919337375</x:v>
      </x:c>
      <x:c r="L2171" s="48" t="n">
        <x:v>0.7103995835564014</x:v>
      </x:c>
      <x:c r="M2171" s="48" t="n">
        <x:v>0.11199516038577383</x:v>
      </x:c>
      <x:c r="N2171" s="48" t="n">
        <x:v>0.8985552430368537</x:v>
      </x:c>
      <x:c r="O2171" s="48" t="n">
        <x:v>0.843803565044505</x:v>
      </x:c>
      <x:c r="P2171" s="48" t="n">
        <x:v>0.5860035179140796</x:v>
      </x:c>
      <x:c r="Q2171" s="48" t="n">
        <x:v>1</x:v>
      </x:c>
      <x:c r="R2171" s="48" t="n">
        <x:v>0.807121918869177</x:v>
      </x:c>
      <x:c r="S2171" s="29" t="n">
        <x:v>0</x:v>
      </x:c>
    </x:row>
    <x:row r="2172" ht="21.600000381469727" hidden="0" customHeight="1">
      <x:c r="A2172" s="27" t="n">
        <x:v>723</x:v>
      </x:c>
      <x:c r="B2172" s="27" t="str">
        <x:v>A2</x:v>
      </x:c>
      <x:c r="C2172" s="47" t="n">
        <x:v>1.2116856922503723</x:v>
      </x:c>
      <x:c r="D2172" s="47" t="n">
        <x:v>0.8905947460869028</x:v>
      </x:c>
      <x:c r="E2172" s="47" t="n">
        <x:v>0.9640348875757334</x:v>
      </x:c>
      <x:c r="F2172" s="47" t="n">
        <x:v>-0.10976477812058427</x:v>
      </x:c>
      <x:c r="G2172" s="47" t="n">
        <x:v>0.009195940077041082</x:v>
      </x:c>
      <x:c r="H2172" s="47" t="n">
        <x:v>0.7310155225465065</x:v>
      </x:c>
      <x:c r="I2172" s="47" t="n">
        <x:v>0.8779395588629716</x:v>
      </x:c>
      <x:c r="J2172" s="47" t="n">
        <x:v>0.5569353241099668</x:v>
      </x:c>
      <x:c r="K2172" s="47" t="n">
        <x:v>0.7998405919337375</x:v>
      </x:c>
      <x:c r="L2172" s="47" t="n">
        <x:v>0.7103995835564014</x:v>
      </x:c>
      <x:c r="M2172" s="47" t="n">
        <x:v>0.11199516038577383</x:v>
      </x:c>
      <x:c r="N2172" s="47" t="n">
        <x:v>0.8985552430368537</x:v>
      </x:c>
      <x:c r="O2172" s="47" t="n">
        <x:v>0.9250858709891588</x:v>
      </x:c>
      <x:c r="P2172" s="47" t="n">
        <x:v>0.6533068113955024</x:v>
      </x:c>
      <x:c r="Q2172" s="47" t="n">
        <x:v>1</x:v>
      </x:c>
      <x:c r="R2172" s="47" t="n">
        <x:v>0.9074928089279695</x:v>
      </x:c>
      <x:c r="S2172" s="27" t="n">
        <x:v>0</x:v>
      </x:c>
    </x:row>
    <x:row r="2173" ht="21.600000381469727" hidden="0" customHeight="1">
      <x:c r="A2173" s="29" t="n">
        <x:v>723</x:v>
      </x:c>
      <x:c r="B2173" s="29" t="str">
        <x:v>A3</x:v>
      </x:c>
      <x:c r="C2173" s="48" t="n">
        <x:v>1.2116856922503723</x:v>
      </x:c>
      <x:c r="D2173" s="48" t="n">
        <x:v>0.8905947460869028</x:v>
      </x:c>
      <x:c r="E2173" s="48" t="n">
        <x:v>0.9640348875757334</x:v>
      </x:c>
      <x:c r="F2173" s="48" t="n">
        <x:v>-0.10976477812058427</x:v>
      </x:c>
      <x:c r="G2173" s="48" t="n">
        <x:v>0.009195940077041082</x:v>
      </x:c>
      <x:c r="H2173" s="48" t="n">
        <x:v>0.7310155225465065</x:v>
      </x:c>
      <x:c r="I2173" s="48" t="n">
        <x:v>0.8779395588629716</x:v>
      </x:c>
      <x:c r="J2173" s="48" t="n">
        <x:v>0.5569353241099668</x:v>
      </x:c>
      <x:c r="K2173" s="48" t="n">
        <x:v>0.7998405919337375</x:v>
      </x:c>
      <x:c r="L2173" s="48" t="n">
        <x:v>0.7103995835564014</x:v>
      </x:c>
      <x:c r="M2173" s="48" t="n">
        <x:v>0.11199516038577383</x:v>
      </x:c>
      <x:c r="N2173" s="48" t="n">
        <x:v>0.8985552430368537</x:v>
      </x:c>
      <x:c r="O2173" s="48" t="n">
        <x:v>1</x:v>
      </x:c>
      <x:c r="P2173" s="48" t="n">
        <x:v>1</x:v>
      </x:c>
      <x:c r="Q2173" s="48" t="n">
        <x:v>1</x:v>
      </x:c>
      <x:c r="R2173" s="48" t="n">
        <x:v>1</x:v>
      </x:c>
      <x:c r="S2173" s="29" t="n">
        <x:v>1</x:v>
      </x:c>
    </x:row>
    <x:row r="2174" ht="21.600000381469727" hidden="0" customHeight="1">
      <x:c r="A2174" s="27" t="n">
        <x:v>724</x:v>
      </x:c>
      <x:c r="B2174" s="27" t="str">
        <x:v>A1</x:v>
      </x:c>
      <x:c r="C2174" s="47" t="n">
        <x:v>1.118095310167136</x:v>
      </x:c>
      <x:c r="D2174" s="47" t="n">
        <x:v>0.8999031383642035</x:v>
      </x:c>
      <x:c r="E2174" s="47" t="n">
        <x:v>0.4692161277165356</x:v>
      </x:c>
      <x:c r="F2174" s="47" t="n">
        <x:v>-0.06110756377956314</x:v>
      </x:c>
      <x:c r="G2174" s="47" t="n">
        <x:v>-0.01517097300398823</x:v>
      </x:c>
      <x:c r="H2174" s="47" t="n">
        <x:v>0.49285850088640537</x:v>
      </x:c>
      <x:c r="I2174" s="47" t="n">
        <x:v>0.9985787078585193</x:v>
      </x:c>
      <x:c r="J2174" s="47" t="n">
        <x:v>0.5407329886685873</x:v>
      </x:c>
      <x:c r="K2174" s="47" t="n">
        <x:v>0.9949212249670517</x:v>
      </x:c>
      <x:c r="L2174" s="47" t="n">
        <x:v>0.9985034993520484</x:v>
      </x:c>
      <x:c r="M2174" s="47" t="n">
        <x:v>0.12612722617005648</x:v>
      </x:c>
      <x:c r="N2174" s="47" t="n">
        <x:v>0.9607812912190965</x:v>
      </x:c>
      <x:c r="O2174" s="47" t="n">
        <x:v>0.8462330246032983</x:v>
      </x:c>
      <x:c r="P2174" s="47" t="n">
        <x:v>0.5884414978871463</x:v>
      </x:c>
      <x:c r="Q2174" s="47" t="n">
        <x:v>1</x:v>
      </x:c>
      <x:c r="R2174" s="47" t="n">
        <x:v>0.8101219201049188</x:v>
      </x:c>
      <x:c r="S2174" s="27" t="n">
        <x:v>0</x:v>
      </x:c>
    </x:row>
    <x:row r="2175" ht="21.600000381469727" hidden="0" customHeight="1">
      <x:c r="A2175" s="29" t="n">
        <x:v>724</x:v>
      </x:c>
      <x:c r="B2175" s="29" t="str">
        <x:v>A2</x:v>
      </x:c>
      <x:c r="C2175" s="48" t="n">
        <x:v>1.118095310167136</x:v>
      </x:c>
      <x:c r="D2175" s="48" t="n">
        <x:v>0.8999031383642035</x:v>
      </x:c>
      <x:c r="E2175" s="48" t="n">
        <x:v>0.4692161277165356</x:v>
      </x:c>
      <x:c r="F2175" s="48" t="n">
        <x:v>-0.06110756377956314</x:v>
      </x:c>
      <x:c r="G2175" s="48" t="n">
        <x:v>-0.01517097300398823</x:v>
      </x:c>
      <x:c r="H2175" s="48" t="n">
        <x:v>0.49285850088640537</x:v>
      </x:c>
      <x:c r="I2175" s="48" t="n">
        <x:v>0.9985787078585193</x:v>
      </x:c>
      <x:c r="J2175" s="48" t="n">
        <x:v>0.5407329886685873</x:v>
      </x:c>
      <x:c r="K2175" s="48" t="n">
        <x:v>0.9949212249670517</x:v>
      </x:c>
      <x:c r="L2175" s="48" t="n">
        <x:v>0.9985034993520484</x:v>
      </x:c>
      <x:c r="M2175" s="48" t="n">
        <x:v>0.12612722617005648</x:v>
      </x:c>
      <x:c r="N2175" s="48" t="n">
        <x:v>0.9607812912190965</x:v>
      </x:c>
      <x:c r="O2175" s="48" t="n">
        <x:v>0.9364726059107241</x:v>
      </x:c>
      <x:c r="P2175" s="48" t="n">
        <x:v>0.7996599567813869</x:v>
      </x:c>
      <x:c r="Q2175" s="48" t="n">
        <x:v>1</x:v>
      </x:c>
      <x:c r="R2175" s="48" t="n">
        <x:v>0.9215536393345188</x:v>
      </x:c>
      <x:c r="S2175" s="29" t="n">
        <x:v>0</x:v>
      </x:c>
    </x:row>
    <x:row r="2176" ht="21.600000381469727" hidden="0" customHeight="1">
      <x:c r="A2176" s="27" t="n">
        <x:v>724</x:v>
      </x:c>
      <x:c r="B2176" s="27" t="str">
        <x:v>A3</x:v>
      </x:c>
      <x:c r="C2176" s="47" t="n">
        <x:v>1.118095310167136</x:v>
      </x:c>
      <x:c r="D2176" s="47" t="n">
        <x:v>0.8999031383642035</x:v>
      </x:c>
      <x:c r="E2176" s="47" t="n">
        <x:v>0.4692161277165356</x:v>
      </x:c>
      <x:c r="F2176" s="47" t="n">
        <x:v>-0.06110756377956314</x:v>
      </x:c>
      <x:c r="G2176" s="47" t="n">
        <x:v>-0.01517097300398823</x:v>
      </x:c>
      <x:c r="H2176" s="47" t="n">
        <x:v>0.49285850088640537</x:v>
      </x:c>
      <x:c r="I2176" s="47" t="n">
        <x:v>0.9985787078585193</x:v>
      </x:c>
      <x:c r="J2176" s="47" t="n">
        <x:v>0.5407329886685873</x:v>
      </x:c>
      <x:c r="K2176" s="47" t="n">
        <x:v>0.9949212249670517</x:v>
      </x:c>
      <x:c r="L2176" s="47" t="n">
        <x:v>0.9985034993520484</x:v>
      </x:c>
      <x:c r="M2176" s="47" t="n">
        <x:v>0.12612722617005648</x:v>
      </x:c>
      <x:c r="N2176" s="47" t="n">
        <x:v>0.9607812912190965</x:v>
      </x:c>
      <x:c r="O2176" s="47" t="n">
        <x:v>1</x:v>
      </x:c>
      <x:c r="P2176" s="47" t="n">
        <x:v>1</x:v>
      </x:c>
      <x:c r="Q2176" s="47" t="n">
        <x:v>1</x:v>
      </x:c>
      <x:c r="R2176" s="47" t="n">
        <x:v>1</x:v>
      </x:c>
      <x:c r="S2176" s="27" t="n">
        <x:v>1</x:v>
      </x:c>
    </x:row>
    <x:row r="2177" ht="21.600000381469727" hidden="0" customHeight="1">
      <x:c r="A2177" s="29" t="n">
        <x:v>725</x:v>
      </x:c>
      <x:c r="B2177" s="29" t="str">
        <x:v>A1</x:v>
      </x:c>
      <x:c r="C2177" s="48" t="n">
        <x:v>1.2845181679629827</x:v>
      </x:c>
      <x:c r="D2177" s="48" t="n">
        <x:v>0.9289662505227839</x:v>
      </x:c>
      <x:c r="E2177" s="48" t="n">
        <x:v>0.8931825134435021</x:v>
      </x:c>
      <x:c r="F2177" s="48" t="n">
        <x:v>-0.15028943372525555</x:v>
      </x:c>
      <x:c r="G2177" s="48" t="n">
        <x:v>-0.07369379251976602</x:v>
      </x:c>
      <x:c r="H2177" s="48" t="n">
        <x:v>0.8394386344321147</x:v>
      </x:c>
      <x:c r="I2177" s="48" t="n">
        <x:v>0.7640709907088189</x:v>
      </x:c>
      <x:c r="J2177" s="48" t="n">
        <x:v>0.8702545314094976</x:v>
      </x:c>
      <x:c r="K2177" s="48" t="n">
        <x:v>0.8025069874410977</x:v>
      </x:c>
      <x:c r="L2177" s="48" t="n">
        <x:v>0.6936253229608815</x:v>
      </x:c>
      <x:c r="M2177" s="48" t="n">
        <x:v>0.1334314776441634</x:v>
      </x:c>
      <x:c r="N2177" s="48" t="n">
        <x:v>0.7866267892286465</x:v>
      </x:c>
      <x:c r="O2177" s="48" t="n">
        <x:v>0.8429577664102372</x:v>
      </x:c>
      <x:c r="P2177" s="48" t="n">
        <x:v>0.5430338073207597</x:v>
      </x:c>
      <x:c r="Q2177" s="48" t="n">
        <x:v>0.9999999999999999</x:v>
      </x:c>
      <x:c r="R2177" s="48" t="n">
        <x:v>0.8060774903094142</x:v>
      </x:c>
      <x:c r="S2177" s="29" t="n">
        <x:v>0</x:v>
      </x:c>
    </x:row>
    <x:row r="2178" ht="21.600000381469727" hidden="0" customHeight="1">
      <x:c r="A2178" s="27" t="n">
        <x:v>725</x:v>
      </x:c>
      <x:c r="B2178" s="27" t="str">
        <x:v>A2</x:v>
      </x:c>
      <x:c r="C2178" s="47" t="n">
        <x:v>1.2845181679629827</x:v>
      </x:c>
      <x:c r="D2178" s="47" t="n">
        <x:v>0.9289662505227839</x:v>
      </x:c>
      <x:c r="E2178" s="47" t="n">
        <x:v>0.8931825134435021</x:v>
      </x:c>
      <x:c r="F2178" s="47" t="n">
        <x:v>-0.15028943372525555</x:v>
      </x:c>
      <x:c r="G2178" s="47" t="n">
        <x:v>-0.07369379251976602</x:v>
      </x:c>
      <x:c r="H2178" s="47" t="n">
        <x:v>0.8394386344321147</x:v>
      </x:c>
      <x:c r="I2178" s="47" t="n">
        <x:v>0.7640709907088189</x:v>
      </x:c>
      <x:c r="J2178" s="47" t="n">
        <x:v>0.8702545314094976</x:v>
      </x:c>
      <x:c r="K2178" s="47" t="n">
        <x:v>0.8025069874410977</x:v>
      </x:c>
      <x:c r="L2178" s="47" t="n">
        <x:v>0.6936253229608815</x:v>
      </x:c>
      <x:c r="M2178" s="47" t="n">
        <x:v>0.1334314776441634</x:v>
      </x:c>
      <x:c r="N2178" s="47" t="n">
        <x:v>0.7866267892286465</x:v>
      </x:c>
      <x:c r="O2178" s="47" t="n">
        <x:v>0.9063759487172696</x:v>
      </x:c>
      <x:c r="P2178" s="47" t="n">
        <x:v>0.50261398117152</x:v>
      </x:c>
      <x:c r="Q2178" s="47" t="n">
        <x:v>1</x:v>
      </x:c>
      <x:c r="R2178" s="47" t="n">
        <x:v>0.8843889915653189</x:v>
      </x:c>
      <x:c r="S2178" s="27" t="n">
        <x:v>0</x:v>
      </x:c>
    </x:row>
    <x:row r="2179" ht="21.600000381469727" hidden="0" customHeight="1">
      <x:c r="A2179" s="29" t="n">
        <x:v>725</x:v>
      </x:c>
      <x:c r="B2179" s="29" t="str">
        <x:v>A3</x:v>
      </x:c>
      <x:c r="C2179" s="48" t="n">
        <x:v>1.2845181679629827</x:v>
      </x:c>
      <x:c r="D2179" s="48" t="n">
        <x:v>0.9289662505227839</x:v>
      </x:c>
      <x:c r="E2179" s="48" t="n">
        <x:v>0.8931825134435021</x:v>
      </x:c>
      <x:c r="F2179" s="48" t="n">
        <x:v>-0.15028943372525555</x:v>
      </x:c>
      <x:c r="G2179" s="48" t="n">
        <x:v>-0.07369379251976602</x:v>
      </x:c>
      <x:c r="H2179" s="48" t="n">
        <x:v>0.8394386344321147</x:v>
      </x:c>
      <x:c r="I2179" s="48" t="n">
        <x:v>0.7640709907088189</x:v>
      </x:c>
      <x:c r="J2179" s="48" t="n">
        <x:v>0.8702545314094976</x:v>
      </x:c>
      <x:c r="K2179" s="48" t="n">
        <x:v>0.8025069874410977</x:v>
      </x:c>
      <x:c r="L2179" s="48" t="n">
        <x:v>0.6936253229608815</x:v>
      </x:c>
      <x:c r="M2179" s="48" t="n">
        <x:v>0.1334314776441634</x:v>
      </x:c>
      <x:c r="N2179" s="48" t="n">
        <x:v>0.7866267892286465</x:v>
      </x:c>
      <x:c r="O2179" s="48" t="n">
        <x:v>1</x:v>
      </x:c>
      <x:c r="P2179" s="48" t="n">
        <x:v>1</x:v>
      </x:c>
      <x:c r="Q2179" s="48" t="n">
        <x:v>1</x:v>
      </x:c>
      <x:c r="R2179" s="48" t="n">
        <x:v>1</x:v>
      </x:c>
      <x:c r="S2179" s="29" t="n">
        <x:v>1</x:v>
      </x:c>
    </x:row>
    <x:row r="2180" ht="21.600000381469727" hidden="0" customHeight="1">
      <x:c r="A2180" s="27" t="n">
        <x:v>726</x:v>
      </x:c>
      <x:c r="B2180" s="27" t="str">
        <x:v>A1</x:v>
      </x:c>
      <x:c r="C2180" s="47" t="n">
        <x:v>1.1068428295868387</x:v>
      </x:c>
      <x:c r="D2180" s="47" t="n">
        <x:v>0.9199483621304527</x:v>
      </x:c>
      <x:c r="E2180" s="47" t="n">
        <x:v>0.7962020793254498</x:v>
      </x:c>
      <x:c r="F2180" s="47" t="n">
        <x:v>-0.1274976022211812</x:v>
      </x:c>
      <x:c r="G2180" s="47" t="n">
        <x:v>-0.11680952752933928</x:v>
      </x:c>
      <x:c r="H2180" s="47" t="n">
        <x:v>0.6180358070303122</x:v>
      </x:c>
      <x:c r="I2180" s="47" t="n">
        <x:v>0.7939826269328258</x:v>
      </x:c>
      <x:c r="J2180" s="47" t="n">
        <x:v>0.41442793961601165</x:v>
      </x:c>
      <x:c r="K2180" s="47" t="n">
        <x:v>0.8474528812590776</x:v>
      </x:c>
      <x:c r="L2180" s="47" t="n">
        <x:v>0.6955729006037306</x:v>
      </x:c>
      <x:c r="M2180" s="47" t="n">
        <x:v>0.11229965212560745</x:v>
      </x:c>
      <x:c r="N2180" s="47" t="n">
        <x:v>0.8332148968632529</x:v>
      </x:c>
      <x:c r="O2180" s="47" t="n">
        <x:v>0.8369522476028823</x:v>
      </x:c>
      <x:c r="P2180" s="47" t="n">
        <x:v>0.5725554960538664</x:v>
      </x:c>
      <x:c r="Q2180" s="47" t="n">
        <x:v>1</x:v>
      </x:c>
      <x:c r="R2180" s="47" t="n">
        <x:v>0.7986616171872927</x:v>
      </x:c>
      <x:c r="S2180" s="27" t="n">
        <x:v>0</x:v>
      </x:c>
    </x:row>
    <x:row r="2181" ht="21.600000381469727" hidden="0" customHeight="1">
      <x:c r="A2181" s="29" t="n">
        <x:v>726</x:v>
      </x:c>
      <x:c r="B2181" s="29" t="str">
        <x:v>A2</x:v>
      </x:c>
      <x:c r="C2181" s="48" t="n">
        <x:v>1.1068428295868387</x:v>
      </x:c>
      <x:c r="D2181" s="48" t="n">
        <x:v>0.9199483621304527</x:v>
      </x:c>
      <x:c r="E2181" s="48" t="n">
        <x:v>0.7962020793254498</x:v>
      </x:c>
      <x:c r="F2181" s="48" t="n">
        <x:v>-0.1274976022211812</x:v>
      </x:c>
      <x:c r="G2181" s="48" t="n">
        <x:v>-0.11680952752933928</x:v>
      </x:c>
      <x:c r="H2181" s="48" t="n">
        <x:v>0.6180358070303122</x:v>
      </x:c>
      <x:c r="I2181" s="48" t="n">
        <x:v>0.7939826269328258</x:v>
      </x:c>
      <x:c r="J2181" s="48" t="n">
        <x:v>0.41442793961601165</x:v>
      </x:c>
      <x:c r="K2181" s="48" t="n">
        <x:v>0.8474528812590776</x:v>
      </x:c>
      <x:c r="L2181" s="48" t="n">
        <x:v>0.6955729006037306</x:v>
      </x:c>
      <x:c r="M2181" s="48" t="n">
        <x:v>0.11229965212560745</x:v>
      </x:c>
      <x:c r="N2181" s="48" t="n">
        <x:v>0.8332148968632529</x:v>
      </x:c>
      <x:c r="O2181" s="48" t="n">
        <x:v>0.9191092389846063</x:v>
      </x:c>
      <x:c r="P2181" s="48" t="n">
        <x:v>0.7538213563788677</x:v>
      </x:c>
      <x:c r="Q2181" s="48" t="n">
        <x:v>1</x:v>
      </x:c>
      <x:c r="R2181" s="48" t="n">
        <x:v>0.9001126064733384</x:v>
      </x:c>
      <x:c r="S2181" s="29" t="n">
        <x:v>0</x:v>
      </x:c>
    </x:row>
    <x:row r="2182" ht="21.600000381469727" hidden="0" customHeight="1">
      <x:c r="A2182" s="27" t="n">
        <x:v>726</x:v>
      </x:c>
      <x:c r="B2182" s="27" t="str">
        <x:v>A3</x:v>
      </x:c>
      <x:c r="C2182" s="47" t="n">
        <x:v>1.1068428295868387</x:v>
      </x:c>
      <x:c r="D2182" s="47" t="n">
        <x:v>0.9199483621304527</x:v>
      </x:c>
      <x:c r="E2182" s="47" t="n">
        <x:v>0.7962020793254498</x:v>
      </x:c>
      <x:c r="F2182" s="47" t="n">
        <x:v>-0.1274976022211812</x:v>
      </x:c>
      <x:c r="G2182" s="47" t="n">
        <x:v>-0.11680952752933928</x:v>
      </x:c>
      <x:c r="H2182" s="47" t="n">
        <x:v>0.6180358070303122</x:v>
      </x:c>
      <x:c r="I2182" s="47" t="n">
        <x:v>0.7939826269328258</x:v>
      </x:c>
      <x:c r="J2182" s="47" t="n">
        <x:v>0.41442793961601165</x:v>
      </x:c>
      <x:c r="K2182" s="47" t="n">
        <x:v>0.8474528812590776</x:v>
      </x:c>
      <x:c r="L2182" s="47" t="n">
        <x:v>0.6955729006037306</x:v>
      </x:c>
      <x:c r="M2182" s="47" t="n">
        <x:v>0.11229965212560745</x:v>
      </x:c>
      <x:c r="N2182" s="47" t="n">
        <x:v>0.8332148968632529</x:v>
      </x:c>
      <x:c r="O2182" s="47" t="n">
        <x:v>1</x:v>
      </x:c>
      <x:c r="P2182" s="47" t="n">
        <x:v>1</x:v>
      </x:c>
      <x:c r="Q2182" s="47" t="n">
        <x:v>1</x:v>
      </x:c>
      <x:c r="R2182" s="47" t="n">
        <x:v>1</x:v>
      </x:c>
      <x:c r="S2182" s="27" t="n">
        <x:v>1</x:v>
      </x:c>
    </x:row>
    <x:row r="2183" ht="21.600000381469727" hidden="0" customHeight="1">
      <x:c r="A2183" s="29" t="n">
        <x:v>727</x:v>
      </x:c>
      <x:c r="B2183" s="29" t="str">
        <x:v>A1</x:v>
      </x:c>
      <x:c r="C2183" s="48" t="n">
        <x:v>1.163919731567776</x:v>
      </x:c>
      <x:c r="D2183" s="48" t="n">
        <x:v>0.9064265862871032</x:v>
      </x:c>
      <x:c r="E2183" s="48" t="n">
        <x:v>0.6896250037413654</x:v>
      </x:c>
      <x:c r="F2183" s="48" t="n">
        <x:v>-0.07625220644864275</x:v>
      </x:c>
      <x:c r="G2183" s="48" t="n">
        <x:v>-0.1734736262282284</x:v>
      </x:c>
      <x:c r="H2183" s="48" t="n">
        <x:v>0.6426397216407371</x:v>
      </x:c>
      <x:c r="I2183" s="48" t="n">
        <x:v>0.6377612911521342</x:v>
      </x:c>
      <x:c r="J2183" s="48" t="n">
        <x:v>0.40758776947611663</x:v>
      </x:c>
      <x:c r="K2183" s="48" t="n">
        <x:v>0.5561285977583391</x:v>
      </x:c>
      <x:c r="L2183" s="48" t="n">
        <x:v>0.7892686771736727</x:v>
      </x:c>
      <x:c r="M2183" s="48" t="n">
        <x:v>0.04216363226226361</x:v>
      </x:c>
      <x:c r="N2183" s="48" t="n">
        <x:v>0.9555742621266405</x:v>
      </x:c>
      <x:c r="O2183" s="48" t="n">
        <x:v>0.8015936003652078</x:v>
      </x:c>
      <x:c r="P2183" s="48" t="n">
        <x:v>0.5194323490594652</x:v>
      </x:c>
      <x:c r="Q2183" s="48" t="n">
        <x:v>1</x:v>
      </x:c>
      <x:c r="R2183" s="48" t="n">
        <x:v>0.7549992376168013</x:v>
      </x:c>
      <x:c r="S2183" s="29" t="n">
        <x:v>0</x:v>
      </x:c>
    </x:row>
    <x:row r="2184" ht="21.600000381469727" hidden="0" customHeight="1">
      <x:c r="A2184" s="27" t="n">
        <x:v>727</x:v>
      </x:c>
      <x:c r="B2184" s="27" t="str">
        <x:v>A2</x:v>
      </x:c>
      <x:c r="C2184" s="47" t="n">
        <x:v>1.163919731567776</x:v>
      </x:c>
      <x:c r="D2184" s="47" t="n">
        <x:v>0.9064265862871032</x:v>
      </x:c>
      <x:c r="E2184" s="47" t="n">
        <x:v>0.6896250037413654</x:v>
      </x:c>
      <x:c r="F2184" s="47" t="n">
        <x:v>-0.07625220644864275</x:v>
      </x:c>
      <x:c r="G2184" s="47" t="n">
        <x:v>-0.1734736262282284</x:v>
      </x:c>
      <x:c r="H2184" s="47" t="n">
        <x:v>0.6426397216407371</x:v>
      </x:c>
      <x:c r="I2184" s="47" t="n">
        <x:v>0.6377612911521342</x:v>
      </x:c>
      <x:c r="J2184" s="47" t="n">
        <x:v>0.40758776947611663</x:v>
      </x:c>
      <x:c r="K2184" s="47" t="n">
        <x:v>0.5561285977583391</x:v>
      </x:c>
      <x:c r="L2184" s="47" t="n">
        <x:v>0.7892686771736727</x:v>
      </x:c>
      <x:c r="M2184" s="47" t="n">
        <x:v>0.04216363226226361</x:v>
      </x:c>
      <x:c r="N2184" s="47" t="n">
        <x:v>0.9555742621266405</x:v>
      </x:c>
      <x:c r="O2184" s="47" t="n">
        <x:v>0.8581462168680037</x:v>
      </x:c>
      <x:c r="P2184" s="47" t="n">
        <x:v>0.5530061441882299</x:v>
      </x:c>
      <x:c r="Q2184" s="47" t="n">
        <x:v>1</x:v>
      </x:c>
      <x:c r="R2184" s="47" t="n">
        <x:v>0.8248328426993664</x:v>
      </x:c>
      <x:c r="S2184" s="27" t="n">
        <x:v>0</x:v>
      </x:c>
    </x:row>
    <x:row r="2185" ht="21.600000381469727" hidden="0" customHeight="1">
      <x:c r="A2185" s="29" t="n">
        <x:v>727</x:v>
      </x:c>
      <x:c r="B2185" s="29" t="str">
        <x:v>A3</x:v>
      </x:c>
      <x:c r="C2185" s="48" t="n">
        <x:v>1.163919731567776</x:v>
      </x:c>
      <x:c r="D2185" s="48" t="n">
        <x:v>0.9064265862871032</x:v>
      </x:c>
      <x:c r="E2185" s="48" t="n">
        <x:v>0.6896250037413654</x:v>
      </x:c>
      <x:c r="F2185" s="48" t="n">
        <x:v>-0.07625220644864275</x:v>
      </x:c>
      <x:c r="G2185" s="48" t="n">
        <x:v>-0.1734736262282284</x:v>
      </x:c>
      <x:c r="H2185" s="48" t="n">
        <x:v>0.6426397216407371</x:v>
      </x:c>
      <x:c r="I2185" s="48" t="n">
        <x:v>0.6377612911521342</x:v>
      </x:c>
      <x:c r="J2185" s="48" t="n">
        <x:v>0.40758776947611663</x:v>
      </x:c>
      <x:c r="K2185" s="48" t="n">
        <x:v>0.5561285977583391</x:v>
      </x:c>
      <x:c r="L2185" s="48" t="n">
        <x:v>0.7892686771736727</x:v>
      </x:c>
      <x:c r="M2185" s="48" t="n">
        <x:v>0.04216363226226361</x:v>
      </x:c>
      <x:c r="N2185" s="48" t="n">
        <x:v>0.9555742621266405</x:v>
      </x:c>
      <x:c r="O2185" s="48" t="n">
        <x:v>1</x:v>
      </x:c>
      <x:c r="P2185" s="48" t="n">
        <x:v>1</x:v>
      </x:c>
      <x:c r="Q2185" s="48" t="n">
        <x:v>1</x:v>
      </x:c>
      <x:c r="R2185" s="48" t="n">
        <x:v>1</x:v>
      </x:c>
      <x:c r="S2185" s="29" t="n">
        <x:v>1</x:v>
      </x:c>
    </x:row>
    <x:row r="2186" ht="21.600000381469727" hidden="0" customHeight="1">
      <x:c r="A2186" s="27" t="n">
        <x:v>728</x:v>
      </x:c>
      <x:c r="B2186" s="27" t="str">
        <x:v>A1</x:v>
      </x:c>
      <x:c r="C2186" s="47" t="n">
        <x:v>1.2563106828225559</x:v>
      </x:c>
      <x:c r="D2186" s="47" t="n">
        <x:v>0.7438123836648058</x:v>
      </x:c>
      <x:c r="E2186" s="47" t="n">
        <x:v>0.6542211305062553</x:v>
      </x:c>
      <x:c r="F2186" s="47" t="n">
        <x:v>-0.11224141820272962</x:v>
      </x:c>
      <x:c r="G2186" s="47" t="n">
        <x:v>-0.1597938075650893</x:v>
      </x:c>
      <x:c r="H2186" s="47" t="n">
        <x:v>0.7721307254660186</x:v>
      </x:c>
      <x:c r="I2186" s="47" t="n">
        <x:v>0.7856436715069707</x:v>
      </x:c>
      <x:c r="J2186" s="47" t="n">
        <x:v>0.44556166684677956</x:v>
      </x:c>
      <x:c r="K2186" s="47" t="n">
        <x:v>0.6401066931759225</x:v>
      </x:c>
      <x:c r="L2186" s="47" t="n">
        <x:v>0.7151828890229843</x:v>
      </x:c>
      <x:c r="M2186" s="47" t="n">
        <x:v>0.001078743412076024</x:v>
      </x:c>
      <x:c r="N2186" s="47" t="n">
        <x:v>0.7395582261313474</x:v>
      </x:c>
      <x:c r="O2186" s="47" t="n">
        <x:v>0.7077026057611868</x:v>
      </x:c>
      <x:c r="P2186" s="47" t="n">
        <x:v>0.46627379781578937</x:v>
      </x:c>
      <x:c r="Q2186" s="47" t="n">
        <x:v>1</x:v>
      </x:c>
      <x:c r="R2186" s="47" t="n">
        <x:v>0.6390585960788047</x:v>
      </x:c>
      <x:c r="S2186" s="27" t="n">
        <x:v>0</x:v>
      </x:c>
    </x:row>
    <x:row r="2187" ht="21.600000381469727" hidden="0" customHeight="1">
      <x:c r="A2187" s="29" t="n">
        <x:v>728</x:v>
      </x:c>
      <x:c r="B2187" s="29" t="str">
        <x:v>A2</x:v>
      </x:c>
      <x:c r="C2187" s="48" t="n">
        <x:v>1.2563106828225559</x:v>
      </x:c>
      <x:c r="D2187" s="48" t="n">
        <x:v>0.7438123836648058</x:v>
      </x:c>
      <x:c r="E2187" s="48" t="n">
        <x:v>0.6542211305062553</x:v>
      </x:c>
      <x:c r="F2187" s="48" t="n">
        <x:v>-0.11224141820272962</x:v>
      </x:c>
      <x:c r="G2187" s="48" t="n">
        <x:v>-0.1597938075650893</x:v>
      </x:c>
      <x:c r="H2187" s="48" t="n">
        <x:v>0.7721307254660186</x:v>
      </x:c>
      <x:c r="I2187" s="48" t="n">
        <x:v>0.7856436715069707</x:v>
      </x:c>
      <x:c r="J2187" s="48" t="n">
        <x:v>0.44556166684677956</x:v>
      </x:c>
      <x:c r="K2187" s="48" t="n">
        <x:v>0.6401066931759225</x:v>
      </x:c>
      <x:c r="L2187" s="48" t="n">
        <x:v>0.7151828890229843</x:v>
      </x:c>
      <x:c r="M2187" s="48" t="n">
        <x:v>0.001078743412076024</x:v>
      </x:c>
      <x:c r="N2187" s="48" t="n">
        <x:v>0.7395582261313474</x:v>
      </x:c>
      <x:c r="O2187" s="48" t="n">
        <x:v>0.769259905360488</x:v>
      </x:c>
      <x:c r="P2187" s="48" t="n">
        <x:v>0.4772939577606143</x:v>
      </x:c>
      <x:c r="Q2187" s="48" t="n">
        <x:v>0.9485846734811046</x:v>
      </x:c>
      <x:c r="R2187" s="48" t="n">
        <x:v>0.7154540533670125</x:v>
      </x:c>
      <x:c r="S2187" s="29" t="n">
        <x:v>0</x:v>
      </x:c>
    </x:row>
    <x:row r="2188" ht="21.600000381469727" hidden="0" customHeight="1">
      <x:c r="A2188" s="27" t="n">
        <x:v>728</x:v>
      </x:c>
      <x:c r="B2188" s="27" t="str">
        <x:v>A3</x:v>
      </x:c>
      <x:c r="C2188" s="47" t="n">
        <x:v>1.2563106828225559</x:v>
      </x:c>
      <x:c r="D2188" s="47" t="n">
        <x:v>0.7438123836648058</x:v>
      </x:c>
      <x:c r="E2188" s="47" t="n">
        <x:v>0.6542211305062553</x:v>
      </x:c>
      <x:c r="F2188" s="47" t="n">
        <x:v>-0.11224141820272962</x:v>
      </x:c>
      <x:c r="G2188" s="47" t="n">
        <x:v>-0.1597938075650893</x:v>
      </x:c>
      <x:c r="H2188" s="47" t="n">
        <x:v>0.7721307254660186</x:v>
      </x:c>
      <x:c r="I2188" s="47" t="n">
        <x:v>0.7856436715069707</x:v>
      </x:c>
      <x:c r="J2188" s="47" t="n">
        <x:v>0.44556166684677956</x:v>
      </x:c>
      <x:c r="K2188" s="47" t="n">
        <x:v>0.6401066931759225</x:v>
      </x:c>
      <x:c r="L2188" s="47" t="n">
        <x:v>0.7151828890229843</x:v>
      </x:c>
      <x:c r="M2188" s="47" t="n">
        <x:v>0.001078743412076024</x:v>
      </x:c>
      <x:c r="N2188" s="47" t="n">
        <x:v>0.7395582261313474</x:v>
      </x:c>
      <x:c r="O2188" s="47" t="n">
        <x:v>1</x:v>
      </x:c>
      <x:c r="P2188" s="47" t="n">
        <x:v>1</x:v>
      </x:c>
      <x:c r="Q2188" s="47" t="n">
        <x:v>1</x:v>
      </x:c>
      <x:c r="R2188" s="47" t="n">
        <x:v>1</x:v>
      </x:c>
      <x:c r="S2188" s="27" t="n">
        <x:v>1</x:v>
      </x:c>
    </x:row>
    <x:row r="2189" ht="21.600000381469727" hidden="0" customHeight="1">
      <x:c r="A2189" s="29" t="n">
        <x:v>729</x:v>
      </x:c>
      <x:c r="B2189" s="29" t="str">
        <x:v>A1</x:v>
      </x:c>
      <x:c r="C2189" s="48" t="n">
        <x:v>1.0288333071219133</x:v>
      </x:c>
      <x:c r="D2189" s="48" t="n">
        <x:v>0.8830167824100572</x:v>
      </x:c>
      <x:c r="E2189" s="48" t="n">
        <x:v>0.5678396864304703</x:v>
      </x:c>
      <x:c r="F2189" s="48" t="n">
        <x:v>-0.15398713849282697</x:v>
      </x:c>
      <x:c r="G2189" s="48" t="n">
        <x:v>0.0061985389656744605</x:v>
      </x:c>
      <x:c r="H2189" s="48" t="n">
        <x:v>0.8185065534663101</x:v>
      </x:c>
      <x:c r="I2189" s="48" t="n">
        <x:v>0.6534001148213896</x:v>
      </x:c>
      <x:c r="J2189" s="48" t="n">
        <x:v>0.4126202669088446</x:v>
      </x:c>
      <x:c r="K2189" s="48" t="n">
        <x:v>0.9386514309525991</x:v>
      </x:c>
      <x:c r="L2189" s="48" t="n">
        <x:v>0.5311791611780041</x:v>
      </x:c>
      <x:c r="M2189" s="48" t="n">
        <x:v>0.054771771614416834</x:v>
      </x:c>
      <x:c r="N2189" s="48" t="n">
        <x:v>0.855362727113866</x:v>
      </x:c>
      <x:c r="O2189" s="48" t="n">
        <x:v>0.8517782073464172</x:v>
      </x:c>
      <x:c r="P2189" s="48" t="n">
        <x:v>0.562208656342559</x:v>
      </x:c>
      <x:c r="Q2189" s="48" t="n">
        <x:v>1</x:v>
      </x:c>
      <x:c r="R2189" s="48" t="n">
        <x:v>0.8169693504404271</x:v>
      </x:c>
      <x:c r="S2189" s="29" t="n">
        <x:v>0</x:v>
      </x:c>
    </x:row>
    <x:row r="2190" ht="21.600000381469727" hidden="0" customHeight="1">
      <x:c r="A2190" s="27" t="n">
        <x:v>729</x:v>
      </x:c>
      <x:c r="B2190" s="27" t="str">
        <x:v>A2</x:v>
      </x:c>
      <x:c r="C2190" s="47" t="n">
        <x:v>1.0288333071219133</x:v>
      </x:c>
      <x:c r="D2190" s="47" t="n">
        <x:v>0.8830167824100572</x:v>
      </x:c>
      <x:c r="E2190" s="47" t="n">
        <x:v>0.5678396864304703</x:v>
      </x:c>
      <x:c r="F2190" s="47" t="n">
        <x:v>-0.15398713849282697</x:v>
      </x:c>
      <x:c r="G2190" s="47" t="n">
        <x:v>0.0061985389656744605</x:v>
      </x:c>
      <x:c r="H2190" s="47" t="n">
        <x:v>0.8185065534663101</x:v>
      </x:c>
      <x:c r="I2190" s="47" t="n">
        <x:v>0.6534001148213896</x:v>
      </x:c>
      <x:c r="J2190" s="47" t="n">
        <x:v>0.4126202669088446</x:v>
      </x:c>
      <x:c r="K2190" s="47" t="n">
        <x:v>0.9386514309525991</x:v>
      </x:c>
      <x:c r="L2190" s="47" t="n">
        <x:v>0.5311791611780041</x:v>
      </x:c>
      <x:c r="M2190" s="47" t="n">
        <x:v>0.054771771614416834</x:v>
      </x:c>
      <x:c r="N2190" s="47" t="n">
        <x:v>0.855362727113866</x:v>
      </x:c>
      <x:c r="O2190" s="47" t="n">
        <x:v>0.9149848814552096</x:v>
      </x:c>
      <x:c r="P2190" s="47" t="n">
        <x:v>0.6912128172304842</x:v>
      </x:c>
      <x:c r="Q2190" s="47" t="n">
        <x:v>1</x:v>
      </x:c>
      <x:c r="R2190" s="47" t="n">
        <x:v>0.8950196722690836</x:v>
      </x:c>
      <x:c r="S2190" s="27" t="n">
        <x:v>0</x:v>
      </x:c>
    </x:row>
    <x:row r="2191" ht="21.600000381469727" hidden="0" customHeight="1">
      <x:c r="A2191" s="29" t="n">
        <x:v>729</x:v>
      </x:c>
      <x:c r="B2191" s="29" t="str">
        <x:v>A3</x:v>
      </x:c>
      <x:c r="C2191" s="48" t="n">
        <x:v>1.0288333071219133</x:v>
      </x:c>
      <x:c r="D2191" s="48" t="n">
        <x:v>0.8830167824100572</x:v>
      </x:c>
      <x:c r="E2191" s="48" t="n">
        <x:v>0.5678396864304703</x:v>
      </x:c>
      <x:c r="F2191" s="48" t="n">
        <x:v>-0.15398713849282697</x:v>
      </x:c>
      <x:c r="G2191" s="48" t="n">
        <x:v>0.0061985389656744605</x:v>
      </x:c>
      <x:c r="H2191" s="48" t="n">
        <x:v>0.8185065534663101</x:v>
      </x:c>
      <x:c r="I2191" s="48" t="n">
        <x:v>0.6534001148213896</x:v>
      </x:c>
      <x:c r="J2191" s="48" t="n">
        <x:v>0.4126202669088446</x:v>
      </x:c>
      <x:c r="K2191" s="48" t="n">
        <x:v>0.9386514309525991</x:v>
      </x:c>
      <x:c r="L2191" s="48" t="n">
        <x:v>0.5311791611780041</x:v>
      </x:c>
      <x:c r="M2191" s="48" t="n">
        <x:v>0.054771771614416834</x:v>
      </x:c>
      <x:c r="N2191" s="48" t="n">
        <x:v>0.855362727113866</x:v>
      </x:c>
      <x:c r="O2191" s="48" t="n">
        <x:v>1</x:v>
      </x:c>
      <x:c r="P2191" s="48" t="n">
        <x:v>1</x:v>
      </x:c>
      <x:c r="Q2191" s="48" t="n">
        <x:v>1</x:v>
      </x:c>
      <x:c r="R2191" s="48" t="n">
        <x:v>1</x:v>
      </x:c>
      <x:c r="S2191" s="29" t="n">
        <x:v>1</x:v>
      </x:c>
    </x:row>
    <x:row r="2192" ht="21.600000381469727" hidden="0" customHeight="1">
      <x:c r="A2192" s="27" t="n">
        <x:v>730</x:v>
      </x:c>
      <x:c r="B2192" s="27" t="str">
        <x:v>A1</x:v>
      </x:c>
      <x:c r="C2192" s="47" t="n">
        <x:v>1.0697016955278607</x:v>
      </x:c>
      <x:c r="D2192" s="47" t="n">
        <x:v>0.8945149279230586</x:v>
      </x:c>
      <x:c r="E2192" s="47" t="n">
        <x:v>1.0061097941691206</x:v>
      </x:c>
      <x:c r="F2192" s="47" t="n">
        <x:v>-0.08319903678409685</x:v>
      </x:c>
      <x:c r="G2192" s="47" t="n">
        <x:v>-0.1309126415229815</x:v>
      </x:c>
      <x:c r="H2192" s="47" t="n">
        <x:v>0.3393172774093036</x:v>
      </x:c>
      <x:c r="I2192" s="47" t="n">
        <x:v>0.6171065916185514</x:v>
      </x:c>
      <x:c r="J2192" s="47" t="n">
        <x:v>0.4947863457448825</x:v>
      </x:c>
      <x:c r="K2192" s="47" t="n">
        <x:v>0.613913884899664</x:v>
      </x:c>
      <x:c r="L2192" s="47" t="n">
        <x:v>0.8043070254271916</x:v>
      </x:c>
      <x:c r="M2192" s="47" t="n">
        <x:v>0.03801195507797783</x:v>
      </x:c>
      <x:c r="N2192" s="47" t="n">
        <x:v>0.686926191166436</x:v>
      </x:c>
      <x:c r="O2192" s="47" t="n">
        <x:v>0.847874796486968</x:v>
      </x:c>
      <x:c r="P2192" s="47" t="n">
        <x:v>0.5887276919578608</x:v>
      </x:c>
      <x:c r="Q2192" s="47" t="n">
        <x:v>1</x:v>
      </x:c>
      <x:c r="R2192" s="47" t="n">
        <x:v>0.8121492506945508</x:v>
      </x:c>
      <x:c r="S2192" s="27" t="n">
        <x:v>0</x:v>
      </x:c>
    </x:row>
    <x:row r="2193" ht="21.600000381469727" hidden="0" customHeight="1">
      <x:c r="A2193" s="29" t="n">
        <x:v>730</x:v>
      </x:c>
      <x:c r="B2193" s="29" t="str">
        <x:v>A2</x:v>
      </x:c>
      <x:c r="C2193" s="48" t="n">
        <x:v>1.0697016955278607</x:v>
      </x:c>
      <x:c r="D2193" s="48" t="n">
        <x:v>0.8945149279230586</x:v>
      </x:c>
      <x:c r="E2193" s="48" t="n">
        <x:v>1.0061097941691206</x:v>
      </x:c>
      <x:c r="F2193" s="48" t="n">
        <x:v>-0.08319903678409685</x:v>
      </x:c>
      <x:c r="G2193" s="48" t="n">
        <x:v>-0.1309126415229815</x:v>
      </x:c>
      <x:c r="H2193" s="48" t="n">
        <x:v>0.3393172774093036</x:v>
      </x:c>
      <x:c r="I2193" s="48" t="n">
        <x:v>0.6171065916185514</x:v>
      </x:c>
      <x:c r="J2193" s="48" t="n">
        <x:v>0.4947863457448825</x:v>
      </x:c>
      <x:c r="K2193" s="48" t="n">
        <x:v>0.613913884899664</x:v>
      </x:c>
      <x:c r="L2193" s="48" t="n">
        <x:v>0.8043070254271916</x:v>
      </x:c>
      <x:c r="M2193" s="48" t="n">
        <x:v>0.03801195507797783</x:v>
      </x:c>
      <x:c r="N2193" s="48" t="n">
        <x:v>0.686926191166436</x:v>
      </x:c>
      <x:c r="O2193" s="48" t="n">
        <x:v>0.9295280023007999</x:v>
      </x:c>
      <x:c r="P2193" s="48" t="n">
        <x:v>0.637302777382491</x:v>
      </x:c>
      <x:c r="Q2193" s="48" t="n">
        <x:v>1</x:v>
      </x:c>
      <x:c r="R2193" s="48" t="n">
        <x:v>0.9129781438766486</x:v>
      </x:c>
      <x:c r="S2193" s="29" t="n">
        <x:v>0</x:v>
      </x:c>
    </x:row>
    <x:row r="2194" ht="21.600000381469727" hidden="0" customHeight="1">
      <x:c r="A2194" s="27" t="n">
        <x:v>730</x:v>
      </x:c>
      <x:c r="B2194" s="27" t="str">
        <x:v>A3</x:v>
      </x:c>
      <x:c r="C2194" s="47" t="n">
        <x:v>1.0697016955278607</x:v>
      </x:c>
      <x:c r="D2194" s="47" t="n">
        <x:v>0.8945149279230586</x:v>
      </x:c>
      <x:c r="E2194" s="47" t="n">
        <x:v>1.0061097941691206</x:v>
      </x:c>
      <x:c r="F2194" s="47" t="n">
        <x:v>-0.08319903678409685</x:v>
      </x:c>
      <x:c r="G2194" s="47" t="n">
        <x:v>-0.1309126415229815</x:v>
      </x:c>
      <x:c r="H2194" s="47" t="n">
        <x:v>0.3393172774093036</x:v>
      </x:c>
      <x:c r="I2194" s="47" t="n">
        <x:v>0.6171065916185514</x:v>
      </x:c>
      <x:c r="J2194" s="47" t="n">
        <x:v>0.4947863457448825</x:v>
      </x:c>
      <x:c r="K2194" s="47" t="n">
        <x:v>0.613913884899664</x:v>
      </x:c>
      <x:c r="L2194" s="47" t="n">
        <x:v>0.8043070254271916</x:v>
      </x:c>
      <x:c r="M2194" s="47" t="n">
        <x:v>0.03801195507797783</x:v>
      </x:c>
      <x:c r="N2194" s="47" t="n">
        <x:v>0.686926191166436</x:v>
      </x:c>
      <x:c r="O2194" s="47" t="n">
        <x:v>1</x:v>
      </x:c>
      <x:c r="P2194" s="47" t="n">
        <x:v>1</x:v>
      </x:c>
      <x:c r="Q2194" s="47" t="n">
        <x:v>1</x:v>
      </x:c>
      <x:c r="R2194" s="47" t="n">
        <x:v>1</x:v>
      </x:c>
      <x:c r="S2194" s="27" t="n">
        <x:v>1</x:v>
      </x:c>
    </x:row>
    <x:row r="2195" ht="21.600000381469727" hidden="0" customHeight="1">
      <x:c r="A2195" s="29" t="n">
        <x:v>731</x:v>
      </x:c>
      <x:c r="B2195" s="29" t="str">
        <x:v>A1</x:v>
      </x:c>
      <x:c r="C2195" s="48" t="n">
        <x:v>1.2485682462026355</x:v>
      </x:c>
      <x:c r="D2195" s="48" t="n">
        <x:v>0.924487172595095</x:v>
      </x:c>
      <x:c r="E2195" s="48" t="n">
        <x:v>1.031123562941575</x:v>
      </x:c>
      <x:c r="F2195" s="48" t="n">
        <x:v>-0.16289842390515336</x:v>
      </x:c>
      <x:c r="G2195" s="48" t="n">
        <x:v>-0.1594920013862654</x:v>
      </x:c>
      <x:c r="H2195" s="48" t="n">
        <x:v>1.0754131682256942</x:v>
      </x:c>
      <x:c r="I2195" s="48" t="n">
        <x:v>0.9870842178667989</x:v>
      </x:c>
      <x:c r="J2195" s="48" t="n">
        <x:v>0.9114459200409264</x:v>
      </x:c>
      <x:c r="K2195" s="48" t="n">
        <x:v>0.8623890581445132</x:v>
      </x:c>
      <x:c r="L2195" s="48" t="n">
        <x:v>0.8253608279004045</x:v>
      </x:c>
      <x:c r="M2195" s="48" t="n">
        <x:v>0.033643332107538615</x:v>
      </x:c>
      <x:c r="N2195" s="48" t="n">
        <x:v>0.8997418883877626</x:v>
      </x:c>
      <x:c r="O2195" s="48" t="n">
        <x:v>0.8800432639857877</x:v>
      </x:c>
      <x:c r="P2195" s="48" t="n">
        <x:v>0.5547168204646539</x:v>
      </x:c>
      <x:c r="Q2195" s="48" t="n">
        <x:v>1</x:v>
      </x:c>
      <x:c r="R2195" s="48" t="n">
        <x:v>0.8518722590068691</x:v>
      </x:c>
      <x:c r="S2195" s="29" t="n">
        <x:v>0</x:v>
      </x:c>
    </x:row>
    <x:row r="2196" ht="21.600000381469727" hidden="0" customHeight="1">
      <x:c r="A2196" s="27" t="n">
        <x:v>731</x:v>
      </x:c>
      <x:c r="B2196" s="27" t="str">
        <x:v>A2</x:v>
      </x:c>
      <x:c r="C2196" s="47" t="n">
        <x:v>1.2485682462026355</x:v>
      </x:c>
      <x:c r="D2196" s="47" t="n">
        <x:v>0.924487172595095</x:v>
      </x:c>
      <x:c r="E2196" s="47" t="n">
        <x:v>1.031123562941575</x:v>
      </x:c>
      <x:c r="F2196" s="47" t="n">
        <x:v>-0.16289842390515336</x:v>
      </x:c>
      <x:c r="G2196" s="47" t="n">
        <x:v>-0.1594920013862654</x:v>
      </x:c>
      <x:c r="H2196" s="47" t="n">
        <x:v>1.0754131682256942</x:v>
      </x:c>
      <x:c r="I2196" s="47" t="n">
        <x:v>0.9870842178667989</x:v>
      </x:c>
      <x:c r="J2196" s="47" t="n">
        <x:v>0.9114459200409264</x:v>
      </x:c>
      <x:c r="K2196" s="47" t="n">
        <x:v>0.8623890581445132</x:v>
      </x:c>
      <x:c r="L2196" s="47" t="n">
        <x:v>0.8253608279004045</x:v>
      </x:c>
      <x:c r="M2196" s="47" t="n">
        <x:v>0.033643332107538615</x:v>
      </x:c>
      <x:c r="N2196" s="47" t="n">
        <x:v>0.8997418883877626</x:v>
      </x:c>
      <x:c r="O2196" s="47" t="n">
        <x:v>0.9716863614520702</x:v>
      </x:c>
      <x:c r="P2196" s="47" t="n">
        <x:v>0.7312905614737664</x:v>
      </x:c>
      <x:c r="Q2196" s="47" t="n">
        <x:v>1</x:v>
      </x:c>
      <x:c r="R2196" s="47" t="n">
        <x:v>0.9650371004017315</x:v>
      </x:c>
      <x:c r="S2196" s="27" t="n">
        <x:v>0</x:v>
      </x:c>
    </x:row>
    <x:row r="2197" ht="21.600000381469727" hidden="0" customHeight="1">
      <x:c r="A2197" s="29" t="n">
        <x:v>731</x:v>
      </x:c>
      <x:c r="B2197" s="29" t="str">
        <x:v>A3</x:v>
      </x:c>
      <x:c r="C2197" s="48" t="n">
        <x:v>1.2485682462026355</x:v>
      </x:c>
      <x:c r="D2197" s="48" t="n">
        <x:v>0.924487172595095</x:v>
      </x:c>
      <x:c r="E2197" s="48" t="n">
        <x:v>1.031123562941575</x:v>
      </x:c>
      <x:c r="F2197" s="48" t="n">
        <x:v>-0.16289842390515336</x:v>
      </x:c>
      <x:c r="G2197" s="48" t="n">
        <x:v>-0.1594920013862654</x:v>
      </x:c>
      <x:c r="H2197" s="48" t="n">
        <x:v>1.0754131682256942</x:v>
      </x:c>
      <x:c r="I2197" s="48" t="n">
        <x:v>0.9870842178667989</x:v>
      </x:c>
      <x:c r="J2197" s="48" t="n">
        <x:v>0.9114459200409264</x:v>
      </x:c>
      <x:c r="K2197" s="48" t="n">
        <x:v>0.8623890581445132</x:v>
      </x:c>
      <x:c r="L2197" s="48" t="n">
        <x:v>0.8253608279004045</x:v>
      </x:c>
      <x:c r="M2197" s="48" t="n">
        <x:v>0.033643332107538615</x:v>
      </x:c>
      <x:c r="N2197" s="48" t="n">
        <x:v>0.8997418883877626</x:v>
      </x:c>
      <x:c r="O2197" s="48" t="n">
        <x:v>1</x:v>
      </x:c>
      <x:c r="P2197" s="48" t="n">
        <x:v>1</x:v>
      </x:c>
      <x:c r="Q2197" s="48" t="n">
        <x:v>1</x:v>
      </x:c>
      <x:c r="R2197" s="48" t="n">
        <x:v>1</x:v>
      </x:c>
      <x:c r="S2197" s="29" t="n">
        <x:v>1</x:v>
      </x:c>
    </x:row>
    <x:row r="2198" ht="21.600000381469727" hidden="0" customHeight="1">
      <x:c r="A2198" s="27" t="n">
        <x:v>732</x:v>
      </x:c>
      <x:c r="B2198" s="27" t="str">
        <x:v>A1</x:v>
      </x:c>
      <x:c r="C2198" s="47" t="n">
        <x:v>1.1039270703206443</x:v>
      </x:c>
      <x:c r="D2198" s="47" t="n">
        <x:v>0.9504007567156068</x:v>
      </x:c>
      <x:c r="E2198" s="47" t="n">
        <x:v>0.5584218325133639</x:v>
      </x:c>
      <x:c r="F2198" s="47" t="n">
        <x:v>-0.10491805794942582</x:v>
      </x:c>
      <x:c r="G2198" s="47" t="n">
        <x:v>-0.08142657186164459</x:v>
      </x:c>
      <x:c r="H2198" s="47" t="n">
        <x:v>1.0853782773874472</x:v>
      </x:c>
      <x:c r="I2198" s="47" t="n">
        <x:v>0.6255309963734359</x:v>
      </x:c>
      <x:c r="J2198" s="47" t="n">
        <x:v>0.9959247222696561</x:v>
      </x:c>
      <x:c r="K2198" s="47" t="n">
        <x:v>0.8548522930936489</x:v>
      </x:c>
      <x:c r="L2198" s="47" t="n">
        <x:v>0.7054219525822136</x:v>
      </x:c>
      <x:c r="M2198" s="47" t="n">
        <x:v>0.035038284803341584</x:v>
      </x:c>
      <x:c r="N2198" s="47" t="n">
        <x:v>0.8858428732921059</x:v>
      </x:c>
      <x:c r="O2198" s="47" t="n">
        <x:v>0.8921168356141465</x:v>
      </x:c>
      <x:c r="P2198" s="47" t="n">
        <x:v>0.5141689052085483</x:v>
      </x:c>
      <x:c r="Q2198" s="47" t="n">
        <x:v>1</x:v>
      </x:c>
      <x:c r="R2198" s="47" t="n">
        <x:v>0.8667812249428516</x:v>
      </x:c>
      <x:c r="S2198" s="27" t="n">
        <x:v>0</x:v>
      </x:c>
    </x:row>
    <x:row r="2199" ht="21.600000381469727" hidden="0" customHeight="1">
      <x:c r="A2199" s="29" t="n">
        <x:v>732</x:v>
      </x:c>
      <x:c r="B2199" s="29" t="str">
        <x:v>A2</x:v>
      </x:c>
      <x:c r="C2199" s="48" t="n">
        <x:v>1.1039270703206443</x:v>
      </x:c>
      <x:c r="D2199" s="48" t="n">
        <x:v>0.9504007567156068</x:v>
      </x:c>
      <x:c r="E2199" s="48" t="n">
        <x:v>0.5584218325133639</x:v>
      </x:c>
      <x:c r="F2199" s="48" t="n">
        <x:v>-0.10491805794942582</x:v>
      </x:c>
      <x:c r="G2199" s="48" t="n">
        <x:v>-0.08142657186164459</x:v>
      </x:c>
      <x:c r="H2199" s="48" t="n">
        <x:v>1.0853782773874472</x:v>
      </x:c>
      <x:c r="I2199" s="48" t="n">
        <x:v>0.6255309963734359</x:v>
      </x:c>
      <x:c r="J2199" s="48" t="n">
        <x:v>0.9959247222696561</x:v>
      </x:c>
      <x:c r="K2199" s="48" t="n">
        <x:v>0.8548522930936489</x:v>
      </x:c>
      <x:c r="L2199" s="48" t="n">
        <x:v>0.7054219525822136</x:v>
      </x:c>
      <x:c r="M2199" s="48" t="n">
        <x:v>0.035038284803341584</x:v>
      </x:c>
      <x:c r="N2199" s="48" t="n">
        <x:v>0.8858428732921059</x:v>
      </x:c>
      <x:c r="O2199" s="48" t="n">
        <x:v>0.935370248478038</x:v>
      </x:c>
      <x:c r="P2199" s="48" t="n">
        <x:v>0.6406138876897108</x:v>
      </x:c>
      <x:c r="Q2199" s="48" t="n">
        <x:v>1</x:v>
      </x:c>
      <x:c r="R2199" s="48" t="n">
        <x:v>0.9201924009272696</x:v>
      </x:c>
      <x:c r="S2199" s="29" t="n">
        <x:v>0</x:v>
      </x:c>
    </x:row>
    <x:row r="2200" ht="21.600000381469727" hidden="0" customHeight="1">
      <x:c r="A2200" s="27" t="n">
        <x:v>732</x:v>
      </x:c>
      <x:c r="B2200" s="27" t="str">
        <x:v>A3</x:v>
      </x:c>
      <x:c r="C2200" s="47" t="n">
        <x:v>1.1039270703206443</x:v>
      </x:c>
      <x:c r="D2200" s="47" t="n">
        <x:v>0.9504007567156068</x:v>
      </x:c>
      <x:c r="E2200" s="47" t="n">
        <x:v>0.5584218325133639</x:v>
      </x:c>
      <x:c r="F2200" s="47" t="n">
        <x:v>-0.10491805794942582</x:v>
      </x:c>
      <x:c r="G2200" s="47" t="n">
        <x:v>-0.08142657186164459</x:v>
      </x:c>
      <x:c r="H2200" s="47" t="n">
        <x:v>1.0853782773874472</x:v>
      </x:c>
      <x:c r="I2200" s="47" t="n">
        <x:v>0.6255309963734359</x:v>
      </x:c>
      <x:c r="J2200" s="47" t="n">
        <x:v>0.9959247222696561</x:v>
      </x:c>
      <x:c r="K2200" s="47" t="n">
        <x:v>0.8548522930936489</x:v>
      </x:c>
      <x:c r="L2200" s="47" t="n">
        <x:v>0.7054219525822136</x:v>
      </x:c>
      <x:c r="M2200" s="47" t="n">
        <x:v>0.035038284803341584</x:v>
      </x:c>
      <x:c r="N2200" s="47" t="n">
        <x:v>0.8858428732921059</x:v>
      </x:c>
      <x:c r="O2200" s="47" t="n">
        <x:v>1</x:v>
      </x:c>
      <x:c r="P2200" s="47" t="n">
        <x:v>1</x:v>
      </x:c>
      <x:c r="Q2200" s="47" t="n">
        <x:v>1</x:v>
      </x:c>
      <x:c r="R2200" s="47" t="n">
        <x:v>1</x:v>
      </x:c>
      <x:c r="S2200" s="27" t="n">
        <x:v>1</x:v>
      </x:c>
    </x:row>
    <x:row r="2201" ht="21.600000381469727" hidden="0" customHeight="1">
      <x:c r="A2201" s="29" t="n">
        <x:v>733</x:v>
      </x:c>
      <x:c r="B2201" s="29" t="str">
        <x:v>A1</x:v>
      </x:c>
      <x:c r="C2201" s="48" t="n">
        <x:v>1.0879381481787278</x:v>
      </x:c>
      <x:c r="D2201" s="48" t="n">
        <x:v>0.967292197943984</x:v>
      </x:c>
      <x:c r="E2201" s="48" t="n">
        <x:v>0.8472426705952085</x:v>
      </x:c>
      <x:c r="F2201" s="48" t="n">
        <x:v>-0.020540619841701274</x:v>
      </x:c>
      <x:c r="G2201" s="48" t="n">
        <x:v>-0.1375846342908368</x:v>
      </x:c>
      <x:c r="H2201" s="48" t="n">
        <x:v>0.7118272134004556</x:v>
      </x:c>
      <x:c r="I2201" s="48" t="n">
        <x:v>0.9410851310886534</x:v>
      </x:c>
      <x:c r="J2201" s="48" t="n">
        <x:v>0.8534019211112538</x:v>
      </x:c>
      <x:c r="K2201" s="48" t="n">
        <x:v>0.5800958576619263</x:v>
      </x:c>
      <x:c r="L2201" s="48" t="n">
        <x:v>0.5764496257803219</x:v>
      </x:c>
      <x:c r="M2201" s="48" t="n">
        <x:v>0.13382907511399156</x:v>
      </x:c>
      <x:c r="N2201" s="48" t="n">
        <x:v>0.6560918478370573</x:v>
      </x:c>
      <x:c r="O2201" s="48" t="n">
        <x:v>0.8870797963102705</x:v>
      </x:c>
      <x:c r="P2201" s="48" t="n">
        <x:v>0.6260299063048316</x:v>
      </x:c>
      <x:c r="Q2201" s="48" t="n">
        <x:v>1</x:v>
      </x:c>
      <x:c r="R2201" s="48" t="n">
        <x:v>0.8605612719984135</x:v>
      </x:c>
      <x:c r="S2201" s="29" t="n">
        <x:v>0</x:v>
      </x:c>
    </x:row>
    <x:row r="2202" ht="21.600000381469727" hidden="0" customHeight="1">
      <x:c r="A2202" s="27" t="n">
        <x:v>733</x:v>
      </x:c>
      <x:c r="B2202" s="27" t="str">
        <x:v>A2</x:v>
      </x:c>
      <x:c r="C2202" s="47" t="n">
        <x:v>1.0879381481787278</x:v>
      </x:c>
      <x:c r="D2202" s="47" t="n">
        <x:v>0.967292197943984</x:v>
      </x:c>
      <x:c r="E2202" s="47" t="n">
        <x:v>0.8472426705952085</x:v>
      </x:c>
      <x:c r="F2202" s="47" t="n">
        <x:v>-0.020540619841701274</x:v>
      </x:c>
      <x:c r="G2202" s="47" t="n">
        <x:v>-0.1375846342908368</x:v>
      </x:c>
      <x:c r="H2202" s="47" t="n">
        <x:v>0.7118272134004556</x:v>
      </x:c>
      <x:c r="I2202" s="47" t="n">
        <x:v>0.9410851310886534</x:v>
      </x:c>
      <x:c r="J2202" s="47" t="n">
        <x:v>0.8534019211112538</x:v>
      </x:c>
      <x:c r="K2202" s="47" t="n">
        <x:v>0.5800958576619263</x:v>
      </x:c>
      <x:c r="L2202" s="47" t="n">
        <x:v>0.5764496257803219</x:v>
      </x:c>
      <x:c r="M2202" s="47" t="n">
        <x:v>0.13382907511399156</x:v>
      </x:c>
      <x:c r="N2202" s="47" t="n">
        <x:v>0.6560918478370573</x:v>
      </x:c>
      <x:c r="O2202" s="47" t="n">
        <x:v>0.9759865278397549</x:v>
      </x:c>
      <x:c r="P2202" s="47" t="n">
        <x:v>0.7849168343302503</x:v>
      </x:c>
      <x:c r="Q2202" s="47" t="n">
        <x:v>1</x:v>
      </x:c>
      <x:c r="R2202" s="47" t="n">
        <x:v>0.9703471309516364</x:v>
      </x:c>
      <x:c r="S2202" s="27" t="n">
        <x:v>0</x:v>
      </x:c>
    </x:row>
    <x:row r="2203" ht="21.600000381469727" hidden="0" customHeight="1">
      <x:c r="A2203" s="29" t="n">
        <x:v>733</x:v>
      </x:c>
      <x:c r="B2203" s="29" t="str">
        <x:v>A3</x:v>
      </x:c>
      <x:c r="C2203" s="48" t="n">
        <x:v>1.0879381481787278</x:v>
      </x:c>
      <x:c r="D2203" s="48" t="n">
        <x:v>0.967292197943984</x:v>
      </x:c>
      <x:c r="E2203" s="48" t="n">
        <x:v>0.8472426705952085</x:v>
      </x:c>
      <x:c r="F2203" s="48" t="n">
        <x:v>-0.020540619841701274</x:v>
      </x:c>
      <x:c r="G2203" s="48" t="n">
        <x:v>-0.1375846342908368</x:v>
      </x:c>
      <x:c r="H2203" s="48" t="n">
        <x:v>0.7118272134004556</x:v>
      </x:c>
      <x:c r="I2203" s="48" t="n">
        <x:v>0.9410851310886534</x:v>
      </x:c>
      <x:c r="J2203" s="48" t="n">
        <x:v>0.8534019211112538</x:v>
      </x:c>
      <x:c r="K2203" s="48" t="n">
        <x:v>0.5800958576619263</x:v>
      </x:c>
      <x:c r="L2203" s="48" t="n">
        <x:v>0.5764496257803219</x:v>
      </x:c>
      <x:c r="M2203" s="48" t="n">
        <x:v>0.13382907511399156</x:v>
      </x:c>
      <x:c r="N2203" s="48" t="n">
        <x:v>0.6560918478370573</x:v>
      </x:c>
      <x:c r="O2203" s="48" t="n">
        <x:v>1</x:v>
      </x:c>
      <x:c r="P2203" s="48" t="n">
        <x:v>1</x:v>
      </x:c>
      <x:c r="Q2203" s="48" t="n">
        <x:v>1</x:v>
      </x:c>
      <x:c r="R2203" s="48" t="n">
        <x:v>1</x:v>
      </x:c>
      <x:c r="S2203" s="29" t="n">
        <x:v>1</x:v>
      </x:c>
    </x:row>
    <x:row r="2204" ht="21.600000381469727" hidden="0" customHeight="1">
      <x:c r="A2204" s="27" t="n">
        <x:v>734</x:v>
      </x:c>
      <x:c r="B2204" s="27" t="str">
        <x:v>A1</x:v>
      </x:c>
      <x:c r="C2204" s="47" t="n">
        <x:v>1.0253765158731702</x:v>
      </x:c>
      <x:c r="D2204" s="47" t="n">
        <x:v>0.981968928479116</x:v>
      </x:c>
      <x:c r="E2204" s="47" t="n">
        <x:v>0.6881233960032783</x:v>
      </x:c>
      <x:c r="F2204" s="47" t="n">
        <x:v>-0.19593939616161726</x:v>
      </x:c>
      <x:c r="G2204" s="47" t="n">
        <x:v>-0.02566478031065389</x:v>
      </x:c>
      <x:c r="H2204" s="47" t="n">
        <x:v>0.725586757697555</x:v>
      </x:c>
      <x:c r="I2204" s="47" t="n">
        <x:v>0.7740953250524595</x:v>
      </x:c>
      <x:c r="J2204" s="47" t="n">
        <x:v>0.5007314134025842</x:v>
      </x:c>
      <x:c r="K2204" s="47" t="n">
        <x:v>0.6835650892219053</x:v>
      </x:c>
      <x:c r="L2204" s="47" t="n">
        <x:v>0.9915889759772589</x:v>
      </x:c>
      <x:c r="M2204" s="47" t="n">
        <x:v>0.11880473231530707</x:v>
      </x:c>
      <x:c r="N2204" s="47" t="n">
        <x:v>0.7683152627564637</x:v>
      </x:c>
      <x:c r="O2204" s="47" t="n">
        <x:v>0.9050820216290073</x:v>
      </x:c>
      <x:c r="P2204" s="47" t="n">
        <x:v>0.6546390916664209</x:v>
      </x:c>
      <x:c r="Q2204" s="47" t="n">
        <x:v>1</x:v>
      </x:c>
      <x:c r="R2204" s="47" t="n">
        <x:v>0.8827911947015279</x:v>
      </x:c>
      <x:c r="S2204" s="27" t="n">
        <x:v>0</x:v>
      </x:c>
    </x:row>
    <x:row r="2205" ht="21.600000381469727" hidden="0" customHeight="1">
      <x:c r="A2205" s="29" t="n">
        <x:v>734</x:v>
      </x:c>
      <x:c r="B2205" s="29" t="str">
        <x:v>A2</x:v>
      </x:c>
      <x:c r="C2205" s="48" t="n">
        <x:v>1.0253765158731702</x:v>
      </x:c>
      <x:c r="D2205" s="48" t="n">
        <x:v>0.981968928479116</x:v>
      </x:c>
      <x:c r="E2205" s="48" t="n">
        <x:v>0.6881233960032783</x:v>
      </x:c>
      <x:c r="F2205" s="48" t="n">
        <x:v>-0.19593939616161726</x:v>
      </x:c>
      <x:c r="G2205" s="48" t="n">
        <x:v>-0.02566478031065389</x:v>
      </x:c>
      <x:c r="H2205" s="48" t="n">
        <x:v>0.725586757697555</x:v>
      </x:c>
      <x:c r="I2205" s="48" t="n">
        <x:v>0.7740953250524595</x:v>
      </x:c>
      <x:c r="J2205" s="48" t="n">
        <x:v>0.5007314134025842</x:v>
      </x:c>
      <x:c r="K2205" s="48" t="n">
        <x:v>0.6835650892219053</x:v>
      </x:c>
      <x:c r="L2205" s="48" t="n">
        <x:v>0.9915889759772589</x:v>
      </x:c>
      <x:c r="M2205" s="48" t="n">
        <x:v>0.11880473231530707</x:v>
      </x:c>
      <x:c r="N2205" s="48" t="n">
        <x:v>0.7683152627564637</x:v>
      </x:c>
      <x:c r="O2205" s="48" t="n">
        <x:v>0.9712481219674883</x:v>
      </x:c>
      <x:c r="P2205" s="48" t="n">
        <x:v>0.8638711696376772</x:v>
      </x:c>
      <x:c r="Q2205" s="48" t="n">
        <x:v>1</x:v>
      </x:c>
      <x:c r="R2205" s="48" t="n">
        <x:v>0.9644959434227904</x:v>
      </x:c>
      <x:c r="S2205" s="29" t="n">
        <x:v>0</x:v>
      </x:c>
    </x:row>
    <x:row r="2206" ht="21.600000381469727" hidden="0" customHeight="1">
      <x:c r="A2206" s="27" t="n">
        <x:v>734</x:v>
      </x:c>
      <x:c r="B2206" s="27" t="str">
        <x:v>A3</x:v>
      </x:c>
      <x:c r="C2206" s="47" t="n">
        <x:v>1.0253765158731702</x:v>
      </x:c>
      <x:c r="D2206" s="47" t="n">
        <x:v>0.981968928479116</x:v>
      </x:c>
      <x:c r="E2206" s="47" t="n">
        <x:v>0.6881233960032783</x:v>
      </x:c>
      <x:c r="F2206" s="47" t="n">
        <x:v>-0.19593939616161726</x:v>
      </x:c>
      <x:c r="G2206" s="47" t="n">
        <x:v>-0.02566478031065389</x:v>
      </x:c>
      <x:c r="H2206" s="47" t="n">
        <x:v>0.725586757697555</x:v>
      </x:c>
      <x:c r="I2206" s="47" t="n">
        <x:v>0.7740953250524595</x:v>
      </x:c>
      <x:c r="J2206" s="47" t="n">
        <x:v>0.5007314134025842</x:v>
      </x:c>
      <x:c r="K2206" s="47" t="n">
        <x:v>0.6835650892219053</x:v>
      </x:c>
      <x:c r="L2206" s="47" t="n">
        <x:v>0.9915889759772589</x:v>
      </x:c>
      <x:c r="M2206" s="47" t="n">
        <x:v>0.11880473231530707</x:v>
      </x:c>
      <x:c r="N2206" s="47" t="n">
        <x:v>0.7683152627564637</x:v>
      </x:c>
      <x:c r="O2206" s="47" t="n">
        <x:v>1</x:v>
      </x:c>
      <x:c r="P2206" s="47" t="n">
        <x:v>1</x:v>
      </x:c>
      <x:c r="Q2206" s="47" t="n">
        <x:v>1</x:v>
      </x:c>
      <x:c r="R2206" s="47" t="n">
        <x:v>1</x:v>
      </x:c>
      <x:c r="S2206" s="27" t="n">
        <x:v>1</x:v>
      </x:c>
    </x:row>
    <x:row r="2207" ht="21.600000381469727" hidden="0" customHeight="1">
      <x:c r="A2207" s="29" t="n">
        <x:v>735</x:v>
      </x:c>
      <x:c r="B2207" s="29" t="str">
        <x:v>A1</x:v>
      </x:c>
      <x:c r="C2207" s="48" t="n">
        <x:v>0.9237355866162451</x:v>
      </x:c>
      <x:c r="D2207" s="48" t="n">
        <x:v>0.8425185099273402</x:v>
      </x:c>
      <x:c r="E2207" s="48" t="n">
        <x:v>0.8612776028544682</x:v>
      </x:c>
      <x:c r="F2207" s="48" t="n">
        <x:v>-0.12079755664683292</x:v>
      </x:c>
      <x:c r="G2207" s="48" t="n">
        <x:v>-0.10246920749967846</x:v>
      </x:c>
      <x:c r="H2207" s="48" t="n">
        <x:v>0.9550081358544411</x:v>
      </x:c>
      <x:c r="I2207" s="48" t="n">
        <x:v>0.867142363225641</x:v>
      </x:c>
      <x:c r="J2207" s="48" t="n">
        <x:v>0.63692788686463</x:v>
      </x:c>
      <x:c r="K2207" s="48" t="n">
        <x:v>0.974573408902522</x:v>
      </x:c>
      <x:c r="L2207" s="48" t="n">
        <x:v>0.6894898270383774</x:v>
      </x:c>
      <x:c r="M2207" s="48" t="n">
        <x:v>0.07866001150468979</x:v>
      </x:c>
      <x:c r="N2207" s="48" t="n">
        <x:v>0.8218838953633083</x:v>
      </x:c>
      <x:c r="O2207" s="48" t="n">
        <x:v>0.9126557651569429</x:v>
      </x:c>
      <x:c r="P2207" s="48" t="n">
        <x:v>0.6013357015385918</x:v>
      </x:c>
      <x:c r="Q2207" s="48" t="n">
        <x:v>1</x:v>
      </x:c>
      <x:c r="R2207" s="48" t="n">
        <x:v>0.8921435792105692</x:v>
      </x:c>
      <x:c r="S2207" s="29" t="n">
        <x:v>0</x:v>
      </x:c>
    </x:row>
    <x:row r="2208" ht="21.600000381469727" hidden="0" customHeight="1">
      <x:c r="A2208" s="27" t="n">
        <x:v>735</x:v>
      </x:c>
      <x:c r="B2208" s="27" t="str">
        <x:v>A2</x:v>
      </x:c>
      <x:c r="C2208" s="47" t="n">
        <x:v>0.9237355866162451</x:v>
      </x:c>
      <x:c r="D2208" s="47" t="n">
        <x:v>0.8425185099273402</x:v>
      </x:c>
      <x:c r="E2208" s="47" t="n">
        <x:v>0.8612776028544682</x:v>
      </x:c>
      <x:c r="F2208" s="47" t="n">
        <x:v>-0.12079755664683292</x:v>
      </x:c>
      <x:c r="G2208" s="47" t="n">
        <x:v>-0.10246920749967846</x:v>
      </x:c>
      <x:c r="H2208" s="47" t="n">
        <x:v>0.9550081358544411</x:v>
      </x:c>
      <x:c r="I2208" s="47" t="n">
        <x:v>0.867142363225641</x:v>
      </x:c>
      <x:c r="J2208" s="47" t="n">
        <x:v>0.63692788686463</x:v>
      </x:c>
      <x:c r="K2208" s="47" t="n">
        <x:v>0.974573408902522</x:v>
      </x:c>
      <x:c r="L2208" s="47" t="n">
        <x:v>0.6894898270383774</x:v>
      </x:c>
      <x:c r="M2208" s="47" t="n">
        <x:v>0.07866001150468979</x:v>
      </x:c>
      <x:c r="N2208" s="47" t="n">
        <x:v>0.8218838953633083</x:v>
      </x:c>
      <x:c r="O2208" s="47" t="n">
        <x:v>1.0000000000000002</x:v>
      </x:c>
      <x:c r="P2208" s="47" t="n">
        <x:v>1</x:v>
      </x:c>
      <x:c r="Q2208" s="47" t="n">
        <x:v>1</x:v>
      </x:c>
      <x:c r="R2208" s="47" t="n">
        <x:v>1.0000000000000002</x:v>
      </x:c>
      <x:c r="S2208" s="27" t="n">
        <x:v>1</x:v>
      </x:c>
    </x:row>
    <x:row r="2209" ht="21.600000381469727" hidden="0" customHeight="1">
      <x:c r="A2209" s="29" t="n">
        <x:v>735</x:v>
      </x:c>
      <x:c r="B2209" s="29" t="str">
        <x:v>A3</x:v>
      </x:c>
      <x:c r="C2209" s="48" t="n">
        <x:v>0.9237355866162451</x:v>
      </x:c>
      <x:c r="D2209" s="48" t="n">
        <x:v>0.8425185099273402</x:v>
      </x:c>
      <x:c r="E2209" s="48" t="n">
        <x:v>0.8612776028544682</x:v>
      </x:c>
      <x:c r="F2209" s="48" t="n">
        <x:v>-0.12079755664683292</x:v>
      </x:c>
      <x:c r="G2209" s="48" t="n">
        <x:v>-0.10246920749967846</x:v>
      </x:c>
      <x:c r="H2209" s="48" t="n">
        <x:v>0.9550081358544411</x:v>
      </x:c>
      <x:c r="I2209" s="48" t="n">
        <x:v>0.867142363225641</x:v>
      </x:c>
      <x:c r="J2209" s="48" t="n">
        <x:v>0.63692788686463</x:v>
      </x:c>
      <x:c r="K2209" s="48" t="n">
        <x:v>0.974573408902522</x:v>
      </x:c>
      <x:c r="L2209" s="48" t="n">
        <x:v>0.6894898270383774</x:v>
      </x:c>
      <x:c r="M2209" s="48" t="n">
        <x:v>0.07866001150468979</x:v>
      </x:c>
      <x:c r="N2209" s="48" t="n">
        <x:v>0.8218838953633083</x:v>
      </x:c>
      <x:c r="O2209" s="48" t="n">
        <x:v>1</x:v>
      </x:c>
      <x:c r="P2209" s="48" t="n">
        <x:v>1</x:v>
      </x:c>
      <x:c r="Q2209" s="48" t="n">
        <x:v>1</x:v>
      </x:c>
      <x:c r="R2209" s="48" t="n">
        <x:v>1</x:v>
      </x:c>
      <x:c r="S2209" s="29" t="n">
        <x:v>1</x:v>
      </x:c>
    </x:row>
    <x:row r="2210" ht="21.600000381469727" hidden="0" customHeight="1">
      <x:c r="A2210" s="27" t="n">
        <x:v>736</x:v>
      </x:c>
      <x:c r="B2210" s="27" t="str">
        <x:v>A1</x:v>
      </x:c>
      <x:c r="C2210" s="47" t="n">
        <x:v>1.0387434932013888</x:v>
      </x:c>
      <x:c r="D2210" s="47" t="n">
        <x:v>0.770671092308489</x:v>
      </x:c>
      <x:c r="E2210" s="47" t="n">
        <x:v>0.9533803959260114</x:v>
      </x:c>
      <x:c r="F2210" s="47" t="n">
        <x:v>-0.1568551054635827</x:v>
      </x:c>
      <x:c r="G2210" s="47" t="n">
        <x:v>-0.01846380050099833</x:v>
      </x:c>
      <x:c r="H2210" s="47" t="n">
        <x:v>0.3467833630265412</x:v>
      </x:c>
      <x:c r="I2210" s="47" t="n">
        <x:v>0.8845177342286537</x:v>
      </x:c>
      <x:c r="J2210" s="47" t="n">
        <x:v>0.9448343540653878</x:v>
      </x:c>
      <x:c r="K2210" s="47" t="n">
        <x:v>0.5794405849981792</x:v>
      </x:c>
      <x:c r="L2210" s="47" t="n">
        <x:v>0.7280340159807597</x:v>
      </x:c>
      <x:c r="M2210" s="47" t="n">
        <x:v>0.0460613741315934</x:v>
      </x:c>
      <x:c r="N2210" s="47" t="n">
        <x:v>0.8622530568461907</x:v>
      </x:c>
      <x:c r="O2210" s="47" t="n">
        <x:v>0.8218364237033998</x:v>
      </x:c>
      <x:c r="P2210" s="47" t="n">
        <x:v>0.5781065051773512</x:v>
      </x:c>
      <x:c r="Q2210" s="47" t="n">
        <x:v>1</x:v>
      </x:c>
      <x:c r="R2210" s="47" t="n">
        <x:v>0.7799959471976136</x:v>
      </x:c>
      <x:c r="S2210" s="27" t="n">
        <x:v>0</x:v>
      </x:c>
    </x:row>
    <x:row r="2211" ht="21.600000381469727" hidden="0" customHeight="1">
      <x:c r="A2211" s="29" t="n">
        <x:v>736</x:v>
      </x:c>
      <x:c r="B2211" s="29" t="str">
        <x:v>A2</x:v>
      </x:c>
      <x:c r="C2211" s="48" t="n">
        <x:v>1.0387434932013888</x:v>
      </x:c>
      <x:c r="D2211" s="48" t="n">
        <x:v>0.770671092308489</x:v>
      </x:c>
      <x:c r="E2211" s="48" t="n">
        <x:v>0.9533803959260114</x:v>
      </x:c>
      <x:c r="F2211" s="48" t="n">
        <x:v>-0.1568551054635827</x:v>
      </x:c>
      <x:c r="G2211" s="48" t="n">
        <x:v>-0.01846380050099833</x:v>
      </x:c>
      <x:c r="H2211" s="48" t="n">
        <x:v>0.3467833630265412</x:v>
      </x:c>
      <x:c r="I2211" s="48" t="n">
        <x:v>0.8845177342286537</x:v>
      </x:c>
      <x:c r="J2211" s="48" t="n">
        <x:v>0.9448343540653878</x:v>
      </x:c>
      <x:c r="K2211" s="48" t="n">
        <x:v>0.5794405849981792</x:v>
      </x:c>
      <x:c r="L2211" s="48" t="n">
        <x:v>0.7280340159807597</x:v>
      </x:c>
      <x:c r="M2211" s="48" t="n">
        <x:v>0.0460613741315934</x:v>
      </x:c>
      <x:c r="N2211" s="48" t="n">
        <x:v>0.8622530568461907</x:v>
      </x:c>
      <x:c r="O2211" s="48" t="n">
        <x:v>0.9174321095217473</x:v>
      </x:c>
      <x:c r="P2211" s="48" t="n">
        <x:v>0.6540138311033992</x:v>
      </x:c>
      <x:c r="Q2211" s="48" t="n">
        <x:v>1</x:v>
      </x:c>
      <x:c r="R2211" s="48" t="n">
        <x:v>0.8980416148230079</x:v>
      </x:c>
      <x:c r="S2211" s="29" t="n">
        <x:v>0</x:v>
      </x:c>
    </x:row>
    <x:row r="2212" ht="21.600000381469727" hidden="0" customHeight="1">
      <x:c r="A2212" s="27" t="n">
        <x:v>736</x:v>
      </x:c>
      <x:c r="B2212" s="27" t="str">
        <x:v>A3</x:v>
      </x:c>
      <x:c r="C2212" s="47" t="n">
        <x:v>1.0387434932013888</x:v>
      </x:c>
      <x:c r="D2212" s="47" t="n">
        <x:v>0.770671092308489</x:v>
      </x:c>
      <x:c r="E2212" s="47" t="n">
        <x:v>0.9533803959260114</x:v>
      </x:c>
      <x:c r="F2212" s="47" t="n">
        <x:v>-0.1568551054635827</x:v>
      </x:c>
      <x:c r="G2212" s="47" t="n">
        <x:v>-0.01846380050099833</x:v>
      </x:c>
      <x:c r="H2212" s="47" t="n">
        <x:v>0.3467833630265412</x:v>
      </x:c>
      <x:c r="I2212" s="47" t="n">
        <x:v>0.8845177342286537</x:v>
      </x:c>
      <x:c r="J2212" s="47" t="n">
        <x:v>0.9448343540653878</x:v>
      </x:c>
      <x:c r="K2212" s="47" t="n">
        <x:v>0.5794405849981792</x:v>
      </x:c>
      <x:c r="L2212" s="47" t="n">
        <x:v>0.7280340159807597</x:v>
      </x:c>
      <x:c r="M2212" s="47" t="n">
        <x:v>0.0460613741315934</x:v>
      </x:c>
      <x:c r="N2212" s="47" t="n">
        <x:v>0.8622530568461907</x:v>
      </x:c>
      <x:c r="O2212" s="47" t="n">
        <x:v>1</x:v>
      </x:c>
      <x:c r="P2212" s="47" t="n">
        <x:v>1</x:v>
      </x:c>
      <x:c r="Q2212" s="47" t="n">
        <x:v>1</x:v>
      </x:c>
      <x:c r="R2212" s="47" t="n">
        <x:v>1</x:v>
      </x:c>
      <x:c r="S2212" s="27" t="n">
        <x:v>1</x:v>
      </x:c>
    </x:row>
    <x:row r="2213" ht="21.600000381469727" hidden="0" customHeight="1">
      <x:c r="A2213" s="29" t="n">
        <x:v>737</x:v>
      </x:c>
      <x:c r="B2213" s="29" t="str">
        <x:v>A1</x:v>
      </x:c>
      <x:c r="C2213" s="48" t="n">
        <x:v>1.2168357958276332</x:v>
      </x:c>
      <x:c r="D2213" s="48" t="n">
        <x:v>0.9272791190101044</x:v>
      </x:c>
      <x:c r="E2213" s="48" t="n">
        <x:v>0.715541562976723</x:v>
      </x:c>
      <x:c r="F2213" s="48" t="n">
        <x:v>-0.017678274136768674</x:v>
      </x:c>
      <x:c r="G2213" s="48" t="n">
        <x:v>-0.02927304627869942</x:v>
      </x:c>
      <x:c r="H2213" s="48" t="n">
        <x:v>0.5403976536297097</x:v>
      </x:c>
      <x:c r="I2213" s="48" t="n">
        <x:v>1.0101959320106282</x:v>
      </x:c>
      <x:c r="J2213" s="48" t="n">
        <x:v>0.6809679477326526</x:v>
      </x:c>
      <x:c r="K2213" s="48" t="n">
        <x:v>0.6097863009403576</x:v>
      </x:c>
      <x:c r="L2213" s="48" t="n">
        <x:v>0.7235146171632164</x:v>
      </x:c>
      <x:c r="M2213" s="48" t="n">
        <x:v>0.15963797233299734</x:v>
      </x:c>
      <x:c r="N2213" s="48" t="n">
        <x:v>0.8756794582449726</x:v>
      </x:c>
      <x:c r="O2213" s="48" t="n">
        <x:v>0.8331637335672996</x:v>
      </x:c>
      <x:c r="P2213" s="48" t="n">
        <x:v>0.5830276331179136</x:v>
      </x:c>
      <x:c r="Q2213" s="48" t="n">
        <x:v>1</x:v>
      </x:c>
      <x:c r="R2213" s="48" t="n">
        <x:v>0.7939833969850925</x:v>
      </x:c>
      <x:c r="S2213" s="29" t="n">
        <x:v>0</x:v>
      </x:c>
    </x:row>
    <x:row r="2214" ht="21.600000381469727" hidden="0" customHeight="1">
      <x:c r="A2214" s="27" t="n">
        <x:v>737</x:v>
      </x:c>
      <x:c r="B2214" s="27" t="str">
        <x:v>A2</x:v>
      </x:c>
      <x:c r="C2214" s="47" t="n">
        <x:v>1.2168357958276332</x:v>
      </x:c>
      <x:c r="D2214" s="47" t="n">
        <x:v>0.9272791190101044</x:v>
      </x:c>
      <x:c r="E2214" s="47" t="n">
        <x:v>0.715541562976723</x:v>
      </x:c>
      <x:c r="F2214" s="47" t="n">
        <x:v>-0.017678274136768674</x:v>
      </x:c>
      <x:c r="G2214" s="47" t="n">
        <x:v>-0.02927304627869942</x:v>
      </x:c>
      <x:c r="H2214" s="47" t="n">
        <x:v>0.5403976536297097</x:v>
      </x:c>
      <x:c r="I2214" s="47" t="n">
        <x:v>1.0101959320106282</x:v>
      </x:c>
      <x:c r="J2214" s="47" t="n">
        <x:v>0.6809679477326526</x:v>
      </x:c>
      <x:c r="K2214" s="47" t="n">
        <x:v>0.6097863009403576</x:v>
      </x:c>
      <x:c r="L2214" s="47" t="n">
        <x:v>0.7235146171632164</x:v>
      </x:c>
      <x:c r="M2214" s="47" t="n">
        <x:v>0.15963797233299734</x:v>
      </x:c>
      <x:c r="N2214" s="47" t="n">
        <x:v>0.8756794582449726</x:v>
      </x:c>
      <x:c r="O2214" s="47" t="n">
        <x:v>0.9296603155750942</x:v>
      </x:c>
      <x:c r="P2214" s="47" t="n">
        <x:v>0.6301081510281149</x:v>
      </x:c>
      <x:c r="Q2214" s="47" t="n">
        <x:v>0.9999999999999999</x:v>
      </x:c>
      <x:c r="R2214" s="47" t="n">
        <x:v>0.9131415300029792</x:v>
      </x:c>
      <x:c r="S2214" s="27" t="n">
        <x:v>0</x:v>
      </x:c>
    </x:row>
    <x:row r="2215" ht="21.600000381469727" hidden="0" customHeight="1">
      <x:c r="A2215" s="29" t="n">
        <x:v>737</x:v>
      </x:c>
      <x:c r="B2215" s="29" t="str">
        <x:v>A3</x:v>
      </x:c>
      <x:c r="C2215" s="48" t="n">
        <x:v>1.2168357958276332</x:v>
      </x:c>
      <x:c r="D2215" s="48" t="n">
        <x:v>0.9272791190101044</x:v>
      </x:c>
      <x:c r="E2215" s="48" t="n">
        <x:v>0.715541562976723</x:v>
      </x:c>
      <x:c r="F2215" s="48" t="n">
        <x:v>-0.017678274136768674</x:v>
      </x:c>
      <x:c r="G2215" s="48" t="n">
        <x:v>-0.02927304627869942</x:v>
      </x:c>
      <x:c r="H2215" s="48" t="n">
        <x:v>0.5403976536297097</x:v>
      </x:c>
      <x:c r="I2215" s="48" t="n">
        <x:v>1.0101959320106282</x:v>
      </x:c>
      <x:c r="J2215" s="48" t="n">
        <x:v>0.6809679477326526</x:v>
      </x:c>
      <x:c r="K2215" s="48" t="n">
        <x:v>0.6097863009403576</x:v>
      </x:c>
      <x:c r="L2215" s="48" t="n">
        <x:v>0.7235146171632164</x:v>
      </x:c>
      <x:c r="M2215" s="48" t="n">
        <x:v>0.15963797233299734</x:v>
      </x:c>
      <x:c r="N2215" s="48" t="n">
        <x:v>0.8756794582449726</x:v>
      </x:c>
      <x:c r="O2215" s="48" t="n">
        <x:v>1</x:v>
      </x:c>
      <x:c r="P2215" s="48" t="n">
        <x:v>1</x:v>
      </x:c>
      <x:c r="Q2215" s="48" t="n">
        <x:v>1</x:v>
      </x:c>
      <x:c r="R2215" s="48" t="n">
        <x:v>1</x:v>
      </x:c>
      <x:c r="S2215" s="29" t="n">
        <x:v>1</x:v>
      </x:c>
    </x:row>
    <x:row r="2216" ht="21.600000381469727" hidden="0" customHeight="1">
      <x:c r="A2216" s="27" t="n">
        <x:v>738</x:v>
      </x:c>
      <x:c r="B2216" s="27" t="str">
        <x:v>A1</x:v>
      </x:c>
      <x:c r="C2216" s="47" t="n">
        <x:v>1.3111488754282632</x:v>
      </x:c>
      <x:c r="D2216" s="47" t="n">
        <x:v>0.9214223234628411</x:v>
      </x:c>
      <x:c r="E2216" s="47" t="n">
        <x:v>0.7897873262004094</x:v>
      </x:c>
      <x:c r="F2216" s="47" t="n">
        <x:v>-0.13223073118543158</x:v>
      </x:c>
      <x:c r="G2216" s="47" t="n">
        <x:v>-0.13257104347403076</x:v>
      </x:c>
      <x:c r="H2216" s="47" t="n">
        <x:v>0.3175918932051358</x:v>
      </x:c>
      <x:c r="I2216" s="47" t="n">
        <x:v>0.906570952624112</x:v>
      </x:c>
      <x:c r="J2216" s="47" t="n">
        <x:v>0.8515155353135619</x:v>
      </x:c>
      <x:c r="K2216" s="47" t="n">
        <x:v>0.598302122505242</x:v>
      </x:c>
      <x:c r="L2216" s="47" t="n">
        <x:v>0.7008228734915275</x:v>
      </x:c>
      <x:c r="M2216" s="47" t="n">
        <x:v>0.14402768854147532</x:v>
      </x:c>
      <x:c r="N2216" s="47" t="n">
        <x:v>0.9092905941720415</x:v>
      </x:c>
      <x:c r="O2216" s="47" t="n">
        <x:v>0.7894292798695149</x:v>
      </x:c>
      <x:c r="P2216" s="47" t="n">
        <x:v>0.4528492835354008</x:v>
      </x:c>
      <x:c r="Q2216" s="47" t="n">
        <x:v>0.963648810890578</x:v>
      </x:c>
      <x:c r="R2216" s="47" t="n">
        <x:v>0.7457965268239719</x:v>
      </x:c>
      <x:c r="S2216" s="27" t="n">
        <x:v>0</x:v>
      </x:c>
    </x:row>
    <x:row r="2217" ht="21.600000381469727" hidden="0" customHeight="1">
      <x:c r="A2217" s="29" t="n">
        <x:v>738</x:v>
      </x:c>
      <x:c r="B2217" s="29" t="str">
        <x:v>A2</x:v>
      </x:c>
      <x:c r="C2217" s="48" t="n">
        <x:v>1.3111488754282632</x:v>
      </x:c>
      <x:c r="D2217" s="48" t="n">
        <x:v>0.9214223234628411</x:v>
      </x:c>
      <x:c r="E2217" s="48" t="n">
        <x:v>0.7897873262004094</x:v>
      </x:c>
      <x:c r="F2217" s="48" t="n">
        <x:v>-0.13223073118543158</x:v>
      </x:c>
      <x:c r="G2217" s="48" t="n">
        <x:v>-0.13257104347403076</x:v>
      </x:c>
      <x:c r="H2217" s="48" t="n">
        <x:v>0.3175918932051358</x:v>
      </x:c>
      <x:c r="I2217" s="48" t="n">
        <x:v>0.906570952624112</x:v>
      </x:c>
      <x:c r="J2217" s="48" t="n">
        <x:v>0.8515155353135619</x:v>
      </x:c>
      <x:c r="K2217" s="48" t="n">
        <x:v>0.598302122505242</x:v>
      </x:c>
      <x:c r="L2217" s="48" t="n">
        <x:v>0.7008228734915275</x:v>
      </x:c>
      <x:c r="M2217" s="48" t="n">
        <x:v>0.14402768854147532</x:v>
      </x:c>
      <x:c r="N2217" s="48" t="n">
        <x:v>0.9092905941720415</x:v>
      </x:c>
      <x:c r="O2217" s="48" t="n">
        <x:v>0.8714020193866101</x:v>
      </x:c>
      <x:c r="P2217" s="48" t="n">
        <x:v>0.5320771456586154</x:v>
      </x:c>
      <x:c r="Q2217" s="48" t="n">
        <x:v>1</x:v>
      </x:c>
      <x:c r="R2217" s="48" t="n">
        <x:v>0.8412016782260315</x:v>
      </x:c>
      <x:c r="S2217" s="29" t="n">
        <x:v>0</x:v>
      </x:c>
    </x:row>
    <x:row r="2218" ht="21.600000381469727" hidden="0" customHeight="1">
      <x:c r="A2218" s="27" t="n">
        <x:v>738</x:v>
      </x:c>
      <x:c r="B2218" s="27" t="str">
        <x:v>A3</x:v>
      </x:c>
      <x:c r="C2218" s="47" t="n">
        <x:v>1.3111488754282632</x:v>
      </x:c>
      <x:c r="D2218" s="47" t="n">
        <x:v>0.9214223234628411</x:v>
      </x:c>
      <x:c r="E2218" s="47" t="n">
        <x:v>0.7897873262004094</x:v>
      </x:c>
      <x:c r="F2218" s="47" t="n">
        <x:v>-0.13223073118543158</x:v>
      </x:c>
      <x:c r="G2218" s="47" t="n">
        <x:v>-0.13257104347403076</x:v>
      </x:c>
      <x:c r="H2218" s="47" t="n">
        <x:v>0.3175918932051358</x:v>
      </x:c>
      <x:c r="I2218" s="47" t="n">
        <x:v>0.906570952624112</x:v>
      </x:c>
      <x:c r="J2218" s="47" t="n">
        <x:v>0.8515155353135619</x:v>
      </x:c>
      <x:c r="K2218" s="47" t="n">
        <x:v>0.598302122505242</x:v>
      </x:c>
      <x:c r="L2218" s="47" t="n">
        <x:v>0.7008228734915275</x:v>
      </x:c>
      <x:c r="M2218" s="47" t="n">
        <x:v>0.14402768854147532</x:v>
      </x:c>
      <x:c r="N2218" s="47" t="n">
        <x:v>0.9092905941720415</x:v>
      </x:c>
      <x:c r="O2218" s="47" t="n">
        <x:v>1.0000000000000002</x:v>
      </x:c>
      <x:c r="P2218" s="47" t="n">
        <x:v>1</x:v>
      </x:c>
      <x:c r="Q2218" s="47" t="n">
        <x:v>1</x:v>
      </x:c>
      <x:c r="R2218" s="47" t="n">
        <x:v>1</x:v>
      </x:c>
      <x:c r="S2218" s="27" t="n">
        <x:v>1</x:v>
      </x:c>
    </x:row>
    <x:row r="2219" ht="21.600000381469727" hidden="0" customHeight="1">
      <x:c r="A2219" s="29" t="n">
        <x:v>739</x:v>
      </x:c>
      <x:c r="B2219" s="29" t="str">
        <x:v>A1</x:v>
      </x:c>
      <x:c r="C2219" s="48" t="n">
        <x:v>1.1410551068284946</x:v>
      </x:c>
      <x:c r="D2219" s="48" t="n">
        <x:v>0.873401603621692</x:v>
      </x:c>
      <x:c r="E2219" s="48" t="n">
        <x:v>0.9081779433071433</x:v>
      </x:c>
      <x:c r="F2219" s="48" t="n">
        <x:v>-0.08433555292587412</x:v>
      </x:c>
      <x:c r="G2219" s="48" t="n">
        <x:v>-0.10528752531944627</x:v>
      </x:c>
      <x:c r="H2219" s="48" t="n">
        <x:v>1.0265388698601268</x:v>
      </x:c>
      <x:c r="I2219" s="48" t="n">
        <x:v>0.9597042533942074</x:v>
      </x:c>
      <x:c r="J2219" s="48" t="n">
        <x:v>0.4690500007415911</x:v>
      </x:c>
      <x:c r="K2219" s="48" t="n">
        <x:v>0.8401225025720196</x:v>
      </x:c>
      <x:c r="L2219" s="48" t="n">
        <x:v>0.6389159532942175</x:v>
      </x:c>
      <x:c r="M2219" s="48" t="n">
        <x:v>0.1693770176863623</x:v>
      </x:c>
      <x:c r="N2219" s="48" t="n">
        <x:v>0.8482396509052548</x:v>
      </x:c>
      <x:c r="O2219" s="48" t="n">
        <x:v>0.8517369912434429</x:v>
      </x:c>
      <x:c r="P2219" s="48" t="n">
        <x:v>0.607293207265145</x:v>
      </x:c>
      <x:c r="Q2219" s="48" t="n">
        <x:v>1</x:v>
      </x:c>
      <x:c r="R2219" s="48" t="n">
        <x:v>0.8169184550223877</x:v>
      </x:c>
      <x:c r="S2219" s="29" t="n">
        <x:v>0</x:v>
      </x:c>
    </x:row>
    <x:row r="2220" ht="21.600000381469727" hidden="0" customHeight="1">
      <x:c r="A2220" s="27" t="n">
        <x:v>739</x:v>
      </x:c>
      <x:c r="B2220" s="27" t="str">
        <x:v>A2</x:v>
      </x:c>
      <x:c r="C2220" s="47" t="n">
        <x:v>1.1410551068284946</x:v>
      </x:c>
      <x:c r="D2220" s="47" t="n">
        <x:v>0.873401603621692</x:v>
      </x:c>
      <x:c r="E2220" s="47" t="n">
        <x:v>0.9081779433071433</x:v>
      </x:c>
      <x:c r="F2220" s="47" t="n">
        <x:v>-0.08433555292587412</x:v>
      </x:c>
      <x:c r="G2220" s="47" t="n">
        <x:v>-0.10528752531944627</x:v>
      </x:c>
      <x:c r="H2220" s="47" t="n">
        <x:v>1.0265388698601268</x:v>
      </x:c>
      <x:c r="I2220" s="47" t="n">
        <x:v>0.9597042533942074</x:v>
      </x:c>
      <x:c r="J2220" s="47" t="n">
        <x:v>0.4690500007415911</x:v>
      </x:c>
      <x:c r="K2220" s="47" t="n">
        <x:v>0.8401225025720196</x:v>
      </x:c>
      <x:c r="L2220" s="47" t="n">
        <x:v>0.6389159532942175</x:v>
      </x:c>
      <x:c r="M2220" s="47" t="n">
        <x:v>0.1693770176863623</x:v>
      </x:c>
      <x:c r="N2220" s="47" t="n">
        <x:v>0.8482396509052548</x:v>
      </x:c>
      <x:c r="O2220" s="47" t="n">
        <x:v>0.9329141194614691</x:v>
      </x:c>
      <x:c r="P2220" s="47" t="n">
        <x:v>0.7338299981291666</x:v>
      </x:c>
      <x:c r="Q2220" s="47" t="n">
        <x:v>1</x:v>
      </x:c>
      <x:c r="R2220" s="47" t="n">
        <x:v>0.9171594670971184</x:v>
      </x:c>
      <x:c r="S2220" s="27" t="n">
        <x:v>0</x:v>
      </x:c>
    </x:row>
    <x:row r="2221" ht="21.600000381469727" hidden="0" customHeight="1">
      <x:c r="A2221" s="29" t="n">
        <x:v>739</x:v>
      </x:c>
      <x:c r="B2221" s="29" t="str">
        <x:v>A3</x:v>
      </x:c>
      <x:c r="C2221" s="48" t="n">
        <x:v>1.1410551068284946</x:v>
      </x:c>
      <x:c r="D2221" s="48" t="n">
        <x:v>0.873401603621692</x:v>
      </x:c>
      <x:c r="E2221" s="48" t="n">
        <x:v>0.9081779433071433</x:v>
      </x:c>
      <x:c r="F2221" s="48" t="n">
        <x:v>-0.08433555292587412</x:v>
      </x:c>
      <x:c r="G2221" s="48" t="n">
        <x:v>-0.10528752531944627</x:v>
      </x:c>
      <x:c r="H2221" s="48" t="n">
        <x:v>1.0265388698601268</x:v>
      </x:c>
      <x:c r="I2221" s="48" t="n">
        <x:v>0.9597042533942074</x:v>
      </x:c>
      <x:c r="J2221" s="48" t="n">
        <x:v>0.4690500007415911</x:v>
      </x:c>
      <x:c r="K2221" s="48" t="n">
        <x:v>0.8401225025720196</x:v>
      </x:c>
      <x:c r="L2221" s="48" t="n">
        <x:v>0.6389159532942175</x:v>
      </x:c>
      <x:c r="M2221" s="48" t="n">
        <x:v>0.1693770176863623</x:v>
      </x:c>
      <x:c r="N2221" s="48" t="n">
        <x:v>0.8482396509052548</x:v>
      </x:c>
      <x:c r="O2221" s="48" t="n">
        <x:v>1</x:v>
      </x:c>
      <x:c r="P2221" s="48" t="n">
        <x:v>1</x:v>
      </x:c>
      <x:c r="Q2221" s="48" t="n">
        <x:v>1</x:v>
      </x:c>
      <x:c r="R2221" s="48" t="n">
        <x:v>1</x:v>
      </x:c>
      <x:c r="S2221" s="29" t="n">
        <x:v>1</x:v>
      </x:c>
    </x:row>
    <x:row r="2222" ht="21.600000381469727" hidden="0" customHeight="1">
      <x:c r="A2222" s="27" t="n">
        <x:v>740</x:v>
      </x:c>
      <x:c r="B2222" s="27" t="str">
        <x:v>A1</x:v>
      </x:c>
      <x:c r="C2222" s="47" t="n">
        <x:v>1.1959098879673404</x:v>
      </x:c>
      <x:c r="D2222" s="47" t="n">
        <x:v>0.949043352644828</x:v>
      </x:c>
      <x:c r="E2222" s="47" t="n">
        <x:v>0.5339832464989936</x:v>
      </x:c>
      <x:c r="F2222" s="47" t="n">
        <x:v>-0.0017617066352879074</x:v>
      </x:c>
      <x:c r="G2222" s="47" t="n">
        <x:v>-0.1422673037226285</x:v>
      </x:c>
      <x:c r="H2222" s="47" t="n">
        <x:v>1.0375792336606697</x:v>
      </x:c>
      <x:c r="I2222" s="47" t="n">
        <x:v>0.7599934014589953</x:v>
      </x:c>
      <x:c r="J2222" s="47" t="n">
        <x:v>0.4328041282116643</x:v>
      </x:c>
      <x:c r="K2222" s="47" t="n">
        <x:v>0.8877049464987172</x:v>
      </x:c>
      <x:c r="L2222" s="47" t="n">
        <x:v>0.7388947302062183</x:v>
      </x:c>
      <x:c r="M2222" s="47" t="n">
        <x:v>0.16093779542395362</x:v>
      </x:c>
      <x:c r="N2222" s="47" t="n">
        <x:v>0.7199467816388124</x:v>
      </x:c>
      <x:c r="O2222" s="47" t="n">
        <x:v>0.8214415206886015</x:v>
      </x:c>
      <x:c r="P2222" s="47" t="n">
        <x:v>0.5327917719005009</x:v>
      </x:c>
      <x:c r="Q2222" s="47" t="n">
        <x:v>0.9999999999999998</x:v>
      </x:c>
      <x:c r="R2222" s="47" t="n">
        <x:v>0.7795083039569163</x:v>
      </x:c>
      <x:c r="S2222" s="27" t="n">
        <x:v>0</x:v>
      </x:c>
    </x:row>
    <x:row r="2223" ht="21.600000381469727" hidden="0" customHeight="1">
      <x:c r="A2223" s="29" t="n">
        <x:v>740</x:v>
      </x:c>
      <x:c r="B2223" s="29" t="str">
        <x:v>A2</x:v>
      </x:c>
      <x:c r="C2223" s="48" t="n">
        <x:v>1.1959098879673404</x:v>
      </x:c>
      <x:c r="D2223" s="48" t="n">
        <x:v>0.949043352644828</x:v>
      </x:c>
      <x:c r="E2223" s="48" t="n">
        <x:v>0.5339832464989936</x:v>
      </x:c>
      <x:c r="F2223" s="48" t="n">
        <x:v>-0.0017617066352879074</x:v>
      </x:c>
      <x:c r="G2223" s="48" t="n">
        <x:v>-0.1422673037226285</x:v>
      </x:c>
      <x:c r="H2223" s="48" t="n">
        <x:v>1.0375792336606697</x:v>
      </x:c>
      <x:c r="I2223" s="48" t="n">
        <x:v>0.7599934014589953</x:v>
      </x:c>
      <x:c r="J2223" s="48" t="n">
        <x:v>0.4328041282116643</x:v>
      </x:c>
      <x:c r="K2223" s="48" t="n">
        <x:v>0.8877049464987172</x:v>
      </x:c>
      <x:c r="L2223" s="48" t="n">
        <x:v>0.7388947302062183</x:v>
      </x:c>
      <x:c r="M2223" s="48" t="n">
        <x:v>0.16093779542395362</x:v>
      </x:c>
      <x:c r="N2223" s="48" t="n">
        <x:v>0.7199467816388124</x:v>
      </x:c>
      <x:c r="O2223" s="48" t="n">
        <x:v>0.9132076261288963</x:v>
      </x:c>
      <x:c r="P2223" s="48" t="n">
        <x:v>0.7055003709350415</x:v>
      </x:c>
      <x:c r="Q2223" s="48" t="n">
        <x:v>1</x:v>
      </x:c>
      <x:c r="R2223" s="48" t="n">
        <x:v>0.892825040892788</x:v>
      </x:c>
      <x:c r="S2223" s="29" t="n">
        <x:v>0</x:v>
      </x:c>
    </x:row>
    <x:row r="2224" ht="21.600000381469727" hidden="0" customHeight="1">
      <x:c r="A2224" s="27" t="n">
        <x:v>740</x:v>
      </x:c>
      <x:c r="B2224" s="27" t="str">
        <x:v>A3</x:v>
      </x:c>
      <x:c r="C2224" s="47" t="n">
        <x:v>1.1959098879673404</x:v>
      </x:c>
      <x:c r="D2224" s="47" t="n">
        <x:v>0.949043352644828</x:v>
      </x:c>
      <x:c r="E2224" s="47" t="n">
        <x:v>0.5339832464989936</x:v>
      </x:c>
      <x:c r="F2224" s="47" t="n">
        <x:v>-0.0017617066352879074</x:v>
      </x:c>
      <x:c r="G2224" s="47" t="n">
        <x:v>-0.1422673037226285</x:v>
      </x:c>
      <x:c r="H2224" s="47" t="n">
        <x:v>1.0375792336606697</x:v>
      </x:c>
      <x:c r="I2224" s="47" t="n">
        <x:v>0.7599934014589953</x:v>
      </x:c>
      <x:c r="J2224" s="47" t="n">
        <x:v>0.4328041282116643</x:v>
      </x:c>
      <x:c r="K2224" s="47" t="n">
        <x:v>0.8877049464987172</x:v>
      </x:c>
      <x:c r="L2224" s="47" t="n">
        <x:v>0.7388947302062183</x:v>
      </x:c>
      <x:c r="M2224" s="47" t="n">
        <x:v>0.16093779542395362</x:v>
      </x:c>
      <x:c r="N2224" s="47" t="n">
        <x:v>0.7199467816388124</x:v>
      </x:c>
      <x:c r="O2224" s="47" t="n">
        <x:v>1</x:v>
      </x:c>
      <x:c r="P2224" s="47" t="n">
        <x:v>1</x:v>
      </x:c>
      <x:c r="Q2224" s="47" t="n">
        <x:v>1</x:v>
      </x:c>
      <x:c r="R2224" s="47" t="n">
        <x:v>1</x:v>
      </x:c>
      <x:c r="S2224" s="27" t="n">
        <x:v>1</x:v>
      </x:c>
    </x:row>
    <x:row r="2225" ht="21.600000381469727" hidden="0" customHeight="1">
      <x:c r="A2225" s="29" t="n">
        <x:v>741</x:v>
      </x:c>
      <x:c r="B2225" s="29" t="str">
        <x:v>A1</x:v>
      </x:c>
      <x:c r="C2225" s="48" t="n">
        <x:v>0.9487001578292034</x:v>
      </x:c>
      <x:c r="D2225" s="48" t="n">
        <x:v>0.7867975323839427</x:v>
      </x:c>
      <x:c r="E2225" s="48" t="n">
        <x:v>1.0277720961673265</x:v>
      </x:c>
      <x:c r="F2225" s="48" t="n">
        <x:v>-0.04455819522352131</x:v>
      </x:c>
      <x:c r="G2225" s="48" t="n">
        <x:v>-0.041436205458133285</x:v>
      </x:c>
      <x:c r="H2225" s="48" t="n">
        <x:v>0.9565927761182003</x:v>
      </x:c>
      <x:c r="I2225" s="48" t="n">
        <x:v>0.9100766926862651</x:v>
      </x:c>
      <x:c r="J2225" s="48" t="n">
        <x:v>0.41723335305799447</x:v>
      </x:c>
      <x:c r="K2225" s="48" t="n">
        <x:v>0.9936140974184089</x:v>
      </x:c>
      <x:c r="L2225" s="48" t="n">
        <x:v>0.9427377302505233</x:v>
      </x:c>
      <x:c r="M2225" s="48" t="n">
        <x:v>0.11071486354197607</x:v>
      </x:c>
      <x:c r="N2225" s="48" t="n">
        <x:v>0.8184595253289579</x:v>
      </x:c>
      <x:c r="O2225" s="48" t="n">
        <x:v>0.8857836984701988</x:v>
      </x:c>
      <x:c r="P2225" s="48" t="n">
        <x:v>0.656163932076348</x:v>
      </x:c>
      <x:c r="Q2225" s="48" t="n">
        <x:v>1</x:v>
      </x:c>
      <x:c r="R2225" s="48" t="n">
        <x:v>0.8589607945968516</x:v>
      </x:c>
      <x:c r="S2225" s="29" t="n">
        <x:v>0</x:v>
      </x:c>
    </x:row>
    <x:row r="2226" ht="21.600000381469727" hidden="0" customHeight="1">
      <x:c r="A2226" s="27" t="n">
        <x:v>741</x:v>
      </x:c>
      <x:c r="B2226" s="27" t="str">
        <x:v>A2</x:v>
      </x:c>
      <x:c r="C2226" s="47" t="n">
        <x:v>0.9487001578292034</x:v>
      </x:c>
      <x:c r="D2226" s="47" t="n">
        <x:v>0.7867975323839427</x:v>
      </x:c>
      <x:c r="E2226" s="47" t="n">
        <x:v>1.0277720961673265</x:v>
      </x:c>
      <x:c r="F2226" s="47" t="n">
        <x:v>-0.04455819522352131</x:v>
      </x:c>
      <x:c r="G2226" s="47" t="n">
        <x:v>-0.041436205458133285</x:v>
      </x:c>
      <x:c r="H2226" s="47" t="n">
        <x:v>0.9565927761182003</x:v>
      </x:c>
      <x:c r="I2226" s="47" t="n">
        <x:v>0.9100766926862651</x:v>
      </x:c>
      <x:c r="J2226" s="47" t="n">
        <x:v>0.41723335305799447</x:v>
      </x:c>
      <x:c r="K2226" s="47" t="n">
        <x:v>0.9936140974184089</x:v>
      </x:c>
      <x:c r="L2226" s="47" t="n">
        <x:v>0.9427377302505233</x:v>
      </x:c>
      <x:c r="M2226" s="47" t="n">
        <x:v>0.11071486354197607</x:v>
      </x:c>
      <x:c r="N2226" s="47" t="n">
        <x:v>0.8184595253289579</x:v>
      </x:c>
      <x:c r="O2226" s="47" t="n">
        <x:v>0.9837940952286653</x:v>
      </x:c>
      <x:c r="P2226" s="47" t="n">
        <x:v>0.8912186490456286</x:v>
      </x:c>
      <x:c r="Q2226" s="47" t="n">
        <x:v>1</x:v>
      </x:c>
      <x:c r="R2226" s="47" t="n">
        <x:v>0.9799882512288165</x:v>
      </x:c>
      <x:c r="S2226" s="27" t="n">
        <x:v>0</x:v>
      </x:c>
    </x:row>
    <x:row r="2227" ht="21.600000381469727" hidden="0" customHeight="1">
      <x:c r="A2227" s="29" t="n">
        <x:v>741</x:v>
      </x:c>
      <x:c r="B2227" s="29" t="str">
        <x:v>A3</x:v>
      </x:c>
      <x:c r="C2227" s="48" t="n">
        <x:v>0.9487001578292034</x:v>
      </x:c>
      <x:c r="D2227" s="48" t="n">
        <x:v>0.7867975323839427</x:v>
      </x:c>
      <x:c r="E2227" s="48" t="n">
        <x:v>1.0277720961673265</x:v>
      </x:c>
      <x:c r="F2227" s="48" t="n">
        <x:v>-0.04455819522352131</x:v>
      </x:c>
      <x:c r="G2227" s="48" t="n">
        <x:v>-0.041436205458133285</x:v>
      </x:c>
      <x:c r="H2227" s="48" t="n">
        <x:v>0.9565927761182003</x:v>
      </x:c>
      <x:c r="I2227" s="48" t="n">
        <x:v>0.9100766926862651</x:v>
      </x:c>
      <x:c r="J2227" s="48" t="n">
        <x:v>0.41723335305799447</x:v>
      </x:c>
      <x:c r="K2227" s="48" t="n">
        <x:v>0.9936140974184089</x:v>
      </x:c>
      <x:c r="L2227" s="48" t="n">
        <x:v>0.9427377302505233</x:v>
      </x:c>
      <x:c r="M2227" s="48" t="n">
        <x:v>0.11071486354197607</x:v>
      </x:c>
      <x:c r="N2227" s="48" t="n">
        <x:v>0.8184595253289579</x:v>
      </x:c>
      <x:c r="O2227" s="48" t="n">
        <x:v>1</x:v>
      </x:c>
      <x:c r="P2227" s="48" t="n">
        <x:v>1</x:v>
      </x:c>
      <x:c r="Q2227" s="48" t="n">
        <x:v>1</x:v>
      </x:c>
      <x:c r="R2227" s="48" t="n">
        <x:v>1</x:v>
      </x:c>
      <x:c r="S2227" s="29" t="n">
        <x:v>1</x:v>
      </x:c>
    </x:row>
    <x:row r="2228" ht="21.600000381469727" hidden="0" customHeight="1">
      <x:c r="A2228" s="27" t="n">
        <x:v>742</x:v>
      </x:c>
      <x:c r="B2228" s="27" t="str">
        <x:v>A1</x:v>
      </x:c>
      <x:c r="C2228" s="47" t="n">
        <x:v>1.025954934823585</x:v>
      </x:c>
      <x:c r="D2228" s="47" t="n">
        <x:v>0.9257502949448593</x:v>
      </x:c>
      <x:c r="E2228" s="47" t="n">
        <x:v>0.8781752250942871</x:v>
      </x:c>
      <x:c r="F2228" s="47" t="n">
        <x:v>-0.09125822366703763</x:v>
      </x:c>
      <x:c r="G2228" s="47" t="n">
        <x:v>-0.12873712188710168</x:v>
      </x:c>
      <x:c r="H2228" s="47" t="n">
        <x:v>1.0200514879840845</x:v>
      </x:c>
      <x:c r="I2228" s="47" t="n">
        <x:v>0.692047068588798</x:v>
      </x:c>
      <x:c r="J2228" s="47" t="n">
        <x:v>0.8679075075995558</x:v>
      </x:c>
      <x:c r="K2228" s="47" t="n">
        <x:v>0.8004853190662715</x:v>
      </x:c>
      <x:c r="L2228" s="47" t="n">
        <x:v>0.9609352247416408</x:v>
      </x:c>
      <x:c r="M2228" s="47" t="n">
        <x:v>0.00367094038416278</x:v>
      </x:c>
      <x:c r="N2228" s="47" t="n">
        <x:v>0.9856253246279381</x:v>
      </x:c>
      <x:c r="O2228" s="47" t="n">
        <x:v>0.939570257457951</x:v>
      </x:c>
      <x:c r="P2228" s="47" t="n">
        <x:v>0.6961776833517049</x:v>
      </x:c>
      <x:c r="Q2228" s="47" t="n">
        <x:v>1</x:v>
      </x:c>
      <x:c r="R2228" s="47" t="n">
        <x:v>0.9253787527989285</x:v>
      </x:c>
      <x:c r="S2228" s="27" t="n">
        <x:v>0</x:v>
      </x:c>
    </x:row>
    <x:row r="2229" ht="21.600000381469727" hidden="0" customHeight="1">
      <x:c r="A2229" s="29" t="n">
        <x:v>742</x:v>
      </x:c>
      <x:c r="B2229" s="29" t="str">
        <x:v>A2</x:v>
      </x:c>
      <x:c r="C2229" s="48" t="n">
        <x:v>1.025954934823585</x:v>
      </x:c>
      <x:c r="D2229" s="48" t="n">
        <x:v>0.9257502949448593</x:v>
      </x:c>
      <x:c r="E2229" s="48" t="n">
        <x:v>0.8781752250942871</x:v>
      </x:c>
      <x:c r="F2229" s="48" t="n">
        <x:v>-0.09125822366703763</x:v>
      </x:c>
      <x:c r="G2229" s="48" t="n">
        <x:v>-0.12873712188710168</x:v>
      </x:c>
      <x:c r="H2229" s="48" t="n">
        <x:v>1.0200514879840845</x:v>
      </x:c>
      <x:c r="I2229" s="48" t="n">
        <x:v>0.692047068588798</x:v>
      </x:c>
      <x:c r="J2229" s="48" t="n">
        <x:v>0.8679075075995558</x:v>
      </x:c>
      <x:c r="K2229" s="48" t="n">
        <x:v>0.8004853190662715</x:v>
      </x:c>
      <x:c r="L2229" s="48" t="n">
        <x:v>0.9609352247416408</x:v>
      </x:c>
      <x:c r="M2229" s="48" t="n">
        <x:v>0.00367094038416278</x:v>
      </x:c>
      <x:c r="N2229" s="48" t="n">
        <x:v>0.9856253246279381</x:v>
      </x:c>
      <x:c r="O2229" s="48" t="n">
        <x:v>0.9967679448245261</x:v>
      </x:c>
      <x:c r="P2229" s="48" t="n">
        <x:v>0.967679448245261</x:v>
      </x:c>
      <x:c r="Q2229" s="48" t="n">
        <x:v>1</x:v>
      </x:c>
      <x:c r="R2229" s="48" t="n">
        <x:v>0.9960089191502227</x:v>
      </x:c>
      <x:c r="S2229" s="29" t="n">
        <x:v>1</x:v>
      </x:c>
    </x:row>
    <x:row r="2230" ht="21.600000381469727" hidden="0" customHeight="1">
      <x:c r="A2230" s="27" t="n">
        <x:v>742</x:v>
      </x:c>
      <x:c r="B2230" s="27" t="str">
        <x:v>A3</x:v>
      </x:c>
      <x:c r="C2230" s="47" t="n">
        <x:v>1.025954934823585</x:v>
      </x:c>
      <x:c r="D2230" s="47" t="n">
        <x:v>0.9257502949448593</x:v>
      </x:c>
      <x:c r="E2230" s="47" t="n">
        <x:v>0.8781752250942871</x:v>
      </x:c>
      <x:c r="F2230" s="47" t="n">
        <x:v>-0.09125822366703763</x:v>
      </x:c>
      <x:c r="G2230" s="47" t="n">
        <x:v>-0.12873712188710168</x:v>
      </x:c>
      <x:c r="H2230" s="47" t="n">
        <x:v>1.0200514879840845</x:v>
      </x:c>
      <x:c r="I2230" s="47" t="n">
        <x:v>0.692047068588798</x:v>
      </x:c>
      <x:c r="J2230" s="47" t="n">
        <x:v>0.8679075075995558</x:v>
      </x:c>
      <x:c r="K2230" s="47" t="n">
        <x:v>0.8004853190662715</x:v>
      </x:c>
      <x:c r="L2230" s="47" t="n">
        <x:v>0.9609352247416408</x:v>
      </x:c>
      <x:c r="M2230" s="47" t="n">
        <x:v>0.00367094038416278</x:v>
      </x:c>
      <x:c r="N2230" s="47" t="n">
        <x:v>0.9856253246279381</x:v>
      </x:c>
      <x:c r="O2230" s="47" t="n">
        <x:v>1</x:v>
      </x:c>
      <x:c r="P2230" s="47" t="n">
        <x:v>1</x:v>
      </x:c>
      <x:c r="Q2230" s="47" t="n">
        <x:v>1</x:v>
      </x:c>
      <x:c r="R2230" s="47" t="n">
        <x:v>1</x:v>
      </x:c>
      <x:c r="S2230" s="27" t="n">
        <x:v>1</x:v>
      </x:c>
    </x:row>
    <x:row r="2231" ht="21.600000381469727" hidden="0" customHeight="1">
      <x:c r="A2231" s="29" t="n">
        <x:v>743</x:v>
      </x:c>
      <x:c r="B2231" s="29" t="str">
        <x:v>A1</x:v>
      </x:c>
      <x:c r="C2231" s="48" t="n">
        <x:v>0.9582393364551235</x:v>
      </x:c>
      <x:c r="D2231" s="48" t="n">
        <x:v>0.7698090742858361</x:v>
      </x:c>
      <x:c r="E2231" s="48" t="n">
        <x:v>0.6724740743236223</x:v>
      </x:c>
      <x:c r="F2231" s="48" t="n">
        <x:v>-0.11281612561841904</x:v>
      </x:c>
      <x:c r="G2231" s="48" t="n">
        <x:v>-0.02441789908956002</x:v>
      </x:c>
      <x:c r="H2231" s="48" t="n">
        <x:v>1.0546678073355022</x:v>
      </x:c>
      <x:c r="I2231" s="48" t="n">
        <x:v>0.9527506031492946</x:v>
      </x:c>
      <x:c r="J2231" s="48" t="n">
        <x:v>0.9856173400765177</x:v>
      </x:c>
      <x:c r="K2231" s="48" t="n">
        <x:v>0.6219265873631646</x:v>
      </x:c>
      <x:c r="L2231" s="48" t="n">
        <x:v>0.9290519958885977</x:v>
      </x:c>
      <x:c r="M2231" s="48" t="n">
        <x:v>0.049131285777799384</x:v>
      </x:c>
      <x:c r="N2231" s="48" t="n">
        <x:v>0.7931988734692794</x:v>
      </x:c>
      <x:c r="O2231" s="48" t="n">
        <x:v>0.913334228477584</x:v>
      </x:c>
      <x:c r="P2231" s="48" t="n">
        <x:v>0.6139369130237512</x:v>
      </x:c>
      <x:c r="Q2231" s="48" t="n">
        <x:v>1</x:v>
      </x:c>
      <x:c r="R2231" s="48" t="n">
        <x:v>0.8929813749223613</x:v>
      </x:c>
      <x:c r="S2231" s="29" t="n">
        <x:v>0</x:v>
      </x:c>
    </x:row>
    <x:row r="2232" ht="21.600000381469727" hidden="0" customHeight="1">
      <x:c r="A2232" s="27" t="n">
        <x:v>743</x:v>
      </x:c>
      <x:c r="B2232" s="27" t="str">
        <x:v>A2</x:v>
      </x:c>
      <x:c r="C2232" s="47" t="n">
        <x:v>0.9582393364551235</x:v>
      </x:c>
      <x:c r="D2232" s="47" t="n">
        <x:v>0.7698090742858361</x:v>
      </x:c>
      <x:c r="E2232" s="47" t="n">
        <x:v>0.6724740743236223</x:v>
      </x:c>
      <x:c r="F2232" s="47" t="n">
        <x:v>-0.11281612561841904</x:v>
      </x:c>
      <x:c r="G2232" s="47" t="n">
        <x:v>-0.02441789908956002</x:v>
      </x:c>
      <x:c r="H2232" s="47" t="n">
        <x:v>1.0546678073355022</x:v>
      </x:c>
      <x:c r="I2232" s="47" t="n">
        <x:v>0.9527506031492946</x:v>
      </x:c>
      <x:c r="J2232" s="47" t="n">
        <x:v>0.9856173400765177</x:v>
      </x:c>
      <x:c r="K2232" s="47" t="n">
        <x:v>0.6219265873631646</x:v>
      </x:c>
      <x:c r="L2232" s="47" t="n">
        <x:v>0.9290519958885977</x:v>
      </x:c>
      <x:c r="M2232" s="47" t="n">
        <x:v>0.049131285777799384</x:v>
      </x:c>
      <x:c r="N2232" s="47" t="n">
        <x:v>0.7931988734692794</x:v>
      </x:c>
      <x:c r="O2232" s="47" t="n">
        <x:v>0.9667217398733238</x:v>
      </x:c>
      <x:c r="P2232" s="47" t="n">
        <x:v>0.7011684769928359</x:v>
      </x:c>
      <x:c r="Q2232" s="47" t="n">
        <x:v>1</x:v>
      </x:c>
      <x:c r="R2232" s="47" t="n">
        <x:v>0.9589065719813993</x:v>
      </x:c>
      <x:c r="S2232" s="27" t="n">
        <x:v>0</x:v>
      </x:c>
    </x:row>
    <x:row r="2233" ht="21.600000381469727" hidden="0" customHeight="1">
      <x:c r="A2233" s="29" t="n">
        <x:v>743</x:v>
      </x:c>
      <x:c r="B2233" s="29" t="str">
        <x:v>A3</x:v>
      </x:c>
      <x:c r="C2233" s="48" t="n">
        <x:v>0.9582393364551235</x:v>
      </x:c>
      <x:c r="D2233" s="48" t="n">
        <x:v>0.7698090742858361</x:v>
      </x:c>
      <x:c r="E2233" s="48" t="n">
        <x:v>0.6724740743236223</x:v>
      </x:c>
      <x:c r="F2233" s="48" t="n">
        <x:v>-0.11281612561841904</x:v>
      </x:c>
      <x:c r="G2233" s="48" t="n">
        <x:v>-0.02441789908956002</x:v>
      </x:c>
      <x:c r="H2233" s="48" t="n">
        <x:v>1.0546678073355022</x:v>
      </x:c>
      <x:c r="I2233" s="48" t="n">
        <x:v>0.9527506031492946</x:v>
      </x:c>
      <x:c r="J2233" s="48" t="n">
        <x:v>0.9856173400765177</x:v>
      </x:c>
      <x:c r="K2233" s="48" t="n">
        <x:v>0.6219265873631646</x:v>
      </x:c>
      <x:c r="L2233" s="48" t="n">
        <x:v>0.9290519958885977</x:v>
      </x:c>
      <x:c r="M2233" s="48" t="n">
        <x:v>0.049131285777799384</x:v>
      </x:c>
      <x:c r="N2233" s="48" t="n">
        <x:v>0.7931988734692794</x:v>
      </x:c>
      <x:c r="O2233" s="48" t="n">
        <x:v>1</x:v>
      </x:c>
      <x:c r="P2233" s="48" t="n">
        <x:v>1</x:v>
      </x:c>
      <x:c r="Q2233" s="48" t="n">
        <x:v>1</x:v>
      </x:c>
      <x:c r="R2233" s="48" t="n">
        <x:v>1</x:v>
      </x:c>
      <x:c r="S2233" s="29" t="n">
        <x:v>1</x:v>
      </x:c>
    </x:row>
    <x:row r="2234" ht="21.600000381469727" hidden="0" customHeight="1">
      <x:c r="A2234" s="27" t="n">
        <x:v>744</x:v>
      </x:c>
      <x:c r="B2234" s="27" t="str">
        <x:v>A1</x:v>
      </x:c>
      <x:c r="C2234" s="47" t="n">
        <x:v>1.1807130766466079</x:v>
      </x:c>
      <x:c r="D2234" s="47" t="n">
        <x:v>0.8354519310384276</x:v>
      </x:c>
      <x:c r="E2234" s="47" t="n">
        <x:v>1.040033090167273</x:v>
      </x:c>
      <x:c r="F2234" s="47" t="n">
        <x:v>-0.11323323236086151</x:v>
      </x:c>
      <x:c r="G2234" s="47" t="n">
        <x:v>-0.18882204006280423</x:v>
      </x:c>
      <x:c r="H2234" s="47" t="n">
        <x:v>0.5553499824171999</x:v>
      </x:c>
      <x:c r="I2234" s="47" t="n">
        <x:v>1.0009634096088018</x:v>
      </x:c>
      <x:c r="J2234" s="47" t="n">
        <x:v>0.6778409721054971</x:v>
      </x:c>
      <x:c r="K2234" s="47" t="n">
        <x:v>0.6753267185268278</x:v>
      </x:c>
      <x:c r="L2234" s="47" t="n">
        <x:v>0.5185710065784344</x:v>
      </x:c>
      <x:c r="M2234" s="47" t="n">
        <x:v>0.09316853919811224</x:v>
      </x:c>
      <x:c r="N2234" s="47" t="n">
        <x:v>0.932588878703098</x:v>
      </x:c>
      <x:c r="O2234" s="47" t="n">
        <x:v>0.8093901798243712</x:v>
      </x:c>
      <x:c r="P2234" s="47" t="n">
        <x:v>0.5593326984951243</x:v>
      </x:c>
      <x:c r="Q2234" s="47" t="n">
        <x:v>0.981931192949251</x:v>
      </x:c>
      <x:c r="R2234" s="47" t="n">
        <x:v>0.764760983908636</x:v>
      </x:c>
      <x:c r="S2234" s="27" t="n">
        <x:v>0</x:v>
      </x:c>
    </x:row>
    <x:row r="2235" ht="21.600000381469727" hidden="0" customHeight="1">
      <x:c r="A2235" s="29" t="n">
        <x:v>744</x:v>
      </x:c>
      <x:c r="B2235" s="29" t="str">
        <x:v>A2</x:v>
      </x:c>
      <x:c r="C2235" s="48" t="n">
        <x:v>1.1807130766466079</x:v>
      </x:c>
      <x:c r="D2235" s="48" t="n">
        <x:v>0.8354519310384276</x:v>
      </x:c>
      <x:c r="E2235" s="48" t="n">
        <x:v>1.040033090167273</x:v>
      </x:c>
      <x:c r="F2235" s="48" t="n">
        <x:v>-0.11323323236086151</x:v>
      </x:c>
      <x:c r="G2235" s="48" t="n">
        <x:v>-0.18882204006280423</x:v>
      </x:c>
      <x:c r="H2235" s="48" t="n">
        <x:v>0.5553499824171999</x:v>
      </x:c>
      <x:c r="I2235" s="48" t="n">
        <x:v>1.0009634096088018</x:v>
      </x:c>
      <x:c r="J2235" s="48" t="n">
        <x:v>0.6778409721054971</x:v>
      </x:c>
      <x:c r="K2235" s="48" t="n">
        <x:v>0.6753267185268278</x:v>
      </x:c>
      <x:c r="L2235" s="48" t="n">
        <x:v>0.5185710065784344</x:v>
      </x:c>
      <x:c r="M2235" s="48" t="n">
        <x:v>0.09316853919811224</x:v>
      </x:c>
      <x:c r="N2235" s="48" t="n">
        <x:v>0.932588878703098</x:v>
      </x:c>
      <x:c r="O2235" s="48" t="n">
        <x:v>0.9050156409701591</x:v>
      </x:c>
      <x:c r="P2235" s="48" t="n">
        <x:v>0.6427738922078503</x:v>
      </x:c>
      <x:c r="Q2235" s="48" t="n">
        <x:v>1</x:v>
      </x:c>
      <x:c r="R2235" s="48" t="n">
        <x:v>0.8827092250067237</x:v>
      </x:c>
      <x:c r="S2235" s="29" t="n">
        <x:v>0</x:v>
      </x:c>
    </x:row>
    <x:row r="2236" ht="21.600000381469727" hidden="0" customHeight="1">
      <x:c r="A2236" s="27" t="n">
        <x:v>744</x:v>
      </x:c>
      <x:c r="B2236" s="27" t="str">
        <x:v>A3</x:v>
      </x:c>
      <x:c r="C2236" s="47" t="n">
        <x:v>1.1807130766466079</x:v>
      </x:c>
      <x:c r="D2236" s="47" t="n">
        <x:v>0.8354519310384276</x:v>
      </x:c>
      <x:c r="E2236" s="47" t="n">
        <x:v>1.040033090167273</x:v>
      </x:c>
      <x:c r="F2236" s="47" t="n">
        <x:v>-0.11323323236086151</x:v>
      </x:c>
      <x:c r="G2236" s="47" t="n">
        <x:v>-0.18882204006280423</x:v>
      </x:c>
      <x:c r="H2236" s="47" t="n">
        <x:v>0.5553499824171999</x:v>
      </x:c>
      <x:c r="I2236" s="47" t="n">
        <x:v>1.0009634096088018</x:v>
      </x:c>
      <x:c r="J2236" s="47" t="n">
        <x:v>0.6778409721054971</x:v>
      </x:c>
      <x:c r="K2236" s="47" t="n">
        <x:v>0.6753267185268278</x:v>
      </x:c>
      <x:c r="L2236" s="47" t="n">
        <x:v>0.5185710065784344</x:v>
      </x:c>
      <x:c r="M2236" s="47" t="n">
        <x:v>0.09316853919811224</x:v>
      </x:c>
      <x:c r="N2236" s="47" t="n">
        <x:v>0.932588878703098</x:v>
      </x:c>
      <x:c r="O2236" s="47" t="n">
        <x:v>1</x:v>
      </x:c>
      <x:c r="P2236" s="47" t="n">
        <x:v>1</x:v>
      </x:c>
      <x:c r="Q2236" s="47" t="n">
        <x:v>1</x:v>
      </x:c>
      <x:c r="R2236" s="47" t="n">
        <x:v>1</x:v>
      </x:c>
      <x:c r="S2236" s="27" t="n">
        <x:v>1</x:v>
      </x:c>
    </x:row>
    <x:row r="2237" ht="21.600000381469727" hidden="0" customHeight="1">
      <x:c r="A2237" s="29" t="n">
        <x:v>745</x:v>
      </x:c>
      <x:c r="B2237" s="29" t="str">
        <x:v>A1</x:v>
      </x:c>
      <x:c r="C2237" s="48" t="n">
        <x:v>1.0800599765307506</x:v>
      </x:c>
      <x:c r="D2237" s="48" t="n">
        <x:v>0.9608257805387821</x:v>
      </x:c>
      <x:c r="E2237" s="48" t="n">
        <x:v>0.8770041212553394</x:v>
      </x:c>
      <x:c r="F2237" s="48" t="n">
        <x:v>-0.074616216024921</x:v>
      </x:c>
      <x:c r="G2237" s="48" t="n">
        <x:v>0.02729487025372368</x:v>
      </x:c>
      <x:c r="H2237" s="48" t="n">
        <x:v>0.7916710741083197</x:v>
      </x:c>
      <x:c r="I2237" s="48" t="n">
        <x:v>0.9499878060821059</x:v>
      </x:c>
      <x:c r="J2237" s="48" t="n">
        <x:v>0.43947514619707195</x:v>
      </x:c>
      <x:c r="K2237" s="48" t="n">
        <x:v>0.8009686275895417</x:v>
      </x:c>
      <x:c r="L2237" s="48" t="n">
        <x:v>0.7658821331807666</x:v>
      </x:c>
      <x:c r="M2237" s="48" t="n">
        <x:v>0.011890675950347639</x:v>
      </x:c>
      <x:c r="N2237" s="48" t="n">
        <x:v>0.8368464450272721</x:v>
      </x:c>
      <x:c r="O2237" s="48" t="n">
        <x:v>0.870513742266466</x:v>
      </x:c>
      <x:c r="P2237" s="48" t="n">
        <x:v>0.595723030118032</x:v>
      </x:c>
      <x:c r="Q2237" s="48" t="n">
        <x:v>1</x:v>
      </x:c>
      <x:c r="R2237" s="48" t="n">
        <x:v>0.8401047954034843</x:v>
      </x:c>
      <x:c r="S2237" s="29" t="n">
        <x:v>0</x:v>
      </x:c>
    </x:row>
    <x:row r="2238" ht="21.600000381469727" hidden="0" customHeight="1">
      <x:c r="A2238" s="27" t="n">
        <x:v>745</x:v>
      </x:c>
      <x:c r="B2238" s="27" t="str">
        <x:v>A2</x:v>
      </x:c>
      <x:c r="C2238" s="47" t="n">
        <x:v>1.0800599765307506</x:v>
      </x:c>
      <x:c r="D2238" s="47" t="n">
        <x:v>0.9608257805387821</x:v>
      </x:c>
      <x:c r="E2238" s="47" t="n">
        <x:v>0.8770041212553394</x:v>
      </x:c>
      <x:c r="F2238" s="47" t="n">
        <x:v>-0.074616216024921</x:v>
      </x:c>
      <x:c r="G2238" s="47" t="n">
        <x:v>0.02729487025372368</x:v>
      </x:c>
      <x:c r="H2238" s="47" t="n">
        <x:v>0.7916710741083197</x:v>
      </x:c>
      <x:c r="I2238" s="47" t="n">
        <x:v>0.9499878060821059</x:v>
      </x:c>
      <x:c r="J2238" s="47" t="n">
        <x:v>0.43947514619707195</x:v>
      </x:c>
      <x:c r="K2238" s="47" t="n">
        <x:v>0.8009686275895417</x:v>
      </x:c>
      <x:c r="L2238" s="47" t="n">
        <x:v>0.7658821331807666</x:v>
      </x:c>
      <x:c r="M2238" s="47" t="n">
        <x:v>0.011890675950347639</x:v>
      </x:c>
      <x:c r="N2238" s="47" t="n">
        <x:v>0.8368464450272721</x:v>
      </x:c>
      <x:c r="O2238" s="47" t="n">
        <x:v>0.9637898447411568</x:v>
      </x:c>
      <x:c r="P2238" s="47" t="n">
        <x:v>0.8115998240153679</x:v>
      </x:c>
      <x:c r="Q2238" s="47" t="n">
        <x:v>1</x:v>
      </x:c>
      <x:c r="R2238" s="47" t="n">
        <x:v>0.9552861416730485</x:v>
      </x:c>
      <x:c r="S2238" s="27" t="n">
        <x:v>0</x:v>
      </x:c>
    </x:row>
    <x:row r="2239" ht="21.600000381469727" hidden="0" customHeight="1">
      <x:c r="A2239" s="29" t="n">
        <x:v>745</x:v>
      </x:c>
      <x:c r="B2239" s="29" t="str">
        <x:v>A3</x:v>
      </x:c>
      <x:c r="C2239" s="48" t="n">
        <x:v>1.0800599765307506</x:v>
      </x:c>
      <x:c r="D2239" s="48" t="n">
        <x:v>0.9608257805387821</x:v>
      </x:c>
      <x:c r="E2239" s="48" t="n">
        <x:v>0.8770041212553394</x:v>
      </x:c>
      <x:c r="F2239" s="48" t="n">
        <x:v>-0.074616216024921</x:v>
      </x:c>
      <x:c r="G2239" s="48" t="n">
        <x:v>0.02729487025372368</x:v>
      </x:c>
      <x:c r="H2239" s="48" t="n">
        <x:v>0.7916710741083197</x:v>
      </x:c>
      <x:c r="I2239" s="48" t="n">
        <x:v>0.9499878060821059</x:v>
      </x:c>
      <x:c r="J2239" s="48" t="n">
        <x:v>0.43947514619707195</x:v>
      </x:c>
      <x:c r="K2239" s="48" t="n">
        <x:v>0.8009686275895417</x:v>
      </x:c>
      <x:c r="L2239" s="48" t="n">
        <x:v>0.7658821331807666</x:v>
      </x:c>
      <x:c r="M2239" s="48" t="n">
        <x:v>0.011890675950347639</x:v>
      </x:c>
      <x:c r="N2239" s="48" t="n">
        <x:v>0.8368464450272721</x:v>
      </x:c>
      <x:c r="O2239" s="48" t="n">
        <x:v>1</x:v>
      </x:c>
      <x:c r="P2239" s="48" t="n">
        <x:v>1</x:v>
      </x:c>
      <x:c r="Q2239" s="48" t="n">
        <x:v>1</x:v>
      </x:c>
      <x:c r="R2239" s="48" t="n">
        <x:v>1</x:v>
      </x:c>
      <x:c r="S2239" s="29" t="n">
        <x:v>1</x:v>
      </x:c>
    </x:row>
    <x:row r="2240" ht="21.600000381469727" hidden="0" customHeight="1">
      <x:c r="A2240" s="27" t="n">
        <x:v>746</x:v>
      </x:c>
      <x:c r="B2240" s="27" t="str">
        <x:v>A1</x:v>
      </x:c>
      <x:c r="C2240" s="47" t="n">
        <x:v>1.2283177953882518</x:v>
      </x:c>
      <x:c r="D2240" s="47" t="n">
        <x:v>0.9310907033010121</x:v>
      </x:c>
      <x:c r="E2240" s="47" t="n">
        <x:v>1.073691000412547</x:v>
      </x:c>
      <x:c r="F2240" s="47" t="n">
        <x:v>-0.03823526496428334</x:v>
      </x:c>
      <x:c r="G2240" s="47" t="n">
        <x:v>-0.08022574917238004</x:v>
      </x:c>
      <x:c r="H2240" s="47" t="n">
        <x:v>0.38037946742457657</x:v>
      </x:c>
      <x:c r="I2240" s="47" t="n">
        <x:v>1.0067640956797077</x:v>
      </x:c>
      <x:c r="J2240" s="47" t="n">
        <x:v>0.97595623242174</x:v>
      </x:c>
      <x:c r="K2240" s="47" t="n">
        <x:v>0.6568671787989103</x:v>
      </x:c>
      <x:c r="L2240" s="47" t="n">
        <x:v>0.6600632694530525</x:v>
      </x:c>
      <x:c r="M2240" s="47" t="n">
        <x:v>0.17069044931744473</x:v>
      </x:c>
      <x:c r="N2240" s="47" t="n">
        <x:v>0.6720098866521855</x:v>
      </x:c>
      <x:c r="O2240" s="47" t="n">
        <x:v>0.8517303783288801</x:v>
      </x:c>
      <x:c r="P2240" s="47" t="n">
        <x:v>0.47342268020926587</x:v>
      </x:c>
      <x:c r="Q2240" s="47" t="n">
        <x:v>1</x:v>
      </x:c>
      <x:c r="R2240" s="47" t="n">
        <x:v>0.8169102891108422</x:v>
      </x:c>
      <x:c r="S2240" s="27" t="n">
        <x:v>0</x:v>
      </x:c>
    </x:row>
    <x:row r="2241" ht="21.600000381469727" hidden="0" customHeight="1">
      <x:c r="A2241" s="29" t="n">
        <x:v>746</x:v>
      </x:c>
      <x:c r="B2241" s="29" t="str">
        <x:v>A2</x:v>
      </x:c>
      <x:c r="C2241" s="48" t="n">
        <x:v>1.2283177953882518</x:v>
      </x:c>
      <x:c r="D2241" s="48" t="n">
        <x:v>0.9310907033010121</x:v>
      </x:c>
      <x:c r="E2241" s="48" t="n">
        <x:v>1.073691000412547</x:v>
      </x:c>
      <x:c r="F2241" s="48" t="n">
        <x:v>-0.03823526496428334</x:v>
      </x:c>
      <x:c r="G2241" s="48" t="n">
        <x:v>-0.08022574917238004</x:v>
      </x:c>
      <x:c r="H2241" s="48" t="n">
        <x:v>0.38037946742457657</x:v>
      </x:c>
      <x:c r="I2241" s="48" t="n">
        <x:v>1.0067640956797077</x:v>
      </x:c>
      <x:c r="J2241" s="48" t="n">
        <x:v>0.97595623242174</x:v>
      </x:c>
      <x:c r="K2241" s="48" t="n">
        <x:v>0.6568671787989103</x:v>
      </x:c>
      <x:c r="L2241" s="48" t="n">
        <x:v>0.6600632694530525</x:v>
      </x:c>
      <x:c r="M2241" s="48" t="n">
        <x:v>0.17069044931744473</x:v>
      </x:c>
      <x:c r="N2241" s="48" t="n">
        <x:v>0.6720098866521855</x:v>
      </x:c>
      <x:c r="O2241" s="48" t="n">
        <x:v>0.9216901879266947</x:v>
      </x:c>
      <x:c r="P2241" s="48" t="n">
        <x:v>0.6457346742749211</x:v>
      </x:c>
      <x:c r="Q2241" s="48" t="n">
        <x:v>1</x:v>
      </x:c>
      <x:c r="R2241" s="48" t="n">
        <x:v>0.903299673320213</x:v>
      </x:c>
      <x:c r="S2241" s="29" t="n">
        <x:v>0</x:v>
      </x:c>
    </x:row>
    <x:row r="2242" ht="21.600000381469727" hidden="0" customHeight="1">
      <x:c r="A2242" s="27" t="n">
        <x:v>746</x:v>
      </x:c>
      <x:c r="B2242" s="27" t="str">
        <x:v>A3</x:v>
      </x:c>
      <x:c r="C2242" s="47" t="n">
        <x:v>1.2283177953882518</x:v>
      </x:c>
      <x:c r="D2242" s="47" t="n">
        <x:v>0.9310907033010121</x:v>
      </x:c>
      <x:c r="E2242" s="47" t="n">
        <x:v>1.073691000412547</x:v>
      </x:c>
      <x:c r="F2242" s="47" t="n">
        <x:v>-0.03823526496428334</x:v>
      </x:c>
      <x:c r="G2242" s="47" t="n">
        <x:v>-0.08022574917238004</x:v>
      </x:c>
      <x:c r="H2242" s="47" t="n">
        <x:v>0.38037946742457657</x:v>
      </x:c>
      <x:c r="I2242" s="47" t="n">
        <x:v>1.0067640956797077</x:v>
      </x:c>
      <x:c r="J2242" s="47" t="n">
        <x:v>0.97595623242174</x:v>
      </x:c>
      <x:c r="K2242" s="47" t="n">
        <x:v>0.6568671787989103</x:v>
      </x:c>
      <x:c r="L2242" s="47" t="n">
        <x:v>0.6600632694530525</x:v>
      </x:c>
      <x:c r="M2242" s="47" t="n">
        <x:v>0.17069044931744473</x:v>
      </x:c>
      <x:c r="N2242" s="47" t="n">
        <x:v>0.6720098866521855</x:v>
      </x:c>
      <x:c r="O2242" s="47" t="n">
        <x:v>1</x:v>
      </x:c>
      <x:c r="P2242" s="47" t="n">
        <x:v>1</x:v>
      </x:c>
      <x:c r="Q2242" s="47" t="n">
        <x:v>1</x:v>
      </x:c>
      <x:c r="R2242" s="47" t="n">
        <x:v>1</x:v>
      </x:c>
      <x:c r="S2242" s="27" t="n">
        <x:v>1</x:v>
      </x:c>
    </x:row>
    <x:row r="2243" ht="21.600000381469727" hidden="0" customHeight="1">
      <x:c r="A2243" s="29" t="n">
        <x:v>747</x:v>
      </x:c>
      <x:c r="B2243" s="29" t="str">
        <x:v>A1</x:v>
      </x:c>
      <x:c r="C2243" s="48" t="n">
        <x:v>1.1350904531062613</x:v>
      </x:c>
      <x:c r="D2243" s="48" t="n">
        <x:v>0.8722690499503158</x:v>
      </x:c>
      <x:c r="E2243" s="48" t="n">
        <x:v>1.0512079826429277</x:v>
      </x:c>
      <x:c r="F2243" s="48" t="n">
        <x:v>-0.09398138976187086</x:v>
      </x:c>
      <x:c r="G2243" s="48" t="n">
        <x:v>-0.01064351819904702</x:v>
      </x:c>
      <x:c r="H2243" s="48" t="n">
        <x:v>0.7820245438435497</x:v>
      </x:c>
      <x:c r="I2243" s="48" t="n">
        <x:v>0.6292072051479625</x:v>
      </x:c>
      <x:c r="J2243" s="48" t="n">
        <x:v>0.5279316700997263</x:v>
      </x:c>
      <x:c r="K2243" s="48" t="n">
        <x:v>0.8185426379363525</x:v>
      </x:c>
      <x:c r="L2243" s="48" t="n">
        <x:v>0.500453416877647</x:v>
      </x:c>
      <x:c r="M2243" s="48" t="n">
        <x:v>0.042972945340841756</x:v>
      </x:c>
      <x:c r="N2243" s="48" t="n">
        <x:v>0.7633178403397449</x:v>
      </x:c>
      <x:c r="O2243" s="48" t="n">
        <x:v>0.8283638576033984</x:v>
      </x:c>
      <x:c r="P2243" s="48" t="n">
        <x:v>0.5569071074476983</x:v>
      </x:c>
      <x:c r="Q2243" s="48" t="n">
        <x:v>1</x:v>
      </x:c>
      <x:c r="R2243" s="48" t="n">
        <x:v>0.7880563035412057</x:v>
      </x:c>
      <x:c r="S2243" s="29" t="n">
        <x:v>0</x:v>
      </x:c>
    </x:row>
    <x:row r="2244" ht="21.600000381469727" hidden="0" customHeight="1">
      <x:c r="A2244" s="27" t="n">
        <x:v>747</x:v>
      </x:c>
      <x:c r="B2244" s="27" t="str">
        <x:v>A2</x:v>
      </x:c>
      <x:c r="C2244" s="47" t="n">
        <x:v>1.1350904531062613</x:v>
      </x:c>
      <x:c r="D2244" s="47" t="n">
        <x:v>0.8722690499503158</x:v>
      </x:c>
      <x:c r="E2244" s="47" t="n">
        <x:v>1.0512079826429277</x:v>
      </x:c>
      <x:c r="F2244" s="47" t="n">
        <x:v>-0.09398138976187086</x:v>
      </x:c>
      <x:c r="G2244" s="47" t="n">
        <x:v>-0.01064351819904702</x:v>
      </x:c>
      <x:c r="H2244" s="47" t="n">
        <x:v>0.7820245438435497</x:v>
      </x:c>
      <x:c r="I2244" s="47" t="n">
        <x:v>0.6292072051479625</x:v>
      </x:c>
      <x:c r="J2244" s="47" t="n">
        <x:v>0.5279316700997263</x:v>
      </x:c>
      <x:c r="K2244" s="47" t="n">
        <x:v>0.8185426379363525</x:v>
      </x:c>
      <x:c r="L2244" s="47" t="n">
        <x:v>0.500453416877647</x:v>
      </x:c>
      <x:c r="M2244" s="47" t="n">
        <x:v>0.042972945340841756</x:v>
      </x:c>
      <x:c r="N2244" s="47" t="n">
        <x:v>0.7633178403397449</x:v>
      </x:c>
      <x:c r="O2244" s="47" t="n">
        <x:v>0.908487087644232</x:v>
      </x:c>
      <x:c r="P2244" s="47" t="n">
        <x:v>0.5886724031008149</x:v>
      </x:c>
      <x:c r="Q2244" s="47" t="n">
        <x:v>1</x:v>
      </x:c>
      <x:c r="R2244" s="47" t="n">
        <x:v>0.8869959167832289</x:v>
      </x:c>
      <x:c r="S2244" s="27" t="n">
        <x:v>0</x:v>
      </x:c>
    </x:row>
    <x:row r="2245" ht="21.600000381469727" hidden="0" customHeight="1">
      <x:c r="A2245" s="29" t="n">
        <x:v>747</x:v>
      </x:c>
      <x:c r="B2245" s="29" t="str">
        <x:v>A3</x:v>
      </x:c>
      <x:c r="C2245" s="48" t="n">
        <x:v>1.1350904531062613</x:v>
      </x:c>
      <x:c r="D2245" s="48" t="n">
        <x:v>0.8722690499503158</x:v>
      </x:c>
      <x:c r="E2245" s="48" t="n">
        <x:v>1.0512079826429277</x:v>
      </x:c>
      <x:c r="F2245" s="48" t="n">
        <x:v>-0.09398138976187086</x:v>
      </x:c>
      <x:c r="G2245" s="48" t="n">
        <x:v>-0.01064351819904702</x:v>
      </x:c>
      <x:c r="H2245" s="48" t="n">
        <x:v>0.7820245438435497</x:v>
      </x:c>
      <x:c r="I2245" s="48" t="n">
        <x:v>0.6292072051479625</x:v>
      </x:c>
      <x:c r="J2245" s="48" t="n">
        <x:v>0.5279316700997263</x:v>
      </x:c>
      <x:c r="K2245" s="48" t="n">
        <x:v>0.8185426379363525</x:v>
      </x:c>
      <x:c r="L2245" s="48" t="n">
        <x:v>0.500453416877647</x:v>
      </x:c>
      <x:c r="M2245" s="48" t="n">
        <x:v>0.042972945340841756</x:v>
      </x:c>
      <x:c r="N2245" s="48" t="n">
        <x:v>0.7633178403397449</x:v>
      </x:c>
      <x:c r="O2245" s="48" t="n">
        <x:v>1</x:v>
      </x:c>
      <x:c r="P2245" s="48" t="n">
        <x:v>1</x:v>
      </x:c>
      <x:c r="Q2245" s="48" t="n">
        <x:v>1</x:v>
      </x:c>
      <x:c r="R2245" s="48" t="n">
        <x:v>1</x:v>
      </x:c>
      <x:c r="S2245" s="29" t="n">
        <x:v>1</x:v>
      </x:c>
    </x:row>
    <x:row r="2246" ht="21.600000381469727" hidden="0" customHeight="1">
      <x:c r="A2246" s="27" t="n">
        <x:v>748</x:v>
      </x:c>
      <x:c r="B2246" s="27" t="str">
        <x:v>A1</x:v>
      </x:c>
      <x:c r="C2246" s="47" t="n">
        <x:v>0.9602388633376402</x:v>
      </x:c>
      <x:c r="D2246" s="47" t="n">
        <x:v>0.9734966175971886</x:v>
      </x:c>
      <x:c r="E2246" s="47" t="n">
        <x:v>0.7512043986886116</x:v>
      </x:c>
      <x:c r="F2246" s="47" t="n">
        <x:v>-0.07077042176940909</x:v>
      </x:c>
      <x:c r="G2246" s="47" t="n">
        <x:v>-0.010354968744754778</x:v>
      </x:c>
      <x:c r="H2246" s="47" t="n">
        <x:v>0.5085554292931512</x:v>
      </x:c>
      <x:c r="I2246" s="47" t="n">
        <x:v>0.8206672142697256</x:v>
      </x:c>
      <x:c r="J2246" s="47" t="n">
        <x:v>0.5486780679499202</x:v>
      </x:c>
      <x:c r="K2246" s="47" t="n">
        <x:v>0.7597260609656905</x:v>
      </x:c>
      <x:c r="L2246" s="47" t="n">
        <x:v>0.5191755280187281</x:v>
      </x:c>
      <x:c r="M2246" s="47" t="n">
        <x:v>0.08403251522122901</x:v>
      </x:c>
      <x:c r="N2246" s="47" t="n">
        <x:v>0.8742482481161895</x:v>
      </x:c>
      <x:c r="O2246" s="47" t="n">
        <x:v>0.9019117666052558</x:v>
      </x:c>
      <x:c r="P2246" s="47" t="n">
        <x:v>0.6513059345397246</x:v>
      </x:c>
      <x:c r="Q2246" s="47" t="n">
        <x:v>1</x:v>
      </x:c>
      <x:c r="R2246" s="47" t="n">
        <x:v>0.8788764273391952</x:v>
      </x:c>
      <x:c r="S2246" s="27" t="n">
        <x:v>0</x:v>
      </x:c>
    </x:row>
    <x:row r="2247" ht="21.600000381469727" hidden="0" customHeight="1">
      <x:c r="A2247" s="29" t="n">
        <x:v>748</x:v>
      </x:c>
      <x:c r="B2247" s="29" t="str">
        <x:v>A2</x:v>
      </x:c>
      <x:c r="C2247" s="48" t="n">
        <x:v>0.9602388633376402</x:v>
      </x:c>
      <x:c r="D2247" s="48" t="n">
        <x:v>0.9734966175971886</x:v>
      </x:c>
      <x:c r="E2247" s="48" t="n">
        <x:v>0.7512043986886116</x:v>
      </x:c>
      <x:c r="F2247" s="48" t="n">
        <x:v>-0.07077042176940909</x:v>
      </x:c>
      <x:c r="G2247" s="48" t="n">
        <x:v>-0.010354968744754778</x:v>
      </x:c>
      <x:c r="H2247" s="48" t="n">
        <x:v>0.5085554292931512</x:v>
      </x:c>
      <x:c r="I2247" s="48" t="n">
        <x:v>0.8206672142697256</x:v>
      </x:c>
      <x:c r="J2247" s="48" t="n">
        <x:v>0.5486780679499202</x:v>
      </x:c>
      <x:c r="K2247" s="48" t="n">
        <x:v>0.7597260609656905</x:v>
      </x:c>
      <x:c r="L2247" s="48" t="n">
        <x:v>0.5191755280187281</x:v>
      </x:c>
      <x:c r="M2247" s="48" t="n">
        <x:v>0.08403251522122901</x:v>
      </x:c>
      <x:c r="N2247" s="48" t="n">
        <x:v>0.8742482481161895</x:v>
      </x:c>
      <x:c r="O2247" s="48" t="n">
        <x:v>0.9617551173974719</x:v>
      </x:c>
      <x:c r="P2247" s="48" t="n">
        <x:v>0.7629005126752141</x:v>
      </x:c>
      <x:c r="Q2247" s="48" t="n">
        <x:v>1</x:v>
      </x:c>
      <x:c r="R2247" s="48" t="n">
        <x:v>0.9527735727671952</x:v>
      </x:c>
      <x:c r="S2247" s="29" t="n">
        <x:v>0</x:v>
      </x:c>
    </x:row>
    <x:row r="2248" ht="21.600000381469727" hidden="0" customHeight="1">
      <x:c r="A2248" s="27" t="n">
        <x:v>748</x:v>
      </x:c>
      <x:c r="B2248" s="27" t="str">
        <x:v>A3</x:v>
      </x:c>
      <x:c r="C2248" s="47" t="n">
        <x:v>0.9602388633376402</x:v>
      </x:c>
      <x:c r="D2248" s="47" t="n">
        <x:v>0.9734966175971886</x:v>
      </x:c>
      <x:c r="E2248" s="47" t="n">
        <x:v>0.7512043986886116</x:v>
      </x:c>
      <x:c r="F2248" s="47" t="n">
        <x:v>-0.07077042176940909</x:v>
      </x:c>
      <x:c r="G2248" s="47" t="n">
        <x:v>-0.010354968744754778</x:v>
      </x:c>
      <x:c r="H2248" s="47" t="n">
        <x:v>0.5085554292931512</x:v>
      </x:c>
      <x:c r="I2248" s="47" t="n">
        <x:v>0.8206672142697256</x:v>
      </x:c>
      <x:c r="J2248" s="47" t="n">
        <x:v>0.5486780679499202</x:v>
      </x:c>
      <x:c r="K2248" s="47" t="n">
        <x:v>0.7597260609656905</x:v>
      </x:c>
      <x:c r="L2248" s="47" t="n">
        <x:v>0.5191755280187281</x:v>
      </x:c>
      <x:c r="M2248" s="47" t="n">
        <x:v>0.08403251522122901</x:v>
      </x:c>
      <x:c r="N2248" s="47" t="n">
        <x:v>0.8742482481161895</x:v>
      </x:c>
      <x:c r="O2248" s="47" t="n">
        <x:v>1</x:v>
      </x:c>
      <x:c r="P2248" s="47" t="n">
        <x:v>1</x:v>
      </x:c>
      <x:c r="Q2248" s="47" t="n">
        <x:v>1</x:v>
      </x:c>
      <x:c r="R2248" s="47" t="n">
        <x:v>1</x:v>
      </x:c>
      <x:c r="S2248" s="27" t="n">
        <x:v>1</x:v>
      </x:c>
    </x:row>
    <x:row r="2249" ht="21.600000381469727" hidden="0" customHeight="1">
      <x:c r="A2249" s="29" t="n">
        <x:v>749</x:v>
      </x:c>
      <x:c r="B2249" s="29" t="str">
        <x:v>A1</x:v>
      </x:c>
      <x:c r="C2249" s="48" t="n">
        <x:v>1.0757594821539673</x:v>
      </x:c>
      <x:c r="D2249" s="48" t="n">
        <x:v>0.8973124548653677</x:v>
      </x:c>
      <x:c r="E2249" s="48" t="n">
        <x:v>0.7067628958103447</x:v>
      </x:c>
      <x:c r="F2249" s="48" t="n">
        <x:v>-0.10201995708621815</x:v>
      </x:c>
      <x:c r="G2249" s="48" t="n">
        <x:v>-0.0035839838115797606</x:v>
      </x:c>
      <x:c r="H2249" s="48" t="n">
        <x:v>0.42511844287918954</x:v>
      </x:c>
      <x:c r="I2249" s="48" t="n">
        <x:v>0.8438012817291778</x:v>
      </x:c>
      <x:c r="J2249" s="48" t="n">
        <x:v>0.9293153365166972</x:v>
      </x:c>
      <x:c r="K2249" s="48" t="n">
        <x:v>0.733186959138604</x:v>
      </x:c>
      <x:c r="L2249" s="48" t="n">
        <x:v>0.8120126801571901</x:v>
      </x:c>
      <x:c r="M2249" s="48" t="n">
        <x:v>0.16292214467864768</x:v>
      </x:c>
      <x:c r="N2249" s="48" t="n">
        <x:v>0.994666711441875</x:v>
      </x:c>
      <x:c r="O2249" s="48" t="n">
        <x:v>0.9037348718004777</x:v>
      </x:c>
      <x:c r="P2249" s="48" t="n">
        <x:v>0.6087074217874681</x:v>
      </x:c>
      <x:c r="Q2249" s="48" t="n">
        <x:v>1</x:v>
      </x:c>
      <x:c r="R2249" s="48" t="n">
        <x:v>0.8811276761071598</x:v>
      </x:c>
      <x:c r="S2249" s="29" t="n">
        <x:v>0</x:v>
      </x:c>
    </x:row>
    <x:row r="2250" ht="21.600000381469727" hidden="0" customHeight="1">
      <x:c r="A2250" s="27" t="n">
        <x:v>749</x:v>
      </x:c>
      <x:c r="B2250" s="27" t="str">
        <x:v>A2</x:v>
      </x:c>
      <x:c r="C2250" s="47" t="n">
        <x:v>1.0757594821539673</x:v>
      </x:c>
      <x:c r="D2250" s="47" t="n">
        <x:v>0.8973124548653677</x:v>
      </x:c>
      <x:c r="E2250" s="47" t="n">
        <x:v>0.7067628958103447</x:v>
      </x:c>
      <x:c r="F2250" s="47" t="n">
        <x:v>-0.10201995708621815</x:v>
      </x:c>
      <x:c r="G2250" s="47" t="n">
        <x:v>-0.0035839838115797606</x:v>
      </x:c>
      <x:c r="H2250" s="47" t="n">
        <x:v>0.42511844287918954</x:v>
      </x:c>
      <x:c r="I2250" s="47" t="n">
        <x:v>0.8438012817291778</x:v>
      </x:c>
      <x:c r="J2250" s="47" t="n">
        <x:v>0.9293153365166972</x:v>
      </x:c>
      <x:c r="K2250" s="47" t="n">
        <x:v>0.733186959138604</x:v>
      </x:c>
      <x:c r="L2250" s="47" t="n">
        <x:v>0.8120126801571901</x:v>
      </x:c>
      <x:c r="M2250" s="47" t="n">
        <x:v>0.16292214467864768</x:v>
      </x:c>
      <x:c r="N2250" s="47" t="n">
        <x:v>0.994666711441875</x:v>
      </x:c>
      <x:c r="O2250" s="47" t="n">
        <x:v>0.9389045407983663</x:v>
      </x:c>
      <x:c r="P2250" s="47" t="n">
        <x:v>0.659584132401183</x:v>
      </x:c>
      <x:c r="Q2250" s="47" t="n">
        <x:v>1</x:v>
      </x:c>
      <x:c r="R2250" s="47" t="n">
        <x:v>0.9245566972128704</x:v>
      </x:c>
      <x:c r="S2250" s="27" t="n">
        <x:v>0</x:v>
      </x:c>
    </x:row>
    <x:row r="2251" ht="21.600000381469727" hidden="0" customHeight="1">
      <x:c r="A2251" s="29" t="n">
        <x:v>749</x:v>
      </x:c>
      <x:c r="B2251" s="29" t="str">
        <x:v>A3</x:v>
      </x:c>
      <x:c r="C2251" s="48" t="n">
        <x:v>1.0757594821539673</x:v>
      </x:c>
      <x:c r="D2251" s="48" t="n">
        <x:v>0.8973124548653677</x:v>
      </x:c>
      <x:c r="E2251" s="48" t="n">
        <x:v>0.7067628958103447</x:v>
      </x:c>
      <x:c r="F2251" s="48" t="n">
        <x:v>-0.10201995708621815</x:v>
      </x:c>
      <x:c r="G2251" s="48" t="n">
        <x:v>-0.0035839838115797606</x:v>
      </x:c>
      <x:c r="H2251" s="48" t="n">
        <x:v>0.42511844287918954</x:v>
      </x:c>
      <x:c r="I2251" s="48" t="n">
        <x:v>0.8438012817291778</x:v>
      </x:c>
      <x:c r="J2251" s="48" t="n">
        <x:v>0.9293153365166972</x:v>
      </x:c>
      <x:c r="K2251" s="48" t="n">
        <x:v>0.733186959138604</x:v>
      </x:c>
      <x:c r="L2251" s="48" t="n">
        <x:v>0.8120126801571901</x:v>
      </x:c>
      <x:c r="M2251" s="48" t="n">
        <x:v>0.16292214467864768</x:v>
      </x:c>
      <x:c r="N2251" s="48" t="n">
        <x:v>0.994666711441875</x:v>
      </x:c>
      <x:c r="O2251" s="48" t="n">
        <x:v>1</x:v>
      </x:c>
      <x:c r="P2251" s="48" t="n">
        <x:v>1</x:v>
      </x:c>
      <x:c r="Q2251" s="48" t="n">
        <x:v>1</x:v>
      </x:c>
      <x:c r="R2251" s="48" t="n">
        <x:v>1</x:v>
      </x:c>
      <x:c r="S2251" s="29" t="n">
        <x:v>1</x:v>
      </x:c>
    </x:row>
    <x:row r="2252" ht="21.600000381469727" hidden="0" customHeight="1">
      <x:c r="A2252" s="27" t="n">
        <x:v>750</x:v>
      </x:c>
      <x:c r="B2252" s="27" t="str">
        <x:v>A1</x:v>
      </x:c>
      <x:c r="C2252" s="47" t="n">
        <x:v>1.0314969652216424</x:v>
      </x:c>
      <x:c r="D2252" s="47" t="n">
        <x:v>0.9179635192202911</x:v>
      </x:c>
      <x:c r="E2252" s="47" t="n">
        <x:v>0.6969977973458072</x:v>
      </x:c>
      <x:c r="F2252" s="47" t="n">
        <x:v>-0.07002787700208124</x:v>
      </x:c>
      <x:c r="G2252" s="47" t="n">
        <x:v>0.015469381999303977</x:v>
      </x:c>
      <x:c r="H2252" s="47" t="n">
        <x:v>0.7425719434832622</x:v>
      </x:c>
      <x:c r="I2252" s="47" t="n">
        <x:v>0.8544973824794335</x:v>
      </x:c>
      <x:c r="J2252" s="47" t="n">
        <x:v>0.5944438642963885</x:v>
      </x:c>
      <x:c r="K2252" s="47" t="n">
        <x:v>0.8703676757037442</x:v>
      </x:c>
      <x:c r="L2252" s="47" t="n">
        <x:v>0.5135196834127342</x:v>
      </x:c>
      <x:c r="M2252" s="47" t="n">
        <x:v>0.1254532831852373</x:v>
      </x:c>
      <x:c r="N2252" s="47" t="n">
        <x:v>0.8264848313462798</x:v>
      </x:c>
      <x:c r="O2252" s="47" t="n">
        <x:v>0.8931042892516919</x:v>
      </x:c>
      <x:c r="P2252" s="47" t="n">
        <x:v>0.6826719431584741</x:v>
      </x:c>
      <x:c r="Q2252" s="47" t="n">
        <x:v>1</x:v>
      </x:c>
      <x:c r="R2252" s="47" t="n">
        <x:v>0.8680005751979947</x:v>
      </x:c>
      <x:c r="S2252" s="27" t="n">
        <x:v>0</x:v>
      </x:c>
    </x:row>
    <x:row r="2253" ht="21.600000381469727" hidden="0" customHeight="1">
      <x:c r="A2253" s="29" t="n">
        <x:v>750</x:v>
      </x:c>
      <x:c r="B2253" s="29" t="str">
        <x:v>A2</x:v>
      </x:c>
      <x:c r="C2253" s="48" t="n">
        <x:v>1.0314969652216424</x:v>
      </x:c>
      <x:c r="D2253" s="48" t="n">
        <x:v>0.9179635192202911</x:v>
      </x:c>
      <x:c r="E2253" s="48" t="n">
        <x:v>0.6969977973458072</x:v>
      </x:c>
      <x:c r="F2253" s="48" t="n">
        <x:v>-0.07002787700208124</x:v>
      </x:c>
      <x:c r="G2253" s="48" t="n">
        <x:v>0.015469381999303977</x:v>
      </x:c>
      <x:c r="H2253" s="48" t="n">
        <x:v>0.7425719434832622</x:v>
      </x:c>
      <x:c r="I2253" s="48" t="n">
        <x:v>0.8544973824794335</x:v>
      </x:c>
      <x:c r="J2253" s="48" t="n">
        <x:v>0.5944438642963885</x:v>
      </x:c>
      <x:c r="K2253" s="48" t="n">
        <x:v>0.8703676757037442</x:v>
      </x:c>
      <x:c r="L2253" s="48" t="n">
        <x:v>0.5135196834127342</x:v>
      </x:c>
      <x:c r="M2253" s="48" t="n">
        <x:v>0.1254532831852373</x:v>
      </x:c>
      <x:c r="N2253" s="48" t="n">
        <x:v>0.8264848313462798</x:v>
      </x:c>
      <x:c r="O2253" s="48" t="n">
        <x:v>0.9658981173138738</x:v>
      </x:c>
      <x:c r="P2253" s="48" t="n">
        <x:v>0.7369608107663038</x:v>
      </x:c>
      <x:c r="Q2253" s="48" t="n">
        <x:v>1</x:v>
      </x:c>
      <x:c r="R2253" s="48" t="n">
        <x:v>0.9578895273933582</x:v>
      </x:c>
      <x:c r="S2253" s="29" t="n">
        <x:v>0</x:v>
      </x:c>
    </x:row>
    <x:row r="2254" ht="21.600000381469727" hidden="0" customHeight="1">
      <x:c r="A2254" s="27" t="n">
        <x:v>750</x:v>
      </x:c>
      <x:c r="B2254" s="27" t="str">
        <x:v>A3</x:v>
      </x:c>
      <x:c r="C2254" s="47" t="n">
        <x:v>1.0314969652216424</x:v>
      </x:c>
      <x:c r="D2254" s="47" t="n">
        <x:v>0.9179635192202911</x:v>
      </x:c>
      <x:c r="E2254" s="47" t="n">
        <x:v>0.6969977973458072</x:v>
      </x:c>
      <x:c r="F2254" s="47" t="n">
        <x:v>-0.07002787700208124</x:v>
      </x:c>
      <x:c r="G2254" s="47" t="n">
        <x:v>0.015469381999303977</x:v>
      </x:c>
      <x:c r="H2254" s="47" t="n">
        <x:v>0.7425719434832622</x:v>
      </x:c>
      <x:c r="I2254" s="47" t="n">
        <x:v>0.8544973824794335</x:v>
      </x:c>
      <x:c r="J2254" s="47" t="n">
        <x:v>0.5944438642963885</x:v>
      </x:c>
      <x:c r="K2254" s="47" t="n">
        <x:v>0.8703676757037442</x:v>
      </x:c>
      <x:c r="L2254" s="47" t="n">
        <x:v>0.5135196834127342</x:v>
      </x:c>
      <x:c r="M2254" s="47" t="n">
        <x:v>0.1254532831852373</x:v>
      </x:c>
      <x:c r="N2254" s="47" t="n">
        <x:v>0.8264848313462798</x:v>
      </x:c>
      <x:c r="O2254" s="47" t="n">
        <x:v>1</x:v>
      </x:c>
      <x:c r="P2254" s="47" t="n">
        <x:v>1</x:v>
      </x:c>
      <x:c r="Q2254" s="47" t="n">
        <x:v>1</x:v>
      </x:c>
      <x:c r="R2254" s="47" t="n">
        <x:v>1</x:v>
      </x:c>
      <x:c r="S2254" s="27" t="n">
        <x:v>1</x:v>
      </x:c>
    </x:row>
    <x:row r="2255" ht="21.600000381469727" hidden="0" customHeight="1">
      <x:c r="A2255" s="29" t="n">
        <x:v>751</x:v>
      </x:c>
      <x:c r="B2255" s="29" t="str">
        <x:v>A1</x:v>
      </x:c>
      <x:c r="C2255" s="48" t="n">
        <x:v>0.9513363790329566</x:v>
      </x:c>
      <x:c r="D2255" s="48" t="n">
        <x:v>0.9154221844975959</x:v>
      </x:c>
      <x:c r="E2255" s="48" t="n">
        <x:v>0.610519955437546</x:v>
      </x:c>
      <x:c r="F2255" s="48" t="n">
        <x:v>-0.08060184520266139</x:v>
      </x:c>
      <x:c r="G2255" s="48" t="n">
        <x:v>0.0063907485187557345</x:v>
      </x:c>
      <x:c r="H2255" s="48" t="n">
        <x:v>0.9983077973620351</x:v>
      </x:c>
      <x:c r="I2255" s="48" t="n">
        <x:v>0.9307889990015639</x:v>
      </x:c>
      <x:c r="J2255" s="48" t="n">
        <x:v>0.5328667986427668</x:v>
      </x:c>
      <x:c r="K2255" s="48" t="n">
        <x:v>0.7511269903751352</x:v>
      </x:c>
      <x:c r="L2255" s="48" t="n">
        <x:v>0.6826372958261806</x:v>
      </x:c>
      <x:c r="M2255" s="48" t="n">
        <x:v>0.07454221011321048</x:v>
      </x:c>
      <x:c r="N2255" s="48" t="n">
        <x:v>0.8698202156322122</x:v>
      </x:c>
      <x:c r="O2255" s="48" t="n">
        <x:v>0.9146351551450904</x:v>
      </x:c>
      <x:c r="P2255" s="48" t="n">
        <x:v>0.7306871763164272</x:v>
      </x:c>
      <x:c r="Q2255" s="48" t="n">
        <x:v>1</x:v>
      </x:c>
      <x:c r="R2255" s="48" t="n">
        <x:v>0.8945878151678893</x:v>
      </x:c>
      <x:c r="S2255" s="29" t="n">
        <x:v>0</x:v>
      </x:c>
    </x:row>
    <x:row r="2256" ht="21.600000381469727" hidden="0" customHeight="1">
      <x:c r="A2256" s="27" t="n">
        <x:v>751</x:v>
      </x:c>
      <x:c r="B2256" s="27" t="str">
        <x:v>A2</x:v>
      </x:c>
      <x:c r="C2256" s="47" t="n">
        <x:v>0.9513363790329566</x:v>
      </x:c>
      <x:c r="D2256" s="47" t="n">
        <x:v>0.9154221844975959</x:v>
      </x:c>
      <x:c r="E2256" s="47" t="n">
        <x:v>0.610519955437546</x:v>
      </x:c>
      <x:c r="F2256" s="47" t="n">
        <x:v>-0.08060184520266139</x:v>
      </x:c>
      <x:c r="G2256" s="47" t="n">
        <x:v>0.0063907485187557345</x:v>
      </x:c>
      <x:c r="H2256" s="47" t="n">
        <x:v>0.9983077973620351</x:v>
      </x:c>
      <x:c r="I2256" s="47" t="n">
        <x:v>0.9307889990015639</x:v>
      </x:c>
      <x:c r="J2256" s="47" t="n">
        <x:v>0.5328667986427668</x:v>
      </x:c>
      <x:c r="K2256" s="47" t="n">
        <x:v>0.7511269903751352</x:v>
      </x:c>
      <x:c r="L2256" s="47" t="n">
        <x:v>0.6826372958261806</x:v>
      </x:c>
      <x:c r="M2256" s="47" t="n">
        <x:v>0.07454221011321048</x:v>
      </x:c>
      <x:c r="N2256" s="47" t="n">
        <x:v>0.8698202156322122</x:v>
      </x:c>
      <x:c r="O2256" s="47" t="n">
        <x:v>0.9867165587212342</x:v>
      </x:c>
      <x:c r="P2256" s="47" t="n">
        <x:v>0.8760306022660194</x:v>
      </x:c>
      <x:c r="Q2256" s="47" t="n">
        <x:v>1</x:v>
      </x:c>
      <x:c r="R2256" s="47" t="n">
        <x:v>0.9835970349426199</x:v>
      </x:c>
      <x:c r="S2256" s="27" t="n">
        <x:v>0</x:v>
      </x:c>
    </x:row>
    <x:row r="2257" ht="21.600000381469727" hidden="0" customHeight="1">
      <x:c r="A2257" s="29" t="n">
        <x:v>751</x:v>
      </x:c>
      <x:c r="B2257" s="29" t="str">
        <x:v>A3</x:v>
      </x:c>
      <x:c r="C2257" s="48" t="n">
        <x:v>0.9513363790329566</x:v>
      </x:c>
      <x:c r="D2257" s="48" t="n">
        <x:v>0.9154221844975959</x:v>
      </x:c>
      <x:c r="E2257" s="48" t="n">
        <x:v>0.610519955437546</x:v>
      </x:c>
      <x:c r="F2257" s="48" t="n">
        <x:v>-0.08060184520266139</x:v>
      </x:c>
      <x:c r="G2257" s="48" t="n">
        <x:v>0.0063907485187557345</x:v>
      </x:c>
      <x:c r="H2257" s="48" t="n">
        <x:v>0.9983077973620351</x:v>
      </x:c>
      <x:c r="I2257" s="48" t="n">
        <x:v>0.9307889990015639</x:v>
      </x:c>
      <x:c r="J2257" s="48" t="n">
        <x:v>0.5328667986427668</x:v>
      </x:c>
      <x:c r="K2257" s="48" t="n">
        <x:v>0.7511269903751352</x:v>
      </x:c>
      <x:c r="L2257" s="48" t="n">
        <x:v>0.6826372958261806</x:v>
      </x:c>
      <x:c r="M2257" s="48" t="n">
        <x:v>0.07454221011321048</x:v>
      </x:c>
      <x:c r="N2257" s="48" t="n">
        <x:v>0.8698202156322122</x:v>
      </x:c>
      <x:c r="O2257" s="48" t="n">
        <x:v>1</x:v>
      </x:c>
      <x:c r="P2257" s="48" t="n">
        <x:v>1</x:v>
      </x:c>
      <x:c r="Q2257" s="48" t="n">
        <x:v>1</x:v>
      </x:c>
      <x:c r="R2257" s="48" t="n">
        <x:v>1</x:v>
      </x:c>
      <x:c r="S2257" s="29" t="n">
        <x:v>1</x:v>
      </x:c>
    </x:row>
    <x:row r="2258" ht="21.600000381469727" hidden="0" customHeight="1">
      <x:c r="A2258" s="27" t="n">
        <x:v>752</x:v>
      </x:c>
      <x:c r="B2258" s="27" t="str">
        <x:v>A1</x:v>
      </x:c>
      <x:c r="C2258" s="47" t="n">
        <x:v>1.0787370873919828</x:v>
      </x:c>
      <x:c r="D2258" s="47" t="n">
        <x:v>0.9161789405233299</x:v>
      </x:c>
      <x:c r="E2258" s="47" t="n">
        <x:v>0.8466260491181147</x:v>
      </x:c>
      <x:c r="F2258" s="47" t="n">
        <x:v>-0.07091577364365526</x:v>
      </x:c>
      <x:c r="G2258" s="47" t="n">
        <x:v>-0.07693802376710746</x:v>
      </x:c>
      <x:c r="H2258" s="47" t="n">
        <x:v>0.6023631784237353</x:v>
      </x:c>
      <x:c r="I2258" s="47" t="n">
        <x:v>0.8729647581438724</x:v>
      </x:c>
      <x:c r="J2258" s="47" t="n">
        <x:v>0.9825298451413582</x:v>
      </x:c>
      <x:c r="K2258" s="47" t="n">
        <x:v>0.9323408541572578</x:v>
      </x:c>
      <x:c r="L2258" s="47" t="n">
        <x:v>0.9965502922771532</x:v>
      </x:c>
      <x:c r="M2258" s="47" t="n">
        <x:v>0.0016439814972183065</x:v>
      </x:c>
      <x:c r="N2258" s="47" t="n">
        <x:v>0.6630586233470681</x:v>
      </x:c>
      <x:c r="O2258" s="47" t="n">
        <x:v>0.9428764471182813</x:v>
      </x:c>
      <x:c r="P2258" s="47" t="n">
        <x:v>0.7043614920523262</x:v>
      </x:c>
      <x:c r="Q2258" s="47" t="n">
        <x:v>1</x:v>
      </x:c>
      <x:c r="R2258" s="47" t="n">
        <x:v>0.9294613781016174</x:v>
      </x:c>
      <x:c r="S2258" s="27" t="n">
        <x:v>0</x:v>
      </x:c>
    </x:row>
    <x:row r="2259" ht="21.600000381469727" hidden="0" customHeight="1">
      <x:c r="A2259" s="29" t="n">
        <x:v>752</x:v>
      </x:c>
      <x:c r="B2259" s="29" t="str">
        <x:v>A2</x:v>
      </x:c>
      <x:c r="C2259" s="48" t="n">
        <x:v>1.0787370873919828</x:v>
      </x:c>
      <x:c r="D2259" s="48" t="n">
        <x:v>0.9161789405233299</x:v>
      </x:c>
      <x:c r="E2259" s="48" t="n">
        <x:v>0.8466260491181147</x:v>
      </x:c>
      <x:c r="F2259" s="48" t="n">
        <x:v>-0.07091577364365526</x:v>
      </x:c>
      <x:c r="G2259" s="48" t="n">
        <x:v>-0.07693802376710746</x:v>
      </x:c>
      <x:c r="H2259" s="48" t="n">
        <x:v>0.6023631784237353</x:v>
      </x:c>
      <x:c r="I2259" s="48" t="n">
        <x:v>0.8729647581438724</x:v>
      </x:c>
      <x:c r="J2259" s="48" t="n">
        <x:v>0.9825298451413582</x:v>
      </x:c>
      <x:c r="K2259" s="48" t="n">
        <x:v>0.9323408541572578</x:v>
      </x:c>
      <x:c r="L2259" s="48" t="n">
        <x:v>0.9965502922771532</x:v>
      </x:c>
      <x:c r="M2259" s="48" t="n">
        <x:v>0.0016439814972183065</x:v>
      </x:c>
      <x:c r="N2259" s="48" t="n">
        <x:v>0.6630586233470681</x:v>
      </x:c>
      <x:c r="O2259" s="48" t="n">
        <x:v>1</x:v>
      </x:c>
      <x:c r="P2259" s="48" t="n">
        <x:v>1</x:v>
      </x:c>
      <x:c r="Q2259" s="48" t="n">
        <x:v>1</x:v>
      </x:c>
      <x:c r="R2259" s="48" t="n">
        <x:v>1.0000000000000002</x:v>
      </x:c>
      <x:c r="S2259" s="29" t="n">
        <x:v>1</x:v>
      </x:c>
    </x:row>
    <x:row r="2260" ht="21.600000381469727" hidden="0" customHeight="1">
      <x:c r="A2260" s="27" t="n">
        <x:v>752</x:v>
      </x:c>
      <x:c r="B2260" s="27" t="str">
        <x:v>A3</x:v>
      </x:c>
      <x:c r="C2260" s="47" t="n">
        <x:v>1.0787370873919828</x:v>
      </x:c>
      <x:c r="D2260" s="47" t="n">
        <x:v>0.9161789405233299</x:v>
      </x:c>
      <x:c r="E2260" s="47" t="n">
        <x:v>0.8466260491181147</x:v>
      </x:c>
      <x:c r="F2260" s="47" t="n">
        <x:v>-0.07091577364365526</x:v>
      </x:c>
      <x:c r="G2260" s="47" t="n">
        <x:v>-0.07693802376710746</x:v>
      </x:c>
      <x:c r="H2260" s="47" t="n">
        <x:v>0.6023631784237353</x:v>
      </x:c>
      <x:c r="I2260" s="47" t="n">
        <x:v>0.8729647581438724</x:v>
      </x:c>
      <x:c r="J2260" s="47" t="n">
        <x:v>0.9825298451413582</x:v>
      </x:c>
      <x:c r="K2260" s="47" t="n">
        <x:v>0.9323408541572578</x:v>
      </x:c>
      <x:c r="L2260" s="47" t="n">
        <x:v>0.9965502922771532</x:v>
      </x:c>
      <x:c r="M2260" s="47" t="n">
        <x:v>0.0016439814972183065</x:v>
      </x:c>
      <x:c r="N2260" s="47" t="n">
        <x:v>0.6630586233470681</x:v>
      </x:c>
      <x:c r="O2260" s="47" t="n">
        <x:v>1</x:v>
      </x:c>
      <x:c r="P2260" s="47" t="n">
        <x:v>1</x:v>
      </x:c>
      <x:c r="Q2260" s="47" t="n">
        <x:v>1</x:v>
      </x:c>
      <x:c r="R2260" s="47" t="n">
        <x:v>1</x:v>
      </x:c>
      <x:c r="S2260" s="27" t="n">
        <x:v>1</x:v>
      </x:c>
    </x:row>
    <x:row r="2261" ht="21.600000381469727" hidden="0" customHeight="1">
      <x:c r="A2261" s="29" t="n">
        <x:v>753</x:v>
      </x:c>
      <x:c r="B2261" s="29" t="str">
        <x:v>A1</x:v>
      </x:c>
      <x:c r="C2261" s="48" t="n">
        <x:v>1.0622992375762517</x:v>
      </x:c>
      <x:c r="D2261" s="48" t="n">
        <x:v>0.7499267139813203</x:v>
      </x:c>
      <x:c r="E2261" s="48" t="n">
        <x:v>0.8149264331438698</x:v>
      </x:c>
      <x:c r="F2261" s="48" t="n">
        <x:v>-0.06679010385538112</x:v>
      </x:c>
      <x:c r="G2261" s="48" t="n">
        <x:v>-0.061142759119386936</x:v>
      </x:c>
      <x:c r="H2261" s="48" t="n">
        <x:v>0.754439312125975</x:v>
      </x:c>
      <x:c r="I2261" s="48" t="n">
        <x:v>0.6035735700307304</x:v>
      </x:c>
      <x:c r="J2261" s="48" t="n">
        <x:v>0.8905065940172011</x:v>
      </x:c>
      <x:c r="K2261" s="48" t="n">
        <x:v>0.5875532249458673</x:v>
      </x:c>
      <x:c r="L2261" s="48" t="n">
        <x:v>0.5277794773116374</x:v>
      </x:c>
      <x:c r="M2261" s="48" t="n">
        <x:v>0.08978031554880841</x:v>
      </x:c>
      <x:c r="N2261" s="48" t="n">
        <x:v>0.7208631104375162</x:v>
      </x:c>
      <x:c r="O2261" s="48" t="n">
        <x:v>0.7588863306674863</x:v>
      </x:c>
      <x:c r="P2261" s="48" t="n">
        <x:v>0.49537122058508354</x:v>
      </x:c>
      <x:c r="Q2261" s="48" t="n">
        <x:v>0.9435006389031826</x:v>
      </x:c>
      <x:c r="R2261" s="48" t="n">
        <x:v>0.7026820752008043</x:v>
      </x:c>
      <x:c r="S2261" s="29" t="n">
        <x:v>0</x:v>
      </x:c>
    </x:row>
    <x:row r="2262" ht="21.600000381469727" hidden="0" customHeight="1">
      <x:c r="A2262" s="27" t="n">
        <x:v>753</x:v>
      </x:c>
      <x:c r="B2262" s="27" t="str">
        <x:v>A2</x:v>
      </x:c>
      <x:c r="C2262" s="47" t="n">
        <x:v>1.0622992375762517</x:v>
      </x:c>
      <x:c r="D2262" s="47" t="n">
        <x:v>0.7499267139813203</x:v>
      </x:c>
      <x:c r="E2262" s="47" t="n">
        <x:v>0.8149264331438698</x:v>
      </x:c>
      <x:c r="F2262" s="47" t="n">
        <x:v>-0.06679010385538112</x:v>
      </x:c>
      <x:c r="G2262" s="47" t="n">
        <x:v>-0.061142759119386936</x:v>
      </x:c>
      <x:c r="H2262" s="47" t="n">
        <x:v>0.754439312125975</x:v>
      </x:c>
      <x:c r="I2262" s="47" t="n">
        <x:v>0.6035735700307304</x:v>
      </x:c>
      <x:c r="J2262" s="47" t="n">
        <x:v>0.8905065940172011</x:v>
      </x:c>
      <x:c r="K2262" s="47" t="n">
        <x:v>0.5875532249458673</x:v>
      </x:c>
      <x:c r="L2262" s="47" t="n">
        <x:v>0.5277794773116374</x:v>
      </x:c>
      <x:c r="M2262" s="47" t="n">
        <x:v>0.08978031554880841</x:v>
      </x:c>
      <x:c r="N2262" s="47" t="n">
        <x:v>0.7208631104375162</x:v>
      </x:c>
      <x:c r="O2262" s="47" t="n">
        <x:v>0.830996438327009</x:v>
      </x:c>
      <x:c r="P2262" s="47" t="n">
        <x:v>0.5525852034173419</x:v>
      </x:c>
      <x:c r="Q2262" s="47" t="n">
        <x:v>1</x:v>
      </x:c>
      <x:c r="R2262" s="47" t="n">
        <x:v>0.7913071275343186</x:v>
      </x:c>
      <x:c r="S2262" s="27" t="n">
        <x:v>0</x:v>
      </x:c>
    </x:row>
    <x:row r="2263" ht="21.600000381469727" hidden="0" customHeight="1">
      <x:c r="A2263" s="29" t="n">
        <x:v>753</x:v>
      </x:c>
      <x:c r="B2263" s="29" t="str">
        <x:v>A3</x:v>
      </x:c>
      <x:c r="C2263" s="48" t="n">
        <x:v>1.0622992375762517</x:v>
      </x:c>
      <x:c r="D2263" s="48" t="n">
        <x:v>0.7499267139813203</x:v>
      </x:c>
      <x:c r="E2263" s="48" t="n">
        <x:v>0.8149264331438698</x:v>
      </x:c>
      <x:c r="F2263" s="48" t="n">
        <x:v>-0.06679010385538112</x:v>
      </x:c>
      <x:c r="G2263" s="48" t="n">
        <x:v>-0.061142759119386936</x:v>
      </x:c>
      <x:c r="H2263" s="48" t="n">
        <x:v>0.754439312125975</x:v>
      </x:c>
      <x:c r="I2263" s="48" t="n">
        <x:v>0.6035735700307304</x:v>
      </x:c>
      <x:c r="J2263" s="48" t="n">
        <x:v>0.8905065940172011</x:v>
      </x:c>
      <x:c r="K2263" s="48" t="n">
        <x:v>0.5875532249458673</x:v>
      </x:c>
      <x:c r="L2263" s="48" t="n">
        <x:v>0.5277794773116374</x:v>
      </x:c>
      <x:c r="M2263" s="48" t="n">
        <x:v>0.08978031554880841</x:v>
      </x:c>
      <x:c r="N2263" s="48" t="n">
        <x:v>0.7208631104375162</x:v>
      </x:c>
      <x:c r="O2263" s="48" t="n">
        <x:v>1</x:v>
      </x:c>
      <x:c r="P2263" s="48" t="n">
        <x:v>1</x:v>
      </x:c>
      <x:c r="Q2263" s="48" t="n">
        <x:v>1</x:v>
      </x:c>
      <x:c r="R2263" s="48" t="n">
        <x:v>1</x:v>
      </x:c>
      <x:c r="S2263" s="29" t="n">
        <x:v>1</x:v>
      </x:c>
    </x:row>
    <x:row r="2264" ht="21.600000381469727" hidden="0" customHeight="1">
      <x:c r="A2264" s="27" t="n">
        <x:v>754</x:v>
      </x:c>
      <x:c r="B2264" s="27" t="str">
        <x:v>A1</x:v>
      </x:c>
      <x:c r="C2264" s="47" t="n">
        <x:v>1.0946965091872172</x:v>
      </x:c>
      <x:c r="D2264" s="47" t="n">
        <x:v>0.8026882502326842</x:v>
      </x:c>
      <x:c r="E2264" s="47" t="n">
        <x:v>0.776812303818367</x:v>
      </x:c>
      <x:c r="F2264" s="47" t="n">
        <x:v>0.010587402158926923</x:v>
      </x:c>
      <x:c r="G2264" s="47" t="n">
        <x:v>-0.1489020418621378</x:v>
      </x:c>
      <x:c r="H2264" s="47" t="n">
        <x:v>0.3926381673326928</x:v>
      </x:c>
      <x:c r="I2264" s="47" t="n">
        <x:v>0.735974359734562</x:v>
      </x:c>
      <x:c r="J2264" s="47" t="n">
        <x:v>0.76286509421518</x:v>
      </x:c>
      <x:c r="K2264" s="47" t="n">
        <x:v>0.6351815197264623</x:v>
      </x:c>
      <x:c r="L2264" s="47" t="n">
        <x:v>0.6528542143495184</x:v>
      </x:c>
      <x:c r="M2264" s="47" t="n">
        <x:v>0.1166048819322643</x:v>
      </x:c>
      <x:c r="N2264" s="47" t="n">
        <x:v>0.9257927412728506</x:v>
      </x:c>
      <x:c r="O2264" s="47" t="n">
        <x:v>0.8164323690278985</x:v>
      </x:c>
      <x:c r="P2264" s="47" t="n">
        <x:v>0.49714559403258596</x:v>
      </x:c>
      <x:c r="Q2264" s="47" t="n">
        <x:v>0.9822632475981967</x:v>
      </x:c>
      <x:c r="R2264" s="47" t="n">
        <x:v>0.773454516136678</x:v>
      </x:c>
      <x:c r="S2264" s="27" t="n">
        <x:v>0</x:v>
      </x:c>
    </x:row>
    <x:row r="2265" ht="21.600000381469727" hidden="0" customHeight="1">
      <x:c r="A2265" s="29" t="n">
        <x:v>754</x:v>
      </x:c>
      <x:c r="B2265" s="29" t="str">
        <x:v>A2</x:v>
      </x:c>
      <x:c r="C2265" s="48" t="n">
        <x:v>1.0946965091872172</x:v>
      </x:c>
      <x:c r="D2265" s="48" t="n">
        <x:v>0.8026882502326842</x:v>
      </x:c>
      <x:c r="E2265" s="48" t="n">
        <x:v>0.776812303818367</x:v>
      </x:c>
      <x:c r="F2265" s="48" t="n">
        <x:v>0.010587402158926923</x:v>
      </x:c>
      <x:c r="G2265" s="48" t="n">
        <x:v>-0.1489020418621378</x:v>
      </x:c>
      <x:c r="H2265" s="48" t="n">
        <x:v>0.3926381673326928</x:v>
      </x:c>
      <x:c r="I2265" s="48" t="n">
        <x:v>0.735974359734562</x:v>
      </x:c>
      <x:c r="J2265" s="48" t="n">
        <x:v>0.76286509421518</x:v>
      </x:c>
      <x:c r="K2265" s="48" t="n">
        <x:v>0.6351815197264623</x:v>
      </x:c>
      <x:c r="L2265" s="48" t="n">
        <x:v>0.6528542143495184</x:v>
      </x:c>
      <x:c r="M2265" s="48" t="n">
        <x:v>0.1166048819322643</x:v>
      </x:c>
      <x:c r="N2265" s="48" t="n">
        <x:v>0.9257927412728506</x:v>
      </x:c>
      <x:c r="O2265" s="48" t="n">
        <x:v>0.9053928585214779</x:v>
      </x:c>
      <x:c r="P2265" s="48" t="n">
        <x:v>0.5798350574220452</x:v>
      </x:c>
      <x:c r="Q2265" s="48" t="n">
        <x:v>1</x:v>
      </x:c>
      <x:c r="R2265" s="48" t="n">
        <x:v>0.8831750294758712</x:v>
      </x:c>
      <x:c r="S2265" s="29" t="n">
        <x:v>0</x:v>
      </x:c>
    </x:row>
    <x:row r="2266" ht="21.600000381469727" hidden="0" customHeight="1">
      <x:c r="A2266" s="27" t="n">
        <x:v>754</x:v>
      </x:c>
      <x:c r="B2266" s="27" t="str">
        <x:v>A3</x:v>
      </x:c>
      <x:c r="C2266" s="47" t="n">
        <x:v>1.0946965091872172</x:v>
      </x:c>
      <x:c r="D2266" s="47" t="n">
        <x:v>0.8026882502326842</x:v>
      </x:c>
      <x:c r="E2266" s="47" t="n">
        <x:v>0.776812303818367</x:v>
      </x:c>
      <x:c r="F2266" s="47" t="n">
        <x:v>0.010587402158926923</x:v>
      </x:c>
      <x:c r="G2266" s="47" t="n">
        <x:v>-0.1489020418621378</x:v>
      </x:c>
      <x:c r="H2266" s="47" t="n">
        <x:v>0.3926381673326928</x:v>
      </x:c>
      <x:c r="I2266" s="47" t="n">
        <x:v>0.735974359734562</x:v>
      </x:c>
      <x:c r="J2266" s="47" t="n">
        <x:v>0.76286509421518</x:v>
      </x:c>
      <x:c r="K2266" s="47" t="n">
        <x:v>0.6351815197264623</x:v>
      </x:c>
      <x:c r="L2266" s="47" t="n">
        <x:v>0.6528542143495184</x:v>
      </x:c>
      <x:c r="M2266" s="47" t="n">
        <x:v>0.1166048819322643</x:v>
      </x:c>
      <x:c r="N2266" s="47" t="n">
        <x:v>0.9257927412728506</x:v>
      </x:c>
      <x:c r="O2266" s="47" t="n">
        <x:v>1</x:v>
      </x:c>
      <x:c r="P2266" s="47" t="n">
        <x:v>1</x:v>
      </x:c>
      <x:c r="Q2266" s="47" t="n">
        <x:v>1</x:v>
      </x:c>
      <x:c r="R2266" s="47" t="n">
        <x:v>1</x:v>
      </x:c>
      <x:c r="S2266" s="27" t="n">
        <x:v>1</x:v>
      </x:c>
    </x:row>
    <x:row r="2267" ht="21.600000381469727" hidden="0" customHeight="1">
      <x:c r="A2267" s="29" t="n">
        <x:v>755</x:v>
      </x:c>
      <x:c r="B2267" s="29" t="str">
        <x:v>A1</x:v>
      </x:c>
      <x:c r="C2267" s="48" t="n">
        <x:v>0.9440043298977678</x:v>
      </x:c>
      <x:c r="D2267" s="48" t="n">
        <x:v>0.9800920141502536</x:v>
      </x:c>
      <x:c r="E2267" s="48" t="n">
        <x:v>0.5656035923299504</x:v>
      </x:c>
      <x:c r="F2267" s="48" t="n">
        <x:v>-0.11943292850360426</x:v>
      </x:c>
      <x:c r="G2267" s="48" t="n">
        <x:v>-0.07447306368744722</x:v>
      </x:c>
      <x:c r="H2267" s="48" t="n">
        <x:v>0.7599814637397083</x:v>
      </x:c>
      <x:c r="I2267" s="48" t="n">
        <x:v>0.6117220670257318</x:v>
      </x:c>
      <x:c r="J2267" s="48" t="n">
        <x:v>0.9059891164476069</x:v>
      </x:c>
      <x:c r="K2267" s="48" t="n">
        <x:v>0.7401546413141888</x:v>
      </x:c>
      <x:c r="L2267" s="48" t="n">
        <x:v>0.5755266960989242</x:v>
      </x:c>
      <x:c r="M2267" s="48" t="n">
        <x:v>0.146504931469837</x:v>
      </x:c>
      <x:c r="N2267" s="48" t="n">
        <x:v>0.9677971682932921</x:v>
      </x:c>
      <x:c r="O2267" s="48" t="n">
        <x:v>0.9214760375932342</x:v>
      </x:c>
      <x:c r="P2267" s="48" t="n">
        <x:v>0.6773208547620087</x:v>
      </x:c>
      <x:c r="Q2267" s="48" t="n">
        <x:v>1</x:v>
      </x:c>
      <x:c r="R2267" s="48" t="n">
        <x:v>0.9030352312706669</x:v>
      </x:c>
      <x:c r="S2267" s="29" t="n">
        <x:v>0</x:v>
      </x:c>
    </x:row>
    <x:row r="2268" ht="21.600000381469727" hidden="0" customHeight="1">
      <x:c r="A2268" s="27" t="n">
        <x:v>755</x:v>
      </x:c>
      <x:c r="B2268" s="27" t="str">
        <x:v>A2</x:v>
      </x:c>
      <x:c r="C2268" s="47" t="n">
        <x:v>0.9440043298977678</x:v>
      </x:c>
      <x:c r="D2268" s="47" t="n">
        <x:v>0.9800920141502536</x:v>
      </x:c>
      <x:c r="E2268" s="47" t="n">
        <x:v>0.5656035923299504</x:v>
      </x:c>
      <x:c r="F2268" s="47" t="n">
        <x:v>-0.11943292850360426</x:v>
      </x:c>
      <x:c r="G2268" s="47" t="n">
        <x:v>-0.07447306368744722</x:v>
      </x:c>
      <x:c r="H2268" s="47" t="n">
        <x:v>0.7599814637397083</x:v>
      </x:c>
      <x:c r="I2268" s="47" t="n">
        <x:v>0.6117220670257318</x:v>
      </x:c>
      <x:c r="J2268" s="47" t="n">
        <x:v>0.9059891164476069</x:v>
      </x:c>
      <x:c r="K2268" s="47" t="n">
        <x:v>0.7401546413141888</x:v>
      </x:c>
      <x:c r="L2268" s="47" t="n">
        <x:v>0.5755266960989242</x:v>
      </x:c>
      <x:c r="M2268" s="47" t="n">
        <x:v>0.146504931469837</x:v>
      </x:c>
      <x:c r="N2268" s="47" t="n">
        <x:v>0.9677971682932921</x:v>
      </x:c>
      <x:c r="O2268" s="47" t="n">
        <x:v>0.9666089690830321</x:v>
      </x:c>
      <x:c r="P2268" s="47" t="n">
        <x:v>0.8146352077871449</x:v>
      </x:c>
      <x:c r="Q2268" s="47" t="n">
        <x:v>1</x:v>
      </x:c>
      <x:c r="R2268" s="47" t="n">
        <x:v>0.9587673177554927</x:v>
      </x:c>
      <x:c r="S2268" s="27" t="n">
        <x:v>0</x:v>
      </x:c>
    </x:row>
    <x:row r="2269" ht="21.600000381469727" hidden="0" customHeight="1">
      <x:c r="A2269" s="29" t="n">
        <x:v>755</x:v>
      </x:c>
      <x:c r="B2269" s="29" t="str">
        <x:v>A3</x:v>
      </x:c>
      <x:c r="C2269" s="48" t="n">
        <x:v>0.9440043298977678</x:v>
      </x:c>
      <x:c r="D2269" s="48" t="n">
        <x:v>0.9800920141502536</x:v>
      </x:c>
      <x:c r="E2269" s="48" t="n">
        <x:v>0.5656035923299504</x:v>
      </x:c>
      <x:c r="F2269" s="48" t="n">
        <x:v>-0.11943292850360426</x:v>
      </x:c>
      <x:c r="G2269" s="48" t="n">
        <x:v>-0.07447306368744722</x:v>
      </x:c>
      <x:c r="H2269" s="48" t="n">
        <x:v>0.7599814637397083</x:v>
      </x:c>
      <x:c r="I2269" s="48" t="n">
        <x:v>0.6117220670257318</x:v>
      </x:c>
      <x:c r="J2269" s="48" t="n">
        <x:v>0.9059891164476069</x:v>
      </x:c>
      <x:c r="K2269" s="48" t="n">
        <x:v>0.7401546413141888</x:v>
      </x:c>
      <x:c r="L2269" s="48" t="n">
        <x:v>0.5755266960989242</x:v>
      </x:c>
      <x:c r="M2269" s="48" t="n">
        <x:v>0.146504931469837</x:v>
      </x:c>
      <x:c r="N2269" s="48" t="n">
        <x:v>0.9677971682932921</x:v>
      </x:c>
      <x:c r="O2269" s="48" t="n">
        <x:v>1</x:v>
      </x:c>
      <x:c r="P2269" s="48" t="n">
        <x:v>1</x:v>
      </x:c>
      <x:c r="Q2269" s="48" t="n">
        <x:v>1</x:v>
      </x:c>
      <x:c r="R2269" s="48" t="n">
        <x:v>1</x:v>
      </x:c>
      <x:c r="S2269" s="29" t="n">
        <x:v>1</x:v>
      </x:c>
    </x:row>
    <x:row r="2270" ht="21.600000381469727" hidden="0" customHeight="1">
      <x:c r="A2270" s="27" t="n">
        <x:v>756</x:v>
      </x:c>
      <x:c r="B2270" s="27" t="str">
        <x:v>A1</x:v>
      </x:c>
      <x:c r="C2270" s="47" t="n">
        <x:v>1.137587479600715</x:v>
      </x:c>
      <x:c r="D2270" s="47" t="n">
        <x:v>0.9879268035000921</x:v>
      </x:c>
      <x:c r="E2270" s="47" t="n">
        <x:v>0.8119154745974858</x:v>
      </x:c>
      <x:c r="F2270" s="47" t="n">
        <x:v>0.030066187073348655</x:v>
      </x:c>
      <x:c r="G2270" s="47" t="n">
        <x:v>-0.11999404750541481</x:v>
      </x:c>
      <x:c r="H2270" s="47" t="n">
        <x:v>0.9759908551768885</x:v>
      </x:c>
      <x:c r="I2270" s="47" t="n">
        <x:v>0.8524508321045009</x:v>
      </x:c>
      <x:c r="J2270" s="47" t="n">
        <x:v>0.9881018115008455</x:v>
      </x:c>
      <x:c r="K2270" s="47" t="n">
        <x:v>0.8775811963266295</x:v>
      </x:c>
      <x:c r="L2270" s="47" t="n">
        <x:v>0.5039920462796401</x:v>
      </x:c>
      <x:c r="M2270" s="47" t="n">
        <x:v>0.06418916128159796</x:v>
      </x:c>
      <x:c r="N2270" s="47" t="n">
        <x:v>0.8047857449117626</x:v>
      </x:c>
      <x:c r="O2270" s="47" t="n">
        <x:v>0.9184027796165148</x:v>
      </x:c>
      <x:c r="P2270" s="47" t="n">
        <x:v>0.6163830613765425</x:v>
      </x:c>
      <x:c r="Q2270" s="47" t="n">
        <x:v>1</x:v>
      </x:c>
      <x:c r="R2270" s="47" t="n">
        <x:v>0.8992402400371057</x:v>
      </x:c>
      <x:c r="S2270" s="27" t="n">
        <x:v>0</x:v>
      </x:c>
    </x:row>
    <x:row r="2271" ht="21.600000381469727" hidden="0" customHeight="1">
      <x:c r="A2271" s="29" t="n">
        <x:v>756</x:v>
      </x:c>
      <x:c r="B2271" s="29" t="str">
        <x:v>A2</x:v>
      </x:c>
      <x:c r="C2271" s="48" t="n">
        <x:v>1.137587479600715</x:v>
      </x:c>
      <x:c r="D2271" s="48" t="n">
        <x:v>0.9879268035000921</x:v>
      </x:c>
      <x:c r="E2271" s="48" t="n">
        <x:v>0.8119154745974858</x:v>
      </x:c>
      <x:c r="F2271" s="48" t="n">
        <x:v>0.030066187073348655</x:v>
      </x:c>
      <x:c r="G2271" s="48" t="n">
        <x:v>-0.11999404750541481</x:v>
      </x:c>
      <x:c r="H2271" s="48" t="n">
        <x:v>0.9759908551768885</x:v>
      </x:c>
      <x:c r="I2271" s="48" t="n">
        <x:v>0.8524508321045009</x:v>
      </x:c>
      <x:c r="J2271" s="48" t="n">
        <x:v>0.9881018115008455</x:v>
      </x:c>
      <x:c r="K2271" s="48" t="n">
        <x:v>0.8775811963266295</x:v>
      </x:c>
      <x:c r="L2271" s="48" t="n">
        <x:v>0.5039920462796401</x:v>
      </x:c>
      <x:c r="M2271" s="48" t="n">
        <x:v>0.06418916128159796</x:v>
      </x:c>
      <x:c r="N2271" s="48" t="n">
        <x:v>0.8047857449117626</x:v>
      </x:c>
      <x:c r="O2271" s="48" t="n">
        <x:v>0.9408388583396848</x:v>
      </x:c>
      <x:c r="P2271" s="48" t="n">
        <x:v>0.6619712215219317</x:v>
      </x:c>
      <x:c r="Q2271" s="48" t="n">
        <x:v>1</x:v>
      </x:c>
      <x:c r="R2271" s="48" t="n">
        <x:v>0.9269452757727685</x:v>
      </x:c>
      <x:c r="S2271" s="29" t="n">
        <x:v>0</x:v>
      </x:c>
    </x:row>
    <x:row r="2272" ht="21.600000381469727" hidden="0" customHeight="1">
      <x:c r="A2272" s="27" t="n">
        <x:v>756</x:v>
      </x:c>
      <x:c r="B2272" s="27" t="str">
        <x:v>A3</x:v>
      </x:c>
      <x:c r="C2272" s="47" t="n">
        <x:v>1.137587479600715</x:v>
      </x:c>
      <x:c r="D2272" s="47" t="n">
        <x:v>0.9879268035000921</x:v>
      </x:c>
      <x:c r="E2272" s="47" t="n">
        <x:v>0.8119154745974858</x:v>
      </x:c>
      <x:c r="F2272" s="47" t="n">
        <x:v>0.030066187073348655</x:v>
      </x:c>
      <x:c r="G2272" s="47" t="n">
        <x:v>-0.11999404750541481</x:v>
      </x:c>
      <x:c r="H2272" s="47" t="n">
        <x:v>0.9759908551768885</x:v>
      </x:c>
      <x:c r="I2272" s="47" t="n">
        <x:v>0.8524508321045009</x:v>
      </x:c>
      <x:c r="J2272" s="47" t="n">
        <x:v>0.9881018115008455</x:v>
      </x:c>
      <x:c r="K2272" s="47" t="n">
        <x:v>0.8775811963266295</x:v>
      </x:c>
      <x:c r="L2272" s="47" t="n">
        <x:v>0.5039920462796401</x:v>
      </x:c>
      <x:c r="M2272" s="47" t="n">
        <x:v>0.06418916128159796</x:v>
      </x:c>
      <x:c r="N2272" s="47" t="n">
        <x:v>0.8047857449117626</x:v>
      </x:c>
      <x:c r="O2272" s="47" t="n">
        <x:v>1</x:v>
      </x:c>
      <x:c r="P2272" s="47" t="n">
        <x:v>1</x:v>
      </x:c>
      <x:c r="Q2272" s="47" t="n">
        <x:v>1</x:v>
      </x:c>
      <x:c r="R2272" s="47" t="n">
        <x:v>1</x:v>
      </x:c>
      <x:c r="S2272" s="27" t="n">
        <x:v>1</x:v>
      </x:c>
    </x:row>
    <x:row r="2273" ht="21.600000381469727" hidden="0" customHeight="1">
      <x:c r="A2273" s="29" t="n">
        <x:v>757</x:v>
      </x:c>
      <x:c r="B2273" s="29" t="str">
        <x:v>A1</x:v>
      </x:c>
      <x:c r="C2273" s="48" t="n">
        <x:v>1.1044012237823462</x:v>
      </x:c>
      <x:c r="D2273" s="48" t="n">
        <x:v>0.8044213056422636</x:v>
      </x:c>
      <x:c r="E2273" s="48" t="n">
        <x:v>0.5187458802026683</x:v>
      </x:c>
      <x:c r="F2273" s="48" t="n">
        <x:v>0.01909445150527392</x:v>
      </x:c>
      <x:c r="G2273" s="48" t="n">
        <x:v>-0.10044591757148615</x:v>
      </x:c>
      <x:c r="H2273" s="48" t="n">
        <x:v>0.870070588185776</x:v>
      </x:c>
      <x:c r="I2273" s="48" t="n">
        <x:v>0.6822808263846255</x:v>
      </x:c>
      <x:c r="J2273" s="48" t="n">
        <x:v>0.7467656307900689</x:v>
      </x:c>
      <x:c r="K2273" s="48" t="n">
        <x:v>0.607520606596517</x:v>
      </x:c>
      <x:c r="L2273" s="48" t="n">
        <x:v>0.5403452989558248</x:v>
      </x:c>
      <x:c r="M2273" s="48" t="n">
        <x:v>0.06624737415906647</x:v>
      </x:c>
      <x:c r="N2273" s="48" t="n">
        <x:v>0.949166227205804</x:v>
      </x:c>
      <x:c r="O2273" s="48" t="n">
        <x:v>0.7527981601618395</x:v>
      </x:c>
      <x:c r="P2273" s="48" t="n">
        <x:v>0.479243386602951</x:v>
      </x:c>
      <x:c r="Q2273" s="48" t="n">
        <x:v>0.9466897070273537</x:v>
      </x:c>
      <x:c r="R2273" s="48" t="n">
        <x:v>0.6951404554621831</x:v>
      </x:c>
      <x:c r="S2273" s="29" t="n">
        <x:v>0</x:v>
      </x:c>
    </x:row>
    <x:row r="2274" ht="21.600000381469727" hidden="0" customHeight="1">
      <x:c r="A2274" s="27" t="n">
        <x:v>757</x:v>
      </x:c>
      <x:c r="B2274" s="27" t="str">
        <x:v>A2</x:v>
      </x:c>
      <x:c r="C2274" s="47" t="n">
        <x:v>1.1044012237823462</x:v>
      </x:c>
      <x:c r="D2274" s="47" t="n">
        <x:v>0.8044213056422636</x:v>
      </x:c>
      <x:c r="E2274" s="47" t="n">
        <x:v>0.5187458802026683</x:v>
      </x:c>
      <x:c r="F2274" s="47" t="n">
        <x:v>0.01909445150527392</x:v>
      </x:c>
      <x:c r="G2274" s="47" t="n">
        <x:v>-0.10044591757148615</x:v>
      </x:c>
      <x:c r="H2274" s="47" t="n">
        <x:v>0.870070588185776</x:v>
      </x:c>
      <x:c r="I2274" s="47" t="n">
        <x:v>0.6822808263846255</x:v>
      </x:c>
      <x:c r="J2274" s="47" t="n">
        <x:v>0.7467656307900689</x:v>
      </x:c>
      <x:c r="K2274" s="47" t="n">
        <x:v>0.607520606596517</x:v>
      </x:c>
      <x:c r="L2274" s="47" t="n">
        <x:v>0.5403452989558248</x:v>
      </x:c>
      <x:c r="M2274" s="47" t="n">
        <x:v>0.06624737415906647</x:v>
      </x:c>
      <x:c r="N2274" s="47" t="n">
        <x:v>0.949166227205804</x:v>
      </x:c>
      <x:c r="O2274" s="47" t="n">
        <x:v>0.8161608128164693</x:v>
      </x:c>
      <x:c r="P2274" s="47" t="n">
        <x:v>0.47534297702242767</x:v>
      </x:c>
      <x:c r="Q2274" s="47" t="n">
        <x:v>1</x:v>
      </x:c>
      <x:c r="R2274" s="47" t="n">
        <x:v>0.7729874585760372</x:v>
      </x:c>
      <x:c r="S2274" s="27" t="n">
        <x:v>0</x:v>
      </x:c>
    </x:row>
    <x:row r="2275" ht="21.600000381469727" hidden="0" customHeight="1">
      <x:c r="A2275" s="29" t="n">
        <x:v>757</x:v>
      </x:c>
      <x:c r="B2275" s="29" t="str">
        <x:v>A3</x:v>
      </x:c>
      <x:c r="C2275" s="48" t="n">
        <x:v>1.1044012237823462</x:v>
      </x:c>
      <x:c r="D2275" s="48" t="n">
        <x:v>0.8044213056422636</x:v>
      </x:c>
      <x:c r="E2275" s="48" t="n">
        <x:v>0.5187458802026683</x:v>
      </x:c>
      <x:c r="F2275" s="48" t="n">
        <x:v>0.01909445150527392</x:v>
      </x:c>
      <x:c r="G2275" s="48" t="n">
        <x:v>-0.10044591757148615</x:v>
      </x:c>
      <x:c r="H2275" s="48" t="n">
        <x:v>0.870070588185776</x:v>
      </x:c>
      <x:c r="I2275" s="48" t="n">
        <x:v>0.6822808263846255</x:v>
      </x:c>
      <x:c r="J2275" s="48" t="n">
        <x:v>0.7467656307900689</x:v>
      </x:c>
      <x:c r="K2275" s="48" t="n">
        <x:v>0.607520606596517</x:v>
      </x:c>
      <x:c r="L2275" s="48" t="n">
        <x:v>0.5403452989558248</x:v>
      </x:c>
      <x:c r="M2275" s="48" t="n">
        <x:v>0.06624737415906647</x:v>
      </x:c>
      <x:c r="N2275" s="48" t="n">
        <x:v>0.949166227205804</x:v>
      </x:c>
      <x:c r="O2275" s="48" t="n">
        <x:v>1</x:v>
      </x:c>
      <x:c r="P2275" s="48" t="n">
        <x:v>1</x:v>
      </x:c>
      <x:c r="Q2275" s="48" t="n">
        <x:v>1</x:v>
      </x:c>
      <x:c r="R2275" s="48" t="n">
        <x:v>1</x:v>
      </x:c>
      <x:c r="S2275" s="29" t="n">
        <x:v>1</x:v>
      </x:c>
    </x:row>
    <x:row r="2276" ht="21.600000381469727" hidden="0" customHeight="1">
      <x:c r="A2276" s="27" t="n">
        <x:v>758</x:v>
      </x:c>
      <x:c r="B2276" s="27" t="str">
        <x:v>A1</x:v>
      </x:c>
      <x:c r="C2276" s="47" t="n">
        <x:v>1.0825071385181826</x:v>
      </x:c>
      <x:c r="D2276" s="47" t="n">
        <x:v>0.9277199907839512</x:v>
      </x:c>
      <x:c r="E2276" s="47" t="n">
        <x:v>0.5005970157456366</x:v>
      </x:c>
      <x:c r="F2276" s="47" t="n">
        <x:v>-0.00820184498823437</x:v>
      </x:c>
      <x:c r="G2276" s="47" t="n">
        <x:v>0.02295340000205004</x:v>
      </x:c>
      <x:c r="H2276" s="47" t="n">
        <x:v>0.8867224850644759</x:v>
      </x:c>
      <x:c r="I2276" s="47" t="n">
        <x:v>0.8855477889145229</x:v>
      </x:c>
      <x:c r="J2276" s="47" t="n">
        <x:v>0.8245736366786822</x:v>
      </x:c>
      <x:c r="K2276" s="47" t="n">
        <x:v>0.9787634723792815</x:v>
      </x:c>
      <x:c r="L2276" s="47" t="n">
        <x:v>0.7045117646246812</x:v>
      </x:c>
      <x:c r="M2276" s="47" t="n">
        <x:v>0.08793682206577773</x:v>
      </x:c>
      <x:c r="N2276" s="47" t="n">
        <x:v>0.931699378589053</x:v>
      </x:c>
      <x:c r="O2276" s="47" t="n">
        <x:v>0.9079147051133258</x:v>
      </x:c>
      <x:c r="P2276" s="47" t="n">
        <x:v>0.6359176114937422</x:v>
      </x:c>
      <x:c r="Q2276" s="47" t="n">
        <x:v>1</x:v>
      </x:c>
      <x:c r="R2276" s="47" t="n">
        <x:v>0.8862891141966945</x:v>
      </x:c>
      <x:c r="S2276" s="27" t="n">
        <x:v>0</x:v>
      </x:c>
    </x:row>
    <x:row r="2277" ht="21.600000381469727" hidden="0" customHeight="1">
      <x:c r="A2277" s="29" t="n">
        <x:v>758</x:v>
      </x:c>
      <x:c r="B2277" s="29" t="str">
        <x:v>A2</x:v>
      </x:c>
      <x:c r="C2277" s="48" t="n">
        <x:v>1.0825071385181826</x:v>
      </x:c>
      <x:c r="D2277" s="48" t="n">
        <x:v>0.9277199907839512</x:v>
      </x:c>
      <x:c r="E2277" s="48" t="n">
        <x:v>0.5005970157456366</x:v>
      </x:c>
      <x:c r="F2277" s="48" t="n">
        <x:v>-0.00820184498823437</x:v>
      </x:c>
      <x:c r="G2277" s="48" t="n">
        <x:v>0.02295340000205004</x:v>
      </x:c>
      <x:c r="H2277" s="48" t="n">
        <x:v>0.8867224850644759</x:v>
      </x:c>
      <x:c r="I2277" s="48" t="n">
        <x:v>0.8855477889145229</x:v>
      </x:c>
      <x:c r="J2277" s="48" t="n">
        <x:v>0.8245736366786822</x:v>
      </x:c>
      <x:c r="K2277" s="48" t="n">
        <x:v>0.9787634723792815</x:v>
      </x:c>
      <x:c r="L2277" s="48" t="n">
        <x:v>0.7045117646246812</x:v>
      </x:c>
      <x:c r="M2277" s="48" t="n">
        <x:v>0.08793682206577773</x:v>
      </x:c>
      <x:c r="N2277" s="48" t="n">
        <x:v>0.931699378589053</x:v>
      </x:c>
      <x:c r="O2277" s="48" t="n">
        <x:v>0.9559344506558825</x:v>
      </x:c>
      <x:c r="P2277" s="48" t="n">
        <x:v>0.6811947639105297</x:v>
      </x:c>
      <x:c r="Q2277" s="48" t="n">
        <x:v>1</x:v>
      </x:c>
      <x:c r="R2277" s="48" t="n">
        <x:v>0.9455859629325682</x:v>
      </x:c>
      <x:c r="S2277" s="29" t="n">
        <x:v>0</x:v>
      </x:c>
    </x:row>
    <x:row r="2278" ht="21.600000381469727" hidden="0" customHeight="1">
      <x:c r="A2278" s="27" t="n">
        <x:v>758</x:v>
      </x:c>
      <x:c r="B2278" s="27" t="str">
        <x:v>A3</x:v>
      </x:c>
      <x:c r="C2278" s="47" t="n">
        <x:v>1.0825071385181826</x:v>
      </x:c>
      <x:c r="D2278" s="47" t="n">
        <x:v>0.9277199907839512</x:v>
      </x:c>
      <x:c r="E2278" s="47" t="n">
        <x:v>0.5005970157456366</x:v>
      </x:c>
      <x:c r="F2278" s="47" t="n">
        <x:v>-0.00820184498823437</x:v>
      </x:c>
      <x:c r="G2278" s="47" t="n">
        <x:v>0.02295340000205004</x:v>
      </x:c>
      <x:c r="H2278" s="47" t="n">
        <x:v>0.8867224850644759</x:v>
      </x:c>
      <x:c r="I2278" s="47" t="n">
        <x:v>0.8855477889145229</x:v>
      </x:c>
      <x:c r="J2278" s="47" t="n">
        <x:v>0.8245736366786822</x:v>
      </x:c>
      <x:c r="K2278" s="47" t="n">
        <x:v>0.9787634723792815</x:v>
      </x:c>
      <x:c r="L2278" s="47" t="n">
        <x:v>0.7045117646246812</x:v>
      </x:c>
      <x:c r="M2278" s="47" t="n">
        <x:v>0.08793682206577773</x:v>
      </x:c>
      <x:c r="N2278" s="47" t="n">
        <x:v>0.931699378589053</x:v>
      </x:c>
      <x:c r="O2278" s="47" t="n">
        <x:v>1</x:v>
      </x:c>
      <x:c r="P2278" s="47" t="n">
        <x:v>1</x:v>
      </x:c>
      <x:c r="Q2278" s="47" t="n">
        <x:v>1</x:v>
      </x:c>
      <x:c r="R2278" s="47" t="n">
        <x:v>1</x:v>
      </x:c>
      <x:c r="S2278" s="27" t="n">
        <x:v>1</x:v>
      </x:c>
    </x:row>
    <x:row r="2279" ht="21.600000381469727" hidden="0" customHeight="1">
      <x:c r="A2279" s="29" t="n">
        <x:v>759</x:v>
      </x:c>
      <x:c r="B2279" s="29" t="str">
        <x:v>A1</x:v>
      </x:c>
      <x:c r="C2279" s="48" t="n">
        <x:v>1.0273548255828029</x:v>
      </x:c>
      <x:c r="D2279" s="48" t="n">
        <x:v>0.9604040190362464</x:v>
      </x:c>
      <x:c r="E2279" s="48" t="n">
        <x:v>1.0700094166978193</x:v>
      </x:c>
      <x:c r="F2279" s="48" t="n">
        <x:v>-0.010109965723032077</x:v>
      </x:c>
      <x:c r="G2279" s="48" t="n">
        <x:v>-0.19883405291766712</x:v>
      </x:c>
      <x:c r="H2279" s="48" t="n">
        <x:v>0.6659867648303823</x:v>
      </x:c>
      <x:c r="I2279" s="48" t="n">
        <x:v>0.6149868133709357</x:v>
      </x:c>
      <x:c r="J2279" s="48" t="n">
        <x:v>0.9385864118610936</x:v>
      </x:c>
      <x:c r="K2279" s="48" t="n">
        <x:v>0.8551195418009672</x:v>
      </x:c>
      <x:c r="L2279" s="48" t="n">
        <x:v>0.6021906138568469</x:v>
      </x:c>
      <x:c r="M2279" s="48" t="n">
        <x:v>0.09680565995482822</x:v>
      </x:c>
      <x:c r="N2279" s="48" t="n">
        <x:v>0.7709973706339996</x:v>
      </x:c>
      <x:c r="O2279" s="48" t="n">
        <x:v>0.9121567276918034</x:v>
      </x:c>
      <x:c r="P2279" s="48" t="n">
        <x:v>0.5542207545422875</x:v>
      </x:c>
      <x:c r="Q2279" s="48" t="n">
        <x:v>1</x:v>
      </x:c>
      <x:c r="R2279" s="48" t="n">
        <x:v>0.8915273462682748</x:v>
      </x:c>
      <x:c r="S2279" s="29" t="n">
        <x:v>0</x:v>
      </x:c>
    </x:row>
    <x:row r="2280" ht="21.600000381469727" hidden="0" customHeight="1">
      <x:c r="A2280" s="27" t="n">
        <x:v>759</x:v>
      </x:c>
      <x:c r="B2280" s="27" t="str">
        <x:v>A2</x:v>
      </x:c>
      <x:c r="C2280" s="47" t="n">
        <x:v>1.0273548255828029</x:v>
      </x:c>
      <x:c r="D2280" s="47" t="n">
        <x:v>0.9604040190362464</x:v>
      </x:c>
      <x:c r="E2280" s="47" t="n">
        <x:v>1.0700094166978193</x:v>
      </x:c>
      <x:c r="F2280" s="47" t="n">
        <x:v>-0.010109965723032077</x:v>
      </x:c>
      <x:c r="G2280" s="47" t="n">
        <x:v>-0.19883405291766712</x:v>
      </x:c>
      <x:c r="H2280" s="47" t="n">
        <x:v>0.6659867648303823</x:v>
      </x:c>
      <x:c r="I2280" s="47" t="n">
        <x:v>0.6149868133709357</x:v>
      </x:c>
      <x:c r="J2280" s="47" t="n">
        <x:v>0.9385864118610936</x:v>
      </x:c>
      <x:c r="K2280" s="47" t="n">
        <x:v>0.8551195418009672</x:v>
      </x:c>
      <x:c r="L2280" s="47" t="n">
        <x:v>0.6021906138568469</x:v>
      </x:c>
      <x:c r="M2280" s="47" t="n">
        <x:v>0.09680565995482822</x:v>
      </x:c>
      <x:c r="N2280" s="47" t="n">
        <x:v>0.7709973706339996</x:v>
      </x:c>
      <x:c r="O2280" s="47" t="n">
        <x:v>0.9542443081111965</x:v>
      </x:c>
      <x:c r="P2280" s="47" t="n">
        <x:v>0.6450537672241566</x:v>
      </x:c>
      <x:c r="Q2280" s="47" t="n">
        <x:v>1</x:v>
      </x:c>
      <x:c r="R2280" s="47" t="n">
        <x:v>0.9434989021686688</x:v>
      </x:c>
      <x:c r="S2280" s="27" t="n">
        <x:v>0</x:v>
      </x:c>
    </x:row>
    <x:row r="2281" ht="21.600000381469727" hidden="0" customHeight="1">
      <x:c r="A2281" s="29" t="n">
        <x:v>759</x:v>
      </x:c>
      <x:c r="B2281" s="29" t="str">
        <x:v>A3</x:v>
      </x:c>
      <x:c r="C2281" s="48" t="n">
        <x:v>1.0273548255828029</x:v>
      </x:c>
      <x:c r="D2281" s="48" t="n">
        <x:v>0.9604040190362464</x:v>
      </x:c>
      <x:c r="E2281" s="48" t="n">
        <x:v>1.0700094166978193</x:v>
      </x:c>
      <x:c r="F2281" s="48" t="n">
        <x:v>-0.010109965723032077</x:v>
      </x:c>
      <x:c r="G2281" s="48" t="n">
        <x:v>-0.19883405291766712</x:v>
      </x:c>
      <x:c r="H2281" s="48" t="n">
        <x:v>0.6659867648303823</x:v>
      </x:c>
      <x:c r="I2281" s="48" t="n">
        <x:v>0.6149868133709357</x:v>
      </x:c>
      <x:c r="J2281" s="48" t="n">
        <x:v>0.9385864118610936</x:v>
      </x:c>
      <x:c r="K2281" s="48" t="n">
        <x:v>0.8551195418009672</x:v>
      </x:c>
      <x:c r="L2281" s="48" t="n">
        <x:v>0.6021906138568469</x:v>
      </x:c>
      <x:c r="M2281" s="48" t="n">
        <x:v>0.09680565995482822</x:v>
      </x:c>
      <x:c r="N2281" s="48" t="n">
        <x:v>0.7709973706339996</x:v>
      </x:c>
      <x:c r="O2281" s="48" t="n">
        <x:v>1</x:v>
      </x:c>
      <x:c r="P2281" s="48" t="n">
        <x:v>1</x:v>
      </x:c>
      <x:c r="Q2281" s="48" t="n">
        <x:v>1</x:v>
      </x:c>
      <x:c r="R2281" s="48" t="n">
        <x:v>1</x:v>
      </x:c>
      <x:c r="S2281" s="29" t="n">
        <x:v>1</x:v>
      </x:c>
    </x:row>
    <x:row r="2282" ht="21.600000381469727" hidden="0" customHeight="1">
      <x:c r="A2282" s="27" t="n">
        <x:v>760</x:v>
      </x:c>
      <x:c r="B2282" s="27" t="str">
        <x:v>A1</x:v>
      </x:c>
      <x:c r="C2282" s="47" t="n">
        <x:v>1.268404843437782</x:v>
      </x:c>
      <x:c r="D2282" s="47" t="n">
        <x:v>0.9432468684015973</x:v>
      </x:c>
      <x:c r="E2282" s="47" t="n">
        <x:v>0.6701860617366254</x:v>
      </x:c>
      <x:c r="F2282" s="47" t="n">
        <x:v>-0.05147173081398265</x:v>
      </x:c>
      <x:c r="G2282" s="47" t="n">
        <x:v>-0.046887859441636204</x:v>
      </x:c>
      <x:c r="H2282" s="47" t="n">
        <x:v>1.083863376697272</x:v>
      </x:c>
      <x:c r="I2282" s="47" t="n">
        <x:v>0.8413549561145506</x:v>
      </x:c>
      <x:c r="J2282" s="47" t="n">
        <x:v>0.9048259644344901</x:v>
      </x:c>
      <x:c r="K2282" s="47" t="n">
        <x:v>0.6132413900442998</x:v>
      </x:c>
      <x:c r="L2282" s="47" t="n">
        <x:v>0.7995014639758851</x:v>
      </x:c>
      <x:c r="M2282" s="47" t="n">
        <x:v>0.1746903778016513</x:v>
      </x:c>
      <x:c r="N2282" s="47" t="n">
        <x:v>0.9761803412636172</x:v>
      </x:c>
      <x:c r="O2282" s="47" t="n">
        <x:v>0.8210451989086692</x:v>
      </x:c>
      <x:c r="P2282" s="47" t="n">
        <x:v>0.4323982293269815</x:v>
      </x:c>
      <x:c r="Q2282" s="47" t="n">
        <x:v>1</x:v>
      </x:c>
      <x:c r="R2282" s="47" t="n">
        <x:v>0.7790189087639626</x:v>
      </x:c>
      <x:c r="S2282" s="27" t="n">
        <x:v>0</x:v>
      </x:c>
    </x:row>
    <x:row r="2283" ht="21.600000381469727" hidden="0" customHeight="1">
      <x:c r="A2283" s="29" t="n">
        <x:v>760</x:v>
      </x:c>
      <x:c r="B2283" s="29" t="str">
        <x:v>A2</x:v>
      </x:c>
      <x:c r="C2283" s="48" t="n">
        <x:v>1.268404843437782</x:v>
      </x:c>
      <x:c r="D2283" s="48" t="n">
        <x:v>0.9432468684015973</x:v>
      </x:c>
      <x:c r="E2283" s="48" t="n">
        <x:v>0.6701860617366254</x:v>
      </x:c>
      <x:c r="F2283" s="48" t="n">
        <x:v>-0.05147173081398265</x:v>
      </x:c>
      <x:c r="G2283" s="48" t="n">
        <x:v>-0.046887859441636204</x:v>
      </x:c>
      <x:c r="H2283" s="48" t="n">
        <x:v>1.083863376697272</x:v>
      </x:c>
      <x:c r="I2283" s="48" t="n">
        <x:v>0.8413549561145506</x:v>
      </x:c>
      <x:c r="J2283" s="48" t="n">
        <x:v>0.9048259644344901</x:v>
      </x:c>
      <x:c r="K2283" s="48" t="n">
        <x:v>0.6132413900442998</x:v>
      </x:c>
      <x:c r="L2283" s="48" t="n">
        <x:v>0.7995014639758851</x:v>
      </x:c>
      <x:c r="M2283" s="48" t="n">
        <x:v>0.1746903778016513</x:v>
      </x:c>
      <x:c r="N2283" s="48" t="n">
        <x:v>0.9761803412636172</x:v>
      </x:c>
      <x:c r="O2283" s="48" t="n">
        <x:v>0.8939634567254798</x:v>
      </x:c>
      <x:c r="P2283" s="48" t="n">
        <x:v>0.6066005561508002</x:v>
      </x:c>
      <x:c r="Q2283" s="48" t="n">
        <x:v>1</x:v>
      </x:c>
      <x:c r="R2283" s="48" t="n">
        <x:v>0.8690615121762391</x:v>
      </x:c>
      <x:c r="S2283" s="29" t="n">
        <x:v>0</x:v>
      </x:c>
    </x:row>
    <x:row r="2284" ht="21.600000381469727" hidden="0" customHeight="1">
      <x:c r="A2284" s="27" t="n">
        <x:v>760</x:v>
      </x:c>
      <x:c r="B2284" s="27" t="str">
        <x:v>A3</x:v>
      </x:c>
      <x:c r="C2284" s="47" t="n">
        <x:v>1.268404843437782</x:v>
      </x:c>
      <x:c r="D2284" s="47" t="n">
        <x:v>0.9432468684015973</x:v>
      </x:c>
      <x:c r="E2284" s="47" t="n">
        <x:v>0.6701860617366254</x:v>
      </x:c>
      <x:c r="F2284" s="47" t="n">
        <x:v>-0.05147173081398265</x:v>
      </x:c>
      <x:c r="G2284" s="47" t="n">
        <x:v>-0.046887859441636204</x:v>
      </x:c>
      <x:c r="H2284" s="47" t="n">
        <x:v>1.083863376697272</x:v>
      </x:c>
      <x:c r="I2284" s="47" t="n">
        <x:v>0.8413549561145506</x:v>
      </x:c>
      <x:c r="J2284" s="47" t="n">
        <x:v>0.9048259644344901</x:v>
      </x:c>
      <x:c r="K2284" s="47" t="n">
        <x:v>0.6132413900442998</x:v>
      </x:c>
      <x:c r="L2284" s="47" t="n">
        <x:v>0.7995014639758851</x:v>
      </x:c>
      <x:c r="M2284" s="47" t="n">
        <x:v>0.1746903778016513</x:v>
      </x:c>
      <x:c r="N2284" s="47" t="n">
        <x:v>0.9761803412636172</x:v>
      </x:c>
      <x:c r="O2284" s="47" t="n">
        <x:v>1</x:v>
      </x:c>
      <x:c r="P2284" s="47" t="n">
        <x:v>1</x:v>
      </x:c>
      <x:c r="Q2284" s="47" t="n">
        <x:v>1</x:v>
      </x:c>
      <x:c r="R2284" s="47" t="n">
        <x:v>1</x:v>
      </x:c>
      <x:c r="S2284" s="27" t="n">
        <x:v>1</x:v>
      </x:c>
    </x:row>
    <x:row r="2285" ht="21.600000381469727" hidden="0" customHeight="1">
      <x:c r="A2285" s="29" t="n">
        <x:v>761</x:v>
      </x:c>
      <x:c r="B2285" s="29" t="str">
        <x:v>A1</x:v>
      </x:c>
      <x:c r="C2285" s="48" t="n">
        <x:v>1.1197762887184217</x:v>
      </x:c>
      <x:c r="D2285" s="48" t="n">
        <x:v>0.9856072840130314</x:v>
      </x:c>
      <x:c r="E2285" s="48" t="n">
        <x:v>0.6182755616130724</x:v>
      </x:c>
      <x:c r="F2285" s="48" t="n">
        <x:v>0.022024090389876322</x:v>
      </x:c>
      <x:c r="G2285" s="48" t="n">
        <x:v>-0.07133035188626477</x:v>
      </x:c>
      <x:c r="H2285" s="48" t="n">
        <x:v>0.5889480279284676</x:v>
      </x:c>
      <x:c r="I2285" s="48" t="n">
        <x:v>1.0130223544221832</x:v>
      </x:c>
      <x:c r="J2285" s="48" t="n">
        <x:v>0.46145879273467627</x:v>
      </x:c>
      <x:c r="K2285" s="48" t="n">
        <x:v>0.6543823678135722</x:v>
      </x:c>
      <x:c r="L2285" s="48" t="n">
        <x:v>0.5009097953996807</x:v>
      </x:c>
      <x:c r="M2285" s="48" t="n">
        <x:v>0.08867424846751243</x:v>
      </x:c>
      <x:c r="N2285" s="48" t="n">
        <x:v>0.934503135772565</x:v>
      </x:c>
      <x:c r="O2285" s="48" t="n">
        <x:v>0.8479941027024929</x:v>
      </x:c>
      <x:c r="P2285" s="48" t="n">
        <x:v>0.5924796134629403</x:v>
      </x:c>
      <x:c r="Q2285" s="48" t="n">
        <x:v>1</x:v>
      </x:c>
      <x:c r="R2285" s="48" t="n">
        <x:v>0.8122965751448431</x:v>
      </x:c>
      <x:c r="S2285" s="29" t="n">
        <x:v>0</x:v>
      </x:c>
    </x:row>
    <x:row r="2286" ht="21.600000381469727" hidden="0" customHeight="1">
      <x:c r="A2286" s="27" t="n">
        <x:v>761</x:v>
      </x:c>
      <x:c r="B2286" s="27" t="str">
        <x:v>A2</x:v>
      </x:c>
      <x:c r="C2286" s="47" t="n">
        <x:v>1.1197762887184217</x:v>
      </x:c>
      <x:c r="D2286" s="47" t="n">
        <x:v>0.9856072840130314</x:v>
      </x:c>
      <x:c r="E2286" s="47" t="n">
        <x:v>0.6182755616130724</x:v>
      </x:c>
      <x:c r="F2286" s="47" t="n">
        <x:v>0.022024090389876322</x:v>
      </x:c>
      <x:c r="G2286" s="47" t="n">
        <x:v>-0.07133035188626477</x:v>
      </x:c>
      <x:c r="H2286" s="47" t="n">
        <x:v>0.5889480279284676</x:v>
      </x:c>
      <x:c r="I2286" s="47" t="n">
        <x:v>1.0130223544221832</x:v>
      </x:c>
      <x:c r="J2286" s="47" t="n">
        <x:v>0.46145879273467627</x:v>
      </x:c>
      <x:c r="K2286" s="47" t="n">
        <x:v>0.6543823678135722</x:v>
      </x:c>
      <x:c r="L2286" s="47" t="n">
        <x:v>0.5009097953996807</x:v>
      </x:c>
      <x:c r="M2286" s="47" t="n">
        <x:v>0.08867424846751243</x:v>
      </x:c>
      <x:c r="N2286" s="47" t="n">
        <x:v>0.934503135772565</x:v>
      </x:c>
      <x:c r="O2286" s="47" t="n">
        <x:v>0.9340867365499155</x:v>
      </x:c>
      <x:c r="P2286" s="47" t="n">
        <x:v>0.7661797507972955</x:v>
      </x:c>
      <x:c r="Q2286" s="47" t="n">
        <x:v>1</x:v>
      </x:c>
      <x:c r="R2286" s="47" t="n">
        <x:v>0.9186074651515249</x:v>
      </x:c>
      <x:c r="S2286" s="27" t="n">
        <x:v>0</x:v>
      </x:c>
    </x:row>
    <x:row r="2287" ht="21.600000381469727" hidden="0" customHeight="1">
      <x:c r="A2287" s="29" t="n">
        <x:v>761</x:v>
      </x:c>
      <x:c r="B2287" s="29" t="str">
        <x:v>A3</x:v>
      </x:c>
      <x:c r="C2287" s="48" t="n">
        <x:v>1.1197762887184217</x:v>
      </x:c>
      <x:c r="D2287" s="48" t="n">
        <x:v>0.9856072840130314</x:v>
      </x:c>
      <x:c r="E2287" s="48" t="n">
        <x:v>0.6182755616130724</x:v>
      </x:c>
      <x:c r="F2287" s="48" t="n">
        <x:v>0.022024090389876322</x:v>
      </x:c>
      <x:c r="G2287" s="48" t="n">
        <x:v>-0.07133035188626477</x:v>
      </x:c>
      <x:c r="H2287" s="48" t="n">
        <x:v>0.5889480279284676</x:v>
      </x:c>
      <x:c r="I2287" s="48" t="n">
        <x:v>1.0130223544221832</x:v>
      </x:c>
      <x:c r="J2287" s="48" t="n">
        <x:v>0.46145879273467627</x:v>
      </x:c>
      <x:c r="K2287" s="48" t="n">
        <x:v>0.6543823678135722</x:v>
      </x:c>
      <x:c r="L2287" s="48" t="n">
        <x:v>0.5009097953996807</x:v>
      </x:c>
      <x:c r="M2287" s="48" t="n">
        <x:v>0.08867424846751243</x:v>
      </x:c>
      <x:c r="N2287" s="48" t="n">
        <x:v>0.934503135772565</x:v>
      </x:c>
      <x:c r="O2287" s="48" t="n">
        <x:v>1</x:v>
      </x:c>
      <x:c r="P2287" s="48" t="n">
        <x:v>1</x:v>
      </x:c>
      <x:c r="Q2287" s="48" t="n">
        <x:v>1</x:v>
      </x:c>
      <x:c r="R2287" s="48" t="n">
        <x:v>1</x:v>
      </x:c>
      <x:c r="S2287" s="29" t="n">
        <x:v>1</x:v>
      </x:c>
    </x:row>
    <x:row r="2288" ht="21.600000381469727" hidden="0" customHeight="1">
      <x:c r="A2288" s="27" t="n">
        <x:v>762</x:v>
      </x:c>
      <x:c r="B2288" s="27" t="str">
        <x:v>A1</x:v>
      </x:c>
      <x:c r="C2288" s="47" t="n">
        <x:v>1.3368561407188297</x:v>
      </x:c>
      <x:c r="D2288" s="47" t="n">
        <x:v>0.7739600821173107</x:v>
      </x:c>
      <x:c r="E2288" s="47" t="n">
        <x:v>0.7203511719775247</x:v>
      </x:c>
      <x:c r="F2288" s="47" t="n">
        <x:v>-0.13488291777213807</x:v>
      </x:c>
      <x:c r="G2288" s="47" t="n">
        <x:v>0.01852807916162874</x:v>
      </x:c>
      <x:c r="H2288" s="47" t="n">
        <x:v>0.7450529738121353</x:v>
      </x:c>
      <x:c r="I2288" s="47" t="n">
        <x:v>1.007129566642511</x:v>
      </x:c>
      <x:c r="J2288" s="47" t="n">
        <x:v>0.8747753275314041</x:v>
      </x:c>
      <x:c r="K2288" s="47" t="n">
        <x:v>0.7254256773003359</x:v>
      </x:c>
      <x:c r="L2288" s="47" t="n">
        <x:v>0.9459767792337743</x:v>
      </x:c>
      <x:c r="M2288" s="47" t="n">
        <x:v>0.002165961064955429</x:v>
      </x:c>
      <x:c r="N2288" s="47" t="n">
        <x:v>0.7856905360973859</x:v>
      </x:c>
      <x:c r="O2288" s="47" t="n">
        <x:v>0.7165489174317312</x:v>
      </x:c>
      <x:c r="P2288" s="47" t="n">
        <x:v>0.37965506551604833</x:v>
      </x:c>
      <x:c r="Q2288" s="47" t="n">
        <x:v>1</x:v>
      </x:c>
      <x:c r="R2288" s="47" t="n">
        <x:v>0.6499824025061793</x:v>
      </x:c>
      <x:c r="S2288" s="27" t="n">
        <x:v>0</x:v>
      </x:c>
    </x:row>
    <x:row r="2289" ht="21.600000381469727" hidden="0" customHeight="1">
      <x:c r="A2289" s="29" t="n">
        <x:v>762</x:v>
      </x:c>
      <x:c r="B2289" s="29" t="str">
        <x:v>A2</x:v>
      </x:c>
      <x:c r="C2289" s="48" t="n">
        <x:v>1.3368561407188297</x:v>
      </x:c>
      <x:c r="D2289" s="48" t="n">
        <x:v>0.7739600821173107</x:v>
      </x:c>
      <x:c r="E2289" s="48" t="n">
        <x:v>0.7203511719775247</x:v>
      </x:c>
      <x:c r="F2289" s="48" t="n">
        <x:v>-0.13488291777213807</x:v>
      </x:c>
      <x:c r="G2289" s="48" t="n">
        <x:v>0.01852807916162874</x:v>
      </x:c>
      <x:c r="H2289" s="48" t="n">
        <x:v>0.7450529738121353</x:v>
      </x:c>
      <x:c r="I2289" s="48" t="n">
        <x:v>1.007129566642511</x:v>
      </x:c>
      <x:c r="J2289" s="48" t="n">
        <x:v>0.8747753275314041</x:v>
      </x:c>
      <x:c r="K2289" s="48" t="n">
        <x:v>0.7254256773003359</x:v>
      </x:c>
      <x:c r="L2289" s="48" t="n">
        <x:v>0.9459767792337743</x:v>
      </x:c>
      <x:c r="M2289" s="48" t="n">
        <x:v>0.002165961064955429</x:v>
      </x:c>
      <x:c r="N2289" s="48" t="n">
        <x:v>0.7856905360973859</x:v>
      </x:c>
      <x:c r="O2289" s="48" t="n">
        <x:v>0.8003255245902551</x:v>
      </x:c>
      <x:c r="P2289" s="48" t="n">
        <x:v>0.42242257618933415</x:v>
      </x:c>
      <x:c r="Q2289" s="48" t="n">
        <x:v>1</x:v>
      </x:c>
      <x:c r="R2289" s="48" t="n">
        <x:v>0.753433363067417</x:v>
      </x:c>
      <x:c r="S2289" s="29" t="n">
        <x:v>0</x:v>
      </x:c>
    </x:row>
    <x:row r="2290" ht="21.600000381469727" hidden="0" customHeight="1">
      <x:c r="A2290" s="27" t="n">
        <x:v>762</x:v>
      </x:c>
      <x:c r="B2290" s="27" t="str">
        <x:v>A3</x:v>
      </x:c>
      <x:c r="C2290" s="47" t="n">
        <x:v>1.3368561407188297</x:v>
      </x:c>
      <x:c r="D2290" s="47" t="n">
        <x:v>0.7739600821173107</x:v>
      </x:c>
      <x:c r="E2290" s="47" t="n">
        <x:v>0.7203511719775247</x:v>
      </x:c>
      <x:c r="F2290" s="47" t="n">
        <x:v>-0.13488291777213807</x:v>
      </x:c>
      <x:c r="G2290" s="47" t="n">
        <x:v>0.01852807916162874</x:v>
      </x:c>
      <x:c r="H2290" s="47" t="n">
        <x:v>0.7450529738121353</x:v>
      </x:c>
      <x:c r="I2290" s="47" t="n">
        <x:v>1.007129566642511</x:v>
      </x:c>
      <x:c r="J2290" s="47" t="n">
        <x:v>0.8747753275314041</x:v>
      </x:c>
      <x:c r="K2290" s="47" t="n">
        <x:v>0.7254256773003359</x:v>
      </x:c>
      <x:c r="L2290" s="47" t="n">
        <x:v>0.9459767792337743</x:v>
      </x:c>
      <x:c r="M2290" s="47" t="n">
        <x:v>0.002165961064955429</x:v>
      </x:c>
      <x:c r="N2290" s="47" t="n">
        <x:v>0.7856905360973859</x:v>
      </x:c>
      <x:c r="O2290" s="47" t="n">
        <x:v>1</x:v>
      </x:c>
      <x:c r="P2290" s="47" t="n">
        <x:v>1</x:v>
      </x:c>
      <x:c r="Q2290" s="47" t="n">
        <x:v>1</x:v>
      </x:c>
      <x:c r="R2290" s="47" t="n">
        <x:v>1</x:v>
      </x:c>
      <x:c r="S2290" s="27" t="n">
        <x:v>1</x:v>
      </x:c>
    </x:row>
    <x:row r="2291" ht="21.600000381469727" hidden="0" customHeight="1">
      <x:c r="A2291" s="29" t="n">
        <x:v>763</x:v>
      </x:c>
      <x:c r="B2291" s="29" t="str">
        <x:v>A1</x:v>
      </x:c>
      <x:c r="C2291" s="48" t="n">
        <x:v>1.1560211895060566</x:v>
      </x:c>
      <x:c r="D2291" s="48" t="n">
        <x:v>0.8689090055102205</x:v>
      </x:c>
      <x:c r="E2291" s="48" t="n">
        <x:v>0.785855558847339</x:v>
      </x:c>
      <x:c r="F2291" s="48" t="n">
        <x:v>-0.04326635674693441</x:v>
      </x:c>
      <x:c r="G2291" s="48" t="n">
        <x:v>-0.08292882811452117</x:v>
      </x:c>
      <x:c r="H2291" s="48" t="n">
        <x:v>0.9845344017437827</x:v>
      </x:c>
      <x:c r="I2291" s="48" t="n">
        <x:v>0.8828151109468694</x:v>
      </x:c>
      <x:c r="J2291" s="48" t="n">
        <x:v>0.9099158854627303</x:v>
      </x:c>
      <x:c r="K2291" s="48" t="n">
        <x:v>0.5553822475123266</x:v>
      </x:c>
      <x:c r="L2291" s="48" t="n">
        <x:v>0.8953543781784565</x:v>
      </x:c>
      <x:c r="M2291" s="48" t="n">
        <x:v>0.06489891065272746</x:v>
      </x:c>
      <x:c r="N2291" s="48" t="n">
        <x:v>0.6620413401010361</x:v>
      </x:c>
      <x:c r="O2291" s="48" t="n">
        <x:v>0.8399293795811119</x:v>
      </x:c>
      <x:c r="P2291" s="48" t="n">
        <x:v>0.565991692052901</x:v>
      </x:c>
      <x:c r="Q2291" s="48" t="n">
        <x:v>1</x:v>
      </x:c>
      <x:c r="R2291" s="48" t="n">
        <x:v>0.8023379079003151</x:v>
      </x:c>
      <x:c r="S2291" s="29" t="n">
        <x:v>0</x:v>
      </x:c>
    </x:row>
    <x:row r="2292" ht="21.600000381469727" hidden="0" customHeight="1">
      <x:c r="A2292" s="27" t="n">
        <x:v>763</x:v>
      </x:c>
      <x:c r="B2292" s="27" t="str">
        <x:v>A2</x:v>
      </x:c>
      <x:c r="C2292" s="47" t="n">
        <x:v>1.1560211895060566</x:v>
      </x:c>
      <x:c r="D2292" s="47" t="n">
        <x:v>0.8689090055102205</x:v>
      </x:c>
      <x:c r="E2292" s="47" t="n">
        <x:v>0.785855558847339</x:v>
      </x:c>
      <x:c r="F2292" s="47" t="n">
        <x:v>-0.04326635674693441</x:v>
      </x:c>
      <x:c r="G2292" s="47" t="n">
        <x:v>-0.08292882811452117</x:v>
      </x:c>
      <x:c r="H2292" s="47" t="n">
        <x:v>0.9845344017437827</x:v>
      </x:c>
      <x:c r="I2292" s="47" t="n">
        <x:v>0.8828151109468694</x:v>
      </x:c>
      <x:c r="J2292" s="47" t="n">
        <x:v>0.9099158854627303</x:v>
      </x:c>
      <x:c r="K2292" s="47" t="n">
        <x:v>0.5553822475123266</x:v>
      </x:c>
      <x:c r="L2292" s="47" t="n">
        <x:v>0.8953543781784565</x:v>
      </x:c>
      <x:c r="M2292" s="47" t="n">
        <x:v>0.06489891065272746</x:v>
      </x:c>
      <x:c r="N2292" s="47" t="n">
        <x:v>0.6620413401010361</x:v>
      </x:c>
      <x:c r="O2292" s="47" t="n">
        <x:v>0.9404281840585733</x:v>
      </x:c>
      <x:c r="P2292" s="47" t="n">
        <x:v>0.6149989847001546</x:v>
      </x:c>
      <x:c r="Q2292" s="47" t="n">
        <x:v>1</x:v>
      </x:c>
      <x:c r="R2292" s="47" t="n">
        <x:v>0.9264381574935765</x:v>
      </x:c>
      <x:c r="S2292" s="27" t="n">
        <x:v>0</x:v>
      </x:c>
    </x:row>
    <x:row r="2293" ht="21.600000381469727" hidden="0" customHeight="1">
      <x:c r="A2293" s="29" t="n">
        <x:v>763</x:v>
      </x:c>
      <x:c r="B2293" s="29" t="str">
        <x:v>A3</x:v>
      </x:c>
      <x:c r="C2293" s="48" t="n">
        <x:v>1.1560211895060566</x:v>
      </x:c>
      <x:c r="D2293" s="48" t="n">
        <x:v>0.8689090055102205</x:v>
      </x:c>
      <x:c r="E2293" s="48" t="n">
        <x:v>0.785855558847339</x:v>
      </x:c>
      <x:c r="F2293" s="48" t="n">
        <x:v>-0.04326635674693441</x:v>
      </x:c>
      <x:c r="G2293" s="48" t="n">
        <x:v>-0.08292882811452117</x:v>
      </x:c>
      <x:c r="H2293" s="48" t="n">
        <x:v>0.9845344017437827</x:v>
      </x:c>
      <x:c r="I2293" s="48" t="n">
        <x:v>0.8828151109468694</x:v>
      </x:c>
      <x:c r="J2293" s="48" t="n">
        <x:v>0.9099158854627303</x:v>
      </x:c>
      <x:c r="K2293" s="48" t="n">
        <x:v>0.5553822475123266</x:v>
      </x:c>
      <x:c r="L2293" s="48" t="n">
        <x:v>0.8953543781784565</x:v>
      </x:c>
      <x:c r="M2293" s="48" t="n">
        <x:v>0.06489891065272746</x:v>
      </x:c>
      <x:c r="N2293" s="48" t="n">
        <x:v>0.6620413401010361</x:v>
      </x:c>
      <x:c r="O2293" s="48" t="n">
        <x:v>1</x:v>
      </x:c>
      <x:c r="P2293" s="48" t="n">
        <x:v>1</x:v>
      </x:c>
      <x:c r="Q2293" s="48" t="n">
        <x:v>1</x:v>
      </x:c>
      <x:c r="R2293" s="48" t="n">
        <x:v>1</x:v>
      </x:c>
      <x:c r="S2293" s="29" t="n">
        <x:v>1</x:v>
      </x:c>
    </x:row>
    <x:row r="2294" ht="21.600000381469727" hidden="0" customHeight="1">
      <x:c r="A2294" s="27" t="n">
        <x:v>764</x:v>
      </x:c>
      <x:c r="B2294" s="27" t="str">
        <x:v>A1</x:v>
      </x:c>
      <x:c r="C2294" s="47" t="n">
        <x:v>1.2304317795883222</x:v>
      </x:c>
      <x:c r="D2294" s="47" t="n">
        <x:v>0.8005831425978989</x:v>
      </x:c>
      <x:c r="E2294" s="47" t="n">
        <x:v>0.603910687728297</x:v>
      </x:c>
      <x:c r="F2294" s="47" t="n">
        <x:v>-0.104458332292889</x:v>
      </x:c>
      <x:c r="G2294" s="47" t="n">
        <x:v>0.005594730657898228</x:v>
      </x:c>
      <x:c r="H2294" s="47" t="n">
        <x:v>0.4399304116093632</x:v>
      </x:c>
      <x:c r="I2294" s="47" t="n">
        <x:v>0.9591196591181408</x:v>
      </x:c>
      <x:c r="J2294" s="47" t="n">
        <x:v>0.9545734169006012</x:v>
      </x:c>
      <x:c r="K2294" s="47" t="n">
        <x:v>0.7463082260509414</x:v>
      </x:c>
      <x:c r="L2294" s="47" t="n">
        <x:v>0.702183105171717</x:v>
      </x:c>
      <x:c r="M2294" s="47" t="n">
        <x:v>0.07577866429415676</x:v>
      </x:c>
      <x:c r="N2294" s="47" t="n">
        <x:v>0.6905607584252185</x:v>
      </x:c>
      <x:c r="O2294" s="47" t="n">
        <x:v>0.7548089349195436</x:v>
      </x:c>
      <x:c r="P2294" s="47" t="n">
        <x:v>0.4034038138357047</x:v>
      </x:c>
      <x:c r="Q2294" s="47" t="n">
        <x:v>0.945469592182076</x:v>
      </x:c>
      <x:c r="R2294" s="47" t="n">
        <x:v>0.6976325082980981</x:v>
      </x:c>
      <x:c r="S2294" s="27" t="n">
        <x:v>0</x:v>
      </x:c>
    </x:row>
    <x:row r="2295" ht="21.600000381469727" hidden="0" customHeight="1">
      <x:c r="A2295" s="29" t="n">
        <x:v>764</x:v>
      </x:c>
      <x:c r="B2295" s="29" t="str">
        <x:v>A2</x:v>
      </x:c>
      <x:c r="C2295" s="48" t="n">
        <x:v>1.2304317795883222</x:v>
      </x:c>
      <x:c r="D2295" s="48" t="n">
        <x:v>0.8005831425978989</x:v>
      </x:c>
      <x:c r="E2295" s="48" t="n">
        <x:v>0.603910687728297</x:v>
      </x:c>
      <x:c r="F2295" s="48" t="n">
        <x:v>-0.104458332292889</x:v>
      </x:c>
      <x:c r="G2295" s="48" t="n">
        <x:v>0.005594730657898228</x:v>
      </x:c>
      <x:c r="H2295" s="48" t="n">
        <x:v>0.4399304116093632</x:v>
      </x:c>
      <x:c r="I2295" s="48" t="n">
        <x:v>0.9591196591181408</x:v>
      </x:c>
      <x:c r="J2295" s="48" t="n">
        <x:v>0.9545734169006012</x:v>
      </x:c>
      <x:c r="K2295" s="48" t="n">
        <x:v>0.7463082260509414</x:v>
      </x:c>
      <x:c r="L2295" s="48" t="n">
        <x:v>0.702183105171717</x:v>
      </x:c>
      <x:c r="M2295" s="48" t="n">
        <x:v>0.07577866429415676</x:v>
      </x:c>
      <x:c r="N2295" s="48" t="n">
        <x:v>0.6905607584252185</x:v>
      </x:c>
      <x:c r="O2295" s="48" t="n">
        <x:v>0.8303741189326054</x:v>
      </x:c>
      <x:c r="P2295" s="48" t="n">
        <x:v>0.5232506405765589</x:v>
      </x:c>
      <x:c r="Q2295" s="48" t="n">
        <x:v>1</x:v>
      </x:c>
      <x:c r="R2295" s="48" t="n">
        <x:v>0.790538660759278</x:v>
      </x:c>
      <x:c r="S2295" s="29" t="n">
        <x:v>0</x:v>
      </x:c>
    </x:row>
    <x:row r="2296" ht="21.600000381469727" hidden="0" customHeight="1">
      <x:c r="A2296" s="27" t="n">
        <x:v>764</x:v>
      </x:c>
      <x:c r="B2296" s="27" t="str">
        <x:v>A3</x:v>
      </x:c>
      <x:c r="C2296" s="47" t="n">
        <x:v>1.2304317795883222</x:v>
      </x:c>
      <x:c r="D2296" s="47" t="n">
        <x:v>0.8005831425978989</x:v>
      </x:c>
      <x:c r="E2296" s="47" t="n">
        <x:v>0.603910687728297</x:v>
      </x:c>
      <x:c r="F2296" s="47" t="n">
        <x:v>-0.104458332292889</x:v>
      </x:c>
      <x:c r="G2296" s="47" t="n">
        <x:v>0.005594730657898228</x:v>
      </x:c>
      <x:c r="H2296" s="47" t="n">
        <x:v>0.4399304116093632</x:v>
      </x:c>
      <x:c r="I2296" s="47" t="n">
        <x:v>0.9591196591181408</x:v>
      </x:c>
      <x:c r="J2296" s="47" t="n">
        <x:v>0.9545734169006012</x:v>
      </x:c>
      <x:c r="K2296" s="47" t="n">
        <x:v>0.7463082260509414</x:v>
      </x:c>
      <x:c r="L2296" s="47" t="n">
        <x:v>0.702183105171717</x:v>
      </x:c>
      <x:c r="M2296" s="47" t="n">
        <x:v>0.07577866429415676</x:v>
      </x:c>
      <x:c r="N2296" s="47" t="n">
        <x:v>0.6905607584252185</x:v>
      </x:c>
      <x:c r="O2296" s="47" t="n">
        <x:v>1</x:v>
      </x:c>
      <x:c r="P2296" s="47" t="n">
        <x:v>1</x:v>
      </x:c>
      <x:c r="Q2296" s="47" t="n">
        <x:v>1</x:v>
      </x:c>
      <x:c r="R2296" s="47" t="n">
        <x:v>1</x:v>
      </x:c>
      <x:c r="S2296" s="27" t="n">
        <x:v>1</x:v>
      </x:c>
    </x:row>
    <x:row r="2297" ht="21.600000381469727" hidden="0" customHeight="1">
      <x:c r="A2297" s="29" t="n">
        <x:v>765</x:v>
      </x:c>
      <x:c r="B2297" s="29" t="str">
        <x:v>A1</x:v>
      </x:c>
      <x:c r="C2297" s="48" t="n">
        <x:v>1.0466882688922148</x:v>
      </x:c>
      <x:c r="D2297" s="48" t="n">
        <x:v>0.8210096187163808</x:v>
      </x:c>
      <x:c r="E2297" s="48" t="n">
        <x:v>0.9588340882533335</x:v>
      </x:c>
      <x:c r="F2297" s="48" t="n">
        <x:v>-0.026914329071523496</x:v>
      </x:c>
      <x:c r="G2297" s="48" t="n">
        <x:v>-0.05308993995949535</x:v>
      </x:c>
      <x:c r="H2297" s="48" t="n">
        <x:v>0.9255403425435966</x:v>
      </x:c>
      <x:c r="I2297" s="48" t="n">
        <x:v>0.8465857162986338</x:v>
      </x:c>
      <x:c r="J2297" s="48" t="n">
        <x:v>0.7693126814751146</x:v>
      </x:c>
      <x:c r="K2297" s="48" t="n">
        <x:v>0.9662776616257943</x:v>
      </x:c>
      <x:c r="L2297" s="48" t="n">
        <x:v>0.6483690448169479</x:v>
      </x:c>
      <x:c r="M2297" s="48" t="n">
        <x:v>0.05543648021269481</x:v>
      </x:c>
      <x:c r="N2297" s="48" t="n">
        <x:v>0.9542907883033813</x:v>
      </x:c>
      <x:c r="O2297" s="48" t="n">
        <x:v>0.9104547680737634</x:v>
      </x:c>
      <x:c r="P2297" s="48" t="n">
        <x:v>0.6687250205906707</x:v>
      </x:c>
      <x:c r="Q2297" s="48" t="n">
        <x:v>1</x:v>
      </x:c>
      <x:c r="R2297" s="48" t="n">
        <x:v>0.8894256932735491</x:v>
      </x:c>
      <x:c r="S2297" s="29" t="n">
        <x:v>0</x:v>
      </x:c>
    </x:row>
    <x:row r="2298" ht="21.600000381469727" hidden="0" customHeight="1">
      <x:c r="A2298" s="27" t="n">
        <x:v>765</x:v>
      </x:c>
      <x:c r="B2298" s="27" t="str">
        <x:v>A2</x:v>
      </x:c>
      <x:c r="C2298" s="47" t="n">
        <x:v>1.0466882688922148</x:v>
      </x:c>
      <x:c r="D2298" s="47" t="n">
        <x:v>0.8210096187163808</x:v>
      </x:c>
      <x:c r="E2298" s="47" t="n">
        <x:v>0.9588340882533335</x:v>
      </x:c>
      <x:c r="F2298" s="47" t="n">
        <x:v>-0.026914329071523496</x:v>
      </x:c>
      <x:c r="G2298" s="47" t="n">
        <x:v>-0.05308993995949535</x:v>
      </x:c>
      <x:c r="H2298" s="47" t="n">
        <x:v>0.9255403425435966</x:v>
      </x:c>
      <x:c r="I2298" s="47" t="n">
        <x:v>0.8465857162986338</x:v>
      </x:c>
      <x:c r="J2298" s="47" t="n">
        <x:v>0.7693126814751146</x:v>
      </x:c>
      <x:c r="K2298" s="47" t="n">
        <x:v>0.9662776616257943</x:v>
      </x:c>
      <x:c r="L2298" s="47" t="n">
        <x:v>0.6483690448169479</x:v>
      </x:c>
      <x:c r="M2298" s="47" t="n">
        <x:v>0.05543648021269481</x:v>
      </x:c>
      <x:c r="N2298" s="47" t="n">
        <x:v>0.9542907883033813</x:v>
      </x:c>
      <x:c r="O2298" s="47" t="n">
        <x:v>0.9595468549688297</x:v>
      </x:c>
      <x:c r="P2298" s="47" t="n">
        <x:v>0.6723044229745195</x:v>
      </x:c>
      <x:c r="Q2298" s="47" t="n">
        <x:v>1</x:v>
      </x:c>
      <x:c r="R2298" s="47" t="n">
        <x:v>0.9500467152688716</x:v>
      </x:c>
      <x:c r="S2298" s="27" t="n">
        <x:v>0</x:v>
      </x:c>
    </x:row>
    <x:row r="2299" ht="21.600000381469727" hidden="0" customHeight="1">
      <x:c r="A2299" s="29" t="n">
        <x:v>765</x:v>
      </x:c>
      <x:c r="B2299" s="29" t="str">
        <x:v>A3</x:v>
      </x:c>
      <x:c r="C2299" s="48" t="n">
        <x:v>1.0466882688922148</x:v>
      </x:c>
      <x:c r="D2299" s="48" t="n">
        <x:v>0.8210096187163808</x:v>
      </x:c>
      <x:c r="E2299" s="48" t="n">
        <x:v>0.9588340882533335</x:v>
      </x:c>
      <x:c r="F2299" s="48" t="n">
        <x:v>-0.026914329071523496</x:v>
      </x:c>
      <x:c r="G2299" s="48" t="n">
        <x:v>-0.05308993995949535</x:v>
      </x:c>
      <x:c r="H2299" s="48" t="n">
        <x:v>0.9255403425435966</x:v>
      </x:c>
      <x:c r="I2299" s="48" t="n">
        <x:v>0.8465857162986338</x:v>
      </x:c>
      <x:c r="J2299" s="48" t="n">
        <x:v>0.7693126814751146</x:v>
      </x:c>
      <x:c r="K2299" s="48" t="n">
        <x:v>0.9662776616257943</x:v>
      </x:c>
      <x:c r="L2299" s="48" t="n">
        <x:v>0.6483690448169479</x:v>
      </x:c>
      <x:c r="M2299" s="48" t="n">
        <x:v>0.05543648021269481</x:v>
      </x:c>
      <x:c r="N2299" s="48" t="n">
        <x:v>0.9542907883033813</x:v>
      </x:c>
      <x:c r="O2299" s="48" t="n">
        <x:v>1</x:v>
      </x:c>
      <x:c r="P2299" s="48" t="n">
        <x:v>1</x:v>
      </x:c>
      <x:c r="Q2299" s="48" t="n">
        <x:v>1</x:v>
      </x:c>
      <x:c r="R2299" s="48" t="n">
        <x:v>1.0000000000000002</x:v>
      </x:c>
      <x:c r="S2299" s="29" t="n">
        <x:v>1</x:v>
      </x:c>
    </x:row>
    <x:row r="2300" ht="15" hidden="0" customHeight="1">
      <x:c r="A2300" s="27" t="n">
        <x:v>766</x:v>
      </x:c>
      <x:c r="B2300" s="27" t="str">
        <x:v>A1</x:v>
      </x:c>
      <x:c r="C2300" s="47" t="n">
        <x:v>1.3096892754912184</x:v>
      </x:c>
      <x:c r="D2300" s="47" t="n">
        <x:v>0.8924080261317798</x:v>
      </x:c>
      <x:c r="E2300" s="47" t="n">
        <x:v>0.6960261615392282</x:v>
      </x:c>
      <x:c r="F2300" s="47" t="n">
        <x:v>0.02936966260307175</x:v>
      </x:c>
      <x:c r="G2300" s="47" t="n">
        <x:v>0.00569278385502045</x:v>
      </x:c>
      <x:c r="H2300" s="47" t="n">
        <x:v>0.357303348037133</x:v>
      </x:c>
      <x:c r="I2300" s="47" t="n">
        <x:v>0.6372276181113455</x:v>
      </x:c>
      <x:c r="J2300" s="47" t="n">
        <x:v>0.6633406258157737</x:v>
      </x:c>
      <x:c r="K2300" s="47" t="n">
        <x:v>0.9109100790383404</x:v>
      </x:c>
      <x:c r="L2300" s="47" t="n">
        <x:v>0.5087996267268656</x:v>
      </x:c>
      <x:c r="M2300" s="47" t="n">
        <x:v>0.06179715752493745</x:v>
      </x:c>
      <x:c r="N2300" s="47" t="n">
        <x:v>0.9178340060339245</x:v>
      </x:c>
      <x:c r="O2300" s="47" t="n">
        <x:v>0.7732570852067044</x:v>
      </x:c>
      <x:c r="P2300" s="47" t="n">
        <x:v>0.4098126423675032</x:v>
      </x:c>
      <x:c r="Q2300" s="47" t="n">
        <x:v>1</x:v>
      </x:c>
      <x:c r="R2300" s="47" t="n">
        <x:v>0.7200080889951066</x:v>
      </x:c>
      <x:c r="S2300" s="27" t="n">
        <x:v>0</x:v>
      </x:c>
    </x:row>
    <x:row r="2301" ht="15" hidden="0" customHeight="1">
      <x:c r="A2301" s="29" t="n">
        <x:v>766</x:v>
      </x:c>
      <x:c r="B2301" s="29" t="str">
        <x:v>A2</x:v>
      </x:c>
      <x:c r="C2301" s="48" t="n">
        <x:v>1.3096892754912184</x:v>
      </x:c>
      <x:c r="D2301" s="48" t="n">
        <x:v>0.8924080261317798</x:v>
      </x:c>
      <x:c r="E2301" s="48" t="n">
        <x:v>0.6960261615392282</x:v>
      </x:c>
      <x:c r="F2301" s="48" t="n">
        <x:v>0.02936966260307175</x:v>
      </x:c>
      <x:c r="G2301" s="48" t="n">
        <x:v>0.00569278385502045</x:v>
      </x:c>
      <x:c r="H2301" s="48" t="n">
        <x:v>0.357303348037133</x:v>
      </x:c>
      <x:c r="I2301" s="48" t="n">
        <x:v>0.6372276181113455</x:v>
      </x:c>
      <x:c r="J2301" s="48" t="n">
        <x:v>0.6633406258157737</x:v>
      </x:c>
      <x:c r="K2301" s="48" t="n">
        <x:v>0.9109100790383404</x:v>
      </x:c>
      <x:c r="L2301" s="48" t="n">
        <x:v>0.5087996267268656</x:v>
      </x:c>
      <x:c r="M2301" s="48" t="n">
        <x:v>0.06179715752493745</x:v>
      </x:c>
      <x:c r="N2301" s="48" t="n">
        <x:v>0.9178340060339245</x:v>
      </x:c>
      <x:c r="O2301" s="48" t="n">
        <x:v>0.8539889591054414</x:v>
      </x:c>
      <x:c r="P2301" s="48" t="n">
        <x:v>0.5056371940676302</x:v>
      </x:c>
      <x:c r="Q2301" s="48" t="n">
        <x:v>1</x:v>
      </x:c>
      <x:c r="R2301" s="48" t="n">
        <x:v>0.8196992818710561</x:v>
      </x:c>
      <x:c r="S2301" s="29" t="n">
        <x:v>0</x:v>
      </x:c>
    </x:row>
    <x:row r="2302" ht="15" hidden="0" customHeight="1">
      <x:c r="A2302" s="27" t="n">
        <x:v>766</x:v>
      </x:c>
      <x:c r="B2302" s="27" t="str">
        <x:v>A3</x:v>
      </x:c>
      <x:c r="C2302" s="47" t="n">
        <x:v>1.3096892754912184</x:v>
      </x:c>
      <x:c r="D2302" s="47" t="n">
        <x:v>0.8924080261317798</x:v>
      </x:c>
      <x:c r="E2302" s="47" t="n">
        <x:v>0.6960261615392282</x:v>
      </x:c>
      <x:c r="F2302" s="47" t="n">
        <x:v>0.02936966260307175</x:v>
      </x:c>
      <x:c r="G2302" s="47" t="n">
        <x:v>0.00569278385502045</x:v>
      </x:c>
      <x:c r="H2302" s="47" t="n">
        <x:v>0.357303348037133</x:v>
      </x:c>
      <x:c r="I2302" s="47" t="n">
        <x:v>0.6372276181113455</x:v>
      </x:c>
      <x:c r="J2302" s="47" t="n">
        <x:v>0.6633406258157737</x:v>
      </x:c>
      <x:c r="K2302" s="47" t="n">
        <x:v>0.9109100790383404</x:v>
      </x:c>
      <x:c r="L2302" s="47" t="n">
        <x:v>0.5087996267268656</x:v>
      </x:c>
      <x:c r="M2302" s="47" t="n">
        <x:v>0.06179715752493745</x:v>
      </x:c>
      <x:c r="N2302" s="47" t="n">
        <x:v>0.9178340060339245</x:v>
      </x:c>
      <x:c r="O2302" s="47" t="n">
        <x:v>1</x:v>
      </x:c>
      <x:c r="P2302" s="47" t="n">
        <x:v>1</x:v>
      </x:c>
      <x:c r="Q2302" s="47" t="n">
        <x:v>1</x:v>
      </x:c>
      <x:c r="R2302" s="47" t="n">
        <x:v>1.0000000000000002</x:v>
      </x:c>
      <x:c r="S2302" s="27" t="n">
        <x:v>1</x:v>
      </x:c>
    </x:row>
    <x:row r="2303" ht="21.600000381469727" hidden="0" customHeight="1">
      <x:c r="A2303" s="29" t="n">
        <x:v>767</x:v>
      </x:c>
      <x:c r="B2303" s="29" t="str">
        <x:v>A1</x:v>
      </x:c>
      <x:c r="C2303" s="48" t="n">
        <x:v>1.2626026401684978</x:v>
      </x:c>
      <x:c r="D2303" s="48" t="n">
        <x:v>0.7208167433298908</x:v>
      </x:c>
      <x:c r="E2303" s="48" t="n">
        <x:v>0.5411353965496244</x:v>
      </x:c>
      <x:c r="F2303" s="48" t="n">
        <x:v>-0.05671964473464469</x:v>
      </x:c>
      <x:c r="G2303" s="48" t="n">
        <x:v>-0.16441266576641428</x:v>
      </x:c>
      <x:c r="H2303" s="48" t="n">
        <x:v>0.9225331214788621</x:v>
      </x:c>
      <x:c r="I2303" s="48" t="n">
        <x:v>0.9345744678390489</x:v>
      </x:c>
      <x:c r="J2303" s="48" t="n">
        <x:v>0.8622606007751872</x:v>
      </x:c>
      <x:c r="K2303" s="48" t="n">
        <x:v>0.8939290880227093</x:v>
      </x:c>
      <x:c r="L2303" s="48" t="n">
        <x:v>0.8938562714255602</x:v>
      </x:c>
      <x:c r="M2303" s="48" t="n">
        <x:v>0.006440495833449948</x:v>
      </x:c>
      <x:c r="N2303" s="48" t="n">
        <x:v>0.861137797332145</x:v>
      </x:c>
      <x:c r="O2303" s="48" t="n">
        <x:v>0.7232252959247503</x:v>
      </x:c>
      <x:c r="P2303" s="48" t="n">
        <x:v>0.4047392155412917</x:v>
      </x:c>
      <x:c r="Q2303" s="48" t="n">
        <x:v>1</x:v>
      </x:c>
      <x:c r="R2303" s="48" t="n">
        <x:v>0.658226682044336</x:v>
      </x:c>
      <x:c r="S2303" s="29" t="n">
        <x:v>0</x:v>
      </x:c>
    </x:row>
    <x:row r="2304" ht="21.600000381469727" hidden="0" customHeight="1">
      <x:c r="A2304" s="27" t="n">
        <x:v>767</x:v>
      </x:c>
      <x:c r="B2304" s="27" t="str">
        <x:v>A2</x:v>
      </x:c>
      <x:c r="C2304" s="47" t="n">
        <x:v>1.2626026401684978</x:v>
      </x:c>
      <x:c r="D2304" s="47" t="n">
        <x:v>0.7208167433298908</x:v>
      </x:c>
      <x:c r="E2304" s="47" t="n">
        <x:v>0.5411353965496244</x:v>
      </x:c>
      <x:c r="F2304" s="47" t="n">
        <x:v>-0.05671964473464469</x:v>
      </x:c>
      <x:c r="G2304" s="47" t="n">
        <x:v>-0.16441266576641428</x:v>
      </x:c>
      <x:c r="H2304" s="47" t="n">
        <x:v>0.9225331214788621</x:v>
      </x:c>
      <x:c r="I2304" s="47" t="n">
        <x:v>0.9345744678390489</x:v>
      </x:c>
      <x:c r="J2304" s="47" t="n">
        <x:v>0.8622606007751872</x:v>
      </x:c>
      <x:c r="K2304" s="47" t="n">
        <x:v>0.8939290880227093</x:v>
      </x:c>
      <x:c r="L2304" s="47" t="n">
        <x:v>0.8938562714255602</x:v>
      </x:c>
      <x:c r="M2304" s="47" t="n">
        <x:v>0.006440495833449948</x:v>
      </x:c>
      <x:c r="N2304" s="47" t="n">
        <x:v>0.861137797332145</x:v>
      </x:c>
      <x:c r="O2304" s="47" t="n">
        <x:v>0.8033845109846518</x:v>
      </x:c>
      <x:c r="P2304" s="47" t="n">
        <x:v>0.4174443924639239</x:v>
      </x:c>
      <x:c r="Q2304" s="47" t="n">
        <x:v>1</x:v>
      </x:c>
      <x:c r="R2304" s="47" t="n">
        <x:v>0.7572107311368269</x:v>
      </x:c>
      <x:c r="S2304" s="27" t="n">
        <x:v>0</x:v>
      </x:c>
    </x:row>
    <x:row r="2305" ht="21.600000381469727" hidden="0" customHeight="1">
      <x:c r="A2305" s="29" t="n">
        <x:v>767</x:v>
      </x:c>
      <x:c r="B2305" s="29" t="str">
        <x:v>A3</x:v>
      </x:c>
      <x:c r="C2305" s="48" t="n">
        <x:v>1.2626026401684978</x:v>
      </x:c>
      <x:c r="D2305" s="48" t="n">
        <x:v>0.7208167433298908</x:v>
      </x:c>
      <x:c r="E2305" s="48" t="n">
        <x:v>0.5411353965496244</x:v>
      </x:c>
      <x:c r="F2305" s="48" t="n">
        <x:v>-0.05671964473464469</x:v>
      </x:c>
      <x:c r="G2305" s="48" t="n">
        <x:v>-0.16441266576641428</x:v>
      </x:c>
      <x:c r="H2305" s="48" t="n">
        <x:v>0.9225331214788621</x:v>
      </x:c>
      <x:c r="I2305" s="48" t="n">
        <x:v>0.9345744678390489</x:v>
      </x:c>
      <x:c r="J2305" s="48" t="n">
        <x:v>0.8622606007751872</x:v>
      </x:c>
      <x:c r="K2305" s="48" t="n">
        <x:v>0.8939290880227093</x:v>
      </x:c>
      <x:c r="L2305" s="48" t="n">
        <x:v>0.8938562714255602</x:v>
      </x:c>
      <x:c r="M2305" s="48" t="n">
        <x:v>0.006440495833449948</x:v>
      </x:c>
      <x:c r="N2305" s="48" t="n">
        <x:v>0.861137797332145</x:v>
      </x:c>
      <x:c r="O2305" s="48" t="n">
        <x:v>1</x:v>
      </x:c>
      <x:c r="P2305" s="48" t="n">
        <x:v>1</x:v>
      </x:c>
      <x:c r="Q2305" s="48" t="n">
        <x:v>1</x:v>
      </x:c>
      <x:c r="R2305" s="48" t="n">
        <x:v>1</x:v>
      </x:c>
      <x:c r="S2305" s="29" t="n">
        <x:v>1</x:v>
      </x:c>
    </x:row>
    <x:row r="2306" ht="15" hidden="0" customHeight="1">
      <x:c r="A2306" s="27" t="n">
        <x:v>768</x:v>
      </x:c>
      <x:c r="B2306" s="27" t="str">
        <x:v>A1</x:v>
      </x:c>
      <x:c r="C2306" s="47" t="n">
        <x:v>1.3358143144224819</x:v>
      </x:c>
      <x:c r="D2306" s="47" t="n">
        <x:v>0.7431602714855248</x:v>
      </x:c>
      <x:c r="E2306" s="47" t="n">
        <x:v>1.0049978686571341</x:v>
      </x:c>
      <x:c r="F2306" s="47" t="n">
        <x:v>0.013026069631513565</x:v>
      </x:c>
      <x:c r="G2306" s="47" t="n">
        <x:v>0.011703675854719736</x:v>
      </x:c>
      <x:c r="H2306" s="47" t="n">
        <x:v>1.0813608853338939</x:v>
      </x:c>
      <x:c r="I2306" s="47" t="n">
        <x:v>0.9942770894322732</x:v>
      </x:c>
      <x:c r="J2306" s="47" t="n">
        <x:v>0.951312515270367</x:v>
      </x:c>
      <x:c r="K2306" s="47" t="n">
        <x:v>0.8892128136750643</x:v>
      </x:c>
      <x:c r="L2306" s="47" t="n">
        <x:v>0.806342496852868</x:v>
      </x:c>
      <x:c r="M2306" s="47" t="n">
        <x:v>0.09551543806279365</x:v>
      </x:c>
      <x:c r="N2306" s="47" t="n">
        <x:v>0.6640832556596685</x:v>
      </x:c>
      <x:c r="O2306" s="47" t="n">
        <x:v>0.7302230430431269</x:v>
      </x:c>
      <x:c r="P2306" s="47" t="n">
        <x:v>0.421742725877291</x:v>
      </x:c>
      <x:c r="Q2306" s="47" t="n">
        <x:v>0.9999999999999998</x:v>
      </x:c>
      <x:c r="R2306" s="47" t="n">
        <x:v>0.666867801393928</x:v>
      </x:c>
      <x:c r="S2306" s="27" t="n">
        <x:v>0</x:v>
      </x:c>
    </x:row>
    <x:row r="2307" ht="15" hidden="0" customHeight="1">
      <x:c r="A2307" s="29" t="n">
        <x:v>768</x:v>
      </x:c>
      <x:c r="B2307" s="29" t="str">
        <x:v>A2</x:v>
      </x:c>
      <x:c r="C2307" s="48" t="n">
        <x:v>1.3358143144224819</x:v>
      </x:c>
      <x:c r="D2307" s="48" t="n">
        <x:v>0.7431602714855248</x:v>
      </x:c>
      <x:c r="E2307" s="48" t="n">
        <x:v>1.0049978686571341</x:v>
      </x:c>
      <x:c r="F2307" s="48" t="n">
        <x:v>0.013026069631513565</x:v>
      </x:c>
      <x:c r="G2307" s="48" t="n">
        <x:v>0.011703675854719736</x:v>
      </x:c>
      <x:c r="H2307" s="48" t="n">
        <x:v>1.0813608853338939</x:v>
      </x:c>
      <x:c r="I2307" s="48" t="n">
        <x:v>0.9942770894322732</x:v>
      </x:c>
      <x:c r="J2307" s="48" t="n">
        <x:v>0.951312515270367</x:v>
      </x:c>
      <x:c r="K2307" s="48" t="n">
        <x:v>0.8892128136750643</x:v>
      </x:c>
      <x:c r="L2307" s="48" t="n">
        <x:v>0.806342496852868</x:v>
      </x:c>
      <x:c r="M2307" s="48" t="n">
        <x:v>0.09551543806279365</x:v>
      </x:c>
      <x:c r="N2307" s="48" t="n">
        <x:v>0.6640832556596685</x:v>
      </x:c>
      <x:c r="O2307" s="48" t="n">
        <x:v>0.8216806823042923</x:v>
      </x:c>
      <x:c r="P2307" s="48" t="n">
        <x:v>0.439491987236517</x:v>
      </x:c>
      <x:c r="Q2307" s="48" t="n">
        <x:v>1</x:v>
      </x:c>
      <x:c r="R2307" s="48" t="n">
        <x:v>0.779803631014334</x:v>
      </x:c>
      <x:c r="S2307" s="29" t="n">
        <x:v>0</x:v>
      </x:c>
    </x:row>
    <x:row r="2308" ht="15" hidden="0" customHeight="1">
      <x:c r="A2308" s="27" t="n">
        <x:v>768</x:v>
      </x:c>
      <x:c r="B2308" s="27" t="str">
        <x:v>A3</x:v>
      </x:c>
      <x:c r="C2308" s="47" t="n">
        <x:v>1.3358143144224819</x:v>
      </x:c>
      <x:c r="D2308" s="47" t="n">
        <x:v>0.7431602714855248</x:v>
      </x:c>
      <x:c r="E2308" s="47" t="n">
        <x:v>1.0049978686571341</x:v>
      </x:c>
      <x:c r="F2308" s="47" t="n">
        <x:v>0.013026069631513565</x:v>
      </x:c>
      <x:c r="G2308" s="47" t="n">
        <x:v>0.011703675854719736</x:v>
      </x:c>
      <x:c r="H2308" s="47" t="n">
        <x:v>1.0813608853338939</x:v>
      </x:c>
      <x:c r="I2308" s="47" t="n">
        <x:v>0.9942770894322732</x:v>
      </x:c>
      <x:c r="J2308" s="47" t="n">
        <x:v>0.951312515270367</x:v>
      </x:c>
      <x:c r="K2308" s="47" t="n">
        <x:v>0.8892128136750643</x:v>
      </x:c>
      <x:c r="L2308" s="47" t="n">
        <x:v>0.806342496852868</x:v>
      </x:c>
      <x:c r="M2308" s="47" t="n">
        <x:v>0.09551543806279365</x:v>
      </x:c>
      <x:c r="N2308" s="47" t="n">
        <x:v>0.6640832556596685</x:v>
      </x:c>
      <x:c r="O2308" s="47" t="n">
        <x:v>1</x:v>
      </x:c>
      <x:c r="P2308" s="47" t="n">
        <x:v>1</x:v>
      </x:c>
      <x:c r="Q2308" s="47" t="n">
        <x:v>1</x:v>
      </x:c>
      <x:c r="R2308" s="47" t="n">
        <x:v>1</x:v>
      </x:c>
      <x:c r="S2308" s="27" t="n">
        <x:v>1</x:v>
      </x:c>
    </x:row>
    <x:row r="2309" ht="21.600000381469727" hidden="0" customHeight="1">
      <x:c r="A2309" s="29" t="n">
        <x:v>769</x:v>
      </x:c>
      <x:c r="B2309" s="29" t="str">
        <x:v>A1</x:v>
      </x:c>
      <x:c r="C2309" s="48" t="n">
        <x:v>1.1113744856774532</x:v>
      </x:c>
      <x:c r="D2309" s="48" t="n">
        <x:v>0.8475913338211667</x:v>
      </x:c>
      <x:c r="E2309" s="48" t="n">
        <x:v>0.7636013178680972</x:v>
      </x:c>
      <x:c r="F2309" s="48" t="n">
        <x:v>-0.0304590341938393</x:v>
      </x:c>
      <x:c r="G2309" s="48" t="n">
        <x:v>-0.07278797162782222</x:v>
      </x:c>
      <x:c r="H2309" s="48" t="n">
        <x:v>0.46536372067938586</x:v>
      </x:c>
      <x:c r="I2309" s="48" t="n">
        <x:v>0.8990610079649033</x:v>
      </x:c>
      <x:c r="J2309" s="48" t="n">
        <x:v>0.6321293357153063</x:v>
      </x:c>
      <x:c r="K2309" s="48" t="n">
        <x:v>0.9218643675917835</x:v>
      </x:c>
      <x:c r="L2309" s="48" t="n">
        <x:v>0.9152988411708489</x:v>
      </x:c>
      <x:c r="M2309" s="48" t="n">
        <x:v>0.11866841846574651</x:v>
      </x:c>
      <x:c r="N2309" s="48" t="n">
        <x:v>0.9170891662242688</x:v>
      </x:c>
      <x:c r="O2309" s="48" t="n">
        <x:v>0.8814413076815812</x:v>
      </x:c>
      <x:c r="P2309" s="48" t="n">
        <x:v>0.6316551852667333</x:v>
      </x:c>
      <x:c r="Q2309" s="48" t="n">
        <x:v>1</x:v>
      </x:c>
      <x:c r="R2309" s="48" t="n">
        <x:v>0.8535986235391873</x:v>
      </x:c>
      <x:c r="S2309" s="29" t="n">
        <x:v>0</x:v>
      </x:c>
    </x:row>
    <x:row r="2310" ht="21.600000381469727" hidden="0" customHeight="1">
      <x:c r="A2310" s="27" t="n">
        <x:v>769</x:v>
      </x:c>
      <x:c r="B2310" s="27" t="str">
        <x:v>A2</x:v>
      </x:c>
      <x:c r="C2310" s="47" t="n">
        <x:v>1.1113744856774532</x:v>
      </x:c>
      <x:c r="D2310" s="47" t="n">
        <x:v>0.8475913338211667</x:v>
      </x:c>
      <x:c r="E2310" s="47" t="n">
        <x:v>0.7636013178680972</x:v>
      </x:c>
      <x:c r="F2310" s="47" t="n">
        <x:v>-0.0304590341938393</x:v>
      </x:c>
      <x:c r="G2310" s="47" t="n">
        <x:v>-0.07278797162782222</x:v>
      </x:c>
      <x:c r="H2310" s="47" t="n">
        <x:v>0.46536372067938586</x:v>
      </x:c>
      <x:c r="I2310" s="47" t="n">
        <x:v>0.8990610079649033</x:v>
      </x:c>
      <x:c r="J2310" s="47" t="n">
        <x:v>0.6321293357153063</x:v>
      </x:c>
      <x:c r="K2310" s="47" t="n">
        <x:v>0.9218643675917835</x:v>
      </x:c>
      <x:c r="L2310" s="47" t="n">
        <x:v>0.9152988411708489</x:v>
      </x:c>
      <x:c r="M2310" s="47" t="n">
        <x:v>0.11866841846574651</x:v>
      </x:c>
      <x:c r="N2310" s="47" t="n">
        <x:v>0.9170891662242688</x:v>
      </x:c>
      <x:c r="O2310" s="47" t="n">
        <x:v>0.9593053832751189</x:v>
      </x:c>
      <x:c r="P2310" s="47" t="n">
        <x:v>0.7376309298120971</x:v>
      </x:c>
      <x:c r="Q2310" s="47" t="n">
        <x:v>1</x:v>
      </x:c>
      <x:c r="R2310" s="47" t="n">
        <x:v>0.9497485356276806</x:v>
      </x:c>
      <x:c r="S2310" s="27" t="n">
        <x:v>0</x:v>
      </x:c>
    </x:row>
    <x:row r="2311" ht="21.600000381469727" hidden="0" customHeight="1">
      <x:c r="A2311" s="29" t="n">
        <x:v>769</x:v>
      </x:c>
      <x:c r="B2311" s="29" t="str">
        <x:v>A3</x:v>
      </x:c>
      <x:c r="C2311" s="48" t="n">
        <x:v>1.1113744856774532</x:v>
      </x:c>
      <x:c r="D2311" s="48" t="n">
        <x:v>0.8475913338211667</x:v>
      </x:c>
      <x:c r="E2311" s="48" t="n">
        <x:v>0.7636013178680972</x:v>
      </x:c>
      <x:c r="F2311" s="48" t="n">
        <x:v>-0.0304590341938393</x:v>
      </x:c>
      <x:c r="G2311" s="48" t="n">
        <x:v>-0.07278797162782222</x:v>
      </x:c>
      <x:c r="H2311" s="48" t="n">
        <x:v>0.46536372067938586</x:v>
      </x:c>
      <x:c r="I2311" s="48" t="n">
        <x:v>0.8990610079649033</x:v>
      </x:c>
      <x:c r="J2311" s="48" t="n">
        <x:v>0.6321293357153063</x:v>
      </x:c>
      <x:c r="K2311" s="48" t="n">
        <x:v>0.9218643675917835</x:v>
      </x:c>
      <x:c r="L2311" s="48" t="n">
        <x:v>0.9152988411708489</x:v>
      </x:c>
      <x:c r="M2311" s="48" t="n">
        <x:v>0.11866841846574651</x:v>
      </x:c>
      <x:c r="N2311" s="48" t="n">
        <x:v>0.9170891662242688</x:v>
      </x:c>
      <x:c r="O2311" s="48" t="n">
        <x:v>1</x:v>
      </x:c>
      <x:c r="P2311" s="48" t="n">
        <x:v>1</x:v>
      </x:c>
      <x:c r="Q2311" s="48" t="n">
        <x:v>1</x:v>
      </x:c>
      <x:c r="R2311" s="48" t="n">
        <x:v>1</x:v>
      </x:c>
      <x:c r="S2311" s="29" t="n">
        <x:v>1</x:v>
      </x:c>
    </x:row>
    <x:row r="2312" ht="21.600000381469727" hidden="0" customHeight="1">
      <x:c r="A2312" s="27" t="n">
        <x:v>770</x:v>
      </x:c>
      <x:c r="B2312" s="27" t="str">
        <x:v>A1</x:v>
      </x:c>
      <x:c r="C2312" s="47" t="n">
        <x:v>1.1884233155782558</x:v>
      </x:c>
      <x:c r="D2312" s="47" t="n">
        <x:v>0.8649140263073599</x:v>
      </x:c>
      <x:c r="E2312" s="47" t="n">
        <x:v>0.6416237934145297</x:v>
      </x:c>
      <x:c r="F2312" s="47" t="n">
        <x:v>-0.13754013549672245</x:v>
      </x:c>
      <x:c r="G2312" s="47" t="n">
        <x:v>-0.05106037184948664</x:v>
      </x:c>
      <x:c r="H2312" s="47" t="n">
        <x:v>0.6147191938724397</x:v>
      </x:c>
      <x:c r="I2312" s="47" t="n">
        <x:v>0.806082399977605</x:v>
      </x:c>
      <x:c r="J2312" s="47" t="n">
        <x:v>0.7416694728300159</x:v>
      </x:c>
      <x:c r="K2312" s="47" t="n">
        <x:v>0.8546402537249974</x:v>
      </x:c>
      <x:c r="L2312" s="47" t="n">
        <x:v>0.6248095918535281</x:v>
      </x:c>
      <x:c r="M2312" s="47" t="n">
        <x:v>0.004406021349515723</x:v>
      </x:c>
      <x:c r="N2312" s="47" t="n">
        <x:v>0.8851722487172221</x:v>
      </x:c>
      <x:c r="O2312" s="47" t="n">
        <x:v>0.8278693698632263</x:v>
      </x:c>
      <x:c r="P2312" s="47" t="n">
        <x:v>0.5809732830279488</x:v>
      </x:c>
      <x:c r="Q2312" s="47" t="n">
        <x:v>1</x:v>
      </x:c>
      <x:c r="R2312" s="47" t="n">
        <x:v>0.7874456887951374</x:v>
      </x:c>
      <x:c r="S2312" s="27" t="n">
        <x:v>0</x:v>
      </x:c>
    </x:row>
    <x:row r="2313" ht="21.600000381469727" hidden="0" customHeight="1">
      <x:c r="A2313" s="29" t="n">
        <x:v>770</x:v>
      </x:c>
      <x:c r="B2313" s="29" t="str">
        <x:v>A2</x:v>
      </x:c>
      <x:c r="C2313" s="48" t="n">
        <x:v>1.1884233155782558</x:v>
      </x:c>
      <x:c r="D2313" s="48" t="n">
        <x:v>0.8649140263073599</x:v>
      </x:c>
      <x:c r="E2313" s="48" t="n">
        <x:v>0.6416237934145297</x:v>
      </x:c>
      <x:c r="F2313" s="48" t="n">
        <x:v>-0.13754013549672245</x:v>
      </x:c>
      <x:c r="G2313" s="48" t="n">
        <x:v>-0.05106037184948664</x:v>
      </x:c>
      <x:c r="H2313" s="48" t="n">
        <x:v>0.6147191938724397</x:v>
      </x:c>
      <x:c r="I2313" s="48" t="n">
        <x:v>0.806082399977605</x:v>
      </x:c>
      <x:c r="J2313" s="48" t="n">
        <x:v>0.7416694728300159</x:v>
      </x:c>
      <x:c r="K2313" s="48" t="n">
        <x:v>0.8546402537249974</x:v>
      </x:c>
      <x:c r="L2313" s="48" t="n">
        <x:v>0.6248095918535281</x:v>
      </x:c>
      <x:c r="M2313" s="48" t="n">
        <x:v>0.004406021349515723</x:v>
      </x:c>
      <x:c r="N2313" s="48" t="n">
        <x:v>0.8851722487172221</x:v>
      </x:c>
      <x:c r="O2313" s="48" t="n">
        <x:v>0.9059494486179882</x:v>
      </x:c>
      <x:c r="P2313" s="48" t="n">
        <x:v>0.5024600443462556</x:v>
      </x:c>
      <x:c r="Q2313" s="48" t="n">
        <x:v>1</x:v>
      </x:c>
      <x:c r="R2313" s="48" t="n">
        <x:v>0.8838623308846516</x:v>
      </x:c>
      <x:c r="S2313" s="29" t="n">
        <x:v>0</x:v>
      </x:c>
    </x:row>
    <x:row r="2314" ht="21.600000381469727" hidden="0" customHeight="1">
      <x:c r="A2314" s="27" t="n">
        <x:v>770</x:v>
      </x:c>
      <x:c r="B2314" s="27" t="str">
        <x:v>A3</x:v>
      </x:c>
      <x:c r="C2314" s="47" t="n">
        <x:v>1.1884233155782558</x:v>
      </x:c>
      <x:c r="D2314" s="47" t="n">
        <x:v>0.8649140263073599</x:v>
      </x:c>
      <x:c r="E2314" s="47" t="n">
        <x:v>0.6416237934145297</x:v>
      </x:c>
      <x:c r="F2314" s="47" t="n">
        <x:v>-0.13754013549672245</x:v>
      </x:c>
      <x:c r="G2314" s="47" t="n">
        <x:v>-0.05106037184948664</x:v>
      </x:c>
      <x:c r="H2314" s="47" t="n">
        <x:v>0.6147191938724397</x:v>
      </x:c>
      <x:c r="I2314" s="47" t="n">
        <x:v>0.806082399977605</x:v>
      </x:c>
      <x:c r="J2314" s="47" t="n">
        <x:v>0.7416694728300159</x:v>
      </x:c>
      <x:c r="K2314" s="47" t="n">
        <x:v>0.8546402537249974</x:v>
      </x:c>
      <x:c r="L2314" s="47" t="n">
        <x:v>0.6248095918535281</x:v>
      </x:c>
      <x:c r="M2314" s="47" t="n">
        <x:v>0.004406021349515723</x:v>
      </x:c>
      <x:c r="N2314" s="47" t="n">
        <x:v>0.8851722487172221</x:v>
      </x:c>
      <x:c r="O2314" s="47" t="n">
        <x:v>1</x:v>
      </x:c>
      <x:c r="P2314" s="47" t="n">
        <x:v>1</x:v>
      </x:c>
      <x:c r="Q2314" s="47" t="n">
        <x:v>1</x:v>
      </x:c>
      <x:c r="R2314" s="47" t="n">
        <x:v>1</x:v>
      </x:c>
      <x:c r="S2314" s="27" t="n">
        <x:v>1</x:v>
      </x:c>
    </x:row>
    <x:row r="2315" ht="21.600000381469727" hidden="0" customHeight="1">
      <x:c r="A2315" s="29" t="n">
        <x:v>771</x:v>
      </x:c>
      <x:c r="B2315" s="29" t="str">
        <x:v>A1</x:v>
      </x:c>
      <x:c r="C2315" s="48" t="n">
        <x:v>0.9965329291419128</x:v>
      </x:c>
      <x:c r="D2315" s="48" t="n">
        <x:v>0.9379624550463656</x:v>
      </x:c>
      <x:c r="E2315" s="48" t="n">
        <x:v>0.7159746643488056</x:v>
      </x:c>
      <x:c r="F2315" s="48" t="n">
        <x:v>0.0012924382461141082</x:v>
      </x:c>
      <x:c r="G2315" s="48" t="n">
        <x:v>-0.1685205865905592</x:v>
      </x:c>
      <x:c r="H2315" s="48" t="n">
        <x:v>0.6234437924640115</x:v>
      </x:c>
      <x:c r="I2315" s="48" t="n">
        <x:v>0.914878104423537</x:v>
      </x:c>
      <x:c r="J2315" s="48" t="n">
        <x:v>0.8437930771531784</x:v>
      </x:c>
      <x:c r="K2315" s="48" t="n">
        <x:v>0.6322466473843371</x:v>
      </x:c>
      <x:c r="L2315" s="48" t="n">
        <x:v>0.5672545136404217</x:v>
      </x:c>
      <x:c r="M2315" s="48" t="n">
        <x:v>0.17961582550546507</x:v>
      </x:c>
      <x:c r="N2315" s="48" t="n">
        <x:v>0.9658714737725999</x:v>
      </x:c>
      <x:c r="O2315" s="48" t="n">
        <x:v>0.9292937930337866</x:v>
      </x:c>
      <x:c r="P2315" s="48" t="n">
        <x:v>0.689852661928113</x:v>
      </x:c>
      <x:c r="Q2315" s="48" t="n">
        <x:v>1</x:v>
      </x:c>
      <x:c r="R2315" s="48" t="n">
        <x:v>0.9126889321925442</x:v>
      </x:c>
      <x:c r="S2315" s="29" t="n">
        <x:v>0</x:v>
      </x:c>
    </x:row>
    <x:row r="2316" ht="21.600000381469727" hidden="0" customHeight="1">
      <x:c r="A2316" s="27" t="n">
        <x:v>771</x:v>
      </x:c>
      <x:c r="B2316" s="27" t="str">
        <x:v>A2</x:v>
      </x:c>
      <x:c r="C2316" s="47" t="n">
        <x:v>0.9965329291419128</x:v>
      </x:c>
      <x:c r="D2316" s="47" t="n">
        <x:v>0.9379624550463656</x:v>
      </x:c>
      <x:c r="E2316" s="47" t="n">
        <x:v>0.7159746643488056</x:v>
      </x:c>
      <x:c r="F2316" s="47" t="n">
        <x:v>0.0012924382461141082</x:v>
      </x:c>
      <x:c r="G2316" s="47" t="n">
        <x:v>-0.1685205865905592</x:v>
      </x:c>
      <x:c r="H2316" s="47" t="n">
        <x:v>0.6234437924640115</x:v>
      </x:c>
      <x:c r="I2316" s="47" t="n">
        <x:v>0.914878104423537</x:v>
      </x:c>
      <x:c r="J2316" s="47" t="n">
        <x:v>0.8437930771531784</x:v>
      </x:c>
      <x:c r="K2316" s="47" t="n">
        <x:v>0.6322466473843371</x:v>
      </x:c>
      <x:c r="L2316" s="47" t="n">
        <x:v>0.5672545136404217</x:v>
      </x:c>
      <x:c r="M2316" s="47" t="n">
        <x:v>0.17961582550546507</x:v>
      </x:c>
      <x:c r="N2316" s="47" t="n">
        <x:v>0.9658714737725999</x:v>
      </x:c>
      <x:c r="O2316" s="47" t="n">
        <x:v>0.9869553143991149</x:v>
      </x:c>
      <x:c r="P2316" s="47" t="n">
        <x:v>0.8695531439911486</x:v>
      </x:c>
      <x:c r="Q2316" s="47" t="n">
        <x:v>1</x:v>
      </x:c>
      <x:c r="R2316" s="47" t="n">
        <x:v>0.9838918607305569</x:v>
      </x:c>
      <x:c r="S2316" s="27" t="n">
        <x:v>0</x:v>
      </x:c>
    </x:row>
    <x:row r="2317" ht="21.600000381469727" hidden="0" customHeight="1">
      <x:c r="A2317" s="29" t="n">
        <x:v>771</x:v>
      </x:c>
      <x:c r="B2317" s="29" t="str">
        <x:v>A3</x:v>
      </x:c>
      <x:c r="C2317" s="48" t="n">
        <x:v>0.9965329291419128</x:v>
      </x:c>
      <x:c r="D2317" s="48" t="n">
        <x:v>0.9379624550463656</x:v>
      </x:c>
      <x:c r="E2317" s="48" t="n">
        <x:v>0.7159746643488056</x:v>
      </x:c>
      <x:c r="F2317" s="48" t="n">
        <x:v>0.0012924382461141082</x:v>
      </x:c>
      <x:c r="G2317" s="48" t="n">
        <x:v>-0.1685205865905592</x:v>
      </x:c>
      <x:c r="H2317" s="48" t="n">
        <x:v>0.6234437924640115</x:v>
      </x:c>
      <x:c r="I2317" s="48" t="n">
        <x:v>0.914878104423537</x:v>
      </x:c>
      <x:c r="J2317" s="48" t="n">
        <x:v>0.8437930771531784</x:v>
      </x:c>
      <x:c r="K2317" s="48" t="n">
        <x:v>0.6322466473843371</x:v>
      </x:c>
      <x:c r="L2317" s="48" t="n">
        <x:v>0.5672545136404217</x:v>
      </x:c>
      <x:c r="M2317" s="48" t="n">
        <x:v>0.17961582550546507</x:v>
      </x:c>
      <x:c r="N2317" s="48" t="n">
        <x:v>0.9658714737725999</x:v>
      </x:c>
      <x:c r="O2317" s="48" t="n">
        <x:v>1</x:v>
      </x:c>
      <x:c r="P2317" s="48" t="n">
        <x:v>1</x:v>
      </x:c>
      <x:c r="Q2317" s="48" t="n">
        <x:v>1</x:v>
      </x:c>
      <x:c r="R2317" s="48" t="n">
        <x:v>1</x:v>
      </x:c>
      <x:c r="S2317" s="29" t="n">
        <x:v>1</x:v>
      </x:c>
    </x:row>
    <x:row r="2318" ht="21.600000381469727" hidden="0" customHeight="1">
      <x:c r="A2318" s="27" t="n">
        <x:v>772</x:v>
      </x:c>
      <x:c r="B2318" s="27" t="str">
        <x:v>A1</x:v>
      </x:c>
      <x:c r="C2318" s="47" t="n">
        <x:v>1.0760182578829054</x:v>
      </x:c>
      <x:c r="D2318" s="47" t="n">
        <x:v>0.8499408939766996</x:v>
      </x:c>
      <x:c r="E2318" s="47" t="n">
        <x:v>0.5631063069024225</x:v>
      </x:c>
      <x:c r="F2318" s="47" t="n">
        <x:v>-0.16713186188421114</x:v>
      </x:c>
      <x:c r="G2318" s="47" t="n">
        <x:v>-0.02454876888772689</x:v>
      </x:c>
      <x:c r="H2318" s="47" t="n">
        <x:v>0.3772716334879337</x:v>
      </x:c>
      <x:c r="I2318" s="47" t="n">
        <x:v>0.670155801206631</x:v>
      </x:c>
      <x:c r="J2318" s="47" t="n">
        <x:v>0.519841340217841</x:v>
      </x:c>
      <x:c r="K2318" s="47" t="n">
        <x:v>0.6920521026087929</x:v>
      </x:c>
      <x:c r="L2318" s="47" t="n">
        <x:v>0.9183790480213211</x:v>
      </x:c>
      <x:c r="M2318" s="47" t="n">
        <x:v>0.029139443300361105</x:v>
      </x:c>
      <x:c r="N2318" s="47" t="n">
        <x:v>0.7570616878849894</x:v>
      </x:c>
      <x:c r="O2318" s="47" t="n">
        <x:v>0.8328732902139309</x:v>
      </x:c>
      <x:c r="P2318" s="47" t="n">
        <x:v>0.48896948103616666</x:v>
      </x:c>
      <x:c r="Q2318" s="47" t="n">
        <x:v>1</x:v>
      </x:c>
      <x:c r="R2318" s="47" t="n">
        <x:v>0.7936247450306423</x:v>
      </x:c>
      <x:c r="S2318" s="27" t="n">
        <x:v>0</x:v>
      </x:c>
    </x:row>
    <x:row r="2319" ht="21.600000381469727" hidden="0" customHeight="1">
      <x:c r="A2319" s="29" t="n">
        <x:v>772</x:v>
      </x:c>
      <x:c r="B2319" s="29" t="str">
        <x:v>A2</x:v>
      </x:c>
      <x:c r="C2319" s="48" t="n">
        <x:v>1.0760182578829054</x:v>
      </x:c>
      <x:c r="D2319" s="48" t="n">
        <x:v>0.8499408939766996</x:v>
      </x:c>
      <x:c r="E2319" s="48" t="n">
        <x:v>0.5631063069024225</x:v>
      </x:c>
      <x:c r="F2319" s="48" t="n">
        <x:v>-0.16713186188421114</x:v>
      </x:c>
      <x:c r="G2319" s="48" t="n">
        <x:v>-0.02454876888772689</x:v>
      </x:c>
      <x:c r="H2319" s="48" t="n">
        <x:v>0.3772716334879337</x:v>
      </x:c>
      <x:c r="I2319" s="48" t="n">
        <x:v>0.670155801206631</x:v>
      </x:c>
      <x:c r="J2319" s="48" t="n">
        <x:v>0.519841340217841</x:v>
      </x:c>
      <x:c r="K2319" s="48" t="n">
        <x:v>0.6920521026087929</x:v>
      </x:c>
      <x:c r="L2319" s="48" t="n">
        <x:v>0.9183790480213211</x:v>
      </x:c>
      <x:c r="M2319" s="48" t="n">
        <x:v>0.029139443300361105</x:v>
      </x:c>
      <x:c r="N2319" s="48" t="n">
        <x:v>0.7570616878849894</x:v>
      </x:c>
      <x:c r="O2319" s="48" t="n">
        <x:v>0.9189811276146614</x:v>
      </x:c>
      <x:c r="P2319" s="48" t="n">
        <x:v>0.6749309217786287</x:v>
      </x:c>
      <x:c r="Q2319" s="48" t="n">
        <x:v>1</x:v>
      </x:c>
      <x:c r="R2319" s="48" t="n">
        <x:v>0.8999544090393633</x:v>
      </x:c>
      <x:c r="S2319" s="29" t="n">
        <x:v>0</x:v>
      </x:c>
    </x:row>
    <x:row r="2320" ht="21.600000381469727" hidden="0" customHeight="1">
      <x:c r="A2320" s="27" t="n">
        <x:v>772</x:v>
      </x:c>
      <x:c r="B2320" s="27" t="str">
        <x:v>A3</x:v>
      </x:c>
      <x:c r="C2320" s="47" t="n">
        <x:v>1.0760182578829054</x:v>
      </x:c>
      <x:c r="D2320" s="47" t="n">
        <x:v>0.8499408939766996</x:v>
      </x:c>
      <x:c r="E2320" s="47" t="n">
        <x:v>0.5631063069024225</x:v>
      </x:c>
      <x:c r="F2320" s="47" t="n">
        <x:v>-0.16713186188421114</x:v>
      </x:c>
      <x:c r="G2320" s="47" t="n">
        <x:v>-0.02454876888772689</x:v>
      </x:c>
      <x:c r="H2320" s="47" t="n">
        <x:v>0.3772716334879337</x:v>
      </x:c>
      <x:c r="I2320" s="47" t="n">
        <x:v>0.670155801206631</x:v>
      </x:c>
      <x:c r="J2320" s="47" t="n">
        <x:v>0.519841340217841</x:v>
      </x:c>
      <x:c r="K2320" s="47" t="n">
        <x:v>0.6920521026087929</x:v>
      </x:c>
      <x:c r="L2320" s="47" t="n">
        <x:v>0.9183790480213211</x:v>
      </x:c>
      <x:c r="M2320" s="47" t="n">
        <x:v>0.029139443300361105</x:v>
      </x:c>
      <x:c r="N2320" s="47" t="n">
        <x:v>0.7570616878849894</x:v>
      </x:c>
      <x:c r="O2320" s="47" t="n">
        <x:v>1</x:v>
      </x:c>
      <x:c r="P2320" s="47" t="n">
        <x:v>1</x:v>
      </x:c>
      <x:c r="Q2320" s="47" t="n">
        <x:v>1</x:v>
      </x:c>
      <x:c r="R2320" s="47" t="n">
        <x:v>1</x:v>
      </x:c>
      <x:c r="S2320" s="27" t="n">
        <x:v>1</x:v>
      </x:c>
    </x:row>
    <x:row r="2321" ht="21.600000381469727" hidden="0" customHeight="1">
      <x:c r="A2321" s="29" t="n">
        <x:v>773</x:v>
      </x:c>
      <x:c r="B2321" s="29" t="str">
        <x:v>A1</x:v>
      </x:c>
      <x:c r="C2321" s="48" t="n">
        <x:v>0.9637322583458946</x:v>
      </x:c>
      <x:c r="D2321" s="48" t="n">
        <x:v>0.8956367075206162</x:v>
      </x:c>
      <x:c r="E2321" s="48" t="n">
        <x:v>1.0175016126431864</x:v>
      </x:c>
      <x:c r="F2321" s="48" t="n">
        <x:v>-0.14054310469637932</x:v>
      </x:c>
      <x:c r="G2321" s="48" t="n">
        <x:v>-0.1571502331092295</x:v>
      </x:c>
      <x:c r="H2321" s="48" t="n">
        <x:v>0.89321490733251</x:v>
      </x:c>
      <x:c r="I2321" s="48" t="n">
        <x:v>0.7005792572559818</x:v>
      </x:c>
      <x:c r="J2321" s="48" t="n">
        <x:v>0.598691963277754</x:v>
      </x:c>
      <x:c r="K2321" s="48" t="n">
        <x:v>0.8162742878345233</x:v>
      </x:c>
      <x:c r="L2321" s="48" t="n">
        <x:v>0.838726953232543</x:v>
      </x:c>
      <x:c r="M2321" s="48" t="n">
        <x:v>0.0364795911738995</x:v>
      </x:c>
      <x:c r="N2321" s="48" t="n">
        <x:v>0.8722654509994165</x:v>
      </x:c>
      <x:c r="O2321" s="48" t="n">
        <x:v>0.9183254170735737</x:v>
      </x:c>
      <x:c r="P2321" s="48" t="n">
        <x:v>0.768249225211954</x:v>
      </x:c>
      <x:c r="Q2321" s="48" t="n">
        <x:v>1</x:v>
      </x:c>
      <x:c r="R2321" s="48" t="n">
        <x:v>0.8991447094391245</x:v>
      </x:c>
      <x:c r="S2321" s="29" t="n">
        <x:v>0</x:v>
      </x:c>
    </x:row>
    <x:row r="2322" ht="21.600000381469727" hidden="0" customHeight="1">
      <x:c r="A2322" s="27" t="n">
        <x:v>773</x:v>
      </x:c>
      <x:c r="B2322" s="27" t="str">
        <x:v>A2</x:v>
      </x:c>
      <x:c r="C2322" s="47" t="n">
        <x:v>0.9637322583458946</x:v>
      </x:c>
      <x:c r="D2322" s="47" t="n">
        <x:v>0.8956367075206162</x:v>
      </x:c>
      <x:c r="E2322" s="47" t="n">
        <x:v>1.0175016126431864</x:v>
      </x:c>
      <x:c r="F2322" s="47" t="n">
        <x:v>-0.14054310469637932</x:v>
      </x:c>
      <x:c r="G2322" s="47" t="n">
        <x:v>-0.1571502331092295</x:v>
      </x:c>
      <x:c r="H2322" s="47" t="n">
        <x:v>0.89321490733251</x:v>
      </x:c>
      <x:c r="I2322" s="47" t="n">
        <x:v>0.7005792572559818</x:v>
      </x:c>
      <x:c r="J2322" s="47" t="n">
        <x:v>0.598691963277754</x:v>
      </x:c>
      <x:c r="K2322" s="47" t="n">
        <x:v>0.8162742878345233</x:v>
      </x:c>
      <x:c r="L2322" s="47" t="n">
        <x:v>0.838726953232543</x:v>
      </x:c>
      <x:c r="M2322" s="47" t="n">
        <x:v>0.0364795911738995</x:v>
      </x:c>
      <x:c r="N2322" s="47" t="n">
        <x:v>0.8722654509994165</x:v>
      </x:c>
      <x:c r="O2322" s="47" t="n">
        <x:v>0.9766624779904242</x:v>
      </x:c>
      <x:c r="P2322" s="47" t="n">
        <x:v>0.7860931827316529</x:v>
      </x:c>
      <x:c r="Q2322" s="47" t="n">
        <x:v>1</x:v>
      </x:c>
      <x:c r="R2322" s="47" t="n">
        <x:v>0.9711818232929718</x:v>
      </x:c>
      <x:c r="S2322" s="27" t="n">
        <x:v>0</x:v>
      </x:c>
    </x:row>
    <x:row r="2323" ht="21.600000381469727" hidden="0" customHeight="1">
      <x:c r="A2323" s="29" t="n">
        <x:v>773</x:v>
      </x:c>
      <x:c r="B2323" s="29" t="str">
        <x:v>A3</x:v>
      </x:c>
      <x:c r="C2323" s="48" t="n">
        <x:v>0.9637322583458946</x:v>
      </x:c>
      <x:c r="D2323" s="48" t="n">
        <x:v>0.8956367075206162</x:v>
      </x:c>
      <x:c r="E2323" s="48" t="n">
        <x:v>1.0175016126431864</x:v>
      </x:c>
      <x:c r="F2323" s="48" t="n">
        <x:v>-0.14054310469637932</x:v>
      </x:c>
      <x:c r="G2323" s="48" t="n">
        <x:v>-0.1571502331092295</x:v>
      </x:c>
      <x:c r="H2323" s="48" t="n">
        <x:v>0.89321490733251</x:v>
      </x:c>
      <x:c r="I2323" s="48" t="n">
        <x:v>0.7005792572559818</x:v>
      </x:c>
      <x:c r="J2323" s="48" t="n">
        <x:v>0.598691963277754</x:v>
      </x:c>
      <x:c r="K2323" s="48" t="n">
        <x:v>0.8162742878345233</x:v>
      </x:c>
      <x:c r="L2323" s="48" t="n">
        <x:v>0.838726953232543</x:v>
      </x:c>
      <x:c r="M2323" s="48" t="n">
        <x:v>0.0364795911738995</x:v>
      </x:c>
      <x:c r="N2323" s="48" t="n">
        <x:v>0.8722654509994165</x:v>
      </x:c>
      <x:c r="O2323" s="48" t="n">
        <x:v>1</x:v>
      </x:c>
      <x:c r="P2323" s="48" t="n">
        <x:v>1</x:v>
      </x:c>
      <x:c r="Q2323" s="48" t="n">
        <x:v>1</x:v>
      </x:c>
      <x:c r="R2323" s="48" t="n">
        <x:v>1</x:v>
      </x:c>
      <x:c r="S2323" s="29" t="n">
        <x:v>1</x:v>
      </x:c>
    </x:row>
    <x:row r="2324" ht="21.600000381469727" hidden="0" customHeight="1">
      <x:c r="A2324" s="27" t="n">
        <x:v>774</x:v>
      </x:c>
      <x:c r="B2324" s="27" t="str">
        <x:v>A1</x:v>
      </x:c>
      <x:c r="C2324" s="47" t="n">
        <x:v>1.0326930065147475</x:v>
      </x:c>
      <x:c r="D2324" s="47" t="n">
        <x:v>0.9845244502678343</x:v>
      </x:c>
      <x:c r="E2324" s="47" t="n">
        <x:v>0.5378870300443053</x:v>
      </x:c>
      <x:c r="F2324" s="47" t="n">
        <x:v>-0.12716208327011225</x:v>
      </x:c>
      <x:c r="G2324" s="47" t="n">
        <x:v>-0.09874684675004666</x:v>
      </x:c>
      <x:c r="H2324" s="47" t="n">
        <x:v>0.5897889806777288</x:v>
      </x:c>
      <x:c r="I2324" s="47" t="n">
        <x:v>1.0002075235697376</x:v>
      </x:c>
      <x:c r="J2324" s="47" t="n">
        <x:v>0.6000315484690469</x:v>
      </x:c>
      <x:c r="K2324" s="47" t="n">
        <x:v>0.8988259225288742</x:v>
      </x:c>
      <x:c r="L2324" s="47" t="n">
        <x:v>0.874497969563637</x:v>
      </x:c>
      <x:c r="M2324" s="47" t="n">
        <x:v>0.1305680054569077</x:v>
      </x:c>
      <x:c r="N2324" s="47" t="n">
        <x:v>0.8286247222885971</x:v>
      </x:c>
      <x:c r="O2324" s="47" t="n">
        <x:v>0.9311260904337483</x:v>
      </x:c>
      <x:c r="P2324" s="47" t="n">
        <x:v>0.7565478115414622</x:v>
      </x:c>
      <x:c r="Q2324" s="47" t="n">
        <x:v>1</x:v>
      </x:c>
      <x:c r="R2324" s="47" t="n">
        <x:v>0.9149515318905865</x:v>
      </x:c>
      <x:c r="S2324" s="27" t="n">
        <x:v>0</x:v>
      </x:c>
    </x:row>
    <x:row r="2325" ht="21.600000381469727" hidden="0" customHeight="1">
      <x:c r="A2325" s="29" t="n">
        <x:v>774</x:v>
      </x:c>
      <x:c r="B2325" s="29" t="str">
        <x:v>A2</x:v>
      </x:c>
      <x:c r="C2325" s="48" t="n">
        <x:v>1.0326930065147475</x:v>
      </x:c>
      <x:c r="D2325" s="48" t="n">
        <x:v>0.9845244502678343</x:v>
      </x:c>
      <x:c r="E2325" s="48" t="n">
        <x:v>0.5378870300443053</x:v>
      </x:c>
      <x:c r="F2325" s="48" t="n">
        <x:v>-0.12716208327011225</x:v>
      </x:c>
      <x:c r="G2325" s="48" t="n">
        <x:v>-0.09874684675004666</x:v>
      </x:c>
      <x:c r="H2325" s="48" t="n">
        <x:v>0.5897889806777288</x:v>
      </x:c>
      <x:c r="I2325" s="48" t="n">
        <x:v>1.0002075235697376</x:v>
      </x:c>
      <x:c r="J2325" s="48" t="n">
        <x:v>0.6000315484690469</x:v>
      </x:c>
      <x:c r="K2325" s="48" t="n">
        <x:v>0.8988259225288742</x:v>
      </x:c>
      <x:c r="L2325" s="48" t="n">
        <x:v>0.874497969563637</x:v>
      </x:c>
      <x:c r="M2325" s="48" t="n">
        <x:v>0.1305680054569077</x:v>
      </x:c>
      <x:c r="N2325" s="48" t="n">
        <x:v>0.8286247222885971</x:v>
      </x:c>
      <x:c r="O2325" s="48" t="n">
        <x:v>1</x:v>
      </x:c>
      <x:c r="P2325" s="48" t="n">
        <x:v>1</x:v>
      </x:c>
      <x:c r="Q2325" s="48" t="n">
        <x:v>1</x:v>
      </x:c>
      <x:c r="R2325" s="48" t="n">
        <x:v>1</x:v>
      </x:c>
      <x:c r="S2325" s="29" t="n">
        <x:v>1</x:v>
      </x:c>
    </x:row>
    <x:row r="2326" ht="21.600000381469727" hidden="0" customHeight="1">
      <x:c r="A2326" s="27" t="n">
        <x:v>774</x:v>
      </x:c>
      <x:c r="B2326" s="27" t="str">
        <x:v>A3</x:v>
      </x:c>
      <x:c r="C2326" s="47" t="n">
        <x:v>1.0326930065147475</x:v>
      </x:c>
      <x:c r="D2326" s="47" t="n">
        <x:v>0.9845244502678343</x:v>
      </x:c>
      <x:c r="E2326" s="47" t="n">
        <x:v>0.5378870300443053</x:v>
      </x:c>
      <x:c r="F2326" s="47" t="n">
        <x:v>-0.12716208327011225</x:v>
      </x:c>
      <x:c r="G2326" s="47" t="n">
        <x:v>-0.09874684675004666</x:v>
      </x:c>
      <x:c r="H2326" s="47" t="n">
        <x:v>0.5897889806777288</x:v>
      </x:c>
      <x:c r="I2326" s="47" t="n">
        <x:v>1.0002075235697376</x:v>
      </x:c>
      <x:c r="J2326" s="47" t="n">
        <x:v>0.6000315484690469</x:v>
      </x:c>
      <x:c r="K2326" s="47" t="n">
        <x:v>0.8988259225288742</x:v>
      </x:c>
      <x:c r="L2326" s="47" t="n">
        <x:v>0.874497969563637</x:v>
      </x:c>
      <x:c r="M2326" s="47" t="n">
        <x:v>0.1305680054569077</x:v>
      </x:c>
      <x:c r="N2326" s="47" t="n">
        <x:v>0.8286247222885971</x:v>
      </x:c>
      <x:c r="O2326" s="47" t="n">
        <x:v>1</x:v>
      </x:c>
      <x:c r="P2326" s="47" t="n">
        <x:v>1</x:v>
      </x:c>
      <x:c r="Q2326" s="47" t="n">
        <x:v>1</x:v>
      </x:c>
      <x:c r="R2326" s="47" t="n">
        <x:v>1</x:v>
      </x:c>
      <x:c r="S2326" s="27" t="n">
        <x:v>1</x:v>
      </x:c>
    </x:row>
    <x:row r="2327" ht="21.600000381469727" hidden="0" customHeight="1">
      <x:c r="A2327" s="29" t="n">
        <x:v>775</x:v>
      </x:c>
      <x:c r="B2327" s="29" t="str">
        <x:v>A1</x:v>
      </x:c>
      <x:c r="C2327" s="48" t="n">
        <x:v>1.1483360292174125</x:v>
      </x:c>
      <x:c r="D2327" s="48" t="n">
        <x:v>0.9461898126015899</x:v>
      </x:c>
      <x:c r="E2327" s="48" t="n">
        <x:v>1.0020412521944952</x:v>
      </x:c>
      <x:c r="F2327" s="48" t="n">
        <x:v>-0.05949614608084486</x:v>
      </x:c>
      <x:c r="G2327" s="48" t="n">
        <x:v>-0.05760551616921458</x:v>
      </x:c>
      <x:c r="H2327" s="48" t="n">
        <x:v>0.9989211651119829</x:v>
      </x:c>
      <x:c r="I2327" s="48" t="n">
        <x:v>0.9637306458130306</x:v>
      </x:c>
      <x:c r="J2327" s="48" t="n">
        <x:v>0.7407671817824832</x:v>
      </x:c>
      <x:c r="K2327" s="48" t="n">
        <x:v>0.6894047341087024</x:v>
      </x:c>
      <x:c r="L2327" s="48" t="n">
        <x:v>0.9636137392463977</x:v>
      </x:c>
      <x:c r="M2327" s="48" t="n">
        <x:v>0.03116238798971073</x:v>
      </x:c>
      <x:c r="N2327" s="48" t="n">
        <x:v>0.9839493910692845</x:v>
      </x:c>
      <x:c r="O2327" s="48" t="n">
        <x:v>0.9053942744347332</x:v>
      </x:c>
      <x:c r="P2327" s="48" t="n">
        <x:v>0.6365247831318919</x:v>
      </x:c>
      <x:c r="Q2327" s="48" t="n">
        <x:v>1</x:v>
      </x:c>
      <x:c r="R2327" s="48" t="n">
        <x:v>0.8831767779065052</x:v>
      </x:c>
      <x:c r="S2327" s="29" t="n">
        <x:v>0</x:v>
      </x:c>
    </x:row>
    <x:row r="2328" ht="21.600000381469727" hidden="0" customHeight="1">
      <x:c r="A2328" s="27" t="n">
        <x:v>775</x:v>
      </x:c>
      <x:c r="B2328" s="27" t="str">
        <x:v>A2</x:v>
      </x:c>
      <x:c r="C2328" s="47" t="n">
        <x:v>1.1483360292174125</x:v>
      </x:c>
      <x:c r="D2328" s="47" t="n">
        <x:v>0.9461898126015899</x:v>
      </x:c>
      <x:c r="E2328" s="47" t="n">
        <x:v>1.0020412521944952</x:v>
      </x:c>
      <x:c r="F2328" s="47" t="n">
        <x:v>-0.05949614608084486</x:v>
      </x:c>
      <x:c r="G2328" s="47" t="n">
        <x:v>-0.05760551616921458</x:v>
      </x:c>
      <x:c r="H2328" s="47" t="n">
        <x:v>0.9989211651119829</x:v>
      </x:c>
      <x:c r="I2328" s="47" t="n">
        <x:v>0.9637306458130306</x:v>
      </x:c>
      <x:c r="J2328" s="47" t="n">
        <x:v>0.7407671817824832</x:v>
      </x:c>
      <x:c r="K2328" s="47" t="n">
        <x:v>0.6894047341087024</x:v>
      </x:c>
      <x:c r="L2328" s="47" t="n">
        <x:v>0.9636137392463977</x:v>
      </x:c>
      <x:c r="M2328" s="47" t="n">
        <x:v>0.03116238798971073</x:v>
      </x:c>
      <x:c r="N2328" s="47" t="n">
        <x:v>0.9839493910692845</x:v>
      </x:c>
      <x:c r="O2328" s="47" t="n">
        <x:v>0.965326784623121</x:v>
      </x:c>
      <x:c r="P2328" s="47" t="n">
        <x:v>0.6870294663489749</x:v>
      </x:c>
      <x:c r="Q2328" s="47" t="n">
        <x:v>1</x:v>
      </x:c>
      <x:c r="R2328" s="47" t="n">
        <x:v>0.9571840211946344</x:v>
      </x:c>
      <x:c r="S2328" s="27" t="n">
        <x:v>0</x:v>
      </x:c>
    </x:row>
    <x:row r="2329" ht="21.600000381469727" hidden="0" customHeight="1">
      <x:c r="A2329" s="29" t="n">
        <x:v>775</x:v>
      </x:c>
      <x:c r="B2329" s="29" t="str">
        <x:v>A3</x:v>
      </x:c>
      <x:c r="C2329" s="48" t="n">
        <x:v>1.1483360292174125</x:v>
      </x:c>
      <x:c r="D2329" s="48" t="n">
        <x:v>0.9461898126015899</x:v>
      </x:c>
      <x:c r="E2329" s="48" t="n">
        <x:v>1.0020412521944952</x:v>
      </x:c>
      <x:c r="F2329" s="48" t="n">
        <x:v>-0.05949614608084486</x:v>
      </x:c>
      <x:c r="G2329" s="48" t="n">
        <x:v>-0.05760551616921458</x:v>
      </x:c>
      <x:c r="H2329" s="48" t="n">
        <x:v>0.9989211651119829</x:v>
      </x:c>
      <x:c r="I2329" s="48" t="n">
        <x:v>0.9637306458130306</x:v>
      </x:c>
      <x:c r="J2329" s="48" t="n">
        <x:v>0.7407671817824832</x:v>
      </x:c>
      <x:c r="K2329" s="48" t="n">
        <x:v>0.6894047341087024</x:v>
      </x:c>
      <x:c r="L2329" s="48" t="n">
        <x:v>0.9636137392463977</x:v>
      </x:c>
      <x:c r="M2329" s="48" t="n">
        <x:v>0.03116238798971073</x:v>
      </x:c>
      <x:c r="N2329" s="48" t="n">
        <x:v>0.9839493910692845</x:v>
      </x:c>
      <x:c r="O2329" s="48" t="n">
        <x:v>1</x:v>
      </x:c>
      <x:c r="P2329" s="48" t="n">
        <x:v>1</x:v>
      </x:c>
      <x:c r="Q2329" s="48" t="n">
        <x:v>1</x:v>
      </x:c>
      <x:c r="R2329" s="48" t="n">
        <x:v>1</x:v>
      </x:c>
      <x:c r="S2329" s="29" t="n">
        <x:v>1</x:v>
      </x:c>
    </x:row>
    <x:row r="2330" ht="21.600000381469727" hidden="0" customHeight="1">
      <x:c r="A2330" s="27" t="n">
        <x:v>776</x:v>
      </x:c>
      <x:c r="B2330" s="27" t="str">
        <x:v>A1</x:v>
      </x:c>
      <x:c r="C2330" s="47" t="n">
        <x:v>1.0976778123733297</x:v>
      </x:c>
      <x:c r="D2330" s="47" t="n">
        <x:v>0.7864324409301239</x:v>
      </x:c>
      <x:c r="E2330" s="47" t="n">
        <x:v>0.6132203221705822</x:v>
      </x:c>
      <x:c r="F2330" s="47" t="n">
        <x:v>-0.08108606736340636</x:v>
      </x:c>
      <x:c r="G2330" s="47" t="n">
        <x:v>-0.1116044489898349</x:v>
      </x:c>
      <x:c r="H2330" s="47" t="n">
        <x:v>0.8552732859961054</x:v>
      </x:c>
      <x:c r="I2330" s="47" t="n">
        <x:v>0.6977195047364732</x:v>
      </x:c>
      <x:c r="J2330" s="47" t="n">
        <x:v>0.8185878524933753</x:v>
      </x:c>
      <x:c r="K2330" s="47" t="n">
        <x:v>0.9286578688738577</x:v>
      </x:c>
      <x:c r="L2330" s="47" t="n">
        <x:v>0.5745881597472571</x:v>
      </x:c>
      <x:c r="M2330" s="47" t="n">
        <x:v>0.016038930944836282</x:v>
      </x:c>
      <x:c r="N2330" s="47" t="n">
        <x:v>0.9627038871940297</x:v>
      </x:c>
      <x:c r="O2330" s="47" t="n">
        <x:v>0.8194814035554928</x:v>
      </x:c>
      <x:c r="P2330" s="47" t="n">
        <x:v>0.46576931509822084</x:v>
      </x:c>
      <x:c r="Q2330" s="47" t="n">
        <x:v>1</x:v>
      </x:c>
      <x:c r="R2330" s="47" t="n">
        <x:v>0.7770878669505698</x:v>
      </x:c>
      <x:c r="S2330" s="27" t="n">
        <x:v>0</x:v>
      </x:c>
    </x:row>
    <x:row r="2331" ht="21.600000381469727" hidden="0" customHeight="1">
      <x:c r="A2331" s="29" t="n">
        <x:v>776</x:v>
      </x:c>
      <x:c r="B2331" s="29" t="str">
        <x:v>A2</x:v>
      </x:c>
      <x:c r="C2331" s="48" t="n">
        <x:v>1.0976778123733297</x:v>
      </x:c>
      <x:c r="D2331" s="48" t="n">
        <x:v>0.7864324409301239</x:v>
      </x:c>
      <x:c r="E2331" s="48" t="n">
        <x:v>0.6132203221705822</x:v>
      </x:c>
      <x:c r="F2331" s="48" t="n">
        <x:v>-0.08108606736340636</x:v>
      </x:c>
      <x:c r="G2331" s="48" t="n">
        <x:v>-0.1116044489898349</x:v>
      </x:c>
      <x:c r="H2331" s="48" t="n">
        <x:v>0.8552732859961054</x:v>
      </x:c>
      <x:c r="I2331" s="48" t="n">
        <x:v>0.6977195047364732</x:v>
      </x:c>
      <x:c r="J2331" s="48" t="n">
        <x:v>0.8185878524933753</x:v>
      </x:c>
      <x:c r="K2331" s="48" t="n">
        <x:v>0.9286578688738577</x:v>
      </x:c>
      <x:c r="L2331" s="48" t="n">
        <x:v>0.5745881597472571</x:v>
      </x:c>
      <x:c r="M2331" s="48" t="n">
        <x:v>0.016038930944836282</x:v>
      </x:c>
      <x:c r="N2331" s="48" t="n">
        <x:v>0.9627038871940297</x:v>
      </x:c>
      <x:c r="O2331" s="48" t="n">
        <x:v>0.9088744661188961</x:v>
      </x:c>
      <x:c r="P2331" s="48" t="n">
        <x:v>0.5817115125947038</x:v>
      </x:c>
      <x:c r="Q2331" s="48" t="n">
        <x:v>1</x:v>
      </x:c>
      <x:c r="R2331" s="48" t="n">
        <x:v>0.8874742683978855</x:v>
      </x:c>
      <x:c r="S2331" s="29" t="n">
        <x:v>0</x:v>
      </x:c>
    </x:row>
    <x:row r="2332" ht="21.600000381469727" hidden="0" customHeight="1">
      <x:c r="A2332" s="27" t="n">
        <x:v>776</x:v>
      </x:c>
      <x:c r="B2332" s="27" t="str">
        <x:v>A3</x:v>
      </x:c>
      <x:c r="C2332" s="47" t="n">
        <x:v>1.0976778123733297</x:v>
      </x:c>
      <x:c r="D2332" s="47" t="n">
        <x:v>0.7864324409301239</x:v>
      </x:c>
      <x:c r="E2332" s="47" t="n">
        <x:v>0.6132203221705822</x:v>
      </x:c>
      <x:c r="F2332" s="47" t="n">
        <x:v>-0.08108606736340636</x:v>
      </x:c>
      <x:c r="G2332" s="47" t="n">
        <x:v>-0.1116044489898349</x:v>
      </x:c>
      <x:c r="H2332" s="47" t="n">
        <x:v>0.8552732859961054</x:v>
      </x:c>
      <x:c r="I2332" s="47" t="n">
        <x:v>0.6977195047364732</x:v>
      </x:c>
      <x:c r="J2332" s="47" t="n">
        <x:v>0.8185878524933753</x:v>
      </x:c>
      <x:c r="K2332" s="47" t="n">
        <x:v>0.9286578688738577</x:v>
      </x:c>
      <x:c r="L2332" s="47" t="n">
        <x:v>0.5745881597472571</x:v>
      </x:c>
      <x:c r="M2332" s="47" t="n">
        <x:v>0.016038930944836282</x:v>
      </x:c>
      <x:c r="N2332" s="47" t="n">
        <x:v>0.9627038871940297</x:v>
      </x:c>
      <x:c r="O2332" s="47" t="n">
        <x:v>1</x:v>
      </x:c>
      <x:c r="P2332" s="47" t="n">
        <x:v>1</x:v>
      </x:c>
      <x:c r="Q2332" s="47" t="n">
        <x:v>1</x:v>
      </x:c>
      <x:c r="R2332" s="47" t="n">
        <x:v>1</x:v>
      </x:c>
      <x:c r="S2332" s="27" t="n">
        <x:v>1</x:v>
      </x:c>
    </x:row>
    <x:row r="2333" ht="21.600000381469727" hidden="0" customHeight="1">
      <x:c r="A2333" s="29" t="n">
        <x:v>777</x:v>
      </x:c>
      <x:c r="B2333" s="29" t="str">
        <x:v>A1</x:v>
      </x:c>
      <x:c r="C2333" s="48" t="n">
        <x:v>1.1577898361933014</x:v>
      </x:c>
      <x:c r="D2333" s="48" t="n">
        <x:v>0.7384603092010573</x:v>
      </x:c>
      <x:c r="E2333" s="48" t="n">
        <x:v>0.9330699893826666</x:v>
      </x:c>
      <x:c r="F2333" s="48" t="n">
        <x:v>-0.10049077377638267</x:v>
      </x:c>
      <x:c r="G2333" s="48" t="n">
        <x:v>-0.0625999689748109</x:v>
      </x:c>
      <x:c r="H2333" s="48" t="n">
        <x:v>0.731489563932401</x:v>
      </x:c>
      <x:c r="I2333" s="48" t="n">
        <x:v>0.7409299705022201</x:v>
      </x:c>
      <x:c r="J2333" s="48" t="n">
        <x:v>0.5343887998599037</x:v>
      </x:c>
      <x:c r="K2333" s="48" t="n">
        <x:v>0.6863306599597591</x:v>
      </x:c>
      <x:c r="L2333" s="48" t="n">
        <x:v>0.6169990760524521</x:v>
      </x:c>
      <x:c r="M2333" s="48" t="n">
        <x:v>0.1280093063244316</x:v>
      </x:c>
      <x:c r="N2333" s="48" t="n">
        <x:v>0.922344285818061</x:v>
      </x:c>
      <x:c r="O2333" s="48" t="n">
        <x:v>0.7373623602681357</x:v>
      </x:c>
      <x:c r="P2333" s="48" t="n">
        <x:v>0.40422100374221887</x:v>
      </x:c>
      <x:c r="Q2333" s="48" t="n">
        <x:v>0.8477150406591333</x:v>
      </x:c>
      <x:c r="R2333" s="48" t="n">
        <x:v>0.6809189664995349</x:v>
      </x:c>
      <x:c r="S2333" s="29" t="n">
        <x:v>0</x:v>
      </x:c>
    </x:row>
    <x:row r="2334" ht="21.600000381469727" hidden="0" customHeight="1">
      <x:c r="A2334" s="27" t="n">
        <x:v>777</x:v>
      </x:c>
      <x:c r="B2334" s="27" t="str">
        <x:v>A2</x:v>
      </x:c>
      <x:c r="C2334" s="47" t="n">
        <x:v>1.1577898361933014</x:v>
      </x:c>
      <x:c r="D2334" s="47" t="n">
        <x:v>0.7384603092010573</x:v>
      </x:c>
      <x:c r="E2334" s="47" t="n">
        <x:v>0.9330699893826666</x:v>
      </x:c>
      <x:c r="F2334" s="47" t="n">
        <x:v>-0.10049077377638267</x:v>
      </x:c>
      <x:c r="G2334" s="47" t="n">
        <x:v>-0.0625999689748109</x:v>
      </x:c>
      <x:c r="H2334" s="47" t="n">
        <x:v>0.731489563932401</x:v>
      </x:c>
      <x:c r="I2334" s="47" t="n">
        <x:v>0.7409299705022201</x:v>
      </x:c>
      <x:c r="J2334" s="47" t="n">
        <x:v>0.5343887998599037</x:v>
      </x:c>
      <x:c r="K2334" s="47" t="n">
        <x:v>0.6863306599597591</x:v>
      </x:c>
      <x:c r="L2334" s="47" t="n">
        <x:v>0.6169990760524521</x:v>
      </x:c>
      <x:c r="M2334" s="47" t="n">
        <x:v>0.1280093063244316</x:v>
      </x:c>
      <x:c r="N2334" s="47" t="n">
        <x:v>0.922344285818061</x:v>
      </x:c>
      <x:c r="O2334" s="47" t="n">
        <x:v>0.8235486587400878</x:v>
      </x:c>
      <x:c r="P2334" s="47" t="n">
        <x:v>0.4657785614879446</x:v>
      </x:c>
      <x:c r="Q2334" s="47" t="n">
        <x:v>1</x:v>
      </x:c>
      <x:c r="R2334" s="47" t="n">
        <x:v>0.7821102887215761</x:v>
      </x:c>
      <x:c r="S2334" s="27" t="n">
        <x:v>0</x:v>
      </x:c>
    </x:row>
    <x:row r="2335" ht="21.600000381469727" hidden="0" customHeight="1">
      <x:c r="A2335" s="29" t="n">
        <x:v>777</x:v>
      </x:c>
      <x:c r="B2335" s="29" t="str">
        <x:v>A3</x:v>
      </x:c>
      <x:c r="C2335" s="48" t="n">
        <x:v>1.1577898361933014</x:v>
      </x:c>
      <x:c r="D2335" s="48" t="n">
        <x:v>0.7384603092010573</x:v>
      </x:c>
      <x:c r="E2335" s="48" t="n">
        <x:v>0.9330699893826666</x:v>
      </x:c>
      <x:c r="F2335" s="48" t="n">
        <x:v>-0.10049077377638267</x:v>
      </x:c>
      <x:c r="G2335" s="48" t="n">
        <x:v>-0.0625999689748109</x:v>
      </x:c>
      <x:c r="H2335" s="48" t="n">
        <x:v>0.731489563932401</x:v>
      </x:c>
      <x:c r="I2335" s="48" t="n">
        <x:v>0.7409299705022201</x:v>
      </x:c>
      <x:c r="J2335" s="48" t="n">
        <x:v>0.5343887998599037</x:v>
      </x:c>
      <x:c r="K2335" s="48" t="n">
        <x:v>0.6863306599597591</x:v>
      </x:c>
      <x:c r="L2335" s="48" t="n">
        <x:v>0.6169990760524521</x:v>
      </x:c>
      <x:c r="M2335" s="48" t="n">
        <x:v>0.1280093063244316</x:v>
      </x:c>
      <x:c r="N2335" s="48" t="n">
        <x:v>0.922344285818061</x:v>
      </x:c>
      <x:c r="O2335" s="48" t="n">
        <x:v>1</x:v>
      </x:c>
      <x:c r="P2335" s="48" t="n">
        <x:v>1</x:v>
      </x:c>
      <x:c r="Q2335" s="48" t="n">
        <x:v>1</x:v>
      </x:c>
      <x:c r="R2335" s="48" t="n">
        <x:v>1</x:v>
      </x:c>
      <x:c r="S2335" s="29" t="n">
        <x:v>1</x:v>
      </x:c>
    </x:row>
    <x:row r="2336" ht="21.600000381469727" hidden="0" customHeight="1">
      <x:c r="A2336" s="27" t="n">
        <x:v>778</x:v>
      </x:c>
      <x:c r="B2336" s="27" t="str">
        <x:v>A1</x:v>
      </x:c>
      <x:c r="C2336" s="47" t="n">
        <x:v>1.223791266093601</x:v>
      </x:c>
      <x:c r="D2336" s="47" t="n">
        <x:v>0.9073517441167319</x:v>
      </x:c>
      <x:c r="E2336" s="47" t="n">
        <x:v>0.6011764360562595</x:v>
      </x:c>
      <x:c r="F2336" s="47" t="n">
        <x:v>-0.17818674289899333</x:v>
      </x:c>
      <x:c r="G2336" s="47" t="n">
        <x:v>-0.18679906502024757</x:v>
      </x:c>
      <x:c r="H2336" s="47" t="n">
        <x:v>0.9123651958995522</x:v>
      </x:c>
      <x:c r="I2336" s="47" t="n">
        <x:v>0.7212629693893384</x:v>
      </x:c>
      <x:c r="J2336" s="47" t="n">
        <x:v>0.9040821489681228</x:v>
      </x:c>
      <x:c r="K2336" s="47" t="n">
        <x:v>0.8148801800434624</x:v>
      </x:c>
      <x:c r="L2336" s="47" t="n">
        <x:v>0.6807776523051283</x:v>
      </x:c>
      <x:c r="M2336" s="47" t="n">
        <x:v>0.004822992856551863</x:v>
      </x:c>
      <x:c r="N2336" s="47" t="n">
        <x:v>0.8701825674242699</x:v>
      </x:c>
      <x:c r="O2336" s="47" t="n">
        <x:v>0.840106717847282</x:v>
      </x:c>
      <x:c r="P2336" s="47" t="n">
        <x:v>0.4413323670157486</x:v>
      </x:c>
      <x:c r="Q2336" s="47" t="n">
        <x:v>1</x:v>
      </x:c>
      <x:c r="R2336" s="47" t="n">
        <x:v>0.8025568928246488</x:v>
      </x:c>
      <x:c r="S2336" s="27" t="n">
        <x:v>0</x:v>
      </x:c>
    </x:row>
    <x:row r="2337" ht="21.600000381469727" hidden="0" customHeight="1">
      <x:c r="A2337" s="29" t="n">
        <x:v>778</x:v>
      </x:c>
      <x:c r="B2337" s="29" t="str">
        <x:v>A2</x:v>
      </x:c>
      <x:c r="C2337" s="48" t="n">
        <x:v>1.223791266093601</x:v>
      </x:c>
      <x:c r="D2337" s="48" t="n">
        <x:v>0.9073517441167319</x:v>
      </x:c>
      <x:c r="E2337" s="48" t="n">
        <x:v>0.6011764360562595</x:v>
      </x:c>
      <x:c r="F2337" s="48" t="n">
        <x:v>-0.17818674289899333</x:v>
      </x:c>
      <x:c r="G2337" s="48" t="n">
        <x:v>-0.18679906502024757</x:v>
      </x:c>
      <x:c r="H2337" s="48" t="n">
        <x:v>0.9123651958995522</x:v>
      </x:c>
      <x:c r="I2337" s="48" t="n">
        <x:v>0.7212629693893384</x:v>
      </x:c>
      <x:c r="J2337" s="48" t="n">
        <x:v>0.9040821489681228</x:v>
      </x:c>
      <x:c r="K2337" s="48" t="n">
        <x:v>0.8148801800434624</x:v>
      </x:c>
      <x:c r="L2337" s="48" t="n">
        <x:v>0.6807776523051283</x:v>
      </x:c>
      <x:c r="M2337" s="48" t="n">
        <x:v>0.004822992856551863</x:v>
      </x:c>
      <x:c r="N2337" s="48" t="n">
        <x:v>0.8701825674242699</x:v>
      </x:c>
      <x:c r="O2337" s="48" t="n">
        <x:v>0.9231222670555992</x:v>
      </x:c>
      <x:c r="P2337" s="48" t="n">
        <x:v>0.5017675866182167</x:v>
      </x:c>
      <x:c r="Q2337" s="48" t="n">
        <x:v>1</x:v>
      </x:c>
      <x:c r="R2337" s="48" t="n">
        <x:v>0.905068066270342</x:v>
      </x:c>
      <x:c r="S2337" s="29" t="n">
        <x:v>0</x:v>
      </x:c>
    </x:row>
    <x:row r="2338" ht="21.600000381469727" hidden="0" customHeight="1">
      <x:c r="A2338" s="27" t="n">
        <x:v>778</x:v>
      </x:c>
      <x:c r="B2338" s="27" t="str">
        <x:v>A3</x:v>
      </x:c>
      <x:c r="C2338" s="47" t="n">
        <x:v>1.223791266093601</x:v>
      </x:c>
      <x:c r="D2338" s="47" t="n">
        <x:v>0.9073517441167319</x:v>
      </x:c>
      <x:c r="E2338" s="47" t="n">
        <x:v>0.6011764360562595</x:v>
      </x:c>
      <x:c r="F2338" s="47" t="n">
        <x:v>-0.17818674289899333</x:v>
      </x:c>
      <x:c r="G2338" s="47" t="n">
        <x:v>-0.18679906502024757</x:v>
      </x:c>
      <x:c r="H2338" s="47" t="n">
        <x:v>0.9123651958995522</x:v>
      </x:c>
      <x:c r="I2338" s="47" t="n">
        <x:v>0.7212629693893384</x:v>
      </x:c>
      <x:c r="J2338" s="47" t="n">
        <x:v>0.9040821489681228</x:v>
      </x:c>
      <x:c r="K2338" s="47" t="n">
        <x:v>0.8148801800434624</x:v>
      </x:c>
      <x:c r="L2338" s="47" t="n">
        <x:v>0.6807776523051283</x:v>
      </x:c>
      <x:c r="M2338" s="47" t="n">
        <x:v>0.004822992856551863</x:v>
      </x:c>
      <x:c r="N2338" s="47" t="n">
        <x:v>0.8701825674242699</x:v>
      </x:c>
      <x:c r="O2338" s="47" t="n">
        <x:v>1</x:v>
      </x:c>
      <x:c r="P2338" s="47" t="n">
        <x:v>1</x:v>
      </x:c>
      <x:c r="Q2338" s="47" t="n">
        <x:v>1</x:v>
      </x:c>
      <x:c r="R2338" s="47" t="n">
        <x:v>1</x:v>
      </x:c>
      <x:c r="S2338" s="27" t="n">
        <x:v>1</x:v>
      </x:c>
    </x:row>
    <x:row r="2339" ht="21.600000381469727" hidden="0" customHeight="1">
      <x:c r="A2339" s="29" t="n">
        <x:v>779</x:v>
      </x:c>
      <x:c r="B2339" s="29" t="str">
        <x:v>A1</x:v>
      </x:c>
      <x:c r="C2339" s="48" t="n">
        <x:v>0.9075547537525632</x:v>
      </x:c>
      <x:c r="D2339" s="48" t="n">
        <x:v>0.9556195527936078</x:v>
      </x:c>
      <x:c r="E2339" s="48" t="n">
        <x:v>0.4858565379840004</x:v>
      </x:c>
      <x:c r="F2339" s="48" t="n">
        <x:v>0.0016733261441244929</x:v>
      </x:c>
      <x:c r="G2339" s="48" t="n">
        <x:v>-0.12915239197178804</x:v>
      </x:c>
      <x:c r="H2339" s="48" t="n">
        <x:v>0.8586293250793813</x:v>
      </x:c>
      <x:c r="I2339" s="48" t="n">
        <x:v>0.9394632576074702</x:v>
      </x:c>
      <x:c r="J2339" s="48" t="n">
        <x:v>0.4688111415016865</x:v>
      </x:c>
      <x:c r="K2339" s="48" t="n">
        <x:v>0.9302308809916235</x:v>
      </x:c>
      <x:c r="L2339" s="48" t="n">
        <x:v>0.7944566870395238</x:v>
      </x:c>
      <x:c r="M2339" s="48" t="n">
        <x:v>0.12792848637680404</x:v>
      </x:c>
      <x:c r="N2339" s="48" t="n">
        <x:v>0.74326780373865</x:v>
      </x:c>
      <x:c r="O2339" s="48" t="n">
        <x:v>0.9143310003640416</x:v>
      </x:c>
      <x:c r="P2339" s="48" t="n">
        <x:v>0.6892450456738344</x:v>
      </x:c>
      <x:c r="Q2339" s="48" t="n">
        <x:v>1</x:v>
      </x:c>
      <x:c r="R2339" s="48" t="n">
        <x:v>0.8942122317523511</x:v>
      </x:c>
      <x:c r="S2339" s="29" t="n">
        <x:v>0</x:v>
      </x:c>
    </x:row>
    <x:row r="2340" ht="21.600000381469727" hidden="0" customHeight="1">
      <x:c r="A2340" s="27" t="n">
        <x:v>779</x:v>
      </x:c>
      <x:c r="B2340" s="27" t="str">
        <x:v>A2</x:v>
      </x:c>
      <x:c r="C2340" s="47" t="n">
        <x:v>0.9075547537525632</x:v>
      </x:c>
      <x:c r="D2340" s="47" t="n">
        <x:v>0.9556195527936078</x:v>
      </x:c>
      <x:c r="E2340" s="47" t="n">
        <x:v>0.4858565379840004</x:v>
      </x:c>
      <x:c r="F2340" s="47" t="n">
        <x:v>0.0016733261441244929</x:v>
      </x:c>
      <x:c r="G2340" s="47" t="n">
        <x:v>-0.12915239197178804</x:v>
      </x:c>
      <x:c r="H2340" s="47" t="n">
        <x:v>0.8586293250793813</x:v>
      </x:c>
      <x:c r="I2340" s="47" t="n">
        <x:v>0.9394632576074702</x:v>
      </x:c>
      <x:c r="J2340" s="47" t="n">
        <x:v>0.4688111415016865</x:v>
      </x:c>
      <x:c r="K2340" s="47" t="n">
        <x:v>0.9302308809916235</x:v>
      </x:c>
      <x:c r="L2340" s="47" t="n">
        <x:v>0.7944566870395238</x:v>
      </x:c>
      <x:c r="M2340" s="47" t="n">
        <x:v>0.12792848637680404</x:v>
      </x:c>
      <x:c r="N2340" s="47" t="n">
        <x:v>0.74326780373865</x:v>
      </x:c>
      <x:c r="O2340" s="47" t="n">
        <x:v>0.9882504947859321</x:v>
      </x:c>
      <x:c r="P2340" s="47" t="n">
        <x:v>0.9276892141045016</x:v>
      </x:c>
      <x:c r="Q2340" s="47" t="n">
        <x:v>1</x:v>
      </x:c>
      <x:c r="R2340" s="47" t="n">
        <x:v>0.98549120522135</x:v>
      </x:c>
      <x:c r="S2340" s="27" t="n">
        <x:v>0</x:v>
      </x:c>
    </x:row>
    <x:row r="2341" ht="21.600000381469727" hidden="0" customHeight="1">
      <x:c r="A2341" s="29" t="n">
        <x:v>779</x:v>
      </x:c>
      <x:c r="B2341" s="29" t="str">
        <x:v>A3</x:v>
      </x:c>
      <x:c r="C2341" s="48" t="n">
        <x:v>0.9075547537525632</x:v>
      </x:c>
      <x:c r="D2341" s="48" t="n">
        <x:v>0.9556195527936078</x:v>
      </x:c>
      <x:c r="E2341" s="48" t="n">
        <x:v>0.4858565379840004</x:v>
      </x:c>
      <x:c r="F2341" s="48" t="n">
        <x:v>0.0016733261441244929</x:v>
      </x:c>
      <x:c r="G2341" s="48" t="n">
        <x:v>-0.12915239197178804</x:v>
      </x:c>
      <x:c r="H2341" s="48" t="n">
        <x:v>0.8586293250793813</x:v>
      </x:c>
      <x:c r="I2341" s="48" t="n">
        <x:v>0.9394632576074702</x:v>
      </x:c>
      <x:c r="J2341" s="48" t="n">
        <x:v>0.4688111415016865</x:v>
      </x:c>
      <x:c r="K2341" s="48" t="n">
        <x:v>0.9302308809916235</x:v>
      </x:c>
      <x:c r="L2341" s="48" t="n">
        <x:v>0.7944566870395238</x:v>
      </x:c>
      <x:c r="M2341" s="48" t="n">
        <x:v>0.12792848637680404</x:v>
      </x:c>
      <x:c r="N2341" s="48" t="n">
        <x:v>0.74326780373865</x:v>
      </x:c>
      <x:c r="O2341" s="48" t="n">
        <x:v>1</x:v>
      </x:c>
      <x:c r="P2341" s="48" t="n">
        <x:v>1</x:v>
      </x:c>
      <x:c r="Q2341" s="48" t="n">
        <x:v>1</x:v>
      </x:c>
      <x:c r="R2341" s="48" t="n">
        <x:v>1</x:v>
      </x:c>
      <x:c r="S2341" s="29" t="n">
        <x:v>1</x:v>
      </x:c>
    </x:row>
    <x:row r="2342" ht="21.600000381469727" hidden="0" customHeight="1">
      <x:c r="A2342" s="27" t="n">
        <x:v>780</x:v>
      </x:c>
      <x:c r="B2342" s="27" t="str">
        <x:v>A1</x:v>
      </x:c>
      <x:c r="C2342" s="47" t="n">
        <x:v>1.0871297788209948</x:v>
      </x:c>
      <x:c r="D2342" s="47" t="n">
        <x:v>0.7217272102730771</x:v>
      </x:c>
      <x:c r="E2342" s="47" t="n">
        <x:v>0.5152619454206953</x:v>
      </x:c>
      <x:c r="F2342" s="47" t="n">
        <x:v>-0.11189812875772148</x:v>
      </x:c>
      <x:c r="G2342" s="47" t="n">
        <x:v>-0.08385537890038158</x:v>
      </x:c>
      <x:c r="H2342" s="47" t="n">
        <x:v>0.758791843585014</x:v>
      </x:c>
      <x:c r="I2342" s="47" t="n">
        <x:v>0.8238906203388539</x:v>
      </x:c>
      <x:c r="J2342" s="47" t="n">
        <x:v>0.5783168308787645</x:v>
      </x:c>
      <x:c r="K2342" s="47" t="n">
        <x:v>0.6260523960846118</x:v>
      </x:c>
      <x:c r="L2342" s="47" t="n">
        <x:v>0.9140484086771656</x:v>
      </x:c>
      <x:c r="M2342" s="47" t="n">
        <x:v>0.08214185520126502</x:v>
      </x:c>
      <x:c r="N2342" s="47" t="n">
        <x:v>0.7811924866063082</x:v>
      </x:c>
      <x:c r="O2342" s="47" t="n">
        <x:v>0.7714941739100618</x:v>
      </x:c>
      <x:c r="P2342" s="47" t="n">
        <x:v>0.5263268017749324</x:v>
      </x:c>
      <x:c r="Q2342" s="47" t="n">
        <x:v>1</x:v>
      </x:c>
      <x:c r="R2342" s="47" t="n">
        <x:v>0.717831170244066</x:v>
      </x:c>
      <x:c r="S2342" s="27" t="n">
        <x:v>0</x:v>
      </x:c>
    </x:row>
    <x:row r="2343" ht="21.600000381469727" hidden="0" customHeight="1">
      <x:c r="A2343" s="29" t="n">
        <x:v>780</x:v>
      </x:c>
      <x:c r="B2343" s="29" t="str">
        <x:v>A2</x:v>
      </x:c>
      <x:c r="C2343" s="48" t="n">
        <x:v>1.0871297788209948</x:v>
      </x:c>
      <x:c r="D2343" s="48" t="n">
        <x:v>0.7217272102730771</x:v>
      </x:c>
      <x:c r="E2343" s="48" t="n">
        <x:v>0.5152619454206953</x:v>
      </x:c>
      <x:c r="F2343" s="48" t="n">
        <x:v>-0.11189812875772148</x:v>
      </x:c>
      <x:c r="G2343" s="48" t="n">
        <x:v>-0.08385537890038158</x:v>
      </x:c>
      <x:c r="H2343" s="48" t="n">
        <x:v>0.758791843585014</x:v>
      </x:c>
      <x:c r="I2343" s="48" t="n">
        <x:v>0.8238906203388539</x:v>
      </x:c>
      <x:c r="J2343" s="48" t="n">
        <x:v>0.5783168308787645</x:v>
      </x:c>
      <x:c r="K2343" s="48" t="n">
        <x:v>0.6260523960846118</x:v>
      </x:c>
      <x:c r="L2343" s="48" t="n">
        <x:v>0.9140484086771656</x:v>
      </x:c>
      <x:c r="M2343" s="48" t="n">
        <x:v>0.08214185520126502</x:v>
      </x:c>
      <x:c r="N2343" s="48" t="n">
        <x:v>0.7811924866063082</x:v>
      </x:c>
      <x:c r="O2343" s="48" t="n">
        <x:v>0.844909734377062</x:v>
      </x:c>
      <x:c r="P2343" s="48" t="n">
        <x:v>0.5562659819773268</x:v>
      </x:c>
      <x:c r="Q2343" s="48" t="n">
        <x:v>1</x:v>
      </x:c>
      <x:c r="R2343" s="48" t="n">
        <x:v>0.8084878643744641</x:v>
      </x:c>
      <x:c r="S2343" s="29" t="n">
        <x:v>0</x:v>
      </x:c>
    </x:row>
    <x:row r="2344" ht="21.600000381469727" hidden="0" customHeight="1">
      <x:c r="A2344" s="27" t="n">
        <x:v>780</x:v>
      </x:c>
      <x:c r="B2344" s="27" t="str">
        <x:v>A3</x:v>
      </x:c>
      <x:c r="C2344" s="47" t="n">
        <x:v>1.0871297788209948</x:v>
      </x:c>
      <x:c r="D2344" s="47" t="n">
        <x:v>0.7217272102730771</x:v>
      </x:c>
      <x:c r="E2344" s="47" t="n">
        <x:v>0.5152619454206953</x:v>
      </x:c>
      <x:c r="F2344" s="47" t="n">
        <x:v>-0.11189812875772148</x:v>
      </x:c>
      <x:c r="G2344" s="47" t="n">
        <x:v>-0.08385537890038158</x:v>
      </x:c>
      <x:c r="H2344" s="47" t="n">
        <x:v>0.758791843585014</x:v>
      </x:c>
      <x:c r="I2344" s="47" t="n">
        <x:v>0.8238906203388539</x:v>
      </x:c>
      <x:c r="J2344" s="47" t="n">
        <x:v>0.5783168308787645</x:v>
      </x:c>
      <x:c r="K2344" s="47" t="n">
        <x:v>0.6260523960846118</x:v>
      </x:c>
      <x:c r="L2344" s="47" t="n">
        <x:v>0.9140484086771656</x:v>
      </x:c>
      <x:c r="M2344" s="47" t="n">
        <x:v>0.08214185520126502</x:v>
      </x:c>
      <x:c r="N2344" s="47" t="n">
        <x:v>0.7811924866063082</x:v>
      </x:c>
      <x:c r="O2344" s="47" t="n">
        <x:v>1</x:v>
      </x:c>
      <x:c r="P2344" s="47" t="n">
        <x:v>1</x:v>
      </x:c>
      <x:c r="Q2344" s="47" t="n">
        <x:v>1</x:v>
      </x:c>
      <x:c r="R2344" s="47" t="n">
        <x:v>1</x:v>
      </x:c>
      <x:c r="S2344" s="27" t="n">
        <x:v>1</x:v>
      </x:c>
    </x:row>
    <x:row r="2345" ht="21.600000381469727" hidden="0" customHeight="1">
      <x:c r="A2345" s="29" t="n">
        <x:v>781</x:v>
      </x:c>
      <x:c r="B2345" s="29" t="str">
        <x:v>A1</x:v>
      </x:c>
      <x:c r="C2345" s="48" t="n">
        <x:v>0.9156002233315111</x:v>
      </x:c>
      <x:c r="D2345" s="48" t="n">
        <x:v>0.9785108956943416</x:v>
      </x:c>
      <x:c r="E2345" s="48" t="n">
        <x:v>0.6338094242672484</x:v>
      </x:c>
      <x:c r="F2345" s="48" t="n">
        <x:v>-0.09348374519232963</x:v>
      </x:c>
      <x:c r="G2345" s="48" t="n">
        <x:v>-0.19992256288569327</x:v>
      </x:c>
      <x:c r="H2345" s="48" t="n">
        <x:v>0.9411181997444784</x:v>
      </x:c>
      <x:c r="I2345" s="48" t="n">
        <x:v>0.811720731363869</x:v>
      </x:c>
      <x:c r="J2345" s="48" t="n">
        <x:v>0.8839355774107025</x:v>
      </x:c>
      <x:c r="K2345" s="48" t="n">
        <x:v>0.5616567021315297</x:v>
      </x:c>
      <x:c r="L2345" s="48" t="n">
        <x:v>0.581219331821091</x:v>
      </x:c>
      <x:c r="M2345" s="48" t="n">
        <x:v>0.01412946586594558</x:v>
      </x:c>
      <x:c r="N2345" s="48" t="n">
        <x:v>0.8955433346937806</x:v>
      </x:c>
      <x:c r="O2345" s="48" t="n">
        <x:v>0.9551315211595128</x:v>
      </x:c>
      <x:c r="P2345" s="48" t="n">
        <x:v>0.6901112010520145</x:v>
      </x:c>
      <x:c r="Q2345" s="48" t="n">
        <x:v>1</x:v>
      </x:c>
      <x:c r="R2345" s="48" t="n">
        <x:v>0.9445944710295217</x:v>
      </x:c>
      <x:c r="S2345" s="29" t="n">
        <x:v>0</x:v>
      </x:c>
    </x:row>
    <x:row r="2346" ht="21.600000381469727" hidden="0" customHeight="1">
      <x:c r="A2346" s="27" t="n">
        <x:v>781</x:v>
      </x:c>
      <x:c r="B2346" s="27" t="str">
        <x:v>A2</x:v>
      </x:c>
      <x:c r="C2346" s="47" t="n">
        <x:v>0.9156002233315111</x:v>
      </x:c>
      <x:c r="D2346" s="47" t="n">
        <x:v>0.9785108956943416</x:v>
      </x:c>
      <x:c r="E2346" s="47" t="n">
        <x:v>0.6338094242672484</x:v>
      </x:c>
      <x:c r="F2346" s="47" t="n">
        <x:v>-0.09348374519232963</x:v>
      </x:c>
      <x:c r="G2346" s="47" t="n">
        <x:v>-0.19992256288569327</x:v>
      </x:c>
      <x:c r="H2346" s="47" t="n">
        <x:v>0.9411181997444784</x:v>
      </x:c>
      <x:c r="I2346" s="47" t="n">
        <x:v>0.811720731363869</x:v>
      </x:c>
      <x:c r="J2346" s="47" t="n">
        <x:v>0.8839355774107025</x:v>
      </x:c>
      <x:c r="K2346" s="47" t="n">
        <x:v>0.5616567021315297</x:v>
      </x:c>
      <x:c r="L2346" s="47" t="n">
        <x:v>0.581219331821091</x:v>
      </x:c>
      <x:c r="M2346" s="47" t="n">
        <x:v>0.01412946586594558</x:v>
      </x:c>
      <x:c r="N2346" s="47" t="n">
        <x:v>0.8955433346937806</x:v>
      </x:c>
      <x:c r="O2346" s="47" t="n">
        <x:v>1</x:v>
      </x:c>
      <x:c r="P2346" s="47" t="n">
        <x:v>1</x:v>
      </x:c>
      <x:c r="Q2346" s="47" t="n">
        <x:v>1</x:v>
      </x:c>
      <x:c r="R2346" s="47" t="n">
        <x:v>1</x:v>
      </x:c>
      <x:c r="S2346" s="27" t="n">
        <x:v>1</x:v>
      </x:c>
    </x:row>
    <x:row r="2347" ht="21.600000381469727" hidden="0" customHeight="1">
      <x:c r="A2347" s="29" t="n">
        <x:v>781</x:v>
      </x:c>
      <x:c r="B2347" s="29" t="str">
        <x:v>A3</x:v>
      </x:c>
      <x:c r="C2347" s="48" t="n">
        <x:v>0.9156002233315111</x:v>
      </x:c>
      <x:c r="D2347" s="48" t="n">
        <x:v>0.9785108956943416</x:v>
      </x:c>
      <x:c r="E2347" s="48" t="n">
        <x:v>0.6338094242672484</x:v>
      </x:c>
      <x:c r="F2347" s="48" t="n">
        <x:v>-0.09348374519232963</x:v>
      </x:c>
      <x:c r="G2347" s="48" t="n">
        <x:v>-0.19992256288569327</x:v>
      </x:c>
      <x:c r="H2347" s="48" t="n">
        <x:v>0.9411181997444784</x:v>
      </x:c>
      <x:c r="I2347" s="48" t="n">
        <x:v>0.811720731363869</x:v>
      </x:c>
      <x:c r="J2347" s="48" t="n">
        <x:v>0.8839355774107025</x:v>
      </x:c>
      <x:c r="K2347" s="48" t="n">
        <x:v>0.5616567021315297</x:v>
      </x:c>
      <x:c r="L2347" s="48" t="n">
        <x:v>0.581219331821091</x:v>
      </x:c>
      <x:c r="M2347" s="48" t="n">
        <x:v>0.01412946586594558</x:v>
      </x:c>
      <x:c r="N2347" s="48" t="n">
        <x:v>0.8955433346937806</x:v>
      </x:c>
      <x:c r="O2347" s="48" t="n">
        <x:v>1</x:v>
      </x:c>
      <x:c r="P2347" s="48" t="n">
        <x:v>1</x:v>
      </x:c>
      <x:c r="Q2347" s="48" t="n">
        <x:v>1</x:v>
      </x:c>
      <x:c r="R2347" s="48" t="n">
        <x:v>1</x:v>
      </x:c>
      <x:c r="S2347" s="29" t="n">
        <x:v>1</x:v>
      </x:c>
    </x:row>
    <x:row r="2348" ht="21.600000381469727" hidden="0" customHeight="1">
      <x:c r="A2348" s="27" t="n">
        <x:v>782</x:v>
      </x:c>
      <x:c r="B2348" s="27" t="str">
        <x:v>A1</x:v>
      </x:c>
      <x:c r="C2348" s="47" t="n">
        <x:v>1.3058260074316046</x:v>
      </x:c>
      <x:c r="D2348" s="47" t="n">
        <x:v>0.9132446202256925</x:v>
      </x:c>
      <x:c r="E2348" s="47" t="n">
        <x:v>0.888765218134617</x:v>
      </x:c>
      <x:c r="F2348" s="47" t="n">
        <x:v>-0.04881599808316228</x:v>
      </x:c>
      <x:c r="G2348" s="47" t="n">
        <x:v>-0.135229607763809</x:v>
      </x:c>
      <x:c r="H2348" s="47" t="n">
        <x:v>0.6959380179672121</x:v>
      </x:c>
      <x:c r="I2348" s="47" t="n">
        <x:v>0.6778751273620489</x:v>
      </x:c>
      <x:c r="J2348" s="47" t="n">
        <x:v>0.9419825616857075</x:v>
      </x:c>
      <x:c r="K2348" s="47" t="n">
        <x:v>0.7020124583520159</x:v>
      </x:c>
      <x:c r="L2348" s="47" t="n">
        <x:v>0.7056076959539185</x:v>
      </x:c>
      <x:c r="M2348" s="47" t="n">
        <x:v>0.10021143844576712</x:v>
      </x:c>
      <x:c r="N2348" s="47" t="n">
        <x:v>0.9077145747287853</x:v>
      </x:c>
      <x:c r="O2348" s="47" t="n">
        <x:v>0.8186710522809956</x:v>
      </x:c>
      <x:c r="P2348" s="47" t="n">
        <x:v>0.4608333380522082</x:v>
      </x:c>
      <x:c r="Q2348" s="47" t="n">
        <x:v>1</x:v>
      </x:c>
      <x:c r="R2348" s="47" t="n">
        <x:v>0.7760872103164316</x:v>
      </x:c>
      <x:c r="S2348" s="27" t="n">
        <x:v>0</x:v>
      </x:c>
    </x:row>
    <x:row r="2349" ht="21.600000381469727" hidden="0" customHeight="1">
      <x:c r="A2349" s="29" t="n">
        <x:v>782</x:v>
      </x:c>
      <x:c r="B2349" s="29" t="str">
        <x:v>A2</x:v>
      </x:c>
      <x:c r="C2349" s="48" t="n">
        <x:v>1.3058260074316046</x:v>
      </x:c>
      <x:c r="D2349" s="48" t="n">
        <x:v>0.9132446202256925</x:v>
      </x:c>
      <x:c r="E2349" s="48" t="n">
        <x:v>0.888765218134617</x:v>
      </x:c>
      <x:c r="F2349" s="48" t="n">
        <x:v>-0.04881599808316228</x:v>
      </x:c>
      <x:c r="G2349" s="48" t="n">
        <x:v>-0.135229607763809</x:v>
      </x:c>
      <x:c r="H2349" s="48" t="n">
        <x:v>0.6959380179672121</x:v>
      </x:c>
      <x:c r="I2349" s="48" t="n">
        <x:v>0.6778751273620489</x:v>
      </x:c>
      <x:c r="J2349" s="48" t="n">
        <x:v>0.9419825616857075</x:v>
      </x:c>
      <x:c r="K2349" s="48" t="n">
        <x:v>0.7020124583520159</x:v>
      </x:c>
      <x:c r="L2349" s="48" t="n">
        <x:v>0.7056076959539185</x:v>
      </x:c>
      <x:c r="M2349" s="48" t="n">
        <x:v>0.10021143844576712</x:v>
      </x:c>
      <x:c r="N2349" s="48" t="n">
        <x:v>0.9077145747287853</x:v>
      </x:c>
      <x:c r="O2349" s="48" t="n">
        <x:v>0.8940089240697522</x:v>
      </x:c>
      <x:c r="P2349" s="48" t="n">
        <x:v>0.5955106327687921</x:v>
      </x:c>
      <x:c r="Q2349" s="48" t="n">
        <x:v>1</x:v>
      </x:c>
      <x:c r="R2349" s="48" t="n">
        <x:v>0.8691176572100222</x:v>
      </x:c>
      <x:c r="S2349" s="29" t="n">
        <x:v>0</x:v>
      </x:c>
    </x:row>
    <x:row r="2350" ht="21.600000381469727" hidden="0" customHeight="1">
      <x:c r="A2350" s="27" t="n">
        <x:v>782</x:v>
      </x:c>
      <x:c r="B2350" s="27" t="str">
        <x:v>A3</x:v>
      </x:c>
      <x:c r="C2350" s="47" t="n">
        <x:v>1.3058260074316046</x:v>
      </x:c>
      <x:c r="D2350" s="47" t="n">
        <x:v>0.9132446202256925</x:v>
      </x:c>
      <x:c r="E2350" s="47" t="n">
        <x:v>0.888765218134617</x:v>
      </x:c>
      <x:c r="F2350" s="47" t="n">
        <x:v>-0.04881599808316228</x:v>
      </x:c>
      <x:c r="G2350" s="47" t="n">
        <x:v>-0.135229607763809</x:v>
      </x:c>
      <x:c r="H2350" s="47" t="n">
        <x:v>0.6959380179672121</x:v>
      </x:c>
      <x:c r="I2350" s="47" t="n">
        <x:v>0.6778751273620489</x:v>
      </x:c>
      <x:c r="J2350" s="47" t="n">
        <x:v>0.9419825616857075</x:v>
      </x:c>
      <x:c r="K2350" s="47" t="n">
        <x:v>0.7020124583520159</x:v>
      </x:c>
      <x:c r="L2350" s="47" t="n">
        <x:v>0.7056076959539185</x:v>
      </x:c>
      <x:c r="M2350" s="47" t="n">
        <x:v>0.10021143844576712</x:v>
      </x:c>
      <x:c r="N2350" s="47" t="n">
        <x:v>0.9077145747287853</x:v>
      </x:c>
      <x:c r="O2350" s="47" t="n">
        <x:v>1</x:v>
      </x:c>
      <x:c r="P2350" s="47" t="n">
        <x:v>1</x:v>
      </x:c>
      <x:c r="Q2350" s="47" t="n">
        <x:v>1</x:v>
      </x:c>
      <x:c r="R2350" s="47" t="n">
        <x:v>1</x:v>
      </x:c>
      <x:c r="S2350" s="27" t="n">
        <x:v>1</x:v>
      </x:c>
    </x:row>
    <x:row r="2351" ht="21.600000381469727" hidden="0" customHeight="1">
      <x:c r="A2351" s="29" t="n">
        <x:v>783</x:v>
      </x:c>
      <x:c r="B2351" s="29" t="str">
        <x:v>A1</x:v>
      </x:c>
      <x:c r="C2351" s="48" t="n">
        <x:v>1.2009511447585028</x:v>
      </x:c>
      <x:c r="D2351" s="48" t="n">
        <x:v>0.8360812689557803</x:v>
      </x:c>
      <x:c r="E2351" s="48" t="n">
        <x:v>0.7790768097532794</x:v>
      </x:c>
      <x:c r="F2351" s="48" t="n">
        <x:v>-0.11651265883242529</x:v>
      </x:c>
      <x:c r="G2351" s="48" t="n">
        <x:v>-0.14758514100607256</x:v>
      </x:c>
      <x:c r="H2351" s="48" t="n">
        <x:v>0.8441795126779601</x:v>
      </x:c>
      <x:c r="I2351" s="48" t="n">
        <x:v>0.6587627602828481</x:v>
      </x:c>
      <x:c r="J2351" s="48" t="n">
        <x:v>0.8070508956247465</x:v>
      </x:c>
      <x:c r="K2351" s="48" t="n">
        <x:v>0.7925236603635407</x:v>
      </x:c>
      <x:c r="L2351" s="48" t="n">
        <x:v>0.6883814860826467</x:v>
      </x:c>
      <x:c r="M2351" s="48" t="n">
        <x:v>0.06921217961492641</x:v>
      </x:c>
      <x:c r="N2351" s="48" t="n">
        <x:v>0.805729917216498</x:v>
      </x:c>
      <x:c r="O2351" s="48" t="n">
        <x:v>0.8073287107490602</x:v>
      </x:c>
      <x:c r="P2351" s="48" t="n">
        <x:v>0.43764953688908603</x:v>
      </x:c>
      <x:c r="Q2351" s="48" t="n">
        <x:v>0.9488307207278376</x:v>
      </x:c>
      <x:c r="R2351" s="48" t="n">
        <x:v>0.7624612255201768</x:v>
      </x:c>
      <x:c r="S2351" s="29" t="n">
        <x:v>0</x:v>
      </x:c>
    </x:row>
    <x:row r="2352" ht="21.600000381469727" hidden="0" customHeight="1">
      <x:c r="A2352" s="27" t="n">
        <x:v>783</x:v>
      </x:c>
      <x:c r="B2352" s="27" t="str">
        <x:v>A2</x:v>
      </x:c>
      <x:c r="C2352" s="47" t="n">
        <x:v>1.2009511447585028</x:v>
      </x:c>
      <x:c r="D2352" s="47" t="n">
        <x:v>0.8360812689557803</x:v>
      </x:c>
      <x:c r="E2352" s="47" t="n">
        <x:v>0.7790768097532794</x:v>
      </x:c>
      <x:c r="F2352" s="47" t="n">
        <x:v>-0.11651265883242529</x:v>
      </x:c>
      <x:c r="G2352" s="47" t="n">
        <x:v>-0.14758514100607256</x:v>
      </x:c>
      <x:c r="H2352" s="47" t="n">
        <x:v>0.8441795126779601</x:v>
      </x:c>
      <x:c r="I2352" s="47" t="n">
        <x:v>0.6587627602828481</x:v>
      </x:c>
      <x:c r="J2352" s="47" t="n">
        <x:v>0.8070508956247465</x:v>
      </x:c>
      <x:c r="K2352" s="47" t="n">
        <x:v>0.7925236603635407</x:v>
      </x:c>
      <x:c r="L2352" s="47" t="n">
        <x:v>0.6883814860826467</x:v>
      </x:c>
      <x:c r="M2352" s="47" t="n">
        <x:v>0.06921217961492641</x:v>
      </x:c>
      <x:c r="N2352" s="47" t="n">
        <x:v>0.805729917216498</x:v>
      </x:c>
      <x:c r="O2352" s="47" t="n">
        <x:v>0.900938031364935</x:v>
      </x:c>
      <x:c r="P2352" s="47" t="n">
        <x:v>0.48553703058139863</x:v>
      </x:c>
      <x:c r="Q2352" s="47" t="n">
        <x:v>1</x:v>
      </x:c>
      <x:c r="R2352" s="47" t="n">
        <x:v>0.8776740171514334</x:v>
      </x:c>
      <x:c r="S2352" s="27" t="n">
        <x:v>0</x:v>
      </x:c>
    </x:row>
    <x:row r="2353" ht="21.600000381469727" hidden="0" customHeight="1">
      <x:c r="A2353" s="29" t="n">
        <x:v>783</x:v>
      </x:c>
      <x:c r="B2353" s="29" t="str">
        <x:v>A3</x:v>
      </x:c>
      <x:c r="C2353" s="48" t="n">
        <x:v>1.2009511447585028</x:v>
      </x:c>
      <x:c r="D2353" s="48" t="n">
        <x:v>0.8360812689557803</x:v>
      </x:c>
      <x:c r="E2353" s="48" t="n">
        <x:v>0.7790768097532794</x:v>
      </x:c>
      <x:c r="F2353" s="48" t="n">
        <x:v>-0.11651265883242529</x:v>
      </x:c>
      <x:c r="G2353" s="48" t="n">
        <x:v>-0.14758514100607256</x:v>
      </x:c>
      <x:c r="H2353" s="48" t="n">
        <x:v>0.8441795126779601</x:v>
      </x:c>
      <x:c r="I2353" s="48" t="n">
        <x:v>0.6587627602828481</x:v>
      </x:c>
      <x:c r="J2353" s="48" t="n">
        <x:v>0.8070508956247465</x:v>
      </x:c>
      <x:c r="K2353" s="48" t="n">
        <x:v>0.7925236603635407</x:v>
      </x:c>
      <x:c r="L2353" s="48" t="n">
        <x:v>0.6883814860826467</x:v>
      </x:c>
      <x:c r="M2353" s="48" t="n">
        <x:v>0.06921217961492641</x:v>
      </x:c>
      <x:c r="N2353" s="48" t="n">
        <x:v>0.805729917216498</x:v>
      </x:c>
      <x:c r="O2353" s="48" t="n">
        <x:v>1</x:v>
      </x:c>
      <x:c r="P2353" s="48" t="n">
        <x:v>1</x:v>
      </x:c>
      <x:c r="Q2353" s="48" t="n">
        <x:v>1</x:v>
      </x:c>
      <x:c r="R2353" s="48" t="n">
        <x:v>1</x:v>
      </x:c>
      <x:c r="S2353" s="29" t="n">
        <x:v>1</x:v>
      </x:c>
    </x:row>
    <x:row r="2354" ht="21.600000381469727" hidden="0" customHeight="1">
      <x:c r="A2354" s="27" t="n">
        <x:v>784</x:v>
      </x:c>
      <x:c r="B2354" s="27" t="str">
        <x:v>A1</x:v>
      </x:c>
      <x:c r="C2354" s="47" t="n">
        <x:v>1.0799212564300926</x:v>
      </x:c>
      <x:c r="D2354" s="47" t="n">
        <x:v>0.7654543294650108</x:v>
      </x:c>
      <x:c r="E2354" s="47" t="n">
        <x:v>0.7360834809493426</x:v>
      </x:c>
      <x:c r="F2354" s="47" t="n">
        <x:v>-0.09793938754359997</x:v>
      </x:c>
      <x:c r="G2354" s="47" t="n">
        <x:v>-0.058685998941655076</x:v>
      </x:c>
      <x:c r="H2354" s="47" t="n">
        <x:v>0.6673019298586167</x:v>
      </x:c>
      <x:c r="I2354" s="47" t="n">
        <x:v>0.8579168241328001</x:v>
      </x:c>
      <x:c r="J2354" s="47" t="n">
        <x:v>0.9532256309492713</x:v>
      </x:c>
      <x:c r="K2354" s="47" t="n">
        <x:v>0.7089077642646164</x:v>
      </x:c>
      <x:c r="L2354" s="47" t="n">
        <x:v>0.8882262241402368</x:v>
      </x:c>
      <x:c r="M2354" s="47" t="n">
        <x:v>0.0030040065735803317</x:v>
      </x:c>
      <x:c r="N2354" s="47" t="n">
        <x:v>0.6587985535825155</x:v>
      </x:c>
      <x:c r="O2354" s="47" t="n">
        <x:v>0.8415895572236003</x:v>
      </x:c>
      <x:c r="P2354" s="47" t="n">
        <x:v>0.4210210711087245</x:v>
      </x:c>
      <x:c r="Q2354" s="47" t="n">
        <x:v>0.9791536632843603</x:v>
      </x:c>
      <x:c r="R2354" s="47" t="n">
        <x:v>0.807762306788281</x:v>
      </x:c>
      <x:c r="S2354" s="27" t="n">
        <x:v>0</x:v>
      </x:c>
    </x:row>
    <x:row r="2355" ht="21.600000381469727" hidden="0" customHeight="1">
      <x:c r="A2355" s="29" t="n">
        <x:v>784</x:v>
      </x:c>
      <x:c r="B2355" s="29" t="str">
        <x:v>A2</x:v>
      </x:c>
      <x:c r="C2355" s="48" t="n">
        <x:v>1.0799212564300926</x:v>
      </x:c>
      <x:c r="D2355" s="48" t="n">
        <x:v>0.7654543294650108</x:v>
      </x:c>
      <x:c r="E2355" s="48" t="n">
        <x:v>0.7360834809493426</x:v>
      </x:c>
      <x:c r="F2355" s="48" t="n">
        <x:v>-0.09793938754359997</x:v>
      </x:c>
      <x:c r="G2355" s="48" t="n">
        <x:v>-0.058685998941655076</x:v>
      </x:c>
      <x:c r="H2355" s="48" t="n">
        <x:v>0.6673019298586167</x:v>
      </x:c>
      <x:c r="I2355" s="48" t="n">
        <x:v>0.8579168241328001</x:v>
      </x:c>
      <x:c r="J2355" s="48" t="n">
        <x:v>0.9532256309492713</x:v>
      </x:c>
      <x:c r="K2355" s="48" t="n">
        <x:v>0.7089077642646164</x:v>
      </x:c>
      <x:c r="L2355" s="48" t="n">
        <x:v>0.8882262241402368</x:v>
      </x:c>
      <x:c r="M2355" s="48" t="n">
        <x:v>0.0030040065735803317</x:v>
      </x:c>
      <x:c r="N2355" s="48" t="n">
        <x:v>0.6587985535825155</x:v>
      </x:c>
      <x:c r="O2355" s="48" t="n">
        <x:v>0.9213685219659562</x:v>
      </x:c>
      <x:c r="P2355" s="48" t="n">
        <x:v>0.5901751445204609</x:v>
      </x:c>
      <x:c r="Q2355" s="48" t="n">
        <x:v>1</x:v>
      </x:c>
      <x:c r="R2355" s="48" t="n">
        <x:v>0.9029024663462507</x:v>
      </x:c>
      <x:c r="S2355" s="29" t="n">
        <x:v>0</x:v>
      </x:c>
    </x:row>
    <x:row r="2356" ht="21.600000381469727" hidden="0" customHeight="1">
      <x:c r="A2356" s="27" t="n">
        <x:v>784</x:v>
      </x:c>
      <x:c r="B2356" s="27" t="str">
        <x:v>A3</x:v>
      </x:c>
      <x:c r="C2356" s="47" t="n">
        <x:v>1.0799212564300926</x:v>
      </x:c>
      <x:c r="D2356" s="47" t="n">
        <x:v>0.7654543294650108</x:v>
      </x:c>
      <x:c r="E2356" s="47" t="n">
        <x:v>0.7360834809493426</x:v>
      </x:c>
      <x:c r="F2356" s="47" t="n">
        <x:v>-0.09793938754359997</x:v>
      </x:c>
      <x:c r="G2356" s="47" t="n">
        <x:v>-0.058685998941655076</x:v>
      </x:c>
      <x:c r="H2356" s="47" t="n">
        <x:v>0.6673019298586167</x:v>
      </x:c>
      <x:c r="I2356" s="47" t="n">
        <x:v>0.8579168241328001</x:v>
      </x:c>
      <x:c r="J2356" s="47" t="n">
        <x:v>0.9532256309492713</x:v>
      </x:c>
      <x:c r="K2356" s="47" t="n">
        <x:v>0.7089077642646164</x:v>
      </x:c>
      <x:c r="L2356" s="47" t="n">
        <x:v>0.8882262241402368</x:v>
      </x:c>
      <x:c r="M2356" s="47" t="n">
        <x:v>0.0030040065735803317</x:v>
      </x:c>
      <x:c r="N2356" s="47" t="n">
        <x:v>0.6587985535825155</x:v>
      </x:c>
      <x:c r="O2356" s="47" t="n">
        <x:v>1</x:v>
      </x:c>
      <x:c r="P2356" s="47" t="n">
        <x:v>1</x:v>
      </x:c>
      <x:c r="Q2356" s="47" t="n">
        <x:v>1</x:v>
      </x:c>
      <x:c r="R2356" s="47" t="n">
        <x:v>1</x:v>
      </x:c>
      <x:c r="S2356" s="27" t="n">
        <x:v>1</x:v>
      </x:c>
    </x:row>
    <x:row r="2357" ht="21.600000381469727" hidden="0" customHeight="1">
      <x:c r="A2357" s="29" t="n">
        <x:v>785</x:v>
      </x:c>
      <x:c r="B2357" s="29" t="str">
        <x:v>A1</x:v>
      </x:c>
      <x:c r="C2357" s="48" t="n">
        <x:v>1.174016779402697</x:v>
      </x:c>
      <x:c r="D2357" s="48" t="n">
        <x:v>0.8239296605993061</x:v>
      </x:c>
      <x:c r="E2357" s="48" t="n">
        <x:v>0.6782837915696365</x:v>
      </x:c>
      <x:c r="F2357" s="48" t="n">
        <x:v>-0.006392193275507718</x:v>
      </x:c>
      <x:c r="G2357" s="48" t="n">
        <x:v>-0.06182752896079474</x:v>
      </x:c>
      <x:c r="H2357" s="48" t="n">
        <x:v>0.9868031028411945</x:v>
      </x:c>
      <x:c r="I2357" s="48" t="n">
        <x:v>0.7302747599315629</x:v>
      </x:c>
      <x:c r="J2357" s="48" t="n">
        <x:v>0.5292176951233947</x:v>
      </x:c>
      <x:c r="K2357" s="48" t="n">
        <x:v>0.8178668361751127</x:v>
      </x:c>
      <x:c r="L2357" s="48" t="n">
        <x:v>0.8376459431440931</x:v>
      </x:c>
      <x:c r="M2357" s="48" t="n">
        <x:v>0.08027087953873671</x:v>
      </x:c>
      <x:c r="N2357" s="48" t="n">
        <x:v>0.6912158876319489</x:v>
      </x:c>
      <x:c r="O2357" s="48" t="n">
        <x:v>0.8260458426545836</x:v>
      </x:c>
      <x:c r="P2357" s="48" t="n">
        <x:v>0.5760052304536102</x:v>
      </x:c>
      <x:c r="Q2357" s="48" t="n">
        <x:v>0.9999999999999999</x:v>
      </x:c>
      <x:c r="R2357" s="48" t="n">
        <x:v>0.7851939189068358</x:v>
      </x:c>
      <x:c r="S2357" s="29" t="n">
        <x:v>0</x:v>
      </x:c>
    </x:row>
    <x:row r="2358" ht="21.600000381469727" hidden="0" customHeight="1">
      <x:c r="A2358" s="27" t="n">
        <x:v>785</x:v>
      </x:c>
      <x:c r="B2358" s="27" t="str">
        <x:v>A2</x:v>
      </x:c>
      <x:c r="C2358" s="47" t="n">
        <x:v>1.174016779402697</x:v>
      </x:c>
      <x:c r="D2358" s="47" t="n">
        <x:v>0.8239296605993061</x:v>
      </x:c>
      <x:c r="E2358" s="47" t="n">
        <x:v>0.6782837915696365</x:v>
      </x:c>
      <x:c r="F2358" s="47" t="n">
        <x:v>-0.006392193275507718</x:v>
      </x:c>
      <x:c r="G2358" s="47" t="n">
        <x:v>-0.06182752896079474</x:v>
      </x:c>
      <x:c r="H2358" s="47" t="n">
        <x:v>0.9868031028411945</x:v>
      </x:c>
      <x:c r="I2358" s="47" t="n">
        <x:v>0.7302747599315629</x:v>
      </x:c>
      <x:c r="J2358" s="47" t="n">
        <x:v>0.5292176951233947</x:v>
      </x:c>
      <x:c r="K2358" s="47" t="n">
        <x:v>0.8178668361751127</x:v>
      </x:c>
      <x:c r="L2358" s="47" t="n">
        <x:v>0.8376459431440931</x:v>
      </x:c>
      <x:c r="M2358" s="47" t="n">
        <x:v>0.08027087953873671</x:v>
      </x:c>
      <x:c r="N2358" s="47" t="n">
        <x:v>0.6912158876319489</x:v>
      </x:c>
      <x:c r="O2358" s="47" t="n">
        <x:v>0.8906196350954099</x:v>
      </x:c>
      <x:c r="P2358" s="47" t="n">
        <x:v>0.580020849500006</x:v>
      </x:c>
      <x:c r="Q2358" s="47" t="n">
        <x:v>1</x:v>
      </x:c>
      <x:c r="R2358" s="47" t="n">
        <x:v>0.8649324172975024</x:v>
      </x:c>
      <x:c r="S2358" s="27" t="n">
        <x:v>0</x:v>
      </x:c>
    </x:row>
    <x:row r="2359" ht="21.600000381469727" hidden="0" customHeight="1">
      <x:c r="A2359" s="29" t="n">
        <x:v>785</x:v>
      </x:c>
      <x:c r="B2359" s="29" t="str">
        <x:v>A3</x:v>
      </x:c>
      <x:c r="C2359" s="48" t="n">
        <x:v>1.174016779402697</x:v>
      </x:c>
      <x:c r="D2359" s="48" t="n">
        <x:v>0.8239296605993061</x:v>
      </x:c>
      <x:c r="E2359" s="48" t="n">
        <x:v>0.6782837915696365</x:v>
      </x:c>
      <x:c r="F2359" s="48" t="n">
        <x:v>-0.006392193275507718</x:v>
      </x:c>
      <x:c r="G2359" s="48" t="n">
        <x:v>-0.06182752896079474</x:v>
      </x:c>
      <x:c r="H2359" s="48" t="n">
        <x:v>0.9868031028411945</x:v>
      </x:c>
      <x:c r="I2359" s="48" t="n">
        <x:v>0.7302747599315629</x:v>
      </x:c>
      <x:c r="J2359" s="48" t="n">
        <x:v>0.5292176951233947</x:v>
      </x:c>
      <x:c r="K2359" s="48" t="n">
        <x:v>0.8178668361751127</x:v>
      </x:c>
      <x:c r="L2359" s="48" t="n">
        <x:v>0.8376459431440931</x:v>
      </x:c>
      <x:c r="M2359" s="48" t="n">
        <x:v>0.08027087953873671</x:v>
      </x:c>
      <x:c r="N2359" s="48" t="n">
        <x:v>0.6912158876319489</x:v>
      </x:c>
      <x:c r="O2359" s="48" t="n">
        <x:v>1</x:v>
      </x:c>
      <x:c r="P2359" s="48" t="n">
        <x:v>1</x:v>
      </x:c>
      <x:c r="Q2359" s="48" t="n">
        <x:v>1</x:v>
      </x:c>
      <x:c r="R2359" s="48" t="n">
        <x:v>1</x:v>
      </x:c>
      <x:c r="S2359" s="29" t="n">
        <x:v>1</x:v>
      </x:c>
    </x:row>
    <x:row r="2360" ht="21.600000381469727" hidden="0" customHeight="1">
      <x:c r="A2360" s="27" t="n">
        <x:v>786</x:v>
      </x:c>
      <x:c r="B2360" s="27" t="str">
        <x:v>A1</x:v>
      </x:c>
      <x:c r="C2360" s="47" t="n">
        <x:v>1.1803427544605167</x:v>
      </x:c>
      <x:c r="D2360" s="47" t="n">
        <x:v>0.7220008006750038</x:v>
      </x:c>
      <x:c r="E2360" s="47" t="n">
        <x:v>0.9357418099587358</x:v>
      </x:c>
      <x:c r="F2360" s="47" t="n">
        <x:v>-0.11107970424532428</x:v>
      </x:c>
      <x:c r="G2360" s="47" t="n">
        <x:v>-0.17305254870287226</x:v>
      </x:c>
      <x:c r="H2360" s="47" t="n">
        <x:v>0.7230608609030826</x:v>
      </x:c>
      <x:c r="I2360" s="47" t="n">
        <x:v>0.613666697568223</x:v>
      </x:c>
      <x:c r="J2360" s="47" t="n">
        <x:v>0.9151614907654768</x:v>
      </x:c>
      <x:c r="K2360" s="47" t="n">
        <x:v>0.8803856881157749</x:v>
      </x:c>
      <x:c r="L2360" s="47" t="n">
        <x:v>0.9711919694492931</x:v>
      </x:c>
      <x:c r="M2360" s="47" t="n">
        <x:v>0.10102234059596699</x:v>
      </x:c>
      <x:c r="N2360" s="47" t="n">
        <x:v>0.9753464908976293</x:v>
      </x:c>
      <x:c r="O2360" s="47" t="n">
        <x:v>0.8368189345550638</x:v>
      </x:c>
      <x:c r="P2360" s="47" t="n">
        <x:v>0.4352832458839505</x:v>
      </x:c>
      <x:c r="Q2360" s="47" t="n">
        <x:v>1</x:v>
      </x:c>
      <x:c r="R2360" s="47" t="n">
        <x:v>0.7984969964975804</x:v>
      </x:c>
      <x:c r="S2360" s="27" t="n">
        <x:v>0</x:v>
      </x:c>
    </x:row>
    <x:row r="2361" ht="21.600000381469727" hidden="0" customHeight="1">
      <x:c r="A2361" s="29" t="n">
        <x:v>786</x:v>
      </x:c>
      <x:c r="B2361" s="29" t="str">
        <x:v>A2</x:v>
      </x:c>
      <x:c r="C2361" s="48" t="n">
        <x:v>1.1803427544605167</x:v>
      </x:c>
      <x:c r="D2361" s="48" t="n">
        <x:v>0.7220008006750038</x:v>
      </x:c>
      <x:c r="E2361" s="48" t="n">
        <x:v>0.9357418099587358</x:v>
      </x:c>
      <x:c r="F2361" s="48" t="n">
        <x:v>-0.11107970424532428</x:v>
      </x:c>
      <x:c r="G2361" s="48" t="n">
        <x:v>-0.17305254870287226</x:v>
      </x:c>
      <x:c r="H2361" s="48" t="n">
        <x:v>0.7230608609030826</x:v>
      </x:c>
      <x:c r="I2361" s="48" t="n">
        <x:v>0.613666697568223</x:v>
      </x:c>
      <x:c r="J2361" s="48" t="n">
        <x:v>0.9151614907654768</x:v>
      </x:c>
      <x:c r="K2361" s="48" t="n">
        <x:v>0.8803856881157749</x:v>
      </x:c>
      <x:c r="L2361" s="48" t="n">
        <x:v>0.9711919694492931</x:v>
      </x:c>
      <x:c r="M2361" s="48" t="n">
        <x:v>0.10102234059596699</x:v>
      </x:c>
      <x:c r="N2361" s="48" t="n">
        <x:v>0.9753464908976293</x:v>
      </x:c>
      <x:c r="O2361" s="48" t="n">
        <x:v>0.8857209919287794</x:v>
      </x:c>
      <x:c r="P2361" s="48" t="n">
        <x:v>0.47147061088738124</x:v>
      </x:c>
      <x:c r="Q2361" s="48" t="n">
        <x:v>1</x:v>
      </x:c>
      <x:c r="R2361" s="48" t="n">
        <x:v>0.8588833618603953</x:v>
      </x:c>
      <x:c r="S2361" s="29" t="n">
        <x:v>0</x:v>
      </x:c>
    </x:row>
    <x:row r="2362" ht="21.600000381469727" hidden="0" customHeight="1">
      <x:c r="A2362" s="27" t="n">
        <x:v>786</x:v>
      </x:c>
      <x:c r="B2362" s="27" t="str">
        <x:v>A3</x:v>
      </x:c>
      <x:c r="C2362" s="47" t="n">
        <x:v>1.1803427544605167</x:v>
      </x:c>
      <x:c r="D2362" s="47" t="n">
        <x:v>0.7220008006750038</x:v>
      </x:c>
      <x:c r="E2362" s="47" t="n">
        <x:v>0.9357418099587358</x:v>
      </x:c>
      <x:c r="F2362" s="47" t="n">
        <x:v>-0.11107970424532428</x:v>
      </x:c>
      <x:c r="G2362" s="47" t="n">
        <x:v>-0.17305254870287226</x:v>
      </x:c>
      <x:c r="H2362" s="47" t="n">
        <x:v>0.7230608609030826</x:v>
      </x:c>
      <x:c r="I2362" s="47" t="n">
        <x:v>0.613666697568223</x:v>
      </x:c>
      <x:c r="J2362" s="47" t="n">
        <x:v>0.9151614907654768</x:v>
      </x:c>
      <x:c r="K2362" s="47" t="n">
        <x:v>0.8803856881157749</x:v>
      </x:c>
      <x:c r="L2362" s="47" t="n">
        <x:v>0.9711919694492931</x:v>
      </x:c>
      <x:c r="M2362" s="47" t="n">
        <x:v>0.10102234059596699</x:v>
      </x:c>
      <x:c r="N2362" s="47" t="n">
        <x:v>0.9753464908976293</x:v>
      </x:c>
      <x:c r="O2362" s="47" t="n">
        <x:v>1</x:v>
      </x:c>
      <x:c r="P2362" s="47" t="n">
        <x:v>1</x:v>
      </x:c>
      <x:c r="Q2362" s="47" t="n">
        <x:v>1</x:v>
      </x:c>
      <x:c r="R2362" s="47" t="n">
        <x:v>1</x:v>
      </x:c>
      <x:c r="S2362" s="27" t="n">
        <x:v>1</x:v>
      </x:c>
    </x:row>
    <x:row r="2363" ht="21.600000381469727" hidden="0" customHeight="1">
      <x:c r="A2363" s="29" t="n">
        <x:v>787</x:v>
      </x:c>
      <x:c r="B2363" s="29" t="str">
        <x:v>A1</x:v>
      </x:c>
      <x:c r="C2363" s="48" t="n">
        <x:v>1.2090428359531182</x:v>
      </x:c>
      <x:c r="D2363" s="48" t="n">
        <x:v>0.8138296069257474</x:v>
      </x:c>
      <x:c r="E2363" s="48" t="n">
        <x:v>0.4917684027735407</x:v>
      </x:c>
      <x:c r="F2363" s="48" t="n">
        <x:v>-0.13326171433128475</x:v>
      </x:c>
      <x:c r="G2363" s="48" t="n">
        <x:v>-0.07660315817654118</x:v>
      </x:c>
      <x:c r="H2363" s="48" t="n">
        <x:v>0.5671258418914126</x:v>
      </x:c>
      <x:c r="I2363" s="48" t="n">
        <x:v>0.8171697263747906</x:v>
      </x:c>
      <x:c r="J2363" s="48" t="n">
        <x:v>0.43218047137045573</x:v>
      </x:c>
      <x:c r="K2363" s="48" t="n">
        <x:v>0.6346145074138697</x:v>
      </x:c>
      <x:c r="L2363" s="48" t="n">
        <x:v>0.5506794526551345</x:v>
      </x:c>
      <x:c r="M2363" s="48" t="n">
        <x:v>0.04893915238361317</x:v>
      </x:c>
      <x:c r="N2363" s="48" t="n">
        <x:v>0.7407268721121647</x:v>
      </x:c>
      <x:c r="O2363" s="48" t="n">
        <x:v>0.723911216729762</x:v>
      </x:c>
      <x:c r="P2363" s="48" t="n">
        <x:v>0.4533065479093709</x:v>
      </x:c>
      <x:c r="Q2363" s="48" t="n">
        <x:v>0.9253172674843507</x:v>
      </x:c>
      <x:c r="R2363" s="48" t="n">
        <x:v>0.6596283442937692</x:v>
      </x:c>
      <x:c r="S2363" s="29" t="n">
        <x:v>0</x:v>
      </x:c>
    </x:row>
    <x:row r="2364" ht="21.600000381469727" hidden="0" customHeight="1">
      <x:c r="A2364" s="27" t="n">
        <x:v>787</x:v>
      </x:c>
      <x:c r="B2364" s="27" t="str">
        <x:v>A2</x:v>
      </x:c>
      <x:c r="C2364" s="47" t="n">
        <x:v>1.2090428359531182</x:v>
      </x:c>
      <x:c r="D2364" s="47" t="n">
        <x:v>0.8138296069257474</x:v>
      </x:c>
      <x:c r="E2364" s="47" t="n">
        <x:v>0.4917684027735407</x:v>
      </x:c>
      <x:c r="F2364" s="47" t="n">
        <x:v>-0.13326171433128475</x:v>
      </x:c>
      <x:c r="G2364" s="47" t="n">
        <x:v>-0.07660315817654118</x:v>
      </x:c>
      <x:c r="H2364" s="47" t="n">
        <x:v>0.5671258418914126</x:v>
      </x:c>
      <x:c r="I2364" s="47" t="n">
        <x:v>0.8171697263747906</x:v>
      </x:c>
      <x:c r="J2364" s="47" t="n">
        <x:v>0.43218047137045573</x:v>
      </x:c>
      <x:c r="K2364" s="47" t="n">
        <x:v>0.6346145074138697</x:v>
      </x:c>
      <x:c r="L2364" s="47" t="n">
        <x:v>0.5506794526551345</x:v>
      </x:c>
      <x:c r="M2364" s="47" t="n">
        <x:v>0.04893915238361317</x:v>
      </x:c>
      <x:c r="N2364" s="47" t="n">
        <x:v>0.7407268721121647</x:v>
      </x:c>
      <x:c r="O2364" s="47" t="n">
        <x:v>0.7811129291685304</x:v>
      </x:c>
      <x:c r="P2364" s="47" t="n">
        <x:v>0.4621181895913038</x:v>
      </x:c>
      <x:c r="Q2364" s="47" t="n">
        <x:v>0.9999999999999999</x:v>
      </x:c>
      <x:c r="R2364" s="47" t="n">
        <x:v>0.7297088232625172</x:v>
      </x:c>
      <x:c r="S2364" s="27" t="n">
        <x:v>0</x:v>
      </x:c>
    </x:row>
    <x:row r="2365" ht="21.600000381469727" hidden="0" customHeight="1">
      <x:c r="A2365" s="29" t="n">
        <x:v>787</x:v>
      </x:c>
      <x:c r="B2365" s="29" t="str">
        <x:v>A3</x:v>
      </x:c>
      <x:c r="C2365" s="48" t="n">
        <x:v>1.2090428359531182</x:v>
      </x:c>
      <x:c r="D2365" s="48" t="n">
        <x:v>0.8138296069257474</x:v>
      </x:c>
      <x:c r="E2365" s="48" t="n">
        <x:v>0.4917684027735407</x:v>
      </x:c>
      <x:c r="F2365" s="48" t="n">
        <x:v>-0.13326171433128475</x:v>
      </x:c>
      <x:c r="G2365" s="48" t="n">
        <x:v>-0.07660315817654118</x:v>
      </x:c>
      <x:c r="H2365" s="48" t="n">
        <x:v>0.5671258418914126</x:v>
      </x:c>
      <x:c r="I2365" s="48" t="n">
        <x:v>0.8171697263747906</x:v>
      </x:c>
      <x:c r="J2365" s="48" t="n">
        <x:v>0.43218047137045573</x:v>
      </x:c>
      <x:c r="K2365" s="48" t="n">
        <x:v>0.6346145074138697</x:v>
      </x:c>
      <x:c r="L2365" s="48" t="n">
        <x:v>0.5506794526551345</x:v>
      </x:c>
      <x:c r="M2365" s="48" t="n">
        <x:v>0.04893915238361317</x:v>
      </x:c>
      <x:c r="N2365" s="48" t="n">
        <x:v>0.7407268721121647</x:v>
      </x:c>
      <x:c r="O2365" s="48" t="n">
        <x:v>1</x:v>
      </x:c>
      <x:c r="P2365" s="48" t="n">
        <x:v>1</x:v>
      </x:c>
      <x:c r="Q2365" s="48" t="n">
        <x:v>1</x:v>
      </x:c>
      <x:c r="R2365" s="48" t="n">
        <x:v>1</x:v>
      </x:c>
      <x:c r="S2365" s="29" t="n">
        <x:v>1</x:v>
      </x:c>
    </x:row>
    <x:row r="2366" ht="21.600000381469727" hidden="0" customHeight="1">
      <x:c r="A2366" s="27" t="n">
        <x:v>788</x:v>
      </x:c>
      <x:c r="B2366" s="27" t="str">
        <x:v>A1</x:v>
      </x:c>
      <x:c r="C2366" s="47" t="n">
        <x:v>1.2452580099738841</x:v>
      </x:c>
      <x:c r="D2366" s="47" t="n">
        <x:v>0.9197929336600708</x:v>
      </x:c>
      <x:c r="E2366" s="47" t="n">
        <x:v>0.8754280668280129</x:v>
      </x:c>
      <x:c r="F2366" s="47" t="n">
        <x:v>-0.17870238775417038</x:v>
      </x:c>
      <x:c r="G2366" s="47" t="n">
        <x:v>-0.004089903613279988</x:v>
      </x:c>
      <x:c r="H2366" s="47" t="n">
        <x:v>0.8308956687803093</x:v>
      </x:c>
      <x:c r="I2366" s="47" t="n">
        <x:v>0.9838667232966337</x:v>
      </x:c>
      <x:c r="J2366" s="47" t="n">
        <x:v>0.6250092439383925</x:v>
      </x:c>
      <x:c r="K2366" s="47" t="n">
        <x:v>0.7681497595806258</x:v>
      </x:c>
      <x:c r="L2366" s="47" t="n">
        <x:v>0.521009568102664</x:v>
      </x:c>
      <x:c r="M2366" s="47" t="n">
        <x:v>0.030883175323758793</x:v>
      </x:c>
      <x:c r="N2366" s="47" t="n">
        <x:v>0.9435574941314256</x:v>
      </x:c>
      <x:c r="O2366" s="47" t="n">
        <x:v>0.8091326388722095</x:v>
      </x:c>
      <x:c r="P2366" s="47" t="n">
        <x:v>0.5999089332026568</x:v>
      </x:c>
      <x:c r="Q2366" s="47" t="n">
        <x:v>0.9327268193689339</x:v>
      </x:c>
      <x:c r="R2366" s="47" t="n">
        <x:v>0.7648083949306069</x:v>
      </x:c>
      <x:c r="S2366" s="27" t="n">
        <x:v>0</x:v>
      </x:c>
    </x:row>
    <x:row r="2367" ht="21.600000381469727" hidden="0" customHeight="1">
      <x:c r="A2367" s="29" t="n">
        <x:v>788</x:v>
      </x:c>
      <x:c r="B2367" s="29" t="str">
        <x:v>A2</x:v>
      </x:c>
      <x:c r="C2367" s="48" t="n">
        <x:v>1.2452580099738841</x:v>
      </x:c>
      <x:c r="D2367" s="48" t="n">
        <x:v>0.9197929336600708</x:v>
      </x:c>
      <x:c r="E2367" s="48" t="n">
        <x:v>0.8754280668280129</x:v>
      </x:c>
      <x:c r="F2367" s="48" t="n">
        <x:v>-0.17870238775417038</x:v>
      </x:c>
      <x:c r="G2367" s="48" t="n">
        <x:v>-0.004089903613279988</x:v>
      </x:c>
      <x:c r="H2367" s="48" t="n">
        <x:v>0.8308956687803093</x:v>
      </x:c>
      <x:c r="I2367" s="48" t="n">
        <x:v>0.9838667232966337</x:v>
      </x:c>
      <x:c r="J2367" s="48" t="n">
        <x:v>0.6250092439383925</x:v>
      </x:c>
      <x:c r="K2367" s="48" t="n">
        <x:v>0.7681497595806258</x:v>
      </x:c>
      <x:c r="L2367" s="48" t="n">
        <x:v>0.521009568102664</x:v>
      </x:c>
      <x:c r="M2367" s="48" t="n">
        <x:v>0.030883175323758793</x:v>
      </x:c>
      <x:c r="N2367" s="48" t="n">
        <x:v>0.9435574941314256</x:v>
      </x:c>
      <x:c r="O2367" s="48" t="n">
        <x:v>0.9023795075325654</x:v>
      </x:c>
      <x:c r="P2367" s="48" t="n">
        <x:v>0.6848594229153897</x:v>
      </x:c>
      <x:c r="Q2367" s="48" t="n">
        <x:v>1</x:v>
      </x:c>
      <x:c r="R2367" s="48" t="n">
        <x:v>0.8794540139694632</x:v>
      </x:c>
      <x:c r="S2367" s="29" t="n">
        <x:v>0</x:v>
      </x:c>
    </x:row>
    <x:row r="2368" ht="21.600000381469727" hidden="0" customHeight="1">
      <x:c r="A2368" s="27" t="n">
        <x:v>788</x:v>
      </x:c>
      <x:c r="B2368" s="27" t="str">
        <x:v>A3</x:v>
      </x:c>
      <x:c r="C2368" s="47" t="n">
        <x:v>1.2452580099738841</x:v>
      </x:c>
      <x:c r="D2368" s="47" t="n">
        <x:v>0.9197929336600708</x:v>
      </x:c>
      <x:c r="E2368" s="47" t="n">
        <x:v>0.8754280668280129</x:v>
      </x:c>
      <x:c r="F2368" s="47" t="n">
        <x:v>-0.17870238775417038</x:v>
      </x:c>
      <x:c r="G2368" s="47" t="n">
        <x:v>-0.004089903613279988</x:v>
      </x:c>
      <x:c r="H2368" s="47" t="n">
        <x:v>0.8308956687803093</x:v>
      </x:c>
      <x:c r="I2368" s="47" t="n">
        <x:v>0.9838667232966337</x:v>
      </x:c>
      <x:c r="J2368" s="47" t="n">
        <x:v>0.6250092439383925</x:v>
      </x:c>
      <x:c r="K2368" s="47" t="n">
        <x:v>0.7681497595806258</x:v>
      </x:c>
      <x:c r="L2368" s="47" t="n">
        <x:v>0.521009568102664</x:v>
      </x:c>
      <x:c r="M2368" s="47" t="n">
        <x:v>0.030883175323758793</x:v>
      </x:c>
      <x:c r="N2368" s="47" t="n">
        <x:v>0.9435574941314256</x:v>
      </x:c>
      <x:c r="O2368" s="47" t="n">
        <x:v>1</x:v>
      </x:c>
      <x:c r="P2368" s="47" t="n">
        <x:v>1</x:v>
      </x:c>
      <x:c r="Q2368" s="47" t="n">
        <x:v>1</x:v>
      </x:c>
      <x:c r="R2368" s="47" t="n">
        <x:v>1</x:v>
      </x:c>
      <x:c r="S2368" s="27" t="n">
        <x:v>1</x:v>
      </x:c>
    </x:row>
    <x:row r="2369" ht="21.600000381469727" hidden="0" customHeight="1">
      <x:c r="A2369" s="29" t="n">
        <x:v>789</x:v>
      </x:c>
      <x:c r="B2369" s="29" t="str">
        <x:v>A1</x:v>
      </x:c>
      <x:c r="C2369" s="48" t="n">
        <x:v>1.3281522632348284</x:v>
      </x:c>
      <x:c r="D2369" s="48" t="n">
        <x:v>0.967960332331232</x:v>
      </x:c>
      <x:c r="E2369" s="48" t="n">
        <x:v>0.5117269143928075</x:v>
      </x:c>
      <x:c r="F2369" s="48" t="n">
        <x:v>-0.03451407387118213</x:v>
      </x:c>
      <x:c r="G2369" s="48" t="n">
        <x:v>-0.05980240496736808</x:v>
      </x:c>
      <x:c r="H2369" s="48" t="n">
        <x:v>0.5715918657534317</x:v>
      </x:c>
      <x:c r="I2369" s="48" t="n">
        <x:v>0.7136656145435445</x:v>
      </x:c>
      <x:c r="J2369" s="48" t="n">
        <x:v>0.9179707262373803</x:v>
      </x:c>
      <x:c r="K2369" s="48" t="n">
        <x:v>0.6430595078721959</x:v>
      </x:c>
      <x:c r="L2369" s="48" t="n">
        <x:v>0.8193215488881284</x:v>
      </x:c>
      <x:c r="M2369" s="48" t="n">
        <x:v>0.17333663378581446</x:v>
      </x:c>
      <x:c r="N2369" s="48" t="n">
        <x:v>0.9548788664155412</x:v>
      </x:c>
      <x:c r="O2369" s="48" t="n">
        <x:v>0.8228418074343916</x:v>
      </x:c>
      <x:c r="P2369" s="48" t="n">
        <x:v>0.44109011390519176</x:v>
      </x:c>
      <x:c r="Q2369" s="48" t="n">
        <x:v>1</x:v>
      </x:c>
      <x:c r="R2369" s="48" t="n">
        <x:v>0.781237438303919</x:v>
      </x:c>
      <x:c r="S2369" s="29" t="n">
        <x:v>0</x:v>
      </x:c>
    </x:row>
    <x:row r="2370" ht="21.600000381469727" hidden="0" customHeight="1">
      <x:c r="A2370" s="27" t="n">
        <x:v>789</x:v>
      </x:c>
      <x:c r="B2370" s="27" t="str">
        <x:v>A2</x:v>
      </x:c>
      <x:c r="C2370" s="47" t="n">
        <x:v>1.3281522632348284</x:v>
      </x:c>
      <x:c r="D2370" s="47" t="n">
        <x:v>0.967960332331232</x:v>
      </x:c>
      <x:c r="E2370" s="47" t="n">
        <x:v>0.5117269143928075</x:v>
      </x:c>
      <x:c r="F2370" s="47" t="n">
        <x:v>-0.03451407387118213</x:v>
      </x:c>
      <x:c r="G2370" s="47" t="n">
        <x:v>-0.05980240496736808</x:v>
      </x:c>
      <x:c r="H2370" s="47" t="n">
        <x:v>0.5715918657534317</x:v>
      </x:c>
      <x:c r="I2370" s="47" t="n">
        <x:v>0.7136656145435445</x:v>
      </x:c>
      <x:c r="J2370" s="47" t="n">
        <x:v>0.9179707262373803</x:v>
      </x:c>
      <x:c r="K2370" s="47" t="n">
        <x:v>0.6430595078721959</x:v>
      </x:c>
      <x:c r="L2370" s="47" t="n">
        <x:v>0.8193215488881284</x:v>
      </x:c>
      <x:c r="M2370" s="47" t="n">
        <x:v>0.17333663378581446</x:v>
      </x:c>
      <x:c r="N2370" s="47" t="n">
        <x:v>0.9548788664155412</x:v>
      </x:c>
      <x:c r="O2370" s="47" t="n">
        <x:v>0.8860287366596047</x:v>
      </x:c>
      <x:c r="P2370" s="47" t="n">
        <x:v>0.579006042022057</x:v>
      </x:c>
      <x:c r="Q2370" s="47" t="n">
        <x:v>1</x:v>
      </x:c>
      <x:c r="R2370" s="47" t="n">
        <x:v>0.8592633783004417</x:v>
      </x:c>
      <x:c r="S2370" s="27" t="n">
        <x:v>0</x:v>
      </x:c>
    </x:row>
    <x:row r="2371" ht="21.600000381469727" hidden="0" customHeight="1">
      <x:c r="A2371" s="29" t="n">
        <x:v>789</x:v>
      </x:c>
      <x:c r="B2371" s="29" t="str">
        <x:v>A3</x:v>
      </x:c>
      <x:c r="C2371" s="48" t="n">
        <x:v>1.3281522632348284</x:v>
      </x:c>
      <x:c r="D2371" s="48" t="n">
        <x:v>0.967960332331232</x:v>
      </x:c>
      <x:c r="E2371" s="48" t="n">
        <x:v>0.5117269143928075</x:v>
      </x:c>
      <x:c r="F2371" s="48" t="n">
        <x:v>-0.03451407387118213</x:v>
      </x:c>
      <x:c r="G2371" s="48" t="n">
        <x:v>-0.05980240496736808</x:v>
      </x:c>
      <x:c r="H2371" s="48" t="n">
        <x:v>0.5715918657534317</x:v>
      </x:c>
      <x:c r="I2371" s="48" t="n">
        <x:v>0.7136656145435445</x:v>
      </x:c>
      <x:c r="J2371" s="48" t="n">
        <x:v>0.9179707262373803</x:v>
      </x:c>
      <x:c r="K2371" s="48" t="n">
        <x:v>0.6430595078721959</x:v>
      </x:c>
      <x:c r="L2371" s="48" t="n">
        <x:v>0.8193215488881284</x:v>
      </x:c>
      <x:c r="M2371" s="48" t="n">
        <x:v>0.17333663378581446</x:v>
      </x:c>
      <x:c r="N2371" s="48" t="n">
        <x:v>0.9548788664155412</x:v>
      </x:c>
      <x:c r="O2371" s="48" t="n">
        <x:v>1</x:v>
      </x:c>
      <x:c r="P2371" s="48" t="n">
        <x:v>1</x:v>
      </x:c>
      <x:c r="Q2371" s="48" t="n">
        <x:v>1</x:v>
      </x:c>
      <x:c r="R2371" s="48" t="n">
        <x:v>1</x:v>
      </x:c>
      <x:c r="S2371" s="29" t="n">
        <x:v>1</x:v>
      </x:c>
    </x:row>
    <x:row r="2372" ht="21.600000381469727" hidden="0" customHeight="1">
      <x:c r="A2372" s="27" t="n">
        <x:v>790</x:v>
      </x:c>
      <x:c r="B2372" s="27" t="str">
        <x:v>A1</x:v>
      </x:c>
      <x:c r="C2372" s="47" t="n">
        <x:v>1.2140985015124994</x:v>
      </x:c>
      <x:c r="D2372" s="47" t="n">
        <x:v>0.7575520912703638</x:v>
      </x:c>
      <x:c r="E2372" s="47" t="n">
        <x:v>0.6600614623303501</x:v>
      </x:c>
      <x:c r="F2372" s="47" t="n">
        <x:v>-0.14163835818278314</x:v>
      </x:c>
      <x:c r="G2372" s="47" t="n">
        <x:v>-0.01596611406823334</x:v>
      </x:c>
      <x:c r="H2372" s="47" t="n">
        <x:v>1.0287115587984574</x:v>
      </x:c>
      <x:c r="I2372" s="47" t="n">
        <x:v>0.7433180834220181</x:v>
      </x:c>
      <x:c r="J2372" s="47" t="n">
        <x:v>0.6177370753408067</x:v>
      </x:c>
      <x:c r="K2372" s="47" t="n">
        <x:v>0.9876419923193832</x:v>
      </x:c>
      <x:c r="L2372" s="47" t="n">
        <x:v>0.6093826137971666</x:v>
      </x:c>
      <x:c r="M2372" s="47" t="n">
        <x:v>0.12438492229816489</x:v>
      </x:c>
      <x:c r="N2372" s="47" t="n">
        <x:v>0.8559038032128061</x:v>
      </x:c>
      <x:c r="O2372" s="47" t="n">
        <x:v>0.754481193553936</x:v>
      </x:c>
      <x:c r="P2372" s="47" t="n">
        <x:v>0.4230283614836353</x:v>
      </x:c>
      <x:c r="Q2372" s="47" t="n">
        <x:v>0.9411985632053339</x:v>
      </x:c>
      <x:c r="R2372" s="47" t="n">
        <x:v>0.6972595194592909</x:v>
      </x:c>
      <x:c r="S2372" s="27" t="n">
        <x:v>0</x:v>
      </x:c>
    </x:row>
    <x:row r="2373" ht="21.600000381469727" hidden="0" customHeight="1">
      <x:c r="A2373" s="29" t="n">
        <x:v>790</x:v>
      </x:c>
      <x:c r="B2373" s="29" t="str">
        <x:v>A2</x:v>
      </x:c>
      <x:c r="C2373" s="48" t="n">
        <x:v>1.2140985015124994</x:v>
      </x:c>
      <x:c r="D2373" s="48" t="n">
        <x:v>0.7575520912703638</x:v>
      </x:c>
      <x:c r="E2373" s="48" t="n">
        <x:v>0.6600614623303501</x:v>
      </x:c>
      <x:c r="F2373" s="48" t="n">
        <x:v>-0.14163835818278314</x:v>
      </x:c>
      <x:c r="G2373" s="48" t="n">
        <x:v>-0.01596611406823334</x:v>
      </x:c>
      <x:c r="H2373" s="48" t="n">
        <x:v>1.0287115587984574</x:v>
      </x:c>
      <x:c r="I2373" s="48" t="n">
        <x:v>0.7433180834220181</x:v>
      </x:c>
      <x:c r="J2373" s="48" t="n">
        <x:v>0.6177370753408067</x:v>
      </x:c>
      <x:c r="K2373" s="48" t="n">
        <x:v>0.9876419923193832</x:v>
      </x:c>
      <x:c r="L2373" s="48" t="n">
        <x:v>0.6093826137971666</x:v>
      </x:c>
      <x:c r="M2373" s="48" t="n">
        <x:v>0.12438492229816489</x:v>
      </x:c>
      <x:c r="N2373" s="48" t="n">
        <x:v>0.8559038032128061</x:v>
      </x:c>
      <x:c r="O2373" s="48" t="n">
        <x:v>0.8349289681796329</x:v>
      </x:c>
      <x:c r="P2373" s="48" t="n">
        <x:v>0.5218767578603961</x:v>
      </x:c>
      <x:c r="Q2373" s="48" t="n">
        <x:v>1</x:v>
      </x:c>
      <x:c r="R2373" s="48" t="n">
        <x:v>0.7961631846663516</x:v>
      </x:c>
      <x:c r="S2373" s="29" t="n">
        <x:v>0</x:v>
      </x:c>
    </x:row>
    <x:row r="2374" ht="21.600000381469727" hidden="0" customHeight="1">
      <x:c r="A2374" s="27" t="n">
        <x:v>790</x:v>
      </x:c>
      <x:c r="B2374" s="27" t="str">
        <x:v>A3</x:v>
      </x:c>
      <x:c r="C2374" s="47" t="n">
        <x:v>1.2140985015124994</x:v>
      </x:c>
      <x:c r="D2374" s="47" t="n">
        <x:v>0.7575520912703638</x:v>
      </x:c>
      <x:c r="E2374" s="47" t="n">
        <x:v>0.6600614623303501</x:v>
      </x:c>
      <x:c r="F2374" s="47" t="n">
        <x:v>-0.14163835818278314</x:v>
      </x:c>
      <x:c r="G2374" s="47" t="n">
        <x:v>-0.01596611406823334</x:v>
      </x:c>
      <x:c r="H2374" s="47" t="n">
        <x:v>1.0287115587984574</x:v>
      </x:c>
      <x:c r="I2374" s="47" t="n">
        <x:v>0.7433180834220181</x:v>
      </x:c>
      <x:c r="J2374" s="47" t="n">
        <x:v>0.6177370753408067</x:v>
      </x:c>
      <x:c r="K2374" s="47" t="n">
        <x:v>0.9876419923193832</x:v>
      </x:c>
      <x:c r="L2374" s="47" t="n">
        <x:v>0.6093826137971666</x:v>
      </x:c>
      <x:c r="M2374" s="47" t="n">
        <x:v>0.12438492229816489</x:v>
      </x:c>
      <x:c r="N2374" s="47" t="n">
        <x:v>0.8559038032128061</x:v>
      </x:c>
      <x:c r="O2374" s="47" t="n">
        <x:v>1</x:v>
      </x:c>
      <x:c r="P2374" s="47" t="n">
        <x:v>1</x:v>
      </x:c>
      <x:c r="Q2374" s="47" t="n">
        <x:v>1</x:v>
      </x:c>
      <x:c r="R2374" s="47" t="n">
        <x:v>1</x:v>
      </x:c>
      <x:c r="S2374" s="27" t="n">
        <x:v>1</x:v>
      </x:c>
    </x:row>
    <x:row r="2375" ht="21.600000381469727" hidden="0" customHeight="1">
      <x:c r="A2375" s="29" t="n">
        <x:v>791</x:v>
      </x:c>
      <x:c r="B2375" s="29" t="str">
        <x:v>A1</x:v>
      </x:c>
      <x:c r="C2375" s="48" t="n">
        <x:v>1.0284328451584963</x:v>
      </x:c>
      <x:c r="D2375" s="48" t="n">
        <x:v>0.8179101942856748</x:v>
      </x:c>
      <x:c r="E2375" s="48" t="n">
        <x:v>1.0586576533787202</x:v>
      </x:c>
      <x:c r="F2375" s="48" t="n">
        <x:v>-0.10145897133353396</x:v>
      </x:c>
      <x:c r="G2375" s="48" t="n">
        <x:v>-0.12986342114027852</x:v>
      </x:c>
      <x:c r="H2375" s="48" t="n">
        <x:v>0.5059717282593629</x:v>
      </x:c>
      <x:c r="I2375" s="48" t="n">
        <x:v>0.7267479912752222</x:v>
      </x:c>
      <x:c r="J2375" s="48" t="n">
        <x:v>0.7796863580013381</x:v>
      </x:c>
      <x:c r="K2375" s="48" t="n">
        <x:v>0.6725819621240677</x:v>
      </x:c>
      <x:c r="L2375" s="48" t="n">
        <x:v>0.6261864736234162</x:v>
      </x:c>
      <x:c r="M2375" s="48" t="n">
        <x:v>0.09173521396999104</x:v>
      </x:c>
      <x:c r="N2375" s="48" t="n">
        <x:v>0.8518876894525654</x:v>
      </x:c>
      <x:c r="O2375" s="48" t="n">
        <x:v>0.8699103325586051</x:v>
      </x:c>
      <x:c r="P2375" s="48" t="n">
        <x:v>0.6216498460238272</x:v>
      </x:c>
      <x:c r="Q2375" s="48" t="n">
        <x:v>1</x:v>
      </x:c>
      <x:c r="R2375" s="48" t="n">
        <x:v>0.8393596791233267</x:v>
      </x:c>
      <x:c r="S2375" s="29" t="n">
        <x:v>0</x:v>
      </x:c>
    </x:row>
    <x:row r="2376" ht="21.600000381469727" hidden="0" customHeight="1">
      <x:c r="A2376" s="27" t="n">
        <x:v>791</x:v>
      </x:c>
      <x:c r="B2376" s="27" t="str">
        <x:v>A2</x:v>
      </x:c>
      <x:c r="C2376" s="47" t="n">
        <x:v>1.0284328451584963</x:v>
      </x:c>
      <x:c r="D2376" s="47" t="n">
        <x:v>0.8179101942856748</x:v>
      </x:c>
      <x:c r="E2376" s="47" t="n">
        <x:v>1.0586576533787202</x:v>
      </x:c>
      <x:c r="F2376" s="47" t="n">
        <x:v>-0.10145897133353396</x:v>
      </x:c>
      <x:c r="G2376" s="47" t="n">
        <x:v>-0.12986342114027852</x:v>
      </x:c>
      <x:c r="H2376" s="47" t="n">
        <x:v>0.5059717282593629</x:v>
      </x:c>
      <x:c r="I2376" s="47" t="n">
        <x:v>0.7267479912752222</x:v>
      </x:c>
      <x:c r="J2376" s="47" t="n">
        <x:v>0.7796863580013381</x:v>
      </x:c>
      <x:c r="K2376" s="47" t="n">
        <x:v>0.6725819621240677</x:v>
      </x:c>
      <x:c r="L2376" s="47" t="n">
        <x:v>0.6261864736234162</x:v>
      </x:c>
      <x:c r="M2376" s="47" t="n">
        <x:v>0.09173521396999104</x:v>
      </x:c>
      <x:c r="N2376" s="47" t="n">
        <x:v>0.8518876894525654</x:v>
      </x:c>
      <x:c r="O2376" s="47" t="n">
        <x:v>0.9586105042054746</x:v>
      </x:c>
      <x:c r="P2376" s="47" t="n">
        <x:v>0.7523924035595121</x:v>
      </x:c>
      <x:c r="Q2376" s="47" t="n">
        <x:v>1</x:v>
      </x:c>
      <x:c r="R2376" s="47" t="n">
        <x:v>0.9488904690424276</x:v>
      </x:c>
      <x:c r="S2376" s="27" t="n">
        <x:v>0</x:v>
      </x:c>
    </x:row>
    <x:row r="2377" ht="21.600000381469727" hidden="0" customHeight="1">
      <x:c r="A2377" s="29" t="n">
        <x:v>791</x:v>
      </x:c>
      <x:c r="B2377" s="29" t="str">
        <x:v>A3</x:v>
      </x:c>
      <x:c r="C2377" s="48" t="n">
        <x:v>1.0284328451584963</x:v>
      </x:c>
      <x:c r="D2377" s="48" t="n">
        <x:v>0.8179101942856748</x:v>
      </x:c>
      <x:c r="E2377" s="48" t="n">
        <x:v>1.0586576533787202</x:v>
      </x:c>
      <x:c r="F2377" s="48" t="n">
        <x:v>-0.10145897133353396</x:v>
      </x:c>
      <x:c r="G2377" s="48" t="n">
        <x:v>-0.12986342114027852</x:v>
      </x:c>
      <x:c r="H2377" s="48" t="n">
        <x:v>0.5059717282593629</x:v>
      </x:c>
      <x:c r="I2377" s="48" t="n">
        <x:v>0.7267479912752222</x:v>
      </x:c>
      <x:c r="J2377" s="48" t="n">
        <x:v>0.7796863580013381</x:v>
      </x:c>
      <x:c r="K2377" s="48" t="n">
        <x:v>0.6725819621240677</x:v>
      </x:c>
      <x:c r="L2377" s="48" t="n">
        <x:v>0.6261864736234162</x:v>
      </x:c>
      <x:c r="M2377" s="48" t="n">
        <x:v>0.09173521396999104</x:v>
      </x:c>
      <x:c r="N2377" s="48" t="n">
        <x:v>0.8518876894525654</x:v>
      </x:c>
      <x:c r="O2377" s="48" t="n">
        <x:v>1</x:v>
      </x:c>
      <x:c r="P2377" s="48" t="n">
        <x:v>1</x:v>
      </x:c>
      <x:c r="Q2377" s="48" t="n">
        <x:v>1</x:v>
      </x:c>
      <x:c r="R2377" s="48" t="n">
        <x:v>1</x:v>
      </x:c>
      <x:c r="S2377" s="29" t="n">
        <x:v>1</x:v>
      </x:c>
    </x:row>
    <x:row r="2378" ht="21.600000381469727" hidden="0" customHeight="1">
      <x:c r="A2378" s="27" t="n">
        <x:v>792</x:v>
      </x:c>
      <x:c r="B2378" s="27" t="str">
        <x:v>A1</x:v>
      </x:c>
      <x:c r="C2378" s="47" t="n">
        <x:v>1.1658070221430357</x:v>
      </x:c>
      <x:c r="D2378" s="47" t="n">
        <x:v>0.9533022995249771</x:v>
      </x:c>
      <x:c r="E2378" s="47" t="n">
        <x:v>0.8858046409478748</x:v>
      </x:c>
      <x:c r="F2378" s="47" t="n">
        <x:v>-0.19793725690640657</x:v>
      </x:c>
      <x:c r="G2378" s="47" t="n">
        <x:v>0.008932469491554712</x:v>
      </x:c>
      <x:c r="H2378" s="47" t="n">
        <x:v>0.5991476737414647</x:v>
      </x:c>
      <x:c r="I2378" s="47" t="n">
        <x:v>0.6420137369620618</x:v>
      </x:c>
      <x:c r="J2378" s="47" t="n">
        <x:v>0.984101572650183</x:v>
      </x:c>
      <x:c r="K2378" s="47" t="n">
        <x:v>0.9535390736570439</x:v>
      </x:c>
      <x:c r="L2378" s="47" t="n">
        <x:v>0.7105136352281085</x:v>
      </x:c>
      <x:c r="M2378" s="47" t="n">
        <x:v>0.050106072072771526</x:v>
      </x:c>
      <x:c r="N2378" s="47" t="n">
        <x:v>0.9259705316265558</x:v>
      </x:c>
      <x:c r="O2378" s="47" t="n">
        <x:v>0.9057787887025663</x:v>
      </x:c>
      <x:c r="P2378" s="47" t="n">
        <x:v>0.5419476744831198</x:v>
      </x:c>
      <x:c r="Q2378" s="47" t="n">
        <x:v>1</x:v>
      </x:c>
      <x:c r="R2378" s="47" t="n">
        <x:v>0.8836515926752814</x:v>
      </x:c>
      <x:c r="S2378" s="27" t="n">
        <x:v>0</x:v>
      </x:c>
    </x:row>
    <x:row r="2379" ht="21.600000381469727" hidden="0" customHeight="1">
      <x:c r="A2379" s="29" t="n">
        <x:v>792</x:v>
      </x:c>
      <x:c r="B2379" s="29" t="str">
        <x:v>A2</x:v>
      </x:c>
      <x:c r="C2379" s="48" t="n">
        <x:v>1.1658070221430357</x:v>
      </x:c>
      <x:c r="D2379" s="48" t="n">
        <x:v>0.9533022995249771</x:v>
      </x:c>
      <x:c r="E2379" s="48" t="n">
        <x:v>0.8858046409478748</x:v>
      </x:c>
      <x:c r="F2379" s="48" t="n">
        <x:v>-0.19793725690640657</x:v>
      </x:c>
      <x:c r="G2379" s="48" t="n">
        <x:v>0.008932469491554712</x:v>
      </x:c>
      <x:c r="H2379" s="48" t="n">
        <x:v>0.5991476737414647</x:v>
      </x:c>
      <x:c r="I2379" s="48" t="n">
        <x:v>0.6420137369620618</x:v>
      </x:c>
      <x:c r="J2379" s="48" t="n">
        <x:v>0.984101572650183</x:v>
      </x:c>
      <x:c r="K2379" s="48" t="n">
        <x:v>0.9535390736570439</x:v>
      </x:c>
      <x:c r="L2379" s="48" t="n">
        <x:v>0.7105136352281085</x:v>
      </x:c>
      <x:c r="M2379" s="48" t="n">
        <x:v>0.050106072072771526</x:v>
      </x:c>
      <x:c r="N2379" s="48" t="n">
        <x:v>0.9259705316265558</x:v>
      </x:c>
      <x:c r="O2379" s="48" t="n">
        <x:v>0.9676043626791994</x:v>
      </x:c>
      <x:c r="P2379" s="48" t="n">
        <x:v>0.7060357502786451</x:v>
      </x:c>
      <x:c r="Q2379" s="48" t="n">
        <x:v>1</x:v>
      </x:c>
      <x:c r="R2379" s="48" t="n">
        <x:v>0.959996472613306</x:v>
      </x:c>
      <x:c r="S2379" s="29" t="n">
        <x:v>0</x:v>
      </x:c>
    </x:row>
    <x:row r="2380" ht="21.600000381469727" hidden="0" customHeight="1">
      <x:c r="A2380" s="27" t="n">
        <x:v>792</x:v>
      </x:c>
      <x:c r="B2380" s="27" t="str">
        <x:v>A3</x:v>
      </x:c>
      <x:c r="C2380" s="47" t="n">
        <x:v>1.1658070221430357</x:v>
      </x:c>
      <x:c r="D2380" s="47" t="n">
        <x:v>0.9533022995249771</x:v>
      </x:c>
      <x:c r="E2380" s="47" t="n">
        <x:v>0.8858046409478748</x:v>
      </x:c>
      <x:c r="F2380" s="47" t="n">
        <x:v>-0.19793725690640657</x:v>
      </x:c>
      <x:c r="G2380" s="47" t="n">
        <x:v>0.008932469491554712</x:v>
      </x:c>
      <x:c r="H2380" s="47" t="n">
        <x:v>0.5991476737414647</x:v>
      </x:c>
      <x:c r="I2380" s="47" t="n">
        <x:v>0.6420137369620618</x:v>
      </x:c>
      <x:c r="J2380" s="47" t="n">
        <x:v>0.984101572650183</x:v>
      </x:c>
      <x:c r="K2380" s="47" t="n">
        <x:v>0.9535390736570439</x:v>
      </x:c>
      <x:c r="L2380" s="47" t="n">
        <x:v>0.7105136352281085</x:v>
      </x:c>
      <x:c r="M2380" s="47" t="n">
        <x:v>0.050106072072771526</x:v>
      </x:c>
      <x:c r="N2380" s="47" t="n">
        <x:v>0.9259705316265558</x:v>
      </x:c>
      <x:c r="O2380" s="47" t="n">
        <x:v>1</x:v>
      </x:c>
      <x:c r="P2380" s="47" t="n">
        <x:v>1</x:v>
      </x:c>
      <x:c r="Q2380" s="47" t="n">
        <x:v>1</x:v>
      </x:c>
      <x:c r="R2380" s="47" t="n">
        <x:v>1</x:v>
      </x:c>
      <x:c r="S2380" s="27" t="n">
        <x:v>1</x:v>
      </x:c>
    </x:row>
    <x:row r="2381" ht="21.600000381469727" hidden="0" customHeight="1">
      <x:c r="A2381" s="29" t="n">
        <x:v>793</x:v>
      </x:c>
      <x:c r="B2381" s="29" t="str">
        <x:v>A1</x:v>
      </x:c>
      <x:c r="C2381" s="48" t="n">
        <x:v>1.2592142074511614</x:v>
      </x:c>
      <x:c r="D2381" s="48" t="n">
        <x:v>0.8586044475642852</x:v>
      </x:c>
      <x:c r="E2381" s="48" t="n">
        <x:v>1.032972744811401</x:v>
      </x:c>
      <x:c r="F2381" s="48" t="n">
        <x:v>0.010723960766555074</x:v>
      </x:c>
      <x:c r="G2381" s="48" t="n">
        <x:v>-0.1636340119319294</x:v>
      </x:c>
      <x:c r="H2381" s="48" t="n">
        <x:v>0.8148162495888571</x:v>
      </x:c>
      <x:c r="I2381" s="48" t="n">
        <x:v>0.6474655690992921</x:v>
      </x:c>
      <x:c r="J2381" s="48" t="n">
        <x:v>0.5187927424940291</x:v>
      </x:c>
      <x:c r="K2381" s="48" t="n">
        <x:v>0.8081665616464859</x:v>
      </x:c>
      <x:c r="L2381" s="48" t="n">
        <x:v>0.8780778849350631</x:v>
      </x:c>
      <x:c r="M2381" s="48" t="n">
        <x:v>0.12353150048173347</x:v>
      </x:c>
      <x:c r="N2381" s="48" t="n">
        <x:v>0.7276527267135102</x:v>
      </x:c>
      <x:c r="O2381" s="48" t="n">
        <x:v>0.8091006689013699</x:v>
      </x:c>
      <x:c r="P2381" s="48" t="n">
        <x:v>0.5300294366072724</x:v>
      </x:c>
      <x:c r="Q2381" s="48" t="n">
        <x:v>1</x:v>
      </x:c>
      <x:c r="R2381" s="48" t="n">
        <x:v>0.7642692889760726</x:v>
      </x:c>
      <x:c r="S2381" s="29" t="n">
        <x:v>0</x:v>
      </x:c>
    </x:row>
    <x:row r="2382" ht="21.600000381469727" hidden="0" customHeight="1">
      <x:c r="A2382" s="27" t="n">
        <x:v>793</x:v>
      </x:c>
      <x:c r="B2382" s="27" t="str">
        <x:v>A2</x:v>
      </x:c>
      <x:c r="C2382" s="47" t="n">
        <x:v>1.2592142074511614</x:v>
      </x:c>
      <x:c r="D2382" s="47" t="n">
        <x:v>0.8586044475642852</x:v>
      </x:c>
      <x:c r="E2382" s="47" t="n">
        <x:v>1.032972744811401</x:v>
      </x:c>
      <x:c r="F2382" s="47" t="n">
        <x:v>0.010723960766555074</x:v>
      </x:c>
      <x:c r="G2382" s="47" t="n">
        <x:v>-0.1636340119319294</x:v>
      </x:c>
      <x:c r="H2382" s="47" t="n">
        <x:v>0.8148162495888571</x:v>
      </x:c>
      <x:c r="I2382" s="47" t="n">
        <x:v>0.6474655690992921</x:v>
      </x:c>
      <x:c r="J2382" s="47" t="n">
        <x:v>0.5187927424940291</x:v>
      </x:c>
      <x:c r="K2382" s="47" t="n">
        <x:v>0.8081665616464859</x:v>
      </x:c>
      <x:c r="L2382" s="47" t="n">
        <x:v>0.8780778849350631</x:v>
      </x:c>
      <x:c r="M2382" s="47" t="n">
        <x:v>0.12353150048173347</x:v>
      </x:c>
      <x:c r="N2382" s="47" t="n">
        <x:v>0.7276527267135102</x:v>
      </x:c>
      <x:c r="O2382" s="47" t="n">
        <x:v>0.8954604291452924</x:v>
      </x:c>
      <x:c r="P2382" s="47" t="n">
        <x:v>0.5988516867734803</x:v>
      </x:c>
      <x:c r="Q2382" s="47" t="n">
        <x:v>1</x:v>
      </x:c>
      <x:c r="R2382" s="47" t="n">
        <x:v>0.8709100381552186</x:v>
      </x:c>
      <x:c r="S2382" s="27" t="n">
        <x:v>0</x:v>
      </x:c>
    </x:row>
    <x:row r="2383" ht="21.600000381469727" hidden="0" customHeight="1">
      <x:c r="A2383" s="29" t="n">
        <x:v>793</x:v>
      </x:c>
      <x:c r="B2383" s="29" t="str">
        <x:v>A3</x:v>
      </x:c>
      <x:c r="C2383" s="48" t="n">
        <x:v>1.2592142074511614</x:v>
      </x:c>
      <x:c r="D2383" s="48" t="n">
        <x:v>0.8586044475642852</x:v>
      </x:c>
      <x:c r="E2383" s="48" t="n">
        <x:v>1.032972744811401</x:v>
      </x:c>
      <x:c r="F2383" s="48" t="n">
        <x:v>0.010723960766555074</x:v>
      </x:c>
      <x:c r="G2383" s="48" t="n">
        <x:v>-0.1636340119319294</x:v>
      </x:c>
      <x:c r="H2383" s="48" t="n">
        <x:v>0.8148162495888571</x:v>
      </x:c>
      <x:c r="I2383" s="48" t="n">
        <x:v>0.6474655690992921</x:v>
      </x:c>
      <x:c r="J2383" s="48" t="n">
        <x:v>0.5187927424940291</x:v>
      </x:c>
      <x:c r="K2383" s="48" t="n">
        <x:v>0.8081665616464859</x:v>
      </x:c>
      <x:c r="L2383" s="48" t="n">
        <x:v>0.8780778849350631</x:v>
      </x:c>
      <x:c r="M2383" s="48" t="n">
        <x:v>0.12353150048173347</x:v>
      </x:c>
      <x:c r="N2383" s="48" t="n">
        <x:v>0.7276527267135102</x:v>
      </x:c>
      <x:c r="O2383" s="48" t="n">
        <x:v>1</x:v>
      </x:c>
      <x:c r="P2383" s="48" t="n">
        <x:v>1</x:v>
      </x:c>
      <x:c r="Q2383" s="48" t="n">
        <x:v>1</x:v>
      </x:c>
      <x:c r="R2383" s="48" t="n">
        <x:v>1</x:v>
      </x:c>
      <x:c r="S2383" s="29" t="n">
        <x:v>1</x:v>
      </x:c>
    </x:row>
    <x:row r="2384" ht="15" hidden="0" customHeight="1">
      <x:c r="A2384" s="27" t="n">
        <x:v>794</x:v>
      </x:c>
      <x:c r="B2384" s="27" t="str">
        <x:v>A1</x:v>
      </x:c>
      <x:c r="C2384" s="47" t="n">
        <x:v>0.9428618611765948</x:v>
      </x:c>
      <x:c r="D2384" s="47" t="n">
        <x:v>0.9014308587805564</x:v>
      </x:c>
      <x:c r="E2384" s="47" t="n">
        <x:v>0.6210523571441912</x:v>
      </x:c>
      <x:c r="F2384" s="47" t="n">
        <x:v>-0.07682720017975693</x:v>
      </x:c>
      <x:c r="G2384" s="47" t="n">
        <x:v>0.018261530755099398</x:v>
      </x:c>
      <x:c r="H2384" s="47" t="n">
        <x:v>0.9082995639924545</x:v>
      </x:c>
      <x:c r="I2384" s="47" t="n">
        <x:v>0.8980625394678309</x:v>
      </x:c>
      <x:c r="J2384" s="47" t="n">
        <x:v>0.6718889956535395</x:v>
      </x:c>
      <x:c r="K2384" s="47" t="n">
        <x:v>0.6463648090269709</x:v>
      </x:c>
      <x:c r="L2384" s="47" t="n">
        <x:v>0.9198209267964734</x:v>
      </x:c>
      <x:c r="M2384" s="47" t="n">
        <x:v>0.16765100202749225</x:v>
      </x:c>
      <x:c r="N2384" s="47" t="n">
        <x:v>0.9727829303688454</x:v>
      </x:c>
      <x:c r="O2384" s="47" t="n">
        <x:v>0.9413020009579942</x:v>
      </x:c>
      <x:c r="P2384" s="47" t="n">
        <x:v>0.7429484706960928</x:v>
      </x:c>
      <x:c r="Q2384" s="47" t="n">
        <x:v>1</x:v>
      </x:c>
      <x:c r="R2384" s="47" t="n">
        <x:v>0.9275171842131554</x:v>
      </x:c>
      <x:c r="S2384" s="27" t="n">
        <x:v>0</x:v>
      </x:c>
    </x:row>
    <x:row r="2385" ht="15" hidden="0" customHeight="1">
      <x:c r="A2385" s="29" t="n">
        <x:v>794</x:v>
      </x:c>
      <x:c r="B2385" s="29" t="str">
        <x:v>A2</x:v>
      </x:c>
      <x:c r="C2385" s="48" t="n">
        <x:v>0.9428618611765948</x:v>
      </x:c>
      <x:c r="D2385" s="48" t="n">
        <x:v>0.9014308587805564</x:v>
      </x:c>
      <x:c r="E2385" s="48" t="n">
        <x:v>0.6210523571441912</x:v>
      </x:c>
      <x:c r="F2385" s="48" t="n">
        <x:v>-0.07682720017975693</x:v>
      </x:c>
      <x:c r="G2385" s="48" t="n">
        <x:v>0.018261530755099398</x:v>
      </x:c>
      <x:c r="H2385" s="48" t="n">
        <x:v>0.9082995639924545</x:v>
      </x:c>
      <x:c r="I2385" s="48" t="n">
        <x:v>0.8980625394678309</x:v>
      </x:c>
      <x:c r="J2385" s="48" t="n">
        <x:v>0.6718889956535395</x:v>
      </x:c>
      <x:c r="K2385" s="48" t="n">
        <x:v>0.6463648090269709</x:v>
      </x:c>
      <x:c r="L2385" s="48" t="n">
        <x:v>0.9198209267964734</x:v>
      </x:c>
      <x:c r="M2385" s="48" t="n">
        <x:v>0.16765100202749225</x:v>
      </x:c>
      <x:c r="N2385" s="48" t="n">
        <x:v>0.9727829303688454</x:v>
      </x:c>
      <x:c r="O2385" s="48" t="n">
        <x:v>1</x:v>
      </x:c>
      <x:c r="P2385" s="48" t="n">
        <x:v>1</x:v>
      </x:c>
      <x:c r="Q2385" s="48" t="n">
        <x:v>1</x:v>
      </x:c>
      <x:c r="R2385" s="48" t="n">
        <x:v>1</x:v>
      </x:c>
      <x:c r="S2385" s="29" t="n">
        <x:v>1</x:v>
      </x:c>
    </x:row>
    <x:row r="2386" ht="15" hidden="0" customHeight="1">
      <x:c r="A2386" s="27" t="n">
        <x:v>794</x:v>
      </x:c>
      <x:c r="B2386" s="27" t="str">
        <x:v>A3</x:v>
      </x:c>
      <x:c r="C2386" s="47" t="n">
        <x:v>0.9428618611765948</x:v>
      </x:c>
      <x:c r="D2386" s="47" t="n">
        <x:v>0.9014308587805564</x:v>
      </x:c>
      <x:c r="E2386" s="47" t="n">
        <x:v>0.6210523571441912</x:v>
      </x:c>
      <x:c r="F2386" s="47" t="n">
        <x:v>-0.07682720017975693</x:v>
      </x:c>
      <x:c r="G2386" s="47" t="n">
        <x:v>0.018261530755099398</x:v>
      </x:c>
      <x:c r="H2386" s="47" t="n">
        <x:v>0.9082995639924545</x:v>
      </x:c>
      <x:c r="I2386" s="47" t="n">
        <x:v>0.8980625394678309</x:v>
      </x:c>
      <x:c r="J2386" s="47" t="n">
        <x:v>0.6718889956535395</x:v>
      </x:c>
      <x:c r="K2386" s="47" t="n">
        <x:v>0.6463648090269709</x:v>
      </x:c>
      <x:c r="L2386" s="47" t="n">
        <x:v>0.9198209267964734</x:v>
      </x:c>
      <x:c r="M2386" s="47" t="n">
        <x:v>0.16765100202749225</x:v>
      </x:c>
      <x:c r="N2386" s="47" t="n">
        <x:v>0.9727829303688454</x:v>
      </x:c>
      <x:c r="O2386" s="47" t="n">
        <x:v>1</x:v>
      </x:c>
      <x:c r="P2386" s="47" t="n">
        <x:v>1</x:v>
      </x:c>
      <x:c r="Q2386" s="47" t="n">
        <x:v>1</x:v>
      </x:c>
      <x:c r="R2386" s="47" t="n">
        <x:v>1</x:v>
      </x:c>
      <x:c r="S2386" s="27" t="n">
        <x:v>1</x:v>
      </x:c>
    </x:row>
    <x:row r="2387" ht="21.600000381469727" hidden="0" customHeight="1">
      <x:c r="A2387" s="29" t="n">
        <x:v>795</x:v>
      </x:c>
      <x:c r="B2387" s="29" t="str">
        <x:v>A1</x:v>
      </x:c>
      <x:c r="C2387" s="48" t="n">
        <x:v>1.150129413263301</x:v>
      </x:c>
      <x:c r="D2387" s="48" t="n">
        <x:v>0.729748517175697</x:v>
      </x:c>
      <x:c r="E2387" s="48" t="n">
        <x:v>0.5781797217636195</x:v>
      </x:c>
      <x:c r="F2387" s="48" t="n">
        <x:v>-0.03906193084153095</x:v>
      </x:c>
      <x:c r="G2387" s="48" t="n">
        <x:v>-0.07284388609793649</x:v>
      </x:c>
      <x:c r="H2387" s="48" t="n">
        <x:v>0.9200626709011306</x:v>
      </x:c>
      <x:c r="I2387" s="48" t="n">
        <x:v>0.7661098404257205</x:v>
      </x:c>
      <x:c r="J2387" s="48" t="n">
        <x:v>0.8254005384374987</x:v>
      </x:c>
      <x:c r="K2387" s="48" t="n">
        <x:v>0.8655342740627692</x:v>
      </x:c>
      <x:c r="L2387" s="48" t="n">
        <x:v>0.7098389397287017</x:v>
      </x:c>
      <x:c r="M2387" s="48" t="n">
        <x:v>0.12265706238794472</x:v>
      </x:c>
      <x:c r="N2387" s="48" t="n">
        <x:v>0.9833307287436068</x:v>
      </x:c>
      <x:c r="O2387" s="48" t="n">
        <x:v>0.7479163270566025</x:v>
      </x:c>
      <x:c r="P2387" s="48" t="n">
        <x:v>0.38419569430434974</x:v>
      </x:c>
      <x:c r="Q2387" s="48" t="n">
        <x:v>1</x:v>
      </x:c>
      <x:c r="R2387" s="48" t="n">
        <x:v>0.6887162300753779</x:v>
      </x:c>
      <x:c r="S2387" s="29" t="n">
        <x:v>0</x:v>
      </x:c>
    </x:row>
    <x:row r="2388" ht="21.600000381469727" hidden="0" customHeight="1">
      <x:c r="A2388" s="27" t="n">
        <x:v>795</x:v>
      </x:c>
      <x:c r="B2388" s="27" t="str">
        <x:v>A2</x:v>
      </x:c>
      <x:c r="C2388" s="47" t="n">
        <x:v>1.150129413263301</x:v>
      </x:c>
      <x:c r="D2388" s="47" t="n">
        <x:v>0.729748517175697</x:v>
      </x:c>
      <x:c r="E2388" s="47" t="n">
        <x:v>0.5781797217636195</x:v>
      </x:c>
      <x:c r="F2388" s="47" t="n">
        <x:v>-0.03906193084153095</x:v>
      </x:c>
      <x:c r="G2388" s="47" t="n">
        <x:v>-0.07284388609793649</x:v>
      </x:c>
      <x:c r="H2388" s="47" t="n">
        <x:v>0.9200626709011306</x:v>
      </x:c>
      <x:c r="I2388" s="47" t="n">
        <x:v>0.7661098404257205</x:v>
      </x:c>
      <x:c r="J2388" s="47" t="n">
        <x:v>0.8254005384374987</x:v>
      </x:c>
      <x:c r="K2388" s="47" t="n">
        <x:v>0.8655342740627692</x:v>
      </x:c>
      <x:c r="L2388" s="47" t="n">
        <x:v>0.7098389397287017</x:v>
      </x:c>
      <x:c r="M2388" s="47" t="n">
        <x:v>0.12265706238794472</x:v>
      </x:c>
      <x:c r="N2388" s="47" t="n">
        <x:v>0.9833307287436068</x:v>
      </x:c>
      <x:c r="O2388" s="47" t="n">
        <x:v>0.8282241068881793</x:v>
      </x:c>
      <x:c r="P2388" s="47" t="n">
        <x:v>0.40729714566276426</x:v>
      </x:c>
      <x:c r="Q2388" s="47" t="n">
        <x:v>1</x:v>
      </x:c>
      <x:c r="R2388" s="47" t="n">
        <x:v>0.7878837333426872</x:v>
      </x:c>
      <x:c r="S2388" s="27" t="n">
        <x:v>0</x:v>
      </x:c>
    </x:row>
    <x:row r="2389" ht="21.600000381469727" hidden="0" customHeight="1">
      <x:c r="A2389" s="29" t="n">
        <x:v>795</x:v>
      </x:c>
      <x:c r="B2389" s="29" t="str">
        <x:v>A3</x:v>
      </x:c>
      <x:c r="C2389" s="48" t="n">
        <x:v>1.150129413263301</x:v>
      </x:c>
      <x:c r="D2389" s="48" t="n">
        <x:v>0.729748517175697</x:v>
      </x:c>
      <x:c r="E2389" s="48" t="n">
        <x:v>0.5781797217636195</x:v>
      </x:c>
      <x:c r="F2389" s="48" t="n">
        <x:v>-0.03906193084153095</x:v>
      </x:c>
      <x:c r="G2389" s="48" t="n">
        <x:v>-0.07284388609793649</x:v>
      </x:c>
      <x:c r="H2389" s="48" t="n">
        <x:v>0.9200626709011306</x:v>
      </x:c>
      <x:c r="I2389" s="48" t="n">
        <x:v>0.7661098404257205</x:v>
      </x:c>
      <x:c r="J2389" s="48" t="n">
        <x:v>0.8254005384374987</x:v>
      </x:c>
      <x:c r="K2389" s="48" t="n">
        <x:v>0.8655342740627692</x:v>
      </x:c>
      <x:c r="L2389" s="48" t="n">
        <x:v>0.7098389397287017</x:v>
      </x:c>
      <x:c r="M2389" s="48" t="n">
        <x:v>0.12265706238794472</x:v>
      </x:c>
      <x:c r="N2389" s="48" t="n">
        <x:v>0.9833307287436068</x:v>
      </x:c>
      <x:c r="O2389" s="48" t="n">
        <x:v>1</x:v>
      </x:c>
      <x:c r="P2389" s="48" t="n">
        <x:v>1</x:v>
      </x:c>
      <x:c r="Q2389" s="48" t="n">
        <x:v>1</x:v>
      </x:c>
      <x:c r="R2389" s="48" t="n">
        <x:v>1</x:v>
      </x:c>
      <x:c r="S2389" s="29" t="n">
        <x:v>1</x:v>
      </x:c>
    </x:row>
    <x:row r="2390" ht="21.600000381469727" hidden="0" customHeight="1">
      <x:c r="A2390" s="27" t="n">
        <x:v>796</x:v>
      </x:c>
      <x:c r="B2390" s="27" t="str">
        <x:v>A1</x:v>
      </x:c>
      <x:c r="C2390" s="47" t="n">
        <x:v>1.2915101369796305</x:v>
      </x:c>
      <x:c r="D2390" s="47" t="n">
        <x:v>0.7416834813024323</x:v>
      </x:c>
      <x:c r="E2390" s="47" t="n">
        <x:v>0.9305605773683281</x:v>
      </x:c>
      <x:c r="F2390" s="47" t="n">
        <x:v>-0.12305363229209053</x:v>
      </x:c>
      <x:c r="G2390" s="47" t="n">
        <x:v>-0.07837469165342688</x:v>
      </x:c>
      <x:c r="H2390" s="47" t="n">
        <x:v>0.4140671586082691</x:v>
      </x:c>
      <x:c r="I2390" s="47" t="n">
        <x:v>0.9195421147212548</x:v>
      </x:c>
      <x:c r="J2390" s="47" t="n">
        <x:v>0.8330810907712235</x:v>
      </x:c>
      <x:c r="K2390" s="47" t="n">
        <x:v>0.7110008179538899</x:v>
      </x:c>
      <x:c r="L2390" s="47" t="n">
        <x:v>0.8826617408549868</x:v>
      </x:c>
      <x:c r="M2390" s="47" t="n">
        <x:v>0.10717190239949097</x:v>
      </x:c>
      <x:c r="N2390" s="47" t="n">
        <x:v>0.8200863116463798</x:v>
      </x:c>
      <x:c r="O2390" s="47" t="n">
        <x:v>0.7486020894569776</x:v>
      </x:c>
      <x:c r="P2390" s="47" t="n">
        <x:v>0.3995805837362557</x:v>
      </x:c>
      <x:c r="Q2390" s="47" t="n">
        <x:v>0.9802363635500739</x:v>
      </x:c>
      <x:c r="R2390" s="47" t="n">
        <x:v>0.6918678147432896</x:v>
      </x:c>
      <x:c r="S2390" s="27" t="n">
        <x:v>0</x:v>
      </x:c>
    </x:row>
    <x:row r="2391" ht="21.600000381469727" hidden="0" customHeight="1">
      <x:c r="A2391" s="29" t="n">
        <x:v>796</x:v>
      </x:c>
      <x:c r="B2391" s="29" t="str">
        <x:v>A2</x:v>
      </x:c>
      <x:c r="C2391" s="48" t="n">
        <x:v>1.2915101369796305</x:v>
      </x:c>
      <x:c r="D2391" s="48" t="n">
        <x:v>0.7416834813024323</x:v>
      </x:c>
      <x:c r="E2391" s="48" t="n">
        <x:v>0.9305605773683281</x:v>
      </x:c>
      <x:c r="F2391" s="48" t="n">
        <x:v>-0.12305363229209053</x:v>
      </x:c>
      <x:c r="G2391" s="48" t="n">
        <x:v>-0.07837469165342688</x:v>
      </x:c>
      <x:c r="H2391" s="48" t="n">
        <x:v>0.4140671586082691</x:v>
      </x:c>
      <x:c r="I2391" s="48" t="n">
        <x:v>0.9195421147212548</x:v>
      </x:c>
      <x:c r="J2391" s="48" t="n">
        <x:v>0.8330810907712235</x:v>
      </x:c>
      <x:c r="K2391" s="48" t="n">
        <x:v>0.7110008179538899</x:v>
      </x:c>
      <x:c r="L2391" s="48" t="n">
        <x:v>0.8826617408549868</x:v>
      </x:c>
      <x:c r="M2391" s="48" t="n">
        <x:v>0.10717190239949097</x:v>
      </x:c>
      <x:c r="N2391" s="48" t="n">
        <x:v>0.8200863116463798</x:v>
      </x:c>
      <x:c r="O2391" s="48" t="n">
        <x:v>0.8356235313458151</x:v>
      </x:c>
      <x:c r="P2391" s="48" t="n">
        <x:v>0.4661661270601563</x:v>
      </x:c>
      <x:c r="Q2391" s="48" t="n">
        <x:v>1</x:v>
      </x:c>
      <x:c r="R2391" s="48" t="n">
        <x:v>0.7970208611604119</x:v>
      </x:c>
      <x:c r="S2391" s="29" t="n">
        <x:v>0</x:v>
      </x:c>
    </x:row>
    <x:row r="2392" ht="21.600000381469727" hidden="0" customHeight="1">
      <x:c r="A2392" s="27" t="n">
        <x:v>796</x:v>
      </x:c>
      <x:c r="B2392" s="27" t="str">
        <x:v>A3</x:v>
      </x:c>
      <x:c r="C2392" s="47" t="n">
        <x:v>1.2915101369796305</x:v>
      </x:c>
      <x:c r="D2392" s="47" t="n">
        <x:v>0.7416834813024323</x:v>
      </x:c>
      <x:c r="E2392" s="47" t="n">
        <x:v>0.9305605773683281</x:v>
      </x:c>
      <x:c r="F2392" s="47" t="n">
        <x:v>-0.12305363229209053</x:v>
      </x:c>
      <x:c r="G2392" s="47" t="n">
        <x:v>-0.07837469165342688</x:v>
      </x:c>
      <x:c r="H2392" s="47" t="n">
        <x:v>0.4140671586082691</x:v>
      </x:c>
      <x:c r="I2392" s="47" t="n">
        <x:v>0.9195421147212548</x:v>
      </x:c>
      <x:c r="J2392" s="47" t="n">
        <x:v>0.8330810907712235</x:v>
      </x:c>
      <x:c r="K2392" s="47" t="n">
        <x:v>0.7110008179538899</x:v>
      </x:c>
      <x:c r="L2392" s="47" t="n">
        <x:v>0.8826617408549868</x:v>
      </x:c>
      <x:c r="M2392" s="47" t="n">
        <x:v>0.10717190239949097</x:v>
      </x:c>
      <x:c r="N2392" s="47" t="n">
        <x:v>0.8200863116463798</x:v>
      </x:c>
      <x:c r="O2392" s="47" t="n">
        <x:v>1</x:v>
      </x:c>
      <x:c r="P2392" s="47" t="n">
        <x:v>1</x:v>
      </x:c>
      <x:c r="Q2392" s="47" t="n">
        <x:v>1</x:v>
      </x:c>
      <x:c r="R2392" s="47" t="n">
        <x:v>1</x:v>
      </x:c>
      <x:c r="S2392" s="27" t="n">
        <x:v>1</x:v>
      </x:c>
    </x:row>
    <x:row r="2393" ht="21.600000381469727" hidden="0" customHeight="1">
      <x:c r="A2393" s="29" t="n">
        <x:v>797</x:v>
      </x:c>
      <x:c r="B2393" s="29" t="str">
        <x:v>A1</x:v>
      </x:c>
      <x:c r="C2393" s="48" t="n">
        <x:v>1.2187421124500026</x:v>
      </x:c>
      <x:c r="D2393" s="48" t="n">
        <x:v>0.8269753879562989</x:v>
      </x:c>
      <x:c r="E2393" s="48" t="n">
        <x:v>0.5198119145878692</x:v>
      </x:c>
      <x:c r="F2393" s="48" t="n">
        <x:v>-0.1055123784547598</x:v>
      </x:c>
      <x:c r="G2393" s="48" t="n">
        <x:v>-0.18991236321930335</x:v>
      </x:c>
      <x:c r="H2393" s="48" t="n">
        <x:v>0.3102574385222306</x:v>
      </x:c>
      <x:c r="I2393" s="48" t="n">
        <x:v>0.6238117875205119</x:v>
      </x:c>
      <x:c r="J2393" s="48" t="n">
        <x:v>0.9106174820103418</x:v>
      </x:c>
      <x:c r="K2393" s="48" t="n">
        <x:v>0.6294890521535514</x:v>
      </x:c>
      <x:c r="L2393" s="48" t="n">
        <x:v>0.9097073677206647</x:v>
      </x:c>
      <x:c r="M2393" s="48" t="n">
        <x:v>0.17258145304548045</x:v>
      </x:c>
      <x:c r="N2393" s="48" t="n">
        <x:v>0.7318558804977451</x:v>
      </x:c>
      <x:c r="O2393" s="48" t="n">
        <x:v>0.7774707140247898</x:v>
      </x:c>
      <x:c r="P2393" s="48" t="n">
        <x:v>0.41994223722486856</x:v>
      </x:c>
      <x:c r="Q2393" s="48" t="n">
        <x:v>0.9443935303928305</x:v>
      </x:c>
      <x:c r="R2393" s="48" t="n">
        <x:v>0.7256242403337807</x:v>
      </x:c>
      <x:c r="S2393" s="29" t="n">
        <x:v>0</x:v>
      </x:c>
    </x:row>
    <x:row r="2394" ht="21.600000381469727" hidden="0" customHeight="1">
      <x:c r="A2394" s="27" t="n">
        <x:v>797</x:v>
      </x:c>
      <x:c r="B2394" s="27" t="str">
        <x:v>A2</x:v>
      </x:c>
      <x:c r="C2394" s="47" t="n">
        <x:v>1.2187421124500026</x:v>
      </x:c>
      <x:c r="D2394" s="47" t="n">
        <x:v>0.8269753879562989</x:v>
      </x:c>
      <x:c r="E2394" s="47" t="n">
        <x:v>0.5198119145878692</x:v>
      </x:c>
      <x:c r="F2394" s="47" t="n">
        <x:v>-0.1055123784547598</x:v>
      </x:c>
      <x:c r="G2394" s="47" t="n">
        <x:v>-0.18991236321930335</x:v>
      </x:c>
      <x:c r="H2394" s="47" t="n">
        <x:v>0.3102574385222306</x:v>
      </x:c>
      <x:c r="I2394" s="47" t="n">
        <x:v>0.6238117875205119</x:v>
      </x:c>
      <x:c r="J2394" s="47" t="n">
        <x:v>0.9106174820103418</x:v>
      </x:c>
      <x:c r="K2394" s="47" t="n">
        <x:v>0.6294890521535514</x:v>
      </x:c>
      <x:c r="L2394" s="47" t="n">
        <x:v>0.9097073677206647</x:v>
      </x:c>
      <x:c r="M2394" s="47" t="n">
        <x:v>0.17258145304548045</x:v>
      </x:c>
      <x:c r="N2394" s="47" t="n">
        <x:v>0.7318558804977451</x:v>
      </x:c>
      <x:c r="O2394" s="47" t="n">
        <x:v>0.8460029190966858</x:v>
      </x:c>
      <x:c r="P2394" s="47" t="n">
        <x:v>0.42032399988729197</x:v>
      </x:c>
      <x:c r="Q2394" s="47" t="n">
        <x:v>0.9230091952707855</x:v>
      </x:c>
      <x:c r="R2394" s="47" t="n">
        <x:v>0.8113527618347384</x:v>
      </x:c>
      <x:c r="S2394" s="27" t="n">
        <x:v>0</x:v>
      </x:c>
    </x:row>
    <x:row r="2395" ht="21.600000381469727" hidden="0" customHeight="1">
      <x:c r="A2395" s="29" t="n">
        <x:v>797</x:v>
      </x:c>
      <x:c r="B2395" s="29" t="str">
        <x:v>A3</x:v>
      </x:c>
      <x:c r="C2395" s="48" t="n">
        <x:v>1.2187421124500026</x:v>
      </x:c>
      <x:c r="D2395" s="48" t="n">
        <x:v>0.8269753879562989</x:v>
      </x:c>
      <x:c r="E2395" s="48" t="n">
        <x:v>0.5198119145878692</x:v>
      </x:c>
      <x:c r="F2395" s="48" t="n">
        <x:v>-0.1055123784547598</x:v>
      </x:c>
      <x:c r="G2395" s="48" t="n">
        <x:v>-0.18991236321930335</x:v>
      </x:c>
      <x:c r="H2395" s="48" t="n">
        <x:v>0.3102574385222306</x:v>
      </x:c>
      <x:c r="I2395" s="48" t="n">
        <x:v>0.6238117875205119</x:v>
      </x:c>
      <x:c r="J2395" s="48" t="n">
        <x:v>0.9106174820103418</x:v>
      </x:c>
      <x:c r="K2395" s="48" t="n">
        <x:v>0.6294890521535514</x:v>
      </x:c>
      <x:c r="L2395" s="48" t="n">
        <x:v>0.9097073677206647</x:v>
      </x:c>
      <x:c r="M2395" s="48" t="n">
        <x:v>0.17258145304548045</x:v>
      </x:c>
      <x:c r="N2395" s="48" t="n">
        <x:v>0.7318558804977451</x:v>
      </x:c>
      <x:c r="O2395" s="48" t="n">
        <x:v>1</x:v>
      </x:c>
      <x:c r="P2395" s="48" t="n">
        <x:v>1</x:v>
      </x:c>
      <x:c r="Q2395" s="48" t="n">
        <x:v>1</x:v>
      </x:c>
      <x:c r="R2395" s="48" t="n">
        <x:v>1</x:v>
      </x:c>
      <x:c r="S2395" s="29" t="n">
        <x:v>1</x:v>
      </x:c>
    </x:row>
    <x:row r="2396" ht="21.600000381469727" hidden="0" customHeight="1">
      <x:c r="A2396" s="27" t="n">
        <x:v>798</x:v>
      </x:c>
      <x:c r="B2396" s="27" t="str">
        <x:v>A1</x:v>
      </x:c>
      <x:c r="C2396" s="47" t="n">
        <x:v>1.1614236987453845</x:v>
      </x:c>
      <x:c r="D2396" s="47" t="n">
        <x:v>0.8223017651414773</x:v>
      </x:c>
      <x:c r="E2396" s="47" t="n">
        <x:v>0.7260130714583379</x:v>
      </x:c>
      <x:c r="F2396" s="47" t="n">
        <x:v>-0.029400010982013502</x:v>
      </x:c>
      <x:c r="G2396" s="47" t="n">
        <x:v>-0.06215208039696188</x:v>
      </x:c>
      <x:c r="H2396" s="47" t="n">
        <x:v>0.30486651683521926</x:v>
      </x:c>
      <x:c r="I2396" s="47" t="n">
        <x:v>0.8225026550567804</x:v>
      </x:c>
      <x:c r="J2396" s="47" t="n">
        <x:v>0.48457160463745924</x:v>
      </x:c>
      <x:c r="K2396" s="47" t="n">
        <x:v>0.8282699455233775</x:v>
      </x:c>
      <x:c r="L2396" s="47" t="n">
        <x:v>0.9118026120167936</x:v>
      </x:c>
      <x:c r="M2396" s="47" t="n">
        <x:v>0.09201299191899369</x:v>
      </x:c>
      <x:c r="N2396" s="47" t="n">
        <x:v>0.9988271423403234</x:v>
      </x:c>
      <x:c r="O2396" s="47" t="n">
        <x:v>0.7949381174177229</x:v>
      </x:c>
      <x:c r="P2396" s="47" t="n">
        <x:v>0.5031671831333915</x:v>
      </x:c>
      <x:c r="Q2396" s="47" t="n">
        <x:v>1</x:v>
      </x:c>
      <x:c r="R2396" s="47" t="n">
        <x:v>0.7467807607976885</x:v>
      </x:c>
      <x:c r="S2396" s="27" t="n">
        <x:v>0</x:v>
      </x:c>
    </x:row>
    <x:row r="2397" ht="21.600000381469727" hidden="0" customHeight="1">
      <x:c r="A2397" s="29" t="n">
        <x:v>798</x:v>
      </x:c>
      <x:c r="B2397" s="29" t="str">
        <x:v>A2</x:v>
      </x:c>
      <x:c r="C2397" s="48" t="n">
        <x:v>1.1614236987453845</x:v>
      </x:c>
      <x:c r="D2397" s="48" t="n">
        <x:v>0.8223017651414773</x:v>
      </x:c>
      <x:c r="E2397" s="48" t="n">
        <x:v>0.7260130714583379</x:v>
      </x:c>
      <x:c r="F2397" s="48" t="n">
        <x:v>-0.029400010982013502</x:v>
      </x:c>
      <x:c r="G2397" s="48" t="n">
        <x:v>-0.06215208039696188</x:v>
      </x:c>
      <x:c r="H2397" s="48" t="n">
        <x:v>0.30486651683521926</x:v>
      </x:c>
      <x:c r="I2397" s="48" t="n">
        <x:v>0.8225026550567804</x:v>
      </x:c>
      <x:c r="J2397" s="48" t="n">
        <x:v>0.48457160463745924</x:v>
      </x:c>
      <x:c r="K2397" s="48" t="n">
        <x:v>0.8282699455233775</x:v>
      </x:c>
      <x:c r="L2397" s="48" t="n">
        <x:v>0.9118026120167936</x:v>
      </x:c>
      <x:c r="M2397" s="48" t="n">
        <x:v>0.09201299191899369</x:v>
      </x:c>
      <x:c r="N2397" s="48" t="n">
        <x:v>0.9988271423403234</x:v>
      </x:c>
      <x:c r="O2397" s="48" t="n">
        <x:v>0.8835386275708681</x:v>
      </x:c>
      <x:c r="P2397" s="48" t="n">
        <x:v>0.6487844300313507</x:v>
      </x:c>
      <x:c r="Q2397" s="48" t="n">
        <x:v>1</x:v>
      </x:c>
      <x:c r="R2397" s="48" t="n">
        <x:v>0.8561884844145548</x:v>
      </x:c>
      <x:c r="S2397" s="29" t="n">
        <x:v>0</x:v>
      </x:c>
    </x:row>
    <x:row r="2398" ht="21.600000381469727" hidden="0" customHeight="1">
      <x:c r="A2398" s="27" t="n">
        <x:v>798</x:v>
      </x:c>
      <x:c r="B2398" s="27" t="str">
        <x:v>A3</x:v>
      </x:c>
      <x:c r="C2398" s="47" t="n">
        <x:v>1.1614236987453845</x:v>
      </x:c>
      <x:c r="D2398" s="47" t="n">
        <x:v>0.8223017651414773</x:v>
      </x:c>
      <x:c r="E2398" s="47" t="n">
        <x:v>0.7260130714583379</x:v>
      </x:c>
      <x:c r="F2398" s="47" t="n">
        <x:v>-0.029400010982013502</x:v>
      </x:c>
      <x:c r="G2398" s="47" t="n">
        <x:v>-0.06215208039696188</x:v>
      </x:c>
      <x:c r="H2398" s="47" t="n">
        <x:v>0.30486651683521926</x:v>
      </x:c>
      <x:c r="I2398" s="47" t="n">
        <x:v>0.8225026550567804</x:v>
      </x:c>
      <x:c r="J2398" s="47" t="n">
        <x:v>0.48457160463745924</x:v>
      </x:c>
      <x:c r="K2398" s="47" t="n">
        <x:v>0.8282699455233775</x:v>
      </x:c>
      <x:c r="L2398" s="47" t="n">
        <x:v>0.9118026120167936</x:v>
      </x:c>
      <x:c r="M2398" s="47" t="n">
        <x:v>0.09201299191899369</x:v>
      </x:c>
      <x:c r="N2398" s="47" t="n">
        <x:v>0.9988271423403234</x:v>
      </x:c>
      <x:c r="O2398" s="47" t="n">
        <x:v>1</x:v>
      </x:c>
      <x:c r="P2398" s="47" t="n">
        <x:v>1</x:v>
      </x:c>
      <x:c r="Q2398" s="47" t="n">
        <x:v>1</x:v>
      </x:c>
      <x:c r="R2398" s="47" t="n">
        <x:v>1</x:v>
      </x:c>
      <x:c r="S2398" s="27" t="n">
        <x:v>1</x:v>
      </x:c>
    </x:row>
    <x:row r="2399" ht="21.600000381469727" hidden="0" customHeight="1">
      <x:c r="A2399" s="29" t="n">
        <x:v>799</x:v>
      </x:c>
      <x:c r="B2399" s="29" t="str">
        <x:v>A1</x:v>
      </x:c>
      <x:c r="C2399" s="48" t="n">
        <x:v>1.1210826495598931</x:v>
      </x:c>
      <x:c r="D2399" s="48" t="n">
        <x:v>0.827938716309877</x:v>
      </x:c>
      <x:c r="E2399" s="48" t="n">
        <x:v>0.535595565309493</x:v>
      </x:c>
      <x:c r="F2399" s="48" t="n">
        <x:v>0.034050731219868235</x:v>
      </x:c>
      <x:c r="G2399" s="48" t="n">
        <x:v>-0.04405612594078662</x:v>
      </x:c>
      <x:c r="H2399" s="48" t="n">
        <x:v>0.49185695725146894</x:v>
      </x:c>
      <x:c r="I2399" s="48" t="n">
        <x:v>0.870267520481413</x:v>
      </x:c>
      <x:c r="J2399" s="48" t="n">
        <x:v>0.4959735233770862</x:v>
      </x:c>
      <x:c r="K2399" s="48" t="n">
        <x:v>0.9019476291782424</x:v>
      </x:c>
      <x:c r="L2399" s="48" t="n">
        <x:v>0.8394161392381443</x:v>
      </x:c>
      <x:c r="M2399" s="48" t="n">
        <x:v>0.14537762592502346</x:v>
      </x:c>
      <x:c r="N2399" s="48" t="n">
        <x:v>0.8117942268280695</x:v>
      </x:c>
      <x:c r="O2399" s="48" t="n">
        <x:v>0.8152543779527426</x:v>
      </x:c>
      <x:c r="P2399" s="48" t="n">
        <x:v>0.5314952592616149</x:v>
      </x:c>
      <x:c r="Q2399" s="48" t="n">
        <x:v>1</x:v>
      </x:c>
      <x:c r="R2399" s="48" t="n">
        <x:v>0.7718681537901404</x:v>
      </x:c>
      <x:c r="S2399" s="29" t="n">
        <x:v>0</x:v>
      </x:c>
    </x:row>
    <x:row r="2400" ht="21.600000381469727" hidden="0" customHeight="1">
      <x:c r="A2400" s="27" t="n">
        <x:v>799</x:v>
      </x:c>
      <x:c r="B2400" s="27" t="str">
        <x:v>A2</x:v>
      </x:c>
      <x:c r="C2400" s="47" t="n">
        <x:v>1.1210826495598931</x:v>
      </x:c>
      <x:c r="D2400" s="47" t="n">
        <x:v>0.827938716309877</x:v>
      </x:c>
      <x:c r="E2400" s="47" t="n">
        <x:v>0.535595565309493</x:v>
      </x:c>
      <x:c r="F2400" s="47" t="n">
        <x:v>0.034050731219868235</x:v>
      </x:c>
      <x:c r="G2400" s="47" t="n">
        <x:v>-0.04405612594078662</x:v>
      </x:c>
      <x:c r="H2400" s="47" t="n">
        <x:v>0.49185695725146894</x:v>
      </x:c>
      <x:c r="I2400" s="47" t="n">
        <x:v>0.870267520481413</x:v>
      </x:c>
      <x:c r="J2400" s="47" t="n">
        <x:v>0.4959735233770862</x:v>
      </x:c>
      <x:c r="K2400" s="47" t="n">
        <x:v>0.9019476291782424</x:v>
      </x:c>
      <x:c r="L2400" s="47" t="n">
        <x:v>0.8394161392381443</x:v>
      </x:c>
      <x:c r="M2400" s="47" t="n">
        <x:v>0.14537762592502346</x:v>
      </x:c>
      <x:c r="N2400" s="47" t="n">
        <x:v>0.8117942268280695</x:v>
      </x:c>
      <x:c r="O2400" s="47" t="n">
        <x:v>0.8944067663681531</x:v>
      </x:c>
      <x:c r="P2400" s="47" t="n">
        <x:v>0.6708207493055256</x:v>
      </x:c>
      <x:c r="Q2400" s="47" t="n">
        <x:v>1</x:v>
      </x:c>
      <x:c r="R2400" s="47" t="n">
        <x:v>0.8696089300046292</x:v>
      </x:c>
      <x:c r="S2400" s="27" t="n">
        <x:v>0</x:v>
      </x:c>
    </x:row>
    <x:row r="2401" ht="21.600000381469727" hidden="0" customHeight="1">
      <x:c r="A2401" s="29" t="n">
        <x:v>799</x:v>
      </x:c>
      <x:c r="B2401" s="29" t="str">
        <x:v>A3</x:v>
      </x:c>
      <x:c r="C2401" s="48" t="n">
        <x:v>1.1210826495598931</x:v>
      </x:c>
      <x:c r="D2401" s="48" t="n">
        <x:v>0.827938716309877</x:v>
      </x:c>
      <x:c r="E2401" s="48" t="n">
        <x:v>0.535595565309493</x:v>
      </x:c>
      <x:c r="F2401" s="48" t="n">
        <x:v>0.034050731219868235</x:v>
      </x:c>
      <x:c r="G2401" s="48" t="n">
        <x:v>-0.04405612594078662</x:v>
      </x:c>
      <x:c r="H2401" s="48" t="n">
        <x:v>0.49185695725146894</x:v>
      </x:c>
      <x:c r="I2401" s="48" t="n">
        <x:v>0.870267520481413</x:v>
      </x:c>
      <x:c r="J2401" s="48" t="n">
        <x:v>0.4959735233770862</x:v>
      </x:c>
      <x:c r="K2401" s="48" t="n">
        <x:v>0.9019476291782424</x:v>
      </x:c>
      <x:c r="L2401" s="48" t="n">
        <x:v>0.8394161392381443</x:v>
      </x:c>
      <x:c r="M2401" s="48" t="n">
        <x:v>0.14537762592502346</x:v>
      </x:c>
      <x:c r="N2401" s="48" t="n">
        <x:v>0.8117942268280695</x:v>
      </x:c>
      <x:c r="O2401" s="48" t="n">
        <x:v>1</x:v>
      </x:c>
      <x:c r="P2401" s="48" t="n">
        <x:v>1</x:v>
      </x:c>
      <x:c r="Q2401" s="48" t="n">
        <x:v>1</x:v>
      </x:c>
      <x:c r="R2401" s="48" t="n">
        <x:v>1</x:v>
      </x:c>
      <x:c r="S2401" s="29" t="n">
        <x:v>1</x:v>
      </x:c>
    </x:row>
    <x:row r="2402" ht="21.600000381469727" hidden="0" customHeight="1">
      <x:c r="A2402" s="27" t="n">
        <x:v>800</x:v>
      </x:c>
      <x:c r="B2402" s="27" t="str">
        <x:v>A1</x:v>
      </x:c>
      <x:c r="C2402" s="47" t="n">
        <x:v>0.9507278387107833</x:v>
      </x:c>
      <x:c r="D2402" s="47" t="n">
        <x:v>0.8697405756067822</x:v>
      </x:c>
      <x:c r="E2402" s="47" t="n">
        <x:v>0.6486598772910364</x:v>
      </x:c>
      <x:c r="F2402" s="47" t="n">
        <x:v>-0.1508542245101926</x:v>
      </x:c>
      <x:c r="G2402" s="47" t="n">
        <x:v>0.011145894478452656</x:v>
      </x:c>
      <x:c r="H2402" s="47" t="n">
        <x:v>0.5140862978344222</x:v>
      </x:c>
      <x:c r="I2402" s="47" t="n">
        <x:v>0.9514720104624779</x:v>
      </x:c>
      <x:c r="J2402" s="47" t="n">
        <x:v>0.7582186622237332</x:v>
      </x:c>
      <x:c r="K2402" s="47" t="n">
        <x:v>0.8572681662486288</x:v>
      </x:c>
      <x:c r="L2402" s="47" t="n">
        <x:v>0.738109428741835</x:v>
      </x:c>
      <x:c r="M2402" s="47" t="n">
        <x:v>0.08692059420340323</x:v>
      </x:c>
      <x:c r="N2402" s="47" t="n">
        <x:v>0.8068432853764198</x:v>
      </x:c>
      <x:c r="O2402" s="47" t="n">
        <x:v>0.9140973215361455</x:v>
      </x:c>
      <x:c r="P2402" s="47" t="n">
        <x:v>0.6590495399986722</x:v>
      </x:c>
      <x:c r="Q2402" s="47" t="n">
        <x:v>1</x:v>
      </x:c>
      <x:c r="R2402" s="47" t="n">
        <x:v>0.8939236750773008</x:v>
      </x:c>
      <x:c r="S2402" s="27" t="n">
        <x:v>0</x:v>
      </x:c>
    </x:row>
    <x:row r="2403" ht="21.600000381469727" hidden="0" customHeight="1">
      <x:c r="A2403" s="29" t="n">
        <x:v>800</x:v>
      </x:c>
      <x:c r="B2403" s="29" t="str">
        <x:v>A2</x:v>
      </x:c>
      <x:c r="C2403" s="48" t="n">
        <x:v>0.9507278387107833</x:v>
      </x:c>
      <x:c r="D2403" s="48" t="n">
        <x:v>0.8697405756067822</x:v>
      </x:c>
      <x:c r="E2403" s="48" t="n">
        <x:v>0.6486598772910364</x:v>
      </x:c>
      <x:c r="F2403" s="48" t="n">
        <x:v>-0.1508542245101926</x:v>
      </x:c>
      <x:c r="G2403" s="48" t="n">
        <x:v>0.011145894478452656</x:v>
      </x:c>
      <x:c r="H2403" s="48" t="n">
        <x:v>0.5140862978344222</x:v>
      </x:c>
      <x:c r="I2403" s="48" t="n">
        <x:v>0.9514720104624779</x:v>
      </x:c>
      <x:c r="J2403" s="48" t="n">
        <x:v>0.7582186622237332</x:v>
      </x:c>
      <x:c r="K2403" s="48" t="n">
        <x:v>0.8572681662486288</x:v>
      </x:c>
      <x:c r="L2403" s="48" t="n">
        <x:v>0.738109428741835</x:v>
      </x:c>
      <x:c r="M2403" s="48" t="n">
        <x:v>0.08692059420340323</x:v>
      </x:c>
      <x:c r="N2403" s="48" t="n">
        <x:v>0.8068432853764198</x:v>
      </x:c>
      <x:c r="O2403" s="48" t="n">
        <x:v>0.9706929774216285</x:v>
      </x:c>
      <x:c r="P2403" s="48" t="n">
        <x:v>0.7492735224580476</x:v>
      </x:c>
      <x:c r="Q2403" s="48" t="n">
        <x:v>1</x:v>
      </x:c>
      <x:c r="R2403" s="48" t="n">
        <x:v>0.9638104270421752</x:v>
      </x:c>
      <x:c r="S2403" s="29" t="n">
        <x:v>0</x:v>
      </x:c>
    </x:row>
    <x:row r="2404" ht="21.600000381469727" hidden="0" customHeight="1">
      <x:c r="A2404" s="27" t="n">
        <x:v>800</x:v>
      </x:c>
      <x:c r="B2404" s="27" t="str">
        <x:v>A3</x:v>
      </x:c>
      <x:c r="C2404" s="47" t="n">
        <x:v>0.9507278387107833</x:v>
      </x:c>
      <x:c r="D2404" s="47" t="n">
        <x:v>0.8697405756067822</x:v>
      </x:c>
      <x:c r="E2404" s="47" t="n">
        <x:v>0.6486598772910364</x:v>
      </x:c>
      <x:c r="F2404" s="47" t="n">
        <x:v>-0.1508542245101926</x:v>
      </x:c>
      <x:c r="G2404" s="47" t="n">
        <x:v>0.011145894478452656</x:v>
      </x:c>
      <x:c r="H2404" s="47" t="n">
        <x:v>0.5140862978344222</x:v>
      </x:c>
      <x:c r="I2404" s="47" t="n">
        <x:v>0.9514720104624779</x:v>
      </x:c>
      <x:c r="J2404" s="47" t="n">
        <x:v>0.7582186622237332</x:v>
      </x:c>
      <x:c r="K2404" s="47" t="n">
        <x:v>0.8572681662486288</x:v>
      </x:c>
      <x:c r="L2404" s="47" t="n">
        <x:v>0.738109428741835</x:v>
      </x:c>
      <x:c r="M2404" s="47" t="n">
        <x:v>0.08692059420340323</x:v>
      </x:c>
      <x:c r="N2404" s="47" t="n">
        <x:v>0.8068432853764198</x:v>
      </x:c>
      <x:c r="O2404" s="47" t="n">
        <x:v>1</x:v>
      </x:c>
      <x:c r="P2404" s="47" t="n">
        <x:v>1</x:v>
      </x:c>
      <x:c r="Q2404" s="47" t="n">
        <x:v>1</x:v>
      </x:c>
      <x:c r="R2404" s="47" t="n">
        <x:v>1</x:v>
      </x:c>
      <x:c r="S2404" s="27" t="n">
        <x:v>1</x:v>
      </x:c>
    </x:row>
    <x:row r="2405" ht="21.600000381469727" hidden="0" customHeight="1">
      <x:c r="A2405" s="29" t="n">
        <x:v>801</x:v>
      </x:c>
      <x:c r="B2405" s="29" t="str">
        <x:v>A1</x:v>
      </x:c>
      <x:c r="C2405" s="48" t="n">
        <x:v>1.0102122009836334</x:v>
      </x:c>
      <x:c r="D2405" s="48" t="n">
        <x:v>0.9045081136854842</x:v>
      </x:c>
      <x:c r="E2405" s="48" t="n">
        <x:v>0.7524205671986068</x:v>
      </x:c>
      <x:c r="F2405" s="48" t="n">
        <x:v>-0.17853229945069962</x:v>
      </x:c>
      <x:c r="G2405" s="48" t="n">
        <x:v>-0.19033573309234433</x:v>
      </x:c>
      <x:c r="H2405" s="48" t="n">
        <x:v>0.8783078377996505</x:v>
      </x:c>
      <x:c r="I2405" s="48" t="n">
        <x:v>0.8231010518749579</x:v>
      </x:c>
      <x:c r="J2405" s="48" t="n">
        <x:v>0.5362396281458465</x:v>
      </x:c>
      <x:c r="K2405" s="48" t="n">
        <x:v>0.7537736165502581</x:v>
      </x:c>
      <x:c r="L2405" s="48" t="n">
        <x:v>0.9955159644563475</x:v>
      </x:c>
      <x:c r="M2405" s="48" t="n">
        <x:v>0.16946305904551462</x:v>
      </x:c>
      <x:c r="N2405" s="48" t="n">
        <x:v>0.8659907492281717</x:v>
      </x:c>
      <x:c r="O2405" s="48" t="n">
        <x:v>0.880201264590835</x:v>
      </x:c>
      <x:c r="P2405" s="48" t="n">
        <x:v>0.6515736082142755</x:v>
      </x:c>
      <x:c r="Q2405" s="48" t="n">
        <x:v>0.9999999999999999</x:v>
      </x:c>
      <x:c r="R2405" s="48" t="n">
        <x:v>0.8520673649548871</x:v>
      </x:c>
      <x:c r="S2405" s="29" t="n">
        <x:v>0</x:v>
      </x:c>
    </x:row>
    <x:row r="2406" ht="21.600000381469727" hidden="0" customHeight="1">
      <x:c r="A2406" s="27" t="n">
        <x:v>801</x:v>
      </x:c>
      <x:c r="B2406" s="27" t="str">
        <x:v>A2</x:v>
      </x:c>
      <x:c r="C2406" s="47" t="n">
        <x:v>1.0102122009836334</x:v>
      </x:c>
      <x:c r="D2406" s="47" t="n">
        <x:v>0.9045081136854842</x:v>
      </x:c>
      <x:c r="E2406" s="47" t="n">
        <x:v>0.7524205671986068</x:v>
      </x:c>
      <x:c r="F2406" s="47" t="n">
        <x:v>-0.17853229945069962</x:v>
      </x:c>
      <x:c r="G2406" s="47" t="n">
        <x:v>-0.19033573309234433</x:v>
      </x:c>
      <x:c r="H2406" s="47" t="n">
        <x:v>0.8783078377996505</x:v>
      </x:c>
      <x:c r="I2406" s="47" t="n">
        <x:v>0.8231010518749579</x:v>
      </x:c>
      <x:c r="J2406" s="47" t="n">
        <x:v>0.5362396281458465</x:v>
      </x:c>
      <x:c r="K2406" s="47" t="n">
        <x:v>0.7537736165502581</x:v>
      </x:c>
      <x:c r="L2406" s="47" t="n">
        <x:v>0.9955159644563475</x:v>
      </x:c>
      <x:c r="M2406" s="47" t="n">
        <x:v>0.16946305904551462</x:v>
      </x:c>
      <x:c r="N2406" s="47" t="n">
        <x:v>0.8659907492281717</x:v>
      </x:c>
      <x:c r="O2406" s="47" t="n">
        <x:v>0.9698488785325518</x:v>
      </x:c>
      <x:c r="P2406" s="47" t="n">
        <x:v>0.8257863734578191</x:v>
      </x:c>
      <x:c r="Q2406" s="47" t="n">
        <x:v>1</x:v>
      </x:c>
      <x:c r="R2406" s="47" t="n">
        <x:v>0.9627680974009374</x:v>
      </x:c>
      <x:c r="S2406" s="27" t="n">
        <x:v>0</x:v>
      </x:c>
    </x:row>
    <x:row r="2407" ht="21.600000381469727" hidden="0" customHeight="1">
      <x:c r="A2407" s="29" t="n">
        <x:v>801</x:v>
      </x:c>
      <x:c r="B2407" s="29" t="str">
        <x:v>A3</x:v>
      </x:c>
      <x:c r="C2407" s="48" t="n">
        <x:v>1.0102122009836334</x:v>
      </x:c>
      <x:c r="D2407" s="48" t="n">
        <x:v>0.9045081136854842</x:v>
      </x:c>
      <x:c r="E2407" s="48" t="n">
        <x:v>0.7524205671986068</x:v>
      </x:c>
      <x:c r="F2407" s="48" t="n">
        <x:v>-0.17853229945069962</x:v>
      </x:c>
      <x:c r="G2407" s="48" t="n">
        <x:v>-0.19033573309234433</x:v>
      </x:c>
      <x:c r="H2407" s="48" t="n">
        <x:v>0.8783078377996505</x:v>
      </x:c>
      <x:c r="I2407" s="48" t="n">
        <x:v>0.8231010518749579</x:v>
      </x:c>
      <x:c r="J2407" s="48" t="n">
        <x:v>0.5362396281458465</x:v>
      </x:c>
      <x:c r="K2407" s="48" t="n">
        <x:v>0.7537736165502581</x:v>
      </x:c>
      <x:c r="L2407" s="48" t="n">
        <x:v>0.9955159644563475</x:v>
      </x:c>
      <x:c r="M2407" s="48" t="n">
        <x:v>0.16946305904551462</x:v>
      </x:c>
      <x:c r="N2407" s="48" t="n">
        <x:v>0.8659907492281717</x:v>
      </x:c>
      <x:c r="O2407" s="48" t="n">
        <x:v>1</x:v>
      </x:c>
      <x:c r="P2407" s="48" t="n">
        <x:v>1</x:v>
      </x:c>
      <x:c r="Q2407" s="48" t="n">
        <x:v>1</x:v>
      </x:c>
      <x:c r="R2407" s="48" t="n">
        <x:v>1</x:v>
      </x:c>
      <x:c r="S2407" s="29" t="n">
        <x:v>1</x:v>
      </x:c>
    </x:row>
    <x:row r="2408" ht="21.600000381469727" hidden="0" customHeight="1">
      <x:c r="A2408" s="27" t="n">
        <x:v>802</x:v>
      </x:c>
      <x:c r="B2408" s="27" t="str">
        <x:v>A1</x:v>
      </x:c>
      <x:c r="C2408" s="47" t="n">
        <x:v>1.010375151541672</x:v>
      </x:c>
      <x:c r="D2408" s="47" t="n">
        <x:v>0.7569453591812808</x:v>
      </x:c>
      <x:c r="E2408" s="47" t="n">
        <x:v>0.874552515677972</x:v>
      </x:c>
      <x:c r="F2408" s="47" t="n">
        <x:v>-0.05531509443001398</x:v>
      </x:c>
      <x:c r="G2408" s="47" t="n">
        <x:v>-0.0445172143162465</x:v>
      </x:c>
      <x:c r="H2408" s="47" t="n">
        <x:v>0.6315311116755667</x:v>
      </x:c>
      <x:c r="I2408" s="47" t="n">
        <x:v>0.9037429496955289</x:v>
      </x:c>
      <x:c r="J2408" s="47" t="n">
        <x:v>0.5803843616596909</x:v>
      </x:c>
      <x:c r="K2408" s="47" t="n">
        <x:v>0.7530849657911597</x:v>
      </x:c>
      <x:c r="L2408" s="47" t="n">
        <x:v>0.7213587698541177</x:v>
      </x:c>
      <x:c r="M2408" s="47" t="n">
        <x:v>0.17903455152467376</x:v>
      </x:c>
      <x:c r="N2408" s="47" t="n">
        <x:v>0.8871184956385593</x:v>
      </x:c>
      <x:c r="O2408" s="47" t="n">
        <x:v>0.863811082874694</x:v>
      </x:c>
      <x:c r="P2408" s="47" t="n">
        <x:v>0.5848541119176668</x:v>
      </x:c>
      <x:c r="Q2408" s="47" t="n">
        <x:v>1</x:v>
      </x:c>
      <x:c r="R2408" s="47" t="n">
        <x:v>0.8318280630803245</x:v>
      </x:c>
      <x:c r="S2408" s="27" t="n">
        <x:v>0</x:v>
      </x:c>
    </x:row>
    <x:row r="2409" ht="21.600000381469727" hidden="0" customHeight="1">
      <x:c r="A2409" s="29" t="n">
        <x:v>802</x:v>
      </x:c>
      <x:c r="B2409" s="29" t="str">
        <x:v>A2</x:v>
      </x:c>
      <x:c r="C2409" s="48" t="n">
        <x:v>1.010375151541672</x:v>
      </x:c>
      <x:c r="D2409" s="48" t="n">
        <x:v>0.7569453591812808</x:v>
      </x:c>
      <x:c r="E2409" s="48" t="n">
        <x:v>0.874552515677972</x:v>
      </x:c>
      <x:c r="F2409" s="48" t="n">
        <x:v>-0.05531509443001398</x:v>
      </x:c>
      <x:c r="G2409" s="48" t="n">
        <x:v>-0.0445172143162465</x:v>
      </x:c>
      <x:c r="H2409" s="48" t="n">
        <x:v>0.6315311116755667</x:v>
      </x:c>
      <x:c r="I2409" s="48" t="n">
        <x:v>0.9037429496955289</x:v>
      </x:c>
      <x:c r="J2409" s="48" t="n">
        <x:v>0.5803843616596909</x:v>
      </x:c>
      <x:c r="K2409" s="48" t="n">
        <x:v>0.7530849657911597</x:v>
      </x:c>
      <x:c r="L2409" s="48" t="n">
        <x:v>0.7213587698541177</x:v>
      </x:c>
      <x:c r="M2409" s="48" t="n">
        <x:v>0.17903455152467376</x:v>
      </x:c>
      <x:c r="N2409" s="48" t="n">
        <x:v>0.8871184956385593</x:v>
      </x:c>
      <x:c r="O2409" s="48" t="n">
        <x:v>0.9389926991086329</x:v>
      </x:c>
      <x:c r="P2409" s="48" t="n">
        <x:v>0.6990580414760539</x:v>
      </x:c>
      <x:c r="Q2409" s="48" t="n">
        <x:v>1</x:v>
      </x:c>
      <x:c r="R2409" s="48" t="n">
        <x:v>0.9246655588890337</x:v>
      </x:c>
      <x:c r="S2409" s="29" t="n">
        <x:v>0</x:v>
      </x:c>
    </x:row>
    <x:row r="2410" ht="21.600000381469727" hidden="0" customHeight="1">
      <x:c r="A2410" s="27" t="n">
        <x:v>802</x:v>
      </x:c>
      <x:c r="B2410" s="27" t="str">
        <x:v>A3</x:v>
      </x:c>
      <x:c r="C2410" s="47" t="n">
        <x:v>1.010375151541672</x:v>
      </x:c>
      <x:c r="D2410" s="47" t="n">
        <x:v>0.7569453591812808</x:v>
      </x:c>
      <x:c r="E2410" s="47" t="n">
        <x:v>0.874552515677972</x:v>
      </x:c>
      <x:c r="F2410" s="47" t="n">
        <x:v>-0.05531509443001398</x:v>
      </x:c>
      <x:c r="G2410" s="47" t="n">
        <x:v>-0.0445172143162465</x:v>
      </x:c>
      <x:c r="H2410" s="47" t="n">
        <x:v>0.6315311116755667</x:v>
      </x:c>
      <x:c r="I2410" s="47" t="n">
        <x:v>0.9037429496955289</x:v>
      </x:c>
      <x:c r="J2410" s="47" t="n">
        <x:v>0.5803843616596909</x:v>
      </x:c>
      <x:c r="K2410" s="47" t="n">
        <x:v>0.7530849657911597</x:v>
      </x:c>
      <x:c r="L2410" s="47" t="n">
        <x:v>0.7213587698541177</x:v>
      </x:c>
      <x:c r="M2410" s="47" t="n">
        <x:v>0.17903455152467376</x:v>
      </x:c>
      <x:c r="N2410" s="47" t="n">
        <x:v>0.8871184956385593</x:v>
      </x:c>
      <x:c r="O2410" s="47" t="n">
        <x:v>1</x:v>
      </x:c>
      <x:c r="P2410" s="47" t="n">
        <x:v>1</x:v>
      </x:c>
      <x:c r="Q2410" s="47" t="n">
        <x:v>1</x:v>
      </x:c>
      <x:c r="R2410" s="47" t="n">
        <x:v>1.0000000000000002</x:v>
      </x:c>
      <x:c r="S2410" s="27" t="n">
        <x:v>1</x:v>
      </x:c>
    </x:row>
    <x:row r="2411" ht="21.600000381469727" hidden="0" customHeight="1">
      <x:c r="A2411" s="29" t="n">
        <x:v>803</x:v>
      </x:c>
      <x:c r="B2411" s="29" t="str">
        <x:v>A1</x:v>
      </x:c>
      <x:c r="C2411" s="48" t="n">
        <x:v>0.9612085503200473</x:v>
      </x:c>
      <x:c r="D2411" s="48" t="n">
        <x:v>0.8454547956978318</x:v>
      </x:c>
      <x:c r="E2411" s="48" t="n">
        <x:v>0.5609192419834798</x:v>
      </x:c>
      <x:c r="F2411" s="48" t="n">
        <x:v>-0.1683183131794777</x:v>
      </x:c>
      <x:c r="G2411" s="48" t="n">
        <x:v>-0.18574699124123492</x:v>
      </x:c>
      <x:c r="H2411" s="48" t="n">
        <x:v>0.3370306377802728</x:v>
      </x:c>
      <x:c r="I2411" s="48" t="n">
        <x:v>0.8460986468825823</x:v>
      </x:c>
      <x:c r="J2411" s="48" t="n">
        <x:v>0.7361795449210935</x:v>
      </x:c>
      <x:c r="K2411" s="48" t="n">
        <x:v>0.7710245457704894</x:v>
      </x:c>
      <x:c r="L2411" s="48" t="n">
        <x:v>0.8995840228338847</x:v>
      </x:c>
      <x:c r="M2411" s="48" t="n">
        <x:v>0.033157354450156544</x:v>
      </x:c>
      <x:c r="N2411" s="48" t="n">
        <x:v>0.695549612691501</x:v>
      </x:c>
      <x:c r="O2411" s="48" t="n">
        <x:v>0.9475736313904547</x:v>
      </x:c>
      <x:c r="P2411" s="48" t="n">
        <x:v>0.7138517920270014</x:v>
      </x:c>
      <x:c r="Q2411" s="48" t="n">
        <x:v>1</x:v>
      </x:c>
      <x:c r="R2411" s="48" t="n">
        <x:v>0.9352616634243446</x:v>
      </x:c>
      <x:c r="S2411" s="29" t="n">
        <x:v>0</x:v>
      </x:c>
    </x:row>
    <x:row r="2412" ht="21.600000381469727" hidden="0" customHeight="1">
      <x:c r="A2412" s="27" t="n">
        <x:v>803</x:v>
      </x:c>
      <x:c r="B2412" s="27" t="str">
        <x:v>A2</x:v>
      </x:c>
      <x:c r="C2412" s="47" t="n">
        <x:v>0.9612085503200473</x:v>
      </x:c>
      <x:c r="D2412" s="47" t="n">
        <x:v>0.8454547956978318</x:v>
      </x:c>
      <x:c r="E2412" s="47" t="n">
        <x:v>0.5609192419834798</x:v>
      </x:c>
      <x:c r="F2412" s="47" t="n">
        <x:v>-0.1683183131794777</x:v>
      </x:c>
      <x:c r="G2412" s="47" t="n">
        <x:v>-0.18574699124123492</x:v>
      </x:c>
      <x:c r="H2412" s="47" t="n">
        <x:v>0.3370306377802728</x:v>
      </x:c>
      <x:c r="I2412" s="47" t="n">
        <x:v>0.8460986468825823</x:v>
      </x:c>
      <x:c r="J2412" s="47" t="n">
        <x:v>0.7361795449210935</x:v>
      </x:c>
      <x:c r="K2412" s="47" t="n">
        <x:v>0.7710245457704894</x:v>
      </x:c>
      <x:c r="L2412" s="47" t="n">
        <x:v>0.8995840228338847</x:v>
      </x:c>
      <x:c r="M2412" s="47" t="n">
        <x:v>0.033157354450156544</x:v>
      </x:c>
      <x:c r="N2412" s="47" t="n">
        <x:v>0.695549612691501</x:v>
      </x:c>
      <x:c r="O2412" s="47" t="n">
        <x:v>1</x:v>
      </x:c>
      <x:c r="P2412" s="47" t="n">
        <x:v>1</x:v>
      </x:c>
      <x:c r="Q2412" s="47" t="n">
        <x:v>1</x:v>
      </x:c>
      <x:c r="R2412" s="47" t="n">
        <x:v>1</x:v>
      </x:c>
      <x:c r="S2412" s="27" t="n">
        <x:v>1</x:v>
      </x:c>
    </x:row>
    <x:row r="2413" ht="21.600000381469727" hidden="0" customHeight="1">
      <x:c r="A2413" s="29" t="n">
        <x:v>803</x:v>
      </x:c>
      <x:c r="B2413" s="29" t="str">
        <x:v>A3</x:v>
      </x:c>
      <x:c r="C2413" s="48" t="n">
        <x:v>0.9612085503200473</x:v>
      </x:c>
      <x:c r="D2413" s="48" t="n">
        <x:v>0.8454547956978318</x:v>
      </x:c>
      <x:c r="E2413" s="48" t="n">
        <x:v>0.5609192419834798</x:v>
      </x:c>
      <x:c r="F2413" s="48" t="n">
        <x:v>-0.1683183131794777</x:v>
      </x:c>
      <x:c r="G2413" s="48" t="n">
        <x:v>-0.18574699124123492</x:v>
      </x:c>
      <x:c r="H2413" s="48" t="n">
        <x:v>0.3370306377802728</x:v>
      </x:c>
      <x:c r="I2413" s="48" t="n">
        <x:v>0.8460986468825823</x:v>
      </x:c>
      <x:c r="J2413" s="48" t="n">
        <x:v>0.7361795449210935</x:v>
      </x:c>
      <x:c r="K2413" s="48" t="n">
        <x:v>0.7710245457704894</x:v>
      </x:c>
      <x:c r="L2413" s="48" t="n">
        <x:v>0.8995840228338847</x:v>
      </x:c>
      <x:c r="M2413" s="48" t="n">
        <x:v>0.033157354450156544</x:v>
      </x:c>
      <x:c r="N2413" s="48" t="n">
        <x:v>0.695549612691501</x:v>
      </x:c>
      <x:c r="O2413" s="48" t="n">
        <x:v>1</x:v>
      </x:c>
      <x:c r="P2413" s="48" t="n">
        <x:v>1</x:v>
      </x:c>
      <x:c r="Q2413" s="48" t="n">
        <x:v>1</x:v>
      </x:c>
      <x:c r="R2413" s="48" t="n">
        <x:v>1</x:v>
      </x:c>
      <x:c r="S2413" s="29" t="n">
        <x:v>1</x:v>
      </x:c>
    </x:row>
    <x:row r="2414" ht="21.600000381469727" hidden="0" customHeight="1">
      <x:c r="A2414" s="27" t="n">
        <x:v>804</x:v>
      </x:c>
      <x:c r="B2414" s="27" t="str">
        <x:v>A1</x:v>
      </x:c>
      <x:c r="C2414" s="47" t="n">
        <x:v>0.9358716060331373</x:v>
      </x:c>
      <x:c r="D2414" s="47" t="n">
        <x:v>0.7489790102403658</x:v>
      </x:c>
      <x:c r="E2414" s="47" t="n">
        <x:v>0.9894020974423134</x:v>
      </x:c>
      <x:c r="F2414" s="47" t="n">
        <x:v>-0.12515541525717394</x:v>
      </x:c>
      <x:c r="G2414" s="47" t="n">
        <x:v>-0.19558021130794243</x:v>
      </x:c>
      <x:c r="H2414" s="47" t="n">
        <x:v>1.011949951901592</x:v>
      </x:c>
      <x:c r="I2414" s="47" t="n">
        <x:v>0.9004002148575688</x:v>
      </x:c>
      <x:c r="J2414" s="47" t="n">
        <x:v>0.5399894721364779</x:v>
      </x:c>
      <x:c r="K2414" s="47" t="n">
        <x:v>0.9310526452343555</x:v>
      </x:c>
      <x:c r="L2414" s="47" t="n">
        <x:v>0.9374664519841043</x:v>
      </x:c>
      <x:c r="M2414" s="47" t="n">
        <x:v>0.06061770279090587</x:v>
      </x:c>
      <x:c r="N2414" s="47" t="n">
        <x:v>0.6532358321690171</x:v>
      </x:c>
      <x:c r="O2414" s="47" t="n">
        <x:v>0.9015785710408324</x:v>
      </x:c>
      <x:c r="P2414" s="47" t="n">
        <x:v>0.7019641712052566</x:v>
      </x:c>
      <x:c r="Q2414" s="47" t="n">
        <x:v>1</x:v>
      </x:c>
      <x:c r="R2414" s="47" t="n">
        <x:v>0.8784649831143279</x:v>
      </x:c>
      <x:c r="S2414" s="27" t="n">
        <x:v>0</x:v>
      </x:c>
    </x:row>
    <x:row r="2415" ht="21.600000381469727" hidden="0" customHeight="1">
      <x:c r="A2415" s="29" t="n">
        <x:v>804</x:v>
      </x:c>
      <x:c r="B2415" s="29" t="str">
        <x:v>A2</x:v>
      </x:c>
      <x:c r="C2415" s="48" t="n">
        <x:v>0.9358716060331373</x:v>
      </x:c>
      <x:c r="D2415" s="48" t="n">
        <x:v>0.7489790102403658</x:v>
      </x:c>
      <x:c r="E2415" s="48" t="n">
        <x:v>0.9894020974423134</x:v>
      </x:c>
      <x:c r="F2415" s="48" t="n">
        <x:v>-0.12515541525717394</x:v>
      </x:c>
      <x:c r="G2415" s="48" t="n">
        <x:v>-0.19558021130794243</x:v>
      </x:c>
      <x:c r="H2415" s="48" t="n">
        <x:v>1.011949951901592</x:v>
      </x:c>
      <x:c r="I2415" s="48" t="n">
        <x:v>0.9004002148575688</x:v>
      </x:c>
      <x:c r="J2415" s="48" t="n">
        <x:v>0.5399894721364779</x:v>
      </x:c>
      <x:c r="K2415" s="48" t="n">
        <x:v>0.9310526452343555</x:v>
      </x:c>
      <x:c r="L2415" s="48" t="n">
        <x:v>0.9374664519841043</x:v>
      </x:c>
      <x:c r="M2415" s="48" t="n">
        <x:v>0.06061770279090587</x:v>
      </x:c>
      <x:c r="N2415" s="48" t="n">
        <x:v>0.6532358321690171</x:v>
      </x:c>
      <x:c r="O2415" s="48" t="n">
        <x:v>0.9976457724530756</x:v>
      </x:c>
      <x:c r="P2415" s="48" t="n">
        <x:v>0.9764577245307569</x:v>
      </x:c>
      <x:c r="Q2415" s="48" t="n">
        <x:v>1</x:v>
      </x:c>
      <x:c r="R2415" s="48" t="n">
        <x:v>0.997092898490766</x:v>
      </x:c>
      <x:c r="S2415" s="29" t="n">
        <x:v>1</x:v>
      </x:c>
    </x:row>
    <x:row r="2416" ht="21.600000381469727" hidden="0" customHeight="1">
      <x:c r="A2416" s="27" t="n">
        <x:v>804</x:v>
      </x:c>
      <x:c r="B2416" s="27" t="str">
        <x:v>A3</x:v>
      </x:c>
      <x:c r="C2416" s="47" t="n">
        <x:v>0.9358716060331373</x:v>
      </x:c>
      <x:c r="D2416" s="47" t="n">
        <x:v>0.7489790102403658</x:v>
      </x:c>
      <x:c r="E2416" s="47" t="n">
        <x:v>0.9894020974423134</x:v>
      </x:c>
      <x:c r="F2416" s="47" t="n">
        <x:v>-0.12515541525717394</x:v>
      </x:c>
      <x:c r="G2416" s="47" t="n">
        <x:v>-0.19558021130794243</x:v>
      </x:c>
      <x:c r="H2416" s="47" t="n">
        <x:v>1.011949951901592</x:v>
      </x:c>
      <x:c r="I2416" s="47" t="n">
        <x:v>0.9004002148575688</x:v>
      </x:c>
      <x:c r="J2416" s="47" t="n">
        <x:v>0.5399894721364779</x:v>
      </x:c>
      <x:c r="K2416" s="47" t="n">
        <x:v>0.9310526452343555</x:v>
      </x:c>
      <x:c r="L2416" s="47" t="n">
        <x:v>0.9374664519841043</x:v>
      </x:c>
      <x:c r="M2416" s="47" t="n">
        <x:v>0.06061770279090587</x:v>
      </x:c>
      <x:c r="N2416" s="47" t="n">
        <x:v>0.6532358321690171</x:v>
      </x:c>
      <x:c r="O2416" s="47" t="n">
        <x:v>1</x:v>
      </x:c>
      <x:c r="P2416" s="47" t="n">
        <x:v>1</x:v>
      </x:c>
      <x:c r="Q2416" s="47" t="n">
        <x:v>1</x:v>
      </x:c>
      <x:c r="R2416" s="47" t="n">
        <x:v>1.0000000000000002</x:v>
      </x:c>
      <x:c r="S2416" s="27" t="n">
        <x:v>1</x:v>
      </x:c>
    </x:row>
    <x:row r="2417" ht="21.600000381469727" hidden="0" customHeight="1">
      <x:c r="A2417" s="29" t="n">
        <x:v>805</x:v>
      </x:c>
      <x:c r="B2417" s="29" t="str">
        <x:v>A1</x:v>
      </x:c>
      <x:c r="C2417" s="48" t="n">
        <x:v>1.3302259471512077</x:v>
      </x:c>
      <x:c r="D2417" s="48" t="n">
        <x:v>0.8261909055475077</x:v>
      </x:c>
      <x:c r="E2417" s="48" t="n">
        <x:v>0.988646195214641</x:v>
      </x:c>
      <x:c r="F2417" s="48" t="n">
        <x:v>0.013120599078451367</x:v>
      </x:c>
      <x:c r="G2417" s="48" t="n">
        <x:v>-0.10621168827005585</x:v>
      </x:c>
      <x:c r="H2417" s="48" t="n">
        <x:v>1.0245728006907027</x:v>
      </x:c>
      <x:c r="I2417" s="48" t="n">
        <x:v>0.9244953146911559</x:v>
      </x:c>
      <x:c r="J2417" s="48" t="n">
        <x:v>0.5552704037179776</x:v>
      </x:c>
      <x:c r="K2417" s="48" t="n">
        <x:v>0.5916999627316399</x:v>
      </x:c>
      <x:c r="L2417" s="48" t="n">
        <x:v>0.7870249078226017</x:v>
      </x:c>
      <x:c r="M2417" s="48" t="n">
        <x:v>0.013355174013216337</x:v>
      </x:c>
      <x:c r="N2417" s="48" t="n">
        <x:v>0.9510037892578161</x:v>
      </x:c>
      <x:c r="O2417" s="48" t="n">
        <x:v>0.7431557607398512</x:v>
      </x:c>
      <x:c r="P2417" s="48" t="n">
        <x:v>0.5009790696428681</x:v>
      </x:c>
      <x:c r="Q2417" s="48" t="n">
        <x:v>0.9280570109649598</x:v>
      </x:c>
      <x:c r="R2417" s="48" t="n">
        <x:v>0.6833719879172464</x:v>
      </x:c>
      <x:c r="S2417" s="29" t="n">
        <x:v>0</x:v>
      </x:c>
    </x:row>
    <x:row r="2418" ht="21.600000381469727" hidden="0" customHeight="1">
      <x:c r="A2418" s="27" t="n">
        <x:v>805</x:v>
      </x:c>
      <x:c r="B2418" s="27" t="str">
        <x:v>A2</x:v>
      </x:c>
      <x:c r="C2418" s="47" t="n">
        <x:v>1.3302259471512077</x:v>
      </x:c>
      <x:c r="D2418" s="47" t="n">
        <x:v>0.8261909055475077</x:v>
      </x:c>
      <x:c r="E2418" s="47" t="n">
        <x:v>0.988646195214641</x:v>
      </x:c>
      <x:c r="F2418" s="47" t="n">
        <x:v>0.013120599078451367</x:v>
      </x:c>
      <x:c r="G2418" s="47" t="n">
        <x:v>-0.10621168827005585</x:v>
      </x:c>
      <x:c r="H2418" s="47" t="n">
        <x:v>1.0245728006907027</x:v>
      </x:c>
      <x:c r="I2418" s="47" t="n">
        <x:v>0.9244953146911559</x:v>
      </x:c>
      <x:c r="J2418" s="47" t="n">
        <x:v>0.5552704037179776</x:v>
      </x:c>
      <x:c r="K2418" s="47" t="n">
        <x:v>0.5916999627316399</x:v>
      </x:c>
      <x:c r="L2418" s="47" t="n">
        <x:v>0.7870249078226017</x:v>
      </x:c>
      <x:c r="M2418" s="47" t="n">
        <x:v>0.013355174013216337</x:v>
      </x:c>
      <x:c r="N2418" s="47" t="n">
        <x:v>0.9510037892578161</x:v>
      </x:c>
      <x:c r="O2418" s="47" t="n">
        <x:v>0.8335199268178652</x:v>
      </x:c>
      <x:c r="P2418" s="47" t="n">
        <x:v>0.5854372999946893</x:v>
      </x:c>
      <x:c r="Q2418" s="47" t="n">
        <x:v>1</x:v>
      </x:c>
      <x:c r="R2418" s="47" t="n">
        <x:v>0.79442323974271</x:v>
      </x:c>
      <x:c r="S2418" s="27" t="n">
        <x:v>0</x:v>
      </x:c>
    </x:row>
    <x:row r="2419" ht="21.600000381469727" hidden="0" customHeight="1">
      <x:c r="A2419" s="29" t="n">
        <x:v>805</x:v>
      </x:c>
      <x:c r="B2419" s="29" t="str">
        <x:v>A3</x:v>
      </x:c>
      <x:c r="C2419" s="48" t="n">
        <x:v>1.3302259471512077</x:v>
      </x:c>
      <x:c r="D2419" s="48" t="n">
        <x:v>0.8261909055475077</x:v>
      </x:c>
      <x:c r="E2419" s="48" t="n">
        <x:v>0.988646195214641</x:v>
      </x:c>
      <x:c r="F2419" s="48" t="n">
        <x:v>0.013120599078451367</x:v>
      </x:c>
      <x:c r="G2419" s="48" t="n">
        <x:v>-0.10621168827005585</x:v>
      </x:c>
      <x:c r="H2419" s="48" t="n">
        <x:v>1.0245728006907027</x:v>
      </x:c>
      <x:c r="I2419" s="48" t="n">
        <x:v>0.9244953146911559</x:v>
      </x:c>
      <x:c r="J2419" s="48" t="n">
        <x:v>0.5552704037179776</x:v>
      </x:c>
      <x:c r="K2419" s="48" t="n">
        <x:v>0.5916999627316399</x:v>
      </x:c>
      <x:c r="L2419" s="48" t="n">
        <x:v>0.7870249078226017</x:v>
      </x:c>
      <x:c r="M2419" s="48" t="n">
        <x:v>0.013355174013216337</x:v>
      </x:c>
      <x:c r="N2419" s="48" t="n">
        <x:v>0.9510037892578161</x:v>
      </x:c>
      <x:c r="O2419" s="48" t="n">
        <x:v>1</x:v>
      </x:c>
      <x:c r="P2419" s="48" t="n">
        <x:v>1</x:v>
      </x:c>
      <x:c r="Q2419" s="48" t="n">
        <x:v>1</x:v>
      </x:c>
      <x:c r="R2419" s="48" t="n">
        <x:v>1</x:v>
      </x:c>
      <x:c r="S2419" s="29" t="n">
        <x:v>1</x:v>
      </x:c>
    </x:row>
    <x:row r="2420" ht="21.600000381469727" hidden="0" customHeight="1">
      <x:c r="A2420" s="27" t="n">
        <x:v>806</x:v>
      </x:c>
      <x:c r="B2420" s="27" t="str">
        <x:v>A1</x:v>
      </x:c>
      <x:c r="C2420" s="47" t="n">
        <x:v>1.3423561273154783</x:v>
      </x:c>
      <x:c r="D2420" s="47" t="n">
        <x:v>0.765187986141991</x:v>
      </x:c>
      <x:c r="E2420" s="47" t="n">
        <x:v>0.830279248814207</x:v>
      </x:c>
      <x:c r="F2420" s="47" t="n">
        <x:v>-0.1942888604222357</x:v>
      </x:c>
      <x:c r="G2420" s="47" t="n">
        <x:v>-0.08301281464390593</x:v>
      </x:c>
      <x:c r="H2420" s="47" t="n">
        <x:v>0.7901229514193833</x:v>
      </x:c>
      <x:c r="I2420" s="47" t="n">
        <x:v>0.7986887187121068</x:v>
      </x:c>
      <x:c r="J2420" s="47" t="n">
        <x:v>0.4991801312346138</x:v>
      </x:c>
      <x:c r="K2420" s="47" t="n">
        <x:v>0.741752849995115</x:v>
      </x:c>
      <x:c r="L2420" s="47" t="n">
        <x:v>0.9750624123053322</x:v>
      </x:c>
      <x:c r="M2420" s="47" t="n">
        <x:v>0.1513638880050959</x:v>
      </x:c>
      <x:c r="N2420" s="47" t="n">
        <x:v>0.92329033859806</x:v>
      </x:c>
      <x:c r="O2420" s="47" t="n">
        <x:v>0.7504159897534786</x:v>
      </x:c>
      <x:c r="P2420" s="47" t="n">
        <x:v>0.45078553869980253</x:v>
      </x:c>
      <x:c r="Q2420" s="47" t="n">
        <x:v>1</x:v>
      </x:c>
      <x:c r="R2420" s="47" t="n">
        <x:v>0.6918029211678162</x:v>
      </x:c>
      <x:c r="S2420" s="27" t="n">
        <x:v>0</x:v>
      </x:c>
    </x:row>
    <x:row r="2421" ht="21.600000381469727" hidden="0" customHeight="1">
      <x:c r="A2421" s="29" t="n">
        <x:v>806</x:v>
      </x:c>
      <x:c r="B2421" s="29" t="str">
        <x:v>A2</x:v>
      </x:c>
      <x:c r="C2421" s="48" t="n">
        <x:v>1.3423561273154783</x:v>
      </x:c>
      <x:c r="D2421" s="48" t="n">
        <x:v>0.765187986141991</x:v>
      </x:c>
      <x:c r="E2421" s="48" t="n">
        <x:v>0.830279248814207</x:v>
      </x:c>
      <x:c r="F2421" s="48" t="n">
        <x:v>-0.1942888604222357</x:v>
      </x:c>
      <x:c r="G2421" s="48" t="n">
        <x:v>-0.08301281464390593</x:v>
      </x:c>
      <x:c r="H2421" s="48" t="n">
        <x:v>0.7901229514193833</x:v>
      </x:c>
      <x:c r="I2421" s="48" t="n">
        <x:v>0.7986887187121068</x:v>
      </x:c>
      <x:c r="J2421" s="48" t="n">
        <x:v>0.4991801312346138</x:v>
      </x:c>
      <x:c r="K2421" s="48" t="n">
        <x:v>0.741752849995115</x:v>
      </x:c>
      <x:c r="L2421" s="48" t="n">
        <x:v>0.9750624123053322</x:v>
      </x:c>
      <x:c r="M2421" s="48" t="n">
        <x:v>0.1513638880050959</x:v>
      </x:c>
      <x:c r="N2421" s="48" t="n">
        <x:v>0.92329033859806</x:v>
      </x:c>
      <x:c r="O2421" s="48" t="n">
        <x:v>0.8245281354795906</x:v>
      </x:c>
      <x:c r="P2421" s="48" t="n">
        <x:v>0.4660510322611788</x:v>
      </x:c>
      <x:c r="Q2421" s="48" t="n">
        <x:v>1</x:v>
      </x:c>
      <x:c r="R2421" s="48" t="n">
        <x:v>0.7833197887596621</x:v>
      </x:c>
      <x:c r="S2421" s="29" t="n">
        <x:v>0</x:v>
      </x:c>
    </x:row>
    <x:row r="2422" ht="21.600000381469727" hidden="0" customHeight="1">
      <x:c r="A2422" s="27" t="n">
        <x:v>806</x:v>
      </x:c>
      <x:c r="B2422" s="27" t="str">
        <x:v>A3</x:v>
      </x:c>
      <x:c r="C2422" s="47" t="n">
        <x:v>1.3423561273154783</x:v>
      </x:c>
      <x:c r="D2422" s="47" t="n">
        <x:v>0.765187986141991</x:v>
      </x:c>
      <x:c r="E2422" s="47" t="n">
        <x:v>0.830279248814207</x:v>
      </x:c>
      <x:c r="F2422" s="47" t="n">
        <x:v>-0.1942888604222357</x:v>
      </x:c>
      <x:c r="G2422" s="47" t="n">
        <x:v>-0.08301281464390593</x:v>
      </x:c>
      <x:c r="H2422" s="47" t="n">
        <x:v>0.7901229514193833</x:v>
      </x:c>
      <x:c r="I2422" s="47" t="n">
        <x:v>0.7986887187121068</x:v>
      </x:c>
      <x:c r="J2422" s="47" t="n">
        <x:v>0.4991801312346138</x:v>
      </x:c>
      <x:c r="K2422" s="47" t="n">
        <x:v>0.741752849995115</x:v>
      </x:c>
      <x:c r="L2422" s="47" t="n">
        <x:v>0.9750624123053322</x:v>
      </x:c>
      <x:c r="M2422" s="47" t="n">
        <x:v>0.1513638880050959</x:v>
      </x:c>
      <x:c r="N2422" s="47" t="n">
        <x:v>0.92329033859806</x:v>
      </x:c>
      <x:c r="O2422" s="47" t="n">
        <x:v>1</x:v>
      </x:c>
      <x:c r="P2422" s="47" t="n">
        <x:v>1</x:v>
      </x:c>
      <x:c r="Q2422" s="47" t="n">
        <x:v>1</x:v>
      </x:c>
      <x:c r="R2422" s="47" t="n">
        <x:v>1</x:v>
      </x:c>
      <x:c r="S2422" s="27" t="n">
        <x:v>1</x:v>
      </x:c>
    </x:row>
    <x:row r="2423" ht="21.600000381469727" hidden="0" customHeight="1">
      <x:c r="A2423" s="29" t="n">
        <x:v>807</x:v>
      </x:c>
      <x:c r="B2423" s="29" t="str">
        <x:v>A1</x:v>
      </x:c>
      <x:c r="C2423" s="48" t="n">
        <x:v>0.9284164925215347</x:v>
      </x:c>
      <x:c r="D2423" s="48" t="n">
        <x:v>0.7754980347563017</x:v>
      </x:c>
      <x:c r="E2423" s="48" t="n">
        <x:v>1.0906984440550667</x:v>
      </x:c>
      <x:c r="F2423" s="48" t="n">
        <x:v>0.03545081854520099</x:v>
      </x:c>
      <x:c r="G2423" s="48" t="n">
        <x:v>-0.1932361682123101</x:v>
      </x:c>
      <x:c r="H2423" s="48" t="n">
        <x:v>0.777175545260323</x:v>
      </x:c>
      <x:c r="I2423" s="48" t="n">
        <x:v>1.005101796321094</x:v>
      </x:c>
      <x:c r="J2423" s="48" t="n">
        <x:v>0.5071390533786959</x:v>
      </x:c>
      <x:c r="K2423" s="48" t="n">
        <x:v>0.9451977989804307</x:v>
      </x:c>
      <x:c r="L2423" s="48" t="n">
        <x:v>0.8356205720095258</x:v>
      </x:c>
      <x:c r="M2423" s="48" t="n">
        <x:v>0.13183671985322026</x:v>
      </x:c>
      <x:c r="N2423" s="48" t="n">
        <x:v>0.793144519517806</x:v>
      </x:c>
      <x:c r="O2423" s="48" t="n">
        <x:v>0.8948096957007968</x:v>
      </x:c>
      <x:c r="P2423" s="48" t="n">
        <x:v>0.6694388664978072</x:v>
      </x:c>
      <x:c r="Q2423" s="48" t="n">
        <x:v>1</x:v>
      </x:c>
      <x:c r="R2423" s="48" t="n">
        <x:v>0.8701064844880834</x:v>
      </x:c>
      <x:c r="S2423" s="29" t="n">
        <x:v>0</x:v>
      </x:c>
    </x:row>
    <x:row r="2424" ht="21.600000381469727" hidden="0" customHeight="1">
      <x:c r="A2424" s="27" t="n">
        <x:v>807</x:v>
      </x:c>
      <x:c r="B2424" s="27" t="str">
        <x:v>A2</x:v>
      </x:c>
      <x:c r="C2424" s="47" t="n">
        <x:v>0.9284164925215347</x:v>
      </x:c>
      <x:c r="D2424" s="47" t="n">
        <x:v>0.7754980347563017</x:v>
      </x:c>
      <x:c r="E2424" s="47" t="n">
        <x:v>1.0906984440550667</x:v>
      </x:c>
      <x:c r="F2424" s="47" t="n">
        <x:v>0.03545081854520099</x:v>
      </x:c>
      <x:c r="G2424" s="47" t="n">
        <x:v>-0.1932361682123101</x:v>
      </x:c>
      <x:c r="H2424" s="47" t="n">
        <x:v>0.777175545260323</x:v>
      </x:c>
      <x:c r="I2424" s="47" t="n">
        <x:v>1.005101796321094</x:v>
      </x:c>
      <x:c r="J2424" s="47" t="n">
        <x:v>0.5071390533786959</x:v>
      </x:c>
      <x:c r="K2424" s="47" t="n">
        <x:v>0.9451977989804307</x:v>
      </x:c>
      <x:c r="L2424" s="47" t="n">
        <x:v>0.8356205720095258</x:v>
      </x:c>
      <x:c r="M2424" s="47" t="n">
        <x:v>0.13183671985322026</x:v>
      </x:c>
      <x:c r="N2424" s="47" t="n">
        <x:v>0.793144519517806</x:v>
      </x:c>
      <x:c r="O2424" s="47" t="n">
        <x:v>0.9778864583009504</x:v>
      </x:c>
      <x:c r="P2424" s="47" t="n">
        <x:v>0.843032422897066</x:v>
      </x:c>
      <x:c r="Q2424" s="47" t="n">
        <x:v>1</x:v>
      </x:c>
      <x:c r="R2424" s="47" t="n">
        <x:v>0.9726932468648573</x:v>
      </x:c>
      <x:c r="S2424" s="27" t="n">
        <x:v>0</x:v>
      </x:c>
    </x:row>
    <x:row r="2425" ht="21.600000381469727" hidden="0" customHeight="1">
      <x:c r="A2425" s="29" t="n">
        <x:v>807</x:v>
      </x:c>
      <x:c r="B2425" s="29" t="str">
        <x:v>A3</x:v>
      </x:c>
      <x:c r="C2425" s="48" t="n">
        <x:v>0.9284164925215347</x:v>
      </x:c>
      <x:c r="D2425" s="48" t="n">
        <x:v>0.7754980347563017</x:v>
      </x:c>
      <x:c r="E2425" s="48" t="n">
        <x:v>1.0906984440550667</x:v>
      </x:c>
      <x:c r="F2425" s="48" t="n">
        <x:v>0.03545081854520099</x:v>
      </x:c>
      <x:c r="G2425" s="48" t="n">
        <x:v>-0.1932361682123101</x:v>
      </x:c>
      <x:c r="H2425" s="48" t="n">
        <x:v>0.777175545260323</x:v>
      </x:c>
      <x:c r="I2425" s="48" t="n">
        <x:v>1.005101796321094</x:v>
      </x:c>
      <x:c r="J2425" s="48" t="n">
        <x:v>0.5071390533786959</x:v>
      </x:c>
      <x:c r="K2425" s="48" t="n">
        <x:v>0.9451977989804307</x:v>
      </x:c>
      <x:c r="L2425" s="48" t="n">
        <x:v>0.8356205720095258</x:v>
      </x:c>
      <x:c r="M2425" s="48" t="n">
        <x:v>0.13183671985322026</x:v>
      </x:c>
      <x:c r="N2425" s="48" t="n">
        <x:v>0.793144519517806</x:v>
      </x:c>
      <x:c r="O2425" s="48" t="n">
        <x:v>1</x:v>
      </x:c>
      <x:c r="P2425" s="48" t="n">
        <x:v>1</x:v>
      </x:c>
      <x:c r="Q2425" s="48" t="n">
        <x:v>1</x:v>
      </x:c>
      <x:c r="R2425" s="48" t="n">
        <x:v>1</x:v>
      </x:c>
      <x:c r="S2425" s="29" t="n">
        <x:v>1</x:v>
      </x:c>
    </x:row>
    <x:row r="2426" ht="21.600000381469727" hidden="0" customHeight="1">
      <x:c r="A2426" s="27" t="n">
        <x:v>808</x:v>
      </x:c>
      <x:c r="B2426" s="27" t="str">
        <x:v>A1</x:v>
      </x:c>
      <x:c r="C2426" s="47" t="n">
        <x:v>0.9775980326541476</x:v>
      </x:c>
      <x:c r="D2426" s="47" t="n">
        <x:v>0.7503271215523749</x:v>
      </x:c>
      <x:c r="E2426" s="47" t="n">
        <x:v>0.8790649245574775</x:v>
      </x:c>
      <x:c r="F2426" s="47" t="n">
        <x:v>-0.15144512279750477</x:v>
      </x:c>
      <x:c r="G2426" s="47" t="n">
        <x:v>-0.015390041996251241</x:v>
      </x:c>
      <x:c r="H2426" s="47" t="n">
        <x:v>1.0666934401353443</x:v>
      </x:c>
      <x:c r="I2426" s="47" t="n">
        <x:v>0.9631081079548804</x:v>
      </x:c>
      <x:c r="J2426" s="47" t="n">
        <x:v>0.6849663035327322</x:v>
      </x:c>
      <x:c r="K2426" s="47" t="n">
        <x:v>0.8864215346394593</x:v>
      </x:c>
      <x:c r="L2426" s="47" t="n">
        <x:v>0.599120967184871</x:v>
      </x:c>
      <x:c r="M2426" s="47" t="n">
        <x:v>0.0718192306775974</x:v>
      </x:c>
      <x:c r="N2426" s="47" t="n">
        <x:v>0.6518555521412482</x:v>
      </x:c>
      <x:c r="O2426" s="47" t="n">
        <x:v>0.8831444520829317</x:v>
      </x:c>
      <x:c r="P2426" s="47" t="n">
        <x:v>0.6662637084071745</x:v>
      </x:c>
      <x:c r="Q2426" s="47" t="n">
        <x:v>1</x:v>
      </x:c>
      <x:c r="R2426" s="47" t="n">
        <x:v>0.855701739555342</x:v>
      </x:c>
      <x:c r="S2426" s="27" t="n">
        <x:v>0</x:v>
      </x:c>
    </x:row>
    <x:row r="2427" ht="21.600000381469727" hidden="0" customHeight="1">
      <x:c r="A2427" s="29" t="n">
        <x:v>808</x:v>
      </x:c>
      <x:c r="B2427" s="29" t="str">
        <x:v>A2</x:v>
      </x:c>
      <x:c r="C2427" s="48" t="n">
        <x:v>0.9775980326541476</x:v>
      </x:c>
      <x:c r="D2427" s="48" t="n">
        <x:v>0.7503271215523749</x:v>
      </x:c>
      <x:c r="E2427" s="48" t="n">
        <x:v>0.8790649245574775</x:v>
      </x:c>
      <x:c r="F2427" s="48" t="n">
        <x:v>-0.15144512279750477</x:v>
      </x:c>
      <x:c r="G2427" s="48" t="n">
        <x:v>-0.015390041996251241</x:v>
      </x:c>
      <x:c r="H2427" s="48" t="n">
        <x:v>1.0666934401353443</x:v>
      </x:c>
      <x:c r="I2427" s="48" t="n">
        <x:v>0.9631081079548804</x:v>
      </x:c>
      <x:c r="J2427" s="48" t="n">
        <x:v>0.6849663035327322</x:v>
      </x:c>
      <x:c r="K2427" s="48" t="n">
        <x:v>0.8864215346394593</x:v>
      </x:c>
      <x:c r="L2427" s="48" t="n">
        <x:v>0.599120967184871</x:v>
      </x:c>
      <x:c r="M2427" s="48" t="n">
        <x:v>0.0718192306775974</x:v>
      </x:c>
      <x:c r="N2427" s="48" t="n">
        <x:v>0.6518555521412482</x:v>
      </x:c>
      <x:c r="O2427" s="48" t="n">
        <x:v>0.9760868857971062</x:v>
      </x:c>
      <x:c r="P2427" s="48" t="n">
        <x:v>0.7608688579710621</x:v>
      </x:c>
      <x:c r="Q2427" s="48" t="n">
        <x:v>1</x:v>
      </x:c>
      <x:c r="R2427" s="48" t="n">
        <x:v>0.9704710572771358</x:v>
      </x:c>
      <x:c r="S2427" s="29" t="n">
        <x:v>0</x:v>
      </x:c>
    </x:row>
    <x:row r="2428" ht="21.600000381469727" hidden="0" customHeight="1">
      <x:c r="A2428" s="27" t="n">
        <x:v>808</x:v>
      </x:c>
      <x:c r="B2428" s="27" t="str">
        <x:v>A3</x:v>
      </x:c>
      <x:c r="C2428" s="47" t="n">
        <x:v>0.9775980326541476</x:v>
      </x:c>
      <x:c r="D2428" s="47" t="n">
        <x:v>0.7503271215523749</x:v>
      </x:c>
      <x:c r="E2428" s="47" t="n">
        <x:v>0.8790649245574775</x:v>
      </x:c>
      <x:c r="F2428" s="47" t="n">
        <x:v>-0.15144512279750477</x:v>
      </x:c>
      <x:c r="G2428" s="47" t="n">
        <x:v>-0.015390041996251241</x:v>
      </x:c>
      <x:c r="H2428" s="47" t="n">
        <x:v>1.0666934401353443</x:v>
      </x:c>
      <x:c r="I2428" s="47" t="n">
        <x:v>0.9631081079548804</x:v>
      </x:c>
      <x:c r="J2428" s="47" t="n">
        <x:v>0.6849663035327322</x:v>
      </x:c>
      <x:c r="K2428" s="47" t="n">
        <x:v>0.8864215346394593</x:v>
      </x:c>
      <x:c r="L2428" s="47" t="n">
        <x:v>0.599120967184871</x:v>
      </x:c>
      <x:c r="M2428" s="47" t="n">
        <x:v>0.0718192306775974</x:v>
      </x:c>
      <x:c r="N2428" s="47" t="n">
        <x:v>0.6518555521412482</x:v>
      </x:c>
      <x:c r="O2428" s="47" t="n">
        <x:v>1</x:v>
      </x:c>
      <x:c r="P2428" s="47" t="n">
        <x:v>1</x:v>
      </x:c>
      <x:c r="Q2428" s="47" t="n">
        <x:v>1</x:v>
      </x:c>
      <x:c r="R2428" s="47" t="n">
        <x:v>1.0000000000000002</x:v>
      </x:c>
      <x:c r="S2428" s="27" t="n">
        <x:v>1</x:v>
      </x:c>
    </x:row>
    <x:row r="2429" ht="21.600000381469727" hidden="0" customHeight="1">
      <x:c r="A2429" s="29" t="n">
        <x:v>809</x:v>
      </x:c>
      <x:c r="B2429" s="29" t="str">
        <x:v>A1</x:v>
      </x:c>
      <x:c r="C2429" s="48" t="n">
        <x:v>1.2685968301116524</x:v>
      </x:c>
      <x:c r="D2429" s="48" t="n">
        <x:v>0.8935333778214684</x:v>
      </x:c>
      <x:c r="E2429" s="48" t="n">
        <x:v>0.4615226477493755</x:v>
      </x:c>
      <x:c r="F2429" s="48" t="n">
        <x:v>-0.1972925248326882</x:v>
      </x:c>
      <x:c r="G2429" s="48" t="n">
        <x:v>-0.025315533632257914</x:v>
      </x:c>
      <x:c r="H2429" s="48" t="n">
        <x:v>0.698455647639614</x:v>
      </x:c>
      <x:c r="I2429" s="48" t="n">
        <x:v>0.995558020521514</x:v>
      </x:c>
      <x:c r="J2429" s="48" t="n">
        <x:v>0.9011109566703153</x:v>
      </x:c>
      <x:c r="K2429" s="48" t="n">
        <x:v>0.9544925262831762</x:v>
      </x:c>
      <x:c r="L2429" s="48" t="n">
        <x:v>0.7198531267322749</x:v>
      </x:c>
      <x:c r="M2429" s="48" t="n">
        <x:v>0.09026782854143009</x:v>
      </x:c>
      <x:c r="N2429" s="48" t="n">
        <x:v>0.8818786346877024</x:v>
      </x:c>
      <x:c r="O2429" s="48" t="n">
        <x:v>0.8326266725017014</x:v>
      </x:c>
      <x:c r="P2429" s="48" t="n">
        <x:v>0.5648075418720538</x:v>
      </x:c>
      <x:c r="Q2429" s="48" t="n">
        <x:v>1</x:v>
      </x:c>
      <x:c r="R2429" s="48" t="n">
        <x:v>0.7933202108642817</x:v>
      </x:c>
      <x:c r="S2429" s="29" t="n">
        <x:v>0</x:v>
      </x:c>
    </x:row>
    <x:row r="2430" ht="21.600000381469727" hidden="0" customHeight="1">
      <x:c r="A2430" s="27" t="n">
        <x:v>809</x:v>
      </x:c>
      <x:c r="B2430" s="27" t="str">
        <x:v>A2</x:v>
      </x:c>
      <x:c r="C2430" s="47" t="n">
        <x:v>1.2685968301116524</x:v>
      </x:c>
      <x:c r="D2430" s="47" t="n">
        <x:v>0.8935333778214684</x:v>
      </x:c>
      <x:c r="E2430" s="47" t="n">
        <x:v>0.4615226477493755</x:v>
      </x:c>
      <x:c r="F2430" s="47" t="n">
        <x:v>-0.1972925248326882</x:v>
      </x:c>
      <x:c r="G2430" s="47" t="n">
        <x:v>-0.025315533632257914</x:v>
      </x:c>
      <x:c r="H2430" s="47" t="n">
        <x:v>0.698455647639614</x:v>
      </x:c>
      <x:c r="I2430" s="47" t="n">
        <x:v>0.995558020521514</x:v>
      </x:c>
      <x:c r="J2430" s="47" t="n">
        <x:v>0.9011109566703153</x:v>
      </x:c>
      <x:c r="K2430" s="47" t="n">
        <x:v>0.9544925262831762</x:v>
      </x:c>
      <x:c r="L2430" s="47" t="n">
        <x:v>0.7198531267322749</x:v>
      </x:c>
      <x:c r="M2430" s="47" t="n">
        <x:v>0.09026782854143009</x:v>
      </x:c>
      <x:c r="N2430" s="47" t="n">
        <x:v>0.8818786346877024</x:v>
      </x:c>
      <x:c r="O2430" s="47" t="n">
        <x:v>0.9295023707090097</x:v>
      </x:c>
      <x:c r="P2430" s="47" t="n">
        <x:v>0.6005226744514519</x:v>
      </x:c>
      <x:c r="Q2430" s="47" t="n">
        <x:v>1</x:v>
      </x:c>
      <x:c r="R2430" s="47" t="n">
        <x:v>0.9129464928838317</x:v>
      </x:c>
      <x:c r="S2430" s="27" t="n">
        <x:v>0</x:v>
      </x:c>
    </x:row>
    <x:row r="2431" ht="21.600000381469727" hidden="0" customHeight="1">
      <x:c r="A2431" s="29" t="n">
        <x:v>809</x:v>
      </x:c>
      <x:c r="B2431" s="29" t="str">
        <x:v>A3</x:v>
      </x:c>
      <x:c r="C2431" s="48" t="n">
        <x:v>1.2685968301116524</x:v>
      </x:c>
      <x:c r="D2431" s="48" t="n">
        <x:v>0.8935333778214684</x:v>
      </x:c>
      <x:c r="E2431" s="48" t="n">
        <x:v>0.4615226477493755</x:v>
      </x:c>
      <x:c r="F2431" s="48" t="n">
        <x:v>-0.1972925248326882</x:v>
      </x:c>
      <x:c r="G2431" s="48" t="n">
        <x:v>-0.025315533632257914</x:v>
      </x:c>
      <x:c r="H2431" s="48" t="n">
        <x:v>0.698455647639614</x:v>
      </x:c>
      <x:c r="I2431" s="48" t="n">
        <x:v>0.995558020521514</x:v>
      </x:c>
      <x:c r="J2431" s="48" t="n">
        <x:v>0.9011109566703153</x:v>
      </x:c>
      <x:c r="K2431" s="48" t="n">
        <x:v>0.9544925262831762</x:v>
      </x:c>
      <x:c r="L2431" s="48" t="n">
        <x:v>0.7198531267322749</x:v>
      </x:c>
      <x:c r="M2431" s="48" t="n">
        <x:v>0.09026782854143009</x:v>
      </x:c>
      <x:c r="N2431" s="48" t="n">
        <x:v>0.8818786346877024</x:v>
      </x:c>
      <x:c r="O2431" s="48" t="n">
        <x:v>1</x:v>
      </x:c>
      <x:c r="P2431" s="48" t="n">
        <x:v>1</x:v>
      </x:c>
      <x:c r="Q2431" s="48" t="n">
        <x:v>1</x:v>
      </x:c>
      <x:c r="R2431" s="48" t="n">
        <x:v>1.0000000000000002</x:v>
      </x:c>
      <x:c r="S2431" s="29" t="n">
        <x:v>1</x:v>
      </x:c>
    </x:row>
    <x:row r="2432" ht="21.600000381469727" hidden="0" customHeight="1">
      <x:c r="A2432" s="27" t="n">
        <x:v>810</x:v>
      </x:c>
      <x:c r="B2432" s="27" t="str">
        <x:v>A1</x:v>
      </x:c>
      <x:c r="C2432" s="47" t="n">
        <x:v>1.23002759888894</x:v>
      </x:c>
      <x:c r="D2432" s="47" t="n">
        <x:v>0.9500877737818707</x:v>
      </x:c>
      <x:c r="E2432" s="47" t="n">
        <x:v>0.6780540207296863</x:v>
      </x:c>
      <x:c r="F2432" s="47" t="n">
        <x:v>-0.14804891106633686</x:v>
      </x:c>
      <x:c r="G2432" s="47" t="n">
        <x:v>0.024745801408915413</x:v>
      </x:c>
      <x:c r="H2432" s="47" t="n">
        <x:v>0.37195612166783004</x:v>
      </x:c>
      <x:c r="I2432" s="47" t="n">
        <x:v>0.8283930753040827</x:v>
      </x:c>
      <x:c r="J2432" s="47" t="n">
        <x:v>0.9028265986328902</x:v>
      </x:c>
      <x:c r="K2432" s="47" t="n">
        <x:v>0.6587745719948997</x:v>
      </x:c>
      <x:c r="L2432" s="47" t="n">
        <x:v>0.7407388303671154</x:v>
      </x:c>
      <x:c r="M2432" s="47" t="n">
        <x:v>0.16157422527520912</x:v>
      </x:c>
      <x:c r="N2432" s="47" t="n">
        <x:v>0.8847386543984723</x:v>
      </x:c>
      <x:c r="O2432" s="47" t="n">
        <x:v>0.845801442372636</x:v>
      </x:c>
      <x:c r="P2432" s="47" t="n">
        <x:v>0.5772171095253433</x:v>
      </x:c>
      <x:c r="Q2432" s="47" t="n">
        <x:v>1</x:v>
      </x:c>
      <x:c r="R2432" s="47" t="n">
        <x:v>0.8095889837896694</x:v>
      </x:c>
      <x:c r="S2432" s="27" t="n">
        <x:v>0</x:v>
      </x:c>
    </x:row>
    <x:row r="2433" ht="21.600000381469727" hidden="0" customHeight="1">
      <x:c r="A2433" s="29" t="n">
        <x:v>810</x:v>
      </x:c>
      <x:c r="B2433" s="29" t="str">
        <x:v>A2</x:v>
      </x:c>
      <x:c r="C2433" s="48" t="n">
        <x:v>1.23002759888894</x:v>
      </x:c>
      <x:c r="D2433" s="48" t="n">
        <x:v>0.9500877737818707</x:v>
      </x:c>
      <x:c r="E2433" s="48" t="n">
        <x:v>0.6780540207296863</x:v>
      </x:c>
      <x:c r="F2433" s="48" t="n">
        <x:v>-0.14804891106633686</x:v>
      </x:c>
      <x:c r="G2433" s="48" t="n">
        <x:v>0.024745801408915413</x:v>
      </x:c>
      <x:c r="H2433" s="48" t="n">
        <x:v>0.37195612166783004</x:v>
      </x:c>
      <x:c r="I2433" s="48" t="n">
        <x:v>0.8283930753040827</x:v>
      </x:c>
      <x:c r="J2433" s="48" t="n">
        <x:v>0.9028265986328902</x:v>
      </x:c>
      <x:c r="K2433" s="48" t="n">
        <x:v>0.6587745719948997</x:v>
      </x:c>
      <x:c r="L2433" s="48" t="n">
        <x:v>0.7407388303671154</x:v>
      </x:c>
      <x:c r="M2433" s="48" t="n">
        <x:v>0.16157422527520912</x:v>
      </x:c>
      <x:c r="N2433" s="48" t="n">
        <x:v>0.8847386543984723</x:v>
      </x:c>
      <x:c r="O2433" s="48" t="n">
        <x:v>0.9235298553408527</x:v>
      </x:c>
      <x:c r="P2433" s="48" t="n">
        <x:v>0.5648788995960606</x:v>
      </x:c>
      <x:c r="Q2433" s="48" t="n">
        <x:v>1</x:v>
      </x:c>
      <x:c r="R2433" s="48" t="n">
        <x:v>0.9055713738290164</x:v>
      </x:c>
      <x:c r="S2433" s="29" t="n">
        <x:v>0</x:v>
      </x:c>
    </x:row>
    <x:row r="2434" ht="21.600000381469727" hidden="0" customHeight="1">
      <x:c r="A2434" s="27" t="n">
        <x:v>810</x:v>
      </x:c>
      <x:c r="B2434" s="27" t="str">
        <x:v>A3</x:v>
      </x:c>
      <x:c r="C2434" s="47" t="n">
        <x:v>1.23002759888894</x:v>
      </x:c>
      <x:c r="D2434" s="47" t="n">
        <x:v>0.9500877737818707</x:v>
      </x:c>
      <x:c r="E2434" s="47" t="n">
        <x:v>0.6780540207296863</x:v>
      </x:c>
      <x:c r="F2434" s="47" t="n">
        <x:v>-0.14804891106633686</x:v>
      </x:c>
      <x:c r="G2434" s="47" t="n">
        <x:v>0.024745801408915413</x:v>
      </x:c>
      <x:c r="H2434" s="47" t="n">
        <x:v>0.37195612166783004</x:v>
      </x:c>
      <x:c r="I2434" s="47" t="n">
        <x:v>0.8283930753040827</x:v>
      </x:c>
      <x:c r="J2434" s="47" t="n">
        <x:v>0.9028265986328902</x:v>
      </x:c>
      <x:c r="K2434" s="47" t="n">
        <x:v>0.6587745719948997</x:v>
      </x:c>
      <x:c r="L2434" s="47" t="n">
        <x:v>0.7407388303671154</x:v>
      </x:c>
      <x:c r="M2434" s="47" t="n">
        <x:v>0.16157422527520912</x:v>
      </x:c>
      <x:c r="N2434" s="47" t="n">
        <x:v>0.8847386543984723</x:v>
      </x:c>
      <x:c r="O2434" s="47" t="n">
        <x:v>1</x:v>
      </x:c>
      <x:c r="P2434" s="47" t="n">
        <x:v>1</x:v>
      </x:c>
      <x:c r="Q2434" s="47" t="n">
        <x:v>1</x:v>
      </x:c>
      <x:c r="R2434" s="47" t="n">
        <x:v>1</x:v>
      </x:c>
      <x:c r="S2434" s="27" t="n">
        <x:v>1</x:v>
      </x:c>
    </x:row>
    <x:row r="2435" ht="21.600000381469727" hidden="0" customHeight="1">
      <x:c r="A2435" s="29" t="n">
        <x:v>811</x:v>
      </x:c>
      <x:c r="B2435" s="29" t="str">
        <x:v>A1</x:v>
      </x:c>
      <x:c r="C2435" s="48" t="n">
        <x:v>1.3189442327968952</x:v>
      </x:c>
      <x:c r="D2435" s="48" t="n">
        <x:v>0.9026417256032943</x:v>
      </x:c>
      <x:c r="E2435" s="48" t="n">
        <x:v>0.7129813516996841</x:v>
      </x:c>
      <x:c r="F2435" s="48" t="n">
        <x:v>-0.08173876295644328</x:v>
      </x:c>
      <x:c r="G2435" s="48" t="n">
        <x:v>-0.1520433880089327</x:v>
      </x:c>
      <x:c r="H2435" s="48" t="n">
        <x:v>0.9331881912152846</x:v>
      </x:c>
      <x:c r="I2435" s="48" t="n">
        <x:v>0.8015259692779115</x:v>
      </x:c>
      <x:c r="J2435" s="48" t="n">
        <x:v>0.9613282089026832</x:v>
      </x:c>
      <x:c r="K2435" s="48" t="n">
        <x:v>0.8794207378564463</x:v>
      </x:c>
      <x:c r="L2435" s="48" t="n">
        <x:v>0.9046872715146399</x:v>
      </x:c>
      <x:c r="M2435" s="48" t="n">
        <x:v>0.14456589004043643</x:v>
      </x:c>
      <x:c r="N2435" s="48" t="n">
        <x:v>0.9379763743051308</x:v>
      </x:c>
      <x:c r="O2435" s="48" t="n">
        <x:v>0.8328693081613202</x:v>
      </x:c>
      <x:c r="P2435" s="48" t="n">
        <x:v>0.49353509187989253</x:v>
      </x:c>
      <x:c r="Q2435" s="48" t="n">
        <x:v>1</x:v>
      </x:c>
      <x:c r="R2435" s="48" t="n">
        <x:v>0.793619827820677</x:v>
      </x:c>
      <x:c r="S2435" s="29" t="n">
        <x:v>0</x:v>
      </x:c>
    </x:row>
    <x:row r="2436" ht="21.600000381469727" hidden="0" customHeight="1">
      <x:c r="A2436" s="27" t="n">
        <x:v>811</x:v>
      </x:c>
      <x:c r="B2436" s="27" t="str">
        <x:v>A2</x:v>
      </x:c>
      <x:c r="C2436" s="47" t="n">
        <x:v>1.3189442327968952</x:v>
      </x:c>
      <x:c r="D2436" s="47" t="n">
        <x:v>0.9026417256032943</x:v>
      </x:c>
      <x:c r="E2436" s="47" t="n">
        <x:v>0.7129813516996841</x:v>
      </x:c>
      <x:c r="F2436" s="47" t="n">
        <x:v>-0.08173876295644328</x:v>
      </x:c>
      <x:c r="G2436" s="47" t="n">
        <x:v>-0.1520433880089327</x:v>
      </x:c>
      <x:c r="H2436" s="47" t="n">
        <x:v>0.9331881912152846</x:v>
      </x:c>
      <x:c r="I2436" s="47" t="n">
        <x:v>0.8015259692779115</x:v>
      </x:c>
      <x:c r="J2436" s="47" t="n">
        <x:v>0.9613282089026832</x:v>
      </x:c>
      <x:c r="K2436" s="47" t="n">
        <x:v>0.8794207378564463</x:v>
      </x:c>
      <x:c r="L2436" s="47" t="n">
        <x:v>0.9046872715146399</x:v>
      </x:c>
      <x:c r="M2436" s="47" t="n">
        <x:v>0.14456589004043643</x:v>
      </x:c>
      <x:c r="N2436" s="47" t="n">
        <x:v>0.9379763743051308</x:v>
      </x:c>
      <x:c r="O2436" s="47" t="n">
        <x:v>0.9028347586371709</x:v>
      </x:c>
      <x:c r="P2436" s="47" t="n">
        <x:v>0.5480796201858751</x:v>
      </x:c>
      <x:c r="Q2436" s="47" t="n">
        <x:v>1</x:v>
      </x:c>
      <x:c r="R2436" s="47" t="n">
        <x:v>0.8800161776290497</x:v>
      </x:c>
      <x:c r="S2436" s="27" t="n">
        <x:v>0</x:v>
      </x:c>
    </x:row>
    <x:row r="2437" ht="21.600000381469727" hidden="0" customHeight="1">
      <x:c r="A2437" s="29" t="n">
        <x:v>811</x:v>
      </x:c>
      <x:c r="B2437" s="29" t="str">
        <x:v>A3</x:v>
      </x:c>
      <x:c r="C2437" s="48" t="n">
        <x:v>1.3189442327968952</x:v>
      </x:c>
      <x:c r="D2437" s="48" t="n">
        <x:v>0.9026417256032943</x:v>
      </x:c>
      <x:c r="E2437" s="48" t="n">
        <x:v>0.7129813516996841</x:v>
      </x:c>
      <x:c r="F2437" s="48" t="n">
        <x:v>-0.08173876295644328</x:v>
      </x:c>
      <x:c r="G2437" s="48" t="n">
        <x:v>-0.1520433880089327</x:v>
      </x:c>
      <x:c r="H2437" s="48" t="n">
        <x:v>0.9331881912152846</x:v>
      </x:c>
      <x:c r="I2437" s="48" t="n">
        <x:v>0.8015259692779115</x:v>
      </x:c>
      <x:c r="J2437" s="48" t="n">
        <x:v>0.9613282089026832</x:v>
      </x:c>
      <x:c r="K2437" s="48" t="n">
        <x:v>0.8794207378564463</x:v>
      </x:c>
      <x:c r="L2437" s="48" t="n">
        <x:v>0.9046872715146399</x:v>
      </x:c>
      <x:c r="M2437" s="48" t="n">
        <x:v>0.14456589004043643</x:v>
      </x:c>
      <x:c r="N2437" s="48" t="n">
        <x:v>0.9379763743051308</x:v>
      </x:c>
      <x:c r="O2437" s="48" t="n">
        <x:v>1</x:v>
      </x:c>
      <x:c r="P2437" s="48" t="n">
        <x:v>1</x:v>
      </x:c>
      <x:c r="Q2437" s="48" t="n">
        <x:v>1</x:v>
      </x:c>
      <x:c r="R2437" s="48" t="n">
        <x:v>1</x:v>
      </x:c>
      <x:c r="S2437" s="29" t="n">
        <x:v>1</x:v>
      </x:c>
    </x:row>
    <x:row r="2438" ht="21.600000381469727" hidden="0" customHeight="1">
      <x:c r="A2438" s="27" t="n">
        <x:v>812</x:v>
      </x:c>
      <x:c r="B2438" s="27" t="str">
        <x:v>A1</x:v>
      </x:c>
      <x:c r="C2438" s="47" t="n">
        <x:v>1.2772250707591364</x:v>
      </x:c>
      <x:c r="D2438" s="47" t="n">
        <x:v>0.8056635675440523</x:v>
      </x:c>
      <x:c r="E2438" s="47" t="n">
        <x:v>0.5174552397637291</x:v>
      </x:c>
      <x:c r="F2438" s="47" t="n">
        <x:v>-0.18807200781446298</x:v>
      </x:c>
      <x:c r="G2438" s="47" t="n">
        <x:v>-0.039395767595161724</x:v>
      </x:c>
      <x:c r="H2438" s="47" t="n">
        <x:v>0.7701507495720359</x:v>
      </x:c>
      <x:c r="I2438" s="47" t="n">
        <x:v>0.9504837817607371</x:v>
      </x:c>
      <x:c r="J2438" s="47" t="n">
        <x:v>0.7916591825309045</x:v>
      </x:c>
      <x:c r="K2438" s="47" t="n">
        <x:v>0.7098958086654699</x:v>
      </x:c>
      <x:c r="L2438" s="47" t="n">
        <x:v>0.6969764148911832</x:v>
      </x:c>
      <x:c r="M2438" s="47" t="n">
        <x:v>0.029535163334926444</x:v>
      </x:c>
      <x:c r="N2438" s="47" t="n">
        <x:v>0.680849306055184</x:v>
      </x:c>
      <x:c r="O2438" s="47" t="n">
        <x:v>0.7319700903119075</x:v>
      </x:c>
      <x:c r="P2438" s="47" t="n">
        <x:v>0.4648625408559504</x:v>
      </x:c>
      <x:c r="Q2438" s="47" t="n">
        <x:v>0.9233426463994873</x:v>
      </x:c>
      <x:c r="R2438" s="47" t="n">
        <x:v>0.6695944534970213</x:v>
      </x:c>
      <x:c r="S2438" s="27" t="n">
        <x:v>0</x:v>
      </x:c>
    </x:row>
    <x:row r="2439" ht="21.600000381469727" hidden="0" customHeight="1">
      <x:c r="A2439" s="29" t="n">
        <x:v>812</x:v>
      </x:c>
      <x:c r="B2439" s="29" t="str">
        <x:v>A2</x:v>
      </x:c>
      <x:c r="C2439" s="48" t="n">
        <x:v>1.2772250707591364</x:v>
      </x:c>
      <x:c r="D2439" s="48" t="n">
        <x:v>0.8056635675440523</x:v>
      </x:c>
      <x:c r="E2439" s="48" t="n">
        <x:v>0.5174552397637291</x:v>
      </x:c>
      <x:c r="F2439" s="48" t="n">
        <x:v>-0.18807200781446298</x:v>
      </x:c>
      <x:c r="G2439" s="48" t="n">
        <x:v>-0.039395767595161724</x:v>
      </x:c>
      <x:c r="H2439" s="48" t="n">
        <x:v>0.7701507495720359</x:v>
      </x:c>
      <x:c r="I2439" s="48" t="n">
        <x:v>0.9504837817607371</x:v>
      </x:c>
      <x:c r="J2439" s="48" t="n">
        <x:v>0.7916591825309045</x:v>
      </x:c>
      <x:c r="K2439" s="48" t="n">
        <x:v>0.7098958086654699</x:v>
      </x:c>
      <x:c r="L2439" s="48" t="n">
        <x:v>0.6969764148911832</x:v>
      </x:c>
      <x:c r="M2439" s="48" t="n">
        <x:v>0.029535163334926444</x:v>
      </x:c>
      <x:c r="N2439" s="48" t="n">
        <x:v>0.680849306055184</x:v>
      </x:c>
      <x:c r="O2439" s="48" t="n">
        <x:v>0.8009512424556484</x:v>
      </x:c>
      <x:c r="P2439" s="48" t="n">
        <x:v>0.5193246582290844</x:v>
      </x:c>
      <x:c r="Q2439" s="48" t="n">
        <x:v>1</x:v>
      </x:c>
      <x:c r="R2439" s="48" t="n">
        <x:v>0.754206026420718</x:v>
      </x:c>
      <x:c r="S2439" s="29" t="n">
        <x:v>0</x:v>
      </x:c>
    </x:row>
    <x:row r="2440" ht="21.600000381469727" hidden="0" customHeight="1">
      <x:c r="A2440" s="27" t="n">
        <x:v>812</x:v>
      </x:c>
      <x:c r="B2440" s="27" t="str">
        <x:v>A3</x:v>
      </x:c>
      <x:c r="C2440" s="47" t="n">
        <x:v>1.2772250707591364</x:v>
      </x:c>
      <x:c r="D2440" s="47" t="n">
        <x:v>0.8056635675440523</x:v>
      </x:c>
      <x:c r="E2440" s="47" t="n">
        <x:v>0.5174552397637291</x:v>
      </x:c>
      <x:c r="F2440" s="47" t="n">
        <x:v>-0.18807200781446298</x:v>
      </x:c>
      <x:c r="G2440" s="47" t="n">
        <x:v>-0.039395767595161724</x:v>
      </x:c>
      <x:c r="H2440" s="47" t="n">
        <x:v>0.7701507495720359</x:v>
      </x:c>
      <x:c r="I2440" s="47" t="n">
        <x:v>0.9504837817607371</x:v>
      </x:c>
      <x:c r="J2440" s="47" t="n">
        <x:v>0.7916591825309045</x:v>
      </x:c>
      <x:c r="K2440" s="47" t="n">
        <x:v>0.7098958086654699</x:v>
      </x:c>
      <x:c r="L2440" s="47" t="n">
        <x:v>0.6969764148911832</x:v>
      </x:c>
      <x:c r="M2440" s="47" t="n">
        <x:v>0.029535163334926444</x:v>
      </x:c>
      <x:c r="N2440" s="47" t="n">
        <x:v>0.680849306055184</x:v>
      </x:c>
      <x:c r="O2440" s="47" t="n">
        <x:v>1</x:v>
      </x:c>
      <x:c r="P2440" s="47" t="n">
        <x:v>1</x:v>
      </x:c>
      <x:c r="Q2440" s="47" t="n">
        <x:v>1</x:v>
      </x:c>
      <x:c r="R2440" s="47" t="n">
        <x:v>1</x:v>
      </x:c>
      <x:c r="S2440" s="27" t="n">
        <x:v>1</x:v>
      </x:c>
    </x:row>
    <x:row r="2441" ht="21.600000381469727" hidden="0" customHeight="1">
      <x:c r="A2441" s="29" t="n">
        <x:v>813</x:v>
      </x:c>
      <x:c r="B2441" s="29" t="str">
        <x:v>A1</x:v>
      </x:c>
      <x:c r="C2441" s="48" t="n">
        <x:v>0.9095762358524051</x:v>
      </x:c>
      <x:c r="D2441" s="48" t="n">
        <x:v>0.7750911464232701</x:v>
      </x:c>
      <x:c r="E2441" s="48" t="n">
        <x:v>0.6425658197989258</x:v>
      </x:c>
      <x:c r="F2441" s="48" t="n">
        <x:v>-0.0982453723631526</x:v>
      </x:c>
      <x:c r="G2441" s="48" t="n">
        <x:v>-0.043489867861575215</x:v>
      </x:c>
      <x:c r="H2441" s="48" t="n">
        <x:v>1.0675358412298706</x:v>
      </x:c>
      <x:c r="I2441" s="48" t="n">
        <x:v>0.8523213430234249</x:v>
      </x:c>
      <x:c r="J2441" s="48" t="n">
        <x:v>0.5722070144161191</x:v>
      </x:c>
      <x:c r="K2441" s="48" t="n">
        <x:v>0.725657547235331</x:v>
      </x:c>
      <x:c r="L2441" s="48" t="n">
        <x:v>0.6070626984688174</x:v>
      </x:c>
      <x:c r="M2441" s="48" t="n">
        <x:v>0.08885984883519502</x:v>
      </x:c>
      <x:c r="N2441" s="48" t="n">
        <x:v>0.911034575067176</x:v>
      </x:c>
      <x:c r="O2441" s="48" t="n">
        <x:v>0.885902094907154</x:v>
      </x:c>
      <x:c r="P2441" s="48" t="n">
        <x:v>0.6376462763126052</x:v>
      </x:c>
      <x:c r="Q2441" s="48" t="n">
        <x:v>1</x:v>
      </x:c>
      <x:c r="R2441" s="48" t="n">
        <x:v>0.859106995613406</x:v>
      </x:c>
      <x:c r="S2441" s="29" t="n">
        <x:v>0</x:v>
      </x:c>
    </x:row>
    <x:row r="2442" ht="21.600000381469727" hidden="0" customHeight="1">
      <x:c r="A2442" s="27" t="n">
        <x:v>813</x:v>
      </x:c>
      <x:c r="B2442" s="27" t="str">
        <x:v>A2</x:v>
      </x:c>
      <x:c r="C2442" s="47" t="n">
        <x:v>0.9095762358524051</x:v>
      </x:c>
      <x:c r="D2442" s="47" t="n">
        <x:v>0.7750911464232701</x:v>
      </x:c>
      <x:c r="E2442" s="47" t="n">
        <x:v>0.6425658197989258</x:v>
      </x:c>
      <x:c r="F2442" s="47" t="n">
        <x:v>-0.0982453723631526</x:v>
      </x:c>
      <x:c r="G2442" s="47" t="n">
        <x:v>-0.043489867861575215</x:v>
      </x:c>
      <x:c r="H2442" s="47" t="n">
        <x:v>1.0675358412298706</x:v>
      </x:c>
      <x:c r="I2442" s="47" t="n">
        <x:v>0.8523213430234249</x:v>
      </x:c>
      <x:c r="J2442" s="47" t="n">
        <x:v>0.5722070144161191</x:v>
      </x:c>
      <x:c r="K2442" s="47" t="n">
        <x:v>0.725657547235331</x:v>
      </x:c>
      <x:c r="L2442" s="47" t="n">
        <x:v>0.6070626984688174</x:v>
      </x:c>
      <x:c r="M2442" s="47" t="n">
        <x:v>0.08885984883519502</x:v>
      </x:c>
      <x:c r="N2442" s="47" t="n">
        <x:v>0.911034575067176</x:v>
      </x:c>
      <x:c r="O2442" s="47" t="n">
        <x:v>0.9809672528293671</x:v>
      </x:c>
      <x:c r="P2442" s="47" t="n">
        <x:v>0.8096725282936715</x:v>
      </x:c>
      <x:c r="Q2442" s="47" t="n">
        <x:v>1</x:v>
      </x:c>
      <x:c r="R2442" s="47" t="n">
        <x:v>0.976497544556854</x:v>
      </x:c>
      <x:c r="S2442" s="27" t="n">
        <x:v>0</x:v>
      </x:c>
    </x:row>
    <x:row r="2443" ht="21.600000381469727" hidden="0" customHeight="1">
      <x:c r="A2443" s="29" t="n">
        <x:v>813</x:v>
      </x:c>
      <x:c r="B2443" s="29" t="str">
        <x:v>A3</x:v>
      </x:c>
      <x:c r="C2443" s="48" t="n">
        <x:v>0.9095762358524051</x:v>
      </x:c>
      <x:c r="D2443" s="48" t="n">
        <x:v>0.7750911464232701</x:v>
      </x:c>
      <x:c r="E2443" s="48" t="n">
        <x:v>0.6425658197989258</x:v>
      </x:c>
      <x:c r="F2443" s="48" t="n">
        <x:v>-0.0982453723631526</x:v>
      </x:c>
      <x:c r="G2443" s="48" t="n">
        <x:v>-0.043489867861575215</x:v>
      </x:c>
      <x:c r="H2443" s="48" t="n">
        <x:v>1.0675358412298706</x:v>
      </x:c>
      <x:c r="I2443" s="48" t="n">
        <x:v>0.8523213430234249</x:v>
      </x:c>
      <x:c r="J2443" s="48" t="n">
        <x:v>0.5722070144161191</x:v>
      </x:c>
      <x:c r="K2443" s="48" t="n">
        <x:v>0.725657547235331</x:v>
      </x:c>
      <x:c r="L2443" s="48" t="n">
        <x:v>0.6070626984688174</x:v>
      </x:c>
      <x:c r="M2443" s="48" t="n">
        <x:v>0.08885984883519502</x:v>
      </x:c>
      <x:c r="N2443" s="48" t="n">
        <x:v>0.911034575067176</x:v>
      </x:c>
      <x:c r="O2443" s="48" t="n">
        <x:v>1</x:v>
      </x:c>
      <x:c r="P2443" s="48" t="n">
        <x:v>1</x:v>
      </x:c>
      <x:c r="Q2443" s="48" t="n">
        <x:v>1</x:v>
      </x:c>
      <x:c r="R2443" s="48" t="n">
        <x:v>1</x:v>
      </x:c>
      <x:c r="S2443" s="29" t="n">
        <x:v>1</x:v>
      </x:c>
    </x:row>
    <x:row r="2444" ht="21.600000381469727" hidden="0" customHeight="1">
      <x:c r="A2444" s="27" t="n">
        <x:v>814</x:v>
      </x:c>
      <x:c r="B2444" s="27" t="str">
        <x:v>A1</x:v>
      </x:c>
      <x:c r="C2444" s="47" t="n">
        <x:v>1.0140506812391112</x:v>
      </x:c>
      <x:c r="D2444" s="47" t="n">
        <x:v>0.7920274828691869</x:v>
      </x:c>
      <x:c r="E2444" s="47" t="n">
        <x:v>0.8326372878542156</x:v>
      </x:c>
      <x:c r="F2444" s="47" t="n">
        <x:v>-0.15530768257578073</x:v>
      </x:c>
      <x:c r="G2444" s="47" t="n">
        <x:v>-0.07980983863696021</x:v>
      </x:c>
      <x:c r="H2444" s="47" t="n">
        <x:v>0.3291380337380536</x:v>
      </x:c>
      <x:c r="I2444" s="47" t="n">
        <x:v>0.9748209574860041</x:v>
      </x:c>
      <x:c r="J2444" s="47" t="n">
        <x:v>0.6826359580882175</x:v>
      </x:c>
      <x:c r="K2444" s="47" t="n">
        <x:v>0.6084018481072959</x:v>
      </x:c>
      <x:c r="L2444" s="47" t="n">
        <x:v>0.5569534536634019</x:v>
      </x:c>
      <x:c r="M2444" s="47" t="n">
        <x:v>0.026114111581469153</x:v>
      </x:c>
      <x:c r="N2444" s="47" t="n">
        <x:v>0.6923459188224367</x:v>
      </x:c>
      <x:c r="O2444" s="47" t="n">
        <x:v>0.8301838654534576</x:v>
      </x:c>
      <x:c r="P2444" s="47" t="n">
        <x:v>0.5620163490095357</x:v>
      </x:c>
      <x:c r="Q2444" s="47" t="n">
        <x:v>1</x:v>
      </x:c>
      <x:c r="R2444" s="47" t="n">
        <x:v>0.7903037275740427</x:v>
      </x:c>
      <x:c r="S2444" s="27" t="n">
        <x:v>0</x:v>
      </x:c>
    </x:row>
    <x:row r="2445" ht="21.600000381469727" hidden="0" customHeight="1">
      <x:c r="A2445" s="29" t="n">
        <x:v>814</x:v>
      </x:c>
      <x:c r="B2445" s="29" t="str">
        <x:v>A2</x:v>
      </x:c>
      <x:c r="C2445" s="48" t="n">
        <x:v>1.0140506812391112</x:v>
      </x:c>
      <x:c r="D2445" s="48" t="n">
        <x:v>0.7920274828691869</x:v>
      </x:c>
      <x:c r="E2445" s="48" t="n">
        <x:v>0.8326372878542156</x:v>
      </x:c>
      <x:c r="F2445" s="48" t="n">
        <x:v>-0.15530768257578073</x:v>
      </x:c>
      <x:c r="G2445" s="48" t="n">
        <x:v>-0.07980983863696021</x:v>
      </x:c>
      <x:c r="H2445" s="48" t="n">
        <x:v>0.3291380337380536</x:v>
      </x:c>
      <x:c r="I2445" s="48" t="n">
        <x:v>0.9748209574860041</x:v>
      </x:c>
      <x:c r="J2445" s="48" t="n">
        <x:v>0.6826359580882175</x:v>
      </x:c>
      <x:c r="K2445" s="48" t="n">
        <x:v>0.6084018481072959</x:v>
      </x:c>
      <x:c r="L2445" s="48" t="n">
        <x:v>0.5569534536634019</x:v>
      </x:c>
      <x:c r="M2445" s="48" t="n">
        <x:v>0.026114111581469153</x:v>
      </x:c>
      <x:c r="N2445" s="48" t="n">
        <x:v>0.6923459188224367</x:v>
      </x:c>
      <x:c r="O2445" s="48" t="n">
        <x:v>0.92350263192081</x:v>
      </x:c>
      <x:c r="P2445" s="48" t="n">
        <x:v>0.636873193802646</x:v>
      </x:c>
      <x:c r="Q2445" s="48" t="n">
        <x:v>1</x:v>
      </x:c>
      <x:c r="R2445" s="48" t="n">
        <x:v>0.905537757178155</x:v>
      </x:c>
      <x:c r="S2445" s="29" t="n">
        <x:v>0</x:v>
      </x:c>
    </x:row>
    <x:row r="2446" ht="21.600000381469727" hidden="0" customHeight="1">
      <x:c r="A2446" s="27" t="n">
        <x:v>814</x:v>
      </x:c>
      <x:c r="B2446" s="27" t="str">
        <x:v>A3</x:v>
      </x:c>
      <x:c r="C2446" s="47" t="n">
        <x:v>1.0140506812391112</x:v>
      </x:c>
      <x:c r="D2446" s="47" t="n">
        <x:v>0.7920274828691869</x:v>
      </x:c>
      <x:c r="E2446" s="47" t="n">
        <x:v>0.8326372878542156</x:v>
      </x:c>
      <x:c r="F2446" s="47" t="n">
        <x:v>-0.15530768257578073</x:v>
      </x:c>
      <x:c r="G2446" s="47" t="n">
        <x:v>-0.07980983863696021</x:v>
      </x:c>
      <x:c r="H2446" s="47" t="n">
        <x:v>0.3291380337380536</x:v>
      </x:c>
      <x:c r="I2446" s="47" t="n">
        <x:v>0.9748209574860041</x:v>
      </x:c>
      <x:c r="J2446" s="47" t="n">
        <x:v>0.6826359580882175</x:v>
      </x:c>
      <x:c r="K2446" s="47" t="n">
        <x:v>0.6084018481072959</x:v>
      </x:c>
      <x:c r="L2446" s="47" t="n">
        <x:v>0.5569534536634019</x:v>
      </x:c>
      <x:c r="M2446" s="47" t="n">
        <x:v>0.026114111581469153</x:v>
      </x:c>
      <x:c r="N2446" s="47" t="n">
        <x:v>0.6923459188224367</x:v>
      </x:c>
      <x:c r="O2446" s="47" t="n">
        <x:v>1</x:v>
      </x:c>
      <x:c r="P2446" s="47" t="n">
        <x:v>1</x:v>
      </x:c>
      <x:c r="Q2446" s="47" t="n">
        <x:v>1</x:v>
      </x:c>
      <x:c r="R2446" s="47" t="n">
        <x:v>1</x:v>
      </x:c>
      <x:c r="S2446" s="27" t="n">
        <x:v>1</x:v>
      </x:c>
    </x:row>
    <x:row r="2447" ht="21.600000381469727" hidden="0" customHeight="1">
      <x:c r="A2447" s="29" t="n">
        <x:v>815</x:v>
      </x:c>
      <x:c r="B2447" s="29" t="str">
        <x:v>A1</x:v>
      </x:c>
      <x:c r="C2447" s="48" t="n">
        <x:v>0.9050871849690262</x:v>
      </x:c>
      <x:c r="D2447" s="48" t="n">
        <x:v>0.8294601271986013</x:v>
      </x:c>
      <x:c r="E2447" s="48" t="n">
        <x:v>1.088115385429547</x:v>
      </x:c>
      <x:c r="F2447" s="48" t="n">
        <x:v>-0.016038029309701968</x:v>
      </x:c>
      <x:c r="G2447" s="48" t="n">
        <x:v>0.006712732448281772</x:v>
      </x:c>
      <x:c r="H2447" s="48" t="n">
        <x:v>0.7210985050164466</x:v>
      </x:c>
      <x:c r="I2447" s="48" t="n">
        <x:v>0.64246914658385</x:v>
      </x:c>
      <x:c r="J2447" s="48" t="n">
        <x:v>0.8779543175408762</x:v>
      </x:c>
      <x:c r="K2447" s="48" t="n">
        <x:v>0.7121815121054162</x:v>
      </x:c>
      <x:c r="L2447" s="48" t="n">
        <x:v>0.6122716756883535</x:v>
      </x:c>
      <x:c r="M2447" s="48" t="n">
        <x:v>0.05164705485264985</x:v>
      </x:c>
      <x:c r="N2447" s="48" t="n">
        <x:v>0.7060570790404017</x:v>
      </x:c>
      <x:c r="O2447" s="48" t="n">
        <x:v>0.9399320154483028</x:v>
      </x:c>
      <x:c r="P2447" s="48" t="n">
        <x:v>0.6610636672867486</x:v>
      </x:c>
      <x:c r="Q2447" s="48" t="n">
        <x:v>1</x:v>
      </x:c>
      <x:c r="R2447" s="48" t="n">
        <x:v>0.9258254671367603</x:v>
      </x:c>
      <x:c r="S2447" s="29" t="n">
        <x:v>0</x:v>
      </x:c>
    </x:row>
    <x:row r="2448" ht="21.600000381469727" hidden="0" customHeight="1">
      <x:c r="A2448" s="27" t="n">
        <x:v>815</x:v>
      </x:c>
      <x:c r="B2448" s="27" t="str">
        <x:v>A2</x:v>
      </x:c>
      <x:c r="C2448" s="47" t="n">
        <x:v>0.9050871849690262</x:v>
      </x:c>
      <x:c r="D2448" s="47" t="n">
        <x:v>0.8294601271986013</x:v>
      </x:c>
      <x:c r="E2448" s="47" t="n">
        <x:v>1.088115385429547</x:v>
      </x:c>
      <x:c r="F2448" s="47" t="n">
        <x:v>-0.016038029309701968</x:v>
      </x:c>
      <x:c r="G2448" s="47" t="n">
        <x:v>0.006712732448281772</x:v>
      </x:c>
      <x:c r="H2448" s="47" t="n">
        <x:v>0.7210985050164466</x:v>
      </x:c>
      <x:c r="I2448" s="47" t="n">
        <x:v>0.64246914658385</x:v>
      </x:c>
      <x:c r="J2448" s="47" t="n">
        <x:v>0.8779543175408762</x:v>
      </x:c>
      <x:c r="K2448" s="47" t="n">
        <x:v>0.7121815121054162</x:v>
      </x:c>
      <x:c r="L2448" s="47" t="n">
        <x:v>0.6122716756883535</x:v>
      </x:c>
      <x:c r="M2448" s="47" t="n">
        <x:v>0.05164705485264985</x:v>
      </x:c>
      <x:c r="N2448" s="47" t="n">
        <x:v>0.7060570790404017</x:v>
      </x:c>
      <x:c r="O2448" s="47" t="n">
        <x:v>1</x:v>
      </x:c>
      <x:c r="P2448" s="47" t="n">
        <x:v>0.9999999999999999</x:v>
      </x:c>
      <x:c r="Q2448" s="47" t="n">
        <x:v>0.9999999999999998</x:v>
      </x:c>
      <x:c r="R2448" s="47" t="n">
        <x:v>1</x:v>
      </x:c>
      <x:c r="S2448" s="27" t="n">
        <x:v>1</x:v>
      </x:c>
    </x:row>
    <x:row r="2449" ht="21.600000381469727" hidden="0" customHeight="1">
      <x:c r="A2449" s="29" t="n">
        <x:v>815</x:v>
      </x:c>
      <x:c r="B2449" s="29" t="str">
        <x:v>A3</x:v>
      </x:c>
      <x:c r="C2449" s="48" t="n">
        <x:v>0.9050871849690262</x:v>
      </x:c>
      <x:c r="D2449" s="48" t="n">
        <x:v>0.8294601271986013</x:v>
      </x:c>
      <x:c r="E2449" s="48" t="n">
        <x:v>1.088115385429547</x:v>
      </x:c>
      <x:c r="F2449" s="48" t="n">
        <x:v>-0.016038029309701968</x:v>
      </x:c>
      <x:c r="G2449" s="48" t="n">
        <x:v>0.006712732448281772</x:v>
      </x:c>
      <x:c r="H2449" s="48" t="n">
        <x:v>0.7210985050164466</x:v>
      </x:c>
      <x:c r="I2449" s="48" t="n">
        <x:v>0.64246914658385</x:v>
      </x:c>
      <x:c r="J2449" s="48" t="n">
        <x:v>0.8779543175408762</x:v>
      </x:c>
      <x:c r="K2449" s="48" t="n">
        <x:v>0.7121815121054162</x:v>
      </x:c>
      <x:c r="L2449" s="48" t="n">
        <x:v>0.6122716756883535</x:v>
      </x:c>
      <x:c r="M2449" s="48" t="n">
        <x:v>0.05164705485264985</x:v>
      </x:c>
      <x:c r="N2449" s="48" t="n">
        <x:v>0.7060570790404017</x:v>
      </x:c>
      <x:c r="O2449" s="48" t="n">
        <x:v>1</x:v>
      </x:c>
      <x:c r="P2449" s="48" t="n">
        <x:v>1</x:v>
      </x:c>
      <x:c r="Q2449" s="48" t="n">
        <x:v>1</x:v>
      </x:c>
      <x:c r="R2449" s="48" t="n">
        <x:v>1</x:v>
      </x:c>
      <x:c r="S2449" s="29" t="n">
        <x:v>1</x:v>
      </x:c>
    </x:row>
    <x:row r="2450" ht="21.600000381469727" hidden="0" customHeight="1">
      <x:c r="A2450" s="27" t="n">
        <x:v>816</x:v>
      </x:c>
      <x:c r="B2450" s="27" t="str">
        <x:v>A1</x:v>
      </x:c>
      <x:c r="C2450" s="47" t="n">
        <x:v>1.269429043379375</x:v>
      </x:c>
      <x:c r="D2450" s="47" t="n">
        <x:v>0.9587248746563277</x:v>
      </x:c>
      <x:c r="E2450" s="47" t="n">
        <x:v>0.4912457810750055</x:v>
      </x:c>
      <x:c r="F2450" s="47" t="n">
        <x:v>-0.01403023118644145</x:v>
      </x:c>
      <x:c r="G2450" s="47" t="n">
        <x:v>0.02171050132718577</x:v>
      </x:c>
      <x:c r="H2450" s="47" t="n">
        <x:v>0.4596327947942408</x:v>
      </x:c>
      <x:c r="I2450" s="47" t="n">
        <x:v>0.9688865580687211</x:v>
      </x:c>
      <x:c r="J2450" s="47" t="n">
        <x:v>0.793642947507148</x:v>
      </x:c>
      <x:c r="K2450" s="47" t="n">
        <x:v>0.6245167708602714</x:v>
      </x:c>
      <x:c r="L2450" s="47" t="n">
        <x:v>0.697422119505394</x:v>
      </x:c>
      <x:c r="M2450" s="47" t="n">
        <x:v>0.09417431096857896</x:v>
      </x:c>
      <x:c r="N2450" s="47" t="n">
        <x:v>0.8605952066352556</x:v>
      </x:c>
      <x:c r="O2450" s="47" t="n">
        <x:v>0.7928554735672241</x:v>
      </x:c>
      <x:c r="P2450" s="47" t="n">
        <x:v>0.49135624374841774</x:v>
      </x:c>
      <x:c r="Q2450" s="47" t="n">
        <x:v>1</x:v>
      </x:c>
      <x:c r="R2450" s="47" t="n">
        <x:v>0.7442090225267248</x:v>
      </x:c>
      <x:c r="S2450" s="27" t="n">
        <x:v>0</x:v>
      </x:c>
    </x:row>
    <x:row r="2451" ht="21.600000381469727" hidden="0" customHeight="1">
      <x:c r="A2451" s="29" t="n">
        <x:v>816</x:v>
      </x:c>
      <x:c r="B2451" s="29" t="str">
        <x:v>A2</x:v>
      </x:c>
      <x:c r="C2451" s="48" t="n">
        <x:v>1.269429043379375</x:v>
      </x:c>
      <x:c r="D2451" s="48" t="n">
        <x:v>0.9587248746563277</x:v>
      </x:c>
      <x:c r="E2451" s="48" t="n">
        <x:v>0.4912457810750055</x:v>
      </x:c>
      <x:c r="F2451" s="48" t="n">
        <x:v>-0.01403023118644145</x:v>
      </x:c>
      <x:c r="G2451" s="48" t="n">
        <x:v>0.02171050132718577</x:v>
      </x:c>
      <x:c r="H2451" s="48" t="n">
        <x:v>0.4596327947942408</x:v>
      </x:c>
      <x:c r="I2451" s="48" t="n">
        <x:v>0.9688865580687211</x:v>
      </x:c>
      <x:c r="J2451" s="48" t="n">
        <x:v>0.793642947507148</x:v>
      </x:c>
      <x:c r="K2451" s="48" t="n">
        <x:v>0.6245167708602714</x:v>
      </x:c>
      <x:c r="L2451" s="48" t="n">
        <x:v>0.697422119505394</x:v>
      </x:c>
      <x:c r="M2451" s="48" t="n">
        <x:v>0.09417431096857896</x:v>
      </x:c>
      <x:c r="N2451" s="48" t="n">
        <x:v>0.8605952066352556</x:v>
      </x:c>
      <x:c r="O2451" s="48" t="n">
        <x:v>0.8718080738782802</x:v>
      </x:c>
      <x:c r="P2451" s="48" t="n">
        <x:v>0.5353860507407484</x:v>
      </x:c>
      <x:c r="Q2451" s="48" t="n">
        <x:v>1</x:v>
      </x:c>
      <x:c r="R2451" s="48" t="n">
        <x:v>0.8417030917903692</x:v>
      </x:c>
      <x:c r="S2451" s="29" t="n">
        <x:v>0</x:v>
      </x:c>
    </x:row>
    <x:row r="2452" ht="21.600000381469727" hidden="0" customHeight="1">
      <x:c r="A2452" s="27" t="n">
        <x:v>816</x:v>
      </x:c>
      <x:c r="B2452" s="27" t="str">
        <x:v>A3</x:v>
      </x:c>
      <x:c r="C2452" s="47" t="n">
        <x:v>1.269429043379375</x:v>
      </x:c>
      <x:c r="D2452" s="47" t="n">
        <x:v>0.9587248746563277</x:v>
      </x:c>
      <x:c r="E2452" s="47" t="n">
        <x:v>0.4912457810750055</x:v>
      </x:c>
      <x:c r="F2452" s="47" t="n">
        <x:v>-0.01403023118644145</x:v>
      </x:c>
      <x:c r="G2452" s="47" t="n">
        <x:v>0.02171050132718577</x:v>
      </x:c>
      <x:c r="H2452" s="47" t="n">
        <x:v>0.4596327947942408</x:v>
      </x:c>
      <x:c r="I2452" s="47" t="n">
        <x:v>0.9688865580687211</x:v>
      </x:c>
      <x:c r="J2452" s="47" t="n">
        <x:v>0.793642947507148</x:v>
      </x:c>
      <x:c r="K2452" s="47" t="n">
        <x:v>0.6245167708602714</x:v>
      </x:c>
      <x:c r="L2452" s="47" t="n">
        <x:v>0.697422119505394</x:v>
      </x:c>
      <x:c r="M2452" s="47" t="n">
        <x:v>0.09417431096857896</x:v>
      </x:c>
      <x:c r="N2452" s="47" t="n">
        <x:v>0.8605952066352556</x:v>
      </x:c>
      <x:c r="O2452" s="47" t="n">
        <x:v>1</x:v>
      </x:c>
      <x:c r="P2452" s="47" t="n">
        <x:v>1</x:v>
      </x:c>
      <x:c r="Q2452" s="47" t="n">
        <x:v>1</x:v>
      </x:c>
      <x:c r="R2452" s="47" t="n">
        <x:v>1</x:v>
      </x:c>
      <x:c r="S2452" s="27" t="n">
        <x:v>1</x:v>
      </x:c>
    </x:row>
    <x:row r="2453" ht="21.600000381469727" hidden="0" customHeight="1">
      <x:c r="A2453" s="29" t="n">
        <x:v>817</x:v>
      </x:c>
      <x:c r="B2453" s="29" t="str">
        <x:v>A1</x:v>
      </x:c>
      <x:c r="C2453" s="48" t="n">
        <x:v>0.937065682538884</x:v>
      </x:c>
      <x:c r="D2453" s="48" t="n">
        <x:v>0.9578024196998941</x:v>
      </x:c>
      <x:c r="E2453" s="48" t="n">
        <x:v>0.5864380483572154</x:v>
      </x:c>
      <x:c r="F2453" s="48" t="n">
        <x:v>-0.016262218840483816</x:v>
      </x:c>
      <x:c r="G2453" s="48" t="n">
        <x:v>-0.15091525447274434</x:v>
      </x:c>
      <x:c r="H2453" s="48" t="n">
        <x:v>0.3503944033214799</x:v>
      </x:c>
      <x:c r="I2453" s="48" t="n">
        <x:v>1.018750690367633</x:v>
      </x:c>
      <x:c r="J2453" s="48" t="n">
        <x:v>0.6227405670118072</x:v>
      </x:c>
      <x:c r="K2453" s="48" t="n">
        <x:v>0.7067614378125364</x:v>
      </x:c>
      <x:c r="L2453" s="48" t="n">
        <x:v>0.5217177731528748</x:v>
      </x:c>
      <x:c r="M2453" s="48" t="n">
        <x:v>0.06671155470146736</x:v>
      </x:c>
      <x:c r="N2453" s="48" t="n">
        <x:v>0.8065698157210203</x:v>
      </x:c>
      <x:c r="O2453" s="48" t="n">
        <x:v>0.9356648509654454</x:v>
      </x:c>
      <x:c r="P2453" s="48" t="n">
        <x:v>0.7559092869384948</x:v>
      </x:c>
      <x:c r="Q2453" s="48" t="n">
        <x:v>0.9999999999999999</x:v>
      </x:c>
      <x:c r="R2453" s="48" t="n">
        <x:v>0.920556188759455</x:v>
      </x:c>
      <x:c r="S2453" s="29" t="n">
        <x:v>0</x:v>
      </x:c>
    </x:row>
    <x:row r="2454" ht="21.600000381469727" hidden="0" customHeight="1">
      <x:c r="A2454" s="27" t="n">
        <x:v>817</x:v>
      </x:c>
      <x:c r="B2454" s="27" t="str">
        <x:v>A2</x:v>
      </x:c>
      <x:c r="C2454" s="47" t="n">
        <x:v>0.937065682538884</x:v>
      </x:c>
      <x:c r="D2454" s="47" t="n">
        <x:v>0.9578024196998941</x:v>
      </x:c>
      <x:c r="E2454" s="47" t="n">
        <x:v>0.5864380483572154</x:v>
      </x:c>
      <x:c r="F2454" s="47" t="n">
        <x:v>-0.016262218840483816</x:v>
      </x:c>
      <x:c r="G2454" s="47" t="n">
        <x:v>-0.15091525447274434</x:v>
      </x:c>
      <x:c r="H2454" s="47" t="n">
        <x:v>0.3503944033214799</x:v>
      </x:c>
      <x:c r="I2454" s="47" t="n">
        <x:v>1.018750690367633</x:v>
      </x:c>
      <x:c r="J2454" s="47" t="n">
        <x:v>0.6227405670118072</x:v>
      </x:c>
      <x:c r="K2454" s="47" t="n">
        <x:v>0.7067614378125364</x:v>
      </x:c>
      <x:c r="L2454" s="47" t="n">
        <x:v>0.5217177731528748</x:v>
      </x:c>
      <x:c r="M2454" s="47" t="n">
        <x:v>0.06671155470146736</x:v>
      </x:c>
      <x:c r="N2454" s="47" t="n">
        <x:v>0.8065698157210203</x:v>
      </x:c>
      <x:c r="O2454" s="47" t="n">
        <x:v>0.9887201165143186</x:v>
      </x:c>
      <x:c r="P2454" s="47" t="n">
        <x:v>0.8872011651431843</x:v>
      </x:c>
      <x:c r="Q2454" s="47" t="n">
        <x:v>1</x:v>
      </x:c>
      <x:c r="R2454" s="47" t="n">
        <x:v>0.986071114345744</x:v>
      </x:c>
      <x:c r="S2454" s="27" t="n">
        <x:v>0</x:v>
      </x:c>
    </x:row>
    <x:row r="2455" ht="21.600000381469727" hidden="0" customHeight="1">
      <x:c r="A2455" s="29" t="n">
        <x:v>817</x:v>
      </x:c>
      <x:c r="B2455" s="29" t="str">
        <x:v>A3</x:v>
      </x:c>
      <x:c r="C2455" s="48" t="n">
        <x:v>0.937065682538884</x:v>
      </x:c>
      <x:c r="D2455" s="48" t="n">
        <x:v>0.9578024196998941</x:v>
      </x:c>
      <x:c r="E2455" s="48" t="n">
        <x:v>0.5864380483572154</x:v>
      </x:c>
      <x:c r="F2455" s="48" t="n">
        <x:v>-0.016262218840483816</x:v>
      </x:c>
      <x:c r="G2455" s="48" t="n">
        <x:v>-0.15091525447274434</x:v>
      </x:c>
      <x:c r="H2455" s="48" t="n">
        <x:v>0.3503944033214799</x:v>
      </x:c>
      <x:c r="I2455" s="48" t="n">
        <x:v>1.018750690367633</x:v>
      </x:c>
      <x:c r="J2455" s="48" t="n">
        <x:v>0.6227405670118072</x:v>
      </x:c>
      <x:c r="K2455" s="48" t="n">
        <x:v>0.7067614378125364</x:v>
      </x:c>
      <x:c r="L2455" s="48" t="n">
        <x:v>0.5217177731528748</x:v>
      </x:c>
      <x:c r="M2455" s="48" t="n">
        <x:v>0.06671155470146736</x:v>
      </x:c>
      <x:c r="N2455" s="48" t="n">
        <x:v>0.8065698157210203</x:v>
      </x:c>
      <x:c r="O2455" s="48" t="n">
        <x:v>1</x:v>
      </x:c>
      <x:c r="P2455" s="48" t="n">
        <x:v>1</x:v>
      </x:c>
      <x:c r="Q2455" s="48" t="n">
        <x:v>1</x:v>
      </x:c>
      <x:c r="R2455" s="48" t="n">
        <x:v>1</x:v>
      </x:c>
      <x:c r="S2455" s="29" t="n">
        <x:v>1</x:v>
      </x:c>
    </x:row>
    <x:row r="2456" ht="21.600000381469727" hidden="0" customHeight="1">
      <x:c r="A2456" s="27" t="n">
        <x:v>818</x:v>
      </x:c>
      <x:c r="B2456" s="27" t="str">
        <x:v>A1</x:v>
      </x:c>
      <x:c r="C2456" s="47" t="n">
        <x:v>1.2989448048294885</x:v>
      </x:c>
      <x:c r="D2456" s="47" t="n">
        <x:v>0.9471206840160824</x:v>
      </x:c>
      <x:c r="E2456" s="47" t="n">
        <x:v>1.095038814974273</x:v>
      </x:c>
      <x:c r="F2456" s="47" t="n">
        <x:v>-0.03947803570943781</x:v>
      </x:c>
      <x:c r="G2456" s="47" t="n">
        <x:v>-0.1767775675029953</x:v>
      </x:c>
      <x:c r="H2456" s="47" t="n">
        <x:v>0.8872718500052701</x:v>
      </x:c>
      <x:c r="I2456" s="47" t="n">
        <x:v>0.7869408954009285</x:v>
      </x:c>
      <x:c r="J2456" s="47" t="n">
        <x:v>0.7598260576928626</x:v>
      </x:c>
      <x:c r="K2456" s="47" t="n">
        <x:v>0.69169639893618</x:v>
      </x:c>
      <x:c r="L2456" s="47" t="n">
        <x:v>0.8364277347682416</x:v>
      </x:c>
      <x:c r="M2456" s="47" t="n">
        <x:v>0.12962316010661482</x:v>
      </x:c>
      <x:c r="N2456" s="47" t="n">
        <x:v>0.8062112859122263</x:v>
      </x:c>
      <x:c r="O2456" s="47" t="n">
        <x:v>0.843888635617999</x:v>
      </x:c>
      <x:c r="P2456" s="47" t="n">
        <x:v>0.5325833734874739</x:v>
      </x:c>
      <x:c r="Q2456" s="47" t="n">
        <x:v>1</x:v>
      </x:c>
      <x:c r="R2456" s="47" t="n">
        <x:v>0.8072269676750661</x:v>
      </x:c>
      <x:c r="S2456" s="27" t="n">
        <x:v>0</x:v>
      </x:c>
    </x:row>
    <x:row r="2457" ht="21.600000381469727" hidden="0" customHeight="1">
      <x:c r="A2457" s="29" t="n">
        <x:v>818</x:v>
      </x:c>
      <x:c r="B2457" s="29" t="str">
        <x:v>A2</x:v>
      </x:c>
      <x:c r="C2457" s="48" t="n">
        <x:v>1.2989448048294885</x:v>
      </x:c>
      <x:c r="D2457" s="48" t="n">
        <x:v>0.9471206840160824</x:v>
      </x:c>
      <x:c r="E2457" s="48" t="n">
        <x:v>1.095038814974273</x:v>
      </x:c>
      <x:c r="F2457" s="48" t="n">
        <x:v>-0.03947803570943781</x:v>
      </x:c>
      <x:c r="G2457" s="48" t="n">
        <x:v>-0.1767775675029953</x:v>
      </x:c>
      <x:c r="H2457" s="48" t="n">
        <x:v>0.8872718500052701</x:v>
      </x:c>
      <x:c r="I2457" s="48" t="n">
        <x:v>0.7869408954009285</x:v>
      </x:c>
      <x:c r="J2457" s="48" t="n">
        <x:v>0.7598260576928626</x:v>
      </x:c>
      <x:c r="K2457" s="48" t="n">
        <x:v>0.69169639893618</x:v>
      </x:c>
      <x:c r="L2457" s="48" t="n">
        <x:v>0.8364277347682416</x:v>
      </x:c>
      <x:c r="M2457" s="48" t="n">
        <x:v>0.12962316010661482</x:v>
      </x:c>
      <x:c r="N2457" s="48" t="n">
        <x:v>0.8062112859122263</x:v>
      </x:c>
      <x:c r="O2457" s="48" t="n">
        <x:v>0.9366873512055728</x:v>
      </x:c>
      <x:c r="P2457" s="48" t="n">
        <x:v>0.6348594036586307</x:v>
      </x:c>
      <x:c r="Q2457" s="48" t="n">
        <x:v>1</x:v>
      </x:c>
      <x:c r="R2457" s="48" t="n">
        <x:v>0.9218188160679962</x:v>
      </x:c>
      <x:c r="S2457" s="29" t="n">
        <x:v>0</x:v>
      </x:c>
    </x:row>
    <x:row r="2458" ht="21.600000381469727" hidden="0" customHeight="1">
      <x:c r="A2458" s="27" t="n">
        <x:v>818</x:v>
      </x:c>
      <x:c r="B2458" s="27" t="str">
        <x:v>A3</x:v>
      </x:c>
      <x:c r="C2458" s="47" t="n">
        <x:v>1.2989448048294885</x:v>
      </x:c>
      <x:c r="D2458" s="47" t="n">
        <x:v>0.9471206840160824</x:v>
      </x:c>
      <x:c r="E2458" s="47" t="n">
        <x:v>1.095038814974273</x:v>
      </x:c>
      <x:c r="F2458" s="47" t="n">
        <x:v>-0.03947803570943781</x:v>
      </x:c>
      <x:c r="G2458" s="47" t="n">
        <x:v>-0.1767775675029953</x:v>
      </x:c>
      <x:c r="H2458" s="47" t="n">
        <x:v>0.8872718500052701</x:v>
      </x:c>
      <x:c r="I2458" s="47" t="n">
        <x:v>0.7869408954009285</x:v>
      </x:c>
      <x:c r="J2458" s="47" t="n">
        <x:v>0.7598260576928626</x:v>
      </x:c>
      <x:c r="K2458" s="47" t="n">
        <x:v>0.69169639893618</x:v>
      </x:c>
      <x:c r="L2458" s="47" t="n">
        <x:v>0.8364277347682416</x:v>
      </x:c>
      <x:c r="M2458" s="47" t="n">
        <x:v>0.12962316010661482</x:v>
      </x:c>
      <x:c r="N2458" s="47" t="n">
        <x:v>0.8062112859122263</x:v>
      </x:c>
      <x:c r="O2458" s="47" t="n">
        <x:v>1</x:v>
      </x:c>
      <x:c r="P2458" s="47" t="n">
        <x:v>1</x:v>
      </x:c>
      <x:c r="Q2458" s="47" t="n">
        <x:v>1</x:v>
      </x:c>
      <x:c r="R2458" s="47" t="n">
        <x:v>1</x:v>
      </x:c>
      <x:c r="S2458" s="27" t="n">
        <x:v>1</x:v>
      </x:c>
    </x:row>
    <x:row r="2459" ht="21.600000381469727" hidden="0" customHeight="1">
      <x:c r="A2459" s="29" t="n">
        <x:v>819</x:v>
      </x:c>
      <x:c r="B2459" s="29" t="str">
        <x:v>A1</x:v>
      </x:c>
      <x:c r="C2459" s="48" t="n">
        <x:v>1.2728736590843157</x:v>
      </x:c>
      <x:c r="D2459" s="48" t="n">
        <x:v>0.8781774300992109</x:v>
      </x:c>
      <x:c r="E2459" s="48" t="n">
        <x:v>1.068783420996001</x:v>
      </x:c>
      <x:c r="F2459" s="48" t="n">
        <x:v>-0.019326593378755558</x:v>
      </x:c>
      <x:c r="G2459" s="48" t="n">
        <x:v>0.004825637262860061</x:v>
      </x:c>
      <x:c r="H2459" s="48" t="n">
        <x:v>0.5440298636622266</x:v>
      </x:c>
      <x:c r="I2459" s="48" t="n">
        <x:v>0.6284002617287608</x:v>
      </x:c>
      <x:c r="J2459" s="48" t="n">
        <x:v>0.5370349825281149</x:v>
      </x:c>
      <x:c r="K2459" s="48" t="n">
        <x:v>0.8850121568183469</x:v>
      </x:c>
      <x:c r="L2459" s="48" t="n">
        <x:v>0.9850914393279507</x:v>
      </x:c>
      <x:c r="M2459" s="48" t="n">
        <x:v>0.07441194546606952</x:v>
      </x:c>
      <x:c r="N2459" s="48" t="n">
        <x:v>0.6880648307495881</x:v>
      </x:c>
      <x:c r="O2459" s="48" t="n">
        <x:v>0.8315877784610464</x:v>
      </x:c>
      <x:c r="P2459" s="48" t="n">
        <x:v>0.5315768003810714</x:v>
      </x:c>
      <x:c r="Q2459" s="48" t="n">
        <x:v>1</x:v>
      </x:c>
      <x:c r="R2459" s="48" t="n">
        <x:v>0.7920373397852015</x:v>
      </x:c>
      <x:c r="S2459" s="29" t="n">
        <x:v>0</x:v>
      </x:c>
    </x:row>
    <x:row r="2460" ht="21.600000381469727" hidden="0" customHeight="1">
      <x:c r="A2460" s="27" t="n">
        <x:v>819</x:v>
      </x:c>
      <x:c r="B2460" s="27" t="str">
        <x:v>A2</x:v>
      </x:c>
      <x:c r="C2460" s="47" t="n">
        <x:v>1.2728736590843157</x:v>
      </x:c>
      <x:c r="D2460" s="47" t="n">
        <x:v>0.8781774300992109</x:v>
      </x:c>
      <x:c r="E2460" s="47" t="n">
        <x:v>1.068783420996001</x:v>
      </x:c>
      <x:c r="F2460" s="47" t="n">
        <x:v>-0.019326593378755558</x:v>
      </x:c>
      <x:c r="G2460" s="47" t="n">
        <x:v>0.004825637262860061</x:v>
      </x:c>
      <x:c r="H2460" s="47" t="n">
        <x:v>0.5440298636622266</x:v>
      </x:c>
      <x:c r="I2460" s="47" t="n">
        <x:v>0.6284002617287608</x:v>
      </x:c>
      <x:c r="J2460" s="47" t="n">
        <x:v>0.5370349825281149</x:v>
      </x:c>
      <x:c r="K2460" s="47" t="n">
        <x:v>0.8850121568183469</x:v>
      </x:c>
      <x:c r="L2460" s="47" t="n">
        <x:v>0.9850914393279507</x:v>
      </x:c>
      <x:c r="M2460" s="47" t="n">
        <x:v>0.07441194546606952</x:v>
      </x:c>
      <x:c r="N2460" s="47" t="n">
        <x:v>0.6880648307495881</x:v>
      </x:c>
      <x:c r="O2460" s="47" t="n">
        <x:v>0.9369599579198727</x:v>
      </x:c>
      <x:c r="P2460" s="47" t="n">
        <x:v>0.7467903161468614</x:v>
      </x:c>
      <x:c r="Q2460" s="47" t="n">
        <x:v>0.9999999999999999</x:v>
      </x:c>
      <x:c r="R2460" s="47" t="n">
        <x:v>0.9221554425727722</x:v>
      </x:c>
      <x:c r="S2460" s="27" t="n">
        <x:v>0</x:v>
      </x:c>
    </x:row>
    <x:row r="2461" ht="21.600000381469727" hidden="0" customHeight="1">
      <x:c r="A2461" s="29" t="n">
        <x:v>819</x:v>
      </x:c>
      <x:c r="B2461" s="29" t="str">
        <x:v>A3</x:v>
      </x:c>
      <x:c r="C2461" s="48" t="n">
        <x:v>1.2728736590843157</x:v>
      </x:c>
      <x:c r="D2461" s="48" t="n">
        <x:v>0.8781774300992109</x:v>
      </x:c>
      <x:c r="E2461" s="48" t="n">
        <x:v>1.068783420996001</x:v>
      </x:c>
      <x:c r="F2461" s="48" t="n">
        <x:v>-0.019326593378755558</x:v>
      </x:c>
      <x:c r="G2461" s="48" t="n">
        <x:v>0.004825637262860061</x:v>
      </x:c>
      <x:c r="H2461" s="48" t="n">
        <x:v>0.5440298636622266</x:v>
      </x:c>
      <x:c r="I2461" s="48" t="n">
        <x:v>0.6284002617287608</x:v>
      </x:c>
      <x:c r="J2461" s="48" t="n">
        <x:v>0.5370349825281149</x:v>
      </x:c>
      <x:c r="K2461" s="48" t="n">
        <x:v>0.8850121568183469</x:v>
      </x:c>
      <x:c r="L2461" s="48" t="n">
        <x:v>0.9850914393279507</x:v>
      </x:c>
      <x:c r="M2461" s="48" t="n">
        <x:v>0.07441194546606952</x:v>
      </x:c>
      <x:c r="N2461" s="48" t="n">
        <x:v>0.6880648307495881</x:v>
      </x:c>
      <x:c r="O2461" s="48" t="n">
        <x:v>1</x:v>
      </x:c>
      <x:c r="P2461" s="48" t="n">
        <x:v>1</x:v>
      </x:c>
      <x:c r="Q2461" s="48" t="n">
        <x:v>1</x:v>
      </x:c>
      <x:c r="R2461" s="48" t="n">
        <x:v>1</x:v>
      </x:c>
      <x:c r="S2461" s="29" t="n">
        <x:v>1</x:v>
      </x:c>
    </x:row>
    <x:row r="2462" ht="21.600000381469727" hidden="0" customHeight="1">
      <x:c r="A2462" s="27" t="n">
        <x:v>820</x:v>
      </x:c>
      <x:c r="B2462" s="27" t="str">
        <x:v>A1</x:v>
      </x:c>
      <x:c r="C2462" s="47" t="n">
        <x:v>1.233569015035719</x:v>
      </x:c>
      <x:c r="D2462" s="47" t="n">
        <x:v>0.8850175656786279</x:v>
      </x:c>
      <x:c r="E2462" s="47" t="n">
        <x:v>0.6275778155381702</x:v>
      </x:c>
      <x:c r="F2462" s="47" t="n">
        <x:v>-0.041465778005694315</x:v>
      </x:c>
      <x:c r="G2462" s="47" t="n">
        <x:v>-0.0019936845356340605</x:v>
      </x:c>
      <x:c r="H2462" s="47" t="n">
        <x:v>0.680342359813964</x:v>
      </x:c>
      <x:c r="I2462" s="47" t="n">
        <x:v>1.0022546538336021</x:v>
      </x:c>
      <x:c r="J2462" s="47" t="n">
        <x:v>0.8775499806321788</x:v>
      </x:c>
      <x:c r="K2462" s="47" t="n">
        <x:v>0.9132213941839114</x:v>
      </x:c>
      <x:c r="L2462" s="47" t="n">
        <x:v>0.8240349723085305</x:v>
      </x:c>
      <x:c r="M2462" s="47" t="n">
        <x:v>0.03563397361377088</x:v>
      </x:c>
      <x:c r="N2462" s="47" t="n">
        <x:v>0.9868581840406458</x:v>
      </x:c>
      <x:c r="O2462" s="47" t="n">
        <x:v>0.8441860000451734</x:v>
      </x:c>
      <x:c r="P2462" s="47" t="n">
        <x:v>0.5173493100597387</x:v>
      </x:c>
      <x:c r="Q2462" s="47" t="n">
        <x:v>1</x:v>
      </x:c>
      <x:c r="R2462" s="47" t="n">
        <x:v>0.8075941660693592</x:v>
      </x:c>
      <x:c r="S2462" s="27" t="n">
        <x:v>0</x:v>
      </x:c>
    </x:row>
    <x:row r="2463" ht="21.600000381469727" hidden="0" customHeight="1">
      <x:c r="A2463" s="29" t="n">
        <x:v>820</x:v>
      </x:c>
      <x:c r="B2463" s="29" t="str">
        <x:v>A2</x:v>
      </x:c>
      <x:c r="C2463" s="48" t="n">
        <x:v>1.233569015035719</x:v>
      </x:c>
      <x:c r="D2463" s="48" t="n">
        <x:v>0.8850175656786279</x:v>
      </x:c>
      <x:c r="E2463" s="48" t="n">
        <x:v>0.6275778155381702</x:v>
      </x:c>
      <x:c r="F2463" s="48" t="n">
        <x:v>-0.041465778005694315</x:v>
      </x:c>
      <x:c r="G2463" s="48" t="n">
        <x:v>-0.0019936845356340605</x:v>
      </x:c>
      <x:c r="H2463" s="48" t="n">
        <x:v>0.680342359813964</x:v>
      </x:c>
      <x:c r="I2463" s="48" t="n">
        <x:v>1.0022546538336021</x:v>
      </x:c>
      <x:c r="J2463" s="48" t="n">
        <x:v>0.8775499806321788</x:v>
      </x:c>
      <x:c r="K2463" s="48" t="n">
        <x:v>0.9132213941839114</x:v>
      </x:c>
      <x:c r="L2463" s="48" t="n">
        <x:v>0.8240349723085305</x:v>
      </x:c>
      <x:c r="M2463" s="48" t="n">
        <x:v>0.03563397361377088</x:v>
      </x:c>
      <x:c r="N2463" s="48" t="n">
        <x:v>0.9868581840406458</x:v>
      </x:c>
      <x:c r="O2463" s="48" t="n">
        <x:v>0.916978222683299</x:v>
      </x:c>
      <x:c r="P2463" s="48" t="n">
        <x:v>0.5894899651710936</x:v>
      </x:c>
      <x:c r="Q2463" s="48" t="n">
        <x:v>1</x:v>
      </x:c>
      <x:c r="R2463" s="48" t="n">
        <x:v>0.8974811358179948</x:v>
      </x:c>
      <x:c r="S2463" s="29" t="n">
        <x:v>0</x:v>
      </x:c>
    </x:row>
    <x:row r="2464" ht="21.600000381469727" hidden="0" customHeight="1">
      <x:c r="A2464" s="27" t="n">
        <x:v>820</x:v>
      </x:c>
      <x:c r="B2464" s="27" t="str">
        <x:v>A3</x:v>
      </x:c>
      <x:c r="C2464" s="47" t="n">
        <x:v>1.233569015035719</x:v>
      </x:c>
      <x:c r="D2464" s="47" t="n">
        <x:v>0.8850175656786279</x:v>
      </x:c>
      <x:c r="E2464" s="47" t="n">
        <x:v>0.6275778155381702</x:v>
      </x:c>
      <x:c r="F2464" s="47" t="n">
        <x:v>-0.041465778005694315</x:v>
      </x:c>
      <x:c r="G2464" s="47" t="n">
        <x:v>-0.0019936845356340605</x:v>
      </x:c>
      <x:c r="H2464" s="47" t="n">
        <x:v>0.680342359813964</x:v>
      </x:c>
      <x:c r="I2464" s="47" t="n">
        <x:v>1.0022546538336021</x:v>
      </x:c>
      <x:c r="J2464" s="47" t="n">
        <x:v>0.8775499806321788</x:v>
      </x:c>
      <x:c r="K2464" s="47" t="n">
        <x:v>0.9132213941839114</x:v>
      </x:c>
      <x:c r="L2464" s="47" t="n">
        <x:v>0.8240349723085305</x:v>
      </x:c>
      <x:c r="M2464" s="47" t="n">
        <x:v>0.03563397361377088</x:v>
      </x:c>
      <x:c r="N2464" s="47" t="n">
        <x:v>0.9868581840406458</x:v>
      </x:c>
      <x:c r="O2464" s="47" t="n">
        <x:v>1</x:v>
      </x:c>
      <x:c r="P2464" s="47" t="n">
        <x:v>1</x:v>
      </x:c>
      <x:c r="Q2464" s="47" t="n">
        <x:v>1</x:v>
      </x:c>
      <x:c r="R2464" s="47" t="n">
        <x:v>1</x:v>
      </x:c>
      <x:c r="S2464" s="27" t="n">
        <x:v>1</x:v>
      </x:c>
    </x:row>
    <x:row r="2465" ht="21.600000381469727" hidden="0" customHeight="1">
      <x:c r="A2465" s="29" t="n">
        <x:v>821</x:v>
      </x:c>
      <x:c r="B2465" s="29" t="str">
        <x:v>A1</x:v>
      </x:c>
      <x:c r="C2465" s="48" t="n">
        <x:v>1.1867356884221094</x:v>
      </x:c>
      <x:c r="D2465" s="48" t="n">
        <x:v>0.9349234234535778</x:v>
      </x:c>
      <x:c r="E2465" s="48" t="n">
        <x:v>0.8390794075384376</x:v>
      </x:c>
      <x:c r="F2465" s="48" t="n">
        <x:v>-0.12700164447976847</x:v>
      </x:c>
      <x:c r="G2465" s="48" t="n">
        <x:v>-0.15515990128803314</x:v>
      </x:c>
      <x:c r="H2465" s="48" t="n">
        <x:v>0.8799096092909198</x:v>
      </x:c>
      <x:c r="I2465" s="48" t="n">
        <x:v>0.9249547435177032</x:v>
      </x:c>
      <x:c r="J2465" s="48" t="n">
        <x:v>0.9786244419887697</x:v>
      </x:c>
      <x:c r="K2465" s="48" t="n">
        <x:v>0.9571456095868647</x:v>
      </x:c>
      <x:c r="L2465" s="48" t="n">
        <x:v>0.5669062328329318</x:v>
      </x:c>
      <x:c r="M2465" s="48" t="n">
        <x:v>0.04977520135708545</x:v>
      </x:c>
      <x:c r="N2465" s="48" t="n">
        <x:v>0.9097567609959333</x:v>
      </x:c>
      <x:c r="O2465" s="48" t="n">
        <x:v>0.8852048695497692</x:v>
      </x:c>
      <x:c r="P2465" s="48" t="n">
        <x:v>0.5114848691681356</x:v>
      </x:c>
      <x:c r="Q2465" s="48" t="n">
        <x:v>1</x:v>
      </x:c>
      <x:c r="R2465" s="48" t="n">
        <x:v>0.8582460317310582</x:v>
      </x:c>
      <x:c r="S2465" s="29" t="n">
        <x:v>0</x:v>
      </x:c>
    </x:row>
    <x:row r="2466" ht="21.600000381469727" hidden="0" customHeight="1">
      <x:c r="A2466" s="27" t="n">
        <x:v>821</x:v>
      </x:c>
      <x:c r="B2466" s="27" t="str">
        <x:v>A2</x:v>
      </x:c>
      <x:c r="C2466" s="47" t="n">
        <x:v>1.1867356884221094</x:v>
      </x:c>
      <x:c r="D2466" s="47" t="n">
        <x:v>0.9349234234535778</x:v>
      </x:c>
      <x:c r="E2466" s="47" t="n">
        <x:v>0.8390794075384376</x:v>
      </x:c>
      <x:c r="F2466" s="47" t="n">
        <x:v>-0.12700164447976847</x:v>
      </x:c>
      <x:c r="G2466" s="47" t="n">
        <x:v>-0.15515990128803314</x:v>
      </x:c>
      <x:c r="H2466" s="47" t="n">
        <x:v>0.8799096092909198</x:v>
      </x:c>
      <x:c r="I2466" s="47" t="n">
        <x:v>0.9249547435177032</x:v>
      </x:c>
      <x:c r="J2466" s="47" t="n">
        <x:v>0.9786244419887697</x:v>
      </x:c>
      <x:c r="K2466" s="47" t="n">
        <x:v>0.9571456095868647</x:v>
      </x:c>
      <x:c r="L2466" s="47" t="n">
        <x:v>0.5669062328329318</x:v>
      </x:c>
      <x:c r="M2466" s="47" t="n">
        <x:v>0.04977520135708545</x:v>
      </x:c>
      <x:c r="N2466" s="47" t="n">
        <x:v>0.9097567609959333</x:v>
      </x:c>
      <x:c r="O2466" s="47" t="n">
        <x:v>0.9612766862747654</x:v>
      </x:c>
      <x:c r="P2466" s="47" t="n">
        <x:v>0.6477805609401682</x:v>
      </x:c>
      <x:c r="Q2466" s="47" t="n">
        <x:v>1</x:v>
      </x:c>
      <x:c r="R2466" s="47" t="n">
        <x:v>0.9521827854235069</x:v>
      </x:c>
      <x:c r="S2466" s="27" t="n">
        <x:v>0</x:v>
      </x:c>
    </x:row>
    <x:row r="2467" ht="21.600000381469727" hidden="0" customHeight="1">
      <x:c r="A2467" s="29" t="n">
        <x:v>821</x:v>
      </x:c>
      <x:c r="B2467" s="29" t="str">
        <x:v>A3</x:v>
      </x:c>
      <x:c r="C2467" s="48" t="n">
        <x:v>1.1867356884221094</x:v>
      </x:c>
      <x:c r="D2467" s="48" t="n">
        <x:v>0.9349234234535778</x:v>
      </x:c>
      <x:c r="E2467" s="48" t="n">
        <x:v>0.8390794075384376</x:v>
      </x:c>
      <x:c r="F2467" s="48" t="n">
        <x:v>-0.12700164447976847</x:v>
      </x:c>
      <x:c r="G2467" s="48" t="n">
        <x:v>-0.15515990128803314</x:v>
      </x:c>
      <x:c r="H2467" s="48" t="n">
        <x:v>0.8799096092909198</x:v>
      </x:c>
      <x:c r="I2467" s="48" t="n">
        <x:v>0.9249547435177032</x:v>
      </x:c>
      <x:c r="J2467" s="48" t="n">
        <x:v>0.9786244419887697</x:v>
      </x:c>
      <x:c r="K2467" s="48" t="n">
        <x:v>0.9571456095868647</x:v>
      </x:c>
      <x:c r="L2467" s="48" t="n">
        <x:v>0.5669062328329318</x:v>
      </x:c>
      <x:c r="M2467" s="48" t="n">
        <x:v>0.04977520135708545</x:v>
      </x:c>
      <x:c r="N2467" s="48" t="n">
        <x:v>0.9097567609959333</x:v>
      </x:c>
      <x:c r="O2467" s="48" t="n">
        <x:v>1</x:v>
      </x:c>
      <x:c r="P2467" s="48" t="n">
        <x:v>1</x:v>
      </x:c>
      <x:c r="Q2467" s="48" t="n">
        <x:v>1</x:v>
      </x:c>
      <x:c r="R2467" s="48" t="n">
        <x:v>1</x:v>
      </x:c>
      <x:c r="S2467" s="29" t="n">
        <x:v>1</x:v>
      </x:c>
    </x:row>
    <x:row r="2468" ht="21.600000381469727" hidden="0" customHeight="1">
      <x:c r="A2468" s="27" t="n">
        <x:v>822</x:v>
      </x:c>
      <x:c r="B2468" s="27" t="str">
        <x:v>A1</x:v>
      </x:c>
      <x:c r="C2468" s="47" t="n">
        <x:v>0.971958001268028</x:v>
      </x:c>
      <x:c r="D2468" s="47" t="n">
        <x:v>0.8594133166129683</x:v>
      </x:c>
      <x:c r="E2468" s="47" t="n">
        <x:v>0.9001397056808751</x:v>
      </x:c>
      <x:c r="F2468" s="47" t="n">
        <x:v>-0.04385691247118839</x:v>
      </x:c>
      <x:c r="G2468" s="47" t="n">
        <x:v>-0.11088886350457375</x:v>
      </x:c>
      <x:c r="H2468" s="47" t="n">
        <x:v>1.029082845979869</x:v>
      </x:c>
      <x:c r="I2468" s="47" t="n">
        <x:v>0.7735819401500748</x:v>
      </x:c>
      <x:c r="J2468" s="47" t="n">
        <x:v>0.6679859685060082</x:v>
      </x:c>
      <x:c r="K2468" s="47" t="n">
        <x:v>0.6363740308506441</x:v>
      </x:c>
      <x:c r="L2468" s="47" t="n">
        <x:v>0.739639479098085</x:v>
      </x:c>
      <x:c r="M2468" s="47" t="n">
        <x:v>0.05516887068208835</x:v>
      </x:c>
      <x:c r="N2468" s="47" t="n">
        <x:v>0.7623792419652834</x:v>
      </x:c>
      <x:c r="O2468" s="47" t="n">
        <x:v>0.9075325620249085</x:v>
      </x:c>
      <x:c r="P2468" s="47" t="n">
        <x:v>0.6416131813770886</x:v>
      </x:c>
      <x:c r="Q2468" s="47" t="n">
        <x:v>1</x:v>
      </x:c>
      <x:c r="R2468" s="47" t="n">
        <x:v>0.8858172274623249</x:v>
      </x:c>
      <x:c r="S2468" s="27" t="n">
        <x:v>0</x:v>
      </x:c>
    </x:row>
    <x:row r="2469" ht="21.600000381469727" hidden="0" customHeight="1">
      <x:c r="A2469" s="29" t="n">
        <x:v>822</x:v>
      </x:c>
      <x:c r="B2469" s="29" t="str">
        <x:v>A2</x:v>
      </x:c>
      <x:c r="C2469" s="48" t="n">
        <x:v>0.971958001268028</x:v>
      </x:c>
      <x:c r="D2469" s="48" t="n">
        <x:v>0.8594133166129683</x:v>
      </x:c>
      <x:c r="E2469" s="48" t="n">
        <x:v>0.9001397056808751</x:v>
      </x:c>
      <x:c r="F2469" s="48" t="n">
        <x:v>-0.04385691247118839</x:v>
      </x:c>
      <x:c r="G2469" s="48" t="n">
        <x:v>-0.11088886350457375</x:v>
      </x:c>
      <x:c r="H2469" s="48" t="n">
        <x:v>1.029082845979869</x:v>
      </x:c>
      <x:c r="I2469" s="48" t="n">
        <x:v>0.7735819401500748</x:v>
      </x:c>
      <x:c r="J2469" s="48" t="n">
        <x:v>0.6679859685060082</x:v>
      </x:c>
      <x:c r="K2469" s="48" t="n">
        <x:v>0.6363740308506441</x:v>
      </x:c>
      <x:c r="L2469" s="48" t="n">
        <x:v>0.739639479098085</x:v>
      </x:c>
      <x:c r="M2469" s="48" t="n">
        <x:v>0.05516887068208835</x:v>
      </x:c>
      <x:c r="N2469" s="48" t="n">
        <x:v>0.7623792419652834</x:v>
      </x:c>
      <x:c r="O2469" s="48" t="n">
        <x:v>0.9809638657244784</x:v>
      </x:c>
      <x:c r="P2469" s="48" t="n">
        <x:v>0.8136894483023763</x:v>
      </x:c>
      <x:c r="Q2469" s="48" t="n">
        <x:v>1</x:v>
      </x:c>
      <x:c r="R2469" s="48" t="n">
        <x:v>0.9764933620139444</x:v>
      </x:c>
      <x:c r="S2469" s="29" t="n">
        <x:v>0</x:v>
      </x:c>
    </x:row>
    <x:row r="2470" ht="21.600000381469727" hidden="0" customHeight="1">
      <x:c r="A2470" s="27" t="n">
        <x:v>822</x:v>
      </x:c>
      <x:c r="B2470" s="27" t="str">
        <x:v>A3</x:v>
      </x:c>
      <x:c r="C2470" s="47" t="n">
        <x:v>0.971958001268028</x:v>
      </x:c>
      <x:c r="D2470" s="47" t="n">
        <x:v>0.8594133166129683</x:v>
      </x:c>
      <x:c r="E2470" s="47" t="n">
        <x:v>0.9001397056808751</x:v>
      </x:c>
      <x:c r="F2470" s="47" t="n">
        <x:v>-0.04385691247118839</x:v>
      </x:c>
      <x:c r="G2470" s="47" t="n">
        <x:v>-0.11088886350457375</x:v>
      </x:c>
      <x:c r="H2470" s="47" t="n">
        <x:v>1.029082845979869</x:v>
      </x:c>
      <x:c r="I2470" s="47" t="n">
        <x:v>0.7735819401500748</x:v>
      </x:c>
      <x:c r="J2470" s="47" t="n">
        <x:v>0.6679859685060082</x:v>
      </x:c>
      <x:c r="K2470" s="47" t="n">
        <x:v>0.6363740308506441</x:v>
      </x:c>
      <x:c r="L2470" s="47" t="n">
        <x:v>0.739639479098085</x:v>
      </x:c>
      <x:c r="M2470" s="47" t="n">
        <x:v>0.05516887068208835</x:v>
      </x:c>
      <x:c r="N2470" s="47" t="n">
        <x:v>0.7623792419652834</x:v>
      </x:c>
      <x:c r="O2470" s="47" t="n">
        <x:v>1</x:v>
      </x:c>
      <x:c r="P2470" s="47" t="n">
        <x:v>1</x:v>
      </x:c>
      <x:c r="Q2470" s="47" t="n">
        <x:v>1</x:v>
      </x:c>
      <x:c r="R2470" s="47" t="n">
        <x:v>1.0000000000000002</x:v>
      </x:c>
      <x:c r="S2470" s="27" t="n">
        <x:v>1</x:v>
      </x:c>
    </x:row>
    <x:row r="2471" ht="21.600000381469727" hidden="0" customHeight="1">
      <x:c r="A2471" s="29" t="n">
        <x:v>823</x:v>
      </x:c>
      <x:c r="B2471" s="29" t="str">
        <x:v>A1</x:v>
      </x:c>
      <x:c r="C2471" s="48" t="n">
        <x:v>1.13148134223075</x:v>
      </x:c>
      <x:c r="D2471" s="48" t="n">
        <x:v>0.8929247821030741</x:v>
      </x:c>
      <x:c r="E2471" s="48" t="n">
        <x:v>0.543895234337127</x:v>
      </x:c>
      <x:c r="F2471" s="48" t="n">
        <x:v>-0.05977554672423671</x:v>
      </x:c>
      <x:c r="G2471" s="48" t="n">
        <x:v>-0.03364123635164326</x:v>
      </x:c>
      <x:c r="H2471" s="48" t="n">
        <x:v>0.7202593312363372</x:v>
      </x:c>
      <x:c r="I2471" s="48" t="n">
        <x:v>0.8116163486155574</x:v>
      </x:c>
      <x:c r="J2471" s="48" t="n">
        <x:v>0.7154024387040204</x:v>
      </x:c>
      <x:c r="K2471" s="48" t="n">
        <x:v>0.7579150528036285</x:v>
      </x:c>
      <x:c r="L2471" s="48" t="n">
        <x:v>0.8662710669000449</x:v>
      </x:c>
      <x:c r="M2471" s="48" t="n">
        <x:v>0.1006751083599256</x:v>
      </x:c>
      <x:c r="N2471" s="48" t="n">
        <x:v>0.9789553281192862</x:v>
      </x:c>
      <x:c r="O2471" s="48" t="n">
        <x:v>0.8721681825049339</x:v>
      </x:c>
      <x:c r="P2471" s="48" t="n">
        <x:v>0.5763154632809383</x:v>
      </x:c>
      <x:c r="Q2471" s="48" t="n">
        <x:v>1</x:v>
      </x:c>
      <x:c r="R2471" s="48" t="n">
        <x:v>0.8421477694229119</x:v>
      </x:c>
      <x:c r="S2471" s="29" t="n">
        <x:v>0</x:v>
      </x:c>
    </x:row>
    <x:row r="2472" ht="21.600000381469727" hidden="0" customHeight="1">
      <x:c r="A2472" s="27" t="n">
        <x:v>823</x:v>
      </x:c>
      <x:c r="B2472" s="27" t="str">
        <x:v>A2</x:v>
      </x:c>
      <x:c r="C2472" s="47" t="n">
        <x:v>1.13148134223075</x:v>
      </x:c>
      <x:c r="D2472" s="47" t="n">
        <x:v>0.8929247821030741</x:v>
      </x:c>
      <x:c r="E2472" s="47" t="n">
        <x:v>0.543895234337127</x:v>
      </x:c>
      <x:c r="F2472" s="47" t="n">
        <x:v>-0.05977554672423671</x:v>
      </x:c>
      <x:c r="G2472" s="47" t="n">
        <x:v>-0.03364123635164326</x:v>
      </x:c>
      <x:c r="H2472" s="47" t="n">
        <x:v>0.7202593312363372</x:v>
      </x:c>
      <x:c r="I2472" s="47" t="n">
        <x:v>0.8116163486155574</x:v>
      </x:c>
      <x:c r="J2472" s="47" t="n">
        <x:v>0.7154024387040204</x:v>
      </x:c>
      <x:c r="K2472" s="47" t="n">
        <x:v>0.7579150528036285</x:v>
      </x:c>
      <x:c r="L2472" s="47" t="n">
        <x:v>0.8662710669000449</x:v>
      </x:c>
      <x:c r="M2472" s="47" t="n">
        <x:v>0.1006751083599256</x:v>
      </x:c>
      <x:c r="N2472" s="47" t="n">
        <x:v>0.9789553281192862</x:v>
      </x:c>
      <x:c r="O2472" s="47" t="n">
        <x:v>0.9340911369717563</x:v>
      </x:c>
      <x:c r="P2472" s="47" t="n">
        <x:v>0.6624914133031381</x:v>
      </x:c>
      <x:c r="Q2472" s="47" t="n">
        <x:v>1</x:v>
      </x:c>
      <x:c r="R2472" s="47" t="n">
        <x:v>0.9186128989818236</x:v>
      </x:c>
      <x:c r="S2472" s="27" t="n">
        <x:v>0</x:v>
      </x:c>
    </x:row>
    <x:row r="2473" ht="21.600000381469727" hidden="0" customHeight="1">
      <x:c r="A2473" s="29" t="n">
        <x:v>823</x:v>
      </x:c>
      <x:c r="B2473" s="29" t="str">
        <x:v>A3</x:v>
      </x:c>
      <x:c r="C2473" s="48" t="n">
        <x:v>1.13148134223075</x:v>
      </x:c>
      <x:c r="D2473" s="48" t="n">
        <x:v>0.8929247821030741</x:v>
      </x:c>
      <x:c r="E2473" s="48" t="n">
        <x:v>0.543895234337127</x:v>
      </x:c>
      <x:c r="F2473" s="48" t="n">
        <x:v>-0.05977554672423671</x:v>
      </x:c>
      <x:c r="G2473" s="48" t="n">
        <x:v>-0.03364123635164326</x:v>
      </x:c>
      <x:c r="H2473" s="48" t="n">
        <x:v>0.7202593312363372</x:v>
      </x:c>
      <x:c r="I2473" s="48" t="n">
        <x:v>0.8116163486155574</x:v>
      </x:c>
      <x:c r="J2473" s="48" t="n">
        <x:v>0.7154024387040204</x:v>
      </x:c>
      <x:c r="K2473" s="48" t="n">
        <x:v>0.7579150528036285</x:v>
      </x:c>
      <x:c r="L2473" s="48" t="n">
        <x:v>0.8662710669000449</x:v>
      </x:c>
      <x:c r="M2473" s="48" t="n">
        <x:v>0.1006751083599256</x:v>
      </x:c>
      <x:c r="N2473" s="48" t="n">
        <x:v>0.9789553281192862</x:v>
      </x:c>
      <x:c r="O2473" s="48" t="n">
        <x:v>1</x:v>
      </x:c>
      <x:c r="P2473" s="48" t="n">
        <x:v>1</x:v>
      </x:c>
      <x:c r="Q2473" s="48" t="n">
        <x:v>1</x:v>
      </x:c>
      <x:c r="R2473" s="48" t="n">
        <x:v>1</x:v>
      </x:c>
      <x:c r="S2473" s="29" t="n">
        <x:v>1</x:v>
      </x:c>
    </x:row>
    <x:row r="2474" ht="21.600000381469727" hidden="0" customHeight="1">
      <x:c r="A2474" s="27" t="n">
        <x:v>824</x:v>
      </x:c>
      <x:c r="B2474" s="27" t="str">
        <x:v>A1</x:v>
      </x:c>
      <x:c r="C2474" s="47" t="n">
        <x:v>0.9159222229046959</x:v>
      </x:c>
      <x:c r="D2474" s="47" t="n">
        <x:v>0.7858799139809309</x:v>
      </x:c>
      <x:c r="E2474" s="47" t="n">
        <x:v>0.9815643174320414</x:v>
      </x:c>
      <x:c r="F2474" s="47" t="n">
        <x:v>-0.16224718701234908</x:v>
      </x:c>
      <x:c r="G2474" s="47" t="n">
        <x:v>-0.09386506482261792</x:v>
      </x:c>
      <x:c r="H2474" s="47" t="n">
        <x:v>0.6064380895161894</x:v>
      </x:c>
      <x:c r="I2474" s="47" t="n">
        <x:v>0.6673261230306626</x:v>
      </x:c>
      <x:c r="J2474" s="47" t="n">
        <x:v>0.431338500137309</x:v>
      </x:c>
      <x:c r="K2474" s="47" t="n">
        <x:v>0.8164613819210982</x:v>
      </x:c>
      <x:c r="L2474" s="47" t="n">
        <x:v>0.8691631890352651</x:v>
      </x:c>
      <x:c r="M2474" s="47" t="n">
        <x:v>0.08558628005712922</x:v>
      </x:c>
      <x:c r="N2474" s="47" t="n">
        <x:v>0.7610961051038116</x:v>
      </x:c>
      <x:c r="O2474" s="47" t="n">
        <x:v>0.8758676326989636</x:v>
      </x:c>
      <x:c r="P2474" s="47" t="n">
        <x:v>0.6357683380349362</x:v>
      </x:c>
      <x:c r="Q2474" s="47" t="n">
        <x:v>1</x:v>
      </x:c>
      <x:c r="R2474" s="47" t="n">
        <x:v>0.8467160097599389</x:v>
      </x:c>
      <x:c r="S2474" s="27" t="n">
        <x:v>0</x:v>
      </x:c>
    </x:row>
    <x:row r="2475" ht="21.600000381469727" hidden="0" customHeight="1">
      <x:c r="A2475" s="29" t="n">
        <x:v>824</x:v>
      </x:c>
      <x:c r="B2475" s="29" t="str">
        <x:v>A2</x:v>
      </x:c>
      <x:c r="C2475" s="48" t="n">
        <x:v>0.9159222229046959</x:v>
      </x:c>
      <x:c r="D2475" s="48" t="n">
        <x:v>0.7858799139809309</x:v>
      </x:c>
      <x:c r="E2475" s="48" t="n">
        <x:v>0.9815643174320414</x:v>
      </x:c>
      <x:c r="F2475" s="48" t="n">
        <x:v>-0.16224718701234908</x:v>
      </x:c>
      <x:c r="G2475" s="48" t="n">
        <x:v>-0.09386506482261792</x:v>
      </x:c>
      <x:c r="H2475" s="48" t="n">
        <x:v>0.6064380895161894</x:v>
      </x:c>
      <x:c r="I2475" s="48" t="n">
        <x:v>0.6673261230306626</x:v>
      </x:c>
      <x:c r="J2475" s="48" t="n">
        <x:v>0.431338500137309</x:v>
      </x:c>
      <x:c r="K2475" s="48" t="n">
        <x:v>0.8164613819210982</x:v>
      </x:c>
      <x:c r="L2475" s="48" t="n">
        <x:v>0.8691631890352651</x:v>
      </x:c>
      <x:c r="M2475" s="48" t="n">
        <x:v>0.08558628005712922</x:v>
      </x:c>
      <x:c r="N2475" s="48" t="n">
        <x:v>0.7610961051038116</x:v>
      </x:c>
      <x:c r="O2475" s="48" t="n">
        <x:v>0.955801308023799</x:v>
      </x:c>
      <x:c r="P2475" s="48" t="n">
        <x:v>0.7863221911499639</x:v>
      </x:c>
      <x:c r="Q2475" s="48" t="n">
        <x:v>1</x:v>
      </x:c>
      <x:c r="R2475" s="48" t="n">
        <x:v>0.9454215526795414</x:v>
      </x:c>
      <x:c r="S2475" s="29" t="n">
        <x:v>0</x:v>
      </x:c>
    </x:row>
    <x:row r="2476" ht="21.600000381469727" hidden="0" customHeight="1">
      <x:c r="A2476" s="27" t="n">
        <x:v>824</x:v>
      </x:c>
      <x:c r="B2476" s="27" t="str">
        <x:v>A3</x:v>
      </x:c>
      <x:c r="C2476" s="47" t="n">
        <x:v>0.9159222229046959</x:v>
      </x:c>
      <x:c r="D2476" s="47" t="n">
        <x:v>0.7858799139809309</x:v>
      </x:c>
      <x:c r="E2476" s="47" t="n">
        <x:v>0.9815643174320414</x:v>
      </x:c>
      <x:c r="F2476" s="47" t="n">
        <x:v>-0.16224718701234908</x:v>
      </x:c>
      <x:c r="G2476" s="47" t="n">
        <x:v>-0.09386506482261792</x:v>
      </x:c>
      <x:c r="H2476" s="47" t="n">
        <x:v>0.6064380895161894</x:v>
      </x:c>
      <x:c r="I2476" s="47" t="n">
        <x:v>0.6673261230306626</x:v>
      </x:c>
      <x:c r="J2476" s="47" t="n">
        <x:v>0.431338500137309</x:v>
      </x:c>
      <x:c r="K2476" s="47" t="n">
        <x:v>0.8164613819210982</x:v>
      </x:c>
      <x:c r="L2476" s="47" t="n">
        <x:v>0.8691631890352651</x:v>
      </x:c>
      <x:c r="M2476" s="47" t="n">
        <x:v>0.08558628005712922</x:v>
      </x:c>
      <x:c r="N2476" s="47" t="n">
        <x:v>0.7610961051038116</x:v>
      </x:c>
      <x:c r="O2476" s="47" t="n">
        <x:v>1</x:v>
      </x:c>
      <x:c r="P2476" s="47" t="n">
        <x:v>1</x:v>
      </x:c>
      <x:c r="Q2476" s="47" t="n">
        <x:v>1</x:v>
      </x:c>
      <x:c r="R2476" s="47" t="n">
        <x:v>1</x:v>
      </x:c>
      <x:c r="S2476" s="27" t="n">
        <x:v>1</x:v>
      </x:c>
    </x:row>
    <x:row r="2477" ht="21.600000381469727" hidden="0" customHeight="1">
      <x:c r="A2477" s="29" t="n">
        <x:v>825</x:v>
      </x:c>
      <x:c r="B2477" s="29" t="str">
        <x:v>A1</x:v>
      </x:c>
      <x:c r="C2477" s="48" t="n">
        <x:v>1.266825951836665</x:v>
      </x:c>
      <x:c r="D2477" s="48" t="n">
        <x:v>0.886437045357102</x:v>
      </x:c>
      <x:c r="E2477" s="48" t="n">
        <x:v>0.47515723243390356</x:v>
      </x:c>
      <x:c r="F2477" s="48" t="n">
        <x:v>-0.10399077328867086</x:v>
      </x:c>
      <x:c r="G2477" s="48" t="n">
        <x:v>-0.027159955779800654</x:v>
      </x:c>
      <x:c r="H2477" s="48" t="n">
        <x:v>0.44910498474054844</x:v>
      </x:c>
      <x:c r="I2477" s="48" t="n">
        <x:v>0.9294419342841442</x:v>
      </x:c>
      <x:c r="J2477" s="48" t="n">
        <x:v>0.9469630472013355</x:v>
      </x:c>
      <x:c r="K2477" s="48" t="n">
        <x:v>0.9354153994539572</x:v>
      </x:c>
      <x:c r="L2477" s="48" t="n">
        <x:v>0.6025374252334431</x:v>
      </x:c>
      <x:c r="M2477" s="48" t="n">
        <x:v>0.17089400100430524</x:v>
      </x:c>
      <x:c r="N2477" s="48" t="n">
        <x:v>0.9875914984923718</x:v>
      </x:c>
      <x:c r="O2477" s="48" t="n">
        <x:v>0.8017596309969592</x:v>
      </x:c>
      <x:c r="P2477" s="48" t="n">
        <x:v>0.4401165811891262</x:v>
      </x:c>
      <x:c r="Q2477" s="48" t="n">
        <x:v>1</x:v>
      </x:c>
      <x:c r="R2477" s="48" t="n">
        <x:v>0.7552042593874344</x:v>
      </x:c>
      <x:c r="S2477" s="29" t="n">
        <x:v>0</x:v>
      </x:c>
    </x:row>
    <x:row r="2478" ht="21.600000381469727" hidden="0" customHeight="1">
      <x:c r="A2478" s="27" t="n">
        <x:v>825</x:v>
      </x:c>
      <x:c r="B2478" s="27" t="str">
        <x:v>A2</x:v>
      </x:c>
      <x:c r="C2478" s="47" t="n">
        <x:v>1.266825951836665</x:v>
      </x:c>
      <x:c r="D2478" s="47" t="n">
        <x:v>0.886437045357102</x:v>
      </x:c>
      <x:c r="E2478" s="47" t="n">
        <x:v>0.47515723243390356</x:v>
      </x:c>
      <x:c r="F2478" s="47" t="n">
        <x:v>-0.10399077328867086</x:v>
      </x:c>
      <x:c r="G2478" s="47" t="n">
        <x:v>-0.027159955779800654</x:v>
      </x:c>
      <x:c r="H2478" s="47" t="n">
        <x:v>0.44910498474054844</x:v>
      </x:c>
      <x:c r="I2478" s="47" t="n">
        <x:v>0.9294419342841442</x:v>
      </x:c>
      <x:c r="J2478" s="47" t="n">
        <x:v>0.9469630472013355</x:v>
      </x:c>
      <x:c r="K2478" s="47" t="n">
        <x:v>0.9354153994539572</x:v>
      </x:c>
      <x:c r="L2478" s="47" t="n">
        <x:v>0.6025374252334431</x:v>
      </x:c>
      <x:c r="M2478" s="47" t="n">
        <x:v>0.17089400100430524</x:v>
      </x:c>
      <x:c r="N2478" s="47" t="n">
        <x:v>0.9875914984923718</x:v>
      </x:c>
      <x:c r="O2478" s="47" t="n">
        <x:v>0.8697025027646513</x:v>
      </x:c>
      <x:c r="P2478" s="47" t="n">
        <x:v>0.5004374513130959</x:v>
      </x:c>
      <x:c r="Q2478" s="47" t="n">
        <x:v>1</x:v>
      </x:c>
      <x:c r="R2478" s="47" t="n">
        <x:v>0.839103041948022</x:v>
      </x:c>
      <x:c r="S2478" s="27" t="n">
        <x:v>0</x:v>
      </x:c>
    </x:row>
    <x:row r="2479" ht="21.600000381469727" hidden="0" customHeight="1">
      <x:c r="A2479" s="29" t="n">
        <x:v>825</x:v>
      </x:c>
      <x:c r="B2479" s="29" t="str">
        <x:v>A3</x:v>
      </x:c>
      <x:c r="C2479" s="48" t="n">
        <x:v>1.266825951836665</x:v>
      </x:c>
      <x:c r="D2479" s="48" t="n">
        <x:v>0.886437045357102</x:v>
      </x:c>
      <x:c r="E2479" s="48" t="n">
        <x:v>0.47515723243390356</x:v>
      </x:c>
      <x:c r="F2479" s="48" t="n">
        <x:v>-0.10399077328867086</x:v>
      </x:c>
      <x:c r="G2479" s="48" t="n">
        <x:v>-0.027159955779800654</x:v>
      </x:c>
      <x:c r="H2479" s="48" t="n">
        <x:v>0.44910498474054844</x:v>
      </x:c>
      <x:c r="I2479" s="48" t="n">
        <x:v>0.9294419342841442</x:v>
      </x:c>
      <x:c r="J2479" s="48" t="n">
        <x:v>0.9469630472013355</x:v>
      </x:c>
      <x:c r="K2479" s="48" t="n">
        <x:v>0.9354153994539572</x:v>
      </x:c>
      <x:c r="L2479" s="48" t="n">
        <x:v>0.6025374252334431</x:v>
      </x:c>
      <x:c r="M2479" s="48" t="n">
        <x:v>0.17089400100430524</x:v>
      </x:c>
      <x:c r="N2479" s="48" t="n">
        <x:v>0.9875914984923718</x:v>
      </x:c>
      <x:c r="O2479" s="48" t="n">
        <x:v>1</x:v>
      </x:c>
      <x:c r="P2479" s="48" t="n">
        <x:v>1</x:v>
      </x:c>
      <x:c r="Q2479" s="48" t="n">
        <x:v>1</x:v>
      </x:c>
      <x:c r="R2479" s="48" t="n">
        <x:v>1</x:v>
      </x:c>
      <x:c r="S2479" s="29" t="n">
        <x:v>1</x:v>
      </x:c>
    </x:row>
    <x:row r="2480" ht="21.600000381469727" hidden="0" customHeight="1">
      <x:c r="A2480" s="27" t="n">
        <x:v>826</x:v>
      </x:c>
      <x:c r="B2480" s="27" t="str">
        <x:v>A1</x:v>
      </x:c>
      <x:c r="C2480" s="47" t="n">
        <x:v>1.2037864350345109</x:v>
      </x:c>
      <x:c r="D2480" s="47" t="n">
        <x:v>0.9627783678866316</x:v>
      </x:c>
      <x:c r="E2480" s="47" t="n">
        <x:v>0.5176276068333303</x:v>
      </x:c>
      <x:c r="F2480" s="47" t="n">
        <x:v>-0.17358588286910043</x:v>
      </x:c>
      <x:c r="G2480" s="47" t="n">
        <x:v>0.008739860104870767</x:v>
      </x:c>
      <x:c r="H2480" s="47" t="n">
        <x:v>0.7710757899110333</x:v>
      </x:c>
      <x:c r="I2480" s="47" t="n">
        <x:v>0.7351684965435314</x:v>
      </x:c>
      <x:c r="J2480" s="47" t="n">
        <x:v>0.7808745220069333</x:v>
      </x:c>
      <x:c r="K2480" s="47" t="n">
        <x:v>0.8560817611829705</x:v>
      </x:c>
      <x:c r="L2480" s="47" t="n">
        <x:v>0.7937467841196937</x:v>
      </x:c>
      <x:c r="M2480" s="47" t="n">
        <x:v>0.045017893593979064</x:v>
      </x:c>
      <x:c r="N2480" s="47" t="n">
        <x:v>0.6512939330189459</x:v>
      </x:c>
      <x:c r="O2480" s="47" t="n">
        <x:v>0.8656009828990541</x:v>
      </x:c>
      <x:c r="P2480" s="47" t="n">
        <x:v>0.5860529310637322</x:v>
      </x:c>
      <x:c r="Q2480" s="47" t="n">
        <x:v>1</x:v>
      </x:c>
      <x:c r="R2480" s="47" t="n">
        <x:v>0.8340383086740408</x:v>
      </x:c>
      <x:c r="S2480" s="27" t="n">
        <x:v>0</x:v>
      </x:c>
    </x:row>
    <x:row r="2481" ht="21.600000381469727" hidden="0" customHeight="1">
      <x:c r="A2481" s="29" t="n">
        <x:v>826</x:v>
      </x:c>
      <x:c r="B2481" s="29" t="str">
        <x:v>A2</x:v>
      </x:c>
      <x:c r="C2481" s="48" t="n">
        <x:v>1.2037864350345109</x:v>
      </x:c>
      <x:c r="D2481" s="48" t="n">
        <x:v>0.9627783678866316</x:v>
      </x:c>
      <x:c r="E2481" s="48" t="n">
        <x:v>0.5176276068333303</x:v>
      </x:c>
      <x:c r="F2481" s="48" t="n">
        <x:v>-0.17358588286910043</x:v>
      </x:c>
      <x:c r="G2481" s="48" t="n">
        <x:v>0.008739860104870767</x:v>
      </x:c>
      <x:c r="H2481" s="48" t="n">
        <x:v>0.7710757899110333</x:v>
      </x:c>
      <x:c r="I2481" s="48" t="n">
        <x:v>0.7351684965435314</x:v>
      </x:c>
      <x:c r="J2481" s="48" t="n">
        <x:v>0.7808745220069333</x:v>
      </x:c>
      <x:c r="K2481" s="48" t="n">
        <x:v>0.8560817611829705</x:v>
      </x:c>
      <x:c r="L2481" s="48" t="n">
        <x:v>0.7937467841196937</x:v>
      </x:c>
      <x:c r="M2481" s="48" t="n">
        <x:v>0.045017893593979064</x:v>
      </x:c>
      <x:c r="N2481" s="48" t="n">
        <x:v>0.6512939330189459</x:v>
      </x:c>
      <x:c r="O2481" s="48" t="n">
        <x:v>0.9402539249872846</x:v>
      </x:c>
      <x:c r="P2481" s="48" t="n">
        <x:v>0.6901595935396051</x:v>
      </x:c>
      <x:c r="Q2481" s="48" t="n">
        <x:v>1</x:v>
      </x:c>
      <x:c r="R2481" s="48" t="n">
        <x:v>0.9262229748916214</x:v>
      </x:c>
      <x:c r="S2481" s="29" t="n">
        <x:v>0</x:v>
      </x:c>
    </x:row>
    <x:row r="2482" ht="21.600000381469727" hidden="0" customHeight="1">
      <x:c r="A2482" s="27" t="n">
        <x:v>826</x:v>
      </x:c>
      <x:c r="B2482" s="27" t="str">
        <x:v>A3</x:v>
      </x:c>
      <x:c r="C2482" s="47" t="n">
        <x:v>1.2037864350345109</x:v>
      </x:c>
      <x:c r="D2482" s="47" t="n">
        <x:v>0.9627783678866316</x:v>
      </x:c>
      <x:c r="E2482" s="47" t="n">
        <x:v>0.5176276068333303</x:v>
      </x:c>
      <x:c r="F2482" s="47" t="n">
        <x:v>-0.17358588286910043</x:v>
      </x:c>
      <x:c r="G2482" s="47" t="n">
        <x:v>0.008739860104870767</x:v>
      </x:c>
      <x:c r="H2482" s="47" t="n">
        <x:v>0.7710757899110333</x:v>
      </x:c>
      <x:c r="I2482" s="47" t="n">
        <x:v>0.7351684965435314</x:v>
      </x:c>
      <x:c r="J2482" s="47" t="n">
        <x:v>0.7808745220069333</x:v>
      </x:c>
      <x:c r="K2482" s="47" t="n">
        <x:v>0.8560817611829705</x:v>
      </x:c>
      <x:c r="L2482" s="47" t="n">
        <x:v>0.7937467841196937</x:v>
      </x:c>
      <x:c r="M2482" s="47" t="n">
        <x:v>0.045017893593979064</x:v>
      </x:c>
      <x:c r="N2482" s="47" t="n">
        <x:v>0.6512939330189459</x:v>
      </x:c>
      <x:c r="O2482" s="47" t="n">
        <x:v>1</x:v>
      </x:c>
      <x:c r="P2482" s="47" t="n">
        <x:v>1</x:v>
      </x:c>
      <x:c r="Q2482" s="47" t="n">
        <x:v>1</x:v>
      </x:c>
      <x:c r="R2482" s="47" t="n">
        <x:v>1</x:v>
      </x:c>
      <x:c r="S2482" s="27" t="n">
        <x:v>1</x:v>
      </x:c>
    </x:row>
    <x:row r="2483" ht="21.600000381469727" hidden="0" customHeight="1">
      <x:c r="A2483" s="29" t="n">
        <x:v>827</x:v>
      </x:c>
      <x:c r="B2483" s="29" t="str">
        <x:v>A1</x:v>
      </x:c>
      <x:c r="C2483" s="48" t="n">
        <x:v>1.103819512539897</x:v>
      </x:c>
      <x:c r="D2483" s="48" t="n">
        <x:v>0.8421684756853454</x:v>
      </x:c>
      <x:c r="E2483" s="48" t="n">
        <x:v>0.6244675654780659</x:v>
      </x:c>
      <x:c r="F2483" s="48" t="n">
        <x:v>-0.006931920393524971</x:v>
      </x:c>
      <x:c r="G2483" s="48" t="n">
        <x:v>-0.1967003384420365</x:v>
      </x:c>
      <x:c r="H2483" s="48" t="n">
        <x:v>1.0781544267713195</x:v>
      </x:c>
      <x:c r="I2483" s="48" t="n">
        <x:v>0.6285675779826285</x:v>
      </x:c>
      <x:c r="J2483" s="48" t="n">
        <x:v>0.4609964678908719</x:v>
      </x:c>
      <x:c r="K2483" s="48" t="n">
        <x:v>0.5835390297148934</x:v>
      </x:c>
      <x:c r="L2483" s="48" t="n">
        <x:v>0.6548080398358446</x:v>
      </x:c>
      <x:c r="M2483" s="48" t="n">
        <x:v>0.09093488929369478</x:v>
      </x:c>
      <x:c r="N2483" s="48" t="n">
        <x:v>0.6599557922019305</x:v>
      </x:c>
      <x:c r="O2483" s="48" t="n">
        <x:v>0.8105469038225884</x:v>
      </x:c>
      <x:c r="P2483" s="48" t="n">
        <x:v>0.5620134300670906</x:v>
      </x:c>
      <x:c r="Q2483" s="48" t="n">
        <x:v>0.9255850878823061</x:v>
      </x:c>
      <x:c r="R2483" s="48" t="n">
        <x:v>0.7671796797090359</x:v>
      </x:c>
      <x:c r="S2483" s="29" t="n">
        <x:v>0</x:v>
      </x:c>
    </x:row>
    <x:row r="2484" ht="21.600000381469727" hidden="0" customHeight="1">
      <x:c r="A2484" s="27" t="n">
        <x:v>827</x:v>
      </x:c>
      <x:c r="B2484" s="27" t="str">
        <x:v>A2</x:v>
      </x:c>
      <x:c r="C2484" s="47" t="n">
        <x:v>1.103819512539897</x:v>
      </x:c>
      <x:c r="D2484" s="47" t="n">
        <x:v>0.8421684756853454</x:v>
      </x:c>
      <x:c r="E2484" s="47" t="n">
        <x:v>0.6244675654780659</x:v>
      </x:c>
      <x:c r="F2484" s="47" t="n">
        <x:v>-0.006931920393524971</x:v>
      </x:c>
      <x:c r="G2484" s="47" t="n">
        <x:v>-0.1967003384420365</x:v>
      </x:c>
      <x:c r="H2484" s="47" t="n">
        <x:v>1.0781544267713195</x:v>
      </x:c>
      <x:c r="I2484" s="47" t="n">
        <x:v>0.6285675779826285</x:v>
      </x:c>
      <x:c r="J2484" s="47" t="n">
        <x:v>0.4609964678908719</x:v>
      </x:c>
      <x:c r="K2484" s="47" t="n">
        <x:v>0.5835390297148934</x:v>
      </x:c>
      <x:c r="L2484" s="47" t="n">
        <x:v>0.6548080398358446</x:v>
      </x:c>
      <x:c r="M2484" s="47" t="n">
        <x:v>0.09093488929369478</x:v>
      </x:c>
      <x:c r="N2484" s="47" t="n">
        <x:v>0.6599557922019305</x:v>
      </x:c>
      <x:c r="O2484" s="47" t="n">
        <x:v>0.8841151476835527</x:v>
      </x:c>
      <x:c r="P2484" s="47" t="n">
        <x:v>0.5685325250365775</x:v>
      </x:c>
      <x:c r="Q2484" s="47" t="n">
        <x:v>1</x:v>
      </x:c>
      <x:c r="R2484" s="47" t="n">
        <x:v>0.8569003962651655</x:v>
      </x:c>
      <x:c r="S2484" s="27" t="n">
        <x:v>0</x:v>
      </x:c>
    </x:row>
    <x:row r="2485" ht="21.600000381469727" hidden="0" customHeight="1">
      <x:c r="A2485" s="29" t="n">
        <x:v>827</x:v>
      </x:c>
      <x:c r="B2485" s="29" t="str">
        <x:v>A3</x:v>
      </x:c>
      <x:c r="C2485" s="48" t="n">
        <x:v>1.103819512539897</x:v>
      </x:c>
      <x:c r="D2485" s="48" t="n">
        <x:v>0.8421684756853454</x:v>
      </x:c>
      <x:c r="E2485" s="48" t="n">
        <x:v>0.6244675654780659</x:v>
      </x:c>
      <x:c r="F2485" s="48" t="n">
        <x:v>-0.006931920393524971</x:v>
      </x:c>
      <x:c r="G2485" s="48" t="n">
        <x:v>-0.1967003384420365</x:v>
      </x:c>
      <x:c r="H2485" s="48" t="n">
        <x:v>1.0781544267713195</x:v>
      </x:c>
      <x:c r="I2485" s="48" t="n">
        <x:v>0.6285675779826285</x:v>
      </x:c>
      <x:c r="J2485" s="48" t="n">
        <x:v>0.4609964678908719</x:v>
      </x:c>
      <x:c r="K2485" s="48" t="n">
        <x:v>0.5835390297148934</x:v>
      </x:c>
      <x:c r="L2485" s="48" t="n">
        <x:v>0.6548080398358446</x:v>
      </x:c>
      <x:c r="M2485" s="48" t="n">
        <x:v>0.09093488929369478</x:v>
      </x:c>
      <x:c r="N2485" s="48" t="n">
        <x:v>0.6599557922019305</x:v>
      </x:c>
      <x:c r="O2485" s="48" t="n">
        <x:v>1</x:v>
      </x:c>
      <x:c r="P2485" s="48" t="n">
        <x:v>1</x:v>
      </x:c>
      <x:c r="Q2485" s="48" t="n">
        <x:v>1</x:v>
      </x:c>
      <x:c r="R2485" s="48" t="n">
        <x:v>1</x:v>
      </x:c>
      <x:c r="S2485" s="29" t="n">
        <x:v>1</x:v>
      </x:c>
    </x:row>
    <x:row r="2486" ht="21.600000381469727" hidden="0" customHeight="1">
      <x:c r="A2486" s="27" t="n">
        <x:v>828</x:v>
      </x:c>
      <x:c r="B2486" s="27" t="str">
        <x:v>A1</x:v>
      </x:c>
      <x:c r="C2486" s="47" t="n">
        <x:v>1.314641370199298</x:v>
      </x:c>
      <x:c r="D2486" s="47" t="n">
        <x:v>0.7882248254320807</x:v>
      </x:c>
      <x:c r="E2486" s="47" t="n">
        <x:v>0.9910630348031939</x:v>
      </x:c>
      <x:c r="F2486" s="47" t="n">
        <x:v>-0.07360879311055568</x:v>
      </x:c>
      <x:c r="G2486" s="47" t="n">
        <x:v>-0.06272125496558617</x:v>
      </x:c>
      <x:c r="H2486" s="47" t="n">
        <x:v>0.3328014089900636</x:v>
      </x:c>
      <x:c r="I2486" s="47" t="n">
        <x:v>0.7681732139935371</x:v>
      </x:c>
      <x:c r="J2486" s="47" t="n">
        <x:v>0.8311194521441865</x:v>
      </x:c>
      <x:c r="K2486" s="47" t="n">
        <x:v>0.9170991513626159</x:v>
      </x:c>
      <x:c r="L2486" s="47" t="n">
        <x:v>0.962275655202137</x:v>
      </x:c>
      <x:c r="M2486" s="47" t="n">
        <x:v>0.0684569909019476</x:v>
      </x:c>
      <x:c r="N2486" s="47" t="n">
        <x:v>0.9682865121404204</x:v>
      </x:c>
      <x:c r="O2486" s="47" t="n">
        <x:v>0.8254461007243467</x:v>
      </x:c>
      <x:c r="P2486" s="47" t="n">
        <x:v>0.450057340996152</x:v>
      </x:c>
      <x:c r="Q2486" s="47" t="n">
        <x:v>1</x:v>
      </x:c>
      <x:c r="R2486" s="47" t="n">
        <x:v>0.7844533317563624</x:v>
      </x:c>
      <x:c r="S2486" s="27" t="n">
        <x:v>0</x:v>
      </x:c>
    </x:row>
    <x:row r="2487" ht="21.600000381469727" hidden="0" customHeight="1">
      <x:c r="A2487" s="29" t="n">
        <x:v>828</x:v>
      </x:c>
      <x:c r="B2487" s="29" t="str">
        <x:v>A2</x:v>
      </x:c>
      <x:c r="C2487" s="48" t="n">
        <x:v>1.314641370199298</x:v>
      </x:c>
      <x:c r="D2487" s="48" t="n">
        <x:v>0.7882248254320807</x:v>
      </x:c>
      <x:c r="E2487" s="48" t="n">
        <x:v>0.9910630348031939</x:v>
      </x:c>
      <x:c r="F2487" s="48" t="n">
        <x:v>-0.07360879311055568</x:v>
      </x:c>
      <x:c r="G2487" s="48" t="n">
        <x:v>-0.06272125496558617</x:v>
      </x:c>
      <x:c r="H2487" s="48" t="n">
        <x:v>0.3328014089900636</x:v>
      </x:c>
      <x:c r="I2487" s="48" t="n">
        <x:v>0.7681732139935371</x:v>
      </x:c>
      <x:c r="J2487" s="48" t="n">
        <x:v>0.8311194521441865</x:v>
      </x:c>
      <x:c r="K2487" s="48" t="n">
        <x:v>0.9170991513626159</x:v>
      </x:c>
      <x:c r="L2487" s="48" t="n">
        <x:v>0.962275655202137</x:v>
      </x:c>
      <x:c r="M2487" s="48" t="n">
        <x:v>0.0684569909019476</x:v>
      </x:c>
      <x:c r="N2487" s="48" t="n">
        <x:v>0.9682865121404204</x:v>
      </x:c>
      <x:c r="O2487" s="48" t="n">
        <x:v>0.9074371342485024</x:v>
      </x:c>
      <x:c r="P2487" s="48" t="n">
        <x:v>0.5606590746437663</x:v>
      </x:c>
      <x:c r="Q2487" s="48" t="n">
        <x:v>1</x:v>
      </x:c>
      <x:c r="R2487" s="48" t="n">
        <x:v>0.8856993891364691</x:v>
      </x:c>
      <x:c r="S2487" s="29" t="n">
        <x:v>0</x:v>
      </x:c>
    </x:row>
    <x:row r="2488" ht="21.600000381469727" hidden="0" customHeight="1">
      <x:c r="A2488" s="27" t="n">
        <x:v>828</x:v>
      </x:c>
      <x:c r="B2488" s="27" t="str">
        <x:v>A3</x:v>
      </x:c>
      <x:c r="C2488" s="47" t="n">
        <x:v>1.314641370199298</x:v>
      </x:c>
      <x:c r="D2488" s="47" t="n">
        <x:v>0.7882248254320807</x:v>
      </x:c>
      <x:c r="E2488" s="47" t="n">
        <x:v>0.9910630348031939</x:v>
      </x:c>
      <x:c r="F2488" s="47" t="n">
        <x:v>-0.07360879311055568</x:v>
      </x:c>
      <x:c r="G2488" s="47" t="n">
        <x:v>-0.06272125496558617</x:v>
      </x:c>
      <x:c r="H2488" s="47" t="n">
        <x:v>0.3328014089900636</x:v>
      </x:c>
      <x:c r="I2488" s="47" t="n">
        <x:v>0.7681732139935371</x:v>
      </x:c>
      <x:c r="J2488" s="47" t="n">
        <x:v>0.8311194521441865</x:v>
      </x:c>
      <x:c r="K2488" s="47" t="n">
        <x:v>0.9170991513626159</x:v>
      </x:c>
      <x:c r="L2488" s="47" t="n">
        <x:v>0.962275655202137</x:v>
      </x:c>
      <x:c r="M2488" s="47" t="n">
        <x:v>0.0684569909019476</x:v>
      </x:c>
      <x:c r="N2488" s="47" t="n">
        <x:v>0.9682865121404204</x:v>
      </x:c>
      <x:c r="O2488" s="47" t="n">
        <x:v>1</x:v>
      </x:c>
      <x:c r="P2488" s="47" t="n">
        <x:v>1</x:v>
      </x:c>
      <x:c r="Q2488" s="47" t="n">
        <x:v>1</x:v>
      </x:c>
      <x:c r="R2488" s="47" t="n">
        <x:v>1</x:v>
      </x:c>
      <x:c r="S2488" s="27" t="n">
        <x:v>1</x:v>
      </x:c>
    </x:row>
    <x:row r="2489" ht="21.600000381469727" hidden="0" customHeight="1">
      <x:c r="A2489" s="29" t="n">
        <x:v>829</x:v>
      </x:c>
      <x:c r="B2489" s="29" t="str">
        <x:v>A1</x:v>
      </x:c>
      <x:c r="C2489" s="48" t="n">
        <x:v>0.9994964514661818</x:v>
      </x:c>
      <x:c r="D2489" s="48" t="n">
        <x:v>0.9662941809245368</x:v>
      </x:c>
      <x:c r="E2489" s="48" t="n">
        <x:v>0.6792968804975497</x:v>
      </x:c>
      <x:c r="F2489" s="48" t="n">
        <x:v>-0.19117107486400797</x:v>
      </x:c>
      <x:c r="G2489" s="48" t="n">
        <x:v>-0.1913993927313371</x:v>
      </x:c>
      <x:c r="H2489" s="48" t="n">
        <x:v>0.9322731989371191</x:v>
      </x:c>
      <x:c r="I2489" s="48" t="n">
        <x:v>0.7831125628957543</x:v>
      </x:c>
      <x:c r="J2489" s="48" t="n">
        <x:v>0.8880908372155341</x:v>
      </x:c>
      <x:c r="K2489" s="48" t="n">
        <x:v>0.6518715626087588</x:v>
      </x:c>
      <x:c r="L2489" s="48" t="n">
        <x:v>0.842531558373375</x:v>
      </x:c>
      <x:c r="M2489" s="48" t="n">
        <x:v>0.09068954181196151</x:v>
      </x:c>
      <x:c r="N2489" s="48" t="n">
        <x:v>0.6830179945306613</x:v>
      </x:c>
      <x:c r="O2489" s="48" t="n">
        <x:v>0.9290205198406388</x:v>
      </x:c>
      <x:c r="P2489" s="48" t="n">
        <x:v>0.5874372946664692</x:v>
      </x:c>
      <x:c r="Q2489" s="48" t="n">
        <x:v>1</x:v>
      </x:c>
      <x:c r="R2489" s="48" t="n">
        <x:v>0.9123514826909994</x:v>
      </x:c>
      <x:c r="S2489" s="29" t="n">
        <x:v>0</x:v>
      </x:c>
    </x:row>
    <x:row r="2490" ht="21.600000381469727" hidden="0" customHeight="1">
      <x:c r="A2490" s="27" t="n">
        <x:v>829</x:v>
      </x:c>
      <x:c r="B2490" s="27" t="str">
        <x:v>A2</x:v>
      </x:c>
      <x:c r="C2490" s="47" t="n">
        <x:v>0.9994964514661818</x:v>
      </x:c>
      <x:c r="D2490" s="47" t="n">
        <x:v>0.9662941809245368</x:v>
      </x:c>
      <x:c r="E2490" s="47" t="n">
        <x:v>0.6792968804975497</x:v>
      </x:c>
      <x:c r="F2490" s="47" t="n">
        <x:v>-0.19117107486400797</x:v>
      </x:c>
      <x:c r="G2490" s="47" t="n">
        <x:v>-0.1913993927313371</x:v>
      </x:c>
      <x:c r="H2490" s="47" t="n">
        <x:v>0.9322731989371191</x:v>
      </x:c>
      <x:c r="I2490" s="47" t="n">
        <x:v>0.7831125628957543</x:v>
      </x:c>
      <x:c r="J2490" s="47" t="n">
        <x:v>0.8880908372155341</x:v>
      </x:c>
      <x:c r="K2490" s="47" t="n">
        <x:v>0.6518715626087588</x:v>
      </x:c>
      <x:c r="L2490" s="47" t="n">
        <x:v>0.842531558373375</x:v>
      </x:c>
      <x:c r="M2490" s="47" t="n">
        <x:v>0.09068954181196151</x:v>
      </x:c>
      <x:c r="N2490" s="47" t="n">
        <x:v>0.6830179945306613</x:v>
      </x:c>
      <x:c r="O2490" s="47" t="n">
        <x:v>0.9902282434699586</x:v>
      </x:c>
      <x:c r="P2490" s="47" t="n">
        <x:v>0.9022824346995861</x:v>
      </x:c>
      <x:c r="Q2490" s="47" t="n">
        <x:v>1</x:v>
      </x:c>
      <x:c r="R2490" s="47" t="n">
        <x:v>0.9879334144256942</x:v>
      </x:c>
      <x:c r="S2490" s="27" t="n">
        <x:v>0</x:v>
      </x:c>
    </x:row>
    <x:row r="2491" ht="21.600000381469727" hidden="0" customHeight="1">
      <x:c r="A2491" s="29" t="n">
        <x:v>829</x:v>
      </x:c>
      <x:c r="B2491" s="29" t="str">
        <x:v>A3</x:v>
      </x:c>
      <x:c r="C2491" s="48" t="n">
        <x:v>0.9994964514661818</x:v>
      </x:c>
      <x:c r="D2491" s="48" t="n">
        <x:v>0.9662941809245368</x:v>
      </x:c>
      <x:c r="E2491" s="48" t="n">
        <x:v>0.6792968804975497</x:v>
      </x:c>
      <x:c r="F2491" s="48" t="n">
        <x:v>-0.19117107486400797</x:v>
      </x:c>
      <x:c r="G2491" s="48" t="n">
        <x:v>-0.1913993927313371</x:v>
      </x:c>
      <x:c r="H2491" s="48" t="n">
        <x:v>0.9322731989371191</x:v>
      </x:c>
      <x:c r="I2491" s="48" t="n">
        <x:v>0.7831125628957543</x:v>
      </x:c>
      <x:c r="J2491" s="48" t="n">
        <x:v>0.8880908372155341</x:v>
      </x:c>
      <x:c r="K2491" s="48" t="n">
        <x:v>0.6518715626087588</x:v>
      </x:c>
      <x:c r="L2491" s="48" t="n">
        <x:v>0.842531558373375</x:v>
      </x:c>
      <x:c r="M2491" s="48" t="n">
        <x:v>0.09068954181196151</x:v>
      </x:c>
      <x:c r="N2491" s="48" t="n">
        <x:v>0.6830179945306613</x:v>
      </x:c>
      <x:c r="O2491" s="48" t="n">
        <x:v>1</x:v>
      </x:c>
      <x:c r="P2491" s="48" t="n">
        <x:v>1</x:v>
      </x:c>
      <x:c r="Q2491" s="48" t="n">
        <x:v>1</x:v>
      </x:c>
      <x:c r="R2491" s="48" t="n">
        <x:v>1</x:v>
      </x:c>
      <x:c r="S2491" s="29" t="n">
        <x:v>1</x:v>
      </x:c>
    </x:row>
    <x:row r="2492" ht="21.600000381469727" hidden="0" customHeight="1">
      <x:c r="A2492" s="27" t="n">
        <x:v>830</x:v>
      </x:c>
      <x:c r="B2492" s="27" t="str">
        <x:v>A1</x:v>
      </x:c>
      <x:c r="C2492" s="47" t="n">
        <x:v>0.9629027409842069</x:v>
      </x:c>
      <x:c r="D2492" s="47" t="n">
        <x:v>0.8634244186332569</x:v>
      </x:c>
      <x:c r="E2492" s="47" t="n">
        <x:v>0.6070875351974209</x:v>
      </x:c>
      <x:c r="F2492" s="47" t="n">
        <x:v>-0.13450461791450985</x:v>
      </x:c>
      <x:c r="G2492" s="47" t="n">
        <x:v>-0.14332010838849463</x:v>
      </x:c>
      <x:c r="H2492" s="47" t="n">
        <x:v>0.671189587387308</x:v>
      </x:c>
      <x:c r="I2492" s="47" t="n">
        <x:v>0.7934621454628547</x:v>
      </x:c>
      <x:c r="J2492" s="47" t="n">
        <x:v>0.51809552722585</x:v>
      </x:c>
      <x:c r="K2492" s="47" t="n">
        <x:v>0.8894149361983218</x:v>
      </x:c>
      <x:c r="L2492" s="47" t="n">
        <x:v>0.5537017336504201</x:v>
      </x:c>
      <x:c r="M2492" s="47" t="n">
        <x:v>0.028818878213392275</x:v>
      </x:c>
      <x:c r="N2492" s="47" t="n">
        <x:v>0.8957272365570343</x:v>
      </x:c>
      <x:c r="O2492" s="47" t="n">
        <x:v>0.8788700980269472</x:v>
      </x:c>
      <x:c r="P2492" s="47" t="n">
        <x:v>0.6664352348773869</x:v>
      </x:c>
      <x:c r="Q2492" s="47" t="n">
        <x:v>1</x:v>
      </x:c>
      <x:c r="R2492" s="47" t="n">
        <x:v>0.8504235831836747</x:v>
      </x:c>
      <x:c r="S2492" s="27" t="n">
        <x:v>0</x:v>
      </x:c>
    </x:row>
    <x:row r="2493" ht="21.600000381469727" hidden="0" customHeight="1">
      <x:c r="A2493" s="29" t="n">
        <x:v>830</x:v>
      </x:c>
      <x:c r="B2493" s="29" t="str">
        <x:v>A2</x:v>
      </x:c>
      <x:c r="C2493" s="48" t="n">
        <x:v>0.9629027409842069</x:v>
      </x:c>
      <x:c r="D2493" s="48" t="n">
        <x:v>0.8634244186332569</x:v>
      </x:c>
      <x:c r="E2493" s="48" t="n">
        <x:v>0.6070875351974209</x:v>
      </x:c>
      <x:c r="F2493" s="48" t="n">
        <x:v>-0.13450461791450985</x:v>
      </x:c>
      <x:c r="G2493" s="48" t="n">
        <x:v>-0.14332010838849463</x:v>
      </x:c>
      <x:c r="H2493" s="48" t="n">
        <x:v>0.671189587387308</x:v>
      </x:c>
      <x:c r="I2493" s="48" t="n">
        <x:v>0.7934621454628547</x:v>
      </x:c>
      <x:c r="J2493" s="48" t="n">
        <x:v>0.51809552722585</x:v>
      </x:c>
      <x:c r="K2493" s="48" t="n">
        <x:v>0.8894149361983218</x:v>
      </x:c>
      <x:c r="L2493" s="48" t="n">
        <x:v>0.5537017336504201</x:v>
      </x:c>
      <x:c r="M2493" s="48" t="n">
        <x:v>0.028818878213392275</x:v>
      </x:c>
      <x:c r="N2493" s="48" t="n">
        <x:v>0.8957272365570343</x:v>
      </x:c>
      <x:c r="O2493" s="48" t="n">
        <x:v>0.9663692256094577</x:v>
      </x:c>
      <x:c r="P2493" s="48" t="n">
        <x:v>0.7999014815536618</x:v>
      </x:c>
      <x:c r="Q2493" s="48" t="n">
        <x:v>1</x:v>
      </x:c>
      <x:c r="R2493" s="48" t="n">
        <x:v>0.958471272194915</x:v>
      </x:c>
      <x:c r="S2493" s="29" t="n">
        <x:v>0</x:v>
      </x:c>
    </x:row>
    <x:row r="2494" ht="21.600000381469727" hidden="0" customHeight="1">
      <x:c r="A2494" s="27" t="n">
        <x:v>830</x:v>
      </x:c>
      <x:c r="B2494" s="27" t="str">
        <x:v>A3</x:v>
      </x:c>
      <x:c r="C2494" s="47" t="n">
        <x:v>0.9629027409842069</x:v>
      </x:c>
      <x:c r="D2494" s="47" t="n">
        <x:v>0.8634244186332569</x:v>
      </x:c>
      <x:c r="E2494" s="47" t="n">
        <x:v>0.6070875351974209</x:v>
      </x:c>
      <x:c r="F2494" s="47" t="n">
        <x:v>-0.13450461791450985</x:v>
      </x:c>
      <x:c r="G2494" s="47" t="n">
        <x:v>-0.14332010838849463</x:v>
      </x:c>
      <x:c r="H2494" s="47" t="n">
        <x:v>0.671189587387308</x:v>
      </x:c>
      <x:c r="I2494" s="47" t="n">
        <x:v>0.7934621454628547</x:v>
      </x:c>
      <x:c r="J2494" s="47" t="n">
        <x:v>0.51809552722585</x:v>
      </x:c>
      <x:c r="K2494" s="47" t="n">
        <x:v>0.8894149361983218</x:v>
      </x:c>
      <x:c r="L2494" s="47" t="n">
        <x:v>0.5537017336504201</x:v>
      </x:c>
      <x:c r="M2494" s="47" t="n">
        <x:v>0.028818878213392275</x:v>
      </x:c>
      <x:c r="N2494" s="47" t="n">
        <x:v>0.8957272365570343</x:v>
      </x:c>
      <x:c r="O2494" s="47" t="n">
        <x:v>1</x:v>
      </x:c>
      <x:c r="P2494" s="47" t="n">
        <x:v>1</x:v>
      </x:c>
      <x:c r="Q2494" s="47" t="n">
        <x:v>1</x:v>
      </x:c>
      <x:c r="R2494" s="47" t="n">
        <x:v>1</x:v>
      </x:c>
      <x:c r="S2494" s="27" t="n">
        <x:v>1</x:v>
      </x:c>
    </x:row>
    <x:row r="2495" ht="21.600000381469727" hidden="0" customHeight="1">
      <x:c r="A2495" s="29" t="n">
        <x:v>831</x:v>
      </x:c>
      <x:c r="B2495" s="29" t="str">
        <x:v>A1</x:v>
      </x:c>
      <x:c r="C2495" s="48" t="n">
        <x:v>1.2415165049477805</x:v>
      </x:c>
      <x:c r="D2495" s="48" t="n">
        <x:v>0.9592343441968523</x:v>
      </x:c>
      <x:c r="E2495" s="48" t="n">
        <x:v>1.036551746597619</x:v>
      </x:c>
      <x:c r="F2495" s="48" t="n">
        <x:v>-0.0980620173155529</x:v>
      </x:c>
      <x:c r="G2495" s="48" t="n">
        <x:v>0.0052614823386817056</x:v>
      </x:c>
      <x:c r="H2495" s="48" t="n">
        <x:v>0.603174919534494</x:v>
      </x:c>
      <x:c r="I2495" s="48" t="n">
        <x:v>0.910989142970555</x:v>
      </x:c>
      <x:c r="J2495" s="48" t="n">
        <x:v>0.9369233712538315</x:v>
      </x:c>
      <x:c r="K2495" s="48" t="n">
        <x:v>0.9329904472482344</x:v>
      </x:c>
      <x:c r="L2495" s="48" t="n">
        <x:v>0.7138217793137672</x:v>
      </x:c>
      <x:c r="M2495" s="48" t="n">
        <x:v>0.02599613902186154</x:v>
      </x:c>
      <x:c r="N2495" s="48" t="n">
        <x:v>0.7725157190735715</x:v>
      </x:c>
      <x:c r="O2495" s="48" t="n">
        <x:v>0.8912288652703113</x:v>
      </x:c>
      <x:c r="P2495" s="48" t="n">
        <x:v>0.5890947938172421</x:v>
      </x:c>
      <x:c r="Q2495" s="48" t="n">
        <x:v>1</x:v>
      </x:c>
      <x:c r="R2495" s="48" t="n">
        <x:v>0.8656847209408953</x:v>
      </x:c>
      <x:c r="S2495" s="29" t="n">
        <x:v>0</x:v>
      </x:c>
    </x:row>
    <x:row r="2496" ht="21.600000381469727" hidden="0" customHeight="1">
      <x:c r="A2496" s="27" t="n">
        <x:v>831</x:v>
      </x:c>
      <x:c r="B2496" s="27" t="str">
        <x:v>A2</x:v>
      </x:c>
      <x:c r="C2496" s="47" t="n">
        <x:v>1.2415165049477805</x:v>
      </x:c>
      <x:c r="D2496" s="47" t="n">
        <x:v>0.9592343441968523</x:v>
      </x:c>
      <x:c r="E2496" s="47" t="n">
        <x:v>1.036551746597619</x:v>
      </x:c>
      <x:c r="F2496" s="47" t="n">
        <x:v>-0.0980620173155529</x:v>
      </x:c>
      <x:c r="G2496" s="47" t="n">
        <x:v>0.0052614823386817056</x:v>
      </x:c>
      <x:c r="H2496" s="47" t="n">
        <x:v>0.603174919534494</x:v>
      </x:c>
      <x:c r="I2496" s="47" t="n">
        <x:v>0.910989142970555</x:v>
      </x:c>
      <x:c r="J2496" s="47" t="n">
        <x:v>0.9369233712538315</x:v>
      </x:c>
      <x:c r="K2496" s="47" t="n">
        <x:v>0.9329904472482344</x:v>
      </x:c>
      <x:c r="L2496" s="47" t="n">
        <x:v>0.7138217793137672</x:v>
      </x:c>
      <x:c r="M2496" s="47" t="n">
        <x:v>0.02599613902186154</x:v>
      </x:c>
      <x:c r="N2496" s="47" t="n">
        <x:v>0.7725157190735715</x:v>
      </x:c>
      <x:c r="O2496" s="47" t="n">
        <x:v>0.9517672795743007</x:v>
      </x:c>
      <x:c r="P2496" s="47" t="n">
        <x:v>0.647740249602803</x:v>
      </x:c>
      <x:c r="Q2496" s="47" t="n">
        <x:v>1</x:v>
      </x:c>
      <x:c r="R2496" s="47" t="n">
        <x:v>0.9404401607112287</x:v>
      </x:c>
      <x:c r="S2496" s="27" t="n">
        <x:v>0</x:v>
      </x:c>
    </x:row>
    <x:row r="2497" ht="21.600000381469727" hidden="0" customHeight="1">
      <x:c r="A2497" s="29" t="n">
        <x:v>831</x:v>
      </x:c>
      <x:c r="B2497" s="29" t="str">
        <x:v>A3</x:v>
      </x:c>
      <x:c r="C2497" s="48" t="n">
        <x:v>1.2415165049477805</x:v>
      </x:c>
      <x:c r="D2497" s="48" t="n">
        <x:v>0.9592343441968523</x:v>
      </x:c>
      <x:c r="E2497" s="48" t="n">
        <x:v>1.036551746597619</x:v>
      </x:c>
      <x:c r="F2497" s="48" t="n">
        <x:v>-0.0980620173155529</x:v>
      </x:c>
      <x:c r="G2497" s="48" t="n">
        <x:v>0.0052614823386817056</x:v>
      </x:c>
      <x:c r="H2497" s="48" t="n">
        <x:v>0.603174919534494</x:v>
      </x:c>
      <x:c r="I2497" s="48" t="n">
        <x:v>0.910989142970555</x:v>
      </x:c>
      <x:c r="J2497" s="48" t="n">
        <x:v>0.9369233712538315</x:v>
      </x:c>
      <x:c r="K2497" s="48" t="n">
        <x:v>0.9329904472482344</x:v>
      </x:c>
      <x:c r="L2497" s="48" t="n">
        <x:v>0.7138217793137672</x:v>
      </x:c>
      <x:c r="M2497" s="48" t="n">
        <x:v>0.02599613902186154</x:v>
      </x:c>
      <x:c r="N2497" s="48" t="n">
        <x:v>0.7725157190735715</x:v>
      </x:c>
      <x:c r="O2497" s="48" t="n">
        <x:v>1</x:v>
      </x:c>
      <x:c r="P2497" s="48" t="n">
        <x:v>1</x:v>
      </x:c>
      <x:c r="Q2497" s="48" t="n">
        <x:v>1</x:v>
      </x:c>
      <x:c r="R2497" s="48" t="n">
        <x:v>1</x:v>
      </x:c>
      <x:c r="S2497" s="29" t="n">
        <x:v>1</x:v>
      </x:c>
    </x:row>
    <x:row r="2498" ht="21.600000381469727" hidden="0" customHeight="1">
      <x:c r="A2498" s="27" t="n">
        <x:v>832</x:v>
      </x:c>
      <x:c r="B2498" s="27" t="str">
        <x:v>A1</x:v>
      </x:c>
      <x:c r="C2498" s="47" t="n">
        <x:v>1.3078581855089493</x:v>
      </x:c>
      <x:c r="D2498" s="47" t="n">
        <x:v>0.8466283654005617</x:v>
      </x:c>
      <x:c r="E2498" s="47" t="n">
        <x:v>0.7621711163414668</x:v>
      </x:c>
      <x:c r="F2498" s="47" t="n">
        <x:v>-0.0898665356905942</x:v>
      </x:c>
      <x:c r="G2498" s="47" t="n">
        <x:v>-0.1869139699761056</x:v>
      </x:c>
      <x:c r="H2498" s="47" t="n">
        <x:v>0.8350785478065812</x:v>
      </x:c>
      <x:c r="I2498" s="47" t="n">
        <x:v>0.9171175874290685</x:v>
      </x:c>
      <x:c r="J2498" s="47" t="n">
        <x:v>0.9728010926369955</x:v>
      </x:c>
      <x:c r="K2498" s="47" t="n">
        <x:v>0.80443755962601</x:v>
      </x:c>
      <x:c r="L2498" s="47" t="n">
        <x:v>0.775645007687951</x:v>
      </x:c>
      <x:c r="M2498" s="47" t="n">
        <x:v>0.04759752544122029</x:v>
      </x:c>
      <x:c r="N2498" s="47" t="n">
        <x:v>0.7084345050947773</x:v>
      </x:c>
      <x:c r="O2498" s="47" t="n">
        <x:v>0.7749413853636795</x:v>
      </x:c>
      <x:c r="P2498" s="47" t="n">
        <x:v>0.4002073213868711</x:v>
      </x:c>
      <x:c r="Q2498" s="47" t="n">
        <x:v>1</x:v>
      </x:c>
      <x:c r="R2498" s="47" t="n">
        <x:v>0.7220879353271836</x:v>
      </x:c>
      <x:c r="S2498" s="27" t="n">
        <x:v>0</x:v>
      </x:c>
    </x:row>
    <x:row r="2499" ht="21.600000381469727" hidden="0" customHeight="1">
      <x:c r="A2499" s="29" t="n">
        <x:v>832</x:v>
      </x:c>
      <x:c r="B2499" s="29" t="str">
        <x:v>A2</x:v>
      </x:c>
      <x:c r="C2499" s="48" t="n">
        <x:v>1.3078581855089493</x:v>
      </x:c>
      <x:c r="D2499" s="48" t="n">
        <x:v>0.8466283654005617</x:v>
      </x:c>
      <x:c r="E2499" s="48" t="n">
        <x:v>0.7621711163414668</x:v>
      </x:c>
      <x:c r="F2499" s="48" t="n">
        <x:v>-0.0898665356905942</x:v>
      </x:c>
      <x:c r="G2499" s="48" t="n">
        <x:v>-0.1869139699761056</x:v>
      </x:c>
      <x:c r="H2499" s="48" t="n">
        <x:v>0.8350785478065812</x:v>
      </x:c>
      <x:c r="I2499" s="48" t="n">
        <x:v>0.9171175874290685</x:v>
      </x:c>
      <x:c r="J2499" s="48" t="n">
        <x:v>0.9728010926369955</x:v>
      </x:c>
      <x:c r="K2499" s="48" t="n">
        <x:v>0.80443755962601</x:v>
      </x:c>
      <x:c r="L2499" s="48" t="n">
        <x:v>0.775645007687951</x:v>
      </x:c>
      <x:c r="M2499" s="48" t="n">
        <x:v>0.04759752544122029</x:v>
      </x:c>
      <x:c r="N2499" s="48" t="n">
        <x:v>0.7084345050947773</x:v>
      </x:c>
      <x:c r="O2499" s="48" t="n">
        <x:v>0.8605528250346614</x:v>
      </x:c>
      <x:c r="P2499" s="48" t="n">
        <x:v>0.47248473231897065</x:v>
      </x:c>
      <x:c r="Q2499" s="48" t="n">
        <x:v>1</x:v>
      </x:c>
      <x:c r="R2499" s="48" t="n">
        <x:v>0.8278046260524945</x:v>
      </x:c>
      <x:c r="S2499" s="29" t="n">
        <x:v>0</x:v>
      </x:c>
    </x:row>
    <x:row r="2500" ht="21.600000381469727" hidden="0" customHeight="1">
      <x:c r="A2500" s="27" t="n">
        <x:v>832</x:v>
      </x:c>
      <x:c r="B2500" s="27" t="str">
        <x:v>A3</x:v>
      </x:c>
      <x:c r="C2500" s="47" t="n">
        <x:v>1.3078581855089493</x:v>
      </x:c>
      <x:c r="D2500" s="47" t="n">
        <x:v>0.8466283654005617</x:v>
      </x:c>
      <x:c r="E2500" s="47" t="n">
        <x:v>0.7621711163414668</x:v>
      </x:c>
      <x:c r="F2500" s="47" t="n">
        <x:v>-0.0898665356905942</x:v>
      </x:c>
      <x:c r="G2500" s="47" t="n">
        <x:v>-0.1869139699761056</x:v>
      </x:c>
      <x:c r="H2500" s="47" t="n">
        <x:v>0.8350785478065812</x:v>
      </x:c>
      <x:c r="I2500" s="47" t="n">
        <x:v>0.9171175874290685</x:v>
      </x:c>
      <x:c r="J2500" s="47" t="n">
        <x:v>0.9728010926369955</x:v>
      </x:c>
      <x:c r="K2500" s="47" t="n">
        <x:v>0.80443755962601</x:v>
      </x:c>
      <x:c r="L2500" s="47" t="n">
        <x:v>0.775645007687951</x:v>
      </x:c>
      <x:c r="M2500" s="47" t="n">
        <x:v>0.04759752544122029</x:v>
      </x:c>
      <x:c r="N2500" s="47" t="n">
        <x:v>0.7084345050947773</x:v>
      </x:c>
      <x:c r="O2500" s="47" t="n">
        <x:v>1</x:v>
      </x:c>
      <x:c r="P2500" s="47" t="n">
        <x:v>1</x:v>
      </x:c>
      <x:c r="Q2500" s="47" t="n">
        <x:v>1</x:v>
      </x:c>
      <x:c r="R2500" s="47" t="n">
        <x:v>1</x:v>
      </x:c>
      <x:c r="S2500" s="27" t="n">
        <x:v>1</x:v>
      </x:c>
    </x:row>
    <x:row r="2501" ht="21.600000381469727" hidden="0" customHeight="1">
      <x:c r="A2501" s="29" t="n">
        <x:v>833</x:v>
      </x:c>
      <x:c r="B2501" s="29" t="str">
        <x:v>A1</x:v>
      </x:c>
      <x:c r="C2501" s="48" t="n">
        <x:v>1.019839868241932</x:v>
      </x:c>
      <x:c r="D2501" s="48" t="n">
        <x:v>0.8644213361127533</x:v>
      </x:c>
      <x:c r="E2501" s="48" t="n">
        <x:v>0.8820536545550551</x:v>
      </x:c>
      <x:c r="F2501" s="48" t="n">
        <x:v>-0.08674245008857864</x:v>
      </x:c>
      <x:c r="G2501" s="48" t="n">
        <x:v>-0.06331793719108014</x:v>
      </x:c>
      <x:c r="H2501" s="48" t="n">
        <x:v>0.43726491993636196</x:v>
      </x:c>
      <x:c r="I2501" s="48" t="n">
        <x:v>1.0121242116175555</x:v>
      </x:c>
      <x:c r="J2501" s="48" t="n">
        <x:v>0.7847428921765158</x:v>
      </x:c>
      <x:c r="K2501" s="48" t="n">
        <x:v>0.9229815386551283</x:v>
      </x:c>
      <x:c r="L2501" s="48" t="n">
        <x:v>0.5807756168910096</x:v>
      </x:c>
      <x:c r="M2501" s="48" t="n">
        <x:v>0.02649355853123575</x:v>
      </x:c>
      <x:c r="N2501" s="48" t="n">
        <x:v>0.8951440974791467</x:v>
      </x:c>
      <x:c r="O2501" s="48" t="n">
        <x:v>0.9283807074760281</x:v>
      </x:c>
      <x:c r="P2501" s="48" t="n">
        <x:v>0.6681217384771749</x:v>
      </x:c>
      <x:c r="Q2501" s="48" t="n">
        <x:v>1</x:v>
      </x:c>
      <x:c r="R2501" s="48" t="n">
        <x:v>0.9115614148433874</x:v>
      </x:c>
      <x:c r="S2501" s="29" t="n">
        <x:v>0</x:v>
      </x:c>
    </x:row>
    <x:row r="2502" ht="21.600000381469727" hidden="0" customHeight="1">
      <x:c r="A2502" s="27" t="n">
        <x:v>833</x:v>
      </x:c>
      <x:c r="B2502" s="27" t="str">
        <x:v>A2</x:v>
      </x:c>
      <x:c r="C2502" s="47" t="n">
        <x:v>1.019839868241932</x:v>
      </x:c>
      <x:c r="D2502" s="47" t="n">
        <x:v>0.8644213361127533</x:v>
      </x:c>
      <x:c r="E2502" s="47" t="n">
        <x:v>0.8820536545550551</x:v>
      </x:c>
      <x:c r="F2502" s="47" t="n">
        <x:v>-0.08674245008857864</x:v>
      </x:c>
      <x:c r="G2502" s="47" t="n">
        <x:v>-0.06331793719108014</x:v>
      </x:c>
      <x:c r="H2502" s="47" t="n">
        <x:v>0.43726491993636196</x:v>
      </x:c>
      <x:c r="I2502" s="47" t="n">
        <x:v>1.0121242116175555</x:v>
      </x:c>
      <x:c r="J2502" s="47" t="n">
        <x:v>0.7847428921765158</x:v>
      </x:c>
      <x:c r="K2502" s="47" t="n">
        <x:v>0.9229815386551283</x:v>
      </x:c>
      <x:c r="L2502" s="47" t="n">
        <x:v>0.5807756168910096</x:v>
      </x:c>
      <x:c r="M2502" s="47" t="n">
        <x:v>0.02649355853123575</x:v>
      </x:c>
      <x:c r="N2502" s="47" t="n">
        <x:v>0.8951440974791467</x:v>
      </x:c>
      <x:c r="O2502" s="47" t="n">
        <x:v>0.9804656471217382</x:v>
      </x:c>
      <x:c r="P2502" s="47" t="n">
        <x:v>0.8046564712173813</x:v>
      </x:c>
      <x:c r="Q2502" s="47" t="n">
        <x:v>1</x:v>
      </x:c>
      <x:c r="R2502" s="47" t="n">
        <x:v>0.9758781402381874</x:v>
      </x:c>
      <x:c r="S2502" s="27" t="n">
        <x:v>0</x:v>
      </x:c>
    </x:row>
    <x:row r="2503" ht="21.600000381469727" hidden="0" customHeight="1">
      <x:c r="A2503" s="29" t="n">
        <x:v>833</x:v>
      </x:c>
      <x:c r="B2503" s="29" t="str">
        <x:v>A3</x:v>
      </x:c>
      <x:c r="C2503" s="48" t="n">
        <x:v>1.019839868241932</x:v>
      </x:c>
      <x:c r="D2503" s="48" t="n">
        <x:v>0.8644213361127533</x:v>
      </x:c>
      <x:c r="E2503" s="48" t="n">
        <x:v>0.8820536545550551</x:v>
      </x:c>
      <x:c r="F2503" s="48" t="n">
        <x:v>-0.08674245008857864</x:v>
      </x:c>
      <x:c r="G2503" s="48" t="n">
        <x:v>-0.06331793719108014</x:v>
      </x:c>
      <x:c r="H2503" s="48" t="n">
        <x:v>0.43726491993636196</x:v>
      </x:c>
      <x:c r="I2503" s="48" t="n">
        <x:v>1.0121242116175555</x:v>
      </x:c>
      <x:c r="J2503" s="48" t="n">
        <x:v>0.7847428921765158</x:v>
      </x:c>
      <x:c r="K2503" s="48" t="n">
        <x:v>0.9229815386551283</x:v>
      </x:c>
      <x:c r="L2503" s="48" t="n">
        <x:v>0.5807756168910096</x:v>
      </x:c>
      <x:c r="M2503" s="48" t="n">
        <x:v>0.02649355853123575</x:v>
      </x:c>
      <x:c r="N2503" s="48" t="n">
        <x:v>0.8951440974791467</x:v>
      </x:c>
      <x:c r="O2503" s="48" t="n">
        <x:v>1</x:v>
      </x:c>
      <x:c r="P2503" s="48" t="n">
        <x:v>1</x:v>
      </x:c>
      <x:c r="Q2503" s="48" t="n">
        <x:v>1</x:v>
      </x:c>
      <x:c r="R2503" s="48" t="n">
        <x:v>1</x:v>
      </x:c>
      <x:c r="S2503" s="29" t="n">
        <x:v>1</x:v>
      </x:c>
    </x:row>
    <x:row r="2504" ht="21.600000381469727" hidden="0" customHeight="1">
      <x:c r="A2504" s="27" t="n">
        <x:v>834</x:v>
      </x:c>
      <x:c r="B2504" s="27" t="str">
        <x:v>A1</x:v>
      </x:c>
      <x:c r="C2504" s="47" t="n">
        <x:v>0.9009179223987771</x:v>
      </x:c>
      <x:c r="D2504" s="47" t="n">
        <x:v>0.9470188064070161</x:v>
      </x:c>
      <x:c r="E2504" s="47" t="n">
        <x:v>0.8730322238572602</x:v>
      </x:c>
      <x:c r="F2504" s="47" t="n">
        <x:v>-0.16000522880664428</x:v>
      </x:c>
      <x:c r="G2504" s="47" t="n">
        <x:v>0.007752312548969353</x:v>
      </x:c>
      <x:c r="H2504" s="47" t="n">
        <x:v>0.7867596948688043</x:v>
      </x:c>
      <x:c r="I2504" s="47" t="n">
        <x:v>0.6126039909331288</x:v>
      </x:c>
      <x:c r="J2504" s="47" t="n">
        <x:v>0.7787105694119825</x:v>
      </x:c>
      <x:c r="K2504" s="47" t="n">
        <x:v>0.738416496213895</x:v>
      </x:c>
      <x:c r="L2504" s="47" t="n">
        <x:v>0.5172026787014729</x:v>
      </x:c>
      <x:c r="M2504" s="47" t="n">
        <x:v>0.1211982906036098</x:v>
      </x:c>
      <x:c r="N2504" s="47" t="n">
        <x:v>0.729125353978949</x:v>
      </x:c>
      <x:c r="O2504" s="47" t="n">
        <x:v>0.9446446135643646</x:v>
      </x:c>
      <x:c r="P2504" s="47" t="n">
        <x:v>0.7515531258448084</x:v>
      </x:c>
      <x:c r="Q2504" s="47" t="n">
        <x:v>1</x:v>
      </x:c>
      <x:c r="R2504" s="47" t="n">
        <x:v>0.9316447861373872</x:v>
      </x:c>
      <x:c r="S2504" s="27" t="n">
        <x:v>0</x:v>
      </x:c>
    </x:row>
    <x:row r="2505" ht="21.600000381469727" hidden="0" customHeight="1">
      <x:c r="A2505" s="29" t="n">
        <x:v>834</x:v>
      </x:c>
      <x:c r="B2505" s="29" t="str">
        <x:v>A2</x:v>
      </x:c>
      <x:c r="C2505" s="48" t="n">
        <x:v>0.9009179223987771</x:v>
      </x:c>
      <x:c r="D2505" s="48" t="n">
        <x:v>0.9470188064070161</x:v>
      </x:c>
      <x:c r="E2505" s="48" t="n">
        <x:v>0.8730322238572602</x:v>
      </x:c>
      <x:c r="F2505" s="48" t="n">
        <x:v>-0.16000522880664428</x:v>
      </x:c>
      <x:c r="G2505" s="48" t="n">
        <x:v>0.007752312548969353</x:v>
      </x:c>
      <x:c r="H2505" s="48" t="n">
        <x:v>0.7867596948688043</x:v>
      </x:c>
      <x:c r="I2505" s="48" t="n">
        <x:v>0.6126039909331288</x:v>
      </x:c>
      <x:c r="J2505" s="48" t="n">
        <x:v>0.7787105694119825</x:v>
      </x:c>
      <x:c r="K2505" s="48" t="n">
        <x:v>0.738416496213895</x:v>
      </x:c>
      <x:c r="L2505" s="48" t="n">
        <x:v>0.5172026787014729</x:v>
      </x:c>
      <x:c r="M2505" s="48" t="n">
        <x:v>0.1211982906036098</x:v>
      </x:c>
      <x:c r="N2505" s="48" t="n">
        <x:v>0.729125353978949</x:v>
      </x:c>
      <x:c r="O2505" s="48" t="n">
        <x:v>0.9759246642488725</x:v>
      </x:c>
      <x:c r="P2505" s="48" t="n">
        <x:v>0.7592466424887234</x:v>
      </x:c>
      <x:c r="Q2505" s="48" t="n">
        <x:v>1</x:v>
      </x:c>
      <x:c r="R2505" s="48" t="n">
        <x:v>0.9702707391267867</x:v>
      </x:c>
      <x:c r="S2505" s="29" t="n">
        <x:v>0</x:v>
      </x:c>
    </x:row>
    <x:row r="2506" ht="21.600000381469727" hidden="0" customHeight="1">
      <x:c r="A2506" s="27" t="n">
        <x:v>834</x:v>
      </x:c>
      <x:c r="B2506" s="27" t="str">
        <x:v>A3</x:v>
      </x:c>
      <x:c r="C2506" s="47" t="n">
        <x:v>0.9009179223987771</x:v>
      </x:c>
      <x:c r="D2506" s="47" t="n">
        <x:v>0.9470188064070161</x:v>
      </x:c>
      <x:c r="E2506" s="47" t="n">
        <x:v>0.8730322238572602</x:v>
      </x:c>
      <x:c r="F2506" s="47" t="n">
        <x:v>-0.16000522880664428</x:v>
      </x:c>
      <x:c r="G2506" s="47" t="n">
        <x:v>0.007752312548969353</x:v>
      </x:c>
      <x:c r="H2506" s="47" t="n">
        <x:v>0.7867596948688043</x:v>
      </x:c>
      <x:c r="I2506" s="47" t="n">
        <x:v>0.6126039909331288</x:v>
      </x:c>
      <x:c r="J2506" s="47" t="n">
        <x:v>0.7787105694119825</x:v>
      </x:c>
      <x:c r="K2506" s="47" t="n">
        <x:v>0.738416496213895</x:v>
      </x:c>
      <x:c r="L2506" s="47" t="n">
        <x:v>0.5172026787014729</x:v>
      </x:c>
      <x:c r="M2506" s="47" t="n">
        <x:v>0.1211982906036098</x:v>
      </x:c>
      <x:c r="N2506" s="47" t="n">
        <x:v>0.729125353978949</x:v>
      </x:c>
      <x:c r="O2506" s="47" t="n">
        <x:v>1</x:v>
      </x:c>
      <x:c r="P2506" s="47" t="n">
        <x:v>1</x:v>
      </x:c>
      <x:c r="Q2506" s="47" t="n">
        <x:v>1</x:v>
      </x:c>
      <x:c r="R2506" s="47" t="n">
        <x:v>1</x:v>
      </x:c>
      <x:c r="S2506" s="27" t="n">
        <x:v>1</x:v>
      </x:c>
    </x:row>
    <x:row r="2507" ht="21.600000381469727" hidden="0" customHeight="1">
      <x:c r="A2507" s="29" t="n">
        <x:v>835</x:v>
      </x:c>
      <x:c r="B2507" s="29" t="str">
        <x:v>A1</x:v>
      </x:c>
      <x:c r="C2507" s="48" t="n">
        <x:v>1.0806100720672394</x:v>
      </x:c>
      <x:c r="D2507" s="48" t="n">
        <x:v>0.9179378106518397</x:v>
      </x:c>
      <x:c r="E2507" s="48" t="n">
        <x:v>0.8007921563090827</x:v>
      </x:c>
      <x:c r="F2507" s="48" t="n">
        <x:v>-0.05997724948271782</x:v>
      </x:c>
      <x:c r="G2507" s="48" t="n">
        <x:v>-0.1950800381412223</x:v>
      </x:c>
      <x:c r="H2507" s="48" t="n">
        <x:v>0.46430587849004584</x:v>
      </x:c>
      <x:c r="I2507" s="48" t="n">
        <x:v>0.6788203381508258</x:v>
      </x:c>
      <x:c r="J2507" s="48" t="n">
        <x:v>0.5218520365947689</x:v>
      </x:c>
      <x:c r="K2507" s="48" t="n">
        <x:v>0.9599067155116245</x:v>
      </x:c>
      <x:c r="L2507" s="48" t="n">
        <x:v>0.6444276537503105</x:v>
      </x:c>
      <x:c r="M2507" s="48" t="n">
        <x:v>0.13969670798311296</x:v>
      </x:c>
      <x:c r="N2507" s="48" t="n">
        <x:v>0.7965445714971798</x:v>
      </x:c>
      <x:c r="O2507" s="48" t="n">
        <x:v>0.8619954151886435</x:v>
      </x:c>
      <x:c r="P2507" s="48" t="n">
        <x:v>0.5824903393162074</x:v>
      </x:c>
      <x:c r="Q2507" s="48" t="n">
        <x:v>1</x:v>
      </x:c>
      <x:c r="R2507" s="48" t="n">
        <x:v>0.8295859984688215</x:v>
      </x:c>
      <x:c r="S2507" s="29" t="n">
        <x:v>0</x:v>
      </x:c>
    </x:row>
    <x:row r="2508" ht="21.600000381469727" hidden="0" customHeight="1">
      <x:c r="A2508" s="27" t="n">
        <x:v>835</x:v>
      </x:c>
      <x:c r="B2508" s="27" t="str">
        <x:v>A2</x:v>
      </x:c>
      <x:c r="C2508" s="47" t="n">
        <x:v>1.0806100720672394</x:v>
      </x:c>
      <x:c r="D2508" s="47" t="n">
        <x:v>0.9179378106518397</x:v>
      </x:c>
      <x:c r="E2508" s="47" t="n">
        <x:v>0.8007921563090827</x:v>
      </x:c>
      <x:c r="F2508" s="47" t="n">
        <x:v>-0.05997724948271782</x:v>
      </x:c>
      <x:c r="G2508" s="47" t="n">
        <x:v>-0.1950800381412223</x:v>
      </x:c>
      <x:c r="H2508" s="47" t="n">
        <x:v>0.46430587849004584</x:v>
      </x:c>
      <x:c r="I2508" s="47" t="n">
        <x:v>0.6788203381508258</x:v>
      </x:c>
      <x:c r="J2508" s="47" t="n">
        <x:v>0.5218520365947689</x:v>
      </x:c>
      <x:c r="K2508" s="47" t="n">
        <x:v>0.9599067155116245</x:v>
      </x:c>
      <x:c r="L2508" s="47" t="n">
        <x:v>0.6444276537503105</x:v>
      </x:c>
      <x:c r="M2508" s="47" t="n">
        <x:v>0.13969670798311296</x:v>
      </x:c>
      <x:c r="N2508" s="47" t="n">
        <x:v>0.7965445714971798</x:v>
      </x:c>
      <x:c r="O2508" s="47" t="n">
        <x:v>0.9675072275754579</x:v>
      </x:c>
      <x:c r="P2508" s="47" t="n">
        <x:v>0.7965488695075955</x:v>
      </x:c>
      <x:c r="Q2508" s="47" t="n">
        <x:v>1</x:v>
      </x:c>
      <x:c r="R2508" s="47" t="n">
        <x:v>0.9598765260061674</x:v>
      </x:c>
      <x:c r="S2508" s="27" t="n">
        <x:v>0</x:v>
      </x:c>
    </x:row>
    <x:row r="2509" ht="21.600000381469727" hidden="0" customHeight="1">
      <x:c r="A2509" s="29" t="n">
        <x:v>835</x:v>
      </x:c>
      <x:c r="B2509" s="29" t="str">
        <x:v>A3</x:v>
      </x:c>
      <x:c r="C2509" s="48" t="n">
        <x:v>1.0806100720672394</x:v>
      </x:c>
      <x:c r="D2509" s="48" t="n">
        <x:v>0.9179378106518397</x:v>
      </x:c>
      <x:c r="E2509" s="48" t="n">
        <x:v>0.8007921563090827</x:v>
      </x:c>
      <x:c r="F2509" s="48" t="n">
        <x:v>-0.05997724948271782</x:v>
      </x:c>
      <x:c r="G2509" s="48" t="n">
        <x:v>-0.1950800381412223</x:v>
      </x:c>
      <x:c r="H2509" s="48" t="n">
        <x:v>0.46430587849004584</x:v>
      </x:c>
      <x:c r="I2509" s="48" t="n">
        <x:v>0.6788203381508258</x:v>
      </x:c>
      <x:c r="J2509" s="48" t="n">
        <x:v>0.5218520365947689</x:v>
      </x:c>
      <x:c r="K2509" s="48" t="n">
        <x:v>0.9599067155116245</x:v>
      </x:c>
      <x:c r="L2509" s="48" t="n">
        <x:v>0.6444276537503105</x:v>
      </x:c>
      <x:c r="M2509" s="48" t="n">
        <x:v>0.13969670798311296</x:v>
      </x:c>
      <x:c r="N2509" s="48" t="n">
        <x:v>0.7965445714971798</x:v>
      </x:c>
      <x:c r="O2509" s="48" t="n">
        <x:v>1</x:v>
      </x:c>
      <x:c r="P2509" s="48" t="n">
        <x:v>1</x:v>
      </x:c>
      <x:c r="Q2509" s="48" t="n">
        <x:v>1</x:v>
      </x:c>
      <x:c r="R2509" s="48" t="n">
        <x:v>1</x:v>
      </x:c>
      <x:c r="S2509" s="29" t="n">
        <x:v>1</x:v>
      </x:c>
    </x:row>
    <x:row r="2510" ht="21.600000381469727" hidden="0" customHeight="1">
      <x:c r="A2510" s="27" t="n">
        <x:v>836</x:v>
      </x:c>
      <x:c r="B2510" s="27" t="str">
        <x:v>A1</x:v>
      </x:c>
      <x:c r="C2510" s="47" t="n">
        <x:v>1.0060741140547587</x:v>
      </x:c>
      <x:c r="D2510" s="47" t="n">
        <x:v>0.9247378697767837</x:v>
      </x:c>
      <x:c r="E2510" s="47" t="n">
        <x:v>0.5397611221308126</x:v>
      </x:c>
      <x:c r="F2510" s="47" t="n">
        <x:v>-0.1286563435755187</x:v>
      </x:c>
      <x:c r="G2510" s="47" t="n">
        <x:v>-0.06923914557136604</x:v>
      </x:c>
      <x:c r="H2510" s="47" t="n">
        <x:v>0.3546980905459558</x:v>
      </x:c>
      <x:c r="I2510" s="47" t="n">
        <x:v>0.8366863219548277</x:v>
      </x:c>
      <x:c r="J2510" s="47" t="n">
        <x:v>0.7865847781148494</x:v>
      </x:c>
      <x:c r="K2510" s="47" t="n">
        <x:v>0.5990431961783803</x:v>
      </x:c>
      <x:c r="L2510" s="47" t="n">
        <x:v>0.6986849337215196</x:v>
      </x:c>
      <x:c r="M2510" s="47" t="n">
        <x:v>0.15472732786733268</x:v>
      </x:c>
      <x:c r="N2510" s="47" t="n">
        <x:v>0.8225893620661151</x:v>
      </x:c>
      <x:c r="O2510" s="47" t="n">
        <x:v>0.9095289833981408</x:v>
      </x:c>
      <x:c r="P2510" s="47" t="n">
        <x:v>0.6180927427593101</x:v>
      </x:c>
      <x:c r="Q2510" s="47" t="n">
        <x:v>1</x:v>
      </x:c>
      <x:c r="R2510" s="47" t="n">
        <x:v>0.8882824945070389</x:v>
      </x:c>
      <x:c r="S2510" s="27" t="n">
        <x:v>0</x:v>
      </x:c>
    </x:row>
    <x:row r="2511" ht="21.600000381469727" hidden="0" customHeight="1">
      <x:c r="A2511" s="29" t="n">
        <x:v>836</x:v>
      </x:c>
      <x:c r="B2511" s="29" t="str">
        <x:v>A2</x:v>
      </x:c>
      <x:c r="C2511" s="48" t="n">
        <x:v>1.0060741140547587</x:v>
      </x:c>
      <x:c r="D2511" s="48" t="n">
        <x:v>0.9247378697767837</x:v>
      </x:c>
      <x:c r="E2511" s="48" t="n">
        <x:v>0.5397611221308126</x:v>
      </x:c>
      <x:c r="F2511" s="48" t="n">
        <x:v>-0.1286563435755187</x:v>
      </x:c>
      <x:c r="G2511" s="48" t="n">
        <x:v>-0.06923914557136604</x:v>
      </x:c>
      <x:c r="H2511" s="48" t="n">
        <x:v>0.3546980905459558</x:v>
      </x:c>
      <x:c r="I2511" s="48" t="n">
        <x:v>0.8366863219548277</x:v>
      </x:c>
      <x:c r="J2511" s="48" t="n">
        <x:v>0.7865847781148494</x:v>
      </x:c>
      <x:c r="K2511" s="48" t="n">
        <x:v>0.5990431961783803</x:v>
      </x:c>
      <x:c r="L2511" s="48" t="n">
        <x:v>0.6986849337215196</x:v>
      </x:c>
      <x:c r="M2511" s="48" t="n">
        <x:v>0.15472732786733268</x:v>
      </x:c>
      <x:c r="N2511" s="48" t="n">
        <x:v>0.8225893620661151</x:v>
      </x:c>
      <x:c r="O2511" s="48" t="n">
        <x:v>0.9687543320425396</x:v>
      </x:c>
      <x:c r="P2511" s="48" t="n">
        <x:v>0.7116649099061501</x:v>
      </x:c>
      <x:c r="Q2511" s="48" t="n">
        <x:v>1</x:v>
      </x:c>
      <x:c r="R2511" s="48" t="n">
        <x:v>0.9614165042819129</x:v>
      </x:c>
      <x:c r="S2511" s="29" t="n">
        <x:v>0</x:v>
      </x:c>
    </x:row>
    <x:row r="2512" ht="21.600000381469727" hidden="0" customHeight="1">
      <x:c r="A2512" s="27" t="n">
        <x:v>836</x:v>
      </x:c>
      <x:c r="B2512" s="27" t="str">
        <x:v>A3</x:v>
      </x:c>
      <x:c r="C2512" s="47" t="n">
        <x:v>1.0060741140547587</x:v>
      </x:c>
      <x:c r="D2512" s="47" t="n">
        <x:v>0.9247378697767837</x:v>
      </x:c>
      <x:c r="E2512" s="47" t="n">
        <x:v>0.5397611221308126</x:v>
      </x:c>
      <x:c r="F2512" s="47" t="n">
        <x:v>-0.1286563435755187</x:v>
      </x:c>
      <x:c r="G2512" s="47" t="n">
        <x:v>-0.06923914557136604</x:v>
      </x:c>
      <x:c r="H2512" s="47" t="n">
        <x:v>0.3546980905459558</x:v>
      </x:c>
      <x:c r="I2512" s="47" t="n">
        <x:v>0.8366863219548277</x:v>
      </x:c>
      <x:c r="J2512" s="47" t="n">
        <x:v>0.7865847781148494</x:v>
      </x:c>
      <x:c r="K2512" s="47" t="n">
        <x:v>0.5990431961783803</x:v>
      </x:c>
      <x:c r="L2512" s="47" t="n">
        <x:v>0.6986849337215196</x:v>
      </x:c>
      <x:c r="M2512" s="47" t="n">
        <x:v>0.15472732786733268</x:v>
      </x:c>
      <x:c r="N2512" s="47" t="n">
        <x:v>0.8225893620661151</x:v>
      </x:c>
      <x:c r="O2512" s="47" t="n">
        <x:v>1</x:v>
      </x:c>
      <x:c r="P2512" s="47" t="n">
        <x:v>1</x:v>
      </x:c>
      <x:c r="Q2512" s="47" t="n">
        <x:v>1</x:v>
      </x:c>
      <x:c r="R2512" s="47" t="n">
        <x:v>1</x:v>
      </x:c>
      <x:c r="S2512" s="27" t="n">
        <x:v>1</x:v>
      </x:c>
    </x:row>
    <x:row r="2513" ht="21.600000381469727" hidden="0" customHeight="1">
      <x:c r="A2513" s="29" t="n">
        <x:v>837</x:v>
      </x:c>
      <x:c r="B2513" s="29" t="str">
        <x:v>A1</x:v>
      </x:c>
      <x:c r="C2513" s="48" t="n">
        <x:v>1.3342678096232212</x:v>
      </x:c>
      <x:c r="D2513" s="48" t="n">
        <x:v>0.8951111848481355</x:v>
      </x:c>
      <x:c r="E2513" s="48" t="n">
        <x:v>0.7183431339224713</x:v>
      </x:c>
      <x:c r="F2513" s="48" t="n">
        <x:v>-0.023052544387867413</x:v>
      </x:c>
      <x:c r="G2513" s="48" t="n">
        <x:v>0.02541979995804</x:v>
      </x:c>
      <x:c r="H2513" s="48" t="n">
        <x:v>1.0882752477419337</x:v>
      </x:c>
      <x:c r="I2513" s="48" t="n">
        <x:v>0.893316375321865</x:v>
      </x:c>
      <x:c r="J2513" s="48" t="n">
        <x:v>0.987044462425796</x:v>
      </x:c>
      <x:c r="K2513" s="48" t="n">
        <x:v>0.7576228583160269</x:v>
      </x:c>
      <x:c r="L2513" s="48" t="n">
        <x:v>0.5370491012832782</x:v>
      </x:c>
      <x:c r="M2513" s="48" t="n">
        <x:v>0.1517862277667566</x:v>
      </x:c>
      <x:c r="N2513" s="48" t="n">
        <x:v>0.8188512786187371</x:v>
      </x:c>
      <x:c r="O2513" s="48" t="n">
        <x:v>0.7581880007545381</x:v>
      </x:c>
      <x:c r="P2513" s="48" t="n">
        <x:v>0.406790634528124</x:v>
      </x:c>
      <x:c r="Q2513" s="48" t="n">
        <x:v>0.8901029674438998</x:v>
      </x:c>
      <x:c r="R2513" s="48" t="n">
        <x:v>0.702216324049995</x:v>
      </x:c>
      <x:c r="S2513" s="29" t="n">
        <x:v>0</x:v>
      </x:c>
    </x:row>
    <x:row r="2514" ht="21.600000381469727" hidden="0" customHeight="1">
      <x:c r="A2514" s="27" t="n">
        <x:v>837</x:v>
      </x:c>
      <x:c r="B2514" s="27" t="str">
        <x:v>A2</x:v>
      </x:c>
      <x:c r="C2514" s="47" t="n">
        <x:v>1.3342678096232212</x:v>
      </x:c>
      <x:c r="D2514" s="47" t="n">
        <x:v>0.8951111848481355</x:v>
      </x:c>
      <x:c r="E2514" s="47" t="n">
        <x:v>0.7183431339224713</x:v>
      </x:c>
      <x:c r="F2514" s="47" t="n">
        <x:v>-0.023052544387867413</x:v>
      </x:c>
      <x:c r="G2514" s="47" t="n">
        <x:v>0.02541979995804</x:v>
      </x:c>
      <x:c r="H2514" s="47" t="n">
        <x:v>1.0882752477419337</x:v>
      </x:c>
      <x:c r="I2514" s="47" t="n">
        <x:v>0.893316375321865</x:v>
      </x:c>
      <x:c r="J2514" s="47" t="n">
        <x:v>0.987044462425796</x:v>
      </x:c>
      <x:c r="K2514" s="47" t="n">
        <x:v>0.7576228583160269</x:v>
      </x:c>
      <x:c r="L2514" s="47" t="n">
        <x:v>0.5370491012832782</x:v>
      </x:c>
      <x:c r="M2514" s="47" t="n">
        <x:v>0.1517862277667566</x:v>
      </x:c>
      <x:c r="N2514" s="47" t="n">
        <x:v>0.8188512786187371</x:v>
      </x:c>
      <x:c r="O2514" s="47" t="n">
        <x:v>0.8343314151920443</x:v>
      </x:c>
      <x:c r="P2514" s="47" t="n">
        <x:v>0.4418186846418577</x:v>
      </x:c>
      <x:c r="Q2514" s="47" t="n">
        <x:v>1</x:v>
      </x:c>
      <x:c r="R2514" s="47" t="n">
        <x:v>0.7954253005164804</x:v>
      </x:c>
      <x:c r="S2514" s="27" t="n">
        <x:v>0</x:v>
      </x:c>
    </x:row>
    <x:row r="2515" ht="21.600000381469727" hidden="0" customHeight="1">
      <x:c r="A2515" s="29" t="n">
        <x:v>837</x:v>
      </x:c>
      <x:c r="B2515" s="29" t="str">
        <x:v>A3</x:v>
      </x:c>
      <x:c r="C2515" s="48" t="n">
        <x:v>1.3342678096232212</x:v>
      </x:c>
      <x:c r="D2515" s="48" t="n">
        <x:v>0.8951111848481355</x:v>
      </x:c>
      <x:c r="E2515" s="48" t="n">
        <x:v>0.7183431339224713</x:v>
      </x:c>
      <x:c r="F2515" s="48" t="n">
        <x:v>-0.023052544387867413</x:v>
      </x:c>
      <x:c r="G2515" s="48" t="n">
        <x:v>0.02541979995804</x:v>
      </x:c>
      <x:c r="H2515" s="48" t="n">
        <x:v>1.0882752477419337</x:v>
      </x:c>
      <x:c r="I2515" s="48" t="n">
        <x:v>0.893316375321865</x:v>
      </x:c>
      <x:c r="J2515" s="48" t="n">
        <x:v>0.987044462425796</x:v>
      </x:c>
      <x:c r="K2515" s="48" t="n">
        <x:v>0.7576228583160269</x:v>
      </x:c>
      <x:c r="L2515" s="48" t="n">
        <x:v>0.5370491012832782</x:v>
      </x:c>
      <x:c r="M2515" s="48" t="n">
        <x:v>0.1517862277667566</x:v>
      </x:c>
      <x:c r="N2515" s="48" t="n">
        <x:v>0.8188512786187371</x:v>
      </x:c>
      <x:c r="O2515" s="48" t="n">
        <x:v>1</x:v>
      </x:c>
      <x:c r="P2515" s="48" t="n">
        <x:v>1</x:v>
      </x:c>
      <x:c r="Q2515" s="48" t="n">
        <x:v>1</x:v>
      </x:c>
      <x:c r="R2515" s="48" t="n">
        <x:v>1.0000000000000002</x:v>
      </x:c>
      <x:c r="S2515" s="29" t="n">
        <x:v>1</x:v>
      </x:c>
    </x:row>
    <x:row r="2516" ht="21.600000381469727" hidden="0" customHeight="1">
      <x:c r="A2516" s="27" t="n">
        <x:v>838</x:v>
      </x:c>
      <x:c r="B2516" s="27" t="str">
        <x:v>A1</x:v>
      </x:c>
      <x:c r="C2516" s="47" t="n">
        <x:v>1.1755044284533325</x:v>
      </x:c>
      <x:c r="D2516" s="47" t="n">
        <x:v>0.8773443512077963</x:v>
      </x:c>
      <x:c r="E2516" s="47" t="n">
        <x:v>0.8012024382456451</x:v>
      </x:c>
      <x:c r="F2516" s="47" t="n">
        <x:v>-0.00562488319708121</x:v>
      </x:c>
      <x:c r="G2516" s="47" t="n">
        <x:v>-0.07374498675094554</x:v>
      </x:c>
      <x:c r="H2516" s="47" t="n">
        <x:v>0.972716509291641</x:v>
      </x:c>
      <x:c r="I2516" s="47" t="n">
        <x:v>0.6789949498748182</x:v>
      </x:c>
      <x:c r="J2516" s="47" t="n">
        <x:v>0.697626619593165</x:v>
      </x:c>
      <x:c r="K2516" s="47" t="n">
        <x:v>0.8013584186122389</x:v>
      </x:c>
      <x:c r="L2516" s="47" t="n">
        <x:v>0.5657405405278848</x:v>
      </x:c>
      <x:c r="M2516" s="47" t="n">
        <x:v>0.10155037343238414</x:v>
      </x:c>
      <x:c r="N2516" s="47" t="n">
        <x:v>0.7527758972310392</x:v>
      </x:c>
      <x:c r="O2516" s="47" t="n">
        <x:v>0.8321433107041475</x:v>
      </x:c>
      <x:c r="P2516" s="47" t="n">
        <x:v>0.5815127605615159</x:v>
      </x:c>
      <x:c r="Q2516" s="47" t="n">
        <x:v>1</x:v>
      </x:c>
      <x:c r="R2516" s="47" t="n">
        <x:v>0.7927233349110584</x:v>
      </x:c>
      <x:c r="S2516" s="27" t="n">
        <x:v>0</x:v>
      </x:c>
    </x:row>
    <x:row r="2517" ht="21.600000381469727" hidden="0" customHeight="1">
      <x:c r="A2517" s="29" t="n">
        <x:v>838</x:v>
      </x:c>
      <x:c r="B2517" s="29" t="str">
        <x:v>A2</x:v>
      </x:c>
      <x:c r="C2517" s="48" t="n">
        <x:v>1.1755044284533325</x:v>
      </x:c>
      <x:c r="D2517" s="48" t="n">
        <x:v>0.8773443512077963</x:v>
      </x:c>
      <x:c r="E2517" s="48" t="n">
        <x:v>0.8012024382456451</x:v>
      </x:c>
      <x:c r="F2517" s="48" t="n">
        <x:v>-0.00562488319708121</x:v>
      </x:c>
      <x:c r="G2517" s="48" t="n">
        <x:v>-0.07374498675094554</x:v>
      </x:c>
      <x:c r="H2517" s="48" t="n">
        <x:v>0.972716509291641</x:v>
      </x:c>
      <x:c r="I2517" s="48" t="n">
        <x:v>0.6789949498748182</x:v>
      </x:c>
      <x:c r="J2517" s="48" t="n">
        <x:v>0.697626619593165</x:v>
      </x:c>
      <x:c r="K2517" s="48" t="n">
        <x:v>0.8013584186122389</x:v>
      </x:c>
      <x:c r="L2517" s="48" t="n">
        <x:v>0.5657405405278848</x:v>
      </x:c>
      <x:c r="M2517" s="48" t="n">
        <x:v>0.10155037343238414</x:v>
      </x:c>
      <x:c r="N2517" s="48" t="n">
        <x:v>0.7527758972310392</x:v>
      </x:c>
      <x:c r="O2517" s="48" t="n">
        <x:v>0.8974603124711595</x:v>
      </x:c>
      <x:c r="P2517" s="48" t="n">
        <x:v>0.49608186077533756</x:v>
      </x:c>
      <x:c r="Q2517" s="48" t="n">
        <x:v>1</x:v>
      </x:c>
      <x:c r="R2517" s="48" t="n">
        <x:v>0.8733795801680612</x:v>
      </x:c>
      <x:c r="S2517" s="29" t="n">
        <x:v>0</x:v>
      </x:c>
    </x:row>
    <x:row r="2518" ht="21.600000381469727" hidden="0" customHeight="1">
      <x:c r="A2518" s="27" t="n">
        <x:v>838</x:v>
      </x:c>
      <x:c r="B2518" s="27" t="str">
        <x:v>A3</x:v>
      </x:c>
      <x:c r="C2518" s="47" t="n">
        <x:v>1.1755044284533325</x:v>
      </x:c>
      <x:c r="D2518" s="47" t="n">
        <x:v>0.8773443512077963</x:v>
      </x:c>
      <x:c r="E2518" s="47" t="n">
        <x:v>0.8012024382456451</x:v>
      </x:c>
      <x:c r="F2518" s="47" t="n">
        <x:v>-0.00562488319708121</x:v>
      </x:c>
      <x:c r="G2518" s="47" t="n">
        <x:v>-0.07374498675094554</x:v>
      </x:c>
      <x:c r="H2518" s="47" t="n">
        <x:v>0.972716509291641</x:v>
      </x:c>
      <x:c r="I2518" s="47" t="n">
        <x:v>0.6789949498748182</x:v>
      </x:c>
      <x:c r="J2518" s="47" t="n">
        <x:v>0.697626619593165</x:v>
      </x:c>
      <x:c r="K2518" s="47" t="n">
        <x:v>0.8013584186122389</x:v>
      </x:c>
      <x:c r="L2518" s="47" t="n">
        <x:v>0.5657405405278848</x:v>
      </x:c>
      <x:c r="M2518" s="47" t="n">
        <x:v>0.10155037343238414</x:v>
      </x:c>
      <x:c r="N2518" s="47" t="n">
        <x:v>0.7527758972310392</x:v>
      </x:c>
      <x:c r="O2518" s="47" t="n">
        <x:v>1</x:v>
      </x:c>
      <x:c r="P2518" s="47" t="n">
        <x:v>1</x:v>
      </x:c>
      <x:c r="Q2518" s="47" t="n">
        <x:v>1</x:v>
      </x:c>
      <x:c r="R2518" s="47" t="n">
        <x:v>1</x:v>
      </x:c>
      <x:c r="S2518" s="27" t="n">
        <x:v>1</x:v>
      </x:c>
    </x:row>
    <x:row r="2519" ht="21.600000381469727" hidden="0" customHeight="1">
      <x:c r="A2519" s="29" t="n">
        <x:v>839</x:v>
      </x:c>
      <x:c r="B2519" s="29" t="str">
        <x:v>A1</x:v>
      </x:c>
      <x:c r="C2519" s="48" t="n">
        <x:v>1.138158950926274</x:v>
      </x:c>
      <x:c r="D2519" s="48" t="n">
        <x:v>0.8986873221320244</x:v>
      </x:c>
      <x:c r="E2519" s="48" t="n">
        <x:v>0.8976192440780553</x:v>
      </x:c>
      <x:c r="F2519" s="48" t="n">
        <x:v>-0.09431277290673906</x:v>
      </x:c>
      <x:c r="G2519" s="48" t="n">
        <x:v>-0.14201357221992983</x:v>
      </x:c>
      <x:c r="H2519" s="48" t="n">
        <x:v>0.9041156257117144</x:v>
      </x:c>
      <x:c r="I2519" s="48" t="n">
        <x:v>0.9754715668931829</x:v>
      </x:c>
      <x:c r="J2519" s="48" t="n">
        <x:v>0.45206850489015654</x:v>
      </x:c>
      <x:c r="K2519" s="48" t="n">
        <x:v>0.6908908146801919</x:v>
      </x:c>
      <x:c r="L2519" s="48" t="n">
        <x:v>0.7689582715479453</x:v>
      </x:c>
      <x:c r="M2519" s="48" t="n">
        <x:v>0.14573851377333324</x:v>
      </x:c>
      <x:c r="N2519" s="48" t="n">
        <x:v>0.8207254033685194</x:v>
      </x:c>
      <x:c r="O2519" s="48" t="n">
        <x:v>0.8364331666041007</x:v>
      </x:c>
      <x:c r="P2519" s="48" t="n">
        <x:v>0.5616085670512656</x:v>
      </x:c>
      <x:c r="Q2519" s="48" t="n">
        <x:v>1</x:v>
      </x:c>
      <x:c r="R2519" s="48" t="n">
        <x:v>0.7980206336269123</x:v>
      </x:c>
      <x:c r="S2519" s="29" t="n">
        <x:v>0</x:v>
      </x:c>
    </x:row>
    <x:row r="2520" ht="21.600000381469727" hidden="0" customHeight="1">
      <x:c r="A2520" s="27" t="n">
        <x:v>839</x:v>
      </x:c>
      <x:c r="B2520" s="27" t="str">
        <x:v>A2</x:v>
      </x:c>
      <x:c r="C2520" s="47" t="n">
        <x:v>1.138158950926274</x:v>
      </x:c>
      <x:c r="D2520" s="47" t="n">
        <x:v>0.8986873221320244</x:v>
      </x:c>
      <x:c r="E2520" s="47" t="n">
        <x:v>0.8976192440780553</x:v>
      </x:c>
      <x:c r="F2520" s="47" t="n">
        <x:v>-0.09431277290673906</x:v>
      </x:c>
      <x:c r="G2520" s="47" t="n">
        <x:v>-0.14201357221992983</x:v>
      </x:c>
      <x:c r="H2520" s="47" t="n">
        <x:v>0.9041156257117144</x:v>
      </x:c>
      <x:c r="I2520" s="47" t="n">
        <x:v>0.9754715668931829</x:v>
      </x:c>
      <x:c r="J2520" s="47" t="n">
        <x:v>0.45206850489015654</x:v>
      </x:c>
      <x:c r="K2520" s="47" t="n">
        <x:v>0.6908908146801919</x:v>
      </x:c>
      <x:c r="L2520" s="47" t="n">
        <x:v>0.7689582715479453</x:v>
      </x:c>
      <x:c r="M2520" s="47" t="n">
        <x:v>0.14573851377333324</x:v>
      </x:c>
      <x:c r="N2520" s="47" t="n">
        <x:v>0.8207254033685194</x:v>
      </x:c>
      <x:c r="O2520" s="47" t="n">
        <x:v>0.9239262928439786</x:v>
      </x:c>
      <x:c r="P2520" s="47" t="n">
        <x:v>0.7279599259660999</x:v>
      </x:c>
      <x:c r="Q2520" s="47" t="n">
        <x:v>1</x:v>
      </x:c>
      <x:c r="R2520" s="47" t="n">
        <x:v>0.9060609119219505</x:v>
      </x:c>
      <x:c r="S2520" s="27" t="n">
        <x:v>0</x:v>
      </x:c>
    </x:row>
    <x:row r="2521" ht="21.600000381469727" hidden="0" customHeight="1">
      <x:c r="A2521" s="29" t="n">
        <x:v>839</x:v>
      </x:c>
      <x:c r="B2521" s="29" t="str">
        <x:v>A3</x:v>
      </x:c>
      <x:c r="C2521" s="48" t="n">
        <x:v>1.138158950926274</x:v>
      </x:c>
      <x:c r="D2521" s="48" t="n">
        <x:v>0.8986873221320244</x:v>
      </x:c>
      <x:c r="E2521" s="48" t="n">
        <x:v>0.8976192440780553</x:v>
      </x:c>
      <x:c r="F2521" s="48" t="n">
        <x:v>-0.09431277290673906</x:v>
      </x:c>
      <x:c r="G2521" s="48" t="n">
        <x:v>-0.14201357221992983</x:v>
      </x:c>
      <x:c r="H2521" s="48" t="n">
        <x:v>0.9041156257117144</x:v>
      </x:c>
      <x:c r="I2521" s="48" t="n">
        <x:v>0.9754715668931829</x:v>
      </x:c>
      <x:c r="J2521" s="48" t="n">
        <x:v>0.45206850489015654</x:v>
      </x:c>
      <x:c r="K2521" s="48" t="n">
        <x:v>0.6908908146801919</x:v>
      </x:c>
      <x:c r="L2521" s="48" t="n">
        <x:v>0.7689582715479453</x:v>
      </x:c>
      <x:c r="M2521" s="48" t="n">
        <x:v>0.14573851377333324</x:v>
      </x:c>
      <x:c r="N2521" s="48" t="n">
        <x:v>0.8207254033685194</x:v>
      </x:c>
      <x:c r="O2521" s="48" t="n">
        <x:v>1</x:v>
      </x:c>
      <x:c r="P2521" s="48" t="n">
        <x:v>1</x:v>
      </x:c>
      <x:c r="Q2521" s="48" t="n">
        <x:v>1</x:v>
      </x:c>
      <x:c r="R2521" s="48" t="n">
        <x:v>1</x:v>
      </x:c>
      <x:c r="S2521" s="29" t="n">
        <x:v>1</x:v>
      </x:c>
    </x:row>
    <x:row r="2522" ht="21.600000381469727" hidden="0" customHeight="1">
      <x:c r="A2522" s="27" t="n">
        <x:v>840</x:v>
      </x:c>
      <x:c r="B2522" s="27" t="str">
        <x:v>A1</x:v>
      </x:c>
      <x:c r="C2522" s="47" t="n">
        <x:v>1.2390209099462874</x:v>
      </x:c>
      <x:c r="D2522" s="47" t="n">
        <x:v>0.9176661406872222</x:v>
      </x:c>
      <x:c r="E2522" s="47" t="n">
        <x:v>1.0524886725235558</x:v>
      </x:c>
      <x:c r="F2522" s="47" t="n">
        <x:v>-0.03317746595957466</x:v>
      </x:c>
      <x:c r="G2522" s="47" t="n">
        <x:v>-0.13498561988050967</x:v>
      </x:c>
      <x:c r="H2522" s="47" t="n">
        <x:v>0.5248360059395134</x:v>
      </x:c>
      <x:c r="I2522" s="47" t="n">
        <x:v>0.9238238331971366</x:v>
      </x:c>
      <x:c r="J2522" s="47" t="n">
        <x:v>0.9443734891871822</x:v>
      </x:c>
      <x:c r="K2522" s="47" t="n">
        <x:v>0.8615878268357399</x:v>
      </x:c>
      <x:c r="L2522" s="47" t="n">
        <x:v>0.850082913677412</x:v>
      </x:c>
      <x:c r="M2522" s="47" t="n">
        <x:v>0.11284360787942205</x:v>
      </x:c>
      <x:c r="N2522" s="47" t="n">
        <x:v>0.9282145322703277</x:v>
      </x:c>
      <x:c r="O2522" s="47" t="n">
        <x:v>0.8827376709650387</x:v>
      </x:c>
      <x:c r="P2522" s="47" t="n">
        <x:v>0.5201258859919136</x:v>
      </x:c>
      <x:c r="Q2522" s="47" t="n">
        <x:v>1</x:v>
      </x:c>
      <x:c r="R2522" s="47" t="n">
        <x:v>0.8551994287216675</x:v>
      </x:c>
      <x:c r="S2522" s="27" t="n">
        <x:v>0</x:v>
      </x:c>
    </x:row>
    <x:row r="2523" ht="21.600000381469727" hidden="0" customHeight="1">
      <x:c r="A2523" s="29" t="n">
        <x:v>840</x:v>
      </x:c>
      <x:c r="B2523" s="29" t="str">
        <x:v>A2</x:v>
      </x:c>
      <x:c r="C2523" s="48" t="n">
        <x:v>1.2390209099462874</x:v>
      </x:c>
      <x:c r="D2523" s="48" t="n">
        <x:v>0.9176661406872222</x:v>
      </x:c>
      <x:c r="E2523" s="48" t="n">
        <x:v>1.0524886725235558</x:v>
      </x:c>
      <x:c r="F2523" s="48" t="n">
        <x:v>-0.03317746595957466</x:v>
      </x:c>
      <x:c r="G2523" s="48" t="n">
        <x:v>-0.13498561988050967</x:v>
      </x:c>
      <x:c r="H2523" s="48" t="n">
        <x:v>0.5248360059395134</x:v>
      </x:c>
      <x:c r="I2523" s="48" t="n">
        <x:v>0.9238238331971366</x:v>
      </x:c>
      <x:c r="J2523" s="48" t="n">
        <x:v>0.9443734891871822</x:v>
      </x:c>
      <x:c r="K2523" s="48" t="n">
        <x:v>0.8615878268357399</x:v>
      </x:c>
      <x:c r="L2523" s="48" t="n">
        <x:v>0.850082913677412</x:v>
      </x:c>
      <x:c r="M2523" s="48" t="n">
        <x:v>0.11284360787942205</x:v>
      </x:c>
      <x:c r="N2523" s="48" t="n">
        <x:v>0.9282145322703277</x:v>
      </x:c>
      <x:c r="O2523" s="48" t="n">
        <x:v>0.9404494437864404</x:v>
      </x:c>
      <x:c r="P2523" s="48" t="n">
        <x:v>0.6371901214519181</x:v>
      </x:c>
      <x:c r="Q2523" s="48" t="n">
        <x:v>1</x:v>
      </x:c>
      <x:c r="R2523" s="48" t="n">
        <x:v>0.9264644099206406</x:v>
      </x:c>
      <x:c r="S2523" s="29" t="n">
        <x:v>0</x:v>
      </x:c>
    </x:row>
    <x:row r="2524" ht="21.600000381469727" hidden="0" customHeight="1">
      <x:c r="A2524" s="27" t="n">
        <x:v>840</x:v>
      </x:c>
      <x:c r="B2524" s="27" t="str">
        <x:v>A3</x:v>
      </x:c>
      <x:c r="C2524" s="47" t="n">
        <x:v>1.2390209099462874</x:v>
      </x:c>
      <x:c r="D2524" s="47" t="n">
        <x:v>0.9176661406872222</x:v>
      </x:c>
      <x:c r="E2524" s="47" t="n">
        <x:v>1.0524886725235558</x:v>
      </x:c>
      <x:c r="F2524" s="47" t="n">
        <x:v>-0.03317746595957466</x:v>
      </x:c>
      <x:c r="G2524" s="47" t="n">
        <x:v>-0.13498561988050967</x:v>
      </x:c>
      <x:c r="H2524" s="47" t="n">
        <x:v>0.5248360059395134</x:v>
      </x:c>
      <x:c r="I2524" s="47" t="n">
        <x:v>0.9238238331971366</x:v>
      </x:c>
      <x:c r="J2524" s="47" t="n">
        <x:v>0.9443734891871822</x:v>
      </x:c>
      <x:c r="K2524" s="47" t="n">
        <x:v>0.8615878268357399</x:v>
      </x:c>
      <x:c r="L2524" s="47" t="n">
        <x:v>0.850082913677412</x:v>
      </x:c>
      <x:c r="M2524" s="47" t="n">
        <x:v>0.11284360787942205</x:v>
      </x:c>
      <x:c r="N2524" s="47" t="n">
        <x:v>0.9282145322703277</x:v>
      </x:c>
      <x:c r="O2524" s="47" t="n">
        <x:v>1</x:v>
      </x:c>
      <x:c r="P2524" s="47" t="n">
        <x:v>1</x:v>
      </x:c>
      <x:c r="Q2524" s="47" t="n">
        <x:v>1</x:v>
      </x:c>
      <x:c r="R2524" s="47" t="n">
        <x:v>1</x:v>
      </x:c>
      <x:c r="S2524" s="27" t="n">
        <x:v>1</x:v>
      </x:c>
    </x:row>
    <x:row r="2525" ht="21.600000381469727" hidden="0" customHeight="1">
      <x:c r="A2525" s="29" t="n">
        <x:v>841</x:v>
      </x:c>
      <x:c r="B2525" s="29" t="str">
        <x:v>A1</x:v>
      </x:c>
      <x:c r="C2525" s="48" t="n">
        <x:v>1.219581666828908</x:v>
      </x:c>
      <x:c r="D2525" s="48" t="n">
        <x:v>0.7589747462849683</x:v>
      </x:c>
      <x:c r="E2525" s="48" t="n">
        <x:v>0.5855846720001678</x:v>
      </x:c>
      <x:c r="F2525" s="48" t="n">
        <x:v>-0.028322770970927363</x:v>
      </x:c>
      <x:c r="G2525" s="48" t="n">
        <x:v>-0.11395952823429699</x:v>
      </x:c>
      <x:c r="H2525" s="48" t="n">
        <x:v>0.6263463113530522</x:v>
      </x:c>
      <x:c r="I2525" s="48" t="n">
        <x:v>0.6971208167419176</x:v>
      </x:c>
      <x:c r="J2525" s="48" t="n">
        <x:v>0.5477226765891452</x:v>
      </x:c>
      <x:c r="K2525" s="48" t="n">
        <x:v>0.9348849570160704</x:v>
      </x:c>
      <x:c r="L2525" s="48" t="n">
        <x:v>0.8203355429119665</x:v>
      </x:c>
      <x:c r="M2525" s="48" t="n">
        <x:v>0.08161198358494189</x:v>
      </x:c>
      <x:c r="N2525" s="48" t="n">
        <x:v>0.7493640229508848</x:v>
      </x:c>
      <x:c r="O2525" s="48" t="n">
        <x:v>0.7733281978722919</x:v>
      </x:c>
      <x:c r="P2525" s="48" t="n">
        <x:v>0.5432323917051674</x:v>
      </x:c>
      <x:c r="Q2525" s="48" t="n">
        <x:v>1</x:v>
      </x:c>
      <x:c r="R2525" s="48" t="n">
        <x:v>0.7200959019755149</x:v>
      </x:c>
      <x:c r="S2525" s="29" t="n">
        <x:v>0</x:v>
      </x:c>
    </x:row>
    <x:row r="2526" ht="21.600000381469727" hidden="0" customHeight="1">
      <x:c r="A2526" s="27" t="n">
        <x:v>841</x:v>
      </x:c>
      <x:c r="B2526" s="27" t="str">
        <x:v>A2</x:v>
      </x:c>
      <x:c r="C2526" s="47" t="n">
        <x:v>1.219581666828908</x:v>
      </x:c>
      <x:c r="D2526" s="47" t="n">
        <x:v>0.7589747462849683</x:v>
      </x:c>
      <x:c r="E2526" s="47" t="n">
        <x:v>0.5855846720001678</x:v>
      </x:c>
      <x:c r="F2526" s="47" t="n">
        <x:v>-0.028322770970927363</x:v>
      </x:c>
      <x:c r="G2526" s="47" t="n">
        <x:v>-0.11395952823429699</x:v>
      </x:c>
      <x:c r="H2526" s="47" t="n">
        <x:v>0.6263463113530522</x:v>
      </x:c>
      <x:c r="I2526" s="47" t="n">
        <x:v>0.6971208167419176</x:v>
      </x:c>
      <x:c r="J2526" s="47" t="n">
        <x:v>0.5477226765891452</x:v>
      </x:c>
      <x:c r="K2526" s="47" t="n">
        <x:v>0.9348849570160704</x:v>
      </x:c>
      <x:c r="L2526" s="47" t="n">
        <x:v>0.8203355429119665</x:v>
      </x:c>
      <x:c r="M2526" s="47" t="n">
        <x:v>0.08161198358494189</x:v>
      </x:c>
      <x:c r="N2526" s="47" t="n">
        <x:v>0.7493640229508848</x:v>
      </x:c>
      <x:c r="O2526" s="47" t="n">
        <x:v>0.8558360454534488</x:v>
      </x:c>
      <x:c r="P2526" s="47" t="n">
        <x:v>0.44551720552453966</x:v>
      </x:c>
      <x:c r="Q2526" s="47" t="n">
        <x:v>1</x:v>
      </x:c>
      <x:c r="R2526" s="47" t="n">
        <x:v>0.8219801435987142</x:v>
      </x:c>
      <x:c r="S2526" s="27" t="n">
        <x:v>0</x:v>
      </x:c>
    </x:row>
    <x:row r="2527" ht="21.600000381469727" hidden="0" customHeight="1">
      <x:c r="A2527" s="29" t="n">
        <x:v>841</x:v>
      </x:c>
      <x:c r="B2527" s="29" t="str">
        <x:v>A3</x:v>
      </x:c>
      <x:c r="C2527" s="48" t="n">
        <x:v>1.219581666828908</x:v>
      </x:c>
      <x:c r="D2527" s="48" t="n">
        <x:v>0.7589747462849683</x:v>
      </x:c>
      <x:c r="E2527" s="48" t="n">
        <x:v>0.5855846720001678</x:v>
      </x:c>
      <x:c r="F2527" s="48" t="n">
        <x:v>-0.028322770970927363</x:v>
      </x:c>
      <x:c r="G2527" s="48" t="n">
        <x:v>-0.11395952823429699</x:v>
      </x:c>
      <x:c r="H2527" s="48" t="n">
        <x:v>0.6263463113530522</x:v>
      </x:c>
      <x:c r="I2527" s="48" t="n">
        <x:v>0.6971208167419176</x:v>
      </x:c>
      <x:c r="J2527" s="48" t="n">
        <x:v>0.5477226765891452</x:v>
      </x:c>
      <x:c r="K2527" s="48" t="n">
        <x:v>0.9348849570160704</x:v>
      </x:c>
      <x:c r="L2527" s="48" t="n">
        <x:v>0.8203355429119665</x:v>
      </x:c>
      <x:c r="M2527" s="48" t="n">
        <x:v>0.08161198358494189</x:v>
      </x:c>
      <x:c r="N2527" s="48" t="n">
        <x:v>0.7493640229508848</x:v>
      </x:c>
      <x:c r="O2527" s="48" t="n">
        <x:v>1</x:v>
      </x:c>
      <x:c r="P2527" s="48" t="n">
        <x:v>1</x:v>
      </x:c>
      <x:c r="Q2527" s="48" t="n">
        <x:v>1</x:v>
      </x:c>
      <x:c r="R2527" s="48" t="n">
        <x:v>1</x:v>
      </x:c>
      <x:c r="S2527" s="29" t="n">
        <x:v>1</x:v>
      </x:c>
    </x:row>
    <x:row r="2528" ht="21.600000381469727" hidden="0" customHeight="1">
      <x:c r="A2528" s="27" t="n">
        <x:v>842</x:v>
      </x:c>
      <x:c r="B2528" s="27" t="str">
        <x:v>A1</x:v>
      </x:c>
      <x:c r="C2528" s="47" t="n">
        <x:v>1.1013512989718364</x:v>
      </x:c>
      <x:c r="D2528" s="47" t="n">
        <x:v>0.7614952751252381</x:v>
      </x:c>
      <x:c r="E2528" s="47" t="n">
        <x:v>0.6491412402285066</x:v>
      </x:c>
      <x:c r="F2528" s="47" t="n">
        <x:v>-0.01656150494694822</x:v>
      </x:c>
      <x:c r="G2528" s="47" t="n">
        <x:v>-0.15480929044539896</x:v>
      </x:c>
      <x:c r="H2528" s="47" t="n">
        <x:v>0.7460124203569279</x:v>
      </x:c>
      <x:c r="I2528" s="47" t="n">
        <x:v>0.6247344260286101</x:v>
      </x:c>
      <x:c r="J2528" s="47" t="n">
        <x:v>0.4424649475860956</x:v>
      </x:c>
      <x:c r="K2528" s="47" t="n">
        <x:v>0.7027858034528576</x:v>
      </x:c>
      <x:c r="L2528" s="47" t="n">
        <x:v>0.8724005443518073</x:v>
      </x:c>
      <x:c r="M2528" s="47" t="n">
        <x:v>0.09184316391090938</x:v>
      </x:c>
      <x:c r="N2528" s="47" t="n">
        <x:v>0.6762090539158918</x:v>
      </x:c>
      <x:c r="O2528" s="47" t="n">
        <x:v>0.8030950349220073</x:v>
      </x:c>
      <x:c r="P2528" s="47" t="n">
        <x:v>0.5135794626914315</x:v>
      </x:c>
      <x:c r="Q2528" s="47" t="n">
        <x:v>1</x:v>
      </x:c>
      <x:c r="R2528" s="47" t="n">
        <x:v>0.7568532736345986</x:v>
      </x:c>
      <x:c r="S2528" s="27" t="n">
        <x:v>0</x:v>
      </x:c>
    </x:row>
    <x:row r="2529" ht="21.600000381469727" hidden="0" customHeight="1">
      <x:c r="A2529" s="29" t="n">
        <x:v>842</x:v>
      </x:c>
      <x:c r="B2529" s="29" t="str">
        <x:v>A2</x:v>
      </x:c>
      <x:c r="C2529" s="48" t="n">
        <x:v>1.1013512989718364</x:v>
      </x:c>
      <x:c r="D2529" s="48" t="n">
        <x:v>0.7614952751252381</x:v>
      </x:c>
      <x:c r="E2529" s="48" t="n">
        <x:v>0.6491412402285066</x:v>
      </x:c>
      <x:c r="F2529" s="48" t="n">
        <x:v>-0.01656150494694822</x:v>
      </x:c>
      <x:c r="G2529" s="48" t="n">
        <x:v>-0.15480929044539896</x:v>
      </x:c>
      <x:c r="H2529" s="48" t="n">
        <x:v>0.7460124203569279</x:v>
      </x:c>
      <x:c r="I2529" s="48" t="n">
        <x:v>0.6247344260286101</x:v>
      </x:c>
      <x:c r="J2529" s="48" t="n">
        <x:v>0.4424649475860956</x:v>
      </x:c>
      <x:c r="K2529" s="48" t="n">
        <x:v>0.7027858034528576</x:v>
      </x:c>
      <x:c r="L2529" s="48" t="n">
        <x:v>0.8724005443518073</x:v>
      </x:c>
      <x:c r="M2529" s="48" t="n">
        <x:v>0.09184316391090938</x:v>
      </x:c>
      <x:c r="N2529" s="48" t="n">
        <x:v>0.6762090539158918</x:v>
      </x:c>
      <x:c r="O2529" s="48" t="n">
        <x:v>0.8712556841264936</x:v>
      </x:c>
      <x:c r="P2529" s="48" t="n">
        <x:v>0.5902837501002184</x:v>
      </x:c>
      <x:c r="Q2529" s="48" t="n">
        <x:v>1</x:v>
      </x:c>
      <x:c r="R2529" s="48" t="n">
        <x:v>0.8410209771480517</x:v>
      </x:c>
      <x:c r="S2529" s="29" t="n">
        <x:v>0</x:v>
      </x:c>
    </x:row>
    <x:row r="2530" ht="21.600000381469727" hidden="0" customHeight="1">
      <x:c r="A2530" s="27" t="n">
        <x:v>842</x:v>
      </x:c>
      <x:c r="B2530" s="27" t="str">
        <x:v>A3</x:v>
      </x:c>
      <x:c r="C2530" s="47" t="n">
        <x:v>1.1013512989718364</x:v>
      </x:c>
      <x:c r="D2530" s="47" t="n">
        <x:v>0.7614952751252381</x:v>
      </x:c>
      <x:c r="E2530" s="47" t="n">
        <x:v>0.6491412402285066</x:v>
      </x:c>
      <x:c r="F2530" s="47" t="n">
        <x:v>-0.01656150494694822</x:v>
      </x:c>
      <x:c r="G2530" s="47" t="n">
        <x:v>-0.15480929044539896</x:v>
      </x:c>
      <x:c r="H2530" s="47" t="n">
        <x:v>0.7460124203569279</x:v>
      </x:c>
      <x:c r="I2530" s="47" t="n">
        <x:v>0.6247344260286101</x:v>
      </x:c>
      <x:c r="J2530" s="47" t="n">
        <x:v>0.4424649475860956</x:v>
      </x:c>
      <x:c r="K2530" s="47" t="n">
        <x:v>0.7027858034528576</x:v>
      </x:c>
      <x:c r="L2530" s="47" t="n">
        <x:v>0.8724005443518073</x:v>
      </x:c>
      <x:c r="M2530" s="47" t="n">
        <x:v>0.09184316391090938</x:v>
      </x:c>
      <x:c r="N2530" s="47" t="n">
        <x:v>0.6762090539158918</x:v>
      </x:c>
      <x:c r="O2530" s="47" t="n">
        <x:v>1</x:v>
      </x:c>
      <x:c r="P2530" s="47" t="n">
        <x:v>1</x:v>
      </x:c>
      <x:c r="Q2530" s="47" t="n">
        <x:v>1</x:v>
      </x:c>
      <x:c r="R2530" s="47" t="n">
        <x:v>1</x:v>
      </x:c>
      <x:c r="S2530" s="27" t="n">
        <x:v>1</x:v>
      </x:c>
    </x:row>
    <x:row r="2531" ht="21.600000381469727" hidden="0" customHeight="1">
      <x:c r="A2531" s="29" t="n">
        <x:v>843</x:v>
      </x:c>
      <x:c r="B2531" s="29" t="str">
        <x:v>A1</x:v>
      </x:c>
      <x:c r="C2531" s="48" t="n">
        <x:v>1.2233447787959197</x:v>
      </x:c>
      <x:c r="D2531" s="48" t="n">
        <x:v>0.8491454892413322</x:v>
      </x:c>
      <x:c r="E2531" s="48" t="n">
        <x:v>0.6190681675270617</x:v>
      </x:c>
      <x:c r="F2531" s="48" t="n">
        <x:v>-0.08605769817651285</x:v>
      </x:c>
      <x:c r="G2531" s="48" t="n">
        <x:v>0.02871745388979785</x:v>
      </x:c>
      <x:c r="H2531" s="48" t="n">
        <x:v>0.7373177824931441</x:v>
      </x:c>
      <x:c r="I2531" s="48" t="n">
        <x:v>0.8550249511236904</x:v>
      </x:c>
      <x:c r="J2531" s="48" t="n">
        <x:v>0.8867478391433812</x:v>
      </x:c>
      <x:c r="K2531" s="48" t="n">
        <x:v>0.5872879869857698</x:v>
      </x:c>
      <x:c r="L2531" s="48" t="n">
        <x:v>0.7711584327775769</x:v>
      </x:c>
      <x:c r="M2531" s="48" t="n">
        <x:v>0.1017837743752391</x:v>
      </x:c>
      <x:c r="N2531" s="48" t="n">
        <x:v>0.9937960009760185</x:v>
      </x:c>
      <x:c r="O2531" s="48" t="n">
        <x:v>0.7654954153813248</x:v>
      </x:c>
      <x:c r="P2531" s="48" t="n">
        <x:v>0.43123516436671294</x:v>
      </x:c>
      <x:c r="Q2531" s="48" t="n">
        <x:v>0.8934032941617404</x:v>
      </x:c>
      <x:c r="R2531" s="48" t="n">
        <x:v>0.7112153231250533</x:v>
      </x:c>
      <x:c r="S2531" s="29" t="n">
        <x:v>0</x:v>
      </x:c>
    </x:row>
    <x:row r="2532" ht="21.600000381469727" hidden="0" customHeight="1">
      <x:c r="A2532" s="27" t="n">
        <x:v>843</x:v>
      </x:c>
      <x:c r="B2532" s="27" t="str">
        <x:v>A2</x:v>
      </x:c>
      <x:c r="C2532" s="47" t="n">
        <x:v>1.2233447787959197</x:v>
      </x:c>
      <x:c r="D2532" s="47" t="n">
        <x:v>0.8491454892413322</x:v>
      </x:c>
      <x:c r="E2532" s="47" t="n">
        <x:v>0.6190681675270617</x:v>
      </x:c>
      <x:c r="F2532" s="47" t="n">
        <x:v>-0.08605769817651285</x:v>
      </x:c>
      <x:c r="G2532" s="47" t="n">
        <x:v>0.02871745388979785</x:v>
      </x:c>
      <x:c r="H2532" s="47" t="n">
        <x:v>0.7373177824931441</x:v>
      </x:c>
      <x:c r="I2532" s="47" t="n">
        <x:v>0.8550249511236904</x:v>
      </x:c>
      <x:c r="J2532" s="47" t="n">
        <x:v>0.8867478391433812</x:v>
      </x:c>
      <x:c r="K2532" s="47" t="n">
        <x:v>0.5872879869857698</x:v>
      </x:c>
      <x:c r="L2532" s="47" t="n">
        <x:v>0.7711584327775769</x:v>
      </x:c>
      <x:c r="M2532" s="47" t="n">
        <x:v>0.1017837743752391</x:v>
      </x:c>
      <x:c r="N2532" s="47" t="n">
        <x:v>0.9937960009760185</x:v>
      </x:c>
      <x:c r="O2532" s="47" t="n">
        <x:v>0.8397540871877432</x:v>
      </x:c>
      <x:c r="P2532" s="47" t="n">
        <x:v>0.4739252852797975</x:v>
      </x:c>
      <x:c r="Q2532" s="47" t="n">
        <x:v>1</x:v>
      </x:c>
      <x:c r="R2532" s="47" t="n">
        <x:v>0.802121449307778</x:v>
      </x:c>
      <x:c r="S2532" s="27" t="n">
        <x:v>0</x:v>
      </x:c>
    </x:row>
    <x:row r="2533" ht="21.600000381469727" hidden="0" customHeight="1">
      <x:c r="A2533" s="29" t="n">
        <x:v>843</x:v>
      </x:c>
      <x:c r="B2533" s="29" t="str">
        <x:v>A3</x:v>
      </x:c>
      <x:c r="C2533" s="48" t="n">
        <x:v>1.2233447787959197</x:v>
      </x:c>
      <x:c r="D2533" s="48" t="n">
        <x:v>0.8491454892413322</x:v>
      </x:c>
      <x:c r="E2533" s="48" t="n">
        <x:v>0.6190681675270617</x:v>
      </x:c>
      <x:c r="F2533" s="48" t="n">
        <x:v>-0.08605769817651285</x:v>
      </x:c>
      <x:c r="G2533" s="48" t="n">
        <x:v>0.02871745388979785</x:v>
      </x:c>
      <x:c r="H2533" s="48" t="n">
        <x:v>0.7373177824931441</x:v>
      </x:c>
      <x:c r="I2533" s="48" t="n">
        <x:v>0.8550249511236904</x:v>
      </x:c>
      <x:c r="J2533" s="48" t="n">
        <x:v>0.8867478391433812</x:v>
      </x:c>
      <x:c r="K2533" s="48" t="n">
        <x:v>0.5872879869857698</x:v>
      </x:c>
      <x:c r="L2533" s="48" t="n">
        <x:v>0.7711584327775769</x:v>
      </x:c>
      <x:c r="M2533" s="48" t="n">
        <x:v>0.1017837743752391</x:v>
      </x:c>
      <x:c r="N2533" s="48" t="n">
        <x:v>0.9937960009760185</x:v>
      </x:c>
      <x:c r="O2533" s="48" t="n">
        <x:v>1</x:v>
      </x:c>
      <x:c r="P2533" s="48" t="n">
        <x:v>1</x:v>
      </x:c>
      <x:c r="Q2533" s="48" t="n">
        <x:v>1</x:v>
      </x:c>
      <x:c r="R2533" s="48" t="n">
        <x:v>1</x:v>
      </x:c>
      <x:c r="S2533" s="29" t="n">
        <x:v>1</x:v>
      </x:c>
    </x:row>
    <x:row r="2534" ht="15" hidden="0" customHeight="1">
      <x:c r="A2534" s="27" t="n">
        <x:v>844</x:v>
      </x:c>
      <x:c r="B2534" s="27" t="str">
        <x:v>A1</x:v>
      </x:c>
      <x:c r="C2534" s="47" t="n">
        <x:v>1.0705417652507905</x:v>
      </x:c>
      <x:c r="D2534" s="47" t="n">
        <x:v>0.7979504304419067</x:v>
      </x:c>
      <x:c r="E2534" s="47" t="n">
        <x:v>0.49043260651868026</x:v>
      </x:c>
      <x:c r="F2534" s="47" t="n">
        <x:v>0.017335292565373556</x:v>
      </x:c>
      <x:c r="G2534" s="47" t="n">
        <x:v>0.013510163844826423</x:v>
      </x:c>
      <x:c r="H2534" s="47" t="n">
        <x:v>0.7290663530062127</x:v>
      </x:c>
      <x:c r="I2534" s="47" t="n">
        <x:v>0.7057906854196164</x:v>
      </x:c>
      <x:c r="J2534" s="47" t="n">
        <x:v>0.6372857558698883</x:v>
      </x:c>
      <x:c r="K2534" s="47" t="n">
        <x:v>0.8957318979388703</x:v>
      </x:c>
      <x:c r="L2534" s="47" t="n">
        <x:v>0.5974822555560915</x:v>
      </x:c>
      <x:c r="M2534" s="47" t="n">
        <x:v>0.053173644919243084</x:v>
      </x:c>
      <x:c r="N2534" s="47" t="n">
        <x:v>0.7286335316228766</x:v>
      </x:c>
      <x:c r="O2534" s="47" t="n">
        <x:v>0.8343794677440134</x:v>
      </x:c>
      <x:c r="P2534" s="47" t="n">
        <x:v>0.6269704740939114</x:v>
      </x:c>
      <x:c r="Q2534" s="47" t="n">
        <x:v>1</x:v>
      </x:c>
      <x:c r="R2534" s="47" t="n">
        <x:v>0.7954846378760039</x:v>
      </x:c>
      <x:c r="S2534" s="27" t="n">
        <x:v>0</x:v>
      </x:c>
    </x:row>
    <x:row r="2535" ht="15" hidden="0" customHeight="1">
      <x:c r="A2535" s="29" t="n">
        <x:v>844</x:v>
      </x:c>
      <x:c r="B2535" s="29" t="str">
        <x:v>A2</x:v>
      </x:c>
      <x:c r="C2535" s="48" t="n">
        <x:v>1.0705417652507905</x:v>
      </x:c>
      <x:c r="D2535" s="48" t="n">
        <x:v>0.7979504304419067</x:v>
      </x:c>
      <x:c r="E2535" s="48" t="n">
        <x:v>0.49043260651868026</x:v>
      </x:c>
      <x:c r="F2535" s="48" t="n">
        <x:v>0.017335292565373556</x:v>
      </x:c>
      <x:c r="G2535" s="48" t="n">
        <x:v>0.013510163844826423</x:v>
      </x:c>
      <x:c r="H2535" s="48" t="n">
        <x:v>0.7290663530062127</x:v>
      </x:c>
      <x:c r="I2535" s="48" t="n">
        <x:v>0.7057906854196164</x:v>
      </x:c>
      <x:c r="J2535" s="48" t="n">
        <x:v>0.6372857558698883</x:v>
      </x:c>
      <x:c r="K2535" s="48" t="n">
        <x:v>0.8957318979388703</x:v>
      </x:c>
      <x:c r="L2535" s="48" t="n">
        <x:v>0.5974822555560915</x:v>
      </x:c>
      <x:c r="M2535" s="48" t="n">
        <x:v>0.053173644919243084</x:v>
      </x:c>
      <x:c r="N2535" s="48" t="n">
        <x:v>0.7286335316228766</x:v>
      </x:c>
      <x:c r="O2535" s="48" t="n">
        <x:v>0.9145889817028132</x:v>
      </x:c>
      <x:c r="P2535" s="48" t="n">
        <x:v>0.5950593213858543</x:v>
      </x:c>
      <x:c r="Q2535" s="48" t="n">
        <x:v>1</x:v>
      </x:c>
      <x:c r="R2535" s="48" t="n">
        <x:v>0.894530798213897</x:v>
      </x:c>
      <x:c r="S2535" s="29" t="n">
        <x:v>0</x:v>
      </x:c>
    </x:row>
    <x:row r="2536" ht="15" hidden="0" customHeight="1">
      <x:c r="A2536" s="27" t="n">
        <x:v>844</x:v>
      </x:c>
      <x:c r="B2536" s="27" t="str">
        <x:v>A3</x:v>
      </x:c>
      <x:c r="C2536" s="47" t="n">
        <x:v>1.0705417652507905</x:v>
      </x:c>
      <x:c r="D2536" s="47" t="n">
        <x:v>0.7979504304419067</x:v>
      </x:c>
      <x:c r="E2536" s="47" t="n">
        <x:v>0.49043260651868026</x:v>
      </x:c>
      <x:c r="F2536" s="47" t="n">
        <x:v>0.017335292565373556</x:v>
      </x:c>
      <x:c r="G2536" s="47" t="n">
        <x:v>0.013510163844826423</x:v>
      </x:c>
      <x:c r="H2536" s="47" t="n">
        <x:v>0.7290663530062127</x:v>
      </x:c>
      <x:c r="I2536" s="47" t="n">
        <x:v>0.7057906854196164</x:v>
      </x:c>
      <x:c r="J2536" s="47" t="n">
        <x:v>0.6372857558698883</x:v>
      </x:c>
      <x:c r="K2536" s="47" t="n">
        <x:v>0.8957318979388703</x:v>
      </x:c>
      <x:c r="L2536" s="47" t="n">
        <x:v>0.5974822555560915</x:v>
      </x:c>
      <x:c r="M2536" s="47" t="n">
        <x:v>0.053173644919243084</x:v>
      </x:c>
      <x:c r="N2536" s="47" t="n">
        <x:v>0.7286335316228766</x:v>
      </x:c>
      <x:c r="O2536" s="47" t="n">
        <x:v>1</x:v>
      </x:c>
      <x:c r="P2536" s="47" t="n">
        <x:v>1</x:v>
      </x:c>
      <x:c r="Q2536" s="47" t="n">
        <x:v>1</x:v>
      </x:c>
      <x:c r="R2536" s="47" t="n">
        <x:v>1</x:v>
      </x:c>
      <x:c r="S2536" s="27" t="n">
        <x:v>1</x:v>
      </x:c>
    </x:row>
    <x:row r="2537" ht="21.600000381469727" hidden="0" customHeight="1">
      <x:c r="A2537" s="29" t="n">
        <x:v>845</x:v>
      </x:c>
      <x:c r="B2537" s="29" t="str">
        <x:v>A1</x:v>
      </x:c>
      <x:c r="C2537" s="48" t="n">
        <x:v>0.9055316265957171</x:v>
      </x:c>
      <x:c r="D2537" s="48" t="n">
        <x:v>0.9647662909107302</x:v>
      </x:c>
      <x:c r="E2537" s="48" t="n">
        <x:v>0.7646058843728667</x:v>
      </x:c>
      <x:c r="F2537" s="48" t="n">
        <x:v>-0.0523092032333797</x:v>
      </x:c>
      <x:c r="G2537" s="48" t="n">
        <x:v>-0.05069810845011785</x:v>
      </x:c>
      <x:c r="H2537" s="48" t="n">
        <x:v>0.32294343810845566</x:v>
      </x:c>
      <x:c r="I2537" s="48" t="n">
        <x:v>0.8625619874913822</x:v>
      </x:c>
      <x:c r="J2537" s="48" t="n">
        <x:v>0.5132492828947295</x:v>
      </x:c>
      <x:c r="K2537" s="48" t="n">
        <x:v>0.7792396193928086</x:v>
      </x:c>
      <x:c r="L2537" s="48" t="n">
        <x:v>0.8020611174078642</x:v>
      </x:c>
      <x:c r="M2537" s="48" t="n">
        <x:v>0.15620950902749858</x:v>
      </x:c>
      <x:c r="N2537" s="48" t="n">
        <x:v>0.9980377634623598</x:v>
      </x:c>
      <x:c r="O2537" s="48" t="n">
        <x:v>0.9679941439395686</x:v>
      </x:c>
      <x:c r="P2537" s="48" t="n">
        <x:v>0.817749435757421</x:v>
      </x:c>
      <x:c r="Q2537" s="48" t="n">
        <x:v>1</x:v>
      </x:c>
      <x:c r="R2537" s="48" t="n">
        <x:v>0.9604777912911758</x:v>
      </x:c>
      <x:c r="S2537" s="29" t="n">
        <x:v>0</x:v>
      </x:c>
    </x:row>
    <x:row r="2538" ht="21.600000381469727" hidden="0" customHeight="1">
      <x:c r="A2538" s="27" t="n">
        <x:v>845</x:v>
      </x:c>
      <x:c r="B2538" s="27" t="str">
        <x:v>A2</x:v>
      </x:c>
      <x:c r="C2538" s="47" t="n">
        <x:v>0.9055316265957171</x:v>
      </x:c>
      <x:c r="D2538" s="47" t="n">
        <x:v>0.9647662909107302</x:v>
      </x:c>
      <x:c r="E2538" s="47" t="n">
        <x:v>0.7646058843728667</x:v>
      </x:c>
      <x:c r="F2538" s="47" t="n">
        <x:v>-0.0523092032333797</x:v>
      </x:c>
      <x:c r="G2538" s="47" t="n">
        <x:v>-0.05069810845011785</x:v>
      </x:c>
      <x:c r="H2538" s="47" t="n">
        <x:v>0.32294343810845566</x:v>
      </x:c>
      <x:c r="I2538" s="47" t="n">
        <x:v>0.8625619874913822</x:v>
      </x:c>
      <x:c r="J2538" s="47" t="n">
        <x:v>0.5132492828947295</x:v>
      </x:c>
      <x:c r="K2538" s="47" t="n">
        <x:v>0.7792396193928086</x:v>
      </x:c>
      <x:c r="L2538" s="47" t="n">
        <x:v>0.8020611174078642</x:v>
      </x:c>
      <x:c r="M2538" s="47" t="n">
        <x:v>0.15620950902749858</x:v>
      </x:c>
      <x:c r="N2538" s="47" t="n">
        <x:v>0.9980377634623598</x:v>
      </x:c>
      <x:c r="O2538" s="47" t="n">
        <x:v>1</x:v>
      </x:c>
      <x:c r="P2538" s="47" t="n">
        <x:v>0.9999999999999999</x:v>
      </x:c>
      <x:c r="Q2538" s="47" t="n">
        <x:v>1</x:v>
      </x:c>
      <x:c r="R2538" s="47" t="n">
        <x:v>1</x:v>
      </x:c>
      <x:c r="S2538" s="27" t="n">
        <x:v>1</x:v>
      </x:c>
    </x:row>
    <x:row r="2539" ht="21.600000381469727" hidden="0" customHeight="1">
      <x:c r="A2539" s="29" t="n">
        <x:v>845</x:v>
      </x:c>
      <x:c r="B2539" s="29" t="str">
        <x:v>A3</x:v>
      </x:c>
      <x:c r="C2539" s="48" t="n">
        <x:v>0.9055316265957171</x:v>
      </x:c>
      <x:c r="D2539" s="48" t="n">
        <x:v>0.9647662909107302</x:v>
      </x:c>
      <x:c r="E2539" s="48" t="n">
        <x:v>0.7646058843728667</x:v>
      </x:c>
      <x:c r="F2539" s="48" t="n">
        <x:v>-0.0523092032333797</x:v>
      </x:c>
      <x:c r="G2539" s="48" t="n">
        <x:v>-0.05069810845011785</x:v>
      </x:c>
      <x:c r="H2539" s="48" t="n">
        <x:v>0.32294343810845566</x:v>
      </x:c>
      <x:c r="I2539" s="48" t="n">
        <x:v>0.8625619874913822</x:v>
      </x:c>
      <x:c r="J2539" s="48" t="n">
        <x:v>0.5132492828947295</x:v>
      </x:c>
      <x:c r="K2539" s="48" t="n">
        <x:v>0.7792396193928086</x:v>
      </x:c>
      <x:c r="L2539" s="48" t="n">
        <x:v>0.8020611174078642</x:v>
      </x:c>
      <x:c r="M2539" s="48" t="n">
        <x:v>0.15620950902749858</x:v>
      </x:c>
      <x:c r="N2539" s="48" t="n">
        <x:v>0.9980377634623598</x:v>
      </x:c>
      <x:c r="O2539" s="48" t="n">
        <x:v>1</x:v>
      </x:c>
      <x:c r="P2539" s="48" t="n">
        <x:v>1</x:v>
      </x:c>
      <x:c r="Q2539" s="48" t="n">
        <x:v>1</x:v>
      </x:c>
      <x:c r="R2539" s="48" t="n">
        <x:v>1</x:v>
      </x:c>
      <x:c r="S2539" s="29" t="n">
        <x:v>1</x:v>
      </x:c>
    </x:row>
    <x:row r="2540" ht="21.600000381469727" hidden="0" customHeight="1">
      <x:c r="A2540" s="27" t="n">
        <x:v>846</x:v>
      </x:c>
      <x:c r="B2540" s="27" t="str">
        <x:v>A1</x:v>
      </x:c>
      <x:c r="C2540" s="47" t="n">
        <x:v>1.1836506821181227</x:v>
      </x:c>
      <x:c r="D2540" s="47" t="n">
        <x:v>0.9317533982348254</x:v>
      </x:c>
      <x:c r="E2540" s="47" t="n">
        <x:v>0.5522931625014429</x:v>
      </x:c>
      <x:c r="F2540" s="47" t="n">
        <x:v>-0.19904304863856997</x:v>
      </x:c>
      <x:c r="G2540" s="47" t="n">
        <x:v>-0.12212544189222127</x:v>
      </x:c>
      <x:c r="H2540" s="47" t="n">
        <x:v>0.8592605371687985</x:v>
      </x:c>
      <x:c r="I2540" s="47" t="n">
        <x:v>0.7447835292127005</x:v>
      </x:c>
      <x:c r="J2540" s="47" t="n">
        <x:v>0.6801165137992056</x:v>
      </x:c>
      <x:c r="K2540" s="47" t="n">
        <x:v>0.8090535764546319</x:v>
      </x:c>
      <x:c r="L2540" s="47" t="n">
        <x:v>0.7523246808544503</x:v>
      </x:c>
      <x:c r="M2540" s="47" t="n">
        <x:v>0.09696730161352503</x:v>
      </x:c>
      <x:c r="N2540" s="47" t="n">
        <x:v>0.9128514001550457</x:v>
      </x:c>
      <x:c r="O2540" s="47" t="n">
        <x:v>0.8660556842057786</x:v>
      </x:c>
      <x:c r="P2540" s="47" t="n">
        <x:v>0.649008877600243</x:v>
      </x:c>
      <x:c r="Q2540" s="47" t="n">
        <x:v>1</x:v>
      </x:c>
      <x:c r="R2540" s="47" t="n">
        <x:v>0.8345997934195388</x:v>
      </x:c>
      <x:c r="S2540" s="27" t="n">
        <x:v>0</x:v>
      </x:c>
    </x:row>
    <x:row r="2541" ht="21.600000381469727" hidden="0" customHeight="1">
      <x:c r="A2541" s="29" t="n">
        <x:v>846</x:v>
      </x:c>
      <x:c r="B2541" s="29" t="str">
        <x:v>A2</x:v>
      </x:c>
      <x:c r="C2541" s="48" t="n">
        <x:v>1.1836506821181227</x:v>
      </x:c>
      <x:c r="D2541" s="48" t="n">
        <x:v>0.9317533982348254</x:v>
      </x:c>
      <x:c r="E2541" s="48" t="n">
        <x:v>0.5522931625014429</x:v>
      </x:c>
      <x:c r="F2541" s="48" t="n">
        <x:v>-0.19904304863856997</x:v>
      </x:c>
      <x:c r="G2541" s="48" t="n">
        <x:v>-0.12212544189222127</x:v>
      </x:c>
      <x:c r="H2541" s="48" t="n">
        <x:v>0.8592605371687985</x:v>
      </x:c>
      <x:c r="I2541" s="48" t="n">
        <x:v>0.7447835292127005</x:v>
      </x:c>
      <x:c r="J2541" s="48" t="n">
        <x:v>0.6801165137992056</x:v>
      </x:c>
      <x:c r="K2541" s="48" t="n">
        <x:v>0.8090535764546319</x:v>
      </x:c>
      <x:c r="L2541" s="48" t="n">
        <x:v>0.7523246808544503</x:v>
      </x:c>
      <x:c r="M2541" s="48" t="n">
        <x:v>0.09696730161352503</x:v>
      </x:c>
      <x:c r="N2541" s="48" t="n">
        <x:v>0.9128514001550457</x:v>
      </x:c>
      <x:c r="O2541" s="48" t="n">
        <x:v>0.9113438382405457</x:v>
      </x:c>
      <x:c r="P2541" s="48" t="n">
        <x:v>0.5377607984577204</x:v>
      </x:c>
      <x:c r="Q2541" s="48" t="n">
        <x:v>1</x:v>
      </x:c>
      <x:c r="R2541" s="48" t="n">
        <x:v>0.8905235553842205</x:v>
      </x:c>
      <x:c r="S2541" s="29" t="n">
        <x:v>0</x:v>
      </x:c>
    </x:row>
    <x:row r="2542" ht="21.600000381469727" hidden="0" customHeight="1">
      <x:c r="A2542" s="27" t="n">
        <x:v>846</x:v>
      </x:c>
      <x:c r="B2542" s="27" t="str">
        <x:v>A3</x:v>
      </x:c>
      <x:c r="C2542" s="47" t="n">
        <x:v>1.1836506821181227</x:v>
      </x:c>
      <x:c r="D2542" s="47" t="n">
        <x:v>0.9317533982348254</x:v>
      </x:c>
      <x:c r="E2542" s="47" t="n">
        <x:v>0.5522931625014429</x:v>
      </x:c>
      <x:c r="F2542" s="47" t="n">
        <x:v>-0.19904304863856997</x:v>
      </x:c>
      <x:c r="G2542" s="47" t="n">
        <x:v>-0.12212544189222127</x:v>
      </x:c>
      <x:c r="H2542" s="47" t="n">
        <x:v>0.8592605371687985</x:v>
      </x:c>
      <x:c r="I2542" s="47" t="n">
        <x:v>0.7447835292127005</x:v>
      </x:c>
      <x:c r="J2542" s="47" t="n">
        <x:v>0.6801165137992056</x:v>
      </x:c>
      <x:c r="K2542" s="47" t="n">
        <x:v>0.8090535764546319</x:v>
      </x:c>
      <x:c r="L2542" s="47" t="n">
        <x:v>0.7523246808544503</x:v>
      </x:c>
      <x:c r="M2542" s="47" t="n">
        <x:v>0.09696730161352503</x:v>
      </x:c>
      <x:c r="N2542" s="47" t="n">
        <x:v>0.9128514001550457</x:v>
      </x:c>
      <x:c r="O2542" s="47" t="n">
        <x:v>1</x:v>
      </x:c>
      <x:c r="P2542" s="47" t="n">
        <x:v>1</x:v>
      </x:c>
      <x:c r="Q2542" s="47" t="n">
        <x:v>1</x:v>
      </x:c>
      <x:c r="R2542" s="47" t="n">
        <x:v>1</x:v>
      </x:c>
      <x:c r="S2542" s="27" t="n">
        <x:v>1</x:v>
      </x:c>
    </x:row>
    <x:row r="2543" ht="21.600000381469727" hidden="0" customHeight="1">
      <x:c r="A2543" s="29" t="n">
        <x:v>847</x:v>
      </x:c>
      <x:c r="B2543" s="29" t="str">
        <x:v>A1</x:v>
      </x:c>
      <x:c r="C2543" s="48" t="n">
        <x:v>1.1460498972295083</x:v>
      </x:c>
      <x:c r="D2543" s="48" t="n">
        <x:v>0.7253144091265387</x:v>
      </x:c>
      <x:c r="E2543" s="48" t="n">
        <x:v>0.9140669997119713</x:v>
      </x:c>
      <x:c r="F2543" s="48" t="n">
        <x:v>0.020646002961173526</x:v>
      </x:c>
      <x:c r="G2543" s="48" t="n">
        <x:v>-0.08562091241160145</x:v>
      </x:c>
      <x:c r="H2543" s="48" t="n">
        <x:v>0.3728849156592991</x:v>
      </x:c>
      <x:c r="I2543" s="48" t="n">
        <x:v>0.6072434360117012</x:v>
      </x:c>
      <x:c r="J2543" s="48" t="n">
        <x:v>0.4504262712411531</x:v>
      </x:c>
      <x:c r="K2543" s="48" t="n">
        <x:v>0.6979226260990535</x:v>
      </x:c>
      <x:c r="L2543" s="48" t="n">
        <x:v>0.7698898279492057</x:v>
      </x:c>
      <x:c r="M2543" s="48" t="n">
        <x:v>0.12286036347150303</x:v>
      </x:c>
      <x:c r="N2543" s="48" t="n">
        <x:v>0.6721717987572672</x:v>
      </x:c>
      <x:c r="O2543" s="48" t="n">
        <x:v>0.7670108357502544</x:v>
      </x:c>
      <x:c r="P2543" s="48" t="n">
        <x:v>0.5032106311978248</x:v>
      </x:c>
      <x:c r="Q2543" s="48" t="n">
        <x:v>0.9308258700049331</x:v>
      </x:c>
      <x:c r="R2543" s="48" t="n">
        <x:v>0.7128086974365004</x:v>
      </x:c>
      <x:c r="S2543" s="29" t="n">
        <x:v>0</x:v>
      </x:c>
    </x:row>
    <x:row r="2544" ht="21.600000381469727" hidden="0" customHeight="1">
      <x:c r="A2544" s="27" t="n">
        <x:v>847</x:v>
      </x:c>
      <x:c r="B2544" s="27" t="str">
        <x:v>A2</x:v>
      </x:c>
      <x:c r="C2544" s="47" t="n">
        <x:v>1.1460498972295083</x:v>
      </x:c>
      <x:c r="D2544" s="47" t="n">
        <x:v>0.7253144091265387</x:v>
      </x:c>
      <x:c r="E2544" s="47" t="n">
        <x:v>0.9140669997119713</x:v>
      </x:c>
      <x:c r="F2544" s="47" t="n">
        <x:v>0.020646002961173526</x:v>
      </x:c>
      <x:c r="G2544" s="47" t="n">
        <x:v>-0.08562091241160145</x:v>
      </x:c>
      <x:c r="H2544" s="47" t="n">
        <x:v>0.3728849156592991</x:v>
      </x:c>
      <x:c r="I2544" s="47" t="n">
        <x:v>0.6072434360117012</x:v>
      </x:c>
      <x:c r="J2544" s="47" t="n">
        <x:v>0.4504262712411531</x:v>
      </x:c>
      <x:c r="K2544" s="47" t="n">
        <x:v>0.6979226260990535</x:v>
      </x:c>
      <x:c r="L2544" s="47" t="n">
        <x:v>0.7698898279492057</x:v>
      </x:c>
      <x:c r="M2544" s="47" t="n">
        <x:v>0.12286036347150303</x:v>
      </x:c>
      <x:c r="N2544" s="47" t="n">
        <x:v>0.6721717987572672</x:v>
      </x:c>
      <x:c r="O2544" s="47" t="n">
        <x:v>0.855197797982445</x:v>
      </x:c>
      <x:c r="P2544" s="47" t="n">
        <x:v>0.4842880767025967</x:v>
      </x:c>
      <x:c r="Q2544" s="47" t="n">
        <x:v>1</x:v>
      </x:c>
      <x:c r="R2544" s="47" t="n">
        <x:v>0.8211920081490869</x:v>
      </x:c>
      <x:c r="S2544" s="27" t="n">
        <x:v>0</x:v>
      </x:c>
    </x:row>
    <x:row r="2545" ht="21.600000381469727" hidden="0" customHeight="1">
      <x:c r="A2545" s="29" t="n">
        <x:v>847</x:v>
      </x:c>
      <x:c r="B2545" s="29" t="str">
        <x:v>A3</x:v>
      </x:c>
      <x:c r="C2545" s="48" t="n">
        <x:v>1.1460498972295083</x:v>
      </x:c>
      <x:c r="D2545" s="48" t="n">
        <x:v>0.7253144091265387</x:v>
      </x:c>
      <x:c r="E2545" s="48" t="n">
        <x:v>0.9140669997119713</x:v>
      </x:c>
      <x:c r="F2545" s="48" t="n">
        <x:v>0.020646002961173526</x:v>
      </x:c>
      <x:c r="G2545" s="48" t="n">
        <x:v>-0.08562091241160145</x:v>
      </x:c>
      <x:c r="H2545" s="48" t="n">
        <x:v>0.3728849156592991</x:v>
      </x:c>
      <x:c r="I2545" s="48" t="n">
        <x:v>0.6072434360117012</x:v>
      </x:c>
      <x:c r="J2545" s="48" t="n">
        <x:v>0.4504262712411531</x:v>
      </x:c>
      <x:c r="K2545" s="48" t="n">
        <x:v>0.6979226260990535</x:v>
      </x:c>
      <x:c r="L2545" s="48" t="n">
        <x:v>0.7698898279492057</x:v>
      </x:c>
      <x:c r="M2545" s="48" t="n">
        <x:v>0.12286036347150303</x:v>
      </x:c>
      <x:c r="N2545" s="48" t="n">
        <x:v>0.6721717987572672</x:v>
      </x:c>
      <x:c r="O2545" s="48" t="n">
        <x:v>1</x:v>
      </x:c>
      <x:c r="P2545" s="48" t="n">
        <x:v>1</x:v>
      </x:c>
      <x:c r="Q2545" s="48" t="n">
        <x:v>1</x:v>
      </x:c>
      <x:c r="R2545" s="48" t="n">
        <x:v>1</x:v>
      </x:c>
      <x:c r="S2545" s="29" t="n">
        <x:v>1</x:v>
      </x:c>
    </x:row>
    <x:row r="2546" ht="21.600000381469727" hidden="0" customHeight="1">
      <x:c r="A2546" s="27" t="n">
        <x:v>848</x:v>
      </x:c>
      <x:c r="B2546" s="27" t="str">
        <x:v>A1</x:v>
      </x:c>
      <x:c r="C2546" s="47" t="n">
        <x:v>1.0545276924026918</x:v>
      </x:c>
      <x:c r="D2546" s="47" t="n">
        <x:v>0.959457855526054</x:v>
      </x:c>
      <x:c r="E2546" s="47" t="n">
        <x:v>0.5957046924584776</x:v>
      </x:c>
      <x:c r="F2546" s="47" t="n">
        <x:v>-0.15329032266206152</x:v>
      </x:c>
      <x:c r="G2546" s="47" t="n">
        <x:v>0.0008869883121558342</x:v>
      </x:c>
      <x:c r="H2546" s="47" t="n">
        <x:v>0.4766221807368177</x:v>
      </x:c>
      <x:c r="I2546" s="47" t="n">
        <x:v>0.7092648720213665</x:v>
      </x:c>
      <x:c r="J2546" s="47" t="n">
        <x:v>0.8146543220567333</x:v>
      </x:c>
      <x:c r="K2546" s="47" t="n">
        <x:v>0.8648845459592792</x:v>
      </x:c>
      <x:c r="L2546" s="47" t="n">
        <x:v>0.9167542954250021</x:v>
      </x:c>
      <x:c r="M2546" s="47" t="n">
        <x:v>0.11148340230943557</x:v>
      </x:c>
      <x:c r="N2546" s="47" t="n">
        <x:v>0.8028582688292043</x:v>
      </x:c>
      <x:c r="O2546" s="47" t="n">
        <x:v>0.9306713706145022</x:v>
      </x:c>
      <x:c r="P2546" s="47" t="n">
        <x:v>0.6644505716462658</x:v>
      </x:c>
      <x:c r="Q2546" s="47" t="n">
        <x:v>1</x:v>
      </x:c>
      <x:c r="R2546" s="47" t="n">
        <x:v>0.91439002428503</x:v>
      </x:c>
      <x:c r="S2546" s="27" t="n">
        <x:v>0</x:v>
      </x:c>
    </x:row>
    <x:row r="2547" ht="21.600000381469727" hidden="0" customHeight="1">
      <x:c r="A2547" s="29" t="n">
        <x:v>848</x:v>
      </x:c>
      <x:c r="B2547" s="29" t="str">
        <x:v>A2</x:v>
      </x:c>
      <x:c r="C2547" s="48" t="n">
        <x:v>1.0545276924026918</x:v>
      </x:c>
      <x:c r="D2547" s="48" t="n">
        <x:v>0.959457855526054</x:v>
      </x:c>
      <x:c r="E2547" s="48" t="n">
        <x:v>0.5957046924584776</x:v>
      </x:c>
      <x:c r="F2547" s="48" t="n">
        <x:v>-0.15329032266206152</x:v>
      </x:c>
      <x:c r="G2547" s="48" t="n">
        <x:v>0.0008869883121558342</x:v>
      </x:c>
      <x:c r="H2547" s="48" t="n">
        <x:v>0.4766221807368177</x:v>
      </x:c>
      <x:c r="I2547" s="48" t="n">
        <x:v>0.7092648720213665</x:v>
      </x:c>
      <x:c r="J2547" s="48" t="n">
        <x:v>0.8146543220567333</x:v>
      </x:c>
      <x:c r="K2547" s="48" t="n">
        <x:v>0.8648845459592792</x:v>
      </x:c>
      <x:c r="L2547" s="48" t="n">
        <x:v>0.9167542954250021</x:v>
      </x:c>
      <x:c r="M2547" s="48" t="n">
        <x:v>0.11148340230943557</x:v>
      </x:c>
      <x:c r="N2547" s="48" t="n">
        <x:v>0.8028582688292043</x:v>
      </x:c>
      <x:c r="O2547" s="48" t="n">
        <x:v>0.9959050893568031</x:v>
      </x:c>
      <x:c r="P2547" s="48" t="n">
        <x:v>0.9590508935680314</x:v>
      </x:c>
      <x:c r="Q2547" s="48" t="n">
        <x:v>1</x:v>
      </x:c>
      <x:c r="R2547" s="48" t="n">
        <x:v>0.994943428078323</x:v>
      </x:c>
      <x:c r="S2547" s="29" t="n">
        <x:v>1</x:v>
      </x:c>
    </x:row>
    <x:row r="2548" ht="21.600000381469727" hidden="0" customHeight="1">
      <x:c r="A2548" s="27" t="n">
        <x:v>848</x:v>
      </x:c>
      <x:c r="B2548" s="27" t="str">
        <x:v>A3</x:v>
      </x:c>
      <x:c r="C2548" s="47" t="n">
        <x:v>1.0545276924026918</x:v>
      </x:c>
      <x:c r="D2548" s="47" t="n">
        <x:v>0.959457855526054</x:v>
      </x:c>
      <x:c r="E2548" s="47" t="n">
        <x:v>0.5957046924584776</x:v>
      </x:c>
      <x:c r="F2548" s="47" t="n">
        <x:v>-0.15329032266206152</x:v>
      </x:c>
      <x:c r="G2548" s="47" t="n">
        <x:v>0.0008869883121558342</x:v>
      </x:c>
      <x:c r="H2548" s="47" t="n">
        <x:v>0.4766221807368177</x:v>
      </x:c>
      <x:c r="I2548" s="47" t="n">
        <x:v>0.7092648720213665</x:v>
      </x:c>
      <x:c r="J2548" s="47" t="n">
        <x:v>0.8146543220567333</x:v>
      </x:c>
      <x:c r="K2548" s="47" t="n">
        <x:v>0.8648845459592792</x:v>
      </x:c>
      <x:c r="L2548" s="47" t="n">
        <x:v>0.9167542954250021</x:v>
      </x:c>
      <x:c r="M2548" s="47" t="n">
        <x:v>0.11148340230943557</x:v>
      </x:c>
      <x:c r="N2548" s="47" t="n">
        <x:v>0.8028582688292043</x:v>
      </x:c>
      <x:c r="O2548" s="47" t="n">
        <x:v>1</x:v>
      </x:c>
      <x:c r="P2548" s="47" t="n">
        <x:v>1</x:v>
      </x:c>
      <x:c r="Q2548" s="47" t="n">
        <x:v>1</x:v>
      </x:c>
      <x:c r="R2548" s="47" t="n">
        <x:v>1</x:v>
      </x:c>
      <x:c r="S2548" s="27" t="n">
        <x:v>1</x:v>
      </x:c>
    </x:row>
    <x:row r="2549" ht="21.600000381469727" hidden="0" customHeight="1">
      <x:c r="A2549" s="29" t="n">
        <x:v>849</x:v>
      </x:c>
      <x:c r="B2549" s="29" t="str">
        <x:v>A1</x:v>
      </x:c>
      <x:c r="C2549" s="48" t="n">
        <x:v>0.9863059114306975</x:v>
      </x:c>
      <x:c r="D2549" s="48" t="n">
        <x:v>0.9299529884277105</x:v>
      </x:c>
      <x:c r="E2549" s="48" t="n">
        <x:v>1.0389587572577188</x:v>
      </x:c>
      <x:c r="F2549" s="48" t="n">
        <x:v>-0.13552486983126652</x:v>
      </x:c>
      <x:c r="G2549" s="48" t="n">
        <x:v>-0.10756512397101865</x:v>
      </x:c>
      <x:c r="H2549" s="48" t="n">
        <x:v>0.3316489890127141</x:v>
      </x:c>
      <x:c r="I2549" s="48" t="n">
        <x:v>0.8908485869801157</x:v>
      </x:c>
      <x:c r="J2549" s="48" t="n">
        <x:v>0.5673159554843714</x:v>
      </x:c>
      <x:c r="K2549" s="48" t="n">
        <x:v>0.6946375644419261</x:v>
      </x:c>
      <x:c r="L2549" s="48" t="n">
        <x:v>0.8696184826485481</x:v>
      </x:c>
      <x:c r="M2549" s="48" t="n">
        <x:v>0.14553799680250412</x:v>
      </x:c>
      <x:c r="N2549" s="48" t="n">
        <x:v>0.6738473263424055</x:v>
      </x:c>
      <x:c r="O2549" s="48" t="n">
        <x:v>0.9430881250958287</x:v>
      </x:c>
      <x:c r="P2549" s="48" t="n">
        <x:v>0.7440026264938742</x:v>
      </x:c>
      <x:c r="Q2549" s="48" t="n">
        <x:v>1</x:v>
      </x:c>
      <x:c r="R2549" s="48" t="n">
        <x:v>0.9297227671796626</x:v>
      </x:c>
      <x:c r="S2549" s="29" t="n">
        <x:v>0</x:v>
      </x:c>
    </x:row>
    <x:row r="2550" ht="21.600000381469727" hidden="0" customHeight="1">
      <x:c r="A2550" s="27" t="n">
        <x:v>849</x:v>
      </x:c>
      <x:c r="B2550" s="27" t="str">
        <x:v>A2</x:v>
      </x:c>
      <x:c r="C2550" s="47" t="n">
        <x:v>0.9863059114306975</x:v>
      </x:c>
      <x:c r="D2550" s="47" t="n">
        <x:v>0.9299529884277105</x:v>
      </x:c>
      <x:c r="E2550" s="47" t="n">
        <x:v>1.0389587572577188</x:v>
      </x:c>
      <x:c r="F2550" s="47" t="n">
        <x:v>-0.13552486983126652</x:v>
      </x:c>
      <x:c r="G2550" s="47" t="n">
        <x:v>-0.10756512397101865</x:v>
      </x:c>
      <x:c r="H2550" s="47" t="n">
        <x:v>0.3316489890127141</x:v>
      </x:c>
      <x:c r="I2550" s="47" t="n">
        <x:v>0.8908485869801157</x:v>
      </x:c>
      <x:c r="J2550" s="47" t="n">
        <x:v>0.5673159554843714</x:v>
      </x:c>
      <x:c r="K2550" s="47" t="n">
        <x:v>0.6946375644419261</x:v>
      </x:c>
      <x:c r="L2550" s="47" t="n">
        <x:v>0.8696184826485481</x:v>
      </x:c>
      <x:c r="M2550" s="47" t="n">
        <x:v>0.14553799680250412</x:v>
      </x:c>
      <x:c r="N2550" s="47" t="n">
        <x:v>0.6738473263424055</x:v>
      </x:c>
      <x:c r="O2550" s="47" t="n">
        <x:v>1</x:v>
      </x:c>
      <x:c r="P2550" s="47" t="n">
        <x:v>0.9999999999999998</x:v>
      </x:c>
      <x:c r="Q2550" s="47" t="n">
        <x:v>1</x:v>
      </x:c>
      <x:c r="R2550" s="47" t="n">
        <x:v>1</x:v>
      </x:c>
      <x:c r="S2550" s="27" t="n">
        <x:v>1</x:v>
      </x:c>
    </x:row>
    <x:row r="2551" ht="21.600000381469727" hidden="0" customHeight="1">
      <x:c r="A2551" s="29" t="n">
        <x:v>849</x:v>
      </x:c>
      <x:c r="B2551" s="29" t="str">
        <x:v>A3</x:v>
      </x:c>
      <x:c r="C2551" s="48" t="n">
        <x:v>0.9863059114306975</x:v>
      </x:c>
      <x:c r="D2551" s="48" t="n">
        <x:v>0.9299529884277105</x:v>
      </x:c>
      <x:c r="E2551" s="48" t="n">
        <x:v>1.0389587572577188</x:v>
      </x:c>
      <x:c r="F2551" s="48" t="n">
        <x:v>-0.13552486983126652</x:v>
      </x:c>
      <x:c r="G2551" s="48" t="n">
        <x:v>-0.10756512397101865</x:v>
      </x:c>
      <x:c r="H2551" s="48" t="n">
        <x:v>0.3316489890127141</x:v>
      </x:c>
      <x:c r="I2551" s="48" t="n">
        <x:v>0.8908485869801157</x:v>
      </x:c>
      <x:c r="J2551" s="48" t="n">
        <x:v>0.5673159554843714</x:v>
      </x:c>
      <x:c r="K2551" s="48" t="n">
        <x:v>0.6946375644419261</x:v>
      </x:c>
      <x:c r="L2551" s="48" t="n">
        <x:v>0.8696184826485481</x:v>
      </x:c>
      <x:c r="M2551" s="48" t="n">
        <x:v>0.14553799680250412</x:v>
      </x:c>
      <x:c r="N2551" s="48" t="n">
        <x:v>0.6738473263424055</x:v>
      </x:c>
      <x:c r="O2551" s="48" t="n">
        <x:v>1</x:v>
      </x:c>
      <x:c r="P2551" s="48" t="n">
        <x:v>1</x:v>
      </x:c>
      <x:c r="Q2551" s="48" t="n">
        <x:v>1</x:v>
      </x:c>
      <x:c r="R2551" s="48" t="n">
        <x:v>1</x:v>
      </x:c>
      <x:c r="S2551" s="29" t="n">
        <x:v>1</x:v>
      </x:c>
    </x:row>
    <x:row r="2552" ht="21.600000381469727" hidden="0" customHeight="1">
      <x:c r="A2552" s="27" t="n">
        <x:v>850</x:v>
      </x:c>
      <x:c r="B2552" s="27" t="str">
        <x:v>A1</x:v>
      </x:c>
      <x:c r="C2552" s="47" t="n">
        <x:v>1.1518652964219478</x:v>
      </x:c>
      <x:c r="D2552" s="47" t="n">
        <x:v>0.7335987574658167</x:v>
      </x:c>
      <x:c r="E2552" s="47" t="n">
        <x:v>0.8124269945557142</x:v>
      </x:c>
      <x:c r="F2552" s="47" t="n">
        <x:v>-0.15903553494057235</x:v>
      </x:c>
      <x:c r="G2552" s="47" t="n">
        <x:v>-0.06464015496715395</x:v>
      </x:c>
      <x:c r="H2552" s="47" t="n">
        <x:v>1.0457419690862872</x:v>
      </x:c>
      <x:c r="I2552" s="47" t="n">
        <x:v>0.8530290209979637</x:v>
      </x:c>
      <x:c r="J2552" s="47" t="n">
        <x:v>0.995487921100983</x:v>
      </x:c>
      <x:c r="K2552" s="47" t="n">
        <x:v>0.5921004983607272</x:v>
      </x:c>
      <x:c r="L2552" s="47" t="n">
        <x:v>0.802556457536562</x:v>
      </x:c>
      <x:c r="M2552" s="47" t="n">
        <x:v>0.03904309022886964</x:v>
      </x:c>
      <x:c r="N2552" s="47" t="n">
        <x:v>0.8043314050494689</x:v>
      </x:c>
      <x:c r="O2552" s="47" t="n">
        <x:v>0.761735045528175</x:v>
      </x:c>
      <x:c r="P2552" s="47" t="n">
        <x:v>0.4452793422536234</x:v>
      </x:c>
      <x:c r="Q2552" s="47" t="n">
        <x:v>0.9437667675074763</x:v>
      </x:c>
      <x:c r="R2552" s="47" t="n">
        <x:v>0.7064608140401218</x:v>
      </x:c>
      <x:c r="S2552" s="27" t="n">
        <x:v>0</x:v>
      </x:c>
    </x:row>
    <x:row r="2553" ht="21.600000381469727" hidden="0" customHeight="1">
      <x:c r="A2553" s="29" t="n">
        <x:v>850</x:v>
      </x:c>
      <x:c r="B2553" s="29" t="str">
        <x:v>A2</x:v>
      </x:c>
      <x:c r="C2553" s="48" t="n">
        <x:v>1.1518652964219478</x:v>
      </x:c>
      <x:c r="D2553" s="48" t="n">
        <x:v>0.7335987574658167</x:v>
      </x:c>
      <x:c r="E2553" s="48" t="n">
        <x:v>0.8124269945557142</x:v>
      </x:c>
      <x:c r="F2553" s="48" t="n">
        <x:v>-0.15903553494057235</x:v>
      </x:c>
      <x:c r="G2553" s="48" t="n">
        <x:v>-0.06464015496715395</x:v>
      </x:c>
      <x:c r="H2553" s="48" t="n">
        <x:v>1.0457419690862872</x:v>
      </x:c>
      <x:c r="I2553" s="48" t="n">
        <x:v>0.8530290209979637</x:v>
      </x:c>
      <x:c r="J2553" s="48" t="n">
        <x:v>0.995487921100983</x:v>
      </x:c>
      <x:c r="K2553" s="48" t="n">
        <x:v>0.5921004983607272</x:v>
      </x:c>
      <x:c r="L2553" s="48" t="n">
        <x:v>0.802556457536562</x:v>
      </x:c>
      <x:c r="M2553" s="48" t="n">
        <x:v>0.03904309022886964</x:v>
      </x:c>
      <x:c r="N2553" s="48" t="n">
        <x:v>0.8043314050494689</x:v>
      </x:c>
      <x:c r="O2553" s="48" t="n">
        <x:v>0.8410728504585535</x:v>
      </x:c>
      <x:c r="P2553" s="48" t="n">
        <x:v>0.4757149427976935</x:v>
      </x:c>
      <x:c r="Q2553" s="48" t="n">
        <x:v>1</x:v>
      </x:c>
      <x:c r="R2553" s="48" t="n">
        <x:v>0.8037499149588164</x:v>
      </x:c>
      <x:c r="S2553" s="29" t="n">
        <x:v>0</x:v>
      </x:c>
    </x:row>
    <x:row r="2554" ht="21.600000381469727" hidden="0" customHeight="1">
      <x:c r="A2554" s="27" t="n">
        <x:v>850</x:v>
      </x:c>
      <x:c r="B2554" s="27" t="str">
        <x:v>A3</x:v>
      </x:c>
      <x:c r="C2554" s="47" t="n">
        <x:v>1.1518652964219478</x:v>
      </x:c>
      <x:c r="D2554" s="47" t="n">
        <x:v>0.7335987574658167</x:v>
      </x:c>
      <x:c r="E2554" s="47" t="n">
        <x:v>0.8124269945557142</x:v>
      </x:c>
      <x:c r="F2554" s="47" t="n">
        <x:v>-0.15903553494057235</x:v>
      </x:c>
      <x:c r="G2554" s="47" t="n">
        <x:v>-0.06464015496715395</x:v>
      </x:c>
      <x:c r="H2554" s="47" t="n">
        <x:v>1.0457419690862872</x:v>
      </x:c>
      <x:c r="I2554" s="47" t="n">
        <x:v>0.8530290209979637</x:v>
      </x:c>
      <x:c r="J2554" s="47" t="n">
        <x:v>0.995487921100983</x:v>
      </x:c>
      <x:c r="K2554" s="47" t="n">
        <x:v>0.5921004983607272</x:v>
      </x:c>
      <x:c r="L2554" s="47" t="n">
        <x:v>0.802556457536562</x:v>
      </x:c>
      <x:c r="M2554" s="47" t="n">
        <x:v>0.03904309022886964</x:v>
      </x:c>
      <x:c r="N2554" s="47" t="n">
        <x:v>0.8043314050494689</x:v>
      </x:c>
      <x:c r="O2554" s="47" t="n">
        <x:v>1</x:v>
      </x:c>
      <x:c r="P2554" s="47" t="n">
        <x:v>1</x:v>
      </x:c>
      <x:c r="Q2554" s="47" t="n">
        <x:v>1</x:v>
      </x:c>
      <x:c r="R2554" s="47" t="n">
        <x:v>1</x:v>
      </x:c>
      <x:c r="S2554" s="27" t="n">
        <x:v>1</x:v>
      </x:c>
    </x:row>
    <x:row r="2555" ht="21.600000381469727" hidden="0" customHeight="1">
      <x:c r="A2555" s="29" t="n">
        <x:v>851</x:v>
      </x:c>
      <x:c r="B2555" s="29" t="str">
        <x:v>A1</x:v>
      </x:c>
      <x:c r="C2555" s="48" t="n">
        <x:v>1.0183496366293212</x:v>
      </x:c>
      <x:c r="D2555" s="48" t="n">
        <x:v>0.9123498157289744</x:v>
      </x:c>
      <x:c r="E2555" s="48" t="n">
        <x:v>0.6468652358738969</x:v>
      </x:c>
      <x:c r="F2555" s="48" t="n">
        <x:v>-0.13500017017289517</x:v>
      </x:c>
      <x:c r="G2555" s="48" t="n">
        <x:v>-0.18789614117277983</x:v>
      </x:c>
      <x:c r="H2555" s="48" t="n">
        <x:v>0.49457303462533253</x:v>
      </x:c>
      <x:c r="I2555" s="48" t="n">
        <x:v>0.7595340970913829</x:v>
      </x:c>
      <x:c r="J2555" s="48" t="n">
        <x:v>0.776093295354829</x:v>
      </x:c>
      <x:c r="K2555" s="48" t="n">
        <x:v>0.6702500315202445</x:v>
      </x:c>
      <x:c r="L2555" s="48" t="n">
        <x:v>0.9488449083672806</x:v>
      </x:c>
      <x:c r="M2555" s="48" t="n">
        <x:v>0.043232488662079314</x:v>
      </x:c>
      <x:c r="N2555" s="48" t="n">
        <x:v>0.803074657226804</x:v>
      </x:c>
      <x:c r="O2555" s="48" t="n">
        <x:v>0.9136807576766669</x:v>
      </x:c>
      <x:c r="P2555" s="48" t="n">
        <x:v>0.649602978517273</x:v>
      </x:c>
      <x:c r="Q2555" s="48" t="n">
        <x:v>1</x:v>
      </x:c>
      <x:c r="R2555" s="48" t="n">
        <x:v>0.8934092840932328</x:v>
      </x:c>
      <x:c r="S2555" s="29" t="n">
        <x:v>0</x:v>
      </x:c>
    </x:row>
    <x:row r="2556" ht="21.600000381469727" hidden="0" customHeight="1">
      <x:c r="A2556" s="27" t="n">
        <x:v>851</x:v>
      </x:c>
      <x:c r="B2556" s="27" t="str">
        <x:v>A2</x:v>
      </x:c>
      <x:c r="C2556" s="47" t="n">
        <x:v>1.0183496366293212</x:v>
      </x:c>
      <x:c r="D2556" s="47" t="n">
        <x:v>0.9123498157289744</x:v>
      </x:c>
      <x:c r="E2556" s="47" t="n">
        <x:v>0.6468652358738969</x:v>
      </x:c>
      <x:c r="F2556" s="47" t="n">
        <x:v>-0.13500017017289517</x:v>
      </x:c>
      <x:c r="G2556" s="47" t="n">
        <x:v>-0.18789614117277983</x:v>
      </x:c>
      <x:c r="H2556" s="47" t="n">
        <x:v>0.49457303462533253</x:v>
      </x:c>
      <x:c r="I2556" s="47" t="n">
        <x:v>0.7595340970913829</x:v>
      </x:c>
      <x:c r="J2556" s="47" t="n">
        <x:v>0.776093295354829</x:v>
      </x:c>
      <x:c r="K2556" s="47" t="n">
        <x:v>0.6702500315202445</x:v>
      </x:c>
      <x:c r="L2556" s="47" t="n">
        <x:v>0.9488449083672806</x:v>
      </x:c>
      <x:c r="M2556" s="47" t="n">
        <x:v>0.043232488662079314</x:v>
      </x:c>
      <x:c r="N2556" s="47" t="n">
        <x:v>0.803074657226804</x:v>
      </x:c>
      <x:c r="O2556" s="47" t="n">
        <x:v>0.9630899238765805</x:v>
      </x:c>
      <x:c r="P2556" s="47" t="n">
        <x:v>0.7621906833062652</x:v>
      </x:c>
      <x:c r="Q2556" s="47" t="n">
        <x:v>1</x:v>
      </x:c>
      <x:c r="R2556" s="47" t="n">
        <x:v>0.954421849262397</x:v>
      </x:c>
      <x:c r="S2556" s="27" t="n">
        <x:v>0</x:v>
      </x:c>
    </x:row>
    <x:row r="2557" ht="21.600000381469727" hidden="0" customHeight="1">
      <x:c r="A2557" s="29" t="n">
        <x:v>851</x:v>
      </x:c>
      <x:c r="B2557" s="29" t="str">
        <x:v>A3</x:v>
      </x:c>
      <x:c r="C2557" s="48" t="n">
        <x:v>1.0183496366293212</x:v>
      </x:c>
      <x:c r="D2557" s="48" t="n">
        <x:v>0.9123498157289744</x:v>
      </x:c>
      <x:c r="E2557" s="48" t="n">
        <x:v>0.6468652358738969</x:v>
      </x:c>
      <x:c r="F2557" s="48" t="n">
        <x:v>-0.13500017017289517</x:v>
      </x:c>
      <x:c r="G2557" s="48" t="n">
        <x:v>-0.18789614117277983</x:v>
      </x:c>
      <x:c r="H2557" s="48" t="n">
        <x:v>0.49457303462533253</x:v>
      </x:c>
      <x:c r="I2557" s="48" t="n">
        <x:v>0.7595340970913829</x:v>
      </x:c>
      <x:c r="J2557" s="48" t="n">
        <x:v>0.776093295354829</x:v>
      </x:c>
      <x:c r="K2557" s="48" t="n">
        <x:v>0.6702500315202445</x:v>
      </x:c>
      <x:c r="L2557" s="48" t="n">
        <x:v>0.9488449083672806</x:v>
      </x:c>
      <x:c r="M2557" s="48" t="n">
        <x:v>0.043232488662079314</x:v>
      </x:c>
      <x:c r="N2557" s="48" t="n">
        <x:v>0.803074657226804</x:v>
      </x:c>
      <x:c r="O2557" s="48" t="n">
        <x:v>1</x:v>
      </x:c>
      <x:c r="P2557" s="48" t="n">
        <x:v>1</x:v>
      </x:c>
      <x:c r="Q2557" s="48" t="n">
        <x:v>1</x:v>
      </x:c>
      <x:c r="R2557" s="48" t="n">
        <x:v>1</x:v>
      </x:c>
      <x:c r="S2557" s="29" t="n">
        <x:v>1</x:v>
      </x:c>
    </x:row>
    <x:row r="2558" ht="21.600000381469727" hidden="0" customHeight="1">
      <x:c r="A2558" s="27" t="n">
        <x:v>852</x:v>
      </x:c>
      <x:c r="B2558" s="27" t="str">
        <x:v>A1</x:v>
      </x:c>
      <x:c r="C2558" s="47" t="n">
        <x:v>1.0926080342712428</x:v>
      </x:c>
      <x:c r="D2558" s="47" t="n">
        <x:v>0.7373399551000098</x:v>
      </x:c>
      <x:c r="E2558" s="47" t="n">
        <x:v>0.5811787810700002</x:v>
      </x:c>
      <x:c r="F2558" s="47" t="n">
        <x:v>-0.1948875503681441</x:v>
      </x:c>
      <x:c r="G2558" s="47" t="n">
        <x:v>-0.1758193679178407</x:v>
      </x:c>
      <x:c r="H2558" s="47" t="n">
        <x:v>0.33439696168160804</x:v>
      </x:c>
      <x:c r="I2558" s="47" t="n">
        <x:v>0.6612049180931238</x:v>
      </x:c>
      <x:c r="J2558" s="47" t="n">
        <x:v>0.7320443211265639</x:v>
      </x:c>
      <x:c r="K2558" s="47" t="n">
        <x:v>0.597799561228398</x:v>
      </x:c>
      <x:c r="L2558" s="47" t="n">
        <x:v>0.6804923052913933</x:v>
      </x:c>
      <x:c r="M2558" s="47" t="n">
        <x:v>0.17427654907350107</x:v>
      </x:c>
      <x:c r="N2558" s="47" t="n">
        <x:v>0.7242071399426131</x:v>
      </x:c>
      <x:c r="O2558" s="47" t="n">
        <x:v>0.762969851901371</x:v>
      </x:c>
      <x:c r="P2558" s="47" t="n">
        <x:v>0.4617161805974745</x:v>
      </x:c>
      <x:c r="Q2558" s="47" t="n">
        <x:v>0.9723945983742356</x:v>
      </x:c>
      <x:c r="R2558" s="47" t="n">
        <x:v>0.710610019549704</x:v>
      </x:c>
      <x:c r="S2558" s="27" t="n">
        <x:v>0</x:v>
      </x:c>
    </x:row>
    <x:row r="2559" ht="21.600000381469727" hidden="0" customHeight="1">
      <x:c r="A2559" s="29" t="n">
        <x:v>852</x:v>
      </x:c>
      <x:c r="B2559" s="29" t="str">
        <x:v>A2</x:v>
      </x:c>
      <x:c r="C2559" s="48" t="n">
        <x:v>1.0926080342712428</x:v>
      </x:c>
      <x:c r="D2559" s="48" t="n">
        <x:v>0.7373399551000098</x:v>
      </x:c>
      <x:c r="E2559" s="48" t="n">
        <x:v>0.5811787810700002</x:v>
      </x:c>
      <x:c r="F2559" s="48" t="n">
        <x:v>-0.1948875503681441</x:v>
      </x:c>
      <x:c r="G2559" s="48" t="n">
        <x:v>-0.1758193679178407</x:v>
      </x:c>
      <x:c r="H2559" s="48" t="n">
        <x:v>0.33439696168160804</x:v>
      </x:c>
      <x:c r="I2559" s="48" t="n">
        <x:v>0.6612049180931238</x:v>
      </x:c>
      <x:c r="J2559" s="48" t="n">
        <x:v>0.7320443211265639</x:v>
      </x:c>
      <x:c r="K2559" s="48" t="n">
        <x:v>0.597799561228398</x:v>
      </x:c>
      <x:c r="L2559" s="48" t="n">
        <x:v>0.6804923052913933</x:v>
      </x:c>
      <x:c r="M2559" s="48" t="n">
        <x:v>0.17427654907350107</x:v>
      </x:c>
      <x:c r="N2559" s="48" t="n">
        <x:v>0.7242071399426131</x:v>
      </x:c>
      <x:c r="O2559" s="48" t="n">
        <x:v>0.8318643704560383</x:v>
      </x:c>
      <x:c r="P2559" s="48" t="n">
        <x:v>0.4611420872160226</x:v>
      </x:c>
      <x:c r="Q2559" s="48" t="n">
        <x:v>1</x:v>
      </x:c>
      <x:c r="R2559" s="48" t="n">
        <x:v>0.792378887486117</x:v>
      </x:c>
      <x:c r="S2559" s="29" t="n">
        <x:v>0</x:v>
      </x:c>
    </x:row>
    <x:row r="2560" ht="21.600000381469727" hidden="0" customHeight="1">
      <x:c r="A2560" s="27" t="n">
        <x:v>852</x:v>
      </x:c>
      <x:c r="B2560" s="27" t="str">
        <x:v>A3</x:v>
      </x:c>
      <x:c r="C2560" s="47" t="n">
        <x:v>1.0926080342712428</x:v>
      </x:c>
      <x:c r="D2560" s="47" t="n">
        <x:v>0.7373399551000098</x:v>
      </x:c>
      <x:c r="E2560" s="47" t="n">
        <x:v>0.5811787810700002</x:v>
      </x:c>
      <x:c r="F2560" s="47" t="n">
        <x:v>-0.1948875503681441</x:v>
      </x:c>
      <x:c r="G2560" s="47" t="n">
        <x:v>-0.1758193679178407</x:v>
      </x:c>
      <x:c r="H2560" s="47" t="n">
        <x:v>0.33439696168160804</x:v>
      </x:c>
      <x:c r="I2560" s="47" t="n">
        <x:v>0.6612049180931238</x:v>
      </x:c>
      <x:c r="J2560" s="47" t="n">
        <x:v>0.7320443211265639</x:v>
      </x:c>
      <x:c r="K2560" s="47" t="n">
        <x:v>0.597799561228398</x:v>
      </x:c>
      <x:c r="L2560" s="47" t="n">
        <x:v>0.6804923052913933</x:v>
      </x:c>
      <x:c r="M2560" s="47" t="n">
        <x:v>0.17427654907350107</x:v>
      </x:c>
      <x:c r="N2560" s="47" t="n">
        <x:v>0.7242071399426131</x:v>
      </x:c>
      <x:c r="O2560" s="47" t="n">
        <x:v>1</x:v>
      </x:c>
      <x:c r="P2560" s="47" t="n">
        <x:v>1</x:v>
      </x:c>
      <x:c r="Q2560" s="47" t="n">
        <x:v>1</x:v>
      </x:c>
      <x:c r="R2560" s="47" t="n">
        <x:v>1</x:v>
      </x:c>
      <x:c r="S2560" s="27" t="n">
        <x:v>1</x:v>
      </x:c>
    </x:row>
    <x:row r="2561" ht="21.600000381469727" hidden="0" customHeight="1">
      <x:c r="A2561" s="29" t="n">
        <x:v>853</x:v>
      </x:c>
      <x:c r="B2561" s="29" t="str">
        <x:v>A1</x:v>
      </x:c>
      <x:c r="C2561" s="48" t="n">
        <x:v>1.163196036973067</x:v>
      </x:c>
      <x:c r="D2561" s="48" t="n">
        <x:v>0.754799311005507</x:v>
      </x:c>
      <x:c r="E2561" s="48" t="n">
        <x:v>0.9797846482922008</x:v>
      </x:c>
      <x:c r="F2561" s="48" t="n">
        <x:v>-0.1713743709014173</x:v>
      </x:c>
      <x:c r="G2561" s="48" t="n">
        <x:v>-0.12251576759515519</x:v>
      </x:c>
      <x:c r="H2561" s="48" t="n">
        <x:v>1.0766020190042493</x:v>
      </x:c>
      <x:c r="I2561" s="48" t="n">
        <x:v>0.6485151581176498</x:v>
      </x:c>
      <x:c r="J2561" s="48" t="n">
        <x:v>0.43873195667862397</x:v>
      </x:c>
      <x:c r="K2561" s="48" t="n">
        <x:v>0.6521712529495467</x:v>
      </x:c>
      <x:c r="L2561" s="48" t="n">
        <x:v>0.803644534972376</x:v>
      </x:c>
      <x:c r="M2561" s="48" t="n">
        <x:v>0.17994031729120463</x:v>
      </x:c>
      <x:c r="N2561" s="48" t="n">
        <x:v>0.72974278866358</x:v>
      </x:c>
      <x:c r="O2561" s="48" t="n">
        <x:v>0.8050646684117372</x:v>
      </x:c>
      <x:c r="P2561" s="48" t="n">
        <x:v>0.5368502372688838</x:v>
      </x:c>
      <x:c r="Q2561" s="48" t="n">
        <x:v>1</x:v>
      </x:c>
      <x:c r="R2561" s="48" t="n">
        <x:v>0.7592854618477184</x:v>
      </x:c>
      <x:c r="S2561" s="29" t="n">
        <x:v>0</x:v>
      </x:c>
    </x:row>
    <x:row r="2562" ht="21.600000381469727" hidden="0" customHeight="1">
      <x:c r="A2562" s="27" t="n">
        <x:v>853</x:v>
      </x:c>
      <x:c r="B2562" s="27" t="str">
        <x:v>A2</x:v>
      </x:c>
      <x:c r="C2562" s="47" t="n">
        <x:v>1.163196036973067</x:v>
      </x:c>
      <x:c r="D2562" s="47" t="n">
        <x:v>0.754799311005507</x:v>
      </x:c>
      <x:c r="E2562" s="47" t="n">
        <x:v>0.9797846482922008</x:v>
      </x:c>
      <x:c r="F2562" s="47" t="n">
        <x:v>-0.1713743709014173</x:v>
      </x:c>
      <x:c r="G2562" s="47" t="n">
        <x:v>-0.12251576759515519</x:v>
      </x:c>
      <x:c r="H2562" s="47" t="n">
        <x:v>1.0766020190042493</x:v>
      </x:c>
      <x:c r="I2562" s="47" t="n">
        <x:v>0.6485151581176498</x:v>
      </x:c>
      <x:c r="J2562" s="47" t="n">
        <x:v>0.43873195667862397</x:v>
      </x:c>
      <x:c r="K2562" s="47" t="n">
        <x:v>0.6521712529495467</x:v>
      </x:c>
      <x:c r="L2562" s="47" t="n">
        <x:v>0.803644534972376</x:v>
      </x:c>
      <x:c r="M2562" s="47" t="n">
        <x:v>0.17994031729120463</x:v>
      </x:c>
      <x:c r="N2562" s="47" t="n">
        <x:v>0.72974278866358</x:v>
      </x:c>
      <x:c r="O2562" s="47" t="n">
        <x:v>0.8690801166616211</x:v>
      </x:c>
      <x:c r="P2562" s="47" t="n">
        <x:v>0.5606041937060555</x:v>
      </x:c>
      <x:c r="Q2562" s="47" t="n">
        <x:v>1</x:v>
      </x:c>
      <x:c r="R2562" s="47" t="n">
        <x:v>0.838334492798298</x:v>
      </x:c>
      <x:c r="S2562" s="27" t="n">
        <x:v>0</x:v>
      </x:c>
    </x:row>
    <x:row r="2563" ht="21.600000381469727" hidden="0" customHeight="1">
      <x:c r="A2563" s="29" t="n">
        <x:v>853</x:v>
      </x:c>
      <x:c r="B2563" s="29" t="str">
        <x:v>A3</x:v>
      </x:c>
      <x:c r="C2563" s="48" t="n">
        <x:v>1.163196036973067</x:v>
      </x:c>
      <x:c r="D2563" s="48" t="n">
        <x:v>0.754799311005507</x:v>
      </x:c>
      <x:c r="E2563" s="48" t="n">
        <x:v>0.9797846482922008</x:v>
      </x:c>
      <x:c r="F2563" s="48" t="n">
        <x:v>-0.1713743709014173</x:v>
      </x:c>
      <x:c r="G2563" s="48" t="n">
        <x:v>-0.12251576759515519</x:v>
      </x:c>
      <x:c r="H2563" s="48" t="n">
        <x:v>1.0766020190042493</x:v>
      </x:c>
      <x:c r="I2563" s="48" t="n">
        <x:v>0.6485151581176498</x:v>
      </x:c>
      <x:c r="J2563" s="48" t="n">
        <x:v>0.43873195667862397</x:v>
      </x:c>
      <x:c r="K2563" s="48" t="n">
        <x:v>0.6521712529495467</x:v>
      </x:c>
      <x:c r="L2563" s="48" t="n">
        <x:v>0.803644534972376</x:v>
      </x:c>
      <x:c r="M2563" s="48" t="n">
        <x:v>0.17994031729120463</x:v>
      </x:c>
      <x:c r="N2563" s="48" t="n">
        <x:v>0.72974278866358</x:v>
      </x:c>
      <x:c r="O2563" s="48" t="n">
        <x:v>1.0000000000000002</x:v>
      </x:c>
      <x:c r="P2563" s="48" t="n">
        <x:v>1</x:v>
      </x:c>
      <x:c r="Q2563" s="48" t="n">
        <x:v>1</x:v>
      </x:c>
      <x:c r="R2563" s="48" t="n">
        <x:v>1</x:v>
      </x:c>
      <x:c r="S2563" s="29" t="n">
        <x:v>1</x:v>
      </x:c>
    </x:row>
    <x:row r="2564" ht="21.600000381469727" hidden="0" customHeight="1">
      <x:c r="A2564" s="27" t="n">
        <x:v>854</x:v>
      </x:c>
      <x:c r="B2564" s="27" t="str">
        <x:v>A1</x:v>
      </x:c>
      <x:c r="C2564" s="47" t="n">
        <x:v>1.2548117189834416</x:v>
      </x:c>
      <x:c r="D2564" s="47" t="n">
        <x:v>0.987451130210538</x:v>
      </x:c>
      <x:c r="E2564" s="47" t="n">
        <x:v>0.8594101334695499</x:v>
      </x:c>
      <x:c r="F2564" s="47" t="n">
        <x:v>-0.10287786367062184</x:v>
      </x:c>
      <x:c r="G2564" s="47" t="n">
        <x:v>-0.04154232323719326</x:v>
      </x:c>
      <x:c r="H2564" s="47" t="n">
        <x:v>0.8695542871378814</x:v>
      </x:c>
      <x:c r="I2564" s="47" t="n">
        <x:v>0.8187301515210439</x:v>
      </x:c>
      <x:c r="J2564" s="47" t="n">
        <x:v>0.7733949207117606</x:v>
      </x:c>
      <x:c r="K2564" s="47" t="n">
        <x:v>0.8471382949190464</x:v>
      </x:c>
      <x:c r="L2564" s="47" t="n">
        <x:v>0.5467835460912487</x:v>
      </x:c>
      <x:c r="M2564" s="47" t="n">
        <x:v>0.08339804613916403</x:v>
      </x:c>
      <x:c r="N2564" s="47" t="n">
        <x:v>0.9123797716746228</x:v>
      </x:c>
      <x:c r="O2564" s="47" t="n">
        <x:v>0.8773598308444828</x:v>
      </x:c>
      <x:c r="P2564" s="47" t="n">
        <x:v>0.5890760167351216</x:v>
      </x:c>
      <x:c r="Q2564" s="47" t="n">
        <x:v>1</x:v>
      </x:c>
      <x:c r="R2564" s="47" t="n">
        <x:v>0.8485586402595193</x:v>
      </x:c>
      <x:c r="S2564" s="27" t="n">
        <x:v>0</x:v>
      </x:c>
    </x:row>
    <x:row r="2565" ht="21.600000381469727" hidden="0" customHeight="1">
      <x:c r="A2565" s="29" t="n">
        <x:v>854</x:v>
      </x:c>
      <x:c r="B2565" s="29" t="str">
        <x:v>A2</x:v>
      </x:c>
      <x:c r="C2565" s="48" t="n">
        <x:v>1.2548117189834416</x:v>
      </x:c>
      <x:c r="D2565" s="48" t="n">
        <x:v>0.987451130210538</x:v>
      </x:c>
      <x:c r="E2565" s="48" t="n">
        <x:v>0.8594101334695499</x:v>
      </x:c>
      <x:c r="F2565" s="48" t="n">
        <x:v>-0.10287786367062184</x:v>
      </x:c>
      <x:c r="G2565" s="48" t="n">
        <x:v>-0.04154232323719326</x:v>
      </x:c>
      <x:c r="H2565" s="48" t="n">
        <x:v>0.8695542871378814</x:v>
      </x:c>
      <x:c r="I2565" s="48" t="n">
        <x:v>0.8187301515210439</x:v>
      </x:c>
      <x:c r="J2565" s="48" t="n">
        <x:v>0.7733949207117606</x:v>
      </x:c>
      <x:c r="K2565" s="48" t="n">
        <x:v>0.8471382949190464</x:v>
      </x:c>
      <x:c r="L2565" s="48" t="n">
        <x:v>0.5467835460912487</x:v>
      </x:c>
      <x:c r="M2565" s="48" t="n">
        <x:v>0.08339804613916403</x:v>
      </x:c>
      <x:c r="N2565" s="48" t="n">
        <x:v>0.9123797716746228</x:v>
      </x:c>
      <x:c r="O2565" s="48" t="n">
        <x:v>0.9312361700532049</x:v>
      </x:c>
      <x:c r="P2565" s="48" t="n">
        <x:v>0.637106831186868</x:v>
      </x:c>
      <x:c r="Q2565" s="48" t="n">
        <x:v>1</x:v>
      </x:c>
      <x:c r="R2565" s="48" t="n">
        <x:v>0.9150874629429083</x:v>
      </x:c>
      <x:c r="S2565" s="29" t="n">
        <x:v>0</x:v>
      </x:c>
    </x:row>
    <x:row r="2566" ht="21.600000381469727" hidden="0" customHeight="1">
      <x:c r="A2566" s="27" t="n">
        <x:v>854</x:v>
      </x:c>
      <x:c r="B2566" s="27" t="str">
        <x:v>A3</x:v>
      </x:c>
      <x:c r="C2566" s="47" t="n">
        <x:v>1.2548117189834416</x:v>
      </x:c>
      <x:c r="D2566" s="47" t="n">
        <x:v>0.987451130210538</x:v>
      </x:c>
      <x:c r="E2566" s="47" t="n">
        <x:v>0.8594101334695499</x:v>
      </x:c>
      <x:c r="F2566" s="47" t="n">
        <x:v>-0.10287786367062184</x:v>
      </x:c>
      <x:c r="G2566" s="47" t="n">
        <x:v>-0.04154232323719326</x:v>
      </x:c>
      <x:c r="H2566" s="47" t="n">
        <x:v>0.8695542871378814</x:v>
      </x:c>
      <x:c r="I2566" s="47" t="n">
        <x:v>0.8187301515210439</x:v>
      </x:c>
      <x:c r="J2566" s="47" t="n">
        <x:v>0.7733949207117606</x:v>
      </x:c>
      <x:c r="K2566" s="47" t="n">
        <x:v>0.8471382949190464</x:v>
      </x:c>
      <x:c r="L2566" s="47" t="n">
        <x:v>0.5467835460912487</x:v>
      </x:c>
      <x:c r="M2566" s="47" t="n">
        <x:v>0.08339804613916403</x:v>
      </x:c>
      <x:c r="N2566" s="47" t="n">
        <x:v>0.9123797716746228</x:v>
      </x:c>
      <x:c r="O2566" s="47" t="n">
        <x:v>1</x:v>
      </x:c>
      <x:c r="P2566" s="47" t="n">
        <x:v>1</x:v>
      </x:c>
      <x:c r="Q2566" s="47" t="n">
        <x:v>1</x:v>
      </x:c>
      <x:c r="R2566" s="47" t="n">
        <x:v>1</x:v>
      </x:c>
      <x:c r="S2566" s="27" t="n">
        <x:v>1</x:v>
      </x:c>
    </x:row>
    <x:row r="2567" ht="21.600000381469727" hidden="0" customHeight="1">
      <x:c r="A2567" s="29" t="n">
        <x:v>855</x:v>
      </x:c>
      <x:c r="B2567" s="29" t="str">
        <x:v>A1</x:v>
      </x:c>
      <x:c r="C2567" s="48" t="n">
        <x:v>0.9224906046747592</x:v>
      </x:c>
      <x:c r="D2567" s="48" t="n">
        <x:v>0.7889847642967035</x:v>
      </x:c>
      <x:c r="E2567" s="48" t="n">
        <x:v>1.0721142139419446</x:v>
      </x:c>
      <x:c r="F2567" s="48" t="n">
        <x:v>-0.07530156591245132</x:v>
      </x:c>
      <x:c r="G2567" s="48" t="n">
        <x:v>-0.14639600549594706</x:v>
      </x:c>
      <x:c r="H2567" s="48" t="n">
        <x:v>0.8563978560279311</x:v>
      </x:c>
      <x:c r="I2567" s="48" t="n">
        <x:v>0.8574016549306702</x:v>
      </x:c>
      <x:c r="J2567" s="48" t="n">
        <x:v>0.8282317947069202</x:v>
      </x:c>
      <x:c r="K2567" s="48" t="n">
        <x:v>0.7056230893295011</x:v>
      </x:c>
      <x:c r="L2567" s="48" t="n">
        <x:v>0.7308148674523504</x:v>
      </x:c>
      <x:c r="M2567" s="48" t="n">
        <x:v>0.1730369940625131</x:v>
      </x:c>
      <x:c r="N2567" s="48" t="n">
        <x:v>0.940180270781922</x:v>
      </x:c>
      <x:c r="O2567" s="48" t="n">
        <x:v>0.8965286813194692</x:v>
      </x:c>
      <x:c r="P2567" s="48" t="n">
        <x:v>0.5442357785161595</x:v>
      </x:c>
      <x:c r="Q2567" s="48" t="n">
        <x:v>1</x:v>
      </x:c>
      <x:c r="R2567" s="48" t="n">
        <x:v>0.8722291619212491</x:v>
      </x:c>
      <x:c r="S2567" s="29" t="n">
        <x:v>0</x:v>
      </x:c>
    </x:row>
    <x:row r="2568" ht="21.600000381469727" hidden="0" customHeight="1">
      <x:c r="A2568" s="27" t="n">
        <x:v>855</x:v>
      </x:c>
      <x:c r="B2568" s="27" t="str">
        <x:v>A2</x:v>
      </x:c>
      <x:c r="C2568" s="47" t="n">
        <x:v>0.9224906046747592</x:v>
      </x:c>
      <x:c r="D2568" s="47" t="n">
        <x:v>0.7889847642967035</x:v>
      </x:c>
      <x:c r="E2568" s="47" t="n">
        <x:v>1.0721142139419446</x:v>
      </x:c>
      <x:c r="F2568" s="47" t="n">
        <x:v>-0.07530156591245132</x:v>
      </x:c>
      <x:c r="G2568" s="47" t="n">
        <x:v>-0.14639600549594706</x:v>
      </x:c>
      <x:c r="H2568" s="47" t="n">
        <x:v>0.8563978560279311</x:v>
      </x:c>
      <x:c r="I2568" s="47" t="n">
        <x:v>0.8574016549306702</x:v>
      </x:c>
      <x:c r="J2568" s="47" t="n">
        <x:v>0.8282317947069202</x:v>
      </x:c>
      <x:c r="K2568" s="47" t="n">
        <x:v>0.7056230893295011</x:v>
      </x:c>
      <x:c r="L2568" s="47" t="n">
        <x:v>0.7308148674523504</x:v>
      </x:c>
      <x:c r="M2568" s="47" t="n">
        <x:v>0.1730369940625131</x:v>
      </x:c>
      <x:c r="N2568" s="47" t="n">
        <x:v>0.940180270781922</x:v>
      </x:c>
      <x:c r="O2568" s="47" t="n">
        <x:v>0.9542258088345914</x:v>
      </x:c>
      <x:c r="P2568" s="47" t="n">
        <x:v>0.7346581494263259</x:v>
      </x:c>
      <x:c r="Q2568" s="47" t="n">
        <x:v>1</x:v>
      </x:c>
      <x:c r="R2568" s="47" t="n">
        <x:v>0.9434760584656424</x:v>
      </x:c>
      <x:c r="S2568" s="27" t="n">
        <x:v>0</x:v>
      </x:c>
    </x:row>
    <x:row r="2569" ht="21.600000381469727" hidden="0" customHeight="1">
      <x:c r="A2569" s="29" t="n">
        <x:v>855</x:v>
      </x:c>
      <x:c r="B2569" s="29" t="str">
        <x:v>A3</x:v>
      </x:c>
      <x:c r="C2569" s="48" t="n">
        <x:v>0.9224906046747592</x:v>
      </x:c>
      <x:c r="D2569" s="48" t="n">
        <x:v>0.7889847642967035</x:v>
      </x:c>
      <x:c r="E2569" s="48" t="n">
        <x:v>1.0721142139419446</x:v>
      </x:c>
      <x:c r="F2569" s="48" t="n">
        <x:v>-0.07530156591245132</x:v>
      </x:c>
      <x:c r="G2569" s="48" t="n">
        <x:v>-0.14639600549594706</x:v>
      </x:c>
      <x:c r="H2569" s="48" t="n">
        <x:v>0.8563978560279311</x:v>
      </x:c>
      <x:c r="I2569" s="48" t="n">
        <x:v>0.8574016549306702</x:v>
      </x:c>
      <x:c r="J2569" s="48" t="n">
        <x:v>0.8282317947069202</x:v>
      </x:c>
      <x:c r="K2569" s="48" t="n">
        <x:v>0.7056230893295011</x:v>
      </x:c>
      <x:c r="L2569" s="48" t="n">
        <x:v>0.7308148674523504</x:v>
      </x:c>
      <x:c r="M2569" s="48" t="n">
        <x:v>0.1730369940625131</x:v>
      </x:c>
      <x:c r="N2569" s="48" t="n">
        <x:v>0.940180270781922</x:v>
      </x:c>
      <x:c r="O2569" s="48" t="n">
        <x:v>1</x:v>
      </x:c>
      <x:c r="P2569" s="48" t="n">
        <x:v>1</x:v>
      </x:c>
      <x:c r="Q2569" s="48" t="n">
        <x:v>1</x:v>
      </x:c>
      <x:c r="R2569" s="48" t="n">
        <x:v>1</x:v>
      </x:c>
      <x:c r="S2569" s="29" t="n">
        <x:v>1</x:v>
      </x:c>
    </x:row>
    <x:row r="2570" ht="21.600000381469727" hidden="0" customHeight="1">
      <x:c r="A2570" s="27" t="n">
        <x:v>856</x:v>
      </x:c>
      <x:c r="B2570" s="27" t="str">
        <x:v>A1</x:v>
      </x:c>
      <x:c r="C2570" s="47" t="n">
        <x:v>1.1818251289477206</x:v>
      </x:c>
      <x:c r="D2570" s="47" t="n">
        <x:v>0.7642845718527147</x:v>
      </x:c>
      <x:c r="E2570" s="47" t="n">
        <x:v>0.86077561394395</x:v>
      </x:c>
      <x:c r="F2570" s="47" t="n">
        <x:v>-0.04010551941316817</x:v>
      </x:c>
      <x:c r="G2570" s="47" t="n">
        <x:v>-0.06545608195821451</x:v>
      </x:c>
      <x:c r="H2570" s="47" t="n">
        <x:v>0.8679080376037087</x:v>
      </x:c>
      <x:c r="I2570" s="47" t="n">
        <x:v>0.6360444729271186</x:v>
      </x:c>
      <x:c r="J2570" s="47" t="n">
        <x:v>0.590059898915894</x:v>
      </x:c>
      <x:c r="K2570" s="47" t="n">
        <x:v>0.5913345499749348</x:v>
      </x:c>
      <x:c r="L2570" s="47" t="n">
        <x:v>0.5648246697358599</x:v>
      </x:c>
      <x:c r="M2570" s="47" t="n">
        <x:v>0.061932244721627956</x:v>
      </x:c>
      <x:c r="N2570" s="47" t="n">
        <x:v>0.944837589105165</x:v>
      </x:c>
      <x:c r="O2570" s="47" t="n">
        <x:v>0.7257083941970764</x:v>
      </x:c>
      <x:c r="P2570" s="47" t="n">
        <x:v>0.4312594411068572</x:v>
      </x:c>
      <x:c r="Q2570" s="47" t="n">
        <x:v>0.8734618343202543</x:v>
      </x:c>
      <x:c r="R2570" s="47" t="n">
        <x:v>0.662232699093672</x:v>
      </x:c>
      <x:c r="S2570" s="27" t="n">
        <x:v>0</x:v>
      </x:c>
    </x:row>
    <x:row r="2571" ht="21.600000381469727" hidden="0" customHeight="1">
      <x:c r="A2571" s="29" t="n">
        <x:v>856</x:v>
      </x:c>
      <x:c r="B2571" s="29" t="str">
        <x:v>A2</x:v>
      </x:c>
      <x:c r="C2571" s="48" t="n">
        <x:v>1.1818251289477206</x:v>
      </x:c>
      <x:c r="D2571" s="48" t="n">
        <x:v>0.7642845718527147</x:v>
      </x:c>
      <x:c r="E2571" s="48" t="n">
        <x:v>0.86077561394395</x:v>
      </x:c>
      <x:c r="F2571" s="48" t="n">
        <x:v>-0.04010551941316817</x:v>
      </x:c>
      <x:c r="G2571" s="48" t="n">
        <x:v>-0.06545608195821451</x:v>
      </x:c>
      <x:c r="H2571" s="48" t="n">
        <x:v>0.8679080376037087</x:v>
      </x:c>
      <x:c r="I2571" s="48" t="n">
        <x:v>0.6360444729271186</x:v>
      </x:c>
      <x:c r="J2571" s="48" t="n">
        <x:v>0.590059898915894</x:v>
      </x:c>
      <x:c r="K2571" s="48" t="n">
        <x:v>0.5913345499749348</x:v>
      </x:c>
      <x:c r="L2571" s="48" t="n">
        <x:v>0.5648246697358599</x:v>
      </x:c>
      <x:c r="M2571" s="48" t="n">
        <x:v>0.061932244721627956</x:v>
      </x:c>
      <x:c r="N2571" s="48" t="n">
        <x:v>0.944837589105165</x:v>
      </x:c>
      <x:c r="O2571" s="48" t="n">
        <x:v>0.7954791117348102</x:v>
      </x:c>
      <x:c r="P2571" s="48" t="n">
        <x:v>0.4685730388040981</x:v>
      </x:c>
      <x:c r="Q2571" s="48" t="n">
        <x:v>1</x:v>
      </x:c>
      <x:c r="R2571" s="48" t="n">
        <x:v>0.7474488038667395</x:v>
      </x:c>
      <x:c r="S2571" s="29" t="n">
        <x:v>0</x:v>
      </x:c>
    </x:row>
    <x:row r="2572" ht="21.600000381469727" hidden="0" customHeight="1">
      <x:c r="A2572" s="27" t="n">
        <x:v>856</x:v>
      </x:c>
      <x:c r="B2572" s="27" t="str">
        <x:v>A3</x:v>
      </x:c>
      <x:c r="C2572" s="47" t="n">
        <x:v>1.1818251289477206</x:v>
      </x:c>
      <x:c r="D2572" s="47" t="n">
        <x:v>0.7642845718527147</x:v>
      </x:c>
      <x:c r="E2572" s="47" t="n">
        <x:v>0.86077561394395</x:v>
      </x:c>
      <x:c r="F2572" s="47" t="n">
        <x:v>-0.04010551941316817</x:v>
      </x:c>
      <x:c r="G2572" s="47" t="n">
        <x:v>-0.06545608195821451</x:v>
      </x:c>
      <x:c r="H2572" s="47" t="n">
        <x:v>0.8679080376037087</x:v>
      </x:c>
      <x:c r="I2572" s="47" t="n">
        <x:v>0.6360444729271186</x:v>
      </x:c>
      <x:c r="J2572" s="47" t="n">
        <x:v>0.590059898915894</x:v>
      </x:c>
      <x:c r="K2572" s="47" t="n">
        <x:v>0.5913345499749348</x:v>
      </x:c>
      <x:c r="L2572" s="47" t="n">
        <x:v>0.5648246697358599</x:v>
      </x:c>
      <x:c r="M2572" s="47" t="n">
        <x:v>0.061932244721627956</x:v>
      </x:c>
      <x:c r="N2572" s="47" t="n">
        <x:v>0.944837589105165</x:v>
      </x:c>
      <x:c r="O2572" s="47" t="n">
        <x:v>1</x:v>
      </x:c>
      <x:c r="P2572" s="47" t="n">
        <x:v>1</x:v>
      </x:c>
      <x:c r="Q2572" s="47" t="n">
        <x:v>1</x:v>
      </x:c>
      <x:c r="R2572" s="47" t="n">
        <x:v>1</x:v>
      </x:c>
      <x:c r="S2572" s="27" t="n">
        <x:v>1</x:v>
      </x:c>
    </x:row>
    <x:row r="2573" ht="21.600000381469727" hidden="0" customHeight="1">
      <x:c r="A2573" s="29" t="n">
        <x:v>857</x:v>
      </x:c>
      <x:c r="B2573" s="29" t="str">
        <x:v>A1</x:v>
      </x:c>
      <x:c r="C2573" s="48" t="n">
        <x:v>0.9834258059937481</x:v>
      </x:c>
      <x:c r="D2573" s="48" t="n">
        <x:v>0.906133412568553</x:v>
      </x:c>
      <x:c r="E2573" s="48" t="n">
        <x:v>0.996288196476973</x:v>
      </x:c>
      <x:c r="F2573" s="48" t="n">
        <x:v>-0.17318719925321277</x:v>
      </x:c>
      <x:c r="G2573" s="48" t="n">
        <x:v>-0.0369980484508422</x:v>
      </x:c>
      <x:c r="H2573" s="48" t="n">
        <x:v>0.6646786213035724</x:v>
      </x:c>
      <x:c r="I2573" s="48" t="n">
        <x:v>0.9943959473436029</x:v>
      </x:c>
      <x:c r="J2573" s="48" t="n">
        <x:v>0.6864395467629196</x:v>
      </x:c>
      <x:c r="K2573" s="48" t="n">
        <x:v>0.9961676804928978</x:v>
      </x:c>
      <x:c r="L2573" s="48" t="n">
        <x:v>0.7217798587138861</x:v>
      </x:c>
      <x:c r="M2573" s="48" t="n">
        <x:v>0.038233894479151126</x:v>
      </x:c>
      <x:c r="N2573" s="48" t="n">
        <x:v>0.7940267242399347</x:v>
      </x:c>
      <x:c r="O2573" s="48" t="n">
        <x:v>0.9436482450295706</x:v>
      </x:c>
      <x:c r="P2573" s="48" t="n">
        <x:v>0.7902027977303445</x:v>
      </x:c>
      <x:c r="Q2573" s="48" t="n">
        <x:v>1</x:v>
      </x:c>
      <x:c r="R2573" s="48" t="n">
        <x:v>0.9304144273833929</x:v>
      </x:c>
      <x:c r="S2573" s="29" t="n">
        <x:v>0</x:v>
      </x:c>
    </x:row>
    <x:row r="2574" ht="21.600000381469727" hidden="0" customHeight="1">
      <x:c r="A2574" s="27" t="n">
        <x:v>857</x:v>
      </x:c>
      <x:c r="B2574" s="27" t="str">
        <x:v>A2</x:v>
      </x:c>
      <x:c r="C2574" s="47" t="n">
        <x:v>0.9834258059937481</x:v>
      </x:c>
      <x:c r="D2574" s="47" t="n">
        <x:v>0.906133412568553</x:v>
      </x:c>
      <x:c r="E2574" s="47" t="n">
        <x:v>0.996288196476973</x:v>
      </x:c>
      <x:c r="F2574" s="47" t="n">
        <x:v>-0.17318719925321277</x:v>
      </x:c>
      <x:c r="G2574" s="47" t="n">
        <x:v>-0.0369980484508422</x:v>
      </x:c>
      <x:c r="H2574" s="47" t="n">
        <x:v>0.6646786213035724</x:v>
      </x:c>
      <x:c r="I2574" s="47" t="n">
        <x:v>0.9943959473436029</x:v>
      </x:c>
      <x:c r="J2574" s="47" t="n">
        <x:v>0.6864395467629196</x:v>
      </x:c>
      <x:c r="K2574" s="47" t="n">
        <x:v>0.9961676804928978</x:v>
      </x:c>
      <x:c r="L2574" s="47" t="n">
        <x:v>0.7217798587138861</x:v>
      </x:c>
      <x:c r="M2574" s="47" t="n">
        <x:v>0.038233894479151126</x:v>
      </x:c>
      <x:c r="N2574" s="47" t="n">
        <x:v>0.7940267242399347</x:v>
      </x:c>
      <x:c r="O2574" s="47" t="n">
        <x:v>1</x:v>
      </x:c>
      <x:c r="P2574" s="47" t="n">
        <x:v>0.9999999999999999</x:v>
      </x:c>
      <x:c r="Q2574" s="47" t="n">
        <x:v>1</x:v>
      </x:c>
      <x:c r="R2574" s="47" t="n">
        <x:v>1</x:v>
      </x:c>
      <x:c r="S2574" s="27" t="n">
        <x:v>1</x:v>
      </x:c>
    </x:row>
    <x:row r="2575" ht="21.600000381469727" hidden="0" customHeight="1">
      <x:c r="A2575" s="29" t="n">
        <x:v>857</x:v>
      </x:c>
      <x:c r="B2575" s="29" t="str">
        <x:v>A3</x:v>
      </x:c>
      <x:c r="C2575" s="48" t="n">
        <x:v>0.9834258059937481</x:v>
      </x:c>
      <x:c r="D2575" s="48" t="n">
        <x:v>0.906133412568553</x:v>
      </x:c>
      <x:c r="E2575" s="48" t="n">
        <x:v>0.996288196476973</x:v>
      </x:c>
      <x:c r="F2575" s="48" t="n">
        <x:v>-0.17318719925321277</x:v>
      </x:c>
      <x:c r="G2575" s="48" t="n">
        <x:v>-0.0369980484508422</x:v>
      </x:c>
      <x:c r="H2575" s="48" t="n">
        <x:v>0.6646786213035724</x:v>
      </x:c>
      <x:c r="I2575" s="48" t="n">
        <x:v>0.9943959473436029</x:v>
      </x:c>
      <x:c r="J2575" s="48" t="n">
        <x:v>0.6864395467629196</x:v>
      </x:c>
      <x:c r="K2575" s="48" t="n">
        <x:v>0.9961676804928978</x:v>
      </x:c>
      <x:c r="L2575" s="48" t="n">
        <x:v>0.7217798587138861</x:v>
      </x:c>
      <x:c r="M2575" s="48" t="n">
        <x:v>0.038233894479151126</x:v>
      </x:c>
      <x:c r="N2575" s="48" t="n">
        <x:v>0.7940267242399347</x:v>
      </x:c>
      <x:c r="O2575" s="48" t="n">
        <x:v>1</x:v>
      </x:c>
      <x:c r="P2575" s="48" t="n">
        <x:v>1</x:v>
      </x:c>
      <x:c r="Q2575" s="48" t="n">
        <x:v>1</x:v>
      </x:c>
      <x:c r="R2575" s="48" t="n">
        <x:v>1</x:v>
      </x:c>
      <x:c r="S2575" s="29" t="n">
        <x:v>1</x:v>
      </x:c>
    </x:row>
    <x:row r="2576" ht="21.600000381469727" hidden="0" customHeight="1">
      <x:c r="A2576" s="27" t="n">
        <x:v>858</x:v>
      </x:c>
      <x:c r="B2576" s="27" t="str">
        <x:v>A1</x:v>
      </x:c>
      <x:c r="C2576" s="47" t="n">
        <x:v>1.293325476496744</x:v>
      </x:c>
      <x:c r="D2576" s="47" t="n">
        <x:v>0.9034471169508635</x:v>
      </x:c>
      <x:c r="E2576" s="47" t="n">
        <x:v>0.7931140352256706</x:v>
      </x:c>
      <x:c r="F2576" s="47" t="n">
        <x:v>-0.013230581512479439</x:v>
      </x:c>
      <x:c r="G2576" s="47" t="n">
        <x:v>-0.10733002956862404</x:v>
      </x:c>
      <x:c r="H2576" s="47" t="n">
        <x:v>0.878733184540724</x:v>
      </x:c>
      <x:c r="I2576" s="47" t="n">
        <x:v>0.6176550657318153</x:v>
      </x:c>
      <x:c r="J2576" s="47" t="n">
        <x:v>0.7897413744791945</x:v>
      </x:c>
      <x:c r="K2576" s="47" t="n">
        <x:v>0.7749524972533693</x:v>
      </x:c>
      <x:c r="L2576" s="47" t="n">
        <x:v>0.5133797940906026</x:v>
      </x:c>
      <x:c r="M2576" s="47" t="n">
        <x:v>0.03732959268478208</x:v>
      </x:c>
      <x:c r="N2576" s="47" t="n">
        <x:v>0.6758182171309774</x:v>
      </x:c>
      <x:c r="O2576" s="47" t="n">
        <x:v>0.784367458438237</x:v>
      </x:c>
      <x:c r="P2576" s="47" t="n">
        <x:v>0.46110686570219833</x:v>
      </x:c>
      <x:c r="Q2576" s="47" t="n">
        <x:v>0.8982958784163105</x:v>
      </x:c>
      <x:c r="R2576" s="47" t="n">
        <x:v>0.7344829977047047</x:v>
      </x:c>
      <x:c r="S2576" s="27" t="n">
        <x:v>0</x:v>
      </x:c>
    </x:row>
    <x:row r="2577" ht="21.600000381469727" hidden="0" customHeight="1">
      <x:c r="A2577" s="29" t="n">
        <x:v>858</x:v>
      </x:c>
      <x:c r="B2577" s="29" t="str">
        <x:v>A2</x:v>
      </x:c>
      <x:c r="C2577" s="48" t="n">
        <x:v>1.293325476496744</x:v>
      </x:c>
      <x:c r="D2577" s="48" t="n">
        <x:v>0.9034471169508635</x:v>
      </x:c>
      <x:c r="E2577" s="48" t="n">
        <x:v>0.7931140352256706</x:v>
      </x:c>
      <x:c r="F2577" s="48" t="n">
        <x:v>-0.013230581512479439</x:v>
      </x:c>
      <x:c r="G2577" s="48" t="n">
        <x:v>-0.10733002956862404</x:v>
      </x:c>
      <x:c r="H2577" s="48" t="n">
        <x:v>0.878733184540724</x:v>
      </x:c>
      <x:c r="I2577" s="48" t="n">
        <x:v>0.6176550657318153</x:v>
      </x:c>
      <x:c r="J2577" s="48" t="n">
        <x:v>0.7897413744791945</x:v>
      </x:c>
      <x:c r="K2577" s="48" t="n">
        <x:v>0.7749524972533693</x:v>
      </x:c>
      <x:c r="L2577" s="48" t="n">
        <x:v>0.5133797940906026</x:v>
      </x:c>
      <x:c r="M2577" s="48" t="n">
        <x:v>0.03732959268478208</x:v>
      </x:c>
      <x:c r="N2577" s="48" t="n">
        <x:v>0.6758182171309774</x:v>
      </x:c>
      <x:c r="O2577" s="48" t="n">
        <x:v>0.861372339809542</x:v>
      </x:c>
      <x:c r="P2577" s="48" t="n">
        <x:v>0.5049512310638433</x:v>
      </x:c>
      <x:c r="Q2577" s="48" t="n">
        <x:v>1</x:v>
      </x:c>
      <x:c r="R2577" s="48" t="n">
        <x:v>0.8288165981713356</x:v>
      </x:c>
      <x:c r="S2577" s="29" t="n">
        <x:v>0</x:v>
      </x:c>
    </x:row>
    <x:row r="2578" ht="21.600000381469727" hidden="0" customHeight="1">
      <x:c r="A2578" s="27" t="n">
        <x:v>858</x:v>
      </x:c>
      <x:c r="B2578" s="27" t="str">
        <x:v>A3</x:v>
      </x:c>
      <x:c r="C2578" s="47" t="n">
        <x:v>1.293325476496744</x:v>
      </x:c>
      <x:c r="D2578" s="47" t="n">
        <x:v>0.9034471169508635</x:v>
      </x:c>
      <x:c r="E2578" s="47" t="n">
        <x:v>0.7931140352256706</x:v>
      </x:c>
      <x:c r="F2578" s="47" t="n">
        <x:v>-0.013230581512479439</x:v>
      </x:c>
      <x:c r="G2578" s="47" t="n">
        <x:v>-0.10733002956862404</x:v>
      </x:c>
      <x:c r="H2578" s="47" t="n">
        <x:v>0.878733184540724</x:v>
      </x:c>
      <x:c r="I2578" s="47" t="n">
        <x:v>0.6176550657318153</x:v>
      </x:c>
      <x:c r="J2578" s="47" t="n">
        <x:v>0.7897413744791945</x:v>
      </x:c>
      <x:c r="K2578" s="47" t="n">
        <x:v>0.7749524972533693</x:v>
      </x:c>
      <x:c r="L2578" s="47" t="n">
        <x:v>0.5133797940906026</x:v>
      </x:c>
      <x:c r="M2578" s="47" t="n">
        <x:v>0.03732959268478208</x:v>
      </x:c>
      <x:c r="N2578" s="47" t="n">
        <x:v>0.6758182171309774</x:v>
      </x:c>
      <x:c r="O2578" s="47" t="n">
        <x:v>1</x:v>
      </x:c>
      <x:c r="P2578" s="47" t="n">
        <x:v>1</x:v>
      </x:c>
      <x:c r="Q2578" s="47" t="n">
        <x:v>1</x:v>
      </x:c>
      <x:c r="R2578" s="47" t="n">
        <x:v>1</x:v>
      </x:c>
      <x:c r="S2578" s="27" t="n">
        <x:v>1</x:v>
      </x:c>
    </x:row>
    <x:row r="2579" ht="21.600000381469727" hidden="0" customHeight="1">
      <x:c r="A2579" s="29" t="n">
        <x:v>859</x:v>
      </x:c>
      <x:c r="B2579" s="29" t="str">
        <x:v>A1</x:v>
      </x:c>
      <x:c r="C2579" s="48" t="n">
        <x:v>1.2510113298404182</x:v>
      </x:c>
      <x:c r="D2579" s="48" t="n">
        <x:v>0.9623469012685884</x:v>
      </x:c>
      <x:c r="E2579" s="48" t="n">
        <x:v>1.0552667495045032</x:v>
      </x:c>
      <x:c r="F2579" s="48" t="n">
        <x:v>-0.0694612880097244</x:v>
      </x:c>
      <x:c r="G2579" s="48" t="n">
        <x:v>0.007345436636060548</x:v>
      </x:c>
      <x:c r="H2579" s="48" t="n">
        <x:v>1.0631421572243218</x:v>
      </x:c>
      <x:c r="I2579" s="48" t="n">
        <x:v>0.7686166169665349</x:v>
      </x:c>
      <x:c r="J2579" s="48" t="n">
        <x:v>0.9826751983636317</x:v>
      </x:c>
      <x:c r="K2579" s="48" t="n">
        <x:v>0.6067461803174787</x:v>
      </x:c>
      <x:c r="L2579" s="48" t="n">
        <x:v>0.8224222890427578</x:v>
      </x:c>
      <x:c r="M2579" s="48" t="n">
        <x:v>0.117268199913911</x:v>
      </x:c>
      <x:c r="N2579" s="48" t="n">
        <x:v>0.9012781207237777</x:v>
      </x:c>
      <x:c r="O2579" s="48" t="n">
        <x:v>0.8854354451484368</x:v>
      </x:c>
      <x:c r="P2579" s="48" t="n">
        <x:v>0.46827652171857315</x:v>
      </x:c>
      <x:c r="Q2579" s="48" t="n">
        <x:v>1</x:v>
      </x:c>
      <x:c r="R2579" s="48" t="n">
        <x:v>0.8585307564050837</x:v>
      </x:c>
      <x:c r="S2579" s="29" t="n">
        <x:v>0</x:v>
      </x:c>
    </x:row>
    <x:row r="2580" ht="21.600000381469727" hidden="0" customHeight="1">
      <x:c r="A2580" s="27" t="n">
        <x:v>859</x:v>
      </x:c>
      <x:c r="B2580" s="27" t="str">
        <x:v>A2</x:v>
      </x:c>
      <x:c r="C2580" s="47" t="n">
        <x:v>1.2510113298404182</x:v>
      </x:c>
      <x:c r="D2580" s="47" t="n">
        <x:v>0.9623469012685884</x:v>
      </x:c>
      <x:c r="E2580" s="47" t="n">
        <x:v>1.0552667495045032</x:v>
      </x:c>
      <x:c r="F2580" s="47" t="n">
        <x:v>-0.0694612880097244</x:v>
      </x:c>
      <x:c r="G2580" s="47" t="n">
        <x:v>0.007345436636060548</x:v>
      </x:c>
      <x:c r="H2580" s="47" t="n">
        <x:v>1.0631421572243218</x:v>
      </x:c>
      <x:c r="I2580" s="47" t="n">
        <x:v>0.7686166169665349</x:v>
      </x:c>
      <x:c r="J2580" s="47" t="n">
        <x:v>0.9826751983636317</x:v>
      </x:c>
      <x:c r="K2580" s="47" t="n">
        <x:v>0.6067461803174787</x:v>
      </x:c>
      <x:c r="L2580" s="47" t="n">
        <x:v>0.8224222890427578</x:v>
      </x:c>
      <x:c r="M2580" s="47" t="n">
        <x:v>0.117268199913911</x:v>
      </x:c>
      <x:c r="N2580" s="47" t="n">
        <x:v>0.9012781207237777</x:v>
      </x:c>
      <x:c r="O2580" s="47" t="n">
        <x:v>0.9577875900000928</x:v>
      </x:c>
      <x:c r="P2580" s="47" t="n">
        <x:v>0.7337009530597441</x:v>
      </x:c>
      <x:c r="Q2580" s="47" t="n">
        <x:v>1</x:v>
      </x:c>
      <x:c r="R2580" s="47" t="n">
        <x:v>0.9478742991604803</x:v>
      </x:c>
      <x:c r="S2580" s="27" t="n">
        <x:v>0</x:v>
      </x:c>
    </x:row>
    <x:row r="2581" ht="21.600000381469727" hidden="0" customHeight="1">
      <x:c r="A2581" s="29" t="n">
        <x:v>859</x:v>
      </x:c>
      <x:c r="B2581" s="29" t="str">
        <x:v>A3</x:v>
      </x:c>
      <x:c r="C2581" s="48" t="n">
        <x:v>1.2510113298404182</x:v>
      </x:c>
      <x:c r="D2581" s="48" t="n">
        <x:v>0.9623469012685884</x:v>
      </x:c>
      <x:c r="E2581" s="48" t="n">
        <x:v>1.0552667495045032</x:v>
      </x:c>
      <x:c r="F2581" s="48" t="n">
        <x:v>-0.0694612880097244</x:v>
      </x:c>
      <x:c r="G2581" s="48" t="n">
        <x:v>0.007345436636060548</x:v>
      </x:c>
      <x:c r="H2581" s="48" t="n">
        <x:v>1.0631421572243218</x:v>
      </x:c>
      <x:c r="I2581" s="48" t="n">
        <x:v>0.7686166169665349</x:v>
      </x:c>
      <x:c r="J2581" s="48" t="n">
        <x:v>0.9826751983636317</x:v>
      </x:c>
      <x:c r="K2581" s="48" t="n">
        <x:v>0.6067461803174787</x:v>
      </x:c>
      <x:c r="L2581" s="48" t="n">
        <x:v>0.8224222890427578</x:v>
      </x:c>
      <x:c r="M2581" s="48" t="n">
        <x:v>0.117268199913911</x:v>
      </x:c>
      <x:c r="N2581" s="48" t="n">
        <x:v>0.9012781207237777</x:v>
      </x:c>
      <x:c r="O2581" s="48" t="n">
        <x:v>1</x:v>
      </x:c>
      <x:c r="P2581" s="48" t="n">
        <x:v>1</x:v>
      </x:c>
      <x:c r="Q2581" s="48" t="n">
        <x:v>1</x:v>
      </x:c>
      <x:c r="R2581" s="48" t="n">
        <x:v>1.0000000000000002</x:v>
      </x:c>
      <x:c r="S2581" s="29" t="n">
        <x:v>1</x:v>
      </x:c>
    </x:row>
    <x:row r="2582" ht="21.600000381469727" hidden="0" customHeight="1">
      <x:c r="A2582" s="27" t="n">
        <x:v>860</x:v>
      </x:c>
      <x:c r="B2582" s="27" t="str">
        <x:v>A1</x:v>
      </x:c>
      <x:c r="C2582" s="47" t="n">
        <x:v>1.166336397139586</x:v>
      </x:c>
      <x:c r="D2582" s="47" t="n">
        <x:v>0.7360008963857049</x:v>
      </x:c>
      <x:c r="E2582" s="47" t="n">
        <x:v>0.9663384844067904</x:v>
      </x:c>
      <x:c r="F2582" s="47" t="n">
        <x:v>-0.11479705626028679</x:v>
      </x:c>
      <x:c r="G2582" s="47" t="n">
        <x:v>-0.07172307981306095</x:v>
      </x:c>
      <x:c r="H2582" s="47" t="n">
        <x:v>0.6077030086553623</x:v>
      </x:c>
      <x:c r="I2582" s="47" t="n">
        <x:v>0.8516877800967729</x:v>
      </x:c>
      <x:c r="J2582" s="47" t="n">
        <x:v>0.6769735127145107</x:v>
      </x:c>
      <x:c r="K2582" s="47" t="n">
        <x:v>0.9821348734661475</x:v>
      </x:c>
      <x:c r="L2582" s="47" t="n">
        <x:v>0.7573761419165256</x:v>
      </x:c>
      <x:c r="M2582" s="47" t="n">
        <x:v>0.17799363151629832</x:v>
      </x:c>
      <x:c r="N2582" s="47" t="n">
        <x:v>0.7722425395053625</x:v>
      </x:c>
      <x:c r="O2582" s="47" t="n">
        <x:v>0.8030339224276726</x:v>
      </x:c>
      <x:c r="P2582" s="47" t="n">
        <x:v>0.4624554813046554</x:v>
      </x:c>
      <x:c r="Q2582" s="47" t="n">
        <x:v>1</x:v>
      </x:c>
      <x:c r="R2582" s="47" t="n">
        <x:v>0.7567778092960958</x:v>
      </x:c>
      <x:c r="S2582" s="27" t="n">
        <x:v>0</x:v>
      </x:c>
    </x:row>
    <x:row r="2583" ht="21.600000381469727" hidden="0" customHeight="1">
      <x:c r="A2583" s="29" t="n">
        <x:v>860</x:v>
      </x:c>
      <x:c r="B2583" s="29" t="str">
        <x:v>A2</x:v>
      </x:c>
      <x:c r="C2583" s="48" t="n">
        <x:v>1.166336397139586</x:v>
      </x:c>
      <x:c r="D2583" s="48" t="n">
        <x:v>0.7360008963857049</x:v>
      </x:c>
      <x:c r="E2583" s="48" t="n">
        <x:v>0.9663384844067904</x:v>
      </x:c>
      <x:c r="F2583" s="48" t="n">
        <x:v>-0.11479705626028679</x:v>
      </x:c>
      <x:c r="G2583" s="48" t="n">
        <x:v>-0.07172307981306095</x:v>
      </x:c>
      <x:c r="H2583" s="48" t="n">
        <x:v>0.6077030086553623</x:v>
      </x:c>
      <x:c r="I2583" s="48" t="n">
        <x:v>0.8516877800967729</x:v>
      </x:c>
      <x:c r="J2583" s="48" t="n">
        <x:v>0.6769735127145107</x:v>
      </x:c>
      <x:c r="K2583" s="48" t="n">
        <x:v>0.9821348734661475</x:v>
      </x:c>
      <x:c r="L2583" s="48" t="n">
        <x:v>0.7573761419165256</x:v>
      </x:c>
      <x:c r="M2583" s="48" t="n">
        <x:v>0.17799363151629832</x:v>
      </x:c>
      <x:c r="N2583" s="48" t="n">
        <x:v>0.7722425395053625</x:v>
      </x:c>
      <x:c r="O2583" s="48" t="n">
        <x:v>0.8939994655861246</x:v>
      </x:c>
      <x:c r="P2583" s="48" t="n">
        <x:v>0.627194201421709</x:v>
      </x:c>
      <x:c r="Q2583" s="48" t="n">
        <x:v>1</x:v>
      </x:c>
      <x:c r="R2583" s="48" t="n">
        <x:v>0.8691059774673122</x:v>
      </x:c>
      <x:c r="S2583" s="29" t="n">
        <x:v>0</x:v>
      </x:c>
    </x:row>
    <x:row r="2584" ht="21.600000381469727" hidden="0" customHeight="1">
      <x:c r="A2584" s="27" t="n">
        <x:v>860</x:v>
      </x:c>
      <x:c r="B2584" s="27" t="str">
        <x:v>A3</x:v>
      </x:c>
      <x:c r="C2584" s="47" t="n">
        <x:v>1.166336397139586</x:v>
      </x:c>
      <x:c r="D2584" s="47" t="n">
        <x:v>0.7360008963857049</x:v>
      </x:c>
      <x:c r="E2584" s="47" t="n">
        <x:v>0.9663384844067904</x:v>
      </x:c>
      <x:c r="F2584" s="47" t="n">
        <x:v>-0.11479705626028679</x:v>
      </x:c>
      <x:c r="G2584" s="47" t="n">
        <x:v>-0.07172307981306095</x:v>
      </x:c>
      <x:c r="H2584" s="47" t="n">
        <x:v>0.6077030086553623</x:v>
      </x:c>
      <x:c r="I2584" s="47" t="n">
        <x:v>0.8516877800967729</x:v>
      </x:c>
      <x:c r="J2584" s="47" t="n">
        <x:v>0.6769735127145107</x:v>
      </x:c>
      <x:c r="K2584" s="47" t="n">
        <x:v>0.9821348734661475</x:v>
      </x:c>
      <x:c r="L2584" s="47" t="n">
        <x:v>0.7573761419165256</x:v>
      </x:c>
      <x:c r="M2584" s="47" t="n">
        <x:v>0.17799363151629832</x:v>
      </x:c>
      <x:c r="N2584" s="47" t="n">
        <x:v>0.7722425395053625</x:v>
      </x:c>
      <x:c r="O2584" s="47" t="n">
        <x:v>1</x:v>
      </x:c>
      <x:c r="P2584" s="47" t="n">
        <x:v>1</x:v>
      </x:c>
      <x:c r="Q2584" s="47" t="n">
        <x:v>1</x:v>
      </x:c>
      <x:c r="R2584" s="47" t="n">
        <x:v>1</x:v>
      </x:c>
      <x:c r="S2584" s="27" t="n">
        <x:v>1</x:v>
      </x:c>
    </x:row>
    <x:row r="2585" ht="21.600000381469727" hidden="0" customHeight="1">
      <x:c r="A2585" s="29" t="n">
        <x:v>861</x:v>
      </x:c>
      <x:c r="B2585" s="29" t="str">
        <x:v>A1</x:v>
      </x:c>
      <x:c r="C2585" s="48" t="n">
        <x:v>1.2444864143486978</x:v>
      </x:c>
      <x:c r="D2585" s="48" t="n">
        <x:v>0.7381792684245856</x:v>
      </x:c>
      <x:c r="E2585" s="48" t="n">
        <x:v>1.0246441281123255</x:v>
      </x:c>
      <x:c r="F2585" s="48" t="n">
        <x:v>-0.04110810316124383</x:v>
      </x:c>
      <x:c r="G2585" s="48" t="n">
        <x:v>0.010809362822268381</x:v>
      </x:c>
      <x:c r="H2585" s="48" t="n">
        <x:v>0.7638924485333409</x:v>
      </x:c>
      <x:c r="I2585" s="48" t="n">
        <x:v>0.6840861392179447</x:v>
      </x:c>
      <x:c r="J2585" s="48" t="n">
        <x:v>0.5969977558487365</x:v>
      </x:c>
      <x:c r="K2585" s="48" t="n">
        <x:v>0.8512186672442084</x:v>
      </x:c>
      <x:c r="L2585" s="48" t="n">
        <x:v>0.941999943926354</x:v>
      </x:c>
      <x:c r="M2585" s="48" t="n">
        <x:v>0.016413579449744035</x:v>
      </x:c>
      <x:c r="N2585" s="48" t="n">
        <x:v>0.9169766626831597</x:v>
      </x:c>
      <x:c r="O2585" s="48" t="n">
        <x:v>0.7934592744429714</x:v>
      </x:c>
      <x:c r="P2585" s="48" t="n">
        <x:v>0.45811640306245904</x:v>
      </x:c>
      <x:c r="Q2585" s="48" t="n">
        <x:v>1</x:v>
      </x:c>
      <x:c r="R2585" s="48" t="n">
        <x:v>0.7449546218378258</x:v>
      </x:c>
      <x:c r="S2585" s="29" t="n">
        <x:v>0</x:v>
      </x:c>
    </x:row>
    <x:row r="2586" ht="21.600000381469727" hidden="0" customHeight="1">
      <x:c r="A2586" s="27" t="n">
        <x:v>861</x:v>
      </x:c>
      <x:c r="B2586" s="27" t="str">
        <x:v>A2</x:v>
      </x:c>
      <x:c r="C2586" s="47" t="n">
        <x:v>1.2444864143486978</x:v>
      </x:c>
      <x:c r="D2586" s="47" t="n">
        <x:v>0.7381792684245856</x:v>
      </x:c>
      <x:c r="E2586" s="47" t="n">
        <x:v>1.0246441281123255</x:v>
      </x:c>
      <x:c r="F2586" s="47" t="n">
        <x:v>-0.04110810316124383</x:v>
      </x:c>
      <x:c r="G2586" s="47" t="n">
        <x:v>0.010809362822268381</x:v>
      </x:c>
      <x:c r="H2586" s="47" t="n">
        <x:v>0.7638924485333409</x:v>
      </x:c>
      <x:c r="I2586" s="47" t="n">
        <x:v>0.6840861392179447</x:v>
      </x:c>
      <x:c r="J2586" s="47" t="n">
        <x:v>0.5969977558487365</x:v>
      </x:c>
      <x:c r="K2586" s="47" t="n">
        <x:v>0.8512186672442084</x:v>
      </x:c>
      <x:c r="L2586" s="47" t="n">
        <x:v>0.941999943926354</x:v>
      </x:c>
      <x:c r="M2586" s="47" t="n">
        <x:v>0.016413579449744035</x:v>
      </x:c>
      <x:c r="N2586" s="47" t="n">
        <x:v>0.9169766626831597</x:v>
      </x:c>
      <x:c r="O2586" s="47" t="n">
        <x:v>0.8774427806198037</x:v>
      </x:c>
      <x:c r="P2586" s="47" t="n">
        <x:v>0.5652987242694153</x:v>
      </x:c>
      <x:c r="Q2586" s="47" t="n">
        <x:v>1</x:v>
      </x:c>
      <x:c r="R2586" s="47" t="n">
        <x:v>0.8486610702125377</x:v>
      </x:c>
      <x:c r="S2586" s="27" t="n">
        <x:v>0</x:v>
      </x:c>
    </x:row>
    <x:row r="2587" ht="21.600000381469727" hidden="0" customHeight="1">
      <x:c r="A2587" s="29" t="n">
        <x:v>861</x:v>
      </x:c>
      <x:c r="B2587" s="29" t="str">
        <x:v>A3</x:v>
      </x:c>
      <x:c r="C2587" s="48" t="n">
        <x:v>1.2444864143486978</x:v>
      </x:c>
      <x:c r="D2587" s="48" t="n">
        <x:v>0.7381792684245856</x:v>
      </x:c>
      <x:c r="E2587" s="48" t="n">
        <x:v>1.0246441281123255</x:v>
      </x:c>
      <x:c r="F2587" s="48" t="n">
        <x:v>-0.04110810316124383</x:v>
      </x:c>
      <x:c r="G2587" s="48" t="n">
        <x:v>0.010809362822268381</x:v>
      </x:c>
      <x:c r="H2587" s="48" t="n">
        <x:v>0.7638924485333409</x:v>
      </x:c>
      <x:c r="I2587" s="48" t="n">
        <x:v>0.6840861392179447</x:v>
      </x:c>
      <x:c r="J2587" s="48" t="n">
        <x:v>0.5969977558487365</x:v>
      </x:c>
      <x:c r="K2587" s="48" t="n">
        <x:v>0.8512186672442084</x:v>
      </x:c>
      <x:c r="L2587" s="48" t="n">
        <x:v>0.941999943926354</x:v>
      </x:c>
      <x:c r="M2587" s="48" t="n">
        <x:v>0.016413579449744035</x:v>
      </x:c>
      <x:c r="N2587" s="48" t="n">
        <x:v>0.9169766626831597</x:v>
      </x:c>
      <x:c r="O2587" s="48" t="n">
        <x:v>1</x:v>
      </x:c>
      <x:c r="P2587" s="48" t="n">
        <x:v>1</x:v>
      </x:c>
      <x:c r="Q2587" s="48" t="n">
        <x:v>1</x:v>
      </x:c>
      <x:c r="R2587" s="48" t="n">
        <x:v>1</x:v>
      </x:c>
      <x:c r="S2587" s="29" t="n">
        <x:v>1</x:v>
      </x:c>
    </x:row>
    <x:row r="2588" ht="21.600000381469727" hidden="0" customHeight="1">
      <x:c r="A2588" s="27" t="n">
        <x:v>862</x:v>
      </x:c>
      <x:c r="B2588" s="27" t="str">
        <x:v>A1</x:v>
      </x:c>
      <x:c r="C2588" s="47" t="n">
        <x:v>1.0418104401632327</x:v>
      </x:c>
      <x:c r="D2588" s="47" t="n">
        <x:v>0.8075008423936105</x:v>
      </x:c>
      <x:c r="E2588" s="47" t="n">
        <x:v>0.8969140401374169</x:v>
      </x:c>
      <x:c r="F2588" s="47" t="n">
        <x:v>-0.07023606712212416</x:v>
      </x:c>
      <x:c r="G2588" s="47" t="n">
        <x:v>-0.019452956473866384</x:v>
      </x:c>
      <x:c r="H2588" s="47" t="n">
        <x:v>0.33810105001075585</x:v>
      </x:c>
      <x:c r="I2588" s="47" t="n">
        <x:v>0.8054178910276086</x:v>
      </x:c>
      <x:c r="J2588" s="47" t="n">
        <x:v>0.4855692522140235</x:v>
      </x:c>
      <x:c r="K2588" s="47" t="n">
        <x:v>0.9512231234831797</x:v>
      </x:c>
      <x:c r="L2588" s="47" t="n">
        <x:v>0.5774464366118373</x:v>
      </x:c>
      <x:c r="M2588" s="47" t="n">
        <x:v>0.007029562325831369</x:v>
      </x:c>
      <x:c r="N2588" s="47" t="n">
        <x:v>0.9780765454955438</x:v>
      </x:c>
      <x:c r="O2588" s="47" t="n">
        <x:v>0.8585108402192722</x:v>
      </x:c>
      <x:c r="P2588" s="47" t="n">
        <x:v>0.6552284382052764</x:v>
      </x:c>
      <x:c r="Q2588" s="47" t="n">
        <x:v>1</x:v>
      </x:c>
      <x:c r="R2588" s="47" t="n">
        <x:v>0.8252830953081931</x:v>
      </x:c>
      <x:c r="S2588" s="27" t="n">
        <x:v>0</x:v>
      </x:c>
    </x:row>
    <x:row r="2589" ht="21.600000381469727" hidden="0" customHeight="1">
      <x:c r="A2589" s="29" t="n">
        <x:v>862</x:v>
      </x:c>
      <x:c r="B2589" s="29" t="str">
        <x:v>A2</x:v>
      </x:c>
      <x:c r="C2589" s="48" t="n">
        <x:v>1.0418104401632327</x:v>
      </x:c>
      <x:c r="D2589" s="48" t="n">
        <x:v>0.8075008423936105</x:v>
      </x:c>
      <x:c r="E2589" s="48" t="n">
        <x:v>0.8969140401374169</x:v>
      </x:c>
      <x:c r="F2589" s="48" t="n">
        <x:v>-0.07023606712212416</x:v>
      </x:c>
      <x:c r="G2589" s="48" t="n">
        <x:v>-0.019452956473866384</x:v>
      </x:c>
      <x:c r="H2589" s="48" t="n">
        <x:v>0.33810105001075585</x:v>
      </x:c>
      <x:c r="I2589" s="48" t="n">
        <x:v>0.8054178910276086</x:v>
      </x:c>
      <x:c r="J2589" s="48" t="n">
        <x:v>0.4855692522140235</x:v>
      </x:c>
      <x:c r="K2589" s="48" t="n">
        <x:v>0.9512231234831797</x:v>
      </x:c>
      <x:c r="L2589" s="48" t="n">
        <x:v>0.5774464366118373</x:v>
      </x:c>
      <x:c r="M2589" s="48" t="n">
        <x:v>0.007029562325831369</x:v>
      </x:c>
      <x:c r="N2589" s="48" t="n">
        <x:v>0.9780765454955438</x:v>
      </x:c>
      <x:c r="O2589" s="48" t="n">
        <x:v>0.942906009325872</x:v>
      </x:c>
      <x:c r="P2589" s="48" t="n">
        <x:v>0.6709622256725345</x:v>
      </x:c>
      <x:c r="Q2589" s="48" t="n">
        <x:v>1</x:v>
      </x:c>
      <x:c r="R2589" s="48" t="n">
        <x:v>0.9294978827880123</x:v>
      </x:c>
      <x:c r="S2589" s="29" t="n">
        <x:v>0</x:v>
      </x:c>
    </x:row>
    <x:row r="2590" ht="21.600000381469727" hidden="0" customHeight="1">
      <x:c r="A2590" s="27" t="n">
        <x:v>862</x:v>
      </x:c>
      <x:c r="B2590" s="27" t="str">
        <x:v>A3</x:v>
      </x:c>
      <x:c r="C2590" s="47" t="n">
        <x:v>1.0418104401632327</x:v>
      </x:c>
      <x:c r="D2590" s="47" t="n">
        <x:v>0.8075008423936105</x:v>
      </x:c>
      <x:c r="E2590" s="47" t="n">
        <x:v>0.8969140401374169</x:v>
      </x:c>
      <x:c r="F2590" s="47" t="n">
        <x:v>-0.07023606712212416</x:v>
      </x:c>
      <x:c r="G2590" s="47" t="n">
        <x:v>-0.019452956473866384</x:v>
      </x:c>
      <x:c r="H2590" s="47" t="n">
        <x:v>0.33810105001075585</x:v>
      </x:c>
      <x:c r="I2590" s="47" t="n">
        <x:v>0.8054178910276086</x:v>
      </x:c>
      <x:c r="J2590" s="47" t="n">
        <x:v>0.4855692522140235</x:v>
      </x:c>
      <x:c r="K2590" s="47" t="n">
        <x:v>0.9512231234831797</x:v>
      </x:c>
      <x:c r="L2590" s="47" t="n">
        <x:v>0.5774464366118373</x:v>
      </x:c>
      <x:c r="M2590" s="47" t="n">
        <x:v>0.007029562325831369</x:v>
      </x:c>
      <x:c r="N2590" s="47" t="n">
        <x:v>0.9780765454955438</x:v>
      </x:c>
      <x:c r="O2590" s="47" t="n">
        <x:v>1</x:v>
      </x:c>
      <x:c r="P2590" s="47" t="n">
        <x:v>1</x:v>
      </x:c>
      <x:c r="Q2590" s="47" t="n">
        <x:v>1</x:v>
      </x:c>
      <x:c r="R2590" s="47" t="n">
        <x:v>1</x:v>
      </x:c>
      <x:c r="S2590" s="27" t="n">
        <x:v>1</x:v>
      </x:c>
    </x:row>
    <x:row r="2591" ht="21.600000381469727" hidden="0" customHeight="1">
      <x:c r="A2591" s="29" t="n">
        <x:v>863</x:v>
      </x:c>
      <x:c r="B2591" s="29" t="str">
        <x:v>A1</x:v>
      </x:c>
      <x:c r="C2591" s="48" t="n">
        <x:v>1.3422388295153338</x:v>
      </x:c>
      <x:c r="D2591" s="48" t="n">
        <x:v>0.825062573618321</x:v>
      </x:c>
      <x:c r="E2591" s="48" t="n">
        <x:v>0.9562339703658569</x:v>
      </x:c>
      <x:c r="F2591" s="48" t="n">
        <x:v>-0.1837837523015328</x:v>
      </x:c>
      <x:c r="G2591" s="48" t="n">
        <x:v>-0.07481539441911034</x:v>
      </x:c>
      <x:c r="H2591" s="48" t="n">
        <x:v>1.0037230444820018</x:v>
      </x:c>
      <x:c r="I2591" s="48" t="n">
        <x:v>0.8448224159007757</x:v>
      </x:c>
      <x:c r="J2591" s="48" t="n">
        <x:v>0.9332565952503481</x:v>
      </x:c>
      <x:c r="K2591" s="48" t="n">
        <x:v>0.7542188080359892</x:v>
      </x:c>
      <x:c r="L2591" s="48" t="n">
        <x:v>0.8384332546157164</x:v>
      </x:c>
      <x:c r="M2591" s="48" t="n">
        <x:v>0.09292972581111567</x:v>
      </x:c>
      <x:c r="N2591" s="48" t="n">
        <x:v>0.9391360779903779</x:v>
      </x:c>
      <x:c r="O2591" s="48" t="n">
        <x:v>0.7860345979575935</x:v>
      </x:c>
      <x:c r="P2591" s="48" t="n">
        <x:v>0.40300844859757023</x:v>
      </x:c>
      <x:c r="Q2591" s="48" t="n">
        <x:v>0.9999999999999998</x:v>
      </x:c>
      <x:c r="R2591" s="48" t="n">
        <x:v>0.7357863117293088</x:v>
      </x:c>
      <x:c r="S2591" s="29" t="n">
        <x:v>0</x:v>
      </x:c>
    </x:row>
    <x:row r="2592" ht="21.600000381469727" hidden="0" customHeight="1">
      <x:c r="A2592" s="27" t="n">
        <x:v>863</x:v>
      </x:c>
      <x:c r="B2592" s="27" t="str">
        <x:v>A2</x:v>
      </x:c>
      <x:c r="C2592" s="47" t="n">
        <x:v>1.3422388295153338</x:v>
      </x:c>
      <x:c r="D2592" s="47" t="n">
        <x:v>0.825062573618321</x:v>
      </x:c>
      <x:c r="E2592" s="47" t="n">
        <x:v>0.9562339703658569</x:v>
      </x:c>
      <x:c r="F2592" s="47" t="n">
        <x:v>-0.1837837523015328</x:v>
      </x:c>
      <x:c r="G2592" s="47" t="n">
        <x:v>-0.07481539441911034</x:v>
      </x:c>
      <x:c r="H2592" s="47" t="n">
        <x:v>1.0037230444820018</x:v>
      </x:c>
      <x:c r="I2592" s="47" t="n">
        <x:v>0.8448224159007757</x:v>
      </x:c>
      <x:c r="J2592" s="47" t="n">
        <x:v>0.9332565952503481</x:v>
      </x:c>
      <x:c r="K2592" s="47" t="n">
        <x:v>0.7542188080359892</x:v>
      </x:c>
      <x:c r="L2592" s="47" t="n">
        <x:v>0.8384332546157164</x:v>
      </x:c>
      <x:c r="M2592" s="47" t="n">
        <x:v>0.09292972581111567</x:v>
      </x:c>
      <x:c r="N2592" s="47" t="n">
        <x:v>0.9391360779903779</x:v>
      </x:c>
      <x:c r="O2592" s="47" t="n">
        <x:v>0.8820495280309449</x:v>
      </x:c>
      <x:c r="P2592" s="47" t="n">
        <x:v>0.44101376151543464</x:v>
      </x:c>
      <x:c r="Q2592" s="47" t="n">
        <x:v>1</x:v>
      </x:c>
      <x:c r="R2592" s="47" t="n">
        <x:v>0.8543496802065396</x:v>
      </x:c>
      <x:c r="S2592" s="27" t="n">
        <x:v>0</x:v>
      </x:c>
    </x:row>
    <x:row r="2593" ht="21.600000381469727" hidden="0" customHeight="1">
      <x:c r="A2593" s="29" t="n">
        <x:v>863</x:v>
      </x:c>
      <x:c r="B2593" s="29" t="str">
        <x:v>A3</x:v>
      </x:c>
      <x:c r="C2593" s="48" t="n">
        <x:v>1.3422388295153338</x:v>
      </x:c>
      <x:c r="D2593" s="48" t="n">
        <x:v>0.825062573618321</x:v>
      </x:c>
      <x:c r="E2593" s="48" t="n">
        <x:v>0.9562339703658569</x:v>
      </x:c>
      <x:c r="F2593" s="48" t="n">
        <x:v>-0.1837837523015328</x:v>
      </x:c>
      <x:c r="G2593" s="48" t="n">
        <x:v>-0.07481539441911034</x:v>
      </x:c>
      <x:c r="H2593" s="48" t="n">
        <x:v>1.0037230444820018</x:v>
      </x:c>
      <x:c r="I2593" s="48" t="n">
        <x:v>0.8448224159007757</x:v>
      </x:c>
      <x:c r="J2593" s="48" t="n">
        <x:v>0.9332565952503481</x:v>
      </x:c>
      <x:c r="K2593" s="48" t="n">
        <x:v>0.7542188080359892</x:v>
      </x:c>
      <x:c r="L2593" s="48" t="n">
        <x:v>0.8384332546157164</x:v>
      </x:c>
      <x:c r="M2593" s="48" t="n">
        <x:v>0.09292972581111567</x:v>
      </x:c>
      <x:c r="N2593" s="48" t="n">
        <x:v>0.9391360779903779</x:v>
      </x:c>
      <x:c r="O2593" s="48" t="n">
        <x:v>1</x:v>
      </x:c>
      <x:c r="P2593" s="48" t="n">
        <x:v>1</x:v>
      </x:c>
      <x:c r="Q2593" s="48" t="n">
        <x:v>1</x:v>
      </x:c>
      <x:c r="R2593" s="48" t="n">
        <x:v>1</x:v>
      </x:c>
      <x:c r="S2593" s="29" t="n">
        <x:v>1</x:v>
      </x:c>
    </x:row>
    <x:row r="2594" ht="21.600000381469727" hidden="0" customHeight="1">
      <x:c r="A2594" s="27" t="n">
        <x:v>864</x:v>
      </x:c>
      <x:c r="B2594" s="27" t="str">
        <x:v>A1</x:v>
      </x:c>
      <x:c r="C2594" s="47" t="n">
        <x:v>1.0712639980104361</x:v>
      </x:c>
      <x:c r="D2594" s="47" t="n">
        <x:v>0.9509194701450081</x:v>
      </x:c>
      <x:c r="E2594" s="47" t="n">
        <x:v>0.8788288512797031</x:v>
      </x:c>
      <x:c r="F2594" s="47" t="n">
        <x:v>-0.16020725697033333</x:v>
      </x:c>
      <x:c r="G2594" s="47" t="n">
        <x:v>-0.15282182076533457</x:v>
      </x:c>
      <x:c r="H2594" s="47" t="n">
        <x:v>0.9620798016331673</x:v>
      </x:c>
      <x:c r="I2594" s="47" t="n">
        <x:v>0.7565808642291445</x:v>
      </x:c>
      <x:c r="J2594" s="47" t="n">
        <x:v>0.9767747517580524</x:v>
      </x:c>
      <x:c r="K2594" s="47" t="n">
        <x:v>0.6375619047200007</x:v>
      </x:c>
      <x:c r="L2594" s="47" t="n">
        <x:v>0.9835613353143415</x:v>
      </x:c>
      <x:c r="M2594" s="47" t="n">
        <x:v>0.01779022485716488</x:v>
      </x:c>
      <x:c r="N2594" s="47" t="n">
        <x:v>0.9638567601812926</x:v>
      </x:c>
      <x:c r="O2594" s="47" t="n">
        <x:v>0.9488710483729413</x:v>
      </x:c>
      <x:c r="P2594" s="47" t="n">
        <x:v>0.7205552738934069</x:v>
      </x:c>
      <x:c r="Q2594" s="47" t="n">
        <x:v>1</x:v>
      </x:c>
      <x:c r="R2594" s="47" t="n">
        <x:v>0.9368637697597411</x:v>
      </x:c>
      <x:c r="S2594" s="27" t="n">
        <x:v>0</x:v>
      </x:c>
    </x:row>
    <x:row r="2595" ht="21.600000381469727" hidden="0" customHeight="1">
      <x:c r="A2595" s="29" t="n">
        <x:v>864</x:v>
      </x:c>
      <x:c r="B2595" s="29" t="str">
        <x:v>A2</x:v>
      </x:c>
      <x:c r="C2595" s="48" t="n">
        <x:v>1.0712639980104361</x:v>
      </x:c>
      <x:c r="D2595" s="48" t="n">
        <x:v>0.9509194701450081</x:v>
      </x:c>
      <x:c r="E2595" s="48" t="n">
        <x:v>0.8788288512797031</x:v>
      </x:c>
      <x:c r="F2595" s="48" t="n">
        <x:v>-0.16020725697033333</x:v>
      </x:c>
      <x:c r="G2595" s="48" t="n">
        <x:v>-0.15282182076533457</x:v>
      </x:c>
      <x:c r="H2595" s="48" t="n">
        <x:v>0.9620798016331673</x:v>
      </x:c>
      <x:c r="I2595" s="48" t="n">
        <x:v>0.7565808642291445</x:v>
      </x:c>
      <x:c r="J2595" s="48" t="n">
        <x:v>0.9767747517580524</x:v>
      </x:c>
      <x:c r="K2595" s="48" t="n">
        <x:v>0.6375619047200007</x:v>
      </x:c>
      <x:c r="L2595" s="48" t="n">
        <x:v>0.9835613353143415</x:v>
      </x:c>
      <x:c r="M2595" s="48" t="n">
        <x:v>0.01779022485716488</x:v>
      </x:c>
      <x:c r="N2595" s="48" t="n">
        <x:v>0.9638567601812926</x:v>
      </x:c>
      <x:c r="O2595" s="48" t="n">
        <x:v>0.9821601180768281</x:v>
      </x:c>
      <x:c r="P2595" s="48" t="n">
        <x:v>0.8216011807682807</x:v>
      </x:c>
      <x:c r="Q2595" s="48" t="n">
        <x:v>1</x:v>
      </x:c>
      <x:c r="R2595" s="48" t="n">
        <x:v>0.977970545909564</x:v>
      </x:c>
      <x:c r="S2595" s="29" t="n">
        <x:v>0</x:v>
      </x:c>
    </x:row>
    <x:row r="2596" ht="21.600000381469727" hidden="0" customHeight="1">
      <x:c r="A2596" s="27" t="n">
        <x:v>864</x:v>
      </x:c>
      <x:c r="B2596" s="27" t="str">
        <x:v>A3</x:v>
      </x:c>
      <x:c r="C2596" s="47" t="n">
        <x:v>1.0712639980104361</x:v>
      </x:c>
      <x:c r="D2596" s="47" t="n">
        <x:v>0.9509194701450081</x:v>
      </x:c>
      <x:c r="E2596" s="47" t="n">
        <x:v>0.8788288512797031</x:v>
      </x:c>
      <x:c r="F2596" s="47" t="n">
        <x:v>-0.16020725697033333</x:v>
      </x:c>
      <x:c r="G2596" s="47" t="n">
        <x:v>-0.15282182076533457</x:v>
      </x:c>
      <x:c r="H2596" s="47" t="n">
        <x:v>0.9620798016331673</x:v>
      </x:c>
      <x:c r="I2596" s="47" t="n">
        <x:v>0.7565808642291445</x:v>
      </x:c>
      <x:c r="J2596" s="47" t="n">
        <x:v>0.9767747517580524</x:v>
      </x:c>
      <x:c r="K2596" s="47" t="n">
        <x:v>0.6375619047200007</x:v>
      </x:c>
      <x:c r="L2596" s="47" t="n">
        <x:v>0.9835613353143415</x:v>
      </x:c>
      <x:c r="M2596" s="47" t="n">
        <x:v>0.01779022485716488</x:v>
      </x:c>
      <x:c r="N2596" s="47" t="n">
        <x:v>0.9638567601812926</x:v>
      </x:c>
      <x:c r="O2596" s="47" t="n">
        <x:v>1</x:v>
      </x:c>
      <x:c r="P2596" s="47" t="n">
        <x:v>1</x:v>
      </x:c>
      <x:c r="Q2596" s="47" t="n">
        <x:v>1</x:v>
      </x:c>
      <x:c r="R2596" s="47" t="n">
        <x:v>1</x:v>
      </x:c>
      <x:c r="S2596" s="27" t="n">
        <x:v>1</x:v>
      </x:c>
    </x:row>
    <x:row r="2597" ht="21.600000381469727" hidden="0" customHeight="1">
      <x:c r="A2597" s="29" t="n">
        <x:v>865</x:v>
      </x:c>
      <x:c r="B2597" s="29" t="str">
        <x:v>A1</x:v>
      </x:c>
      <x:c r="C2597" s="48" t="n">
        <x:v>1.3266356174565455</x:v>
      </x:c>
      <x:c r="D2597" s="48" t="n">
        <x:v>0.8931907135238231</x:v>
      </x:c>
      <x:c r="E2597" s="48" t="n">
        <x:v>1.0802625516114028</x:v>
      </x:c>
      <x:c r="F2597" s="48" t="n">
        <x:v>-0.06768889886428262</x:v>
      </x:c>
      <x:c r="G2597" s="48" t="n">
        <x:v>-0.11713044848375023</x:v>
      </x:c>
      <x:c r="H2597" s="48" t="n">
        <x:v>0.4716554962335828</x:v>
      </x:c>
      <x:c r="I2597" s="48" t="n">
        <x:v>0.8568409685023952</x:v>
      </x:c>
      <x:c r="J2597" s="48" t="n">
        <x:v>0.849478846641146</x:v>
      </x:c>
      <x:c r="K2597" s="48" t="n">
        <x:v>0.7330895981658502</x:v>
      </x:c>
      <x:c r="L2597" s="48" t="n">
        <x:v>0.5934598788925574</x:v>
      </x:c>
      <x:c r="M2597" s="48" t="n">
        <x:v>0.06878606582811062</x:v>
      </x:c>
      <x:c r="N2597" s="48" t="n">
        <x:v>0.9411201115020357</x:v>
      </x:c>
      <x:c r="O2597" s="48" t="n">
        <x:v>0.8023892101726812</x:v>
      </x:c>
      <x:c r="P2597" s="48" t="n">
        <x:v>0.500620141355263</x:v>
      </x:c>
      <x:c r="Q2597" s="48" t="n">
        <x:v>0.9494423176948227</x:v>
      </x:c>
      <x:c r="R2597" s="48" t="n">
        <x:v>0.7563571753537769</x:v>
      </x:c>
      <x:c r="S2597" s="29" t="n">
        <x:v>0</x:v>
      </x:c>
    </x:row>
    <x:row r="2598" ht="21.600000381469727" hidden="0" customHeight="1">
      <x:c r="A2598" s="27" t="n">
        <x:v>865</x:v>
      </x:c>
      <x:c r="B2598" s="27" t="str">
        <x:v>A2</x:v>
      </x:c>
      <x:c r="C2598" s="47" t="n">
        <x:v>1.3266356174565455</x:v>
      </x:c>
      <x:c r="D2598" s="47" t="n">
        <x:v>0.8931907135238231</x:v>
      </x:c>
      <x:c r="E2598" s="47" t="n">
        <x:v>1.0802625516114028</x:v>
      </x:c>
      <x:c r="F2598" s="47" t="n">
        <x:v>-0.06768889886428262</x:v>
      </x:c>
      <x:c r="G2598" s="47" t="n">
        <x:v>-0.11713044848375023</x:v>
      </x:c>
      <x:c r="H2598" s="47" t="n">
        <x:v>0.4716554962335828</x:v>
      </x:c>
      <x:c r="I2598" s="47" t="n">
        <x:v>0.8568409685023952</x:v>
      </x:c>
      <x:c r="J2598" s="47" t="n">
        <x:v>0.849478846641146</x:v>
      </x:c>
      <x:c r="K2598" s="47" t="n">
        <x:v>0.7330895981658502</x:v>
      </x:c>
      <x:c r="L2598" s="47" t="n">
        <x:v>0.5934598788925574</x:v>
      </x:c>
      <x:c r="M2598" s="47" t="n">
        <x:v>0.06878606582811062</x:v>
      </x:c>
      <x:c r="N2598" s="47" t="n">
        <x:v>0.9411201115020357</x:v>
      </x:c>
      <x:c r="O2598" s="47" t="n">
        <x:v>0.8896888277684571</x:v>
      </x:c>
      <x:c r="P2598" s="47" t="n">
        <x:v>0.5909007525734902</x:v>
      </x:c>
      <x:c r="Q2598" s="47" t="n">
        <x:v>1</x:v>
      </x:c>
      <x:c r="R2598" s="47" t="n">
        <x:v>0.8637830163449373</x:v>
      </x:c>
      <x:c r="S2598" s="27" t="n">
        <x:v>0</x:v>
      </x:c>
    </x:row>
    <x:row r="2599" ht="21.600000381469727" hidden="0" customHeight="1">
      <x:c r="A2599" s="29" t="n">
        <x:v>865</x:v>
      </x:c>
      <x:c r="B2599" s="29" t="str">
        <x:v>A3</x:v>
      </x:c>
      <x:c r="C2599" s="48" t="n">
        <x:v>1.3266356174565455</x:v>
      </x:c>
      <x:c r="D2599" s="48" t="n">
        <x:v>0.8931907135238231</x:v>
      </x:c>
      <x:c r="E2599" s="48" t="n">
        <x:v>1.0802625516114028</x:v>
      </x:c>
      <x:c r="F2599" s="48" t="n">
        <x:v>-0.06768889886428262</x:v>
      </x:c>
      <x:c r="G2599" s="48" t="n">
        <x:v>-0.11713044848375023</x:v>
      </x:c>
      <x:c r="H2599" s="48" t="n">
        <x:v>0.4716554962335828</x:v>
      </x:c>
      <x:c r="I2599" s="48" t="n">
        <x:v>0.8568409685023952</x:v>
      </x:c>
      <x:c r="J2599" s="48" t="n">
        <x:v>0.849478846641146</x:v>
      </x:c>
      <x:c r="K2599" s="48" t="n">
        <x:v>0.7330895981658502</x:v>
      </x:c>
      <x:c r="L2599" s="48" t="n">
        <x:v>0.5934598788925574</x:v>
      </x:c>
      <x:c r="M2599" s="48" t="n">
        <x:v>0.06878606582811062</x:v>
      </x:c>
      <x:c r="N2599" s="48" t="n">
        <x:v>0.9411201115020357</x:v>
      </x:c>
      <x:c r="O2599" s="48" t="n">
        <x:v>1</x:v>
      </x:c>
      <x:c r="P2599" s="48" t="n">
        <x:v>1</x:v>
      </x:c>
      <x:c r="Q2599" s="48" t="n">
        <x:v>1</x:v>
      </x:c>
      <x:c r="R2599" s="48" t="n">
        <x:v>1</x:v>
      </x:c>
      <x:c r="S2599" s="29" t="n">
        <x:v>1</x:v>
      </x:c>
    </x:row>
    <x:row r="2600" ht="21.600000381469727" hidden="0" customHeight="1">
      <x:c r="A2600" s="27" t="n">
        <x:v>866</x:v>
      </x:c>
      <x:c r="B2600" s="27" t="str">
        <x:v>A1</x:v>
      </x:c>
      <x:c r="C2600" s="47" t="n">
        <x:v>1.1080704102631744</x:v>
      </x:c>
      <x:c r="D2600" s="47" t="n">
        <x:v>0.8137981989206773</x:v>
      </x:c>
      <x:c r="E2600" s="47" t="n">
        <x:v>0.907445340404077</x:v>
      </x:c>
      <x:c r="F2600" s="47" t="n">
        <x:v>-0.011629273707729981</x:v>
      </x:c>
      <x:c r="G2600" s="47" t="n">
        <x:v>-0.08663523256084053</x:v>
      </x:c>
      <x:c r="H2600" s="47" t="n">
        <x:v>0.4903733353320296</x:v>
      </x:c>
      <x:c r="I2600" s="47" t="n">
        <x:v>0.8757522516535567</x:v>
      </x:c>
      <x:c r="J2600" s="47" t="n">
        <x:v>0.8689853049380989</x:v>
      </x:c>
      <x:c r="K2600" s="47" t="n">
        <x:v>0.6340926742263235</x:v>
      </x:c>
      <x:c r="L2600" s="47" t="n">
        <x:v>0.5339829870507382</x:v>
      </x:c>
      <x:c r="M2600" s="47" t="n">
        <x:v>0.14978932015987975</x:v>
      </x:c>
      <x:c r="N2600" s="47" t="n">
        <x:v>0.7576644547848749</x:v>
      </x:c>
      <x:c r="O2600" s="47" t="n">
        <x:v>0.7941448884866222</x:v>
      </x:c>
      <x:c r="P2600" s="47" t="n">
        <x:v>0.45984468113987614</x:v>
      </x:c>
      <x:c r="Q2600" s="47" t="n">
        <x:v>1</x:v>
      </x:c>
      <x:c r="R2600" s="47" t="n">
        <x:v>0.7458012475701827</x:v>
      </x:c>
      <x:c r="S2600" s="27" t="n">
        <x:v>0</x:v>
      </x:c>
    </x:row>
    <x:row r="2601" ht="21.600000381469727" hidden="0" customHeight="1">
      <x:c r="A2601" s="29" t="n">
        <x:v>866</x:v>
      </x:c>
      <x:c r="B2601" s="29" t="str">
        <x:v>A2</x:v>
      </x:c>
      <x:c r="C2601" s="48" t="n">
        <x:v>1.1080704102631744</x:v>
      </x:c>
      <x:c r="D2601" s="48" t="n">
        <x:v>0.8137981989206773</x:v>
      </x:c>
      <x:c r="E2601" s="48" t="n">
        <x:v>0.907445340404077</x:v>
      </x:c>
      <x:c r="F2601" s="48" t="n">
        <x:v>-0.011629273707729981</x:v>
      </x:c>
      <x:c r="G2601" s="48" t="n">
        <x:v>-0.08663523256084053</x:v>
      </x:c>
      <x:c r="H2601" s="48" t="n">
        <x:v>0.4903733353320296</x:v>
      </x:c>
      <x:c r="I2601" s="48" t="n">
        <x:v>0.8757522516535567</x:v>
      </x:c>
      <x:c r="J2601" s="48" t="n">
        <x:v>0.8689853049380989</x:v>
      </x:c>
      <x:c r="K2601" s="48" t="n">
        <x:v>0.6340926742263235</x:v>
      </x:c>
      <x:c r="L2601" s="48" t="n">
        <x:v>0.5339829870507382</x:v>
      </x:c>
      <x:c r="M2601" s="48" t="n">
        <x:v>0.14978932015987975</x:v>
      </x:c>
      <x:c r="N2601" s="48" t="n">
        <x:v>0.7576644547848749</x:v>
      </x:c>
      <x:c r="O2601" s="48" t="n">
        <x:v>0.8791526633882255</x:v>
      </x:c>
      <x:c r="P2601" s="48" t="n">
        <x:v>0.5619433299954029</x:v>
      </x:c>
      <x:c r="Q2601" s="48" t="n">
        <x:v>1</x:v>
      </x:c>
      <x:c r="R2601" s="48" t="n">
        <x:v>0.8507725070543953</x:v>
      </x:c>
      <x:c r="S2601" s="29" t="n">
        <x:v>0</x:v>
      </x:c>
    </x:row>
    <x:row r="2602" ht="21.600000381469727" hidden="0" customHeight="1">
      <x:c r="A2602" s="27" t="n">
        <x:v>866</x:v>
      </x:c>
      <x:c r="B2602" s="27" t="str">
        <x:v>A3</x:v>
      </x:c>
      <x:c r="C2602" s="47" t="n">
        <x:v>1.1080704102631744</x:v>
      </x:c>
      <x:c r="D2602" s="47" t="n">
        <x:v>0.8137981989206773</x:v>
      </x:c>
      <x:c r="E2602" s="47" t="n">
        <x:v>0.907445340404077</x:v>
      </x:c>
      <x:c r="F2602" s="47" t="n">
        <x:v>-0.011629273707729981</x:v>
      </x:c>
      <x:c r="G2602" s="47" t="n">
        <x:v>-0.08663523256084053</x:v>
      </x:c>
      <x:c r="H2602" s="47" t="n">
        <x:v>0.4903733353320296</x:v>
      </x:c>
      <x:c r="I2602" s="47" t="n">
        <x:v>0.8757522516535567</x:v>
      </x:c>
      <x:c r="J2602" s="47" t="n">
        <x:v>0.8689853049380989</x:v>
      </x:c>
      <x:c r="K2602" s="47" t="n">
        <x:v>0.6340926742263235</x:v>
      </x:c>
      <x:c r="L2602" s="47" t="n">
        <x:v>0.5339829870507382</x:v>
      </x:c>
      <x:c r="M2602" s="47" t="n">
        <x:v>0.14978932015987975</x:v>
      </x:c>
      <x:c r="N2602" s="47" t="n">
        <x:v>0.7576644547848749</x:v>
      </x:c>
      <x:c r="O2602" s="47" t="n">
        <x:v>1</x:v>
      </x:c>
      <x:c r="P2602" s="47" t="n">
        <x:v>1</x:v>
      </x:c>
      <x:c r="Q2602" s="47" t="n">
        <x:v>1</x:v>
      </x:c>
      <x:c r="R2602" s="47" t="n">
        <x:v>1.0000000000000002</x:v>
      </x:c>
      <x:c r="S2602" s="27" t="n">
        <x:v>1</x:v>
      </x:c>
    </x:row>
    <x:row r="2603" ht="21.600000381469727" hidden="0" customHeight="1">
      <x:c r="A2603" s="29" t="n">
        <x:v>867</x:v>
      </x:c>
      <x:c r="B2603" s="29" t="str">
        <x:v>A1</x:v>
      </x:c>
      <x:c r="C2603" s="48" t="n">
        <x:v>1.04901584401423</x:v>
      </x:c>
      <x:c r="D2603" s="48" t="n">
        <x:v>0.8609587345799893</x:v>
      </x:c>
      <x:c r="E2603" s="48" t="n">
        <x:v>0.8980584647452443</x:v>
      </x:c>
      <x:c r="F2603" s="48" t="n">
        <x:v>-0.09524307812172467</x:v>
      </x:c>
      <x:c r="G2603" s="48" t="n">
        <x:v>-0.1495688735320112</x:v>
      </x:c>
      <x:c r="H2603" s="48" t="n">
        <x:v>0.46710793625205427</x:v>
      </x:c>
      <x:c r="I2603" s="48" t="n">
        <x:v>0.9617670826646878</x:v>
      </x:c>
      <x:c r="J2603" s="48" t="n">
        <x:v>0.7202750105160209</x:v>
      </x:c>
      <x:c r="K2603" s="48" t="n">
        <x:v>0.6309651939218033</x:v>
      </x:c>
      <x:c r="L2603" s="48" t="n">
        <x:v>0.8518312179637371</x:v>
      </x:c>
      <x:c r="M2603" s="48" t="n">
        <x:v>0.16622544288425933</x:v>
      </x:c>
      <x:c r="N2603" s="48" t="n">
        <x:v>0.99137715990403</x:v>
      </x:c>
      <x:c r="O2603" s="48" t="n">
        <x:v>0.9064500858326556</x:v>
      </x:c>
      <x:c r="P2603" s="48" t="n">
        <x:v>0.6694004270568781</x:v>
      </x:c>
      <x:c r="Q2603" s="48" t="n">
        <x:v>1</x:v>
      </x:c>
      <x:c r="R2603" s="48" t="n">
        <x:v>0.8844805392665217</x:v>
      </x:c>
      <x:c r="S2603" s="29" t="n">
        <x:v>0</x:v>
      </x:c>
    </x:row>
    <x:row r="2604" ht="21.600000381469727" hidden="0" customHeight="1">
      <x:c r="A2604" s="27" t="n">
        <x:v>867</x:v>
      </x:c>
      <x:c r="B2604" s="27" t="str">
        <x:v>A2</x:v>
      </x:c>
      <x:c r="C2604" s="47" t="n">
        <x:v>1.04901584401423</x:v>
      </x:c>
      <x:c r="D2604" s="47" t="n">
        <x:v>0.8609587345799893</x:v>
      </x:c>
      <x:c r="E2604" s="47" t="n">
        <x:v>0.8980584647452443</x:v>
      </x:c>
      <x:c r="F2604" s="47" t="n">
        <x:v>-0.09524307812172467</x:v>
      </x:c>
      <x:c r="G2604" s="47" t="n">
        <x:v>-0.1495688735320112</x:v>
      </x:c>
      <x:c r="H2604" s="47" t="n">
        <x:v>0.46710793625205427</x:v>
      </x:c>
      <x:c r="I2604" s="47" t="n">
        <x:v>0.9617670826646878</x:v>
      </x:c>
      <x:c r="J2604" s="47" t="n">
        <x:v>0.7202750105160209</x:v>
      </x:c>
      <x:c r="K2604" s="47" t="n">
        <x:v>0.6309651939218033</x:v>
      </x:c>
      <x:c r="L2604" s="47" t="n">
        <x:v>0.8518312179637371</x:v>
      </x:c>
      <x:c r="M2604" s="47" t="n">
        <x:v>0.16622544288425933</x:v>
      </x:c>
      <x:c r="N2604" s="47" t="n">
        <x:v>0.99137715990403</x:v>
      </x:c>
      <x:c r="O2604" s="47" t="n">
        <x:v>0.9798658037547858</x:v>
      </x:c>
      <x:c r="P2604" s="47" t="n">
        <x:v>0.7986580375478595</x:v>
      </x:c>
      <x:c r="Q2604" s="47" t="n">
        <x:v>1</x:v>
      </x:c>
      <x:c r="R2604" s="47" t="n">
        <x:v>0.9751374278292918</x:v>
      </x:c>
      <x:c r="S2604" s="27" t="n">
        <x:v>0</x:v>
      </x:c>
    </x:row>
    <x:row r="2605" ht="21.600000381469727" hidden="0" customHeight="1">
      <x:c r="A2605" s="29" t="n">
        <x:v>867</x:v>
      </x:c>
      <x:c r="B2605" s="29" t="str">
        <x:v>A3</x:v>
      </x:c>
      <x:c r="C2605" s="48" t="n">
        <x:v>1.04901584401423</x:v>
      </x:c>
      <x:c r="D2605" s="48" t="n">
        <x:v>0.8609587345799893</x:v>
      </x:c>
      <x:c r="E2605" s="48" t="n">
        <x:v>0.8980584647452443</x:v>
      </x:c>
      <x:c r="F2605" s="48" t="n">
        <x:v>-0.09524307812172467</x:v>
      </x:c>
      <x:c r="G2605" s="48" t="n">
        <x:v>-0.1495688735320112</x:v>
      </x:c>
      <x:c r="H2605" s="48" t="n">
        <x:v>0.46710793625205427</x:v>
      </x:c>
      <x:c r="I2605" s="48" t="n">
        <x:v>0.9617670826646878</x:v>
      </x:c>
      <x:c r="J2605" s="48" t="n">
        <x:v>0.7202750105160209</x:v>
      </x:c>
      <x:c r="K2605" s="48" t="n">
        <x:v>0.6309651939218033</x:v>
      </x:c>
      <x:c r="L2605" s="48" t="n">
        <x:v>0.8518312179637371</x:v>
      </x:c>
      <x:c r="M2605" s="48" t="n">
        <x:v>0.16622544288425933</x:v>
      </x:c>
      <x:c r="N2605" s="48" t="n">
        <x:v>0.99137715990403</x:v>
      </x:c>
      <x:c r="O2605" s="48" t="n">
        <x:v>1</x:v>
      </x:c>
      <x:c r="P2605" s="48" t="n">
        <x:v>1</x:v>
      </x:c>
      <x:c r="Q2605" s="48" t="n">
        <x:v>1</x:v>
      </x:c>
      <x:c r="R2605" s="48" t="n">
        <x:v>1</x:v>
      </x:c>
      <x:c r="S2605" s="29" t="n">
        <x:v>1</x:v>
      </x:c>
    </x:row>
    <x:row r="2606" ht="21.600000381469727" hidden="0" customHeight="1">
      <x:c r="A2606" s="27" t="n">
        <x:v>868</x:v>
      </x:c>
      <x:c r="B2606" s="27" t="str">
        <x:v>A1</x:v>
      </x:c>
      <x:c r="C2606" s="47" t="n">
        <x:v>1.1003745610739435</x:v>
      </x:c>
      <x:c r="D2606" s="47" t="n">
        <x:v>0.9418447781912396</x:v>
      </x:c>
      <x:c r="E2606" s="47" t="n">
        <x:v>0.7799544292041432</x:v>
      </x:c>
      <x:c r="F2606" s="47" t="n">
        <x:v>-0.14037297571518748</x:v>
      </x:c>
      <x:c r="G2606" s="47" t="n">
        <x:v>-0.0015973171340211423</x:v>
      </x:c>
      <x:c r="H2606" s="47" t="n">
        <x:v>0.44184251444598316</x:v>
      </x:c>
      <x:c r="I2606" s="47" t="n">
        <x:v>0.7015155550002627</x:v>
      </x:c>
      <x:c r="J2606" s="47" t="n">
        <x:v>0.7701268142444311</x:v>
      </x:c>
      <x:c r="K2606" s="47" t="n">
        <x:v>0.757062078363371</x:v>
      </x:c>
      <x:c r="L2606" s="47" t="n">
        <x:v>0.7372452357122963</x:v>
      </x:c>
      <x:c r="M2606" s="47" t="n">
        <x:v>0.1372425257664354</x:v>
      </x:c>
      <x:c r="N2606" s="47" t="n">
        <x:v>0.8216761048116601</x:v>
      </x:c>
      <x:c r="O2606" s="47" t="n">
        <x:v>0.8871634580271748</x:v>
      </x:c>
      <x:c r="P2606" s="47" t="n">
        <x:v>0.5843338925164597</x:v>
      </x:c>
      <x:c r="Q2606" s="47" t="n">
        <x:v>1</x:v>
      </x:c>
      <x:c r="R2606" s="47" t="n">
        <x:v>0.860664581087544</x:v>
      </x:c>
      <x:c r="S2606" s="27" t="n">
        <x:v>0</x:v>
      </x:c>
    </x:row>
    <x:row r="2607" ht="21.600000381469727" hidden="0" customHeight="1">
      <x:c r="A2607" s="29" t="n">
        <x:v>868</x:v>
      </x:c>
      <x:c r="B2607" s="29" t="str">
        <x:v>A2</x:v>
      </x:c>
      <x:c r="C2607" s="48" t="n">
        <x:v>1.1003745610739435</x:v>
      </x:c>
      <x:c r="D2607" s="48" t="n">
        <x:v>0.9418447781912396</x:v>
      </x:c>
      <x:c r="E2607" s="48" t="n">
        <x:v>0.7799544292041432</x:v>
      </x:c>
      <x:c r="F2607" s="48" t="n">
        <x:v>-0.14037297571518748</x:v>
      </x:c>
      <x:c r="G2607" s="48" t="n">
        <x:v>-0.0015973171340211423</x:v>
      </x:c>
      <x:c r="H2607" s="48" t="n">
        <x:v>0.44184251444598316</x:v>
      </x:c>
      <x:c r="I2607" s="48" t="n">
        <x:v>0.7015155550002627</x:v>
      </x:c>
      <x:c r="J2607" s="48" t="n">
        <x:v>0.7701268142444311</x:v>
      </x:c>
      <x:c r="K2607" s="48" t="n">
        <x:v>0.757062078363371</x:v>
      </x:c>
      <x:c r="L2607" s="48" t="n">
        <x:v>0.7372452357122963</x:v>
      </x:c>
      <x:c r="M2607" s="48" t="n">
        <x:v>0.1372425257664354</x:v>
      </x:c>
      <x:c r="N2607" s="48" t="n">
        <x:v>0.8216761048116601</x:v>
      </x:c>
      <x:c r="O2607" s="48" t="n">
        <x:v>0.9559805453572408</x:v>
      </x:c>
      <x:c r="P2607" s="48" t="n">
        <x:v>0.7008232012419318</x:v>
      </x:c>
      <x:c r="Q2607" s="48" t="n">
        <x:v>1</x:v>
      </x:c>
      <x:c r="R2607" s="48" t="n">
        <x:v>0.9456428826538846</x:v>
      </x:c>
      <x:c r="S2607" s="29" t="n">
        <x:v>0</x:v>
      </x:c>
    </x:row>
    <x:row r="2608" ht="21.600000381469727" hidden="0" customHeight="1">
      <x:c r="A2608" s="27" t="n">
        <x:v>868</x:v>
      </x:c>
      <x:c r="B2608" s="27" t="str">
        <x:v>A3</x:v>
      </x:c>
      <x:c r="C2608" s="47" t="n">
        <x:v>1.1003745610739435</x:v>
      </x:c>
      <x:c r="D2608" s="47" t="n">
        <x:v>0.9418447781912396</x:v>
      </x:c>
      <x:c r="E2608" s="47" t="n">
        <x:v>0.7799544292041432</x:v>
      </x:c>
      <x:c r="F2608" s="47" t="n">
        <x:v>-0.14037297571518748</x:v>
      </x:c>
      <x:c r="G2608" s="47" t="n">
        <x:v>-0.0015973171340211423</x:v>
      </x:c>
      <x:c r="H2608" s="47" t="n">
        <x:v>0.44184251444598316</x:v>
      </x:c>
      <x:c r="I2608" s="47" t="n">
        <x:v>0.7015155550002627</x:v>
      </x:c>
      <x:c r="J2608" s="47" t="n">
        <x:v>0.7701268142444311</x:v>
      </x:c>
      <x:c r="K2608" s="47" t="n">
        <x:v>0.757062078363371</x:v>
      </x:c>
      <x:c r="L2608" s="47" t="n">
        <x:v>0.7372452357122963</x:v>
      </x:c>
      <x:c r="M2608" s="47" t="n">
        <x:v>0.1372425257664354</x:v>
      </x:c>
      <x:c r="N2608" s="47" t="n">
        <x:v>0.8216761048116601</x:v>
      </x:c>
      <x:c r="O2608" s="47" t="n">
        <x:v>1</x:v>
      </x:c>
      <x:c r="P2608" s="47" t="n">
        <x:v>1</x:v>
      </x:c>
      <x:c r="Q2608" s="47" t="n">
        <x:v>1</x:v>
      </x:c>
      <x:c r="R2608" s="47" t="n">
        <x:v>1</x:v>
      </x:c>
      <x:c r="S2608" s="27" t="n">
        <x:v>1</x:v>
      </x:c>
    </x:row>
    <x:row r="2609" ht="21.600000381469727" hidden="0" customHeight="1">
      <x:c r="A2609" s="29" t="n">
        <x:v>869</x:v>
      </x:c>
      <x:c r="B2609" s="29" t="str">
        <x:v>A1</x:v>
      </x:c>
      <x:c r="C2609" s="48" t="n">
        <x:v>1.0503467601049032</x:v>
      </x:c>
      <x:c r="D2609" s="48" t="n">
        <x:v>0.8685365223069532</x:v>
      </x:c>
      <x:c r="E2609" s="48" t="n">
        <x:v>0.7756408098562413</x:v>
      </x:c>
      <x:c r="F2609" s="48" t="n">
        <x:v>-0.07935874577984173</x:v>
      </x:c>
      <x:c r="G2609" s="48" t="n">
        <x:v>-0.17989252341719905</x:v>
      </x:c>
      <x:c r="H2609" s="48" t="n">
        <x:v>0.41099636914559834</x:v>
      </x:c>
      <x:c r="I2609" s="48" t="n">
        <x:v>0.6333237327956158</x:v>
      </x:c>
      <x:c r="J2609" s="48" t="n">
        <x:v>0.7424973884033221</x:v>
      </x:c>
      <x:c r="K2609" s="48" t="n">
        <x:v>0.8664222360384272</x:v>
      </x:c>
      <x:c r="L2609" s="48" t="n">
        <x:v>0.5878178993425154</x:v>
      </x:c>
      <x:c r="M2609" s="48" t="n">
        <x:v>0.04721839420679077</x:v>
      </x:c>
      <x:c r="N2609" s="48" t="n">
        <x:v>0.8312142994029301</x:v>
      </x:c>
      <x:c r="O2609" s="48" t="n">
        <x:v>0.8542416959515428</x:v>
      </x:c>
      <x:c r="P2609" s="48" t="n">
        <x:v>0.4877236706856506</x:v>
      </x:c>
      <x:c r="Q2609" s="48" t="n">
        <x:v>0.9529707726859634</x:v>
      </x:c>
      <x:c r="R2609" s="48" t="n">
        <x:v>0.8203606513897796</x:v>
      </x:c>
      <x:c r="S2609" s="29" t="n">
        <x:v>0</x:v>
      </x:c>
    </x:row>
    <x:row r="2610" ht="21.600000381469727" hidden="0" customHeight="1">
      <x:c r="A2610" s="27" t="n">
        <x:v>869</x:v>
      </x:c>
      <x:c r="B2610" s="27" t="str">
        <x:v>A2</x:v>
      </x:c>
      <x:c r="C2610" s="47" t="n">
        <x:v>1.0503467601049032</x:v>
      </x:c>
      <x:c r="D2610" s="47" t="n">
        <x:v>0.8685365223069532</x:v>
      </x:c>
      <x:c r="E2610" s="47" t="n">
        <x:v>0.7756408098562413</x:v>
      </x:c>
      <x:c r="F2610" s="47" t="n">
        <x:v>-0.07935874577984173</x:v>
      </x:c>
      <x:c r="G2610" s="47" t="n">
        <x:v>-0.17989252341719905</x:v>
      </x:c>
      <x:c r="H2610" s="47" t="n">
        <x:v>0.41099636914559834</x:v>
      </x:c>
      <x:c r="I2610" s="47" t="n">
        <x:v>0.6333237327956158</x:v>
      </x:c>
      <x:c r="J2610" s="47" t="n">
        <x:v>0.7424973884033221</x:v>
      </x:c>
      <x:c r="K2610" s="47" t="n">
        <x:v>0.8664222360384272</x:v>
      </x:c>
      <x:c r="L2610" s="47" t="n">
        <x:v>0.5878178993425154</x:v>
      </x:c>
      <x:c r="M2610" s="47" t="n">
        <x:v>0.04721839420679077</x:v>
      </x:c>
      <x:c r="N2610" s="47" t="n">
        <x:v>0.8312142994029301</x:v>
      </x:c>
      <x:c r="O2610" s="47" t="n">
        <x:v>0.9286399145841054</x:v>
      </x:c>
      <x:c r="P2610" s="47" t="n">
        <x:v>0.6691108589440191</x:v>
      </x:c>
      <x:c r="Q2610" s="47" t="n">
        <x:v>1</x:v>
      </x:c>
      <x:c r="R2610" s="47" t="n">
        <x:v>0.9118814949376337</x:v>
      </x:c>
      <x:c r="S2610" s="27" t="n">
        <x:v>0</x:v>
      </x:c>
    </x:row>
    <x:row r="2611" ht="21.600000381469727" hidden="0" customHeight="1">
      <x:c r="A2611" s="29" t="n">
        <x:v>869</x:v>
      </x:c>
      <x:c r="B2611" s="29" t="str">
        <x:v>A3</x:v>
      </x:c>
      <x:c r="C2611" s="48" t="n">
        <x:v>1.0503467601049032</x:v>
      </x:c>
      <x:c r="D2611" s="48" t="n">
        <x:v>0.8685365223069532</x:v>
      </x:c>
      <x:c r="E2611" s="48" t="n">
        <x:v>0.7756408098562413</x:v>
      </x:c>
      <x:c r="F2611" s="48" t="n">
        <x:v>-0.07935874577984173</x:v>
      </x:c>
      <x:c r="G2611" s="48" t="n">
        <x:v>-0.17989252341719905</x:v>
      </x:c>
      <x:c r="H2611" s="48" t="n">
        <x:v>0.41099636914559834</x:v>
      </x:c>
      <x:c r="I2611" s="48" t="n">
        <x:v>0.6333237327956158</x:v>
      </x:c>
      <x:c r="J2611" s="48" t="n">
        <x:v>0.7424973884033221</x:v>
      </x:c>
      <x:c r="K2611" s="48" t="n">
        <x:v>0.8664222360384272</x:v>
      </x:c>
      <x:c r="L2611" s="48" t="n">
        <x:v>0.5878178993425154</x:v>
      </x:c>
      <x:c r="M2611" s="48" t="n">
        <x:v>0.04721839420679077</x:v>
      </x:c>
      <x:c r="N2611" s="48" t="n">
        <x:v>0.8312142994029301</x:v>
      </x:c>
      <x:c r="O2611" s="48" t="n">
        <x:v>1</x:v>
      </x:c>
      <x:c r="P2611" s="48" t="n">
        <x:v>1</x:v>
      </x:c>
      <x:c r="Q2611" s="48" t="n">
        <x:v>1</x:v>
      </x:c>
      <x:c r="R2611" s="48" t="n">
        <x:v>1</x:v>
      </x:c>
      <x:c r="S2611" s="29" t="n">
        <x:v>1</x:v>
      </x:c>
    </x:row>
    <x:row r="2612" ht="21.600000381469727" hidden="0" customHeight="1">
      <x:c r="A2612" s="27" t="n">
        <x:v>870</x:v>
      </x:c>
      <x:c r="B2612" s="27" t="str">
        <x:v>A1</x:v>
      </x:c>
      <x:c r="C2612" s="47" t="n">
        <x:v>0.9423457164551552</x:v>
      </x:c>
      <x:c r="D2612" s="47" t="n">
        <x:v>0.9780376002545819</x:v>
      </x:c>
      <x:c r="E2612" s="47" t="n">
        <x:v>0.5310382372662575</x:v>
      </x:c>
      <x:c r="F2612" s="47" t="n">
        <x:v>-0.010761910674822378</x:v>
      </x:c>
      <x:c r="G2612" s="47" t="n">
        <x:v>-0.1959891436647081</x:v>
      </x:c>
      <x:c r="H2612" s="47" t="n">
        <x:v>0.4971063035256692</x:v>
      </x:c>
      <x:c r="I2612" s="47" t="n">
        <x:v>0.603933799218532</x:v>
      </x:c>
      <x:c r="J2612" s="47" t="n">
        <x:v>0.9127440877005127</x:v>
      </x:c>
      <x:c r="K2612" s="47" t="n">
        <x:v>0.6933413197888213</x:v>
      </x:c>
      <x:c r="L2612" s="47" t="n">
        <x:v>0.6006296063982788</x:v>
      </x:c>
      <x:c r="M2612" s="47" t="n">
        <x:v>0.16563238846805878</x:v>
      </x:c>
      <x:c r="N2612" s="47" t="n">
        <x:v>0.8820899519537404</x:v>
      </x:c>
      <x:c r="O2612" s="47" t="n">
        <x:v>0.9409190121198067</x:v>
      </x:c>
      <x:c r="P2612" s="47" t="n">
        <x:v>0.6551887423659017</x:v>
      </x:c>
      <x:c r="Q2612" s="47" t="n">
        <x:v>1</x:v>
      </x:c>
      <x:c r="R2612" s="47" t="n">
        <x:v>0.9270442531105654</x:v>
      </x:c>
      <x:c r="S2612" s="27" t="n">
        <x:v>0</x:v>
      </x:c>
    </x:row>
    <x:row r="2613" ht="21.600000381469727" hidden="0" customHeight="1">
      <x:c r="A2613" s="29" t="n">
        <x:v>870</x:v>
      </x:c>
      <x:c r="B2613" s="29" t="str">
        <x:v>A2</x:v>
      </x:c>
      <x:c r="C2613" s="48" t="n">
        <x:v>0.9423457164551552</x:v>
      </x:c>
      <x:c r="D2613" s="48" t="n">
        <x:v>0.9780376002545819</x:v>
      </x:c>
      <x:c r="E2613" s="48" t="n">
        <x:v>0.5310382372662575</x:v>
      </x:c>
      <x:c r="F2613" s="48" t="n">
        <x:v>-0.010761910674822378</x:v>
      </x:c>
      <x:c r="G2613" s="48" t="n">
        <x:v>-0.1959891436647081</x:v>
      </x:c>
      <x:c r="H2613" s="48" t="n">
        <x:v>0.4971063035256692</x:v>
      </x:c>
      <x:c r="I2613" s="48" t="n">
        <x:v>0.603933799218532</x:v>
      </x:c>
      <x:c r="J2613" s="48" t="n">
        <x:v>0.9127440877005127</x:v>
      </x:c>
      <x:c r="K2613" s="48" t="n">
        <x:v>0.6933413197888213</x:v>
      </x:c>
      <x:c r="L2613" s="48" t="n">
        <x:v>0.6006296063982788</x:v>
      </x:c>
      <x:c r="M2613" s="48" t="n">
        <x:v>0.16563238846805878</x:v>
      </x:c>
      <x:c r="N2613" s="48" t="n">
        <x:v>0.8820899519537404</x:v>
      </x:c>
      <x:c r="O2613" s="48" t="n">
        <x:v>0.9830448717737472</x:v>
      </x:c>
      <x:c r="P2613" s="48" t="n">
        <x:v>0.8464014508980234</x:v>
      </x:c>
      <x:c r="Q2613" s="48" t="n">
        <x:v>1</x:v>
      </x:c>
      <x:c r="R2613" s="48" t="n">
        <x:v>0.9790630778574525</x:v>
      </x:c>
      <x:c r="S2613" s="29" t="n">
        <x:v>0</x:v>
      </x:c>
    </x:row>
    <x:row r="2614" ht="21.600000381469727" hidden="0" customHeight="1">
      <x:c r="A2614" s="27" t="n">
        <x:v>870</x:v>
      </x:c>
      <x:c r="B2614" s="27" t="str">
        <x:v>A3</x:v>
      </x:c>
      <x:c r="C2614" s="47" t="n">
        <x:v>0.9423457164551552</x:v>
      </x:c>
      <x:c r="D2614" s="47" t="n">
        <x:v>0.9780376002545819</x:v>
      </x:c>
      <x:c r="E2614" s="47" t="n">
        <x:v>0.5310382372662575</x:v>
      </x:c>
      <x:c r="F2614" s="47" t="n">
        <x:v>-0.010761910674822378</x:v>
      </x:c>
      <x:c r="G2614" s="47" t="n">
        <x:v>-0.1959891436647081</x:v>
      </x:c>
      <x:c r="H2614" s="47" t="n">
        <x:v>0.4971063035256692</x:v>
      </x:c>
      <x:c r="I2614" s="47" t="n">
        <x:v>0.603933799218532</x:v>
      </x:c>
      <x:c r="J2614" s="47" t="n">
        <x:v>0.9127440877005127</x:v>
      </x:c>
      <x:c r="K2614" s="47" t="n">
        <x:v>0.6933413197888213</x:v>
      </x:c>
      <x:c r="L2614" s="47" t="n">
        <x:v>0.6006296063982788</x:v>
      </x:c>
      <x:c r="M2614" s="47" t="n">
        <x:v>0.16563238846805878</x:v>
      </x:c>
      <x:c r="N2614" s="47" t="n">
        <x:v>0.8820899519537404</x:v>
      </x:c>
      <x:c r="O2614" s="47" t="n">
        <x:v>1</x:v>
      </x:c>
      <x:c r="P2614" s="47" t="n">
        <x:v>1</x:v>
      </x:c>
      <x:c r="Q2614" s="47" t="n">
        <x:v>1</x:v>
      </x:c>
      <x:c r="R2614" s="47" t="n">
        <x:v>1</x:v>
      </x:c>
      <x:c r="S2614" s="27" t="n">
        <x:v>1</x:v>
      </x:c>
    </x:row>
    <x:row r="2615" ht="21.600000381469727" hidden="0" customHeight="1">
      <x:c r="A2615" s="29" t="n">
        <x:v>871</x:v>
      </x:c>
      <x:c r="B2615" s="29" t="str">
        <x:v>A1</x:v>
      </x:c>
      <x:c r="C2615" s="48" t="n">
        <x:v>1.188829161991929</x:v>
      </x:c>
      <x:c r="D2615" s="48" t="n">
        <x:v>0.7835269829419824</x:v>
      </x:c>
      <x:c r="E2615" s="48" t="n">
        <x:v>1.0410261691425864</x:v>
      </x:c>
      <x:c r="F2615" s="48" t="n">
        <x:v>0.02770051711849922</x:v>
      </x:c>
      <x:c r="G2615" s="48" t="n">
        <x:v>-0.19734158945903524</x:v>
      </x:c>
      <x:c r="H2615" s="48" t="n">
        <x:v>0.9905939925463736</x:v>
      </x:c>
      <x:c r="I2615" s="48" t="n">
        <x:v>0.6343951763445403</x:v>
      </x:c>
      <x:c r="J2615" s="48" t="n">
        <x:v>0.6165632383284556</x:v>
      </x:c>
      <x:c r="K2615" s="48" t="n">
        <x:v>0.9421349376566237</x:v>
      </x:c>
      <x:c r="L2615" s="48" t="n">
        <x:v>0.8462793985607082</x:v>
      </x:c>
      <x:c r="M2615" s="48" t="n">
        <x:v>0.04422737657358009</x:v>
      </x:c>
      <x:c r="N2615" s="48" t="n">
        <x:v>0.6702686203177171</x:v>
      </x:c>
      <x:c r="O2615" s="48" t="n">
        <x:v>0.8235779608868374</x:v>
      </x:c>
      <x:c r="P2615" s="48" t="n">
        <x:v>0.5130125807245527</x:v>
      </x:c>
      <x:c r="Q2615" s="48" t="n">
        <x:v>1</x:v>
      </x:c>
      <x:c r="R2615" s="48" t="n">
        <x:v>0.7821464722736506</x:v>
      </x:c>
      <x:c r="S2615" s="29" t="n">
        <x:v>0</x:v>
      </x:c>
    </x:row>
    <x:row r="2616" ht="21.600000381469727" hidden="0" customHeight="1">
      <x:c r="A2616" s="27" t="n">
        <x:v>871</x:v>
      </x:c>
      <x:c r="B2616" s="27" t="str">
        <x:v>A2</x:v>
      </x:c>
      <x:c r="C2616" s="47" t="n">
        <x:v>1.188829161991929</x:v>
      </x:c>
      <x:c r="D2616" s="47" t="n">
        <x:v>0.7835269829419824</x:v>
      </x:c>
      <x:c r="E2616" s="47" t="n">
        <x:v>1.0410261691425864</x:v>
      </x:c>
      <x:c r="F2616" s="47" t="n">
        <x:v>0.02770051711849922</x:v>
      </x:c>
      <x:c r="G2616" s="47" t="n">
        <x:v>-0.19734158945903524</x:v>
      </x:c>
      <x:c r="H2616" s="47" t="n">
        <x:v>0.9905939925463736</x:v>
      </x:c>
      <x:c r="I2616" s="47" t="n">
        <x:v>0.6343951763445403</x:v>
      </x:c>
      <x:c r="J2616" s="47" t="n">
        <x:v>0.6165632383284556</x:v>
      </x:c>
      <x:c r="K2616" s="47" t="n">
        <x:v>0.9421349376566237</x:v>
      </x:c>
      <x:c r="L2616" s="47" t="n">
        <x:v>0.8462793985607082</x:v>
      </x:c>
      <x:c r="M2616" s="47" t="n">
        <x:v>0.04422737657358009</x:v>
      </x:c>
      <x:c r="N2616" s="47" t="n">
        <x:v>0.6702686203177171</x:v>
      </x:c>
      <x:c r="O2616" s="47" t="n">
        <x:v>0.9138167359734861</x:v>
      </x:c>
      <x:c r="P2616" s="47" t="n">
        <x:v>0.5990999794235629</x:v>
      </x:c>
      <x:c r="Q2616" s="47" t="n">
        <x:v>1</x:v>
      </x:c>
      <x:c r="R2616" s="47" t="n">
        <x:v>0.8935771959471326</x:v>
      </x:c>
      <x:c r="S2616" s="27" t="n">
        <x:v>0</x:v>
      </x:c>
    </x:row>
    <x:row r="2617" ht="21.600000381469727" hidden="0" customHeight="1">
      <x:c r="A2617" s="29" t="n">
        <x:v>871</x:v>
      </x:c>
      <x:c r="B2617" s="29" t="str">
        <x:v>A3</x:v>
      </x:c>
      <x:c r="C2617" s="48" t="n">
        <x:v>1.188829161991929</x:v>
      </x:c>
      <x:c r="D2617" s="48" t="n">
        <x:v>0.7835269829419824</x:v>
      </x:c>
      <x:c r="E2617" s="48" t="n">
        <x:v>1.0410261691425864</x:v>
      </x:c>
      <x:c r="F2617" s="48" t="n">
        <x:v>0.02770051711849922</x:v>
      </x:c>
      <x:c r="G2617" s="48" t="n">
        <x:v>-0.19734158945903524</x:v>
      </x:c>
      <x:c r="H2617" s="48" t="n">
        <x:v>0.9905939925463736</x:v>
      </x:c>
      <x:c r="I2617" s="48" t="n">
        <x:v>0.6343951763445403</x:v>
      </x:c>
      <x:c r="J2617" s="48" t="n">
        <x:v>0.6165632383284556</x:v>
      </x:c>
      <x:c r="K2617" s="48" t="n">
        <x:v>0.9421349376566237</x:v>
      </x:c>
      <x:c r="L2617" s="48" t="n">
        <x:v>0.8462793985607082</x:v>
      </x:c>
      <x:c r="M2617" s="48" t="n">
        <x:v>0.04422737657358009</x:v>
      </x:c>
      <x:c r="N2617" s="48" t="n">
        <x:v>0.6702686203177171</x:v>
      </x:c>
      <x:c r="O2617" s="48" t="n">
        <x:v>1</x:v>
      </x:c>
      <x:c r="P2617" s="48" t="n">
        <x:v>1</x:v>
      </x:c>
      <x:c r="Q2617" s="48" t="n">
        <x:v>1</x:v>
      </x:c>
      <x:c r="R2617" s="48" t="n">
        <x:v>1</x:v>
      </x:c>
      <x:c r="S2617" s="29" t="n">
        <x:v>1</x:v>
      </x:c>
    </x:row>
    <x:row r="2618" ht="21.600000381469727" hidden="0" customHeight="1">
      <x:c r="A2618" s="27" t="n">
        <x:v>872</x:v>
      </x:c>
      <x:c r="B2618" s="27" t="str">
        <x:v>A1</x:v>
      </x:c>
      <x:c r="C2618" s="47" t="n">
        <x:v>1.3130165859392917</x:v>
      </x:c>
      <x:c r="D2618" s="47" t="n">
        <x:v>0.844266838612957</x:v>
      </x:c>
      <x:c r="E2618" s="47" t="n">
        <x:v>0.47975866239239723</x:v>
      </x:c>
      <x:c r="F2618" s="47" t="n">
        <x:v>-0.10244775673397052</x:v>
      </x:c>
      <x:c r="G2618" s="47" t="n">
        <x:v>-0.014832009739720542</x:v>
      </x:c>
      <x:c r="H2618" s="47" t="n">
        <x:v>0.6971937504901817</x:v>
      </x:c>
      <x:c r="I2618" s="47" t="n">
        <x:v>0.7903424035175168</x:v>
      </x:c>
      <x:c r="J2618" s="47" t="n">
        <x:v>0.4191347527340193</x:v>
      </x:c>
      <x:c r="K2618" s="47" t="n">
        <x:v>0.9496847686587213</x:v>
      </x:c>
      <x:c r="L2618" s="47" t="n">
        <x:v>0.5253226137302179</x:v>
      </x:c>
      <x:c r="M2618" s="47" t="n">
        <x:v>0.029191931667171385</x:v>
      </x:c>
      <x:c r="N2618" s="47" t="n">
        <x:v>0.8777374551120972</x:v>
      </x:c>
      <x:c r="O2618" s="47" t="n">
        <x:v>0.7369010735995789</x:v>
      </x:c>
      <x:c r="P2618" s="47" t="n">
        <x:v>0.4357192302945245</x:v>
      </x:c>
      <x:c r="Q2618" s="47" t="n">
        <x:v>0.940521955433192</x:v>
      </x:c>
      <x:c r="R2618" s="47" t="n">
        <x:v>0.6758681335856064</x:v>
      </x:c>
      <x:c r="S2618" s="27" t="n">
        <x:v>0</x:v>
      </x:c>
    </x:row>
    <x:row r="2619" ht="21.600000381469727" hidden="0" customHeight="1">
      <x:c r="A2619" s="29" t="n">
        <x:v>872</x:v>
      </x:c>
      <x:c r="B2619" s="29" t="str">
        <x:v>A2</x:v>
      </x:c>
      <x:c r="C2619" s="48" t="n">
        <x:v>1.3130165859392917</x:v>
      </x:c>
      <x:c r="D2619" s="48" t="n">
        <x:v>0.844266838612957</x:v>
      </x:c>
      <x:c r="E2619" s="48" t="n">
        <x:v>0.47975866239239723</x:v>
      </x:c>
      <x:c r="F2619" s="48" t="n">
        <x:v>-0.10244775673397052</x:v>
      </x:c>
      <x:c r="G2619" s="48" t="n">
        <x:v>-0.014832009739720542</x:v>
      </x:c>
      <x:c r="H2619" s="48" t="n">
        <x:v>0.6971937504901817</x:v>
      </x:c>
      <x:c r="I2619" s="48" t="n">
        <x:v>0.7903424035175168</x:v>
      </x:c>
      <x:c r="J2619" s="48" t="n">
        <x:v>0.4191347527340193</x:v>
      </x:c>
      <x:c r="K2619" s="48" t="n">
        <x:v>0.9496847686587213</x:v>
      </x:c>
      <x:c r="L2619" s="48" t="n">
        <x:v>0.5253226137302179</x:v>
      </x:c>
      <x:c r="M2619" s="48" t="n">
        <x:v>0.029191931667171385</x:v>
      </x:c>
      <x:c r="N2619" s="48" t="n">
        <x:v>0.8777374551120972</x:v>
      </x:c>
      <x:c r="O2619" s="48" t="n">
        <x:v>0.8037313900722776</x:v>
      </x:c>
      <x:c r="P2619" s="48" t="n">
        <x:v>0.43760002102960666</x:v>
      </x:c>
      <x:c r="Q2619" s="48" t="n">
        <x:v>1</x:v>
      </x:c>
      <x:c r="R2619" s="48" t="n">
        <x:v>0.7576390723651316</x:v>
      </x:c>
      <x:c r="S2619" s="29" t="n">
        <x:v>0</x:v>
      </x:c>
    </x:row>
    <x:row r="2620" ht="21.600000381469727" hidden="0" customHeight="1">
      <x:c r="A2620" s="27" t="n">
        <x:v>872</x:v>
      </x:c>
      <x:c r="B2620" s="27" t="str">
        <x:v>A3</x:v>
      </x:c>
      <x:c r="C2620" s="47" t="n">
        <x:v>1.3130165859392917</x:v>
      </x:c>
      <x:c r="D2620" s="47" t="n">
        <x:v>0.844266838612957</x:v>
      </x:c>
      <x:c r="E2620" s="47" t="n">
        <x:v>0.47975866239239723</x:v>
      </x:c>
      <x:c r="F2620" s="47" t="n">
        <x:v>-0.10244775673397052</x:v>
      </x:c>
      <x:c r="G2620" s="47" t="n">
        <x:v>-0.014832009739720542</x:v>
      </x:c>
      <x:c r="H2620" s="47" t="n">
        <x:v>0.6971937504901817</x:v>
      </x:c>
      <x:c r="I2620" s="47" t="n">
        <x:v>0.7903424035175168</x:v>
      </x:c>
      <x:c r="J2620" s="47" t="n">
        <x:v>0.4191347527340193</x:v>
      </x:c>
      <x:c r="K2620" s="47" t="n">
        <x:v>0.9496847686587213</x:v>
      </x:c>
      <x:c r="L2620" s="47" t="n">
        <x:v>0.5253226137302179</x:v>
      </x:c>
      <x:c r="M2620" s="47" t="n">
        <x:v>0.029191931667171385</x:v>
      </x:c>
      <x:c r="N2620" s="47" t="n">
        <x:v>0.8777374551120972</x:v>
      </x:c>
      <x:c r="O2620" s="47" t="n">
        <x:v>0.9970780725639306</x:v>
      </x:c>
      <x:c r="P2620" s="47" t="n">
        <x:v>0.9707807256393046</x:v>
      </x:c>
      <x:c r="Q2620" s="47" t="n">
        <x:v>1</x:v>
      </x:c>
      <x:c r="R2620" s="47" t="n">
        <x:v>0.9963918782318355</x:v>
      </x:c>
      <x:c r="S2620" s="27" t="n">
        <x:v>1</x:v>
      </x:c>
    </x:row>
    <x:row r="2621" ht="21.600000381469727" hidden="0" customHeight="1">
      <x:c r="A2621" s="29" t="n">
        <x:v>873</x:v>
      </x:c>
      <x:c r="B2621" s="29" t="str">
        <x:v>A1</x:v>
      </x:c>
      <x:c r="C2621" s="48" t="n">
        <x:v>1.1895583901050113</x:v>
      </x:c>
      <x:c r="D2621" s="48" t="n">
        <x:v>0.786974661877329</x:v>
      </x:c>
      <x:c r="E2621" s="48" t="n">
        <x:v>0.5337546219200172</x:v>
      </x:c>
      <x:c r="F2621" s="48" t="n">
        <x:v>-0.0418988883600411</x:v>
      </x:c>
      <x:c r="G2621" s="48" t="n">
        <x:v>-0.0068295928436626074</x:v>
      </x:c>
      <x:c r="H2621" s="48" t="n">
        <x:v>0.35850267245575473</x:v>
      </x:c>
      <x:c r="I2621" s="48" t="n">
        <x:v>0.9550644223079134</x:v>
      </x:c>
      <x:c r="J2621" s="48" t="n">
        <x:v>0.7908999737900049</x:v>
      </x:c>
      <x:c r="K2621" s="48" t="n">
        <x:v>0.915653554695863</x:v>
      </x:c>
      <x:c r="L2621" s="48" t="n">
        <x:v>0.9355216858193605</x:v>
      </x:c>
      <x:c r="M2621" s="48" t="n">
        <x:v>0.16692052874951324</x:v>
      </x:c>
      <x:c r="N2621" s="48" t="n">
        <x:v>0.9243345772528111</x:v>
      </x:c>
      <x:c r="O2621" s="48" t="n">
        <x:v>0.8227818839851357</x:v>
      </x:c>
      <x:c r="P2621" s="48" t="n">
        <x:v>0.4726772805519496</x:v>
      </x:c>
      <x:c r="Q2621" s="48" t="n">
        <x:v>1</x:v>
      </x:c>
      <x:c r="R2621" s="48" t="n">
        <x:v>0.7811634422494601</x:v>
      </x:c>
      <x:c r="S2621" s="29" t="n">
        <x:v>0</x:v>
      </x:c>
    </x:row>
    <x:row r="2622" ht="21.600000381469727" hidden="0" customHeight="1">
      <x:c r="A2622" s="27" t="n">
        <x:v>873</x:v>
      </x:c>
      <x:c r="B2622" s="27" t="str">
        <x:v>A2</x:v>
      </x:c>
      <x:c r="C2622" s="47" t="n">
        <x:v>1.1895583901050113</x:v>
      </x:c>
      <x:c r="D2622" s="47" t="n">
        <x:v>0.786974661877329</x:v>
      </x:c>
      <x:c r="E2622" s="47" t="n">
        <x:v>0.5337546219200172</x:v>
      </x:c>
      <x:c r="F2622" s="47" t="n">
        <x:v>-0.0418988883600411</x:v>
      </x:c>
      <x:c r="G2622" s="47" t="n">
        <x:v>-0.0068295928436626074</x:v>
      </x:c>
      <x:c r="H2622" s="47" t="n">
        <x:v>0.35850267245575473</x:v>
      </x:c>
      <x:c r="I2622" s="47" t="n">
        <x:v>0.9550644223079134</x:v>
      </x:c>
      <x:c r="J2622" s="47" t="n">
        <x:v>0.7908999737900049</x:v>
      </x:c>
      <x:c r="K2622" s="47" t="n">
        <x:v>0.915653554695863</x:v>
      </x:c>
      <x:c r="L2622" s="47" t="n">
        <x:v>0.9355216858193605</x:v>
      </x:c>
      <x:c r="M2622" s="47" t="n">
        <x:v>0.16692052874951324</x:v>
      </x:c>
      <x:c r="N2622" s="47" t="n">
        <x:v>0.9243345772528111</x:v>
      </x:c>
      <x:c r="O2622" s="47" t="n">
        <x:v>0.8879990388290063</x:v>
      </x:c>
      <x:c r="P2622" s="47" t="n">
        <x:v>0.5156955126804562</x:v>
      </x:c>
      <x:c r="Q2622" s="47" t="n">
        <x:v>1</x:v>
      </x:c>
      <x:c r="R2622" s="47" t="n">
        <x:v>0.8616963922280025</x:v>
      </x:c>
      <x:c r="S2622" s="27" t="n">
        <x:v>0</x:v>
      </x:c>
    </x:row>
    <x:row r="2623" ht="21.600000381469727" hidden="0" customHeight="1">
      <x:c r="A2623" s="29" t="n">
        <x:v>873</x:v>
      </x:c>
      <x:c r="B2623" s="29" t="str">
        <x:v>A3</x:v>
      </x:c>
      <x:c r="C2623" s="48" t="n">
        <x:v>1.1895583901050113</x:v>
      </x:c>
      <x:c r="D2623" s="48" t="n">
        <x:v>0.786974661877329</x:v>
      </x:c>
      <x:c r="E2623" s="48" t="n">
        <x:v>0.5337546219200172</x:v>
      </x:c>
      <x:c r="F2623" s="48" t="n">
        <x:v>-0.0418988883600411</x:v>
      </x:c>
      <x:c r="G2623" s="48" t="n">
        <x:v>-0.0068295928436626074</x:v>
      </x:c>
      <x:c r="H2623" s="48" t="n">
        <x:v>0.35850267245575473</x:v>
      </x:c>
      <x:c r="I2623" s="48" t="n">
        <x:v>0.9550644223079134</x:v>
      </x:c>
      <x:c r="J2623" s="48" t="n">
        <x:v>0.7908999737900049</x:v>
      </x:c>
      <x:c r="K2623" s="48" t="n">
        <x:v>0.915653554695863</x:v>
      </x:c>
      <x:c r="L2623" s="48" t="n">
        <x:v>0.9355216858193605</x:v>
      </x:c>
      <x:c r="M2623" s="48" t="n">
        <x:v>0.16692052874951324</x:v>
      </x:c>
      <x:c r="N2623" s="48" t="n">
        <x:v>0.9243345772528111</x:v>
      </x:c>
      <x:c r="O2623" s="48" t="n">
        <x:v>1</x:v>
      </x:c>
      <x:c r="P2623" s="48" t="n">
        <x:v>1</x:v>
      </x:c>
      <x:c r="Q2623" s="48" t="n">
        <x:v>1</x:v>
      </x:c>
      <x:c r="R2623" s="48" t="n">
        <x:v>1</x:v>
      </x:c>
      <x:c r="S2623" s="29" t="n">
        <x:v>1</x:v>
      </x:c>
    </x:row>
    <x:row r="2624" ht="21.600000381469727" hidden="0" customHeight="1">
      <x:c r="A2624" s="27" t="n">
        <x:v>874</x:v>
      </x:c>
      <x:c r="B2624" s="27" t="str">
        <x:v>A1</x:v>
      </x:c>
      <x:c r="C2624" s="47" t="n">
        <x:v>1.329289413568381</x:v>
      </x:c>
      <x:c r="D2624" s="47" t="n">
        <x:v>0.9423814069263751</x:v>
      </x:c>
      <x:c r="E2624" s="47" t="n">
        <x:v>1.012425115365976</x:v>
      </x:c>
      <x:c r="F2624" s="47" t="n">
        <x:v>-0.1792209232074192</x:v>
      </x:c>
      <x:c r="G2624" s="47" t="n">
        <x:v>-0.07966362651755181</x:v>
      </x:c>
      <x:c r="H2624" s="47" t="n">
        <x:v>0.45568291893578877</x:v>
      </x:c>
      <x:c r="I2624" s="47" t="n">
        <x:v>1.0103490157852921</x:v>
      </x:c>
      <x:c r="J2624" s="47" t="n">
        <x:v>0.5355809067996833</x:v>
      </x:c>
      <x:c r="K2624" s="47" t="n">
        <x:v>0.5534566693313484</x:v>
      </x:c>
      <x:c r="L2624" s="47" t="n">
        <x:v>0.5819038248774214</x:v>
      </x:c>
      <x:c r="M2624" s="47" t="n">
        <x:v>0.054641989737423236</x:v>
      </x:c>
      <x:c r="N2624" s="47" t="n">
        <x:v>0.6984940622888404</x:v>
      </x:c>
      <x:c r="O2624" s="47" t="n">
        <x:v>0.7865340397916308</x:v>
      </x:c>
      <x:c r="P2624" s="47" t="n">
        <x:v>0.4729149798252595</x:v>
      </x:c>
      <x:c r="Q2624" s="47" t="n">
        <x:v>0.9680973501618895</x:v>
      </x:c>
      <x:c r="R2624" s="47" t="n">
        <x:v>0.7366399803110038</x:v>
      </x:c>
      <x:c r="S2624" s="27" t="n">
        <x:v>0</x:v>
      </x:c>
    </x:row>
    <x:row r="2625" ht="21.600000381469727" hidden="0" customHeight="1">
      <x:c r="A2625" s="29" t="n">
        <x:v>874</x:v>
      </x:c>
      <x:c r="B2625" s="29" t="str">
        <x:v>A2</x:v>
      </x:c>
      <x:c r="C2625" s="48" t="n">
        <x:v>1.329289413568381</x:v>
      </x:c>
      <x:c r="D2625" s="48" t="n">
        <x:v>0.9423814069263751</x:v>
      </x:c>
      <x:c r="E2625" s="48" t="n">
        <x:v>1.012425115365976</x:v>
      </x:c>
      <x:c r="F2625" s="48" t="n">
        <x:v>-0.1792209232074192</x:v>
      </x:c>
      <x:c r="G2625" s="48" t="n">
        <x:v>-0.07966362651755181</x:v>
      </x:c>
      <x:c r="H2625" s="48" t="n">
        <x:v>0.45568291893578877</x:v>
      </x:c>
      <x:c r="I2625" s="48" t="n">
        <x:v>1.0103490157852921</x:v>
      </x:c>
      <x:c r="J2625" s="48" t="n">
        <x:v>0.5355809067996833</x:v>
      </x:c>
      <x:c r="K2625" s="48" t="n">
        <x:v>0.5534566693313484</x:v>
      </x:c>
      <x:c r="L2625" s="48" t="n">
        <x:v>0.5819038248774214</x:v>
      </x:c>
      <x:c r="M2625" s="48" t="n">
        <x:v>0.054641989737423236</x:v>
      </x:c>
      <x:c r="N2625" s="48" t="n">
        <x:v>0.6984940622888404</x:v>
      </x:c>
      <x:c r="O2625" s="48" t="n">
        <x:v>0.8708880190433396</x:v>
      </x:c>
      <x:c r="P2625" s="48" t="n">
        <x:v>0.6543884102344842</x:v>
      </x:c>
      <x:c r="Q2625" s="48" t="n">
        <x:v>1</x:v>
      </x:c>
      <x:c r="R2625" s="48" t="n">
        <x:v>0.8405669684777658</x:v>
      </x:c>
      <x:c r="S2625" s="29" t="n">
        <x:v>0</x:v>
      </x:c>
    </x:row>
    <x:row r="2626" ht="21.600000381469727" hidden="0" customHeight="1">
      <x:c r="A2626" s="27" t="n">
        <x:v>874</x:v>
      </x:c>
      <x:c r="B2626" s="27" t="str">
        <x:v>A3</x:v>
      </x:c>
      <x:c r="C2626" s="47" t="n">
        <x:v>1.329289413568381</x:v>
      </x:c>
      <x:c r="D2626" s="47" t="n">
        <x:v>0.9423814069263751</x:v>
      </x:c>
      <x:c r="E2626" s="47" t="n">
        <x:v>1.012425115365976</x:v>
      </x:c>
      <x:c r="F2626" s="47" t="n">
        <x:v>-0.1792209232074192</x:v>
      </x:c>
      <x:c r="G2626" s="47" t="n">
        <x:v>-0.07966362651755181</x:v>
      </x:c>
      <x:c r="H2626" s="47" t="n">
        <x:v>0.45568291893578877</x:v>
      </x:c>
      <x:c r="I2626" s="47" t="n">
        <x:v>1.0103490157852921</x:v>
      </x:c>
      <x:c r="J2626" s="47" t="n">
        <x:v>0.5355809067996833</x:v>
      </x:c>
      <x:c r="K2626" s="47" t="n">
        <x:v>0.5534566693313484</x:v>
      </x:c>
      <x:c r="L2626" s="47" t="n">
        <x:v>0.5819038248774214</x:v>
      </x:c>
      <x:c r="M2626" s="47" t="n">
        <x:v>0.054641989737423236</x:v>
      </x:c>
      <x:c r="N2626" s="47" t="n">
        <x:v>0.6984940622888404</x:v>
      </x:c>
      <x:c r="O2626" s="47" t="n">
        <x:v>1</x:v>
      </x:c>
      <x:c r="P2626" s="47" t="n">
        <x:v>1</x:v>
      </x:c>
      <x:c r="Q2626" s="47" t="n">
        <x:v>1</x:v>
      </x:c>
      <x:c r="R2626" s="47" t="n">
        <x:v>1</x:v>
      </x:c>
      <x:c r="S2626" s="27" t="n">
        <x:v>1</x:v>
      </x:c>
    </x:row>
    <x:row r="2627" ht="21.600000381469727" hidden="0" customHeight="1">
      <x:c r="A2627" s="29" t="n">
        <x:v>875</x:v>
      </x:c>
      <x:c r="B2627" s="29" t="str">
        <x:v>A1</x:v>
      </x:c>
      <x:c r="C2627" s="48" t="n">
        <x:v>1.17945296307424</x:v>
      </x:c>
      <x:c r="D2627" s="48" t="n">
        <x:v>0.9068915032753624</x:v>
      </x:c>
      <x:c r="E2627" s="48" t="n">
        <x:v>1.0084651356333558</x:v>
      </x:c>
      <x:c r="F2627" s="48" t="n">
        <x:v>-0.15205222128655543</x:v>
      </x:c>
      <x:c r="G2627" s="48" t="n">
        <x:v>-0.07539619826925772</x:v>
      </x:c>
      <x:c r="H2627" s="48" t="n">
        <x:v>0.8081136208532913</x:v>
      </x:c>
      <x:c r="I2627" s="48" t="n">
        <x:v>0.7038140409102553</x:v>
      </x:c>
      <x:c r="J2627" s="48" t="n">
        <x:v>0.8206868697102327</x:v>
      </x:c>
      <x:c r="K2627" s="48" t="n">
        <x:v>0.6093584674099874</x:v>
      </x:c>
      <x:c r="L2627" s="48" t="n">
        <x:v>0.7625977321843213</x:v>
      </x:c>
      <x:c r="M2627" s="48" t="n">
        <x:v>0.16169688557002818</x:v>
      </x:c>
      <x:c r="N2627" s="48" t="n">
        <x:v>0.7658917859280395</x:v>
      </x:c>
      <x:c r="O2627" s="48" t="n">
        <x:v>0.883463214106385</x:v>
      </x:c>
      <x:c r="P2627" s="48" t="n">
        <x:v>0.5599539653717189</x:v>
      </x:c>
      <x:c r="Q2627" s="48" t="n">
        <x:v>1</x:v>
      </x:c>
      <x:c r="R2627" s="48" t="n">
        <x:v>0.8560953606225485</x:v>
      </x:c>
      <x:c r="S2627" s="29" t="n">
        <x:v>0</x:v>
      </x:c>
    </x:row>
    <x:row r="2628" ht="21.600000381469727" hidden="0" customHeight="1">
      <x:c r="A2628" s="27" t="n">
        <x:v>875</x:v>
      </x:c>
      <x:c r="B2628" s="27" t="str">
        <x:v>A2</x:v>
      </x:c>
      <x:c r="C2628" s="47" t="n">
        <x:v>1.17945296307424</x:v>
      </x:c>
      <x:c r="D2628" s="47" t="n">
        <x:v>0.9068915032753624</x:v>
      </x:c>
      <x:c r="E2628" s="47" t="n">
        <x:v>1.0084651356333558</x:v>
      </x:c>
      <x:c r="F2628" s="47" t="n">
        <x:v>-0.15205222128655543</x:v>
      </x:c>
      <x:c r="G2628" s="47" t="n">
        <x:v>-0.07539619826925772</x:v>
      </x:c>
      <x:c r="H2628" s="47" t="n">
        <x:v>0.8081136208532913</x:v>
      </x:c>
      <x:c r="I2628" s="47" t="n">
        <x:v>0.7038140409102553</x:v>
      </x:c>
      <x:c r="J2628" s="47" t="n">
        <x:v>0.8206868697102327</x:v>
      </x:c>
      <x:c r="K2628" s="47" t="n">
        <x:v>0.6093584674099874</x:v>
      </x:c>
      <x:c r="L2628" s="47" t="n">
        <x:v>0.7625977321843213</x:v>
      </x:c>
      <x:c r="M2628" s="47" t="n">
        <x:v>0.16169688557002818</x:v>
      </x:c>
      <x:c r="N2628" s="47" t="n">
        <x:v>0.7658917859280395</x:v>
      </x:c>
      <x:c r="O2628" s="47" t="n">
        <x:v>0.9342621223660086</x:v>
      </x:c>
      <x:c r="P2628" s="47" t="n">
        <x:v>0.6232901113723436</x:v>
      </x:c>
      <x:c r="Q2628" s="47" t="n">
        <x:v>1</x:v>
      </x:c>
      <x:c r="R2628" s="47" t="n">
        <x:v>0.9188240391064632</x:v>
      </x:c>
      <x:c r="S2628" s="27" t="n">
        <x:v>0</x:v>
      </x:c>
    </x:row>
    <x:row r="2629" ht="21.600000381469727" hidden="0" customHeight="1">
      <x:c r="A2629" s="29" t="n">
        <x:v>875</x:v>
      </x:c>
      <x:c r="B2629" s="29" t="str">
        <x:v>A3</x:v>
      </x:c>
      <x:c r="C2629" s="48" t="n">
        <x:v>1.17945296307424</x:v>
      </x:c>
      <x:c r="D2629" s="48" t="n">
        <x:v>0.9068915032753624</x:v>
      </x:c>
      <x:c r="E2629" s="48" t="n">
        <x:v>1.0084651356333558</x:v>
      </x:c>
      <x:c r="F2629" s="48" t="n">
        <x:v>-0.15205222128655543</x:v>
      </x:c>
      <x:c r="G2629" s="48" t="n">
        <x:v>-0.07539619826925772</x:v>
      </x:c>
      <x:c r="H2629" s="48" t="n">
        <x:v>0.8081136208532913</x:v>
      </x:c>
      <x:c r="I2629" s="48" t="n">
        <x:v>0.7038140409102553</x:v>
      </x:c>
      <x:c r="J2629" s="48" t="n">
        <x:v>0.8206868697102327</x:v>
      </x:c>
      <x:c r="K2629" s="48" t="n">
        <x:v>0.6093584674099874</x:v>
      </x:c>
      <x:c r="L2629" s="48" t="n">
        <x:v>0.7625977321843213</x:v>
      </x:c>
      <x:c r="M2629" s="48" t="n">
        <x:v>0.16169688557002818</x:v>
      </x:c>
      <x:c r="N2629" s="48" t="n">
        <x:v>0.7658917859280395</x:v>
      </x:c>
      <x:c r="O2629" s="48" t="n">
        <x:v>1</x:v>
      </x:c>
      <x:c r="P2629" s="48" t="n">
        <x:v>1</x:v>
      </x:c>
      <x:c r="Q2629" s="48" t="n">
        <x:v>1</x:v>
      </x:c>
      <x:c r="R2629" s="48" t="n">
        <x:v>1</x:v>
      </x:c>
      <x:c r="S2629" s="29" t="n">
        <x:v>1</x:v>
      </x:c>
    </x:row>
    <x:row r="2630" ht="21.600000381469727" hidden="0" customHeight="1">
      <x:c r="A2630" s="27" t="n">
        <x:v>876</x:v>
      </x:c>
      <x:c r="B2630" s="27" t="str">
        <x:v>A1</x:v>
      </x:c>
      <x:c r="C2630" s="47" t="n">
        <x:v>1.181218623907262</x:v>
      </x:c>
      <x:c r="D2630" s="47" t="n">
        <x:v>0.9830217194639992</x:v>
      </x:c>
      <x:c r="E2630" s="47" t="n">
        <x:v>0.5771587640001496</x:v>
      </x:c>
      <x:c r="F2630" s="47" t="n">
        <x:v>-0.031124055489179125</x:v>
      </x:c>
      <x:c r="G2630" s="47" t="n">
        <x:v>-0.1671140718845212</x:v>
      </x:c>
      <x:c r="H2630" s="47" t="n">
        <x:v>0.3473178143212547</x:v>
      </x:c>
      <x:c r="I2630" s="47" t="n">
        <x:v>0.7091076074996808</x:v>
      </x:c>
      <x:c r="J2630" s="47" t="n">
        <x:v>0.9415613643387056</x:v>
      </x:c>
      <x:c r="K2630" s="47" t="n">
        <x:v>0.9724983438917556</x:v>
      </x:c>
      <x:c r="L2630" s="47" t="n">
        <x:v>0.5422505552861139</x:v>
      </x:c>
      <x:c r="M2630" s="47" t="n">
        <x:v>0.014337431993917807</x:v>
      </x:c>
      <x:c r="N2630" s="47" t="n">
        <x:v>0.8753087245746114</x:v>
      </x:c>
      <x:c r="O2630" s="47" t="n">
        <x:v>0.8748702055882122</x:v>
      </x:c>
      <x:c r="P2630" s="47" t="n">
        <x:v>0.4439303188702163</x:v>
      </x:c>
      <x:c r="Q2630" s="47" t="n">
        <x:v>0.9490163756258497</x:v>
      </x:c>
      <x:c r="R2630" s="47" t="n">
        <x:v>0.8458629917409854</x:v>
      </x:c>
      <x:c r="S2630" s="27" t="n">
        <x:v>0</x:v>
      </x:c>
    </x:row>
    <x:row r="2631" ht="21.600000381469727" hidden="0" customHeight="1">
      <x:c r="A2631" s="29" t="n">
        <x:v>876</x:v>
      </x:c>
      <x:c r="B2631" s="29" t="str">
        <x:v>A2</x:v>
      </x:c>
      <x:c r="C2631" s="48" t="n">
        <x:v>1.181218623907262</x:v>
      </x:c>
      <x:c r="D2631" s="48" t="n">
        <x:v>0.9830217194639992</x:v>
      </x:c>
      <x:c r="E2631" s="48" t="n">
        <x:v>0.5771587640001496</x:v>
      </x:c>
      <x:c r="F2631" s="48" t="n">
        <x:v>-0.031124055489179125</x:v>
      </x:c>
      <x:c r="G2631" s="48" t="n">
        <x:v>-0.1671140718845212</x:v>
      </x:c>
      <x:c r="H2631" s="48" t="n">
        <x:v>0.3473178143212547</x:v>
      </x:c>
      <x:c r="I2631" s="48" t="n">
        <x:v>0.7091076074996808</x:v>
      </x:c>
      <x:c r="J2631" s="48" t="n">
        <x:v>0.9415613643387056</x:v>
      </x:c>
      <x:c r="K2631" s="48" t="n">
        <x:v>0.9724983438917556</x:v>
      </x:c>
      <x:c r="L2631" s="48" t="n">
        <x:v>0.5422505552861139</x:v>
      </x:c>
      <x:c r="M2631" s="48" t="n">
        <x:v>0.014337431993917807</x:v>
      </x:c>
      <x:c r="N2631" s="48" t="n">
        <x:v>0.8753087245746114</x:v>
      </x:c>
      <x:c r="O2631" s="48" t="n">
        <x:v>0.9367115890610362</x:v>
      </x:c>
      <x:c r="P2631" s="48" t="n">
        <x:v>0.6621041443064676</x:v>
      </x:c>
      <x:c r="Q2631" s="48" t="n">
        <x:v>1</x:v>
      </x:c>
      <x:c r="R2631" s="48" t="n">
        <x:v>0.9218487460152053</x:v>
      </x:c>
      <x:c r="S2631" s="29" t="n">
        <x:v>0</x:v>
      </x:c>
    </x:row>
    <x:row r="2632" ht="21.600000381469727" hidden="0" customHeight="1">
      <x:c r="A2632" s="27" t="n">
        <x:v>876</x:v>
      </x:c>
      <x:c r="B2632" s="27" t="str">
        <x:v>A3</x:v>
      </x:c>
      <x:c r="C2632" s="47" t="n">
        <x:v>1.181218623907262</x:v>
      </x:c>
      <x:c r="D2632" s="47" t="n">
        <x:v>0.9830217194639992</x:v>
      </x:c>
      <x:c r="E2632" s="47" t="n">
        <x:v>0.5771587640001496</x:v>
      </x:c>
      <x:c r="F2632" s="47" t="n">
        <x:v>-0.031124055489179125</x:v>
      </x:c>
      <x:c r="G2632" s="47" t="n">
        <x:v>-0.1671140718845212</x:v>
      </x:c>
      <x:c r="H2632" s="47" t="n">
        <x:v>0.3473178143212547</x:v>
      </x:c>
      <x:c r="I2632" s="47" t="n">
        <x:v>0.7091076074996808</x:v>
      </x:c>
      <x:c r="J2632" s="47" t="n">
        <x:v>0.9415613643387056</x:v>
      </x:c>
      <x:c r="K2632" s="47" t="n">
        <x:v>0.9724983438917556</x:v>
      </x:c>
      <x:c r="L2632" s="47" t="n">
        <x:v>0.5422505552861139</x:v>
      </x:c>
      <x:c r="M2632" s="47" t="n">
        <x:v>0.014337431993917807</x:v>
      </x:c>
      <x:c r="N2632" s="47" t="n">
        <x:v>0.8753087245746114</x:v>
      </x:c>
      <x:c r="O2632" s="47" t="n">
        <x:v>1.0000000000000002</x:v>
      </x:c>
      <x:c r="P2632" s="47" t="n">
        <x:v>1</x:v>
      </x:c>
      <x:c r="Q2632" s="47" t="n">
        <x:v>1</x:v>
      </x:c>
      <x:c r="R2632" s="47" t="n">
        <x:v>1</x:v>
      </x:c>
      <x:c r="S2632" s="27" t="n">
        <x:v>1</x:v>
      </x:c>
    </x:row>
    <x:row r="2633" ht="21.600000381469727" hidden="0" customHeight="1">
      <x:c r="A2633" s="29" t="n">
        <x:v>877</x:v>
      </x:c>
      <x:c r="B2633" s="29" t="str">
        <x:v>A1</x:v>
      </x:c>
      <x:c r="C2633" s="48" t="n">
        <x:v>0.9401657477621367</x:v>
      </x:c>
      <x:c r="D2633" s="48" t="n">
        <x:v>0.9560980738501731</x:v>
      </x:c>
      <x:c r="E2633" s="48" t="n">
        <x:v>0.7995649743357094</x:v>
      </x:c>
      <x:c r="F2633" s="48" t="n">
        <x:v>-0.09250902387115006</x:v>
      </x:c>
      <x:c r="G2633" s="48" t="n">
        <x:v>-0.19836382736646174</x:v>
      </x:c>
      <x:c r="H2633" s="48" t="n">
        <x:v>0.7694953305530061</x:v>
      </x:c>
      <x:c r="I2633" s="48" t="n">
        <x:v>0.9823849994910275</x:v>
      </x:c>
      <x:c r="J2633" s="48" t="n">
        <x:v>0.7377961075829012</x:v>
      </x:c>
      <x:c r="K2633" s="48" t="n">
        <x:v>0.6160984215871641</x:v>
      </x:c>
      <x:c r="L2633" s="48" t="n">
        <x:v>0.6717723656569615</x:v>
      </x:c>
      <x:c r="M2633" s="48" t="n">
        <x:v>0.1764021822117016</x:v>
      </x:c>
      <x:c r="N2633" s="48" t="n">
        <x:v>0.6897363873805842</x:v>
      </x:c>
      <x:c r="O2633" s="48" t="n">
        <x:v>0.9704323523741442</x:v>
      </x:c>
      <x:c r="P2633" s="48" t="n">
        <x:v>0.8233194497460647</x:v>
      </x:c>
      <x:c r="Q2633" s="48" t="n">
        <x:v>1</x:v>
      </x:c>
      <x:c r="R2633" s="48" t="n">
        <x:v>0.9634885960153164</x:v>
      </x:c>
      <x:c r="S2633" s="29" t="n">
        <x:v>0</x:v>
      </x:c>
    </x:row>
    <x:row r="2634" ht="21.600000381469727" hidden="0" customHeight="1">
      <x:c r="A2634" s="27" t="n">
        <x:v>877</x:v>
      </x:c>
      <x:c r="B2634" s="27" t="str">
        <x:v>A2</x:v>
      </x:c>
      <x:c r="C2634" s="47" t="n">
        <x:v>0.9401657477621367</x:v>
      </x:c>
      <x:c r="D2634" s="47" t="n">
        <x:v>0.9560980738501731</x:v>
      </x:c>
      <x:c r="E2634" s="47" t="n">
        <x:v>0.7995649743357094</x:v>
      </x:c>
      <x:c r="F2634" s="47" t="n">
        <x:v>-0.09250902387115006</x:v>
      </x:c>
      <x:c r="G2634" s="47" t="n">
        <x:v>-0.19836382736646174</x:v>
      </x:c>
      <x:c r="H2634" s="47" t="n">
        <x:v>0.7694953305530061</x:v>
      </x:c>
      <x:c r="I2634" s="47" t="n">
        <x:v>0.9823849994910275</x:v>
      </x:c>
      <x:c r="J2634" s="47" t="n">
        <x:v>0.7377961075829012</x:v>
      </x:c>
      <x:c r="K2634" s="47" t="n">
        <x:v>0.6160984215871641</x:v>
      </x:c>
      <x:c r="L2634" s="47" t="n">
        <x:v>0.6717723656569615</x:v>
      </x:c>
      <x:c r="M2634" s="47" t="n">
        <x:v>0.1764021822117016</x:v>
      </x:c>
      <x:c r="N2634" s="47" t="n">
        <x:v>0.6897363873805842</x:v>
      </x:c>
      <x:c r="O2634" s="47" t="n">
        <x:v>0.9999999999999998</x:v>
      </x:c>
      <x:c r="P2634" s="47" t="n">
        <x:v>0.9999999999999999</x:v>
      </x:c>
      <x:c r="Q2634" s="47" t="n">
        <x:v>1</x:v>
      </x:c>
      <x:c r="R2634" s="47" t="n">
        <x:v>1</x:v>
      </x:c>
      <x:c r="S2634" s="27" t="n">
        <x:v>1</x:v>
      </x:c>
    </x:row>
    <x:row r="2635" ht="21.600000381469727" hidden="0" customHeight="1">
      <x:c r="A2635" s="29" t="n">
        <x:v>877</x:v>
      </x:c>
      <x:c r="B2635" s="29" t="str">
        <x:v>A3</x:v>
      </x:c>
      <x:c r="C2635" s="48" t="n">
        <x:v>0.9401657477621367</x:v>
      </x:c>
      <x:c r="D2635" s="48" t="n">
        <x:v>0.9560980738501731</x:v>
      </x:c>
      <x:c r="E2635" s="48" t="n">
        <x:v>0.7995649743357094</x:v>
      </x:c>
      <x:c r="F2635" s="48" t="n">
        <x:v>-0.09250902387115006</x:v>
      </x:c>
      <x:c r="G2635" s="48" t="n">
        <x:v>-0.19836382736646174</x:v>
      </x:c>
      <x:c r="H2635" s="48" t="n">
        <x:v>0.7694953305530061</x:v>
      </x:c>
      <x:c r="I2635" s="48" t="n">
        <x:v>0.9823849994910275</x:v>
      </x:c>
      <x:c r="J2635" s="48" t="n">
        <x:v>0.7377961075829012</x:v>
      </x:c>
      <x:c r="K2635" s="48" t="n">
        <x:v>0.6160984215871641</x:v>
      </x:c>
      <x:c r="L2635" s="48" t="n">
        <x:v>0.6717723656569615</x:v>
      </x:c>
      <x:c r="M2635" s="48" t="n">
        <x:v>0.1764021822117016</x:v>
      </x:c>
      <x:c r="N2635" s="48" t="n">
        <x:v>0.6897363873805842</x:v>
      </x:c>
      <x:c r="O2635" s="48" t="n">
        <x:v>1</x:v>
      </x:c>
      <x:c r="P2635" s="48" t="n">
        <x:v>1</x:v>
      </x:c>
      <x:c r="Q2635" s="48" t="n">
        <x:v>1</x:v>
      </x:c>
      <x:c r="R2635" s="48" t="n">
        <x:v>1</x:v>
      </x:c>
      <x:c r="S2635" s="29" t="n">
        <x:v>1</x:v>
      </x:c>
    </x:row>
    <x:row r="2636" ht="21.600000381469727" hidden="0" customHeight="1">
      <x:c r="A2636" s="27" t="n">
        <x:v>878</x:v>
      </x:c>
      <x:c r="B2636" s="27" t="str">
        <x:v>A1</x:v>
      </x:c>
      <x:c r="C2636" s="47" t="n">
        <x:v>1.0921895123096872</x:v>
      </x:c>
      <x:c r="D2636" s="47" t="n">
        <x:v>0.745590658364318</x:v>
      </x:c>
      <x:c r="E2636" s="47" t="n">
        <x:v>0.5991185104389315</x:v>
      </x:c>
      <x:c r="F2636" s="47" t="n">
        <x:v>-0.14105666509483397</x:v>
      </x:c>
      <x:c r="G2636" s="47" t="n">
        <x:v>-0.05572882420782624</x:v>
      </x:c>
      <x:c r="H2636" s="47" t="n">
        <x:v>1.0790128742223977</x:v>
      </x:c>
      <x:c r="I2636" s="47" t="n">
        <x:v>0.9965223186011987</x:v>
      </x:c>
      <x:c r="J2636" s="47" t="n">
        <x:v>0.8154443446775455</x:v>
      </x:c>
      <x:c r="K2636" s="47" t="n">
        <x:v>0.6355155738753113</x:v>
      </x:c>
      <x:c r="L2636" s="47" t="n">
        <x:v>0.9755687417184814</x:v>
      </x:c>
      <x:c r="M2636" s="47" t="n">
        <x:v>0.031519837029342725</x:v>
      </x:c>
      <x:c r="N2636" s="47" t="n">
        <x:v>0.8572293259180312</x:v>
      </x:c>
      <x:c r="O2636" s="47" t="n">
        <x:v>0.8081857553281775</x:v>
      </x:c>
      <x:c r="P2636" s="47" t="n">
        <x:v>0.5393642433228211</x:v>
      </x:c>
      <x:c r="Q2636" s="47" t="n">
        <x:v>1</x:v>
      </x:c>
      <x:c r="R2636" s="47" t="n">
        <x:v>0.7631395143147739</x:v>
      </x:c>
      <x:c r="S2636" s="27" t="n">
        <x:v>0</x:v>
      </x:c>
    </x:row>
    <x:row r="2637" ht="21.600000381469727" hidden="0" customHeight="1">
      <x:c r="A2637" s="29" t="n">
        <x:v>878</x:v>
      </x:c>
      <x:c r="B2637" s="29" t="str">
        <x:v>A2</x:v>
      </x:c>
      <x:c r="C2637" s="48" t="n">
        <x:v>1.0921895123096872</x:v>
      </x:c>
      <x:c r="D2637" s="48" t="n">
        <x:v>0.745590658364318</x:v>
      </x:c>
      <x:c r="E2637" s="48" t="n">
        <x:v>0.5991185104389315</x:v>
      </x:c>
      <x:c r="F2637" s="48" t="n">
        <x:v>-0.14105666509483397</x:v>
      </x:c>
      <x:c r="G2637" s="48" t="n">
        <x:v>-0.05572882420782624</x:v>
      </x:c>
      <x:c r="H2637" s="48" t="n">
        <x:v>1.0790128742223977</x:v>
      </x:c>
      <x:c r="I2637" s="48" t="n">
        <x:v>0.9965223186011987</x:v>
      </x:c>
      <x:c r="J2637" s="48" t="n">
        <x:v>0.8154443446775455</x:v>
      </x:c>
      <x:c r="K2637" s="48" t="n">
        <x:v>0.6355155738753113</x:v>
      </x:c>
      <x:c r="L2637" s="48" t="n">
        <x:v>0.9755687417184814</x:v>
      </x:c>
      <x:c r="M2637" s="48" t="n">
        <x:v>0.031519837029342725</x:v>
      </x:c>
      <x:c r="N2637" s="48" t="n">
        <x:v>0.8572293259180312</x:v>
      </x:c>
      <x:c r="O2637" s="48" t="n">
        <x:v>0.8991065839135713</x:v>
      </x:c>
      <x:c r="P2637" s="48" t="n">
        <x:v>0.5790444764753645</x:v>
      </x:c>
      <x:c r="Q2637" s="48" t="n">
        <x:v>1</x:v>
      </x:c>
      <x:c r="R2637" s="48" t="n">
        <x:v>0.8754124670065047</x:v>
      </x:c>
      <x:c r="S2637" s="29" t="n">
        <x:v>0</x:v>
      </x:c>
    </x:row>
    <x:row r="2638" ht="21.600000381469727" hidden="0" customHeight="1">
      <x:c r="A2638" s="27" t="n">
        <x:v>878</x:v>
      </x:c>
      <x:c r="B2638" s="27" t="str">
        <x:v>A3</x:v>
      </x:c>
      <x:c r="C2638" s="47" t="n">
        <x:v>1.0921895123096872</x:v>
      </x:c>
      <x:c r="D2638" s="47" t="n">
        <x:v>0.745590658364318</x:v>
      </x:c>
      <x:c r="E2638" s="47" t="n">
        <x:v>0.5991185104389315</x:v>
      </x:c>
      <x:c r="F2638" s="47" t="n">
        <x:v>-0.14105666509483397</x:v>
      </x:c>
      <x:c r="G2638" s="47" t="n">
        <x:v>-0.05572882420782624</x:v>
      </x:c>
      <x:c r="H2638" s="47" t="n">
        <x:v>1.0790128742223977</x:v>
      </x:c>
      <x:c r="I2638" s="47" t="n">
        <x:v>0.9965223186011987</x:v>
      </x:c>
      <x:c r="J2638" s="47" t="n">
        <x:v>0.8154443446775455</x:v>
      </x:c>
      <x:c r="K2638" s="47" t="n">
        <x:v>0.6355155738753113</x:v>
      </x:c>
      <x:c r="L2638" s="47" t="n">
        <x:v>0.9755687417184814</x:v>
      </x:c>
      <x:c r="M2638" s="47" t="n">
        <x:v>0.031519837029342725</x:v>
      </x:c>
      <x:c r="N2638" s="47" t="n">
        <x:v>0.8572293259180312</x:v>
      </x:c>
      <x:c r="O2638" s="47" t="n">
        <x:v>1</x:v>
      </x:c>
      <x:c r="P2638" s="47" t="n">
        <x:v>1</x:v>
      </x:c>
      <x:c r="Q2638" s="47" t="n">
        <x:v>1</x:v>
      </x:c>
      <x:c r="R2638" s="47" t="n">
        <x:v>1</x:v>
      </x:c>
      <x:c r="S2638" s="27" t="n">
        <x:v>1</x:v>
      </x:c>
    </x:row>
    <x:row r="2639" ht="15" hidden="0" customHeight="1">
      <x:c r="A2639" s="29" t="n">
        <x:v>879</x:v>
      </x:c>
      <x:c r="B2639" s="29" t="str">
        <x:v>A1</x:v>
      </x:c>
      <x:c r="C2639" s="48" t="n">
        <x:v>1.0083703737661935</x:v>
      </x:c>
      <x:c r="D2639" s="48" t="n">
        <x:v>0.8800252930979324</x:v>
      </x:c>
      <x:c r="E2639" s="48" t="n">
        <x:v>0.7904008642900575</x:v>
      </x:c>
      <x:c r="F2639" s="48" t="n">
        <x:v>0.01610288359025175</x:v>
      </x:c>
      <x:c r="G2639" s="48" t="n">
        <x:v>0.027066980906891774</x:v>
      </x:c>
      <x:c r="H2639" s="48" t="n">
        <x:v>0.8217607592585039</x:v>
      </x:c>
      <x:c r="I2639" s="48" t="n">
        <x:v>0.8754122715491908</x:v>
      </x:c>
      <x:c r="J2639" s="48" t="n">
        <x:v>0.4028795120187912</x:v>
      </x:c>
      <x:c r="K2639" s="48" t="n">
        <x:v>0.8746205016294444</x:v>
      </x:c>
      <x:c r="L2639" s="48" t="n">
        <x:v>0.8593128293569319</x:v>
      </x:c>
      <x:c r="M2639" s="48" t="n">
        <x:v>0.06957902061820727</x:v>
      </x:c>
      <x:c r="N2639" s="48" t="n">
        <x:v>0.9479243925220434</x:v>
      </x:c>
      <x:c r="O2639" s="48" t="n">
        <x:v>0.8826727033835247</x:v>
      </x:c>
      <x:c r="P2639" s="48" t="n">
        <x:v>0.6360175003263879</x:v>
      </x:c>
      <x:c r="Q2639" s="48" t="n">
        <x:v>1</x:v>
      </x:c>
      <x:c r="R2639" s="48" t="n">
        <x:v>0.8551192039555796</x:v>
      </x:c>
      <x:c r="S2639" s="29" t="n">
        <x:v>0</x:v>
      </x:c>
    </x:row>
    <x:row r="2640" ht="15" hidden="0" customHeight="1">
      <x:c r="A2640" s="27" t="n">
        <x:v>879</x:v>
      </x:c>
      <x:c r="B2640" s="27" t="str">
        <x:v>A2</x:v>
      </x:c>
      <x:c r="C2640" s="47" t="n">
        <x:v>1.0083703737661935</x:v>
      </x:c>
      <x:c r="D2640" s="47" t="n">
        <x:v>0.8800252930979324</x:v>
      </x:c>
      <x:c r="E2640" s="47" t="n">
        <x:v>0.7904008642900575</x:v>
      </x:c>
      <x:c r="F2640" s="47" t="n">
        <x:v>0.01610288359025175</x:v>
      </x:c>
      <x:c r="G2640" s="47" t="n">
        <x:v>0.027066980906891774</x:v>
      </x:c>
      <x:c r="H2640" s="47" t="n">
        <x:v>0.8217607592585039</x:v>
      </x:c>
      <x:c r="I2640" s="47" t="n">
        <x:v>0.8754122715491908</x:v>
      </x:c>
      <x:c r="J2640" s="47" t="n">
        <x:v>0.4028795120187912</x:v>
      </x:c>
      <x:c r="K2640" s="47" t="n">
        <x:v>0.8746205016294444</x:v>
      </x:c>
      <x:c r="L2640" s="47" t="n">
        <x:v>0.8593128293569319</x:v>
      </x:c>
      <x:c r="M2640" s="47" t="n">
        <x:v>0.06957902061820727</x:v>
      </x:c>
      <x:c r="N2640" s="47" t="n">
        <x:v>0.9479243925220434</x:v>
      </x:c>
      <x:c r="O2640" s="47" t="n">
        <x:v>0.9720783816918226</x:v>
      </x:c>
      <x:c r="P2640" s="47" t="n">
        <x:v>0.8440232733693107</x:v>
      </x:c>
      <x:c r="Q2640" s="47" t="n">
        <x:v>1</x:v>
      </x:c>
      <x:c r="R2640" s="47" t="n">
        <x:v>0.9655211838677176</x:v>
      </x:c>
      <x:c r="S2640" s="27" t="n">
        <x:v>0</x:v>
      </x:c>
    </x:row>
    <x:row r="2641" ht="15" hidden="0" customHeight="1">
      <x:c r="A2641" s="29" t="n">
        <x:v>879</x:v>
      </x:c>
      <x:c r="B2641" s="29" t="str">
        <x:v>A3</x:v>
      </x:c>
      <x:c r="C2641" s="48" t="n">
        <x:v>1.0083703737661935</x:v>
      </x:c>
      <x:c r="D2641" s="48" t="n">
        <x:v>0.8800252930979324</x:v>
      </x:c>
      <x:c r="E2641" s="48" t="n">
        <x:v>0.7904008642900575</x:v>
      </x:c>
      <x:c r="F2641" s="48" t="n">
        <x:v>0.01610288359025175</x:v>
      </x:c>
      <x:c r="G2641" s="48" t="n">
        <x:v>0.027066980906891774</x:v>
      </x:c>
      <x:c r="H2641" s="48" t="n">
        <x:v>0.8217607592585039</x:v>
      </x:c>
      <x:c r="I2641" s="48" t="n">
        <x:v>0.8754122715491908</x:v>
      </x:c>
      <x:c r="J2641" s="48" t="n">
        <x:v>0.4028795120187912</x:v>
      </x:c>
      <x:c r="K2641" s="48" t="n">
        <x:v>0.8746205016294444</x:v>
      </x:c>
      <x:c r="L2641" s="48" t="n">
        <x:v>0.8593128293569319</x:v>
      </x:c>
      <x:c r="M2641" s="48" t="n">
        <x:v>0.06957902061820727</x:v>
      </x:c>
      <x:c r="N2641" s="48" t="n">
        <x:v>0.9479243925220434</x:v>
      </x:c>
      <x:c r="O2641" s="48" t="n">
        <x:v>1</x:v>
      </x:c>
      <x:c r="P2641" s="48" t="n">
        <x:v>1</x:v>
      </x:c>
      <x:c r="Q2641" s="48" t="n">
        <x:v>1</x:v>
      </x:c>
      <x:c r="R2641" s="48" t="n">
        <x:v>1</x:v>
      </x:c>
      <x:c r="S2641" s="29" t="n">
        <x:v>1</x:v>
      </x:c>
    </x:row>
    <x:row r="2642" ht="21.600000381469727" hidden="0" customHeight="1">
      <x:c r="A2642" s="27" t="n">
        <x:v>880</x:v>
      </x:c>
      <x:c r="B2642" s="27" t="str">
        <x:v>A1</x:v>
      </x:c>
      <x:c r="C2642" s="47" t="n">
        <x:v>1.234308116993407</x:v>
      </x:c>
      <x:c r="D2642" s="47" t="n">
        <x:v>0.8025425996002378</x:v>
      </x:c>
      <x:c r="E2642" s="47" t="n">
        <x:v>0.8996827215926166</x:v>
      </x:c>
      <x:c r="F2642" s="47" t="n">
        <x:v>-0.17036270523739128</x:v>
      </x:c>
      <x:c r="G2642" s="47" t="n">
        <x:v>-0.021029664398704184</x:v>
      </x:c>
      <x:c r="H2642" s="47" t="n">
        <x:v>0.3045131213666056</x:v>
      </x:c>
      <x:c r="I2642" s="47" t="n">
        <x:v>0.6857155383409349</x:v>
      </x:c>
      <x:c r="J2642" s="47" t="n">
        <x:v>0.5214962289421664</x:v>
      </x:c>
      <x:c r="K2642" s="47" t="n">
        <x:v>0.568835509019707</x:v>
      </x:c>
      <x:c r="L2642" s="47" t="n">
        <x:v>0.755553360222118</x:v>
      </x:c>
      <x:c r="M2642" s="47" t="n">
        <x:v>0.11823234042111794</x:v>
      </x:c>
      <x:c r="N2642" s="47" t="n">
        <x:v>0.7440510891035107</x:v>
      </x:c>
      <x:c r="O2642" s="47" t="n">
        <x:v>0.7336498285346849</x:v>
      </x:c>
      <x:c r="P2642" s="47" t="n">
        <x:v>0.48118317615128176</x:v>
      </x:c>
      <x:c r="Q2642" s="47" t="n">
        <x:v>0.9165505520089899</x:v>
      </x:c>
      <x:c r="R2642" s="47" t="n">
        <x:v>0.6783280898224561</x:v>
      </x:c>
      <x:c r="S2642" s="27" t="n">
        <x:v>0</x:v>
      </x:c>
    </x:row>
    <x:row r="2643" ht="21.600000381469727" hidden="0" customHeight="1">
      <x:c r="A2643" s="29" t="n">
        <x:v>880</x:v>
      </x:c>
      <x:c r="B2643" s="29" t="str">
        <x:v>A2</x:v>
      </x:c>
      <x:c r="C2643" s="48" t="n">
        <x:v>1.234308116993407</x:v>
      </x:c>
      <x:c r="D2643" s="48" t="n">
        <x:v>0.8025425996002378</x:v>
      </x:c>
      <x:c r="E2643" s="48" t="n">
        <x:v>0.8996827215926166</x:v>
      </x:c>
      <x:c r="F2643" s="48" t="n">
        <x:v>-0.17036270523739128</x:v>
      </x:c>
      <x:c r="G2643" s="48" t="n">
        <x:v>-0.021029664398704184</x:v>
      </x:c>
      <x:c r="H2643" s="48" t="n">
        <x:v>0.3045131213666056</x:v>
      </x:c>
      <x:c r="I2643" s="48" t="n">
        <x:v>0.6857155383409349</x:v>
      </x:c>
      <x:c r="J2643" s="48" t="n">
        <x:v>0.5214962289421664</x:v>
      </x:c>
      <x:c r="K2643" s="48" t="n">
        <x:v>0.568835509019707</x:v>
      </x:c>
      <x:c r="L2643" s="48" t="n">
        <x:v>0.755553360222118</x:v>
      </x:c>
      <x:c r="M2643" s="48" t="n">
        <x:v>0.11823234042111794</x:v>
      </x:c>
      <x:c r="N2643" s="48" t="n">
        <x:v>0.7440510891035107</x:v>
      </x:c>
      <x:c r="O2643" s="48" t="n">
        <x:v>0.8226087610925609</x:v>
      </x:c>
      <x:c r="P2643" s="48" t="n">
        <x:v>0.5736685824960135</x:v>
      </x:c>
      <x:c r="Q2643" s="48" t="n">
        <x:v>1</x:v>
      </x:c>
      <x:c r="R2643" s="48" t="n">
        <x:v>0.7809496626498863</x:v>
      </x:c>
      <x:c r="S2643" s="29" t="n">
        <x:v>0</x:v>
      </x:c>
    </x:row>
    <x:row r="2644" ht="21.600000381469727" hidden="0" customHeight="1">
      <x:c r="A2644" s="27" t="n">
        <x:v>880</x:v>
      </x:c>
      <x:c r="B2644" s="27" t="str">
        <x:v>A3</x:v>
      </x:c>
      <x:c r="C2644" s="47" t="n">
        <x:v>1.234308116993407</x:v>
      </x:c>
      <x:c r="D2644" s="47" t="n">
        <x:v>0.8025425996002378</x:v>
      </x:c>
      <x:c r="E2644" s="47" t="n">
        <x:v>0.8996827215926166</x:v>
      </x:c>
      <x:c r="F2644" s="47" t="n">
        <x:v>-0.17036270523739128</x:v>
      </x:c>
      <x:c r="G2644" s="47" t="n">
        <x:v>-0.021029664398704184</x:v>
      </x:c>
      <x:c r="H2644" s="47" t="n">
        <x:v>0.3045131213666056</x:v>
      </x:c>
      <x:c r="I2644" s="47" t="n">
        <x:v>0.6857155383409349</x:v>
      </x:c>
      <x:c r="J2644" s="47" t="n">
        <x:v>0.5214962289421664</x:v>
      </x:c>
      <x:c r="K2644" s="47" t="n">
        <x:v>0.568835509019707</x:v>
      </x:c>
      <x:c r="L2644" s="47" t="n">
        <x:v>0.755553360222118</x:v>
      </x:c>
      <x:c r="M2644" s="47" t="n">
        <x:v>0.11823234042111794</x:v>
      </x:c>
      <x:c r="N2644" s="47" t="n">
        <x:v>0.7440510891035107</x:v>
      </x:c>
      <x:c r="O2644" s="47" t="n">
        <x:v>1</x:v>
      </x:c>
      <x:c r="P2644" s="47" t="n">
        <x:v>1</x:v>
      </x:c>
      <x:c r="Q2644" s="47" t="n">
        <x:v>1</x:v>
      </x:c>
      <x:c r="R2644" s="47" t="n">
        <x:v>1</x:v>
      </x:c>
      <x:c r="S2644" s="27" t="n">
        <x:v>1</x:v>
      </x:c>
    </x:row>
    <x:row r="2645" ht="21.600000381469727" hidden="0" customHeight="1">
      <x:c r="A2645" s="29" t="n">
        <x:v>881</x:v>
      </x:c>
      <x:c r="B2645" s="29" t="str">
        <x:v>A1</x:v>
      </x:c>
      <x:c r="C2645" s="48" t="n">
        <x:v>1.0603324469240314</x:v>
      </x:c>
      <x:c r="D2645" s="48" t="n">
        <x:v>0.9409542660411623</x:v>
      </x:c>
      <x:c r="E2645" s="48" t="n">
        <x:v>1.078752529242977</x:v>
      </x:c>
      <x:c r="F2645" s="48" t="n">
        <x:v>-0.03326226741100943</x:v>
      </x:c>
      <x:c r="G2645" s="48" t="n">
        <x:v>-0.19651913152569364</x:v>
      </x:c>
      <x:c r="H2645" s="48" t="n">
        <x:v>0.34163392098306467</x:v>
      </x:c>
      <x:c r="I2645" s="48" t="n">
        <x:v>0.6699647667627311</x:v>
      </x:c>
      <x:c r="J2645" s="48" t="n">
        <x:v>0.5544852890563182</x:v>
      </x:c>
      <x:c r="K2645" s="48" t="n">
        <x:v>0.984450082413943</x:v>
      </x:c>
      <x:c r="L2645" s="48" t="n">
        <x:v>0.8931574779636009</x:v>
      </x:c>
      <x:c r="M2645" s="48" t="n">
        <x:v>0.10641383386099218</x:v>
      </x:c>
      <x:c r="N2645" s="48" t="n">
        <x:v>0.7840817128784067</x:v>
      </x:c>
      <x:c r="O2645" s="48" t="n">
        <x:v>0.9237026700845948</x:v>
      </x:c>
      <x:c r="P2645" s="48" t="n">
        <x:v>0.7075030997282508</x:v>
      </x:c>
      <x:c r="Q2645" s="48" t="n">
        <x:v>1</x:v>
      </x:c>
      <x:c r="R2645" s="48" t="n">
        <x:v>0.9057847729131476</x:v>
      </x:c>
      <x:c r="S2645" s="29" t="n">
        <x:v>0</x:v>
      </x:c>
    </x:row>
    <x:row r="2646" ht="21.600000381469727" hidden="0" customHeight="1">
      <x:c r="A2646" s="27" t="n">
        <x:v>881</x:v>
      </x:c>
      <x:c r="B2646" s="27" t="str">
        <x:v>A2</x:v>
      </x:c>
      <x:c r="C2646" s="47" t="n">
        <x:v>1.0603324469240314</x:v>
      </x:c>
      <x:c r="D2646" s="47" t="n">
        <x:v>0.9409542660411623</x:v>
      </x:c>
      <x:c r="E2646" s="47" t="n">
        <x:v>1.078752529242977</x:v>
      </x:c>
      <x:c r="F2646" s="47" t="n">
        <x:v>-0.03326226741100943</x:v>
      </x:c>
      <x:c r="G2646" s="47" t="n">
        <x:v>-0.19651913152569364</x:v>
      </x:c>
      <x:c r="H2646" s="47" t="n">
        <x:v>0.34163392098306467</x:v>
      </x:c>
      <x:c r="I2646" s="47" t="n">
        <x:v>0.6699647667627311</x:v>
      </x:c>
      <x:c r="J2646" s="47" t="n">
        <x:v>0.5544852890563182</x:v>
      </x:c>
      <x:c r="K2646" s="47" t="n">
        <x:v>0.984450082413943</x:v>
      </x:c>
      <x:c r="L2646" s="47" t="n">
        <x:v>0.8931574779636009</x:v>
      </x:c>
      <x:c r="M2646" s="47" t="n">
        <x:v>0.10641383386099218</x:v>
      </x:c>
      <x:c r="N2646" s="47" t="n">
        <x:v>0.7840817128784067</x:v>
      </x:c>
      <x:c r="O2646" s="47" t="n">
        <x:v>0.9995699601639478</x:v>
      </x:c>
      <x:c r="P2646" s="47" t="n">
        <x:v>0.9956996016394781</x:v>
      </x:c>
      <x:c r="Q2646" s="47" t="n">
        <x:v>1</x:v>
      </x:c>
      <x:c r="R2646" s="47" t="n">
        <x:v>0.999468968300005</x:v>
      </x:c>
      <x:c r="S2646" s="27" t="n">
        <x:v>1</x:v>
      </x:c>
    </x:row>
    <x:row r="2647" ht="21.600000381469727" hidden="0" customHeight="1">
      <x:c r="A2647" s="29" t="n">
        <x:v>881</x:v>
      </x:c>
      <x:c r="B2647" s="29" t="str">
        <x:v>A3</x:v>
      </x:c>
      <x:c r="C2647" s="48" t="n">
        <x:v>1.0603324469240314</x:v>
      </x:c>
      <x:c r="D2647" s="48" t="n">
        <x:v>0.9409542660411623</x:v>
      </x:c>
      <x:c r="E2647" s="48" t="n">
        <x:v>1.078752529242977</x:v>
      </x:c>
      <x:c r="F2647" s="48" t="n">
        <x:v>-0.03326226741100943</x:v>
      </x:c>
      <x:c r="G2647" s="48" t="n">
        <x:v>-0.19651913152569364</x:v>
      </x:c>
      <x:c r="H2647" s="48" t="n">
        <x:v>0.34163392098306467</x:v>
      </x:c>
      <x:c r="I2647" s="48" t="n">
        <x:v>0.6699647667627311</x:v>
      </x:c>
      <x:c r="J2647" s="48" t="n">
        <x:v>0.5544852890563182</x:v>
      </x:c>
      <x:c r="K2647" s="48" t="n">
        <x:v>0.984450082413943</x:v>
      </x:c>
      <x:c r="L2647" s="48" t="n">
        <x:v>0.8931574779636009</x:v>
      </x:c>
      <x:c r="M2647" s="48" t="n">
        <x:v>0.10641383386099218</x:v>
      </x:c>
      <x:c r="N2647" s="48" t="n">
        <x:v>0.7840817128784067</x:v>
      </x:c>
      <x:c r="O2647" s="48" t="n">
        <x:v>1</x:v>
      </x:c>
      <x:c r="P2647" s="48" t="n">
        <x:v>1</x:v>
      </x:c>
      <x:c r="Q2647" s="48" t="n">
        <x:v>1</x:v>
      </x:c>
      <x:c r="R2647" s="48" t="n">
        <x:v>1</x:v>
      </x:c>
      <x:c r="S2647" s="29" t="n">
        <x:v>1</x:v>
      </x:c>
    </x:row>
    <x:row r="2648" ht="21.600000381469727" hidden="0" customHeight="1">
      <x:c r="A2648" s="27" t="n">
        <x:v>882</x:v>
      </x:c>
      <x:c r="B2648" s="27" t="str">
        <x:v>A1</x:v>
      </x:c>
      <x:c r="C2648" s="47" t="n">
        <x:v>1.162574328395253</x:v>
      </x:c>
      <x:c r="D2648" s="47" t="n">
        <x:v>0.7216547432080176</x:v>
      </x:c>
      <x:c r="E2648" s="47" t="n">
        <x:v>0.7150896257882219</x:v>
      </x:c>
      <x:c r="F2648" s="47" t="n">
        <x:v>-0.1197718224289319</x:v>
      </x:c>
      <x:c r="G2648" s="47" t="n">
        <x:v>-0.11788788685659017</x:v>
      </x:c>
      <x:c r="H2648" s="47" t="n">
        <x:v>0.5107185800401312</x:v>
      </x:c>
      <x:c r="I2648" s="47" t="n">
        <x:v>0.7760989207325347</x:v>
      </x:c>
      <x:c r="J2648" s="47" t="n">
        <x:v>0.8829187319800593</x:v>
      </x:c>
      <x:c r="K2648" s="47" t="n">
        <x:v>0.8861117078017089</x:v>
      </x:c>
      <x:c r="L2648" s="47" t="n">
        <x:v>0.6844437276166502</x:v>
      </x:c>
      <x:c r="M2648" s="47" t="n">
        <x:v>0.003783612900170525</x:v>
      </x:c>
      <x:c r="N2648" s="47" t="n">
        <x:v>0.8873381898572934</x:v>
      </x:c>
      <x:c r="O2648" s="47" t="n">
        <x:v>0.776176030124918</x:v>
      </x:c>
      <x:c r="P2648" s="47" t="n">
        <x:v>0.47357425244765344</x:v>
      </x:c>
      <x:c r="Q2648" s="47" t="n">
        <x:v>1</x:v>
      </x:c>
      <x:c r="R2648" s="47" t="n">
        <x:v>0.7236125278218443</x:v>
      </x:c>
      <x:c r="S2648" s="27" t="n">
        <x:v>0</x:v>
      </x:c>
    </x:row>
    <x:row r="2649" ht="21.600000381469727" hidden="0" customHeight="1">
      <x:c r="A2649" s="29" t="n">
        <x:v>882</x:v>
      </x:c>
      <x:c r="B2649" s="29" t="str">
        <x:v>A2</x:v>
      </x:c>
      <x:c r="C2649" s="48" t="n">
        <x:v>1.162574328395253</x:v>
      </x:c>
      <x:c r="D2649" s="48" t="n">
        <x:v>0.7216547432080176</x:v>
      </x:c>
      <x:c r="E2649" s="48" t="n">
        <x:v>0.7150896257882219</x:v>
      </x:c>
      <x:c r="F2649" s="48" t="n">
        <x:v>-0.1197718224289319</x:v>
      </x:c>
      <x:c r="G2649" s="48" t="n">
        <x:v>-0.11788788685659017</x:v>
      </x:c>
      <x:c r="H2649" s="48" t="n">
        <x:v>0.5107185800401312</x:v>
      </x:c>
      <x:c r="I2649" s="48" t="n">
        <x:v>0.7760989207325347</x:v>
      </x:c>
      <x:c r="J2649" s="48" t="n">
        <x:v>0.8829187319800593</x:v>
      </x:c>
      <x:c r="K2649" s="48" t="n">
        <x:v>0.8861117078017089</x:v>
      </x:c>
      <x:c r="L2649" s="48" t="n">
        <x:v>0.6844437276166502</x:v>
      </x:c>
      <x:c r="M2649" s="48" t="n">
        <x:v>0.003783612900170525</x:v>
      </x:c>
      <x:c r="N2649" s="48" t="n">
        <x:v>0.8873381898572934</x:v>
      </x:c>
      <x:c r="O2649" s="48" t="n">
        <x:v>0.8595545677177456</x:v>
      </x:c>
      <x:c r="P2649" s="48" t="n">
        <x:v>0.5120699203321794</x:v>
      </x:c>
      <x:c r="Q2649" s="48" t="n">
        <x:v>1</x:v>
      </x:c>
      <x:c r="R2649" s="48" t="n">
        <x:v>0.8265719349490366</x:v>
      </x:c>
      <x:c r="S2649" s="29" t="n">
        <x:v>0</x:v>
      </x:c>
    </x:row>
    <x:row r="2650" ht="21.600000381469727" hidden="0" customHeight="1">
      <x:c r="A2650" s="27" t="n">
        <x:v>882</x:v>
      </x:c>
      <x:c r="B2650" s="27" t="str">
        <x:v>A3</x:v>
      </x:c>
      <x:c r="C2650" s="47" t="n">
        <x:v>1.162574328395253</x:v>
      </x:c>
      <x:c r="D2650" s="47" t="n">
        <x:v>0.7216547432080176</x:v>
      </x:c>
      <x:c r="E2650" s="47" t="n">
        <x:v>0.7150896257882219</x:v>
      </x:c>
      <x:c r="F2650" s="47" t="n">
        <x:v>-0.1197718224289319</x:v>
      </x:c>
      <x:c r="G2650" s="47" t="n">
        <x:v>-0.11788788685659017</x:v>
      </x:c>
      <x:c r="H2650" s="47" t="n">
        <x:v>0.5107185800401312</x:v>
      </x:c>
      <x:c r="I2650" s="47" t="n">
        <x:v>0.7760989207325347</x:v>
      </x:c>
      <x:c r="J2650" s="47" t="n">
        <x:v>0.8829187319800593</x:v>
      </x:c>
      <x:c r="K2650" s="47" t="n">
        <x:v>0.8861117078017089</x:v>
      </x:c>
      <x:c r="L2650" s="47" t="n">
        <x:v>0.6844437276166502</x:v>
      </x:c>
      <x:c r="M2650" s="47" t="n">
        <x:v>0.003783612900170525</x:v>
      </x:c>
      <x:c r="N2650" s="47" t="n">
        <x:v>0.8873381898572934</x:v>
      </x:c>
      <x:c r="O2650" s="47" t="n">
        <x:v>1</x:v>
      </x:c>
      <x:c r="P2650" s="47" t="n">
        <x:v>1</x:v>
      </x:c>
      <x:c r="Q2650" s="47" t="n">
        <x:v>1</x:v>
      </x:c>
      <x:c r="R2650" s="47" t="n">
        <x:v>1</x:v>
      </x:c>
      <x:c r="S2650" s="27" t="n">
        <x:v>1</x:v>
      </x:c>
    </x:row>
    <x:row r="2651" ht="21.600000381469727" hidden="0" customHeight="1">
      <x:c r="A2651" s="29" t="n">
        <x:v>883</x:v>
      </x:c>
      <x:c r="B2651" s="29" t="str">
        <x:v>A1</x:v>
      </x:c>
      <x:c r="C2651" s="48" t="n">
        <x:v>1.3032129627651312</x:v>
      </x:c>
      <x:c r="D2651" s="48" t="n">
        <x:v>0.7337403265807556</x:v>
      </x:c>
      <x:c r="E2651" s="48" t="n">
        <x:v>0.6888490575790618</x:v>
      </x:c>
      <x:c r="F2651" s="48" t="n">
        <x:v>-0.031532066707339934</x:v>
      </x:c>
      <x:c r="G2651" s="48" t="n">
        <x:v>-0.18519056767132688</x:v>
      </x:c>
      <x:c r="H2651" s="48" t="n">
        <x:v>0.6248819036573487</x:v>
      </x:c>
      <x:c r="I2651" s="48" t="n">
        <x:v>0.6155446112414221</x:v>
      </x:c>
      <x:c r="J2651" s="48" t="n">
        <x:v>0.7427255776544067</x:v>
      </x:c>
      <x:c r="K2651" s="48" t="n">
        <x:v>0.8324970637053255</x:v>
      </x:c>
      <x:c r="L2651" s="48" t="n">
        <x:v>0.5107224875413563</x:v>
      </x:c>
      <x:c r="M2651" s="48" t="n">
        <x:v>0.0008283652551252819</x:v>
      </x:c>
      <x:c r="N2651" s="48" t="n">
        <x:v>0.8835984520657962</x:v>
      </x:c>
      <x:c r="O2651" s="48" t="n">
        <x:v>0.6655656561369592</x:v>
      </x:c>
      <x:c r="P2651" s="48" t="n">
        <x:v>0.38962438547491596</x:v>
      </x:c>
      <x:c r="Q2651" s="48" t="n">
        <x:v>0.8327041507806945</x:v>
      </x:c>
      <x:c r="R2651" s="48" t="n">
        <x:v>0.5964819142374396</x:v>
      </x:c>
      <x:c r="S2651" s="29" t="n">
        <x:v>0</x:v>
      </x:c>
    </x:row>
    <x:row r="2652" ht="21.600000381469727" hidden="0" customHeight="1">
      <x:c r="A2652" s="27" t="n">
        <x:v>883</x:v>
      </x:c>
      <x:c r="B2652" s="27" t="str">
        <x:v>A2</x:v>
      </x:c>
      <x:c r="C2652" s="47" t="n">
        <x:v>1.3032129627651312</x:v>
      </x:c>
      <x:c r="D2652" s="47" t="n">
        <x:v>0.7337403265807556</x:v>
      </x:c>
      <x:c r="E2652" s="47" t="n">
        <x:v>0.6888490575790618</x:v>
      </x:c>
      <x:c r="F2652" s="47" t="n">
        <x:v>-0.031532066707339934</x:v>
      </x:c>
      <x:c r="G2652" s="47" t="n">
        <x:v>-0.18519056767132688</x:v>
      </x:c>
      <x:c r="H2652" s="47" t="n">
        <x:v>0.6248819036573487</x:v>
      </x:c>
      <x:c r="I2652" s="47" t="n">
        <x:v>0.6155446112414221</x:v>
      </x:c>
      <x:c r="J2652" s="47" t="n">
        <x:v>0.7427255776544067</x:v>
      </x:c>
      <x:c r="K2652" s="47" t="n">
        <x:v>0.8324970637053255</x:v>
      </x:c>
      <x:c r="L2652" s="47" t="n">
        <x:v>0.5107224875413563</x:v>
      </x:c>
      <x:c r="M2652" s="47" t="n">
        <x:v>0.0008283652551252819</x:v>
      </x:c>
      <x:c r="N2652" s="47" t="n">
        <x:v>0.8835984520657962</x:v>
      </x:c>
      <x:c r="O2652" s="47" t="n">
        <x:v>0.7210093847308658</x:v>
      </x:c>
      <x:c r="P2652" s="47" t="n">
        <x:v>0.4606075649180512</x:v>
      </x:c>
      <x:c r="Q2652" s="47" t="n">
        <x:v>1</x:v>
      </x:c>
      <x:c r="R2652" s="47" t="n">
        <x:v>0.6554903795214613</x:v>
      </x:c>
      <x:c r="S2652" s="27" t="n">
        <x:v>0</x:v>
      </x:c>
    </x:row>
    <x:row r="2653" ht="21.600000381469727" hidden="0" customHeight="1">
      <x:c r="A2653" s="29" t="n">
        <x:v>883</x:v>
      </x:c>
      <x:c r="B2653" s="29" t="str">
        <x:v>A3</x:v>
      </x:c>
      <x:c r="C2653" s="48" t="n">
        <x:v>1.3032129627651312</x:v>
      </x:c>
      <x:c r="D2653" s="48" t="n">
        <x:v>0.7337403265807556</x:v>
      </x:c>
      <x:c r="E2653" s="48" t="n">
        <x:v>0.6888490575790618</x:v>
      </x:c>
      <x:c r="F2653" s="48" t="n">
        <x:v>-0.031532066707339934</x:v>
      </x:c>
      <x:c r="G2653" s="48" t="n">
        <x:v>-0.18519056767132688</x:v>
      </x:c>
      <x:c r="H2653" s="48" t="n">
        <x:v>0.6248819036573487</x:v>
      </x:c>
      <x:c r="I2653" s="48" t="n">
        <x:v>0.6155446112414221</x:v>
      </x:c>
      <x:c r="J2653" s="48" t="n">
        <x:v>0.7427255776544067</x:v>
      </x:c>
      <x:c r="K2653" s="48" t="n">
        <x:v>0.8324970637053255</x:v>
      </x:c>
      <x:c r="L2653" s="48" t="n">
        <x:v>0.5107224875413563</x:v>
      </x:c>
      <x:c r="M2653" s="48" t="n">
        <x:v>0.0008283652551252819</x:v>
      </x:c>
      <x:c r="N2653" s="48" t="n">
        <x:v>0.8835984520657962</x:v>
      </x:c>
      <x:c r="O2653" s="48" t="n">
        <x:v>1.0000000000000002</x:v>
      </x:c>
      <x:c r="P2653" s="48" t="n">
        <x:v>1</x:v>
      </x:c>
      <x:c r="Q2653" s="48" t="n">
        <x:v>1</x:v>
      </x:c>
      <x:c r="R2653" s="48" t="n">
        <x:v>1</x:v>
      </x:c>
      <x:c r="S2653" s="29" t="n">
        <x:v>1</x:v>
      </x:c>
    </x:row>
    <x:row r="2654" ht="21.600000381469727" hidden="0" customHeight="1">
      <x:c r="A2654" s="27" t="n">
        <x:v>884</x:v>
      </x:c>
      <x:c r="B2654" s="27" t="str">
        <x:v>A1</x:v>
      </x:c>
      <x:c r="C2654" s="47" t="n">
        <x:v>1.0820586873167803</x:v>
      </x:c>
      <x:c r="D2654" s="47" t="n">
        <x:v>0.9234441821849116</x:v>
      </x:c>
      <x:c r="E2654" s="47" t="n">
        <x:v>0.5745653133000835</x:v>
      </x:c>
      <x:c r="F2654" s="47" t="n">
        <x:v>0.0041208222575978</x:v>
      </x:c>
      <x:c r="G2654" s="47" t="n">
        <x:v>-0.15368843620505693</x:v>
      </x:c>
      <x:c r="H2654" s="47" t="n">
        <x:v>0.6480197030436348</x:v>
      </x:c>
      <x:c r="I2654" s="47" t="n">
        <x:v>0.7133008468820972</x:v>
      </x:c>
      <x:c r="J2654" s="47" t="n">
        <x:v>0.9624375605631481</x:v>
      </x:c>
      <x:c r="K2654" s="47" t="n">
        <x:v>0.5557710601144863</x:v>
      </x:c>
      <x:c r="L2654" s="47" t="n">
        <x:v>0.674067567789728</x:v>
      </x:c>
      <x:c r="M2654" s="47" t="n">
        <x:v>0.17242128556301997</x:v>
      </x:c>
      <x:c r="N2654" s="47" t="n">
        <x:v>0.9889649541400403</x:v>
      </x:c>
      <x:c r="O2654" s="47" t="n">
        <x:v>0.8720676893869143</x:v>
      </x:c>
      <x:c r="P2654" s="47" t="n">
        <x:v>0.5056301580665318</x:v>
      </x:c>
      <x:c r="Q2654" s="47" t="n">
        <x:v>1</x:v>
      </x:c>
      <x:c r="R2654" s="47" t="n">
        <x:v>0.8420236761952014</x:v>
      </x:c>
      <x:c r="S2654" s="27" t="n">
        <x:v>0</x:v>
      </x:c>
    </x:row>
    <x:row r="2655" ht="21.600000381469727" hidden="0" customHeight="1">
      <x:c r="A2655" s="29" t="n">
        <x:v>884</x:v>
      </x:c>
      <x:c r="B2655" s="29" t="str">
        <x:v>A2</x:v>
      </x:c>
      <x:c r="C2655" s="48" t="n">
        <x:v>1.0820586873167803</x:v>
      </x:c>
      <x:c r="D2655" s="48" t="n">
        <x:v>0.9234441821849116</x:v>
      </x:c>
      <x:c r="E2655" s="48" t="n">
        <x:v>0.5745653133000835</x:v>
      </x:c>
      <x:c r="F2655" s="48" t="n">
        <x:v>0.0041208222575978</x:v>
      </x:c>
      <x:c r="G2655" s="48" t="n">
        <x:v>-0.15368843620505693</x:v>
      </x:c>
      <x:c r="H2655" s="48" t="n">
        <x:v>0.6480197030436348</x:v>
      </x:c>
      <x:c r="I2655" s="48" t="n">
        <x:v>0.7133008468820972</x:v>
      </x:c>
      <x:c r="J2655" s="48" t="n">
        <x:v>0.9624375605631481</x:v>
      </x:c>
      <x:c r="K2655" s="48" t="n">
        <x:v>0.5557710601144863</x:v>
      </x:c>
      <x:c r="L2655" s="48" t="n">
        <x:v>0.674067567789728</x:v>
      </x:c>
      <x:c r="M2655" s="48" t="n">
        <x:v>0.17242128556301997</x:v>
      </x:c>
      <x:c r="N2655" s="48" t="n">
        <x:v>0.9889649541400403</x:v>
      </x:c>
      <x:c r="O2655" s="48" t="n">
        <x:v>0.9292607591300387</x:v>
      </x:c>
      <x:c r="P2655" s="48" t="n">
        <x:v>0.6435544077758223</x:v>
      </x:c>
      <x:c r="Q2655" s="48" t="n">
        <x:v>1</x:v>
      </x:c>
      <x:c r="R2655" s="48" t="n">
        <x:v>0.9126481405063</x:v>
      </x:c>
      <x:c r="S2655" s="29" t="n">
        <x:v>0</x:v>
      </x:c>
    </x:row>
    <x:row r="2656" ht="21.600000381469727" hidden="0" customHeight="1">
      <x:c r="A2656" s="27" t="n">
        <x:v>884</x:v>
      </x:c>
      <x:c r="B2656" s="27" t="str">
        <x:v>A3</x:v>
      </x:c>
      <x:c r="C2656" s="47" t="n">
        <x:v>1.0820586873167803</x:v>
      </x:c>
      <x:c r="D2656" s="47" t="n">
        <x:v>0.9234441821849116</x:v>
      </x:c>
      <x:c r="E2656" s="47" t="n">
        <x:v>0.5745653133000835</x:v>
      </x:c>
      <x:c r="F2656" s="47" t="n">
        <x:v>0.0041208222575978</x:v>
      </x:c>
      <x:c r="G2656" s="47" t="n">
        <x:v>-0.15368843620505693</x:v>
      </x:c>
      <x:c r="H2656" s="47" t="n">
        <x:v>0.6480197030436348</x:v>
      </x:c>
      <x:c r="I2656" s="47" t="n">
        <x:v>0.7133008468820972</x:v>
      </x:c>
      <x:c r="J2656" s="47" t="n">
        <x:v>0.9624375605631481</x:v>
      </x:c>
      <x:c r="K2656" s="47" t="n">
        <x:v>0.5557710601144863</x:v>
      </x:c>
      <x:c r="L2656" s="47" t="n">
        <x:v>0.674067567789728</x:v>
      </x:c>
      <x:c r="M2656" s="47" t="n">
        <x:v>0.17242128556301997</x:v>
      </x:c>
      <x:c r="N2656" s="47" t="n">
        <x:v>0.9889649541400403</x:v>
      </x:c>
      <x:c r="O2656" s="47" t="n">
        <x:v>1</x:v>
      </x:c>
      <x:c r="P2656" s="47" t="n">
        <x:v>1</x:v>
      </x:c>
      <x:c r="Q2656" s="47" t="n">
        <x:v>1</x:v>
      </x:c>
      <x:c r="R2656" s="47" t="n">
        <x:v>1</x:v>
      </x:c>
      <x:c r="S2656" s="27" t="n">
        <x:v>1</x:v>
      </x:c>
    </x:row>
    <x:row r="2657" ht="21.600000381469727" hidden="0" customHeight="1">
      <x:c r="A2657" s="29" t="n">
        <x:v>885</x:v>
      </x:c>
      <x:c r="B2657" s="29" t="str">
        <x:v>A1</x:v>
      </x:c>
      <x:c r="C2657" s="48" t="n">
        <x:v>0.9556330226903846</x:v>
      </x:c>
      <x:c r="D2657" s="48" t="n">
        <x:v>0.7907224033738929</x:v>
      </x:c>
      <x:c r="E2657" s="48" t="n">
        <x:v>0.505423645446586</x:v>
      </x:c>
      <x:c r="F2657" s="48" t="n">
        <x:v>-0.13907804694797876</x:v>
      </x:c>
      <x:c r="G2657" s="48" t="n">
        <x:v>0.013207093836014094</x:v>
      </x:c>
      <x:c r="H2657" s="48" t="n">
        <x:v>0.6203118339171995</x:v>
      </x:c>
      <x:c r="I2657" s="48" t="n">
        <x:v>0.729875423630387</x:v>
      </x:c>
      <x:c r="J2657" s="48" t="n">
        <x:v>0.6509055003596392</x:v>
      </x:c>
      <x:c r="K2657" s="48" t="n">
        <x:v>0.5759826631896365</x:v>
      </x:c>
      <x:c r="L2657" s="48" t="n">
        <x:v>0.5785762649647171</x:v>
      </x:c>
      <x:c r="M2657" s="48" t="n">
        <x:v>0.06360915769488447</x:v>
      </x:c>
      <x:c r="N2657" s="48" t="n">
        <x:v>0.9088168956556586</x:v>
      </x:c>
      <x:c r="O2657" s="48" t="n">
        <x:v>0.8270541590541413</x:v>
      </x:c>
      <x:c r="P2657" s="48" t="n">
        <x:v>0.5020822239590295</x:v>
      </x:c>
      <x:c r="Q2657" s="48" t="n">
        <x:v>1</x:v>
      </x:c>
      <x:c r="R2657" s="48" t="n">
        <x:v>0.7864390313985189</x:v>
      </x:c>
      <x:c r="S2657" s="29" t="n">
        <x:v>0</x:v>
      </x:c>
    </x:row>
    <x:row r="2658" ht="21.600000381469727" hidden="0" customHeight="1">
      <x:c r="A2658" s="27" t="n">
        <x:v>885</x:v>
      </x:c>
      <x:c r="B2658" s="27" t="str">
        <x:v>A2</x:v>
      </x:c>
      <x:c r="C2658" s="47" t="n">
        <x:v>0.9556330226903846</x:v>
      </x:c>
      <x:c r="D2658" s="47" t="n">
        <x:v>0.7907224033738929</x:v>
      </x:c>
      <x:c r="E2658" s="47" t="n">
        <x:v>0.505423645446586</x:v>
      </x:c>
      <x:c r="F2658" s="47" t="n">
        <x:v>-0.13907804694797876</x:v>
      </x:c>
      <x:c r="G2658" s="47" t="n">
        <x:v>0.013207093836014094</x:v>
      </x:c>
      <x:c r="H2658" s="47" t="n">
        <x:v>0.6203118339171995</x:v>
      </x:c>
      <x:c r="I2658" s="47" t="n">
        <x:v>0.729875423630387</x:v>
      </x:c>
      <x:c r="J2658" s="47" t="n">
        <x:v>0.6509055003596392</x:v>
      </x:c>
      <x:c r="K2658" s="47" t="n">
        <x:v>0.5759826631896365</x:v>
      </x:c>
      <x:c r="L2658" s="47" t="n">
        <x:v>0.5785762649647171</x:v>
      </x:c>
      <x:c r="M2658" s="47" t="n">
        <x:v>0.06360915769488447</x:v>
      </x:c>
      <x:c r="N2658" s="47" t="n">
        <x:v>0.9088168956556586</x:v>
      </x:c>
      <x:c r="O2658" s="47" t="n">
        <x:v>0.9061161384558428</x:v>
      </x:c>
      <x:c r="P2658" s="47" t="n">
        <x:v>0.5645628367551854</x:v>
      </x:c>
      <x:c r="Q2658" s="47" t="n">
        <x:v>1</x:v>
      </x:c>
      <x:c r="R2658" s="47" t="n">
        <x:v>0.8840681666713553</x:v>
      </x:c>
      <x:c r="S2658" s="27" t="n">
        <x:v>0</x:v>
      </x:c>
    </x:row>
    <x:row r="2659" ht="21.600000381469727" hidden="0" customHeight="1">
      <x:c r="A2659" s="29" t="n">
        <x:v>885</x:v>
      </x:c>
      <x:c r="B2659" s="29" t="str">
        <x:v>A3</x:v>
      </x:c>
      <x:c r="C2659" s="48" t="n">
        <x:v>0.9556330226903846</x:v>
      </x:c>
      <x:c r="D2659" s="48" t="n">
        <x:v>0.7907224033738929</x:v>
      </x:c>
      <x:c r="E2659" s="48" t="n">
        <x:v>0.505423645446586</x:v>
      </x:c>
      <x:c r="F2659" s="48" t="n">
        <x:v>-0.13907804694797876</x:v>
      </x:c>
      <x:c r="G2659" s="48" t="n">
        <x:v>0.013207093836014094</x:v>
      </x:c>
      <x:c r="H2659" s="48" t="n">
        <x:v>0.6203118339171995</x:v>
      </x:c>
      <x:c r="I2659" s="48" t="n">
        <x:v>0.729875423630387</x:v>
      </x:c>
      <x:c r="J2659" s="48" t="n">
        <x:v>0.6509055003596392</x:v>
      </x:c>
      <x:c r="K2659" s="48" t="n">
        <x:v>0.5759826631896365</x:v>
      </x:c>
      <x:c r="L2659" s="48" t="n">
        <x:v>0.5785762649647171</x:v>
      </x:c>
      <x:c r="M2659" s="48" t="n">
        <x:v>0.06360915769488447</x:v>
      </x:c>
      <x:c r="N2659" s="48" t="n">
        <x:v>0.9088168956556586</x:v>
      </x:c>
      <x:c r="O2659" s="48" t="n">
        <x:v>1</x:v>
      </x:c>
      <x:c r="P2659" s="48" t="n">
        <x:v>1</x:v>
      </x:c>
      <x:c r="Q2659" s="48" t="n">
        <x:v>1</x:v>
      </x:c>
      <x:c r="R2659" s="48" t="n">
        <x:v>1</x:v>
      </x:c>
      <x:c r="S2659" s="29" t="n">
        <x:v>1</x:v>
      </x:c>
    </x:row>
    <x:row r="2660" ht="21.600000381469727" hidden="0" customHeight="1">
      <x:c r="A2660" s="27" t="n">
        <x:v>886</x:v>
      </x:c>
      <x:c r="B2660" s="27" t="str">
        <x:v>A1</x:v>
      </x:c>
      <x:c r="C2660" s="47" t="n">
        <x:v>1.1084817230381376</x:v>
      </x:c>
      <x:c r="D2660" s="47" t="n">
        <x:v>0.8396653617325901</x:v>
      </x:c>
      <x:c r="E2660" s="47" t="n">
        <x:v>1.0659780276001873</x:v>
      </x:c>
      <x:c r="F2660" s="47" t="n">
        <x:v>-0.08291667846000347</x:v>
      </x:c>
      <x:c r="G2660" s="47" t="n">
        <x:v>-0.030860481871423345</x:v>
      </x:c>
      <x:c r="H2660" s="47" t="n">
        <x:v>0.518974090786382</x:v>
      </x:c>
      <x:c r="I2660" s="47" t="n">
        <x:v>0.9406599724263398</x:v>
      </x:c>
      <x:c r="J2660" s="47" t="n">
        <x:v>0.829697843879031</x:v>
      </x:c>
      <x:c r="K2660" s="47" t="n">
        <x:v>0.6229450143124206</x:v>
      </x:c>
      <x:c r="L2660" s="47" t="n">
        <x:v>0.9466310352882883</x:v>
      </x:c>
      <x:c r="M2660" s="47" t="n">
        <x:v>0.14071570380482132</x:v>
      </x:c>
      <x:c r="N2660" s="47" t="n">
        <x:v>0.7224386793113621</x:v>
      </x:c>
      <x:c r="O2660" s="47" t="n">
        <x:v>0.9145769214253562</x:v>
      </x:c>
      <x:c r="P2660" s="47" t="n">
        <x:v>0.679981815173623</x:v>
      </x:c>
      <x:c r="Q2660" s="47" t="n">
        <x:v>1</x:v>
      </x:c>
      <x:c r="R2660" s="47" t="n">
        <x:v>0.894515905664176</x:v>
      </x:c>
      <x:c r="S2660" s="27" t="n">
        <x:v>0</x:v>
      </x:c>
    </x:row>
    <x:row r="2661" ht="21.600000381469727" hidden="0" customHeight="1">
      <x:c r="A2661" s="29" t="n">
        <x:v>886</x:v>
      </x:c>
      <x:c r="B2661" s="29" t="str">
        <x:v>A2</x:v>
      </x:c>
      <x:c r="C2661" s="48" t="n">
        <x:v>1.1084817230381376</x:v>
      </x:c>
      <x:c r="D2661" s="48" t="n">
        <x:v>0.8396653617325901</x:v>
      </x:c>
      <x:c r="E2661" s="48" t="n">
        <x:v>1.0659780276001873</x:v>
      </x:c>
      <x:c r="F2661" s="48" t="n">
        <x:v>-0.08291667846000347</x:v>
      </x:c>
      <x:c r="G2661" s="48" t="n">
        <x:v>-0.030860481871423345</x:v>
      </x:c>
      <x:c r="H2661" s="48" t="n">
        <x:v>0.518974090786382</x:v>
      </x:c>
      <x:c r="I2661" s="48" t="n">
        <x:v>0.9406599724263398</x:v>
      </x:c>
      <x:c r="J2661" s="48" t="n">
        <x:v>0.829697843879031</x:v>
      </x:c>
      <x:c r="K2661" s="48" t="n">
        <x:v>0.6229450143124206</x:v>
      </x:c>
      <x:c r="L2661" s="48" t="n">
        <x:v>0.9466310352882883</x:v>
      </x:c>
      <x:c r="M2661" s="48" t="n">
        <x:v>0.14071570380482132</x:v>
      </x:c>
      <x:c r="N2661" s="48" t="n">
        <x:v>0.7224386793113621</x:v>
      </x:c>
      <x:c r="O2661" s="48" t="n">
        <x:v>0.9666399134509582</x:v>
      </x:c>
      <x:c r="P2661" s="48" t="n">
        <x:v>0.7488797993182954</x:v>
      </x:c>
      <x:c r="Q2661" s="48" t="n">
        <x:v>1</x:v>
      </x:c>
      <x:c r="R2661" s="48" t="n">
        <x:v>0.9588055291929634</x:v>
      </x:c>
      <x:c r="S2661" s="29" t="n">
        <x:v>0</x:v>
      </x:c>
    </x:row>
    <x:row r="2662" ht="21.600000381469727" hidden="0" customHeight="1">
      <x:c r="A2662" s="27" t="n">
        <x:v>886</x:v>
      </x:c>
      <x:c r="B2662" s="27" t="str">
        <x:v>A3</x:v>
      </x:c>
      <x:c r="C2662" s="47" t="n">
        <x:v>1.1084817230381376</x:v>
      </x:c>
      <x:c r="D2662" s="47" t="n">
        <x:v>0.8396653617325901</x:v>
      </x:c>
      <x:c r="E2662" s="47" t="n">
        <x:v>1.0659780276001873</x:v>
      </x:c>
      <x:c r="F2662" s="47" t="n">
        <x:v>-0.08291667846000347</x:v>
      </x:c>
      <x:c r="G2662" s="47" t="n">
        <x:v>-0.030860481871423345</x:v>
      </x:c>
      <x:c r="H2662" s="47" t="n">
        <x:v>0.518974090786382</x:v>
      </x:c>
      <x:c r="I2662" s="47" t="n">
        <x:v>0.9406599724263398</x:v>
      </x:c>
      <x:c r="J2662" s="47" t="n">
        <x:v>0.829697843879031</x:v>
      </x:c>
      <x:c r="K2662" s="47" t="n">
        <x:v>0.6229450143124206</x:v>
      </x:c>
      <x:c r="L2662" s="47" t="n">
        <x:v>0.9466310352882883</x:v>
      </x:c>
      <x:c r="M2662" s="47" t="n">
        <x:v>0.14071570380482132</x:v>
      </x:c>
      <x:c r="N2662" s="47" t="n">
        <x:v>0.7224386793113621</x:v>
      </x:c>
      <x:c r="O2662" s="47" t="n">
        <x:v>1</x:v>
      </x:c>
      <x:c r="P2662" s="47" t="n">
        <x:v>1</x:v>
      </x:c>
      <x:c r="Q2662" s="47" t="n">
        <x:v>1</x:v>
      </x:c>
      <x:c r="R2662" s="47" t="n">
        <x:v>1</x:v>
      </x:c>
      <x:c r="S2662" s="27" t="n">
        <x:v>1</x:v>
      </x:c>
    </x:row>
    <x:row r="2663" ht="21.600000381469727" hidden="0" customHeight="1">
      <x:c r="A2663" s="29" t="n">
        <x:v>887</x:v>
      </x:c>
      <x:c r="B2663" s="29" t="str">
        <x:v>A1</x:v>
      </x:c>
      <x:c r="C2663" s="48" t="n">
        <x:v>0.9032928487358831</x:v>
      </x:c>
      <x:c r="D2663" s="48" t="n">
        <x:v>0.7888216909343898</x:v>
      </x:c>
      <x:c r="E2663" s="48" t="n">
        <x:v>0.6387546234780623</x:v>
      </x:c>
      <x:c r="F2663" s="48" t="n">
        <x:v>-0.18323080477825499</x:v>
      </x:c>
      <x:c r="G2663" s="48" t="n">
        <x:v>-0.047495363233349436</x:v>
      </x:c>
      <x:c r="H2663" s="48" t="n">
        <x:v>0.7432028021405337</x:v>
      </x:c>
      <x:c r="I2663" s="48" t="n">
        <x:v>0.9461498905124734</x:v>
      </x:c>
      <x:c r="J2663" s="48" t="n">
        <x:v>0.57111016300847</x:v>
      </x:c>
      <x:c r="K2663" s="48" t="n">
        <x:v>0.6472681797952492</x:v>
      </x:c>
      <x:c r="L2663" s="48" t="n">
        <x:v>0.8540697344307195</x:v>
      </x:c>
      <x:c r="M2663" s="48" t="n">
        <x:v>0.003599916632137389</x:v>
      </x:c>
      <x:c r="N2663" s="48" t="n">
        <x:v>0.9554235325041385</x:v>
      </x:c>
      <x:c r="O2663" s="48" t="n">
        <x:v>0.9100247600464233</x:v>
      </x:c>
      <x:c r="P2663" s="48" t="n">
        <x:v>0.7140873984002026</x:v>
      </x:c>
      <x:c r="Q2663" s="48" t="n">
        <x:v>1</x:v>
      </x:c>
      <x:c r="R2663" s="48" t="n">
        <x:v>0.8888947008523213</x:v>
      </x:c>
      <x:c r="S2663" s="29" t="n">
        <x:v>0</x:v>
      </x:c>
    </x:row>
    <x:row r="2664" ht="21.600000381469727" hidden="0" customHeight="1">
      <x:c r="A2664" s="27" t="n">
        <x:v>887</x:v>
      </x:c>
      <x:c r="B2664" s="27" t="str">
        <x:v>A2</x:v>
      </x:c>
      <x:c r="C2664" s="47" t="n">
        <x:v>0.9032928487358831</x:v>
      </x:c>
      <x:c r="D2664" s="47" t="n">
        <x:v>0.7888216909343898</x:v>
      </x:c>
      <x:c r="E2664" s="47" t="n">
        <x:v>0.6387546234780623</x:v>
      </x:c>
      <x:c r="F2664" s="47" t="n">
        <x:v>-0.18323080477825499</x:v>
      </x:c>
      <x:c r="G2664" s="47" t="n">
        <x:v>-0.047495363233349436</x:v>
      </x:c>
      <x:c r="H2664" s="47" t="n">
        <x:v>0.7432028021405337</x:v>
      </x:c>
      <x:c r="I2664" s="47" t="n">
        <x:v>0.9461498905124734</x:v>
      </x:c>
      <x:c r="J2664" s="47" t="n">
        <x:v>0.57111016300847</x:v>
      </x:c>
      <x:c r="K2664" s="47" t="n">
        <x:v>0.6472681797952492</x:v>
      </x:c>
      <x:c r="L2664" s="47" t="n">
        <x:v>0.8540697344307195</x:v>
      </x:c>
      <x:c r="M2664" s="47" t="n">
        <x:v>0.003599916632137389</x:v>
      </x:c>
      <x:c r="N2664" s="47" t="n">
        <x:v>0.9554235325041385</x:v>
      </x:c>
      <x:c r="O2664" s="47" t="n">
        <x:v>0.9793350033731122</x:v>
      </x:c>
      <x:c r="P2664" s="47" t="n">
        <x:v>0.8026070485279175</x:v>
      </x:c>
      <x:c r="Q2664" s="47" t="n">
        <x:v>1</x:v>
      </x:c>
      <x:c r="R2664" s="47" t="n">
        <x:v>0.974481972670473</x:v>
      </x:c>
      <x:c r="S2664" s="27" t="n">
        <x:v>0</x:v>
      </x:c>
    </x:row>
    <x:row r="2665" ht="21.600000381469727" hidden="0" customHeight="1">
      <x:c r="A2665" s="29" t="n">
        <x:v>887</x:v>
      </x:c>
      <x:c r="B2665" s="29" t="str">
        <x:v>A3</x:v>
      </x:c>
      <x:c r="C2665" s="48" t="n">
        <x:v>0.9032928487358831</x:v>
      </x:c>
      <x:c r="D2665" s="48" t="n">
        <x:v>0.7888216909343898</x:v>
      </x:c>
      <x:c r="E2665" s="48" t="n">
        <x:v>0.6387546234780623</x:v>
      </x:c>
      <x:c r="F2665" s="48" t="n">
        <x:v>-0.18323080477825499</x:v>
      </x:c>
      <x:c r="G2665" s="48" t="n">
        <x:v>-0.047495363233349436</x:v>
      </x:c>
      <x:c r="H2665" s="48" t="n">
        <x:v>0.7432028021405337</x:v>
      </x:c>
      <x:c r="I2665" s="48" t="n">
        <x:v>0.9461498905124734</x:v>
      </x:c>
      <x:c r="J2665" s="48" t="n">
        <x:v>0.57111016300847</x:v>
      </x:c>
      <x:c r="K2665" s="48" t="n">
        <x:v>0.6472681797952492</x:v>
      </x:c>
      <x:c r="L2665" s="48" t="n">
        <x:v>0.8540697344307195</x:v>
      </x:c>
      <x:c r="M2665" s="48" t="n">
        <x:v>0.003599916632137389</x:v>
      </x:c>
      <x:c r="N2665" s="48" t="n">
        <x:v>0.9554235325041385</x:v>
      </x:c>
      <x:c r="O2665" s="48" t="n">
        <x:v>1</x:v>
      </x:c>
      <x:c r="P2665" s="48" t="n">
        <x:v>1</x:v>
      </x:c>
      <x:c r="Q2665" s="48" t="n">
        <x:v>1</x:v>
      </x:c>
      <x:c r="R2665" s="48" t="n">
        <x:v>1.0000000000000002</x:v>
      </x:c>
      <x:c r="S2665" s="29" t="n">
        <x:v>1</x:v>
      </x:c>
    </x:row>
    <x:row r="2666" ht="21.600000381469727" hidden="0" customHeight="1">
      <x:c r="A2666" s="27" t="n">
        <x:v>888</x:v>
      </x:c>
      <x:c r="B2666" s="27" t="str">
        <x:v>A1</x:v>
      </x:c>
      <x:c r="C2666" s="47" t="n">
        <x:v>1.171597337554708</x:v>
      </x:c>
      <x:c r="D2666" s="47" t="n">
        <x:v>0.910758389448758</x:v>
      </x:c>
      <x:c r="E2666" s="47" t="n">
        <x:v>0.7558298616425249</x:v>
      </x:c>
      <x:c r="F2666" s="47" t="n">
        <x:v>-0.1283740933906285</x:v>
      </x:c>
      <x:c r="G2666" s="47" t="n">
        <x:v>-0.014209546863442668</x:v>
      </x:c>
      <x:c r="H2666" s="47" t="n">
        <x:v>0.850099785030821</x:v>
      </x:c>
      <x:c r="I2666" s="47" t="n">
        <x:v>0.681015958507787</x:v>
      </x:c>
      <x:c r="J2666" s="47" t="n">
        <x:v>0.44590622207729086</x:v>
      </x:c>
      <x:c r="K2666" s="47" t="n">
        <x:v>0.7232210980000545</x:v>
      </x:c>
      <x:c r="L2666" s="47" t="n">
        <x:v>0.868561839242207</x:v>
      </x:c>
      <x:c r="M2666" s="47" t="n">
        <x:v>0.14757802370713</x:v>
      </x:c>
      <x:c r="N2666" s="47" t="n">
        <x:v>0.8721612822053294</x:v>
      </x:c>
      <x:c r="O2666" s="47" t="n">
        <x:v>0.8224417832115744</x:v>
      </x:c>
      <x:c r="P2666" s="47" t="n">
        <x:v>0.536339207979975</x:v>
      </x:c>
      <x:c r="Q2666" s="47" t="n">
        <x:v>1</x:v>
      </x:c>
      <x:c r="R2666" s="47" t="n">
        <x:v>0.7807434711751247</x:v>
      </x:c>
      <x:c r="S2666" s="27" t="n">
        <x:v>0</x:v>
      </x:c>
    </x:row>
    <x:row r="2667" ht="21.600000381469727" hidden="0" customHeight="1">
      <x:c r="A2667" s="29" t="n">
        <x:v>888</x:v>
      </x:c>
      <x:c r="B2667" s="29" t="str">
        <x:v>A2</x:v>
      </x:c>
      <x:c r="C2667" s="48" t="n">
        <x:v>1.171597337554708</x:v>
      </x:c>
      <x:c r="D2667" s="48" t="n">
        <x:v>0.910758389448758</x:v>
      </x:c>
      <x:c r="E2667" s="48" t="n">
        <x:v>0.7558298616425249</x:v>
      </x:c>
      <x:c r="F2667" s="48" t="n">
        <x:v>-0.1283740933906285</x:v>
      </x:c>
      <x:c r="G2667" s="48" t="n">
        <x:v>-0.014209546863442668</x:v>
      </x:c>
      <x:c r="H2667" s="48" t="n">
        <x:v>0.850099785030821</x:v>
      </x:c>
      <x:c r="I2667" s="48" t="n">
        <x:v>0.681015958507787</x:v>
      </x:c>
      <x:c r="J2667" s="48" t="n">
        <x:v>0.44590622207729086</x:v>
      </x:c>
      <x:c r="K2667" s="48" t="n">
        <x:v>0.7232210980000545</x:v>
      </x:c>
      <x:c r="L2667" s="48" t="n">
        <x:v>0.868561839242207</x:v>
      </x:c>
      <x:c r="M2667" s="48" t="n">
        <x:v>0.14757802370713</x:v>
      </x:c>
      <x:c r="N2667" s="48" t="n">
        <x:v>0.8721612822053294</x:v>
      </x:c>
      <x:c r="O2667" s="48" t="n">
        <x:v>0.8990288182511509</x:v>
      </x:c>
      <x:c r="P2667" s="48" t="n">
        <x:v>0.6980786717027367</x:v>
      </x:c>
      <x:c r="Q2667" s="48" t="n">
        <x:v>1</x:v>
      </x:c>
      <x:c r="R2667" s="48" t="n">
        <x:v>0.8753164386192381</x:v>
      </x:c>
      <x:c r="S2667" s="29" t="n">
        <x:v>0</x:v>
      </x:c>
    </x:row>
    <x:row r="2668" ht="21.600000381469727" hidden="0" customHeight="1">
      <x:c r="A2668" s="27" t="n">
        <x:v>888</x:v>
      </x:c>
      <x:c r="B2668" s="27" t="str">
        <x:v>A3</x:v>
      </x:c>
      <x:c r="C2668" s="47" t="n">
        <x:v>1.171597337554708</x:v>
      </x:c>
      <x:c r="D2668" s="47" t="n">
        <x:v>0.910758389448758</x:v>
      </x:c>
      <x:c r="E2668" s="47" t="n">
        <x:v>0.7558298616425249</x:v>
      </x:c>
      <x:c r="F2668" s="47" t="n">
        <x:v>-0.1283740933906285</x:v>
      </x:c>
      <x:c r="G2668" s="47" t="n">
        <x:v>-0.014209546863442668</x:v>
      </x:c>
      <x:c r="H2668" s="47" t="n">
        <x:v>0.850099785030821</x:v>
      </x:c>
      <x:c r="I2668" s="47" t="n">
        <x:v>0.681015958507787</x:v>
      </x:c>
      <x:c r="J2668" s="47" t="n">
        <x:v>0.44590622207729086</x:v>
      </x:c>
      <x:c r="K2668" s="47" t="n">
        <x:v>0.7232210980000545</x:v>
      </x:c>
      <x:c r="L2668" s="47" t="n">
        <x:v>0.868561839242207</x:v>
      </x:c>
      <x:c r="M2668" s="47" t="n">
        <x:v>0.14757802370713</x:v>
      </x:c>
      <x:c r="N2668" s="47" t="n">
        <x:v>0.8721612822053294</x:v>
      </x:c>
      <x:c r="O2668" s="47" t="n">
        <x:v>1</x:v>
      </x:c>
      <x:c r="P2668" s="47" t="n">
        <x:v>1</x:v>
      </x:c>
      <x:c r="Q2668" s="47" t="n">
        <x:v>1</x:v>
      </x:c>
      <x:c r="R2668" s="47" t="n">
        <x:v>1</x:v>
      </x:c>
      <x:c r="S2668" s="27" t="n">
        <x:v>1</x:v>
      </x:c>
    </x:row>
    <x:row r="2669" ht="21.600000381469727" hidden="0" customHeight="1">
      <x:c r="A2669" s="29" t="n">
        <x:v>889</x:v>
      </x:c>
      <x:c r="B2669" s="29" t="str">
        <x:v>A1</x:v>
      </x:c>
      <x:c r="C2669" s="48" t="n">
        <x:v>0.9712230939561115</x:v>
      </x:c>
      <x:c r="D2669" s="48" t="n">
        <x:v>0.8665011915616428</x:v>
      </x:c>
      <x:c r="E2669" s="48" t="n">
        <x:v>0.8625755345676007</x:v>
      </x:c>
      <x:c r="F2669" s="48" t="n">
        <x:v>-0.10615933713737015</x:v>
      </x:c>
      <x:c r="G2669" s="48" t="n">
        <x:v>-0.13299741843752244</x:v>
      </x:c>
      <x:c r="H2669" s="48" t="n">
        <x:v>0.5838422584630996</x:v>
      </x:c>
      <x:c r="I2669" s="48" t="n">
        <x:v>0.8132249881362043</x:v>
      </x:c>
      <x:c r="J2669" s="48" t="n">
        <x:v>0.46980718103156704</x:v>
      </x:c>
      <x:c r="K2669" s="48" t="n">
        <x:v>0.9378158414521081</x:v>
      </x:c>
      <x:c r="L2669" s="48" t="n">
        <x:v>0.8457016276085938</x:v>
      </x:c>
      <x:c r="M2669" s="48" t="n">
        <x:v>0.06730167632113437</x:v>
      </x:c>
      <x:c r="N2669" s="48" t="n">
        <x:v>0.6977808147434612</x:v>
      </x:c>
      <x:c r="O2669" s="48" t="n">
        <x:v>0.8798872576994787</x:v>
      </x:c>
      <x:c r="P2669" s="48" t="n">
        <x:v>0.6383361181540826</x:v>
      </x:c>
      <x:c r="Q2669" s="48" t="n">
        <x:v>1</x:v>
      </x:c>
      <x:c r="R2669" s="48" t="n">
        <x:v>0.8516796157294718</x:v>
      </x:c>
      <x:c r="S2669" s="29" t="n">
        <x:v>0</x:v>
      </x:c>
    </x:row>
    <x:row r="2670" ht="21.600000381469727" hidden="0" customHeight="1">
      <x:c r="A2670" s="27" t="n">
        <x:v>889</x:v>
      </x:c>
      <x:c r="B2670" s="27" t="str">
        <x:v>A2</x:v>
      </x:c>
      <x:c r="C2670" s="47" t="n">
        <x:v>0.9712230939561115</x:v>
      </x:c>
      <x:c r="D2670" s="47" t="n">
        <x:v>0.8665011915616428</x:v>
      </x:c>
      <x:c r="E2670" s="47" t="n">
        <x:v>0.8625755345676007</x:v>
      </x:c>
      <x:c r="F2670" s="47" t="n">
        <x:v>-0.10615933713737015</x:v>
      </x:c>
      <x:c r="G2670" s="47" t="n">
        <x:v>-0.13299741843752244</x:v>
      </x:c>
      <x:c r="H2670" s="47" t="n">
        <x:v>0.5838422584630996</x:v>
      </x:c>
      <x:c r="I2670" s="47" t="n">
        <x:v>0.8132249881362043</x:v>
      </x:c>
      <x:c r="J2670" s="47" t="n">
        <x:v>0.46980718103156704</x:v>
      </x:c>
      <x:c r="K2670" s="47" t="n">
        <x:v>0.9378158414521081</x:v>
      </x:c>
      <x:c r="L2670" s="47" t="n">
        <x:v>0.8457016276085938</x:v>
      </x:c>
      <x:c r="M2670" s="47" t="n">
        <x:v>0.06730167632113437</x:v>
      </x:c>
      <x:c r="N2670" s="47" t="n">
        <x:v>0.6977808147434612</x:v>
      </x:c>
      <x:c r="O2670" s="47" t="n">
        <x:v>0.9804199995923099</x:v>
      </x:c>
      <x:c r="P2670" s="47" t="n">
        <x:v>0.8813217400181125</x:v>
      </x:c>
      <x:c r="Q2670" s="47" t="n">
        <x:v>1</x:v>
      </x:c>
      <x:c r="R2670" s="47" t="n">
        <x:v>0.975821772704018</x:v>
      </x:c>
      <x:c r="S2670" s="27" t="n">
        <x:v>0</x:v>
      </x:c>
    </x:row>
    <x:row r="2671" ht="21.600000381469727" hidden="0" customHeight="1">
      <x:c r="A2671" s="29" t="n">
        <x:v>889</x:v>
      </x:c>
      <x:c r="B2671" s="29" t="str">
        <x:v>A3</x:v>
      </x:c>
      <x:c r="C2671" s="48" t="n">
        <x:v>0.9712230939561115</x:v>
      </x:c>
      <x:c r="D2671" s="48" t="n">
        <x:v>0.8665011915616428</x:v>
      </x:c>
      <x:c r="E2671" s="48" t="n">
        <x:v>0.8625755345676007</x:v>
      </x:c>
      <x:c r="F2671" s="48" t="n">
        <x:v>-0.10615933713737015</x:v>
      </x:c>
      <x:c r="G2671" s="48" t="n">
        <x:v>-0.13299741843752244</x:v>
      </x:c>
      <x:c r="H2671" s="48" t="n">
        <x:v>0.5838422584630996</x:v>
      </x:c>
      <x:c r="I2671" s="48" t="n">
        <x:v>0.8132249881362043</x:v>
      </x:c>
      <x:c r="J2671" s="48" t="n">
        <x:v>0.46980718103156704</x:v>
      </x:c>
      <x:c r="K2671" s="48" t="n">
        <x:v>0.9378158414521081</x:v>
      </x:c>
      <x:c r="L2671" s="48" t="n">
        <x:v>0.8457016276085938</x:v>
      </x:c>
      <x:c r="M2671" s="48" t="n">
        <x:v>0.06730167632113437</x:v>
      </x:c>
      <x:c r="N2671" s="48" t="n">
        <x:v>0.6977808147434612</x:v>
      </x:c>
      <x:c r="O2671" s="48" t="n">
        <x:v>1</x:v>
      </x:c>
      <x:c r="P2671" s="48" t="n">
        <x:v>1</x:v>
      </x:c>
      <x:c r="Q2671" s="48" t="n">
        <x:v>1</x:v>
      </x:c>
      <x:c r="R2671" s="48" t="n">
        <x:v>1</x:v>
      </x:c>
      <x:c r="S2671" s="29" t="n">
        <x:v>1</x:v>
      </x:c>
    </x:row>
    <x:row r="2672" ht="21.600000381469727" hidden="0" customHeight="1">
      <x:c r="A2672" s="27" t="n">
        <x:v>890</x:v>
      </x:c>
      <x:c r="B2672" s="27" t="str">
        <x:v>A1</x:v>
      </x:c>
      <x:c r="C2672" s="47" t="n">
        <x:v>0.9925238234403583</x:v>
      </x:c>
      <x:c r="D2672" s="47" t="n">
        <x:v>0.7803383300259517</x:v>
      </x:c>
      <x:c r="E2672" s="47" t="n">
        <x:v>0.512371994595968</x:v>
      </x:c>
      <x:c r="F2672" s="47" t="n">
        <x:v>-0.014293653864169115</x:v>
      </x:c>
      <x:c r="G2672" s="47" t="n">
        <x:v>-0.17361997293449227</x:v>
      </x:c>
      <x:c r="H2672" s="47" t="n">
        <x:v>0.4982001533695704</x:v>
      </x:c>
      <x:c r="I2672" s="47" t="n">
        <x:v>0.88110104848461</x:v>
      </x:c>
      <x:c r="J2672" s="47" t="n">
        <x:v>0.8556624359473594</x:v>
      </x:c>
      <x:c r="K2672" s="47" t="n">
        <x:v>0.6643534440174744</x:v>
      </x:c>
      <x:c r="L2672" s="47" t="n">
        <x:v>0.9268252153252218</x:v>
      </x:c>
      <x:c r="M2672" s="47" t="n">
        <x:v>0.08622660692448894</x:v>
      </x:c>
      <x:c r="N2672" s="47" t="n">
        <x:v>0.7052886391789773</x:v>
      </x:c>
      <x:c r="O2672" s="47" t="n">
        <x:v>0.8892339937525401</x:v>
      </x:c>
      <x:c r="P2672" s="47" t="n">
        <x:v>0.5735433270690654</x:v>
      </x:c>
      <x:c r="Q2672" s="47" t="n">
        <x:v>1</x:v>
      </x:c>
      <x:c r="R2672" s="47" t="n">
        <x:v>0.8632213677244159</x:v>
      </x:c>
      <x:c r="S2672" s="27" t="n">
        <x:v>0</x:v>
      </x:c>
    </x:row>
    <x:row r="2673" ht="21.600000381469727" hidden="0" customHeight="1">
      <x:c r="A2673" s="29" t="n">
        <x:v>890</x:v>
      </x:c>
      <x:c r="B2673" s="29" t="str">
        <x:v>A2</x:v>
      </x:c>
      <x:c r="C2673" s="48" t="n">
        <x:v>0.9925238234403583</x:v>
      </x:c>
      <x:c r="D2673" s="48" t="n">
        <x:v>0.7803383300259517</x:v>
      </x:c>
      <x:c r="E2673" s="48" t="n">
        <x:v>0.512371994595968</x:v>
      </x:c>
      <x:c r="F2673" s="48" t="n">
        <x:v>-0.014293653864169115</x:v>
      </x:c>
      <x:c r="G2673" s="48" t="n">
        <x:v>-0.17361997293449227</x:v>
      </x:c>
      <x:c r="H2673" s="48" t="n">
        <x:v>0.4982001533695704</x:v>
      </x:c>
      <x:c r="I2673" s="48" t="n">
        <x:v>0.88110104848461</x:v>
      </x:c>
      <x:c r="J2673" s="48" t="n">
        <x:v>0.8556624359473594</x:v>
      </x:c>
      <x:c r="K2673" s="48" t="n">
        <x:v>0.6643534440174744</x:v>
      </x:c>
      <x:c r="L2673" s="48" t="n">
        <x:v>0.9268252153252218</x:v>
      </x:c>
      <x:c r="M2673" s="48" t="n">
        <x:v>0.08622660692448894</x:v>
      </x:c>
      <x:c r="N2673" s="48" t="n">
        <x:v>0.7052886391789773</x:v>
      </x:c>
      <x:c r="O2673" s="48" t="n">
        <x:v>0.9597750771029884</x:v>
      </x:c>
      <x:c r="P2673" s="48" t="n">
        <x:v>0.6350083027065142</x:v>
      </x:c>
      <x:c r="Q2673" s="48" t="n">
        <x:v>1</x:v>
      </x:c>
      <x:c r="R2673" s="48" t="n">
        <x:v>0.9503285337836197</x:v>
      </x:c>
      <x:c r="S2673" s="29" t="n">
        <x:v>0</x:v>
      </x:c>
    </x:row>
    <x:row r="2674" ht="21.600000381469727" hidden="0" customHeight="1">
      <x:c r="A2674" s="27" t="n">
        <x:v>890</x:v>
      </x:c>
      <x:c r="B2674" s="27" t="str">
        <x:v>A3</x:v>
      </x:c>
      <x:c r="C2674" s="47" t="n">
        <x:v>0.9925238234403583</x:v>
      </x:c>
      <x:c r="D2674" s="47" t="n">
        <x:v>0.7803383300259517</x:v>
      </x:c>
      <x:c r="E2674" s="47" t="n">
        <x:v>0.512371994595968</x:v>
      </x:c>
      <x:c r="F2674" s="47" t="n">
        <x:v>-0.014293653864169115</x:v>
      </x:c>
      <x:c r="G2674" s="47" t="n">
        <x:v>-0.17361997293449227</x:v>
      </x:c>
      <x:c r="H2674" s="47" t="n">
        <x:v>0.4982001533695704</x:v>
      </x:c>
      <x:c r="I2674" s="47" t="n">
        <x:v>0.88110104848461</x:v>
      </x:c>
      <x:c r="J2674" s="47" t="n">
        <x:v>0.8556624359473594</x:v>
      </x:c>
      <x:c r="K2674" s="47" t="n">
        <x:v>0.6643534440174744</x:v>
      </x:c>
      <x:c r="L2674" s="47" t="n">
        <x:v>0.9268252153252218</x:v>
      </x:c>
      <x:c r="M2674" s="47" t="n">
        <x:v>0.08622660692448894</x:v>
      </x:c>
      <x:c r="N2674" s="47" t="n">
        <x:v>0.7052886391789773</x:v>
      </x:c>
      <x:c r="O2674" s="47" t="n">
        <x:v>1</x:v>
      </x:c>
      <x:c r="P2674" s="47" t="n">
        <x:v>1</x:v>
      </x:c>
      <x:c r="Q2674" s="47" t="n">
        <x:v>1</x:v>
      </x:c>
      <x:c r="R2674" s="47" t="n">
        <x:v>1</x:v>
      </x:c>
      <x:c r="S2674" s="27" t="n">
        <x:v>1</x:v>
      </x:c>
    </x:row>
    <x:row r="2675" ht="21.600000381469727" hidden="0" customHeight="1">
      <x:c r="A2675" s="29" t="n">
        <x:v>891</x:v>
      </x:c>
      <x:c r="B2675" s="29" t="str">
        <x:v>A1</x:v>
      </x:c>
      <x:c r="C2675" s="48" t="n">
        <x:v>0.9539731742949927</x:v>
      </x:c>
      <x:c r="D2675" s="48" t="n">
        <x:v>0.8211114263752887</x:v>
      </x:c>
      <x:c r="E2675" s="48" t="n">
        <x:v>1.0352105924072146</x:v>
      </x:c>
      <x:c r="F2675" s="48" t="n">
        <x:v>-0.022724084480259865</x:v>
      </x:c>
      <x:c r="G2675" s="48" t="n">
        <x:v>-0.17844842045637496</x:v>
      </x:c>
      <x:c r="H2675" s="48" t="n">
        <x:v>0.384788161492639</x:v>
      </x:c>
      <x:c r="I2675" s="48" t="n">
        <x:v>1.0126557237746043</x:v>
      </x:c>
      <x:c r="J2675" s="48" t="n">
        <x:v>0.696716558388276</x:v>
      </x:c>
      <x:c r="K2675" s="48" t="n">
        <x:v>0.8909613650012669</x:v>
      </x:c>
      <x:c r="L2675" s="48" t="n">
        <x:v>0.7318864431844838</x:v>
      </x:c>
      <x:c r="M2675" s="48" t="n">
        <x:v>0.038592892856725264</x:v>
      </x:c>
      <x:c r="N2675" s="48" t="n">
        <x:v>0.9322282382266547</x:v>
      </x:c>
      <x:c r="O2675" s="48" t="n">
        <x:v>0.9553971174054658</x:v>
      </x:c>
      <x:c r="P2675" s="48" t="n">
        <x:v>0.8303013061260406</x:v>
      </x:c>
      <x:c r="Q2675" s="48" t="n">
        <x:v>1</x:v>
      </x:c>
      <x:c r="R2675" s="48" t="n">
        <x:v>0.9449224407062276</x:v>
      </x:c>
      <x:c r="S2675" s="29" t="n">
        <x:v>0</x:v>
      </x:c>
    </x:row>
    <x:row r="2676" ht="21.600000381469727" hidden="0" customHeight="1">
      <x:c r="A2676" s="27" t="n">
        <x:v>891</x:v>
      </x:c>
      <x:c r="B2676" s="27" t="str">
        <x:v>A2</x:v>
      </x:c>
      <x:c r="C2676" s="47" t="n">
        <x:v>0.9539731742949927</x:v>
      </x:c>
      <x:c r="D2676" s="47" t="n">
        <x:v>0.8211114263752887</x:v>
      </x:c>
      <x:c r="E2676" s="47" t="n">
        <x:v>1.0352105924072146</x:v>
      </x:c>
      <x:c r="F2676" s="47" t="n">
        <x:v>-0.022724084480259865</x:v>
      </x:c>
      <x:c r="G2676" s="47" t="n">
        <x:v>-0.17844842045637496</x:v>
      </x:c>
      <x:c r="H2676" s="47" t="n">
        <x:v>0.384788161492639</x:v>
      </x:c>
      <x:c r="I2676" s="47" t="n">
        <x:v>1.0126557237746043</x:v>
      </x:c>
      <x:c r="J2676" s="47" t="n">
        <x:v>0.696716558388276</x:v>
      </x:c>
      <x:c r="K2676" s="47" t="n">
        <x:v>0.8909613650012669</x:v>
      </x:c>
      <x:c r="L2676" s="47" t="n">
        <x:v>0.7318864431844838</x:v>
      </x:c>
      <x:c r="M2676" s="47" t="n">
        <x:v>0.038592892856725264</x:v>
      </x:c>
      <x:c r="N2676" s="47" t="n">
        <x:v>0.9322282382266547</x:v>
      </x:c>
      <x:c r="O2676" s="47" t="n">
        <x:v>0.981907886138277</x:v>
      </x:c>
      <x:c r="P2676" s="47" t="n">
        <x:v>0.8190788613827699</x:v>
      </x:c>
      <x:c r="Q2676" s="47" t="n">
        <x:v>1</x:v>
      </x:c>
      <x:c r="R2676" s="47" t="n">
        <x:v>0.977659079054885</x:v>
      </x:c>
      <x:c r="S2676" s="27" t="n">
        <x:v>0</x:v>
      </x:c>
    </x:row>
    <x:row r="2677" ht="21.600000381469727" hidden="0" customHeight="1">
      <x:c r="A2677" s="29" t="n">
        <x:v>891</x:v>
      </x:c>
      <x:c r="B2677" s="29" t="str">
        <x:v>A3</x:v>
      </x:c>
      <x:c r="C2677" s="48" t="n">
        <x:v>0.9539731742949927</x:v>
      </x:c>
      <x:c r="D2677" s="48" t="n">
        <x:v>0.8211114263752887</x:v>
      </x:c>
      <x:c r="E2677" s="48" t="n">
        <x:v>1.0352105924072146</x:v>
      </x:c>
      <x:c r="F2677" s="48" t="n">
        <x:v>-0.022724084480259865</x:v>
      </x:c>
      <x:c r="G2677" s="48" t="n">
        <x:v>-0.17844842045637496</x:v>
      </x:c>
      <x:c r="H2677" s="48" t="n">
        <x:v>0.384788161492639</x:v>
      </x:c>
      <x:c r="I2677" s="48" t="n">
        <x:v>1.0126557237746043</x:v>
      </x:c>
      <x:c r="J2677" s="48" t="n">
        <x:v>0.696716558388276</x:v>
      </x:c>
      <x:c r="K2677" s="48" t="n">
        <x:v>0.8909613650012669</x:v>
      </x:c>
      <x:c r="L2677" s="48" t="n">
        <x:v>0.7318864431844838</x:v>
      </x:c>
      <x:c r="M2677" s="48" t="n">
        <x:v>0.038592892856725264</x:v>
      </x:c>
      <x:c r="N2677" s="48" t="n">
        <x:v>0.9322282382266547</x:v>
      </x:c>
      <x:c r="O2677" s="48" t="n">
        <x:v>1</x:v>
      </x:c>
      <x:c r="P2677" s="48" t="n">
        <x:v>1</x:v>
      </x:c>
      <x:c r="Q2677" s="48" t="n">
        <x:v>1</x:v>
      </x:c>
      <x:c r="R2677" s="48" t="n">
        <x:v>1</x:v>
      </x:c>
      <x:c r="S2677" s="29" t="n">
        <x:v>1</x:v>
      </x:c>
    </x:row>
    <x:row r="2678" ht="21.600000381469727" hidden="0" customHeight="1">
      <x:c r="A2678" s="27" t="n">
        <x:v>892</x:v>
      </x:c>
      <x:c r="B2678" s="27" t="str">
        <x:v>A1</x:v>
      </x:c>
      <x:c r="C2678" s="47" t="n">
        <x:v>1.1935678710523083</x:v>
      </x:c>
      <x:c r="D2678" s="47" t="n">
        <x:v>0.8158967421000431</x:v>
      </x:c>
      <x:c r="E2678" s="47" t="n">
        <x:v>0.7591205538589454</x:v>
      </x:c>
      <x:c r="F2678" s="47" t="n">
        <x:v>-0.18305620542475032</x:v>
      </x:c>
      <x:c r="G2678" s="47" t="n">
        <x:v>-0.0357816033359214</x:v>
      </x:c>
      <x:c r="H2678" s="47" t="n">
        <x:v>0.9837109600259886</x:v>
      </x:c>
      <x:c r="I2678" s="47" t="n">
        <x:v>0.6322349381810907</x:v>
      </x:c>
      <x:c r="J2678" s="47" t="n">
        <x:v>0.739981114284346</x:v>
      </x:c>
      <x:c r="K2678" s="47" t="n">
        <x:v>0.6005528951156223</x:v>
      </x:c>
      <x:c r="L2678" s="47" t="n">
        <x:v>0.9279047956673685</x:v>
      </x:c>
      <x:c r="M2678" s="47" t="n">
        <x:v>0.09865778618233485</x:v>
      </x:c>
      <x:c r="N2678" s="47" t="n">
        <x:v>0.8262321811053217</x:v>
      </x:c>
      <x:c r="O2678" s="47" t="n">
        <x:v>0.8081344900520644</x:v>
      </x:c>
      <x:c r="P2678" s="47" t="n">
        <x:v>0.5310034311872497</x:v>
      </x:c>
      <x:c r="Q2678" s="47" t="n">
        <x:v>1</x:v>
      </x:c>
      <x:c r="R2678" s="47" t="n">
        <x:v>0.7630762097451905</x:v>
      </x:c>
      <x:c r="S2678" s="27" t="n">
        <x:v>0</x:v>
      </x:c>
    </x:row>
    <x:row r="2679" ht="21.600000381469727" hidden="0" customHeight="1">
      <x:c r="A2679" s="29" t="n">
        <x:v>892</x:v>
      </x:c>
      <x:c r="B2679" s="29" t="str">
        <x:v>A2</x:v>
      </x:c>
      <x:c r="C2679" s="48" t="n">
        <x:v>1.1935678710523083</x:v>
      </x:c>
      <x:c r="D2679" s="48" t="n">
        <x:v>0.8158967421000431</x:v>
      </x:c>
      <x:c r="E2679" s="48" t="n">
        <x:v>0.7591205538589454</x:v>
      </x:c>
      <x:c r="F2679" s="48" t="n">
        <x:v>-0.18305620542475032</x:v>
      </x:c>
      <x:c r="G2679" s="48" t="n">
        <x:v>-0.0357816033359214</x:v>
      </x:c>
      <x:c r="H2679" s="48" t="n">
        <x:v>0.9837109600259886</x:v>
      </x:c>
      <x:c r="I2679" s="48" t="n">
        <x:v>0.6322349381810907</x:v>
      </x:c>
      <x:c r="J2679" s="48" t="n">
        <x:v>0.739981114284346</x:v>
      </x:c>
      <x:c r="K2679" s="48" t="n">
        <x:v>0.6005528951156223</x:v>
      </x:c>
      <x:c r="L2679" s="48" t="n">
        <x:v>0.9279047956673685</x:v>
      </x:c>
      <x:c r="M2679" s="48" t="n">
        <x:v>0.09865778618233485</x:v>
      </x:c>
      <x:c r="N2679" s="48" t="n">
        <x:v>0.8262321811053217</x:v>
      </x:c>
      <x:c r="O2679" s="48" t="n">
        <x:v>0.878302700051764</x:v>
      </x:c>
      <x:c r="P2679" s="48" t="n">
        <x:v>0.49173007645136324</x:v>
      </x:c>
      <x:c r="Q2679" s="48" t="n">
        <x:v>1</x:v>
      </x:c>
      <x:c r="R2679" s="48" t="n">
        <x:v>0.8497229357411002</x:v>
      </x:c>
      <x:c r="S2679" s="29" t="n">
        <x:v>0</x:v>
      </x:c>
    </x:row>
    <x:row r="2680" ht="21.600000381469727" hidden="0" customHeight="1">
      <x:c r="A2680" s="27" t="n">
        <x:v>892</x:v>
      </x:c>
      <x:c r="B2680" s="27" t="str">
        <x:v>A3</x:v>
      </x:c>
      <x:c r="C2680" s="47" t="n">
        <x:v>1.1935678710523083</x:v>
      </x:c>
      <x:c r="D2680" s="47" t="n">
        <x:v>0.8158967421000431</x:v>
      </x:c>
      <x:c r="E2680" s="47" t="n">
        <x:v>0.7591205538589454</x:v>
      </x:c>
      <x:c r="F2680" s="47" t="n">
        <x:v>-0.18305620542475032</x:v>
      </x:c>
      <x:c r="G2680" s="47" t="n">
        <x:v>-0.0357816033359214</x:v>
      </x:c>
      <x:c r="H2680" s="47" t="n">
        <x:v>0.9837109600259886</x:v>
      </x:c>
      <x:c r="I2680" s="47" t="n">
        <x:v>0.6322349381810907</x:v>
      </x:c>
      <x:c r="J2680" s="47" t="n">
        <x:v>0.739981114284346</x:v>
      </x:c>
      <x:c r="K2680" s="47" t="n">
        <x:v>0.6005528951156223</x:v>
      </x:c>
      <x:c r="L2680" s="47" t="n">
        <x:v>0.9279047956673685</x:v>
      </x:c>
      <x:c r="M2680" s="47" t="n">
        <x:v>0.09865778618233485</x:v>
      </x:c>
      <x:c r="N2680" s="47" t="n">
        <x:v>0.8262321811053217</x:v>
      </x:c>
      <x:c r="O2680" s="47" t="n">
        <x:v>1</x:v>
      </x:c>
      <x:c r="P2680" s="47" t="n">
        <x:v>1</x:v>
      </x:c>
      <x:c r="Q2680" s="47" t="n">
        <x:v>1</x:v>
      </x:c>
      <x:c r="R2680" s="47" t="n">
        <x:v>1</x:v>
      </x:c>
      <x:c r="S2680" s="27" t="n">
        <x:v>1</x:v>
      </x:c>
    </x:row>
    <x:row r="2681" ht="21.600000381469727" hidden="0" customHeight="1">
      <x:c r="A2681" s="29" t="n">
        <x:v>893</x:v>
      </x:c>
      <x:c r="B2681" s="29" t="str">
        <x:v>A1</x:v>
      </x:c>
      <x:c r="C2681" s="48" t="n">
        <x:v>0.9474682809568862</x:v>
      </x:c>
      <x:c r="D2681" s="48" t="n">
        <x:v>0.8123212102965339</x:v>
      </x:c>
      <x:c r="E2681" s="48" t="n">
        <x:v>0.941726309557647</x:v>
      </x:c>
      <x:c r="F2681" s="48" t="n">
        <x:v>-0.09230528334439558</x:v>
      </x:c>
      <x:c r="G2681" s="48" t="n">
        <x:v>-0.193587726049696</x:v>
      </x:c>
      <x:c r="H2681" s="48" t="n">
        <x:v>0.4722438042277774</x:v>
      </x:c>
      <x:c r="I2681" s="48" t="n">
        <x:v>0.8681390961844097</x:v>
      </x:c>
      <x:c r="J2681" s="48" t="n">
        <x:v>0.797538688085237</x:v>
      </x:c>
      <x:c r="K2681" s="48" t="n">
        <x:v>0.9968028692332116</x:v>
      </x:c>
      <x:c r="L2681" s="48" t="n">
        <x:v>0.8850257678489255</x:v>
      </x:c>
      <x:c r="M2681" s="48" t="n">
        <x:v>0.07370451217930815</x:v>
      </x:c>
      <x:c r="N2681" s="48" t="n">
        <x:v>0.9650271001106199</x:v>
      </x:c>
      <x:c r="O2681" s="48" t="n">
        <x:v>0.9579113520586545</x:v>
      </x:c>
      <x:c r="P2681" s="48" t="n">
        <x:v>0.7136302184670609</x:v>
      </x:c>
      <x:c r="Q2681" s="48" t="n">
        <x:v>1</x:v>
      </x:c>
      <x:c r="R2681" s="48" t="n">
        <x:v>0.9480271258775493</x:v>
      </x:c>
      <x:c r="S2681" s="29" t="n">
        <x:v>0</x:v>
      </x:c>
    </x:row>
    <x:row r="2682" ht="21.600000381469727" hidden="0" customHeight="1">
      <x:c r="A2682" s="27" t="n">
        <x:v>893</x:v>
      </x:c>
      <x:c r="B2682" s="27" t="str">
        <x:v>A2</x:v>
      </x:c>
      <x:c r="C2682" s="47" t="n">
        <x:v>0.9474682809568862</x:v>
      </x:c>
      <x:c r="D2682" s="47" t="n">
        <x:v>0.8123212102965339</x:v>
      </x:c>
      <x:c r="E2682" s="47" t="n">
        <x:v>0.941726309557647</x:v>
      </x:c>
      <x:c r="F2682" s="47" t="n">
        <x:v>-0.09230528334439558</x:v>
      </x:c>
      <x:c r="G2682" s="47" t="n">
        <x:v>-0.193587726049696</x:v>
      </x:c>
      <x:c r="H2682" s="47" t="n">
        <x:v>0.4722438042277774</x:v>
      </x:c>
      <x:c r="I2682" s="47" t="n">
        <x:v>0.8681390961844097</x:v>
      </x:c>
      <x:c r="J2682" s="47" t="n">
        <x:v>0.797538688085237</x:v>
      </x:c>
      <x:c r="K2682" s="47" t="n">
        <x:v>0.9968028692332116</x:v>
      </x:c>
      <x:c r="L2682" s="47" t="n">
        <x:v>0.8850257678489255</x:v>
      </x:c>
      <x:c r="M2682" s="47" t="n">
        <x:v>0.07370451217930815</x:v>
      </x:c>
      <x:c r="N2682" s="47" t="n">
        <x:v>0.9650271001106199</x:v>
      </x:c>
      <x:c r="O2682" s="47" t="n">
        <x:v>1</x:v>
      </x:c>
      <x:c r="P2682" s="47" t="n">
        <x:v>0.9999999999999999</x:v>
      </x:c>
      <x:c r="Q2682" s="47" t="n">
        <x:v>1</x:v>
      </x:c>
      <x:c r="R2682" s="47" t="n">
        <x:v>1</x:v>
      </x:c>
      <x:c r="S2682" s="27" t="n">
        <x:v>1</x:v>
      </x:c>
    </x:row>
    <x:row r="2683" ht="21.600000381469727" hidden="0" customHeight="1">
      <x:c r="A2683" s="29" t="n">
        <x:v>893</x:v>
      </x:c>
      <x:c r="B2683" s="29" t="str">
        <x:v>A3</x:v>
      </x:c>
      <x:c r="C2683" s="48" t="n">
        <x:v>0.9474682809568862</x:v>
      </x:c>
      <x:c r="D2683" s="48" t="n">
        <x:v>0.8123212102965339</x:v>
      </x:c>
      <x:c r="E2683" s="48" t="n">
        <x:v>0.941726309557647</x:v>
      </x:c>
      <x:c r="F2683" s="48" t="n">
        <x:v>-0.09230528334439558</x:v>
      </x:c>
      <x:c r="G2683" s="48" t="n">
        <x:v>-0.193587726049696</x:v>
      </x:c>
      <x:c r="H2683" s="48" t="n">
        <x:v>0.4722438042277774</x:v>
      </x:c>
      <x:c r="I2683" s="48" t="n">
        <x:v>0.8681390961844097</x:v>
      </x:c>
      <x:c r="J2683" s="48" t="n">
        <x:v>0.797538688085237</x:v>
      </x:c>
      <x:c r="K2683" s="48" t="n">
        <x:v>0.9968028692332116</x:v>
      </x:c>
      <x:c r="L2683" s="48" t="n">
        <x:v>0.8850257678489255</x:v>
      </x:c>
      <x:c r="M2683" s="48" t="n">
        <x:v>0.07370451217930815</x:v>
      </x:c>
      <x:c r="N2683" s="48" t="n">
        <x:v>0.9650271001106199</x:v>
      </x:c>
      <x:c r="O2683" s="48" t="n">
        <x:v>1</x:v>
      </x:c>
      <x:c r="P2683" s="48" t="n">
        <x:v>1</x:v>
      </x:c>
      <x:c r="Q2683" s="48" t="n">
        <x:v>1</x:v>
      </x:c>
      <x:c r="R2683" s="48" t="n">
        <x:v>1</x:v>
      </x:c>
      <x:c r="S2683" s="29" t="n">
        <x:v>1</x:v>
      </x:c>
    </x:row>
    <x:row r="2684" ht="21.600000381469727" hidden="0" customHeight="1">
      <x:c r="A2684" s="27" t="n">
        <x:v>894</x:v>
      </x:c>
      <x:c r="B2684" s="27" t="str">
        <x:v>A1</x:v>
      </x:c>
      <x:c r="C2684" s="47" t="n">
        <x:v>0.902771448760377</x:v>
      </x:c>
      <x:c r="D2684" s="47" t="n">
        <x:v>0.8245376302991013</x:v>
      </x:c>
      <x:c r="E2684" s="47" t="n">
        <x:v>0.9988140184877039</x:v>
      </x:c>
      <x:c r="F2684" s="47" t="n">
        <x:v>-0.03552671314119629</x:v>
      </x:c>
      <x:c r="G2684" s="47" t="n">
        <x:v>-0.04665751320431344</x:v>
      </x:c>
      <x:c r="H2684" s="47" t="n">
        <x:v>0.9386167649305399</x:v>
      </x:c>
      <x:c r="I2684" s="47" t="n">
        <x:v>1.0029899022298954</x:v>
      </x:c>
      <x:c r="J2684" s="47" t="n">
        <x:v>0.7755070587995334</x:v>
      </x:c>
      <x:c r="K2684" s="47" t="n">
        <x:v>0.9139864459092374</x:v>
      </x:c>
      <x:c r="L2684" s="47" t="n">
        <x:v>0.8494240529890436</x:v>
      </x:c>
      <x:c r="M2684" s="47" t="n">
        <x:v>0.04262648841143544</x:v>
      </x:c>
      <x:c r="N2684" s="47" t="n">
        <x:v>0.7096226314481747</x:v>
      </x:c>
      <x:c r="O2684" s="47" t="n">
        <x:v>0.965041943769182</x:v>
      </x:c>
      <x:c r="P2684" s="47" t="n">
        <x:v>0.7011343135281994</x:v>
      </x:c>
      <x:c r="Q2684" s="47" t="n">
        <x:v>1</x:v>
      </x:c>
      <x:c r="R2684" s="47" t="n">
        <x:v>0.9568322874476312</x:v>
      </x:c>
      <x:c r="S2684" s="27" t="n">
        <x:v>0</x:v>
      </x:c>
    </x:row>
    <x:row r="2685" ht="21.600000381469727" hidden="0" customHeight="1">
      <x:c r="A2685" s="29" t="n">
        <x:v>894</x:v>
      </x:c>
      <x:c r="B2685" s="29" t="str">
        <x:v>A2</x:v>
      </x:c>
      <x:c r="C2685" s="48" t="n">
        <x:v>0.902771448760377</x:v>
      </x:c>
      <x:c r="D2685" s="48" t="n">
        <x:v>0.8245376302991013</x:v>
      </x:c>
      <x:c r="E2685" s="48" t="n">
        <x:v>0.9988140184877039</x:v>
      </x:c>
      <x:c r="F2685" s="48" t="n">
        <x:v>-0.03552671314119629</x:v>
      </x:c>
      <x:c r="G2685" s="48" t="n">
        <x:v>-0.04665751320431344</x:v>
      </x:c>
      <x:c r="H2685" s="48" t="n">
        <x:v>0.9386167649305399</x:v>
      </x:c>
      <x:c r="I2685" s="48" t="n">
        <x:v>1.0029899022298954</x:v>
      </x:c>
      <x:c r="J2685" s="48" t="n">
        <x:v>0.7755070587995334</x:v>
      </x:c>
      <x:c r="K2685" s="48" t="n">
        <x:v>0.9139864459092374</x:v>
      </x:c>
      <x:c r="L2685" s="48" t="n">
        <x:v>0.8494240529890436</x:v>
      </x:c>
      <x:c r="M2685" s="48" t="n">
        <x:v>0.04262648841143544</x:v>
      </x:c>
      <x:c r="N2685" s="48" t="n">
        <x:v>0.7096226314481747</x:v>
      </x:c>
      <x:c r="O2685" s="48" t="n">
        <x:v>1</x:v>
      </x:c>
      <x:c r="P2685" s="48" t="n">
        <x:v>1</x:v>
      </x:c>
      <x:c r="Q2685" s="48" t="n">
        <x:v>1</x:v>
      </x:c>
      <x:c r="R2685" s="48" t="n">
        <x:v>1</x:v>
      </x:c>
      <x:c r="S2685" s="29" t="n">
        <x:v>1</x:v>
      </x:c>
    </x:row>
    <x:row r="2686" ht="21.600000381469727" hidden="0" customHeight="1">
      <x:c r="A2686" s="27" t="n">
        <x:v>894</x:v>
      </x:c>
      <x:c r="B2686" s="27" t="str">
        <x:v>A3</x:v>
      </x:c>
      <x:c r="C2686" s="47" t="n">
        <x:v>0.902771448760377</x:v>
      </x:c>
      <x:c r="D2686" s="47" t="n">
        <x:v>0.8245376302991013</x:v>
      </x:c>
      <x:c r="E2686" s="47" t="n">
        <x:v>0.9988140184877039</x:v>
      </x:c>
      <x:c r="F2686" s="47" t="n">
        <x:v>-0.03552671314119629</x:v>
      </x:c>
      <x:c r="G2686" s="47" t="n">
        <x:v>-0.04665751320431344</x:v>
      </x:c>
      <x:c r="H2686" s="47" t="n">
        <x:v>0.9386167649305399</x:v>
      </x:c>
      <x:c r="I2686" s="47" t="n">
        <x:v>1.0029899022298954</x:v>
      </x:c>
      <x:c r="J2686" s="47" t="n">
        <x:v>0.7755070587995334</x:v>
      </x:c>
      <x:c r="K2686" s="47" t="n">
        <x:v>0.9139864459092374</x:v>
      </x:c>
      <x:c r="L2686" s="47" t="n">
        <x:v>0.8494240529890436</x:v>
      </x:c>
      <x:c r="M2686" s="47" t="n">
        <x:v>0.04262648841143544</x:v>
      </x:c>
      <x:c r="N2686" s="47" t="n">
        <x:v>0.7096226314481747</x:v>
      </x:c>
      <x:c r="O2686" s="47" t="n">
        <x:v>1</x:v>
      </x:c>
      <x:c r="P2686" s="47" t="n">
        <x:v>1</x:v>
      </x:c>
      <x:c r="Q2686" s="47" t="n">
        <x:v>1</x:v>
      </x:c>
      <x:c r="R2686" s="47" t="n">
        <x:v>1</x:v>
      </x:c>
      <x:c r="S2686" s="27" t="n">
        <x:v>1</x:v>
      </x:c>
    </x:row>
    <x:row r="2687" ht="21.600000381469727" hidden="0" customHeight="1">
      <x:c r="A2687" s="29" t="n">
        <x:v>895</x:v>
      </x:c>
      <x:c r="B2687" s="29" t="str">
        <x:v>A1</x:v>
      </x:c>
      <x:c r="C2687" s="48" t="n">
        <x:v>1.1475111660025097</x:v>
      </x:c>
      <x:c r="D2687" s="48" t="n">
        <x:v>0.7603611229648709</x:v>
      </x:c>
      <x:c r="E2687" s="48" t="n">
        <x:v>0.5669476465058778</x:v>
      </x:c>
      <x:c r="F2687" s="48" t="n">
        <x:v>-0.0037696143553803685</x:v>
      </x:c>
      <x:c r="G2687" s="48" t="n">
        <x:v>-0.17236726247461093</x:v>
      </x:c>
      <x:c r="H2687" s="48" t="n">
        <x:v>0.8419745376720813</x:v>
      </x:c>
      <x:c r="I2687" s="48" t="n">
        <x:v>0.8191489960710315</x:v>
      </x:c>
      <x:c r="J2687" s="48" t="n">
        <x:v>0.5592351025301247</x:v>
      </x:c>
      <x:c r="K2687" s="48" t="n">
        <x:v>0.806910905850213</x:v>
      </x:c>
      <x:c r="L2687" s="48" t="n">
        <x:v>0.6454787039787239</x:v>
      </x:c>
      <x:c r="M2687" s="48" t="n">
        <x:v>0.1647478491538012</x:v>
      </x:c>
      <x:c r="N2687" s="48" t="n">
        <x:v>0.730743508321171</x:v>
      </x:c>
      <x:c r="O2687" s="48" t="n">
        <x:v>0.7559332275811591</x:v>
      </x:c>
      <x:c r="P2687" s="48" t="n">
        <x:v>0.5065398990697109</x:v>
      </x:c>
      <x:c r="Q2687" s="48" t="n">
        <x:v>0.9447164138366424</x:v>
      </x:c>
      <x:c r="R2687" s="48" t="n">
        <x:v>0.6990264270154458</x:v>
      </x:c>
      <x:c r="S2687" s="29" t="n">
        <x:v>0</x:v>
      </x:c>
    </x:row>
    <x:row r="2688" ht="21.600000381469727" hidden="0" customHeight="1">
      <x:c r="A2688" s="27" t="n">
        <x:v>895</x:v>
      </x:c>
      <x:c r="B2688" s="27" t="str">
        <x:v>A2</x:v>
      </x:c>
      <x:c r="C2688" s="47" t="n">
        <x:v>1.1475111660025097</x:v>
      </x:c>
      <x:c r="D2688" s="47" t="n">
        <x:v>0.7603611229648709</x:v>
      </x:c>
      <x:c r="E2688" s="47" t="n">
        <x:v>0.5669476465058778</x:v>
      </x:c>
      <x:c r="F2688" s="47" t="n">
        <x:v>-0.0037696143553803685</x:v>
      </x:c>
      <x:c r="G2688" s="47" t="n">
        <x:v>-0.17236726247461093</x:v>
      </x:c>
      <x:c r="H2688" s="47" t="n">
        <x:v>0.8419745376720813</x:v>
      </x:c>
      <x:c r="I2688" s="47" t="n">
        <x:v>0.8191489960710315</x:v>
      </x:c>
      <x:c r="J2688" s="47" t="n">
        <x:v>0.5592351025301247</x:v>
      </x:c>
      <x:c r="K2688" s="47" t="n">
        <x:v>0.806910905850213</x:v>
      </x:c>
      <x:c r="L2688" s="47" t="n">
        <x:v>0.6454787039787239</x:v>
      </x:c>
      <x:c r="M2688" s="47" t="n">
        <x:v>0.1647478491538012</x:v>
      </x:c>
      <x:c r="N2688" s="47" t="n">
        <x:v>0.730743508321171</x:v>
      </x:c>
      <x:c r="O2688" s="47" t="n">
        <x:v>0.8333589492713968</x:v>
      </x:c>
      <x:c r="P2688" s="47" t="n">
        <x:v>0.5371347363794198</x:v>
      </x:c>
      <x:c r="Q2688" s="47" t="n">
        <x:v>1</x:v>
      </x:c>
      <x:c r="R2688" s="47" t="n">
        <x:v>0.7942244577392872</x:v>
      </x:c>
      <x:c r="S2688" s="27" t="n">
        <x:v>0</x:v>
      </x:c>
    </x:row>
    <x:row r="2689" ht="21.600000381469727" hidden="0" customHeight="1">
      <x:c r="A2689" s="29" t="n">
        <x:v>895</x:v>
      </x:c>
      <x:c r="B2689" s="29" t="str">
        <x:v>A3</x:v>
      </x:c>
      <x:c r="C2689" s="48" t="n">
        <x:v>1.1475111660025097</x:v>
      </x:c>
      <x:c r="D2689" s="48" t="n">
        <x:v>0.7603611229648709</x:v>
      </x:c>
      <x:c r="E2689" s="48" t="n">
        <x:v>0.5669476465058778</x:v>
      </x:c>
      <x:c r="F2689" s="48" t="n">
        <x:v>-0.0037696143553803685</x:v>
      </x:c>
      <x:c r="G2689" s="48" t="n">
        <x:v>-0.17236726247461093</x:v>
      </x:c>
      <x:c r="H2689" s="48" t="n">
        <x:v>0.8419745376720813</x:v>
      </x:c>
      <x:c r="I2689" s="48" t="n">
        <x:v>0.8191489960710315</x:v>
      </x:c>
      <x:c r="J2689" s="48" t="n">
        <x:v>0.5592351025301247</x:v>
      </x:c>
      <x:c r="K2689" s="48" t="n">
        <x:v>0.806910905850213</x:v>
      </x:c>
      <x:c r="L2689" s="48" t="n">
        <x:v>0.6454787039787239</x:v>
      </x:c>
      <x:c r="M2689" s="48" t="n">
        <x:v>0.1647478491538012</x:v>
      </x:c>
      <x:c r="N2689" s="48" t="n">
        <x:v>0.730743508321171</x:v>
      </x:c>
      <x:c r="O2689" s="48" t="n">
        <x:v>1</x:v>
      </x:c>
      <x:c r="P2689" s="48" t="n">
        <x:v>1</x:v>
      </x:c>
      <x:c r="Q2689" s="48" t="n">
        <x:v>1</x:v>
      </x:c>
      <x:c r="R2689" s="48" t="n">
        <x:v>1</x:v>
      </x:c>
      <x:c r="S2689" s="29" t="n">
        <x:v>1</x:v>
      </x:c>
    </x:row>
    <x:row r="2690" ht="21.600000381469727" hidden="0" customHeight="1">
      <x:c r="A2690" s="27" t="n">
        <x:v>896</x:v>
      </x:c>
      <x:c r="B2690" s="27" t="str">
        <x:v>A1</x:v>
      </x:c>
      <x:c r="C2690" s="47" t="n">
        <x:v>1.1768239822402626</x:v>
      </x:c>
      <x:c r="D2690" s="47" t="n">
        <x:v>0.8727802103116572</x:v>
      </x:c>
      <x:c r="E2690" s="47" t="n">
        <x:v>0.8812012070436225</x:v>
      </x:c>
      <x:c r="F2690" s="47" t="n">
        <x:v>-0.015426059463378744</x:v>
      </x:c>
      <x:c r="G2690" s="47" t="n">
        <x:v>-0.06585265950775904</x:v>
      </x:c>
      <x:c r="H2690" s="47" t="n">
        <x:v>0.9256883023436757</x:v>
      </x:c>
      <x:c r="I2690" s="47" t="n">
        <x:v>0.9053871197017789</x:v>
      </x:c>
      <x:c r="J2690" s="47" t="n">
        <x:v>0.8681380320105376</x:v>
      </x:c>
      <x:c r="K2690" s="47" t="n">
        <x:v>0.9804355298347823</x:v>
      </x:c>
      <x:c r="L2690" s="47" t="n">
        <x:v>0.9273655823579197</x:v>
      </x:c>
      <x:c r="M2690" s="47" t="n">
        <x:v>0.15391957070908907</x:v>
      </x:c>
      <x:c r="N2690" s="47" t="n">
        <x:v>0.6914859072668829</x:v>
      </x:c>
      <x:c r="O2690" s="47" t="n">
        <x:v>0.8820561088989071</x:v>
      </x:c>
      <x:c r="P2690" s="47" t="n">
        <x:v>0.516924496030958</x:v>
      </x:c>
      <x:c r="Q2690" s="47" t="n">
        <x:v>1</x:v>
      </x:c>
      <x:c r="R2690" s="47" t="n">
        <x:v>0.854357806545563</x:v>
      </x:c>
      <x:c r="S2690" s="27" t="n">
        <x:v>0</x:v>
      </x:c>
    </x:row>
    <x:row r="2691" ht="21.600000381469727" hidden="0" customHeight="1">
      <x:c r="A2691" s="29" t="n">
        <x:v>896</x:v>
      </x:c>
      <x:c r="B2691" s="29" t="str">
        <x:v>A2</x:v>
      </x:c>
      <x:c r="C2691" s="48" t="n">
        <x:v>1.1768239822402626</x:v>
      </x:c>
      <x:c r="D2691" s="48" t="n">
        <x:v>0.8727802103116572</x:v>
      </x:c>
      <x:c r="E2691" s="48" t="n">
        <x:v>0.8812012070436225</x:v>
      </x:c>
      <x:c r="F2691" s="48" t="n">
        <x:v>-0.015426059463378744</x:v>
      </x:c>
      <x:c r="G2691" s="48" t="n">
        <x:v>-0.06585265950775904</x:v>
      </x:c>
      <x:c r="H2691" s="48" t="n">
        <x:v>0.9256883023436757</x:v>
      </x:c>
      <x:c r="I2691" s="48" t="n">
        <x:v>0.9053871197017789</x:v>
      </x:c>
      <x:c r="J2691" s="48" t="n">
        <x:v>0.8681380320105376</x:v>
      </x:c>
      <x:c r="K2691" s="48" t="n">
        <x:v>0.9804355298347823</x:v>
      </x:c>
      <x:c r="L2691" s="48" t="n">
        <x:v>0.9273655823579197</x:v>
      </x:c>
      <x:c r="M2691" s="48" t="n">
        <x:v>0.15391957070908907</x:v>
      </x:c>
      <x:c r="N2691" s="48" t="n">
        <x:v>0.6914859072668829</x:v>
      </x:c>
      <x:c r="O2691" s="48" t="n">
        <x:v>0.9574599263452842</x:v>
      </x:c>
      <x:c r="P2691" s="48" t="n">
        <x:v>0.6241197773059269</x:v>
      </x:c>
      <x:c r="Q2691" s="48" t="n">
        <x:v>1</x:v>
      </x:c>
      <x:c r="R2691" s="48" t="n">
        <x:v>0.9474696859757181</x:v>
      </x:c>
      <x:c r="S2691" s="29" t="n">
        <x:v>0</x:v>
      </x:c>
    </x:row>
    <x:row r="2692" ht="21.600000381469727" hidden="0" customHeight="1">
      <x:c r="A2692" s="27" t="n">
        <x:v>896</x:v>
      </x:c>
      <x:c r="B2692" s="27" t="str">
        <x:v>A3</x:v>
      </x:c>
      <x:c r="C2692" s="47" t="n">
        <x:v>1.1768239822402626</x:v>
      </x:c>
      <x:c r="D2692" s="47" t="n">
        <x:v>0.8727802103116572</x:v>
      </x:c>
      <x:c r="E2692" s="47" t="n">
        <x:v>0.8812012070436225</x:v>
      </x:c>
      <x:c r="F2692" s="47" t="n">
        <x:v>-0.015426059463378744</x:v>
      </x:c>
      <x:c r="G2692" s="47" t="n">
        <x:v>-0.06585265950775904</x:v>
      </x:c>
      <x:c r="H2692" s="47" t="n">
        <x:v>0.9256883023436757</x:v>
      </x:c>
      <x:c r="I2692" s="47" t="n">
        <x:v>0.9053871197017789</x:v>
      </x:c>
      <x:c r="J2692" s="47" t="n">
        <x:v>0.8681380320105376</x:v>
      </x:c>
      <x:c r="K2692" s="47" t="n">
        <x:v>0.9804355298347823</x:v>
      </x:c>
      <x:c r="L2692" s="47" t="n">
        <x:v>0.9273655823579197</x:v>
      </x:c>
      <x:c r="M2692" s="47" t="n">
        <x:v>0.15391957070908907</x:v>
      </x:c>
      <x:c r="N2692" s="47" t="n">
        <x:v>0.6914859072668829</x:v>
      </x:c>
      <x:c r="O2692" s="47" t="n">
        <x:v>1</x:v>
      </x:c>
      <x:c r="P2692" s="47" t="n">
        <x:v>1</x:v>
      </x:c>
      <x:c r="Q2692" s="47" t="n">
        <x:v>1</x:v>
      </x:c>
      <x:c r="R2692" s="47" t="n">
        <x:v>1</x:v>
      </x:c>
      <x:c r="S2692" s="27" t="n">
        <x:v>1</x:v>
      </x:c>
    </x:row>
    <x:row r="2693" ht="21.600000381469727" hidden="0" customHeight="1">
      <x:c r="A2693" s="29" t="n">
        <x:v>897</x:v>
      </x:c>
      <x:c r="B2693" s="29" t="str">
        <x:v>A1</x:v>
      </x:c>
      <x:c r="C2693" s="48" t="n">
        <x:v>1.0902868497695353</x:v>
      </x:c>
      <x:c r="D2693" s="48" t="n">
        <x:v>0.9482652739040189</x:v>
      </x:c>
      <x:c r="E2693" s="48" t="n">
        <x:v>1.0806394366614827</x:v>
      </x:c>
      <x:c r="F2693" s="48" t="n">
        <x:v>-0.04546954459813557</x:v>
      </x:c>
      <x:c r="G2693" s="48" t="n">
        <x:v>-0.07764601313367767</x:v>
      </x:c>
      <x:c r="H2693" s="48" t="n">
        <x:v>0.4319617621362572</x:v>
      </x:c>
      <x:c r="I2693" s="48" t="n">
        <x:v>0.7076059321061058</x:v>
      </x:c>
      <x:c r="J2693" s="48" t="n">
        <x:v>0.8205783456146145</x:v>
      </x:c>
      <x:c r="K2693" s="48" t="n">
        <x:v>0.7357218589279862</x:v>
      </x:c>
      <x:c r="L2693" s="48" t="n">
        <x:v>0.7443643401930939</x:v>
      </x:c>
      <x:c r="M2693" s="48" t="n">
        <x:v>0.14480983529317712</x:v>
      </x:c>
      <x:c r="N2693" s="48" t="n">
        <x:v>0.8303794861771487</x:v>
      </x:c>
      <x:c r="O2693" s="48" t="n">
        <x:v>0.9199394882240696</x:v>
      </x:c>
      <x:c r="P2693" s="48" t="n">
        <x:v>0.6449356404935662</x:v>
      </x:c>
      <x:c r="Q2693" s="48" t="n">
        <x:v>1</x:v>
      </x:c>
      <x:c r="R2693" s="48" t="n">
        <x:v>0.9011378339710955</x:v>
      </x:c>
      <x:c r="S2693" s="29" t="n">
        <x:v>0</x:v>
      </x:c>
    </x:row>
    <x:row r="2694" ht="21.600000381469727" hidden="0" customHeight="1">
      <x:c r="A2694" s="27" t="n">
        <x:v>897</x:v>
      </x:c>
      <x:c r="B2694" s="27" t="str">
        <x:v>A2</x:v>
      </x:c>
      <x:c r="C2694" s="47" t="n">
        <x:v>1.0902868497695353</x:v>
      </x:c>
      <x:c r="D2694" s="47" t="n">
        <x:v>0.9482652739040189</x:v>
      </x:c>
      <x:c r="E2694" s="47" t="n">
        <x:v>1.0806394366614827</x:v>
      </x:c>
      <x:c r="F2694" s="47" t="n">
        <x:v>-0.04546954459813557</x:v>
      </x:c>
      <x:c r="G2694" s="47" t="n">
        <x:v>-0.07764601313367767</x:v>
      </x:c>
      <x:c r="H2694" s="47" t="n">
        <x:v>0.4319617621362572</x:v>
      </x:c>
      <x:c r="I2694" s="47" t="n">
        <x:v>0.7076059321061058</x:v>
      </x:c>
      <x:c r="J2694" s="47" t="n">
        <x:v>0.8205783456146145</x:v>
      </x:c>
      <x:c r="K2694" s="47" t="n">
        <x:v>0.7357218589279862</x:v>
      </x:c>
      <x:c r="L2694" s="47" t="n">
        <x:v>0.7443643401930939</x:v>
      </x:c>
      <x:c r="M2694" s="47" t="n">
        <x:v>0.14480983529317712</x:v>
      </x:c>
      <x:c r="N2694" s="47" t="n">
        <x:v>0.8303794861771487</x:v>
      </x:c>
      <x:c r="O2694" s="47" t="n">
        <x:v>0.9657149598491982</x:v>
      </x:c>
      <x:c r="P2694" s="47" t="n">
        <x:v>0.742838559166325</x:v>
      </x:c>
      <x:c r="Q2694" s="47" t="n">
        <x:v>1</x:v>
      </x:c>
      <x:c r="R2694" s="47" t="n">
        <x:v>0.9576633566722309</x:v>
      </x:c>
      <x:c r="S2694" s="27" t="n">
        <x:v>0</x:v>
      </x:c>
    </x:row>
    <x:row r="2695" ht="21.600000381469727" hidden="0" customHeight="1">
      <x:c r="A2695" s="29" t="n">
        <x:v>897</x:v>
      </x:c>
      <x:c r="B2695" s="29" t="str">
        <x:v>A3</x:v>
      </x:c>
      <x:c r="C2695" s="48" t="n">
        <x:v>1.0902868497695353</x:v>
      </x:c>
      <x:c r="D2695" s="48" t="n">
        <x:v>0.9482652739040189</x:v>
      </x:c>
      <x:c r="E2695" s="48" t="n">
        <x:v>1.0806394366614827</x:v>
      </x:c>
      <x:c r="F2695" s="48" t="n">
        <x:v>-0.04546954459813557</x:v>
      </x:c>
      <x:c r="G2695" s="48" t="n">
        <x:v>-0.07764601313367767</x:v>
      </x:c>
      <x:c r="H2695" s="48" t="n">
        <x:v>0.4319617621362572</x:v>
      </x:c>
      <x:c r="I2695" s="48" t="n">
        <x:v>0.7076059321061058</x:v>
      </x:c>
      <x:c r="J2695" s="48" t="n">
        <x:v>0.8205783456146145</x:v>
      </x:c>
      <x:c r="K2695" s="48" t="n">
        <x:v>0.7357218589279862</x:v>
      </x:c>
      <x:c r="L2695" s="48" t="n">
        <x:v>0.7443643401930939</x:v>
      </x:c>
      <x:c r="M2695" s="48" t="n">
        <x:v>0.14480983529317712</x:v>
      </x:c>
      <x:c r="N2695" s="48" t="n">
        <x:v>0.8303794861771487</x:v>
      </x:c>
      <x:c r="O2695" s="48" t="n">
        <x:v>1</x:v>
      </x:c>
      <x:c r="P2695" s="48" t="n">
        <x:v>1</x:v>
      </x:c>
      <x:c r="Q2695" s="48" t="n">
        <x:v>1</x:v>
      </x:c>
      <x:c r="R2695" s="48" t="n">
        <x:v>1</x:v>
      </x:c>
      <x:c r="S2695" s="29" t="n">
        <x:v>1</x:v>
      </x:c>
    </x:row>
    <x:row r="2696" ht="21.600000381469727" hidden="0" customHeight="1">
      <x:c r="A2696" s="27" t="n">
        <x:v>898</x:v>
      </x:c>
      <x:c r="B2696" s="27" t="str">
        <x:v>A1</x:v>
      </x:c>
      <x:c r="C2696" s="47" t="n">
        <x:v>0.9605404639287124</x:v>
      </x:c>
      <x:c r="D2696" s="47" t="n">
        <x:v>0.741980459787283</x:v>
      </x:c>
      <x:c r="E2696" s="47" t="n">
        <x:v>0.9368764712529511</x:v>
      </x:c>
      <x:c r="F2696" s="47" t="n">
        <x:v>-0.033929146157127915</x:v>
      </x:c>
      <x:c r="G2696" s="47" t="n">
        <x:v>-0.05582341735708693</x:v>
      </x:c>
      <x:c r="H2696" s="47" t="n">
        <x:v>0.7468304807382076</x:v>
      </x:c>
      <x:c r="I2696" s="47" t="n">
        <x:v>0.8732888246867498</x:v>
      </x:c>
      <x:c r="J2696" s="47" t="n">
        <x:v>0.486251964217188</x:v>
      </x:c>
      <x:c r="K2696" s="47" t="n">
        <x:v>0.9955359055891821</x:v>
      </x:c>
      <x:c r="L2696" s="47" t="n">
        <x:v>0.9576823551659921</x:v>
      </x:c>
      <x:c r="M2696" s="47" t="n">
        <x:v>0.16823762229639316</x:v>
      </x:c>
      <x:c r="N2696" s="47" t="n">
        <x:v>0.9747784275606046</x:v>
      </x:c>
      <x:c r="O2696" s="47" t="n">
        <x:v>0.8605718446710731</x:v>
      </x:c>
      <x:c r="P2696" s="47" t="n">
        <x:v>0.6230577565294757</x:v>
      </x:c>
      <x:c r="Q2696" s="47" t="n">
        <x:v>1</x:v>
      </x:c>
      <x:c r="R2696" s="47" t="n">
        <x:v>0.8278281123182081</x:v>
      </x:c>
      <x:c r="S2696" s="27" t="n">
        <x:v>0</x:v>
      </x:c>
    </x:row>
    <x:row r="2697" ht="21.600000381469727" hidden="0" customHeight="1">
      <x:c r="A2697" s="29" t="n">
        <x:v>898</x:v>
      </x:c>
      <x:c r="B2697" s="29" t="str">
        <x:v>A2</x:v>
      </x:c>
      <x:c r="C2697" s="48" t="n">
        <x:v>0.9605404639287124</x:v>
      </x:c>
      <x:c r="D2697" s="48" t="n">
        <x:v>0.741980459787283</x:v>
      </x:c>
      <x:c r="E2697" s="48" t="n">
        <x:v>0.9368764712529511</x:v>
      </x:c>
      <x:c r="F2697" s="48" t="n">
        <x:v>-0.033929146157127915</x:v>
      </x:c>
      <x:c r="G2697" s="48" t="n">
        <x:v>-0.05582341735708693</x:v>
      </x:c>
      <x:c r="H2697" s="48" t="n">
        <x:v>0.7468304807382076</x:v>
      </x:c>
      <x:c r="I2697" s="48" t="n">
        <x:v>0.8732888246867498</x:v>
      </x:c>
      <x:c r="J2697" s="48" t="n">
        <x:v>0.486251964217188</x:v>
      </x:c>
      <x:c r="K2697" s="48" t="n">
        <x:v>0.9955359055891821</x:v>
      </x:c>
      <x:c r="L2697" s="48" t="n">
        <x:v>0.9576823551659921</x:v>
      </x:c>
      <x:c r="M2697" s="48" t="n">
        <x:v>0.16823762229639316</x:v>
      </x:c>
      <x:c r="N2697" s="48" t="n">
        <x:v>0.9747784275606046</x:v>
      </x:c>
      <x:c r="O2697" s="48" t="n">
        <x:v>0.9686644705456645</x:v>
      </x:c>
      <x:c r="P2697" s="48" t="n">
        <x:v>0.8652729308315138</x:v>
      </x:c>
      <x:c r="Q2697" s="48" t="n">
        <x:v>1</x:v>
      </x:c>
      <x:c r="R2697" s="48" t="n">
        <x:v>0.9613055394376144</x:v>
      </x:c>
      <x:c r="S2697" s="29" t="n">
        <x:v>0</x:v>
      </x:c>
    </x:row>
    <x:row r="2698" ht="21.600000381469727" hidden="0" customHeight="1">
      <x:c r="A2698" s="27" t="n">
        <x:v>898</x:v>
      </x:c>
      <x:c r="B2698" s="27" t="str">
        <x:v>A3</x:v>
      </x:c>
      <x:c r="C2698" s="47" t="n">
        <x:v>0.9605404639287124</x:v>
      </x:c>
      <x:c r="D2698" s="47" t="n">
        <x:v>0.741980459787283</x:v>
      </x:c>
      <x:c r="E2698" s="47" t="n">
        <x:v>0.9368764712529511</x:v>
      </x:c>
      <x:c r="F2698" s="47" t="n">
        <x:v>-0.033929146157127915</x:v>
      </x:c>
      <x:c r="G2698" s="47" t="n">
        <x:v>-0.05582341735708693</x:v>
      </x:c>
      <x:c r="H2698" s="47" t="n">
        <x:v>0.7468304807382076</x:v>
      </x:c>
      <x:c r="I2698" s="47" t="n">
        <x:v>0.8732888246867498</x:v>
      </x:c>
      <x:c r="J2698" s="47" t="n">
        <x:v>0.486251964217188</x:v>
      </x:c>
      <x:c r="K2698" s="47" t="n">
        <x:v>0.9955359055891821</x:v>
      </x:c>
      <x:c r="L2698" s="47" t="n">
        <x:v>0.9576823551659921</x:v>
      </x:c>
      <x:c r="M2698" s="47" t="n">
        <x:v>0.16823762229639316</x:v>
      </x:c>
      <x:c r="N2698" s="47" t="n">
        <x:v>0.9747784275606046</x:v>
      </x:c>
      <x:c r="O2698" s="47" t="n">
        <x:v>1</x:v>
      </x:c>
      <x:c r="P2698" s="47" t="n">
        <x:v>1</x:v>
      </x:c>
      <x:c r="Q2698" s="47" t="n">
        <x:v>1</x:v>
      </x:c>
      <x:c r="R2698" s="47" t="n">
        <x:v>1</x:v>
      </x:c>
      <x:c r="S2698" s="27" t="n">
        <x:v>1</x:v>
      </x:c>
    </x:row>
    <x:row r="2699" ht="21.600000381469727" hidden="0" customHeight="1">
      <x:c r="A2699" s="29" t="n">
        <x:v>899</x:v>
      </x:c>
      <x:c r="B2699" s="29" t="str">
        <x:v>A1</x:v>
      </x:c>
      <x:c r="C2699" s="48" t="n">
        <x:v>1.2091864082787418</x:v>
      </x:c>
      <x:c r="D2699" s="48" t="n">
        <x:v>0.9517876124246536</x:v>
      </x:c>
      <x:c r="E2699" s="48" t="n">
        <x:v>0.9340152630242919</x:v>
      </x:c>
      <x:c r="F2699" s="48" t="n">
        <x:v>-0.02232361239621722</x:v>
      </x:c>
      <x:c r="G2699" s="48" t="n">
        <x:v>-0.1943992415138297</x:v>
      </x:c>
      <x:c r="H2699" s="48" t="n">
        <x:v>0.5207780782422173</x:v>
      </x:c>
      <x:c r="I2699" s="48" t="n">
        <x:v>0.6759366698635937</x:v>
      </x:c>
      <x:c r="J2699" s="48" t="n">
        <x:v>0.5653998623568693</x:v>
      </x:c>
      <x:c r="K2699" s="48" t="n">
        <x:v>0.979999363266916</x:v>
      </x:c>
      <x:c r="L2699" s="48" t="n">
        <x:v>0.8412096724752864</x:v>
      </x:c>
      <x:c r="M2699" s="48" t="n">
        <x:v>0.08848574176113284</x:v>
      </x:c>
      <x:c r="N2699" s="48" t="n">
        <x:v>0.9116587369430478</x:v>
      </x:c>
      <x:c r="O2699" s="48" t="n">
        <x:v>0.8724515519466388</x:v>
      </x:c>
      <x:c r="P2699" s="48" t="n">
        <x:v>0.6045394995341862</x:v>
      </x:c>
      <x:c r="Q2699" s="48" t="n">
        <x:v>1</x:v>
      </x:c>
      <x:c r="R2699" s="48" t="n">
        <x:v>0.8424976862067536</x:v>
      </x:c>
      <x:c r="S2699" s="29" t="n">
        <x:v>0</x:v>
      </x:c>
    </x:row>
    <x:row r="2700" ht="21.600000381469727" hidden="0" customHeight="1">
      <x:c r="A2700" s="27" t="n">
        <x:v>899</x:v>
      </x:c>
      <x:c r="B2700" s="27" t="str">
        <x:v>A2</x:v>
      </x:c>
      <x:c r="C2700" s="47" t="n">
        <x:v>1.2091864082787418</x:v>
      </x:c>
      <x:c r="D2700" s="47" t="n">
        <x:v>0.9517876124246536</x:v>
      </x:c>
      <x:c r="E2700" s="47" t="n">
        <x:v>0.9340152630242919</x:v>
      </x:c>
      <x:c r="F2700" s="47" t="n">
        <x:v>-0.02232361239621722</x:v>
      </x:c>
      <x:c r="G2700" s="47" t="n">
        <x:v>-0.1943992415138297</x:v>
      </x:c>
      <x:c r="H2700" s="47" t="n">
        <x:v>0.5207780782422173</x:v>
      </x:c>
      <x:c r="I2700" s="47" t="n">
        <x:v>0.6759366698635937</x:v>
      </x:c>
      <x:c r="J2700" s="47" t="n">
        <x:v>0.5653998623568693</x:v>
      </x:c>
      <x:c r="K2700" s="47" t="n">
        <x:v>0.979999363266916</x:v>
      </x:c>
      <x:c r="L2700" s="47" t="n">
        <x:v>0.8412096724752864</x:v>
      </x:c>
      <x:c r="M2700" s="47" t="n">
        <x:v>0.08848574176113284</x:v>
      </x:c>
      <x:c r="N2700" s="47" t="n">
        <x:v>0.9116587369430478</x:v>
      </x:c>
      <x:c r="O2700" s="47" t="n">
        <x:v>0.9622292181304588</x:v>
      </x:c>
      <x:c r="P2700" s="47" t="n">
        <x:v>0.7768415160988393</x:v>
      </x:c>
      <x:c r="Q2700" s="47" t="n">
        <x:v>1</x:v>
      </x:c>
      <x:c r="R2700" s="47" t="n">
        <x:v>0.953359012759262</x:v>
      </x:c>
      <x:c r="S2700" s="27" t="n">
        <x:v>0</x:v>
      </x:c>
    </x:row>
    <x:row r="2701" ht="21.600000381469727" hidden="0" customHeight="1">
      <x:c r="A2701" s="29" t="n">
        <x:v>899</x:v>
      </x:c>
      <x:c r="B2701" s="29" t="str">
        <x:v>A3</x:v>
      </x:c>
      <x:c r="C2701" s="48" t="n">
        <x:v>1.2091864082787418</x:v>
      </x:c>
      <x:c r="D2701" s="48" t="n">
        <x:v>0.9517876124246536</x:v>
      </x:c>
      <x:c r="E2701" s="48" t="n">
        <x:v>0.9340152630242919</x:v>
      </x:c>
      <x:c r="F2701" s="48" t="n">
        <x:v>-0.02232361239621722</x:v>
      </x:c>
      <x:c r="G2701" s="48" t="n">
        <x:v>-0.1943992415138297</x:v>
      </x:c>
      <x:c r="H2701" s="48" t="n">
        <x:v>0.5207780782422173</x:v>
      </x:c>
      <x:c r="I2701" s="48" t="n">
        <x:v>0.6759366698635937</x:v>
      </x:c>
      <x:c r="J2701" s="48" t="n">
        <x:v>0.5653998623568693</x:v>
      </x:c>
      <x:c r="K2701" s="48" t="n">
        <x:v>0.979999363266916</x:v>
      </x:c>
      <x:c r="L2701" s="48" t="n">
        <x:v>0.8412096724752864</x:v>
      </x:c>
      <x:c r="M2701" s="48" t="n">
        <x:v>0.08848574176113284</x:v>
      </x:c>
      <x:c r="N2701" s="48" t="n">
        <x:v>0.9116587369430478</x:v>
      </x:c>
      <x:c r="O2701" s="48" t="n">
        <x:v>1</x:v>
      </x:c>
      <x:c r="P2701" s="48" t="n">
        <x:v>1</x:v>
      </x:c>
      <x:c r="Q2701" s="48" t="n">
        <x:v>1</x:v>
      </x:c>
      <x:c r="R2701" s="48" t="n">
        <x:v>1</x:v>
      </x:c>
      <x:c r="S2701" s="29" t="n">
        <x:v>1</x:v>
      </x:c>
    </x:row>
    <x:row r="2702" ht="21.600000381469727" hidden="0" customHeight="1">
      <x:c r="A2702" s="27" t="n">
        <x:v>900</x:v>
      </x:c>
      <x:c r="B2702" s="27" t="str">
        <x:v>A1</x:v>
      </x:c>
      <x:c r="C2702" s="47" t="n">
        <x:v>1.1120290213055515</x:v>
      </x:c>
      <x:c r="D2702" s="47" t="n">
        <x:v>0.8260371175579885</x:v>
      </x:c>
      <x:c r="E2702" s="47" t="n">
        <x:v>0.8776144261174319</x:v>
      </x:c>
      <x:c r="F2702" s="47" t="n">
        <x:v>-0.09905888407256208</x:v>
      </x:c>
      <x:c r="G2702" s="47" t="n">
        <x:v>-0.05046653022043557</x:v>
      </x:c>
      <x:c r="H2702" s="47" t="n">
        <x:v>0.9660886282178185</x:v>
      </x:c>
      <x:c r="I2702" s="47" t="n">
        <x:v>0.611988577966477</x:v>
      </x:c>
      <x:c r="J2702" s="47" t="n">
        <x:v>0.8760232458918129</x:v>
      </x:c>
      <x:c r="K2702" s="47" t="n">
        <x:v>0.9371542575503994</x:v>
      </x:c>
      <x:c r="L2702" s="47" t="n">
        <x:v>0.8807259680163666</x:v>
      </x:c>
      <x:c r="M2702" s="47" t="n">
        <x:v>0.14709196274661934</x:v>
      </x:c>
      <x:c r="N2702" s="47" t="n">
        <x:v>0.9151708851352528</x:v>
      </x:c>
      <x:c r="O2702" s="47" t="n">
        <x:v>0.9070368826458858</x:v>
      </x:c>
      <x:c r="P2702" s="47" t="n">
        <x:v>0.5853150170679448</x:v>
      </x:c>
      <x:c r="Q2702" s="47" t="n">
        <x:v>1</x:v>
      </x:c>
      <x:c r="R2702" s="47" t="n">
        <x:v>0.8852051412293117</x:v>
      </x:c>
      <x:c r="S2702" s="27" t="n">
        <x:v>0</x:v>
      </x:c>
    </x:row>
    <x:row r="2703" ht="21.600000381469727" hidden="0" customHeight="1">
      <x:c r="A2703" s="29" t="n">
        <x:v>900</x:v>
      </x:c>
      <x:c r="B2703" s="29" t="str">
        <x:v>A2</x:v>
      </x:c>
      <x:c r="C2703" s="48" t="n">
        <x:v>1.1120290213055515</x:v>
      </x:c>
      <x:c r="D2703" s="48" t="n">
        <x:v>0.8260371175579885</x:v>
      </x:c>
      <x:c r="E2703" s="48" t="n">
        <x:v>0.8776144261174319</x:v>
      </x:c>
      <x:c r="F2703" s="48" t="n">
        <x:v>-0.09905888407256208</x:v>
      </x:c>
      <x:c r="G2703" s="48" t="n">
        <x:v>-0.05046653022043557</x:v>
      </x:c>
      <x:c r="H2703" s="48" t="n">
        <x:v>0.9660886282178185</x:v>
      </x:c>
      <x:c r="I2703" s="48" t="n">
        <x:v>0.611988577966477</x:v>
      </x:c>
      <x:c r="J2703" s="48" t="n">
        <x:v>0.8760232458918129</x:v>
      </x:c>
      <x:c r="K2703" s="48" t="n">
        <x:v>0.9371542575503994</x:v>
      </x:c>
      <x:c r="L2703" s="48" t="n">
        <x:v>0.8807259680163666</x:v>
      </x:c>
      <x:c r="M2703" s="48" t="n">
        <x:v>0.14709196274661934</x:v>
      </x:c>
      <x:c r="N2703" s="48" t="n">
        <x:v>0.9151708851352528</x:v>
      </x:c>
      <x:c r="O2703" s="48" t="n">
        <x:v>0.9611377708938176</x:v>
      </x:c>
      <x:c r="P2703" s="48" t="n">
        <x:v>0.7283069750565657</x:v>
      </x:c>
      <x:c r="Q2703" s="48" t="n">
        <x:v>1</x:v>
      </x:c>
      <x:c r="R2703" s="48" t="n">
        <x:v>0.9520112467317029</x:v>
      </x:c>
      <x:c r="S2703" s="29" t="n">
        <x:v>0</x:v>
      </x:c>
    </x:row>
    <x:row r="2704" ht="21.600000381469727" hidden="0" customHeight="1">
      <x:c r="A2704" s="27" t="n">
        <x:v>900</x:v>
      </x:c>
      <x:c r="B2704" s="27" t="str">
        <x:v>A3</x:v>
      </x:c>
      <x:c r="C2704" s="47" t="n">
        <x:v>1.1120290213055515</x:v>
      </x:c>
      <x:c r="D2704" s="47" t="n">
        <x:v>0.8260371175579885</x:v>
      </x:c>
      <x:c r="E2704" s="47" t="n">
        <x:v>0.8776144261174319</x:v>
      </x:c>
      <x:c r="F2704" s="47" t="n">
        <x:v>-0.09905888407256208</x:v>
      </x:c>
      <x:c r="G2704" s="47" t="n">
        <x:v>-0.05046653022043557</x:v>
      </x:c>
      <x:c r="H2704" s="47" t="n">
        <x:v>0.9660886282178185</x:v>
      </x:c>
      <x:c r="I2704" s="47" t="n">
        <x:v>0.611988577966477</x:v>
      </x:c>
      <x:c r="J2704" s="47" t="n">
        <x:v>0.8760232458918129</x:v>
      </x:c>
      <x:c r="K2704" s="47" t="n">
        <x:v>0.9371542575503994</x:v>
      </x:c>
      <x:c r="L2704" s="47" t="n">
        <x:v>0.8807259680163666</x:v>
      </x:c>
      <x:c r="M2704" s="47" t="n">
        <x:v>0.14709196274661934</x:v>
      </x:c>
      <x:c r="N2704" s="47" t="n">
        <x:v>0.9151708851352528</x:v>
      </x:c>
      <x:c r="O2704" s="47" t="n">
        <x:v>1</x:v>
      </x:c>
      <x:c r="P2704" s="47" t="n">
        <x:v>1</x:v>
      </x:c>
      <x:c r="Q2704" s="47" t="n">
        <x:v>1</x:v>
      </x:c>
      <x:c r="R2704" s="47" t="n">
        <x:v>1</x:v>
      </x:c>
      <x:c r="S2704" s="27" t="n">
        <x:v>1</x:v>
      </x:c>
    </x:row>
    <x:row r="2705" ht="21.600000381469727" hidden="0" customHeight="1">
      <x:c r="A2705" s="29" t="n">
        <x:v>901</x:v>
      </x:c>
      <x:c r="B2705" s="29" t="str">
        <x:v>A1</x:v>
      </x:c>
      <x:c r="C2705" s="48" t="n">
        <x:v>1.0234242954350152</x:v>
      </x:c>
      <x:c r="D2705" s="48" t="n">
        <x:v>0.9727736270649359</x:v>
      </x:c>
      <x:c r="E2705" s="48" t="n">
        <x:v>1.0940195631017982</x:v>
      </x:c>
      <x:c r="F2705" s="48" t="n">
        <x:v>-0.07394512731020703</x:v>
      </x:c>
      <x:c r="G2705" s="48" t="n">
        <x:v>-0.09946722257180841</x:v>
      </x:c>
      <x:c r="H2705" s="48" t="n">
        <x:v>0.7668752195901534</x:v>
      </x:c>
      <x:c r="I2705" s="48" t="n">
        <x:v>0.6095837339049798</x:v>
      </x:c>
      <x:c r="J2705" s="48" t="n">
        <x:v>0.7003093888051836</x:v>
      </x:c>
      <x:c r="K2705" s="48" t="n">
        <x:v>0.9231861247993245</x:v>
      </x:c>
      <x:c r="L2705" s="48" t="n">
        <x:v>0.8606352733361002</x:v>
      </x:c>
      <x:c r="M2705" s="48" t="n">
        <x:v>0.061525484319179646</x:v>
      </x:c>
      <x:c r="N2705" s="48" t="n">
        <x:v>0.9967823485488685</x:v>
      </x:c>
      <x:c r="O2705" s="48" t="n">
        <x:v>0.9520612139528959</x:v>
      </x:c>
      <x:c r="P2705" s="48" t="n">
        <x:v>0.7096949800124276</x:v>
      </x:c>
      <x:c r="Q2705" s="48" t="n">
        <x:v>1</x:v>
      </x:c>
      <x:c r="R2705" s="48" t="n">
        <x:v>0.9408031235338946</x:v>
      </x:c>
      <x:c r="S2705" s="29" t="n">
        <x:v>0</x:v>
      </x:c>
    </x:row>
    <x:row r="2706" ht="21.600000381469727" hidden="0" customHeight="1">
      <x:c r="A2706" s="27" t="n">
        <x:v>901</x:v>
      </x:c>
      <x:c r="B2706" s="27" t="str">
        <x:v>A2</x:v>
      </x:c>
      <x:c r="C2706" s="47" t="n">
        <x:v>1.0234242954350152</x:v>
      </x:c>
      <x:c r="D2706" s="47" t="n">
        <x:v>0.9727736270649359</x:v>
      </x:c>
      <x:c r="E2706" s="47" t="n">
        <x:v>1.0940195631017982</x:v>
      </x:c>
      <x:c r="F2706" s="47" t="n">
        <x:v>-0.07394512731020703</x:v>
      </x:c>
      <x:c r="G2706" s="47" t="n">
        <x:v>-0.09946722257180841</x:v>
      </x:c>
      <x:c r="H2706" s="47" t="n">
        <x:v>0.7668752195901534</x:v>
      </x:c>
      <x:c r="I2706" s="47" t="n">
        <x:v>0.6095837339049798</x:v>
      </x:c>
      <x:c r="J2706" s="47" t="n">
        <x:v>0.7003093888051836</x:v>
      </x:c>
      <x:c r="K2706" s="47" t="n">
        <x:v>0.9231861247993245</x:v>
      </x:c>
      <x:c r="L2706" s="47" t="n">
        <x:v>0.8606352733361002</x:v>
      </x:c>
      <x:c r="M2706" s="47" t="n">
        <x:v>0.061525484319179646</x:v>
      </x:c>
      <x:c r="N2706" s="47" t="n">
        <x:v>0.9967823485488685</x:v>
      </x:c>
      <x:c r="O2706" s="47" t="n">
        <x:v>0.9972283310861582</x:v>
      </x:c>
      <x:c r="P2706" s="47" t="n">
        <x:v>0.9722833108615825</x:v>
      </x:c>
      <x:c r="Q2706" s="47" t="n">
        <x:v>1</x:v>
      </x:c>
      <x:c r="R2706" s="47" t="n">
        <x:v>0.9965774239227415</x:v>
      </x:c>
      <x:c r="S2706" s="27" t="n">
        <x:v>1</x:v>
      </x:c>
    </x:row>
    <x:row r="2707" ht="21.600000381469727" hidden="0" customHeight="1">
      <x:c r="A2707" s="29" t="n">
        <x:v>901</x:v>
      </x:c>
      <x:c r="B2707" s="29" t="str">
        <x:v>A3</x:v>
      </x:c>
      <x:c r="C2707" s="48" t="n">
        <x:v>1.0234242954350152</x:v>
      </x:c>
      <x:c r="D2707" s="48" t="n">
        <x:v>0.9727736270649359</x:v>
      </x:c>
      <x:c r="E2707" s="48" t="n">
        <x:v>1.0940195631017982</x:v>
      </x:c>
      <x:c r="F2707" s="48" t="n">
        <x:v>-0.07394512731020703</x:v>
      </x:c>
      <x:c r="G2707" s="48" t="n">
        <x:v>-0.09946722257180841</x:v>
      </x:c>
      <x:c r="H2707" s="48" t="n">
        <x:v>0.7668752195901534</x:v>
      </x:c>
      <x:c r="I2707" s="48" t="n">
        <x:v>0.6095837339049798</x:v>
      </x:c>
      <x:c r="J2707" s="48" t="n">
        <x:v>0.7003093888051836</x:v>
      </x:c>
      <x:c r="K2707" s="48" t="n">
        <x:v>0.9231861247993245</x:v>
      </x:c>
      <x:c r="L2707" s="48" t="n">
        <x:v>0.8606352733361002</x:v>
      </x:c>
      <x:c r="M2707" s="48" t="n">
        <x:v>0.061525484319179646</x:v>
      </x:c>
      <x:c r="N2707" s="48" t="n">
        <x:v>0.9967823485488685</x:v>
      </x:c>
      <x:c r="O2707" s="48" t="n">
        <x:v>1</x:v>
      </x:c>
      <x:c r="P2707" s="48" t="n">
        <x:v>1</x:v>
      </x:c>
      <x:c r="Q2707" s="48" t="n">
        <x:v>1</x:v>
      </x:c>
      <x:c r="R2707" s="48" t="n">
        <x:v>1</x:v>
      </x:c>
      <x:c r="S2707" s="29" t="n">
        <x:v>1</x:v>
      </x:c>
    </x:row>
    <x:row r="2708" ht="21.600000381469727" hidden="0" customHeight="1">
      <x:c r="A2708" s="27" t="n">
        <x:v>902</x:v>
      </x:c>
      <x:c r="B2708" s="27" t="str">
        <x:v>A1</x:v>
      </x:c>
      <x:c r="C2708" s="47" t="n">
        <x:v>1.0673193182700338</x:v>
      </x:c>
      <x:c r="D2708" s="47" t="n">
        <x:v>0.7945931513857383</x:v>
      </x:c>
      <x:c r="E2708" s="47" t="n">
        <x:v>0.9841409148831903</x:v>
      </x:c>
      <x:c r="F2708" s="47" t="n">
        <x:v>0.025298882467194278</x:v>
      </x:c>
      <x:c r="G2708" s="47" t="n">
        <x:v>-0.10479076377395097</x:v>
      </x:c>
      <x:c r="H2708" s="47" t="n">
        <x:v>0.4623391858063186</x:v>
      </x:c>
      <x:c r="I2708" s="47" t="n">
        <x:v>0.7863549678690309</x:v>
      </x:c>
      <x:c r="J2708" s="47" t="n">
        <x:v>0.47593169343020936</x:v>
      </x:c>
      <x:c r="K2708" s="47" t="n">
        <x:v>0.5621524538134163</x:v>
      </x:c>
      <x:c r="L2708" s="47" t="n">
        <x:v>0.5784674734535253</x:v>
      </x:c>
      <x:c r="M2708" s="47" t="n">
        <x:v>0.02255902561705654</x:v>
      </x:c>
      <x:c r="N2708" s="47" t="n">
        <x:v>0.9995397618867419</x:v>
      </x:c>
      <x:c r="O2708" s="47" t="n">
        <x:v>0.8141674834055761</x:v>
      </x:c>
      <x:c r="P2708" s="47" t="n">
        <x:v>0.4951598809551153</x:v>
      </x:c>
      <x:c r="Q2708" s="47" t="n">
        <x:v>1</x:v>
      </x:c>
      <x:c r="R2708" s="47" t="n">
        <x:v>0.7705260096195082</x:v>
      </x:c>
      <x:c r="S2708" s="27" t="n">
        <x:v>0</x:v>
      </x:c>
    </x:row>
    <x:row r="2709" ht="21.600000381469727" hidden="0" customHeight="1">
      <x:c r="A2709" s="29" t="n">
        <x:v>902</x:v>
      </x:c>
      <x:c r="B2709" s="29" t="str">
        <x:v>A2</x:v>
      </x:c>
      <x:c r="C2709" s="48" t="n">
        <x:v>1.0673193182700338</x:v>
      </x:c>
      <x:c r="D2709" s="48" t="n">
        <x:v>0.7945931513857383</x:v>
      </x:c>
      <x:c r="E2709" s="48" t="n">
        <x:v>0.9841409148831903</x:v>
      </x:c>
      <x:c r="F2709" s="48" t="n">
        <x:v>0.025298882467194278</x:v>
      </x:c>
      <x:c r="G2709" s="48" t="n">
        <x:v>-0.10479076377395097</x:v>
      </x:c>
      <x:c r="H2709" s="48" t="n">
        <x:v>0.4623391858063186</x:v>
      </x:c>
      <x:c r="I2709" s="48" t="n">
        <x:v>0.7863549678690309</x:v>
      </x:c>
      <x:c r="J2709" s="48" t="n">
        <x:v>0.47593169343020936</x:v>
      </x:c>
      <x:c r="K2709" s="48" t="n">
        <x:v>0.5621524538134163</x:v>
      </x:c>
      <x:c r="L2709" s="48" t="n">
        <x:v>0.5784674734535253</x:v>
      </x:c>
      <x:c r="M2709" s="48" t="n">
        <x:v>0.02255902561705654</x:v>
      </x:c>
      <x:c r="N2709" s="48" t="n">
        <x:v>0.9995397618867419</x:v>
      </x:c>
      <x:c r="O2709" s="48" t="n">
        <x:v>0.8860894922350889</x:v>
      </x:c>
      <x:c r="P2709" s="48" t="n">
        <x:v>0.5878839108629644</x:v>
      </x:c>
      <x:c r="Q2709" s="48" t="n">
        <x:v>1</x:v>
      </x:c>
      <x:c r="R2709" s="48" t="n">
        <x:v>0.8593384019001845</x:v>
      </x:c>
      <x:c r="S2709" s="29" t="n">
        <x:v>0</x:v>
      </x:c>
    </x:row>
    <x:row r="2710" ht="21.600000381469727" hidden="0" customHeight="1">
      <x:c r="A2710" s="27" t="n">
        <x:v>902</x:v>
      </x:c>
      <x:c r="B2710" s="27" t="str">
        <x:v>A3</x:v>
      </x:c>
      <x:c r="C2710" s="47" t="n">
        <x:v>1.0673193182700338</x:v>
      </x:c>
      <x:c r="D2710" s="47" t="n">
        <x:v>0.7945931513857383</x:v>
      </x:c>
      <x:c r="E2710" s="47" t="n">
        <x:v>0.9841409148831903</x:v>
      </x:c>
      <x:c r="F2710" s="47" t="n">
        <x:v>0.025298882467194278</x:v>
      </x:c>
      <x:c r="G2710" s="47" t="n">
        <x:v>-0.10479076377395097</x:v>
      </x:c>
      <x:c r="H2710" s="47" t="n">
        <x:v>0.4623391858063186</x:v>
      </x:c>
      <x:c r="I2710" s="47" t="n">
        <x:v>0.7863549678690309</x:v>
      </x:c>
      <x:c r="J2710" s="47" t="n">
        <x:v>0.47593169343020936</x:v>
      </x:c>
      <x:c r="K2710" s="47" t="n">
        <x:v>0.5621524538134163</x:v>
      </x:c>
      <x:c r="L2710" s="47" t="n">
        <x:v>0.5784674734535253</x:v>
      </x:c>
      <x:c r="M2710" s="47" t="n">
        <x:v>0.02255902561705654</x:v>
      </x:c>
      <x:c r="N2710" s="47" t="n">
        <x:v>0.9995397618867419</x:v>
      </x:c>
      <x:c r="O2710" s="47" t="n">
        <x:v>1</x:v>
      </x:c>
      <x:c r="P2710" s="47" t="n">
        <x:v>1</x:v>
      </x:c>
      <x:c r="Q2710" s="47" t="n">
        <x:v>1</x:v>
      </x:c>
      <x:c r="R2710" s="47" t="n">
        <x:v>1</x:v>
      </x:c>
      <x:c r="S2710" s="27" t="n">
        <x:v>1</x:v>
      </x:c>
    </x:row>
    <x:row r="2711" ht="21.600000381469727" hidden="0" customHeight="1">
      <x:c r="A2711" s="29" t="n">
        <x:v>903</x:v>
      </x:c>
      <x:c r="B2711" s="29" t="str">
        <x:v>A1</x:v>
      </x:c>
      <x:c r="C2711" s="48" t="n">
        <x:v>1.0551433865520439</x:v>
      </x:c>
      <x:c r="D2711" s="48" t="n">
        <x:v>0.7627695457809631</x:v>
      </x:c>
      <x:c r="E2711" s="48" t="n">
        <x:v>0.6093640696069483</x:v>
      </x:c>
      <x:c r="F2711" s="48" t="n">
        <x:v>-0.018445636119651665</x:v>
      </x:c>
      <x:c r="G2711" s="48" t="n">
        <x:v>-0.1945305211403471</x:v>
      </x:c>
      <x:c r="H2711" s="48" t="n">
        <x:v>0.5126162478539698</x:v>
      </x:c>
      <x:c r="I2711" s="48" t="n">
        <x:v>0.6067782291533068</x:v>
      </x:c>
      <x:c r="J2711" s="48" t="n">
        <x:v>0.514987065262636</x:v>
      </x:c>
      <x:c r="K2711" s="48" t="n">
        <x:v>0.5667088249582942</x:v>
      </x:c>
      <x:c r="L2711" s="48" t="n">
        <x:v>0.8487673014056865</x:v>
      </x:c>
      <x:c r="M2711" s="48" t="n">
        <x:v>0.009127788579634078</x:v>
      </x:c>
      <x:c r="N2711" s="48" t="n">
        <x:v>0.8122613780413823</x:v>
      </x:c>
      <x:c r="O2711" s="48" t="n">
        <x:v>0.8144960409927984</x:v>
      </x:c>
      <x:c r="P2711" s="48" t="n">
        <x:v>0.5265298511799622</x:v>
      </x:c>
      <x:c r="Q2711" s="48" t="n">
        <x:v>1</x:v>
      </x:c>
      <x:c r="R2711" s="48" t="n">
        <x:v>0.7709317266704927</x:v>
      </x:c>
      <x:c r="S2711" s="29" t="n">
        <x:v>0</x:v>
      </x:c>
    </x:row>
    <x:row r="2712" ht="21.600000381469727" hidden="0" customHeight="1">
      <x:c r="A2712" s="27" t="n">
        <x:v>903</x:v>
      </x:c>
      <x:c r="B2712" s="27" t="str">
        <x:v>A2</x:v>
      </x:c>
      <x:c r="C2712" s="47" t="n">
        <x:v>1.0551433865520439</x:v>
      </x:c>
      <x:c r="D2712" s="47" t="n">
        <x:v>0.7627695457809631</x:v>
      </x:c>
      <x:c r="E2712" s="47" t="n">
        <x:v>0.6093640696069483</x:v>
      </x:c>
      <x:c r="F2712" s="47" t="n">
        <x:v>-0.018445636119651665</x:v>
      </x:c>
      <x:c r="G2712" s="47" t="n">
        <x:v>-0.1945305211403471</x:v>
      </x:c>
      <x:c r="H2712" s="47" t="n">
        <x:v>0.5126162478539698</x:v>
      </x:c>
      <x:c r="I2712" s="47" t="n">
        <x:v>0.6067782291533068</x:v>
      </x:c>
      <x:c r="J2712" s="47" t="n">
        <x:v>0.514987065262636</x:v>
      </x:c>
      <x:c r="K2712" s="47" t="n">
        <x:v>0.5667088249582942</x:v>
      </x:c>
      <x:c r="L2712" s="47" t="n">
        <x:v>0.8487673014056865</x:v>
      </x:c>
      <x:c r="M2712" s="47" t="n">
        <x:v>0.009127788579634078</x:v>
      </x:c>
      <x:c r="N2712" s="47" t="n">
        <x:v>0.8122613780413823</x:v>
      </x:c>
      <x:c r="O2712" s="47" t="n">
        <x:v>0.8935268175001756</x:v>
      </x:c>
      <x:c r="P2712" s="47" t="n">
        <x:v>0.5065653347270073</x:v>
      </x:c>
      <x:c r="Q2712" s="47" t="n">
        <x:v>1</x:v>
      </x:c>
      <x:c r="R2712" s="47" t="n">
        <x:v>0.8685223312663347</x:v>
      </x:c>
      <x:c r="S2712" s="27" t="n">
        <x:v>0</x:v>
      </x:c>
    </x:row>
    <x:row r="2713" ht="21.600000381469727" hidden="0" customHeight="1">
      <x:c r="A2713" s="29" t="n">
        <x:v>903</x:v>
      </x:c>
      <x:c r="B2713" s="29" t="str">
        <x:v>A3</x:v>
      </x:c>
      <x:c r="C2713" s="48" t="n">
        <x:v>1.0551433865520439</x:v>
      </x:c>
      <x:c r="D2713" s="48" t="n">
        <x:v>0.7627695457809631</x:v>
      </x:c>
      <x:c r="E2713" s="48" t="n">
        <x:v>0.6093640696069483</x:v>
      </x:c>
      <x:c r="F2713" s="48" t="n">
        <x:v>-0.018445636119651665</x:v>
      </x:c>
      <x:c r="G2713" s="48" t="n">
        <x:v>-0.1945305211403471</x:v>
      </x:c>
      <x:c r="H2713" s="48" t="n">
        <x:v>0.5126162478539698</x:v>
      </x:c>
      <x:c r="I2713" s="48" t="n">
        <x:v>0.6067782291533068</x:v>
      </x:c>
      <x:c r="J2713" s="48" t="n">
        <x:v>0.514987065262636</x:v>
      </x:c>
      <x:c r="K2713" s="48" t="n">
        <x:v>0.5667088249582942</x:v>
      </x:c>
      <x:c r="L2713" s="48" t="n">
        <x:v>0.8487673014056865</x:v>
      </x:c>
      <x:c r="M2713" s="48" t="n">
        <x:v>0.009127788579634078</x:v>
      </x:c>
      <x:c r="N2713" s="48" t="n">
        <x:v>0.8122613780413823</x:v>
      </x:c>
      <x:c r="O2713" s="48" t="n">
        <x:v>1</x:v>
      </x:c>
      <x:c r="P2713" s="48" t="n">
        <x:v>1</x:v>
      </x:c>
      <x:c r="Q2713" s="48" t="n">
        <x:v>1</x:v>
      </x:c>
      <x:c r="R2713" s="48" t="n">
        <x:v>1</x:v>
      </x:c>
      <x:c r="S2713" s="29" t="n">
        <x:v>1</x:v>
      </x:c>
    </x:row>
    <x:row r="2714" ht="21.600000381469727" hidden="0" customHeight="1">
      <x:c r="A2714" s="27" t="n">
        <x:v>904</x:v>
      </x:c>
      <x:c r="B2714" s="27" t="str">
        <x:v>A1</x:v>
      </x:c>
      <x:c r="C2714" s="47" t="n">
        <x:v>0.9340933991357203</x:v>
      </x:c>
      <x:c r="D2714" s="47" t="n">
        <x:v>0.9441880048111616</x:v>
      </x:c>
      <x:c r="E2714" s="47" t="n">
        <x:v>0.9565617949621579</x:v>
      </x:c>
      <x:c r="F2714" s="47" t="n">
        <x:v>-0.060887109095504655</x:v>
      </x:c>
      <x:c r="G2714" s="47" t="n">
        <x:v>-0.0881688369863431</x:v>
      </x:c>
      <x:c r="H2714" s="47" t="n">
        <x:v>1.0802826087264885</x:v>
      </x:c>
      <x:c r="I2714" s="47" t="n">
        <x:v>0.7397549484371195</x:v>
      </x:c>
      <x:c r="J2714" s="47" t="n">
        <x:v>0.8304507680383191</x:v>
      </x:c>
      <x:c r="K2714" s="47" t="n">
        <x:v>0.5961244324634151</x:v>
      </x:c>
      <x:c r="L2714" s="47" t="n">
        <x:v>0.5175867752485219</x:v>
      </x:c>
      <x:c r="M2714" s="47" t="n">
        <x:v>0.026295851570635683</x:v>
      </x:c>
      <x:c r="N2714" s="47" t="n">
        <x:v>0.6665297479755825</x:v>
      </x:c>
      <x:c r="O2714" s="47" t="n">
        <x:v>0.9507138028484249</x:v>
      </x:c>
      <x:c r="P2714" s="47" t="n">
        <x:v>0.7220632848949251</x:v>
      </x:c>
      <x:c r="Q2714" s="47" t="n">
        <x:v>1</x:v>
      </x:c>
      <x:c r="R2714" s="47" t="n">
        <x:v>0.9391392823047472</x:v>
      </x:c>
      <x:c r="S2714" s="27" t="n">
        <x:v>0</x:v>
      </x:c>
    </x:row>
    <x:row r="2715" ht="21.600000381469727" hidden="0" customHeight="1">
      <x:c r="A2715" s="29" t="n">
        <x:v>904</x:v>
      </x:c>
      <x:c r="B2715" s="29" t="str">
        <x:v>A2</x:v>
      </x:c>
      <x:c r="C2715" s="48" t="n">
        <x:v>0.9340933991357203</x:v>
      </x:c>
      <x:c r="D2715" s="48" t="n">
        <x:v>0.9441880048111616</x:v>
      </x:c>
      <x:c r="E2715" s="48" t="n">
        <x:v>0.9565617949621579</x:v>
      </x:c>
      <x:c r="F2715" s="48" t="n">
        <x:v>-0.060887109095504655</x:v>
      </x:c>
      <x:c r="G2715" s="48" t="n">
        <x:v>-0.0881688369863431</x:v>
      </x:c>
      <x:c r="H2715" s="48" t="n">
        <x:v>1.0802826087264885</x:v>
      </x:c>
      <x:c r="I2715" s="48" t="n">
        <x:v>0.7397549484371195</x:v>
      </x:c>
      <x:c r="J2715" s="48" t="n">
        <x:v>0.8304507680383191</x:v>
      </x:c>
      <x:c r="K2715" s="48" t="n">
        <x:v>0.5961244324634151</x:v>
      </x:c>
      <x:c r="L2715" s="48" t="n">
        <x:v>0.5175867752485219</x:v>
      </x:c>
      <x:c r="M2715" s="48" t="n">
        <x:v>0.026295851570635683</x:v>
      </x:c>
      <x:c r="N2715" s="48" t="n">
        <x:v>0.6665297479755825</x:v>
      </x:c>
      <x:c r="O2715" s="48" t="n">
        <x:v>0.9885743124717823</x:v>
      </x:c>
      <x:c r="P2715" s="48" t="n">
        <x:v>0.8857431247178211</x:v>
      </x:c>
      <x:c r="Q2715" s="48" t="n">
        <x:v>1</x:v>
      </x:c>
      <x:c r="R2715" s="48" t="n">
        <x:v>0.9858910692380978</x:v>
      </x:c>
      <x:c r="S2715" s="29" t="n">
        <x:v>0</x:v>
      </x:c>
    </x:row>
    <x:row r="2716" ht="21.600000381469727" hidden="0" customHeight="1">
      <x:c r="A2716" s="27" t="n">
        <x:v>904</x:v>
      </x:c>
      <x:c r="B2716" s="27" t="str">
        <x:v>A3</x:v>
      </x:c>
      <x:c r="C2716" s="47" t="n">
        <x:v>0.9340933991357203</x:v>
      </x:c>
      <x:c r="D2716" s="47" t="n">
        <x:v>0.9441880048111616</x:v>
      </x:c>
      <x:c r="E2716" s="47" t="n">
        <x:v>0.9565617949621579</x:v>
      </x:c>
      <x:c r="F2716" s="47" t="n">
        <x:v>-0.060887109095504655</x:v>
      </x:c>
      <x:c r="G2716" s="47" t="n">
        <x:v>-0.0881688369863431</x:v>
      </x:c>
      <x:c r="H2716" s="47" t="n">
        <x:v>1.0802826087264885</x:v>
      </x:c>
      <x:c r="I2716" s="47" t="n">
        <x:v>0.7397549484371195</x:v>
      </x:c>
      <x:c r="J2716" s="47" t="n">
        <x:v>0.8304507680383191</x:v>
      </x:c>
      <x:c r="K2716" s="47" t="n">
        <x:v>0.5961244324634151</x:v>
      </x:c>
      <x:c r="L2716" s="47" t="n">
        <x:v>0.5175867752485219</x:v>
      </x:c>
      <x:c r="M2716" s="47" t="n">
        <x:v>0.026295851570635683</x:v>
      </x:c>
      <x:c r="N2716" s="47" t="n">
        <x:v>0.6665297479755825</x:v>
      </x:c>
      <x:c r="O2716" s="47" t="n">
        <x:v>1</x:v>
      </x:c>
      <x:c r="P2716" s="47" t="n">
        <x:v>1</x:v>
      </x:c>
      <x:c r="Q2716" s="47" t="n">
        <x:v>1</x:v>
      </x:c>
      <x:c r="R2716" s="47" t="n">
        <x:v>1</x:v>
      </x:c>
      <x:c r="S2716" s="27" t="n">
        <x:v>1</x:v>
      </x:c>
    </x:row>
    <x:row r="2717" ht="21.600000381469727" hidden="0" customHeight="1">
      <x:c r="A2717" s="29" t="n">
        <x:v>905</x:v>
      </x:c>
      <x:c r="B2717" s="29" t="str">
        <x:v>A1</x:v>
      </x:c>
      <x:c r="C2717" s="48" t="n">
        <x:v>1.1777920435554001</x:v>
      </x:c>
      <x:c r="D2717" s="48" t="n">
        <x:v>0.9969756641931229</x:v>
      </x:c>
      <x:c r="E2717" s="48" t="n">
        <x:v>0.653731324381639</x:v>
      </x:c>
      <x:c r="F2717" s="48" t="n">
        <x:v>-0.1535901990013892</x:v>
      </x:c>
      <x:c r="G2717" s="48" t="n">
        <x:v>-0.15972159874814892</x:v>
      </x:c>
      <x:c r="H2717" s="48" t="n">
        <x:v>0.5560830502126106</x:v>
      </x:c>
      <x:c r="I2717" s="48" t="n">
        <x:v>0.9143438009227098</x:v>
      </x:c>
      <x:c r="J2717" s="48" t="n">
        <x:v>0.7222483851122572</x:v>
      </x:c>
      <x:c r="K2717" s="48" t="n">
        <x:v>0.9972979311549575</x:v>
      </x:c>
      <x:c r="L2717" s="48" t="n">
        <x:v>0.947045034518007</x:v>
      </x:c>
      <x:c r="M2717" s="48" t="n">
        <x:v>0.07085160069722601</x:v>
      </x:c>
      <x:c r="N2717" s="48" t="n">
        <x:v>0.8036489242541061</x:v>
      </x:c>
      <x:c r="O2717" s="48" t="n">
        <x:v>0.9135818043125697</x:v>
      </x:c>
      <x:c r="P2717" s="48" t="n">
        <x:v>0.6902049003227945</x:v>
      </x:c>
      <x:c r="Q2717" s="48" t="n">
        <x:v>1</x:v>
      </x:c>
      <x:c r="R2717" s="48" t="n">
        <x:v>0.8932870922199423</x:v>
      </x:c>
      <x:c r="S2717" s="29" t="n">
        <x:v>0</x:v>
      </x:c>
    </x:row>
    <x:row r="2718" ht="21.600000381469727" hidden="0" customHeight="1">
      <x:c r="A2718" s="27" t="n">
        <x:v>905</x:v>
      </x:c>
      <x:c r="B2718" s="27" t="str">
        <x:v>A2</x:v>
      </x:c>
      <x:c r="C2718" s="47" t="n">
        <x:v>1.1777920435554001</x:v>
      </x:c>
      <x:c r="D2718" s="47" t="n">
        <x:v>0.9969756641931229</x:v>
      </x:c>
      <x:c r="E2718" s="47" t="n">
        <x:v>0.653731324381639</x:v>
      </x:c>
      <x:c r="F2718" s="47" t="n">
        <x:v>-0.1535901990013892</x:v>
      </x:c>
      <x:c r="G2718" s="47" t="n">
        <x:v>-0.15972159874814892</x:v>
      </x:c>
      <x:c r="H2718" s="47" t="n">
        <x:v>0.5560830502126106</x:v>
      </x:c>
      <x:c r="I2718" s="47" t="n">
        <x:v>0.9143438009227098</x:v>
      </x:c>
      <x:c r="J2718" s="47" t="n">
        <x:v>0.7222483851122572</x:v>
      </x:c>
      <x:c r="K2718" s="47" t="n">
        <x:v>0.9972979311549575</x:v>
      </x:c>
      <x:c r="L2718" s="47" t="n">
        <x:v>0.947045034518007</x:v>
      </x:c>
      <x:c r="M2718" s="47" t="n">
        <x:v>0.07085160069722601</x:v>
      </x:c>
      <x:c r="N2718" s="47" t="n">
        <x:v>0.8036489242541061</x:v>
      </x:c>
      <x:c r="O2718" s="47" t="n">
        <x:v>0.992680644752663</x:v>
      </x:c>
      <x:c r="P2718" s="47" t="n">
        <x:v>0.92680644752663</x:v>
      </x:c>
      <x:c r="Q2718" s="47" t="n">
        <x:v>1</x:v>
      </x:c>
      <x:c r="R2718" s="47" t="n">
        <x:v>0.9909617450896148</x:v>
      </x:c>
      <x:c r="S2718" s="27" t="n">
        <x:v>0</x:v>
      </x:c>
    </x:row>
    <x:row r="2719" ht="21.600000381469727" hidden="0" customHeight="1">
      <x:c r="A2719" s="29" t="n">
        <x:v>905</x:v>
      </x:c>
      <x:c r="B2719" s="29" t="str">
        <x:v>A3</x:v>
      </x:c>
      <x:c r="C2719" s="48" t="n">
        <x:v>1.1777920435554001</x:v>
      </x:c>
      <x:c r="D2719" s="48" t="n">
        <x:v>0.9969756641931229</x:v>
      </x:c>
      <x:c r="E2719" s="48" t="n">
        <x:v>0.653731324381639</x:v>
      </x:c>
      <x:c r="F2719" s="48" t="n">
        <x:v>-0.1535901990013892</x:v>
      </x:c>
      <x:c r="G2719" s="48" t="n">
        <x:v>-0.15972159874814892</x:v>
      </x:c>
      <x:c r="H2719" s="48" t="n">
        <x:v>0.5560830502126106</x:v>
      </x:c>
      <x:c r="I2719" s="48" t="n">
        <x:v>0.9143438009227098</x:v>
      </x:c>
      <x:c r="J2719" s="48" t="n">
        <x:v>0.7222483851122572</x:v>
      </x:c>
      <x:c r="K2719" s="48" t="n">
        <x:v>0.9972979311549575</x:v>
      </x:c>
      <x:c r="L2719" s="48" t="n">
        <x:v>0.947045034518007</x:v>
      </x:c>
      <x:c r="M2719" s="48" t="n">
        <x:v>0.07085160069722601</x:v>
      </x:c>
      <x:c r="N2719" s="48" t="n">
        <x:v>0.8036489242541061</x:v>
      </x:c>
      <x:c r="O2719" s="48" t="n">
        <x:v>1</x:v>
      </x:c>
      <x:c r="P2719" s="48" t="n">
        <x:v>1</x:v>
      </x:c>
      <x:c r="Q2719" s="48" t="n">
        <x:v>1</x:v>
      </x:c>
      <x:c r="R2719" s="48" t="n">
        <x:v>1</x:v>
      </x:c>
      <x:c r="S2719" s="29" t="n">
        <x:v>1</x:v>
      </x:c>
    </x:row>
    <x:row r="2720" ht="21.600000381469727" hidden="0" customHeight="1">
      <x:c r="A2720" s="27" t="n">
        <x:v>906</x:v>
      </x:c>
      <x:c r="B2720" s="27" t="str">
        <x:v>A1</x:v>
      </x:c>
      <x:c r="C2720" s="47" t="n">
        <x:v>1.0169119624346468</x:v>
      </x:c>
      <x:c r="D2720" s="47" t="n">
        <x:v>0.7461744791202443</x:v>
      </x:c>
      <x:c r="E2720" s="47" t="n">
        <x:v>0.6171890070277188</x:v>
      </x:c>
      <x:c r="F2720" s="47" t="n">
        <x:v>-0.1886191945007839</x:v>
      </x:c>
      <x:c r="G2720" s="47" t="n">
        <x:v>-0.03781695400597515</x:v>
      </x:c>
      <x:c r="H2720" s="47" t="n">
        <x:v>0.34346786345748326</x:v>
      </x:c>
      <x:c r="I2720" s="47" t="n">
        <x:v>0.7054053948080409</x:v>
      </x:c>
      <x:c r="J2720" s="47" t="n">
        <x:v>0.559899411675285</x:v>
      </x:c>
      <x:c r="K2720" s="47" t="n">
        <x:v>0.8928488347285175</x:v>
      </x:c>
      <x:c r="L2720" s="47" t="n">
        <x:v>0.7960399695411746</x:v>
      </x:c>
      <x:c r="M2720" s="47" t="n">
        <x:v>0.10246158930406332</x:v>
      </x:c>
      <x:c r="N2720" s="47" t="n">
        <x:v>0.9303369066389688</x:v>
      </x:c>
      <x:c r="O2720" s="47" t="n">
        <x:v>0.8466451216222616</x:v>
      </x:c>
      <x:c r="P2720" s="47" t="n">
        <x:v>0.6279010000986284</x:v>
      </x:c>
      <x:c r="Q2720" s="47" t="n">
        <x:v>1</x:v>
      </x:c>
      <x:c r="R2720" s="47" t="n">
        <x:v>0.81063079524205</x:v>
      </x:c>
      <x:c r="S2720" s="27" t="n">
        <x:v>0</x:v>
      </x:c>
    </x:row>
    <x:row r="2721" ht="21.600000381469727" hidden="0" customHeight="1">
      <x:c r="A2721" s="29" t="n">
        <x:v>906</x:v>
      </x:c>
      <x:c r="B2721" s="29" t="str">
        <x:v>A2</x:v>
      </x:c>
      <x:c r="C2721" s="48" t="n">
        <x:v>1.0169119624346468</x:v>
      </x:c>
      <x:c r="D2721" s="48" t="n">
        <x:v>0.7461744791202443</x:v>
      </x:c>
      <x:c r="E2721" s="48" t="n">
        <x:v>0.6171890070277188</x:v>
      </x:c>
      <x:c r="F2721" s="48" t="n">
        <x:v>-0.1886191945007839</x:v>
      </x:c>
      <x:c r="G2721" s="48" t="n">
        <x:v>-0.03781695400597515</x:v>
      </x:c>
      <x:c r="H2721" s="48" t="n">
        <x:v>0.34346786345748326</x:v>
      </x:c>
      <x:c r="I2721" s="48" t="n">
        <x:v>0.7054053948080409</x:v>
      </x:c>
      <x:c r="J2721" s="48" t="n">
        <x:v>0.559899411675285</x:v>
      </x:c>
      <x:c r="K2721" s="48" t="n">
        <x:v>0.8928488347285175</x:v>
      </x:c>
      <x:c r="L2721" s="48" t="n">
        <x:v>0.7960399695411746</x:v>
      </x:c>
      <x:c r="M2721" s="48" t="n">
        <x:v>0.10246158930406332</x:v>
      </x:c>
      <x:c r="N2721" s="48" t="n">
        <x:v>0.9303369066389688</x:v>
      </x:c>
      <x:c r="O2721" s="48" t="n">
        <x:v>0.9391293370602822</x:v>
      </x:c>
      <x:c r="P2721" s="48" t="n">
        <x:v>0.6950912634624529</x:v>
      </x:c>
      <x:c r="Q2721" s="48" t="n">
        <x:v>1</x:v>
      </x:c>
      <x:c r="R2721" s="48" t="n">
        <x:v>0.9248342853131114</x:v>
      </x:c>
      <x:c r="S2721" s="29" t="n">
        <x:v>0</x:v>
      </x:c>
    </x:row>
    <x:row r="2722" ht="21.600000381469727" hidden="0" customHeight="1">
      <x:c r="A2722" s="27" t="n">
        <x:v>906</x:v>
      </x:c>
      <x:c r="B2722" s="27" t="str">
        <x:v>A3</x:v>
      </x:c>
      <x:c r="C2722" s="47" t="n">
        <x:v>1.0169119624346468</x:v>
      </x:c>
      <x:c r="D2722" s="47" t="n">
        <x:v>0.7461744791202443</x:v>
      </x:c>
      <x:c r="E2722" s="47" t="n">
        <x:v>0.6171890070277188</x:v>
      </x:c>
      <x:c r="F2722" s="47" t="n">
        <x:v>-0.1886191945007839</x:v>
      </x:c>
      <x:c r="G2722" s="47" t="n">
        <x:v>-0.03781695400597515</x:v>
      </x:c>
      <x:c r="H2722" s="47" t="n">
        <x:v>0.34346786345748326</x:v>
      </x:c>
      <x:c r="I2722" s="47" t="n">
        <x:v>0.7054053948080409</x:v>
      </x:c>
      <x:c r="J2722" s="47" t="n">
        <x:v>0.559899411675285</x:v>
      </x:c>
      <x:c r="K2722" s="47" t="n">
        <x:v>0.8928488347285175</x:v>
      </x:c>
      <x:c r="L2722" s="47" t="n">
        <x:v>0.7960399695411746</x:v>
      </x:c>
      <x:c r="M2722" s="47" t="n">
        <x:v>0.10246158930406332</x:v>
      </x:c>
      <x:c r="N2722" s="47" t="n">
        <x:v>0.9303369066389688</x:v>
      </x:c>
      <x:c r="O2722" s="47" t="n">
        <x:v>1</x:v>
      </x:c>
      <x:c r="P2722" s="47" t="n">
        <x:v>1</x:v>
      </x:c>
      <x:c r="Q2722" s="47" t="n">
        <x:v>1</x:v>
      </x:c>
      <x:c r="R2722" s="47" t="n">
        <x:v>1</x:v>
      </x:c>
      <x:c r="S2722" s="27" t="n">
        <x:v>1</x:v>
      </x:c>
    </x:row>
    <x:row r="2723" ht="21.600000381469727" hidden="0" customHeight="1">
      <x:c r="A2723" s="29" t="n">
        <x:v>907</x:v>
      </x:c>
      <x:c r="B2723" s="29" t="str">
        <x:v>A1</x:v>
      </x:c>
      <x:c r="C2723" s="48" t="n">
        <x:v>1.0350303403394263</x:v>
      </x:c>
      <x:c r="D2723" s="48" t="n">
        <x:v>0.9264594016954976</x:v>
      </x:c>
      <x:c r="E2723" s="48" t="n">
        <x:v>1.0297259443932536</x:v>
      </x:c>
      <x:c r="F2723" s="48" t="n">
        <x:v>-0.09388991192950388</x:v>
      </x:c>
      <x:c r="G2723" s="48" t="n">
        <x:v>0.01908800794086768</x:v>
      </x:c>
      <x:c r="H2723" s="48" t="n">
        <x:v>0.8069577121304068</x:v>
      </x:c>
      <x:c r="I2723" s="48" t="n">
        <x:v>0.9521847582412797</x:v>
      </x:c>
      <x:c r="J2723" s="48" t="n">
        <x:v>0.41252782688662326</x:v>
      </x:c>
      <x:c r="K2723" s="48" t="n">
        <x:v>0.7522303627136531</x:v>
      </x:c>
      <x:c r="L2723" s="48" t="n">
        <x:v>0.9774552299998405</x:v>
      </x:c>
      <x:c r="M2723" s="48" t="n">
        <x:v>0.0805907960818394</x:v>
      </x:c>
      <x:c r="N2723" s="48" t="n">
        <x:v>0.7844172449471841</x:v>
      </x:c>
      <x:c r="O2723" s="48" t="n">
        <x:v>0.8706560685949308</x:v>
      </x:c>
      <x:c r="P2723" s="48" t="n">
        <x:v>0.6065412861344989</x:v>
      </x:c>
      <x:c r="Q2723" s="48" t="n">
        <x:v>1</x:v>
      </x:c>
      <x:c r="R2723" s="48" t="n">
        <x:v>0.8402805460801018</x:v>
      </x:c>
      <x:c r="S2723" s="29" t="n">
        <x:v>0</x:v>
      </x:c>
    </x:row>
    <x:row r="2724" ht="21.600000381469727" hidden="0" customHeight="1">
      <x:c r="A2724" s="27" t="n">
        <x:v>907</x:v>
      </x:c>
      <x:c r="B2724" s="27" t="str">
        <x:v>A2</x:v>
      </x:c>
      <x:c r="C2724" s="47" t="n">
        <x:v>1.0350303403394263</x:v>
      </x:c>
      <x:c r="D2724" s="47" t="n">
        <x:v>0.9264594016954976</x:v>
      </x:c>
      <x:c r="E2724" s="47" t="n">
        <x:v>1.0297259443932536</x:v>
      </x:c>
      <x:c r="F2724" s="47" t="n">
        <x:v>-0.09388991192950388</x:v>
      </x:c>
      <x:c r="G2724" s="47" t="n">
        <x:v>0.01908800794086768</x:v>
      </x:c>
      <x:c r="H2724" s="47" t="n">
        <x:v>0.8069577121304068</x:v>
      </x:c>
      <x:c r="I2724" s="47" t="n">
        <x:v>0.9521847582412797</x:v>
      </x:c>
      <x:c r="J2724" s="47" t="n">
        <x:v>0.41252782688662326</x:v>
      </x:c>
      <x:c r="K2724" s="47" t="n">
        <x:v>0.7522303627136531</x:v>
      </x:c>
      <x:c r="L2724" s="47" t="n">
        <x:v>0.9774552299998405</x:v>
      </x:c>
      <x:c r="M2724" s="47" t="n">
        <x:v>0.0805907960818394</x:v>
      </x:c>
      <x:c r="N2724" s="47" t="n">
        <x:v>0.7844172449471841</x:v>
      </x:c>
      <x:c r="O2724" s="47" t="n">
        <x:v>0.9677383873944736</x:v>
      </x:c>
      <x:c r="P2724" s="47" t="n">
        <x:v>0.8320667831153821</x:v>
      </x:c>
      <x:c r="Q2724" s="47" t="n">
        <x:v>1</x:v>
      </x:c>
      <x:c r="R2724" s="47" t="n">
        <x:v>0.9601619721006251</x:v>
      </x:c>
      <x:c r="S2724" s="27" t="n">
        <x:v>0</x:v>
      </x:c>
    </x:row>
    <x:row r="2725" ht="21.600000381469727" hidden="0" customHeight="1">
      <x:c r="A2725" s="29" t="n">
        <x:v>907</x:v>
      </x:c>
      <x:c r="B2725" s="29" t="str">
        <x:v>A3</x:v>
      </x:c>
      <x:c r="C2725" s="48" t="n">
        <x:v>1.0350303403394263</x:v>
      </x:c>
      <x:c r="D2725" s="48" t="n">
        <x:v>0.9264594016954976</x:v>
      </x:c>
      <x:c r="E2725" s="48" t="n">
        <x:v>1.0297259443932536</x:v>
      </x:c>
      <x:c r="F2725" s="48" t="n">
        <x:v>-0.09388991192950388</x:v>
      </x:c>
      <x:c r="G2725" s="48" t="n">
        <x:v>0.01908800794086768</x:v>
      </x:c>
      <x:c r="H2725" s="48" t="n">
        <x:v>0.8069577121304068</x:v>
      </x:c>
      <x:c r="I2725" s="48" t="n">
        <x:v>0.9521847582412797</x:v>
      </x:c>
      <x:c r="J2725" s="48" t="n">
        <x:v>0.41252782688662326</x:v>
      </x:c>
      <x:c r="K2725" s="48" t="n">
        <x:v>0.7522303627136531</x:v>
      </x:c>
      <x:c r="L2725" s="48" t="n">
        <x:v>0.9774552299998405</x:v>
      </x:c>
      <x:c r="M2725" s="48" t="n">
        <x:v>0.0805907960818394</x:v>
      </x:c>
      <x:c r="N2725" s="48" t="n">
        <x:v>0.7844172449471841</x:v>
      </x:c>
      <x:c r="O2725" s="48" t="n">
        <x:v>1</x:v>
      </x:c>
      <x:c r="P2725" s="48" t="n">
        <x:v>1</x:v>
      </x:c>
      <x:c r="Q2725" s="48" t="n">
        <x:v>1</x:v>
      </x:c>
      <x:c r="R2725" s="48" t="n">
        <x:v>1</x:v>
      </x:c>
      <x:c r="S2725" s="29" t="n">
        <x:v>1</x:v>
      </x:c>
    </x:row>
    <x:row r="2726" ht="21.600000381469727" hidden="0" customHeight="1">
      <x:c r="A2726" s="27" t="n">
        <x:v>908</x:v>
      </x:c>
      <x:c r="B2726" s="27" t="str">
        <x:v>A1</x:v>
      </x:c>
      <x:c r="C2726" s="47" t="n">
        <x:v>1.2595851663220743</x:v>
      </x:c>
      <x:c r="D2726" s="47" t="n">
        <x:v>0.8449426843584679</x:v>
      </x:c>
      <x:c r="E2726" s="47" t="n">
        <x:v>0.6297435819691747</x:v>
      </x:c>
      <x:c r="F2726" s="47" t="n">
        <x:v>0.029503774058297377</x:v>
      </x:c>
      <x:c r="G2726" s="47" t="n">
        <x:v>-0.11763087382590062</x:v>
      </x:c>
      <x:c r="H2726" s="47" t="n">
        <x:v>0.48159528375096156</x:v>
      </x:c>
      <x:c r="I2726" s="47" t="n">
        <x:v>0.9137174132786943</x:v>
      </x:c>
      <x:c r="J2726" s="47" t="n">
        <x:v>0.5277517578625839</x:v>
      </x:c>
      <x:c r="K2726" s="47" t="n">
        <x:v>0.707415174149528</x:v>
      </x:c>
      <x:c r="L2726" s="47" t="n">
        <x:v>0.9475361638443776</x:v>
      </x:c>
      <x:c r="M2726" s="47" t="n">
        <x:v>0.005338219982212677</x:v>
      </x:c>
      <x:c r="N2726" s="47" t="n">
        <x:v>0.9137510099477344</x:v>
      </x:c>
      <x:c r="O2726" s="47" t="n">
        <x:v>0.8081458027890684</x:v>
      </x:c>
      <x:c r="P2726" s="47" t="n">
        <x:v>0.526016061281731</x:v>
      </x:c>
      <x:c r="Q2726" s="47" t="n">
        <x:v>1</x:v>
      </x:c>
      <x:c r="R2726" s="47" t="n">
        <x:v>0.7630901791997835</x:v>
      </x:c>
      <x:c r="S2726" s="27" t="n">
        <x:v>0</x:v>
      </x:c>
    </x:row>
    <x:row r="2727" ht="21.600000381469727" hidden="0" customHeight="1">
      <x:c r="A2727" s="29" t="n">
        <x:v>908</x:v>
      </x:c>
      <x:c r="B2727" s="29" t="str">
        <x:v>A2</x:v>
      </x:c>
      <x:c r="C2727" s="48" t="n">
        <x:v>1.2595851663220743</x:v>
      </x:c>
      <x:c r="D2727" s="48" t="n">
        <x:v>0.8449426843584679</x:v>
      </x:c>
      <x:c r="E2727" s="48" t="n">
        <x:v>0.6297435819691747</x:v>
      </x:c>
      <x:c r="F2727" s="48" t="n">
        <x:v>0.029503774058297377</x:v>
      </x:c>
      <x:c r="G2727" s="48" t="n">
        <x:v>-0.11763087382590062</x:v>
      </x:c>
      <x:c r="H2727" s="48" t="n">
        <x:v>0.48159528375096156</x:v>
      </x:c>
      <x:c r="I2727" s="48" t="n">
        <x:v>0.9137174132786943</x:v>
      </x:c>
      <x:c r="J2727" s="48" t="n">
        <x:v>0.5277517578625839</x:v>
      </x:c>
      <x:c r="K2727" s="48" t="n">
        <x:v>0.707415174149528</x:v>
      </x:c>
      <x:c r="L2727" s="48" t="n">
        <x:v>0.9475361638443776</x:v>
      </x:c>
      <x:c r="M2727" s="48" t="n">
        <x:v>0.005338219982212677</x:v>
      </x:c>
      <x:c r="N2727" s="48" t="n">
        <x:v>0.9137510099477344</x:v>
      </x:c>
      <x:c r="O2727" s="48" t="n">
        <x:v>0.8897416138434447</x:v>
      </x:c>
      <x:c r="P2727" s="48" t="n">
        <x:v>0.6319943107951232</x:v>
      </x:c>
      <x:c r="Q2727" s="48" t="n">
        <x:v>1</x:v>
      </x:c>
      <x:c r="R2727" s="48" t="n">
        <x:v>0.8638481988624317</x:v>
      </x:c>
      <x:c r="S2727" s="29" t="n">
        <x:v>0</x:v>
      </x:c>
    </x:row>
    <x:row r="2728" ht="21.600000381469727" hidden="0" customHeight="1">
      <x:c r="A2728" s="27" t="n">
        <x:v>908</x:v>
      </x:c>
      <x:c r="B2728" s="27" t="str">
        <x:v>A3</x:v>
      </x:c>
      <x:c r="C2728" s="47" t="n">
        <x:v>1.2595851663220743</x:v>
      </x:c>
      <x:c r="D2728" s="47" t="n">
        <x:v>0.8449426843584679</x:v>
      </x:c>
      <x:c r="E2728" s="47" t="n">
        <x:v>0.6297435819691747</x:v>
      </x:c>
      <x:c r="F2728" s="47" t="n">
        <x:v>0.029503774058297377</x:v>
      </x:c>
      <x:c r="G2728" s="47" t="n">
        <x:v>-0.11763087382590062</x:v>
      </x:c>
      <x:c r="H2728" s="47" t="n">
        <x:v>0.48159528375096156</x:v>
      </x:c>
      <x:c r="I2728" s="47" t="n">
        <x:v>0.9137174132786943</x:v>
      </x:c>
      <x:c r="J2728" s="47" t="n">
        <x:v>0.5277517578625839</x:v>
      </x:c>
      <x:c r="K2728" s="47" t="n">
        <x:v>0.707415174149528</x:v>
      </x:c>
      <x:c r="L2728" s="47" t="n">
        <x:v>0.9475361638443776</x:v>
      </x:c>
      <x:c r="M2728" s="47" t="n">
        <x:v>0.005338219982212677</x:v>
      </x:c>
      <x:c r="N2728" s="47" t="n">
        <x:v>0.9137510099477344</x:v>
      </x:c>
      <x:c r="O2728" s="47" t="n">
        <x:v>1</x:v>
      </x:c>
      <x:c r="P2728" s="47" t="n">
        <x:v>1</x:v>
      </x:c>
      <x:c r="Q2728" s="47" t="n">
        <x:v>1</x:v>
      </x:c>
      <x:c r="R2728" s="47" t="n">
        <x:v>1</x:v>
      </x:c>
      <x:c r="S2728" s="27" t="n">
        <x:v>1</x:v>
      </x:c>
    </x:row>
    <x:row r="2729" ht="21.600000381469727" hidden="0" customHeight="1">
      <x:c r="A2729" s="29" t="n">
        <x:v>909</x:v>
      </x:c>
      <x:c r="B2729" s="29" t="str">
        <x:v>A1</x:v>
      </x:c>
      <x:c r="C2729" s="48" t="n">
        <x:v>0.9456978507561808</x:v>
      </x:c>
      <x:c r="D2729" s="48" t="n">
        <x:v>0.7780714688871226</x:v>
      </x:c>
      <x:c r="E2729" s="48" t="n">
        <x:v>0.4586462214296726</x:v>
      </x:c>
      <x:c r="F2729" s="48" t="n">
        <x:v>-0.10674351354255257</x:v>
      </x:c>
      <x:c r="G2729" s="48" t="n">
        <x:v>-0.13029342267944152</x:v>
      </x:c>
      <x:c r="H2729" s="48" t="n">
        <x:v>0.5518122157172751</x:v>
      </x:c>
      <x:c r="I2729" s="48" t="n">
        <x:v>0.9160065810973561</x:v>
      </x:c>
      <x:c r="J2729" s="48" t="n">
        <x:v>0.4630010894182825</x:v>
      </x:c>
      <x:c r="K2729" s="48" t="n">
        <x:v>0.6452999151842496</x:v>
      </x:c>
      <x:c r="L2729" s="48" t="n">
        <x:v>0.5503522287746321</x:v>
      </x:c>
      <x:c r="M2729" s="48" t="n">
        <x:v>0.09833309357089805</x:v>
      </x:c>
      <x:c r="N2729" s="48" t="n">
        <x:v>0.7047641835850378</x:v>
      </x:c>
      <x:c r="O2729" s="48" t="n">
        <x:v>0.8294078525294323</x:v>
      </x:c>
      <x:c r="P2729" s="48" t="n">
        <x:v>0.6451518006708884</x:v>
      </x:c>
      <x:c r="Q2729" s="48" t="n">
        <x:v>1</x:v>
      </x:c>
      <x:c r="R2729" s="48" t="n">
        <x:v>0.7893454734131116</x:v>
      </x:c>
      <x:c r="S2729" s="29" t="n">
        <x:v>0</x:v>
      </x:c>
    </x:row>
    <x:row r="2730" ht="21.600000381469727" hidden="0" customHeight="1">
      <x:c r="A2730" s="27" t="n">
        <x:v>909</x:v>
      </x:c>
      <x:c r="B2730" s="27" t="str">
        <x:v>A2</x:v>
      </x:c>
      <x:c r="C2730" s="47" t="n">
        <x:v>0.9456978507561808</x:v>
      </x:c>
      <x:c r="D2730" s="47" t="n">
        <x:v>0.7780714688871226</x:v>
      </x:c>
      <x:c r="E2730" s="47" t="n">
        <x:v>0.4586462214296726</x:v>
      </x:c>
      <x:c r="F2730" s="47" t="n">
        <x:v>-0.10674351354255257</x:v>
      </x:c>
      <x:c r="G2730" s="47" t="n">
        <x:v>-0.13029342267944152</x:v>
      </x:c>
      <x:c r="H2730" s="47" t="n">
        <x:v>0.5518122157172751</x:v>
      </x:c>
      <x:c r="I2730" s="47" t="n">
        <x:v>0.9160065810973561</x:v>
      </x:c>
      <x:c r="J2730" s="47" t="n">
        <x:v>0.4630010894182825</x:v>
      </x:c>
      <x:c r="K2730" s="47" t="n">
        <x:v>0.6452999151842496</x:v>
      </x:c>
      <x:c r="L2730" s="47" t="n">
        <x:v>0.5503522287746321</x:v>
      </x:c>
      <x:c r="M2730" s="47" t="n">
        <x:v>0.09833309357089805</x:v>
      </x:c>
      <x:c r="N2730" s="47" t="n">
        <x:v>0.7047641835850378</x:v>
      </x:c>
      <x:c r="O2730" s="47" t="n">
        <x:v>0.9052629519791705</x:v>
      </x:c>
      <x:c r="P2730" s="47" t="n">
        <x:v>0.704028396789976</x:v>
      </x:c>
      <x:c r="Q2730" s="47" t="n">
        <x:v>1</x:v>
      </x:c>
      <x:c r="R2730" s="47" t="n">
        <x:v>0.8830146152857924</x:v>
      </x:c>
      <x:c r="S2730" s="27" t="n">
        <x:v>0</x:v>
      </x:c>
    </x:row>
    <x:row r="2731" ht="21.600000381469727" hidden="0" customHeight="1">
      <x:c r="A2731" s="29" t="n">
        <x:v>909</x:v>
      </x:c>
      <x:c r="B2731" s="29" t="str">
        <x:v>A3</x:v>
      </x:c>
      <x:c r="C2731" s="48" t="n">
        <x:v>0.9456978507561808</x:v>
      </x:c>
      <x:c r="D2731" s="48" t="n">
        <x:v>0.7780714688871226</x:v>
      </x:c>
      <x:c r="E2731" s="48" t="n">
        <x:v>0.4586462214296726</x:v>
      </x:c>
      <x:c r="F2731" s="48" t="n">
        <x:v>-0.10674351354255257</x:v>
      </x:c>
      <x:c r="G2731" s="48" t="n">
        <x:v>-0.13029342267944152</x:v>
      </x:c>
      <x:c r="H2731" s="48" t="n">
        <x:v>0.5518122157172751</x:v>
      </x:c>
      <x:c r="I2731" s="48" t="n">
        <x:v>0.9160065810973561</x:v>
      </x:c>
      <x:c r="J2731" s="48" t="n">
        <x:v>0.4630010894182825</x:v>
      </x:c>
      <x:c r="K2731" s="48" t="n">
        <x:v>0.6452999151842496</x:v>
      </x:c>
      <x:c r="L2731" s="48" t="n">
        <x:v>0.5503522287746321</x:v>
      </x:c>
      <x:c r="M2731" s="48" t="n">
        <x:v>0.09833309357089805</x:v>
      </x:c>
      <x:c r="N2731" s="48" t="n">
        <x:v>0.7047641835850378</x:v>
      </x:c>
      <x:c r="O2731" s="48" t="n">
        <x:v>1</x:v>
      </x:c>
      <x:c r="P2731" s="48" t="n">
        <x:v>1</x:v>
      </x:c>
      <x:c r="Q2731" s="48" t="n">
        <x:v>1</x:v>
      </x:c>
      <x:c r="R2731" s="48" t="n">
        <x:v>1</x:v>
      </x:c>
      <x:c r="S2731" s="29" t="n">
        <x:v>1</x:v>
      </x:c>
    </x:row>
    <x:row r="2732" ht="21.600000381469727" hidden="0" customHeight="1">
      <x:c r="A2732" s="27" t="n">
        <x:v>910</x:v>
      </x:c>
      <x:c r="B2732" s="27" t="str">
        <x:v>A1</x:v>
      </x:c>
      <x:c r="C2732" s="47" t="n">
        <x:v>1.1549387796492605</x:v>
      </x:c>
      <x:c r="D2732" s="47" t="n">
        <x:v>0.8535101485347633</x:v>
      </x:c>
      <x:c r="E2732" s="47" t="n">
        <x:v>0.983547454937252</x:v>
      </x:c>
      <x:c r="F2732" s="47" t="n">
        <x:v>-0.13196225455847838</x:v>
      </x:c>
      <x:c r="G2732" s="47" t="n">
        <x:v>-0.12376056640684475</x:v>
      </x:c>
      <x:c r="H2732" s="47" t="n">
        <x:v>0.5807361153957279</x:v>
      </x:c>
      <x:c r="I2732" s="47" t="n">
        <x:v>0.6139606194960007</x:v>
      </x:c>
      <x:c r="J2732" s="47" t="n">
        <x:v>0.7022021177050145</x:v>
      </x:c>
      <x:c r="K2732" s="47" t="n">
        <x:v>0.6821458470235457</x:v>
      </x:c>
      <x:c r="L2732" s="47" t="n">
        <x:v>0.5068616929545514</x:v>
      </x:c>
      <x:c r="M2732" s="47" t="n">
        <x:v>0.14924375831856093</x:v>
      </x:c>
      <x:c r="N2732" s="47" t="n">
        <x:v>0.97663674152431</x:v>
      </x:c>
      <x:c r="O2732" s="47" t="n">
        <x:v>0.8136276722894266</x:v>
      </x:c>
      <x:c r="P2732" s="47" t="n">
        <x:v>0.48688847252520273</x:v>
      </x:c>
      <x:c r="Q2732" s="47" t="n">
        <x:v>0.9498177400696803</x:v>
      </x:c>
      <x:c r="R2732" s="47" t="n">
        <x:v>0.7702321239117615</x:v>
      </x:c>
      <x:c r="S2732" s="27" t="n">
        <x:v>0</x:v>
      </x:c>
    </x:row>
    <x:row r="2733" ht="21.600000381469727" hidden="0" customHeight="1">
      <x:c r="A2733" s="29" t="n">
        <x:v>910</x:v>
      </x:c>
      <x:c r="B2733" s="29" t="str">
        <x:v>A2</x:v>
      </x:c>
      <x:c r="C2733" s="48" t="n">
        <x:v>1.1549387796492605</x:v>
      </x:c>
      <x:c r="D2733" s="48" t="n">
        <x:v>0.8535101485347633</x:v>
      </x:c>
      <x:c r="E2733" s="48" t="n">
        <x:v>0.983547454937252</x:v>
      </x:c>
      <x:c r="F2733" s="48" t="n">
        <x:v>-0.13196225455847838</x:v>
      </x:c>
      <x:c r="G2733" s="48" t="n">
        <x:v>-0.12376056640684475</x:v>
      </x:c>
      <x:c r="H2733" s="48" t="n">
        <x:v>0.5807361153957279</x:v>
      </x:c>
      <x:c r="I2733" s="48" t="n">
        <x:v>0.6139606194960007</x:v>
      </x:c>
      <x:c r="J2733" s="48" t="n">
        <x:v>0.7022021177050145</x:v>
      </x:c>
      <x:c r="K2733" s="48" t="n">
        <x:v>0.6821458470235457</x:v>
      </x:c>
      <x:c r="L2733" s="48" t="n">
        <x:v>0.5068616929545514</x:v>
      </x:c>
      <x:c r="M2733" s="48" t="n">
        <x:v>0.14924375831856093</x:v>
      </x:c>
      <x:c r="N2733" s="48" t="n">
        <x:v>0.97663674152431</x:v>
      </x:c>
      <x:c r="O2733" s="48" t="n">
        <x:v>0.8923129586672871</x:v>
      </x:c>
      <x:c r="P2733" s="48" t="n">
        <x:v>0.5845996415451435</x:v>
      </x:c>
      <x:c r="Q2733" s="48" t="n">
        <x:v>1</x:v>
      </x:c>
      <x:c r="R2733" s="48" t="n">
        <x:v>0.8670234061307006</x:v>
      </x:c>
      <x:c r="S2733" s="29" t="n">
        <x:v>0</x:v>
      </x:c>
    </x:row>
    <x:row r="2734" ht="21.600000381469727" hidden="0" customHeight="1">
      <x:c r="A2734" s="27" t="n">
        <x:v>910</x:v>
      </x:c>
      <x:c r="B2734" s="27" t="str">
        <x:v>A3</x:v>
      </x:c>
      <x:c r="C2734" s="47" t="n">
        <x:v>1.1549387796492605</x:v>
      </x:c>
      <x:c r="D2734" s="47" t="n">
        <x:v>0.8535101485347633</x:v>
      </x:c>
      <x:c r="E2734" s="47" t="n">
        <x:v>0.983547454937252</x:v>
      </x:c>
      <x:c r="F2734" s="47" t="n">
        <x:v>-0.13196225455847838</x:v>
      </x:c>
      <x:c r="G2734" s="47" t="n">
        <x:v>-0.12376056640684475</x:v>
      </x:c>
      <x:c r="H2734" s="47" t="n">
        <x:v>0.5807361153957279</x:v>
      </x:c>
      <x:c r="I2734" s="47" t="n">
        <x:v>0.6139606194960007</x:v>
      </x:c>
      <x:c r="J2734" s="47" t="n">
        <x:v>0.7022021177050145</x:v>
      </x:c>
      <x:c r="K2734" s="47" t="n">
        <x:v>0.6821458470235457</x:v>
      </x:c>
      <x:c r="L2734" s="47" t="n">
        <x:v>0.5068616929545514</x:v>
      </x:c>
      <x:c r="M2734" s="47" t="n">
        <x:v>0.14924375831856093</x:v>
      </x:c>
      <x:c r="N2734" s="47" t="n">
        <x:v>0.97663674152431</x:v>
      </x:c>
      <x:c r="O2734" s="47" t="n">
        <x:v>1</x:v>
      </x:c>
      <x:c r="P2734" s="47" t="n">
        <x:v>1</x:v>
      </x:c>
      <x:c r="Q2734" s="47" t="n">
        <x:v>1</x:v>
      </x:c>
      <x:c r="R2734" s="47" t="n">
        <x:v>1</x:v>
      </x:c>
      <x:c r="S2734" s="27" t="n">
        <x:v>1</x:v>
      </x:c>
    </x:row>
    <x:row r="2735" ht="21.600000381469727" hidden="0" customHeight="1">
      <x:c r="A2735" s="29" t="n">
        <x:v>911</x:v>
      </x:c>
      <x:c r="B2735" s="29" t="str">
        <x:v>A1</x:v>
      </x:c>
      <x:c r="C2735" s="48" t="n">
        <x:v>1.2976795197057125</x:v>
      </x:c>
      <x:c r="D2735" s="48" t="n">
        <x:v>0.8437975387234188</x:v>
      </x:c>
      <x:c r="E2735" s="48" t="n">
        <x:v>0.47564520604052185</x:v>
      </x:c>
      <x:c r="F2735" s="48" t="n">
        <x:v>-0.0024741533080475386</x:v>
      </x:c>
      <x:c r="G2735" s="48" t="n">
        <x:v>0.011065335359382672</x:v>
      </x:c>
      <x:c r="H2735" s="48" t="n">
        <x:v>0.3266228135682748</x:v>
      </x:c>
      <x:c r="I2735" s="48" t="n">
        <x:v>0.7784026552688154</x:v>
      </x:c>
      <x:c r="J2735" s="48" t="n">
        <x:v>0.4672463249923734</x:v>
      </x:c>
      <x:c r="K2735" s="48" t="n">
        <x:v>0.8482456259713964</x:v>
      </x:c>
      <x:c r="L2735" s="48" t="n">
        <x:v>0.9939980765193497</x:v>
      </x:c>
      <x:c r="M2735" s="48" t="n">
        <x:v>0.10341165201876543</x:v>
      </x:c>
      <x:c r="N2735" s="48" t="n">
        <x:v>0.815858922402553</x:v>
      </x:c>
      <x:c r="O2735" s="48" t="n">
        <x:v>0.7677457000649949</x:v>
      </x:c>
      <x:c r="P2735" s="48" t="n">
        <x:v>0.5088245074618787</x:v>
      </x:c>
      <x:c r="Q2735" s="48" t="n">
        <x:v>1</x:v>
      </x:c>
      <x:c r="R2735" s="48" t="n">
        <x:v>0.7132023933925867</x:v>
      </x:c>
      <x:c r="S2735" s="29" t="n">
        <x:v>0</x:v>
      </x:c>
    </x:row>
    <x:row r="2736" ht="21.600000381469727" hidden="0" customHeight="1">
      <x:c r="A2736" s="27" t="n">
        <x:v>911</x:v>
      </x:c>
      <x:c r="B2736" s="27" t="str">
        <x:v>A2</x:v>
      </x:c>
      <x:c r="C2736" s="47" t="n">
        <x:v>1.2976795197057125</x:v>
      </x:c>
      <x:c r="D2736" s="47" t="n">
        <x:v>0.8437975387234188</x:v>
      </x:c>
      <x:c r="E2736" s="47" t="n">
        <x:v>0.47564520604052185</x:v>
      </x:c>
      <x:c r="F2736" s="47" t="n">
        <x:v>-0.0024741533080475386</x:v>
      </x:c>
      <x:c r="G2736" s="47" t="n">
        <x:v>0.011065335359382672</x:v>
      </x:c>
      <x:c r="H2736" s="47" t="n">
        <x:v>0.3266228135682748</x:v>
      </x:c>
      <x:c r="I2736" s="47" t="n">
        <x:v>0.7784026552688154</x:v>
      </x:c>
      <x:c r="J2736" s="47" t="n">
        <x:v>0.4672463249923734</x:v>
      </x:c>
      <x:c r="K2736" s="47" t="n">
        <x:v>0.8482456259713964</x:v>
      </x:c>
      <x:c r="L2736" s="47" t="n">
        <x:v>0.9939980765193497</x:v>
      </x:c>
      <x:c r="M2736" s="47" t="n">
        <x:v>0.10341165201876543</x:v>
      </x:c>
      <x:c r="N2736" s="47" t="n">
        <x:v>0.815858922402553</x:v>
      </x:c>
      <x:c r="O2736" s="47" t="n">
        <x:v>0.843017997269227</x:v>
      </x:c>
      <x:c r="P2736" s="47" t="n">
        <x:v>0.5387473682285797</x:v>
      </x:c>
      <x:c r="Q2736" s="47" t="n">
        <x:v>1</x:v>
      </x:c>
      <x:c r="R2736" s="47" t="n">
        <x:v>0.8061518659666441</x:v>
      </x:c>
      <x:c r="S2736" s="27" t="n">
        <x:v>0</x:v>
      </x:c>
    </x:row>
    <x:row r="2737" ht="21.600000381469727" hidden="0" customHeight="1">
      <x:c r="A2737" s="29" t="n">
        <x:v>911</x:v>
      </x:c>
      <x:c r="B2737" s="29" t="str">
        <x:v>A3</x:v>
      </x:c>
      <x:c r="C2737" s="48" t="n">
        <x:v>1.2976795197057125</x:v>
      </x:c>
      <x:c r="D2737" s="48" t="n">
        <x:v>0.8437975387234188</x:v>
      </x:c>
      <x:c r="E2737" s="48" t="n">
        <x:v>0.47564520604052185</x:v>
      </x:c>
      <x:c r="F2737" s="48" t="n">
        <x:v>-0.0024741533080475386</x:v>
      </x:c>
      <x:c r="G2737" s="48" t="n">
        <x:v>0.011065335359382672</x:v>
      </x:c>
      <x:c r="H2737" s="48" t="n">
        <x:v>0.3266228135682748</x:v>
      </x:c>
      <x:c r="I2737" s="48" t="n">
        <x:v>0.7784026552688154</x:v>
      </x:c>
      <x:c r="J2737" s="48" t="n">
        <x:v>0.4672463249923734</x:v>
      </x:c>
      <x:c r="K2737" s="48" t="n">
        <x:v>0.8482456259713964</x:v>
      </x:c>
      <x:c r="L2737" s="48" t="n">
        <x:v>0.9939980765193497</x:v>
      </x:c>
      <x:c r="M2737" s="48" t="n">
        <x:v>0.10341165201876543</x:v>
      </x:c>
      <x:c r="N2737" s="48" t="n">
        <x:v>0.815858922402553</x:v>
      </x:c>
      <x:c r="O2737" s="48" t="n">
        <x:v>1</x:v>
      </x:c>
      <x:c r="P2737" s="48" t="n">
        <x:v>1</x:v>
      </x:c>
      <x:c r="Q2737" s="48" t="n">
        <x:v>1</x:v>
      </x:c>
      <x:c r="R2737" s="48" t="n">
        <x:v>1</x:v>
      </x:c>
      <x:c r="S2737" s="29" t="n">
        <x:v>1</x:v>
      </x:c>
    </x:row>
    <x:row r="2738" ht="21.600000381469727" hidden="0" customHeight="1">
      <x:c r="A2738" s="27" t="n">
        <x:v>912</x:v>
      </x:c>
      <x:c r="B2738" s="27" t="str">
        <x:v>A1</x:v>
      </x:c>
      <x:c r="C2738" s="47" t="n">
        <x:v>1.2810235136736006</x:v>
      </x:c>
      <x:c r="D2738" s="47" t="n">
        <x:v>0.846544181773454</x:v>
      </x:c>
      <x:c r="E2738" s="47" t="n">
        <x:v>0.6433308300198696</x:v>
      </x:c>
      <x:c r="F2738" s="47" t="n">
        <x:v>0.013387879601874875</x:v>
      </x:c>
      <x:c r="G2738" s="47" t="n">
        <x:v>-0.014126887702899327</x:v>
      </x:c>
      <x:c r="H2738" s="47" t="n">
        <x:v>1.044447307565802</x:v>
      </x:c>
      <x:c r="I2738" s="47" t="n">
        <x:v>0.6032281422407437</x:v>
      </x:c>
      <x:c r="J2738" s="47" t="n">
        <x:v>0.7295102350401588</x:v>
      </x:c>
      <x:c r="K2738" s="47" t="n">
        <x:v>0.7820820318967403</x:v>
      </x:c>
      <x:c r="L2738" s="47" t="n">
        <x:v>0.7287554227199535</x:v>
      </x:c>
      <x:c r="M2738" s="47" t="n">
        <x:v>0.07975397230705839</x:v>
      </x:c>
      <x:c r="N2738" s="47" t="n">
        <x:v>0.7017858630134338</x:v>
      </x:c>
      <x:c r="O2738" s="47" t="n">
        <x:v>0.7750492272054202</x:v>
      </x:c>
      <x:c r="P2738" s="47" t="n">
        <x:v>0.4382925429678626</x:v>
      </x:c>
      <x:c r="Q2738" s="47" t="n">
        <x:v>1</x:v>
      </x:c>
      <x:c r="R2738" s="47" t="n">
        <x:v>0.7222211030752598</x:v>
      </x:c>
      <x:c r="S2738" s="27" t="n">
        <x:v>0</x:v>
      </x:c>
    </x:row>
    <x:row r="2739" ht="21.600000381469727" hidden="0" customHeight="1">
      <x:c r="A2739" s="29" t="n">
        <x:v>912</x:v>
      </x:c>
      <x:c r="B2739" s="29" t="str">
        <x:v>A2</x:v>
      </x:c>
      <x:c r="C2739" s="48" t="n">
        <x:v>1.2810235136736006</x:v>
      </x:c>
      <x:c r="D2739" s="48" t="n">
        <x:v>0.846544181773454</x:v>
      </x:c>
      <x:c r="E2739" s="48" t="n">
        <x:v>0.6433308300198696</x:v>
      </x:c>
      <x:c r="F2739" s="48" t="n">
        <x:v>0.013387879601874875</x:v>
      </x:c>
      <x:c r="G2739" s="48" t="n">
        <x:v>-0.014126887702899327</x:v>
      </x:c>
      <x:c r="H2739" s="48" t="n">
        <x:v>1.044447307565802</x:v>
      </x:c>
      <x:c r="I2739" s="48" t="n">
        <x:v>0.6032281422407437</x:v>
      </x:c>
      <x:c r="J2739" s="48" t="n">
        <x:v>0.7295102350401588</x:v>
      </x:c>
      <x:c r="K2739" s="48" t="n">
        <x:v>0.7820820318967403</x:v>
      </x:c>
      <x:c r="L2739" s="48" t="n">
        <x:v>0.7287554227199535</x:v>
      </x:c>
      <x:c r="M2739" s="48" t="n">
        <x:v>0.07975397230705839</x:v>
      </x:c>
      <x:c r="N2739" s="48" t="n">
        <x:v>0.7017858630134338</x:v>
      </x:c>
      <x:c r="O2739" s="48" t="n">
        <x:v>0.8590160890376766</x:v>
      </x:c>
      <x:c r="P2739" s="48" t="n">
        <x:v>0.5250417509550251</x:v>
      </x:c>
      <x:c r="Q2739" s="48" t="n">
        <x:v>1</x:v>
      </x:c>
      <x:c r="R2739" s="48" t="n">
        <x:v>0.8259069982968575</x:v>
      </x:c>
      <x:c r="S2739" s="29" t="n">
        <x:v>0</x:v>
      </x:c>
    </x:row>
    <x:row r="2740" ht="21.600000381469727" hidden="0" customHeight="1">
      <x:c r="A2740" s="27" t="n">
        <x:v>912</x:v>
      </x:c>
      <x:c r="B2740" s="27" t="str">
        <x:v>A3</x:v>
      </x:c>
      <x:c r="C2740" s="47" t="n">
        <x:v>1.2810235136736006</x:v>
      </x:c>
      <x:c r="D2740" s="47" t="n">
        <x:v>0.846544181773454</x:v>
      </x:c>
      <x:c r="E2740" s="47" t="n">
        <x:v>0.6433308300198696</x:v>
      </x:c>
      <x:c r="F2740" s="47" t="n">
        <x:v>0.013387879601874875</x:v>
      </x:c>
      <x:c r="G2740" s="47" t="n">
        <x:v>-0.014126887702899327</x:v>
      </x:c>
      <x:c r="H2740" s="47" t="n">
        <x:v>1.044447307565802</x:v>
      </x:c>
      <x:c r="I2740" s="47" t="n">
        <x:v>0.6032281422407437</x:v>
      </x:c>
      <x:c r="J2740" s="47" t="n">
        <x:v>0.7295102350401588</x:v>
      </x:c>
      <x:c r="K2740" s="47" t="n">
        <x:v>0.7820820318967403</x:v>
      </x:c>
      <x:c r="L2740" s="47" t="n">
        <x:v>0.7287554227199535</x:v>
      </x:c>
      <x:c r="M2740" s="47" t="n">
        <x:v>0.07975397230705839</x:v>
      </x:c>
      <x:c r="N2740" s="47" t="n">
        <x:v>0.7017858630134338</x:v>
      </x:c>
      <x:c r="O2740" s="47" t="n">
        <x:v>1</x:v>
      </x:c>
      <x:c r="P2740" s="47" t="n">
        <x:v>1</x:v>
      </x:c>
      <x:c r="Q2740" s="47" t="n">
        <x:v>1</x:v>
      </x:c>
      <x:c r="R2740" s="47" t="n">
        <x:v>1</x:v>
      </x:c>
      <x:c r="S2740" s="27" t="n">
        <x:v>1</x:v>
      </x:c>
    </x:row>
    <x:row r="2741" ht="21.600000381469727" hidden="0" customHeight="1">
      <x:c r="A2741" s="29" t="n">
        <x:v>913</x:v>
      </x:c>
      <x:c r="B2741" s="29" t="str">
        <x:v>A1</x:v>
      </x:c>
      <x:c r="C2741" s="48" t="n">
        <x:v>1.0123358545458476</x:v>
      </x:c>
      <x:c r="D2741" s="48" t="n">
        <x:v>0.7687349998015551</x:v>
      </x:c>
      <x:c r="E2741" s="48" t="n">
        <x:v>1.0418322244319214</x:v>
      </x:c>
      <x:c r="F2741" s="48" t="n">
        <x:v>-0.1631023461276127</x:v>
      </x:c>
      <x:c r="G2741" s="48" t="n">
        <x:v>-0.0022201906078563316</x:v>
      </x:c>
      <x:c r="H2741" s="48" t="n">
        <x:v>0.9490546222749299</x:v>
      </x:c>
      <x:c r="I2741" s="48" t="n">
        <x:v>0.8293142605231906</x:v>
      </x:c>
      <x:c r="J2741" s="48" t="n">
        <x:v>0.5472194907060371</x:v>
      </x:c>
      <x:c r="K2741" s="48" t="n">
        <x:v>0.8461907366866337</x:v>
      </x:c>
      <x:c r="L2741" s="48" t="n">
        <x:v>0.9775854861794009</x:v>
      </x:c>
      <x:c r="M2741" s="48" t="n">
        <x:v>0.1482864100031405</x:v>
      </x:c>
      <x:c r="N2741" s="48" t="n">
        <x:v>0.9498284542768951</x:v>
      </x:c>
      <x:c r="O2741" s="48" t="n">
        <x:v>0.8814914893053682</x:v>
      </x:c>
      <x:c r="P2741" s="48" t="n">
        <x:v>0.6512155017929648</x:v>
      </x:c>
      <x:c r="Q2741" s="48" t="n">
        <x:v>1</x:v>
      </x:c>
      <x:c r="R2741" s="48" t="n">
        <x:v>0.8536605899682344</x:v>
      </x:c>
      <x:c r="S2741" s="29" t="n">
        <x:v>0</x:v>
      </x:c>
    </x:row>
    <x:row r="2742" ht="21.600000381469727" hidden="0" customHeight="1">
      <x:c r="A2742" s="27" t="n">
        <x:v>913</x:v>
      </x:c>
      <x:c r="B2742" s="27" t="str">
        <x:v>A2</x:v>
      </x:c>
      <x:c r="C2742" s="47" t="n">
        <x:v>1.0123358545458476</x:v>
      </x:c>
      <x:c r="D2742" s="47" t="n">
        <x:v>0.7687349998015551</x:v>
      </x:c>
      <x:c r="E2742" s="47" t="n">
        <x:v>1.0418322244319214</x:v>
      </x:c>
      <x:c r="F2742" s="47" t="n">
        <x:v>-0.1631023461276127</x:v>
      </x:c>
      <x:c r="G2742" s="47" t="n">
        <x:v>-0.0022201906078563316</x:v>
      </x:c>
      <x:c r="H2742" s="47" t="n">
        <x:v>0.9490546222749299</x:v>
      </x:c>
      <x:c r="I2742" s="47" t="n">
        <x:v>0.8293142605231906</x:v>
      </x:c>
      <x:c r="J2742" s="47" t="n">
        <x:v>0.5472194907060371</x:v>
      </x:c>
      <x:c r="K2742" s="47" t="n">
        <x:v>0.8461907366866337</x:v>
      </x:c>
      <x:c r="L2742" s="47" t="n">
        <x:v>0.9775854861794009</x:v>
      </x:c>
      <x:c r="M2742" s="47" t="n">
        <x:v>0.1482864100031405</x:v>
      </x:c>
      <x:c r="N2742" s="47" t="n">
        <x:v>0.9498284542768951</x:v>
      </x:c>
      <x:c r="O2742" s="47" t="n">
        <x:v>0.9604712671960566</x:v>
      </x:c>
      <x:c r="P2742" s="47" t="n">
        <x:v>0.7282360724698036</x:v>
      </x:c>
      <x:c r="Q2742" s="47" t="n">
        <x:v>1</x:v>
      </x:c>
      <x:c r="R2742" s="47" t="n">
        <x:v>0.9511882192770278</x:v>
      </x:c>
      <x:c r="S2742" s="27" t="n">
        <x:v>0</x:v>
      </x:c>
    </x:row>
    <x:row r="2743" ht="21.600000381469727" hidden="0" customHeight="1">
      <x:c r="A2743" s="29" t="n">
        <x:v>913</x:v>
      </x:c>
      <x:c r="B2743" s="29" t="str">
        <x:v>A3</x:v>
      </x:c>
      <x:c r="C2743" s="48" t="n">
        <x:v>1.0123358545458476</x:v>
      </x:c>
      <x:c r="D2743" s="48" t="n">
        <x:v>0.7687349998015551</x:v>
      </x:c>
      <x:c r="E2743" s="48" t="n">
        <x:v>1.0418322244319214</x:v>
      </x:c>
      <x:c r="F2743" s="48" t="n">
        <x:v>-0.1631023461276127</x:v>
      </x:c>
      <x:c r="G2743" s="48" t="n">
        <x:v>-0.0022201906078563316</x:v>
      </x:c>
      <x:c r="H2743" s="48" t="n">
        <x:v>0.9490546222749299</x:v>
      </x:c>
      <x:c r="I2743" s="48" t="n">
        <x:v>0.8293142605231906</x:v>
      </x:c>
      <x:c r="J2743" s="48" t="n">
        <x:v>0.5472194907060371</x:v>
      </x:c>
      <x:c r="K2743" s="48" t="n">
        <x:v>0.8461907366866337</x:v>
      </x:c>
      <x:c r="L2743" s="48" t="n">
        <x:v>0.9775854861794009</x:v>
      </x:c>
      <x:c r="M2743" s="48" t="n">
        <x:v>0.1482864100031405</x:v>
      </x:c>
      <x:c r="N2743" s="48" t="n">
        <x:v>0.9498284542768951</x:v>
      </x:c>
      <x:c r="O2743" s="48" t="n">
        <x:v>1</x:v>
      </x:c>
      <x:c r="P2743" s="48" t="n">
        <x:v>1</x:v>
      </x:c>
      <x:c r="Q2743" s="48" t="n">
        <x:v>1</x:v>
      </x:c>
      <x:c r="R2743" s="48" t="n">
        <x:v>1</x:v>
      </x:c>
      <x:c r="S2743" s="29" t="n">
        <x:v>1</x:v>
      </x:c>
    </x:row>
    <x:row r="2744" ht="21.600000381469727" hidden="0" customHeight="1">
      <x:c r="A2744" s="27" t="n">
        <x:v>914</x:v>
      </x:c>
      <x:c r="B2744" s="27" t="str">
        <x:v>A1</x:v>
      </x:c>
      <x:c r="C2744" s="47" t="n">
        <x:v>1.129292545051814</x:v>
      </x:c>
      <x:c r="D2744" s="47" t="n">
        <x:v>0.7236144671879393</x:v>
      </x:c>
      <x:c r="E2744" s="47" t="n">
        <x:v>0.47258876157707025</x:v>
      </x:c>
      <x:c r="F2744" s="47" t="n">
        <x:v>-0.18520070212224002</x:v>
      </x:c>
      <x:c r="G2744" s="47" t="n">
        <x:v>-0.057381317450494324</x:v>
      </x:c>
      <x:c r="H2744" s="47" t="n">
        <x:v>0.6564662452614684</x:v>
      </x:c>
      <x:c r="I2744" s="47" t="n">
        <x:v>0.9546190805894793</x:v>
      </x:c>
      <x:c r="J2744" s="47" t="n">
        <x:v>0.8927336967195807</x:v>
      </x:c>
      <x:c r="K2744" s="47" t="n">
        <x:v>0.9854010914088955</x:v>
      </x:c>
      <x:c r="L2744" s="47" t="n">
        <x:v>0.6581616153207303</x:v>
      </x:c>
      <x:c r="M2744" s="47" t="n">
        <x:v>0.030459648409311566</x:v>
      </x:c>
      <x:c r="N2744" s="47" t="n">
        <x:v>0.8498090498373903</x:v>
      </x:c>
      <x:c r="O2744" s="47" t="n">
        <x:v>0.7764034694517506</x:v>
      </x:c>
      <x:c r="P2744" s="47" t="n">
        <x:v>0.40153772072849153</x:v>
      </x:c>
      <x:c r="Q2744" s="47" t="n">
        <x:v>1</x:v>
      </x:c>
      <x:c r="R2744" s="47" t="n">
        <x:v>0.7238933796924113</x:v>
      </x:c>
      <x:c r="S2744" s="27" t="n">
        <x:v>0</x:v>
      </x:c>
    </x:row>
    <x:row r="2745" ht="21.600000381469727" hidden="0" customHeight="1">
      <x:c r="A2745" s="29" t="n">
        <x:v>914</x:v>
      </x:c>
      <x:c r="B2745" s="29" t="str">
        <x:v>A2</x:v>
      </x:c>
      <x:c r="C2745" s="48" t="n">
        <x:v>1.129292545051814</x:v>
      </x:c>
      <x:c r="D2745" s="48" t="n">
        <x:v>0.7236144671879393</x:v>
      </x:c>
      <x:c r="E2745" s="48" t="n">
        <x:v>0.47258876157707025</x:v>
      </x:c>
      <x:c r="F2745" s="48" t="n">
        <x:v>-0.18520070212224002</x:v>
      </x:c>
      <x:c r="G2745" s="48" t="n">
        <x:v>-0.057381317450494324</x:v>
      </x:c>
      <x:c r="H2745" s="48" t="n">
        <x:v>0.6564662452614684</x:v>
      </x:c>
      <x:c r="I2745" s="48" t="n">
        <x:v>0.9546190805894793</x:v>
      </x:c>
      <x:c r="J2745" s="48" t="n">
        <x:v>0.8927336967195807</x:v>
      </x:c>
      <x:c r="K2745" s="48" t="n">
        <x:v>0.9854010914088955</x:v>
      </x:c>
      <x:c r="L2745" s="48" t="n">
        <x:v>0.6581616153207303</x:v>
      </x:c>
      <x:c r="M2745" s="48" t="n">
        <x:v>0.030459648409311566</x:v>
      </x:c>
      <x:c r="N2745" s="48" t="n">
        <x:v>0.8498090498373903</x:v>
      </x:c>
      <x:c r="O2745" s="48" t="n">
        <x:v>0.8558060494133998</x:v>
      </x:c>
      <x:c r="P2745" s="48" t="n">
        <x:v>0.4308869105227373</x:v>
      </x:c>
      <x:c r="Q2745" s="48" t="n">
        <x:v>1</x:v>
      </x:c>
      <x:c r="R2745" s="48" t="n">
        <x:v>0.8219431031973259</x:v>
      </x:c>
      <x:c r="S2745" s="29" t="n">
        <x:v>0</x:v>
      </x:c>
    </x:row>
    <x:row r="2746" ht="21.600000381469727" hidden="0" customHeight="1">
      <x:c r="A2746" s="27" t="n">
        <x:v>914</x:v>
      </x:c>
      <x:c r="B2746" s="27" t="str">
        <x:v>A3</x:v>
      </x:c>
      <x:c r="C2746" s="47" t="n">
        <x:v>1.129292545051814</x:v>
      </x:c>
      <x:c r="D2746" s="47" t="n">
        <x:v>0.7236144671879393</x:v>
      </x:c>
      <x:c r="E2746" s="47" t="n">
        <x:v>0.47258876157707025</x:v>
      </x:c>
      <x:c r="F2746" s="47" t="n">
        <x:v>-0.18520070212224002</x:v>
      </x:c>
      <x:c r="G2746" s="47" t="n">
        <x:v>-0.057381317450494324</x:v>
      </x:c>
      <x:c r="H2746" s="47" t="n">
        <x:v>0.6564662452614684</x:v>
      </x:c>
      <x:c r="I2746" s="47" t="n">
        <x:v>0.9546190805894793</x:v>
      </x:c>
      <x:c r="J2746" s="47" t="n">
        <x:v>0.8927336967195807</x:v>
      </x:c>
      <x:c r="K2746" s="47" t="n">
        <x:v>0.9854010914088955</x:v>
      </x:c>
      <x:c r="L2746" s="47" t="n">
        <x:v>0.6581616153207303</x:v>
      </x:c>
      <x:c r="M2746" s="47" t="n">
        <x:v>0.030459648409311566</x:v>
      </x:c>
      <x:c r="N2746" s="47" t="n">
        <x:v>0.8498090498373903</x:v>
      </x:c>
      <x:c r="O2746" s="47" t="n">
        <x:v>1</x:v>
      </x:c>
      <x:c r="P2746" s="47" t="n">
        <x:v>1</x:v>
      </x:c>
      <x:c r="Q2746" s="47" t="n">
        <x:v>1</x:v>
      </x:c>
      <x:c r="R2746" s="47" t="n">
        <x:v>1</x:v>
      </x:c>
      <x:c r="S2746" s="27" t="n">
        <x:v>1</x:v>
      </x:c>
    </x:row>
    <x:row r="2747" ht="21.600000381469727" hidden="0" customHeight="1">
      <x:c r="A2747" s="29" t="n">
        <x:v>915</x:v>
      </x:c>
      <x:c r="B2747" s="29" t="str">
        <x:v>A1</x:v>
      </x:c>
      <x:c r="C2747" s="48" t="n">
        <x:v>0.932421405186114</x:v>
      </x:c>
      <x:c r="D2747" s="48" t="n">
        <x:v>0.9351773143728634</x:v>
      </x:c>
      <x:c r="E2747" s="48" t="n">
        <x:v>0.8057969310482804</x:v>
      </x:c>
      <x:c r="F2747" s="48" t="n">
        <x:v>-0.026589051049258017</x:v>
      </x:c>
      <x:c r="G2747" s="48" t="n">
        <x:v>-0.13551768714166806</x:v>
      </x:c>
      <x:c r="H2747" s="48" t="n">
        <x:v>0.5994340369630261</x:v>
      </x:c>
      <x:c r="I2747" s="48" t="n">
        <x:v>1.0081316904507418</x:v>
      </x:c>
      <x:c r="J2747" s="48" t="n">
        <x:v>0.6807278055584262</x:v>
      </x:c>
      <x:c r="K2747" s="48" t="n">
        <x:v>0.5843783514174512</x:v>
      </x:c>
      <x:c r="L2747" s="48" t="n">
        <x:v>0.5821340464961413</x:v>
      </x:c>
      <x:c r="M2747" s="48" t="n">
        <x:v>0.09494091773279498</x:v>
      </x:c>
      <x:c r="N2747" s="48" t="n">
        <x:v>0.9635518388624242</x:v>
      </x:c>
      <x:c r="O2747" s="48" t="n">
        <x:v>0.9146599347060953</x:v>
      </x:c>
      <x:c r="P2747" s="48" t="n">
        <x:v>0.535355075383508</x:v>
      </x:c>
      <x:c r="Q2747" s="48" t="n">
        <x:v>1</x:v>
      </x:c>
      <x:c r="R2747" s="48" t="n">
        <x:v>0.8946184140364184</x:v>
      </x:c>
      <x:c r="S2747" s="29" t="n">
        <x:v>0</x:v>
      </x:c>
    </x:row>
    <x:row r="2748" ht="21.600000381469727" hidden="0" customHeight="1">
      <x:c r="A2748" s="27" t="n">
        <x:v>915</x:v>
      </x:c>
      <x:c r="B2748" s="27" t="str">
        <x:v>A2</x:v>
      </x:c>
      <x:c r="C2748" s="47" t="n">
        <x:v>0.932421405186114</x:v>
      </x:c>
      <x:c r="D2748" s="47" t="n">
        <x:v>0.9351773143728634</x:v>
      </x:c>
      <x:c r="E2748" s="47" t="n">
        <x:v>0.8057969310482804</x:v>
      </x:c>
      <x:c r="F2748" s="47" t="n">
        <x:v>-0.026589051049258017</x:v>
      </x:c>
      <x:c r="G2748" s="47" t="n">
        <x:v>-0.13551768714166806</x:v>
      </x:c>
      <x:c r="H2748" s="47" t="n">
        <x:v>0.5994340369630261</x:v>
      </x:c>
      <x:c r="I2748" s="47" t="n">
        <x:v>1.0081316904507418</x:v>
      </x:c>
      <x:c r="J2748" s="47" t="n">
        <x:v>0.6807278055584262</x:v>
      </x:c>
      <x:c r="K2748" s="47" t="n">
        <x:v>0.5843783514174512</x:v>
      </x:c>
      <x:c r="L2748" s="47" t="n">
        <x:v>0.5821340464961413</x:v>
      </x:c>
      <x:c r="M2748" s="47" t="n">
        <x:v>0.09494091773279498</x:v>
      </x:c>
      <x:c r="N2748" s="47" t="n">
        <x:v>0.9635518388624242</x:v>
      </x:c>
      <x:c r="O2748" s="47" t="n">
        <x:v>0.9501524729303498</x:v>
      </x:c>
      <x:c r="P2748" s="47" t="n">
        <x:v>0.6587987108125429</x:v>
      </x:c>
      <x:c r="Q2748" s="47" t="n">
        <x:v>1</x:v>
      </x:c>
      <x:c r="R2748" s="47" t="n">
        <x:v>0.9384461279602805</x:v>
      </x:c>
      <x:c r="S2748" s="27" t="n">
        <x:v>0</x:v>
      </x:c>
    </x:row>
    <x:row r="2749" ht="21.600000381469727" hidden="0" customHeight="1">
      <x:c r="A2749" s="29" t="n">
        <x:v>915</x:v>
      </x:c>
      <x:c r="B2749" s="29" t="str">
        <x:v>A3</x:v>
      </x:c>
      <x:c r="C2749" s="48" t="n">
        <x:v>0.932421405186114</x:v>
      </x:c>
      <x:c r="D2749" s="48" t="n">
        <x:v>0.9351773143728634</x:v>
      </x:c>
      <x:c r="E2749" s="48" t="n">
        <x:v>0.8057969310482804</x:v>
      </x:c>
      <x:c r="F2749" s="48" t="n">
        <x:v>-0.026589051049258017</x:v>
      </x:c>
      <x:c r="G2749" s="48" t="n">
        <x:v>-0.13551768714166806</x:v>
      </x:c>
      <x:c r="H2749" s="48" t="n">
        <x:v>0.5994340369630261</x:v>
      </x:c>
      <x:c r="I2749" s="48" t="n">
        <x:v>1.0081316904507418</x:v>
      </x:c>
      <x:c r="J2749" s="48" t="n">
        <x:v>0.6807278055584262</x:v>
      </x:c>
      <x:c r="K2749" s="48" t="n">
        <x:v>0.5843783514174512</x:v>
      </x:c>
      <x:c r="L2749" s="48" t="n">
        <x:v>0.5821340464961413</x:v>
      </x:c>
      <x:c r="M2749" s="48" t="n">
        <x:v>0.09494091773279498</x:v>
      </x:c>
      <x:c r="N2749" s="48" t="n">
        <x:v>0.9635518388624242</x:v>
      </x:c>
      <x:c r="O2749" s="48" t="n">
        <x:v>1</x:v>
      </x:c>
      <x:c r="P2749" s="48" t="n">
        <x:v>1</x:v>
      </x:c>
      <x:c r="Q2749" s="48" t="n">
        <x:v>1</x:v>
      </x:c>
      <x:c r="R2749" s="48" t="n">
        <x:v>1</x:v>
      </x:c>
      <x:c r="S2749" s="29" t="n">
        <x:v>1</x:v>
      </x:c>
    </x:row>
    <x:row r="2750" ht="21.600000381469727" hidden="0" customHeight="1">
      <x:c r="A2750" s="27" t="n">
        <x:v>916</x:v>
      </x:c>
      <x:c r="B2750" s="27" t="str">
        <x:v>A1</x:v>
      </x:c>
      <x:c r="C2750" s="47" t="n">
        <x:v>1.273381595703848</x:v>
      </x:c>
      <x:c r="D2750" s="47" t="n">
        <x:v>0.7812654608268997</x:v>
      </x:c>
      <x:c r="E2750" s="47" t="n">
        <x:v>0.8498678871022156</x:v>
      </x:c>
      <x:c r="F2750" s="47" t="n">
        <x:v>-0.19377019369840012</x:v>
      </x:c>
      <x:c r="G2750" s="47" t="n">
        <x:v>-0.06728916194672774</x:v>
      </x:c>
      <x:c r="H2750" s="47" t="n">
        <x:v>0.9666108418326589</x:v>
      </x:c>
      <x:c r="I2750" s="47" t="n">
        <x:v>0.6325863674186236</x:v>
      </x:c>
      <x:c r="J2750" s="47" t="n">
        <x:v>0.9566055965097305</x:v>
      </x:c>
      <x:c r="K2750" s="47" t="n">
        <x:v>0.9789982483238678</x:v>
      </x:c>
      <x:c r="L2750" s="47" t="n">
        <x:v>0.5713939399345223</x:v>
      </x:c>
      <x:c r="M2750" s="47" t="n">
        <x:v>0.06975026337176016</x:v>
      </x:c>
      <x:c r="N2750" s="47" t="n">
        <x:v>0.7251375851281997</x:v>
      </x:c>
      <x:c r="O2750" s="47" t="n">
        <x:v>0.736306586670495</x:v>
      </x:c>
      <x:c r="P2750" s="47" t="n">
        <x:v>0.3607400083114421</x:v>
      </x:c>
      <x:c r="Q2750" s="47" t="n">
        <x:v>0.9795916174597606</x:v>
      </x:c>
      <x:c r="R2750" s="47" t="n">
        <x:v>0.6745315929899941</x:v>
      </x:c>
      <x:c r="S2750" s="27" t="n">
        <x:v>0</x:v>
      </x:c>
    </x:row>
    <x:row r="2751" ht="21.600000381469727" hidden="0" customHeight="1">
      <x:c r="A2751" s="29" t="n">
        <x:v>916</x:v>
      </x:c>
      <x:c r="B2751" s="29" t="str">
        <x:v>A2</x:v>
      </x:c>
      <x:c r="C2751" s="48" t="n">
        <x:v>1.273381595703848</x:v>
      </x:c>
      <x:c r="D2751" s="48" t="n">
        <x:v>0.7812654608268997</x:v>
      </x:c>
      <x:c r="E2751" s="48" t="n">
        <x:v>0.8498678871022156</x:v>
      </x:c>
      <x:c r="F2751" s="48" t="n">
        <x:v>-0.19377019369840012</x:v>
      </x:c>
      <x:c r="G2751" s="48" t="n">
        <x:v>-0.06728916194672774</x:v>
      </x:c>
      <x:c r="H2751" s="48" t="n">
        <x:v>0.9666108418326589</x:v>
      </x:c>
      <x:c r="I2751" s="48" t="n">
        <x:v>0.6325863674186236</x:v>
      </x:c>
      <x:c r="J2751" s="48" t="n">
        <x:v>0.9566055965097305</x:v>
      </x:c>
      <x:c r="K2751" s="48" t="n">
        <x:v>0.9789982483238678</x:v>
      </x:c>
      <x:c r="L2751" s="48" t="n">
        <x:v>0.5713939399345223</x:v>
      </x:c>
      <x:c r="M2751" s="48" t="n">
        <x:v>0.06975026337176016</x:v>
      </x:c>
      <x:c r="N2751" s="48" t="n">
        <x:v>0.7251375851281997</x:v>
      </x:c>
      <x:c r="O2751" s="48" t="n">
        <x:v>0.824777185327729</x:v>
      </x:c>
      <x:c r="P2751" s="48" t="n">
        <x:v>0.47228879246931127</x:v>
      </x:c>
      <x:c r="Q2751" s="48" t="n">
        <x:v>1</x:v>
      </x:c>
      <x:c r="R2751" s="48" t="n">
        <x:v>0.7836273262321312</x:v>
      </x:c>
      <x:c r="S2751" s="29" t="n">
        <x:v>0</x:v>
      </x:c>
    </x:row>
    <x:row r="2752" ht="21.600000381469727" hidden="0" customHeight="1">
      <x:c r="A2752" s="27" t="n">
        <x:v>916</x:v>
      </x:c>
      <x:c r="B2752" s="27" t="str">
        <x:v>A3</x:v>
      </x:c>
      <x:c r="C2752" s="47" t="n">
        <x:v>1.273381595703848</x:v>
      </x:c>
      <x:c r="D2752" s="47" t="n">
        <x:v>0.7812654608268997</x:v>
      </x:c>
      <x:c r="E2752" s="47" t="n">
        <x:v>0.8498678871022156</x:v>
      </x:c>
      <x:c r="F2752" s="47" t="n">
        <x:v>-0.19377019369840012</x:v>
      </x:c>
      <x:c r="G2752" s="47" t="n">
        <x:v>-0.06728916194672774</x:v>
      </x:c>
      <x:c r="H2752" s="47" t="n">
        <x:v>0.9666108418326589</x:v>
      </x:c>
      <x:c r="I2752" s="47" t="n">
        <x:v>0.6325863674186236</x:v>
      </x:c>
      <x:c r="J2752" s="47" t="n">
        <x:v>0.9566055965097305</x:v>
      </x:c>
      <x:c r="K2752" s="47" t="n">
        <x:v>0.9789982483238678</x:v>
      </x:c>
      <x:c r="L2752" s="47" t="n">
        <x:v>0.5713939399345223</x:v>
      </x:c>
      <x:c r="M2752" s="47" t="n">
        <x:v>0.06975026337176016</x:v>
      </x:c>
      <x:c r="N2752" s="47" t="n">
        <x:v>0.7251375851281997</x:v>
      </x:c>
      <x:c r="O2752" s="47" t="n">
        <x:v>1.0000000000000002</x:v>
      </x:c>
      <x:c r="P2752" s="47" t="n">
        <x:v>1</x:v>
      </x:c>
      <x:c r="Q2752" s="47" t="n">
        <x:v>1</x:v>
      </x:c>
      <x:c r="R2752" s="47" t="n">
        <x:v>1</x:v>
      </x:c>
      <x:c r="S2752" s="27" t="n">
        <x:v>1</x:v>
      </x:c>
    </x:row>
    <x:row r="2753" ht="21.600000381469727" hidden="0" customHeight="1">
      <x:c r="A2753" s="29" t="n">
        <x:v>917</x:v>
      </x:c>
      <x:c r="B2753" s="29" t="str">
        <x:v>A1</x:v>
      </x:c>
      <x:c r="C2753" s="48" t="n">
        <x:v>0.9849525986346894</x:v>
      </x:c>
      <x:c r="D2753" s="48" t="n">
        <x:v>0.7708917865409172</x:v>
      </x:c>
      <x:c r="E2753" s="48" t="n">
        <x:v>0.5904848008586239</x:v>
      </x:c>
      <x:c r="F2753" s="48" t="n">
        <x:v>-0.1956597074032138</x:v>
      </x:c>
      <x:c r="G2753" s="48" t="n">
        <x:v>-0.12473210493652542</x:v>
      </x:c>
      <x:c r="H2753" s="48" t="n">
        <x:v>0.9109177127123371</x:v>
      </x:c>
      <x:c r="I2753" s="48" t="n">
        <x:v>0.784345170717705</x:v>
      </x:c>
      <x:c r="J2753" s="48" t="n">
        <x:v>0.43992922629912834</x:v>
      </x:c>
      <x:c r="K2753" s="48" t="n">
        <x:v>0.8297782916448956</x:v>
      </x:c>
      <x:c r="L2753" s="48" t="n">
        <x:v>0.9833658074859979</x:v>
      </x:c>
      <x:c r="M2753" s="48" t="n">
        <x:v>0.11303523838163414</x:v>
      </x:c>
      <x:c r="N2753" s="48" t="n">
        <x:v>0.8473994749050934</x:v>
      </x:c>
      <x:c r="O2753" s="48" t="n">
        <x:v>0.8365184743348841</x:v>
      </x:c>
      <x:c r="P2753" s="48" t="n">
        <x:v>0.6053772820284417</x:v>
      </x:c>
      <x:c r="Q2753" s="48" t="n">
        <x:v>1</x:v>
      </x:c>
      <x:c r="R2753" s="48" t="n">
        <x:v>0.7981259752848305</x:v>
      </x:c>
      <x:c r="S2753" s="29" t="n">
        <x:v>0</x:v>
      </x:c>
    </x:row>
    <x:row r="2754" ht="21.600000381469727" hidden="0" customHeight="1">
      <x:c r="A2754" s="27" t="n">
        <x:v>917</x:v>
      </x:c>
      <x:c r="B2754" s="27" t="str">
        <x:v>A2</x:v>
      </x:c>
      <x:c r="C2754" s="47" t="n">
        <x:v>0.9849525986346894</x:v>
      </x:c>
      <x:c r="D2754" s="47" t="n">
        <x:v>0.7708917865409172</x:v>
      </x:c>
      <x:c r="E2754" s="47" t="n">
        <x:v>0.5904848008586239</x:v>
      </x:c>
      <x:c r="F2754" s="47" t="n">
        <x:v>-0.1956597074032138</x:v>
      </x:c>
      <x:c r="G2754" s="47" t="n">
        <x:v>-0.12473210493652542</x:v>
      </x:c>
      <x:c r="H2754" s="47" t="n">
        <x:v>0.9109177127123371</x:v>
      </x:c>
      <x:c r="I2754" s="47" t="n">
        <x:v>0.784345170717705</x:v>
      </x:c>
      <x:c r="J2754" s="47" t="n">
        <x:v>0.43992922629912834</x:v>
      </x:c>
      <x:c r="K2754" s="47" t="n">
        <x:v>0.8297782916448956</x:v>
      </x:c>
      <x:c r="L2754" s="47" t="n">
        <x:v>0.9833658074859979</x:v>
      </x:c>
      <x:c r="M2754" s="47" t="n">
        <x:v>0.11303523838163414</x:v>
      </x:c>
      <x:c r="N2754" s="47" t="n">
        <x:v>0.8473994749050934</x:v>
      </x:c>
      <x:c r="O2754" s="47" t="n">
        <x:v>0.949094685078067</x:v>
      </x:c>
      <x:c r="P2754" s="47" t="n">
        <x:v>0.811997768228834</x:v>
      </x:c>
      <x:c r="Q2754" s="47" t="n">
        <x:v>1</x:v>
      </x:c>
      <x:c r="R2754" s="47" t="n">
        <x:v>0.9371399259893463</x:v>
      </x:c>
      <x:c r="S2754" s="27" t="n">
        <x:v>0</x:v>
      </x:c>
    </x:row>
    <x:row r="2755" ht="21.600000381469727" hidden="0" customHeight="1">
      <x:c r="A2755" s="29" t="n">
        <x:v>917</x:v>
      </x:c>
      <x:c r="B2755" s="29" t="str">
        <x:v>A3</x:v>
      </x:c>
      <x:c r="C2755" s="48" t="n">
        <x:v>0.9849525986346894</x:v>
      </x:c>
      <x:c r="D2755" s="48" t="n">
        <x:v>0.7708917865409172</x:v>
      </x:c>
      <x:c r="E2755" s="48" t="n">
        <x:v>0.5904848008586239</x:v>
      </x:c>
      <x:c r="F2755" s="48" t="n">
        <x:v>-0.1956597074032138</x:v>
      </x:c>
      <x:c r="G2755" s="48" t="n">
        <x:v>-0.12473210493652542</x:v>
      </x:c>
      <x:c r="H2755" s="48" t="n">
        <x:v>0.9109177127123371</x:v>
      </x:c>
      <x:c r="I2755" s="48" t="n">
        <x:v>0.784345170717705</x:v>
      </x:c>
      <x:c r="J2755" s="48" t="n">
        <x:v>0.43992922629912834</x:v>
      </x:c>
      <x:c r="K2755" s="48" t="n">
        <x:v>0.8297782916448956</x:v>
      </x:c>
      <x:c r="L2755" s="48" t="n">
        <x:v>0.9833658074859979</x:v>
      </x:c>
      <x:c r="M2755" s="48" t="n">
        <x:v>0.11303523838163414</x:v>
      </x:c>
      <x:c r="N2755" s="48" t="n">
        <x:v>0.8473994749050934</x:v>
      </x:c>
      <x:c r="O2755" s="48" t="n">
        <x:v>1</x:v>
      </x:c>
      <x:c r="P2755" s="48" t="n">
        <x:v>1</x:v>
      </x:c>
      <x:c r="Q2755" s="48" t="n">
        <x:v>1</x:v>
      </x:c>
      <x:c r="R2755" s="48" t="n">
        <x:v>1</x:v>
      </x:c>
      <x:c r="S2755" s="29" t="n">
        <x:v>1</x:v>
      </x:c>
    </x:row>
    <x:row r="2756" ht="21.600000381469727" hidden="0" customHeight="1">
      <x:c r="A2756" s="27" t="n">
        <x:v>918</x:v>
      </x:c>
      <x:c r="B2756" s="27" t="str">
        <x:v>A1</x:v>
      </x:c>
      <x:c r="C2756" s="47" t="n">
        <x:v>0.9801961246796098</x:v>
      </x:c>
      <x:c r="D2756" s="47" t="n">
        <x:v>0.8580348335230645</x:v>
      </x:c>
      <x:c r="E2756" s="47" t="n">
        <x:v>0.46277361195967787</x:v>
      </x:c>
      <x:c r="F2756" s="47" t="n">
        <x:v>-0.19965398425791714</x:v>
      </x:c>
      <x:c r="G2756" s="47" t="n">
        <x:v>-0.14923081716580297</x:v>
      </x:c>
      <x:c r="H2756" s="47" t="n">
        <x:v>0.5916961616430798</x:v>
      </x:c>
      <x:c r="I2756" s="47" t="n">
        <x:v>0.702085287985464</x:v>
      </x:c>
      <x:c r="J2756" s="47" t="n">
        <x:v>0.558546416050032</x:v>
      </x:c>
      <x:c r="K2756" s="47" t="n">
        <x:v>0.614932435067432</x:v>
      </x:c>
      <x:c r="L2756" s="47" t="n">
        <x:v>0.7719467342324106</x:v>
      </x:c>
      <x:c r="M2756" s="47" t="n">
        <x:v>0.1527373498054275</x:v>
      </x:c>
      <x:c r="N2756" s="47" t="n">
        <x:v>0.796155700846557</x:v>
      </x:c>
      <x:c r="O2756" s="47" t="n">
        <x:v>0.8717878703223478</x:v>
      </x:c>
      <x:c r="P2756" s="47" t="n">
        <x:v>0.6139057497998169</x:v>
      </x:c>
      <x:c r="Q2756" s="47" t="n">
        <x:v>1</x:v>
      </x:c>
      <x:c r="R2756" s="47" t="n">
        <x:v>0.8416781435698714</x:v>
      </x:c>
      <x:c r="S2756" s="27" t="n">
        <x:v>0</x:v>
      </x:c>
    </x:row>
    <x:row r="2757" ht="21.600000381469727" hidden="0" customHeight="1">
      <x:c r="A2757" s="29" t="n">
        <x:v>918</x:v>
      </x:c>
      <x:c r="B2757" s="29" t="str">
        <x:v>A2</x:v>
      </x:c>
      <x:c r="C2757" s="48" t="n">
        <x:v>0.9801961246796098</x:v>
      </x:c>
      <x:c r="D2757" s="48" t="n">
        <x:v>0.8580348335230645</x:v>
      </x:c>
      <x:c r="E2757" s="48" t="n">
        <x:v>0.46277361195967787</x:v>
      </x:c>
      <x:c r="F2757" s="48" t="n">
        <x:v>-0.19965398425791714</x:v>
      </x:c>
      <x:c r="G2757" s="48" t="n">
        <x:v>-0.14923081716580297</x:v>
      </x:c>
      <x:c r="H2757" s="48" t="n">
        <x:v>0.5916961616430798</x:v>
      </x:c>
      <x:c r="I2757" s="48" t="n">
        <x:v>0.702085287985464</x:v>
      </x:c>
      <x:c r="J2757" s="48" t="n">
        <x:v>0.558546416050032</x:v>
      </x:c>
      <x:c r="K2757" s="48" t="n">
        <x:v>0.614932435067432</x:v>
      </x:c>
      <x:c r="L2757" s="48" t="n">
        <x:v>0.7719467342324106</x:v>
      </x:c>
      <x:c r="M2757" s="48" t="n">
        <x:v>0.1527373498054275</x:v>
      </x:c>
      <x:c r="N2757" s="48" t="n">
        <x:v>0.796155700846557</x:v>
      </x:c>
      <x:c r="O2757" s="48" t="n">
        <x:v>0.9457985363720744</x:v>
      </x:c>
      <x:c r="P2757" s="48" t="n">
        <x:v>0.6573101200501172</x:v>
      </x:c>
      <x:c r="Q2757" s="48" t="n">
        <x:v>1</x:v>
      </x:c>
      <x:c r="R2757" s="48" t="n">
        <x:v>0.9330696996892719</x:v>
      </x:c>
      <x:c r="S2757" s="29" t="n">
        <x:v>0</x:v>
      </x:c>
    </x:row>
    <x:row r="2758" ht="21.600000381469727" hidden="0" customHeight="1">
      <x:c r="A2758" s="27" t="n">
        <x:v>918</x:v>
      </x:c>
      <x:c r="B2758" s="27" t="str">
        <x:v>A3</x:v>
      </x:c>
      <x:c r="C2758" s="47" t="n">
        <x:v>0.9801961246796098</x:v>
      </x:c>
      <x:c r="D2758" s="47" t="n">
        <x:v>0.8580348335230645</x:v>
      </x:c>
      <x:c r="E2758" s="47" t="n">
        <x:v>0.46277361195967787</x:v>
      </x:c>
      <x:c r="F2758" s="47" t="n">
        <x:v>-0.19965398425791714</x:v>
      </x:c>
      <x:c r="G2758" s="47" t="n">
        <x:v>-0.14923081716580297</x:v>
      </x:c>
      <x:c r="H2758" s="47" t="n">
        <x:v>0.5916961616430798</x:v>
      </x:c>
      <x:c r="I2758" s="47" t="n">
        <x:v>0.702085287985464</x:v>
      </x:c>
      <x:c r="J2758" s="47" t="n">
        <x:v>0.558546416050032</x:v>
      </x:c>
      <x:c r="K2758" s="47" t="n">
        <x:v>0.614932435067432</x:v>
      </x:c>
      <x:c r="L2758" s="47" t="n">
        <x:v>0.7719467342324106</x:v>
      </x:c>
      <x:c r="M2758" s="47" t="n">
        <x:v>0.1527373498054275</x:v>
      </x:c>
      <x:c r="N2758" s="47" t="n">
        <x:v>0.796155700846557</x:v>
      </x:c>
      <x:c r="O2758" s="47" t="n">
        <x:v>1</x:v>
      </x:c>
      <x:c r="P2758" s="47" t="n">
        <x:v>1</x:v>
      </x:c>
      <x:c r="Q2758" s="47" t="n">
        <x:v>1</x:v>
      </x:c>
      <x:c r="R2758" s="47" t="n">
        <x:v>1</x:v>
      </x:c>
      <x:c r="S2758" s="27" t="n">
        <x:v>1</x:v>
      </x:c>
    </x:row>
    <x:row r="2759" ht="21.600000381469727" hidden="0" customHeight="1">
      <x:c r="A2759" s="29" t="n">
        <x:v>919</x:v>
      </x:c>
      <x:c r="B2759" s="29" t="str">
        <x:v>A1</x:v>
      </x:c>
      <x:c r="C2759" s="48" t="n">
        <x:v>1.3335584772705675</x:v>
      </x:c>
      <x:c r="D2759" s="48" t="n">
        <x:v>0.986821055903343</x:v>
      </x:c>
      <x:c r="E2759" s="48" t="n">
        <x:v>0.7458610435244108</x:v>
      </x:c>
      <x:c r="F2759" s="48" t="n">
        <x:v>-0.10640493897001939</x:v>
      </x:c>
      <x:c r="G2759" s="48" t="n">
        <x:v>-0.17276336296996275</x:v>
      </x:c>
      <x:c r="H2759" s="48" t="n">
        <x:v>0.9272513089135028</x:v>
      </x:c>
      <x:c r="I2759" s="48" t="n">
        <x:v>0.7332878855759614</x:v>
      </x:c>
      <x:c r="J2759" s="48" t="n">
        <x:v>0.5884322231815562</x:v>
      </x:c>
      <x:c r="K2759" s="48" t="n">
        <x:v>0.8963320686334689</x:v>
      </x:c>
      <x:c r="L2759" s="48" t="n">
        <x:v>0.8209395510673656</x:v>
      </x:c>
      <x:c r="M2759" s="48" t="n">
        <x:v>0.12414533387133962</x:v>
      </x:c>
      <x:c r="N2759" s="48" t="n">
        <x:v>0.6645209735585978</x:v>
      </x:c>
      <x:c r="O2759" s="48" t="n">
        <x:v>0.8238541951985969</x:v>
      </x:c>
      <x:c r="P2759" s="48" t="n">
        <x:v>0.5656454807743966</x:v>
      </x:c>
      <x:c r="Q2759" s="48" t="n">
        <x:v>1</x:v>
      </x:c>
      <x:c r="R2759" s="48" t="n">
        <x:v>0.7824875782919145</x:v>
      </x:c>
      <x:c r="S2759" s="29" t="n">
        <x:v>0</x:v>
      </x:c>
    </x:row>
    <x:row r="2760" ht="21.600000381469727" hidden="0" customHeight="1">
      <x:c r="A2760" s="27" t="n">
        <x:v>919</x:v>
      </x:c>
      <x:c r="B2760" s="27" t="str">
        <x:v>A2</x:v>
      </x:c>
      <x:c r="C2760" s="47" t="n">
        <x:v>1.3335584772705675</x:v>
      </x:c>
      <x:c r="D2760" s="47" t="n">
        <x:v>0.986821055903343</x:v>
      </x:c>
      <x:c r="E2760" s="47" t="n">
        <x:v>0.7458610435244108</x:v>
      </x:c>
      <x:c r="F2760" s="47" t="n">
        <x:v>-0.10640493897001939</x:v>
      </x:c>
      <x:c r="G2760" s="47" t="n">
        <x:v>-0.17276336296996275</x:v>
      </x:c>
      <x:c r="H2760" s="47" t="n">
        <x:v>0.9272513089135028</x:v>
      </x:c>
      <x:c r="I2760" s="47" t="n">
        <x:v>0.7332878855759614</x:v>
      </x:c>
      <x:c r="J2760" s="47" t="n">
        <x:v>0.5884322231815562</x:v>
      </x:c>
      <x:c r="K2760" s="47" t="n">
        <x:v>0.8963320686334689</x:v>
      </x:c>
      <x:c r="L2760" s="47" t="n">
        <x:v>0.8209395510673656</x:v>
      </x:c>
      <x:c r="M2760" s="47" t="n">
        <x:v>0.12414533387133962</x:v>
      </x:c>
      <x:c r="N2760" s="47" t="n">
        <x:v>0.6645209735585978</x:v>
      </x:c>
      <x:c r="O2760" s="47" t="n">
        <x:v>0.9101906225128452</x:v>
      </x:c>
      <x:c r="P2760" s="47" t="n">
        <x:v>0.6902824609704052</x:v>
      </x:c>
      <x:c r="Q2760" s="47" t="n">
        <x:v>1</x:v>
      </x:c>
      <x:c r="R2760" s="47" t="n">
        <x:v>0.8890995149651669</x:v>
      </x:c>
      <x:c r="S2760" s="27" t="n">
        <x:v>0</x:v>
      </x:c>
    </x:row>
    <x:row r="2761" ht="21.600000381469727" hidden="0" customHeight="1">
      <x:c r="A2761" s="29" t="n">
        <x:v>919</x:v>
      </x:c>
      <x:c r="B2761" s="29" t="str">
        <x:v>A3</x:v>
      </x:c>
      <x:c r="C2761" s="48" t="n">
        <x:v>1.3335584772705675</x:v>
      </x:c>
      <x:c r="D2761" s="48" t="n">
        <x:v>0.986821055903343</x:v>
      </x:c>
      <x:c r="E2761" s="48" t="n">
        <x:v>0.7458610435244108</x:v>
      </x:c>
      <x:c r="F2761" s="48" t="n">
        <x:v>-0.10640493897001939</x:v>
      </x:c>
      <x:c r="G2761" s="48" t="n">
        <x:v>-0.17276336296996275</x:v>
      </x:c>
      <x:c r="H2761" s="48" t="n">
        <x:v>0.9272513089135028</x:v>
      </x:c>
      <x:c r="I2761" s="48" t="n">
        <x:v>0.7332878855759614</x:v>
      </x:c>
      <x:c r="J2761" s="48" t="n">
        <x:v>0.5884322231815562</x:v>
      </x:c>
      <x:c r="K2761" s="48" t="n">
        <x:v>0.8963320686334689</x:v>
      </x:c>
      <x:c r="L2761" s="48" t="n">
        <x:v>0.8209395510673656</x:v>
      </x:c>
      <x:c r="M2761" s="48" t="n">
        <x:v>0.12414533387133962</x:v>
      </x:c>
      <x:c r="N2761" s="48" t="n">
        <x:v>0.6645209735585978</x:v>
      </x:c>
      <x:c r="O2761" s="48" t="n">
        <x:v>1</x:v>
      </x:c>
      <x:c r="P2761" s="48" t="n">
        <x:v>1</x:v>
      </x:c>
      <x:c r="Q2761" s="48" t="n">
        <x:v>1</x:v>
      </x:c>
      <x:c r="R2761" s="48" t="n">
        <x:v>1</x:v>
      </x:c>
      <x:c r="S2761" s="29" t="n">
        <x:v>1</x:v>
      </x:c>
    </x:row>
    <x:row r="2762" ht="21.600000381469727" hidden="0" customHeight="1">
      <x:c r="A2762" s="27" t="n">
        <x:v>920</x:v>
      </x:c>
      <x:c r="B2762" s="27" t="str">
        <x:v>A1</x:v>
      </x:c>
      <x:c r="C2762" s="47" t="n">
        <x:v>1.2106977754541148</x:v>
      </x:c>
      <x:c r="D2762" s="47" t="n">
        <x:v>0.9321254655898853</x:v>
      </x:c>
      <x:c r="E2762" s="47" t="n">
        <x:v>0.6292510165843808</x:v>
      </x:c>
      <x:c r="F2762" s="47" t="n">
        <x:v>-0.01243708446827449</x:v>
      </x:c>
      <x:c r="G2762" s="47" t="n">
        <x:v>-0.0011539562151310079</x:v>
      </x:c>
      <x:c r="H2762" s="47" t="n">
        <x:v>0.3190801987480253</x:v>
      </x:c>
      <x:c r="I2762" s="47" t="n">
        <x:v>0.822686732760626</x:v>
      </x:c>
      <x:c r="J2762" s="47" t="n">
        <x:v>0.7545279044657949</x:v>
      </x:c>
      <x:c r="K2762" s="47" t="n">
        <x:v>0.6796418163492597</x:v>
      </x:c>
      <x:c r="L2762" s="47" t="n">
        <x:v>0.7015104797161517</x:v>
      </x:c>
      <x:c r="M2762" s="47" t="n">
        <x:v>0.06118827733431973</x:v>
      </x:c>
      <x:c r="N2762" s="47" t="n">
        <x:v>0.9240214966630872</x:v>
      </x:c>
      <x:c r="O2762" s="47" t="n">
        <x:v>0.8292900564339561</x:v>
      </x:c>
      <x:c r="P2762" s="47" t="n">
        <x:v>0.5648151727282421</x:v>
      </x:c>
      <x:c r="Q2762" s="47" t="n">
        <x:v>1</x:v>
      </x:c>
      <x:c r="R2762" s="47" t="n">
        <x:v>0.7892000137240563</x:v>
      </x:c>
      <x:c r="S2762" s="27" t="n">
        <x:v>0</x:v>
      </x:c>
    </x:row>
    <x:row r="2763" ht="21.600000381469727" hidden="0" customHeight="1">
      <x:c r="A2763" s="29" t="n">
        <x:v>920</x:v>
      </x:c>
      <x:c r="B2763" s="29" t="str">
        <x:v>A2</x:v>
      </x:c>
      <x:c r="C2763" s="48" t="n">
        <x:v>1.2106977754541148</x:v>
      </x:c>
      <x:c r="D2763" s="48" t="n">
        <x:v>0.9321254655898853</x:v>
      </x:c>
      <x:c r="E2763" s="48" t="n">
        <x:v>0.6292510165843808</x:v>
      </x:c>
      <x:c r="F2763" s="48" t="n">
        <x:v>-0.01243708446827449</x:v>
      </x:c>
      <x:c r="G2763" s="48" t="n">
        <x:v>-0.0011539562151310079</x:v>
      </x:c>
      <x:c r="H2763" s="48" t="n">
        <x:v>0.3190801987480253</x:v>
      </x:c>
      <x:c r="I2763" s="48" t="n">
        <x:v>0.822686732760626</x:v>
      </x:c>
      <x:c r="J2763" s="48" t="n">
        <x:v>0.7545279044657949</x:v>
      </x:c>
      <x:c r="K2763" s="48" t="n">
        <x:v>0.6796418163492597</x:v>
      </x:c>
      <x:c r="L2763" s="48" t="n">
        <x:v>0.7015104797161517</x:v>
      </x:c>
      <x:c r="M2763" s="48" t="n">
        <x:v>0.06118827733431973</x:v>
      </x:c>
      <x:c r="N2763" s="48" t="n">
        <x:v>0.9240214966630872</x:v>
      </x:c>
      <x:c r="O2763" s="48" t="n">
        <x:v>0.9101199210021618</x:v>
      </x:c>
      <x:c r="P2763" s="48" t="n">
        <x:v>0.5494706779381199</x:v>
      </x:c>
      <x:c r="Q2763" s="48" t="n">
        <x:v>1</x:v>
      </x:c>
      <x:c r="R2763" s="48" t="n">
        <x:v>0.8890122096965316</x:v>
      </x:c>
      <x:c r="S2763" s="29" t="n">
        <x:v>0</x:v>
      </x:c>
    </x:row>
    <x:row r="2764" ht="21.600000381469727" hidden="0" customHeight="1">
      <x:c r="A2764" s="27" t="n">
        <x:v>920</x:v>
      </x:c>
      <x:c r="B2764" s="27" t="str">
        <x:v>A3</x:v>
      </x:c>
      <x:c r="C2764" s="47" t="n">
        <x:v>1.2106977754541148</x:v>
      </x:c>
      <x:c r="D2764" s="47" t="n">
        <x:v>0.9321254655898853</x:v>
      </x:c>
      <x:c r="E2764" s="47" t="n">
        <x:v>0.6292510165843808</x:v>
      </x:c>
      <x:c r="F2764" s="47" t="n">
        <x:v>-0.01243708446827449</x:v>
      </x:c>
      <x:c r="G2764" s="47" t="n">
        <x:v>-0.0011539562151310079</x:v>
      </x:c>
      <x:c r="H2764" s="47" t="n">
        <x:v>0.3190801987480253</x:v>
      </x:c>
      <x:c r="I2764" s="47" t="n">
        <x:v>0.822686732760626</x:v>
      </x:c>
      <x:c r="J2764" s="47" t="n">
        <x:v>0.7545279044657949</x:v>
      </x:c>
      <x:c r="K2764" s="47" t="n">
        <x:v>0.6796418163492597</x:v>
      </x:c>
      <x:c r="L2764" s="47" t="n">
        <x:v>0.7015104797161517</x:v>
      </x:c>
      <x:c r="M2764" s="47" t="n">
        <x:v>0.06118827733431973</x:v>
      </x:c>
      <x:c r="N2764" s="47" t="n">
        <x:v>0.9240214966630872</x:v>
      </x:c>
      <x:c r="O2764" s="47" t="n">
        <x:v>1.0000000000000002</x:v>
      </x:c>
      <x:c r="P2764" s="47" t="n">
        <x:v>1</x:v>
      </x:c>
      <x:c r="Q2764" s="47" t="n">
        <x:v>1</x:v>
      </x:c>
      <x:c r="R2764" s="47" t="n">
        <x:v>1</x:v>
      </x:c>
      <x:c r="S2764" s="27" t="n">
        <x:v>1</x:v>
      </x:c>
    </x:row>
    <x:row r="2765" ht="21.600000381469727" hidden="0" customHeight="1">
      <x:c r="A2765" s="29" t="n">
        <x:v>921</x:v>
      </x:c>
      <x:c r="B2765" s="29" t="str">
        <x:v>A1</x:v>
      </x:c>
      <x:c r="C2765" s="48" t="n">
        <x:v>0.9081650620506082</x:v>
      </x:c>
      <x:c r="D2765" s="48" t="n">
        <x:v>0.7926302356931318</x:v>
      </x:c>
      <x:c r="E2765" s="48" t="n">
        <x:v>0.5103842997314275</x:v>
      </x:c>
      <x:c r="F2765" s="48" t="n">
        <x:v>-0.08008423763996103</x:v>
      </x:c>
      <x:c r="G2765" s="48" t="n">
        <x:v>-0.1267162432280759</x:v>
      </x:c>
      <x:c r="H2765" s="48" t="n">
        <x:v>0.6849861977026942</x:v>
      </x:c>
      <x:c r="I2765" s="48" t="n">
        <x:v>0.9705575443067287</x:v>
      </x:c>
      <x:c r="J2765" s="48" t="n">
        <x:v>0.9597142021290788</x:v>
      </x:c>
      <x:c r="K2765" s="48" t="n">
        <x:v>0.9729661042739717</x:v>
      </x:c>
      <x:c r="L2765" s="48" t="n">
        <x:v>0.6383133445461968</x:v>
      </x:c>
      <x:c r="M2765" s="48" t="n">
        <x:v>0.02445035756149008</x:v>
      </x:c>
      <x:c r="N2765" s="48" t="n">
        <x:v>0.7765025389329019</x:v>
      </x:c>
      <x:c r="O2765" s="48" t="n">
        <x:v>0.951513983500778</x:v>
      </x:c>
      <x:c r="P2765" s="48" t="n">
        <x:v>0.6410046983854631</x:v>
      </x:c>
      <x:c r="Q2765" s="48" t="n">
        <x:v>1</x:v>
      </x:c>
      <x:c r="R2765" s="48" t="n">
        <x:v>0.9401273798168822</x:v>
      </x:c>
      <x:c r="S2765" s="29" t="n">
        <x:v>0</x:v>
      </x:c>
    </x:row>
    <x:row r="2766" ht="21.600000381469727" hidden="0" customHeight="1">
      <x:c r="A2766" s="27" t="n">
        <x:v>921</x:v>
      </x:c>
      <x:c r="B2766" s="27" t="str">
        <x:v>A2</x:v>
      </x:c>
      <x:c r="C2766" s="47" t="n">
        <x:v>0.9081650620506082</x:v>
      </x:c>
      <x:c r="D2766" s="47" t="n">
        <x:v>0.7926302356931318</x:v>
      </x:c>
      <x:c r="E2766" s="47" t="n">
        <x:v>0.5103842997314275</x:v>
      </x:c>
      <x:c r="F2766" s="47" t="n">
        <x:v>-0.08008423763996103</x:v>
      </x:c>
      <x:c r="G2766" s="47" t="n">
        <x:v>-0.1267162432280759</x:v>
      </x:c>
      <x:c r="H2766" s="47" t="n">
        <x:v>0.6849861977026942</x:v>
      </x:c>
      <x:c r="I2766" s="47" t="n">
        <x:v>0.9705575443067287</x:v>
      </x:c>
      <x:c r="J2766" s="47" t="n">
        <x:v>0.9597142021290788</x:v>
      </x:c>
      <x:c r="K2766" s="47" t="n">
        <x:v>0.9729661042739717</x:v>
      </x:c>
      <x:c r="L2766" s="47" t="n">
        <x:v>0.6383133445461968</x:v>
      </x:c>
      <x:c r="M2766" s="47" t="n">
        <x:v>0.02445035756149008</x:v>
      </x:c>
      <x:c r="N2766" s="47" t="n">
        <x:v>0.7765025389329019</x:v>
      </x:c>
      <x:c r="O2766" s="47" t="n">
        <x:v>0.9672195378485893</x:v>
      </x:c>
      <x:c r="P2766" s="47" t="n">
        <x:v>0.7029552517842819</x:v>
      </x:c>
      <x:c r="Q2766" s="47" t="n">
        <x:v>1</x:v>
      </x:c>
      <x:c r="R2766" s="47" t="n">
        <x:v>0.9595212743482449</x:v>
      </x:c>
      <x:c r="S2766" s="27" t="n">
        <x:v>0</x:v>
      </x:c>
    </x:row>
    <x:row r="2767" ht="21.600000381469727" hidden="0" customHeight="1">
      <x:c r="A2767" s="29" t="n">
        <x:v>921</x:v>
      </x:c>
      <x:c r="B2767" s="29" t="str">
        <x:v>A3</x:v>
      </x:c>
      <x:c r="C2767" s="48" t="n">
        <x:v>0.9081650620506082</x:v>
      </x:c>
      <x:c r="D2767" s="48" t="n">
        <x:v>0.7926302356931318</x:v>
      </x:c>
      <x:c r="E2767" s="48" t="n">
        <x:v>0.5103842997314275</x:v>
      </x:c>
      <x:c r="F2767" s="48" t="n">
        <x:v>-0.08008423763996103</x:v>
      </x:c>
      <x:c r="G2767" s="48" t="n">
        <x:v>-0.1267162432280759</x:v>
      </x:c>
      <x:c r="H2767" s="48" t="n">
        <x:v>0.6849861977026942</x:v>
      </x:c>
      <x:c r="I2767" s="48" t="n">
        <x:v>0.9705575443067287</x:v>
      </x:c>
      <x:c r="J2767" s="48" t="n">
        <x:v>0.9597142021290788</x:v>
      </x:c>
      <x:c r="K2767" s="48" t="n">
        <x:v>0.9729661042739717</x:v>
      </x:c>
      <x:c r="L2767" s="48" t="n">
        <x:v>0.6383133445461968</x:v>
      </x:c>
      <x:c r="M2767" s="48" t="n">
        <x:v>0.02445035756149008</x:v>
      </x:c>
      <x:c r="N2767" s="48" t="n">
        <x:v>0.7765025389329019</x:v>
      </x:c>
      <x:c r="O2767" s="48" t="n">
        <x:v>1</x:v>
      </x:c>
      <x:c r="P2767" s="48" t="n">
        <x:v>1</x:v>
      </x:c>
      <x:c r="Q2767" s="48" t="n">
        <x:v>1</x:v>
      </x:c>
      <x:c r="R2767" s="48" t="n">
        <x:v>1</x:v>
      </x:c>
      <x:c r="S2767" s="29" t="n">
        <x:v>1</x:v>
      </x:c>
    </x:row>
    <x:row r="2768" ht="21.600000381469727" hidden="0" customHeight="1">
      <x:c r="A2768" s="27" t="n">
        <x:v>922</x:v>
      </x:c>
      <x:c r="B2768" s="27" t="str">
        <x:v>A1</x:v>
      </x:c>
      <x:c r="C2768" s="47" t="n">
        <x:v>1.1931871821911209</x:v>
      </x:c>
      <x:c r="D2768" s="47" t="n">
        <x:v>0.7678668259777683</x:v>
      </x:c>
      <x:c r="E2768" s="47" t="n">
        <x:v>0.9574373448340248</x:v>
      </x:c>
      <x:c r="F2768" s="47" t="n">
        <x:v>-0.171875701152769</x:v>
      </x:c>
      <x:c r="G2768" s="47" t="n">
        <x:v>-0.053291023224309064</x:v>
      </x:c>
      <x:c r="H2768" s="47" t="n">
        <x:v>0.917214301617477</x:v>
      </x:c>
      <x:c r="I2768" s="47" t="n">
        <x:v>0.7550946915569896</x:v>
      </x:c>
      <x:c r="J2768" s="47" t="n">
        <x:v>0.6836864561481547</x:v>
      </x:c>
      <x:c r="K2768" s="47" t="n">
        <x:v>0.769631438978739</x:v>
      </x:c>
      <x:c r="L2768" s="47" t="n">
        <x:v>0.7183416180967797</x:v>
      </x:c>
      <x:c r="M2768" s="47" t="n">
        <x:v>0.10731651337982116</x:v>
      </x:c>
      <x:c r="N2768" s="47" t="n">
        <x:v>0.9972034088327574</x:v>
      </x:c>
      <x:c r="O2768" s="47" t="n">
        <x:v>0.793572297583964</x:v>
      </x:c>
      <x:c r="P2768" s="47" t="n">
        <x:v>0.49899291817542896</x:v>
      </x:c>
      <x:c r="Q2768" s="47" t="n">
        <x:v>1</x:v>
      </x:c>
      <x:c r="R2768" s="47" t="n">
        <x:v>0.7450941876772398</x:v>
      </x:c>
      <x:c r="S2768" s="27" t="n">
        <x:v>0</x:v>
      </x:c>
    </x:row>
    <x:row r="2769" ht="21.600000381469727" hidden="0" customHeight="1">
      <x:c r="A2769" s="29" t="n">
        <x:v>922</x:v>
      </x:c>
      <x:c r="B2769" s="29" t="str">
        <x:v>A2</x:v>
      </x:c>
      <x:c r="C2769" s="48" t="n">
        <x:v>1.1931871821911209</x:v>
      </x:c>
      <x:c r="D2769" s="48" t="n">
        <x:v>0.7678668259777683</x:v>
      </x:c>
      <x:c r="E2769" s="48" t="n">
        <x:v>0.9574373448340248</x:v>
      </x:c>
      <x:c r="F2769" s="48" t="n">
        <x:v>-0.171875701152769</x:v>
      </x:c>
      <x:c r="G2769" s="48" t="n">
        <x:v>-0.053291023224309064</x:v>
      </x:c>
      <x:c r="H2769" s="48" t="n">
        <x:v>0.917214301617477</x:v>
      </x:c>
      <x:c r="I2769" s="48" t="n">
        <x:v>0.7550946915569896</x:v>
      </x:c>
      <x:c r="J2769" s="48" t="n">
        <x:v>0.6836864561481547</x:v>
      </x:c>
      <x:c r="K2769" s="48" t="n">
        <x:v>0.769631438978739</x:v>
      </x:c>
      <x:c r="L2769" s="48" t="n">
        <x:v>0.7183416180967797</x:v>
      </x:c>
      <x:c r="M2769" s="48" t="n">
        <x:v>0.10731651337982116</x:v>
      </x:c>
      <x:c r="N2769" s="48" t="n">
        <x:v>0.9972034088327574</x:v>
      </x:c>
      <x:c r="O2769" s="48" t="n">
        <x:v>0.8822487992073882</x:v>
      </x:c>
      <x:c r="P2769" s="48" t="n">
        <x:v>0.5764147961400404</x:v>
      </x:c>
      <x:c r="Q2769" s="48" t="n">
        <x:v>1</x:v>
      </x:c>
      <x:c r="R2769" s="48" t="n">
        <x:v>0.8545957488325491</x:v>
      </x:c>
      <x:c r="S2769" s="29" t="n">
        <x:v>0</x:v>
      </x:c>
    </x:row>
    <x:row r="2770" ht="21.600000381469727" hidden="0" customHeight="1">
      <x:c r="A2770" s="27" t="n">
        <x:v>922</x:v>
      </x:c>
      <x:c r="B2770" s="27" t="str">
        <x:v>A3</x:v>
      </x:c>
      <x:c r="C2770" s="47" t="n">
        <x:v>1.1931871821911209</x:v>
      </x:c>
      <x:c r="D2770" s="47" t="n">
        <x:v>0.7678668259777683</x:v>
      </x:c>
      <x:c r="E2770" s="47" t="n">
        <x:v>0.9574373448340248</x:v>
      </x:c>
      <x:c r="F2770" s="47" t="n">
        <x:v>-0.171875701152769</x:v>
      </x:c>
      <x:c r="G2770" s="47" t="n">
        <x:v>-0.053291023224309064</x:v>
      </x:c>
      <x:c r="H2770" s="47" t="n">
        <x:v>0.917214301617477</x:v>
      </x:c>
      <x:c r="I2770" s="47" t="n">
        <x:v>0.7550946915569896</x:v>
      </x:c>
      <x:c r="J2770" s="47" t="n">
        <x:v>0.6836864561481547</x:v>
      </x:c>
      <x:c r="K2770" s="47" t="n">
        <x:v>0.769631438978739</x:v>
      </x:c>
      <x:c r="L2770" s="47" t="n">
        <x:v>0.7183416180967797</x:v>
      </x:c>
      <x:c r="M2770" s="47" t="n">
        <x:v>0.10731651337982116</x:v>
      </x:c>
      <x:c r="N2770" s="47" t="n">
        <x:v>0.9972034088327574</x:v>
      </x:c>
      <x:c r="O2770" s="47" t="n">
        <x:v>1</x:v>
      </x:c>
      <x:c r="P2770" s="47" t="n">
        <x:v>1</x:v>
      </x:c>
      <x:c r="Q2770" s="47" t="n">
        <x:v>1</x:v>
      </x:c>
      <x:c r="R2770" s="47" t="n">
        <x:v>1</x:v>
      </x:c>
      <x:c r="S2770" s="27" t="n">
        <x:v>1</x:v>
      </x:c>
    </x:row>
    <x:row r="2771" ht="21.600000381469727" hidden="0" customHeight="1">
      <x:c r="A2771" s="29" t="n">
        <x:v>923</x:v>
      </x:c>
      <x:c r="B2771" s="29" t="str">
        <x:v>A1</x:v>
      </x:c>
      <x:c r="C2771" s="48" t="n">
        <x:v>0.9145699216764736</x:v>
      </x:c>
      <x:c r="D2771" s="48" t="n">
        <x:v>0.965383831707449</x:v>
      </x:c>
      <x:c r="E2771" s="48" t="n">
        <x:v>1.0218273088591725</x:v>
      </x:c>
      <x:c r="F2771" s="48" t="n">
        <x:v>0.019764798944860884</x:v>
      </x:c>
      <x:c r="G2771" s="48" t="n">
        <x:v>-0.18248938661295816</x:v>
      </x:c>
      <x:c r="H2771" s="48" t="n">
        <x:v>0.6966947796743911</x:v>
      </x:c>
      <x:c r="I2771" s="48" t="n">
        <x:v>0.9557501945923932</x:v>
      </x:c>
      <x:c r="J2771" s="48" t="n">
        <x:v>0.8984641307611245</x:v>
      </x:c>
      <x:c r="K2771" s="48" t="n">
        <x:v>0.9149641479903234</x:v>
      </x:c>
      <x:c r="L2771" s="48" t="n">
        <x:v>0.9451408841625111</x:v>
      </x:c>
      <x:c r="M2771" s="48" t="n">
        <x:v>0.07722542599317628</x:v>
      </x:c>
      <x:c r="N2771" s="48" t="n">
        <x:v>0.724771018175355</x:v>
      </x:c>
      <x:c r="O2771" s="48" t="n">
        <x:v>1</x:v>
      </x:c>
      <x:c r="P2771" s="48" t="n">
        <x:v>1</x:v>
      </x:c>
      <x:c r="Q2771" s="48" t="n">
        <x:v>1</x:v>
      </x:c>
      <x:c r="R2771" s="48" t="n">
        <x:v>1</x:v>
      </x:c>
      <x:c r="S2771" s="29" t="n">
        <x:v>1</x:v>
      </x:c>
    </x:row>
    <x:row r="2772" ht="21.600000381469727" hidden="0" customHeight="1">
      <x:c r="A2772" s="27" t="n">
        <x:v>923</x:v>
      </x:c>
      <x:c r="B2772" s="27" t="str">
        <x:v>A2</x:v>
      </x:c>
      <x:c r="C2772" s="47" t="n">
        <x:v>0.9145699216764736</x:v>
      </x:c>
      <x:c r="D2772" s="47" t="n">
        <x:v>0.965383831707449</x:v>
      </x:c>
      <x:c r="E2772" s="47" t="n">
        <x:v>1.0218273088591725</x:v>
      </x:c>
      <x:c r="F2772" s="47" t="n">
        <x:v>0.019764798944860884</x:v>
      </x:c>
      <x:c r="G2772" s="47" t="n">
        <x:v>-0.18248938661295816</x:v>
      </x:c>
      <x:c r="H2772" s="47" t="n">
        <x:v>0.6966947796743911</x:v>
      </x:c>
      <x:c r="I2772" s="47" t="n">
        <x:v>0.9557501945923932</x:v>
      </x:c>
      <x:c r="J2772" s="47" t="n">
        <x:v>0.8984641307611245</x:v>
      </x:c>
      <x:c r="K2772" s="47" t="n">
        <x:v>0.9149641479903234</x:v>
      </x:c>
      <x:c r="L2772" s="47" t="n">
        <x:v>0.9451408841625111</x:v>
      </x:c>
      <x:c r="M2772" s="47" t="n">
        <x:v>0.07722542599317628</x:v>
      </x:c>
      <x:c r="N2772" s="47" t="n">
        <x:v>0.724771018175355</x:v>
      </x:c>
      <x:c r="O2772" s="47" t="n">
        <x:v>1</x:v>
      </x:c>
      <x:c r="P2772" s="47" t="n">
        <x:v>1</x:v>
      </x:c>
      <x:c r="Q2772" s="47" t="n">
        <x:v>1</x:v>
      </x:c>
      <x:c r="R2772" s="47" t="n">
        <x:v>1</x:v>
      </x:c>
      <x:c r="S2772" s="27" t="n">
        <x:v>1</x:v>
      </x:c>
    </x:row>
    <x:row r="2773" ht="21.600000381469727" hidden="0" customHeight="1">
      <x:c r="A2773" s="29" t="n">
        <x:v>923</x:v>
      </x:c>
      <x:c r="B2773" s="29" t="str">
        <x:v>A3</x:v>
      </x:c>
      <x:c r="C2773" s="48" t="n">
        <x:v>0.9145699216764736</x:v>
      </x:c>
      <x:c r="D2773" s="48" t="n">
        <x:v>0.965383831707449</x:v>
      </x:c>
      <x:c r="E2773" s="48" t="n">
        <x:v>1.0218273088591725</x:v>
      </x:c>
      <x:c r="F2773" s="48" t="n">
        <x:v>0.019764798944860884</x:v>
      </x:c>
      <x:c r="G2773" s="48" t="n">
        <x:v>-0.18248938661295816</x:v>
      </x:c>
      <x:c r="H2773" s="48" t="n">
        <x:v>0.6966947796743911</x:v>
      </x:c>
      <x:c r="I2773" s="48" t="n">
        <x:v>0.9557501945923932</x:v>
      </x:c>
      <x:c r="J2773" s="48" t="n">
        <x:v>0.8984641307611245</x:v>
      </x:c>
      <x:c r="K2773" s="48" t="n">
        <x:v>0.9149641479903234</x:v>
      </x:c>
      <x:c r="L2773" s="48" t="n">
        <x:v>0.9451408841625111</x:v>
      </x:c>
      <x:c r="M2773" s="48" t="n">
        <x:v>0.07722542599317628</x:v>
      </x:c>
      <x:c r="N2773" s="48" t="n">
        <x:v>0.724771018175355</x:v>
      </x:c>
      <x:c r="O2773" s="48" t="n">
        <x:v>1</x:v>
      </x:c>
      <x:c r="P2773" s="48" t="n">
        <x:v>1</x:v>
      </x:c>
      <x:c r="Q2773" s="48" t="n">
        <x:v>1</x:v>
      </x:c>
      <x:c r="R2773" s="48" t="n">
        <x:v>1</x:v>
      </x:c>
      <x:c r="S2773" s="29" t="n">
        <x:v>1</x:v>
      </x:c>
    </x:row>
    <x:row r="2774" ht="21.600000381469727" hidden="0" customHeight="1">
      <x:c r="A2774" s="27" t="n">
        <x:v>924</x:v>
      </x:c>
      <x:c r="B2774" s="27" t="str">
        <x:v>A1</x:v>
      </x:c>
      <x:c r="C2774" s="47" t="n">
        <x:v>0.9323096983129269</x:v>
      </x:c>
      <x:c r="D2774" s="47" t="n">
        <x:v>0.8358971992852088</x:v>
      </x:c>
      <x:c r="E2774" s="47" t="n">
        <x:v>0.8903568797057022</x:v>
      </x:c>
      <x:c r="F2774" s="47" t="n">
        <x:v>-0.16447089982239277</x:v>
      </x:c>
      <x:c r="G2774" s="47" t="n">
        <x:v>-0.16836734074877285</x:v>
      </x:c>
      <x:c r="H2774" s="47" t="n">
        <x:v>0.6623328077116257</x:v>
      </x:c>
      <x:c r="I2774" s="47" t="n">
        <x:v>0.9332938199366162</x:v>
      </x:c>
      <x:c r="J2774" s="47" t="n">
        <x:v>0.4085978207636045</x:v>
      </x:c>
      <x:c r="K2774" s="47" t="n">
        <x:v>0.7012038990991898</x:v>
      </x:c>
      <x:c r="L2774" s="47" t="n">
        <x:v>0.5010273896503848</x:v>
      </x:c>
      <x:c r="M2774" s="47" t="n">
        <x:v>0.01916781575733988</x:v>
      </x:c>
      <x:c r="N2774" s="47" t="n">
        <x:v>0.7101155577703684</x:v>
      </x:c>
      <x:c r="O2774" s="47" t="n">
        <x:v>0.8976604896637927</x:v>
      </x:c>
      <x:c r="P2774" s="47" t="n">
        <x:v>0.6554934858722258</x:v>
      </x:c>
      <x:c r="Q2774" s="47" t="n">
        <x:v>1</x:v>
      </x:c>
      <x:c r="R2774" s="47" t="n">
        <x:v>0.8736267675818599</x:v>
      </x:c>
      <x:c r="S2774" s="27" t="n">
        <x:v>0</x:v>
      </x:c>
    </x:row>
    <x:row r="2775" ht="21.600000381469727" hidden="0" customHeight="1">
      <x:c r="A2775" s="29" t="n">
        <x:v>924</x:v>
      </x:c>
      <x:c r="B2775" s="29" t="str">
        <x:v>A2</x:v>
      </x:c>
      <x:c r="C2775" s="48" t="n">
        <x:v>0.9323096983129269</x:v>
      </x:c>
      <x:c r="D2775" s="48" t="n">
        <x:v>0.8358971992852088</x:v>
      </x:c>
      <x:c r="E2775" s="48" t="n">
        <x:v>0.8903568797057022</x:v>
      </x:c>
      <x:c r="F2775" s="48" t="n">
        <x:v>-0.16447089982239277</x:v>
      </x:c>
      <x:c r="G2775" s="48" t="n">
        <x:v>-0.16836734074877285</x:v>
      </x:c>
      <x:c r="H2775" s="48" t="n">
        <x:v>0.6623328077116257</x:v>
      </x:c>
      <x:c r="I2775" s="48" t="n">
        <x:v>0.9332938199366162</x:v>
      </x:c>
      <x:c r="J2775" s="48" t="n">
        <x:v>0.4085978207636045</x:v>
      </x:c>
      <x:c r="K2775" s="48" t="n">
        <x:v>0.7012038990991898</x:v>
      </x:c>
      <x:c r="L2775" s="48" t="n">
        <x:v>0.5010273896503848</x:v>
      </x:c>
      <x:c r="M2775" s="48" t="n">
        <x:v>0.01916781575733988</x:v>
      </x:c>
      <x:c r="N2775" s="48" t="n">
        <x:v>0.7101155577703684</x:v>
      </x:c>
      <x:c r="O2775" s="48" t="n">
        <x:v>0.9811274572150069</x:v>
      </x:c>
      <x:c r="P2775" s="48" t="n">
        <x:v>0.8852341487707992</x:v>
      </x:c>
      <x:c r="Q2775" s="48" t="n">
        <x:v>1</x:v>
      </x:c>
      <x:c r="R2775" s="48" t="n">
        <x:v>0.9766953718280063</x:v>
      </x:c>
      <x:c r="S2775" s="29" t="n">
        <x:v>0</x:v>
      </x:c>
    </x:row>
    <x:row r="2776" ht="21.600000381469727" hidden="0" customHeight="1">
      <x:c r="A2776" s="27" t="n">
        <x:v>924</x:v>
      </x:c>
      <x:c r="B2776" s="27" t="str">
        <x:v>A3</x:v>
      </x:c>
      <x:c r="C2776" s="47" t="n">
        <x:v>0.9323096983129269</x:v>
      </x:c>
      <x:c r="D2776" s="47" t="n">
        <x:v>0.8358971992852088</x:v>
      </x:c>
      <x:c r="E2776" s="47" t="n">
        <x:v>0.8903568797057022</x:v>
      </x:c>
      <x:c r="F2776" s="47" t="n">
        <x:v>-0.16447089982239277</x:v>
      </x:c>
      <x:c r="G2776" s="47" t="n">
        <x:v>-0.16836734074877285</x:v>
      </x:c>
      <x:c r="H2776" s="47" t="n">
        <x:v>0.6623328077116257</x:v>
      </x:c>
      <x:c r="I2776" s="47" t="n">
        <x:v>0.9332938199366162</x:v>
      </x:c>
      <x:c r="J2776" s="47" t="n">
        <x:v>0.4085978207636045</x:v>
      </x:c>
      <x:c r="K2776" s="47" t="n">
        <x:v>0.7012038990991898</x:v>
      </x:c>
      <x:c r="L2776" s="47" t="n">
        <x:v>0.5010273896503848</x:v>
      </x:c>
      <x:c r="M2776" s="47" t="n">
        <x:v>0.01916781575733988</x:v>
      </x:c>
      <x:c r="N2776" s="47" t="n">
        <x:v>0.7101155577703684</x:v>
      </x:c>
      <x:c r="O2776" s="47" t="n">
        <x:v>1</x:v>
      </x:c>
      <x:c r="P2776" s="47" t="n">
        <x:v>1</x:v>
      </x:c>
      <x:c r="Q2776" s="47" t="n">
        <x:v>1</x:v>
      </x:c>
      <x:c r="R2776" s="47" t="n">
        <x:v>1</x:v>
      </x:c>
      <x:c r="S2776" s="27" t="n">
        <x:v>1</x:v>
      </x:c>
    </x:row>
    <x:row r="2777" ht="21.600000381469727" hidden="0" customHeight="1">
      <x:c r="A2777" s="29" t="n">
        <x:v>925</x:v>
      </x:c>
      <x:c r="B2777" s="29" t="str">
        <x:v>A1</x:v>
      </x:c>
      <x:c r="C2777" s="48" t="n">
        <x:v>1.2758623627277457</x:v>
      </x:c>
      <x:c r="D2777" s="48" t="n">
        <x:v>0.9082250061818475</x:v>
      </x:c>
      <x:c r="E2777" s="48" t="n">
        <x:v>0.9941356780631363</x:v>
      </x:c>
      <x:c r="F2777" s="48" t="n">
        <x:v>0.006857719485681507</x:v>
      </x:c>
      <x:c r="G2777" s="48" t="n">
        <x:v>-0.1531720860852236</x:v>
      </x:c>
      <x:c r="H2777" s="48" t="n">
        <x:v>0.3633066699350096</x:v>
      </x:c>
      <x:c r="I2777" s="48" t="n">
        <x:v>0.9536875469847719</x:v>
      </x:c>
      <x:c r="J2777" s="48" t="n">
        <x:v>0.9992207170859265</x:v>
      </x:c>
      <x:c r="K2777" s="48" t="n">
        <x:v>0.7496461649298818</x:v>
      </x:c>
      <x:c r="L2777" s="48" t="n">
        <x:v>0.5577586095141503</x:v>
      </x:c>
      <x:c r="M2777" s="48" t="n">
        <x:v>0.10802267445629388</x:v>
      </x:c>
      <x:c r="N2777" s="48" t="n">
        <x:v>0.774198078245401</x:v>
      </x:c>
      <x:c r="O2777" s="48" t="n">
        <x:v>0.7839069211567438</x:v>
      </x:c>
      <x:c r="P2777" s="48" t="n">
        <x:v>0.5044638055848841</x:v>
      </x:c>
      <x:c r="Q2777" s="48" t="n">
        <x:v>1</x:v>
      </x:c>
      <x:c r="R2777" s="48" t="n">
        <x:v>0.733158964832874</x:v>
      </x:c>
      <x:c r="S2777" s="29" t="n">
        <x:v>0</x:v>
      </x:c>
    </x:row>
    <x:row r="2778" ht="21.600000381469727" hidden="0" customHeight="1">
      <x:c r="A2778" s="27" t="n">
        <x:v>925</x:v>
      </x:c>
      <x:c r="B2778" s="27" t="str">
        <x:v>A2</x:v>
      </x:c>
      <x:c r="C2778" s="47" t="n">
        <x:v>1.2758623627277457</x:v>
      </x:c>
      <x:c r="D2778" s="47" t="n">
        <x:v>0.9082250061818475</x:v>
      </x:c>
      <x:c r="E2778" s="47" t="n">
        <x:v>0.9941356780631363</x:v>
      </x:c>
      <x:c r="F2778" s="47" t="n">
        <x:v>0.006857719485681507</x:v>
      </x:c>
      <x:c r="G2778" s="47" t="n">
        <x:v>-0.1531720860852236</x:v>
      </x:c>
      <x:c r="H2778" s="47" t="n">
        <x:v>0.3633066699350096</x:v>
      </x:c>
      <x:c r="I2778" s="47" t="n">
        <x:v>0.9536875469847719</x:v>
      </x:c>
      <x:c r="J2778" s="47" t="n">
        <x:v>0.9992207170859265</x:v>
      </x:c>
      <x:c r="K2778" s="47" t="n">
        <x:v>0.7496461649298818</x:v>
      </x:c>
      <x:c r="L2778" s="47" t="n">
        <x:v>0.5577586095141503</x:v>
      </x:c>
      <x:c r="M2778" s="47" t="n">
        <x:v>0.10802267445629388</x:v>
      </x:c>
      <x:c r="N2778" s="47" t="n">
        <x:v>0.774198078245401</x:v>
      </x:c>
      <x:c r="O2778" s="47" t="n">
        <x:v>0.8919467914407445</x:v>
      </x:c>
      <x:c r="P2778" s="47" t="n">
        <x:v>0.616880387067902</x:v>
      </x:c>
      <x:c r="Q2778" s="47" t="n">
        <x:v>1</x:v>
      </x:c>
      <x:c r="R2778" s="47" t="n">
        <x:v>0.8665712470782314</x:v>
      </x:c>
      <x:c r="S2778" s="27" t="n">
        <x:v>0</x:v>
      </x:c>
    </x:row>
    <x:row r="2779" ht="21.600000381469727" hidden="0" customHeight="1">
      <x:c r="A2779" s="29" t="n">
        <x:v>925</x:v>
      </x:c>
      <x:c r="B2779" s="29" t="str">
        <x:v>A3</x:v>
      </x:c>
      <x:c r="C2779" s="48" t="n">
        <x:v>1.2758623627277457</x:v>
      </x:c>
      <x:c r="D2779" s="48" t="n">
        <x:v>0.9082250061818475</x:v>
      </x:c>
      <x:c r="E2779" s="48" t="n">
        <x:v>0.9941356780631363</x:v>
      </x:c>
      <x:c r="F2779" s="48" t="n">
        <x:v>0.006857719485681507</x:v>
      </x:c>
      <x:c r="G2779" s="48" t="n">
        <x:v>-0.1531720860852236</x:v>
      </x:c>
      <x:c r="H2779" s="48" t="n">
        <x:v>0.3633066699350096</x:v>
      </x:c>
      <x:c r="I2779" s="48" t="n">
        <x:v>0.9536875469847719</x:v>
      </x:c>
      <x:c r="J2779" s="48" t="n">
        <x:v>0.9992207170859265</x:v>
      </x:c>
      <x:c r="K2779" s="48" t="n">
        <x:v>0.7496461649298818</x:v>
      </x:c>
      <x:c r="L2779" s="48" t="n">
        <x:v>0.5577586095141503</x:v>
      </x:c>
      <x:c r="M2779" s="48" t="n">
        <x:v>0.10802267445629388</x:v>
      </x:c>
      <x:c r="N2779" s="48" t="n">
        <x:v>0.774198078245401</x:v>
      </x:c>
      <x:c r="O2779" s="48" t="n">
        <x:v>1</x:v>
      </x:c>
      <x:c r="P2779" s="48" t="n">
        <x:v>1</x:v>
      </x:c>
      <x:c r="Q2779" s="48" t="n">
        <x:v>1</x:v>
      </x:c>
      <x:c r="R2779" s="48" t="n">
        <x:v>1</x:v>
      </x:c>
      <x:c r="S2779" s="29" t="n">
        <x:v>1</x:v>
      </x:c>
    </x:row>
    <x:row r="2780" ht="21.600000381469727" hidden="0" customHeight="1">
      <x:c r="A2780" s="27" t="n">
        <x:v>926</x:v>
      </x:c>
      <x:c r="B2780" s="27" t="str">
        <x:v>A1</x:v>
      </x:c>
      <x:c r="C2780" s="47" t="n">
        <x:v>1.2222393276220773</x:v>
      </x:c>
      <x:c r="D2780" s="47" t="n">
        <x:v>0.8194637271942569</x:v>
      </x:c>
      <x:c r="E2780" s="47" t="n">
        <x:v>0.8722717622032385</x:v>
      </x:c>
      <x:c r="F2780" s="47" t="n">
        <x:v>-0.09298734621652462</x:v>
      </x:c>
      <x:c r="G2780" s="47" t="n">
        <x:v>-0.07502309436685124</x:v>
      </x:c>
      <x:c r="H2780" s="47" t="n">
        <x:v>0.6628899889114781</x:v>
      </x:c>
      <x:c r="I2780" s="47" t="n">
        <x:v>0.6784904120935378</x:v>
      </x:c>
      <x:c r="J2780" s="47" t="n">
        <x:v>0.5925318498003389</x:v>
      </x:c>
      <x:c r="K2780" s="47" t="n">
        <x:v>0.9555094523768219</x:v>
      </x:c>
      <x:c r="L2780" s="47" t="n">
        <x:v>0.5870139875976286</x:v>
      </x:c>
      <x:c r="M2780" s="47" t="n">
        <x:v>0.07519611463915434</x:v>
      </x:c>
      <x:c r="N2780" s="47" t="n">
        <x:v>0.7881825168114064</x:v>
      </x:c>
      <x:c r="O2780" s="47" t="n">
        <x:v>0.7922833546581904</x:v>
      </x:c>
      <x:c r="P2780" s="47" t="n">
        <x:v>0.45964345113785665</x:v>
      </x:c>
      <x:c r="Q2780" s="47" t="n">
        <x:v>0.9435762403219053</x:v>
      </x:c>
      <x:c r="R2780" s="47" t="n">
        <x:v>0.743921596470061</x:v>
      </x:c>
      <x:c r="S2780" s="27" t="n">
        <x:v>0</x:v>
      </x:c>
    </x:row>
    <x:row r="2781" ht="21.600000381469727" hidden="0" customHeight="1">
      <x:c r="A2781" s="29" t="n">
        <x:v>926</x:v>
      </x:c>
      <x:c r="B2781" s="29" t="str">
        <x:v>A2</x:v>
      </x:c>
      <x:c r="C2781" s="48" t="n">
        <x:v>1.2222393276220773</x:v>
      </x:c>
      <x:c r="D2781" s="48" t="n">
        <x:v>0.8194637271942569</x:v>
      </x:c>
      <x:c r="E2781" s="48" t="n">
        <x:v>0.8722717622032385</x:v>
      </x:c>
      <x:c r="F2781" s="48" t="n">
        <x:v>-0.09298734621652462</x:v>
      </x:c>
      <x:c r="G2781" s="48" t="n">
        <x:v>-0.07502309436685124</x:v>
      </x:c>
      <x:c r="H2781" s="48" t="n">
        <x:v>0.6628899889114781</x:v>
      </x:c>
      <x:c r="I2781" s="48" t="n">
        <x:v>0.6784904120935378</x:v>
      </x:c>
      <x:c r="J2781" s="48" t="n">
        <x:v>0.5925318498003389</x:v>
      </x:c>
      <x:c r="K2781" s="48" t="n">
        <x:v>0.9555094523768219</x:v>
      </x:c>
      <x:c r="L2781" s="48" t="n">
        <x:v>0.5870139875976286</x:v>
      </x:c>
      <x:c r="M2781" s="48" t="n">
        <x:v>0.07519611463915434</x:v>
      </x:c>
      <x:c r="N2781" s="48" t="n">
        <x:v>0.7881825168114064</x:v>
      </x:c>
      <x:c r="O2781" s="48" t="n">
        <x:v>0.8847250542771862</x:v>
      </x:c>
      <x:c r="P2781" s="48" t="n">
        <x:v>0.5669809380497656</x:v>
      </x:c>
      <x:c r="Q2781" s="48" t="n">
        <x:v>1</x:v>
      </x:c>
      <x:c r="R2781" s="48" t="n">
        <x:v>0.8576535351795241</x:v>
      </x:c>
      <x:c r="S2781" s="29" t="n">
        <x:v>0</x:v>
      </x:c>
    </x:row>
    <x:row r="2782" ht="21.600000381469727" hidden="0" customHeight="1">
      <x:c r="A2782" s="27" t="n">
        <x:v>926</x:v>
      </x:c>
      <x:c r="B2782" s="27" t="str">
        <x:v>A3</x:v>
      </x:c>
      <x:c r="C2782" s="47" t="n">
        <x:v>1.2222393276220773</x:v>
      </x:c>
      <x:c r="D2782" s="47" t="n">
        <x:v>0.8194637271942569</x:v>
      </x:c>
      <x:c r="E2782" s="47" t="n">
        <x:v>0.8722717622032385</x:v>
      </x:c>
      <x:c r="F2782" s="47" t="n">
        <x:v>-0.09298734621652462</x:v>
      </x:c>
      <x:c r="G2782" s="47" t="n">
        <x:v>-0.07502309436685124</x:v>
      </x:c>
      <x:c r="H2782" s="47" t="n">
        <x:v>0.6628899889114781</x:v>
      </x:c>
      <x:c r="I2782" s="47" t="n">
        <x:v>0.6784904120935378</x:v>
      </x:c>
      <x:c r="J2782" s="47" t="n">
        <x:v>0.5925318498003389</x:v>
      </x:c>
      <x:c r="K2782" s="47" t="n">
        <x:v>0.9555094523768219</x:v>
      </x:c>
      <x:c r="L2782" s="47" t="n">
        <x:v>0.5870139875976286</x:v>
      </x:c>
      <x:c r="M2782" s="47" t="n">
        <x:v>0.07519611463915434</x:v>
      </x:c>
      <x:c r="N2782" s="47" t="n">
        <x:v>0.7881825168114064</x:v>
      </x:c>
      <x:c r="O2782" s="47" t="n">
        <x:v>1</x:v>
      </x:c>
      <x:c r="P2782" s="47" t="n">
        <x:v>1</x:v>
      </x:c>
      <x:c r="Q2782" s="47" t="n">
        <x:v>1</x:v>
      </x:c>
      <x:c r="R2782" s="47" t="n">
        <x:v>1</x:v>
      </x:c>
      <x:c r="S2782" s="27" t="n">
        <x:v>1</x:v>
      </x:c>
    </x:row>
    <x:row r="2783" ht="21.600000381469727" hidden="0" customHeight="1">
      <x:c r="A2783" s="29" t="n">
        <x:v>927</x:v>
      </x:c>
      <x:c r="B2783" s="29" t="str">
        <x:v>A1</x:v>
      </x:c>
      <x:c r="C2783" s="48" t="n">
        <x:v>0.918170343149479</x:v>
      </x:c>
      <x:c r="D2783" s="48" t="n">
        <x:v>0.9007270362369819</x:v>
      </x:c>
      <x:c r="E2783" s="48" t="n">
        <x:v>0.9400716677096974</x:v>
      </x:c>
      <x:c r="F2783" s="48" t="n">
        <x:v>-0.12772573149833358</x:v>
      </x:c>
      <x:c r="G2783" s="48" t="n">
        <x:v>-0.1305931698903131</x:v>
      </x:c>
      <x:c r="H2783" s="48" t="n">
        <x:v>0.31099874149938994</x:v>
      </x:c>
      <x:c r="I2783" s="48" t="n">
        <x:v>0.8249406212955108</x:v>
      </x:c>
      <x:c r="J2783" s="48" t="n">
        <x:v>0.8380119659679592</x:v>
      </x:c>
      <x:c r="K2783" s="48" t="n">
        <x:v>0.8976988133426813</x:v>
      </x:c>
      <x:c r="L2783" s="48" t="n">
        <x:v>0.7968364501452937</x:v>
      </x:c>
      <x:c r="M2783" s="48" t="n">
        <x:v>0.0781956462042489</x:v>
      </x:c>
      <x:c r="N2783" s="48" t="n">
        <x:v>0.8610106353580451</x:v>
      </x:c>
      <x:c r="O2783" s="48" t="n">
        <x:v>0.9855518568069759</x:v>
      </x:c>
      <x:c r="P2783" s="48" t="n">
        <x:v>0.8558361889600774</x:v>
      </x:c>
      <x:c r="Q2783" s="48" t="n">
        <x:v>1</x:v>
      </x:c>
      <x:c r="R2783" s="48" t="n">
        <x:v>0.9821588108859982</x:v>
      </x:c>
      <x:c r="S2783" s="29" t="n">
        <x:v>0</x:v>
      </x:c>
    </x:row>
    <x:row r="2784" ht="21.600000381469727" hidden="0" customHeight="1">
      <x:c r="A2784" s="27" t="n">
        <x:v>927</x:v>
      </x:c>
      <x:c r="B2784" s="27" t="str">
        <x:v>A2</x:v>
      </x:c>
      <x:c r="C2784" s="47" t="n">
        <x:v>0.918170343149479</x:v>
      </x:c>
      <x:c r="D2784" s="47" t="n">
        <x:v>0.9007270362369819</x:v>
      </x:c>
      <x:c r="E2784" s="47" t="n">
        <x:v>0.9400716677096974</x:v>
      </x:c>
      <x:c r="F2784" s="47" t="n">
        <x:v>-0.12772573149833358</x:v>
      </x:c>
      <x:c r="G2784" s="47" t="n">
        <x:v>-0.1305931698903131</x:v>
      </x:c>
      <x:c r="H2784" s="47" t="n">
        <x:v>0.31099874149938994</x:v>
      </x:c>
      <x:c r="I2784" s="47" t="n">
        <x:v>0.8249406212955108</x:v>
      </x:c>
      <x:c r="J2784" s="47" t="n">
        <x:v>0.8380119659679592</x:v>
      </x:c>
      <x:c r="K2784" s="47" t="n">
        <x:v>0.8976988133426813</x:v>
      </x:c>
      <x:c r="L2784" s="47" t="n">
        <x:v>0.7968364501452937</x:v>
      </x:c>
      <x:c r="M2784" s="47" t="n">
        <x:v>0.0781956462042489</x:v>
      </x:c>
      <x:c r="N2784" s="47" t="n">
        <x:v>0.8610106353580451</x:v>
      </x:c>
      <x:c r="O2784" s="47" t="n">
        <x:v>1</x:v>
      </x:c>
      <x:c r="P2784" s="47" t="n">
        <x:v>1</x:v>
      </x:c>
      <x:c r="Q2784" s="47" t="n">
        <x:v>1</x:v>
      </x:c>
      <x:c r="R2784" s="47" t="n">
        <x:v>1.0000000000000002</x:v>
      </x:c>
      <x:c r="S2784" s="27" t="n">
        <x:v>1</x:v>
      </x:c>
    </x:row>
    <x:row r="2785" ht="21.600000381469727" hidden="0" customHeight="1">
      <x:c r="A2785" s="29" t="n">
        <x:v>927</x:v>
      </x:c>
      <x:c r="B2785" s="29" t="str">
        <x:v>A3</x:v>
      </x:c>
      <x:c r="C2785" s="48" t="n">
        <x:v>0.918170343149479</x:v>
      </x:c>
      <x:c r="D2785" s="48" t="n">
        <x:v>0.9007270362369819</x:v>
      </x:c>
      <x:c r="E2785" s="48" t="n">
        <x:v>0.9400716677096974</x:v>
      </x:c>
      <x:c r="F2785" s="48" t="n">
        <x:v>-0.12772573149833358</x:v>
      </x:c>
      <x:c r="G2785" s="48" t="n">
        <x:v>-0.1305931698903131</x:v>
      </x:c>
      <x:c r="H2785" s="48" t="n">
        <x:v>0.31099874149938994</x:v>
      </x:c>
      <x:c r="I2785" s="48" t="n">
        <x:v>0.8249406212955108</x:v>
      </x:c>
      <x:c r="J2785" s="48" t="n">
        <x:v>0.8380119659679592</x:v>
      </x:c>
      <x:c r="K2785" s="48" t="n">
        <x:v>0.8976988133426813</x:v>
      </x:c>
      <x:c r="L2785" s="48" t="n">
        <x:v>0.7968364501452937</x:v>
      </x:c>
      <x:c r="M2785" s="48" t="n">
        <x:v>0.0781956462042489</x:v>
      </x:c>
      <x:c r="N2785" s="48" t="n">
        <x:v>0.8610106353580451</x:v>
      </x:c>
      <x:c r="O2785" s="48" t="n">
        <x:v>1</x:v>
      </x:c>
      <x:c r="P2785" s="48" t="n">
        <x:v>1</x:v>
      </x:c>
      <x:c r="Q2785" s="48" t="n">
        <x:v>1</x:v>
      </x:c>
      <x:c r="R2785" s="48" t="n">
        <x:v>1.0000000000000002</x:v>
      </x:c>
      <x:c r="S2785" s="29" t="n">
        <x:v>1</x:v>
      </x:c>
    </x:row>
    <x:row r="2786" ht="21.600000381469727" hidden="0" customHeight="1">
      <x:c r="A2786" s="27" t="n">
        <x:v>928</x:v>
      </x:c>
      <x:c r="B2786" s="27" t="str">
        <x:v>A1</x:v>
      </x:c>
      <x:c r="C2786" s="47" t="n">
        <x:v>0.9650847090166559</x:v>
      </x:c>
      <x:c r="D2786" s="47" t="n">
        <x:v>0.8035615093694041</x:v>
      </x:c>
      <x:c r="E2786" s="47" t="n">
        <x:v>0.5731010387610509</x:v>
      </x:c>
      <x:c r="F2786" s="47" t="n">
        <x:v>-0.13364277517070566</x:v>
      </x:c>
      <x:c r="G2786" s="47" t="n">
        <x:v>-0.04622728558635292</x:v>
      </x:c>
      <x:c r="H2786" s="47" t="n">
        <x:v>0.7997716588203061</x:v>
      </x:c>
      <x:c r="I2786" s="47" t="n">
        <x:v>0.9236735065501627</x:v>
      </x:c>
      <x:c r="J2786" s="47" t="n">
        <x:v>0.5608774763746547</x:v>
      </x:c>
      <x:c r="K2786" s="47" t="n">
        <x:v>0.6638817016330079</x:v>
      </x:c>
      <x:c r="L2786" s="47" t="n">
        <x:v>0.7785442398432063</x:v>
      </x:c>
      <x:c r="M2786" s="47" t="n">
        <x:v>0.10330393028805249</x:v>
      </x:c>
      <x:c r="N2786" s="47" t="n">
        <x:v>0.8385090438443865</x:v>
      </x:c>
      <x:c r="O2786" s="47" t="n">
        <x:v>0.8796406734230603</x:v>
      </x:c>
      <x:c r="P2786" s="47" t="n">
        <x:v>0.6829308488029606</x:v>
      </x:c>
      <x:c r="Q2786" s="47" t="n">
        <x:v>1</x:v>
      </x:c>
      <x:c r="R2786" s="47" t="n">
        <x:v>0.8513751228510895</x:v>
      </x:c>
      <x:c r="S2786" s="27" t="n">
        <x:v>0</x:v>
      </x:c>
    </x:row>
    <x:row r="2787" ht="21.600000381469727" hidden="0" customHeight="1">
      <x:c r="A2787" s="29" t="n">
        <x:v>928</x:v>
      </x:c>
      <x:c r="B2787" s="29" t="str">
        <x:v>A2</x:v>
      </x:c>
      <x:c r="C2787" s="48" t="n">
        <x:v>0.9650847090166559</x:v>
      </x:c>
      <x:c r="D2787" s="48" t="n">
        <x:v>0.8035615093694041</x:v>
      </x:c>
      <x:c r="E2787" s="48" t="n">
        <x:v>0.5731010387610509</x:v>
      </x:c>
      <x:c r="F2787" s="48" t="n">
        <x:v>-0.13364277517070566</x:v>
      </x:c>
      <x:c r="G2787" s="48" t="n">
        <x:v>-0.04622728558635292</x:v>
      </x:c>
      <x:c r="H2787" s="48" t="n">
        <x:v>0.7997716588203061</x:v>
      </x:c>
      <x:c r="I2787" s="48" t="n">
        <x:v>0.9236735065501627</x:v>
      </x:c>
      <x:c r="J2787" s="48" t="n">
        <x:v>0.5608774763746547</x:v>
      </x:c>
      <x:c r="K2787" s="48" t="n">
        <x:v>0.6638817016330079</x:v>
      </x:c>
      <x:c r="L2787" s="48" t="n">
        <x:v>0.7785442398432063</x:v>
      </x:c>
      <x:c r="M2787" s="48" t="n">
        <x:v>0.10330393028805249</x:v>
      </x:c>
      <x:c r="N2787" s="48" t="n">
        <x:v>0.8385090438443865</x:v>
      </x:c>
      <x:c r="O2787" s="48" t="n">
        <x:v>0.969427102027286</x:v>
      </x:c>
      <x:c r="P2787" s="48" t="n">
        <x:v>0.7804285037521207</x:v>
      </x:c>
      <x:c r="Q2787" s="48" t="n">
        <x:v>1</x:v>
      </x:c>
      <x:c r="R2787" s="48" t="n">
        <x:v>0.9622472696174807</x:v>
      </x:c>
      <x:c r="S2787" s="29" t="n">
        <x:v>0</x:v>
      </x:c>
    </x:row>
    <x:row r="2788" ht="21.600000381469727" hidden="0" customHeight="1">
      <x:c r="A2788" s="27" t="n">
        <x:v>928</x:v>
      </x:c>
      <x:c r="B2788" s="27" t="str">
        <x:v>A3</x:v>
      </x:c>
      <x:c r="C2788" s="47" t="n">
        <x:v>0.9650847090166559</x:v>
      </x:c>
      <x:c r="D2788" s="47" t="n">
        <x:v>0.8035615093694041</x:v>
      </x:c>
      <x:c r="E2788" s="47" t="n">
        <x:v>0.5731010387610509</x:v>
      </x:c>
      <x:c r="F2788" s="47" t="n">
        <x:v>-0.13364277517070566</x:v>
      </x:c>
      <x:c r="G2788" s="47" t="n">
        <x:v>-0.04622728558635292</x:v>
      </x:c>
      <x:c r="H2788" s="47" t="n">
        <x:v>0.7997716588203061</x:v>
      </x:c>
      <x:c r="I2788" s="47" t="n">
        <x:v>0.9236735065501627</x:v>
      </x:c>
      <x:c r="J2788" s="47" t="n">
        <x:v>0.5608774763746547</x:v>
      </x:c>
      <x:c r="K2788" s="47" t="n">
        <x:v>0.6638817016330079</x:v>
      </x:c>
      <x:c r="L2788" s="47" t="n">
        <x:v>0.7785442398432063</x:v>
      </x:c>
      <x:c r="M2788" s="47" t="n">
        <x:v>0.10330393028805249</x:v>
      </x:c>
      <x:c r="N2788" s="47" t="n">
        <x:v>0.8385090438443865</x:v>
      </x:c>
      <x:c r="O2788" s="47" t="n">
        <x:v>1</x:v>
      </x:c>
      <x:c r="P2788" s="47" t="n">
        <x:v>1</x:v>
      </x:c>
      <x:c r="Q2788" s="47" t="n">
        <x:v>1</x:v>
      </x:c>
      <x:c r="R2788" s="47" t="n">
        <x:v>1</x:v>
      </x:c>
      <x:c r="S2788" s="27" t="n">
        <x:v>1</x:v>
      </x:c>
    </x:row>
    <x:row r="2789" ht="21.600000381469727" hidden="0" customHeight="1">
      <x:c r="A2789" s="29" t="n">
        <x:v>929</x:v>
      </x:c>
      <x:c r="B2789" s="29" t="str">
        <x:v>A1</x:v>
      </x:c>
      <x:c r="C2789" s="48" t="n">
        <x:v>1.0280393226509348</x:v>
      </x:c>
      <x:c r="D2789" s="48" t="n">
        <x:v>0.933092371268486</x:v>
      </x:c>
      <x:c r="E2789" s="48" t="n">
        <x:v>0.8377894546305438</x:v>
      </x:c>
      <x:c r="F2789" s="48" t="n">
        <x:v>-0.15707015434865781</x:v>
      </x:c>
      <x:c r="G2789" s="48" t="n">
        <x:v>-0.15681417819577215</x:v>
      </x:c>
      <x:c r="H2789" s="48" t="n">
        <x:v>0.6508155761633065</x:v>
      </x:c>
      <x:c r="I2789" s="48" t="n">
        <x:v>0.6165706290043621</x:v>
      </x:c>
      <x:c r="J2789" s="48" t="n">
        <x:v>0.9945475067253254</x:v>
      </x:c>
      <x:c r="K2789" s="48" t="n">
        <x:v>0.8644231264483802</x:v>
      </x:c>
      <x:c r="L2789" s="48" t="n">
        <x:v>0.6607251281653734</x:v>
      </x:c>
      <x:c r="M2789" s="48" t="n">
        <x:v>0.05041224336885447</x:v>
      </x:c>
      <x:c r="N2789" s="48" t="n">
        <x:v>0.9028881334127709</x:v>
      </x:c>
      <x:c r="O2789" s="48" t="n">
        <x:v>0.9179575924958191</x:v>
      </x:c>
      <x:c r="P2789" s="48" t="n">
        <x:v>0.5595826125812432</x:v>
      </x:c>
      <x:c r="Q2789" s="48" t="n">
        <x:v>1</x:v>
      </x:c>
      <x:c r="R2789" s="48" t="n">
        <x:v>0.8986905038180399</x:v>
      </x:c>
      <x:c r="S2789" s="29" t="n">
        <x:v>0</x:v>
      </x:c>
    </x:row>
    <x:row r="2790" ht="21.600000381469727" hidden="0" customHeight="1">
      <x:c r="A2790" s="27" t="n">
        <x:v>929</x:v>
      </x:c>
      <x:c r="B2790" s="27" t="str">
        <x:v>A2</x:v>
      </x:c>
      <x:c r="C2790" s="47" t="n">
        <x:v>1.0280393226509348</x:v>
      </x:c>
      <x:c r="D2790" s="47" t="n">
        <x:v>0.933092371268486</x:v>
      </x:c>
      <x:c r="E2790" s="47" t="n">
        <x:v>0.8377894546305438</x:v>
      </x:c>
      <x:c r="F2790" s="47" t="n">
        <x:v>-0.15707015434865781</x:v>
      </x:c>
      <x:c r="G2790" s="47" t="n">
        <x:v>-0.15681417819577215</x:v>
      </x:c>
      <x:c r="H2790" s="47" t="n">
        <x:v>0.6508155761633065</x:v>
      </x:c>
      <x:c r="I2790" s="47" t="n">
        <x:v>0.6165706290043621</x:v>
      </x:c>
      <x:c r="J2790" s="47" t="n">
        <x:v>0.9945475067253254</x:v>
      </x:c>
      <x:c r="K2790" s="47" t="n">
        <x:v>0.8644231264483802</x:v>
      </x:c>
      <x:c r="L2790" s="47" t="n">
        <x:v>0.6607251281653734</x:v>
      </x:c>
      <x:c r="M2790" s="47" t="n">
        <x:v>0.05041224336885447</x:v>
      </x:c>
      <x:c r="N2790" s="47" t="n">
        <x:v>0.9028881334127709</x:v>
      </x:c>
      <x:c r="O2790" s="47" t="n">
        <x:v>0.9667132549360119</x:v>
      </x:c>
      <x:c r="P2790" s="47" t="n">
        <x:v>0.796222906348304</x:v>
      </x:c>
      <x:c r="Q2790" s="47" t="n">
        <x:v>1</x:v>
      </x:c>
      <x:c r="R2790" s="47" t="n">
        <x:v>0.9588960944155849</x:v>
      </x:c>
      <x:c r="S2790" s="27" t="n">
        <x:v>0</x:v>
      </x:c>
    </x:row>
    <x:row r="2791" ht="21.600000381469727" hidden="0" customHeight="1">
      <x:c r="A2791" s="29" t="n">
        <x:v>929</x:v>
      </x:c>
      <x:c r="B2791" s="29" t="str">
        <x:v>A3</x:v>
      </x:c>
      <x:c r="C2791" s="48" t="n">
        <x:v>1.0280393226509348</x:v>
      </x:c>
      <x:c r="D2791" s="48" t="n">
        <x:v>0.933092371268486</x:v>
      </x:c>
      <x:c r="E2791" s="48" t="n">
        <x:v>0.8377894546305438</x:v>
      </x:c>
      <x:c r="F2791" s="48" t="n">
        <x:v>-0.15707015434865781</x:v>
      </x:c>
      <x:c r="G2791" s="48" t="n">
        <x:v>-0.15681417819577215</x:v>
      </x:c>
      <x:c r="H2791" s="48" t="n">
        <x:v>0.6508155761633065</x:v>
      </x:c>
      <x:c r="I2791" s="48" t="n">
        <x:v>0.6165706290043621</x:v>
      </x:c>
      <x:c r="J2791" s="48" t="n">
        <x:v>0.9945475067253254</x:v>
      </x:c>
      <x:c r="K2791" s="48" t="n">
        <x:v>0.8644231264483802</x:v>
      </x:c>
      <x:c r="L2791" s="48" t="n">
        <x:v>0.6607251281653734</x:v>
      </x:c>
      <x:c r="M2791" s="48" t="n">
        <x:v>0.05041224336885447</x:v>
      </x:c>
      <x:c r="N2791" s="48" t="n">
        <x:v>0.9028881334127709</x:v>
      </x:c>
      <x:c r="O2791" s="48" t="n">
        <x:v>1</x:v>
      </x:c>
      <x:c r="P2791" s="48" t="n">
        <x:v>1</x:v>
      </x:c>
      <x:c r="Q2791" s="48" t="n">
        <x:v>1</x:v>
      </x:c>
      <x:c r="R2791" s="48" t="n">
        <x:v>1</x:v>
      </x:c>
      <x:c r="S2791" s="29" t="n">
        <x:v>1</x:v>
      </x:c>
    </x:row>
    <x:row r="2792" ht="21.600000381469727" hidden="0" customHeight="1">
      <x:c r="A2792" s="27" t="n">
        <x:v>930</x:v>
      </x:c>
      <x:c r="B2792" s="27" t="str">
        <x:v>A1</x:v>
      </x:c>
      <x:c r="C2792" s="47" t="n">
        <x:v>1.1543527539551874</x:v>
      </x:c>
      <x:c r="D2792" s="47" t="n">
        <x:v>0.8150879174168337</x:v>
      </x:c>
      <x:c r="E2792" s="47" t="n">
        <x:v>1.0430302550956057</x:v>
      </x:c>
      <x:c r="F2792" s="47" t="n">
        <x:v>-0.121469642132872</x:v>
      </x:c>
      <x:c r="G2792" s="47" t="n">
        <x:v>-0.06823243002215246</x:v>
      </x:c>
      <x:c r="H2792" s="47" t="n">
        <x:v>0.5261447018755423</x:v>
      </x:c>
      <x:c r="I2792" s="47" t="n">
        <x:v>1.0148789271645775</x:v>
      </x:c>
      <x:c r="J2792" s="47" t="n">
        <x:v>0.6525835802759089</x:v>
      </x:c>
      <x:c r="K2792" s="47" t="n">
        <x:v>0.6066230354132627</x:v>
      </x:c>
      <x:c r="L2792" s="47" t="n">
        <x:v>0.9145966073596085</x:v>
      </x:c>
      <x:c r="M2792" s="47" t="n">
        <x:v>0.046319672798844296</x:v>
      </x:c>
      <x:c r="N2792" s="47" t="n">
        <x:v>0.9592326773059776</x:v>
      </x:c>
      <x:c r="O2792" s="47" t="n">
        <x:v>0.8436281110543464</x:v>
      </x:c>
      <x:c r="P2792" s="47" t="n">
        <x:v>0.6097679922313375</x:v>
      </x:c>
      <x:c r="Q2792" s="47" t="n">
        <x:v>1</x:v>
      </x:c>
      <x:c r="R2792" s="47" t="n">
        <x:v>0.8069052607299677</x:v>
      </x:c>
      <x:c r="S2792" s="27" t="n">
        <x:v>0</x:v>
      </x:c>
    </x:row>
    <x:row r="2793" ht="21.600000381469727" hidden="0" customHeight="1">
      <x:c r="A2793" s="29" t="n">
        <x:v>930</x:v>
      </x:c>
      <x:c r="B2793" s="29" t="str">
        <x:v>A2</x:v>
      </x:c>
      <x:c r="C2793" s="48" t="n">
        <x:v>1.1543527539551874</x:v>
      </x:c>
      <x:c r="D2793" s="48" t="n">
        <x:v>0.8150879174168337</x:v>
      </x:c>
      <x:c r="E2793" s="48" t="n">
        <x:v>1.0430302550956057</x:v>
      </x:c>
      <x:c r="F2793" s="48" t="n">
        <x:v>-0.121469642132872</x:v>
      </x:c>
      <x:c r="G2793" s="48" t="n">
        <x:v>-0.06823243002215246</x:v>
      </x:c>
      <x:c r="H2793" s="48" t="n">
        <x:v>0.5261447018755423</x:v>
      </x:c>
      <x:c r="I2793" s="48" t="n">
        <x:v>1.0148789271645775</x:v>
      </x:c>
      <x:c r="J2793" s="48" t="n">
        <x:v>0.6525835802759089</x:v>
      </x:c>
      <x:c r="K2793" s="48" t="n">
        <x:v>0.6066230354132627</x:v>
      </x:c>
      <x:c r="L2793" s="48" t="n">
        <x:v>0.9145966073596085</x:v>
      </x:c>
      <x:c r="M2793" s="48" t="n">
        <x:v>0.046319672798844296</x:v>
      </x:c>
      <x:c r="N2793" s="48" t="n">
        <x:v>0.9592326773059776</x:v>
      </x:c>
      <x:c r="O2793" s="48" t="n">
        <x:v>0.9564752953827679</x:v>
      </x:c>
      <x:c r="P2793" s="48" t="n">
        <x:v>0.8196452253839533</x:v>
      </x:c>
      <x:c r="Q2793" s="48" t="n">
        <x:v>1</x:v>
      </x:c>
      <x:c r="R2793" s="48" t="n">
        <x:v>0.946253821281199</x:v>
      </x:c>
      <x:c r="S2793" s="29" t="n">
        <x:v>0</x:v>
      </x:c>
    </x:row>
    <x:row r="2794" ht="21.600000381469727" hidden="0" customHeight="1">
      <x:c r="A2794" s="27" t="n">
        <x:v>930</x:v>
      </x:c>
      <x:c r="B2794" s="27" t="str">
        <x:v>A3</x:v>
      </x:c>
      <x:c r="C2794" s="47" t="n">
        <x:v>1.1543527539551874</x:v>
      </x:c>
      <x:c r="D2794" s="47" t="n">
        <x:v>0.8150879174168337</x:v>
      </x:c>
      <x:c r="E2794" s="47" t="n">
        <x:v>1.0430302550956057</x:v>
      </x:c>
      <x:c r="F2794" s="47" t="n">
        <x:v>-0.121469642132872</x:v>
      </x:c>
      <x:c r="G2794" s="47" t="n">
        <x:v>-0.06823243002215246</x:v>
      </x:c>
      <x:c r="H2794" s="47" t="n">
        <x:v>0.5261447018755423</x:v>
      </x:c>
      <x:c r="I2794" s="47" t="n">
        <x:v>1.0148789271645775</x:v>
      </x:c>
      <x:c r="J2794" s="47" t="n">
        <x:v>0.6525835802759089</x:v>
      </x:c>
      <x:c r="K2794" s="47" t="n">
        <x:v>0.6066230354132627</x:v>
      </x:c>
      <x:c r="L2794" s="47" t="n">
        <x:v>0.9145966073596085</x:v>
      </x:c>
      <x:c r="M2794" s="47" t="n">
        <x:v>0.046319672798844296</x:v>
      </x:c>
      <x:c r="N2794" s="47" t="n">
        <x:v>0.9592326773059776</x:v>
      </x:c>
      <x:c r="O2794" s="47" t="n">
        <x:v>1</x:v>
      </x:c>
      <x:c r="P2794" s="47" t="n">
        <x:v>1</x:v>
      </x:c>
      <x:c r="Q2794" s="47" t="n">
        <x:v>1</x:v>
      </x:c>
      <x:c r="R2794" s="47" t="n">
        <x:v>1</x:v>
      </x:c>
      <x:c r="S2794" s="27" t="n">
        <x:v>1</x:v>
      </x:c>
    </x:row>
    <x:row r="2795" ht="21.600000381469727" hidden="0" customHeight="1">
      <x:c r="A2795" s="29" t="n">
        <x:v>931</x:v>
      </x:c>
      <x:c r="B2795" s="29" t="str">
        <x:v>A1</x:v>
      </x:c>
      <x:c r="C2795" s="48" t="n">
        <x:v>1.120358202069828</x:v>
      </x:c>
      <x:c r="D2795" s="48" t="n">
        <x:v>0.7924689079701188</x:v>
      </x:c>
      <x:c r="E2795" s="48" t="n">
        <x:v>1.0677258775183183</x:v>
      </x:c>
      <x:c r="F2795" s="48" t="n">
        <x:v>-0.12880222303788566</x:v>
      </x:c>
      <x:c r="G2795" s="48" t="n">
        <x:v>0.004254827397116995</x:v>
      </x:c>
      <x:c r="H2795" s="48" t="n">
        <x:v>0.3457842348433895</x:v>
      </x:c>
      <x:c r="I2795" s="48" t="n">
        <x:v>0.7805155179990284</x:v>
      </x:c>
      <x:c r="J2795" s="48" t="n">
        <x:v>0.46270059246670253</x:v>
      </x:c>
      <x:c r="K2795" s="48" t="n">
        <x:v>0.628799466455553</x:v>
      </x:c>
      <x:c r="L2795" s="48" t="n">
        <x:v>0.9516787708941905</x:v>
      </x:c>
      <x:c r="M2795" s="48" t="n">
        <x:v>0.059239215445252416</x:v>
      </x:c>
      <x:c r="N2795" s="48" t="n">
        <x:v>0.9916119398179546</x:v>
      </x:c>
      <x:c r="O2795" s="48" t="n">
        <x:v>0.8412995259210229</x:v>
      </x:c>
      <x:c r="P2795" s="48" t="n">
        <x:v>0.5795023198676587</x:v>
      </x:c>
      <x:c r="Q2795" s="48" t="n">
        <x:v>1</x:v>
      </x:c>
      <x:c r="R2795" s="48" t="n">
        <x:v>0.8040298235767884</x:v>
      </x:c>
      <x:c r="S2795" s="29" t="n">
        <x:v>0</x:v>
      </x:c>
    </x:row>
    <x:row r="2796" ht="21.600000381469727" hidden="0" customHeight="1">
      <x:c r="A2796" s="27" t="n">
        <x:v>931</x:v>
      </x:c>
      <x:c r="B2796" s="27" t="str">
        <x:v>A2</x:v>
      </x:c>
      <x:c r="C2796" s="47" t="n">
        <x:v>1.120358202069828</x:v>
      </x:c>
      <x:c r="D2796" s="47" t="n">
        <x:v>0.7924689079701188</x:v>
      </x:c>
      <x:c r="E2796" s="47" t="n">
        <x:v>1.0677258775183183</x:v>
      </x:c>
      <x:c r="F2796" s="47" t="n">
        <x:v>-0.12880222303788566</x:v>
      </x:c>
      <x:c r="G2796" s="47" t="n">
        <x:v>0.004254827397116995</x:v>
      </x:c>
      <x:c r="H2796" s="47" t="n">
        <x:v>0.3457842348433895</x:v>
      </x:c>
      <x:c r="I2796" s="47" t="n">
        <x:v>0.7805155179990284</x:v>
      </x:c>
      <x:c r="J2796" s="47" t="n">
        <x:v>0.46270059246670253</x:v>
      </x:c>
      <x:c r="K2796" s="47" t="n">
        <x:v>0.628799466455553</x:v>
      </x:c>
      <x:c r="L2796" s="47" t="n">
        <x:v>0.9516787708941905</x:v>
      </x:c>
      <x:c r="M2796" s="47" t="n">
        <x:v>0.059239215445252416</x:v>
      </x:c>
      <x:c r="N2796" s="47" t="n">
        <x:v>0.9916119398179546</x:v>
      </x:c>
      <x:c r="O2796" s="47" t="n">
        <x:v>0.931630902860922</x:v>
      </x:c>
      <x:c r="P2796" s="47" t="n">
        <x:v>0.698554376192496</x:v>
      </x:c>
      <x:c r="Q2796" s="47" t="n">
        <x:v>1</x:v>
      </x:c>
      <x:c r="R2796" s="47" t="n">
        <x:v>0.9155748960045755</x:v>
      </x:c>
      <x:c r="S2796" s="27" t="n">
        <x:v>0</x:v>
      </x:c>
    </x:row>
    <x:row r="2797" ht="21.600000381469727" hidden="0" customHeight="1">
      <x:c r="A2797" s="29" t="n">
        <x:v>931</x:v>
      </x:c>
      <x:c r="B2797" s="29" t="str">
        <x:v>A3</x:v>
      </x:c>
      <x:c r="C2797" s="48" t="n">
        <x:v>1.120358202069828</x:v>
      </x:c>
      <x:c r="D2797" s="48" t="n">
        <x:v>0.7924689079701188</x:v>
      </x:c>
      <x:c r="E2797" s="48" t="n">
        <x:v>1.0677258775183183</x:v>
      </x:c>
      <x:c r="F2797" s="48" t="n">
        <x:v>-0.12880222303788566</x:v>
      </x:c>
      <x:c r="G2797" s="48" t="n">
        <x:v>0.004254827397116995</x:v>
      </x:c>
      <x:c r="H2797" s="48" t="n">
        <x:v>0.3457842348433895</x:v>
      </x:c>
      <x:c r="I2797" s="48" t="n">
        <x:v>0.7805155179990284</x:v>
      </x:c>
      <x:c r="J2797" s="48" t="n">
        <x:v>0.46270059246670253</x:v>
      </x:c>
      <x:c r="K2797" s="48" t="n">
        <x:v>0.628799466455553</x:v>
      </x:c>
      <x:c r="L2797" s="48" t="n">
        <x:v>0.9516787708941905</x:v>
      </x:c>
      <x:c r="M2797" s="48" t="n">
        <x:v>0.059239215445252416</x:v>
      </x:c>
      <x:c r="N2797" s="48" t="n">
        <x:v>0.9916119398179546</x:v>
      </x:c>
      <x:c r="O2797" s="48" t="n">
        <x:v>1</x:v>
      </x:c>
      <x:c r="P2797" s="48" t="n">
        <x:v>1</x:v>
      </x:c>
      <x:c r="Q2797" s="48" t="n">
        <x:v>1</x:v>
      </x:c>
      <x:c r="R2797" s="48" t="n">
        <x:v>1</x:v>
      </x:c>
      <x:c r="S2797" s="29" t="n">
        <x:v>1</x:v>
      </x:c>
    </x:row>
    <x:row r="2798" ht="21.600000381469727" hidden="0" customHeight="1">
      <x:c r="A2798" s="27" t="n">
        <x:v>932</x:v>
      </x:c>
      <x:c r="B2798" s="27" t="str">
        <x:v>A1</x:v>
      </x:c>
      <x:c r="C2798" s="47" t="n">
        <x:v>1.2432013945534632</x:v>
      </x:c>
      <x:c r="D2798" s="47" t="n">
        <x:v>0.9282518868589437</x:v>
      </x:c>
      <x:c r="E2798" s="47" t="n">
        <x:v>1.06025281966686</x:v>
      </x:c>
      <x:c r="F2798" s="47" t="n">
        <x:v>0.03818211243636749</x:v>
      </x:c>
      <x:c r="G2798" s="47" t="n">
        <x:v>-0.059259996519585745</x:v>
      </x:c>
      <x:c r="H2798" s="47" t="n">
        <x:v>0.6271131242496317</x:v>
      </x:c>
      <x:c r="I2798" s="47" t="n">
        <x:v>0.7690341447804165</x:v>
      </x:c>
      <x:c r="J2798" s="47" t="n">
        <x:v>0.888986859177323</x:v>
      </x:c>
      <x:c r="K2798" s="47" t="n">
        <x:v>0.7058745457090343</x:v>
      </x:c>
      <x:c r="L2798" s="47" t="n">
        <x:v>0.8985224215539576</x:v>
      </x:c>
      <x:c r="M2798" s="47" t="n">
        <x:v>0.14040194814409845</x:v>
      </x:c>
      <x:c r="N2798" s="47" t="n">
        <x:v>0.9298986391343829</x:v>
      </x:c>
      <x:c r="O2798" s="47" t="n">
        <x:v>0.8740977767438255</x:v>
      </x:c>
      <x:c r="P2798" s="47" t="n">
        <x:v>0.5015880541446128</x:v>
      </x:c>
      <x:c r="Q2798" s="47" t="n">
        <x:v>1</x:v>
      </x:c>
      <x:c r="R2798" s="47" t="n">
        <x:v>0.8445305154456656</x:v>
      </x:c>
      <x:c r="S2798" s="27" t="n">
        <x:v>0</x:v>
      </x:c>
    </x:row>
    <x:row r="2799" ht="21.600000381469727" hidden="0" customHeight="1">
      <x:c r="A2799" s="29" t="n">
        <x:v>932</x:v>
      </x:c>
      <x:c r="B2799" s="29" t="str">
        <x:v>A2</x:v>
      </x:c>
      <x:c r="C2799" s="48" t="n">
        <x:v>1.2432013945534632</x:v>
      </x:c>
      <x:c r="D2799" s="48" t="n">
        <x:v>0.9282518868589437</x:v>
      </x:c>
      <x:c r="E2799" s="48" t="n">
        <x:v>1.06025281966686</x:v>
      </x:c>
      <x:c r="F2799" s="48" t="n">
        <x:v>0.03818211243636749</x:v>
      </x:c>
      <x:c r="G2799" s="48" t="n">
        <x:v>-0.059259996519585745</x:v>
      </x:c>
      <x:c r="H2799" s="48" t="n">
        <x:v>0.6271131242496317</x:v>
      </x:c>
      <x:c r="I2799" s="48" t="n">
        <x:v>0.7690341447804165</x:v>
      </x:c>
      <x:c r="J2799" s="48" t="n">
        <x:v>0.888986859177323</x:v>
      </x:c>
      <x:c r="K2799" s="48" t="n">
        <x:v>0.7058745457090343</x:v>
      </x:c>
      <x:c r="L2799" s="48" t="n">
        <x:v>0.8985224215539576</x:v>
      </x:c>
      <x:c r="M2799" s="48" t="n">
        <x:v>0.14040194814409845</x:v>
      </x:c>
      <x:c r="N2799" s="48" t="n">
        <x:v>0.9298986391343829</x:v>
      </x:c>
      <x:c r="O2799" s="48" t="n">
        <x:v>0.940604898003883</x:v>
      </x:c>
      <x:c r="P2799" s="48" t="n">
        <x:v>0.6502326715871339</x:v>
      </x:c>
      <x:c r="Q2799" s="48" t="n">
        <x:v>1</x:v>
      </x:c>
      <x:c r="R2799" s="48" t="n">
        <x:v>0.9266563714796391</x:v>
      </x:c>
      <x:c r="S2799" s="29" t="n">
        <x:v>0</x:v>
      </x:c>
    </x:row>
    <x:row r="2800" ht="21.600000381469727" hidden="0" customHeight="1">
      <x:c r="A2800" s="27" t="n">
        <x:v>932</x:v>
      </x:c>
      <x:c r="B2800" s="27" t="str">
        <x:v>A3</x:v>
      </x:c>
      <x:c r="C2800" s="47" t="n">
        <x:v>1.2432013945534632</x:v>
      </x:c>
      <x:c r="D2800" s="47" t="n">
        <x:v>0.9282518868589437</x:v>
      </x:c>
      <x:c r="E2800" s="47" t="n">
        <x:v>1.06025281966686</x:v>
      </x:c>
      <x:c r="F2800" s="47" t="n">
        <x:v>0.03818211243636749</x:v>
      </x:c>
      <x:c r="G2800" s="47" t="n">
        <x:v>-0.059259996519585745</x:v>
      </x:c>
      <x:c r="H2800" s="47" t="n">
        <x:v>0.6271131242496317</x:v>
      </x:c>
      <x:c r="I2800" s="47" t="n">
        <x:v>0.7690341447804165</x:v>
      </x:c>
      <x:c r="J2800" s="47" t="n">
        <x:v>0.888986859177323</x:v>
      </x:c>
      <x:c r="K2800" s="47" t="n">
        <x:v>0.7058745457090343</x:v>
      </x:c>
      <x:c r="L2800" s="47" t="n">
        <x:v>0.8985224215539576</x:v>
      </x:c>
      <x:c r="M2800" s="47" t="n">
        <x:v>0.14040194814409845</x:v>
      </x:c>
      <x:c r="N2800" s="47" t="n">
        <x:v>0.9298986391343829</x:v>
      </x:c>
      <x:c r="O2800" s="47" t="n">
        <x:v>1</x:v>
      </x:c>
      <x:c r="P2800" s="47" t="n">
        <x:v>1</x:v>
      </x:c>
      <x:c r="Q2800" s="47" t="n">
        <x:v>1</x:v>
      </x:c>
      <x:c r="R2800" s="47" t="n">
        <x:v>1</x:v>
      </x:c>
      <x:c r="S2800" s="27" t="n">
        <x:v>1</x:v>
      </x:c>
    </x:row>
    <x:row r="2801" ht="21.600000381469727" hidden="0" customHeight="1">
      <x:c r="A2801" s="29" t="n">
        <x:v>933</x:v>
      </x:c>
      <x:c r="B2801" s="29" t="str">
        <x:v>A1</x:v>
      </x:c>
      <x:c r="C2801" s="48" t="n">
        <x:v>1.3250539376500408</x:v>
      </x:c>
      <x:c r="D2801" s="48" t="n">
        <x:v>0.9859124149529199</x:v>
      </x:c>
      <x:c r="E2801" s="48" t="n">
        <x:v>0.6557314190631207</x:v>
      </x:c>
      <x:c r="F2801" s="48" t="n">
        <x:v>-0.1840818506188041</x:v>
      </x:c>
      <x:c r="G2801" s="48" t="n">
        <x:v>-0.010015284040440109</x:v>
      </x:c>
      <x:c r="H2801" s="48" t="n">
        <x:v>1.0620494565957268</x:v>
      </x:c>
      <x:c r="I2801" s="48" t="n">
        <x:v>0.9175289841964109</x:v>
      </x:c>
      <x:c r="J2801" s="48" t="n">
        <x:v>0.8805916090866656</x:v>
      </x:c>
      <x:c r="K2801" s="48" t="n">
        <x:v>0.5690692940641611</x:v>
      </x:c>
      <x:c r="L2801" s="48" t="n">
        <x:v>0.9618063448568459</x:v>
      </x:c>
      <x:c r="M2801" s="48" t="n">
        <x:v>0.14164582627081557</x:v>
      </x:c>
      <x:c r="N2801" s="48" t="n">
        <x:v>0.7461270257308331</x:v>
      </x:c>
      <x:c r="O2801" s="48" t="n">
        <x:v>0.8570385948673163</x:v>
      </x:c>
      <x:c r="P2801" s="48" t="n">
        <x:v>0.5862603082066351</x:v>
      </x:c>
      <x:c r="Q2801" s="48" t="n">
        <x:v>1</x:v>
      </x:c>
      <x:c r="R2801" s="48" t="n">
        <x:v>0.8234651033769437</x:v>
      </x:c>
      <x:c r="S2801" s="29" t="n">
        <x:v>0</x:v>
      </x:c>
    </x:row>
    <x:row r="2802" ht="21.600000381469727" hidden="0" customHeight="1">
      <x:c r="A2802" s="27" t="n">
        <x:v>933</x:v>
      </x:c>
      <x:c r="B2802" s="27" t="str">
        <x:v>A2</x:v>
      </x:c>
      <x:c r="C2802" s="47" t="n">
        <x:v>1.3250539376500408</x:v>
      </x:c>
      <x:c r="D2802" s="47" t="n">
        <x:v>0.9859124149529199</x:v>
      </x:c>
      <x:c r="E2802" s="47" t="n">
        <x:v>0.6557314190631207</x:v>
      </x:c>
      <x:c r="F2802" s="47" t="n">
        <x:v>-0.1840818506188041</x:v>
      </x:c>
      <x:c r="G2802" s="47" t="n">
        <x:v>-0.010015284040440109</x:v>
      </x:c>
      <x:c r="H2802" s="47" t="n">
        <x:v>1.0620494565957268</x:v>
      </x:c>
      <x:c r="I2802" s="47" t="n">
        <x:v>0.9175289841964109</x:v>
      </x:c>
      <x:c r="J2802" s="47" t="n">
        <x:v>0.8805916090866656</x:v>
      </x:c>
      <x:c r="K2802" s="47" t="n">
        <x:v>0.5690692940641611</x:v>
      </x:c>
      <x:c r="L2802" s="47" t="n">
        <x:v>0.9618063448568459</x:v>
      </x:c>
      <x:c r="M2802" s="47" t="n">
        <x:v>0.14164582627081557</x:v>
      </x:c>
      <x:c r="N2802" s="47" t="n">
        <x:v>0.7461270257308331</x:v>
      </x:c>
      <x:c r="O2802" s="47" t="n">
        <x:v>0.9218924650040689</x:v>
      </x:c>
      <x:c r="P2802" s="47" t="n">
        <x:v>0.5747271827046857</x:v>
      </x:c>
      <x:c r="Q2802" s="47" t="n">
        <x:v>1</x:v>
      </x:c>
      <x:c r="R2802" s="47" t="n">
        <x:v>0.9035494537620762</x:v>
      </x:c>
      <x:c r="S2802" s="27" t="n">
        <x:v>0</x:v>
      </x:c>
    </x:row>
    <x:row r="2803" ht="21.600000381469727" hidden="0" customHeight="1">
      <x:c r="A2803" s="29" t="n">
        <x:v>933</x:v>
      </x:c>
      <x:c r="B2803" s="29" t="str">
        <x:v>A3</x:v>
      </x:c>
      <x:c r="C2803" s="48" t="n">
        <x:v>1.3250539376500408</x:v>
      </x:c>
      <x:c r="D2803" s="48" t="n">
        <x:v>0.9859124149529199</x:v>
      </x:c>
      <x:c r="E2803" s="48" t="n">
        <x:v>0.6557314190631207</x:v>
      </x:c>
      <x:c r="F2803" s="48" t="n">
        <x:v>-0.1840818506188041</x:v>
      </x:c>
      <x:c r="G2803" s="48" t="n">
        <x:v>-0.010015284040440109</x:v>
      </x:c>
      <x:c r="H2803" s="48" t="n">
        <x:v>1.0620494565957268</x:v>
      </x:c>
      <x:c r="I2803" s="48" t="n">
        <x:v>0.9175289841964109</x:v>
      </x:c>
      <x:c r="J2803" s="48" t="n">
        <x:v>0.8805916090866656</x:v>
      </x:c>
      <x:c r="K2803" s="48" t="n">
        <x:v>0.5690692940641611</x:v>
      </x:c>
      <x:c r="L2803" s="48" t="n">
        <x:v>0.9618063448568459</x:v>
      </x:c>
      <x:c r="M2803" s="48" t="n">
        <x:v>0.14164582627081557</x:v>
      </x:c>
      <x:c r="N2803" s="48" t="n">
        <x:v>0.7461270257308331</x:v>
      </x:c>
      <x:c r="O2803" s="48" t="n">
        <x:v>1</x:v>
      </x:c>
      <x:c r="P2803" s="48" t="n">
        <x:v>1</x:v>
      </x:c>
      <x:c r="Q2803" s="48" t="n">
        <x:v>1</x:v>
      </x:c>
      <x:c r="R2803" s="48" t="n">
        <x:v>1.0000000000000002</x:v>
      </x:c>
      <x:c r="S2803" s="29" t="n">
        <x:v>1</x:v>
      </x:c>
    </x:row>
    <x:row r="2804" ht="21.600000381469727" hidden="0" customHeight="1">
      <x:c r="A2804" s="27" t="n">
        <x:v>934</x:v>
      </x:c>
      <x:c r="B2804" s="27" t="str">
        <x:v>A1</x:v>
      </x:c>
      <x:c r="C2804" s="47" t="n">
        <x:v>0.9021505244649934</x:v>
      </x:c>
      <x:c r="D2804" s="47" t="n">
        <x:v>0.7808851309645812</x:v>
      </x:c>
      <x:c r="E2804" s="47" t="n">
        <x:v>0.46399059311748714</x:v>
      </x:c>
      <x:c r="F2804" s="47" t="n">
        <x:v>-0.1145290125452341</x:v>
      </x:c>
      <x:c r="G2804" s="47" t="n">
        <x:v>-0.011006344951066421</x:v>
      </x:c>
      <x:c r="H2804" s="47" t="n">
        <x:v>0.7418736630122982</x:v>
      </x:c>
      <x:c r="I2804" s="47" t="n">
        <x:v>0.9660414976341698</x:v>
      </x:c>
      <x:c r="J2804" s="47" t="n">
        <x:v>0.7196982017084558</x:v>
      </x:c>
      <x:c r="K2804" s="47" t="n">
        <x:v>0.7773587142744144</x:v>
      </x:c>
      <x:c r="L2804" s="47" t="n">
        <x:v>0.7130831828813691</x:v>
      </x:c>
      <x:c r="M2804" s="47" t="n">
        <x:v>0.0690774809084847</x:v>
      </x:c>
      <x:c r="N2804" s="47" t="n">
        <x:v>0.8480567135868999</x:v>
      </x:c>
      <x:c r="O2804" s="47" t="n">
        <x:v>0.9322551120489405</x:v>
      </x:c>
      <x:c r="P2804" s="47" t="n">
        <x:v>0.7155013625378777</x:v>
      </x:c>
      <x:c r="Q2804" s="47" t="n">
        <x:v>1</x:v>
      </x:c>
      <x:c r="R2804" s="47" t="n">
        <x:v>0.916345696378115</x:v>
      </x:c>
      <x:c r="S2804" s="27" t="n">
        <x:v>0</x:v>
      </x:c>
    </x:row>
    <x:row r="2805" ht="21.600000381469727" hidden="0" customHeight="1">
      <x:c r="A2805" s="29" t="n">
        <x:v>934</x:v>
      </x:c>
      <x:c r="B2805" s="29" t="str">
        <x:v>A2</x:v>
      </x:c>
      <x:c r="C2805" s="48" t="n">
        <x:v>0.9021505244649934</x:v>
      </x:c>
      <x:c r="D2805" s="48" t="n">
        <x:v>0.7808851309645812</x:v>
      </x:c>
      <x:c r="E2805" s="48" t="n">
        <x:v>0.46399059311748714</x:v>
      </x:c>
      <x:c r="F2805" s="48" t="n">
        <x:v>-0.1145290125452341</x:v>
      </x:c>
      <x:c r="G2805" s="48" t="n">
        <x:v>-0.011006344951066421</x:v>
      </x:c>
      <x:c r="H2805" s="48" t="n">
        <x:v>0.7418736630122982</x:v>
      </x:c>
      <x:c r="I2805" s="48" t="n">
        <x:v>0.9660414976341698</x:v>
      </x:c>
      <x:c r="J2805" s="48" t="n">
        <x:v>0.7196982017084558</x:v>
      </x:c>
      <x:c r="K2805" s="48" t="n">
        <x:v>0.7773587142744144</x:v>
      </x:c>
      <x:c r="L2805" s="48" t="n">
        <x:v>0.7130831828813691</x:v>
      </x:c>
      <x:c r="M2805" s="48" t="n">
        <x:v>0.0690774809084847</x:v>
      </x:c>
      <x:c r="N2805" s="48" t="n">
        <x:v>0.8480567135868999</x:v>
      </x:c>
      <x:c r="O2805" s="48" t="n">
        <x:v>0.980150802452503</x:v>
      </x:c>
      <x:c r="P2805" s="48" t="n">
        <x:v>0.8015080245250288</x:v>
      </x:c>
      <x:c r="Q2805" s="48" t="n">
        <x:v>1</x:v>
      </x:c>
      <x:c r="R2805" s="48" t="n">
        <x:v>0.9754893564885861</x:v>
      </x:c>
      <x:c r="S2805" s="29" t="n">
        <x:v>0</x:v>
      </x:c>
    </x:row>
    <x:row r="2806" ht="21.600000381469727" hidden="0" customHeight="1">
      <x:c r="A2806" s="27" t="n">
        <x:v>934</x:v>
      </x:c>
      <x:c r="B2806" s="27" t="str">
        <x:v>A3</x:v>
      </x:c>
      <x:c r="C2806" s="47" t="n">
        <x:v>0.9021505244649934</x:v>
      </x:c>
      <x:c r="D2806" s="47" t="n">
        <x:v>0.7808851309645812</x:v>
      </x:c>
      <x:c r="E2806" s="47" t="n">
        <x:v>0.46399059311748714</x:v>
      </x:c>
      <x:c r="F2806" s="47" t="n">
        <x:v>-0.1145290125452341</x:v>
      </x:c>
      <x:c r="G2806" s="47" t="n">
        <x:v>-0.011006344951066421</x:v>
      </x:c>
      <x:c r="H2806" s="47" t="n">
        <x:v>0.7418736630122982</x:v>
      </x:c>
      <x:c r="I2806" s="47" t="n">
        <x:v>0.9660414976341698</x:v>
      </x:c>
      <x:c r="J2806" s="47" t="n">
        <x:v>0.7196982017084558</x:v>
      </x:c>
      <x:c r="K2806" s="47" t="n">
        <x:v>0.7773587142744144</x:v>
      </x:c>
      <x:c r="L2806" s="47" t="n">
        <x:v>0.7130831828813691</x:v>
      </x:c>
      <x:c r="M2806" s="47" t="n">
        <x:v>0.0690774809084847</x:v>
      </x:c>
      <x:c r="N2806" s="47" t="n">
        <x:v>0.8480567135868999</x:v>
      </x:c>
      <x:c r="O2806" s="47" t="n">
        <x:v>1</x:v>
      </x:c>
      <x:c r="P2806" s="47" t="n">
        <x:v>1</x:v>
      </x:c>
      <x:c r="Q2806" s="47" t="n">
        <x:v>1</x:v>
      </x:c>
      <x:c r="R2806" s="47" t="n">
        <x:v>1</x:v>
      </x:c>
      <x:c r="S2806" s="27" t="n">
        <x:v>1</x:v>
      </x:c>
    </x:row>
    <x:row r="2807" ht="21.600000381469727" hidden="0" customHeight="1">
      <x:c r="A2807" s="29" t="n">
        <x:v>935</x:v>
      </x:c>
      <x:c r="B2807" s="29" t="str">
        <x:v>A1</x:v>
      </x:c>
      <x:c r="C2807" s="48" t="n">
        <x:v>1.2410626594389245</x:v>
      </x:c>
      <x:c r="D2807" s="48" t="n">
        <x:v>0.7854756053711105</x:v>
      </x:c>
      <x:c r="E2807" s="48" t="n">
        <x:v>0.9702376360973557</x:v>
      </x:c>
      <x:c r="F2807" s="48" t="n">
        <x:v>-0.1564213042947895</x:v>
      </x:c>
      <x:c r="G2807" s="48" t="n">
        <x:v>-0.012848763839111182</x:v>
      </x:c>
      <x:c r="H2807" s="48" t="n">
        <x:v>0.5653062426488277</x:v>
      </x:c>
      <x:c r="I2807" s="48" t="n">
        <x:v>0.8785682533310066</x:v>
      </x:c>
      <x:c r="J2807" s="48" t="n">
        <x:v>0.4017835128265178</x:v>
      </x:c>
      <x:c r="K2807" s="48" t="n">
        <x:v>0.8831926091830142</x:v>
      </x:c>
      <x:c r="L2807" s="48" t="n">
        <x:v>0.9079997429963493</x:v>
      </x:c>
      <x:c r="M2807" s="48" t="n">
        <x:v>0.12343877775912265</x:v>
      </x:c>
      <x:c r="N2807" s="48" t="n">
        <x:v>0.7213208675840044</x:v>
      </x:c>
      <x:c r="O2807" s="48" t="n">
        <x:v>0.776042904176475</x:v>
      </x:c>
      <x:c r="P2807" s="48" t="n">
        <x:v>0.4460458132688998</x:v>
      </x:c>
      <x:c r="Q2807" s="48" t="n">
        <x:v>0.9999999999999998</x:v>
      </x:c>
      <x:c r="R2807" s="48" t="n">
        <x:v>0.7234481381704945</x:v>
      </x:c>
      <x:c r="S2807" s="29" t="n">
        <x:v>0</x:v>
      </x:c>
    </x:row>
    <x:row r="2808" ht="21.600000381469727" hidden="0" customHeight="1">
      <x:c r="A2808" s="27" t="n">
        <x:v>935</x:v>
      </x:c>
      <x:c r="B2808" s="27" t="str">
        <x:v>A2</x:v>
      </x:c>
      <x:c r="C2808" s="47" t="n">
        <x:v>1.2410626594389245</x:v>
      </x:c>
      <x:c r="D2808" s="47" t="n">
        <x:v>0.7854756053711105</x:v>
      </x:c>
      <x:c r="E2808" s="47" t="n">
        <x:v>0.9702376360973557</x:v>
      </x:c>
      <x:c r="F2808" s="47" t="n">
        <x:v>-0.1564213042947895</x:v>
      </x:c>
      <x:c r="G2808" s="47" t="n">
        <x:v>-0.012848763839111182</x:v>
      </x:c>
      <x:c r="H2808" s="47" t="n">
        <x:v>0.5653062426488277</x:v>
      </x:c>
      <x:c r="I2808" s="47" t="n">
        <x:v>0.8785682533310066</x:v>
      </x:c>
      <x:c r="J2808" s="47" t="n">
        <x:v>0.4017835128265178</x:v>
      </x:c>
      <x:c r="K2808" s="47" t="n">
        <x:v>0.8831926091830142</x:v>
      </x:c>
      <x:c r="L2808" s="47" t="n">
        <x:v>0.9079997429963493</x:v>
      </x:c>
      <x:c r="M2808" s="47" t="n">
        <x:v>0.12343877775912265</x:v>
      </x:c>
      <x:c r="N2808" s="47" t="n">
        <x:v>0.7213208675840044</x:v>
      </x:c>
      <x:c r="O2808" s="47" t="n">
        <x:v>0.8589980936925762</x:v>
      </x:c>
      <x:c r="P2808" s="47" t="n">
        <x:v>0.6072883893303668</x:v>
      </x:c>
      <x:c r="Q2808" s="47" t="n">
        <x:v>1</x:v>
      </x:c>
      <x:c r="R2808" s="47" t="n">
        <x:v>0.8258847768701443</x:v>
      </x:c>
      <x:c r="S2808" s="27" t="n">
        <x:v>0</x:v>
      </x:c>
    </x:row>
    <x:row r="2809" ht="21.600000381469727" hidden="0" customHeight="1">
      <x:c r="A2809" s="29" t="n">
        <x:v>935</x:v>
      </x:c>
      <x:c r="B2809" s="29" t="str">
        <x:v>A3</x:v>
      </x:c>
      <x:c r="C2809" s="48" t="n">
        <x:v>1.2410626594389245</x:v>
      </x:c>
      <x:c r="D2809" s="48" t="n">
        <x:v>0.7854756053711105</x:v>
      </x:c>
      <x:c r="E2809" s="48" t="n">
        <x:v>0.9702376360973557</x:v>
      </x:c>
      <x:c r="F2809" s="48" t="n">
        <x:v>-0.1564213042947895</x:v>
      </x:c>
      <x:c r="G2809" s="48" t="n">
        <x:v>-0.012848763839111182</x:v>
      </x:c>
      <x:c r="H2809" s="48" t="n">
        <x:v>0.5653062426488277</x:v>
      </x:c>
      <x:c r="I2809" s="48" t="n">
        <x:v>0.8785682533310066</x:v>
      </x:c>
      <x:c r="J2809" s="48" t="n">
        <x:v>0.4017835128265178</x:v>
      </x:c>
      <x:c r="K2809" s="48" t="n">
        <x:v>0.8831926091830142</x:v>
      </x:c>
      <x:c r="L2809" s="48" t="n">
        <x:v>0.9079997429963493</x:v>
      </x:c>
      <x:c r="M2809" s="48" t="n">
        <x:v>0.12343877775912265</x:v>
      </x:c>
      <x:c r="N2809" s="48" t="n">
        <x:v>0.7213208675840044</x:v>
      </x:c>
      <x:c r="O2809" s="48" t="n">
        <x:v>1</x:v>
      </x:c>
      <x:c r="P2809" s="48" t="n">
        <x:v>1</x:v>
      </x:c>
      <x:c r="Q2809" s="48" t="n">
        <x:v>1</x:v>
      </x:c>
      <x:c r="R2809" s="48" t="n">
        <x:v>1</x:v>
      </x:c>
      <x:c r="S2809" s="29" t="n">
        <x:v>1</x:v>
      </x:c>
    </x:row>
    <x:row r="2810" ht="21.600000381469727" hidden="0" customHeight="1">
      <x:c r="A2810" s="27" t="n">
        <x:v>936</x:v>
      </x:c>
      <x:c r="B2810" s="27" t="str">
        <x:v>A1</x:v>
      </x:c>
      <x:c r="C2810" s="47" t="n">
        <x:v>1.0222703339587198</x:v>
      </x:c>
      <x:c r="D2810" s="47" t="n">
        <x:v>0.9032610097236553</x:v>
      </x:c>
      <x:c r="E2810" s="47" t="n">
        <x:v>0.7594697729342585</x:v>
      </x:c>
      <x:c r="F2810" s="47" t="n">
        <x:v>-0.14751199218543898</x:v>
      </x:c>
      <x:c r="G2810" s="47" t="n">
        <x:v>-0.14575035628677901</x:v>
      </x:c>
      <x:c r="H2810" s="47" t="n">
        <x:v>0.8824987388932293</x:v>
      </x:c>
      <x:c r="I2810" s="47" t="n">
        <x:v>0.7253273098270667</x:v>
      </x:c>
      <x:c r="J2810" s="47" t="n">
        <x:v>0.8009423588077718</x:v>
      </x:c>
      <x:c r="K2810" s="47" t="n">
        <x:v>0.7837783399137718</x:v>
      </x:c>
      <x:c r="L2810" s="47" t="n">
        <x:v>0.9391644900258587</x:v>
      </x:c>
      <x:c r="M2810" s="47" t="n">
        <x:v>0.0972282715097824</x:v>
      </x:c>
      <x:c r="N2810" s="47" t="n">
        <x:v>0.8115609361259088</x:v>
      </x:c>
      <x:c r="O2810" s="47" t="n">
        <x:v>0.9414838625673515</x:v>
      </x:c>
      <x:c r="P2810" s="47" t="n">
        <x:v>0.7267824021109606</x:v>
      </x:c>
      <x:c r="Q2810" s="47" t="n">
        <x:v>1</x:v>
      </x:c>
      <x:c r="R2810" s="47" t="n">
        <x:v>0.927741754756358</x:v>
      </x:c>
      <x:c r="S2810" s="27" t="n">
        <x:v>0</x:v>
      </x:c>
    </x:row>
    <x:row r="2811" ht="21.600000381469727" hidden="0" customHeight="1">
      <x:c r="A2811" s="29" t="n">
        <x:v>936</x:v>
      </x:c>
      <x:c r="B2811" s="29" t="str">
        <x:v>A2</x:v>
      </x:c>
      <x:c r="C2811" s="48" t="n">
        <x:v>1.0222703339587198</x:v>
      </x:c>
      <x:c r="D2811" s="48" t="n">
        <x:v>0.9032610097236553</x:v>
      </x:c>
      <x:c r="E2811" s="48" t="n">
        <x:v>0.7594697729342585</x:v>
      </x:c>
      <x:c r="F2811" s="48" t="n">
        <x:v>-0.14751199218543898</x:v>
      </x:c>
      <x:c r="G2811" s="48" t="n">
        <x:v>-0.14575035628677901</x:v>
      </x:c>
      <x:c r="H2811" s="48" t="n">
        <x:v>0.8824987388932293</x:v>
      </x:c>
      <x:c r="I2811" s="48" t="n">
        <x:v>0.7253273098270667</x:v>
      </x:c>
      <x:c r="J2811" s="48" t="n">
        <x:v>0.8009423588077718</x:v>
      </x:c>
      <x:c r="K2811" s="48" t="n">
        <x:v>0.7837783399137718</x:v>
      </x:c>
      <x:c r="L2811" s="48" t="n">
        <x:v>0.9391644900258587</x:v>
      </x:c>
      <x:c r="M2811" s="48" t="n">
        <x:v>0.0972282715097824</x:v>
      </x:c>
      <x:c r="N2811" s="48" t="n">
        <x:v>0.8115609361259088</x:v>
      </x:c>
      <x:c r="O2811" s="48" t="n">
        <x:v>0.9980270690137185</x:v>
      </x:c>
      <x:c r="P2811" s="48" t="n">
        <x:v>0.9802706901371846</x:v>
      </x:c>
      <x:c r="Q2811" s="48" t="n">
        <x:v>1</x:v>
      </x:c>
      <x:c r="R2811" s="48" t="n">
        <x:v>0.9975637398962022</x:v>
      </x:c>
      <x:c r="S2811" s="29" t="n">
        <x:v>1</x:v>
      </x:c>
    </x:row>
    <x:row r="2812" ht="21.600000381469727" hidden="0" customHeight="1">
      <x:c r="A2812" s="27" t="n">
        <x:v>936</x:v>
      </x:c>
      <x:c r="B2812" s="27" t="str">
        <x:v>A3</x:v>
      </x:c>
      <x:c r="C2812" s="47" t="n">
        <x:v>1.0222703339587198</x:v>
      </x:c>
      <x:c r="D2812" s="47" t="n">
        <x:v>0.9032610097236553</x:v>
      </x:c>
      <x:c r="E2812" s="47" t="n">
        <x:v>0.7594697729342585</x:v>
      </x:c>
      <x:c r="F2812" s="47" t="n">
        <x:v>-0.14751199218543898</x:v>
      </x:c>
      <x:c r="G2812" s="47" t="n">
        <x:v>-0.14575035628677901</x:v>
      </x:c>
      <x:c r="H2812" s="47" t="n">
        <x:v>0.8824987388932293</x:v>
      </x:c>
      <x:c r="I2812" s="47" t="n">
        <x:v>0.7253273098270667</x:v>
      </x:c>
      <x:c r="J2812" s="47" t="n">
        <x:v>0.8009423588077718</x:v>
      </x:c>
      <x:c r="K2812" s="47" t="n">
        <x:v>0.7837783399137718</x:v>
      </x:c>
      <x:c r="L2812" s="47" t="n">
        <x:v>0.9391644900258587</x:v>
      </x:c>
      <x:c r="M2812" s="47" t="n">
        <x:v>0.0972282715097824</x:v>
      </x:c>
      <x:c r="N2812" s="47" t="n">
        <x:v>0.8115609361259088</x:v>
      </x:c>
      <x:c r="O2812" s="47" t="n">
        <x:v>1</x:v>
      </x:c>
      <x:c r="P2812" s="47" t="n">
        <x:v>1</x:v>
      </x:c>
      <x:c r="Q2812" s="47" t="n">
        <x:v>1</x:v>
      </x:c>
      <x:c r="R2812" s="47" t="n">
        <x:v>1</x:v>
      </x:c>
      <x:c r="S2812" s="27" t="n">
        <x:v>1</x:v>
      </x:c>
    </x:row>
    <x:row r="2813" ht="15" hidden="0" customHeight="1">
      <x:c r="A2813" s="29" t="n">
        <x:v>937</x:v>
      </x:c>
      <x:c r="B2813" s="29" t="str">
        <x:v>A1</x:v>
      </x:c>
      <x:c r="C2813" s="48" t="n">
        <x:v>1.0115382177033667</x:v>
      </x:c>
      <x:c r="D2813" s="48" t="n">
        <x:v>0.8379856321387259</x:v>
      </x:c>
      <x:c r="E2813" s="48" t="n">
        <x:v>0.9795324657363074</x:v>
      </x:c>
      <x:c r="F2813" s="48" t="n">
        <x:v>-0.07580097951743352</x:v>
      </x:c>
      <x:c r="G2813" s="48" t="n">
        <x:v>-0.19122014997950873</x:v>
      </x:c>
      <x:c r="H2813" s="48" t="n">
        <x:v>0.5531887844130351</x:v>
      </x:c>
      <x:c r="I2813" s="48" t="n">
        <x:v>0.8268999488377996</x:v>
      </x:c>
      <x:c r="J2813" s="48" t="n">
        <x:v>0.7576694719030626</x:v>
      </x:c>
      <x:c r="K2813" s="48" t="n">
        <x:v>0.7079387225843897</x:v>
      </x:c>
      <x:c r="L2813" s="48" t="n">
        <x:v>0.9133893470136513</x:v>
      </x:c>
      <x:c r="M2813" s="48" t="n">
        <x:v>0.13370912119729308</x:v>
      </x:c>
      <x:c r="N2813" s="48" t="n">
        <x:v>0.8805867545131656</x:v>
      </x:c>
      <x:c r="O2813" s="48" t="n">
        <x:v>0.9186348040255334</x:v>
      </x:c>
      <x:c r="P2813" s="48" t="n">
        <x:v>0.6740634509787221</x:v>
      </x:c>
      <x:c r="Q2813" s="48" t="n">
        <x:v>1</x:v>
      </x:c>
      <x:c r="R2813" s="48" t="n">
        <x:v>0.8995267537645142</x:v>
      </x:c>
      <x:c r="S2813" s="29" t="n">
        <x:v>0</x:v>
      </x:c>
    </x:row>
    <x:row r="2814" ht="15" hidden="0" customHeight="1">
      <x:c r="A2814" s="27" t="n">
        <x:v>937</x:v>
      </x:c>
      <x:c r="B2814" s="27" t="str">
        <x:v>A2</x:v>
      </x:c>
      <x:c r="C2814" s="47" t="n">
        <x:v>1.0115382177033667</x:v>
      </x:c>
      <x:c r="D2814" s="47" t="n">
        <x:v>0.8379856321387259</x:v>
      </x:c>
      <x:c r="E2814" s="47" t="n">
        <x:v>0.9795324657363074</x:v>
      </x:c>
      <x:c r="F2814" s="47" t="n">
        <x:v>-0.07580097951743352</x:v>
      </x:c>
      <x:c r="G2814" s="47" t="n">
        <x:v>-0.19122014997950873</x:v>
      </x:c>
      <x:c r="H2814" s="47" t="n">
        <x:v>0.5531887844130351</x:v>
      </x:c>
      <x:c r="I2814" s="47" t="n">
        <x:v>0.8268999488377996</x:v>
      </x:c>
      <x:c r="J2814" s="47" t="n">
        <x:v>0.7576694719030626</x:v>
      </x:c>
      <x:c r="K2814" s="47" t="n">
        <x:v>0.7079387225843897</x:v>
      </x:c>
      <x:c r="L2814" s="47" t="n">
        <x:v>0.9133893470136513</x:v>
      </x:c>
      <x:c r="M2814" s="47" t="n">
        <x:v>0.13370912119729308</x:v>
      </x:c>
      <x:c r="N2814" s="47" t="n">
        <x:v>0.8805867545131656</x:v>
      </x:c>
      <x:c r="O2814" s="47" t="n">
        <x:v>0.9875543371470514</x:v>
      </x:c>
      <x:c r="P2814" s="47" t="n">
        <x:v>0.8755433714705153</x:v>
      </x:c>
      <x:c r="Q2814" s="47" t="n">
        <x:v>1</x:v>
      </x:c>
      <x:c r="R2814" s="47" t="n">
        <x:v>0.9846315598037699</x:v>
      </x:c>
      <x:c r="S2814" s="27" t="n">
        <x:v>0</x:v>
      </x:c>
    </x:row>
    <x:row r="2815" ht="15" hidden="0" customHeight="1">
      <x:c r="A2815" s="29" t="n">
        <x:v>937</x:v>
      </x:c>
      <x:c r="B2815" s="29" t="str">
        <x:v>A3</x:v>
      </x:c>
      <x:c r="C2815" s="48" t="n">
        <x:v>1.0115382177033667</x:v>
      </x:c>
      <x:c r="D2815" s="48" t="n">
        <x:v>0.8379856321387259</x:v>
      </x:c>
      <x:c r="E2815" s="48" t="n">
        <x:v>0.9795324657363074</x:v>
      </x:c>
      <x:c r="F2815" s="48" t="n">
        <x:v>-0.07580097951743352</x:v>
      </x:c>
      <x:c r="G2815" s="48" t="n">
        <x:v>-0.19122014997950873</x:v>
      </x:c>
      <x:c r="H2815" s="48" t="n">
        <x:v>0.5531887844130351</x:v>
      </x:c>
      <x:c r="I2815" s="48" t="n">
        <x:v>0.8268999488377996</x:v>
      </x:c>
      <x:c r="J2815" s="48" t="n">
        <x:v>0.7576694719030626</x:v>
      </x:c>
      <x:c r="K2815" s="48" t="n">
        <x:v>0.7079387225843897</x:v>
      </x:c>
      <x:c r="L2815" s="48" t="n">
        <x:v>0.9133893470136513</x:v>
      </x:c>
      <x:c r="M2815" s="48" t="n">
        <x:v>0.13370912119729308</x:v>
      </x:c>
      <x:c r="N2815" s="48" t="n">
        <x:v>0.8805867545131656</x:v>
      </x:c>
      <x:c r="O2815" s="48" t="n">
        <x:v>1</x:v>
      </x:c>
      <x:c r="P2815" s="48" t="n">
        <x:v>1</x:v>
      </x:c>
      <x:c r="Q2815" s="48" t="n">
        <x:v>1</x:v>
      </x:c>
      <x:c r="R2815" s="48" t="n">
        <x:v>1</x:v>
      </x:c>
      <x:c r="S2815" s="29" t="n">
        <x:v>1</x:v>
      </x:c>
    </x:row>
    <x:row r="2816" ht="21.600000381469727" hidden="0" customHeight="1">
      <x:c r="A2816" s="27" t="n">
        <x:v>938</x:v>
      </x:c>
      <x:c r="B2816" s="27" t="str">
        <x:v>A1</x:v>
      </x:c>
      <x:c r="C2816" s="47" t="n">
        <x:v>0.9104097590484608</x:v>
      </x:c>
      <x:c r="D2816" s="47" t="n">
        <x:v>0.8267930410320388</x:v>
      </x:c>
      <x:c r="E2816" s="47" t="n">
        <x:v>0.4962380630888681</x:v>
      </x:c>
      <x:c r="F2816" s="47" t="n">
        <x:v>-0.17653621591137741</x:v>
      </x:c>
      <x:c r="G2816" s="47" t="n">
        <x:v>-0.1057366080755269</x:v>
      </x:c>
      <x:c r="H2816" s="47" t="n">
        <x:v>1.025612070746013</x:v>
      </x:c>
      <x:c r="I2816" s="47" t="n">
        <x:v>0.788852336502037</x:v>
      </x:c>
      <x:c r="J2816" s="47" t="n">
        <x:v>0.811428381690345</x:v>
      </x:c>
      <x:c r="K2816" s="47" t="n">
        <x:v>0.8412081324110959</x:v>
      </x:c>
      <x:c r="L2816" s="47" t="n">
        <x:v>0.6901641470289333</x:v>
      </x:c>
      <x:c r="M2816" s="47" t="n">
        <x:v>0.168596444536065</x:v>
      </x:c>
      <x:c r="N2816" s="47" t="n">
        <x:v>0.9899564116943562</x:v>
      </x:c>
      <x:c r="O2816" s="47" t="n">
        <x:v>0.9520233866455392</x:v>
      </x:c>
      <x:c r="P2816" s="47" t="n">
        <x:v>0.675745222697509</x:v>
      </x:c>
      <x:c r="Q2816" s="47" t="n">
        <x:v>1</x:v>
      </x:c>
      <x:c r="R2816" s="47" t="n">
        <x:v>0.9407564127465491</x:v>
      </x:c>
      <x:c r="S2816" s="27" t="n">
        <x:v>0</x:v>
      </x:c>
    </x:row>
    <x:row r="2817" ht="21.600000381469727" hidden="0" customHeight="1">
      <x:c r="A2817" s="29" t="n">
        <x:v>938</x:v>
      </x:c>
      <x:c r="B2817" s="29" t="str">
        <x:v>A2</x:v>
      </x:c>
      <x:c r="C2817" s="48" t="n">
        <x:v>0.9104097590484608</x:v>
      </x:c>
      <x:c r="D2817" s="48" t="n">
        <x:v>0.8267930410320388</x:v>
      </x:c>
      <x:c r="E2817" s="48" t="n">
        <x:v>0.4962380630888681</x:v>
      </x:c>
      <x:c r="F2817" s="48" t="n">
        <x:v>-0.17653621591137741</x:v>
      </x:c>
      <x:c r="G2817" s="48" t="n">
        <x:v>-0.1057366080755269</x:v>
      </x:c>
      <x:c r="H2817" s="48" t="n">
        <x:v>1.025612070746013</x:v>
      </x:c>
      <x:c r="I2817" s="48" t="n">
        <x:v>0.788852336502037</x:v>
      </x:c>
      <x:c r="J2817" s="48" t="n">
        <x:v>0.811428381690345</x:v>
      </x:c>
      <x:c r="K2817" s="48" t="n">
        <x:v>0.8412081324110959</x:v>
      </x:c>
      <x:c r="L2817" s="48" t="n">
        <x:v>0.6901641470289333</x:v>
      </x:c>
      <x:c r="M2817" s="48" t="n">
        <x:v>0.168596444536065</x:v>
      </x:c>
      <x:c r="N2817" s="48" t="n">
        <x:v>0.9899564116943562</x:v>
      </x:c>
      <x:c r="O2817" s="48" t="n">
        <x:v>0.9831371713891831</x:v>
      </x:c>
      <x:c r="P2817" s="48" t="n">
        <x:v>0.8313717138918306</x:v>
      </x:c>
      <x:c r="Q2817" s="48" t="n">
        <x:v>1</x:v>
      </x:c>
      <x:c r="R2817" s="48" t="n">
        <x:v>0.979177053395495</x:v>
      </x:c>
      <x:c r="S2817" s="29" t="n">
        <x:v>0</x:v>
      </x:c>
    </x:row>
    <x:row r="2818" ht="21.600000381469727" hidden="0" customHeight="1">
      <x:c r="A2818" s="27" t="n">
        <x:v>938</x:v>
      </x:c>
      <x:c r="B2818" s="27" t="str">
        <x:v>A3</x:v>
      </x:c>
      <x:c r="C2818" s="47" t="n">
        <x:v>0.9104097590484608</x:v>
      </x:c>
      <x:c r="D2818" s="47" t="n">
        <x:v>0.8267930410320388</x:v>
      </x:c>
      <x:c r="E2818" s="47" t="n">
        <x:v>0.4962380630888681</x:v>
      </x:c>
      <x:c r="F2818" s="47" t="n">
        <x:v>-0.17653621591137741</x:v>
      </x:c>
      <x:c r="G2818" s="47" t="n">
        <x:v>-0.1057366080755269</x:v>
      </x:c>
      <x:c r="H2818" s="47" t="n">
        <x:v>1.025612070746013</x:v>
      </x:c>
      <x:c r="I2818" s="47" t="n">
        <x:v>0.788852336502037</x:v>
      </x:c>
      <x:c r="J2818" s="47" t="n">
        <x:v>0.811428381690345</x:v>
      </x:c>
      <x:c r="K2818" s="47" t="n">
        <x:v>0.8412081324110959</x:v>
      </x:c>
      <x:c r="L2818" s="47" t="n">
        <x:v>0.6901641470289333</x:v>
      </x:c>
      <x:c r="M2818" s="47" t="n">
        <x:v>0.168596444536065</x:v>
      </x:c>
      <x:c r="N2818" s="47" t="n">
        <x:v>0.9899564116943562</x:v>
      </x:c>
      <x:c r="O2818" s="47" t="n">
        <x:v>1</x:v>
      </x:c>
      <x:c r="P2818" s="47" t="n">
        <x:v>1</x:v>
      </x:c>
      <x:c r="Q2818" s="47" t="n">
        <x:v>1</x:v>
      </x:c>
      <x:c r="R2818" s="47" t="n">
        <x:v>1</x:v>
      </x:c>
      <x:c r="S2818" s="27" t="n">
        <x:v>1</x:v>
      </x:c>
    </x:row>
    <x:row r="2819" ht="21.600000381469727" hidden="0" customHeight="1">
      <x:c r="A2819" s="29" t="n">
        <x:v>939</x:v>
      </x:c>
      <x:c r="B2819" s="29" t="str">
        <x:v>A1</x:v>
      </x:c>
      <x:c r="C2819" s="48" t="n">
        <x:v>1.279600078741932</x:v>
      </x:c>
      <x:c r="D2819" s="48" t="n">
        <x:v>0.9106415863294228</x:v>
      </x:c>
      <x:c r="E2819" s="48" t="n">
        <x:v>0.5358642432245997</x:v>
      </x:c>
      <x:c r="F2819" s="48" t="n">
        <x:v>0.018237563990543354</x:v>
      </x:c>
      <x:c r="G2819" s="48" t="n">
        <x:v>-0.035016738818089005</x:v>
      </x:c>
      <x:c r="H2819" s="48" t="n">
        <x:v>0.46154518635583913</x:v>
      </x:c>
      <x:c r="I2819" s="48" t="n">
        <x:v>0.8256391919531129</x:v>
      </x:c>
      <x:c r="J2819" s="48" t="n">
        <x:v>0.7521125801548095</x:v>
      </x:c>
      <x:c r="K2819" s="48" t="n">
        <x:v>0.7172220755846351</x:v>
      </x:c>
      <x:c r="L2819" s="48" t="n">
        <x:v>0.9994283740792393</x:v>
      </x:c>
      <x:c r="M2819" s="48" t="n">
        <x:v>0.1323473384382973</x:v>
      </x:c>
      <x:c r="N2819" s="48" t="n">
        <x:v>0.7192924553487143</x:v>
      </x:c>
      <x:c r="O2819" s="48" t="n">
        <x:v>0.8243610281343283</x:v>
      </x:c>
      <x:c r="P2819" s="48" t="n">
        <x:v>0.4920623796624897</x:v>
      </x:c>
      <x:c r="Q2819" s="48" t="n">
        <x:v>1</x:v>
      </x:c>
      <x:c r="R2819" s="48" t="n">
        <x:v>0.7831134374168405</x:v>
      </x:c>
      <x:c r="S2819" s="29" t="n">
        <x:v>0</x:v>
      </x:c>
    </x:row>
    <x:row r="2820" ht="21.600000381469727" hidden="0" customHeight="1">
      <x:c r="A2820" s="27" t="n">
        <x:v>939</x:v>
      </x:c>
      <x:c r="B2820" s="27" t="str">
        <x:v>A2</x:v>
      </x:c>
      <x:c r="C2820" s="47" t="n">
        <x:v>1.279600078741932</x:v>
      </x:c>
      <x:c r="D2820" s="47" t="n">
        <x:v>0.9106415863294228</x:v>
      </x:c>
      <x:c r="E2820" s="47" t="n">
        <x:v>0.5358642432245997</x:v>
      </x:c>
      <x:c r="F2820" s="47" t="n">
        <x:v>0.018237563990543354</x:v>
      </x:c>
      <x:c r="G2820" s="47" t="n">
        <x:v>-0.035016738818089005</x:v>
      </x:c>
      <x:c r="H2820" s="47" t="n">
        <x:v>0.46154518635583913</x:v>
      </x:c>
      <x:c r="I2820" s="47" t="n">
        <x:v>0.8256391919531129</x:v>
      </x:c>
      <x:c r="J2820" s="47" t="n">
        <x:v>0.7521125801548095</x:v>
      </x:c>
      <x:c r="K2820" s="47" t="n">
        <x:v>0.7172220755846351</x:v>
      </x:c>
      <x:c r="L2820" s="47" t="n">
        <x:v>0.9994283740792393</x:v>
      </x:c>
      <x:c r="M2820" s="47" t="n">
        <x:v>0.1323473384382973</x:v>
      </x:c>
      <x:c r="N2820" s="47" t="n">
        <x:v>0.7192924553487143</x:v>
      </x:c>
      <x:c r="O2820" s="47" t="n">
        <x:v>0.9043620575820668</x:v>
      </x:c>
      <x:c r="P2820" s="47" t="n">
        <x:v>0.5758866282840882</x:v>
      </x:c>
      <x:c r="Q2820" s="47" t="n">
        <x:v>1</x:v>
      </x:c>
      <x:c r="R2820" s="47" t="n">
        <x:v>0.8819021521065634</x:v>
      </x:c>
      <x:c r="S2820" s="27" t="n">
        <x:v>0</x:v>
      </x:c>
    </x:row>
    <x:row r="2821" ht="21.600000381469727" hidden="0" customHeight="1">
      <x:c r="A2821" s="29" t="n">
        <x:v>939</x:v>
      </x:c>
      <x:c r="B2821" s="29" t="str">
        <x:v>A3</x:v>
      </x:c>
      <x:c r="C2821" s="48" t="n">
        <x:v>1.279600078741932</x:v>
      </x:c>
      <x:c r="D2821" s="48" t="n">
        <x:v>0.9106415863294228</x:v>
      </x:c>
      <x:c r="E2821" s="48" t="n">
        <x:v>0.5358642432245997</x:v>
      </x:c>
      <x:c r="F2821" s="48" t="n">
        <x:v>0.018237563990543354</x:v>
      </x:c>
      <x:c r="G2821" s="48" t="n">
        <x:v>-0.035016738818089005</x:v>
      </x:c>
      <x:c r="H2821" s="48" t="n">
        <x:v>0.46154518635583913</x:v>
      </x:c>
      <x:c r="I2821" s="48" t="n">
        <x:v>0.8256391919531129</x:v>
      </x:c>
      <x:c r="J2821" s="48" t="n">
        <x:v>0.7521125801548095</x:v>
      </x:c>
      <x:c r="K2821" s="48" t="n">
        <x:v>0.7172220755846351</x:v>
      </x:c>
      <x:c r="L2821" s="48" t="n">
        <x:v>0.9994283740792393</x:v>
      </x:c>
      <x:c r="M2821" s="48" t="n">
        <x:v>0.1323473384382973</x:v>
      </x:c>
      <x:c r="N2821" s="48" t="n">
        <x:v>0.7192924553487143</x:v>
      </x:c>
      <x:c r="O2821" s="48" t="n">
        <x:v>1</x:v>
      </x:c>
      <x:c r="P2821" s="48" t="n">
        <x:v>1</x:v>
      </x:c>
      <x:c r="Q2821" s="48" t="n">
        <x:v>1</x:v>
      </x:c>
      <x:c r="R2821" s="48" t="n">
        <x:v>1</x:v>
      </x:c>
      <x:c r="S2821" s="29" t="n">
        <x:v>1</x:v>
      </x:c>
    </x:row>
    <x:row r="2822" ht="21.600000381469727" hidden="0" customHeight="1">
      <x:c r="A2822" s="27" t="n">
        <x:v>940</x:v>
      </x:c>
      <x:c r="B2822" s="27" t="str">
        <x:v>A1</x:v>
      </x:c>
      <x:c r="C2822" s="47" t="n">
        <x:v>1.10298127349147</x:v>
      </x:c>
      <x:c r="D2822" s="47" t="n">
        <x:v>0.8237792922982535</x:v>
      </x:c>
      <x:c r="E2822" s="47" t="n">
        <x:v>0.7358171685434008</x:v>
      </x:c>
      <x:c r="F2822" s="47" t="n">
        <x:v>-0.1679495687141594</x:v>
      </x:c>
      <x:c r="G2822" s="47" t="n">
        <x:v>-0.15497910774239493</x:v>
      </x:c>
      <x:c r="H2822" s="47" t="n">
        <x:v>0.6682102566498045</x:v>
      </x:c>
      <x:c r="I2822" s="47" t="n">
        <x:v>0.9130643931127139</x:v>
      </x:c>
      <x:c r="J2822" s="47" t="n">
        <x:v>0.9927465480415738</x:v>
      </x:c>
      <x:c r="K2822" s="47" t="n">
        <x:v>0.5900416511205735</x:v>
      </x:c>
      <x:c r="L2822" s="47" t="n">
        <x:v>0.6075380736483266</x:v>
      </x:c>
      <x:c r="M2822" s="47" t="n">
        <x:v>0.10793561080173919</x:v>
      </x:c>
      <x:c r="N2822" s="47" t="n">
        <x:v>0.9096302004469349</x:v>
      </x:c>
      <x:c r="O2822" s="47" t="n">
        <x:v>0.8164599468908053</x:v>
      </x:c>
      <x:c r="P2822" s="47" t="n">
        <x:v>0.5292930805941626</x:v>
      </x:c>
      <x:c r="Q2822" s="47" t="n">
        <x:v>1</x:v>
      </x:c>
      <x:c r="R2822" s="47" t="n">
        <x:v>0.7733568422068172</x:v>
      </x:c>
      <x:c r="S2822" s="27" t="n">
        <x:v>0</x:v>
      </x:c>
    </x:row>
    <x:row r="2823" ht="21.600000381469727" hidden="0" customHeight="1">
      <x:c r="A2823" s="29" t="n">
        <x:v>940</x:v>
      </x:c>
      <x:c r="B2823" s="29" t="str">
        <x:v>A2</x:v>
      </x:c>
      <x:c r="C2823" s="48" t="n">
        <x:v>1.10298127349147</x:v>
      </x:c>
      <x:c r="D2823" s="48" t="n">
        <x:v>0.8237792922982535</x:v>
      </x:c>
      <x:c r="E2823" s="48" t="n">
        <x:v>0.7358171685434008</x:v>
      </x:c>
      <x:c r="F2823" s="48" t="n">
        <x:v>-0.1679495687141594</x:v>
      </x:c>
      <x:c r="G2823" s="48" t="n">
        <x:v>-0.15497910774239493</x:v>
      </x:c>
      <x:c r="H2823" s="48" t="n">
        <x:v>0.6682102566498045</x:v>
      </x:c>
      <x:c r="I2823" s="48" t="n">
        <x:v>0.9130643931127139</x:v>
      </x:c>
      <x:c r="J2823" s="48" t="n">
        <x:v>0.9927465480415738</x:v>
      </x:c>
      <x:c r="K2823" s="48" t="n">
        <x:v>0.5900416511205735</x:v>
      </x:c>
      <x:c r="L2823" s="48" t="n">
        <x:v>0.6075380736483266</x:v>
      </x:c>
      <x:c r="M2823" s="48" t="n">
        <x:v>0.10793561080173919</x:v>
      </x:c>
      <x:c r="N2823" s="48" t="n">
        <x:v>0.9096302004469349</x:v>
      </x:c>
      <x:c r="O2823" s="48" t="n">
        <x:v>0.8999905391859062</x:v>
      </x:c>
      <x:c r="P2823" s="48" t="n">
        <x:v>0.5798739563696864</x:v>
      </x:c>
      <x:c r="Q2823" s="48" t="n">
        <x:v>1</x:v>
      </x:c>
      <x:c r="R2823" s="48" t="n">
        <x:v>0.8765040130253495</x:v>
      </x:c>
      <x:c r="S2823" s="29" t="n">
        <x:v>0</x:v>
      </x:c>
    </x:row>
    <x:row r="2824" ht="21.600000381469727" hidden="0" customHeight="1">
      <x:c r="A2824" s="27" t="n">
        <x:v>940</x:v>
      </x:c>
      <x:c r="B2824" s="27" t="str">
        <x:v>A3</x:v>
      </x:c>
      <x:c r="C2824" s="47" t="n">
        <x:v>1.10298127349147</x:v>
      </x:c>
      <x:c r="D2824" s="47" t="n">
        <x:v>0.8237792922982535</x:v>
      </x:c>
      <x:c r="E2824" s="47" t="n">
        <x:v>0.7358171685434008</x:v>
      </x:c>
      <x:c r="F2824" s="47" t="n">
        <x:v>-0.1679495687141594</x:v>
      </x:c>
      <x:c r="G2824" s="47" t="n">
        <x:v>-0.15497910774239493</x:v>
      </x:c>
      <x:c r="H2824" s="47" t="n">
        <x:v>0.6682102566498045</x:v>
      </x:c>
      <x:c r="I2824" s="47" t="n">
        <x:v>0.9130643931127139</x:v>
      </x:c>
      <x:c r="J2824" s="47" t="n">
        <x:v>0.9927465480415738</x:v>
      </x:c>
      <x:c r="K2824" s="47" t="n">
        <x:v>0.5900416511205735</x:v>
      </x:c>
      <x:c r="L2824" s="47" t="n">
        <x:v>0.6075380736483266</x:v>
      </x:c>
      <x:c r="M2824" s="47" t="n">
        <x:v>0.10793561080173919</x:v>
      </x:c>
      <x:c r="N2824" s="47" t="n">
        <x:v>0.9096302004469349</x:v>
      </x:c>
      <x:c r="O2824" s="47" t="n">
        <x:v>1</x:v>
      </x:c>
      <x:c r="P2824" s="47" t="n">
        <x:v>1</x:v>
      </x:c>
      <x:c r="Q2824" s="47" t="n">
        <x:v>1</x:v>
      </x:c>
      <x:c r="R2824" s="47" t="n">
        <x:v>1</x:v>
      </x:c>
      <x:c r="S2824" s="27" t="n">
        <x:v>1</x:v>
      </x:c>
    </x:row>
    <x:row r="2825" ht="21.600000381469727" hidden="0" customHeight="1">
      <x:c r="A2825" s="29" t="n">
        <x:v>941</x:v>
      </x:c>
      <x:c r="B2825" s="29" t="str">
        <x:v>A1</x:v>
      </x:c>
      <x:c r="C2825" s="48" t="n">
        <x:v>1.0652974983946017</x:v>
      </x:c>
      <x:c r="D2825" s="48" t="n">
        <x:v>0.9749533441525199</x:v>
      </x:c>
      <x:c r="E2825" s="48" t="n">
        <x:v>0.49380561927696254</x:v>
      </x:c>
      <x:c r="F2825" s="48" t="n">
        <x:v>-0.0013779824827391263</x:v>
      </x:c>
      <x:c r="G2825" s="48" t="n">
        <x:v>-0.07437449642650526</x:v>
      </x:c>
      <x:c r="H2825" s="48" t="n">
        <x:v>0.7527702200242868</x:v>
      </x:c>
      <x:c r="I2825" s="48" t="n">
        <x:v>0.8589708362490234</x:v>
      </x:c>
      <x:c r="J2825" s="48" t="n">
        <x:v>0.9779677611561068</x:v>
      </x:c>
      <x:c r="K2825" s="48" t="n">
        <x:v>0.5531072624363924</x:v>
      </x:c>
      <x:c r="L2825" s="48" t="n">
        <x:v>0.7362284174247471</x:v>
      </x:c>
      <x:c r="M2825" s="48" t="n">
        <x:v>0.15482809185496121</x:v>
      </x:c>
      <x:c r="N2825" s="48" t="n">
        <x:v>0.7662675465003201</x:v>
      </x:c>
      <x:c r="O2825" s="48" t="n">
        <x:v>0.9176847226041542</x:v>
      </x:c>
      <x:c r="P2825" s="48" t="n">
        <x:v>0.6100741568188269</x:v>
      </x:c>
      <x:c r="Q2825" s="48" t="n">
        <x:v>1</x:v>
      </x:c>
      <x:c r="R2825" s="48" t="n">
        <x:v>0.8983535523305256</x:v>
      </x:c>
      <x:c r="S2825" s="29" t="n">
        <x:v>0</x:v>
      </x:c>
    </x:row>
    <x:row r="2826" ht="21.600000381469727" hidden="0" customHeight="1">
      <x:c r="A2826" s="27" t="n">
        <x:v>941</x:v>
      </x:c>
      <x:c r="B2826" s="27" t="str">
        <x:v>A2</x:v>
      </x:c>
      <x:c r="C2826" s="47" t="n">
        <x:v>1.0652974983946017</x:v>
      </x:c>
      <x:c r="D2826" s="47" t="n">
        <x:v>0.9749533441525199</x:v>
      </x:c>
      <x:c r="E2826" s="47" t="n">
        <x:v>0.49380561927696254</x:v>
      </x:c>
      <x:c r="F2826" s="47" t="n">
        <x:v>-0.0013779824827391263</x:v>
      </x:c>
      <x:c r="G2826" s="47" t="n">
        <x:v>-0.07437449642650526</x:v>
      </x:c>
      <x:c r="H2826" s="47" t="n">
        <x:v>0.7527702200242868</x:v>
      </x:c>
      <x:c r="I2826" s="47" t="n">
        <x:v>0.8589708362490234</x:v>
      </x:c>
      <x:c r="J2826" s="47" t="n">
        <x:v>0.9779677611561068</x:v>
      </x:c>
      <x:c r="K2826" s="47" t="n">
        <x:v>0.5531072624363924</x:v>
      </x:c>
      <x:c r="L2826" s="47" t="n">
        <x:v>0.7362284174247471</x:v>
      </x:c>
      <x:c r="M2826" s="47" t="n">
        <x:v>0.15482809185496121</x:v>
      </x:c>
      <x:c r="N2826" s="47" t="n">
        <x:v>0.7662675465003201</x:v>
      </x:c>
      <x:c r="O2826" s="47" t="n">
        <x:v>0.9673232607742316</x:v>
      </x:c>
      <x:c r="P2826" s="47" t="n">
        <x:v>0.7085695998152782</x:v>
      </x:c>
      <x:c r="Q2826" s="47" t="n">
        <x:v>1</x:v>
      </x:c>
      <x:c r="R2826" s="47" t="n">
        <x:v>0.95964935588143</x:v>
      </x:c>
      <x:c r="S2826" s="27" t="n">
        <x:v>0</x:v>
      </x:c>
    </x:row>
    <x:row r="2827" ht="21.600000381469727" hidden="0" customHeight="1">
      <x:c r="A2827" s="29" t="n">
        <x:v>941</x:v>
      </x:c>
      <x:c r="B2827" s="29" t="str">
        <x:v>A3</x:v>
      </x:c>
      <x:c r="C2827" s="48" t="n">
        <x:v>1.0652974983946017</x:v>
      </x:c>
      <x:c r="D2827" s="48" t="n">
        <x:v>0.9749533441525199</x:v>
      </x:c>
      <x:c r="E2827" s="48" t="n">
        <x:v>0.49380561927696254</x:v>
      </x:c>
      <x:c r="F2827" s="48" t="n">
        <x:v>-0.0013779824827391263</x:v>
      </x:c>
      <x:c r="G2827" s="48" t="n">
        <x:v>-0.07437449642650526</x:v>
      </x:c>
      <x:c r="H2827" s="48" t="n">
        <x:v>0.7527702200242868</x:v>
      </x:c>
      <x:c r="I2827" s="48" t="n">
        <x:v>0.8589708362490234</x:v>
      </x:c>
      <x:c r="J2827" s="48" t="n">
        <x:v>0.9779677611561068</x:v>
      </x:c>
      <x:c r="K2827" s="48" t="n">
        <x:v>0.5531072624363924</x:v>
      </x:c>
      <x:c r="L2827" s="48" t="n">
        <x:v>0.7362284174247471</x:v>
      </x:c>
      <x:c r="M2827" s="48" t="n">
        <x:v>0.15482809185496121</x:v>
      </x:c>
      <x:c r="N2827" s="48" t="n">
        <x:v>0.7662675465003201</x:v>
      </x:c>
      <x:c r="O2827" s="48" t="n">
        <x:v>1</x:v>
      </x:c>
      <x:c r="P2827" s="48" t="n">
        <x:v>1</x:v>
      </x:c>
      <x:c r="Q2827" s="48" t="n">
        <x:v>1</x:v>
      </x:c>
      <x:c r="R2827" s="48" t="n">
        <x:v>1</x:v>
      </x:c>
      <x:c r="S2827" s="29" t="n">
        <x:v>1</x:v>
      </x:c>
    </x:row>
    <x:row r="2828" ht="21.600000381469727" hidden="0" customHeight="1">
      <x:c r="A2828" s="27" t="n">
        <x:v>942</x:v>
      </x:c>
      <x:c r="B2828" s="27" t="str">
        <x:v>A1</x:v>
      </x:c>
      <x:c r="C2828" s="47" t="n">
        <x:v>1.0207734995930393</x:v>
      </x:c>
      <x:c r="D2828" s="47" t="n">
        <x:v>0.8835201279727514</x:v>
      </x:c>
      <x:c r="E2828" s="47" t="n">
        <x:v>0.9068219428274763</x:v>
      </x:c>
      <x:c r="F2828" s="47" t="n">
        <x:v>-0.1072141853734599</x:v>
      </x:c>
      <x:c r="G2828" s="47" t="n">
        <x:v>-0.1269282413840103</x:v>
      </x:c>
      <x:c r="H2828" s="47" t="n">
        <x:v>0.35392934110967245</x:v>
      </x:c>
      <x:c r="I2828" s="47" t="n">
        <x:v>0.7832686790682692</x:v>
      </x:c>
      <x:c r="J2828" s="47" t="n">
        <x:v>0.4242455025227418</x:v>
      </x:c>
      <x:c r="K2828" s="47" t="n">
        <x:v>0.9586197901961828</x:v>
      </x:c>
      <x:c r="L2828" s="47" t="n">
        <x:v>0.8049281754239939</x:v>
      </x:c>
      <x:c r="M2828" s="47" t="n">
        <x:v>0.09968085735663143</x:v>
      </x:c>
      <x:c r="N2828" s="47" t="n">
        <x:v>0.7404406361893349</x:v>
      </x:c>
      <x:c r="O2828" s="47" t="n">
        <x:v>0.8681535830812579</x:v>
      </x:c>
      <x:c r="P2828" s="47" t="n">
        <x:v>0.6103530043005091</x:v>
      </x:c>
      <x:c r="Q2828" s="47" t="n">
        <x:v>1</x:v>
      </x:c>
      <x:c r="R2828" s="47" t="n">
        <x:v>0.8371903692519785</x:v>
      </x:c>
      <x:c r="S2828" s="27" t="n">
        <x:v>0</x:v>
      </x:c>
    </x:row>
    <x:row r="2829" ht="21.600000381469727" hidden="0" customHeight="1">
      <x:c r="A2829" s="29" t="n">
        <x:v>942</x:v>
      </x:c>
      <x:c r="B2829" s="29" t="str">
        <x:v>A2</x:v>
      </x:c>
      <x:c r="C2829" s="48" t="n">
        <x:v>1.0207734995930393</x:v>
      </x:c>
      <x:c r="D2829" s="48" t="n">
        <x:v>0.8835201279727514</x:v>
      </x:c>
      <x:c r="E2829" s="48" t="n">
        <x:v>0.9068219428274763</x:v>
      </x:c>
      <x:c r="F2829" s="48" t="n">
        <x:v>-0.1072141853734599</x:v>
      </x:c>
      <x:c r="G2829" s="48" t="n">
        <x:v>-0.1269282413840103</x:v>
      </x:c>
      <x:c r="H2829" s="48" t="n">
        <x:v>0.35392934110967245</x:v>
      </x:c>
      <x:c r="I2829" s="48" t="n">
        <x:v>0.7832686790682692</x:v>
      </x:c>
      <x:c r="J2829" s="48" t="n">
        <x:v>0.4242455025227418</x:v>
      </x:c>
      <x:c r="K2829" s="48" t="n">
        <x:v>0.9586197901961828</x:v>
      </x:c>
      <x:c r="L2829" s="48" t="n">
        <x:v>0.8049281754239939</x:v>
      </x:c>
      <x:c r="M2829" s="48" t="n">
        <x:v>0.09968085735663143</x:v>
      </x:c>
      <x:c r="N2829" s="48" t="n">
        <x:v>0.7404406361893349</x:v>
      </x:c>
      <x:c r="O2829" s="48" t="n">
        <x:v>0.9580638748729713</x:v>
      </x:c>
      <x:c r="P2829" s="48" t="n">
        <x:v>0.8304925386702868</x:v>
      </x:c>
      <x:c r="Q2829" s="48" t="n">
        <x:v>1</x:v>
      </x:c>
      <x:c r="R2829" s="48" t="n">
        <x:v>0.9482154676137899</x:v>
      </x:c>
      <x:c r="S2829" s="29" t="n">
        <x:v>0</x:v>
      </x:c>
    </x:row>
    <x:row r="2830" ht="21.600000381469727" hidden="0" customHeight="1">
      <x:c r="A2830" s="27" t="n">
        <x:v>942</x:v>
      </x:c>
      <x:c r="B2830" s="27" t="str">
        <x:v>A3</x:v>
      </x:c>
      <x:c r="C2830" s="47" t="n">
        <x:v>1.0207734995930393</x:v>
      </x:c>
      <x:c r="D2830" s="47" t="n">
        <x:v>0.8835201279727514</x:v>
      </x:c>
      <x:c r="E2830" s="47" t="n">
        <x:v>0.9068219428274763</x:v>
      </x:c>
      <x:c r="F2830" s="47" t="n">
        <x:v>-0.1072141853734599</x:v>
      </x:c>
      <x:c r="G2830" s="47" t="n">
        <x:v>-0.1269282413840103</x:v>
      </x:c>
      <x:c r="H2830" s="47" t="n">
        <x:v>0.35392934110967245</x:v>
      </x:c>
      <x:c r="I2830" s="47" t="n">
        <x:v>0.7832686790682692</x:v>
      </x:c>
      <x:c r="J2830" s="47" t="n">
        <x:v>0.4242455025227418</x:v>
      </x:c>
      <x:c r="K2830" s="47" t="n">
        <x:v>0.9586197901961828</x:v>
      </x:c>
      <x:c r="L2830" s="47" t="n">
        <x:v>0.8049281754239939</x:v>
      </x:c>
      <x:c r="M2830" s="47" t="n">
        <x:v>0.09968085735663143</x:v>
      </x:c>
      <x:c r="N2830" s="47" t="n">
        <x:v>0.7404406361893349</x:v>
      </x:c>
      <x:c r="O2830" s="47" t="n">
        <x:v>1</x:v>
      </x:c>
      <x:c r="P2830" s="47" t="n">
        <x:v>1</x:v>
      </x:c>
      <x:c r="Q2830" s="47" t="n">
        <x:v>1</x:v>
      </x:c>
      <x:c r="R2830" s="47" t="n">
        <x:v>1</x:v>
      </x:c>
      <x:c r="S2830" s="27" t="n">
        <x:v>1</x:v>
      </x:c>
    </x:row>
    <x:row r="2831" ht="21.600000381469727" hidden="0" customHeight="1">
      <x:c r="A2831" s="29" t="n">
        <x:v>943</x:v>
      </x:c>
      <x:c r="B2831" s="29" t="str">
        <x:v>A1</x:v>
      </x:c>
      <x:c r="C2831" s="48" t="n">
        <x:v>1.1332220902020873</x:v>
      </x:c>
      <x:c r="D2831" s="48" t="n">
        <x:v>0.9193494738305847</x:v>
      </x:c>
      <x:c r="E2831" s="48" t="n">
        <x:v>1.0491294923345689</x:v>
      </x:c>
      <x:c r="F2831" s="48" t="n">
        <x:v>-0.16467499446002823</x:v>
      </x:c>
      <x:c r="G2831" s="48" t="n">
        <x:v>-0.17149978149487324</x:v>
      </x:c>
      <x:c r="H2831" s="48" t="n">
        <x:v>0.6541677965646685</x:v>
      </x:c>
      <x:c r="I2831" s="48" t="n">
        <x:v>0.7183955160720303</x:v>
      </x:c>
      <x:c r="J2831" s="48" t="n">
        <x:v>0.9184103503326879</x:v>
      </x:c>
      <x:c r="K2831" s="48" t="n">
        <x:v>0.8504046230273556</x:v>
      </x:c>
      <x:c r="L2831" s="48" t="n">
        <x:v>0.6830075891072885</x:v>
      </x:c>
      <x:c r="M2831" s="48" t="n">
        <x:v>0.16430528496287128</x:v>
      </x:c>
      <x:c r="N2831" s="48" t="n">
        <x:v>0.7971879939227448</x:v>
      </x:c>
      <x:c r="O2831" s="48" t="n">
        <x:v>0.9034246199822324</x:v>
      </x:c>
      <x:c r="P2831" s="48" t="n">
        <x:v>0.548506475176665</x:v>
      </x:c>
      <x:c r="Q2831" s="48" t="n">
        <x:v>0.9562590158132657</x:v>
      </x:c>
      <x:c r="R2831" s="48" t="n">
        <x:v>0.8810694216900737</x:v>
      </x:c>
      <x:c r="S2831" s="29" t="n">
        <x:v>0</x:v>
      </x:c>
    </x:row>
    <x:row r="2832" ht="21.600000381469727" hidden="0" customHeight="1">
      <x:c r="A2832" s="27" t="n">
        <x:v>943</x:v>
      </x:c>
      <x:c r="B2832" s="27" t="str">
        <x:v>A2</x:v>
      </x:c>
      <x:c r="C2832" s="47" t="n">
        <x:v>1.1332220902020873</x:v>
      </x:c>
      <x:c r="D2832" s="47" t="n">
        <x:v>0.9193494738305847</x:v>
      </x:c>
      <x:c r="E2832" s="47" t="n">
        <x:v>1.0491294923345689</x:v>
      </x:c>
      <x:c r="F2832" s="47" t="n">
        <x:v>-0.16467499446002823</x:v>
      </x:c>
      <x:c r="G2832" s="47" t="n">
        <x:v>-0.17149978149487324</x:v>
      </x:c>
      <x:c r="H2832" s="47" t="n">
        <x:v>0.6541677965646685</x:v>
      </x:c>
      <x:c r="I2832" s="47" t="n">
        <x:v>0.7183955160720303</x:v>
      </x:c>
      <x:c r="J2832" s="47" t="n">
        <x:v>0.9184103503326879</x:v>
      </x:c>
      <x:c r="K2832" s="47" t="n">
        <x:v>0.8504046230273556</x:v>
      </x:c>
      <x:c r="L2832" s="47" t="n">
        <x:v>0.6830075891072885</x:v>
      </x:c>
      <x:c r="M2832" s="47" t="n">
        <x:v>0.16430528496287128</x:v>
      </x:c>
      <x:c r="N2832" s="47" t="n">
        <x:v>0.7971879939227448</x:v>
      </x:c>
      <x:c r="O2832" s="47" t="n">
        <x:v>0.9521640498647161</x:v>
      </x:c>
      <x:c r="P2832" s="47" t="n">
        <x:v>0.7087883336164672</x:v>
      </x:c>
      <x:c r="Q2832" s="47" t="n">
        <x:v>1</x:v>
      </x:c>
      <x:c r="R2832" s="47" t="n">
        <x:v>0.9409301097442317</x:v>
      </x:c>
      <x:c r="S2832" s="27" t="n">
        <x:v>0</x:v>
      </x:c>
    </x:row>
    <x:row r="2833" ht="21.600000381469727" hidden="0" customHeight="1">
      <x:c r="A2833" s="29" t="n">
        <x:v>943</x:v>
      </x:c>
      <x:c r="B2833" s="29" t="str">
        <x:v>A3</x:v>
      </x:c>
      <x:c r="C2833" s="48" t="n">
        <x:v>1.1332220902020873</x:v>
      </x:c>
      <x:c r="D2833" s="48" t="n">
        <x:v>0.9193494738305847</x:v>
      </x:c>
      <x:c r="E2833" s="48" t="n">
        <x:v>1.0491294923345689</x:v>
      </x:c>
      <x:c r="F2833" s="48" t="n">
        <x:v>-0.16467499446002823</x:v>
      </x:c>
      <x:c r="G2833" s="48" t="n">
        <x:v>-0.17149978149487324</x:v>
      </x:c>
      <x:c r="H2833" s="48" t="n">
        <x:v>0.6541677965646685</x:v>
      </x:c>
      <x:c r="I2833" s="48" t="n">
        <x:v>0.7183955160720303</x:v>
      </x:c>
      <x:c r="J2833" s="48" t="n">
        <x:v>0.9184103503326879</x:v>
      </x:c>
      <x:c r="K2833" s="48" t="n">
        <x:v>0.8504046230273556</x:v>
      </x:c>
      <x:c r="L2833" s="48" t="n">
        <x:v>0.6830075891072885</x:v>
      </x:c>
      <x:c r="M2833" s="48" t="n">
        <x:v>0.16430528496287128</x:v>
      </x:c>
      <x:c r="N2833" s="48" t="n">
        <x:v>0.7971879939227448</x:v>
      </x:c>
      <x:c r="O2833" s="48" t="n">
        <x:v>1</x:v>
      </x:c>
      <x:c r="P2833" s="48" t="n">
        <x:v>1</x:v>
      </x:c>
      <x:c r="Q2833" s="48" t="n">
        <x:v>1</x:v>
      </x:c>
      <x:c r="R2833" s="48" t="n">
        <x:v>1</x:v>
      </x:c>
      <x:c r="S2833" s="29" t="n">
        <x:v>1</x:v>
      </x:c>
    </x:row>
    <x:row r="2834" ht="21.600000381469727" hidden="0" customHeight="1">
      <x:c r="A2834" s="27" t="n">
        <x:v>944</x:v>
      </x:c>
      <x:c r="B2834" s="27" t="str">
        <x:v>A1</x:v>
      </x:c>
      <x:c r="C2834" s="47" t="n">
        <x:v>1.138612680446782</x:v>
      </x:c>
      <x:c r="D2834" s="47" t="n">
        <x:v>0.941664371489049</x:v>
      </x:c>
      <x:c r="E2834" s="47" t="n">
        <x:v>0.7240889034475875</x:v>
      </x:c>
      <x:c r="F2834" s="47" t="n">
        <x:v>-0.13963235959194445</x:v>
      </x:c>
      <x:c r="G2834" s="47" t="n">
        <x:v>-0.07928156237121685</x:v>
      </x:c>
      <x:c r="H2834" s="47" t="n">
        <x:v>0.5799003583492063</x:v>
      </x:c>
      <x:c r="I2834" s="47" t="n">
        <x:v>0.8081627190888775</x:v>
      </x:c>
      <x:c r="J2834" s="47" t="n">
        <x:v>0.6502489698209956</x:v>
      </x:c>
      <x:c r="K2834" s="47" t="n">
        <x:v>0.7233904792328332</x:v>
      </x:c>
      <x:c r="L2834" s="47" t="n">
        <x:v>0.7519426141593601</x:v>
      </x:c>
      <x:c r="M2834" s="47" t="n">
        <x:v>0.07488063664897732</x:v>
      </x:c>
      <x:c r="N2834" s="47" t="n">
        <x:v>0.8160778802250253</x:v>
      </x:c>
      <x:c r="O2834" s="47" t="n">
        <x:v>0.8791895382428484</x:v>
      </x:c>
      <x:c r="P2834" s="47" t="n">
        <x:v>0.6728932414264919</x:v>
      </x:c>
      <x:c r="Q2834" s="47" t="n">
        <x:v>1</x:v>
      </x:c>
      <x:c r="R2834" s="47" t="n">
        <x:v>0.8508180417121081</x:v>
      </x:c>
      <x:c r="S2834" s="27" t="n">
        <x:v>0</x:v>
      </x:c>
    </x:row>
    <x:row r="2835" ht="21.600000381469727" hidden="0" customHeight="1">
      <x:c r="A2835" s="29" t="n">
        <x:v>944</x:v>
      </x:c>
      <x:c r="B2835" s="29" t="str">
        <x:v>A2</x:v>
      </x:c>
      <x:c r="C2835" s="48" t="n">
        <x:v>1.138612680446782</x:v>
      </x:c>
      <x:c r="D2835" s="48" t="n">
        <x:v>0.941664371489049</x:v>
      </x:c>
      <x:c r="E2835" s="48" t="n">
        <x:v>0.7240889034475875</x:v>
      </x:c>
      <x:c r="F2835" s="48" t="n">
        <x:v>-0.13963235959194445</x:v>
      </x:c>
      <x:c r="G2835" s="48" t="n">
        <x:v>-0.07928156237121685</x:v>
      </x:c>
      <x:c r="H2835" s="48" t="n">
        <x:v>0.5799003583492063</x:v>
      </x:c>
      <x:c r="I2835" s="48" t="n">
        <x:v>0.8081627190888775</x:v>
      </x:c>
      <x:c r="J2835" s="48" t="n">
        <x:v>0.6502489698209956</x:v>
      </x:c>
      <x:c r="K2835" s="48" t="n">
        <x:v>0.7233904792328332</x:v>
      </x:c>
      <x:c r="L2835" s="48" t="n">
        <x:v>0.7519426141593601</x:v>
      </x:c>
      <x:c r="M2835" s="48" t="n">
        <x:v>0.07488063664897732</x:v>
      </x:c>
      <x:c r="N2835" s="48" t="n">
        <x:v>0.8160778802250253</x:v>
      </x:c>
      <x:c r="O2835" s="48" t="n">
        <x:v>0.9527893277167104</x:v>
      </x:c>
      <x:c r="P2835" s="48" t="n">
        <x:v>0.734178351680826</x:v>
      </x:c>
      <x:c r="Q2835" s="48" t="n">
        <x:v>1</x:v>
      </x:c>
      <x:c r="R2835" s="48" t="n">
        <x:v>0.9417022297500481</x:v>
      </x:c>
      <x:c r="S2835" s="29" t="n">
        <x:v>0</x:v>
      </x:c>
    </x:row>
    <x:row r="2836" ht="21.600000381469727" hidden="0" customHeight="1">
      <x:c r="A2836" s="27" t="n">
        <x:v>944</x:v>
      </x:c>
      <x:c r="B2836" s="27" t="str">
        <x:v>A3</x:v>
      </x:c>
      <x:c r="C2836" s="47" t="n">
        <x:v>1.138612680446782</x:v>
      </x:c>
      <x:c r="D2836" s="47" t="n">
        <x:v>0.941664371489049</x:v>
      </x:c>
      <x:c r="E2836" s="47" t="n">
        <x:v>0.7240889034475875</x:v>
      </x:c>
      <x:c r="F2836" s="47" t="n">
        <x:v>-0.13963235959194445</x:v>
      </x:c>
      <x:c r="G2836" s="47" t="n">
        <x:v>-0.07928156237121685</x:v>
      </x:c>
      <x:c r="H2836" s="47" t="n">
        <x:v>0.5799003583492063</x:v>
      </x:c>
      <x:c r="I2836" s="47" t="n">
        <x:v>0.8081627190888775</x:v>
      </x:c>
      <x:c r="J2836" s="47" t="n">
        <x:v>0.6502489698209956</x:v>
      </x:c>
      <x:c r="K2836" s="47" t="n">
        <x:v>0.7233904792328332</x:v>
      </x:c>
      <x:c r="L2836" s="47" t="n">
        <x:v>0.7519426141593601</x:v>
      </x:c>
      <x:c r="M2836" s="47" t="n">
        <x:v>0.07488063664897732</x:v>
      </x:c>
      <x:c r="N2836" s="47" t="n">
        <x:v>0.8160778802250253</x:v>
      </x:c>
      <x:c r="O2836" s="47" t="n">
        <x:v>1</x:v>
      </x:c>
      <x:c r="P2836" s="47" t="n">
        <x:v>1</x:v>
      </x:c>
      <x:c r="Q2836" s="47" t="n">
        <x:v>1</x:v>
      </x:c>
      <x:c r="R2836" s="47" t="n">
        <x:v>1</x:v>
      </x:c>
      <x:c r="S2836" s="27" t="n">
        <x:v>1</x:v>
      </x:c>
    </x:row>
    <x:row r="2837" ht="21.600000381469727" hidden="0" customHeight="1">
      <x:c r="A2837" s="29" t="n">
        <x:v>945</x:v>
      </x:c>
      <x:c r="B2837" s="29" t="str">
        <x:v>A1</x:v>
      </x:c>
      <x:c r="C2837" s="48" t="n">
        <x:v>1.088884306817084</x:v>
      </x:c>
      <x:c r="D2837" s="48" t="n">
        <x:v>0.854393443206379</x:v>
      </x:c>
      <x:c r="E2837" s="48" t="n">
        <x:v>0.9716136445033763</x:v>
      </x:c>
      <x:c r="F2837" s="48" t="n">
        <x:v>-0.18429695857748168</x:v>
      </x:c>
      <x:c r="G2837" s="48" t="n">
        <x:v>-0.10420804649028832</x:v>
      </x:c>
      <x:c r="H2837" s="48" t="n">
        <x:v>0.9185785071576185</x:v>
      </x:c>
      <x:c r="I2837" s="48" t="n">
        <x:v>1.0034352989648727</x:v>
      </x:c>
      <x:c r="J2837" s="48" t="n">
        <x:v>0.7688151423845114</x:v>
      </x:c>
      <x:c r="K2837" s="48" t="n">
        <x:v>0.5723773852360878</x:v>
      </x:c>
      <x:c r="L2837" s="48" t="n">
        <x:v>0.684768026372937</x:v>
      </x:c>
      <x:c r="M2837" s="48" t="n">
        <x:v>0.028152860901729297</x:v>
      </x:c>
      <x:c r="N2837" s="48" t="n">
        <x:v>0.7168912867129974</x:v>
      </x:c>
      <x:c r="O2837" s="48" t="n">
        <x:v>0.8396048714715949</x:v>
      </x:c>
      <x:c r="P2837" s="48" t="n">
        <x:v>0.5356181650517734</x:v>
      </x:c>
      <x:c r="Q2837" s="48" t="n">
        <x:v>0.9029192455076809</x:v>
      </x:c>
      <x:c r="R2837" s="48" t="n">
        <x:v>0.8026581958620308</x:v>
      </x:c>
      <x:c r="S2837" s="29" t="n">
        <x:v>0</x:v>
      </x:c>
    </x:row>
    <x:row r="2838" ht="21.600000381469727" hidden="0" customHeight="1">
      <x:c r="A2838" s="27" t="n">
        <x:v>945</x:v>
      </x:c>
      <x:c r="B2838" s="27" t="str">
        <x:v>A2</x:v>
      </x:c>
      <x:c r="C2838" s="47" t="n">
        <x:v>1.088884306817084</x:v>
      </x:c>
      <x:c r="D2838" s="47" t="n">
        <x:v>0.854393443206379</x:v>
      </x:c>
      <x:c r="E2838" s="47" t="n">
        <x:v>0.9716136445033763</x:v>
      </x:c>
      <x:c r="F2838" s="47" t="n">
        <x:v>-0.18429695857748168</x:v>
      </x:c>
      <x:c r="G2838" s="47" t="n">
        <x:v>-0.10420804649028832</x:v>
      </x:c>
      <x:c r="H2838" s="47" t="n">
        <x:v>0.9185785071576185</x:v>
      </x:c>
      <x:c r="I2838" s="47" t="n">
        <x:v>1.0034352989648727</x:v>
      </x:c>
      <x:c r="J2838" s="47" t="n">
        <x:v>0.7688151423845114</x:v>
      </x:c>
      <x:c r="K2838" s="47" t="n">
        <x:v>0.5723773852360878</x:v>
      </x:c>
      <x:c r="L2838" s="47" t="n">
        <x:v>0.684768026372937</x:v>
      </x:c>
      <x:c r="M2838" s="47" t="n">
        <x:v>0.028152860901729297</x:v>
      </x:c>
      <x:c r="N2838" s="47" t="n">
        <x:v>0.7168912867129974</x:v>
      </x:c>
      <x:c r="O2838" s="47" t="n">
        <x:v>0.929493325164237</x:v>
      </x:c>
      <x:c r="P2838" s="47" t="n">
        <x:v>0.6194470624327599</x:v>
      </x:c>
      <x:c r="Q2838" s="47" t="n">
        <x:v>1</x:v>
      </x:c>
      <x:c r="R2838" s="47" t="n">
        <x:v>0.9129353230557941</x:v>
      </x:c>
      <x:c r="S2838" s="27" t="n">
        <x:v>0</x:v>
      </x:c>
    </x:row>
    <x:row r="2839" ht="21.600000381469727" hidden="0" customHeight="1">
      <x:c r="A2839" s="29" t="n">
        <x:v>945</x:v>
      </x:c>
      <x:c r="B2839" s="29" t="str">
        <x:v>A3</x:v>
      </x:c>
      <x:c r="C2839" s="48" t="n">
        <x:v>1.088884306817084</x:v>
      </x:c>
      <x:c r="D2839" s="48" t="n">
        <x:v>0.854393443206379</x:v>
      </x:c>
      <x:c r="E2839" s="48" t="n">
        <x:v>0.9716136445033763</x:v>
      </x:c>
      <x:c r="F2839" s="48" t="n">
        <x:v>-0.18429695857748168</x:v>
      </x:c>
      <x:c r="G2839" s="48" t="n">
        <x:v>-0.10420804649028832</x:v>
      </x:c>
      <x:c r="H2839" s="48" t="n">
        <x:v>0.9185785071576185</x:v>
      </x:c>
      <x:c r="I2839" s="48" t="n">
        <x:v>1.0034352989648727</x:v>
      </x:c>
      <x:c r="J2839" s="48" t="n">
        <x:v>0.7688151423845114</x:v>
      </x:c>
      <x:c r="K2839" s="48" t="n">
        <x:v>0.5723773852360878</x:v>
      </x:c>
      <x:c r="L2839" s="48" t="n">
        <x:v>0.684768026372937</x:v>
      </x:c>
      <x:c r="M2839" s="48" t="n">
        <x:v>0.028152860901729297</x:v>
      </x:c>
      <x:c r="N2839" s="48" t="n">
        <x:v>0.7168912867129974</x:v>
      </x:c>
      <x:c r="O2839" s="48" t="n">
        <x:v>1</x:v>
      </x:c>
      <x:c r="P2839" s="48" t="n">
        <x:v>1</x:v>
      </x:c>
      <x:c r="Q2839" s="48" t="n">
        <x:v>1</x:v>
      </x:c>
      <x:c r="R2839" s="48" t="n">
        <x:v>1</x:v>
      </x:c>
      <x:c r="S2839" s="29" t="n">
        <x:v>1</x:v>
      </x:c>
    </x:row>
    <x:row r="2840" ht="21.600000381469727" hidden="0" customHeight="1">
      <x:c r="A2840" s="27" t="n">
        <x:v>946</x:v>
      </x:c>
      <x:c r="B2840" s="27" t="str">
        <x:v>A1</x:v>
      </x:c>
      <x:c r="C2840" s="47" t="n">
        <x:v>1.1302868799731638</x:v>
      </x:c>
      <x:c r="D2840" s="47" t="n">
        <x:v>0.9203204690935496</x:v>
      </x:c>
      <x:c r="E2840" s="47" t="n">
        <x:v>0.6906635722728436</x:v>
      </x:c>
      <x:c r="F2840" s="47" t="n">
        <x:v>-0.09577192554785173</x:v>
      </x:c>
      <x:c r="G2840" s="47" t="n">
        <x:v>-0.04236755177808382</x:v>
      </x:c>
      <x:c r="H2840" s="47" t="n">
        <x:v>0.8242389575246967</x:v>
      </x:c>
      <x:c r="I2840" s="47" t="n">
        <x:v>0.6056036060408364</x:v>
      </x:c>
      <x:c r="J2840" s="47" t="n">
        <x:v>0.5962569437083667</x:v>
      </x:c>
      <x:c r="K2840" s="47" t="n">
        <x:v>0.7096907283194768</x:v>
      </x:c>
      <x:c r="L2840" s="47" t="n">
        <x:v>0.9923211236162617</x:v>
      </x:c>
      <x:c r="M2840" s="47" t="n">
        <x:v>0.030199472056982764</x:v>
      </x:c>
      <x:c r="N2840" s="47" t="n">
        <x:v>0.8233107882931849</x:v>
      </x:c>
      <x:c r="O2840" s="47" t="n">
        <x:v>0.8586087508940934</x:v>
      </x:c>
      <x:c r="P2840" s="47" t="n">
        <x:v>0.5965619811768685</x:v>
      </x:c>
      <x:c r="Q2840" s="47" t="n">
        <x:v>1</x:v>
      </x:c>
      <x:c r="R2840" s="47" t="n">
        <x:v>0.8254039996238844</x:v>
      </x:c>
      <x:c r="S2840" s="27" t="n">
        <x:v>0</x:v>
      </x:c>
    </x:row>
    <x:row r="2841" ht="21.600000381469727" hidden="0" customHeight="1">
      <x:c r="A2841" s="29" t="n">
        <x:v>946</x:v>
      </x:c>
      <x:c r="B2841" s="29" t="str">
        <x:v>A2</x:v>
      </x:c>
      <x:c r="C2841" s="48" t="n">
        <x:v>1.1302868799731638</x:v>
      </x:c>
      <x:c r="D2841" s="48" t="n">
        <x:v>0.9203204690935496</x:v>
      </x:c>
      <x:c r="E2841" s="48" t="n">
        <x:v>0.6906635722728436</x:v>
      </x:c>
      <x:c r="F2841" s="48" t="n">
        <x:v>-0.09577192554785173</x:v>
      </x:c>
      <x:c r="G2841" s="48" t="n">
        <x:v>-0.04236755177808382</x:v>
      </x:c>
      <x:c r="H2841" s="48" t="n">
        <x:v>0.8242389575246967</x:v>
      </x:c>
      <x:c r="I2841" s="48" t="n">
        <x:v>0.6056036060408364</x:v>
      </x:c>
      <x:c r="J2841" s="48" t="n">
        <x:v>0.5962569437083667</x:v>
      </x:c>
      <x:c r="K2841" s="48" t="n">
        <x:v>0.7096907283194768</x:v>
      </x:c>
      <x:c r="L2841" s="48" t="n">
        <x:v>0.9923211236162617</x:v>
      </x:c>
      <x:c r="M2841" s="48" t="n">
        <x:v>0.030199472056982764</x:v>
      </x:c>
      <x:c r="N2841" s="48" t="n">
        <x:v>0.8233107882931849</x:v>
      </x:c>
      <x:c r="O2841" s="48" t="n">
        <x:v>0.9192307813264222</x:v>
      </x:c>
      <x:c r="P2841" s="48" t="n">
        <x:v>0.6307374548510902</x:v>
      </x:c>
      <x:c r="Q2841" s="48" t="n">
        <x:v>1</x:v>
      </x:c>
      <x:c r="R2841" s="48" t="n">
        <x:v>0.9002626921886254</x:v>
      </x:c>
      <x:c r="S2841" s="29" t="n">
        <x:v>0</x:v>
      </x:c>
    </x:row>
    <x:row r="2842" ht="21.600000381469727" hidden="0" customHeight="1">
      <x:c r="A2842" s="27" t="n">
        <x:v>946</x:v>
      </x:c>
      <x:c r="B2842" s="27" t="str">
        <x:v>A3</x:v>
      </x:c>
      <x:c r="C2842" s="47" t="n">
        <x:v>1.1302868799731638</x:v>
      </x:c>
      <x:c r="D2842" s="47" t="n">
        <x:v>0.9203204690935496</x:v>
      </x:c>
      <x:c r="E2842" s="47" t="n">
        <x:v>0.6906635722728436</x:v>
      </x:c>
      <x:c r="F2842" s="47" t="n">
        <x:v>-0.09577192554785173</x:v>
      </x:c>
      <x:c r="G2842" s="47" t="n">
        <x:v>-0.04236755177808382</x:v>
      </x:c>
      <x:c r="H2842" s="47" t="n">
        <x:v>0.8242389575246967</x:v>
      </x:c>
      <x:c r="I2842" s="47" t="n">
        <x:v>0.6056036060408364</x:v>
      </x:c>
      <x:c r="J2842" s="47" t="n">
        <x:v>0.5962569437083667</x:v>
      </x:c>
      <x:c r="K2842" s="47" t="n">
        <x:v>0.7096907283194768</x:v>
      </x:c>
      <x:c r="L2842" s="47" t="n">
        <x:v>0.9923211236162617</x:v>
      </x:c>
      <x:c r="M2842" s="47" t="n">
        <x:v>0.030199472056982764</x:v>
      </x:c>
      <x:c r="N2842" s="47" t="n">
        <x:v>0.8233107882931849</x:v>
      </x:c>
      <x:c r="O2842" s="47" t="n">
        <x:v>1</x:v>
      </x:c>
      <x:c r="P2842" s="47" t="n">
        <x:v>1</x:v>
      </x:c>
      <x:c r="Q2842" s="47" t="n">
        <x:v>1</x:v>
      </x:c>
      <x:c r="R2842" s="47" t="n">
        <x:v>1</x:v>
      </x:c>
      <x:c r="S2842" s="27" t="n">
        <x:v>1</x:v>
      </x:c>
    </x:row>
    <x:row r="2843" ht="21.600000381469727" hidden="0" customHeight="1">
      <x:c r="A2843" s="29" t="n">
        <x:v>947</x:v>
      </x:c>
      <x:c r="B2843" s="29" t="str">
        <x:v>A1</x:v>
      </x:c>
      <x:c r="C2843" s="48" t="n">
        <x:v>1.018417870483248</x:v>
      </x:c>
      <x:c r="D2843" s="48" t="n">
        <x:v>0.9702536372343602</x:v>
      </x:c>
      <x:c r="E2843" s="48" t="n">
        <x:v>0.9451407892656778</x:v>
      </x:c>
      <x:c r="F2843" s="48" t="n">
        <x:v>0.0065785064938837234</x:v>
      </x:c>
      <x:c r="G2843" s="48" t="n">
        <x:v>-0.061339853769858066</x:v>
      </x:c>
      <x:c r="H2843" s="48" t="n">
        <x:v>0.6310421119392711</x:v>
      </x:c>
      <x:c r="I2843" s="48" t="n">
        <x:v>0.8508302600065938</x:v>
      </x:c>
      <x:c r="J2843" s="48" t="n">
        <x:v>0.8756408461568733</x:v>
      </x:c>
      <x:c r="K2843" s="48" t="n">
        <x:v>0.9118926304730104</x:v>
      </x:c>
      <x:c r="L2843" s="48" t="n">
        <x:v>0.7632710007921295</x:v>
      </x:c>
      <x:c r="M2843" s="48" t="n">
        <x:v>0.12595103359256482</x:v>
      </x:c>
      <x:c r="N2843" s="48" t="n">
        <x:v>0.8021090215249603</x:v>
      </x:c>
      <x:c r="O2843" s="48" t="n">
        <x:v>0.9540943327885965</x:v>
      </x:c>
      <x:c r="P2843" s="48" t="n">
        <x:v>0.7757879564599893</x:v>
      </x:c>
      <x:c r="Q2843" s="48" t="n">
        <x:v>1</x:v>
      </x:c>
      <x:c r="R2843" s="48" t="n">
        <x:v>0.9433137061848531</x:v>
      </x:c>
      <x:c r="S2843" s="29" t="n">
        <x:v>0</x:v>
      </x:c>
    </x:row>
    <x:row r="2844" ht="21.600000381469727" hidden="0" customHeight="1">
      <x:c r="A2844" s="27" t="n">
        <x:v>947</x:v>
      </x:c>
      <x:c r="B2844" s="27" t="str">
        <x:v>A2</x:v>
      </x:c>
      <x:c r="C2844" s="47" t="n">
        <x:v>1.018417870483248</x:v>
      </x:c>
      <x:c r="D2844" s="47" t="n">
        <x:v>0.9702536372343602</x:v>
      </x:c>
      <x:c r="E2844" s="47" t="n">
        <x:v>0.9451407892656778</x:v>
      </x:c>
      <x:c r="F2844" s="47" t="n">
        <x:v>0.0065785064938837234</x:v>
      </x:c>
      <x:c r="G2844" s="47" t="n">
        <x:v>-0.061339853769858066</x:v>
      </x:c>
      <x:c r="H2844" s="47" t="n">
        <x:v>0.6310421119392711</x:v>
      </x:c>
      <x:c r="I2844" s="47" t="n">
        <x:v>0.8508302600065938</x:v>
      </x:c>
      <x:c r="J2844" s="47" t="n">
        <x:v>0.8756408461568733</x:v>
      </x:c>
      <x:c r="K2844" s="47" t="n">
        <x:v>0.9118926304730104</x:v>
      </x:c>
      <x:c r="L2844" s="47" t="n">
        <x:v>0.7632710007921295</x:v>
      </x:c>
      <x:c r="M2844" s="47" t="n">
        <x:v>0.12595103359256482</x:v>
      </x:c>
      <x:c r="N2844" s="47" t="n">
        <x:v>0.8021090215249603</x:v>
      </x:c>
      <x:c r="O2844" s="47" t="n">
        <x:v>1</x:v>
      </x:c>
      <x:c r="P2844" s="47" t="n">
        <x:v>0.9999999999999999</x:v>
      </x:c>
      <x:c r="Q2844" s="47" t="n">
        <x:v>1</x:v>
      </x:c>
      <x:c r="R2844" s="47" t="n">
        <x:v>1</x:v>
      </x:c>
      <x:c r="S2844" s="27" t="n">
        <x:v>1</x:v>
      </x:c>
    </x:row>
    <x:row r="2845" ht="21.600000381469727" hidden="0" customHeight="1">
      <x:c r="A2845" s="29" t="n">
        <x:v>947</x:v>
      </x:c>
      <x:c r="B2845" s="29" t="str">
        <x:v>A3</x:v>
      </x:c>
      <x:c r="C2845" s="48" t="n">
        <x:v>1.018417870483248</x:v>
      </x:c>
      <x:c r="D2845" s="48" t="n">
        <x:v>0.9702536372343602</x:v>
      </x:c>
      <x:c r="E2845" s="48" t="n">
        <x:v>0.9451407892656778</x:v>
      </x:c>
      <x:c r="F2845" s="48" t="n">
        <x:v>0.0065785064938837234</x:v>
      </x:c>
      <x:c r="G2845" s="48" t="n">
        <x:v>-0.061339853769858066</x:v>
      </x:c>
      <x:c r="H2845" s="48" t="n">
        <x:v>0.6310421119392711</x:v>
      </x:c>
      <x:c r="I2845" s="48" t="n">
        <x:v>0.8508302600065938</x:v>
      </x:c>
      <x:c r="J2845" s="48" t="n">
        <x:v>0.8756408461568733</x:v>
      </x:c>
      <x:c r="K2845" s="48" t="n">
        <x:v>0.9118926304730104</x:v>
      </x:c>
      <x:c r="L2845" s="48" t="n">
        <x:v>0.7632710007921295</x:v>
      </x:c>
      <x:c r="M2845" s="48" t="n">
        <x:v>0.12595103359256482</x:v>
      </x:c>
      <x:c r="N2845" s="48" t="n">
        <x:v>0.8021090215249603</x:v>
      </x:c>
      <x:c r="O2845" s="48" t="n">
        <x:v>1</x:v>
      </x:c>
      <x:c r="P2845" s="48" t="n">
        <x:v>1</x:v>
      </x:c>
      <x:c r="Q2845" s="48" t="n">
        <x:v>1</x:v>
      </x:c>
      <x:c r="R2845" s="48" t="n">
        <x:v>1</x:v>
      </x:c>
      <x:c r="S2845" s="29" t="n">
        <x:v>1</x:v>
      </x:c>
    </x:row>
    <x:row r="2846" ht="21.600000381469727" hidden="0" customHeight="1">
      <x:c r="A2846" s="27" t="n">
        <x:v>948</x:v>
      </x:c>
      <x:c r="B2846" s="27" t="str">
        <x:v>A1</x:v>
      </x:c>
      <x:c r="C2846" s="47" t="n">
        <x:v>1.136776457476559</x:v>
      </x:c>
      <x:c r="D2846" s="47" t="n">
        <x:v>0.9950322240622373</x:v>
      </x:c>
      <x:c r="E2846" s="47" t="n">
        <x:v>0.5423963054489419</x:v>
      </x:c>
      <x:c r="F2846" s="47" t="n">
        <x:v>-0.08888198662212976</x:v>
      </x:c>
      <x:c r="G2846" s="47" t="n">
        <x:v>-0.12727435965571854</x:v>
      </x:c>
      <x:c r="H2846" s="47" t="n">
        <x:v>0.7515996043036681</x:v>
      </x:c>
      <x:c r="I2846" s="47" t="n">
        <x:v>0.6797140345229313</x:v>
      </x:c>
      <x:c r="J2846" s="47" t="n">
        <x:v>0.5027919934439334</x:v>
      </x:c>
      <x:c r="K2846" s="47" t="n">
        <x:v>0.5965607831567142</x:v>
      </x:c>
      <x:c r="L2846" s="47" t="n">
        <x:v>0.9106550368361599</x:v>
      </x:c>
      <x:c r="M2846" s="47" t="n">
        <x:v>0.1136219655564708</x:v>
      </x:c>
      <x:c r="N2846" s="47" t="n">
        <x:v>0.9820915016619154</x:v>
      </x:c>
      <x:c r="O2846" s="47" t="n">
        <x:v>0.8656651653018361</x:v>
      </x:c>
      <x:c r="P2846" s="47" t="n">
        <x:v>0.6315530423981373</x:v>
      </x:c>
      <x:c r="Q2846" s="47" t="n">
        <x:v>1</x:v>
      </x:c>
      <x:c r="R2846" s="47" t="n">
        <x:v>0.8341175638676339</x:v>
      </x:c>
      <x:c r="S2846" s="27" t="n">
        <x:v>0</x:v>
      </x:c>
    </x:row>
    <x:row r="2847" ht="21.600000381469727" hidden="0" customHeight="1">
      <x:c r="A2847" s="29" t="n">
        <x:v>948</x:v>
      </x:c>
      <x:c r="B2847" s="29" t="str">
        <x:v>A2</x:v>
      </x:c>
      <x:c r="C2847" s="48" t="n">
        <x:v>1.136776457476559</x:v>
      </x:c>
      <x:c r="D2847" s="48" t="n">
        <x:v>0.9950322240622373</x:v>
      </x:c>
      <x:c r="E2847" s="48" t="n">
        <x:v>0.5423963054489419</x:v>
      </x:c>
      <x:c r="F2847" s="48" t="n">
        <x:v>-0.08888198662212976</x:v>
      </x:c>
      <x:c r="G2847" s="48" t="n">
        <x:v>-0.12727435965571854</x:v>
      </x:c>
      <x:c r="H2847" s="48" t="n">
        <x:v>0.7515996043036681</x:v>
      </x:c>
      <x:c r="I2847" s="48" t="n">
        <x:v>0.6797140345229313</x:v>
      </x:c>
      <x:c r="J2847" s="48" t="n">
        <x:v>0.5027919934439334</x:v>
      </x:c>
      <x:c r="K2847" s="48" t="n">
        <x:v>0.5965607831567142</x:v>
      </x:c>
      <x:c r="L2847" s="48" t="n">
        <x:v>0.9106550368361599</x:v>
      </x:c>
      <x:c r="M2847" s="48" t="n">
        <x:v>0.1136219655564708</x:v>
      </x:c>
      <x:c r="N2847" s="48" t="n">
        <x:v>0.9820915016619154</x:v>
      </x:c>
      <x:c r="O2847" s="48" t="n">
        <x:v>0.9425501887091392</x:v>
      </x:c>
      <x:c r="P2847" s="48" t="n">
        <x:v>0.7524720413851959</x:v>
      </x:c>
      <x:c r="Q2847" s="48" t="n">
        <x:v>1</x:v>
      </x:c>
      <x:c r="R2847" s="48" t="n">
        <x:v>0.929058500174691</x:v>
      </x:c>
      <x:c r="S2847" s="29" t="n">
        <x:v>0</x:v>
      </x:c>
    </x:row>
    <x:row r="2848" ht="21.600000381469727" hidden="0" customHeight="1">
      <x:c r="A2848" s="27" t="n">
        <x:v>948</x:v>
      </x:c>
      <x:c r="B2848" s="27" t="str">
        <x:v>A3</x:v>
      </x:c>
      <x:c r="C2848" s="47" t="n">
        <x:v>1.136776457476559</x:v>
      </x:c>
      <x:c r="D2848" s="47" t="n">
        <x:v>0.9950322240622373</x:v>
      </x:c>
      <x:c r="E2848" s="47" t="n">
        <x:v>0.5423963054489419</x:v>
      </x:c>
      <x:c r="F2848" s="47" t="n">
        <x:v>-0.08888198662212976</x:v>
      </x:c>
      <x:c r="G2848" s="47" t="n">
        <x:v>-0.12727435965571854</x:v>
      </x:c>
      <x:c r="H2848" s="47" t="n">
        <x:v>0.7515996043036681</x:v>
      </x:c>
      <x:c r="I2848" s="47" t="n">
        <x:v>0.6797140345229313</x:v>
      </x:c>
      <x:c r="J2848" s="47" t="n">
        <x:v>0.5027919934439334</x:v>
      </x:c>
      <x:c r="K2848" s="47" t="n">
        <x:v>0.5965607831567142</x:v>
      </x:c>
      <x:c r="L2848" s="47" t="n">
        <x:v>0.9106550368361599</x:v>
      </x:c>
      <x:c r="M2848" s="47" t="n">
        <x:v>0.1136219655564708</x:v>
      </x:c>
      <x:c r="N2848" s="47" t="n">
        <x:v>0.9820915016619154</x:v>
      </x:c>
      <x:c r="O2848" s="47" t="n">
        <x:v>1</x:v>
      </x:c>
      <x:c r="P2848" s="47" t="n">
        <x:v>1</x:v>
      </x:c>
      <x:c r="Q2848" s="47" t="n">
        <x:v>1</x:v>
      </x:c>
      <x:c r="R2848" s="47" t="n">
        <x:v>1</x:v>
      </x:c>
      <x:c r="S2848" s="27" t="n">
        <x:v>1</x:v>
      </x:c>
    </x:row>
    <x:row r="2849" ht="21.600000381469727" hidden="0" customHeight="1">
      <x:c r="A2849" s="29" t="n">
        <x:v>949</x:v>
      </x:c>
      <x:c r="B2849" s="29" t="str">
        <x:v>A1</x:v>
      </x:c>
      <x:c r="C2849" s="48" t="n">
        <x:v>1.2438987882275871</x:v>
      </x:c>
      <x:c r="D2849" s="48" t="n">
        <x:v>0.9636919585811308</x:v>
      </x:c>
      <x:c r="E2849" s="48" t="n">
        <x:v>0.5096618616849132</x:v>
      </x:c>
      <x:c r="F2849" s="48" t="n">
        <x:v>-0.19076096218012684</x:v>
      </x:c>
      <x:c r="G2849" s="48" t="n">
        <x:v>-0.008839946558081485</x:v>
      </x:c>
      <x:c r="H2849" s="48" t="n">
        <x:v>0.852324299805524</x:v>
      </x:c>
      <x:c r="I2849" s="48" t="n">
        <x:v>0.7484969373195902</x:v>
      </x:c>
      <x:c r="J2849" s="48" t="n">
        <x:v>0.9257527825649757</x:v>
      </x:c>
      <x:c r="K2849" s="48" t="n">
        <x:v>0.5632599525904675</x:v>
      </x:c>
      <x:c r="L2849" s="48" t="n">
        <x:v>0.7994729197968681</x:v>
      </x:c>
      <x:c r="M2849" s="48" t="n">
        <x:v>0.12160600897464781</x:v>
      </x:c>
      <x:c r="N2849" s="48" t="n">
        <x:v>0.7177561430618454</x:v>
      </x:c>
      <x:c r="O2849" s="48" t="n">
        <x:v>0.8294015158953083</x:v>
      </x:c>
      <x:c r="P2849" s="48" t="n">
        <x:v>0.4638083381999512</x:v>
      </x:c>
      <x:c r="Q2849" s="48" t="n">
        <x:v>1</x:v>
      </x:c>
      <x:c r="R2849" s="48" t="n">
        <x:v>0.789337648664544</x:v>
      </x:c>
      <x:c r="S2849" s="29" t="n">
        <x:v>0</x:v>
      </x:c>
    </x:row>
    <x:row r="2850" ht="21.600000381469727" hidden="0" customHeight="1">
      <x:c r="A2850" s="27" t="n">
        <x:v>949</x:v>
      </x:c>
      <x:c r="B2850" s="27" t="str">
        <x:v>A2</x:v>
      </x:c>
      <x:c r="C2850" s="47" t="n">
        <x:v>1.2438987882275871</x:v>
      </x:c>
      <x:c r="D2850" s="47" t="n">
        <x:v>0.9636919585811308</x:v>
      </x:c>
      <x:c r="E2850" s="47" t="n">
        <x:v>0.5096618616849132</x:v>
      </x:c>
      <x:c r="F2850" s="47" t="n">
        <x:v>-0.19076096218012684</x:v>
      </x:c>
      <x:c r="G2850" s="47" t="n">
        <x:v>-0.008839946558081485</x:v>
      </x:c>
      <x:c r="H2850" s="47" t="n">
        <x:v>0.852324299805524</x:v>
      </x:c>
      <x:c r="I2850" s="47" t="n">
        <x:v>0.7484969373195902</x:v>
      </x:c>
      <x:c r="J2850" s="47" t="n">
        <x:v>0.9257527825649757</x:v>
      </x:c>
      <x:c r="K2850" s="47" t="n">
        <x:v>0.5632599525904675</x:v>
      </x:c>
      <x:c r="L2850" s="47" t="n">
        <x:v>0.7994729197968681</x:v>
      </x:c>
      <x:c r="M2850" s="47" t="n">
        <x:v>0.12160600897464781</x:v>
      </x:c>
      <x:c r="N2850" s="47" t="n">
        <x:v>0.7177561430618454</x:v>
      </x:c>
      <x:c r="O2850" s="47" t="n">
        <x:v>0.8863137216032584</x:v>
      </x:c>
      <x:c r="P2850" s="47" t="n">
        <x:v>0.5490207873366044</x:v>
      </x:c>
      <x:c r="Q2850" s="47" t="n">
        <x:v>1</x:v>
      </x:c>
      <x:c r="R2850" s="47" t="n">
        <x:v>0.8596152899756265</x:v>
      </x:c>
      <x:c r="S2850" s="27" t="n">
        <x:v>0</x:v>
      </x:c>
    </x:row>
    <x:row r="2851" ht="21.600000381469727" hidden="0" customHeight="1">
      <x:c r="A2851" s="29" t="n">
        <x:v>949</x:v>
      </x:c>
      <x:c r="B2851" s="29" t="str">
        <x:v>A3</x:v>
      </x:c>
      <x:c r="C2851" s="48" t="n">
        <x:v>1.2438987882275871</x:v>
      </x:c>
      <x:c r="D2851" s="48" t="n">
        <x:v>0.9636919585811308</x:v>
      </x:c>
      <x:c r="E2851" s="48" t="n">
        <x:v>0.5096618616849132</x:v>
      </x:c>
      <x:c r="F2851" s="48" t="n">
        <x:v>-0.19076096218012684</x:v>
      </x:c>
      <x:c r="G2851" s="48" t="n">
        <x:v>-0.008839946558081485</x:v>
      </x:c>
      <x:c r="H2851" s="48" t="n">
        <x:v>0.852324299805524</x:v>
      </x:c>
      <x:c r="I2851" s="48" t="n">
        <x:v>0.7484969373195902</x:v>
      </x:c>
      <x:c r="J2851" s="48" t="n">
        <x:v>0.9257527825649757</x:v>
      </x:c>
      <x:c r="K2851" s="48" t="n">
        <x:v>0.5632599525904675</x:v>
      </x:c>
      <x:c r="L2851" s="48" t="n">
        <x:v>0.7994729197968681</x:v>
      </x:c>
      <x:c r="M2851" s="48" t="n">
        <x:v>0.12160600897464781</x:v>
      </x:c>
      <x:c r="N2851" s="48" t="n">
        <x:v>0.7177561430618454</x:v>
      </x:c>
      <x:c r="O2851" s="48" t="n">
        <x:v>1</x:v>
      </x:c>
      <x:c r="P2851" s="48" t="n">
        <x:v>1</x:v>
      </x:c>
      <x:c r="Q2851" s="48" t="n">
        <x:v>1</x:v>
      </x:c>
      <x:c r="R2851" s="48" t="n">
        <x:v>1</x:v>
      </x:c>
      <x:c r="S2851" s="29" t="n">
        <x:v>1</x:v>
      </x:c>
    </x:row>
    <x:row r="2852" ht="21.600000381469727" hidden="0" customHeight="1">
      <x:c r="A2852" s="27" t="n">
        <x:v>950</x:v>
      </x:c>
      <x:c r="B2852" s="27" t="str">
        <x:v>A1</x:v>
      </x:c>
      <x:c r="C2852" s="47" t="n">
        <x:v>1.160910122000395</x:v>
      </x:c>
      <x:c r="D2852" s="47" t="n">
        <x:v>0.9791827488507231</x:v>
      </x:c>
      <x:c r="E2852" s="47" t="n">
        <x:v>0.876369866477943</x:v>
      </x:c>
      <x:c r="F2852" s="47" t="n">
        <x:v>-0.05461960950743611</x:v>
      </x:c>
      <x:c r="G2852" s="47" t="n">
        <x:v>-0.0079505427213023</x:v>
      </x:c>
      <x:c r="H2852" s="47" t="n">
        <x:v>0.7540236402798854</x:v>
      </x:c>
      <x:c r="I2852" s="47" t="n">
        <x:v>0.6619700670113169</x:v>
      </x:c>
      <x:c r="J2852" s="47" t="n">
        <x:v>0.6825826351701895</x:v>
      </x:c>
      <x:c r="K2852" s="47" t="n">
        <x:v>0.6386442115971867</x:v>
      </x:c>
      <x:c r="L2852" s="47" t="n">
        <x:v>0.6541731338742813</x:v>
      </x:c>
      <x:c r="M2852" s="47" t="n">
        <x:v>0.0240045496905028</x:v>
      </x:c>
      <x:c r="N2852" s="47" t="n">
        <x:v>0.9495681006089451</x:v>
      </x:c>
      <x:c r="O2852" s="47" t="n">
        <x:v>0.8459235510081289</x:v>
      </x:c>
      <x:c r="P2852" s="47" t="n">
        <x:v>0.4933817079972944</x:v>
      </x:c>
      <x:c r="Q2852" s="47" t="n">
        <x:v>1</x:v>
      </x:c>
      <x:c r="R2852" s="47" t="n">
        <x:v>0.8097397687887639</x:v>
      </x:c>
      <x:c r="S2852" s="27" t="n">
        <x:v>0</x:v>
      </x:c>
    </x:row>
    <x:row r="2853" ht="21.600000381469727" hidden="0" customHeight="1">
      <x:c r="A2853" s="29" t="n">
        <x:v>950</x:v>
      </x:c>
      <x:c r="B2853" s="29" t="str">
        <x:v>A2</x:v>
      </x:c>
      <x:c r="C2853" s="48" t="n">
        <x:v>1.160910122000395</x:v>
      </x:c>
      <x:c r="D2853" s="48" t="n">
        <x:v>0.9791827488507231</x:v>
      </x:c>
      <x:c r="E2853" s="48" t="n">
        <x:v>0.876369866477943</x:v>
      </x:c>
      <x:c r="F2853" s="48" t="n">
        <x:v>-0.05461960950743611</x:v>
      </x:c>
      <x:c r="G2853" s="48" t="n">
        <x:v>-0.0079505427213023</x:v>
      </x:c>
      <x:c r="H2853" s="48" t="n">
        <x:v>0.7540236402798854</x:v>
      </x:c>
      <x:c r="I2853" s="48" t="n">
        <x:v>0.6619700670113169</x:v>
      </x:c>
      <x:c r="J2853" s="48" t="n">
        <x:v>0.6825826351701895</x:v>
      </x:c>
      <x:c r="K2853" s="48" t="n">
        <x:v>0.6386442115971867</x:v>
      </x:c>
      <x:c r="L2853" s="48" t="n">
        <x:v>0.6541731338742813</x:v>
      </x:c>
      <x:c r="M2853" s="48" t="n">
        <x:v>0.0240045496905028</x:v>
      </x:c>
      <x:c r="N2853" s="48" t="n">
        <x:v>0.9495681006089451</x:v>
      </x:c>
      <x:c r="O2853" s="48" t="n">
        <x:v>0.926953726389151</x:v>
      </x:c>
      <x:c r="P2853" s="48" t="n">
        <x:v>0.6246396390571084</x:v>
      </x:c>
      <x:c r="Q2853" s="48" t="n">
        <x:v>1</x:v>
      </x:c>
      <x:c r="R2853" s="48" t="n">
        <x:v>0.9097993171749915</x:v>
      </x:c>
      <x:c r="S2853" s="29" t="n">
        <x:v>0</x:v>
      </x:c>
    </x:row>
    <x:row r="2854" ht="21.600000381469727" hidden="0" customHeight="1">
      <x:c r="A2854" s="27" t="n">
        <x:v>950</x:v>
      </x:c>
      <x:c r="B2854" s="27" t="str">
        <x:v>A3</x:v>
      </x:c>
      <x:c r="C2854" s="47" t="n">
        <x:v>1.160910122000395</x:v>
      </x:c>
      <x:c r="D2854" s="47" t="n">
        <x:v>0.9791827488507231</x:v>
      </x:c>
      <x:c r="E2854" s="47" t="n">
        <x:v>0.876369866477943</x:v>
      </x:c>
      <x:c r="F2854" s="47" t="n">
        <x:v>-0.05461960950743611</x:v>
      </x:c>
      <x:c r="G2854" s="47" t="n">
        <x:v>-0.0079505427213023</x:v>
      </x:c>
      <x:c r="H2854" s="47" t="n">
        <x:v>0.7540236402798854</x:v>
      </x:c>
      <x:c r="I2854" s="47" t="n">
        <x:v>0.6619700670113169</x:v>
      </x:c>
      <x:c r="J2854" s="47" t="n">
        <x:v>0.6825826351701895</x:v>
      </x:c>
      <x:c r="K2854" s="47" t="n">
        <x:v>0.6386442115971867</x:v>
      </x:c>
      <x:c r="L2854" s="47" t="n">
        <x:v>0.6541731338742813</x:v>
      </x:c>
      <x:c r="M2854" s="47" t="n">
        <x:v>0.0240045496905028</x:v>
      </x:c>
      <x:c r="N2854" s="47" t="n">
        <x:v>0.9495681006089451</x:v>
      </x:c>
      <x:c r="O2854" s="47" t="n">
        <x:v>1</x:v>
      </x:c>
      <x:c r="P2854" s="47" t="n">
        <x:v>1</x:v>
      </x:c>
      <x:c r="Q2854" s="47" t="n">
        <x:v>1</x:v>
      </x:c>
      <x:c r="R2854" s="47" t="n">
        <x:v>1</x:v>
      </x:c>
      <x:c r="S2854" s="27" t="n">
        <x:v>1</x:v>
      </x:c>
    </x:row>
    <x:row r="2855" ht="21.600000381469727" hidden="0" customHeight="1">
      <x:c r="A2855" s="29" t="n">
        <x:v>951</x:v>
      </x:c>
      <x:c r="B2855" s="29" t="str">
        <x:v>A1</x:v>
      </x:c>
      <x:c r="C2855" s="48" t="n">
        <x:v>1.0452419489285527</x:v>
      </x:c>
      <x:c r="D2855" s="48" t="n">
        <x:v>0.8617216048209585</x:v>
      </x:c>
      <x:c r="E2855" s="48" t="n">
        <x:v>0.6361258509232877</x:v>
      </x:c>
      <x:c r="F2855" s="48" t="n">
        <x:v>-0.045855855555951036</x:v>
      </x:c>
      <x:c r="G2855" s="48" t="n">
        <x:v>-0.029959013078633273</x:v>
      </x:c>
      <x:c r="H2855" s="48" t="n">
        <x:v>1.0062508852041971</x:v>
      </x:c>
      <x:c r="I2855" s="48" t="n">
        <x:v>0.8689514353495351</x:v>
      </x:c>
      <x:c r="J2855" s="48" t="n">
        <x:v>0.8934164588867061</x:v>
      </x:c>
      <x:c r="K2855" s="48" t="n">
        <x:v>0.8387557735355256</x:v>
      </x:c>
      <x:c r="L2855" s="48" t="n">
        <x:v>0.6535438454135356</x:v>
      </x:c>
      <x:c r="M2855" s="48" t="n">
        <x:v>0.16809589928794416</x:v>
      </x:c>
      <x:c r="N2855" s="48" t="n">
        <x:v>0.9613493849091463</x:v>
      </x:c>
      <x:c r="O2855" s="48" t="n">
        <x:v>0.8959312263052175</x:v>
      </x:c>
      <x:c r="P2855" s="48" t="n">
        <x:v>0.5189413038812254</x:v>
      </x:c>
      <x:c r="Q2855" s="48" t="n">
        <x:v>1</x:v>
      </x:c>
      <x:c r="R2855" s="48" t="n">
        <x:v>0.8714913987530714</x:v>
      </x:c>
      <x:c r="S2855" s="29" t="n">
        <x:v>0</x:v>
      </x:c>
    </x:row>
    <x:row r="2856" ht="21.600000381469727" hidden="0" customHeight="1">
      <x:c r="A2856" s="27" t="n">
        <x:v>951</x:v>
      </x:c>
      <x:c r="B2856" s="27" t="str">
        <x:v>A2</x:v>
      </x:c>
      <x:c r="C2856" s="47" t="n">
        <x:v>1.0452419489285527</x:v>
      </x:c>
      <x:c r="D2856" s="47" t="n">
        <x:v>0.8617216048209585</x:v>
      </x:c>
      <x:c r="E2856" s="47" t="n">
        <x:v>0.6361258509232877</x:v>
      </x:c>
      <x:c r="F2856" s="47" t="n">
        <x:v>-0.045855855555951036</x:v>
      </x:c>
      <x:c r="G2856" s="47" t="n">
        <x:v>-0.029959013078633273</x:v>
      </x:c>
      <x:c r="H2856" s="47" t="n">
        <x:v>1.0062508852041971</x:v>
      </x:c>
      <x:c r="I2856" s="47" t="n">
        <x:v>0.8689514353495351</x:v>
      </x:c>
      <x:c r="J2856" s="47" t="n">
        <x:v>0.8934164588867061</x:v>
      </x:c>
      <x:c r="K2856" s="47" t="n">
        <x:v>0.8387557735355256</x:v>
      </x:c>
      <x:c r="L2856" s="47" t="n">
        <x:v>0.6535438454135356</x:v>
      </x:c>
      <x:c r="M2856" s="47" t="n">
        <x:v>0.16809589928794416</x:v>
      </x:c>
      <x:c r="N2856" s="47" t="n">
        <x:v>0.9613493849091463</x:v>
      </x:c>
      <x:c r="O2856" s="47" t="n">
        <x:v>0.9443620136426228</x:v>
      </x:c>
      <x:c r="P2856" s="47" t="n">
        <x:v>0.6400168114774902</x:v>
      </x:c>
      <x:c r="Q2856" s="47" t="n">
        <x:v>1</x:v>
      </x:c>
      <x:c r="R2856" s="47" t="n">
        <x:v>0.9312958195899188</x:v>
      </x:c>
      <x:c r="S2856" s="27" t="n">
        <x:v>0</x:v>
      </x:c>
    </x:row>
    <x:row r="2857" ht="21.600000381469727" hidden="0" customHeight="1">
      <x:c r="A2857" s="29" t="n">
        <x:v>951</x:v>
      </x:c>
      <x:c r="B2857" s="29" t="str">
        <x:v>A3</x:v>
      </x:c>
      <x:c r="C2857" s="48" t="n">
        <x:v>1.0452419489285527</x:v>
      </x:c>
      <x:c r="D2857" s="48" t="n">
        <x:v>0.8617216048209585</x:v>
      </x:c>
      <x:c r="E2857" s="48" t="n">
        <x:v>0.6361258509232877</x:v>
      </x:c>
      <x:c r="F2857" s="48" t="n">
        <x:v>-0.045855855555951036</x:v>
      </x:c>
      <x:c r="G2857" s="48" t="n">
        <x:v>-0.029959013078633273</x:v>
      </x:c>
      <x:c r="H2857" s="48" t="n">
        <x:v>1.0062508852041971</x:v>
      </x:c>
      <x:c r="I2857" s="48" t="n">
        <x:v>0.8689514353495351</x:v>
      </x:c>
      <x:c r="J2857" s="48" t="n">
        <x:v>0.8934164588867061</x:v>
      </x:c>
      <x:c r="K2857" s="48" t="n">
        <x:v>0.8387557735355256</x:v>
      </x:c>
      <x:c r="L2857" s="48" t="n">
        <x:v>0.6535438454135356</x:v>
      </x:c>
      <x:c r="M2857" s="48" t="n">
        <x:v>0.16809589928794416</x:v>
      </x:c>
      <x:c r="N2857" s="48" t="n">
        <x:v>0.9613493849091463</x:v>
      </x:c>
      <x:c r="O2857" s="48" t="n">
        <x:v>1</x:v>
      </x:c>
      <x:c r="P2857" s="48" t="n">
        <x:v>1</x:v>
      </x:c>
      <x:c r="Q2857" s="48" t="n">
        <x:v>1</x:v>
      </x:c>
      <x:c r="R2857" s="48" t="n">
        <x:v>1</x:v>
      </x:c>
      <x:c r="S2857" s="29" t="n">
        <x:v>1</x:v>
      </x:c>
    </x:row>
    <x:row r="2858" ht="21.600000381469727" hidden="0" customHeight="1">
      <x:c r="A2858" s="27" t="n">
        <x:v>952</x:v>
      </x:c>
      <x:c r="B2858" s="27" t="str">
        <x:v>A1</x:v>
      </x:c>
      <x:c r="C2858" s="47" t="n">
        <x:v>1.2871822873831702</x:v>
      </x:c>
      <x:c r="D2858" s="47" t="n">
        <x:v>0.7970891586935999</x:v>
      </x:c>
      <x:c r="E2858" s="47" t="n">
        <x:v>0.7350512418993034</x:v>
      </x:c>
      <x:c r="F2858" s="47" t="n">
        <x:v>0.03726747164581998</x:v>
      </x:c>
      <x:c r="G2858" s="47" t="n">
        <x:v>-0.19399308234694268</x:v>
      </x:c>
      <x:c r="H2858" s="47" t="n">
        <x:v>0.3971487408041475</x:v>
      </x:c>
      <x:c r="I2858" s="47" t="n">
        <x:v>0.7390396787167168</x:v>
      </x:c>
      <x:c r="J2858" s="47" t="n">
        <x:v>0.8547738022118221</x:v>
      </x:c>
      <x:c r="K2858" s="47" t="n">
        <x:v>0.8115497118208324</x:v>
      </x:c>
      <x:c r="L2858" s="47" t="n">
        <x:v>0.6815421916822528</x:v>
      </x:c>
      <x:c r="M2858" s="47" t="n">
        <x:v>0.1293904977490016</x:v>
      </x:c>
      <x:c r="N2858" s="47" t="n">
        <x:v>0.7354453744568025</x:v>
      </x:c>
      <x:c r="O2858" s="47" t="n">
        <x:v>0.7611675193608444</x:v>
      </x:c>
      <x:c r="P2858" s="47" t="n">
        <x:v>0.4313057468926758</x:v>
      </x:c>
      <x:c r="Q2858" s="47" t="n">
        <x:v>0.9321219122932832</x:v>
      </x:c>
      <x:c r="R2858" s="47" t="n">
        <x:v>0.7055834933255909</x:v>
      </x:c>
      <x:c r="S2858" s="27" t="n">
        <x:v>0</x:v>
      </x:c>
    </x:row>
    <x:row r="2859" ht="21.600000381469727" hidden="0" customHeight="1">
      <x:c r="A2859" s="29" t="n">
        <x:v>952</x:v>
      </x:c>
      <x:c r="B2859" s="29" t="str">
        <x:v>A2</x:v>
      </x:c>
      <x:c r="C2859" s="48" t="n">
        <x:v>1.2871822873831702</x:v>
      </x:c>
      <x:c r="D2859" s="48" t="n">
        <x:v>0.7970891586935999</x:v>
      </x:c>
      <x:c r="E2859" s="48" t="n">
        <x:v>0.7350512418993034</x:v>
      </x:c>
      <x:c r="F2859" s="48" t="n">
        <x:v>0.03726747164581998</x:v>
      </x:c>
      <x:c r="G2859" s="48" t="n">
        <x:v>-0.19399308234694268</x:v>
      </x:c>
      <x:c r="H2859" s="48" t="n">
        <x:v>0.3971487408041475</x:v>
      </x:c>
      <x:c r="I2859" s="48" t="n">
        <x:v>0.7390396787167168</x:v>
      </x:c>
      <x:c r="J2859" s="48" t="n">
        <x:v>0.8547738022118221</x:v>
      </x:c>
      <x:c r="K2859" s="48" t="n">
        <x:v>0.8115497118208324</x:v>
      </x:c>
      <x:c r="L2859" s="48" t="n">
        <x:v>0.6815421916822528</x:v>
      </x:c>
      <x:c r="M2859" s="48" t="n">
        <x:v>0.1293904977490016</x:v>
      </x:c>
      <x:c r="N2859" s="48" t="n">
        <x:v>0.7354453744568025</x:v>
      </x:c>
      <x:c r="O2859" s="48" t="n">
        <x:v>0.8418629188252912</x:v>
      </x:c>
      <x:c r="P2859" s="48" t="n">
        <x:v>0.4704237626674962</x:v>
      </x:c>
      <x:c r="Q2859" s="48" t="n">
        <x:v>1</x:v>
      </x:c>
      <x:c r="R2859" s="48" t="n">
        <x:v>0.8047255253854048</x:v>
      </x:c>
      <x:c r="S2859" s="29" t="n">
        <x:v>0</x:v>
      </x:c>
    </x:row>
    <x:row r="2860" ht="21.600000381469727" hidden="0" customHeight="1">
      <x:c r="A2860" s="27" t="n">
        <x:v>952</x:v>
      </x:c>
      <x:c r="B2860" s="27" t="str">
        <x:v>A3</x:v>
      </x:c>
      <x:c r="C2860" s="47" t="n">
        <x:v>1.2871822873831702</x:v>
      </x:c>
      <x:c r="D2860" s="47" t="n">
        <x:v>0.7970891586935999</x:v>
      </x:c>
      <x:c r="E2860" s="47" t="n">
        <x:v>0.7350512418993034</x:v>
      </x:c>
      <x:c r="F2860" s="47" t="n">
        <x:v>0.03726747164581998</x:v>
      </x:c>
      <x:c r="G2860" s="47" t="n">
        <x:v>-0.19399308234694268</x:v>
      </x:c>
      <x:c r="H2860" s="47" t="n">
        <x:v>0.3971487408041475</x:v>
      </x:c>
      <x:c r="I2860" s="47" t="n">
        <x:v>0.7390396787167168</x:v>
      </x:c>
      <x:c r="J2860" s="47" t="n">
        <x:v>0.8547738022118221</x:v>
      </x:c>
      <x:c r="K2860" s="47" t="n">
        <x:v>0.8115497118208324</x:v>
      </x:c>
      <x:c r="L2860" s="47" t="n">
        <x:v>0.6815421916822528</x:v>
      </x:c>
      <x:c r="M2860" s="47" t="n">
        <x:v>0.1293904977490016</x:v>
      </x:c>
      <x:c r="N2860" s="47" t="n">
        <x:v>0.7354453744568025</x:v>
      </x:c>
      <x:c r="O2860" s="47" t="n">
        <x:v>1</x:v>
      </x:c>
      <x:c r="P2860" s="47" t="n">
        <x:v>1</x:v>
      </x:c>
      <x:c r="Q2860" s="47" t="n">
        <x:v>1</x:v>
      </x:c>
      <x:c r="R2860" s="47" t="n">
        <x:v>1</x:v>
      </x:c>
      <x:c r="S2860" s="27" t="n">
        <x:v>1</x:v>
      </x:c>
    </x:row>
    <x:row r="2861" ht="21.600000381469727" hidden="0" customHeight="1">
      <x:c r="A2861" s="29" t="n">
        <x:v>953</x:v>
      </x:c>
      <x:c r="B2861" s="29" t="str">
        <x:v>A1</x:v>
      </x:c>
      <x:c r="C2861" s="48" t="n">
        <x:v>0.9405584373054738</x:v>
      </x:c>
      <x:c r="D2861" s="48" t="n">
        <x:v>0.9539253719203669</x:v>
      </x:c>
      <x:c r="E2861" s="48" t="n">
        <x:v>0.9384550031581175</x:v>
      </x:c>
      <x:c r="F2861" s="48" t="n">
        <x:v>-0.1931035097852168</x:v>
      </x:c>
      <x:c r="G2861" s="48" t="n">
        <x:v>-0.05395535594256837</x:v>
      </x:c>
      <x:c r="H2861" s="48" t="n">
        <x:v>0.817447133258671</x:v>
      </x:c>
      <x:c r="I2861" s="48" t="n">
        <x:v>0.7189549087241229</x:v>
      </x:c>
      <x:c r="J2861" s="48" t="n">
        <x:v>0.5137366013081189</x:v>
      </x:c>
      <x:c r="K2861" s="48" t="n">
        <x:v>0.677503720322472</x:v>
      </x:c>
      <x:c r="L2861" s="48" t="n">
        <x:v>0.9545710117791194</x:v>
      </x:c>
      <x:c r="M2861" s="48" t="n">
        <x:v>0.15386905929806752</x:v>
      </x:c>
      <x:c r="N2861" s="48" t="n">
        <x:v>0.6729416466691883</x:v>
      </x:c>
      <x:c r="O2861" s="48" t="n">
        <x:v>0.9473398632874004</x:v>
      </x:c>
      <x:c r="P2861" s="48" t="n">
        <x:v>0.7802546611113286</x:v>
      </x:c>
      <x:c r="Q2861" s="48" t="n">
        <x:v>1</x:v>
      </x:c>
      <x:c r="R2861" s="48" t="n">
        <x:v>0.934972996508486</x:v>
      </x:c>
      <x:c r="S2861" s="29" t="n">
        <x:v>0</x:v>
      </x:c>
    </x:row>
    <x:row r="2862" ht="21.600000381469727" hidden="0" customHeight="1">
      <x:c r="A2862" s="27" t="n">
        <x:v>953</x:v>
      </x:c>
      <x:c r="B2862" s="27" t="str">
        <x:v>A2</x:v>
      </x:c>
      <x:c r="C2862" s="47" t="n">
        <x:v>0.9405584373054738</x:v>
      </x:c>
      <x:c r="D2862" s="47" t="n">
        <x:v>0.9539253719203669</x:v>
      </x:c>
      <x:c r="E2862" s="47" t="n">
        <x:v>0.9384550031581175</x:v>
      </x:c>
      <x:c r="F2862" s="47" t="n">
        <x:v>-0.1931035097852168</x:v>
      </x:c>
      <x:c r="G2862" s="47" t="n">
        <x:v>-0.05395535594256837</x:v>
      </x:c>
      <x:c r="H2862" s="47" t="n">
        <x:v>0.817447133258671</x:v>
      </x:c>
      <x:c r="I2862" s="47" t="n">
        <x:v>0.7189549087241229</x:v>
      </x:c>
      <x:c r="J2862" s="47" t="n">
        <x:v>0.5137366013081189</x:v>
      </x:c>
      <x:c r="K2862" s="47" t="n">
        <x:v>0.677503720322472</x:v>
      </x:c>
      <x:c r="L2862" s="47" t="n">
        <x:v>0.9545710117791194</x:v>
      </x:c>
      <x:c r="M2862" s="47" t="n">
        <x:v>0.15386905929806752</x:v>
      </x:c>
      <x:c r="N2862" s="47" t="n">
        <x:v>0.6729416466691883</x:v>
      </x:c>
      <x:c r="O2862" s="47" t="n">
        <x:v>1</x:v>
      </x:c>
      <x:c r="P2862" s="47" t="n">
        <x:v>0.9999999999999999</x:v>
      </x:c>
      <x:c r="Q2862" s="47" t="n">
        <x:v>1</x:v>
      </x:c>
      <x:c r="R2862" s="47" t="n">
        <x:v>1</x:v>
      </x:c>
      <x:c r="S2862" s="27" t="n">
        <x:v>1</x:v>
      </x:c>
    </x:row>
    <x:row r="2863" ht="21.600000381469727" hidden="0" customHeight="1">
      <x:c r="A2863" s="29" t="n">
        <x:v>953</x:v>
      </x:c>
      <x:c r="B2863" s="29" t="str">
        <x:v>A3</x:v>
      </x:c>
      <x:c r="C2863" s="48" t="n">
        <x:v>0.9405584373054738</x:v>
      </x:c>
      <x:c r="D2863" s="48" t="n">
        <x:v>0.9539253719203669</x:v>
      </x:c>
      <x:c r="E2863" s="48" t="n">
        <x:v>0.9384550031581175</x:v>
      </x:c>
      <x:c r="F2863" s="48" t="n">
        <x:v>-0.1931035097852168</x:v>
      </x:c>
      <x:c r="G2863" s="48" t="n">
        <x:v>-0.05395535594256837</x:v>
      </x:c>
      <x:c r="H2863" s="48" t="n">
        <x:v>0.817447133258671</x:v>
      </x:c>
      <x:c r="I2863" s="48" t="n">
        <x:v>0.7189549087241229</x:v>
      </x:c>
      <x:c r="J2863" s="48" t="n">
        <x:v>0.5137366013081189</x:v>
      </x:c>
      <x:c r="K2863" s="48" t="n">
        <x:v>0.677503720322472</x:v>
      </x:c>
      <x:c r="L2863" s="48" t="n">
        <x:v>0.9545710117791194</x:v>
      </x:c>
      <x:c r="M2863" s="48" t="n">
        <x:v>0.15386905929806752</x:v>
      </x:c>
      <x:c r="N2863" s="48" t="n">
        <x:v>0.6729416466691883</x:v>
      </x:c>
      <x:c r="O2863" s="48" t="n">
        <x:v>1</x:v>
      </x:c>
      <x:c r="P2863" s="48" t="n">
        <x:v>1</x:v>
      </x:c>
      <x:c r="Q2863" s="48" t="n">
        <x:v>1</x:v>
      </x:c>
      <x:c r="R2863" s="48" t="n">
        <x:v>1</x:v>
      </x:c>
      <x:c r="S2863" s="29" t="n">
        <x:v>1</x:v>
      </x:c>
    </x:row>
    <x:row r="2864" ht="21.600000381469727" hidden="0" customHeight="1">
      <x:c r="A2864" s="27" t="n">
        <x:v>954</x:v>
      </x:c>
      <x:c r="B2864" s="27" t="str">
        <x:v>A1</x:v>
      </x:c>
      <x:c r="C2864" s="47" t="n">
        <x:v>1.2530947622151762</x:v>
      </x:c>
      <x:c r="D2864" s="47" t="n">
        <x:v>0.7513620061540331</x:v>
      </x:c>
      <x:c r="E2864" s="47" t="n">
        <x:v>0.512421202182841</x:v>
      </x:c>
      <x:c r="F2864" s="47" t="n">
        <x:v>-0.06588389547278894</x:v>
      </x:c>
      <x:c r="G2864" s="47" t="n">
        <x:v>0.014165975316810048</x:v>
      </x:c>
      <x:c r="H2864" s="47" t="n">
        <x:v>1.0633428257700908</x:v>
      </x:c>
      <x:c r="I2864" s="47" t="n">
        <x:v>0.8675635541514543</x:v>
      </x:c>
      <x:c r="J2864" s="47" t="n">
        <x:v>0.819628776109051</x:v>
      </x:c>
      <x:c r="K2864" s="47" t="n">
        <x:v>0.7025022245672858</x:v>
      </x:c>
      <x:c r="L2864" s="47" t="n">
        <x:v>0.5268416523069109</x:v>
      </x:c>
      <x:c r="M2864" s="47" t="n">
        <x:v>0.09991507285604516</x:v>
      </x:c>
      <x:c r="N2864" s="47" t="n">
        <x:v>0.9873618062319334</x:v>
      </x:c>
      <x:c r="O2864" s="47" t="n">
        <x:v>0.6940078744459185</x:v>
      </x:c>
      <x:c r="P2864" s="47" t="n">
        <x:v>0.4106440187909587</x:v>
      </x:c>
      <x:c r="Q2864" s="47" t="n">
        <x:v>0.8914396693681311</x:v>
      </x:c>
      <x:c r="R2864" s="47" t="n">
        <x:v>0.622954014054769</x:v>
      </x:c>
      <x:c r="S2864" s="27" t="n">
        <x:v>0</x:v>
      </x:c>
    </x:row>
    <x:row r="2865" ht="21.600000381469727" hidden="0" customHeight="1">
      <x:c r="A2865" s="29" t="n">
        <x:v>954</x:v>
      </x:c>
      <x:c r="B2865" s="29" t="str">
        <x:v>A2</x:v>
      </x:c>
      <x:c r="C2865" s="48" t="n">
        <x:v>1.2530947622151762</x:v>
      </x:c>
      <x:c r="D2865" s="48" t="n">
        <x:v>0.7513620061540331</x:v>
      </x:c>
      <x:c r="E2865" s="48" t="n">
        <x:v>0.512421202182841</x:v>
      </x:c>
      <x:c r="F2865" s="48" t="n">
        <x:v>-0.06588389547278894</x:v>
      </x:c>
      <x:c r="G2865" s="48" t="n">
        <x:v>0.014165975316810048</x:v>
      </x:c>
      <x:c r="H2865" s="48" t="n">
        <x:v>1.0633428257700908</x:v>
      </x:c>
      <x:c r="I2865" s="48" t="n">
        <x:v>0.8675635541514543</x:v>
      </x:c>
      <x:c r="J2865" s="48" t="n">
        <x:v>0.819628776109051</x:v>
      </x:c>
      <x:c r="K2865" s="48" t="n">
        <x:v>0.7025022245672858</x:v>
      </x:c>
      <x:c r="L2865" s="48" t="n">
        <x:v>0.5268416523069109</x:v>
      </x:c>
      <x:c r="M2865" s="48" t="n">
        <x:v>0.09991507285604516</x:v>
      </x:c>
      <x:c r="N2865" s="48" t="n">
        <x:v>0.9873618062319334</x:v>
      </x:c>
      <x:c r="O2865" s="48" t="n">
        <x:v>0.7458690159100375</x:v>
      </x:c>
      <x:c r="P2865" s="48" t="n">
        <x:v>0.44399975005742487</x:v>
      </x:c>
      <x:c r="Q2865" s="48" t="n">
        <x:v>1</x:v>
      </x:c>
      <x:c r="R2865" s="48" t="n">
        <x:v>0.6861881221480763</x:v>
      </x:c>
      <x:c r="S2865" s="29" t="n">
        <x:v>0</x:v>
      </x:c>
    </x:row>
    <x:row r="2866" ht="21.600000381469727" hidden="0" customHeight="1">
      <x:c r="A2866" s="27" t="n">
        <x:v>954</x:v>
      </x:c>
      <x:c r="B2866" s="27" t="str">
        <x:v>A3</x:v>
      </x:c>
      <x:c r="C2866" s="47" t="n">
        <x:v>1.2530947622151762</x:v>
      </x:c>
      <x:c r="D2866" s="47" t="n">
        <x:v>0.7513620061540331</x:v>
      </x:c>
      <x:c r="E2866" s="47" t="n">
        <x:v>0.512421202182841</x:v>
      </x:c>
      <x:c r="F2866" s="47" t="n">
        <x:v>-0.06588389547278894</x:v>
      </x:c>
      <x:c r="G2866" s="47" t="n">
        <x:v>0.014165975316810048</x:v>
      </x:c>
      <x:c r="H2866" s="47" t="n">
        <x:v>1.0633428257700908</x:v>
      </x:c>
      <x:c r="I2866" s="47" t="n">
        <x:v>0.8675635541514543</x:v>
      </x:c>
      <x:c r="J2866" s="47" t="n">
        <x:v>0.819628776109051</x:v>
      </x:c>
      <x:c r="K2866" s="47" t="n">
        <x:v>0.7025022245672858</x:v>
      </x:c>
      <x:c r="L2866" s="47" t="n">
        <x:v>0.5268416523069109</x:v>
      </x:c>
      <x:c r="M2866" s="47" t="n">
        <x:v>0.09991507285604516</x:v>
      </x:c>
      <x:c r="N2866" s="47" t="n">
        <x:v>0.9873618062319334</x:v>
      </x:c>
      <x:c r="O2866" s="47" t="n">
        <x:v>1</x:v>
      </x:c>
      <x:c r="P2866" s="47" t="n">
        <x:v>1</x:v>
      </x:c>
      <x:c r="Q2866" s="47" t="n">
        <x:v>1</x:v>
      </x:c>
      <x:c r="R2866" s="47" t="n">
        <x:v>1</x:v>
      </x:c>
      <x:c r="S2866" s="27" t="n">
        <x:v>1</x:v>
      </x:c>
    </x:row>
    <x:row r="2867" ht="21.600000381469727" hidden="0" customHeight="1">
      <x:c r="A2867" s="29" t="n">
        <x:v>955</x:v>
      </x:c>
      <x:c r="B2867" s="29" t="str">
        <x:v>A1</x:v>
      </x:c>
      <x:c r="C2867" s="48" t="n">
        <x:v>0.9523574658223369</x:v>
      </x:c>
      <x:c r="D2867" s="48" t="n">
        <x:v>0.9086044478432957</x:v>
      </x:c>
      <x:c r="E2867" s="48" t="n">
        <x:v>0.6495650904514415</x:v>
      </x:c>
      <x:c r="F2867" s="48" t="n">
        <x:v>-0.15809483488925336</x:v>
      </x:c>
      <x:c r="G2867" s="48" t="n">
        <x:v>-0.16123438823009667</x:v>
      </x:c>
      <x:c r="H2867" s="48" t="n">
        <x:v>0.6598372099818517</x:v>
      </x:c>
      <x:c r="I2867" s="48" t="n">
        <x:v>0.676218848091835</x:v>
      </x:c>
      <x:c r="J2867" s="48" t="n">
        <x:v>0.9886445564319254</x:v>
      </x:c>
      <x:c r="K2867" s="48" t="n">
        <x:v>0.66023471908547</x:v>
      </x:c>
      <x:c r="L2867" s="48" t="n">
        <x:v>0.8787149938428933</x:v>
      </x:c>
      <x:c r="M2867" s="48" t="n">
        <x:v>0.055473450219235484</x:v>
      </x:c>
      <x:c r="N2867" s="48" t="n">
        <x:v>0.6545649141960925</x:v>
      </x:c>
      <x:c r="O2867" s="48" t="n">
        <x:v>0.9118360959896776</x:v>
      </x:c>
      <x:c r="P2867" s="48" t="n">
        <x:v>0.5243850130637219</x:v>
      </x:c>
      <x:c r="Q2867" s="48" t="n">
        <x:v>0.9999999999999998</x:v>
      </x:c>
      <x:c r="R2867" s="48" t="n">
        <x:v>0.891131416441366</x:v>
      </x:c>
      <x:c r="S2867" s="29" t="n">
        <x:v>0</x:v>
      </x:c>
    </x:row>
    <x:row r="2868" ht="21.600000381469727" hidden="0" customHeight="1">
      <x:c r="A2868" s="27" t="n">
        <x:v>955</x:v>
      </x:c>
      <x:c r="B2868" s="27" t="str">
        <x:v>A2</x:v>
      </x:c>
      <x:c r="C2868" s="47" t="n">
        <x:v>0.9523574658223369</x:v>
      </x:c>
      <x:c r="D2868" s="47" t="n">
        <x:v>0.9086044478432957</x:v>
      </x:c>
      <x:c r="E2868" s="47" t="n">
        <x:v>0.6495650904514415</x:v>
      </x:c>
      <x:c r="F2868" s="47" t="n">
        <x:v>-0.15809483488925336</x:v>
      </x:c>
      <x:c r="G2868" s="47" t="n">
        <x:v>-0.16123438823009667</x:v>
      </x:c>
      <x:c r="H2868" s="47" t="n">
        <x:v>0.6598372099818517</x:v>
      </x:c>
      <x:c r="I2868" s="47" t="n">
        <x:v>0.676218848091835</x:v>
      </x:c>
      <x:c r="J2868" s="47" t="n">
        <x:v>0.9886445564319254</x:v>
      </x:c>
      <x:c r="K2868" s="47" t="n">
        <x:v>0.66023471908547</x:v>
      </x:c>
      <x:c r="L2868" s="47" t="n">
        <x:v>0.8787149938428933</x:v>
      </x:c>
      <x:c r="M2868" s="47" t="n">
        <x:v>0.055473450219235484</x:v>
      </x:c>
      <x:c r="N2868" s="47" t="n">
        <x:v>0.6545649141960925</x:v>
      </x:c>
      <x:c r="O2868" s="47" t="n">
        <x:v>0.9354596420274207</x:v>
      </x:c>
      <x:c r="P2868" s="47" t="n">
        <x:v>0.5532122139408652</x:v>
      </x:c>
      <x:c r="Q2868" s="47" t="n">
        <x:v>1</x:v>
      </x:c>
      <x:c r="R2868" s="47" t="n">
        <x:v>0.9203027879298625</x:v>
      </x:c>
      <x:c r="S2868" s="27" t="n">
        <x:v>0</x:v>
      </x:c>
    </x:row>
    <x:row r="2869" ht="21.600000381469727" hidden="0" customHeight="1">
      <x:c r="A2869" s="29" t="n">
        <x:v>955</x:v>
      </x:c>
      <x:c r="B2869" s="29" t="str">
        <x:v>A3</x:v>
      </x:c>
      <x:c r="C2869" s="48" t="n">
        <x:v>0.9523574658223369</x:v>
      </x:c>
      <x:c r="D2869" s="48" t="n">
        <x:v>0.9086044478432957</x:v>
      </x:c>
      <x:c r="E2869" s="48" t="n">
        <x:v>0.6495650904514415</x:v>
      </x:c>
      <x:c r="F2869" s="48" t="n">
        <x:v>-0.15809483488925336</x:v>
      </x:c>
      <x:c r="G2869" s="48" t="n">
        <x:v>-0.16123438823009667</x:v>
      </x:c>
      <x:c r="H2869" s="48" t="n">
        <x:v>0.6598372099818517</x:v>
      </x:c>
      <x:c r="I2869" s="48" t="n">
        <x:v>0.676218848091835</x:v>
      </x:c>
      <x:c r="J2869" s="48" t="n">
        <x:v>0.9886445564319254</x:v>
      </x:c>
      <x:c r="K2869" s="48" t="n">
        <x:v>0.66023471908547</x:v>
      </x:c>
      <x:c r="L2869" s="48" t="n">
        <x:v>0.8787149938428933</x:v>
      </x:c>
      <x:c r="M2869" s="48" t="n">
        <x:v>0.055473450219235484</x:v>
      </x:c>
      <x:c r="N2869" s="48" t="n">
        <x:v>0.6545649141960925</x:v>
      </x:c>
      <x:c r="O2869" s="48" t="n">
        <x:v>1</x:v>
      </x:c>
      <x:c r="P2869" s="48" t="n">
        <x:v>1</x:v>
      </x:c>
      <x:c r="Q2869" s="48" t="n">
        <x:v>1</x:v>
      </x:c>
      <x:c r="R2869" s="48" t="n">
        <x:v>1</x:v>
      </x:c>
      <x:c r="S2869" s="29" t="n">
        <x:v>1</x:v>
      </x:c>
    </x:row>
    <x:row r="2870" ht="21.600000381469727" hidden="0" customHeight="1">
      <x:c r="A2870" s="27" t="n">
        <x:v>956</x:v>
      </x:c>
      <x:c r="B2870" s="27" t="str">
        <x:v>A1</x:v>
      </x:c>
      <x:c r="C2870" s="47" t="n">
        <x:v>1.043878425071648</x:v>
      </x:c>
      <x:c r="D2870" s="47" t="n">
        <x:v>0.9382211111669505</x:v>
      </x:c>
      <x:c r="E2870" s="47" t="n">
        <x:v>0.5984432296784216</x:v>
      </x:c>
      <x:c r="F2870" s="47" t="n">
        <x:v>-0.00623650190668068</x:v>
      </x:c>
      <x:c r="G2870" s="47" t="n">
        <x:v>-0.14160808411286827</x:v>
      </x:c>
      <x:c r="H2870" s="47" t="n">
        <x:v>1.0029231342976483</x:v>
      </x:c>
      <x:c r="I2870" s="47" t="n">
        <x:v>0.7118786260746713</x:v>
      </x:c>
      <x:c r="J2870" s="47" t="n">
        <x:v>0.6437671337955115</x:v>
      </x:c>
      <x:c r="K2870" s="47" t="n">
        <x:v>0.5932156040080458</x:v>
      </x:c>
      <x:c r="L2870" s="47" t="n">
        <x:v>0.999909325144988</x:v>
      </x:c>
      <x:c r="M2870" s="47" t="n">
        <x:v>0.004663361794600288</x:v>
      </x:c>
      <x:c r="N2870" s="47" t="n">
        <x:v>0.7681957876091369</x:v>
      </x:c>
      <x:c r="O2870" s="47" t="n">
        <x:v>0.9042121156041116</x:v>
      </x:c>
      <x:c r="P2870" s="47" t="n">
        <x:v>0.6558857619069735</x:v>
      </x:c>
      <x:c r="Q2870" s="47" t="n">
        <x:v>1</x:v>
      </x:c>
      <x:c r="R2870" s="47" t="n">
        <x:v>0.8817169972981505</x:v>
      </x:c>
      <x:c r="S2870" s="27" t="n">
        <x:v>0</x:v>
      </x:c>
    </x:row>
    <x:row r="2871" ht="21.600000381469727" hidden="0" customHeight="1">
      <x:c r="A2871" s="29" t="n">
        <x:v>956</x:v>
      </x:c>
      <x:c r="B2871" s="29" t="str">
        <x:v>A2</x:v>
      </x:c>
      <x:c r="C2871" s="48" t="n">
        <x:v>1.043878425071648</x:v>
      </x:c>
      <x:c r="D2871" s="48" t="n">
        <x:v>0.9382211111669505</x:v>
      </x:c>
      <x:c r="E2871" s="48" t="n">
        <x:v>0.5984432296784216</x:v>
      </x:c>
      <x:c r="F2871" s="48" t="n">
        <x:v>-0.00623650190668068</x:v>
      </x:c>
      <x:c r="G2871" s="48" t="n">
        <x:v>-0.14160808411286827</x:v>
      </x:c>
      <x:c r="H2871" s="48" t="n">
        <x:v>1.0029231342976483</x:v>
      </x:c>
      <x:c r="I2871" s="48" t="n">
        <x:v>0.7118786260746713</x:v>
      </x:c>
      <x:c r="J2871" s="48" t="n">
        <x:v>0.6437671337955115</x:v>
      </x:c>
      <x:c r="K2871" s="48" t="n">
        <x:v>0.5932156040080458</x:v>
      </x:c>
      <x:c r="L2871" s="48" t="n">
        <x:v>0.999909325144988</x:v>
      </x:c>
      <x:c r="M2871" s="48" t="n">
        <x:v>0.004663361794600288</x:v>
      </x:c>
      <x:c r="N2871" s="48" t="n">
        <x:v>0.7681957876091369</x:v>
      </x:c>
      <x:c r="O2871" s="48" t="n">
        <x:v>0.9618837341529041</x:v>
      </x:c>
      <x:c r="P2871" s="48" t="n">
        <x:v>0.7077806170269011</x:v>
      </x:c>
      <x:c r="Q2871" s="48" t="n">
        <x:v>1</x:v>
      </x:c>
      <x:c r="R2871" s="48" t="n">
        <x:v>0.9529323942729234</x:v>
      </x:c>
      <x:c r="S2871" s="29" t="n">
        <x:v>0</x:v>
      </x:c>
    </x:row>
    <x:row r="2872" ht="21.600000381469727" hidden="0" customHeight="1">
      <x:c r="A2872" s="27" t="n">
        <x:v>956</x:v>
      </x:c>
      <x:c r="B2872" s="27" t="str">
        <x:v>A3</x:v>
      </x:c>
      <x:c r="C2872" s="47" t="n">
        <x:v>1.043878425071648</x:v>
      </x:c>
      <x:c r="D2872" s="47" t="n">
        <x:v>0.9382211111669505</x:v>
      </x:c>
      <x:c r="E2872" s="47" t="n">
        <x:v>0.5984432296784216</x:v>
      </x:c>
      <x:c r="F2872" s="47" t="n">
        <x:v>-0.00623650190668068</x:v>
      </x:c>
      <x:c r="G2872" s="47" t="n">
        <x:v>-0.14160808411286827</x:v>
      </x:c>
      <x:c r="H2872" s="47" t="n">
        <x:v>1.0029231342976483</x:v>
      </x:c>
      <x:c r="I2872" s="47" t="n">
        <x:v>0.7118786260746713</x:v>
      </x:c>
      <x:c r="J2872" s="47" t="n">
        <x:v>0.6437671337955115</x:v>
      </x:c>
      <x:c r="K2872" s="47" t="n">
        <x:v>0.5932156040080458</x:v>
      </x:c>
      <x:c r="L2872" s="47" t="n">
        <x:v>0.999909325144988</x:v>
      </x:c>
      <x:c r="M2872" s="47" t="n">
        <x:v>0.004663361794600288</x:v>
      </x:c>
      <x:c r="N2872" s="47" t="n">
        <x:v>0.7681957876091369</x:v>
      </x:c>
      <x:c r="O2872" s="47" t="n">
        <x:v>1</x:v>
      </x:c>
      <x:c r="P2872" s="47" t="n">
        <x:v>1</x:v>
      </x:c>
      <x:c r="Q2872" s="47" t="n">
        <x:v>1</x:v>
      </x:c>
      <x:c r="R2872" s="47" t="n">
        <x:v>1</x:v>
      </x:c>
      <x:c r="S2872" s="27" t="n">
        <x:v>1</x:v>
      </x:c>
    </x:row>
    <x:row r="2873" ht="21.600000381469727" hidden="0" customHeight="1">
      <x:c r="A2873" s="29" t="n">
        <x:v>957</x:v>
      </x:c>
      <x:c r="B2873" s="29" t="str">
        <x:v>A1</x:v>
      </x:c>
      <x:c r="C2873" s="48" t="n">
        <x:v>1.2878123998594</x:v>
      </x:c>
      <x:c r="D2873" s="48" t="n">
        <x:v>0.8695051560308972</x:v>
      </x:c>
      <x:c r="E2873" s="48" t="n">
        <x:v>0.9019112290557263</x:v>
      </x:c>
      <x:c r="F2873" s="48" t="n">
        <x:v>-0.12429700405371619</x:v>
      </x:c>
      <x:c r="G2873" s="48" t="n">
        <x:v>-0.17425805251722687</x:v>
      </x:c>
      <x:c r="H2873" s="48" t="n">
        <x:v>1.0831687496778086</x:v>
      </x:c>
      <x:c r="I2873" s="48" t="n">
        <x:v>0.8323402453628428</x:v>
      </x:c>
      <x:c r="J2873" s="48" t="n">
        <x:v>0.8006605825331636</x:v>
      </x:c>
      <x:c r="K2873" s="48" t="n">
        <x:v>0.8189716849636017</x:v>
      </x:c>
      <x:c r="L2873" s="48" t="n">
        <x:v>0.73684138324731</x:v>
      </x:c>
      <x:c r="M2873" s="48" t="n">
        <x:v>0.06614470617872505</x:v>
      </x:c>
      <x:c r="N2873" s="48" t="n">
        <x:v>0.8917635632197003</x:v>
      </x:c>
      <x:c r="O2873" s="48" t="n">
        <x:v>0.8180975237333225</x:v>
      </x:c>
      <x:c r="P2873" s="48" t="n">
        <x:v>0.5283513693548639</x:v>
      </x:c>
      <x:c r="Q2873" s="48" t="n">
        <x:v>1</x:v>
      </x:c>
      <x:c r="R2873" s="48" t="n">
        <x:v>0.7753789925790647</x:v>
      </x:c>
      <x:c r="S2873" s="29" t="n">
        <x:v>0</x:v>
      </x:c>
    </x:row>
    <x:row r="2874" ht="21.600000381469727" hidden="0" customHeight="1">
      <x:c r="A2874" s="27" t="n">
        <x:v>957</x:v>
      </x:c>
      <x:c r="B2874" s="27" t="str">
        <x:v>A2</x:v>
      </x:c>
      <x:c r="C2874" s="47" t="n">
        <x:v>1.2878123998594</x:v>
      </x:c>
      <x:c r="D2874" s="47" t="n">
        <x:v>0.8695051560308972</x:v>
      </x:c>
      <x:c r="E2874" s="47" t="n">
        <x:v>0.9019112290557263</x:v>
      </x:c>
      <x:c r="F2874" s="47" t="n">
        <x:v>-0.12429700405371619</x:v>
      </x:c>
      <x:c r="G2874" s="47" t="n">
        <x:v>-0.17425805251722687</x:v>
      </x:c>
      <x:c r="H2874" s="47" t="n">
        <x:v>1.0831687496778086</x:v>
      </x:c>
      <x:c r="I2874" s="47" t="n">
        <x:v>0.8323402453628428</x:v>
      </x:c>
      <x:c r="J2874" s="47" t="n">
        <x:v>0.8006605825331636</x:v>
      </x:c>
      <x:c r="K2874" s="47" t="n">
        <x:v>0.8189716849636017</x:v>
      </x:c>
      <x:c r="L2874" s="47" t="n">
        <x:v>0.73684138324731</x:v>
      </x:c>
      <x:c r="M2874" s="47" t="n">
        <x:v>0.06614470617872505</x:v>
      </x:c>
      <x:c r="N2874" s="47" t="n">
        <x:v>0.8917635632197003</x:v>
      </x:c>
      <x:c r="O2874" s="47" t="n">
        <x:v>0.899867777193279</x:v>
      </x:c>
      <x:c r="P2874" s="47" t="n">
        <x:v>0.4945738779770548</x:v>
      </x:c>
      <x:c r="Q2874" s="47" t="n">
        <x:v>1</x:v>
      </x:c>
      <x:c r="R2874" s="47" t="n">
        <x:v>0.8763524212327425</x:v>
      </x:c>
      <x:c r="S2874" s="27" t="n">
        <x:v>0</x:v>
      </x:c>
    </x:row>
    <x:row r="2875" ht="21.600000381469727" hidden="0" customHeight="1">
      <x:c r="A2875" s="29" t="n">
        <x:v>957</x:v>
      </x:c>
      <x:c r="B2875" s="29" t="str">
        <x:v>A3</x:v>
      </x:c>
      <x:c r="C2875" s="48" t="n">
        <x:v>1.2878123998594</x:v>
      </x:c>
      <x:c r="D2875" s="48" t="n">
        <x:v>0.8695051560308972</x:v>
      </x:c>
      <x:c r="E2875" s="48" t="n">
        <x:v>0.9019112290557263</x:v>
      </x:c>
      <x:c r="F2875" s="48" t="n">
        <x:v>-0.12429700405371619</x:v>
      </x:c>
      <x:c r="G2875" s="48" t="n">
        <x:v>-0.17425805251722687</x:v>
      </x:c>
      <x:c r="H2875" s="48" t="n">
        <x:v>1.0831687496778086</x:v>
      </x:c>
      <x:c r="I2875" s="48" t="n">
        <x:v>0.8323402453628428</x:v>
      </x:c>
      <x:c r="J2875" s="48" t="n">
        <x:v>0.8006605825331636</x:v>
      </x:c>
      <x:c r="K2875" s="48" t="n">
        <x:v>0.8189716849636017</x:v>
      </x:c>
      <x:c r="L2875" s="48" t="n">
        <x:v>0.73684138324731</x:v>
      </x:c>
      <x:c r="M2875" s="48" t="n">
        <x:v>0.06614470617872505</x:v>
      </x:c>
      <x:c r="N2875" s="48" t="n">
        <x:v>0.8917635632197003</x:v>
      </x:c>
      <x:c r="O2875" s="48" t="n">
        <x:v>1</x:v>
      </x:c>
      <x:c r="P2875" s="48" t="n">
        <x:v>1</x:v>
      </x:c>
      <x:c r="Q2875" s="48" t="n">
        <x:v>1</x:v>
      </x:c>
      <x:c r="R2875" s="48" t="n">
        <x:v>1</x:v>
      </x:c>
      <x:c r="S2875" s="29" t="n">
        <x:v>1</x:v>
      </x:c>
    </x:row>
    <x:row r="2876" ht="21.600000381469727" hidden="0" customHeight="1">
      <x:c r="A2876" s="27" t="n">
        <x:v>958</x:v>
      </x:c>
      <x:c r="B2876" s="27" t="str">
        <x:v>A1</x:v>
      </x:c>
      <x:c r="C2876" s="47" t="n">
        <x:v>1.0726361753910176</x:v>
      </x:c>
      <x:c r="D2876" s="47" t="n">
        <x:v>0.9458359134543077</x:v>
      </x:c>
      <x:c r="E2876" s="47" t="n">
        <x:v>0.7881925322644863</x:v>
      </x:c>
      <x:c r="F2876" s="47" t="n">
        <x:v>-0.11988442201922683</x:v>
      </x:c>
      <x:c r="G2876" s="47" t="n">
        <x:v>-0.1873092491714158</x:v>
      </x:c>
      <x:c r="H2876" s="47" t="n">
        <x:v>1.0600062442930105</x:v>
      </x:c>
      <x:c r="I2876" s="47" t="n">
        <x:v>0.8808650959895497</x:v>
      </x:c>
      <x:c r="J2876" s="47" t="n">
        <x:v>0.7471430554921714</x:v>
      </x:c>
      <x:c r="K2876" s="47" t="n">
        <x:v>0.9140996178855096</x:v>
      </x:c>
      <x:c r="L2876" s="47" t="n">
        <x:v>0.7333865831741689</x:v>
      </x:c>
      <x:c r="M2876" s="47" t="n">
        <x:v>0.11244556342630532</x:v>
      </x:c>
      <x:c r="N2876" s="47" t="n">
        <x:v>0.8526086154798835</x:v>
      </x:c>
      <x:c r="O2876" s="47" t="n">
        <x:v>0.9215209959864926</x:v>
      </x:c>
      <x:c r="P2876" s="47" t="n">
        <x:v>0.6585942729340685</x:v>
      </x:c>
      <x:c r="Q2876" s="47" t="n">
        <x:v>1</x:v>
      </x:c>
      <x:c r="R2876" s="47" t="n">
        <x:v>0.9030907478298309</x:v>
      </x:c>
      <x:c r="S2876" s="27" t="n">
        <x:v>0</x:v>
      </x:c>
    </x:row>
    <x:row r="2877" ht="21.600000381469727" hidden="0" customHeight="1">
      <x:c r="A2877" s="29" t="n">
        <x:v>958</x:v>
      </x:c>
      <x:c r="B2877" s="29" t="str">
        <x:v>A2</x:v>
      </x:c>
      <x:c r="C2877" s="48" t="n">
        <x:v>1.0726361753910176</x:v>
      </x:c>
      <x:c r="D2877" s="48" t="n">
        <x:v>0.9458359134543077</x:v>
      </x:c>
      <x:c r="E2877" s="48" t="n">
        <x:v>0.7881925322644863</x:v>
      </x:c>
      <x:c r="F2877" s="48" t="n">
        <x:v>-0.11988442201922683</x:v>
      </x:c>
      <x:c r="G2877" s="48" t="n">
        <x:v>-0.1873092491714158</x:v>
      </x:c>
      <x:c r="H2877" s="48" t="n">
        <x:v>1.0600062442930105</x:v>
      </x:c>
      <x:c r="I2877" s="48" t="n">
        <x:v>0.8808650959895497</x:v>
      </x:c>
      <x:c r="J2877" s="48" t="n">
        <x:v>0.7471430554921714</x:v>
      </x:c>
      <x:c r="K2877" s="48" t="n">
        <x:v>0.9140996178855096</x:v>
      </x:c>
      <x:c r="L2877" s="48" t="n">
        <x:v>0.7333865831741689</x:v>
      </x:c>
      <x:c r="M2877" s="48" t="n">
        <x:v>0.11244556342630532</x:v>
      </x:c>
      <x:c r="N2877" s="48" t="n">
        <x:v>0.8526086154798835</x:v>
      </x:c>
      <x:c r="O2877" s="48" t="n">
        <x:v>0.9834008891551537</x:v>
      </x:c>
      <x:c r="P2877" s="48" t="n">
        <x:v>0.8340088915515353</x:v>
      </x:c>
      <x:c r="Q2877" s="48" t="n">
        <x:v>1</x:v>
      </x:c>
      <x:c r="R2877" s="48" t="n">
        <x:v>0.9795027034442619</x:v>
      </x:c>
      <x:c r="S2877" s="29" t="n">
        <x:v>0</x:v>
      </x:c>
    </x:row>
    <x:row r="2878" ht="21.600000381469727" hidden="0" customHeight="1">
      <x:c r="A2878" s="27" t="n">
        <x:v>958</x:v>
      </x:c>
      <x:c r="B2878" s="27" t="str">
        <x:v>A3</x:v>
      </x:c>
      <x:c r="C2878" s="47" t="n">
        <x:v>1.0726361753910176</x:v>
      </x:c>
      <x:c r="D2878" s="47" t="n">
        <x:v>0.9458359134543077</x:v>
      </x:c>
      <x:c r="E2878" s="47" t="n">
        <x:v>0.7881925322644863</x:v>
      </x:c>
      <x:c r="F2878" s="47" t="n">
        <x:v>-0.11988442201922683</x:v>
      </x:c>
      <x:c r="G2878" s="47" t="n">
        <x:v>-0.1873092491714158</x:v>
      </x:c>
      <x:c r="H2878" s="47" t="n">
        <x:v>1.0600062442930105</x:v>
      </x:c>
      <x:c r="I2878" s="47" t="n">
        <x:v>0.8808650959895497</x:v>
      </x:c>
      <x:c r="J2878" s="47" t="n">
        <x:v>0.7471430554921714</x:v>
      </x:c>
      <x:c r="K2878" s="47" t="n">
        <x:v>0.9140996178855096</x:v>
      </x:c>
      <x:c r="L2878" s="47" t="n">
        <x:v>0.7333865831741689</x:v>
      </x:c>
      <x:c r="M2878" s="47" t="n">
        <x:v>0.11244556342630532</x:v>
      </x:c>
      <x:c r="N2878" s="47" t="n">
        <x:v>0.8526086154798835</x:v>
      </x:c>
      <x:c r="O2878" s="47" t="n">
        <x:v>1</x:v>
      </x:c>
      <x:c r="P2878" s="47" t="n">
        <x:v>1</x:v>
      </x:c>
      <x:c r="Q2878" s="47" t="n">
        <x:v>1</x:v>
      </x:c>
      <x:c r="R2878" s="47" t="n">
        <x:v>1</x:v>
      </x:c>
      <x:c r="S2878" s="27" t="n">
        <x:v>1</x:v>
      </x:c>
    </x:row>
    <x:row r="2879" ht="21.600000381469727" hidden="0" customHeight="1">
      <x:c r="A2879" s="29" t="n">
        <x:v>959</x:v>
      </x:c>
      <x:c r="B2879" s="29" t="str">
        <x:v>A1</x:v>
      </x:c>
      <x:c r="C2879" s="48" t="n">
        <x:v>1.026299617370805</x:v>
      </x:c>
      <x:c r="D2879" s="48" t="n">
        <x:v>0.8434921335035881</x:v>
      </x:c>
      <x:c r="E2879" s="48" t="n">
        <x:v>0.9234827868859234</x:v>
      </x:c>
      <x:c r="F2879" s="48" t="n">
        <x:v>-0.025048047278706104</x:v>
      </x:c>
      <x:c r="G2879" s="48" t="n">
        <x:v>-0.14464022004199614</x:v>
      </x:c>
      <x:c r="H2879" s="48" t="n">
        <x:v>0.38697795314243283</x:v>
      </x:c>
      <x:c r="I2879" s="48" t="n">
        <x:v>0.9853883625163844</x:v>
      </x:c>
      <x:c r="J2879" s="48" t="n">
        <x:v>0.4180958628056794</x:v>
      </x:c>
      <x:c r="K2879" s="48" t="n">
        <x:v>0.8766083057666912</x:v>
      </x:c>
      <x:c r="L2879" s="48" t="n">
        <x:v>0.9316772901837713</x:v>
      </x:c>
      <x:c r="M2879" s="48" t="n">
        <x:v>0.15819366655302533</x:v>
      </x:c>
      <x:c r="N2879" s="48" t="n">
        <x:v>0.7216400630366724</x:v>
      </x:c>
      <x:c r="O2879" s="48" t="n">
        <x:v>0.8644506361742129</x:v>
      </x:c>
      <x:c r="P2879" s="48" t="n">
        <x:v>0.6120962365528182</x:v>
      </x:c>
      <x:c r="Q2879" s="48" t="n">
        <x:v>1</x:v>
      </x:c>
      <x:c r="R2879" s="48" t="n">
        <x:v>0.8326178110232096</x:v>
      </x:c>
      <x:c r="S2879" s="29" t="n">
        <x:v>0</x:v>
      </x:c>
    </x:row>
    <x:row r="2880" ht="21.600000381469727" hidden="0" customHeight="1">
      <x:c r="A2880" s="27" t="n">
        <x:v>959</x:v>
      </x:c>
      <x:c r="B2880" s="27" t="str">
        <x:v>A2</x:v>
      </x:c>
      <x:c r="C2880" s="47" t="n">
        <x:v>1.026299617370805</x:v>
      </x:c>
      <x:c r="D2880" s="47" t="n">
        <x:v>0.8434921335035881</x:v>
      </x:c>
      <x:c r="E2880" s="47" t="n">
        <x:v>0.9234827868859234</x:v>
      </x:c>
      <x:c r="F2880" s="47" t="n">
        <x:v>-0.025048047278706104</x:v>
      </x:c>
      <x:c r="G2880" s="47" t="n">
        <x:v>-0.14464022004199614</x:v>
      </x:c>
      <x:c r="H2880" s="47" t="n">
        <x:v>0.38697795314243283</x:v>
      </x:c>
      <x:c r="I2880" s="47" t="n">
        <x:v>0.9853883625163844</x:v>
      </x:c>
      <x:c r="J2880" s="47" t="n">
        <x:v>0.4180958628056794</x:v>
      </x:c>
      <x:c r="K2880" s="47" t="n">
        <x:v>0.8766083057666912</x:v>
      </x:c>
      <x:c r="L2880" s="47" t="n">
        <x:v>0.9316772901837713</x:v>
      </x:c>
      <x:c r="M2880" s="47" t="n">
        <x:v>0.15819366655302533</x:v>
      </x:c>
      <x:c r="N2880" s="47" t="n">
        <x:v>0.7216400630366724</x:v>
      </x:c>
      <x:c r="O2880" s="47" t="n">
        <x:v>0.9637058761386021</x:v>
      </x:c>
      <x:c r="P2880" s="47" t="n">
        <x:v>0.82613974720574</x:v>
      </x:c>
      <x:c r="Q2880" s="47" t="n">
        <x:v>1</x:v>
      </x:c>
      <x:c r="R2880" s="47" t="n">
        <x:v>0.9551824536283083</x:v>
      </x:c>
      <x:c r="S2880" s="27" t="n">
        <x:v>0</x:v>
      </x:c>
    </x:row>
    <x:row r="2881" ht="21.600000381469727" hidden="0" customHeight="1">
      <x:c r="A2881" s="29" t="n">
        <x:v>959</x:v>
      </x:c>
      <x:c r="B2881" s="29" t="str">
        <x:v>A3</x:v>
      </x:c>
      <x:c r="C2881" s="48" t="n">
        <x:v>1.026299617370805</x:v>
      </x:c>
      <x:c r="D2881" s="48" t="n">
        <x:v>0.8434921335035881</x:v>
      </x:c>
      <x:c r="E2881" s="48" t="n">
        <x:v>0.9234827868859234</x:v>
      </x:c>
      <x:c r="F2881" s="48" t="n">
        <x:v>-0.025048047278706104</x:v>
      </x:c>
      <x:c r="G2881" s="48" t="n">
        <x:v>-0.14464022004199614</x:v>
      </x:c>
      <x:c r="H2881" s="48" t="n">
        <x:v>0.38697795314243283</x:v>
      </x:c>
      <x:c r="I2881" s="48" t="n">
        <x:v>0.9853883625163844</x:v>
      </x:c>
      <x:c r="J2881" s="48" t="n">
        <x:v>0.4180958628056794</x:v>
      </x:c>
      <x:c r="K2881" s="48" t="n">
        <x:v>0.8766083057666912</x:v>
      </x:c>
      <x:c r="L2881" s="48" t="n">
        <x:v>0.9316772901837713</x:v>
      </x:c>
      <x:c r="M2881" s="48" t="n">
        <x:v>0.15819366655302533</x:v>
      </x:c>
      <x:c r="N2881" s="48" t="n">
        <x:v>0.7216400630366724</x:v>
      </x:c>
      <x:c r="O2881" s="48" t="n">
        <x:v>1</x:v>
      </x:c>
      <x:c r="P2881" s="48" t="n">
        <x:v>1</x:v>
      </x:c>
      <x:c r="Q2881" s="48" t="n">
        <x:v>1</x:v>
      </x:c>
      <x:c r="R2881" s="48" t="n">
        <x:v>1</x:v>
      </x:c>
      <x:c r="S2881" s="29" t="n">
        <x:v>1</x:v>
      </x:c>
    </x:row>
    <x:row r="2882" ht="21.600000381469727" hidden="0" customHeight="1">
      <x:c r="A2882" s="27" t="n">
        <x:v>960</x:v>
      </x:c>
      <x:c r="B2882" s="27" t="str">
        <x:v>A1</x:v>
      </x:c>
      <x:c r="C2882" s="47" t="n">
        <x:v>1.1019487168956728</x:v>
      </x:c>
      <x:c r="D2882" s="47" t="n">
        <x:v>0.8917554937105571</x:v>
      </x:c>
      <x:c r="E2882" s="47" t="n">
        <x:v>0.9008085036324329</x:v>
      </x:c>
      <x:c r="F2882" s="47" t="n">
        <x:v>-0.14841038655417957</x:v>
      </x:c>
      <x:c r="G2882" s="47" t="n">
        <x:v>-0.19101890168139588</x:v>
      </x:c>
      <x:c r="H2882" s="47" t="n">
        <x:v>0.9465796629811383</x:v>
      </x:c>
      <x:c r="I2882" s="47" t="n">
        <x:v>0.6925438948307829</x:v>
      </x:c>
      <x:c r="J2882" s="47" t="n">
        <x:v>0.629482734461884</x:v>
      </x:c>
      <x:c r="K2882" s="47" t="n">
        <x:v>0.6173104033864317</x:v>
      </x:c>
      <x:c r="L2882" s="47" t="n">
        <x:v>0.5166243112099441</x:v>
      </x:c>
      <x:c r="M2882" s="47" t="n">
        <x:v>0.0175852834207245</x:v>
      </x:c>
      <x:c r="N2882" s="47" t="n">
        <x:v>0.7136237395276648</x:v>
      </x:c>
      <x:c r="O2882" s="47" t="n">
        <x:v>0.8622628514745408</x:v>
      </x:c>
      <x:c r="P2882" s="47" t="n">
        <x:v>0.6079580952106114</x:v>
      </x:c>
      <x:c r="Q2882" s="47" t="n">
        <x:v>0.9093270673580666</x:v>
      </x:c>
      <x:c r="R2882" s="47" t="n">
        <x:v>0.8305896548951063</x:v>
      </x:c>
      <x:c r="S2882" s="27" t="n">
        <x:v>0</x:v>
      </x:c>
    </x:row>
    <x:row r="2883" ht="21.600000381469727" hidden="0" customHeight="1">
      <x:c r="A2883" s="29" t="n">
        <x:v>960</x:v>
      </x:c>
      <x:c r="B2883" s="29" t="str">
        <x:v>A2</x:v>
      </x:c>
      <x:c r="C2883" s="48" t="n">
        <x:v>1.1019487168956728</x:v>
      </x:c>
      <x:c r="D2883" s="48" t="n">
        <x:v>0.8917554937105571</x:v>
      </x:c>
      <x:c r="E2883" s="48" t="n">
        <x:v>0.9008085036324329</x:v>
      </x:c>
      <x:c r="F2883" s="48" t="n">
        <x:v>-0.14841038655417957</x:v>
      </x:c>
      <x:c r="G2883" s="48" t="n">
        <x:v>-0.19101890168139588</x:v>
      </x:c>
      <x:c r="H2883" s="48" t="n">
        <x:v>0.9465796629811383</x:v>
      </x:c>
      <x:c r="I2883" s="48" t="n">
        <x:v>0.6925438948307829</x:v>
      </x:c>
      <x:c r="J2883" s="48" t="n">
        <x:v>0.629482734461884</x:v>
      </x:c>
      <x:c r="K2883" s="48" t="n">
        <x:v>0.6173104033864317</x:v>
      </x:c>
      <x:c r="L2883" s="48" t="n">
        <x:v>0.5166243112099441</x:v>
      </x:c>
      <x:c r="M2883" s="48" t="n">
        <x:v>0.0175852834207245</x:v>
      </x:c>
      <x:c r="N2883" s="48" t="n">
        <x:v>0.7136237395276648</x:v>
      </x:c>
      <x:c r="O2883" s="48" t="n">
        <x:v>0.9492535817353074</x:v>
      </x:c>
      <x:c r="P2883" s="48" t="n">
        <x:v>0.665513342015927</x:v>
      </x:c>
      <x:c r="Q2883" s="48" t="n">
        <x:v>1</x:v>
      </x:c>
      <x:c r="R2883" s="48" t="n">
        <x:v>0.9373361384211817</x:v>
      </x:c>
      <x:c r="S2883" s="29" t="n">
        <x:v>0</x:v>
      </x:c>
    </x:row>
    <x:row r="2884" ht="21.600000381469727" hidden="0" customHeight="1">
      <x:c r="A2884" s="27" t="n">
        <x:v>960</x:v>
      </x:c>
      <x:c r="B2884" s="27" t="str">
        <x:v>A3</x:v>
      </x:c>
      <x:c r="C2884" s="47" t="n">
        <x:v>1.1019487168956728</x:v>
      </x:c>
      <x:c r="D2884" s="47" t="n">
        <x:v>0.8917554937105571</x:v>
      </x:c>
      <x:c r="E2884" s="47" t="n">
        <x:v>0.9008085036324329</x:v>
      </x:c>
      <x:c r="F2884" s="47" t="n">
        <x:v>-0.14841038655417957</x:v>
      </x:c>
      <x:c r="G2884" s="47" t="n">
        <x:v>-0.19101890168139588</x:v>
      </x:c>
      <x:c r="H2884" s="47" t="n">
        <x:v>0.9465796629811383</x:v>
      </x:c>
      <x:c r="I2884" s="47" t="n">
        <x:v>0.6925438948307829</x:v>
      </x:c>
      <x:c r="J2884" s="47" t="n">
        <x:v>0.629482734461884</x:v>
      </x:c>
      <x:c r="K2884" s="47" t="n">
        <x:v>0.6173104033864317</x:v>
      </x:c>
      <x:c r="L2884" s="47" t="n">
        <x:v>0.5166243112099441</x:v>
      </x:c>
      <x:c r="M2884" s="47" t="n">
        <x:v>0.0175852834207245</x:v>
      </x:c>
      <x:c r="N2884" s="47" t="n">
        <x:v>0.7136237395276648</x:v>
      </x:c>
      <x:c r="O2884" s="47" t="n">
        <x:v>1</x:v>
      </x:c>
      <x:c r="P2884" s="47" t="n">
        <x:v>1</x:v>
      </x:c>
      <x:c r="Q2884" s="47" t="n">
        <x:v>1</x:v>
      </x:c>
      <x:c r="R2884" s="47" t="n">
        <x:v>1</x:v>
      </x:c>
      <x:c r="S2884" s="27" t="n">
        <x:v>1</x:v>
      </x:c>
    </x:row>
    <x:row r="2885" ht="21.600000381469727" hidden="0" customHeight="1">
      <x:c r="A2885" s="29" t="n">
        <x:v>961</x:v>
      </x:c>
      <x:c r="B2885" s="29" t="str">
        <x:v>A1</x:v>
      </x:c>
      <x:c r="C2885" s="48" t="n">
        <x:v>1.1150501703367284</x:v>
      </x:c>
      <x:c r="D2885" s="48" t="n">
        <x:v>0.7892533900632442</x:v>
      </x:c>
      <x:c r="E2885" s="48" t="n">
        <x:v>0.8582832820499787</x:v>
      </x:c>
      <x:c r="F2885" s="48" t="n">
        <x:v>-0.008933612084511627</x:v>
      </x:c>
      <x:c r="G2885" s="48" t="n">
        <x:v>-0.1789205567247652</x:v>
      </x:c>
      <x:c r="H2885" s="48" t="n">
        <x:v>1.0898684750558438</x:v>
      </x:c>
      <x:c r="I2885" s="48" t="n">
        <x:v>0.9417437088059862</x:v>
      </x:c>
      <x:c r="J2885" s="48" t="n">
        <x:v>0.8250712053865852</x:v>
      </x:c>
      <x:c r="K2885" s="48" t="n">
        <x:v>0.8047273006924425</x:v>
      </x:c>
      <x:c r="L2885" s="48" t="n">
        <x:v>0.6276571832178788</x:v>
      </x:c>
      <x:c r="M2885" s="48" t="n">
        <x:v>0.05247643077632661</x:v>
      </x:c>
      <x:c r="N2885" s="48" t="n">
        <x:v>0.6658905254638913</x:v>
      </x:c>
      <x:c r="O2885" s="48" t="n">
        <x:v>0.8194650278439881</x:v>
      </x:c>
      <x:c r="P2885" s="48" t="n">
        <x:v>0.5454376547178615</x:v>
      </x:c>
      <x:c r="Q2885" s="48" t="n">
        <x:v>1</x:v>
      </x:c>
      <x:c r="R2885" s="48" t="n">
        <x:v>0.7770676455171351</x:v>
      </x:c>
      <x:c r="S2885" s="29" t="n">
        <x:v>0</x:v>
      </x:c>
    </x:row>
    <x:row r="2886" ht="21.600000381469727" hidden="0" customHeight="1">
      <x:c r="A2886" s="27" t="n">
        <x:v>961</x:v>
      </x:c>
      <x:c r="B2886" s="27" t="str">
        <x:v>A2</x:v>
      </x:c>
      <x:c r="C2886" s="47" t="n">
        <x:v>1.1150501703367284</x:v>
      </x:c>
      <x:c r="D2886" s="47" t="n">
        <x:v>0.7892533900632442</x:v>
      </x:c>
      <x:c r="E2886" s="47" t="n">
        <x:v>0.8582832820499787</x:v>
      </x:c>
      <x:c r="F2886" s="47" t="n">
        <x:v>-0.008933612084511627</x:v>
      </x:c>
      <x:c r="G2886" s="47" t="n">
        <x:v>-0.1789205567247652</x:v>
      </x:c>
      <x:c r="H2886" s="47" t="n">
        <x:v>1.0898684750558438</x:v>
      </x:c>
      <x:c r="I2886" s="47" t="n">
        <x:v>0.9417437088059862</x:v>
      </x:c>
      <x:c r="J2886" s="47" t="n">
        <x:v>0.8250712053865852</x:v>
      </x:c>
      <x:c r="K2886" s="47" t="n">
        <x:v>0.8047273006924425</x:v>
      </x:c>
      <x:c r="L2886" s="47" t="n">
        <x:v>0.6276571832178788</x:v>
      </x:c>
      <x:c r="M2886" s="47" t="n">
        <x:v>0.05247643077632661</x:v>
      </x:c>
      <x:c r="N2886" s="47" t="n">
        <x:v>0.6658905254638913</x:v>
      </x:c>
      <x:c r="O2886" s="47" t="n">
        <x:v>0.9174693247674918</x:v>
      </x:c>
      <x:c r="P2886" s="47" t="n">
        <x:v>0.6138245350687735</x:v>
      </x:c>
      <x:c r="Q2886" s="47" t="n">
        <x:v>1</x:v>
      </x:c>
      <x:c r="R2886" s="47" t="n">
        <x:v>0.8980875698103293</x:v>
      </x:c>
      <x:c r="S2886" s="27" t="n">
        <x:v>0</x:v>
      </x:c>
    </x:row>
    <x:row r="2887" ht="21.600000381469727" hidden="0" customHeight="1">
      <x:c r="A2887" s="29" t="n">
        <x:v>961</x:v>
      </x:c>
      <x:c r="B2887" s="29" t="str">
        <x:v>A3</x:v>
      </x:c>
      <x:c r="C2887" s="48" t="n">
        <x:v>1.1150501703367284</x:v>
      </x:c>
      <x:c r="D2887" s="48" t="n">
        <x:v>0.7892533900632442</x:v>
      </x:c>
      <x:c r="E2887" s="48" t="n">
        <x:v>0.8582832820499787</x:v>
      </x:c>
      <x:c r="F2887" s="48" t="n">
        <x:v>-0.008933612084511627</x:v>
      </x:c>
      <x:c r="G2887" s="48" t="n">
        <x:v>-0.1789205567247652</x:v>
      </x:c>
      <x:c r="H2887" s="48" t="n">
        <x:v>1.0898684750558438</x:v>
      </x:c>
      <x:c r="I2887" s="48" t="n">
        <x:v>0.9417437088059862</x:v>
      </x:c>
      <x:c r="J2887" s="48" t="n">
        <x:v>0.8250712053865852</x:v>
      </x:c>
      <x:c r="K2887" s="48" t="n">
        <x:v>0.8047273006924425</x:v>
      </x:c>
      <x:c r="L2887" s="48" t="n">
        <x:v>0.6276571832178788</x:v>
      </x:c>
      <x:c r="M2887" s="48" t="n">
        <x:v>0.05247643077632661</x:v>
      </x:c>
      <x:c r="N2887" s="48" t="n">
        <x:v>0.6658905254638913</x:v>
      </x:c>
      <x:c r="O2887" s="48" t="n">
        <x:v>1</x:v>
      </x:c>
      <x:c r="P2887" s="48" t="n">
        <x:v>1</x:v>
      </x:c>
      <x:c r="Q2887" s="48" t="n">
        <x:v>1</x:v>
      </x:c>
      <x:c r="R2887" s="48" t="n">
        <x:v>1</x:v>
      </x:c>
      <x:c r="S2887" s="29" t="n">
        <x:v>1</x:v>
      </x:c>
    </x:row>
    <x:row r="2888" ht="21.600000381469727" hidden="0" customHeight="1">
      <x:c r="A2888" s="27" t="n">
        <x:v>962</x:v>
      </x:c>
      <x:c r="B2888" s="27" t="str">
        <x:v>A1</x:v>
      </x:c>
      <x:c r="C2888" s="47" t="n">
        <x:v>1.1759136961812642</x:v>
      </x:c>
      <x:c r="D2888" s="47" t="n">
        <x:v>0.9302345015881437</x:v>
      </x:c>
      <x:c r="E2888" s="47" t="n">
        <x:v>0.8271273425688551</x:v>
      </x:c>
      <x:c r="F2888" s="47" t="n">
        <x:v>-0.12041846693347477</x:v>
      </x:c>
      <x:c r="G2888" s="47" t="n">
        <x:v>-0.18166783197308686</x:v>
      </x:c>
      <x:c r="H2888" s="47" t="n">
        <x:v>1.055378640367587</x:v>
      </x:c>
      <x:c r="I2888" s="47" t="n">
        <x:v>0.7115309777981483</x:v>
      </x:c>
      <x:c r="J2888" s="47" t="n">
        <x:v>0.4929986133787291</x:v>
      </x:c>
      <x:c r="K2888" s="47" t="n">
        <x:v>0.8768406454321067</x:v>
      </x:c>
      <x:c r="L2888" s="47" t="n">
        <x:v>0.7313884288481796</x:v>
      </x:c>
      <x:c r="M2888" s="47" t="n">
        <x:v>0.029468130472847097</x:v>
      </x:c>
      <x:c r="N2888" s="47" t="n">
        <x:v>0.7693387939780372</x:v>
      </x:c>
      <x:c r="O2888" s="47" t="n">
        <x:v>0.8573064937058895</x:v>
      </x:c>
      <x:c r="P2888" s="47" t="n">
        <x:v>0.6079179425894292</x:v>
      </x:c>
      <x:c r="Q2888" s="47" t="n">
        <x:v>1</x:v>
      </x:c>
      <x:c r="R2888" s="47" t="n">
        <x:v>0.8237959163941287</x:v>
      </x:c>
      <x:c r="S2888" s="27" t="n">
        <x:v>0</x:v>
      </x:c>
    </x:row>
    <x:row r="2889" ht="21.600000381469727" hidden="0" customHeight="1">
      <x:c r="A2889" s="29" t="n">
        <x:v>962</x:v>
      </x:c>
      <x:c r="B2889" s="29" t="str">
        <x:v>A2</x:v>
      </x:c>
      <x:c r="C2889" s="48" t="n">
        <x:v>1.1759136961812642</x:v>
      </x:c>
      <x:c r="D2889" s="48" t="n">
        <x:v>0.9302345015881437</x:v>
      </x:c>
      <x:c r="E2889" s="48" t="n">
        <x:v>0.8271273425688551</x:v>
      </x:c>
      <x:c r="F2889" s="48" t="n">
        <x:v>-0.12041846693347477</x:v>
      </x:c>
      <x:c r="G2889" s="48" t="n">
        <x:v>-0.18166783197308686</x:v>
      </x:c>
      <x:c r="H2889" s="48" t="n">
        <x:v>1.055378640367587</x:v>
      </x:c>
      <x:c r="I2889" s="48" t="n">
        <x:v>0.7115309777981483</x:v>
      </x:c>
      <x:c r="J2889" s="48" t="n">
        <x:v>0.4929986133787291</x:v>
      </x:c>
      <x:c r="K2889" s="48" t="n">
        <x:v>0.8768406454321067</x:v>
      </x:c>
      <x:c r="L2889" s="48" t="n">
        <x:v>0.7313884288481796</x:v>
      </x:c>
      <x:c r="M2889" s="48" t="n">
        <x:v>0.029468130472847097</x:v>
      </x:c>
      <x:c r="N2889" s="48" t="n">
        <x:v>0.7693387939780372</x:v>
      </x:c>
      <x:c r="O2889" s="48" t="n">
        <x:v>0.9551351185020404</x:v>
      </x:c>
      <x:c r="P2889" s="48" t="n">
        <x:v>0.8182652814931345</x:v>
      </x:c>
      <x:c r="Q2889" s="48" t="n">
        <x:v>1</x:v>
      </x:c>
      <x:c r="R2889" s="48" t="n">
        <x:v>0.944598913182917</x:v>
      </x:c>
      <x:c r="S2889" s="29" t="n">
        <x:v>0</x:v>
      </x:c>
    </x:row>
    <x:row r="2890" ht="21.600000381469727" hidden="0" customHeight="1">
      <x:c r="A2890" s="27" t="n">
        <x:v>962</x:v>
      </x:c>
      <x:c r="B2890" s="27" t="str">
        <x:v>A3</x:v>
      </x:c>
      <x:c r="C2890" s="47" t="n">
        <x:v>1.1759136961812642</x:v>
      </x:c>
      <x:c r="D2890" s="47" t="n">
        <x:v>0.9302345015881437</x:v>
      </x:c>
      <x:c r="E2890" s="47" t="n">
        <x:v>0.8271273425688551</x:v>
      </x:c>
      <x:c r="F2890" s="47" t="n">
        <x:v>-0.12041846693347477</x:v>
      </x:c>
      <x:c r="G2890" s="47" t="n">
        <x:v>-0.18166783197308686</x:v>
      </x:c>
      <x:c r="H2890" s="47" t="n">
        <x:v>1.055378640367587</x:v>
      </x:c>
      <x:c r="I2890" s="47" t="n">
        <x:v>0.7115309777981483</x:v>
      </x:c>
      <x:c r="J2890" s="47" t="n">
        <x:v>0.4929986133787291</x:v>
      </x:c>
      <x:c r="K2890" s="47" t="n">
        <x:v>0.8768406454321067</x:v>
      </x:c>
      <x:c r="L2890" s="47" t="n">
        <x:v>0.7313884288481796</x:v>
      </x:c>
      <x:c r="M2890" s="47" t="n">
        <x:v>0.029468130472847097</x:v>
      </x:c>
      <x:c r="N2890" s="47" t="n">
        <x:v>0.7693387939780372</x:v>
      </x:c>
      <x:c r="O2890" s="47" t="n">
        <x:v>1</x:v>
      </x:c>
      <x:c r="P2890" s="47" t="n">
        <x:v>1</x:v>
      </x:c>
      <x:c r="Q2890" s="47" t="n">
        <x:v>1</x:v>
      </x:c>
      <x:c r="R2890" s="47" t="n">
        <x:v>1</x:v>
      </x:c>
      <x:c r="S2890" s="27" t="n">
        <x:v>1</x:v>
      </x:c>
    </x:row>
    <x:row r="2891" ht="21.600000381469727" hidden="0" customHeight="1">
      <x:c r="A2891" s="29" t="n">
        <x:v>963</x:v>
      </x:c>
      <x:c r="B2891" s="29" t="str">
        <x:v>A1</x:v>
      </x:c>
      <x:c r="C2891" s="48" t="n">
        <x:v>1.285930713897743</x:v>
      </x:c>
      <x:c r="D2891" s="48" t="n">
        <x:v>0.7414068404890014</x:v>
      </x:c>
      <x:c r="E2891" s="48" t="n">
        <x:v>0.8960326996568311</x:v>
      </x:c>
      <x:c r="F2891" s="48" t="n">
        <x:v>-0.008596684048934017</x:v>
      </x:c>
      <x:c r="G2891" s="48" t="n">
        <x:v>-0.1775618267705845</x:v>
      </x:c>
      <x:c r="H2891" s="48" t="n">
        <x:v>0.6489031756747881</x:v>
      </x:c>
      <x:c r="I2891" s="48" t="n">
        <x:v>0.6637134050529289</x:v>
      </x:c>
      <x:c r="J2891" s="48" t="n">
        <x:v>0.7412332577912937</x:v>
      </x:c>
      <x:c r="K2891" s="48" t="n">
        <x:v>0.9742217027470155</x:v>
      </x:c>
      <x:c r="L2891" s="48" t="n">
        <x:v>0.5316984689792524</x:v>
      </x:c>
      <x:c r="M2891" s="48" t="n">
        <x:v>0.09276705667171123</x:v>
      </x:c>
      <x:c r="N2891" s="48" t="n">
        <x:v>0.916376015092246</x:v>
      </x:c>
      <x:c r="O2891" s="48" t="n">
        <x:v>0.6905271610725563</x:v>
      </x:c>
      <x:c r="P2891" s="48" t="n">
        <x:v>0.38280767366976926</x:v>
      </x:c>
      <x:c r="Q2891" s="48" t="n">
        <x:v>1</x:v>
      </x:c>
      <x:c r="R2891" s="48" t="n">
        <x:v>0.6178496176853123</x:v>
      </x:c>
      <x:c r="S2891" s="29" t="n">
        <x:v>0</x:v>
      </x:c>
    </x:row>
    <x:row r="2892" ht="21.600000381469727" hidden="0" customHeight="1">
      <x:c r="A2892" s="27" t="n">
        <x:v>963</x:v>
      </x:c>
      <x:c r="B2892" s="27" t="str">
        <x:v>A2</x:v>
      </x:c>
      <x:c r="C2892" s="47" t="n">
        <x:v>1.285930713897743</x:v>
      </x:c>
      <x:c r="D2892" s="47" t="n">
        <x:v>0.7414068404890014</x:v>
      </x:c>
      <x:c r="E2892" s="47" t="n">
        <x:v>0.8960326996568311</x:v>
      </x:c>
      <x:c r="F2892" s="47" t="n">
        <x:v>-0.008596684048934017</x:v>
      </x:c>
      <x:c r="G2892" s="47" t="n">
        <x:v>-0.1775618267705845</x:v>
      </x:c>
      <x:c r="H2892" s="47" t="n">
        <x:v>0.6489031756747881</x:v>
      </x:c>
      <x:c r="I2892" s="47" t="n">
        <x:v>0.6637134050529289</x:v>
      </x:c>
      <x:c r="J2892" s="47" t="n">
        <x:v>0.7412332577912937</x:v>
      </x:c>
      <x:c r="K2892" s="47" t="n">
        <x:v>0.9742217027470155</x:v>
      </x:c>
      <x:c r="L2892" s="47" t="n">
        <x:v>0.5316984689792524</x:v>
      </x:c>
      <x:c r="M2892" s="47" t="n">
        <x:v>0.09276705667171123</x:v>
      </x:c>
      <x:c r="N2892" s="47" t="n">
        <x:v>0.916376015092246</x:v>
      </x:c>
      <x:c r="O2892" s="47" t="n">
        <x:v>0.7697999948648914</x:v>
      </x:c>
      <x:c r="P2892" s="47" t="n">
        <x:v>0.4384717796210552</x:v>
      </x:c>
      <x:c r="Q2892" s="47" t="n">
        <x:v>1</x:v>
      </x:c>
      <x:c r="R2892" s="47" t="n">
        <x:v>0.715739125035623</x:v>
      </x:c>
      <x:c r="S2892" s="27" t="n">
        <x:v>0</x:v>
      </x:c>
    </x:row>
    <x:row r="2893" ht="21.600000381469727" hidden="0" customHeight="1">
      <x:c r="A2893" s="29" t="n">
        <x:v>963</x:v>
      </x:c>
      <x:c r="B2893" s="29" t="str">
        <x:v>A3</x:v>
      </x:c>
      <x:c r="C2893" s="48" t="n">
        <x:v>1.285930713897743</x:v>
      </x:c>
      <x:c r="D2893" s="48" t="n">
        <x:v>0.7414068404890014</x:v>
      </x:c>
      <x:c r="E2893" s="48" t="n">
        <x:v>0.8960326996568311</x:v>
      </x:c>
      <x:c r="F2893" s="48" t="n">
        <x:v>-0.008596684048934017</x:v>
      </x:c>
      <x:c r="G2893" s="48" t="n">
        <x:v>-0.1775618267705845</x:v>
      </x:c>
      <x:c r="H2893" s="48" t="n">
        <x:v>0.6489031756747881</x:v>
      </x:c>
      <x:c r="I2893" s="48" t="n">
        <x:v>0.6637134050529289</x:v>
      </x:c>
      <x:c r="J2893" s="48" t="n">
        <x:v>0.7412332577912937</x:v>
      </x:c>
      <x:c r="K2893" s="48" t="n">
        <x:v>0.9742217027470155</x:v>
      </x:c>
      <x:c r="L2893" s="48" t="n">
        <x:v>0.5316984689792524</x:v>
      </x:c>
      <x:c r="M2893" s="48" t="n">
        <x:v>0.09276705667171123</x:v>
      </x:c>
      <x:c r="N2893" s="48" t="n">
        <x:v>0.916376015092246</x:v>
      </x:c>
      <x:c r="O2893" s="48" t="n">
        <x:v>1</x:v>
      </x:c>
      <x:c r="P2893" s="48" t="n">
        <x:v>1</x:v>
      </x:c>
      <x:c r="Q2893" s="48" t="n">
        <x:v>1</x:v>
      </x:c>
      <x:c r="R2893" s="48" t="n">
        <x:v>1</x:v>
      </x:c>
      <x:c r="S2893" s="29" t="n">
        <x:v>1</x:v>
      </x:c>
    </x:row>
    <x:row r="2894" ht="21.600000381469727" hidden="0" customHeight="1">
      <x:c r="A2894" s="27" t="n">
        <x:v>964</x:v>
      </x:c>
      <x:c r="B2894" s="27" t="str">
        <x:v>A1</x:v>
      </x:c>
      <x:c r="C2894" s="47" t="n">
        <x:v>0.9213415597975885</x:v>
      </x:c>
      <x:c r="D2894" s="47" t="n">
        <x:v>0.9022239708676729</x:v>
      </x:c>
      <x:c r="E2894" s="47" t="n">
        <x:v>0.57190431732692</x:v>
      </x:c>
      <x:c r="F2894" s="47" t="n">
        <x:v>0.027884783382631367</x:v>
      </x:c>
      <x:c r="G2894" s="47" t="n">
        <x:v>-0.08574454784529702</x:v>
      </x:c>
      <x:c r="H2894" s="47" t="n">
        <x:v>0.39349361706177904</x:v>
      </x:c>
      <x:c r="I2894" s="47" t="n">
        <x:v>0.9289910125541441</x:v>
      </x:c>
      <x:c r="J2894" s="47" t="n">
        <x:v>0.6021582086471168</x:v>
      </x:c>
      <x:c r="K2894" s="47" t="n">
        <x:v>0.8994832772452699</x:v>
      </x:c>
      <x:c r="L2894" s="47" t="n">
        <x:v>0.922013319955028</x:v>
      </x:c>
      <x:c r="M2894" s="47" t="n">
        <x:v>0.14959609922682324</x:v>
      </x:c>
      <x:c r="N2894" s="47" t="n">
        <x:v>0.9598642688507242</x:v>
      </x:c>
      <x:c r="O2894" s="47" t="n">
        <x:v>0.9406621836566694</x:v>
      </x:c>
      <x:c r="P2894" s="47" t="n">
        <x:v>0.7097696686073254</x:v>
      </x:c>
      <x:c r="Q2894" s="47" t="n">
        <x:v>1</x:v>
      </x:c>
      <x:c r="R2894" s="47" t="n">
        <x:v>0.9267271102694771</x:v>
      </x:c>
      <x:c r="S2894" s="27" t="n">
        <x:v>0</x:v>
      </x:c>
    </x:row>
    <x:row r="2895" ht="21.600000381469727" hidden="0" customHeight="1">
      <x:c r="A2895" s="29" t="n">
        <x:v>964</x:v>
      </x:c>
      <x:c r="B2895" s="29" t="str">
        <x:v>A2</x:v>
      </x:c>
      <x:c r="C2895" s="48" t="n">
        <x:v>0.9213415597975885</x:v>
      </x:c>
      <x:c r="D2895" s="48" t="n">
        <x:v>0.9022239708676729</x:v>
      </x:c>
      <x:c r="E2895" s="48" t="n">
        <x:v>0.57190431732692</x:v>
      </x:c>
      <x:c r="F2895" s="48" t="n">
        <x:v>0.027884783382631367</x:v>
      </x:c>
      <x:c r="G2895" s="48" t="n">
        <x:v>-0.08574454784529702</x:v>
      </x:c>
      <x:c r="H2895" s="48" t="n">
        <x:v>0.39349361706177904</x:v>
      </x:c>
      <x:c r="I2895" s="48" t="n">
        <x:v>0.9289910125541441</x:v>
      </x:c>
      <x:c r="J2895" s="48" t="n">
        <x:v>0.6021582086471168</x:v>
      </x:c>
      <x:c r="K2895" s="48" t="n">
        <x:v>0.8994832772452699</x:v>
      </x:c>
      <x:c r="L2895" s="48" t="n">
        <x:v>0.922013319955028</x:v>
      </x:c>
      <x:c r="M2895" s="48" t="n">
        <x:v>0.14959609922682324</x:v>
      </x:c>
      <x:c r="N2895" s="48" t="n">
        <x:v>0.9598642688507242</x:v>
      </x:c>
      <x:c r="O2895" s="48" t="n">
        <x:v>1</x:v>
      </x:c>
      <x:c r="P2895" s="48" t="n">
        <x:v>0.9999999999999999</x:v>
      </x:c>
      <x:c r="Q2895" s="48" t="n">
        <x:v>1</x:v>
      </x:c>
      <x:c r="R2895" s="48" t="n">
        <x:v>1</x:v>
      </x:c>
      <x:c r="S2895" s="29" t="n">
        <x:v>1</x:v>
      </x:c>
    </x:row>
    <x:row r="2896" ht="21.600000381469727" hidden="0" customHeight="1">
      <x:c r="A2896" s="27" t="n">
        <x:v>964</x:v>
      </x:c>
      <x:c r="B2896" s="27" t="str">
        <x:v>A3</x:v>
      </x:c>
      <x:c r="C2896" s="47" t="n">
        <x:v>0.9213415597975885</x:v>
      </x:c>
      <x:c r="D2896" s="47" t="n">
        <x:v>0.9022239708676729</x:v>
      </x:c>
      <x:c r="E2896" s="47" t="n">
        <x:v>0.57190431732692</x:v>
      </x:c>
      <x:c r="F2896" s="47" t="n">
        <x:v>0.027884783382631367</x:v>
      </x:c>
      <x:c r="G2896" s="47" t="n">
        <x:v>-0.08574454784529702</x:v>
      </x:c>
      <x:c r="H2896" s="47" t="n">
        <x:v>0.39349361706177904</x:v>
      </x:c>
      <x:c r="I2896" s="47" t="n">
        <x:v>0.9289910125541441</x:v>
      </x:c>
      <x:c r="J2896" s="47" t="n">
        <x:v>0.6021582086471168</x:v>
      </x:c>
      <x:c r="K2896" s="47" t="n">
        <x:v>0.8994832772452699</x:v>
      </x:c>
      <x:c r="L2896" s="47" t="n">
        <x:v>0.922013319955028</x:v>
      </x:c>
      <x:c r="M2896" s="47" t="n">
        <x:v>0.14959609922682324</x:v>
      </x:c>
      <x:c r="N2896" s="47" t="n">
        <x:v>0.9598642688507242</x:v>
      </x:c>
      <x:c r="O2896" s="47" t="n">
        <x:v>1</x:v>
      </x:c>
      <x:c r="P2896" s="47" t="n">
        <x:v>1</x:v>
      </x:c>
      <x:c r="Q2896" s="47" t="n">
        <x:v>1</x:v>
      </x:c>
      <x:c r="R2896" s="47" t="n">
        <x:v>1</x:v>
      </x:c>
      <x:c r="S2896" s="27" t="n">
        <x:v>1</x:v>
      </x:c>
    </x:row>
    <x:row r="2897" ht="21.600000381469727" hidden="0" customHeight="1">
      <x:c r="A2897" s="29" t="n">
        <x:v>965</x:v>
      </x:c>
      <x:c r="B2897" s="29" t="str">
        <x:v>A1</x:v>
      </x:c>
      <x:c r="C2897" s="48" t="n">
        <x:v>1.017685896067989</x:v>
      </x:c>
      <x:c r="D2897" s="48" t="n">
        <x:v>0.7713170964456456</x:v>
      </x:c>
      <x:c r="E2897" s="48" t="n">
        <x:v>0.5519293666095149</x:v>
      </x:c>
      <x:c r="F2897" s="48" t="n">
        <x:v>-0.08120843754367614</x:v>
      </x:c>
      <x:c r="G2897" s="48" t="n">
        <x:v>-0.014618018078918132</x:v>
      </x:c>
      <x:c r="H2897" s="48" t="n">
        <x:v>0.3580151075439275</x:v>
      </x:c>
      <x:c r="I2897" s="48" t="n">
        <x:v>0.6571309578467546</x:v>
      </x:c>
      <x:c r="J2897" s="48" t="n">
        <x:v>0.437704315177901</x:v>
      </x:c>
      <x:c r="K2897" s="48" t="n">
        <x:v>0.6111935271449327</x:v>
      </x:c>
      <x:c r="L2897" s="48" t="n">
        <x:v>0.7848780866322458</x:v>
      </x:c>
      <x:c r="M2897" s="48" t="n">
        <x:v>0.16719527880975832</x:v>
      </x:c>
      <x:c r="N2897" s="48" t="n">
        <x:v>0.888739007181266</x:v>
      </x:c>
      <x:c r="O2897" s="48" t="n">
        <x:v>0.8242218425925569</x:v>
      </x:c>
      <x:c r="P2897" s="48" t="n">
        <x:v>0.5591725130017716</x:v>
      </x:c>
      <x:c r="Q2897" s="48" t="n">
        <x:v>1</x:v>
      </x:c>
      <x:c r="R2897" s="48" t="n">
        <x:v>0.7829415651188223</x:v>
      </x:c>
      <x:c r="S2897" s="29" t="n">
        <x:v>0</x:v>
      </x:c>
    </x:row>
    <x:row r="2898" ht="21.600000381469727" hidden="0" customHeight="1">
      <x:c r="A2898" s="27" t="n">
        <x:v>965</x:v>
      </x:c>
      <x:c r="B2898" s="27" t="str">
        <x:v>A2</x:v>
      </x:c>
      <x:c r="C2898" s="47" t="n">
        <x:v>1.017685896067989</x:v>
      </x:c>
      <x:c r="D2898" s="47" t="n">
        <x:v>0.7713170964456456</x:v>
      </x:c>
      <x:c r="E2898" s="47" t="n">
        <x:v>0.5519293666095149</x:v>
      </x:c>
      <x:c r="F2898" s="47" t="n">
        <x:v>-0.08120843754367614</x:v>
      </x:c>
      <x:c r="G2898" s="47" t="n">
        <x:v>-0.014618018078918132</x:v>
      </x:c>
      <x:c r="H2898" s="47" t="n">
        <x:v>0.3580151075439275</x:v>
      </x:c>
      <x:c r="I2898" s="47" t="n">
        <x:v>0.6571309578467546</x:v>
      </x:c>
      <x:c r="J2898" s="47" t="n">
        <x:v>0.437704315177901</x:v>
      </x:c>
      <x:c r="K2898" s="47" t="n">
        <x:v>0.6111935271449327</x:v>
      </x:c>
      <x:c r="L2898" s="47" t="n">
        <x:v>0.7848780866322458</x:v>
      </x:c>
      <x:c r="M2898" s="47" t="n">
        <x:v>0.16719527880975832</x:v>
      </x:c>
      <x:c r="N2898" s="47" t="n">
        <x:v>0.888739007181266</x:v>
      </x:c>
      <x:c r="O2898" s="47" t="n">
        <x:v>0.895681334606964</x:v>
      </x:c>
      <x:c r="P2898" s="47" t="n">
        <x:v>0.6101557593237483</x:v>
      </x:c>
      <x:c r="Q2898" s="47" t="n">
        <x:v>0.9999999999999998</x:v>
      </x:c>
      <x:c r="R2898" s="47" t="n">
        <x:v>0.8711828217278439</x:v>
      </x:c>
      <x:c r="S2898" s="27" t="n">
        <x:v>0</x:v>
      </x:c>
    </x:row>
    <x:row r="2899" ht="21.600000381469727" hidden="0" customHeight="1">
      <x:c r="A2899" s="29" t="n">
        <x:v>965</x:v>
      </x:c>
      <x:c r="B2899" s="29" t="str">
        <x:v>A3</x:v>
      </x:c>
      <x:c r="C2899" s="48" t="n">
        <x:v>1.017685896067989</x:v>
      </x:c>
      <x:c r="D2899" s="48" t="n">
        <x:v>0.7713170964456456</x:v>
      </x:c>
      <x:c r="E2899" s="48" t="n">
        <x:v>0.5519293666095149</x:v>
      </x:c>
      <x:c r="F2899" s="48" t="n">
        <x:v>-0.08120843754367614</x:v>
      </x:c>
      <x:c r="G2899" s="48" t="n">
        <x:v>-0.014618018078918132</x:v>
      </x:c>
      <x:c r="H2899" s="48" t="n">
        <x:v>0.3580151075439275</x:v>
      </x:c>
      <x:c r="I2899" s="48" t="n">
        <x:v>0.6571309578467546</x:v>
      </x:c>
      <x:c r="J2899" s="48" t="n">
        <x:v>0.437704315177901</x:v>
      </x:c>
      <x:c r="K2899" s="48" t="n">
        <x:v>0.6111935271449327</x:v>
      </x:c>
      <x:c r="L2899" s="48" t="n">
        <x:v>0.7848780866322458</x:v>
      </x:c>
      <x:c r="M2899" s="48" t="n">
        <x:v>0.16719527880975832</x:v>
      </x:c>
      <x:c r="N2899" s="48" t="n">
        <x:v>0.888739007181266</x:v>
      </x:c>
      <x:c r="O2899" s="48" t="n">
        <x:v>1</x:v>
      </x:c>
      <x:c r="P2899" s="48" t="n">
        <x:v>1</x:v>
      </x:c>
      <x:c r="Q2899" s="48" t="n">
        <x:v>1</x:v>
      </x:c>
      <x:c r="R2899" s="48" t="n">
        <x:v>1</x:v>
      </x:c>
      <x:c r="S2899" s="29" t="n">
        <x:v>1</x:v>
      </x:c>
    </x:row>
    <x:row r="2900" ht="21.600000381469727" hidden="0" customHeight="1">
      <x:c r="A2900" s="27" t="n">
        <x:v>966</x:v>
      </x:c>
      <x:c r="B2900" s="27" t="str">
        <x:v>A1</x:v>
      </x:c>
      <x:c r="C2900" s="47" t="n">
        <x:v>1.3479379142693784</x:v>
      </x:c>
      <x:c r="D2900" s="47" t="n">
        <x:v>0.8249532185107982</x:v>
      </x:c>
      <x:c r="E2900" s="47" t="n">
        <x:v>0.5541081883151466</x:v>
      </x:c>
      <x:c r="F2900" s="47" t="n">
        <x:v>0.0334855502217985</x:v>
      </x:c>
      <x:c r="G2900" s="47" t="n">
        <x:v>-0.00966166256343412</x:v>
      </x:c>
      <x:c r="H2900" s="47" t="n">
        <x:v>0.7557771586577919</x:v>
      </x:c>
      <x:c r="I2900" s="47" t="n">
        <x:v>0.6749629658893701</x:v>
      </x:c>
      <x:c r="J2900" s="47" t="n">
        <x:v>0.5189406770417074</x:v>
      </x:c>
      <x:c r="K2900" s="47" t="n">
        <x:v>0.6324695878142795</x:v>
      </x:c>
      <x:c r="L2900" s="47" t="n">
        <x:v>0.8956409235713026</x:v>
      </x:c>
      <x:c r="M2900" s="47" t="n">
        <x:v>0.020071150266093882</x:v>
      </x:c>
      <x:c r="N2900" s="47" t="n">
        <x:v>0.7367546757346334</x:v>
      </x:c>
      <x:c r="O2900" s="47" t="n">
        <x:v>0.7336804711951582</x:v>
      </x:c>
      <x:c r="P2900" s="47" t="n">
        <x:v>0.4241902170628717</x:v>
      </x:c>
      <x:c r="Q2900" s="47" t="n">
        <x:v>0.8644634769045106</x:v>
      </x:c>
      <x:c r="R2900" s="47" t="n">
        <x:v>0.6721437923997896</x:v>
      </x:c>
      <x:c r="S2900" s="27" t="n">
        <x:v>0</x:v>
      </x:c>
    </x:row>
    <x:row r="2901" ht="21.600000381469727" hidden="0" customHeight="1">
      <x:c r="A2901" s="29" t="n">
        <x:v>966</x:v>
      </x:c>
      <x:c r="B2901" s="29" t="str">
        <x:v>A2</x:v>
      </x:c>
      <x:c r="C2901" s="48" t="n">
        <x:v>1.3479379142693784</x:v>
      </x:c>
      <x:c r="D2901" s="48" t="n">
        <x:v>0.8249532185107982</x:v>
      </x:c>
      <x:c r="E2901" s="48" t="n">
        <x:v>0.5541081883151466</x:v>
      </x:c>
      <x:c r="F2901" s="48" t="n">
        <x:v>0.0334855502217985</x:v>
      </x:c>
      <x:c r="G2901" s="48" t="n">
        <x:v>-0.00966166256343412</x:v>
      </x:c>
      <x:c r="H2901" s="48" t="n">
        <x:v>0.7557771586577919</x:v>
      </x:c>
      <x:c r="I2901" s="48" t="n">
        <x:v>0.6749629658893701</x:v>
      </x:c>
      <x:c r="J2901" s="48" t="n">
        <x:v>0.5189406770417074</x:v>
      </x:c>
      <x:c r="K2901" s="48" t="n">
        <x:v>0.6324695878142795</x:v>
      </x:c>
      <x:c r="L2901" s="48" t="n">
        <x:v>0.8956409235713026</x:v>
      </x:c>
      <x:c r="M2901" s="48" t="n">
        <x:v>0.020071150266093882</x:v>
      </x:c>
      <x:c r="N2901" s="48" t="n">
        <x:v>0.7367546757346334</x:v>
      </x:c>
      <x:c r="O2901" s="48" t="n">
        <x:v>0.8020812168164534</x:v>
      </x:c>
      <x:c r="P2901" s="48" t="n">
        <x:v>0.4193773072419673</x:v>
      </x:c>
      <x:c r="Q2901" s="48" t="n">
        <x:v>1</x:v>
      </x:c>
      <x:c r="R2901" s="48" t="n">
        <x:v>0.7556013673995386</x:v>
      </x:c>
      <x:c r="S2901" s="29" t="n">
        <x:v>0</x:v>
      </x:c>
    </x:row>
    <x:row r="2902" ht="21.600000381469727" hidden="0" customHeight="1">
      <x:c r="A2902" s="27" t="n">
        <x:v>966</x:v>
      </x:c>
      <x:c r="B2902" s="27" t="str">
        <x:v>A3</x:v>
      </x:c>
      <x:c r="C2902" s="47" t="n">
        <x:v>1.3479379142693784</x:v>
      </x:c>
      <x:c r="D2902" s="47" t="n">
        <x:v>0.8249532185107982</x:v>
      </x:c>
      <x:c r="E2902" s="47" t="n">
        <x:v>0.5541081883151466</x:v>
      </x:c>
      <x:c r="F2902" s="47" t="n">
        <x:v>0.0334855502217985</x:v>
      </x:c>
      <x:c r="G2902" s="47" t="n">
        <x:v>-0.00966166256343412</x:v>
      </x:c>
      <x:c r="H2902" s="47" t="n">
        <x:v>0.7557771586577919</x:v>
      </x:c>
      <x:c r="I2902" s="47" t="n">
        <x:v>0.6749629658893701</x:v>
      </x:c>
      <x:c r="J2902" s="47" t="n">
        <x:v>0.5189406770417074</x:v>
      </x:c>
      <x:c r="K2902" s="47" t="n">
        <x:v>0.6324695878142795</x:v>
      </x:c>
      <x:c r="L2902" s="47" t="n">
        <x:v>0.8956409235713026</x:v>
      </x:c>
      <x:c r="M2902" s="47" t="n">
        <x:v>0.020071150266093882</x:v>
      </x:c>
      <x:c r="N2902" s="47" t="n">
        <x:v>0.7367546757346334</x:v>
      </x:c>
      <x:c r="O2902" s="47" t="n">
        <x:v>0.9994311419738758</x:v>
      </x:c>
      <x:c r="P2902" s="47" t="n">
        <x:v>0.9943114197387595</x:v>
      </x:c>
      <x:c r="Q2902" s="47" t="n">
        <x:v>1</x:v>
      </x:c>
      <x:c r="R2902" s="47" t="n">
        <x:v>0.9992975496236778</x:v>
      </x:c>
      <x:c r="S2902" s="27" t="n">
        <x:v>1</x:v>
      </x:c>
    </x:row>
    <x:row r="2903" ht="21.600000381469727" hidden="0" customHeight="1">
      <x:c r="A2903" s="29" t="n">
        <x:v>967</x:v>
      </x:c>
      <x:c r="B2903" s="29" t="str">
        <x:v>A1</x:v>
      </x:c>
      <x:c r="C2903" s="48" t="n">
        <x:v>1.0572972741208038</x:v>
      </x:c>
      <x:c r="D2903" s="48" t="n">
        <x:v>0.998686399042308</x:v>
      </x:c>
      <x:c r="E2903" s="48" t="n">
        <x:v>0.81544712987766</x:v>
      </x:c>
      <x:c r="F2903" s="48" t="n">
        <x:v>-0.07503601282521764</x:v>
      </x:c>
      <x:c r="G2903" s="48" t="n">
        <x:v>-0.13726794618637417</x:v>
      </x:c>
      <x:c r="H2903" s="48" t="n">
        <x:v>0.7685594980389403</x:v>
      </x:c>
      <x:c r="I2903" s="48" t="n">
        <x:v>0.7366788878451357</x:v>
      </x:c>
      <x:c r="J2903" s="48" t="n">
        <x:v>0.4597124583808802</x:v>
      </x:c>
      <x:c r="K2903" s="48" t="n">
        <x:v>0.8093164040405387</x:v>
      </x:c>
      <x:c r="L2903" s="48" t="n">
        <x:v>0.667589568495324</x:v>
      </x:c>
      <x:c r="M2903" s="48" t="n">
        <x:v>0.11604999794360198</x:v>
      </x:c>
      <x:c r="N2903" s="48" t="n">
        <x:v>0.6597813363652377</x:v>
      </x:c>
      <x:c r="O2903" s="48" t="n">
        <x:v>0.9080182200967981</x:v>
      </x:c>
      <x:c r="P2903" s="48" t="n">
        <x:v>0.7246229213701233</x:v>
      </x:c>
      <x:c r="Q2903" s="48" t="n">
        <x:v>1</x:v>
      </x:c>
      <x:c r="R2903" s="48" t="n">
        <x:v>0.8864169389539376</x:v>
      </x:c>
      <x:c r="S2903" s="29" t="n">
        <x:v>0</x:v>
      </x:c>
    </x:row>
    <x:row r="2904" ht="21.600000381469727" hidden="0" customHeight="1">
      <x:c r="A2904" s="27" t="n">
        <x:v>967</x:v>
      </x:c>
      <x:c r="B2904" s="27" t="str">
        <x:v>A2</x:v>
      </x:c>
      <x:c r="C2904" s="47" t="n">
        <x:v>1.0572972741208038</x:v>
      </x:c>
      <x:c r="D2904" s="47" t="n">
        <x:v>0.998686399042308</x:v>
      </x:c>
      <x:c r="E2904" s="47" t="n">
        <x:v>0.81544712987766</x:v>
      </x:c>
      <x:c r="F2904" s="47" t="n">
        <x:v>-0.07503601282521764</x:v>
      </x:c>
      <x:c r="G2904" s="47" t="n">
        <x:v>-0.13726794618637417</x:v>
      </x:c>
      <x:c r="H2904" s="47" t="n">
        <x:v>0.7685594980389403</x:v>
      </x:c>
      <x:c r="I2904" s="47" t="n">
        <x:v>0.7366788878451357</x:v>
      </x:c>
      <x:c r="J2904" s="47" t="n">
        <x:v>0.4597124583808802</x:v>
      </x:c>
      <x:c r="K2904" s="47" t="n">
        <x:v>0.8093164040405387</x:v>
      </x:c>
      <x:c r="L2904" s="47" t="n">
        <x:v>0.667589568495324</x:v>
      </x:c>
      <x:c r="M2904" s="47" t="n">
        <x:v>0.11604999794360198</x:v>
      </x:c>
      <x:c r="N2904" s="47" t="n">
        <x:v>0.6597813363652377</x:v>
      </x:c>
      <x:c r="O2904" s="47" t="n">
        <x:v>0.9788526565279596</x:v>
      </x:c>
      <x:c r="P2904" s="47" t="n">
        <x:v>0.856338120404013</x:v>
      </x:c>
      <x:c r="Q2904" s="47" t="n">
        <x:v>1</x:v>
      </x:c>
      <x:c r="R2904" s="47" t="n">
        <x:v>0.9738863500241617</x:v>
      </x:c>
      <x:c r="S2904" s="27" t="n">
        <x:v>0</x:v>
      </x:c>
    </x:row>
    <x:row r="2905" ht="21.600000381469727" hidden="0" customHeight="1">
      <x:c r="A2905" s="29" t="n">
        <x:v>967</x:v>
      </x:c>
      <x:c r="B2905" s="29" t="str">
        <x:v>A3</x:v>
      </x:c>
      <x:c r="C2905" s="48" t="n">
        <x:v>1.0572972741208038</x:v>
      </x:c>
      <x:c r="D2905" s="48" t="n">
        <x:v>0.998686399042308</x:v>
      </x:c>
      <x:c r="E2905" s="48" t="n">
        <x:v>0.81544712987766</x:v>
      </x:c>
      <x:c r="F2905" s="48" t="n">
        <x:v>-0.07503601282521764</x:v>
      </x:c>
      <x:c r="G2905" s="48" t="n">
        <x:v>-0.13726794618637417</x:v>
      </x:c>
      <x:c r="H2905" s="48" t="n">
        <x:v>0.7685594980389403</x:v>
      </x:c>
      <x:c r="I2905" s="48" t="n">
        <x:v>0.7366788878451357</x:v>
      </x:c>
      <x:c r="J2905" s="48" t="n">
        <x:v>0.4597124583808802</x:v>
      </x:c>
      <x:c r="K2905" s="48" t="n">
        <x:v>0.8093164040405387</x:v>
      </x:c>
      <x:c r="L2905" s="48" t="n">
        <x:v>0.667589568495324</x:v>
      </x:c>
      <x:c r="M2905" s="48" t="n">
        <x:v>0.11604999794360198</x:v>
      </x:c>
      <x:c r="N2905" s="48" t="n">
        <x:v>0.6597813363652377</x:v>
      </x:c>
      <x:c r="O2905" s="48" t="n">
        <x:v>1</x:v>
      </x:c>
      <x:c r="P2905" s="48" t="n">
        <x:v>1</x:v>
      </x:c>
      <x:c r="Q2905" s="48" t="n">
        <x:v>1</x:v>
      </x:c>
      <x:c r="R2905" s="48" t="n">
        <x:v>1</x:v>
      </x:c>
      <x:c r="S2905" s="29" t="n">
        <x:v>1</x:v>
      </x:c>
    </x:row>
    <x:row r="2906" ht="15" hidden="0" customHeight="1">
      <x:c r="A2906" s="27" t="n">
        <x:v>968</x:v>
      </x:c>
      <x:c r="B2906" s="27" t="str">
        <x:v>A1</x:v>
      </x:c>
      <x:c r="C2906" s="47" t="n">
        <x:v>1.2753973147901476</x:v>
      </x:c>
      <x:c r="D2906" s="47" t="n">
        <x:v>0.7211412468747245</x:v>
      </x:c>
      <x:c r="E2906" s="47" t="n">
        <x:v>0.594476376244096</x:v>
      </x:c>
      <x:c r="F2906" s="47" t="n">
        <x:v>-0.15238129022243857</x:v>
      </x:c>
      <x:c r="G2906" s="47" t="n">
        <x:v>-0.1040465902229494</x:v>
      </x:c>
      <x:c r="H2906" s="47" t="n">
        <x:v>0.734036482760955</x:v>
      </x:c>
      <x:c r="I2906" s="47" t="n">
        <x:v>0.7748943797378331</x:v>
      </x:c>
      <x:c r="J2906" s="47" t="n">
        <x:v>0.6689200431054059</x:v>
      </x:c>
      <x:c r="K2906" s="47" t="n">
        <x:v>0.8193769908090833</x:v>
      </x:c>
      <x:c r="L2906" s="47" t="n">
        <x:v>0.68713042517375</x:v>
      </x:c>
      <x:c r="M2906" s="47" t="n">
        <x:v>0.16077764733377534</x:v>
      </x:c>
      <x:c r="N2906" s="47" t="n">
        <x:v>0.8132178831908456</x:v>
      </x:c>
      <x:c r="O2906" s="47" t="n">
        <x:v>0.6905823287580488</x:v>
      </x:c>
      <x:c r="P2906" s="47" t="n">
        <x:v>0.4171516669626741</x:v>
      </x:c>
      <x:c r="Q2906" s="47" t="n">
        <x:v>0.9409002792242223</x:v>
      </x:c>
      <x:c r="R2906" s="47" t="n">
        <x:v>0.6183566660873066</x:v>
      </x:c>
      <x:c r="S2906" s="27" t="n">
        <x:v>0</x:v>
      </x:c>
    </x:row>
    <x:row r="2907" ht="15" hidden="0" customHeight="1">
      <x:c r="A2907" s="29" t="n">
        <x:v>968</x:v>
      </x:c>
      <x:c r="B2907" s="29" t="str">
        <x:v>A2</x:v>
      </x:c>
      <x:c r="C2907" s="48" t="n">
        <x:v>1.2753973147901476</x:v>
      </x:c>
      <x:c r="D2907" s="48" t="n">
        <x:v>0.7211412468747245</x:v>
      </x:c>
      <x:c r="E2907" s="48" t="n">
        <x:v>0.594476376244096</x:v>
      </x:c>
      <x:c r="F2907" s="48" t="n">
        <x:v>-0.15238129022243857</x:v>
      </x:c>
      <x:c r="G2907" s="48" t="n">
        <x:v>-0.1040465902229494</x:v>
      </x:c>
      <x:c r="H2907" s="48" t="n">
        <x:v>0.734036482760955</x:v>
      </x:c>
      <x:c r="I2907" s="48" t="n">
        <x:v>0.7748943797378331</x:v>
      </x:c>
      <x:c r="J2907" s="48" t="n">
        <x:v>0.6689200431054059</x:v>
      </x:c>
      <x:c r="K2907" s="48" t="n">
        <x:v>0.8193769908090833</x:v>
      </x:c>
      <x:c r="L2907" s="48" t="n">
        <x:v>0.68713042517375</x:v>
      </x:c>
      <x:c r="M2907" s="48" t="n">
        <x:v>0.16077764733377534</x:v>
      </x:c>
      <x:c r="N2907" s="48" t="n">
        <x:v>0.8132178831908456</x:v>
      </x:c>
      <x:c r="O2907" s="48" t="n">
        <x:v>0.7473639481963807</x:v>
      </x:c>
      <x:c r="P2907" s="48" t="n">
        <x:v>0.4493732179413414</x:v>
      </x:c>
      <x:c r="Q2907" s="48" t="n">
        <x:v>1</x:v>
      </x:c>
      <x:c r="R2907" s="48" t="n">
        <x:v>0.6880341288824335</x:v>
      </x:c>
      <x:c r="S2907" s="29" t="n">
        <x:v>0</x:v>
      </x:c>
    </x:row>
    <x:row r="2908" ht="15" hidden="0" customHeight="1">
      <x:c r="A2908" s="27" t="n">
        <x:v>968</x:v>
      </x:c>
      <x:c r="B2908" s="27" t="str">
        <x:v>A3</x:v>
      </x:c>
      <x:c r="C2908" s="47" t="n">
        <x:v>1.2753973147901476</x:v>
      </x:c>
      <x:c r="D2908" s="47" t="n">
        <x:v>0.7211412468747245</x:v>
      </x:c>
      <x:c r="E2908" s="47" t="n">
        <x:v>0.594476376244096</x:v>
      </x:c>
      <x:c r="F2908" s="47" t="n">
        <x:v>-0.15238129022243857</x:v>
      </x:c>
      <x:c r="G2908" s="47" t="n">
        <x:v>-0.1040465902229494</x:v>
      </x:c>
      <x:c r="H2908" s="47" t="n">
        <x:v>0.734036482760955</x:v>
      </x:c>
      <x:c r="I2908" s="47" t="n">
        <x:v>0.7748943797378331</x:v>
      </x:c>
      <x:c r="J2908" s="47" t="n">
        <x:v>0.6689200431054059</x:v>
      </x:c>
      <x:c r="K2908" s="47" t="n">
        <x:v>0.8193769908090833</x:v>
      </x:c>
      <x:c r="L2908" s="47" t="n">
        <x:v>0.68713042517375</x:v>
      </x:c>
      <x:c r="M2908" s="47" t="n">
        <x:v>0.16077764733377534</x:v>
      </x:c>
      <x:c r="N2908" s="47" t="n">
        <x:v>0.8132178831908456</x:v>
      </x:c>
      <x:c r="O2908" s="47" t="n">
        <x:v>1</x:v>
      </x:c>
      <x:c r="P2908" s="47" t="n">
        <x:v>1</x:v>
      </x:c>
      <x:c r="Q2908" s="47" t="n">
        <x:v>1</x:v>
      </x:c>
      <x:c r="R2908" s="47" t="n">
        <x:v>1</x:v>
      </x:c>
      <x:c r="S2908" s="27" t="n">
        <x:v>1</x:v>
      </x:c>
    </x:row>
    <x:row r="2909" ht="21.600000381469727" hidden="0" customHeight="1">
      <x:c r="A2909" s="29" t="n">
        <x:v>969</x:v>
      </x:c>
      <x:c r="B2909" s="29" t="str">
        <x:v>A1</x:v>
      </x:c>
      <x:c r="C2909" s="48" t="n">
        <x:v>1.0633211164381469</x:v>
      </x:c>
      <x:c r="D2909" s="48" t="n">
        <x:v>0.9913154485840288</x:v>
      </x:c>
      <x:c r="E2909" s="48" t="n">
        <x:v>1.0013081130617423</x:v>
      </x:c>
      <x:c r="F2909" s="48" t="n">
        <x:v>-0.07663157892438083</x:v>
      </x:c>
      <x:c r="G2909" s="48" t="n">
        <x:v>-0.03271515382744797</x:v>
      </x:c>
      <x:c r="H2909" s="48" t="n">
        <x:v>0.6086684911460498</x:v>
      </x:c>
      <x:c r="I2909" s="48" t="n">
        <x:v>0.9459272951796226</x:v>
      </x:c>
      <x:c r="J2909" s="48" t="n">
        <x:v>0.6043871252808548</x:v>
      </x:c>
      <x:c r="K2909" s="48" t="n">
        <x:v>0.7164638839504467</x:v>
      </x:c>
      <x:c r="L2909" s="48" t="n">
        <x:v>0.6416358466459974</x:v>
      </x:c>
      <x:c r="M2909" s="48" t="n">
        <x:v>0.022994942408582124</x:v>
      </x:c>
      <x:c r="N2909" s="48" t="n">
        <x:v>0.7609142154916729</x:v>
      </x:c>
      <x:c r="O2909" s="48" t="n">
        <x:v>0.9318789259035077</x:v>
      </x:c>
      <x:c r="P2909" s="48" t="n">
        <x:v>0.7551320800858978</x:v>
      </x:c>
      <x:c r="Q2909" s="48" t="n">
        <x:v>1</x:v>
      </x:c>
      <x:c r="R2909" s="48" t="n">
        <x:v>0.9158811655333505</x:v>
      </x:c>
      <x:c r="S2909" s="29" t="n">
        <x:v>0</x:v>
      </x:c>
    </x:row>
    <x:row r="2910" ht="21.600000381469727" hidden="0" customHeight="1">
      <x:c r="A2910" s="27" t="n">
        <x:v>969</x:v>
      </x:c>
      <x:c r="B2910" s="27" t="str">
        <x:v>A2</x:v>
      </x:c>
      <x:c r="C2910" s="47" t="n">
        <x:v>1.0633211164381469</x:v>
      </x:c>
      <x:c r="D2910" s="47" t="n">
        <x:v>0.9913154485840288</x:v>
      </x:c>
      <x:c r="E2910" s="47" t="n">
        <x:v>1.0013081130617423</x:v>
      </x:c>
      <x:c r="F2910" s="47" t="n">
        <x:v>-0.07663157892438083</x:v>
      </x:c>
      <x:c r="G2910" s="47" t="n">
        <x:v>-0.03271515382744797</x:v>
      </x:c>
      <x:c r="H2910" s="47" t="n">
        <x:v>0.6086684911460498</x:v>
      </x:c>
      <x:c r="I2910" s="47" t="n">
        <x:v>0.9459272951796226</x:v>
      </x:c>
      <x:c r="J2910" s="47" t="n">
        <x:v>0.6043871252808548</x:v>
      </x:c>
      <x:c r="K2910" s="47" t="n">
        <x:v>0.7164638839504467</x:v>
      </x:c>
      <x:c r="L2910" s="47" t="n">
        <x:v>0.6416358466459974</x:v>
      </x:c>
      <x:c r="M2910" s="47" t="n">
        <x:v>0.022994942408582124</x:v>
      </x:c>
      <x:c r="N2910" s="47" t="n">
        <x:v>0.7609142154916729</x:v>
      </x:c>
      <x:c r="O2910" s="47" t="n">
        <x:v>0.9847537309425409</x:v>
      </x:c>
      <x:c r="P2910" s="47" t="n">
        <x:v>0.8475373094254081</x:v>
      </x:c>
      <x:c r="Q2910" s="47" t="n">
        <x:v>1</x:v>
      </x:c>
      <x:c r="R2910" s="47" t="n">
        <x:v>0.9811732507144297</x:v>
      </x:c>
      <x:c r="S2910" s="27" t="n">
        <x:v>0</x:v>
      </x:c>
    </x:row>
    <x:row r="2911" ht="21.600000381469727" hidden="0" customHeight="1">
      <x:c r="A2911" s="29" t="n">
        <x:v>969</x:v>
      </x:c>
      <x:c r="B2911" s="29" t="str">
        <x:v>A3</x:v>
      </x:c>
      <x:c r="C2911" s="48" t="n">
        <x:v>1.0633211164381469</x:v>
      </x:c>
      <x:c r="D2911" s="48" t="n">
        <x:v>0.9913154485840288</x:v>
      </x:c>
      <x:c r="E2911" s="48" t="n">
        <x:v>1.0013081130617423</x:v>
      </x:c>
      <x:c r="F2911" s="48" t="n">
        <x:v>-0.07663157892438083</x:v>
      </x:c>
      <x:c r="G2911" s="48" t="n">
        <x:v>-0.03271515382744797</x:v>
      </x:c>
      <x:c r="H2911" s="48" t="n">
        <x:v>0.6086684911460498</x:v>
      </x:c>
      <x:c r="I2911" s="48" t="n">
        <x:v>0.9459272951796226</x:v>
      </x:c>
      <x:c r="J2911" s="48" t="n">
        <x:v>0.6043871252808548</x:v>
      </x:c>
      <x:c r="K2911" s="48" t="n">
        <x:v>0.7164638839504467</x:v>
      </x:c>
      <x:c r="L2911" s="48" t="n">
        <x:v>0.6416358466459974</x:v>
      </x:c>
      <x:c r="M2911" s="48" t="n">
        <x:v>0.022994942408582124</x:v>
      </x:c>
      <x:c r="N2911" s="48" t="n">
        <x:v>0.7609142154916729</x:v>
      </x:c>
      <x:c r="O2911" s="48" t="n">
        <x:v>1</x:v>
      </x:c>
      <x:c r="P2911" s="48" t="n">
        <x:v>1</x:v>
      </x:c>
      <x:c r="Q2911" s="48" t="n">
        <x:v>1</x:v>
      </x:c>
      <x:c r="R2911" s="48" t="n">
        <x:v>1</x:v>
      </x:c>
      <x:c r="S2911" s="29" t="n">
        <x:v>1</x:v>
      </x:c>
    </x:row>
    <x:row r="2912" ht="21.600000381469727" hidden="0" customHeight="1">
      <x:c r="A2912" s="27" t="n">
        <x:v>970</x:v>
      </x:c>
      <x:c r="B2912" s="27" t="str">
        <x:v>A1</x:v>
      </x:c>
      <x:c r="C2912" s="47" t="n">
        <x:v>1.1296418311339034</x:v>
      </x:c>
      <x:c r="D2912" s="47" t="n">
        <x:v>0.9498485245150101</x:v>
      </x:c>
      <x:c r="E2912" s="47" t="n">
        <x:v>0.9874625937520156</x:v>
      </x:c>
      <x:c r="F2912" s="47" t="n">
        <x:v>-0.15540500259408843</x:v>
      </x:c>
      <x:c r="G2912" s="47" t="n">
        <x:v>-0.1365412312356617</x:v>
      </x:c>
      <x:c r="H2912" s="47" t="n">
        <x:v>0.6054628469979979</x:v>
      </x:c>
      <x:c r="I2912" s="47" t="n">
        <x:v>0.7158665910186345</x:v>
      </x:c>
      <x:c r="J2912" s="47" t="n">
        <x:v>0.466726451827038</x:v>
      </x:c>
      <x:c r="K2912" s="47" t="n">
        <x:v>0.6863755227924723</x:v>
      </x:c>
      <x:c r="L2912" s="47" t="n">
        <x:v>0.6357901331096785</x:v>
      </x:c>
      <x:c r="M2912" s="47" t="n">
        <x:v>0.14803635332641438</x:v>
      </x:c>
      <x:c r="N2912" s="47" t="n">
        <x:v>0.790814377124393</x:v>
      </x:c>
      <x:c r="O2912" s="47" t="n">
        <x:v>0.8499938523845887</x:v>
      </x:c>
      <x:c r="P2912" s="47" t="n">
        <x:v>0.6009131826229075</x:v>
      </x:c>
      <x:c r="Q2912" s="47" t="n">
        <x:v>1</x:v>
      </x:c>
      <x:c r="R2912" s="47" t="n">
        <x:v>0.814765952128604</x:v>
      </x:c>
      <x:c r="S2912" s="27" t="n">
        <x:v>0</x:v>
      </x:c>
    </x:row>
    <x:row r="2913" ht="21.600000381469727" hidden="0" customHeight="1">
      <x:c r="A2913" s="29" t="n">
        <x:v>970</x:v>
      </x:c>
      <x:c r="B2913" s="29" t="str">
        <x:v>A2</x:v>
      </x:c>
      <x:c r="C2913" s="48" t="n">
        <x:v>1.1296418311339034</x:v>
      </x:c>
      <x:c r="D2913" s="48" t="n">
        <x:v>0.9498485245150101</x:v>
      </x:c>
      <x:c r="E2913" s="48" t="n">
        <x:v>0.9874625937520156</x:v>
      </x:c>
      <x:c r="F2913" s="48" t="n">
        <x:v>-0.15540500259408843</x:v>
      </x:c>
      <x:c r="G2913" s="48" t="n">
        <x:v>-0.1365412312356617</x:v>
      </x:c>
      <x:c r="H2913" s="48" t="n">
        <x:v>0.6054628469979979</x:v>
      </x:c>
      <x:c r="I2913" s="48" t="n">
        <x:v>0.7158665910186345</x:v>
      </x:c>
      <x:c r="J2913" s="48" t="n">
        <x:v>0.466726451827038</x:v>
      </x:c>
      <x:c r="K2913" s="48" t="n">
        <x:v>0.6863755227924723</x:v>
      </x:c>
      <x:c r="L2913" s="48" t="n">
        <x:v>0.6357901331096785</x:v>
      </x:c>
      <x:c r="M2913" s="48" t="n">
        <x:v>0.14803635332641438</x:v>
      </x:c>
      <x:c r="N2913" s="48" t="n">
        <x:v>0.790814377124393</x:v>
      </x:c>
      <x:c r="O2913" s="48" t="n">
        <x:v>0.9404288150295317</x:v>
      </x:c>
      <x:c r="P2913" s="48" t="n">
        <x:v>0.7649347949424928</x:v>
      </x:c>
      <x:c r="Q2913" s="48" t="n">
        <x:v>1</x:v>
      </x:c>
      <x:c r="R2913" s="48" t="n">
        <x:v>0.9264389366436748</x:v>
      </x:c>
      <x:c r="S2913" s="29" t="n">
        <x:v>0</x:v>
      </x:c>
    </x:row>
    <x:row r="2914" ht="21.600000381469727" hidden="0" customHeight="1">
      <x:c r="A2914" s="27" t="n">
        <x:v>970</x:v>
      </x:c>
      <x:c r="B2914" s="27" t="str">
        <x:v>A3</x:v>
      </x:c>
      <x:c r="C2914" s="47" t="n">
        <x:v>1.1296418311339034</x:v>
      </x:c>
      <x:c r="D2914" s="47" t="n">
        <x:v>0.9498485245150101</x:v>
      </x:c>
      <x:c r="E2914" s="47" t="n">
        <x:v>0.9874625937520156</x:v>
      </x:c>
      <x:c r="F2914" s="47" t="n">
        <x:v>-0.15540500259408843</x:v>
      </x:c>
      <x:c r="G2914" s="47" t="n">
        <x:v>-0.1365412312356617</x:v>
      </x:c>
      <x:c r="H2914" s="47" t="n">
        <x:v>0.6054628469979979</x:v>
      </x:c>
      <x:c r="I2914" s="47" t="n">
        <x:v>0.7158665910186345</x:v>
      </x:c>
      <x:c r="J2914" s="47" t="n">
        <x:v>0.466726451827038</x:v>
      </x:c>
      <x:c r="K2914" s="47" t="n">
        <x:v>0.6863755227924723</x:v>
      </x:c>
      <x:c r="L2914" s="47" t="n">
        <x:v>0.6357901331096785</x:v>
      </x:c>
      <x:c r="M2914" s="47" t="n">
        <x:v>0.14803635332641438</x:v>
      </x:c>
      <x:c r="N2914" s="47" t="n">
        <x:v>0.790814377124393</x:v>
      </x:c>
      <x:c r="O2914" s="47" t="n">
        <x:v>1</x:v>
      </x:c>
      <x:c r="P2914" s="47" t="n">
        <x:v>1</x:v>
      </x:c>
      <x:c r="Q2914" s="47" t="n">
        <x:v>1</x:v>
      </x:c>
      <x:c r="R2914" s="47" t="n">
        <x:v>1</x:v>
      </x:c>
      <x:c r="S2914" s="27" t="n">
        <x:v>1</x:v>
      </x:c>
    </x:row>
    <x:row r="2915" ht="21.600000381469727" hidden="0" customHeight="1">
      <x:c r="A2915" s="29" t="n">
        <x:v>971</x:v>
      </x:c>
      <x:c r="B2915" s="29" t="str">
        <x:v>A1</x:v>
      </x:c>
      <x:c r="C2915" s="48" t="n">
        <x:v>1.178488244803863</x:v>
      </x:c>
      <x:c r="D2915" s="48" t="n">
        <x:v>0.893697188153289</x:v>
      </x:c>
      <x:c r="E2915" s="48" t="n">
        <x:v>0.78911224427889</x:v>
      </x:c>
      <x:c r="F2915" s="48" t="n">
        <x:v>-0.1399579703121135</x:v>
      </x:c>
      <x:c r="G2915" s="48" t="n">
        <x:v>-0.0725687590759499</x:v>
      </x:c>
      <x:c r="H2915" s="48" t="n">
        <x:v>0.8134450733110561</x:v>
      </x:c>
      <x:c r="I2915" s="48" t="n">
        <x:v>1.0179394175148162</x:v>
      </x:c>
      <x:c r="J2915" s="48" t="n">
        <x:v>0.6996106176296324</x:v>
      </x:c>
      <x:c r="K2915" s="48" t="n">
        <x:v>0.7628747174229247</x:v>
      </x:c>
      <x:c r="L2915" s="48" t="n">
        <x:v>0.936166261561555</x:v>
      </x:c>
      <x:c r="M2915" s="48" t="n">
        <x:v>0.12618337975600208</x:v>
      </x:c>
      <x:c r="N2915" s="48" t="n">
        <x:v>0.9349556383520271</x:v>
      </x:c>
      <x:c r="O2915" s="48" t="n">
        <x:v>0.8603909388648998</x:v>
      </x:c>
      <x:c r="P2915" s="48" t="n">
        <x:v>0.5918200964868876</x:v>
      </x:c>
      <x:c r="Q2915" s="48" t="n">
        <x:v>1</x:v>
      </x:c>
      <x:c r="R2915" s="48" t="n">
        <x:v>0.8276047220419187</x:v>
      </x:c>
      <x:c r="S2915" s="29" t="n">
        <x:v>0</x:v>
      </x:c>
    </x:row>
    <x:row r="2916" ht="21.600000381469727" hidden="0" customHeight="1">
      <x:c r="A2916" s="27" t="n">
        <x:v>971</x:v>
      </x:c>
      <x:c r="B2916" s="27" t="str">
        <x:v>A2</x:v>
      </x:c>
      <x:c r="C2916" s="47" t="n">
        <x:v>1.178488244803863</x:v>
      </x:c>
      <x:c r="D2916" s="47" t="n">
        <x:v>0.893697188153289</x:v>
      </x:c>
      <x:c r="E2916" s="47" t="n">
        <x:v>0.78911224427889</x:v>
      </x:c>
      <x:c r="F2916" s="47" t="n">
        <x:v>-0.1399579703121135</x:v>
      </x:c>
      <x:c r="G2916" s="47" t="n">
        <x:v>-0.0725687590759499</x:v>
      </x:c>
      <x:c r="H2916" s="47" t="n">
        <x:v>0.8134450733110561</x:v>
      </x:c>
      <x:c r="I2916" s="47" t="n">
        <x:v>1.0179394175148162</x:v>
      </x:c>
      <x:c r="J2916" s="47" t="n">
        <x:v>0.6996106176296324</x:v>
      </x:c>
      <x:c r="K2916" s="47" t="n">
        <x:v>0.7628747174229247</x:v>
      </x:c>
      <x:c r="L2916" s="47" t="n">
        <x:v>0.936166261561555</x:v>
      </x:c>
      <x:c r="M2916" s="47" t="n">
        <x:v>0.12618337975600208</x:v>
      </x:c>
      <x:c r="N2916" s="47" t="n">
        <x:v>0.9349556383520271</x:v>
      </x:c>
      <x:c r="O2916" s="47" t="n">
        <x:v>0.9497240751487571</x:v>
      </x:c>
      <x:c r="P2916" s="47" t="n">
        <x:v>0.6353659608154061</x:v>
      </x:c>
      <x:c r="Q2916" s="47" t="n">
        <x:v>1</x:v>
      </x:c>
      <x:c r="R2916" s="47" t="n">
        <x:v>0.9379171239398121</x:v>
      </x:c>
      <x:c r="S2916" s="27" t="n">
        <x:v>0</x:v>
      </x:c>
    </x:row>
    <x:row r="2917" ht="21.600000381469727" hidden="0" customHeight="1">
      <x:c r="A2917" s="29" t="n">
        <x:v>971</x:v>
      </x:c>
      <x:c r="B2917" s="29" t="str">
        <x:v>A3</x:v>
      </x:c>
      <x:c r="C2917" s="48" t="n">
        <x:v>1.178488244803863</x:v>
      </x:c>
      <x:c r="D2917" s="48" t="n">
        <x:v>0.893697188153289</x:v>
      </x:c>
      <x:c r="E2917" s="48" t="n">
        <x:v>0.78911224427889</x:v>
      </x:c>
      <x:c r="F2917" s="48" t="n">
        <x:v>-0.1399579703121135</x:v>
      </x:c>
      <x:c r="G2917" s="48" t="n">
        <x:v>-0.0725687590759499</x:v>
      </x:c>
      <x:c r="H2917" s="48" t="n">
        <x:v>0.8134450733110561</x:v>
      </x:c>
      <x:c r="I2917" s="48" t="n">
        <x:v>1.0179394175148162</x:v>
      </x:c>
      <x:c r="J2917" s="48" t="n">
        <x:v>0.6996106176296324</x:v>
      </x:c>
      <x:c r="K2917" s="48" t="n">
        <x:v>0.7628747174229247</x:v>
      </x:c>
      <x:c r="L2917" s="48" t="n">
        <x:v>0.936166261561555</x:v>
      </x:c>
      <x:c r="M2917" s="48" t="n">
        <x:v>0.12618337975600208</x:v>
      </x:c>
      <x:c r="N2917" s="48" t="n">
        <x:v>0.9349556383520271</x:v>
      </x:c>
      <x:c r="O2917" s="48" t="n">
        <x:v>1</x:v>
      </x:c>
      <x:c r="P2917" s="48" t="n">
        <x:v>1</x:v>
      </x:c>
      <x:c r="Q2917" s="48" t="n">
        <x:v>1</x:v>
      </x:c>
      <x:c r="R2917" s="48" t="n">
        <x:v>1</x:v>
      </x:c>
      <x:c r="S2917" s="29" t="n">
        <x:v>1</x:v>
      </x:c>
    </x:row>
    <x:row r="2918" ht="21.600000381469727" hidden="0" customHeight="1">
      <x:c r="A2918" s="27" t="n">
        <x:v>972</x:v>
      </x:c>
      <x:c r="B2918" s="27" t="str">
        <x:v>A1</x:v>
      </x:c>
      <x:c r="C2918" s="47" t="n">
        <x:v>0.927096908157155</x:v>
      </x:c>
      <x:c r="D2918" s="47" t="n">
        <x:v>0.7790702057615204</x:v>
      </x:c>
      <x:c r="E2918" s="47" t="n">
        <x:v>0.8899904776650368</x:v>
      </x:c>
      <x:c r="F2918" s="47" t="n">
        <x:v>0.00899037479689982</x:v>
      </x:c>
      <x:c r="G2918" s="47" t="n">
        <x:v>-0.10261825625636753</x:v>
      </x:c>
      <x:c r="H2918" s="47" t="n">
        <x:v>0.4333927361621669</x:v>
      </x:c>
      <x:c r="I2918" s="47" t="n">
        <x:v>0.9576113378138276</x:v>
      </x:c>
      <x:c r="J2918" s="47" t="n">
        <x:v>0.9318389016950149</x:v>
      </x:c>
      <x:c r="K2918" s="47" t="n">
        <x:v>0.5851521910303153</x:v>
      </x:c>
      <x:c r="L2918" s="47" t="n">
        <x:v>0.5497532123154654</x:v>
      </x:c>
      <x:c r="M2918" s="47" t="n">
        <x:v>0.09714932613483576</x:v>
      </x:c>
      <x:c r="N2918" s="47" t="n">
        <x:v>0.728133832144392</x:v>
      </x:c>
      <x:c r="O2918" s="47" t="n">
        <x:v>0.8617466081716245</x:v>
      </x:c>
      <x:c r="P2918" s="47" t="n">
        <x:v>0.6047636604814781</x:v>
      </x:c>
      <x:c r="Q2918" s="47" t="n">
        <x:v>1</x:v>
      </x:c>
      <x:c r="R2918" s="47" t="n">
        <x:v>0.8292787608546709</x:v>
      </x:c>
      <x:c r="S2918" s="27" t="n">
        <x:v>0</x:v>
      </x:c>
    </x:row>
    <x:row r="2919" ht="21.600000381469727" hidden="0" customHeight="1">
      <x:c r="A2919" s="29" t="n">
        <x:v>972</x:v>
      </x:c>
      <x:c r="B2919" s="29" t="str">
        <x:v>A2</x:v>
      </x:c>
      <x:c r="C2919" s="48" t="n">
        <x:v>0.927096908157155</x:v>
      </x:c>
      <x:c r="D2919" s="48" t="n">
        <x:v>0.7790702057615204</x:v>
      </x:c>
      <x:c r="E2919" s="48" t="n">
        <x:v>0.8899904776650368</x:v>
      </x:c>
      <x:c r="F2919" s="48" t="n">
        <x:v>0.00899037479689982</x:v>
      </x:c>
      <x:c r="G2919" s="48" t="n">
        <x:v>-0.10261825625636753</x:v>
      </x:c>
      <x:c r="H2919" s="48" t="n">
        <x:v>0.4333927361621669</x:v>
      </x:c>
      <x:c r="I2919" s="48" t="n">
        <x:v>0.9576113378138276</x:v>
      </x:c>
      <x:c r="J2919" s="48" t="n">
        <x:v>0.9318389016950149</x:v>
      </x:c>
      <x:c r="K2919" s="48" t="n">
        <x:v>0.5851521910303153</x:v>
      </x:c>
      <x:c r="L2919" s="48" t="n">
        <x:v>0.5497532123154654</x:v>
      </x:c>
      <x:c r="M2919" s="48" t="n">
        <x:v>0.09714932613483576</x:v>
      </x:c>
      <x:c r="N2919" s="48" t="n">
        <x:v>0.728133832144392</x:v>
      </x:c>
      <x:c r="O2919" s="48" t="n">
        <x:v>0.9610284712291032</x:v>
      </x:c>
      <x:c r="P2919" s="48" t="n">
        <x:v>0.7255396255358738</x:v>
      </x:c>
      <x:c r="Q2919" s="48" t="n">
        <x:v>1</x:v>
      </x:c>
      <x:c r="R2919" s="48" t="n">
        <x:v>0.9518762788010688</x:v>
      </x:c>
      <x:c r="S2919" s="29" t="n">
        <x:v>0</x:v>
      </x:c>
    </x:row>
    <x:row r="2920" ht="21.600000381469727" hidden="0" customHeight="1">
      <x:c r="A2920" s="27" t="n">
        <x:v>972</x:v>
      </x:c>
      <x:c r="B2920" s="27" t="str">
        <x:v>A3</x:v>
      </x:c>
      <x:c r="C2920" s="47" t="n">
        <x:v>0.927096908157155</x:v>
      </x:c>
      <x:c r="D2920" s="47" t="n">
        <x:v>0.7790702057615204</x:v>
      </x:c>
      <x:c r="E2920" s="47" t="n">
        <x:v>0.8899904776650368</x:v>
      </x:c>
      <x:c r="F2920" s="47" t="n">
        <x:v>0.00899037479689982</x:v>
      </x:c>
      <x:c r="G2920" s="47" t="n">
        <x:v>-0.10261825625636753</x:v>
      </x:c>
      <x:c r="H2920" s="47" t="n">
        <x:v>0.4333927361621669</x:v>
      </x:c>
      <x:c r="I2920" s="47" t="n">
        <x:v>0.9576113378138276</x:v>
      </x:c>
      <x:c r="J2920" s="47" t="n">
        <x:v>0.9318389016950149</x:v>
      </x:c>
      <x:c r="K2920" s="47" t="n">
        <x:v>0.5851521910303153</x:v>
      </x:c>
      <x:c r="L2920" s="47" t="n">
        <x:v>0.5497532123154654</x:v>
      </x:c>
      <x:c r="M2920" s="47" t="n">
        <x:v>0.09714932613483576</x:v>
      </x:c>
      <x:c r="N2920" s="47" t="n">
        <x:v>0.728133832144392</x:v>
      </x:c>
      <x:c r="O2920" s="47" t="n">
        <x:v>1</x:v>
      </x:c>
      <x:c r="P2920" s="47" t="n">
        <x:v>1</x:v>
      </x:c>
      <x:c r="Q2920" s="47" t="n">
        <x:v>1</x:v>
      </x:c>
      <x:c r="R2920" s="47" t="n">
        <x:v>1.0000000000000002</x:v>
      </x:c>
      <x:c r="S2920" s="27" t="n">
        <x:v>1</x:v>
      </x:c>
    </x:row>
    <x:row r="2921" ht="21.600000381469727" hidden="0" customHeight="1">
      <x:c r="A2921" s="29" t="n">
        <x:v>973</x:v>
      </x:c>
      <x:c r="B2921" s="29" t="str">
        <x:v>A1</x:v>
      </x:c>
      <x:c r="C2921" s="48" t="n">
        <x:v>1.3472533585936437</x:v>
      </x:c>
      <x:c r="D2921" s="48" t="n">
        <x:v>0.7538171013123482</x:v>
      </x:c>
      <x:c r="E2921" s="48" t="n">
        <x:v>0.6663155027628134</x:v>
      </x:c>
      <x:c r="F2921" s="48" t="n">
        <x:v>-0.18509598765481722</x:v>
      </x:c>
      <x:c r="G2921" s="48" t="n">
        <x:v>-0.018684738266495388</x:v>
      </x:c>
      <x:c r="H2921" s="48" t="n">
        <x:v>0.36483046012615916</x:v>
      </x:c>
      <x:c r="I2921" s="48" t="n">
        <x:v>0.9798590759771784</x:v>
      </x:c>
      <x:c r="J2921" s="48" t="n">
        <x:v>0.9698460951632434</x:v>
      </x:c>
      <x:c r="K2921" s="48" t="n">
        <x:v>0.9623029981052745</x:v>
      </x:c>
      <x:c r="L2921" s="48" t="n">
        <x:v>0.9443728321309701</x:v>
      </x:c>
      <x:c r="M2921" s="48" t="n">
        <x:v>0.02563386741371718</x:v>
      </x:c>
      <x:c r="N2921" s="48" t="n">
        <x:v>0.7502278302737865</x:v>
      </x:c>
      <x:c r="O2921" s="48" t="n">
        <x:v>0.7712792516518646</x:v>
      </x:c>
      <x:c r="P2921" s="48" t="n">
        <x:v>0.47422599630191203</x:v>
      </x:c>
      <x:c r="Q2921" s="48" t="n">
        <x:v>1</x:v>
      </x:c>
      <x:c r="R2921" s="48" t="n">
        <x:v>0.717565774988629</x:v>
      </x:c>
      <x:c r="S2921" s="29" t="n">
        <x:v>0</x:v>
      </x:c>
    </x:row>
    <x:row r="2922" ht="21.600000381469727" hidden="0" customHeight="1">
      <x:c r="A2922" s="27" t="n">
        <x:v>973</x:v>
      </x:c>
      <x:c r="B2922" s="27" t="str">
        <x:v>A2</x:v>
      </x:c>
      <x:c r="C2922" s="47" t="n">
        <x:v>1.3472533585936437</x:v>
      </x:c>
      <x:c r="D2922" s="47" t="n">
        <x:v>0.7538171013123482</x:v>
      </x:c>
      <x:c r="E2922" s="47" t="n">
        <x:v>0.6663155027628134</x:v>
      </x:c>
      <x:c r="F2922" s="47" t="n">
        <x:v>-0.18509598765481722</x:v>
      </x:c>
      <x:c r="G2922" s="47" t="n">
        <x:v>-0.018684738266495388</x:v>
      </x:c>
      <x:c r="H2922" s="47" t="n">
        <x:v>0.36483046012615916</x:v>
      </x:c>
      <x:c r="I2922" s="47" t="n">
        <x:v>0.9798590759771784</x:v>
      </x:c>
      <x:c r="J2922" s="47" t="n">
        <x:v>0.9698460951632434</x:v>
      </x:c>
      <x:c r="K2922" s="47" t="n">
        <x:v>0.9623029981052745</x:v>
      </x:c>
      <x:c r="L2922" s="47" t="n">
        <x:v>0.9443728321309701</x:v>
      </x:c>
      <x:c r="M2922" s="47" t="n">
        <x:v>0.02563386741371718</x:v>
      </x:c>
      <x:c r="N2922" s="47" t="n">
        <x:v>0.7502278302737865</x:v>
      </x:c>
      <x:c r="O2922" s="47" t="n">
        <x:v>0.863590495699528</x:v>
      </x:c>
      <x:c r="P2922" s="47" t="n">
        <x:v>0.4147230119396114</x:v>
      </x:c>
      <x:c r="Q2922" s="47" t="n">
        <x:v>1</x:v>
      </x:c>
      <x:c r="R2922" s="47" t="n">
        <x:v>0.831555672541576</x:v>
      </x:c>
      <x:c r="S2922" s="27" t="n">
        <x:v>0</x:v>
      </x:c>
    </x:row>
    <x:row r="2923" ht="21.600000381469727" hidden="0" customHeight="1">
      <x:c r="A2923" s="29" t="n">
        <x:v>973</x:v>
      </x:c>
      <x:c r="B2923" s="29" t="str">
        <x:v>A3</x:v>
      </x:c>
      <x:c r="C2923" s="48" t="n">
        <x:v>1.3472533585936437</x:v>
      </x:c>
      <x:c r="D2923" s="48" t="n">
        <x:v>0.7538171013123482</x:v>
      </x:c>
      <x:c r="E2923" s="48" t="n">
        <x:v>0.6663155027628134</x:v>
      </x:c>
      <x:c r="F2923" s="48" t="n">
        <x:v>-0.18509598765481722</x:v>
      </x:c>
      <x:c r="G2923" s="48" t="n">
        <x:v>-0.018684738266495388</x:v>
      </x:c>
      <x:c r="H2923" s="48" t="n">
        <x:v>0.36483046012615916</x:v>
      </x:c>
      <x:c r="I2923" s="48" t="n">
        <x:v>0.9798590759771784</x:v>
      </x:c>
      <x:c r="J2923" s="48" t="n">
        <x:v>0.9698460951632434</x:v>
      </x:c>
      <x:c r="K2923" s="48" t="n">
        <x:v>0.9623029981052745</x:v>
      </x:c>
      <x:c r="L2923" s="48" t="n">
        <x:v>0.9443728321309701</x:v>
      </x:c>
      <x:c r="M2923" s="48" t="n">
        <x:v>0.02563386741371718</x:v>
      </x:c>
      <x:c r="N2923" s="48" t="n">
        <x:v>0.7502278302737865</x:v>
      </x:c>
      <x:c r="O2923" s="48" t="n">
        <x:v>1</x:v>
      </x:c>
      <x:c r="P2923" s="48" t="n">
        <x:v>1</x:v>
      </x:c>
      <x:c r="Q2923" s="48" t="n">
        <x:v>1</x:v>
      </x:c>
      <x:c r="R2923" s="48" t="n">
        <x:v>1</x:v>
      </x:c>
      <x:c r="S2923" s="29" t="n">
        <x:v>1</x:v>
      </x:c>
    </x:row>
    <x:row r="2924" ht="21.600000381469727" hidden="0" customHeight="1">
      <x:c r="A2924" s="27" t="n">
        <x:v>974</x:v>
      </x:c>
      <x:c r="B2924" s="27" t="str">
        <x:v>A1</x:v>
      </x:c>
      <x:c r="C2924" s="47" t="n">
        <x:v>1.2367617162743758</x:v>
      </x:c>
      <x:c r="D2924" s="47" t="n">
        <x:v>0.7937693729693851</x:v>
      </x:c>
      <x:c r="E2924" s="47" t="n">
        <x:v>0.7543319946666747</x:v>
      </x:c>
      <x:c r="F2924" s="47" t="n">
        <x:v>-0.17513165885411802</x:v>
      </x:c>
      <x:c r="G2924" s="47" t="n">
        <x:v>-0.03069447862123484</x:v>
      </x:c>
      <x:c r="H2924" s="47" t="n">
        <x:v>1.0296208183090674</x:v>
      </x:c>
      <x:c r="I2924" s="47" t="n">
        <x:v>0.7554927244557157</x:v>
      </x:c>
      <x:c r="J2924" s="47" t="n">
        <x:v>0.5378055283327934</x:v>
      </x:c>
      <x:c r="K2924" s="47" t="n">
        <x:v>0.6721156098993709</x:v>
      </x:c>
      <x:c r="L2924" s="47" t="n">
        <x:v>0.5445785622315555</x:v>
      </x:c>
      <x:c r="M2924" s="47" t="n">
        <x:v>0.07293404994170428</x:v>
      </x:c>
      <x:c r="N2924" s="47" t="n">
        <x:v>0.8294644771355443</x:v>
      </x:c>
      <x:c r="O2924" s="47" t="n">
        <x:v>0.7370843365022607</x:v>
      </x:c>
      <x:c r="P2924" s="47" t="n">
        <x:v>0.41634887712562385</x:v>
      </x:c>
      <x:c r="Q2924" s="47" t="n">
        <x:v>0.9178792803197893</x:v>
      </x:c>
      <x:c r="R2924" s="47" t="n">
        <x:v>0.6824285174345249</x:v>
      </x:c>
      <x:c r="S2924" s="27" t="n">
        <x:v>0</x:v>
      </x:c>
    </x:row>
    <x:row r="2925" ht="21.600000381469727" hidden="0" customHeight="1">
      <x:c r="A2925" s="29" t="n">
        <x:v>974</x:v>
      </x:c>
      <x:c r="B2925" s="29" t="str">
        <x:v>A2</x:v>
      </x:c>
      <x:c r="C2925" s="48" t="n">
        <x:v>1.2367617162743758</x:v>
      </x:c>
      <x:c r="D2925" s="48" t="n">
        <x:v>0.7937693729693851</x:v>
      </x:c>
      <x:c r="E2925" s="48" t="n">
        <x:v>0.7543319946666747</x:v>
      </x:c>
      <x:c r="F2925" s="48" t="n">
        <x:v>-0.17513165885411802</x:v>
      </x:c>
      <x:c r="G2925" s="48" t="n">
        <x:v>-0.03069447862123484</x:v>
      </x:c>
      <x:c r="H2925" s="48" t="n">
        <x:v>1.0296208183090674</x:v>
      </x:c>
      <x:c r="I2925" s="48" t="n">
        <x:v>0.7554927244557157</x:v>
      </x:c>
      <x:c r="J2925" s="48" t="n">
        <x:v>0.5378055283327934</x:v>
      </x:c>
      <x:c r="K2925" s="48" t="n">
        <x:v>0.6721156098993709</x:v>
      </x:c>
      <x:c r="L2925" s="48" t="n">
        <x:v>0.5445785622315555</x:v>
      </x:c>
      <x:c r="M2925" s="48" t="n">
        <x:v>0.07293404994170428</x:v>
      </x:c>
      <x:c r="N2925" s="48" t="n">
        <x:v>0.8294644771355443</x:v>
      </x:c>
      <x:c r="O2925" s="48" t="n">
        <x:v>0.805378000317773</x:v>
      </x:c>
      <x:c r="P2925" s="48" t="n">
        <x:v>0.47695840191983074</x:v>
      </x:c>
      <x:c r="Q2925" s="48" t="n">
        <x:v>1</x:v>
      </x:c>
      <x:c r="R2925" s="48" t="n">
        <x:v>0.7596723775722065</x:v>
      </x:c>
      <x:c r="S2925" s="29" t="n">
        <x:v>0</x:v>
      </x:c>
    </x:row>
    <x:row r="2926" ht="21.600000381469727" hidden="0" customHeight="1">
      <x:c r="A2926" s="27" t="n">
        <x:v>974</x:v>
      </x:c>
      <x:c r="B2926" s="27" t="str">
        <x:v>A3</x:v>
      </x:c>
      <x:c r="C2926" s="47" t="n">
        <x:v>1.2367617162743758</x:v>
      </x:c>
      <x:c r="D2926" s="47" t="n">
        <x:v>0.7937693729693851</x:v>
      </x:c>
      <x:c r="E2926" s="47" t="n">
        <x:v>0.7543319946666747</x:v>
      </x:c>
      <x:c r="F2926" s="47" t="n">
        <x:v>-0.17513165885411802</x:v>
      </x:c>
      <x:c r="G2926" s="47" t="n">
        <x:v>-0.03069447862123484</x:v>
      </x:c>
      <x:c r="H2926" s="47" t="n">
        <x:v>1.0296208183090674</x:v>
      </x:c>
      <x:c r="I2926" s="47" t="n">
        <x:v>0.7554927244557157</x:v>
      </x:c>
      <x:c r="J2926" s="47" t="n">
        <x:v>0.5378055283327934</x:v>
      </x:c>
      <x:c r="K2926" s="47" t="n">
        <x:v>0.6721156098993709</x:v>
      </x:c>
      <x:c r="L2926" s="47" t="n">
        <x:v>0.5445785622315555</x:v>
      </x:c>
      <x:c r="M2926" s="47" t="n">
        <x:v>0.07293404994170428</x:v>
      </x:c>
      <x:c r="N2926" s="47" t="n">
        <x:v>0.8294644771355443</x:v>
      </x:c>
      <x:c r="O2926" s="47" t="n">
        <x:v>1</x:v>
      </x:c>
      <x:c r="P2926" s="47" t="n">
        <x:v>1</x:v>
      </x:c>
      <x:c r="Q2926" s="47" t="n">
        <x:v>1</x:v>
      </x:c>
      <x:c r="R2926" s="47" t="n">
        <x:v>1</x:v>
      </x:c>
      <x:c r="S2926" s="27" t="n">
        <x:v>1</x:v>
      </x:c>
    </x:row>
    <x:row r="2927" ht="21.600000381469727" hidden="0" customHeight="1">
      <x:c r="A2927" s="29" t="n">
        <x:v>975</x:v>
      </x:c>
      <x:c r="B2927" s="29" t="str">
        <x:v>A1</x:v>
      </x:c>
      <x:c r="C2927" s="48" t="n">
        <x:v>1.2894719895439843</x:v>
      </x:c>
      <x:c r="D2927" s="48" t="n">
        <x:v>0.7658513609752471</x:v>
      </x:c>
      <x:c r="E2927" s="48" t="n">
        <x:v>0.9316764610514385</x:v>
      </x:c>
      <x:c r="F2927" s="48" t="n">
        <x:v>-0.0005805956415771418</x:v>
      </x:c>
      <x:c r="G2927" s="48" t="n">
        <x:v>0.009857361552324778</x:v>
      </x:c>
      <x:c r="H2927" s="48" t="n">
        <x:v>0.8059977202379969</x:v>
      </x:c>
      <x:c r="I2927" s="48" t="n">
        <x:v>0.87358141574988</x:v>
      </x:c>
      <x:c r="J2927" s="48" t="n">
        <x:v>0.5914175215408979</x:v>
      </x:c>
      <x:c r="K2927" s="48" t="n">
        <x:v>0.8084009423257508</x:v>
      </x:c>
      <x:c r="L2927" s="48" t="n">
        <x:v>0.6710107990509904</x:v>
      </x:c>
      <x:c r="M2927" s="48" t="n">
        <x:v>0.03467464429989245</x:v>
      </x:c>
      <x:c r="N2927" s="48" t="n">
        <x:v>0.9978658329038298</x:v>
      </x:c>
      <x:c r="O2927" s="48" t="n">
        <x:v>0.7398251291740917</x:v>
      </x:c>
      <x:c r="P2927" s="48" t="n">
        <x:v>0.46739582365307014</x:v>
      </x:c>
      <x:c r="Q2927" s="48" t="n">
        <x:v>0.8713370730026365</x:v>
      </x:c>
      <x:c r="R2927" s="48" t="n">
        <x:v>0.6796804313686358</x:v>
      </x:c>
      <x:c r="S2927" s="29" t="n">
        <x:v>0</x:v>
      </x:c>
    </x:row>
    <x:row r="2928" ht="21.600000381469727" hidden="0" customHeight="1">
      <x:c r="A2928" s="27" t="n">
        <x:v>975</x:v>
      </x:c>
      <x:c r="B2928" s="27" t="str">
        <x:v>A2</x:v>
      </x:c>
      <x:c r="C2928" s="47" t="n">
        <x:v>1.2894719895439843</x:v>
      </x:c>
      <x:c r="D2928" s="47" t="n">
        <x:v>0.7658513609752471</x:v>
      </x:c>
      <x:c r="E2928" s="47" t="n">
        <x:v>0.9316764610514385</x:v>
      </x:c>
      <x:c r="F2928" s="47" t="n">
        <x:v>-0.0005805956415771418</x:v>
      </x:c>
      <x:c r="G2928" s="47" t="n">
        <x:v>0.009857361552324778</x:v>
      </x:c>
      <x:c r="H2928" s="47" t="n">
        <x:v>0.8059977202379969</x:v>
      </x:c>
      <x:c r="I2928" s="47" t="n">
        <x:v>0.87358141574988</x:v>
      </x:c>
      <x:c r="J2928" s="47" t="n">
        <x:v>0.5914175215408979</x:v>
      </x:c>
      <x:c r="K2928" s="47" t="n">
        <x:v>0.8084009423257508</x:v>
      </x:c>
      <x:c r="L2928" s="47" t="n">
        <x:v>0.6710107990509904</x:v>
      </x:c>
      <x:c r="M2928" s="47" t="n">
        <x:v>0.03467464429989245</x:v>
      </x:c>
      <x:c r="N2928" s="47" t="n">
        <x:v>0.9978658329038298</x:v>
      </x:c>
      <x:c r="O2928" s="47" t="n">
        <x:v>0.8222991825459091</x:v>
      </x:c>
      <x:c r="P2928" s="47" t="n">
        <x:v>0.4925020791564547</x:v>
      </x:c>
      <x:c r="Q2928" s="47" t="n">
        <x:v>1</x:v>
      </x:c>
      <x:c r="R2928" s="47" t="n">
        <x:v>0.7805673817351236</x:v>
      </x:c>
      <x:c r="S2928" s="27" t="n">
        <x:v>0</x:v>
      </x:c>
    </x:row>
    <x:row r="2929" ht="21.600000381469727" hidden="0" customHeight="1">
      <x:c r="A2929" s="29" t="n">
        <x:v>975</x:v>
      </x:c>
      <x:c r="B2929" s="29" t="str">
        <x:v>A3</x:v>
      </x:c>
      <x:c r="C2929" s="48" t="n">
        <x:v>1.2894719895439843</x:v>
      </x:c>
      <x:c r="D2929" s="48" t="n">
        <x:v>0.7658513609752471</x:v>
      </x:c>
      <x:c r="E2929" s="48" t="n">
        <x:v>0.9316764610514385</x:v>
      </x:c>
      <x:c r="F2929" s="48" t="n">
        <x:v>-0.0005805956415771418</x:v>
      </x:c>
      <x:c r="G2929" s="48" t="n">
        <x:v>0.009857361552324778</x:v>
      </x:c>
      <x:c r="H2929" s="48" t="n">
        <x:v>0.8059977202379969</x:v>
      </x:c>
      <x:c r="I2929" s="48" t="n">
        <x:v>0.87358141574988</x:v>
      </x:c>
      <x:c r="J2929" s="48" t="n">
        <x:v>0.5914175215408979</x:v>
      </x:c>
      <x:c r="K2929" s="48" t="n">
        <x:v>0.8084009423257508</x:v>
      </x:c>
      <x:c r="L2929" s="48" t="n">
        <x:v>0.6710107990509904</x:v>
      </x:c>
      <x:c r="M2929" s="48" t="n">
        <x:v>0.03467464429989245</x:v>
      </x:c>
      <x:c r="N2929" s="48" t="n">
        <x:v>0.9978658329038298</x:v>
      </x:c>
      <x:c r="O2929" s="48" t="n">
        <x:v>1</x:v>
      </x:c>
      <x:c r="P2929" s="48" t="n">
        <x:v>1</x:v>
      </x:c>
      <x:c r="Q2929" s="48" t="n">
        <x:v>1</x:v>
      </x:c>
      <x:c r="R2929" s="48" t="n">
        <x:v>1</x:v>
      </x:c>
      <x:c r="S2929" s="29" t="n">
        <x:v>1</x:v>
      </x:c>
    </x:row>
    <x:row r="2930" ht="21.600000381469727" hidden="0" customHeight="1">
      <x:c r="A2930" s="27" t="n">
        <x:v>976</x:v>
      </x:c>
      <x:c r="B2930" s="27" t="str">
        <x:v>A1</x:v>
      </x:c>
      <x:c r="C2930" s="47" t="n">
        <x:v>0.9683789286660514</x:v>
      </x:c>
      <x:c r="D2930" s="47" t="n">
        <x:v>0.9872425424533773</x:v>
      </x:c>
      <x:c r="E2930" s="47" t="n">
        <x:v>0.9551947607541393</x:v>
      </x:c>
      <x:c r="F2930" s="47" t="n">
        <x:v>0.017047349297888398</x:v>
      </x:c>
      <x:c r="G2930" s="47" t="n">
        <x:v>-0.04008945908413192</x:v>
      </x:c>
      <x:c r="H2930" s="47" t="n">
        <x:v>0.422391756846056</x:v>
      </x:c>
      <x:c r="I2930" s="47" t="n">
        <x:v>0.9636304515463072</x:v>
      </x:c>
      <x:c r="J2930" s="47" t="n">
        <x:v>0.8214136502991274</x:v>
      </x:c>
      <x:c r="K2930" s="47" t="n">
        <x:v>0.9679615654973486</x:v>
      </x:c>
      <x:c r="L2930" s="47" t="n">
        <x:v>0.6301194346493735</x:v>
      </x:c>
      <x:c r="M2930" s="47" t="n">
        <x:v>0.013750924816988683</x:v>
      </x:c>
      <x:c r="N2930" s="47" t="n">
        <x:v>0.6748220900517891</x:v>
      </x:c>
      <x:c r="O2930" s="47" t="n">
        <x:v>0.9924290209124605</x:v>
      </x:c>
      <x:c r="P2930" s="47" t="n">
        <x:v>0.9325824654974431</x:v>
      </x:c>
      <x:c r="Q2930" s="47" t="n">
        <x:v>1</x:v>
      </x:c>
      <x:c r="R2930" s="47" t="n">
        <x:v>0.9906510291409513</x:v>
      </x:c>
      <x:c r="S2930" s="27" t="n">
        <x:v>0</x:v>
      </x:c>
    </x:row>
    <x:row r="2931" ht="21.600000381469727" hidden="0" customHeight="1">
      <x:c r="A2931" s="29" t="n">
        <x:v>976</x:v>
      </x:c>
      <x:c r="B2931" s="29" t="str">
        <x:v>A2</x:v>
      </x:c>
      <x:c r="C2931" s="48" t="n">
        <x:v>0.9683789286660514</x:v>
      </x:c>
      <x:c r="D2931" s="48" t="n">
        <x:v>0.9872425424533773</x:v>
      </x:c>
      <x:c r="E2931" s="48" t="n">
        <x:v>0.9551947607541393</x:v>
      </x:c>
      <x:c r="F2931" s="48" t="n">
        <x:v>0.017047349297888398</x:v>
      </x:c>
      <x:c r="G2931" s="48" t="n">
        <x:v>-0.04008945908413192</x:v>
      </x:c>
      <x:c r="H2931" s="48" t="n">
        <x:v>0.422391756846056</x:v>
      </x:c>
      <x:c r="I2931" s="48" t="n">
        <x:v>0.9636304515463072</x:v>
      </x:c>
      <x:c r="J2931" s="48" t="n">
        <x:v>0.8214136502991274</x:v>
      </x:c>
      <x:c r="K2931" s="48" t="n">
        <x:v>0.9679615654973486</x:v>
      </x:c>
      <x:c r="L2931" s="48" t="n">
        <x:v>0.6301194346493735</x:v>
      </x:c>
      <x:c r="M2931" s="48" t="n">
        <x:v>0.013750924816988683</x:v>
      </x:c>
      <x:c r="N2931" s="48" t="n">
        <x:v>0.6748220900517891</x:v>
      </x:c>
      <x:c r="O2931" s="48" t="n">
        <x:v>1</x:v>
      </x:c>
      <x:c r="P2931" s="48" t="n">
        <x:v>1</x:v>
      </x:c>
      <x:c r="Q2931" s="48" t="n">
        <x:v>1</x:v>
      </x:c>
      <x:c r="R2931" s="48" t="n">
        <x:v>1</x:v>
      </x:c>
      <x:c r="S2931" s="29" t="n">
        <x:v>1</x:v>
      </x:c>
    </x:row>
    <x:row r="2932" ht="21.600000381469727" hidden="0" customHeight="1">
      <x:c r="A2932" s="27" t="n">
        <x:v>976</x:v>
      </x:c>
      <x:c r="B2932" s="27" t="str">
        <x:v>A3</x:v>
      </x:c>
      <x:c r="C2932" s="47" t="n">
        <x:v>0.9683789286660514</x:v>
      </x:c>
      <x:c r="D2932" s="47" t="n">
        <x:v>0.9872425424533773</x:v>
      </x:c>
      <x:c r="E2932" s="47" t="n">
        <x:v>0.9551947607541393</x:v>
      </x:c>
      <x:c r="F2932" s="47" t="n">
        <x:v>0.017047349297888398</x:v>
      </x:c>
      <x:c r="G2932" s="47" t="n">
        <x:v>-0.04008945908413192</x:v>
      </x:c>
      <x:c r="H2932" s="47" t="n">
        <x:v>0.422391756846056</x:v>
      </x:c>
      <x:c r="I2932" s="47" t="n">
        <x:v>0.9636304515463072</x:v>
      </x:c>
      <x:c r="J2932" s="47" t="n">
        <x:v>0.8214136502991274</x:v>
      </x:c>
      <x:c r="K2932" s="47" t="n">
        <x:v>0.9679615654973486</x:v>
      </x:c>
      <x:c r="L2932" s="47" t="n">
        <x:v>0.6301194346493735</x:v>
      </x:c>
      <x:c r="M2932" s="47" t="n">
        <x:v>0.013750924816988683</x:v>
      </x:c>
      <x:c r="N2932" s="47" t="n">
        <x:v>0.6748220900517891</x:v>
      </x:c>
      <x:c r="O2932" s="47" t="n">
        <x:v>1</x:v>
      </x:c>
      <x:c r="P2932" s="47" t="n">
        <x:v>1</x:v>
      </x:c>
      <x:c r="Q2932" s="47" t="n">
        <x:v>1</x:v>
      </x:c>
      <x:c r="R2932" s="47" t="n">
        <x:v>1</x:v>
      </x:c>
      <x:c r="S2932" s="27" t="n">
        <x:v>1</x:v>
      </x:c>
    </x:row>
    <x:row r="2933" ht="21.600000381469727" hidden="0" customHeight="1">
      <x:c r="A2933" s="29" t="n">
        <x:v>977</x:v>
      </x:c>
      <x:c r="B2933" s="29" t="str">
        <x:v>A1</x:v>
      </x:c>
      <x:c r="C2933" s="48" t="n">
        <x:v>1.1115826540010387</x:v>
      </x:c>
      <x:c r="D2933" s="48" t="n">
        <x:v>0.9699051462194059</x:v>
      </x:c>
      <x:c r="E2933" s="48" t="n">
        <x:v>0.6667041196003358</x:v>
      </x:c>
      <x:c r="F2933" s="48" t="n">
        <x:v>0.03089092903305421</x:v>
      </x:c>
      <x:c r="G2933" s="48" t="n">
        <x:v>-0.032046384186480564</x:v>
      </x:c>
      <x:c r="H2933" s="48" t="n">
        <x:v>0.8542635660907514</x:v>
      </x:c>
      <x:c r="I2933" s="48" t="n">
        <x:v>0.7848798126887261</x:v>
      </x:c>
      <x:c r="J2933" s="48" t="n">
        <x:v>0.885124465465706</x:v>
      </x:c>
      <x:c r="K2933" s="48" t="n">
        <x:v>0.883801829934395</x:v>
      </x:c>
      <x:c r="L2933" s="48" t="n">
        <x:v>0.9345001701166057</x:v>
      </x:c>
      <x:c r="M2933" s="48" t="n">
        <x:v>0.1712203973644841</x:v>
      </x:c>
      <x:c r="N2933" s="48" t="n">
        <x:v>0.726300796341048</x:v>
      </x:c>
      <x:c r="O2933" s="48" t="n">
        <x:v>0.9164502269481243</x:v>
      </x:c>
      <x:c r="P2933" s="48" t="n">
        <x:v>0.6337463587733341</x:v>
      </x:c>
      <x:c r="Q2933" s="48" t="n">
        <x:v>1</x:v>
      </x:c>
      <x:c r="R2933" s="48" t="n">
        <x:v>0.8968291439573947</x:v>
      </x:c>
      <x:c r="S2933" s="29" t="n">
        <x:v>0</x:v>
      </x:c>
    </x:row>
    <x:row r="2934" ht="21.600000381469727" hidden="0" customHeight="1">
      <x:c r="A2934" s="27" t="n">
        <x:v>977</x:v>
      </x:c>
      <x:c r="B2934" s="27" t="str">
        <x:v>A2</x:v>
      </x:c>
      <x:c r="C2934" s="47" t="n">
        <x:v>1.1115826540010387</x:v>
      </x:c>
      <x:c r="D2934" s="47" t="n">
        <x:v>0.9699051462194059</x:v>
      </x:c>
      <x:c r="E2934" s="47" t="n">
        <x:v>0.6667041196003358</x:v>
      </x:c>
      <x:c r="F2934" s="47" t="n">
        <x:v>0.03089092903305421</x:v>
      </x:c>
      <x:c r="G2934" s="47" t="n">
        <x:v>-0.032046384186480564</x:v>
      </x:c>
      <x:c r="H2934" s="47" t="n">
        <x:v>0.8542635660907514</x:v>
      </x:c>
      <x:c r="I2934" s="47" t="n">
        <x:v>0.7848798126887261</x:v>
      </x:c>
      <x:c r="J2934" s="47" t="n">
        <x:v>0.885124465465706</x:v>
      </x:c>
      <x:c r="K2934" s="47" t="n">
        <x:v>0.883801829934395</x:v>
      </x:c>
      <x:c r="L2934" s="47" t="n">
        <x:v>0.9345001701166057</x:v>
      </x:c>
      <x:c r="M2934" s="47" t="n">
        <x:v>0.1712203973644841</x:v>
      </x:c>
      <x:c r="N2934" s="47" t="n">
        <x:v>0.726300796341048</x:v>
      </x:c>
      <x:c r="O2934" s="47" t="n">
        <x:v>0.9785394992065068</x:v>
      </x:c>
      <x:c r="P2934" s="47" t="n">
        <x:v>0.8697749587133964</x:v>
      </x:c>
      <x:c r="Q2934" s="47" t="n">
        <x:v>1</x:v>
      </x:c>
      <x:c r="R2934" s="47" t="n">
        <x:v>0.9734996498842317</x:v>
      </x:c>
      <x:c r="S2934" s="27" t="n">
        <x:v>0</x:v>
      </x:c>
    </x:row>
    <x:row r="2935" ht="21.600000381469727" hidden="0" customHeight="1">
      <x:c r="A2935" s="29" t="n">
        <x:v>977</x:v>
      </x:c>
      <x:c r="B2935" s="29" t="str">
        <x:v>A3</x:v>
      </x:c>
      <x:c r="C2935" s="48" t="n">
        <x:v>1.1115826540010387</x:v>
      </x:c>
      <x:c r="D2935" s="48" t="n">
        <x:v>0.9699051462194059</x:v>
      </x:c>
      <x:c r="E2935" s="48" t="n">
        <x:v>0.6667041196003358</x:v>
      </x:c>
      <x:c r="F2935" s="48" t="n">
        <x:v>0.03089092903305421</x:v>
      </x:c>
      <x:c r="G2935" s="48" t="n">
        <x:v>-0.032046384186480564</x:v>
      </x:c>
      <x:c r="H2935" s="48" t="n">
        <x:v>0.8542635660907514</x:v>
      </x:c>
      <x:c r="I2935" s="48" t="n">
        <x:v>0.7848798126887261</x:v>
      </x:c>
      <x:c r="J2935" s="48" t="n">
        <x:v>0.885124465465706</x:v>
      </x:c>
      <x:c r="K2935" s="48" t="n">
        <x:v>0.883801829934395</x:v>
      </x:c>
      <x:c r="L2935" s="48" t="n">
        <x:v>0.9345001701166057</x:v>
      </x:c>
      <x:c r="M2935" s="48" t="n">
        <x:v>0.1712203973644841</x:v>
      </x:c>
      <x:c r="N2935" s="48" t="n">
        <x:v>0.726300796341048</x:v>
      </x:c>
      <x:c r="O2935" s="48" t="n">
        <x:v>1</x:v>
      </x:c>
      <x:c r="P2935" s="48" t="n">
        <x:v>1</x:v>
      </x:c>
      <x:c r="Q2935" s="48" t="n">
        <x:v>1</x:v>
      </x:c>
      <x:c r="R2935" s="48" t="n">
        <x:v>1</x:v>
      </x:c>
      <x:c r="S2935" s="29" t="n">
        <x:v>1</x:v>
      </x:c>
    </x:row>
    <x:row r="2936" ht="21.600000381469727" hidden="0" customHeight="1">
      <x:c r="A2936" s="27" t="n">
        <x:v>978</x:v>
      </x:c>
      <x:c r="B2936" s="27" t="str">
        <x:v>A1</x:v>
      </x:c>
      <x:c r="C2936" s="47" t="n">
        <x:v>1.1102104688439427</x:v>
      </x:c>
      <x:c r="D2936" s="47" t="n">
        <x:v>0.8991198435227008</x:v>
      </x:c>
      <x:c r="E2936" s="47" t="n">
        <x:v>0.5224006748944474</x:v>
      </x:c>
      <x:c r="F2936" s="47" t="n">
        <x:v>-0.0628759873993738</x:v>
      </x:c>
      <x:c r="G2936" s="47" t="n">
        <x:v>-0.05881549925380597</x:v>
      </x:c>
      <x:c r="H2936" s="47" t="n">
        <x:v>0.8341105870550303</x:v>
      </x:c>
      <x:c r="I2936" s="47" t="n">
        <x:v>0.6438878450298222</x:v>
      </x:c>
      <x:c r="J2936" s="47" t="n">
        <x:v>0.6636080244408821</x:v>
      </x:c>
      <x:c r="K2936" s="47" t="n">
        <x:v>0.8606935134026573</x:v>
      </x:c>
      <x:c r="L2936" s="47" t="n">
        <x:v>0.9927363828476611</x:v>
      </x:c>
      <x:c r="M2936" s="47" t="n">
        <x:v>0.15011746488856315</x:v>
      </x:c>
      <x:c r="N2936" s="47" t="n">
        <x:v>0.7701773986708926</x:v>
      </x:c>
      <x:c r="O2936" s="47" t="n">
        <x:v>0.8830792303224101</x:v>
      </x:c>
      <x:c r="P2936" s="47" t="n">
        <x:v>0.6839341949144572</x:v>
      </x:c>
      <x:c r="Q2936" s="47" t="n">
        <x:v>1</x:v>
      </x:c>
      <x:c r="R2936" s="47" t="n">
        <x:v>0.8556212009180744</x:v>
      </x:c>
      <x:c r="S2936" s="27" t="n">
        <x:v>0</x:v>
      </x:c>
    </x:row>
    <x:row r="2937" ht="21.600000381469727" hidden="0" customHeight="1">
      <x:c r="A2937" s="29" t="n">
        <x:v>978</x:v>
      </x:c>
      <x:c r="B2937" s="29" t="str">
        <x:v>A2</x:v>
      </x:c>
      <x:c r="C2937" s="48" t="n">
        <x:v>1.1102104688439427</x:v>
      </x:c>
      <x:c r="D2937" s="48" t="n">
        <x:v>0.8991198435227008</x:v>
      </x:c>
      <x:c r="E2937" s="48" t="n">
        <x:v>0.5224006748944474</x:v>
      </x:c>
      <x:c r="F2937" s="48" t="n">
        <x:v>-0.0628759873993738</x:v>
      </x:c>
      <x:c r="G2937" s="48" t="n">
        <x:v>-0.05881549925380597</x:v>
      </x:c>
      <x:c r="H2937" s="48" t="n">
        <x:v>0.8341105870550303</x:v>
      </x:c>
      <x:c r="I2937" s="48" t="n">
        <x:v>0.6438878450298222</x:v>
      </x:c>
      <x:c r="J2937" s="48" t="n">
        <x:v>0.6636080244408821</x:v>
      </x:c>
      <x:c r="K2937" s="48" t="n">
        <x:v>0.8606935134026573</x:v>
      </x:c>
      <x:c r="L2937" s="48" t="n">
        <x:v>0.9927363828476611</x:v>
      </x:c>
      <x:c r="M2937" s="48" t="n">
        <x:v>0.15011746488856315</x:v>
      </x:c>
      <x:c r="N2937" s="48" t="n">
        <x:v>0.7701773986708926</x:v>
      </x:c>
      <x:c r="O2937" s="48" t="n">
        <x:v>0.9594341236611593</x:v>
      </x:c>
      <x:c r="P2937" s="48" t="n">
        <x:v>0.7497960550239364</x:v>
      </x:c>
      <x:c r="Q2937" s="48" t="n">
        <x:v>1</x:v>
      </x:c>
      <x:c r="R2937" s="48" t="n">
        <x:v>0.9499075097978057</x:v>
      </x:c>
      <x:c r="S2937" s="29" t="n">
        <x:v>0</x:v>
      </x:c>
    </x:row>
    <x:row r="2938" ht="21.600000381469727" hidden="0" customHeight="1">
      <x:c r="A2938" s="27" t="n">
        <x:v>978</x:v>
      </x:c>
      <x:c r="B2938" s="27" t="str">
        <x:v>A3</x:v>
      </x:c>
      <x:c r="C2938" s="47" t="n">
        <x:v>1.1102104688439427</x:v>
      </x:c>
      <x:c r="D2938" s="47" t="n">
        <x:v>0.8991198435227008</x:v>
      </x:c>
      <x:c r="E2938" s="47" t="n">
        <x:v>0.5224006748944474</x:v>
      </x:c>
      <x:c r="F2938" s="47" t="n">
        <x:v>-0.0628759873993738</x:v>
      </x:c>
      <x:c r="G2938" s="47" t="n">
        <x:v>-0.05881549925380597</x:v>
      </x:c>
      <x:c r="H2938" s="47" t="n">
        <x:v>0.8341105870550303</x:v>
      </x:c>
      <x:c r="I2938" s="47" t="n">
        <x:v>0.6438878450298222</x:v>
      </x:c>
      <x:c r="J2938" s="47" t="n">
        <x:v>0.6636080244408821</x:v>
      </x:c>
      <x:c r="K2938" s="47" t="n">
        <x:v>0.8606935134026573</x:v>
      </x:c>
      <x:c r="L2938" s="47" t="n">
        <x:v>0.9927363828476611</x:v>
      </x:c>
      <x:c r="M2938" s="47" t="n">
        <x:v>0.15011746488856315</x:v>
      </x:c>
      <x:c r="N2938" s="47" t="n">
        <x:v>0.7701773986708926</x:v>
      </x:c>
      <x:c r="O2938" s="47" t="n">
        <x:v>1</x:v>
      </x:c>
      <x:c r="P2938" s="47" t="n">
        <x:v>1</x:v>
      </x:c>
      <x:c r="Q2938" s="47" t="n">
        <x:v>1</x:v>
      </x:c>
      <x:c r="R2938" s="47" t="n">
        <x:v>1</x:v>
      </x:c>
      <x:c r="S2938" s="27" t="n">
        <x:v>1</x:v>
      </x:c>
    </x:row>
    <x:row r="2939" ht="21.600000381469727" hidden="0" customHeight="1">
      <x:c r="A2939" s="29" t="n">
        <x:v>979</x:v>
      </x:c>
      <x:c r="B2939" s="29" t="str">
        <x:v>A1</x:v>
      </x:c>
      <x:c r="C2939" s="48" t="n">
        <x:v>1.116046024940544</x:v>
      </x:c>
      <x:c r="D2939" s="48" t="n">
        <x:v>0.8885778685162027</x:v>
      </x:c>
      <x:c r="E2939" s="48" t="n">
        <x:v>0.970938312586211</x:v>
      </x:c>
      <x:c r="F2939" s="48" t="n">
        <x:v>-0.029969050065943803</x:v>
      </x:c>
      <x:c r="G2939" s="48" t="n">
        <x:v>-0.1587314728993796</x:v>
      </x:c>
      <x:c r="H2939" s="48" t="n">
        <x:v>0.863763567845053</x:v>
      </x:c>
      <x:c r="I2939" s="48" t="n">
        <x:v>0.726087087443146</x:v>
      </x:c>
      <x:c r="J2939" s="48" t="n">
        <x:v>0.5817977346195922</x:v>
      </x:c>
      <x:c r="K2939" s="48" t="n">
        <x:v>0.7848607291101197</x:v>
      </x:c>
      <x:c r="L2939" s="48" t="n">
        <x:v>0.9688264300583029</x:v>
      </x:c>
      <x:c r="M2939" s="48" t="n">
        <x:v>0.1256546962071729</x:v>
      </x:c>
      <x:c r="N2939" s="48" t="n">
        <x:v>0.8864070919648701</x:v>
      </x:c>
      <x:c r="O2939" s="48" t="n">
        <x:v>0.8685396835652546</x:v>
      </x:c>
      <x:c r="P2939" s="48" t="n">
        <x:v>0.6489990346088675</x:v>
      </x:c>
      <x:c r="Q2939" s="48" t="n">
        <x:v>1</x:v>
      </x:c>
      <x:c r="R2939" s="48" t="n">
        <x:v>0.8376671427487502</x:v>
      </x:c>
      <x:c r="S2939" s="29" t="n">
        <x:v>0</x:v>
      </x:c>
    </x:row>
    <x:row r="2940" ht="21.600000381469727" hidden="0" customHeight="1">
      <x:c r="A2940" s="27" t="n">
        <x:v>979</x:v>
      </x:c>
      <x:c r="B2940" s="27" t="str">
        <x:v>A2</x:v>
      </x:c>
      <x:c r="C2940" s="47" t="n">
        <x:v>1.116046024940544</x:v>
      </x:c>
      <x:c r="D2940" s="47" t="n">
        <x:v>0.8885778685162027</x:v>
      </x:c>
      <x:c r="E2940" s="47" t="n">
        <x:v>0.970938312586211</x:v>
      </x:c>
      <x:c r="F2940" s="47" t="n">
        <x:v>-0.029969050065943803</x:v>
      </x:c>
      <x:c r="G2940" s="47" t="n">
        <x:v>-0.1587314728993796</x:v>
      </x:c>
      <x:c r="H2940" s="47" t="n">
        <x:v>0.863763567845053</x:v>
      </x:c>
      <x:c r="I2940" s="47" t="n">
        <x:v>0.726087087443146</x:v>
      </x:c>
      <x:c r="J2940" s="47" t="n">
        <x:v>0.5817977346195922</x:v>
      </x:c>
      <x:c r="K2940" s="47" t="n">
        <x:v>0.7848607291101197</x:v>
      </x:c>
      <x:c r="L2940" s="47" t="n">
        <x:v>0.9688264300583029</x:v>
      </x:c>
      <x:c r="M2940" s="47" t="n">
        <x:v>0.1256546962071729</x:v>
      </x:c>
      <x:c r="N2940" s="47" t="n">
        <x:v>0.8864070919648701</x:v>
      </x:c>
      <x:c r="O2940" s="47" t="n">
        <x:v>0.9600326950930803</x:v>
      </x:c>
      <x:c r="P2940" s="47" t="n">
        <x:v>0.7477391185731779</x:v>
      </x:c>
      <x:c r="Q2940" s="47" t="n">
        <x:v>1</x:v>
      </x:c>
      <x:c r="R2940" s="47" t="n">
        <x:v>0.9506466515665761</x:v>
      </x:c>
      <x:c r="S2940" s="27" t="n">
        <x:v>0</x:v>
      </x:c>
    </x:row>
    <x:row r="2941" ht="21.600000381469727" hidden="0" customHeight="1">
      <x:c r="A2941" s="29" t="n">
        <x:v>979</x:v>
      </x:c>
      <x:c r="B2941" s="29" t="str">
        <x:v>A3</x:v>
      </x:c>
      <x:c r="C2941" s="48" t="n">
        <x:v>1.116046024940544</x:v>
      </x:c>
      <x:c r="D2941" s="48" t="n">
        <x:v>0.8885778685162027</x:v>
      </x:c>
      <x:c r="E2941" s="48" t="n">
        <x:v>0.970938312586211</x:v>
      </x:c>
      <x:c r="F2941" s="48" t="n">
        <x:v>-0.029969050065943803</x:v>
      </x:c>
      <x:c r="G2941" s="48" t="n">
        <x:v>-0.1587314728993796</x:v>
      </x:c>
      <x:c r="H2941" s="48" t="n">
        <x:v>0.863763567845053</x:v>
      </x:c>
      <x:c r="I2941" s="48" t="n">
        <x:v>0.726087087443146</x:v>
      </x:c>
      <x:c r="J2941" s="48" t="n">
        <x:v>0.5817977346195922</x:v>
      </x:c>
      <x:c r="K2941" s="48" t="n">
        <x:v>0.7848607291101197</x:v>
      </x:c>
      <x:c r="L2941" s="48" t="n">
        <x:v>0.9688264300583029</x:v>
      </x:c>
      <x:c r="M2941" s="48" t="n">
        <x:v>0.1256546962071729</x:v>
      </x:c>
      <x:c r="N2941" s="48" t="n">
        <x:v>0.8864070919648701</x:v>
      </x:c>
      <x:c r="O2941" s="48" t="n">
        <x:v>1</x:v>
      </x:c>
      <x:c r="P2941" s="48" t="n">
        <x:v>1</x:v>
      </x:c>
      <x:c r="Q2941" s="48" t="n">
        <x:v>1</x:v>
      </x:c>
      <x:c r="R2941" s="48" t="n">
        <x:v>1</x:v>
      </x:c>
      <x:c r="S2941" s="29" t="n">
        <x:v>1</x:v>
      </x:c>
    </x:row>
    <x:row r="2942" ht="21.600000381469727" hidden="0" customHeight="1">
      <x:c r="A2942" s="27" t="n">
        <x:v>980</x:v>
      </x:c>
      <x:c r="B2942" s="27" t="str">
        <x:v>A1</x:v>
      </x:c>
      <x:c r="C2942" s="47" t="n">
        <x:v>1.2790614293335596</x:v>
      </x:c>
      <x:c r="D2942" s="47" t="n">
        <x:v>0.7346641149020742</x:v>
      </x:c>
      <x:c r="E2942" s="47" t="n">
        <x:v>0.9527949437626142</x:v>
      </x:c>
      <x:c r="F2942" s="47" t="n">
        <x:v>-0.09048675240324625</x:v>
      </x:c>
      <x:c r="G2942" s="47" t="n">
        <x:v>-0.16498936353165</x:v>
      </x:c>
      <x:c r="H2942" s="47" t="n">
        <x:v>1.045349127058492</x:v>
      </x:c>
      <x:c r="I2942" s="47" t="n">
        <x:v>0.7073939777413798</x:v>
      </x:c>
      <x:c r="J2942" s="47" t="n">
        <x:v>0.7590601468720488</x:v>
      </x:c>
      <x:c r="K2942" s="47" t="n">
        <x:v>0.7176957952684041</x:v>
      </x:c>
      <x:c r="L2942" s="47" t="n">
        <x:v>0.7461679684417633</x:v>
      </x:c>
      <x:c r="M2942" s="47" t="n">
        <x:v>0.04488675735055831</x:v>
      </x:c>
      <x:c r="N2942" s="47" t="n">
        <x:v>0.950879802583033</x:v>
      </x:c>
      <x:c r="O2942" s="47" t="n">
        <x:v>0.7130976063340125</x:v>
      </x:c>
      <x:c r="P2942" s="47" t="n">
        <x:v>0.40760853353950394</x:v>
      </x:c>
      <x:c r="Q2942" s="47" t="n">
        <x:v>1</x:v>
      </x:c>
      <x:c r="R2942" s="47" t="n">
        <x:v>0.6457205750060628</x:v>
      </x:c>
      <x:c r="S2942" s="27" t="n">
        <x:v>0</x:v>
      </x:c>
    </x:row>
    <x:row r="2943" ht="21.600000381469727" hidden="0" customHeight="1">
      <x:c r="A2943" s="29" t="n">
        <x:v>980</x:v>
      </x:c>
      <x:c r="B2943" s="29" t="str">
        <x:v>A2</x:v>
      </x:c>
      <x:c r="C2943" s="48" t="n">
        <x:v>1.2790614293335596</x:v>
      </x:c>
      <x:c r="D2943" s="48" t="n">
        <x:v>0.7346641149020742</x:v>
      </x:c>
      <x:c r="E2943" s="48" t="n">
        <x:v>0.9527949437626142</x:v>
      </x:c>
      <x:c r="F2943" s="48" t="n">
        <x:v>-0.09048675240324625</x:v>
      </x:c>
      <x:c r="G2943" s="48" t="n">
        <x:v>-0.16498936353165</x:v>
      </x:c>
      <x:c r="H2943" s="48" t="n">
        <x:v>1.045349127058492</x:v>
      </x:c>
      <x:c r="I2943" s="48" t="n">
        <x:v>0.7073939777413798</x:v>
      </x:c>
      <x:c r="J2943" s="48" t="n">
        <x:v>0.7590601468720488</x:v>
      </x:c>
      <x:c r="K2943" s="48" t="n">
        <x:v>0.7176957952684041</x:v>
      </x:c>
      <x:c r="L2943" s="48" t="n">
        <x:v>0.7461679684417633</x:v>
      </x:c>
      <x:c r="M2943" s="48" t="n">
        <x:v>0.04488675735055831</x:v>
      </x:c>
      <x:c r="N2943" s="48" t="n">
        <x:v>0.950879802583033</x:v>
      </x:c>
      <x:c r="O2943" s="48" t="n">
        <x:v>0.7905262305646674</x:v>
      </x:c>
      <x:c r="P2943" s="48" t="n">
        <x:v>0.5276075753526145</x:v>
      </x:c>
      <x:c r="Q2943" s="48" t="n">
        <x:v>1</x:v>
      </x:c>
      <x:c r="R2943" s="48" t="n">
        <x:v>0.7413327730082994</x:v>
      </x:c>
      <x:c r="S2943" s="29" t="n">
        <x:v>0</x:v>
      </x:c>
    </x:row>
    <x:row r="2944" ht="21.600000381469727" hidden="0" customHeight="1">
      <x:c r="A2944" s="27" t="n">
        <x:v>980</x:v>
      </x:c>
      <x:c r="B2944" s="27" t="str">
        <x:v>A3</x:v>
      </x:c>
      <x:c r="C2944" s="47" t="n">
        <x:v>1.2790614293335596</x:v>
      </x:c>
      <x:c r="D2944" s="47" t="n">
        <x:v>0.7346641149020742</x:v>
      </x:c>
      <x:c r="E2944" s="47" t="n">
        <x:v>0.9527949437626142</x:v>
      </x:c>
      <x:c r="F2944" s="47" t="n">
        <x:v>-0.09048675240324625</x:v>
      </x:c>
      <x:c r="G2944" s="47" t="n">
        <x:v>-0.16498936353165</x:v>
      </x:c>
      <x:c r="H2944" s="47" t="n">
        <x:v>1.045349127058492</x:v>
      </x:c>
      <x:c r="I2944" s="47" t="n">
        <x:v>0.7073939777413798</x:v>
      </x:c>
      <x:c r="J2944" s="47" t="n">
        <x:v>0.7590601468720488</x:v>
      </x:c>
      <x:c r="K2944" s="47" t="n">
        <x:v>0.7176957952684041</x:v>
      </x:c>
      <x:c r="L2944" s="47" t="n">
        <x:v>0.7461679684417633</x:v>
      </x:c>
      <x:c r="M2944" s="47" t="n">
        <x:v>0.04488675735055831</x:v>
      </x:c>
      <x:c r="N2944" s="47" t="n">
        <x:v>0.950879802583033</x:v>
      </x:c>
      <x:c r="O2944" s="47" t="n">
        <x:v>1</x:v>
      </x:c>
      <x:c r="P2944" s="47" t="n">
        <x:v>1</x:v>
      </x:c>
      <x:c r="Q2944" s="47" t="n">
        <x:v>1</x:v>
      </x:c>
      <x:c r="R2944" s="47" t="n">
        <x:v>1</x:v>
      </x:c>
      <x:c r="S2944" s="27" t="n">
        <x:v>1</x:v>
      </x:c>
    </x:row>
    <x:row r="2945" ht="21.600000381469727" hidden="0" customHeight="1">
      <x:c r="A2945" s="29" t="n">
        <x:v>981</x:v>
      </x:c>
      <x:c r="B2945" s="29" t="str">
        <x:v>A1</x:v>
      </x:c>
      <x:c r="C2945" s="48" t="n">
        <x:v>1.213228764906018</x:v>
      </x:c>
      <x:c r="D2945" s="48" t="n">
        <x:v>0.9196157467078577</x:v>
      </x:c>
      <x:c r="E2945" s="48" t="n">
        <x:v>0.7169555593720505</x:v>
      </x:c>
      <x:c r="F2945" s="48" t="n">
        <x:v>0.023519064430335412</x:v>
      </x:c>
      <x:c r="G2945" s="48" t="n">
        <x:v>-0.05024487897056196</x:v>
      </x:c>
      <x:c r="H2945" s="48" t="n">
        <x:v>0.5524468199673263</x:v>
      </x:c>
      <x:c r="I2945" s="48" t="n">
        <x:v>0.8154472955576856</x:v>
      </x:c>
      <x:c r="J2945" s="48" t="n">
        <x:v>0.5159241720318755</x:v>
      </x:c>
      <x:c r="K2945" s="48" t="n">
        <x:v>0.8102552085825413</x:v>
      </x:c>
      <x:c r="L2945" s="48" t="n">
        <x:v>0.6460171863774165</x:v>
      </x:c>
      <x:c r="M2945" s="48" t="n">
        <x:v>0.018236263980248947</x:v>
      </x:c>
      <x:c r="N2945" s="48" t="n">
        <x:v>0.8268821127726161</x:v>
      </x:c>
      <x:c r="O2945" s="48" t="n">
        <x:v>0.8318054755348155</x:v>
      </x:c>
      <x:c r="P2945" s="48" t="n">
        <x:v>0.6033230569573108</x:v>
      </x:c>
      <x:c r="Q2945" s="48" t="n">
        <x:v>1</x:v>
      </x:c>
      <x:c r="R2945" s="48" t="n">
        <x:v>0.7923061615023448</x:v>
      </x:c>
      <x:c r="S2945" s="29" t="n">
        <x:v>0</x:v>
      </x:c>
    </x:row>
    <x:row r="2946" ht="21.600000381469727" hidden="0" customHeight="1">
      <x:c r="A2946" s="27" t="n">
        <x:v>981</x:v>
      </x:c>
      <x:c r="B2946" s="27" t="str">
        <x:v>A2</x:v>
      </x:c>
      <x:c r="C2946" s="47" t="n">
        <x:v>1.213228764906018</x:v>
      </x:c>
      <x:c r="D2946" s="47" t="n">
        <x:v>0.9196157467078577</x:v>
      </x:c>
      <x:c r="E2946" s="47" t="n">
        <x:v>0.7169555593720505</x:v>
      </x:c>
      <x:c r="F2946" s="47" t="n">
        <x:v>0.023519064430335412</x:v>
      </x:c>
      <x:c r="G2946" s="47" t="n">
        <x:v>-0.05024487897056196</x:v>
      </x:c>
      <x:c r="H2946" s="47" t="n">
        <x:v>0.5524468199673263</x:v>
      </x:c>
      <x:c r="I2946" s="47" t="n">
        <x:v>0.8154472955576856</x:v>
      </x:c>
      <x:c r="J2946" s="47" t="n">
        <x:v>0.5159241720318755</x:v>
      </x:c>
      <x:c r="K2946" s="47" t="n">
        <x:v>0.8102552085825413</x:v>
      </x:c>
      <x:c r="L2946" s="47" t="n">
        <x:v>0.6460171863774165</x:v>
      </x:c>
      <x:c r="M2946" s="47" t="n">
        <x:v>0.018236263980248947</x:v>
      </x:c>
      <x:c r="N2946" s="47" t="n">
        <x:v>0.8268821127726161</x:v>
      </x:c>
      <x:c r="O2946" s="47" t="n">
        <x:v>0.9088338714051506</x:v>
      </x:c>
      <x:c r="P2946" s="47" t="n">
        <x:v>0.627248841450782</x:v>
      </x:c>
      <x:c r="Q2946" s="47" t="n">
        <x:v>1</x:v>
      </x:c>
      <x:c r="R2946" s="47" t="n">
        <x:v>0.8874241402980125</x:v>
      </x:c>
      <x:c r="S2946" s="27" t="n">
        <x:v>0</x:v>
      </x:c>
    </x:row>
    <x:row r="2947" ht="21.600000381469727" hidden="0" customHeight="1">
      <x:c r="A2947" s="29" t="n">
        <x:v>981</x:v>
      </x:c>
      <x:c r="B2947" s="29" t="str">
        <x:v>A3</x:v>
      </x:c>
      <x:c r="C2947" s="48" t="n">
        <x:v>1.213228764906018</x:v>
      </x:c>
      <x:c r="D2947" s="48" t="n">
        <x:v>0.9196157467078577</x:v>
      </x:c>
      <x:c r="E2947" s="48" t="n">
        <x:v>0.7169555593720505</x:v>
      </x:c>
      <x:c r="F2947" s="48" t="n">
        <x:v>0.023519064430335412</x:v>
      </x:c>
      <x:c r="G2947" s="48" t="n">
        <x:v>-0.05024487897056196</x:v>
      </x:c>
      <x:c r="H2947" s="48" t="n">
        <x:v>0.5524468199673263</x:v>
      </x:c>
      <x:c r="I2947" s="48" t="n">
        <x:v>0.8154472955576856</x:v>
      </x:c>
      <x:c r="J2947" s="48" t="n">
        <x:v>0.5159241720318755</x:v>
      </x:c>
      <x:c r="K2947" s="48" t="n">
        <x:v>0.8102552085825413</x:v>
      </x:c>
      <x:c r="L2947" s="48" t="n">
        <x:v>0.6460171863774165</x:v>
      </x:c>
      <x:c r="M2947" s="48" t="n">
        <x:v>0.018236263980248947</x:v>
      </x:c>
      <x:c r="N2947" s="48" t="n">
        <x:v>0.8268821127726161</x:v>
      </x:c>
      <x:c r="O2947" s="48" t="n">
        <x:v>1</x:v>
      </x:c>
      <x:c r="P2947" s="48" t="n">
        <x:v>1</x:v>
      </x:c>
      <x:c r="Q2947" s="48" t="n">
        <x:v>1</x:v>
      </x:c>
      <x:c r="R2947" s="48" t="n">
        <x:v>1</x:v>
      </x:c>
      <x:c r="S2947" s="29" t="n">
        <x:v>1</x:v>
      </x:c>
    </x:row>
    <x:row r="2948" ht="21.600000381469727" hidden="0" customHeight="1">
      <x:c r="A2948" s="27" t="n">
        <x:v>982</x:v>
      </x:c>
      <x:c r="B2948" s="27" t="str">
        <x:v>A1</x:v>
      </x:c>
      <x:c r="C2948" s="47" t="n">
        <x:v>1.0531677302048104</x:v>
      </x:c>
      <x:c r="D2948" s="47" t="n">
        <x:v>0.7466049627727134</x:v>
      </x:c>
      <x:c r="E2948" s="47" t="n">
        <x:v>0.8946591791963703</x:v>
      </x:c>
      <x:c r="F2948" s="47" t="n">
        <x:v>-0.16636523547998333</x:v>
      </x:c>
      <x:c r="G2948" s="47" t="n">
        <x:v>0.0015513785237135647</x:v>
      </x:c>
      <x:c r="H2948" s="47" t="n">
        <x:v>0.9024708144875639</x:v>
      </x:c>
      <x:c r="I2948" s="47" t="n">
        <x:v>0.9001363569679561</x:v>
      </x:c>
      <x:c r="J2948" s="47" t="n">
        <x:v>0.6694793865326907</x:v>
      </x:c>
      <x:c r="K2948" s="47" t="n">
        <x:v>0.9197207700463137</x:v>
      </x:c>
      <x:c r="L2948" s="47" t="n">
        <x:v>0.5641156041639891</x:v>
      </x:c>
      <x:c r="M2948" s="47" t="n">
        <x:v>0.059631399997914364</x:v>
      </x:c>
      <x:c r="N2948" s="47" t="n">
        <x:v>0.8342972149248723</x:v>
      </x:c>
      <x:c r="O2948" s="47" t="n">
        <x:v>0.8145034656483353</x:v>
      </x:c>
      <x:c r="P2948" s="47" t="n">
        <x:v>0.5602762153215323</x:v>
      </x:c>
      <x:c r="Q2948" s="47" t="n">
        <x:v>0.9494636174198606</x:v>
      </x:c>
      <x:c r="R2948" s="47" t="n">
        <x:v>0.7713162212656386</x:v>
      </x:c>
      <x:c r="S2948" s="27" t="n">
        <x:v>0</x:v>
      </x:c>
    </x:row>
    <x:row r="2949" ht="21.600000381469727" hidden="0" customHeight="1">
      <x:c r="A2949" s="29" t="n">
        <x:v>982</x:v>
      </x:c>
      <x:c r="B2949" s="29" t="str">
        <x:v>A2</x:v>
      </x:c>
      <x:c r="C2949" s="48" t="n">
        <x:v>1.0531677302048104</x:v>
      </x:c>
      <x:c r="D2949" s="48" t="n">
        <x:v>0.7466049627727134</x:v>
      </x:c>
      <x:c r="E2949" s="48" t="n">
        <x:v>0.8946591791963703</x:v>
      </x:c>
      <x:c r="F2949" s="48" t="n">
        <x:v>-0.16636523547998333</x:v>
      </x:c>
      <x:c r="G2949" s="48" t="n">
        <x:v>0.0015513785237135647</x:v>
      </x:c>
      <x:c r="H2949" s="48" t="n">
        <x:v>0.9024708144875639</x:v>
      </x:c>
      <x:c r="I2949" s="48" t="n">
        <x:v>0.9001363569679561</x:v>
      </x:c>
      <x:c r="J2949" s="48" t="n">
        <x:v>0.6694793865326907</x:v>
      </x:c>
      <x:c r="K2949" s="48" t="n">
        <x:v>0.9197207700463137</x:v>
      </x:c>
      <x:c r="L2949" s="48" t="n">
        <x:v>0.5641156041639891</x:v>
      </x:c>
      <x:c r="M2949" s="48" t="n">
        <x:v>0.059631399997914364</x:v>
      </x:c>
      <x:c r="N2949" s="48" t="n">
        <x:v>0.8342972149248723</x:v>
      </x:c>
      <x:c r="O2949" s="48" t="n">
        <x:v>0.9178769642972274</x:v>
      </x:c>
      <x:c r="P2949" s="48" t="n">
        <x:v>0.6024823129810437</x:v>
      </x:c>
      <x:c r="Q2949" s="48" t="n">
        <x:v>1</x:v>
      </x:c>
      <x:c r="R2949" s="48" t="n">
        <x:v>0.8985909406478958</x:v>
      </x:c>
      <x:c r="S2949" s="29" t="n">
        <x:v>0</x:v>
      </x:c>
    </x:row>
    <x:row r="2950" ht="21.600000381469727" hidden="0" customHeight="1">
      <x:c r="A2950" s="27" t="n">
        <x:v>982</x:v>
      </x:c>
      <x:c r="B2950" s="27" t="str">
        <x:v>A3</x:v>
      </x:c>
      <x:c r="C2950" s="47" t="n">
        <x:v>1.0531677302048104</x:v>
      </x:c>
      <x:c r="D2950" s="47" t="n">
        <x:v>0.7466049627727134</x:v>
      </x:c>
      <x:c r="E2950" s="47" t="n">
        <x:v>0.8946591791963703</x:v>
      </x:c>
      <x:c r="F2950" s="47" t="n">
        <x:v>-0.16636523547998333</x:v>
      </x:c>
      <x:c r="G2950" s="47" t="n">
        <x:v>0.0015513785237135647</x:v>
      </x:c>
      <x:c r="H2950" s="47" t="n">
        <x:v>0.9024708144875639</x:v>
      </x:c>
      <x:c r="I2950" s="47" t="n">
        <x:v>0.9001363569679561</x:v>
      </x:c>
      <x:c r="J2950" s="47" t="n">
        <x:v>0.6694793865326907</x:v>
      </x:c>
      <x:c r="K2950" s="47" t="n">
        <x:v>0.9197207700463137</x:v>
      </x:c>
      <x:c r="L2950" s="47" t="n">
        <x:v>0.5641156041639891</x:v>
      </x:c>
      <x:c r="M2950" s="47" t="n">
        <x:v>0.059631399997914364</x:v>
      </x:c>
      <x:c r="N2950" s="47" t="n">
        <x:v>0.8342972149248723</x:v>
      </x:c>
      <x:c r="O2950" s="47" t="n">
        <x:v>1</x:v>
      </x:c>
      <x:c r="P2950" s="47" t="n">
        <x:v>1</x:v>
      </x:c>
      <x:c r="Q2950" s="47" t="n">
        <x:v>1</x:v>
      </x:c>
      <x:c r="R2950" s="47" t="n">
        <x:v>1</x:v>
      </x:c>
      <x:c r="S2950" s="27" t="n">
        <x:v>1</x:v>
      </x:c>
    </x:row>
    <x:row r="2951" ht="21.600000381469727" hidden="0" customHeight="1">
      <x:c r="A2951" s="29" t="n">
        <x:v>983</x:v>
      </x:c>
      <x:c r="B2951" s="29" t="str">
        <x:v>A1</x:v>
      </x:c>
      <x:c r="C2951" s="48" t="n">
        <x:v>1.115887129582977</x:v>
      </x:c>
      <x:c r="D2951" s="48" t="n">
        <x:v>0.85600826749851</x:v>
      </x:c>
      <x:c r="E2951" s="48" t="n">
        <x:v>0.6368805047960938</x:v>
      </x:c>
      <x:c r="F2951" s="48" t="n">
        <x:v>-0.15605894527939004</x:v>
      </x:c>
      <x:c r="G2951" s="48" t="n">
        <x:v>-0.012276623151175614</x:v>
      </x:c>
      <x:c r="H2951" s="48" t="n">
        <x:v>0.9610667065521354</x:v>
      </x:c>
      <x:c r="I2951" s="48" t="n">
        <x:v>0.6984530027265299</x:v>
      </x:c>
      <x:c r="J2951" s="48" t="n">
        <x:v>0.8417986831262672</x:v>
      </x:c>
      <x:c r="K2951" s="48" t="n">
        <x:v>0.7141376738560726</x:v>
      </x:c>
      <x:c r="L2951" s="48" t="n">
        <x:v>0.8817218960741161</x:v>
      </x:c>
      <x:c r="M2951" s="48" t="n">
        <x:v>0.14760789011550526</x:v>
      </x:c>
      <x:c r="N2951" s="48" t="n">
        <x:v>0.7903288086436779</x:v>
      </x:c>
      <x:c r="O2951" s="48" t="n">
        <x:v>0.9008269172092427</x:v>
      </x:c>
      <x:c r="P2951" s="48" t="n">
        <x:v>0.6607032421073923</x:v>
      </x:c>
      <x:c r="Q2951" s="48" t="n">
        <x:v>1</x:v>
      </x:c>
      <x:c r="R2951" s="48" t="n">
        <x:v>0.8775368086092379</x:v>
      </x:c>
      <x:c r="S2951" s="29" t="n">
        <x:v>0</x:v>
      </x:c>
    </x:row>
    <x:row r="2952" ht="21.600000381469727" hidden="0" customHeight="1">
      <x:c r="A2952" s="27" t="n">
        <x:v>983</x:v>
      </x:c>
      <x:c r="B2952" s="27" t="str">
        <x:v>A2</x:v>
      </x:c>
      <x:c r="C2952" s="47" t="n">
        <x:v>1.115887129582977</x:v>
      </x:c>
      <x:c r="D2952" s="47" t="n">
        <x:v>0.85600826749851</x:v>
      </x:c>
      <x:c r="E2952" s="47" t="n">
        <x:v>0.6368805047960938</x:v>
      </x:c>
      <x:c r="F2952" s="47" t="n">
        <x:v>-0.15605894527939004</x:v>
      </x:c>
      <x:c r="G2952" s="47" t="n">
        <x:v>-0.012276623151175614</x:v>
      </x:c>
      <x:c r="H2952" s="47" t="n">
        <x:v>0.9610667065521354</x:v>
      </x:c>
      <x:c r="I2952" s="47" t="n">
        <x:v>0.6984530027265299</x:v>
      </x:c>
      <x:c r="J2952" s="47" t="n">
        <x:v>0.8417986831262672</x:v>
      </x:c>
      <x:c r="K2952" s="47" t="n">
        <x:v>0.7141376738560726</x:v>
      </x:c>
      <x:c r="L2952" s="47" t="n">
        <x:v>0.8817218960741161</x:v>
      </x:c>
      <x:c r="M2952" s="47" t="n">
        <x:v>0.14760789011550526</x:v>
      </x:c>
      <x:c r="N2952" s="47" t="n">
        <x:v>0.7903288086436779</x:v>
      </x:c>
      <x:c r="O2952" s="47" t="n">
        <x:v>0.920157047031899</x:v>
      </x:c>
      <x:c r="P2952" s="47" t="n">
        <x:v>0.5234947092513095</x:v>
      </x:c>
      <x:c r="Q2952" s="47" t="n">
        <x:v>1</x:v>
      </x:c>
      <x:c r="R2952" s="47" t="n">
        <x:v>0.901406484951505</x:v>
      </x:c>
      <x:c r="S2952" s="27" t="n">
        <x:v>0</x:v>
      </x:c>
    </x:row>
    <x:row r="2953" ht="21.600000381469727" hidden="0" customHeight="1">
      <x:c r="A2953" s="29" t="n">
        <x:v>983</x:v>
      </x:c>
      <x:c r="B2953" s="29" t="str">
        <x:v>A3</x:v>
      </x:c>
      <x:c r="C2953" s="48" t="n">
        <x:v>1.115887129582977</x:v>
      </x:c>
      <x:c r="D2953" s="48" t="n">
        <x:v>0.85600826749851</x:v>
      </x:c>
      <x:c r="E2953" s="48" t="n">
        <x:v>0.6368805047960938</x:v>
      </x:c>
      <x:c r="F2953" s="48" t="n">
        <x:v>-0.15605894527939004</x:v>
      </x:c>
      <x:c r="G2953" s="48" t="n">
        <x:v>-0.012276623151175614</x:v>
      </x:c>
      <x:c r="H2953" s="48" t="n">
        <x:v>0.9610667065521354</x:v>
      </x:c>
      <x:c r="I2953" s="48" t="n">
        <x:v>0.6984530027265299</x:v>
      </x:c>
      <x:c r="J2953" s="48" t="n">
        <x:v>0.8417986831262672</x:v>
      </x:c>
      <x:c r="K2953" s="48" t="n">
        <x:v>0.7141376738560726</x:v>
      </x:c>
      <x:c r="L2953" s="48" t="n">
        <x:v>0.8817218960741161</x:v>
      </x:c>
      <x:c r="M2953" s="48" t="n">
        <x:v>0.14760789011550526</x:v>
      </x:c>
      <x:c r="N2953" s="48" t="n">
        <x:v>0.7903288086436779</x:v>
      </x:c>
      <x:c r="O2953" s="48" t="n">
        <x:v>1</x:v>
      </x:c>
      <x:c r="P2953" s="48" t="n">
        <x:v>1</x:v>
      </x:c>
      <x:c r="Q2953" s="48" t="n">
        <x:v>1</x:v>
      </x:c>
      <x:c r="R2953" s="48" t="n">
        <x:v>1</x:v>
      </x:c>
      <x:c r="S2953" s="29" t="n">
        <x:v>1</x:v>
      </x:c>
    </x:row>
    <x:row r="2954" ht="21.600000381469727" hidden="0" customHeight="1">
      <x:c r="A2954" s="27" t="n">
        <x:v>984</x:v>
      </x:c>
      <x:c r="B2954" s="27" t="str">
        <x:v>A1</x:v>
      </x:c>
      <x:c r="C2954" s="47" t="n">
        <x:v>1.0853049013208027</x:v>
      </x:c>
      <x:c r="D2954" s="47" t="n">
        <x:v>0.9771826147999925</x:v>
      </x:c>
      <x:c r="E2954" s="47" t="n">
        <x:v>0.7810737546991008</x:v>
      </x:c>
      <x:c r="F2954" s="47" t="n">
        <x:v>-0.04426416887159998</x:v>
      </x:c>
      <x:c r="G2954" s="47" t="n">
        <x:v>-0.09559373823541124</x:v>
      </x:c>
      <x:c r="H2954" s="47" t="n">
        <x:v>0.7612053722320298</x:v>
      </x:c>
      <x:c r="I2954" s="47" t="n">
        <x:v>0.7314724599802396</x:v>
      </x:c>
      <x:c r="J2954" s="47" t="n">
        <x:v>0.5709660806499504</x:v>
      </x:c>
      <x:c r="K2954" s="47" t="n">
        <x:v>0.8523794987950779</x:v>
      </x:c>
      <x:c r="L2954" s="47" t="n">
        <x:v>0.9558999762453325</x:v>
      </x:c>
      <x:c r="M2954" s="47" t="n">
        <x:v>0.0668668755081452</x:v>
      </x:c>
      <x:c r="N2954" s="47" t="n">
        <x:v>0.9335172447788738</x:v>
      </x:c>
      <x:c r="O2954" s="47" t="n">
        <x:v>0.9191389989639769</x:v>
      </x:c>
      <x:c r="P2954" s="47" t="n">
        <x:v>0.7450565450395819</x:v>
      </x:c>
      <x:c r="Q2954" s="47" t="n">
        <x:v>1</x:v>
      </x:c>
      <x:c r="R2954" s="47" t="n">
        <x:v>0.9001493553768402</x:v>
      </x:c>
      <x:c r="S2954" s="27" t="n">
        <x:v>0</x:v>
      </x:c>
    </x:row>
    <x:row r="2955" ht="21.600000381469727" hidden="0" customHeight="1">
      <x:c r="A2955" s="29" t="n">
        <x:v>984</x:v>
      </x:c>
      <x:c r="B2955" s="29" t="str">
        <x:v>A2</x:v>
      </x:c>
      <x:c r="C2955" s="48" t="n">
        <x:v>1.0853049013208027</x:v>
      </x:c>
      <x:c r="D2955" s="48" t="n">
        <x:v>0.9771826147999925</x:v>
      </x:c>
      <x:c r="E2955" s="48" t="n">
        <x:v>0.7810737546991008</x:v>
      </x:c>
      <x:c r="F2955" s="48" t="n">
        <x:v>-0.04426416887159998</x:v>
      </x:c>
      <x:c r="G2955" s="48" t="n">
        <x:v>-0.09559373823541124</x:v>
      </x:c>
      <x:c r="H2955" s="48" t="n">
        <x:v>0.7612053722320298</x:v>
      </x:c>
      <x:c r="I2955" s="48" t="n">
        <x:v>0.7314724599802396</x:v>
      </x:c>
      <x:c r="J2955" s="48" t="n">
        <x:v>0.5709660806499504</x:v>
      </x:c>
      <x:c r="K2955" s="48" t="n">
        <x:v>0.8523794987950779</x:v>
      </x:c>
      <x:c r="L2955" s="48" t="n">
        <x:v>0.9558999762453325</x:v>
      </x:c>
      <x:c r="M2955" s="48" t="n">
        <x:v>0.0668668755081452</x:v>
      </x:c>
      <x:c r="N2955" s="48" t="n">
        <x:v>0.9335172447788738</x:v>
      </x:c>
      <x:c r="O2955" s="48" t="n">
        <x:v>0.9901339365744549</x:v>
      </x:c>
      <x:c r="P2955" s="48" t="n">
        <x:v>0.9200560434572332</x:v>
      </x:c>
      <x:c r="Q2955" s="48" t="n">
        <x:v>1</x:v>
      </x:c>
      <x:c r="R2955" s="48" t="n">
        <x:v>0.9878169602118236</x:v>
      </x:c>
      <x:c r="S2955" s="29" t="n">
        <x:v>0</x:v>
      </x:c>
    </x:row>
    <x:row r="2956" ht="21.600000381469727" hidden="0" customHeight="1">
      <x:c r="A2956" s="27" t="n">
        <x:v>984</x:v>
      </x:c>
      <x:c r="B2956" s="27" t="str">
        <x:v>A3</x:v>
      </x:c>
      <x:c r="C2956" s="47" t="n">
        <x:v>1.0853049013208027</x:v>
      </x:c>
      <x:c r="D2956" s="47" t="n">
        <x:v>0.9771826147999925</x:v>
      </x:c>
      <x:c r="E2956" s="47" t="n">
        <x:v>0.7810737546991008</x:v>
      </x:c>
      <x:c r="F2956" s="47" t="n">
        <x:v>-0.04426416887159998</x:v>
      </x:c>
      <x:c r="G2956" s="47" t="n">
        <x:v>-0.09559373823541124</x:v>
      </x:c>
      <x:c r="H2956" s="47" t="n">
        <x:v>0.7612053722320298</x:v>
      </x:c>
      <x:c r="I2956" s="47" t="n">
        <x:v>0.7314724599802396</x:v>
      </x:c>
      <x:c r="J2956" s="47" t="n">
        <x:v>0.5709660806499504</x:v>
      </x:c>
      <x:c r="K2956" s="47" t="n">
        <x:v>0.8523794987950779</x:v>
      </x:c>
      <x:c r="L2956" s="47" t="n">
        <x:v>0.9558999762453325</x:v>
      </x:c>
      <x:c r="M2956" s="47" t="n">
        <x:v>0.0668668755081452</x:v>
      </x:c>
      <x:c r="N2956" s="47" t="n">
        <x:v>0.9335172447788738</x:v>
      </x:c>
      <x:c r="O2956" s="47" t="n">
        <x:v>1</x:v>
      </x:c>
      <x:c r="P2956" s="47" t="n">
        <x:v>1</x:v>
      </x:c>
      <x:c r="Q2956" s="47" t="n">
        <x:v>1</x:v>
      </x:c>
      <x:c r="R2956" s="47" t="n">
        <x:v>1</x:v>
      </x:c>
      <x:c r="S2956" s="27" t="n">
        <x:v>1</x:v>
      </x:c>
    </x:row>
    <x:row r="2957" ht="21.600000381469727" hidden="0" customHeight="1">
      <x:c r="A2957" s="29" t="n">
        <x:v>985</x:v>
      </x:c>
      <x:c r="B2957" s="29" t="str">
        <x:v>A1</x:v>
      </x:c>
      <x:c r="C2957" s="48" t="n">
        <x:v>1.0535337974682228</x:v>
      </x:c>
      <x:c r="D2957" s="48" t="n">
        <x:v>0.8700899881881438</x:v>
      </x:c>
      <x:c r="E2957" s="48" t="n">
        <x:v>0.9785704881605972</x:v>
      </x:c>
      <x:c r="F2957" s="48" t="n">
        <x:v>-0.06179651429326927</x:v>
      </x:c>
      <x:c r="G2957" s="48" t="n">
        <x:v>0.0023085985443587753</x:v>
      </x:c>
      <x:c r="H2957" s="48" t="n">
        <x:v>0.5823299095285228</x:v>
      </x:c>
      <x:c r="I2957" s="48" t="n">
        <x:v>0.9492963289357916</x:v>
      </x:c>
      <x:c r="J2957" s="48" t="n">
        <x:v>0.5760516573372024</x:v>
      </x:c>
      <x:c r="K2957" s="48" t="n">
        <x:v>0.811004988611175</x:v>
      </x:c>
      <x:c r="L2957" s="48" t="n">
        <x:v>0.9879271280702652</x:v>
      </x:c>
      <x:c r="M2957" s="48" t="n">
        <x:v>0.133097539314437</x:v>
      </x:c>
      <x:c r="N2957" s="48" t="n">
        <x:v>0.6766935518646567</x:v>
      </x:c>
      <x:c r="O2957" s="48" t="n">
        <x:v>0.8931842863599685</x:v>
      </x:c>
      <x:c r="P2957" s="48" t="n">
        <x:v>0.6953493116364223</x:v>
      </x:c>
      <x:c r="Q2957" s="48" t="n">
        <x:v>1</x:v>
      </x:c>
      <x:c r="R2957" s="48" t="n">
        <x:v>0.8680993590706535</x:v>
      </x:c>
      <x:c r="S2957" s="29" t="n">
        <x:v>0</x:v>
      </x:c>
    </x:row>
    <x:row r="2958" ht="21.600000381469727" hidden="0" customHeight="1">
      <x:c r="A2958" s="27" t="n">
        <x:v>985</x:v>
      </x:c>
      <x:c r="B2958" s="27" t="str">
        <x:v>A2</x:v>
      </x:c>
      <x:c r="C2958" s="47" t="n">
        <x:v>1.0535337974682228</x:v>
      </x:c>
      <x:c r="D2958" s="47" t="n">
        <x:v>0.8700899881881438</x:v>
      </x:c>
      <x:c r="E2958" s="47" t="n">
        <x:v>0.9785704881605972</x:v>
      </x:c>
      <x:c r="F2958" s="47" t="n">
        <x:v>-0.06179651429326927</x:v>
      </x:c>
      <x:c r="G2958" s="47" t="n">
        <x:v>0.0023085985443587753</x:v>
      </x:c>
      <x:c r="H2958" s="47" t="n">
        <x:v>0.5823299095285228</x:v>
      </x:c>
      <x:c r="I2958" s="47" t="n">
        <x:v>0.9492963289357916</x:v>
      </x:c>
      <x:c r="J2958" s="47" t="n">
        <x:v>0.5760516573372024</x:v>
      </x:c>
      <x:c r="K2958" s="47" t="n">
        <x:v>0.811004988611175</x:v>
      </x:c>
      <x:c r="L2958" s="47" t="n">
        <x:v>0.9879271280702652</x:v>
      </x:c>
      <x:c r="M2958" s="47" t="n">
        <x:v>0.133097539314437</x:v>
      </x:c>
      <x:c r="N2958" s="47" t="n">
        <x:v>0.6766935518646567</x:v>
      </x:c>
      <x:c r="O2958" s="47" t="n">
        <x:v>0.9912091033482509</x:v>
      </x:c>
      <x:c r="P2958" s="47" t="n">
        <x:v>0.9419499716952914</x:v>
      </x:c>
      <x:c r="Q2958" s="47" t="n">
        <x:v>1</x:v>
      </x:c>
      <x:c r="R2958" s="47" t="n">
        <x:v>0.9891446224230925</x:v>
      </x:c>
      <x:c r="S2958" s="27" t="n">
        <x:v>0</x:v>
      </x:c>
    </x:row>
    <x:row r="2959" ht="21.600000381469727" hidden="0" customHeight="1">
      <x:c r="A2959" s="29" t="n">
        <x:v>985</x:v>
      </x:c>
      <x:c r="B2959" s="29" t="str">
        <x:v>A3</x:v>
      </x:c>
      <x:c r="C2959" s="48" t="n">
        <x:v>1.0535337974682228</x:v>
      </x:c>
      <x:c r="D2959" s="48" t="n">
        <x:v>0.8700899881881438</x:v>
      </x:c>
      <x:c r="E2959" s="48" t="n">
        <x:v>0.9785704881605972</x:v>
      </x:c>
      <x:c r="F2959" s="48" t="n">
        <x:v>-0.06179651429326927</x:v>
      </x:c>
      <x:c r="G2959" s="48" t="n">
        <x:v>0.0023085985443587753</x:v>
      </x:c>
      <x:c r="H2959" s="48" t="n">
        <x:v>0.5823299095285228</x:v>
      </x:c>
      <x:c r="I2959" s="48" t="n">
        <x:v>0.9492963289357916</x:v>
      </x:c>
      <x:c r="J2959" s="48" t="n">
        <x:v>0.5760516573372024</x:v>
      </x:c>
      <x:c r="K2959" s="48" t="n">
        <x:v>0.811004988611175</x:v>
      </x:c>
      <x:c r="L2959" s="48" t="n">
        <x:v>0.9879271280702652</x:v>
      </x:c>
      <x:c r="M2959" s="48" t="n">
        <x:v>0.133097539314437</x:v>
      </x:c>
      <x:c r="N2959" s="48" t="n">
        <x:v>0.6766935518646567</x:v>
      </x:c>
      <x:c r="O2959" s="48" t="n">
        <x:v>1</x:v>
      </x:c>
      <x:c r="P2959" s="48" t="n">
        <x:v>1</x:v>
      </x:c>
      <x:c r="Q2959" s="48" t="n">
        <x:v>1</x:v>
      </x:c>
      <x:c r="R2959" s="48" t="n">
        <x:v>1</x:v>
      </x:c>
      <x:c r="S2959" s="29" t="n">
        <x:v>1</x:v>
      </x:c>
    </x:row>
    <x:row r="2960" ht="21.600000381469727" hidden="0" customHeight="1">
      <x:c r="A2960" s="27" t="n">
        <x:v>986</x:v>
      </x:c>
      <x:c r="B2960" s="27" t="str">
        <x:v>A1</x:v>
      </x:c>
      <x:c r="C2960" s="47" t="n">
        <x:v>1.0195229917422342</x:v>
      </x:c>
      <x:c r="D2960" s="47" t="n">
        <x:v>0.9518822196241459</x:v>
      </x:c>
      <x:c r="E2960" s="47" t="n">
        <x:v>0.6326622838304718</x:v>
      </x:c>
      <x:c r="F2960" s="47" t="n">
        <x:v>-0.01303538543097929</x:v>
      </x:c>
      <x:c r="G2960" s="47" t="n">
        <x:v>-0.020435976820305235</x:v>
      </x:c>
      <x:c r="H2960" s="47" t="n">
        <x:v>0.44429871087129724</x:v>
      </x:c>
      <x:c r="I2960" s="47" t="n">
        <x:v>0.8136340372326272</x:v>
      </x:c>
      <x:c r="J2960" s="47" t="n">
        <x:v>0.5738209131421937</x:v>
      </x:c>
      <x:c r="K2960" s="47" t="n">
        <x:v>0.9782871527218295</x:v>
      </x:c>
      <x:c r="L2960" s="47" t="n">
        <x:v>0.9162578994905297</x:v>
      </x:c>
      <x:c r="M2960" s="47" t="n">
        <x:v>0.15090443729059602</x:v>
      </x:c>
      <x:c r="N2960" s="47" t="n">
        <x:v>0.7063793745630506</x:v>
      </x:c>
      <x:c r="O2960" s="47" t="n">
        <x:v>0.9165655811230403</x:v>
      </x:c>
      <x:c r="P2960" s="47" t="n">
        <x:v>0.7079714568948698</x:v>
      </x:c>
      <x:c r="Q2960" s="47" t="n">
        <x:v>1</x:v>
      </x:c>
      <x:c r="R2960" s="47" t="n">
        <x:v>0.8969715882578333</x:v>
      </x:c>
      <x:c r="S2960" s="27" t="n">
        <x:v>0</x:v>
      </x:c>
    </x:row>
    <x:row r="2961" ht="21.600000381469727" hidden="0" customHeight="1">
      <x:c r="A2961" s="29" t="n">
        <x:v>986</x:v>
      </x:c>
      <x:c r="B2961" s="29" t="str">
        <x:v>A2</x:v>
      </x:c>
      <x:c r="C2961" s="48" t="n">
        <x:v>1.0195229917422342</x:v>
      </x:c>
      <x:c r="D2961" s="48" t="n">
        <x:v>0.9518822196241459</x:v>
      </x:c>
      <x:c r="E2961" s="48" t="n">
        <x:v>0.6326622838304718</x:v>
      </x:c>
      <x:c r="F2961" s="48" t="n">
        <x:v>-0.01303538543097929</x:v>
      </x:c>
      <x:c r="G2961" s="48" t="n">
        <x:v>-0.020435976820305235</x:v>
      </x:c>
      <x:c r="H2961" s="48" t="n">
        <x:v>0.44429871087129724</x:v>
      </x:c>
      <x:c r="I2961" s="48" t="n">
        <x:v>0.8136340372326272</x:v>
      </x:c>
      <x:c r="J2961" s="48" t="n">
        <x:v>0.5738209131421937</x:v>
      </x:c>
      <x:c r="K2961" s="48" t="n">
        <x:v>0.9782871527218295</x:v>
      </x:c>
      <x:c r="L2961" s="48" t="n">
        <x:v>0.9162578994905297</x:v>
      </x:c>
      <x:c r="M2961" s="48" t="n">
        <x:v>0.15090443729059602</x:v>
      </x:c>
      <x:c r="N2961" s="48" t="n">
        <x:v>0.7063793745630506</x:v>
      </x:c>
      <x:c r="O2961" s="48" t="n">
        <x:v>0.9968241675499807</x:v>
      </x:c>
      <x:c r="P2961" s="48" t="n">
        <x:v>0.9682416754998054</x:v>
      </x:c>
      <x:c r="Q2961" s="48" t="n">
        <x:v>1</x:v>
      </x:c>
      <x:c r="R2961" s="48" t="n">
        <x:v>0.9960783453916393</x:v>
      </x:c>
      <x:c r="S2961" s="29" t="n">
        <x:v>1</x:v>
      </x:c>
    </x:row>
    <x:row r="2962" ht="21.600000381469727" hidden="0" customHeight="1">
      <x:c r="A2962" s="27" t="n">
        <x:v>986</x:v>
      </x:c>
      <x:c r="B2962" s="27" t="str">
        <x:v>A3</x:v>
      </x:c>
      <x:c r="C2962" s="47" t="n">
        <x:v>1.0195229917422342</x:v>
      </x:c>
      <x:c r="D2962" s="47" t="n">
        <x:v>0.9518822196241459</x:v>
      </x:c>
      <x:c r="E2962" s="47" t="n">
        <x:v>0.6326622838304718</x:v>
      </x:c>
      <x:c r="F2962" s="47" t="n">
        <x:v>-0.01303538543097929</x:v>
      </x:c>
      <x:c r="G2962" s="47" t="n">
        <x:v>-0.020435976820305235</x:v>
      </x:c>
      <x:c r="H2962" s="47" t="n">
        <x:v>0.44429871087129724</x:v>
      </x:c>
      <x:c r="I2962" s="47" t="n">
        <x:v>0.8136340372326272</x:v>
      </x:c>
      <x:c r="J2962" s="47" t="n">
        <x:v>0.5738209131421937</x:v>
      </x:c>
      <x:c r="K2962" s="47" t="n">
        <x:v>0.9782871527218295</x:v>
      </x:c>
      <x:c r="L2962" s="47" t="n">
        <x:v>0.9162578994905297</x:v>
      </x:c>
      <x:c r="M2962" s="47" t="n">
        <x:v>0.15090443729059602</x:v>
      </x:c>
      <x:c r="N2962" s="47" t="n">
        <x:v>0.7063793745630506</x:v>
      </x:c>
      <x:c r="O2962" s="47" t="n">
        <x:v>1</x:v>
      </x:c>
      <x:c r="P2962" s="47" t="n">
        <x:v>1</x:v>
      </x:c>
      <x:c r="Q2962" s="47" t="n">
        <x:v>1</x:v>
      </x:c>
      <x:c r="R2962" s="47" t="n">
        <x:v>1</x:v>
      </x:c>
      <x:c r="S2962" s="27" t="n">
        <x:v>1</x:v>
      </x:c>
    </x:row>
    <x:row r="2963" ht="21.600000381469727" hidden="0" customHeight="1">
      <x:c r="A2963" s="29" t="n">
        <x:v>987</x:v>
      </x:c>
      <x:c r="B2963" s="29" t="str">
        <x:v>A1</x:v>
      </x:c>
      <x:c r="C2963" s="48" t="n">
        <x:v>1.0484918546115198</x:v>
      </x:c>
      <x:c r="D2963" s="48" t="n">
        <x:v>0.8552848033642615</x:v>
      </x:c>
      <x:c r="E2963" s="48" t="n">
        <x:v>0.537139255125558</x:v>
      </x:c>
      <x:c r="F2963" s="48" t="n">
        <x:v>-0.1879095632209226</x:v>
      </x:c>
      <x:c r="G2963" s="48" t="n">
        <x:v>-0.07758628195915307</x:v>
      </x:c>
      <x:c r="H2963" s="48" t="n">
        <x:v>0.6340844537494333</x:v>
      </x:c>
      <x:c r="I2963" s="48" t="n">
        <x:v>0.6591578435426866</x:v>
      </x:c>
      <x:c r="J2963" s="48" t="n">
        <x:v>0.5361131933895055</x:v>
      </x:c>
      <x:c r="K2963" s="48" t="n">
        <x:v>0.7272540263354575</x:v>
      </x:c>
      <x:c r="L2963" s="48" t="n">
        <x:v>0.618790688122707</x:v>
      </x:c>
      <x:c r="M2963" s="48" t="n">
        <x:v>0.10399464091744219</x:v>
      </x:c>
      <x:c r="N2963" s="48" t="n">
        <x:v>0.952553197664905</x:v>
      </x:c>
      <x:c r="O2963" s="48" t="n">
        <x:v>0.8427233179293802</x:v>
      </x:c>
      <x:c r="P2963" s="48" t="n">
        <x:v>0.5997454593353028</x:v>
      </x:c>
      <x:c r="Q2963" s="48" t="n">
        <x:v>1</x:v>
      </x:c>
      <x:c r="R2963" s="48" t="n">
        <x:v>0.8057879832337587</x:v>
      </x:c>
      <x:c r="S2963" s="29" t="n">
        <x:v>0</x:v>
      </x:c>
    </x:row>
    <x:row r="2964" ht="21.600000381469727" hidden="0" customHeight="1">
      <x:c r="A2964" s="27" t="n">
        <x:v>987</x:v>
      </x:c>
      <x:c r="B2964" s="27" t="str">
        <x:v>A2</x:v>
      </x:c>
      <x:c r="C2964" s="47" t="n">
        <x:v>1.0484918546115198</x:v>
      </x:c>
      <x:c r="D2964" s="47" t="n">
        <x:v>0.8552848033642615</x:v>
      </x:c>
      <x:c r="E2964" s="47" t="n">
        <x:v>0.537139255125558</x:v>
      </x:c>
      <x:c r="F2964" s="47" t="n">
        <x:v>-0.1879095632209226</x:v>
      </x:c>
      <x:c r="G2964" s="47" t="n">
        <x:v>-0.07758628195915307</x:v>
      </x:c>
      <x:c r="H2964" s="47" t="n">
        <x:v>0.6340844537494333</x:v>
      </x:c>
      <x:c r="I2964" s="47" t="n">
        <x:v>0.6591578435426866</x:v>
      </x:c>
      <x:c r="J2964" s="47" t="n">
        <x:v>0.5361131933895055</x:v>
      </x:c>
      <x:c r="K2964" s="47" t="n">
        <x:v>0.7272540263354575</x:v>
      </x:c>
      <x:c r="L2964" s="47" t="n">
        <x:v>0.618790688122707</x:v>
      </x:c>
      <x:c r="M2964" s="47" t="n">
        <x:v>0.10399464091744219</x:v>
      </x:c>
      <x:c r="N2964" s="47" t="n">
        <x:v>0.952553197664905</x:v>
      </x:c>
      <x:c r="O2964" s="47" t="n">
        <x:v>0.9271204539766513</x:v>
      </x:c>
      <x:c r="P2964" s="47" t="n">
        <x:v>0.6574357131178216</x:v>
      </x:c>
      <x:c r="Q2964" s="47" t="n">
        <x:v>1</x:v>
      </x:c>
      <x:c r="R2964" s="47" t="n">
        <x:v>0.9100051995765829</x:v>
      </x:c>
      <x:c r="S2964" s="27" t="n">
        <x:v>0</x:v>
      </x:c>
    </x:row>
    <x:row r="2965" ht="21.600000381469727" hidden="0" customHeight="1">
      <x:c r="A2965" s="29" t="n">
        <x:v>987</x:v>
      </x:c>
      <x:c r="B2965" s="29" t="str">
        <x:v>A3</x:v>
      </x:c>
      <x:c r="C2965" s="48" t="n">
        <x:v>1.0484918546115198</x:v>
      </x:c>
      <x:c r="D2965" s="48" t="n">
        <x:v>0.8552848033642615</x:v>
      </x:c>
      <x:c r="E2965" s="48" t="n">
        <x:v>0.537139255125558</x:v>
      </x:c>
      <x:c r="F2965" s="48" t="n">
        <x:v>-0.1879095632209226</x:v>
      </x:c>
      <x:c r="G2965" s="48" t="n">
        <x:v>-0.07758628195915307</x:v>
      </x:c>
      <x:c r="H2965" s="48" t="n">
        <x:v>0.6340844537494333</x:v>
      </x:c>
      <x:c r="I2965" s="48" t="n">
        <x:v>0.6591578435426866</x:v>
      </x:c>
      <x:c r="J2965" s="48" t="n">
        <x:v>0.5361131933895055</x:v>
      </x:c>
      <x:c r="K2965" s="48" t="n">
        <x:v>0.7272540263354575</x:v>
      </x:c>
      <x:c r="L2965" s="48" t="n">
        <x:v>0.618790688122707</x:v>
      </x:c>
      <x:c r="M2965" s="48" t="n">
        <x:v>0.10399464091744219</x:v>
      </x:c>
      <x:c r="N2965" s="48" t="n">
        <x:v>0.952553197664905</x:v>
      </x:c>
      <x:c r="O2965" s="48" t="n">
        <x:v>1</x:v>
      </x:c>
      <x:c r="P2965" s="48" t="n">
        <x:v>1</x:v>
      </x:c>
      <x:c r="Q2965" s="48" t="n">
        <x:v>1</x:v>
      </x:c>
      <x:c r="R2965" s="48" t="n">
        <x:v>1</x:v>
      </x:c>
      <x:c r="S2965" s="29" t="n">
        <x:v>1</x:v>
      </x:c>
    </x:row>
    <x:row r="2966" ht="15" hidden="0" customHeight="1">
      <x:c r="A2966" s="27" t="n">
        <x:v>988</x:v>
      </x:c>
      <x:c r="B2966" s="27" t="str">
        <x:v>A1</x:v>
      </x:c>
      <x:c r="C2966" s="47" t="n">
        <x:v>1.2144319410844653</x:v>
      </x:c>
      <x:c r="D2966" s="47" t="n">
        <x:v>0.7541134356901539</x:v>
      </x:c>
      <x:c r="E2966" s="47" t="n">
        <x:v>0.8339936264446366</x:v>
      </x:c>
      <x:c r="F2966" s="47" t="n">
        <x:v>-0.021473619991837084</x:v>
      </x:c>
      <x:c r="G2966" s="47" t="n">
        <x:v>-0.036707670243894486</x:v>
      </x:c>
      <x:c r="H2966" s="47" t="n">
        <x:v>0.37824695562813165</x:v>
      </x:c>
      <x:c r="I2966" s="47" t="n">
        <x:v>0.6402090143671396</x:v>
      </x:c>
      <x:c r="J2966" s="47" t="n">
        <x:v>0.8540727276282605</x:v>
      </x:c>
      <x:c r="K2966" s="47" t="n">
        <x:v>0.9590512001281534</x:v>
      </x:c>
      <x:c r="L2966" s="47" t="n">
        <x:v>0.6578304302504171</x:v>
      </x:c>
      <x:c r="M2966" s="47" t="n">
        <x:v>0.1424489029347585</x:v>
      </x:c>
      <x:c r="N2966" s="47" t="n">
        <x:v>0.7240155492514231</x:v>
      </x:c>
      <x:c r="O2966" s="47" t="n">
        <x:v>0.7685897904658998</x:v>
      </x:c>
      <x:c r="P2966" s="47" t="n">
        <x:v>0.42167096211047733</x:v>
      </x:c>
      <x:c r="Q2966" s="47" t="n">
        <x:v>1</x:v>
      </x:c>
      <x:c r="R2966" s="47" t="n">
        <x:v>0.7142447125522647</x:v>
      </x:c>
      <x:c r="S2966" s="27" t="n">
        <x:v>0</x:v>
      </x:c>
    </x:row>
    <x:row r="2967" ht="15" hidden="0" customHeight="1">
      <x:c r="A2967" s="29" t="n">
        <x:v>988</x:v>
      </x:c>
      <x:c r="B2967" s="29" t="str">
        <x:v>A2</x:v>
      </x:c>
      <x:c r="C2967" s="48" t="n">
        <x:v>1.2144319410844653</x:v>
      </x:c>
      <x:c r="D2967" s="48" t="n">
        <x:v>0.7541134356901539</x:v>
      </x:c>
      <x:c r="E2967" s="48" t="n">
        <x:v>0.8339936264446366</x:v>
      </x:c>
      <x:c r="F2967" s="48" t="n">
        <x:v>-0.021473619991837084</x:v>
      </x:c>
      <x:c r="G2967" s="48" t="n">
        <x:v>-0.036707670243894486</x:v>
      </x:c>
      <x:c r="H2967" s="48" t="n">
        <x:v>0.37824695562813165</x:v>
      </x:c>
      <x:c r="I2967" s="48" t="n">
        <x:v>0.6402090143671396</x:v>
      </x:c>
      <x:c r="J2967" s="48" t="n">
        <x:v>0.8540727276282605</x:v>
      </x:c>
      <x:c r="K2967" s="48" t="n">
        <x:v>0.9590512001281534</x:v>
      </x:c>
      <x:c r="L2967" s="48" t="n">
        <x:v>0.6578304302504171</x:v>
      </x:c>
      <x:c r="M2967" s="48" t="n">
        <x:v>0.1424489029347585</x:v>
      </x:c>
      <x:c r="N2967" s="48" t="n">
        <x:v>0.7240155492514231</x:v>
      </x:c>
      <x:c r="O2967" s="48" t="n">
        <x:v>0.8594982946537846</x:v>
      </x:c>
      <x:c r="P2967" s="48" t="n">
        <x:v>0.46350736951516835</x:v>
      </x:c>
      <x:c r="Q2967" s="48" t="n">
        <x:v>1</x:v>
      </x:c>
      <x:c r="R2967" s="48" t="n">
        <x:v>0.8265024465474653</x:v>
      </x:c>
      <x:c r="S2967" s="29" t="n">
        <x:v>0</x:v>
      </x:c>
    </x:row>
    <x:row r="2968" ht="15" hidden="0" customHeight="1">
      <x:c r="A2968" s="27" t="n">
        <x:v>988</x:v>
      </x:c>
      <x:c r="B2968" s="27" t="str">
        <x:v>A3</x:v>
      </x:c>
      <x:c r="C2968" s="47" t="n">
        <x:v>1.2144319410844653</x:v>
      </x:c>
      <x:c r="D2968" s="47" t="n">
        <x:v>0.7541134356901539</x:v>
      </x:c>
      <x:c r="E2968" s="47" t="n">
        <x:v>0.8339936264446366</x:v>
      </x:c>
      <x:c r="F2968" s="47" t="n">
        <x:v>-0.021473619991837084</x:v>
      </x:c>
      <x:c r="G2968" s="47" t="n">
        <x:v>-0.036707670243894486</x:v>
      </x:c>
      <x:c r="H2968" s="47" t="n">
        <x:v>0.37824695562813165</x:v>
      </x:c>
      <x:c r="I2968" s="47" t="n">
        <x:v>0.6402090143671396</x:v>
      </x:c>
      <x:c r="J2968" s="47" t="n">
        <x:v>0.8540727276282605</x:v>
      </x:c>
      <x:c r="K2968" s="47" t="n">
        <x:v>0.9590512001281534</x:v>
      </x:c>
      <x:c r="L2968" s="47" t="n">
        <x:v>0.6578304302504171</x:v>
      </x:c>
      <x:c r="M2968" s="47" t="n">
        <x:v>0.1424489029347585</x:v>
      </x:c>
      <x:c r="N2968" s="47" t="n">
        <x:v>0.7240155492514231</x:v>
      </x:c>
      <x:c r="O2968" s="47" t="n">
        <x:v>1</x:v>
      </x:c>
      <x:c r="P2968" s="47" t="n">
        <x:v>1</x:v>
      </x:c>
      <x:c r="Q2968" s="47" t="n">
        <x:v>1</x:v>
      </x:c>
      <x:c r="R2968" s="47" t="n">
        <x:v>1</x:v>
      </x:c>
      <x:c r="S2968" s="27" t="n">
        <x:v>1</x:v>
      </x:c>
    </x:row>
    <x:row r="2969" ht="21.600000381469727" hidden="0" customHeight="1">
      <x:c r="A2969" s="29" t="n">
        <x:v>989</x:v>
      </x:c>
      <x:c r="B2969" s="29" t="str">
        <x:v>A1</x:v>
      </x:c>
      <x:c r="C2969" s="48" t="n">
        <x:v>1.3431303913784225</x:v>
      </x:c>
      <x:c r="D2969" s="48" t="n">
        <x:v>0.8548657406537437</x:v>
      </x:c>
      <x:c r="E2969" s="48" t="n">
        <x:v>0.7337837118956416</x:v>
      </x:c>
      <x:c r="F2969" s="48" t="n">
        <x:v>-0.14182696808669004</x:v>
      </x:c>
      <x:c r="G2969" s="48" t="n">
        <x:v>-0.1254475505338306</x:v>
      </x:c>
      <x:c r="H2969" s="48" t="n">
        <x:v>1.0171669322072208</x:v>
      </x:c>
      <x:c r="I2969" s="48" t="n">
        <x:v>0.6473211159496118</x:v>
      </x:c>
      <x:c r="J2969" s="48" t="n">
        <x:v>0.4200898514035804</x:v>
      </x:c>
      <x:c r="K2969" s="48" t="n">
        <x:v>0.9063838096274085</x:v>
      </x:c>
      <x:c r="L2969" s="48" t="n">
        <x:v>0.6181414610343567</x:v>
      </x:c>
      <x:c r="M2969" s="48" t="n">
        <x:v>0.054904891441779326</x:v>
      </x:c>
      <x:c r="N2969" s="48" t="n">
        <x:v>0.7877031589065777</x:v>
      </x:c>
      <x:c r="O2969" s="48" t="n">
        <x:v>0.752758063625896</x:v>
      </x:c>
      <x:c r="P2969" s="48" t="n">
        <x:v>0.4810262587320086</x:v>
      </x:c>
      <x:c r="Q2969" s="48" t="n">
        <x:v>0.9821877729169524</x:v>
      </x:c>
      <x:c r="R2969" s="48" t="n">
        <x:v>0.6948273035980611</x:v>
      </x:c>
      <x:c r="S2969" s="29" t="n">
        <x:v>0</x:v>
      </x:c>
    </x:row>
    <x:row r="2970" ht="21.600000381469727" hidden="0" customHeight="1">
      <x:c r="A2970" s="27" t="n">
        <x:v>989</x:v>
      </x:c>
      <x:c r="B2970" s="27" t="str">
        <x:v>A2</x:v>
      </x:c>
      <x:c r="C2970" s="47" t="n">
        <x:v>1.3431303913784225</x:v>
      </x:c>
      <x:c r="D2970" s="47" t="n">
        <x:v>0.8548657406537437</x:v>
      </x:c>
      <x:c r="E2970" s="47" t="n">
        <x:v>0.7337837118956416</x:v>
      </x:c>
      <x:c r="F2970" s="47" t="n">
        <x:v>-0.14182696808669004</x:v>
      </x:c>
      <x:c r="G2970" s="47" t="n">
        <x:v>-0.1254475505338306</x:v>
      </x:c>
      <x:c r="H2970" s="47" t="n">
        <x:v>1.0171669322072208</x:v>
      </x:c>
      <x:c r="I2970" s="47" t="n">
        <x:v>0.6473211159496118</x:v>
      </x:c>
      <x:c r="J2970" s="47" t="n">
        <x:v>0.4200898514035804</x:v>
      </x:c>
      <x:c r="K2970" s="47" t="n">
        <x:v>0.9063838096274085</x:v>
      </x:c>
      <x:c r="L2970" s="47" t="n">
        <x:v>0.6181414610343567</x:v>
      </x:c>
      <x:c r="M2970" s="47" t="n">
        <x:v>0.054904891441779326</x:v>
      </x:c>
      <x:c r="N2970" s="47" t="n">
        <x:v>0.7877031589065777</x:v>
      </x:c>
      <x:c r="O2970" s="47" t="n">
        <x:v>0.8275502145660045</x:v>
      </x:c>
      <x:c r="P2970" s="47" t="n">
        <x:v>0.5402393964916775</x:v>
      </x:c>
      <x:c r="Q2970" s="47" t="n">
        <x:v>1</x:v>
      </x:c>
      <x:c r="R2970" s="47" t="n">
        <x:v>0.7870515820965536</x:v>
      </x:c>
      <x:c r="S2970" s="27" t="n">
        <x:v>0</x:v>
      </x:c>
    </x:row>
    <x:row r="2971" ht="21.600000381469727" hidden="0" customHeight="1">
      <x:c r="A2971" s="29" t="n">
        <x:v>989</x:v>
      </x:c>
      <x:c r="B2971" s="29" t="str">
        <x:v>A3</x:v>
      </x:c>
      <x:c r="C2971" s="48" t="n">
        <x:v>1.3431303913784225</x:v>
      </x:c>
      <x:c r="D2971" s="48" t="n">
        <x:v>0.8548657406537437</x:v>
      </x:c>
      <x:c r="E2971" s="48" t="n">
        <x:v>0.7337837118956416</x:v>
      </x:c>
      <x:c r="F2971" s="48" t="n">
        <x:v>-0.14182696808669004</x:v>
      </x:c>
      <x:c r="G2971" s="48" t="n">
        <x:v>-0.1254475505338306</x:v>
      </x:c>
      <x:c r="H2971" s="48" t="n">
        <x:v>1.0171669322072208</x:v>
      </x:c>
      <x:c r="I2971" s="48" t="n">
        <x:v>0.6473211159496118</x:v>
      </x:c>
      <x:c r="J2971" s="48" t="n">
        <x:v>0.4200898514035804</x:v>
      </x:c>
      <x:c r="K2971" s="48" t="n">
        <x:v>0.9063838096274085</x:v>
      </x:c>
      <x:c r="L2971" s="48" t="n">
        <x:v>0.6181414610343567</x:v>
      </x:c>
      <x:c r="M2971" s="48" t="n">
        <x:v>0.054904891441779326</x:v>
      </x:c>
      <x:c r="N2971" s="48" t="n">
        <x:v>0.7877031589065777</x:v>
      </x:c>
      <x:c r="O2971" s="48" t="n">
        <x:v>1</x:v>
      </x:c>
      <x:c r="P2971" s="48" t="n">
        <x:v>1</x:v>
      </x:c>
      <x:c r="Q2971" s="48" t="n">
        <x:v>1</x:v>
      </x:c>
      <x:c r="R2971" s="48" t="n">
        <x:v>1</x:v>
      </x:c>
      <x:c r="S2971" s="29" t="n">
        <x:v>1</x:v>
      </x:c>
    </x:row>
    <x:row r="2972" ht="21.600000381469727" hidden="0" customHeight="1">
      <x:c r="A2972" s="27" t="n">
        <x:v>990</x:v>
      </x:c>
      <x:c r="B2972" s="27" t="str">
        <x:v>A1</x:v>
      </x:c>
      <x:c r="C2972" s="47" t="n">
        <x:v>1.0686409919494992</x:v>
      </x:c>
      <x:c r="D2972" s="47" t="n">
        <x:v>0.7289813926539352</x:v>
      </x:c>
      <x:c r="E2972" s="47" t="n">
        <x:v>0.9261303481246405</x:v>
      </x:c>
      <x:c r="F2972" s="47" t="n">
        <x:v>-0.14072550298546738</x:v>
      </x:c>
      <x:c r="G2972" s="47" t="n">
        <x:v>-0.17260178227816098</x:v>
      </x:c>
      <x:c r="H2972" s="47" t="n">
        <x:v>0.6039599361976216</x:v>
      </x:c>
      <x:c r="I2972" s="47" t="n">
        <x:v>0.6847595294151203</x:v>
      </x:c>
      <x:c r="J2972" s="47" t="n">
        <x:v>0.8957071398515779</x:v>
      </x:c>
      <x:c r="K2972" s="47" t="n">
        <x:v>0.6199949848087719</x:v>
      </x:c>
      <x:c r="L2972" s="47" t="n">
        <x:v>0.6654851349804511</x:v>
      </x:c>
      <x:c r="M2972" s="47" t="n">
        <x:v>0.05878495575549561</x:v>
      </x:c>
      <x:c r="N2972" s="47" t="n">
        <x:v>0.90413827718768</x:v>
      </x:c>
      <x:c r="O2972" s="47" t="n">
        <x:v>0.7816281801930766</x:v>
      </x:c>
      <x:c r="P2972" s="47" t="n">
        <x:v>0.411083393041459</x:v>
      </x:c>
      <x:c r="Q2972" s="47" t="n">
        <x:v>0.9986372302547167</x:v>
      </x:c>
      <x:c r="R2972" s="47" t="n">
        <x:v>0.7305655515798991</x:v>
      </x:c>
      <x:c r="S2972" s="27" t="n">
        <x:v>0</x:v>
      </x:c>
    </x:row>
    <x:row r="2973" ht="21.600000381469727" hidden="0" customHeight="1">
      <x:c r="A2973" s="29" t="n">
        <x:v>990</x:v>
      </x:c>
      <x:c r="B2973" s="29" t="str">
        <x:v>A2</x:v>
      </x:c>
      <x:c r="C2973" s="48" t="n">
        <x:v>1.0686409919494992</x:v>
      </x:c>
      <x:c r="D2973" s="48" t="n">
        <x:v>0.7289813926539352</x:v>
      </x:c>
      <x:c r="E2973" s="48" t="n">
        <x:v>0.9261303481246405</x:v>
      </x:c>
      <x:c r="F2973" s="48" t="n">
        <x:v>-0.14072550298546738</x:v>
      </x:c>
      <x:c r="G2973" s="48" t="n">
        <x:v>-0.17260178227816098</x:v>
      </x:c>
      <x:c r="H2973" s="48" t="n">
        <x:v>0.6039599361976216</x:v>
      </x:c>
      <x:c r="I2973" s="48" t="n">
        <x:v>0.6847595294151203</x:v>
      </x:c>
      <x:c r="J2973" s="48" t="n">
        <x:v>0.8957071398515779</x:v>
      </x:c>
      <x:c r="K2973" s="48" t="n">
        <x:v>0.6199949848087719</x:v>
      </x:c>
      <x:c r="L2973" s="48" t="n">
        <x:v>0.6654851349804511</x:v>
      </x:c>
      <x:c r="M2973" s="48" t="n">
        <x:v>0.05878495575549561</x:v>
      </x:c>
      <x:c r="N2973" s="48" t="n">
        <x:v>0.90413827718768</x:v>
      </x:c>
      <x:c r="O2973" s="48" t="n">
        <x:v>0.86657632237181</x:v>
      </x:c>
      <x:c r="P2973" s="48" t="n">
        <x:v>0.46319975814461906</x:v>
      </x:c>
      <x:c r="Q2973" s="48" t="n">
        <x:v>1</x:v>
      </x:c>
      <x:c r="R2973" s="48" t="n">
        <x:v>0.8352426998370651</x:v>
      </x:c>
      <x:c r="S2973" s="29" t="n">
        <x:v>0</x:v>
      </x:c>
    </x:row>
    <x:row r="2974" ht="21.600000381469727" hidden="0" customHeight="1">
      <x:c r="A2974" s="27" t="n">
        <x:v>990</x:v>
      </x:c>
      <x:c r="B2974" s="27" t="str">
        <x:v>A3</x:v>
      </x:c>
      <x:c r="C2974" s="47" t="n">
        <x:v>1.0686409919494992</x:v>
      </x:c>
      <x:c r="D2974" s="47" t="n">
        <x:v>0.7289813926539352</x:v>
      </x:c>
      <x:c r="E2974" s="47" t="n">
        <x:v>0.9261303481246405</x:v>
      </x:c>
      <x:c r="F2974" s="47" t="n">
        <x:v>-0.14072550298546738</x:v>
      </x:c>
      <x:c r="G2974" s="47" t="n">
        <x:v>-0.17260178227816098</x:v>
      </x:c>
      <x:c r="H2974" s="47" t="n">
        <x:v>0.6039599361976216</x:v>
      </x:c>
      <x:c r="I2974" s="47" t="n">
        <x:v>0.6847595294151203</x:v>
      </x:c>
      <x:c r="J2974" s="47" t="n">
        <x:v>0.8957071398515779</x:v>
      </x:c>
      <x:c r="K2974" s="47" t="n">
        <x:v>0.6199949848087719</x:v>
      </x:c>
      <x:c r="L2974" s="47" t="n">
        <x:v>0.6654851349804511</x:v>
      </x:c>
      <x:c r="M2974" s="47" t="n">
        <x:v>0.05878495575549561</x:v>
      </x:c>
      <x:c r="N2974" s="47" t="n">
        <x:v>0.90413827718768</x:v>
      </x:c>
      <x:c r="O2974" s="47" t="n">
        <x:v>1</x:v>
      </x:c>
      <x:c r="P2974" s="47" t="n">
        <x:v>1</x:v>
      </x:c>
      <x:c r="Q2974" s="47" t="n">
        <x:v>1</x:v>
      </x:c>
      <x:c r="R2974" s="47" t="n">
        <x:v>1</x:v>
      </x:c>
      <x:c r="S2974" s="27" t="n">
        <x:v>1</x:v>
      </x:c>
    </x:row>
    <x:row r="2975" ht="21.600000381469727" hidden="0" customHeight="1">
      <x:c r="A2975" s="29" t="n">
        <x:v>991</x:v>
      </x:c>
      <x:c r="B2975" s="29" t="str">
        <x:v>A1</x:v>
      </x:c>
      <x:c r="C2975" s="48" t="n">
        <x:v>1.1508249463661677</x:v>
      </x:c>
      <x:c r="D2975" s="48" t="n">
        <x:v>0.7256892172262098</x:v>
      </x:c>
      <x:c r="E2975" s="48" t="n">
        <x:v>1.0566798300857636</x:v>
      </x:c>
      <x:c r="F2975" s="48" t="n">
        <x:v>-0.18001420930952844</x:v>
      </x:c>
      <x:c r="G2975" s="48" t="n">
        <x:v>-0.18643592165508271</x:v>
      </x:c>
      <x:c r="H2975" s="48" t="n">
        <x:v>0.38624398098530516</x:v>
      </x:c>
      <x:c r="I2975" s="48" t="n">
        <x:v>0.6568807890269909</x:v>
      </x:c>
      <x:c r="J2975" s="48" t="n">
        <x:v>0.5174907869437432</x:v>
      </x:c>
      <x:c r="K2975" s="48" t="n">
        <x:v>0.7894507791934693</x:v>
      </x:c>
      <x:c r="L2975" s="48" t="n">
        <x:v>0.6426996860102543</x:v>
      </x:c>
      <x:c r="M2975" s="48" t="n">
        <x:v>0.15826487691409402</x:v>
      </x:c>
      <x:c r="N2975" s="48" t="n">
        <x:v>0.8839581583169316</x:v>
      </x:c>
      <x:c r="O2975" s="48" t="n">
        <x:v>0.7741813692995542</x:v>
      </x:c>
      <x:c r="P2975" s="48" t="n">
        <x:v>0.4606709438442459</x:v>
      </x:c>
      <x:c r="Q2975" s="48" t="n">
        <x:v>1</x:v>
      </x:c>
      <x:c r="R2975" s="48" t="n">
        <x:v>0.7211494347774184</x:v>
      </x:c>
      <x:c r="S2975" s="29" t="n">
        <x:v>0</x:v>
      </x:c>
    </x:row>
    <x:row r="2976" ht="21.600000381469727" hidden="0" customHeight="1">
      <x:c r="A2976" s="27" t="n">
        <x:v>991</x:v>
      </x:c>
      <x:c r="B2976" s="27" t="str">
        <x:v>A2</x:v>
      </x:c>
      <x:c r="C2976" s="47" t="n">
        <x:v>1.1508249463661677</x:v>
      </x:c>
      <x:c r="D2976" s="47" t="n">
        <x:v>0.7256892172262098</x:v>
      </x:c>
      <x:c r="E2976" s="47" t="n">
        <x:v>1.0566798300857636</x:v>
      </x:c>
      <x:c r="F2976" s="47" t="n">
        <x:v>-0.18001420930952844</x:v>
      </x:c>
      <x:c r="G2976" s="47" t="n">
        <x:v>-0.18643592165508271</x:v>
      </x:c>
      <x:c r="H2976" s="47" t="n">
        <x:v>0.38624398098530516</x:v>
      </x:c>
      <x:c r="I2976" s="47" t="n">
        <x:v>0.6568807890269909</x:v>
      </x:c>
      <x:c r="J2976" s="47" t="n">
        <x:v>0.5174907869437432</x:v>
      </x:c>
      <x:c r="K2976" s="47" t="n">
        <x:v>0.7894507791934693</x:v>
      </x:c>
      <x:c r="L2976" s="47" t="n">
        <x:v>0.6426996860102543</x:v>
      </x:c>
      <x:c r="M2976" s="47" t="n">
        <x:v>0.15826487691409402</x:v>
      </x:c>
      <x:c r="N2976" s="47" t="n">
        <x:v>0.8839581583169316</x:v>
      </x:c>
      <x:c r="O2976" s="47" t="n">
        <x:v>0.868849605311467</x:v>
      </x:c>
      <x:c r="P2976" s="47" t="n">
        <x:v>0.5602410907121435</x:v>
      </x:c>
      <x:c r="Q2976" s="47" t="n">
        <x:v>1</x:v>
      </x:c>
      <x:c r="R2976" s="47" t="n">
        <x:v>0.8380498474611029</x:v>
      </x:c>
      <x:c r="S2976" s="27" t="n">
        <x:v>0</x:v>
      </x:c>
    </x:row>
    <x:row r="2977" ht="21.600000381469727" hidden="0" customHeight="1">
      <x:c r="A2977" s="29" t="n">
        <x:v>991</x:v>
      </x:c>
      <x:c r="B2977" s="29" t="str">
        <x:v>A3</x:v>
      </x:c>
      <x:c r="C2977" s="48" t="n">
        <x:v>1.1508249463661677</x:v>
      </x:c>
      <x:c r="D2977" s="48" t="n">
        <x:v>0.7256892172262098</x:v>
      </x:c>
      <x:c r="E2977" s="48" t="n">
        <x:v>1.0566798300857636</x:v>
      </x:c>
      <x:c r="F2977" s="48" t="n">
        <x:v>-0.18001420930952844</x:v>
      </x:c>
      <x:c r="G2977" s="48" t="n">
        <x:v>-0.18643592165508271</x:v>
      </x:c>
      <x:c r="H2977" s="48" t="n">
        <x:v>0.38624398098530516</x:v>
      </x:c>
      <x:c r="I2977" s="48" t="n">
        <x:v>0.6568807890269909</x:v>
      </x:c>
      <x:c r="J2977" s="48" t="n">
        <x:v>0.5174907869437432</x:v>
      </x:c>
      <x:c r="K2977" s="48" t="n">
        <x:v>0.7894507791934693</x:v>
      </x:c>
      <x:c r="L2977" s="48" t="n">
        <x:v>0.6426996860102543</x:v>
      </x:c>
      <x:c r="M2977" s="48" t="n">
        <x:v>0.15826487691409402</x:v>
      </x:c>
      <x:c r="N2977" s="48" t="n">
        <x:v>0.8839581583169316</x:v>
      </x:c>
      <x:c r="O2977" s="48" t="n">
        <x:v>1</x:v>
      </x:c>
      <x:c r="P2977" s="48" t="n">
        <x:v>1</x:v>
      </x:c>
      <x:c r="Q2977" s="48" t="n">
        <x:v>1</x:v>
      </x:c>
      <x:c r="R2977" s="48" t="n">
        <x:v>1</x:v>
      </x:c>
      <x:c r="S2977" s="29" t="n">
        <x:v>1</x:v>
      </x:c>
    </x:row>
    <x:row r="2978" ht="21.600000381469727" hidden="0" customHeight="1">
      <x:c r="A2978" s="27" t="n">
        <x:v>992</x:v>
      </x:c>
      <x:c r="B2978" s="27" t="str">
        <x:v>A1</x:v>
      </x:c>
      <x:c r="C2978" s="47" t="n">
        <x:v>1.1492878461296838</x:v>
      </x:c>
      <x:c r="D2978" s="47" t="n">
        <x:v>0.7493869039316344</x:v>
      </x:c>
      <x:c r="E2978" s="47" t="n">
        <x:v>0.5432562098211818</x:v>
      </x:c>
      <x:c r="F2978" s="47" t="n">
        <x:v>-0.19747991623871952</x:v>
      </x:c>
      <x:c r="G2978" s="47" t="n">
        <x:v>-0.0807714692326655</x:v>
      </x:c>
      <x:c r="H2978" s="47" t="n">
        <x:v>0.9369730004733681</x:v>
      </x:c>
      <x:c r="I2978" s="47" t="n">
        <x:v>0.685576385453708</x:v>
      </x:c>
      <x:c r="J2978" s="47" t="n">
        <x:v>0.5051829761202737</x:v>
      </x:c>
      <x:c r="K2978" s="47" t="n">
        <x:v>0.5643128367887768</x:v>
      </x:c>
      <x:c r="L2978" s="47" t="n">
        <x:v>0.7580657080159763</x:v>
      </x:c>
      <x:c r="M2978" s="47" t="n">
        <x:v>0.1554946945710533</x:v>
      </x:c>
      <x:c r="N2978" s="47" t="n">
        <x:v>0.8023657291162611</x:v>
      </x:c>
      <x:c r="O2978" s="47" t="n">
        <x:v>0.7247839642096755</x:v>
      </x:c>
      <x:c r="P2978" s="47" t="n">
        <x:v>0.4465872112343236</x:v>
      </x:c>
      <x:c r="Q2978" s="47" t="n">
        <x:v>0.9244748051797134</x:v>
      </x:c>
      <x:c r="R2978" s="47" t="n">
        <x:v>0.6607123072922426</x:v>
      </x:c>
      <x:c r="S2978" s="27" t="n">
        <x:v>0</x:v>
      </x:c>
    </x:row>
    <x:row r="2979" ht="21.600000381469727" hidden="0" customHeight="1">
      <x:c r="A2979" s="29" t="n">
        <x:v>992</x:v>
      </x:c>
      <x:c r="B2979" s="29" t="str">
        <x:v>A2</x:v>
      </x:c>
      <x:c r="C2979" s="48" t="n">
        <x:v>1.1492878461296838</x:v>
      </x:c>
      <x:c r="D2979" s="48" t="n">
        <x:v>0.7493869039316344</x:v>
      </x:c>
      <x:c r="E2979" s="48" t="n">
        <x:v>0.5432562098211818</x:v>
      </x:c>
      <x:c r="F2979" s="48" t="n">
        <x:v>-0.19747991623871952</x:v>
      </x:c>
      <x:c r="G2979" s="48" t="n">
        <x:v>-0.0807714692326655</x:v>
      </x:c>
      <x:c r="H2979" s="48" t="n">
        <x:v>0.9369730004733681</x:v>
      </x:c>
      <x:c r="I2979" s="48" t="n">
        <x:v>0.685576385453708</x:v>
      </x:c>
      <x:c r="J2979" s="48" t="n">
        <x:v>0.5051829761202737</x:v>
      </x:c>
      <x:c r="K2979" s="48" t="n">
        <x:v>0.5643128367887768</x:v>
      </x:c>
      <x:c r="L2979" s="48" t="n">
        <x:v>0.7580657080159763</x:v>
      </x:c>
      <x:c r="M2979" s="48" t="n">
        <x:v>0.1554946945710533</x:v>
      </x:c>
      <x:c r="N2979" s="48" t="n">
        <x:v>0.8023657291162611</x:v>
      </x:c>
      <x:c r="O2979" s="48" t="n">
        <x:v>0.7912226282150961</x:v>
      </x:c>
      <x:c r="P2979" s="48" t="n">
        <x:v>0.4512279584324111</x:v>
      </x:c>
      <x:c r="Q2979" s="48" t="n">
        <x:v>1</x:v>
      </x:c>
      <x:c r="R2979" s="48" t="n">
        <x:v>0.7421927148024701</x:v>
      </x:c>
      <x:c r="S2979" s="29" t="n">
        <x:v>0</x:v>
      </x:c>
    </x:row>
    <x:row r="2980" ht="21.600000381469727" hidden="0" customHeight="1">
      <x:c r="A2980" s="27" t="n">
        <x:v>992</x:v>
      </x:c>
      <x:c r="B2980" s="27" t="str">
        <x:v>A3</x:v>
      </x:c>
      <x:c r="C2980" s="47" t="n">
        <x:v>1.1492878461296838</x:v>
      </x:c>
      <x:c r="D2980" s="47" t="n">
        <x:v>0.7493869039316344</x:v>
      </x:c>
      <x:c r="E2980" s="47" t="n">
        <x:v>0.5432562098211818</x:v>
      </x:c>
      <x:c r="F2980" s="47" t="n">
        <x:v>-0.19747991623871952</x:v>
      </x:c>
      <x:c r="G2980" s="47" t="n">
        <x:v>-0.0807714692326655</x:v>
      </x:c>
      <x:c r="H2980" s="47" t="n">
        <x:v>0.9369730004733681</x:v>
      </x:c>
      <x:c r="I2980" s="47" t="n">
        <x:v>0.685576385453708</x:v>
      </x:c>
      <x:c r="J2980" s="47" t="n">
        <x:v>0.5051829761202737</x:v>
      </x:c>
      <x:c r="K2980" s="47" t="n">
        <x:v>0.5643128367887768</x:v>
      </x:c>
      <x:c r="L2980" s="47" t="n">
        <x:v>0.7580657080159763</x:v>
      </x:c>
      <x:c r="M2980" s="47" t="n">
        <x:v>0.1554946945710533</x:v>
      </x:c>
      <x:c r="N2980" s="47" t="n">
        <x:v>0.8023657291162611</x:v>
      </x:c>
      <x:c r="O2980" s="47" t="n">
        <x:v>1.0000000000000002</x:v>
      </x:c>
      <x:c r="P2980" s="47" t="n">
        <x:v>1</x:v>
      </x:c>
      <x:c r="Q2980" s="47" t="n">
        <x:v>1</x:v>
      </x:c>
      <x:c r="R2980" s="47" t="n">
        <x:v>1</x:v>
      </x:c>
      <x:c r="S2980" s="27" t="n">
        <x:v>1</x:v>
      </x:c>
    </x:row>
    <x:row r="2981" ht="21.600000381469727" hidden="0" customHeight="1">
      <x:c r="A2981" s="29" t="n">
        <x:v>993</x:v>
      </x:c>
      <x:c r="B2981" s="29" t="str">
        <x:v>A1</x:v>
      </x:c>
      <x:c r="C2981" s="48" t="n">
        <x:v>0.9810875166578402</x:v>
      </x:c>
      <x:c r="D2981" s="48" t="n">
        <x:v>0.8753917906551187</x:v>
      </x:c>
      <x:c r="E2981" s="48" t="n">
        <x:v>0.5828333879771888</x:v>
      </x:c>
      <x:c r="F2981" s="48" t="n">
        <x:v>-0.17102727611597937</x:v>
      </x:c>
      <x:c r="G2981" s="48" t="n">
        <x:v>-0.19566514125186268</x:v>
      </x:c>
      <x:c r="H2981" s="48" t="n">
        <x:v>0.478496135497159</x:v>
      </x:c>
      <x:c r="I2981" s="48" t="n">
        <x:v>0.7559232165460118</x:v>
      </x:c>
      <x:c r="J2981" s="48" t="n">
        <x:v>0.6724931716506335</x:v>
      </x:c>
      <x:c r="K2981" s="48" t="n">
        <x:v>0.8263627246871104</x:v>
      </x:c>
      <x:c r="L2981" s="48" t="n">
        <x:v>0.9794246259382962</x:v>
      </x:c>
      <x:c r="M2981" s="48" t="n">
        <x:v>0.054446800584134085</x:v>
      </x:c>
      <x:c r="N2981" s="48" t="n">
        <x:v>0.6776876564368325</x:v>
      </x:c>
      <x:c r="O2981" s="48" t="n">
        <x:v>0.9211218336957641</x:v>
      </x:c>
      <x:c r="P2981" s="48" t="n">
        <x:v>0.7264663726870813</x:v>
      </x:c>
      <x:c r="Q2981" s="48" t="n">
        <x:v>1</x:v>
      </x:c>
      <x:c r="R2981" s="48" t="n">
        <x:v>0.9025978450518806</x:v>
      </x:c>
      <x:c r="S2981" s="29" t="n">
        <x:v>0</x:v>
      </x:c>
    </x:row>
    <x:row r="2982" ht="21.600000381469727" hidden="0" customHeight="1">
      <x:c r="A2982" s="27" t="n">
        <x:v>993</x:v>
      </x:c>
      <x:c r="B2982" s="27" t="str">
        <x:v>A2</x:v>
      </x:c>
      <x:c r="C2982" s="47" t="n">
        <x:v>0.9810875166578402</x:v>
      </x:c>
      <x:c r="D2982" s="47" t="n">
        <x:v>0.8753917906551187</x:v>
      </x:c>
      <x:c r="E2982" s="47" t="n">
        <x:v>0.5828333879771888</x:v>
      </x:c>
      <x:c r="F2982" s="47" t="n">
        <x:v>-0.17102727611597937</x:v>
      </x:c>
      <x:c r="G2982" s="47" t="n">
        <x:v>-0.19566514125186268</x:v>
      </x:c>
      <x:c r="H2982" s="47" t="n">
        <x:v>0.478496135497159</x:v>
      </x:c>
      <x:c r="I2982" s="47" t="n">
        <x:v>0.7559232165460118</x:v>
      </x:c>
      <x:c r="J2982" s="47" t="n">
        <x:v>0.6724931716506335</x:v>
      </x:c>
      <x:c r="K2982" s="47" t="n">
        <x:v>0.8263627246871104</x:v>
      </x:c>
      <x:c r="L2982" s="47" t="n">
        <x:v>0.9794246259382962</x:v>
      </x:c>
      <x:c r="M2982" s="47" t="n">
        <x:v>0.054446800584134085</x:v>
      </x:c>
      <x:c r="N2982" s="47" t="n">
        <x:v>0.6776876564368325</x:v>
      </x:c>
      <x:c r="O2982" s="47" t="n">
        <x:v>0.9979374005078714</x:v>
      </x:c>
      <x:c r="P2982" s="47" t="n">
        <x:v>0.9793740050787134</x:v>
      </x:c>
      <x:c r="Q2982" s="47" t="n">
        <x:v>1</x:v>
      </x:c>
      <x:c r="R2982" s="47" t="n">
        <x:v>0.997453013365532</x:v>
      </x:c>
      <x:c r="S2982" s="27" t="n">
        <x:v>1</x:v>
      </x:c>
    </x:row>
    <x:row r="2983" ht="21.600000381469727" hidden="0" customHeight="1">
      <x:c r="A2983" s="29" t="n">
        <x:v>993</x:v>
      </x:c>
      <x:c r="B2983" s="29" t="str">
        <x:v>A3</x:v>
      </x:c>
      <x:c r="C2983" s="48" t="n">
        <x:v>0.9810875166578402</x:v>
      </x:c>
      <x:c r="D2983" s="48" t="n">
        <x:v>0.8753917906551187</x:v>
      </x:c>
      <x:c r="E2983" s="48" t="n">
        <x:v>0.5828333879771888</x:v>
      </x:c>
      <x:c r="F2983" s="48" t="n">
        <x:v>-0.17102727611597937</x:v>
      </x:c>
      <x:c r="G2983" s="48" t="n">
        <x:v>-0.19566514125186268</x:v>
      </x:c>
      <x:c r="H2983" s="48" t="n">
        <x:v>0.478496135497159</x:v>
      </x:c>
      <x:c r="I2983" s="48" t="n">
        <x:v>0.7559232165460118</x:v>
      </x:c>
      <x:c r="J2983" s="48" t="n">
        <x:v>0.6724931716506335</x:v>
      </x:c>
      <x:c r="K2983" s="48" t="n">
        <x:v>0.8263627246871104</x:v>
      </x:c>
      <x:c r="L2983" s="48" t="n">
        <x:v>0.9794246259382962</x:v>
      </x:c>
      <x:c r="M2983" s="48" t="n">
        <x:v>0.054446800584134085</x:v>
      </x:c>
      <x:c r="N2983" s="48" t="n">
        <x:v>0.6776876564368325</x:v>
      </x:c>
      <x:c r="O2983" s="48" t="n">
        <x:v>1</x:v>
      </x:c>
      <x:c r="P2983" s="48" t="n">
        <x:v>1</x:v>
      </x:c>
      <x:c r="Q2983" s="48" t="n">
        <x:v>1</x:v>
      </x:c>
      <x:c r="R2983" s="48" t="n">
        <x:v>1</x:v>
      </x:c>
      <x:c r="S2983" s="29" t="n">
        <x:v>1</x:v>
      </x:c>
    </x:row>
    <x:row r="2984" ht="21.600000381469727" hidden="0" customHeight="1">
      <x:c r="A2984" s="27" t="n">
        <x:v>994</x:v>
      </x:c>
      <x:c r="B2984" s="27" t="str">
        <x:v>A1</x:v>
      </x:c>
      <x:c r="C2984" s="47" t="n">
        <x:v>1.1994518924825017</x:v>
      </x:c>
      <x:c r="D2984" s="47" t="n">
        <x:v>0.8198191060005711</x:v>
      </x:c>
      <x:c r="E2984" s="47" t="n">
        <x:v>0.993324721361913</x:v>
      </x:c>
      <x:c r="F2984" s="47" t="n">
        <x:v>0.009416663716544038</x:v>
      </x:c>
      <x:c r="G2984" s="47" t="n">
        <x:v>-0.004498367544087362</x:v>
      </x:c>
      <x:c r="H2984" s="47" t="n">
        <x:v>0.7473525505223162</x:v>
      </x:c>
      <x:c r="I2984" s="47" t="n">
        <x:v>0.884225215240035</x:v>
      </x:c>
      <x:c r="J2984" s="47" t="n">
        <x:v>0.43447384714932386</x:v>
      </x:c>
      <x:c r="K2984" s="47" t="n">
        <x:v>0.7002056190215106</x:v>
      </x:c>
      <x:c r="L2984" s="47" t="n">
        <x:v>0.527347329045685</x:v>
      </x:c>
      <x:c r="M2984" s="47" t="n">
        <x:v>0.04352790966682468</x:v>
      </x:c>
      <x:c r="N2984" s="47" t="n">
        <x:v>0.7758855978017312</x:v>
      </x:c>
      <x:c r="O2984" s="47" t="n">
        <x:v>0.7699855571969257</x:v>
      </x:c>
      <x:c r="P2984" s="47" t="n">
        <x:v>0.53514844690992</x:v>
      </x:c>
      <x:c r="Q2984" s="47" t="n">
        <x:v>0.9480033861012587</x:v>
      </x:c>
      <x:c r="R2984" s="47" t="n">
        <x:v>0.7163544366254947</x:v>
      </x:c>
      <x:c r="S2984" s="27" t="n">
        <x:v>0</x:v>
      </x:c>
    </x:row>
    <x:row r="2985" ht="21.600000381469727" hidden="0" customHeight="1">
      <x:c r="A2985" s="29" t="n">
        <x:v>994</x:v>
      </x:c>
      <x:c r="B2985" s="29" t="str">
        <x:v>A2</x:v>
      </x:c>
      <x:c r="C2985" s="48" t="n">
        <x:v>1.1994518924825017</x:v>
      </x:c>
      <x:c r="D2985" s="48" t="n">
        <x:v>0.8198191060005711</x:v>
      </x:c>
      <x:c r="E2985" s="48" t="n">
        <x:v>0.993324721361913</x:v>
      </x:c>
      <x:c r="F2985" s="48" t="n">
        <x:v>0.009416663716544038</x:v>
      </x:c>
      <x:c r="G2985" s="48" t="n">
        <x:v>-0.004498367544087362</x:v>
      </x:c>
      <x:c r="H2985" s="48" t="n">
        <x:v>0.7473525505223162</x:v>
      </x:c>
      <x:c r="I2985" s="48" t="n">
        <x:v>0.884225215240035</x:v>
      </x:c>
      <x:c r="J2985" s="48" t="n">
        <x:v>0.43447384714932386</x:v>
      </x:c>
      <x:c r="K2985" s="48" t="n">
        <x:v>0.7002056190215106</x:v>
      </x:c>
      <x:c r="L2985" s="48" t="n">
        <x:v>0.527347329045685</x:v>
      </x:c>
      <x:c r="M2985" s="48" t="n">
        <x:v>0.04352790966682468</x:v>
      </x:c>
      <x:c r="N2985" s="48" t="n">
        <x:v>0.7758855978017312</x:v>
      </x:c>
      <x:c r="O2985" s="48" t="n">
        <x:v>0.8536184645757796</x:v>
      </x:c>
      <x:c r="P2985" s="48" t="n">
        <x:v>0.5987646905861488</x:v>
      </x:c>
      <x:c r="Q2985" s="48" t="n">
        <x:v>1</x:v>
      </x:c>
      <x:c r="R2985" s="48" t="n">
        <x:v>0.819241779278433</x:v>
      </x:c>
      <x:c r="S2985" s="29" t="n">
        <x:v>0</x:v>
      </x:c>
    </x:row>
    <x:row r="2986" ht="21.600000381469727" hidden="0" customHeight="1">
      <x:c r="A2986" s="27" t="n">
        <x:v>994</x:v>
      </x:c>
      <x:c r="B2986" s="27" t="str">
        <x:v>A3</x:v>
      </x:c>
      <x:c r="C2986" s="47" t="n">
        <x:v>1.1994518924825017</x:v>
      </x:c>
      <x:c r="D2986" s="47" t="n">
        <x:v>0.8198191060005711</x:v>
      </x:c>
      <x:c r="E2986" s="47" t="n">
        <x:v>0.993324721361913</x:v>
      </x:c>
      <x:c r="F2986" s="47" t="n">
        <x:v>0.009416663716544038</x:v>
      </x:c>
      <x:c r="G2986" s="47" t="n">
        <x:v>-0.004498367544087362</x:v>
      </x:c>
      <x:c r="H2986" s="47" t="n">
        <x:v>0.7473525505223162</x:v>
      </x:c>
      <x:c r="I2986" s="47" t="n">
        <x:v>0.884225215240035</x:v>
      </x:c>
      <x:c r="J2986" s="47" t="n">
        <x:v>0.43447384714932386</x:v>
      </x:c>
      <x:c r="K2986" s="47" t="n">
        <x:v>0.7002056190215106</x:v>
      </x:c>
      <x:c r="L2986" s="47" t="n">
        <x:v>0.527347329045685</x:v>
      </x:c>
      <x:c r="M2986" s="47" t="n">
        <x:v>0.04352790966682468</x:v>
      </x:c>
      <x:c r="N2986" s="47" t="n">
        <x:v>0.7758855978017312</x:v>
      </x:c>
      <x:c r="O2986" s="47" t="n">
        <x:v>1</x:v>
      </x:c>
      <x:c r="P2986" s="47" t="n">
        <x:v>1</x:v>
      </x:c>
      <x:c r="Q2986" s="47" t="n">
        <x:v>1</x:v>
      </x:c>
      <x:c r="R2986" s="47" t="n">
        <x:v>1</x:v>
      </x:c>
      <x:c r="S2986" s="27" t="n">
        <x:v>1</x:v>
      </x:c>
    </x:row>
    <x:row r="2987" ht="21.600000381469727" hidden="0" customHeight="1">
      <x:c r="A2987" s="29" t="n">
        <x:v>995</x:v>
      </x:c>
      <x:c r="B2987" s="29" t="str">
        <x:v>A1</x:v>
      </x:c>
      <x:c r="C2987" s="48" t="n">
        <x:v>1.3395790630935902</x:v>
      </x:c>
      <x:c r="D2987" s="48" t="n">
        <x:v>0.8879183386739575</x:v>
      </x:c>
      <x:c r="E2987" s="48" t="n">
        <x:v>1.0075955040016846</x:v>
      </x:c>
      <x:c r="F2987" s="48" t="n">
        <x:v>-0.09973573121696792</x:v>
      </x:c>
      <x:c r="G2987" s="48" t="n">
        <x:v>-0.1929465919682548</x:v>
      </x:c>
      <x:c r="H2987" s="48" t="n">
        <x:v>0.6943016918106935</x:v>
      </x:c>
      <x:c r="I2987" s="48" t="n">
        <x:v>0.6234689608464925</x:v>
      </x:c>
      <x:c r="J2987" s="48" t="n">
        <x:v>0.4534324824479035</x:v>
      </x:c>
      <x:c r="K2987" s="48" t="n">
        <x:v>0.5701914857245728</x:v>
      </x:c>
      <x:c r="L2987" s="48" t="n">
        <x:v>0.8975061050599051</x:v>
      </x:c>
      <x:c r="M2987" s="48" t="n">
        <x:v>0.10272970209451351</x:v>
      </x:c>
      <x:c r="N2987" s="48" t="n">
        <x:v>0.9367223398665446</x:v>
      </x:c>
      <x:c r="O2987" s="48" t="n">
        <x:v>0.7961645497989406</x:v>
      </x:c>
      <x:c r="P2987" s="48" t="n">
        <x:v>0.5056135770049393</x:v>
      </x:c>
      <x:c r="Q2987" s="48" t="n">
        <x:v>1</x:v>
      </x:c>
      <x:c r="R2987" s="48" t="n">
        <x:v>0.7482952122920096</x:v>
      </x:c>
      <x:c r="S2987" s="29" t="n">
        <x:v>0</x:v>
      </x:c>
    </x:row>
    <x:row r="2988" ht="21.600000381469727" hidden="0" customHeight="1">
      <x:c r="A2988" s="27" t="n">
        <x:v>995</x:v>
      </x:c>
      <x:c r="B2988" s="27" t="str">
        <x:v>A2</x:v>
      </x:c>
      <x:c r="C2988" s="47" t="n">
        <x:v>1.3395790630935902</x:v>
      </x:c>
      <x:c r="D2988" s="47" t="n">
        <x:v>0.8879183386739575</x:v>
      </x:c>
      <x:c r="E2988" s="47" t="n">
        <x:v>1.0075955040016846</x:v>
      </x:c>
      <x:c r="F2988" s="47" t="n">
        <x:v>-0.09973573121696792</x:v>
      </x:c>
      <x:c r="G2988" s="47" t="n">
        <x:v>-0.1929465919682548</x:v>
      </x:c>
      <x:c r="H2988" s="47" t="n">
        <x:v>0.6943016918106935</x:v>
      </x:c>
      <x:c r="I2988" s="47" t="n">
        <x:v>0.6234689608464925</x:v>
      </x:c>
      <x:c r="J2988" s="47" t="n">
        <x:v>0.4534324824479035</x:v>
      </x:c>
      <x:c r="K2988" s="47" t="n">
        <x:v>0.5701914857245728</x:v>
      </x:c>
      <x:c r="L2988" s="47" t="n">
        <x:v>0.8975061050599051</x:v>
      </x:c>
      <x:c r="M2988" s="47" t="n">
        <x:v>0.10272970209451351</x:v>
      </x:c>
      <x:c r="N2988" s="47" t="n">
        <x:v>0.9367223398665446</x:v>
      </x:c>
      <x:c r="O2988" s="47" t="n">
        <x:v>0.8640551360089681</x:v>
      </x:c>
      <x:c r="P2988" s="47" t="n">
        <x:v>0.5101145360089719</x:v>
      </x:c>
      <x:c r="Q2988" s="47" t="n">
        <x:v>1</x:v>
      </x:c>
      <x:c r="R2988" s="47" t="n">
        <x:v>0.8321294303954373</x:v>
      </x:c>
      <x:c r="S2988" s="27" t="n">
        <x:v>0</x:v>
      </x:c>
    </x:row>
    <x:row r="2989" ht="21.600000381469727" hidden="0" customHeight="1">
      <x:c r="A2989" s="29" t="n">
        <x:v>995</x:v>
      </x:c>
      <x:c r="B2989" s="29" t="str">
        <x:v>A3</x:v>
      </x:c>
      <x:c r="C2989" s="48" t="n">
        <x:v>1.3395790630935902</x:v>
      </x:c>
      <x:c r="D2989" s="48" t="n">
        <x:v>0.8879183386739575</x:v>
      </x:c>
      <x:c r="E2989" s="48" t="n">
        <x:v>1.0075955040016846</x:v>
      </x:c>
      <x:c r="F2989" s="48" t="n">
        <x:v>-0.09973573121696792</x:v>
      </x:c>
      <x:c r="G2989" s="48" t="n">
        <x:v>-0.1929465919682548</x:v>
      </x:c>
      <x:c r="H2989" s="48" t="n">
        <x:v>0.6943016918106935</x:v>
      </x:c>
      <x:c r="I2989" s="48" t="n">
        <x:v>0.6234689608464925</x:v>
      </x:c>
      <x:c r="J2989" s="48" t="n">
        <x:v>0.4534324824479035</x:v>
      </x:c>
      <x:c r="K2989" s="48" t="n">
        <x:v>0.5701914857245728</x:v>
      </x:c>
      <x:c r="L2989" s="48" t="n">
        <x:v>0.8975061050599051</x:v>
      </x:c>
      <x:c r="M2989" s="48" t="n">
        <x:v>0.10272970209451351</x:v>
      </x:c>
      <x:c r="N2989" s="48" t="n">
        <x:v>0.9367223398665446</x:v>
      </x:c>
      <x:c r="O2989" s="48" t="n">
        <x:v>1</x:v>
      </x:c>
      <x:c r="P2989" s="48" t="n">
        <x:v>1</x:v>
      </x:c>
      <x:c r="Q2989" s="48" t="n">
        <x:v>1</x:v>
      </x:c>
      <x:c r="R2989" s="48" t="n">
        <x:v>1</x:v>
      </x:c>
      <x:c r="S2989" s="29" t="n">
        <x:v>1</x:v>
      </x:c>
    </x:row>
    <x:row r="2990" ht="21.600000381469727" hidden="0" customHeight="1">
      <x:c r="A2990" s="27" t="n">
        <x:v>996</x:v>
      </x:c>
      <x:c r="B2990" s="27" t="str">
        <x:v>A1</x:v>
      </x:c>
      <x:c r="C2990" s="47" t="n">
        <x:v>1.2553707632192177</x:v>
      </x:c>
      <x:c r="D2990" s="47" t="n">
        <x:v>0.8319492031908966</x:v>
      </x:c>
      <x:c r="E2990" s="47" t="n">
        <x:v>0.965380704718545</x:v>
      </x:c>
      <x:c r="F2990" s="47" t="n">
        <x:v>-0.07689534806225448</x:v>
      </x:c>
      <x:c r="G2990" s="47" t="n">
        <x:v>-0.19162723897330583</x:v>
      </x:c>
      <x:c r="H2990" s="47" t="n">
        <x:v>0.916534380559344</x:v>
      </x:c>
      <x:c r="I2990" s="47" t="n">
        <x:v>1.0082946642362804</x:v>
      </x:c>
      <x:c r="J2990" s="47" t="n">
        <x:v>0.6665139367350912</x:v>
      </x:c>
      <x:c r="K2990" s="47" t="n">
        <x:v>0.9443339788749123</x:v>
      </x:c>
      <x:c r="L2990" s="47" t="n">
        <x:v>0.693042169024683</x:v>
      </x:c>
      <x:c r="M2990" s="47" t="n">
        <x:v>0.03394286631456121</x:v>
      </x:c>
      <x:c r="N2990" s="47" t="n">
        <x:v>0.8179731022753196</x:v>
      </x:c>
      <x:c r="O2990" s="47" t="n">
        <x:v>0.8048394119620266</x:v>
      </x:c>
      <x:c r="P2990" s="47" t="n">
        <x:v>0.4079886834060501</x:v>
      </x:c>
      <x:c r="Q2990" s="47" t="n">
        <x:v>1</x:v>
      </x:c>
      <x:c r="R2990" s="47" t="n">
        <x:v>0.7590073054877804</x:v>
      </x:c>
      <x:c r="S2990" s="27" t="n">
        <x:v>0</x:v>
      </x:c>
    </x:row>
    <x:row r="2991" ht="21.600000381469727" hidden="0" customHeight="1">
      <x:c r="A2991" s="29" t="n">
        <x:v>996</x:v>
      </x:c>
      <x:c r="B2991" s="29" t="str">
        <x:v>A2</x:v>
      </x:c>
      <x:c r="C2991" s="48" t="n">
        <x:v>1.2553707632192177</x:v>
      </x:c>
      <x:c r="D2991" s="48" t="n">
        <x:v>0.8319492031908966</x:v>
      </x:c>
      <x:c r="E2991" s="48" t="n">
        <x:v>0.965380704718545</x:v>
      </x:c>
      <x:c r="F2991" s="48" t="n">
        <x:v>-0.07689534806225448</x:v>
      </x:c>
      <x:c r="G2991" s="48" t="n">
        <x:v>-0.19162723897330583</x:v>
      </x:c>
      <x:c r="H2991" s="48" t="n">
        <x:v>0.916534380559344</x:v>
      </x:c>
      <x:c r="I2991" s="48" t="n">
        <x:v>1.0082946642362804</x:v>
      </x:c>
      <x:c r="J2991" s="48" t="n">
        <x:v>0.6665139367350912</x:v>
      </x:c>
      <x:c r="K2991" s="48" t="n">
        <x:v>0.9443339788749123</x:v>
      </x:c>
      <x:c r="L2991" s="48" t="n">
        <x:v>0.693042169024683</x:v>
      </x:c>
      <x:c r="M2991" s="48" t="n">
        <x:v>0.03394286631456121</x:v>
      </x:c>
      <x:c r="N2991" s="48" t="n">
        <x:v>0.8179731022753196</x:v>
      </x:c>
      <x:c r="O2991" s="48" t="n">
        <x:v>0.882059879847148</x:v>
      </x:c>
      <x:c r="P2991" s="48" t="n">
        <x:v>0.5589412165850626</x:v>
      </x:c>
      <x:c r="Q2991" s="48" t="n">
        <x:v>1</x:v>
      </x:c>
      <x:c r="R2991" s="48" t="n">
        <x:v>0.854362463074766</x:v>
      </x:c>
      <x:c r="S2991" s="29" t="n">
        <x:v>0</x:v>
      </x:c>
    </x:row>
    <x:row r="2992" ht="21.600000381469727" hidden="0" customHeight="1">
      <x:c r="A2992" s="27" t="n">
        <x:v>996</x:v>
      </x:c>
      <x:c r="B2992" s="27" t="str">
        <x:v>A3</x:v>
      </x:c>
      <x:c r="C2992" s="47" t="n">
        <x:v>1.2553707632192177</x:v>
      </x:c>
      <x:c r="D2992" s="47" t="n">
        <x:v>0.8319492031908966</x:v>
      </x:c>
      <x:c r="E2992" s="47" t="n">
        <x:v>0.965380704718545</x:v>
      </x:c>
      <x:c r="F2992" s="47" t="n">
        <x:v>-0.07689534806225448</x:v>
      </x:c>
      <x:c r="G2992" s="47" t="n">
        <x:v>-0.19162723897330583</x:v>
      </x:c>
      <x:c r="H2992" s="47" t="n">
        <x:v>0.916534380559344</x:v>
      </x:c>
      <x:c r="I2992" s="47" t="n">
        <x:v>1.0082946642362804</x:v>
      </x:c>
      <x:c r="J2992" s="47" t="n">
        <x:v>0.6665139367350912</x:v>
      </x:c>
      <x:c r="K2992" s="47" t="n">
        <x:v>0.9443339788749123</x:v>
      </x:c>
      <x:c r="L2992" s="47" t="n">
        <x:v>0.693042169024683</x:v>
      </x:c>
      <x:c r="M2992" s="47" t="n">
        <x:v>0.03394286631456121</x:v>
      </x:c>
      <x:c r="N2992" s="47" t="n">
        <x:v>0.8179731022753196</x:v>
      </x:c>
      <x:c r="O2992" s="47" t="n">
        <x:v>1</x:v>
      </x:c>
      <x:c r="P2992" s="47" t="n">
        <x:v>1</x:v>
      </x:c>
      <x:c r="Q2992" s="47" t="n">
        <x:v>1</x:v>
      </x:c>
      <x:c r="R2992" s="47" t="n">
        <x:v>1</x:v>
      </x:c>
      <x:c r="S2992" s="27" t="n">
        <x:v>1</x:v>
      </x:c>
    </x:row>
    <x:row r="2993" ht="21.600000381469727" hidden="0" customHeight="1">
      <x:c r="A2993" s="29" t="n">
        <x:v>997</x:v>
      </x:c>
      <x:c r="B2993" s="29" t="str">
        <x:v>A1</x:v>
      </x:c>
      <x:c r="C2993" s="48" t="n">
        <x:v>1.2585548275738772</x:v>
      </x:c>
      <x:c r="D2993" s="48" t="n">
        <x:v>0.7454278942273433</x:v>
      </x:c>
      <x:c r="E2993" s="48" t="n">
        <x:v>0.8669471778463955</x:v>
      </x:c>
      <x:c r="F2993" s="48" t="n">
        <x:v>0.023005429698867763</x:v>
      </x:c>
      <x:c r="G2993" s="48" t="n">
        <x:v>-0.1841951652456873</x:v>
      </x:c>
      <x:c r="H2993" s="48" t="n">
        <x:v>0.828139965844704</x:v>
      </x:c>
      <x:c r="I2993" s="48" t="n">
        <x:v>0.9455871661641465</x:v>
      </x:c>
      <x:c r="J2993" s="48" t="n">
        <x:v>0.9739728361308744</x:v>
      </x:c>
      <x:c r="K2993" s="48" t="n">
        <x:v>0.7687621296105922</x:v>
      </x:c>
      <x:c r="L2993" s="48" t="n">
        <x:v>0.5620047732396447</x:v>
      </x:c>
      <x:c r="M2993" s="48" t="n">
        <x:v>0.08033984731169191</x:v>
      </x:c>
      <x:c r="N2993" s="48" t="n">
        <x:v>0.7486625062649629</x:v>
      </x:c>
      <x:c r="O2993" s="48" t="n">
        <x:v>0.7192281661652375</x:v>
      </x:c>
      <x:c r="P2993" s="48" t="n">
        <x:v>0.4135922740793671</x:v>
      </x:c>
      <x:c r="Q2993" s="48" t="n">
        <x:v>1</x:v>
      </x:c>
      <x:c r="R2993" s="48" t="n">
        <x:v>0.6532908541666678</x:v>
      </x:c>
      <x:c r="S2993" s="29" t="n">
        <x:v>0</x:v>
      </x:c>
    </x:row>
    <x:row r="2994" ht="21.600000381469727" hidden="0" customHeight="1">
      <x:c r="A2994" s="27" t="n">
        <x:v>997</x:v>
      </x:c>
      <x:c r="B2994" s="27" t="str">
        <x:v>A2</x:v>
      </x:c>
      <x:c r="C2994" s="47" t="n">
        <x:v>1.2585548275738772</x:v>
      </x:c>
      <x:c r="D2994" s="47" t="n">
        <x:v>0.7454278942273433</x:v>
      </x:c>
      <x:c r="E2994" s="47" t="n">
        <x:v>0.8669471778463955</x:v>
      </x:c>
      <x:c r="F2994" s="47" t="n">
        <x:v>0.023005429698867763</x:v>
      </x:c>
      <x:c r="G2994" s="47" t="n">
        <x:v>-0.1841951652456873</x:v>
      </x:c>
      <x:c r="H2994" s="47" t="n">
        <x:v>0.828139965844704</x:v>
      </x:c>
      <x:c r="I2994" s="47" t="n">
        <x:v>0.9455871661641465</x:v>
      </x:c>
      <x:c r="J2994" s="47" t="n">
        <x:v>0.9739728361308744</x:v>
      </x:c>
      <x:c r="K2994" s="47" t="n">
        <x:v>0.7687621296105922</x:v>
      </x:c>
      <x:c r="L2994" s="47" t="n">
        <x:v>0.5620047732396447</x:v>
      </x:c>
      <x:c r="M2994" s="47" t="n">
        <x:v>0.08033984731169191</x:v>
      </x:c>
      <x:c r="N2994" s="47" t="n">
        <x:v>0.7486625062649629</x:v>
      </x:c>
      <x:c r="O2994" s="47" t="n">
        <x:v>0.7864039383016981</x:v>
      </x:c>
      <x:c r="P2994" s="47" t="n">
        <x:v>0.45361051834384075</x:v>
      </x:c>
      <x:c r="Q2994" s="47" t="n">
        <x:v>1</x:v>
      </x:c>
      <x:c r="R2994" s="47" t="n">
        <x:v>0.7362423890839256</x:v>
      </x:c>
      <x:c r="S2994" s="27" t="n">
        <x:v>0</x:v>
      </x:c>
    </x:row>
    <x:row r="2995" ht="21.600000381469727" hidden="0" customHeight="1">
      <x:c r="A2995" s="29" t="n">
        <x:v>997</x:v>
      </x:c>
      <x:c r="B2995" s="29" t="str">
        <x:v>A3</x:v>
      </x:c>
      <x:c r="C2995" s="48" t="n">
        <x:v>1.2585548275738772</x:v>
      </x:c>
      <x:c r="D2995" s="48" t="n">
        <x:v>0.7454278942273433</x:v>
      </x:c>
      <x:c r="E2995" s="48" t="n">
        <x:v>0.8669471778463955</x:v>
      </x:c>
      <x:c r="F2995" s="48" t="n">
        <x:v>0.023005429698867763</x:v>
      </x:c>
      <x:c r="G2995" s="48" t="n">
        <x:v>-0.1841951652456873</x:v>
      </x:c>
      <x:c r="H2995" s="48" t="n">
        <x:v>0.828139965844704</x:v>
      </x:c>
      <x:c r="I2995" s="48" t="n">
        <x:v>0.9455871661641465</x:v>
      </x:c>
      <x:c r="J2995" s="48" t="n">
        <x:v>0.9739728361308744</x:v>
      </x:c>
      <x:c r="K2995" s="48" t="n">
        <x:v>0.7687621296105922</x:v>
      </x:c>
      <x:c r="L2995" s="48" t="n">
        <x:v>0.5620047732396447</x:v>
      </x:c>
      <x:c r="M2995" s="48" t="n">
        <x:v>0.08033984731169191</x:v>
      </x:c>
      <x:c r="N2995" s="48" t="n">
        <x:v>0.7486625062649629</x:v>
      </x:c>
      <x:c r="O2995" s="48" t="n">
        <x:v>1</x:v>
      </x:c>
      <x:c r="P2995" s="48" t="n">
        <x:v>1</x:v>
      </x:c>
      <x:c r="Q2995" s="48" t="n">
        <x:v>1</x:v>
      </x:c>
      <x:c r="R2995" s="48" t="n">
        <x:v>1</x:v>
      </x:c>
      <x:c r="S2995" s="29" t="n">
        <x:v>1</x:v>
      </x:c>
    </x:row>
    <x:row r="2996" ht="15" hidden="0" customHeight="1">
      <x:c r="A2996" s="27" t="n">
        <x:v>998</x:v>
      </x:c>
      <x:c r="B2996" s="27" t="str">
        <x:v>A1</x:v>
      </x:c>
      <x:c r="C2996" s="47" t="n">
        <x:v>0.9268441594151295</x:v>
      </x:c>
      <x:c r="D2996" s="47" t="n">
        <x:v>0.7796328614461314</x:v>
      </x:c>
      <x:c r="E2996" s="47" t="n">
        <x:v>0.7313243564365041</x:v>
      </x:c>
      <x:c r="F2996" s="47" t="n">
        <x:v>0.02858639327799023</x:v>
      </x:c>
      <x:c r="G2996" s="47" t="n">
        <x:v>0.010361325313555964</x:v>
      </x:c>
      <x:c r="H2996" s="47" t="n">
        <x:v>0.4231840217840529</x:v>
      </x:c>
      <x:c r="I2996" s="47" t="n">
        <x:v>0.9863344134641402</x:v>
      </x:c>
      <x:c r="J2996" s="47" t="n">
        <x:v>0.9616456232542442</x:v>
      </x:c>
      <x:c r="K2996" s="47" t="n">
        <x:v>0.9719813598684852</x:v>
      </x:c>
      <x:c r="L2996" s="47" t="n">
        <x:v>0.9788191320075527</x:v>
      </x:c>
      <x:c r="M2996" s="47" t="n">
        <x:v>0.0656816538436571</x:v>
      </x:c>
      <x:c r="N2996" s="47" t="n">
        <x:v>0.8110907789166046</x:v>
      </x:c>
      <x:c r="O2996" s="47" t="n">
        <x:v>0.9370365278264001</x:v>
      </x:c>
      <x:c r="P2996" s="47" t="n">
        <x:v>0.5507204679146923</x:v>
      </x:c>
      <x:c r="Q2996" s="47" t="n">
        <x:v>1</x:v>
      </x:c>
      <x:c r="R2996" s="47" t="n">
        <x:v>0.922249994389192</x:v>
      </x:c>
      <x:c r="S2996" s="27" t="n">
        <x:v>0</x:v>
      </x:c>
    </x:row>
    <x:row r="2997" ht="15" hidden="0" customHeight="1">
      <x:c r="A2997" s="29" t="n">
        <x:v>998</x:v>
      </x:c>
      <x:c r="B2997" s="29" t="str">
        <x:v>A2</x:v>
      </x:c>
      <x:c r="C2997" s="48" t="n">
        <x:v>0.9268441594151295</x:v>
      </x:c>
      <x:c r="D2997" s="48" t="n">
        <x:v>0.7796328614461314</x:v>
      </x:c>
      <x:c r="E2997" s="48" t="n">
        <x:v>0.7313243564365041</x:v>
      </x:c>
      <x:c r="F2997" s="48" t="n">
        <x:v>0.02858639327799023</x:v>
      </x:c>
      <x:c r="G2997" s="48" t="n">
        <x:v>0.010361325313555964</x:v>
      </x:c>
      <x:c r="H2997" s="48" t="n">
        <x:v>0.4231840217840529</x:v>
      </x:c>
      <x:c r="I2997" s="48" t="n">
        <x:v>0.9863344134641402</x:v>
      </x:c>
      <x:c r="J2997" s="48" t="n">
        <x:v>0.9616456232542442</x:v>
      </x:c>
      <x:c r="K2997" s="48" t="n">
        <x:v>0.9719813598684852</x:v>
      </x:c>
      <x:c r="L2997" s="48" t="n">
        <x:v>0.9788191320075527</x:v>
      </x:c>
      <x:c r="M2997" s="48" t="n">
        <x:v>0.0656816538436571</x:v>
      </x:c>
      <x:c r="N2997" s="48" t="n">
        <x:v>0.8110907789166046</x:v>
      </x:c>
      <x:c r="O2997" s="48" t="n">
        <x:v>0.9801021359720657</x:v>
      </x:c>
      <x:c r="P2997" s="48" t="n">
        <x:v>0.8010213597206557</x:v>
      </x:c>
      <x:c r="Q2997" s="48" t="n">
        <x:v>1</x:v>
      </x:c>
      <x:c r="R2997" s="48" t="n">
        <x:v>0.9754292610237644</x:v>
      </x:c>
      <x:c r="S2997" s="29" t="n">
        <x:v>0</x:v>
      </x:c>
    </x:row>
    <x:row r="2998" ht="15" hidden="0" customHeight="1">
      <x:c r="A2998" s="27" t="n">
        <x:v>998</x:v>
      </x:c>
      <x:c r="B2998" s="27" t="str">
        <x:v>A3</x:v>
      </x:c>
      <x:c r="C2998" s="47" t="n">
        <x:v>0.9268441594151295</x:v>
      </x:c>
      <x:c r="D2998" s="47" t="n">
        <x:v>0.7796328614461314</x:v>
      </x:c>
      <x:c r="E2998" s="47" t="n">
        <x:v>0.7313243564365041</x:v>
      </x:c>
      <x:c r="F2998" s="47" t="n">
        <x:v>0.02858639327799023</x:v>
      </x:c>
      <x:c r="G2998" s="47" t="n">
        <x:v>0.010361325313555964</x:v>
      </x:c>
      <x:c r="H2998" s="47" t="n">
        <x:v>0.4231840217840529</x:v>
      </x:c>
      <x:c r="I2998" s="47" t="n">
        <x:v>0.9863344134641402</x:v>
      </x:c>
      <x:c r="J2998" s="47" t="n">
        <x:v>0.9616456232542442</x:v>
      </x:c>
      <x:c r="K2998" s="47" t="n">
        <x:v>0.9719813598684852</x:v>
      </x:c>
      <x:c r="L2998" s="47" t="n">
        <x:v>0.9788191320075527</x:v>
      </x:c>
      <x:c r="M2998" s="47" t="n">
        <x:v>0.0656816538436571</x:v>
      </x:c>
      <x:c r="N2998" s="47" t="n">
        <x:v>0.8110907789166046</x:v>
      </x:c>
      <x:c r="O2998" s="47" t="n">
        <x:v>1</x:v>
      </x:c>
      <x:c r="P2998" s="47" t="n">
        <x:v>1</x:v>
      </x:c>
      <x:c r="Q2998" s="47" t="n">
        <x:v>1</x:v>
      </x:c>
      <x:c r="R2998" s="47" t="n">
        <x:v>1</x:v>
      </x:c>
      <x:c r="S2998" s="27" t="n">
        <x:v>1</x:v>
      </x:c>
    </x:row>
    <x:row r="2999" ht="21.600000381469727" hidden="0" customHeight="1">
      <x:c r="A2999" s="29" t="n">
        <x:v>999</x:v>
      </x:c>
      <x:c r="B2999" s="29" t="str">
        <x:v>A1</x:v>
      </x:c>
      <x:c r="C2999" s="48" t="n">
        <x:v>1.2828724653567418</x:v>
      </x:c>
      <x:c r="D2999" s="48" t="n">
        <x:v>0.8038345675447395</x:v>
      </x:c>
      <x:c r="E2999" s="48" t="n">
        <x:v>0.4850243250543526</x:v>
      </x:c>
      <x:c r="F2999" s="48" t="n">
        <x:v>0.03427260578927885</x:v>
      </x:c>
      <x:c r="G2999" s="48" t="n">
        <x:v>-0.02833323351614664</x:v>
      </x:c>
      <x:c r="H2999" s="48" t="n">
        <x:v>0.632475516754905</x:v>
      </x:c>
      <x:c r="I2999" s="48" t="n">
        <x:v>0.8639535445670246</x:v>
      </x:c>
      <x:c r="J2999" s="48" t="n">
        <x:v>0.8785834166005929</x:v>
      </x:c>
      <x:c r="K2999" s="48" t="n">
        <x:v>0.8619133081895949</x:v>
      </x:c>
      <x:c r="L2999" s="48" t="n">
        <x:v>0.9354378896923297</x:v>
      </x:c>
      <x:c r="M2999" s="48" t="n">
        <x:v>0.03966561084383301</x:v>
      </x:c>
      <x:c r="N2999" s="48" t="n">
        <x:v>0.9982730759591363</x:v>
      </x:c>
      <x:c r="O2999" s="48" t="n">
        <x:v>0.7805356066692172</x:v>
      </x:c>
      <x:c r="P2999" s="48" t="n">
        <x:v>0.36567022440388725</x:v>
      </x:c>
      <x:c r="Q2999" s="48" t="n">
        <x:v>1</x:v>
      </x:c>
      <x:c r="R2999" s="48" t="n">
        <x:v>0.7289959205903601</x:v>
      </x:c>
      <x:c r="S2999" s="29" t="n">
        <x:v>0</x:v>
      </x:c>
    </x:row>
    <x:row r="3000" ht="21.600000381469727" hidden="0" customHeight="1">
      <x:c r="A3000" s="27" t="n">
        <x:v>999</x:v>
      </x:c>
      <x:c r="B3000" s="27" t="str">
        <x:v>A2</x:v>
      </x:c>
      <x:c r="C3000" s="47" t="n">
        <x:v>1.2828724653567418</x:v>
      </x:c>
      <x:c r="D3000" s="47" t="n">
        <x:v>0.8038345675447395</x:v>
      </x:c>
      <x:c r="E3000" s="47" t="n">
        <x:v>0.4850243250543526</x:v>
      </x:c>
      <x:c r="F3000" s="47" t="n">
        <x:v>0.03427260578927885</x:v>
      </x:c>
      <x:c r="G3000" s="47" t="n">
        <x:v>-0.02833323351614664</x:v>
      </x:c>
      <x:c r="H3000" s="47" t="n">
        <x:v>0.632475516754905</x:v>
      </x:c>
      <x:c r="I3000" s="47" t="n">
        <x:v>0.8639535445670246</x:v>
      </x:c>
      <x:c r="J3000" s="47" t="n">
        <x:v>0.8785834166005929</x:v>
      </x:c>
      <x:c r="K3000" s="47" t="n">
        <x:v>0.8619133081895949</x:v>
      </x:c>
      <x:c r="L3000" s="47" t="n">
        <x:v>0.9354378896923297</x:v>
      </x:c>
      <x:c r="M3000" s="47" t="n">
        <x:v>0.03966561084383301</x:v>
      </x:c>
      <x:c r="N3000" s="47" t="n">
        <x:v>0.9982730759591363</x:v>
      </x:c>
      <x:c r="O3000" s="47" t="n">
        <x:v>0.876287223526475</x:v>
      </x:c>
      <x:c r="P3000" s="47" t="n">
        <x:v>0.5231625947336389</x:v>
      </x:c>
      <x:c r="Q3000" s="47" t="n">
        <x:v>0.9999999999999998</x:v>
      </x:c>
      <x:c r="R3000" s="47" t="n">
        <x:v>0.8472341385744255</x:v>
      </x:c>
      <x:c r="S3000" s="27" t="n">
        <x:v>0</x:v>
      </x:c>
    </x:row>
    <x:row r="3001" ht="21.600000381469727" hidden="0" customHeight="1">
      <x:c r="A3001" s="29" t="n">
        <x:v>999</x:v>
      </x:c>
      <x:c r="B3001" s="29" t="str">
        <x:v>A3</x:v>
      </x:c>
      <x:c r="C3001" s="48" t="n">
        <x:v>1.2828724653567418</x:v>
      </x:c>
      <x:c r="D3001" s="48" t="n">
        <x:v>0.8038345675447395</x:v>
      </x:c>
      <x:c r="E3001" s="48" t="n">
        <x:v>0.4850243250543526</x:v>
      </x:c>
      <x:c r="F3001" s="48" t="n">
        <x:v>0.03427260578927885</x:v>
      </x:c>
      <x:c r="G3001" s="48" t="n">
        <x:v>-0.02833323351614664</x:v>
      </x:c>
      <x:c r="H3001" s="48" t="n">
        <x:v>0.632475516754905</x:v>
      </x:c>
      <x:c r="I3001" s="48" t="n">
        <x:v>0.8639535445670246</x:v>
      </x:c>
      <x:c r="J3001" s="48" t="n">
        <x:v>0.8785834166005929</x:v>
      </x:c>
      <x:c r="K3001" s="48" t="n">
        <x:v>0.8619133081895949</x:v>
      </x:c>
      <x:c r="L3001" s="48" t="n">
        <x:v>0.9354378896923297</x:v>
      </x:c>
      <x:c r="M3001" s="48" t="n">
        <x:v>0.03966561084383301</x:v>
      </x:c>
      <x:c r="N3001" s="48" t="n">
        <x:v>0.9982730759591363</x:v>
      </x:c>
      <x:c r="O3001" s="48" t="n">
        <x:v>1</x:v>
      </x:c>
      <x:c r="P3001" s="48" t="n">
        <x:v>1</x:v>
      </x:c>
      <x:c r="Q3001" s="48" t="n">
        <x:v>1</x:v>
      </x:c>
      <x:c r="R3001" s="48" t="n">
        <x:v>1</x:v>
      </x:c>
      <x:c r="S3001" s="29" t="n">
        <x:v>1</x:v>
      </x:c>
    </x:row>
    <x:row r="3002" ht="21.600000381469727" hidden="0" customHeight="1">
      <x:c r="A3002" s="27" t="n">
        <x:v>1000</x:v>
      </x:c>
      <x:c r="B3002" s="27" t="str">
        <x:v>A1</x:v>
      </x:c>
      <x:c r="C3002" s="47" t="n">
        <x:v>1.0980152461564971</x:v>
      </x:c>
      <x:c r="D3002" s="47" t="n">
        <x:v>0.8893674733965246</x:v>
      </x:c>
      <x:c r="E3002" s="47" t="n">
        <x:v>0.9731469062713247</x:v>
      </x:c>
      <x:c r="F3002" s="47" t="n">
        <x:v>-0.02429156627752649</x:v>
      </x:c>
      <x:c r="G3002" s="47" t="n">
        <x:v>-0.02671409753641027</x:v>
      </x:c>
      <x:c r="H3002" s="47" t="n">
        <x:v>0.9003125671951693</x:v>
      </x:c>
      <x:c r="I3002" s="47" t="n">
        <x:v>1.0038222488609472</x:v>
      </x:c>
      <x:c r="J3002" s="47" t="n">
        <x:v>0.9224592805917838</x:v>
      </x:c>
      <x:c r="K3002" s="47" t="n">
        <x:v>0.7991096514183103</x:v>
      </x:c>
      <x:c r="L3002" s="47" t="n">
        <x:v>0.5326121949210545</x:v>
      </x:c>
      <x:c r="M3002" s="47" t="n">
        <x:v>0.05701862928009641</x:v>
      </x:c>
      <x:c r="N3002" s="47" t="n">
        <x:v>0.8076653739961761</x:v>
      </x:c>
      <x:c r="O3002" s="47" t="n">
        <x:v>0.8945303648487685</x:v>
      </x:c>
      <x:c r="P3002" s="47" t="n">
        <x:v>0.6254052661847225</x:v>
      </x:c>
      <x:c r="Q3002" s="47" t="n">
        <x:v>1</x:v>
      </x:c>
      <x:c r="R3002" s="47" t="n">
        <x:v>0.8697615547286095</x:v>
      </x:c>
      <x:c r="S3002" s="27" t="n">
        <x:v>0</x:v>
      </x:c>
    </x:row>
    <x:row r="3003" ht="21.600000381469727" hidden="0" customHeight="1">
      <x:c r="A3003" s="29" t="n">
        <x:v>1000</x:v>
      </x:c>
      <x:c r="B3003" s="29" t="str">
        <x:v>A2</x:v>
      </x:c>
      <x:c r="C3003" s="48" t="n">
        <x:v>1.0980152461564971</x:v>
      </x:c>
      <x:c r="D3003" s="48" t="n">
        <x:v>0.8893674733965246</x:v>
      </x:c>
      <x:c r="E3003" s="48" t="n">
        <x:v>0.9731469062713247</x:v>
      </x:c>
      <x:c r="F3003" s="48" t="n">
        <x:v>-0.02429156627752649</x:v>
      </x:c>
      <x:c r="G3003" s="48" t="n">
        <x:v>-0.02671409753641027</x:v>
      </x:c>
      <x:c r="H3003" s="48" t="n">
        <x:v>0.9003125671951693</x:v>
      </x:c>
      <x:c r="I3003" s="48" t="n">
        <x:v>1.0038222488609472</x:v>
      </x:c>
      <x:c r="J3003" s="48" t="n">
        <x:v>0.9224592805917838</x:v>
      </x:c>
      <x:c r="K3003" s="48" t="n">
        <x:v>0.7991096514183103</x:v>
      </x:c>
      <x:c r="L3003" s="48" t="n">
        <x:v>0.5326121949210545</x:v>
      </x:c>
      <x:c r="M3003" s="48" t="n">
        <x:v>0.05701862928009641</x:v>
      </x:c>
      <x:c r="N3003" s="48" t="n">
        <x:v>0.8076653739961761</x:v>
      </x:c>
      <x:c r="O3003" s="48" t="n">
        <x:v>0.9798359294455877</x:v>
      </x:c>
      <x:c r="P3003" s="48" t="n">
        <x:v>0.7983592944558774</x:v>
      </x:c>
      <x:c r="Q3003" s="48" t="n">
        <x:v>1</x:v>
      </x:c>
      <x:c r="R3003" s="48" t="n">
        <x:v>0.9751005377463978</x:v>
      </x:c>
      <x:c r="S3003" s="29" t="n">
        <x:v>0</x:v>
      </x:c>
    </x:row>
    <x:row r="3004" ht="21.600000381469727" hidden="0" customHeight="1">
      <x:c r="A3004" s="27" t="n">
        <x:v>1000</x:v>
      </x:c>
      <x:c r="B3004" s="27" t="str">
        <x:v>A3</x:v>
      </x:c>
      <x:c r="C3004" s="47" t="n">
        <x:v>1.0980152461564971</x:v>
      </x:c>
      <x:c r="D3004" s="47" t="n">
        <x:v>0.8893674733965246</x:v>
      </x:c>
      <x:c r="E3004" s="47" t="n">
        <x:v>0.9731469062713247</x:v>
      </x:c>
      <x:c r="F3004" s="47" t="n">
        <x:v>-0.02429156627752649</x:v>
      </x:c>
      <x:c r="G3004" s="47" t="n">
        <x:v>-0.02671409753641027</x:v>
      </x:c>
      <x:c r="H3004" s="47" t="n">
        <x:v>0.9003125671951693</x:v>
      </x:c>
      <x:c r="I3004" s="47" t="n">
        <x:v>1.0038222488609472</x:v>
      </x:c>
      <x:c r="J3004" s="47" t="n">
        <x:v>0.9224592805917838</x:v>
      </x:c>
      <x:c r="K3004" s="47" t="n">
        <x:v>0.7991096514183103</x:v>
      </x:c>
      <x:c r="L3004" s="47" t="n">
        <x:v>0.5326121949210545</x:v>
      </x:c>
      <x:c r="M3004" s="47" t="n">
        <x:v>0.05701862928009641</x:v>
      </x:c>
      <x:c r="N3004" s="47" t="n">
        <x:v>0.8076653739961761</x:v>
      </x:c>
      <x:c r="O3004" s="47" t="n">
        <x:v>1</x:v>
      </x:c>
      <x:c r="P3004" s="47" t="n">
        <x:v>1</x:v>
      </x:c>
      <x:c r="Q3004" s="47" t="n">
        <x:v>1</x:v>
      </x:c>
      <x:c r="R3004" s="47" t="n">
        <x:v>1</x:v>
      </x:c>
      <x:c r="S3004" s="27" t="n">
        <x:v>1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24" hidden="0" customWidth="1"/>
  </x:cols>
  <x:sheetData>
    <x:row r="1" ht="29" customHeight="1">
      <x:c r="A1" s="2" t="str">
        <x:v>Rank sensitivity</x:v>
      </x:c>
      <x:c r="B1" s="2"/>
      <x:c r="C1" s="2"/>
      <x:c r="D1" s="2"/>
    </x:row>
    <x:row r="2" ht="32" customHeight="1">
      <x:c r="A2" s="6" t="str">
        <x:v>Spearman rank correlation identifies which broad assumptions move national closure and the geographic tail. It does not identify causal elasticity.</x:v>
      </x:c>
      <x:c r="B2" s="6"/>
      <x:c r="C2" s="6"/>
      <x:c r="D2" s="6"/>
    </x:row>
    <x:row r="4" ht="32" customHeight="1">
      <x:c r="A4" s="18" t="str">
        <x:v>Architecture</x:v>
      </x:c>
      <x:c r="B4" s="19" t="str">
        <x:v>Parameter</x:v>
      </x:c>
      <x:c r="C4" s="19" t="str">
        <x:v>Closure correlation</x:v>
      </x:c>
      <x:c r="D4" s="20" t="str">
        <x:v>Bottom-decile correlation</x:v>
      </x:c>
    </x:row>
    <x:row r="5" ht="21.600000381469727" hidden="0" customHeight="1">
      <x:c r="A5" s="28" t="str">
        <x:v>A1</x:v>
      </x:c>
      <x:c r="B5" s="28" t="str">
        <x:v>demand_multiplier</x:v>
      </x:c>
      <x:c r="C5" s="46" t="n">
        <x:v>-0.7280442942284271</x:v>
      </x:c>
      <x:c r="D5" s="46" t="n">
        <x:v>-0.6769674189983212</x:v>
      </x:c>
    </x:row>
    <x:row r="6" ht="21.600000381469727" hidden="0" customHeight="1">
      <x:c r="A6" s="27" t="str">
        <x:v>A1</x:v>
      </x:c>
      <x:c r="B6" s="27" t="str">
        <x:v>receiver_common</x:v>
      </x:c>
      <x:c r="C6" s="47" t="n">
        <x:v>0.5221605677270494</x:v>
      </x:c>
      <x:c r="D6" s="47" t="n">
        <x:v>0.4584598598352394</x:v>
      </x:c>
    </x:row>
    <x:row r="7" ht="21.600000381469727" hidden="0" customHeight="1">
      <x:c r="A7" s="29" t="str">
        <x:v>A1</x:v>
      </x:c>
      <x:c r="B7" s="29" t="str">
        <x:v>hardening_realization</x:v>
      </x:c>
      <x:c r="C7" s="48" t="n">
        <x:v>0.17363674215765237</x:v>
      </x:c>
      <x:c r="D7" s="48" t="n">
        <x:v>0.17079954331194194</x:v>
      </x:c>
    </x:row>
    <x:row r="8" ht="21.600000381469727" hidden="0" customHeight="1">
      <x:c r="A8" s="27" t="str">
        <x:v>A1</x:v>
      </x:c>
      <x:c r="B8" s="27" t="str">
        <x:v>route_shift</x:v>
      </x:c>
      <x:c r="C8" s="47" t="n">
        <x:v>0.017234357286060358</x:v>
      </x:c>
      <x:c r="D8" s="47" t="n">
        <x:v>-0.020571788633504</x:v>
      </x:c>
    </x:row>
    <x:row r="9" ht="21.600000381469727" hidden="0" customHeight="1">
      <x:c r="A9" s="29" t="str">
        <x:v>A1</x:v>
      </x:c>
      <x:c r="B9" s="29" t="str">
        <x:v>terminal_shift</x:v>
      </x:c>
      <x:c r="C9" s="48" t="n">
        <x:v>-0.037419163531421024</x:v>
      </x:c>
      <x:c r="D9" s="48" t="n">
        <x:v>-0.029220899308562007</x:v>
      </x:c>
    </x:row>
    <x:row r="10" ht="21.600000381469727" hidden="0" customHeight="1">
      <x:c r="A10" s="27" t="str">
        <x:v>A1</x:v>
      </x:c>
      <x:c r="B10" s="27" t="str">
        <x:v>restoration_realization</x:v>
      </x:c>
      <x:c r="C10" s="47" t="n">
        <x:v>-0.014826998871479868</x:v>
      </x:c>
      <x:c r="D10" s="47" t="n">
        <x:v>-0.014925266970042771</x:v>
      </x:c>
    </x:row>
    <x:row r="11" ht="21.600000381469727" hidden="0" customHeight="1">
      <x:c r="A11" s="29" t="str">
        <x:v>A1</x:v>
      </x:c>
      <x:c r="B11" s="29" t="str">
        <x:v>fleet_availability</x:v>
      </x:c>
      <x:c r="C11" s="48" t="n">
        <x:v>0.08708592334718111</x:v>
      </x:c>
      <x:c r="D11" s="48" t="n">
        <x:v>0.1725373490549611</x:v>
      </x:c>
    </x:row>
    <x:row r="12" ht="21.600000381469727" hidden="0" customHeight="1">
      <x:c r="A12" s="27" t="str">
        <x:v>A1</x:v>
      </x:c>
      <x:c r="B12" s="27" t="str">
        <x:v>collection_reach</x:v>
      </x:c>
      <x:c r="C12" s="47" t="n">
        <x:v>0.16539528389146974</x:v>
      </x:c>
      <x:c r="D12" s="47" t="n">
        <x:v>-0.13513300553840454</x:v>
      </x:c>
    </x:row>
    <x:row r="13" ht="21.600000381469727" hidden="0" customHeight="1">
      <x:c r="A13" s="29" t="str">
        <x:v>A1</x:v>
      </x:c>
      <x:c r="B13" s="29" t="str">
        <x:v>destination_acceptance</x:v>
      </x:c>
      <x:c r="C13" s="48" t="n">
        <x:v>0.18580739436481655</x:v>
      </x:c>
      <x:c r="D13" s="48" t="n">
        <x:v>0.13195053634638795</x:v>
      </x:c>
    </x:row>
    <x:row r="14" ht="15" hidden="0" customHeight="1">
      <x:c r="A14" s="27" t="str">
        <x:v>A1</x:v>
      </x:c>
      <x:c r="B14" s="27" t="str">
        <x:v>queue_factor</x:v>
      </x:c>
      <x:c r="C14" s="47" t="n">
        <x:v>0.13489518329986885</x:v>
      </x:c>
      <x:c r="D14" s="47" t="n">
        <x:v>0.09948408378253604</x:v>
      </x:c>
    </x:row>
    <x:row r="15" ht="21.600000381469727" hidden="0" customHeight="1">
      <x:c r="A15" s="29" t="str">
        <x:v>A1</x:v>
      </x:c>
      <x:c r="B15" s="29" t="str">
        <x:v>common_mode_add</x:v>
      </x:c>
      <x:c r="C15" s="48" t="n">
        <x:v>-0.03927206138987757</x:v>
      </x:c>
      <x:c r="D15" s="48" t="n">
        <x:v>-0.050348408499453726</x:v>
      </x:c>
    </x:row>
    <x:row r="16" ht="21.600000381469727" hidden="0" customHeight="1">
      <x:c r="A16" s="27" t="str">
        <x:v>A1</x:v>
      </x:c>
      <x:c r="B16" s="27" t="str">
        <x:v>access_realization</x:v>
      </x:c>
      <x:c r="C16" s="47" t="n">
        <x:v>-0.025468393544798726</x:v>
      </x:c>
      <x:c r="D16" s="47" t="n">
        <x:v>-0.07823293846763728</x:v>
      </x:c>
    </x:row>
    <x:row r="17" ht="21.600000381469727" hidden="0" customHeight="1">
      <x:c r="A17" s="29" t="str">
        <x:v>A2</x:v>
      </x:c>
      <x:c r="B17" s="29" t="str">
        <x:v>demand_multiplier</x:v>
      </x:c>
      <x:c r="C17" s="48" t="n">
        <x:v>-0.730876429765932</x:v>
      </x:c>
      <x:c r="D17" s="48" t="n">
        <x:v>-0.694304974285217</x:v>
      </x:c>
    </x:row>
    <x:row r="18" ht="21.600000381469727" hidden="0" customHeight="1">
      <x:c r="A18" s="27" t="str">
        <x:v>A2</x:v>
      </x:c>
      <x:c r="B18" s="27" t="str">
        <x:v>receiver_common</x:v>
      </x:c>
      <x:c r="C18" s="47" t="n">
        <x:v>0.4969854310875194</x:v>
      </x:c>
      <x:c r="D18" s="47" t="n">
        <x:v>0.4861457761533481</x:v>
      </x:c>
    </x:row>
    <x:row r="19" ht="21.600000381469727" hidden="0" customHeight="1">
      <x:c r="A19" s="29" t="str">
        <x:v>A2</x:v>
      </x:c>
      <x:c r="B19" s="29" t="str">
        <x:v>hardening_realization</x:v>
      </x:c>
      <x:c r="C19" s="48" t="n">
        <x:v>0.22421029379482446</x:v>
      </x:c>
      <x:c r="D19" s="48" t="n">
        <x:v>0.22836316613244742</x:v>
      </x:c>
    </x:row>
    <x:row r="20" ht="21.600000381469727" hidden="0" customHeight="1">
      <x:c r="A20" s="27" t="str">
        <x:v>A2</x:v>
      </x:c>
      <x:c r="B20" s="27" t="str">
        <x:v>route_shift</x:v>
      </x:c>
      <x:c r="C20" s="47" t="n">
        <x:v>0.0025509175797434882</x:v>
      </x:c>
      <x:c r="D20" s="47" t="n">
        <x:v>-0.03744069872407891</x:v>
      </x:c>
    </x:row>
    <x:row r="21" ht="21.600000381469727" hidden="0" customHeight="1">
      <x:c r="A21" s="29" t="str">
        <x:v>A2</x:v>
      </x:c>
      <x:c r="B21" s="29" t="str">
        <x:v>terminal_shift</x:v>
      </x:c>
      <x:c r="C21" s="48" t="n">
        <x:v>-0.03256950919202959</x:v>
      </x:c>
      <x:c r="D21" s="48" t="n">
        <x:v>-0.022567389622101985</x:v>
      </x:c>
    </x:row>
    <x:row r="22" ht="21.600000381469727" hidden="0" customHeight="1">
      <x:c r="A22" s="27" t="str">
        <x:v>A2</x:v>
      </x:c>
      <x:c r="B22" s="27" t="str">
        <x:v>restoration_realization</x:v>
      </x:c>
      <x:c r="C22" s="47" t="n">
        <x:v>-0.009719215051153291</x:v>
      </x:c>
      <x:c r="D22" s="47" t="n">
        <x:v>-0.024221747556450304</x:v>
      </x:c>
    </x:row>
    <x:row r="23" ht="21.600000381469727" hidden="0" customHeight="1">
      <x:c r="A23" s="29" t="str">
        <x:v>A2</x:v>
      </x:c>
      <x:c r="B23" s="29" t="str">
        <x:v>fleet_availability</x:v>
      </x:c>
      <x:c r="C23" s="48" t="n">
        <x:v>0.13877506102761733</x:v>
      </x:c>
      <x:c r="D23" s="48" t="n">
        <x:v>0.15989862855001044</x:v>
      </x:c>
    </x:row>
    <x:row r="24" ht="21.600000381469727" hidden="0" customHeight="1">
      <x:c r="A24" s="27" t="str">
        <x:v>A2</x:v>
      </x:c>
      <x:c r="B24" s="27" t="str">
        <x:v>collection_reach</x:v>
      </x:c>
      <x:c r="C24" s="47" t="n">
        <x:v>0.06719137990231139</x:v>
      </x:c>
      <x:c r="D24" s="47" t="n">
        <x:v>-0.12745743633224305</x:v>
      </x:c>
    </x:row>
    <x:row r="25" ht="21.600000381469727" hidden="0" customHeight="1">
      <x:c r="A25" s="29" t="str">
        <x:v>A2</x:v>
      </x:c>
      <x:c r="B25" s="29" t="str">
        <x:v>destination_acceptance</x:v>
      </x:c>
      <x:c r="C25" s="48" t="n">
        <x:v>0.2015211147223949</x:v>
      </x:c>
      <x:c r="D25" s="48" t="n">
        <x:v>0.173246774211502</x:v>
      </x:c>
    </x:row>
    <x:row r="26" ht="15" hidden="0" customHeight="1">
      <x:c r="A26" s="27" t="str">
        <x:v>A2</x:v>
      </x:c>
      <x:c r="B26" s="27" t="str">
        <x:v>queue_factor</x:v>
      </x:c>
      <x:c r="C26" s="47" t="n">
        <x:v>0.15529279673709717</x:v>
      </x:c>
      <x:c r="D26" s="47" t="n">
        <x:v>0.1305981909587557</x:v>
      </x:c>
    </x:row>
    <x:row r="27" ht="21.600000381469727" hidden="0" customHeight="1">
      <x:c r="A27" s="29" t="str">
        <x:v>A2</x:v>
      </x:c>
      <x:c r="B27" s="29" t="str">
        <x:v>common_mode_add</x:v>
      </x:c>
      <x:c r="C27" s="48" t="n">
        <x:v>-0.05509829323654028</x:v>
      </x:c>
      <x:c r="D27" s="48" t="n">
        <x:v>-0.04310148999528102</x:v>
      </x:c>
    </x:row>
    <x:row r="28" ht="21.600000381469727" hidden="0" customHeight="1">
      <x:c r="A28" s="27" t="str">
        <x:v>A2</x:v>
      </x:c>
      <x:c r="B28" s="27" t="str">
        <x:v>access_realization</x:v>
      </x:c>
      <x:c r="C28" s="47" t="n">
        <x:v>-0.028693933053179358</x:v>
      </x:c>
      <x:c r="D28" s="47" t="n">
        <x:v>-0.02272293662465183</x:v>
      </x:c>
    </x:row>
    <x:row r="29" ht="21.600000381469727" hidden="0" customHeight="1">
      <x:c r="A29" s="29" t="str">
        <x:v>A3</x:v>
      </x:c>
      <x:c r="B29" s="29" t="str">
        <x:v>demand_multiplier</x:v>
      </x:c>
      <x:c r="C29" s="48" t="n">
        <x:v>-0.06499594479856548</x:v>
      </x:c>
      <x:c r="D29" s="48" t="n">
        <x:v>-0.12454003861546013</x:v>
      </x:c>
    </x:row>
    <x:row r="30" ht="21.600000381469727" hidden="0" customHeight="1">
      <x:c r="A30" s="27" t="str">
        <x:v>A3</x:v>
      </x:c>
      <x:c r="B30" s="27" t="str">
        <x:v>receiver_common</x:v>
      </x:c>
      <x:c r="C30" s="47" t="n">
        <x:v>0.003476412603006933</x:v>
      </x:c>
      <x:c r="D30" s="47" t="n">
        <x:v>0.07386137619961784</x:v>
      </x:c>
    </x:row>
    <x:row r="31" ht="21.600000381469727" hidden="0" customHeight="1">
      <x:c r="A31" s="29" t="str">
        <x:v>A3</x:v>
      </x:c>
      <x:c r="B31" s="29" t="str">
        <x:v>hardening_realization</x:v>
      </x:c>
      <x:c r="C31" s="48" t="n">
        <x:v>0.042056295482459045</x:v>
      </x:c>
      <x:c r="D31" s="48" t="n">
        <x:v>0.12324694696867163</x:v>
      </x:c>
    </x:row>
    <x:row r="32" ht="21.600000381469727" hidden="0" customHeight="1">
      <x:c r="A32" s="27" t="str">
        <x:v>A3</x:v>
      </x:c>
      <x:c r="B32" s="27" t="str">
        <x:v>route_shift</x:v>
      </x:c>
      <x:c r="C32" s="47" t="n">
        <x:v>-0.05813411500946096</x:v>
      </x:c>
      <x:c r="D32" s="47" t="n">
        <x:v>-0.03603574300295327</x:v>
      </x:c>
    </x:row>
    <x:row r="33" ht="21.600000381469727" hidden="0" customHeight="1">
      <x:c r="A33" s="29" t="str">
        <x:v>A3</x:v>
      </x:c>
      <x:c r="B33" s="29" t="str">
        <x:v>terminal_shift</x:v>
      </x:c>
      <x:c r="C33" s="48" t="n">
        <x:v>-0.023931486679392676</x:v>
      </x:c>
      <x:c r="D33" s="48" t="n">
        <x:v>-0.05299614831123239</x:v>
      </x:c>
    </x:row>
    <x:row r="34" ht="21.600000381469727" hidden="0" customHeight="1">
      <x:c r="A34" s="27" t="str">
        <x:v>A3</x:v>
      </x:c>
      <x:c r="B34" s="27" t="str">
        <x:v>restoration_realization</x:v>
      </x:c>
      <x:c r="C34" s="47" t="n">
        <x:v>-0.046361739195165855</x:v>
      </x:c>
      <x:c r="D34" s="47" t="n">
        <x:v>-0.04461189512598231</x:v>
      </x:c>
    </x:row>
    <x:row r="35" ht="21.600000381469727" hidden="0" customHeight="1">
      <x:c r="A35" s="29" t="str">
        <x:v>A3</x:v>
      </x:c>
      <x:c r="B35" s="29" t="str">
        <x:v>fleet_availability</x:v>
      </x:c>
      <x:c r="C35" s="48" t="n">
        <x:v>-0.0102171204814095</x:v>
      </x:c>
      <x:c r="D35" s="48" t="n">
        <x:v>0.03990576324277346</x:v>
      </x:c>
    </x:row>
    <x:row r="36" ht="21.600000381469727" hidden="0" customHeight="1">
      <x:c r="A36" s="27" t="str">
        <x:v>A3</x:v>
      </x:c>
      <x:c r="B36" s="27" t="str">
        <x:v>collection_reach</x:v>
      </x:c>
      <x:c r="C36" s="47" t="n">
        <x:v>0.03485459609020178</x:v>
      </x:c>
      <x:c r="D36" s="47" t="n">
        <x:v>0.09156826254306262</x:v>
      </x:c>
    </x:row>
    <x:row r="37" ht="21.600000381469727" hidden="0" customHeight="1">
      <x:c r="A37" s="29" t="str">
        <x:v>A3</x:v>
      </x:c>
      <x:c r="B37" s="29" t="str">
        <x:v>destination_acceptance</x:v>
      </x:c>
      <x:c r="C37" s="48" t="n">
        <x:v>0.003665070033166986</x:v>
      </x:c>
      <x:c r="D37" s="48" t="n">
        <x:v>0.034434407611529744</x:v>
      </x:c>
    </x:row>
    <x:row r="38" ht="21.600000381469727" hidden="0" customHeight="1">
      <x:c r="A38" s="27" t="str">
        <x:v>A3</x:v>
      </x:c>
      <x:c r="B38" s="27" t="str">
        <x:v>queue_factor</x:v>
      </x:c>
      <x:c r="C38" s="47" t="n">
        <x:v>-0.017789486253396446</x:v>
      </x:c>
      <x:c r="D38" s="47" t="n">
        <x:v>0.04152319714691035</x:v>
      </x:c>
    </x:row>
    <x:row r="39" ht="21.600000381469727" hidden="0" customHeight="1">
      <x:c r="A39" s="29" t="str">
        <x:v>A3</x:v>
      </x:c>
      <x:c r="B39" s="29" t="str">
        <x:v>common_mode_add</x:v>
      </x:c>
      <x:c r="C39" s="48" t="n">
        <x:v>-0.014345627654806415</x:v>
      </x:c>
      <x:c r="D39" s="48" t="n">
        <x:v>0.018641883295601815</x:v>
      </x:c>
    </x:row>
    <x:row r="40" ht="21.600000381469727" hidden="0" customHeight="1">
      <x:c r="A40" s="27" t="str">
        <x:v>A3</x:v>
      </x:c>
      <x:c r="B40" s="27" t="str">
        <x:v>access_realization</x:v>
      </x:c>
      <x:c r="C40" s="47" t="n">
        <x:v>-0.029912438079642518</x:v>
      </x:c>
      <x:c r="D40" s="47" t="n">
        <x:v>-0.02638258482528114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2" hidden="0" customWidth="1"/>
    <x:col min="7" max="7" width="22" hidden="0" customWidth="1"/>
    <x:col min="8" max="8" width="22" hidden="0" customWidth="1"/>
    <x:col min="9" max="9" width="52" hidden="0" customWidth="1"/>
  </x:cols>
  <x:sheetData>
    <x:row r="1" ht="29" customHeight="1">
      <x:c r="A1" s="2" t="str">
        <x:v>Tract-scale collection pilots</x:v>
      </x:c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6" t="str">
        <x:v>Four dissimilar jurisdictions expose collection distance before damaged-road routing, dispatch queues, elevator loss, pickup dwell or behavior are modeled.</x:v>
      </x:c>
      <x:c r="B2" s="6"/>
      <x:c r="C2" s="6"/>
      <x:c r="D2" s="6"/>
      <x:c r="E2" s="6"/>
      <x:c r="F2" s="6"/>
      <x:c r="G2" s="6"/>
      <x:c r="H2" s="6"/>
      <x:c r="I2" s="6"/>
    </x:row>
    <x:row r="4" ht="32" customHeight="1">
      <x:c r="A4" s="18" t="str">
        <x:v>Pilot</x:v>
      </x:c>
      <x:c r="B4" s="19" t="str">
        <x:v>Tracts</x:v>
      </x:c>
      <x:c r="C4" s="19" t="str">
        <x:v>Population</x:v>
      </x:c>
      <x:c r="D4" s="19" t="str">
        <x:v>10% campaign people</x:v>
      </x:c>
      <x:c r="E4" s="19" t="str">
        <x:v>CTN-10 nodes</x:v>
      </x:c>
      <x:c r="F4" s="19" t="str">
        <x:v>Accessible within 60m</x:v>
      </x:c>
      <x:c r="G4" s="19" t="str">
        <x:v>Accessible within 90m</x:v>
      </x:c>
      <x:c r="H4" s="19" t="str">
        <x:v>Accessible P90 minutes</x:v>
      </x:c>
      <x:c r="I4" s="20" t="str">
        <x:v>Inference boundary</x:v>
      </x:c>
    </x:row>
    <x:row r="5" ht="64.80000305175781" hidden="0" customHeight="1">
      <x:c r="A5" s="28" t="str">
        <x:v>Harris County, Texas</x:v>
      </x:c>
      <x:c r="B5" s="49" t="n">
        <x:v>1111</x:v>
      </x:c>
      <x:c r="C5" s="49" t="n">
        <x:v>4810498</x:v>
      </x:c>
      <x:c r="D5" s="49" t="n">
        <x:v>481049.80000000005</x:v>
      </x:c>
      <x:c r="E5" s="49" t="n">
        <x:v>7</x:v>
      </x:c>
      <x:c r="F5" s="36" t="n">
        <x:v>0.09024074791823347</x:v>
      </x:c>
      <x:c r="G5" s="36" t="n">
        <x:v>0.4807813441054773</x:v>
      </x:c>
      <x:c r="H5" s="52" t="n">
        <x:v>111.63362265568185</x:v>
      </x:c>
      <x:c r="I5" s="28" t="str">
        <x:v>weighted farthest-first tract-centroid screen; candidates are not sites</x:v>
      </x:c>
    </x:row>
    <x:row r="6" ht="64.80000305175781" hidden="0" customHeight="1">
      <x:c r="A6" s="27" t="str">
        <x:v>Miami-Dade County, Florida</x:v>
      </x:c>
      <x:c r="B6" s="50" t="n">
        <x:v>698</x:v>
      </x:c>
      <x:c r="C6" s="50" t="n">
        <x:v>2714154</x:v>
      </x:c>
      <x:c r="D6" s="50" t="n">
        <x:v>271415.4</x:v>
      </x:c>
      <x:c r="E6" s="50" t="n">
        <x:v>4</x:v>
      </x:c>
      <x:c r="F6" s="37" t="n">
        <x:v>0.20360921135554558</x:v>
      </x:c>
      <x:c r="G6" s="37" t="n">
        <x:v>0.7986541301686744</x:v>
      </x:c>
      <x:c r="H6" s="53" t="n">
        <x:v>96.41774977737015</x:v>
      </x:c>
      <x:c r="I6" s="27" t="str">
        <x:v>weighted farthest-first tract-centroid screen; candidates are not sites</x:v>
      </x:c>
    </x:row>
    <x:row r="7" ht="64.80000305175781" hidden="0" customHeight="1">
      <x:c r="A7" s="29" t="str">
        <x:v>King County, Washington</x:v>
      </x:c>
      <x:c r="B7" s="51" t="n">
        <x:v>494</x:v>
      </x:c>
      <x:c r="C7" s="51" t="n">
        <x:v>2273752</x:v>
      </x:c>
      <x:c r="D7" s="51" t="n">
        <x:v>227375.2</x:v>
      </x:c>
      <x:c r="E7" s="51" t="n">
        <x:v>4</x:v>
      </x:c>
      <x:c r="F7" s="38" t="n">
        <x:v>0.11524967070531615</x:v>
      </x:c>
      <x:c r="G7" s="38" t="n">
        <x:v>0.6448707573057643</x:v>
      </x:c>
      <x:c r="H7" s="54" t="n">
        <x:v>105.10966889207927</x:v>
      </x:c>
      <x:c r="I7" s="29" t="str">
        <x:v>weighted farthest-first tract-centroid screen; candidates are not sites</x:v>
      </x:c>
    </x:row>
    <x:row r="8" ht="64.80000305175781" hidden="0" customHeight="1">
      <x:c r="A8" s="27" t="str">
        <x:v>San Juan Municipio, Puerto Rico</x:v>
      </x:c>
      <x:c r="B8" s="50" t="n">
        <x:v>127</x:v>
      </x:c>
      <x:c r="C8" s="50" t="n">
        <x:v>333456</x:v>
      </x:c>
      <x:c r="D8" s="50" t="n">
        <x:v>33345.6</x:v>
      </x:c>
      <x:c r="E8" s="50" t="n">
        <x:v>1</x:v>
      </x:c>
      <x:c r="F8" s="37" t="n">
        <x:v>0.16396542792726096</x:v>
      </x:c>
      <x:c r="G8" s="37" t="n">
        <x:v>0.9748228416110549</x:v>
      </x:c>
      <x:c r="H8" s="53" t="n">
        <x:v>84.85186935620456</x:v>
      </x:c>
      <x:c r="I8" s="27" t="str">
        <x:v>weighted farthest-first tract-centroid screen; candidates are not sites</x:v>
      </x:c>
    </x:row>
    <x:row r="10" ht="42" customHeight="1">
      <x:c r="A10" s="45" t="str">
        <x:v>Even this favorable undamaged centroid screen leaves only 9.0%–20.4% of weighted accessible burden within sixty minutes. The next collection model must use routable damaged networks and door-level service, not more national fleet capacity.</x:v>
      </x:c>
      <x:c r="B10" s="45"/>
      <x:c r="C10" s="45"/>
      <x:c r="D10" s="45"/>
      <x:c r="E10" s="45"/>
      <x:c r="F10" s="45"/>
      <x:c r="G10" s="45"/>
      <x:c r="H10" s="45"/>
      <x:c r="I10" s="45"/>
    </x:row>
  </x:sheetData>
  <x:mergeCells>
    <x:mergeCell ref="A1:I1"/>
    <x:mergeCell ref="A2:I2"/>
    <x:mergeCell ref="A10:I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9" customHeight="1">
      <x:c r="A1" s="2" t="str">
        <x:v>Tract-level collection burden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6" t="str">
        <x:v>2024 ACS 5-year estimates and 2024 Gazetteer internal points create a reproducible spatial screen. No tract row is an individual or a siting recommendation.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8" t="str">
        <x:v>Pilot</x:v>
      </x:c>
      <x:c r="B4" s="19" t="str">
        <x:v>GEOID</x:v>
      </x:c>
      <x:c r="C4" s="19" t="str">
        <x:v>Population</x:v>
      </x:c>
      <x:c r="D4" s="19" t="str">
        <x:v>Disabled</x:v>
      </x:c>
      <x:c r="E4" s="19" t="str">
        <x:v>Zero-vehicle people est.</x:v>
      </x:c>
      <x:c r="F4" s="19" t="str">
        <x:v>Disabled share</x:v>
      </x:c>
      <x:c r="G4" s="19" t="str">
        <x:v>Zero-vehicle share</x:v>
      </x:c>
      <x:c r="H4" s="19" t="str">
        <x:v>Burden weight</x:v>
      </x:c>
      <x:c r="I4" s="19" t="str">
        <x:v>Land sq mi</x:v>
      </x:c>
      <x:c r="J4" s="19" t="str">
        <x:v>Nearest screen km</x:v>
      </x:c>
      <x:c r="K4" s="19" t="str">
        <x:v>General minutes</x:v>
      </x:c>
      <x:c r="L4" s="20" t="str">
        <x:v>Accessible minutes</x:v>
      </x:c>
    </x:row>
    <x:row r="5" ht="32.400001525878906" hidden="0" customHeight="1">
      <x:c r="A5" s="28" t="str">
        <x:v>Harris County, Texas</x:v>
      </x:c>
      <x:c r="B5" s="28" t="str">
        <x:v>48201100001</x:v>
      </x:c>
      <x:c r="C5" s="49" t="n">
        <x:v>4943</x:v>
      </x:c>
      <x:c r="D5" s="49" t="n">
        <x:v>370</x:v>
      </x:c>
      <x:c r="E5" s="49" t="n">
        <x:v>892.5</x:v>
      </x:c>
      <x:c r="F5" s="36" t="n">
        <x:v>0.07485332793849889</x:v>
      </x:c>
      <x:c r="G5" s="36" t="n">
        <x:v>0.18055836536516284</x:v>
      </x:c>
      <x:c r="H5" s="55" t="n">
        <x:v>5161.75</x:v>
      </x:c>
      <x:c r="I5" s="55" t="n">
        <x:v>0.985</x:v>
      </x:c>
      <x:c r="J5" s="55" t="n">
        <x:v>24.17490021216181</x:v>
      </x:c>
      <x:c r="K5" s="55" t="n">
        <x:v>66.26235031824271</x:v>
      </x:c>
      <x:c r="L5" s="55" t="n">
        <x:v>96.8033575974896</x:v>
      </x:c>
    </x:row>
    <x:row r="6" ht="32.400001525878906" hidden="0" customHeight="1">
      <x:c r="A6" s="27" t="str">
        <x:v>Harris County, Texas</x:v>
      </x:c>
      <x:c r="B6" s="27" t="str">
        <x:v>48201210400</x:v>
      </x:c>
      <x:c r="C6" s="50" t="n">
        <x:v>3614</x:v>
      </x:c>
      <x:c r="D6" s="50" t="n">
        <x:v>751</x:v>
      </x:c>
      <x:c r="E6" s="50" t="n">
        <x:v>492.5</x:v>
      </x:c>
      <x:c r="F6" s="37" t="n">
        <x:v>0.20780298837852795</x:v>
      </x:c>
      <x:c r="G6" s="37" t="n">
        <x:v>0.13627559490868843</x:v>
      </x:c>
      <x:c r="H6" s="56" t="n">
        <x:v>3926.1</x:v>
      </x:c>
      <x:c r="I6" s="56" t="n">
        <x:v>0.7</x:v>
      </x:c>
      <x:c r="J6" s="56" t="n">
        <x:v>28.895415811525947</x:v>
      </x:c>
      <x:c r="K6" s="56" t="n">
        <x:v>73.34312371728892</x:v>
      </x:c>
      <x:c r="L6" s="56" t="n">
        <x:v>106.9187481675556</x:v>
      </x:c>
    </x:row>
    <x:row r="7" ht="32.400001525878906" hidden="0" customHeight="1">
      <x:c r="A7" s="29" t="str">
        <x:v>Harris County, Texas</x:v>
      </x:c>
      <x:c r="B7" s="29" t="str">
        <x:v>48201210500</x:v>
      </x:c>
      <x:c r="C7" s="51" t="n">
        <x:v>4767</x:v>
      </x:c>
      <x:c r="D7" s="51" t="n">
        <x:v>1161</x:v>
      </x:c>
      <x:c r="E7" s="51" t="n">
        <x:v>540.5</x:v>
      </x:c>
      <x:c r="F7" s="38" t="n">
        <x:v>0.24354940213971052</x:v>
      </x:c>
      <x:c r="G7" s="38" t="n">
        <x:v>0.11338367946297462</x:v>
      </x:c>
      <x:c r="H7" s="57" t="n">
        <x:v>5227.400000000001</x:v>
      </x:c>
      <x:c r="I7" s="57" t="n">
        <x:v>0.832</x:v>
      </x:c>
      <x:c r="J7" s="57" t="n">
        <x:v>30.236569075390303</x:v>
      </x:c>
      <x:c r="K7" s="57" t="n">
        <x:v>75.35485361308545</x:v>
      </x:c>
      <x:c r="L7" s="57" t="n">
        <x:v>109.7926480186935</x:v>
      </x:c>
    </x:row>
    <x:row r="8" ht="32.400001525878906" hidden="0" customHeight="1">
      <x:c r="A8" s="27" t="str">
        <x:v>Harris County, Texas</x:v>
      </x:c>
      <x:c r="B8" s="27" t="str">
        <x:v>48201210600</x:v>
      </x:c>
      <x:c r="C8" s="50" t="n">
        <x:v>5415</x:v>
      </x:c>
      <x:c r="D8" s="50" t="n">
        <x:v>1113</x:v>
      </x:c>
      <x:c r="E8" s="50" t="n">
        <x:v>691</x:v>
      </x:c>
      <x:c r="F8" s="37" t="n">
        <x:v>0.20554016620498616</x:v>
      </x:c>
      <x:c r="G8" s="37" t="n">
        <x:v>0.1276084949215143</x:v>
      </x:c>
      <x:c r="H8" s="56" t="n">
        <x:v>5873.65</x:v>
      </x:c>
      <x:c r="I8" s="56" t="n">
        <x:v>0.901</x:v>
      </x:c>
      <x:c r="J8" s="56" t="n">
        <x:v>31.44916689866813</x:v>
      </x:c>
      <x:c r="K8" s="56" t="n">
        <x:v>77.17375034800219</x:v>
      </x:c>
      <x:c r="L8" s="56" t="n">
        <x:v>112.39107192571741</x:v>
      </x:c>
    </x:row>
    <x:row r="9" ht="32.400001525878906" hidden="0" customHeight="1">
      <x:c r="A9" s="29" t="str">
        <x:v>Harris County, Texas</x:v>
      </x:c>
      <x:c r="B9" s="29" t="str">
        <x:v>48201210700</x:v>
      </x:c>
      <x:c r="C9" s="51" t="n">
        <x:v>2208</x:v>
      </x:c>
      <x:c r="D9" s="51" t="n">
        <x:v>449</x:v>
      </x:c>
      <x:c r="E9" s="51" t="n">
        <x:v>70</x:v>
      </x:c>
      <x:c r="F9" s="38" t="n">
        <x:v>0.2033514492753623</x:v>
      </x:c>
      <x:c r="G9" s="38" t="n">
        <x:v>0.03170289855072464</x:v>
      </x:c>
      <x:c r="H9" s="57" t="n">
        <x:v>2372.15</x:v>
      </x:c>
      <x:c r="I9" s="57" t="n">
        <x:v>0.438</x:v>
      </x:c>
      <x:c r="J9" s="57" t="n">
        <x:v>30.415427726653142</x:v>
      </x:c>
      <x:c r="K9" s="57" t="n">
        <x:v>75.62314158997971</x:v>
      </x:c>
      <x:c r="L9" s="57" t="n">
        <x:v>110.17591655711388</x:v>
      </x:c>
    </x:row>
    <x:row r="10" ht="32.400001525878906" hidden="0" customHeight="1">
      <x:c r="A10" s="27" t="str">
        <x:v>Harris County, Texas</x:v>
      </x:c>
      <x:c r="B10" s="27" t="str">
        <x:v>48201210800</x:v>
      </x:c>
      <x:c r="C10" s="50" t="n">
        <x:v>2250</x:v>
      </x:c>
      <x:c r="D10" s="50" t="n">
        <x:v>416</x:v>
      </x:c>
      <x:c r="E10" s="50" t="n">
        <x:v>200</x:v>
      </x:c>
      <x:c r="F10" s="37" t="n">
        <x:v>0.18488888888888888</x:v>
      </x:c>
      <x:c r="G10" s="37" t="n">
        <x:v>0.08888888888888889</x:v>
      </x:c>
      <x:c r="H10" s="56" t="n">
        <x:v>2415.6000000000004</x:v>
      </x:c>
      <x:c r="I10" s="56" t="n">
        <x:v>1.416</x:v>
      </x:c>
      <x:c r="J10" s="56" t="n">
        <x:v>30.401166135365607</x:v>
      </x:c>
      <x:c r="K10" s="56" t="n">
        <x:v>75.60174920304841</x:v>
      </x:c>
      <x:c r="L10" s="56" t="n">
        <x:v>110.14535600435487</x:v>
      </x:c>
    </x:row>
    <x:row r="11" ht="32.400001525878906" hidden="0" customHeight="1">
      <x:c r="A11" s="29" t="str">
        <x:v>Harris County, Texas</x:v>
      </x:c>
      <x:c r="B11" s="29" t="str">
        <x:v>48201210900</x:v>
      </x:c>
      <x:c r="C11" s="51" t="n">
        <x:v>1802</x:v>
      </x:c>
      <x:c r="D11" s="51" t="n">
        <x:v>201</x:v>
      </x:c>
      <x:c r="E11" s="51" t="n">
        <x:v>159</x:v>
      </x:c>
      <x:c r="F11" s="38" t="n">
        <x:v>0.11154273029966703</x:v>
      </x:c>
      <x:c r="G11" s="38" t="n">
        <x:v>0.08823529411764706</x:v>
      </x:c>
      <x:c r="H11" s="57" t="n">
        <x:v>1888.25</x:v>
      </x:c>
      <x:c r="I11" s="57" t="n">
        <x:v>0.487</x:v>
      </x:c>
      <x:c r="J11" s="57" t="n">
        <x:v>28.8291893424984</x:v>
      </x:c>
      <x:c r="K11" s="57" t="n">
        <x:v>73.2437840137476</x:v>
      </x:c>
      <x:c r="L11" s="57" t="n">
        <x:v>106.7768343053537</x:v>
      </x:c>
    </x:row>
    <x:row r="12" ht="32.400001525878906" hidden="0" customHeight="1">
      <x:c r="A12" s="27" t="str">
        <x:v>Harris County, Texas</x:v>
      </x:c>
      <x:c r="B12" s="27" t="str">
        <x:v>48201211000</x:v>
      </x:c>
      <x:c r="C12" s="50" t="n">
        <x:v>1674</x:v>
      </x:c>
      <x:c r="D12" s="50" t="n">
        <x:v>433</x:v>
      </x:c>
      <x:c r="E12" s="50" t="n">
        <x:v>212</x:v>
      </x:c>
      <x:c r="F12" s="37" t="n">
        <x:v>0.2586618876941458</x:v>
      </x:c>
      <x:c r="G12" s="37" t="n">
        <x:v>0.12664277180406214</x:v>
      </x:c>
      <x:c r="H12" s="56" t="n">
        <x:v>1846.7499999999998</x:v>
      </x:c>
      <x:c r="I12" s="56" t="n">
        <x:v>0.432</x:v>
      </x:c>
      <x:c r="J12" s="56" t="n">
        <x:v>29.7433265875561</x:v>
      </x:c>
      <x:c r="K12" s="56" t="n">
        <x:v>74.61498988133415</x:v>
      </x:c>
      <x:c r="L12" s="56" t="n">
        <x:v>108.73569983047736</x:v>
      </x:c>
    </x:row>
    <x:row r="13" ht="32.400001525878906" hidden="0" customHeight="1">
      <x:c r="A13" s="29" t="str">
        <x:v>Harris County, Texas</x:v>
      </x:c>
      <x:c r="B13" s="29" t="str">
        <x:v>48201211101</x:v>
      </x:c>
      <x:c r="C13" s="51" t="n">
        <x:v>2954</x:v>
      </x:c>
      <x:c r="D13" s="51" t="n">
        <x:v>438</x:v>
      </x:c>
      <x:c r="E13" s="51" t="n">
        <x:v>484</x:v>
      </x:c>
      <x:c r="F13" s="38" t="n">
        <x:v>0.14827352742044686</x:v>
      </x:c>
      <x:c r="G13" s="38" t="n">
        <x:v>0.16384563303994584</x:v>
      </x:c>
      <x:c r="H13" s="57" t="n">
        <x:v>3155.7</x:v>
      </x:c>
      <x:c r="I13" s="57" t="n">
        <x:v>0.494</x:v>
      </x:c>
      <x:c r="J13" s="57" t="n">
        <x:v>29.565784012923867</x:v>
      </x:c>
      <x:c r="K13" s="57" t="n">
        <x:v>74.3486760193858</x:v>
      </x:c>
      <x:c r="L13" s="57" t="n">
        <x:v>108.35525145626542</x:v>
      </x:c>
    </x:row>
    <x:row r="14" ht="32.400001525878906" hidden="0" customHeight="1">
      <x:c r="A14" s="27" t="str">
        <x:v>Harris County, Texas</x:v>
      </x:c>
      <x:c r="B14" s="27" t="str">
        <x:v>48201211102</x:v>
      </x:c>
      <x:c r="C14" s="50" t="n">
        <x:v>2401</x:v>
      </x:c>
      <x:c r="D14" s="50" t="n">
        <x:v>362</x:v>
      </x:c>
      <x:c r="E14" s="50" t="n">
        <x:v>111</x:v>
      </x:c>
      <x:c r="F14" s="37" t="n">
        <x:v>0.15077051228654728</x:v>
      </x:c>
      <x:c r="G14" s="37" t="n">
        <x:v>0.04623073719283632</x:v>
      </x:c>
      <x:c r="H14" s="56" t="n">
        <x:v>2538.8</x:v>
      </x:c>
      <x:c r="I14" s="56" t="n">
        <x:v>0.432</x:v>
      </x:c>
      <x:c r="J14" s="56" t="n">
        <x:v>29.83373404040676</x:v>
      </x:c>
      <x:c r="K14" s="56" t="n">
        <x:v>74.75060106061014</x:v>
      </x:c>
      <x:c r="L14" s="56" t="n">
        <x:v>108.92943008658591</x:v>
      </x:c>
    </x:row>
    <x:row r="15" ht="32.400001525878906" hidden="0" customHeight="1">
      <x:c r="A15" s="29" t="str">
        <x:v>Harris County, Texas</x:v>
      </x:c>
      <x:c r="B15" s="29" t="str">
        <x:v>48201211200</x:v>
      </x:c>
      <x:c r="C15" s="51" t="n">
        <x:v>2330</x:v>
      </x:c>
      <x:c r="D15" s="51" t="n">
        <x:v>442</x:v>
      </x:c>
      <x:c r="E15" s="51" t="n">
        <x:v>393</x:v>
      </x:c>
      <x:c r="F15" s="38" t="n">
        <x:v>0.18969957081545064</x:v>
      </x:c>
      <x:c r="G15" s="38" t="n">
        <x:v>0.1686695278969957</x:v>
      </x:c>
      <x:c r="H15" s="57" t="n">
        <x:v>2524</x:v>
      </x:c>
      <x:c r="I15" s="57" t="n">
        <x:v>0.657</x:v>
      </x:c>
      <x:c r="J15" s="57" t="n">
        <x:v>28.714551691844854</x:v>
      </x:c>
      <x:c r="K15" s="57" t="n">
        <x:v>73.07182753776728</x:v>
      </x:c>
      <x:c r="L15" s="57" t="n">
        <x:v>106.53118219681039</x:v>
      </x:c>
    </x:row>
    <x:row r="16" ht="32.400001525878906" hidden="0" customHeight="1">
      <x:c r="A16" s="27" t="str">
        <x:v>Harris County, Texas</x:v>
      </x:c>
      <x:c r="B16" s="27" t="str">
        <x:v>48201211301</x:v>
      </x:c>
      <x:c r="C16" s="50" t="n">
        <x:v>2676</x:v>
      </x:c>
      <x:c r="D16" s="50" t="n">
        <x:v>569</x:v>
      </x:c>
      <x:c r="E16" s="50" t="n">
        <x:v>650.5</x:v>
      </x:c>
      <x:c r="F16" s="37" t="n">
        <x:v>0.2126307922272048</x:v>
      </x:c>
      <x:c r="G16" s="37" t="n">
        <x:v>0.24308669656203288</x:v>
      </x:c>
      <x:c r="H16" s="56" t="n">
        <x:v>2940.2</x:v>
      </x:c>
      <x:c r="I16" s="56" t="n">
        <x:v>0.444</x:v>
      </x:c>
      <x:c r="J16" s="56" t="n">
        <x:v>28.089802959935454</x:v>
      </x:c>
      <x:c r="K16" s="56" t="n">
        <x:v>72.13470443990317</x:v>
      </x:c>
      <x:c r="L16" s="56" t="n">
        <x:v>105.1924349141474</x:v>
      </x:c>
    </x:row>
    <x:row r="17" ht="32.400001525878906" hidden="0" customHeight="1">
      <x:c r="A17" s="29" t="str">
        <x:v>Harris County, Texas</x:v>
      </x:c>
      <x:c r="B17" s="29" t="str">
        <x:v>48201211302</x:v>
      </x:c>
      <x:c r="C17" s="51" t="n">
        <x:v>2075</x:v>
      </x:c>
      <x:c r="D17" s="51" t="n">
        <x:v>502</x:v>
      </x:c>
      <x:c r="E17" s="51" t="n">
        <x:v>625.5</x:v>
      </x:c>
      <x:c r="F17" s="38" t="n">
        <x:v>0.2419277108433735</x:v>
      </x:c>
      <x:c r="G17" s="38" t="n">
        <x:v>0.3014457831325301</x:v>
      </x:c>
      <x:c r="H17" s="57" t="n">
        <x:v>2313.25</x:v>
      </x:c>
      <x:c r="I17" s="57" t="n">
        <x:v>0.612</x:v>
      </x:c>
      <x:c r="J17" s="57" t="n">
        <x:v>28.70660115729801</x:v>
      </x:c>
      <x:c r="K17" s="57" t="n">
        <x:v>73.05990173594702</x:v>
      </x:c>
      <x:c r="L17" s="57" t="n">
        <x:v>106.51414533706716</x:v>
      </x:c>
    </x:row>
    <x:row r="18" ht="32.400001525878906" hidden="0" customHeight="1">
      <x:c r="A18" s="27" t="str">
        <x:v>Harris County, Texas</x:v>
      </x:c>
      <x:c r="B18" s="27" t="str">
        <x:v>48201211400</x:v>
      </x:c>
      <x:c r="C18" s="50" t="n">
        <x:v>4291</x:v>
      </x:c>
      <x:c r="D18" s="50" t="n">
        <x:v>702</x:v>
      </x:c>
      <x:c r="E18" s="50" t="n">
        <x:v>734</x:v>
      </x:c>
      <x:c r="F18" s="37" t="n">
        <x:v>0.16359822885108366</x:v>
      </x:c>
      <x:c r="G18" s="37" t="n">
        <x:v>0.1710556979725006</x:v>
      </x:c>
      <x:c r="H18" s="56" t="n">
        <x:v>4610.099999999999</x:v>
      </x:c>
      <x:c r="I18" s="56" t="n">
        <x:v>1.393</x:v>
      </x:c>
      <x:c r="J18" s="56" t="n">
        <x:v>26.7164426758693</x:v>
      </x:c>
      <x:c r="K18" s="56" t="n">
        <x:v>70.07466401380395</x:v>
      </x:c>
      <x:c r="L18" s="56" t="n">
        <x:v>102.24952001971992</x:v>
      </x:c>
    </x:row>
    <x:row r="19" ht="32.400001525878906" hidden="0" customHeight="1">
      <x:c r="A19" s="29" t="str">
        <x:v>Harris County, Texas</x:v>
      </x:c>
      <x:c r="B19" s="29" t="str">
        <x:v>48201211501</x:v>
      </x:c>
      <x:c r="C19" s="51" t="n">
        <x:v>3129</x:v>
      </x:c>
      <x:c r="D19" s="51" t="n">
        <x:v>421</x:v>
      </x:c>
      <x:c r="E19" s="51" t="n">
        <x:v>340.5</x:v>
      </x:c>
      <x:c r="F19" s="38" t="n">
        <x:v>0.13454777884308086</x:v>
      </x:c>
      <x:c r="G19" s="38" t="n">
        <x:v>0.10882070949185044</x:v>
      </x:c>
      <x:c r="H19" s="57" t="n">
        <x:v>3310.3999999999996</x:v>
      </x:c>
      <x:c r="I19" s="57" t="n">
        <x:v>1.419</x:v>
      </x:c>
      <x:c r="J19" s="57" t="n">
        <x:v>28.138536819900704</x:v>
      </x:c>
      <x:c r="K19" s="57" t="n">
        <x:v>72.20780522985106</x:v>
      </x:c>
      <x:c r="L19" s="57" t="n">
        <x:v>105.29686461407294</x:v>
      </x:c>
    </x:row>
    <x:row r="20" ht="32.400001525878906" hidden="0" customHeight="1">
      <x:c r="A20" s="27" t="str">
        <x:v>Harris County, Texas</x:v>
      </x:c>
      <x:c r="B20" s="27" t="str">
        <x:v>48201211502</x:v>
      </x:c>
      <x:c r="C20" s="50" t="n">
        <x:v>2805</x:v>
      </x:c>
      <x:c r="D20" s="50" t="n">
        <x:v>324</x:v>
      </x:c>
      <x:c r="E20" s="50" t="n">
        <x:v>138</x:v>
      </x:c>
      <x:c r="F20" s="37" t="n">
        <x:v>0.11550802139037433</x:v>
      </x:c>
      <x:c r="G20" s="37" t="n">
        <x:v>0.04919786096256684</x:v>
      </x:c>
      <x:c r="H20" s="56" t="n">
        <x:v>2932.2000000000003</x:v>
      </x:c>
      <x:c r="I20" s="56" t="n">
        <x:v>0.922</x:v>
      </x:c>
      <x:c r="J20" s="56" t="n">
        <x:v>27.464718845173522</x:v>
      </x:c>
      <x:c r="K20" s="56" t="n">
        <x:v>71.19707826776028</x:v>
      </x:c>
      <x:c r="L20" s="56" t="n">
        <x:v>103.85296895394326</x:v>
      </x:c>
    </x:row>
    <x:row r="21" ht="32.400001525878906" hidden="0" customHeight="1">
      <x:c r="A21" s="29" t="str">
        <x:v>Harris County, Texas</x:v>
      </x:c>
      <x:c r="B21" s="29" t="str">
        <x:v>48201211600</x:v>
      </x:c>
      <x:c r="C21" s="51" t="n">
        <x:v>2802</x:v>
      </x:c>
      <x:c r="D21" s="51" t="n">
        <x:v>496</x:v>
      </x:c>
      <x:c r="E21" s="51" t="n">
        <x:v>234</x:v>
      </x:c>
      <x:c r="F21" s="38" t="n">
        <x:v>0.17701641684511063</x:v>
      </x:c>
      <x:c r="G21" s="38" t="n">
        <x:v>0.0835117773019272</x:v>
      </x:c>
      <x:c r="H21" s="57" t="n">
        <x:v>2999</x:v>
      </x:c>
      <x:c r="I21" s="57" t="n">
        <x:v>0.455</x:v>
      </x:c>
      <x:c r="J21" s="57" t="n">
        <x:v>29.568041742419027</x:v>
      </x:c>
      <x:c r="K21" s="57" t="n">
        <x:v>74.35206261362853</x:v>
      </x:c>
      <x:c r="L21" s="57" t="n">
        <x:v>108.36008944804077</x:v>
      </x:c>
    </x:row>
    <x:row r="22" ht="32.400001525878906" hidden="0" customHeight="1">
      <x:c r="A22" s="27" t="str">
        <x:v>Harris County, Texas</x:v>
      </x:c>
      <x:c r="B22" s="27" t="str">
        <x:v>48201211700</x:v>
      </x:c>
      <x:c r="C22" s="50" t="n">
        <x:v>3838</x:v>
      </x:c>
      <x:c r="D22" s="50" t="n">
        <x:v>580</x:v>
      </x:c>
      <x:c r="E22" s="50" t="n">
        <x:v>97.5</x:v>
      </x:c>
      <x:c r="F22" s="37" t="n">
        <x:v>0.15112037519541427</x:v>
      </x:c>
      <x:c r="G22" s="37" t="n">
        <x:v>0.025403856175091194</x:v>
      </x:c>
      <x:c r="H22" s="56" t="n">
        <x:v>4050.7499999999995</x:v>
      </x:c>
      <x:c r="I22" s="56" t="n">
        <x:v>1.715</x:v>
      </x:c>
      <x:c r="J22" s="56" t="n">
        <x:v>27.78179903258058</x:v>
      </x:c>
      <x:c r="K22" s="56" t="n">
        <x:v>71.67269854887087</x:v>
      </x:c>
      <x:c r="L22" s="56" t="n">
        <x:v>104.53242649838695</x:v>
      </x:c>
    </x:row>
    <x:row r="23" ht="32.400001525878906" hidden="0" customHeight="1">
      <x:c r="A23" s="29" t="str">
        <x:v>Harris County, Texas</x:v>
      </x:c>
      <x:c r="B23" s="29" t="str">
        <x:v>48201211900</x:v>
      </x:c>
      <x:c r="C23" s="51" t="n">
        <x:v>4150</x:v>
      </x:c>
      <x:c r="D23" s="51" t="n">
        <x:v>809</x:v>
      </x:c>
      <x:c r="E23" s="51" t="n">
        <x:v>178</x:v>
      </x:c>
      <x:c r="F23" s="38" t="n">
        <x:v>0.19493975903614458</x:v>
      </x:c>
      <x:c r="G23" s="38" t="n">
        <x:v>0.042891566265060244</x:v>
      </x:c>
      <x:c r="H23" s="57" t="n">
        <x:v>4450.95</x:v>
      </x:c>
      <x:c r="I23" s="57" t="n">
        <x:v>0.482</x:v>
      </x:c>
      <x:c r="J23" s="57" t="n">
        <x:v>29.14767196931997</x:v>
      </x:c>
      <x:c r="K23" s="57" t="n">
        <x:v>73.72150795397995</x:v>
      </x:c>
      <x:c r="L23" s="57" t="n">
        <x:v>107.45929707711423</x:v>
      </x:c>
    </x:row>
    <x:row r="24" ht="32.400001525878906" hidden="0" customHeight="1">
      <x:c r="A24" s="27" t="str">
        <x:v>Harris County, Texas</x:v>
      </x:c>
      <x:c r="B24" s="27" t="str">
        <x:v>48201212300</x:v>
      </x:c>
      <x:c r="C24" s="50" t="n">
        <x:v>4731</x:v>
      </x:c>
      <x:c r="D24" s="50" t="n">
        <x:v>889</x:v>
      </x:c>
      <x:c r="E24" s="50" t="n">
        <x:v>656</x:v>
      </x:c>
      <x:c r="F24" s="37" t="n">
        <x:v>0.18790953286831535</x:v>
      </x:c>
      <x:c r="G24" s="37" t="n">
        <x:v>0.1386599027689706</x:v>
      </x:c>
      <x:c r="H24" s="56" t="n">
        <x:v>5107.75</x:v>
      </x:c>
      <x:c r="I24" s="56" t="n">
        <x:v>1.262</x:v>
      </x:c>
      <x:c r="J24" s="56" t="n">
        <x:v>27.282674698640218</x:v>
      </x:c>
      <x:c r="K24" s="56" t="n">
        <x:v>70.92401204796033</x:v>
      </x:c>
      <x:c r="L24" s="56" t="n">
        <x:v>103.46287435422903</x:v>
      </x:c>
    </x:row>
    <x:row r="25" ht="32.400001525878906" hidden="0" customHeight="1">
      <x:c r="A25" s="29" t="str">
        <x:v>Harris County, Texas</x:v>
      </x:c>
      <x:c r="B25" s="29" t="str">
        <x:v>48201212400</x:v>
      </x:c>
      <x:c r="C25" s="51" t="n">
        <x:v>2871</x:v>
      </x:c>
      <x:c r="D25" s="51" t="n">
        <x:v>733</x:v>
      </x:c>
      <x:c r="E25" s="51" t="n">
        <x:v>116</x:v>
      </x:c>
      <x:c r="F25" s="38" t="n">
        <x:v>0.2553117380703588</x:v>
      </x:c>
      <x:c r="G25" s="38" t="n">
        <x:v>0.04040404040404041</x:v>
      </x:c>
      <x:c r="H25" s="57" t="n">
        <x:v>3139.1500000000005</x:v>
      </x:c>
      <x:c r="I25" s="57" t="n">
        <x:v>3.137</x:v>
      </x:c>
      <x:c r="J25" s="57" t="n">
        <x:v>27.973483447296463</x:v>
      </x:c>
      <x:c r="K25" s="57" t="n">
        <x:v>71.9602251709447</x:v>
      </x:c>
      <x:c r="L25" s="57" t="n">
        <x:v>104.94317881563528</x:v>
      </x:c>
    </x:row>
    <x:row r="26" ht="32.400001525878906" hidden="0" customHeight="1">
      <x:c r="A26" s="27" t="str">
        <x:v>Harris County, Texas</x:v>
      </x:c>
      <x:c r="B26" s="27" t="str">
        <x:v>48201212500</x:v>
      </x:c>
      <x:c r="C26" s="50" t="n">
        <x:v>3456</x:v>
      </x:c>
      <x:c r="D26" s="50" t="n">
        <x:v>739</x:v>
      </x:c>
      <x:c r="E26" s="50" t="n">
        <x:v>364</x:v>
      </x:c>
      <x:c r="F26" s="37" t="n">
        <x:v>0.21383101851851852</x:v>
      </x:c>
      <x:c r="G26" s="37" t="n">
        <x:v>0.10532407407407407</x:v>
      </x:c>
      <x:c r="H26" s="56" t="n">
        <x:v>3751.05</x:v>
      </x:c>
      <x:c r="I26" s="56" t="n">
        <x:v>4.162</x:v>
      </x:c>
      <x:c r="J26" s="56" t="n">
        <x:v>27.601408350201723</x:v>
      </x:c>
      <x:c r="K26" s="56" t="n">
        <x:v>71.40211252530258</x:v>
      </x:c>
      <x:c r="L26" s="56" t="n">
        <x:v>104.14587503614655</x:v>
      </x:c>
    </x:row>
    <x:row r="27" ht="32.400001525878906" hidden="0" customHeight="1">
      <x:c r="A27" s="29" t="str">
        <x:v>Harris County, Texas</x:v>
      </x:c>
      <x:c r="B27" s="29" t="str">
        <x:v>48201220100</x:v>
      </x:c>
      <x:c r="C27" s="51" t="n">
        <x:v>1524</x:v>
      </x:c>
      <x:c r="D27" s="51" t="n">
        <x:v>326</x:v>
      </x:c>
      <x:c r="E27" s="51" t="n">
        <x:v>0</x:v>
      </x:c>
      <x:c r="F27" s="38" t="n">
        <x:v>0.21391076115485563</x:v>
      </x:c>
      <x:c r="G27" s="38" t="n">
        <x:v>0</x:v>
      </x:c>
      <x:c r="H27" s="57" t="n">
        <x:v>1638.1</x:v>
      </x:c>
      <x:c r="I27" s="57" t="n">
        <x:v>0.68</x:v>
      </x:c>
      <x:c r="J27" s="57" t="n">
        <x:v>28.596938913985515</x:v>
      </x:c>
      <x:c r="K27" s="57" t="n">
        <x:v>72.89540837097827</x:v>
      </x:c>
      <x:c r="L27" s="57" t="n">
        <x:v>106.27915481568324</x:v>
      </x:c>
    </x:row>
    <x:row r="28" ht="32.400001525878906" hidden="0" customHeight="1">
      <x:c r="A28" s="27" t="str">
        <x:v>Harris County, Texas</x:v>
      </x:c>
      <x:c r="B28" s="27" t="str">
        <x:v>48201220200</x:v>
      </x:c>
      <x:c r="C28" s="50" t="n">
        <x:v>2405</x:v>
      </x:c>
      <x:c r="D28" s="50" t="n">
        <x:v>292</x:v>
      </x:c>
      <x:c r="E28" s="50" t="n">
        <x:v>132</x:v>
      </x:c>
      <x:c r="F28" s="37" t="n">
        <x:v>0.12141372141372142</x:v>
      </x:c>
      <x:c r="G28" s="37" t="n">
        <x:v>0.05488565488565489</x:v>
      </x:c>
      <x:c r="H28" s="56" t="n">
        <x:v>2520.3999999999996</x:v>
      </x:c>
      <x:c r="I28" s="56" t="n">
        <x:v>0.575</x:v>
      </x:c>
      <x:c r="J28" s="56" t="n">
        <x:v>30.412998097760145</x:v>
      </x:c>
      <x:c r="K28" s="56" t="n">
        <x:v>75.61949714664021</x:v>
      </x:c>
      <x:c r="L28" s="56" t="n">
        <x:v>110.17071020948603</x:v>
      </x:c>
    </x:row>
    <x:row r="29" ht="32.400001525878906" hidden="0" customHeight="1">
      <x:c r="A29" s="29" t="str">
        <x:v>Harris County, Texas</x:v>
      </x:c>
      <x:c r="B29" s="29" t="str">
        <x:v>48201220300</x:v>
      </x:c>
      <x:c r="C29" s="51" t="n">
        <x:v>3773</x:v>
      </x:c>
      <x:c r="D29" s="51" t="n">
        <x:v>610</x:v>
      </x:c>
      <x:c r="E29" s="51" t="n">
        <x:v>163</x:v>
      </x:c>
      <x:c r="F29" s="38" t="n">
        <x:v>0.1616750596342433</x:v>
      </x:c>
      <x:c r="G29" s="38" t="n">
        <x:v>0.04320169626292075</x:v>
      </x:c>
      <x:c r="H29" s="57" t="n">
        <x:v>4002.7999999999993</x:v>
      </x:c>
      <x:c r="I29" s="57" t="n">
        <x:v>0.768</x:v>
      </x:c>
      <x:c r="J29" s="57" t="n">
        <x:v>29.703990860334216</x:v>
      </x:c>
      <x:c r="K29" s="57" t="n">
        <x:v>74.55598629050132</x:v>
      </x:c>
      <x:c r="L29" s="57" t="n">
        <x:v>108.65140898643045</x:v>
      </x:c>
    </x:row>
    <x:row r="30" ht="32.400001525878906" hidden="0" customHeight="1">
      <x:c r="A30" s="27" t="str">
        <x:v>Harris County, Texas</x:v>
      </x:c>
      <x:c r="B30" s="27" t="str">
        <x:v>48201220400</x:v>
      </x:c>
      <x:c r="C30" s="50" t="n">
        <x:v>4176</x:v>
      </x:c>
      <x:c r="D30" s="50" t="n">
        <x:v>730</x:v>
      </x:c>
      <x:c r="E30" s="50" t="n">
        <x:v>391.5</x:v>
      </x:c>
      <x:c r="F30" s="37" t="n">
        <x:v>0.17480842911877395</x:v>
      </x:c>
      <x:c r="G30" s="37" t="n">
        <x:v>0.09375</x:v>
      </x:c>
      <x:c r="H30" s="56" t="n">
        <x:v>4470.65</x:v>
      </x:c>
      <x:c r="I30" s="56" t="n">
        <x:v>0.742</x:v>
      </x:c>
      <x:c r="J30" s="56" t="n">
        <x:v>29.05055455506513</x:v>
      </x:c>
      <x:c r="K30" s="56" t="n">
        <x:v>73.5758318325977</x:v>
      </x:c>
      <x:c r="L30" s="56" t="n">
        <x:v>107.25118833228242</x:v>
      </x:c>
    </x:row>
    <x:row r="31" ht="32.400001525878906" hidden="0" customHeight="1">
      <x:c r="A31" s="29" t="str">
        <x:v>Harris County, Texas</x:v>
      </x:c>
      <x:c r="B31" s="29" t="str">
        <x:v>48201220500</x:v>
      </x:c>
      <x:c r="C31" s="51" t="n">
        <x:v>3371</x:v>
      </x:c>
      <x:c r="D31" s="51" t="n">
        <x:v>790</x:v>
      </x:c>
      <x:c r="E31" s="51" t="n">
        <x:v>537</x:v>
      </x:c>
      <x:c r="F31" s="38" t="n">
        <x:v>0.23435182438445565</x:v>
      </x:c>
      <x:c r="G31" s="38" t="n">
        <x:v>0.1592999110056363</x:v>
      </x:c>
      <x:c r="H31" s="57" t="n">
        <x:v>3701.2000000000007</x:v>
      </x:c>
      <x:c r="I31" s="57" t="n">
        <x:v>0.928</x:v>
      </x:c>
      <x:c r="J31" s="57" t="n">
        <x:v>30.17272772464757</x:v>
      </x:c>
      <x:c r="K31" s="57" t="n">
        <x:v>75.25909158697135</x:v>
      </x:c>
      <x:c r="L31" s="57" t="n">
        <x:v>109.65584512424479</x:v>
      </x:c>
    </x:row>
    <x:row r="32" ht="32.400001525878906" hidden="0" customHeight="1">
      <x:c r="A32" s="27" t="str">
        <x:v>Harris County, Texas</x:v>
      </x:c>
      <x:c r="B32" s="27" t="str">
        <x:v>48201220600</x:v>
      </x:c>
      <x:c r="C32" s="50" t="n">
        <x:v>3168</x:v>
      </x:c>
      <x:c r="D32" s="50" t="n">
        <x:v>267</x:v>
      </x:c>
      <x:c r="E32" s="50" t="n">
        <x:v>409.5</x:v>
      </x:c>
      <x:c r="F32" s="37" t="n">
        <x:v>0.08428030303030302</x:v>
      </x:c>
      <x:c r="G32" s="37" t="n">
        <x:v>0.12926136363636365</x:v>
      </x:c>
      <x:c r="H32" s="56" t="n">
        <x:v>3302.4</x:v>
      </x:c>
      <x:c r="I32" s="56" t="n">
        <x:v>0.641</x:v>
      </x:c>
      <x:c r="J32" s="56" t="n">
        <x:v>28.14932552734376</x:v>
      </x:c>
      <x:c r="K32" s="56" t="n">
        <x:v>72.22398829101564</x:v>
      </x:c>
      <x:c r="L32" s="56" t="n">
        <x:v>105.31998327287948</x:v>
      </x:c>
    </x:row>
    <x:row r="33" ht="32.400001525878906" hidden="0" customHeight="1">
      <x:c r="A33" s="29" t="str">
        <x:v>Harris County, Texas</x:v>
      </x:c>
      <x:c r="B33" s="29" t="str">
        <x:v>48201220701</x:v>
      </x:c>
      <x:c r="C33" s="51" t="n">
        <x:v>3498</x:v>
      </x:c>
      <x:c r="D33" s="51" t="n">
        <x:v>258</x:v>
      </x:c>
      <x:c r="E33" s="51" t="n">
        <x:v>361</x:v>
      </x:c>
      <x:c r="F33" s="38" t="n">
        <x:v>0.07375643224699828</x:v>
      </x:c>
      <x:c r="G33" s="38" t="n">
        <x:v>0.10320182961692395</x:v>
      </x:c>
      <x:c r="H33" s="57" t="n">
        <x:v>3624.4</x:v>
      </x:c>
      <x:c r="I33" s="57" t="n">
        <x:v>0.791</x:v>
      </x:c>
      <x:c r="J33" s="57" t="n">
        <x:v>26.553340113902145</x:v>
      </x:c>
      <x:c r="K33" s="57" t="n">
        <x:v>69.83001017085321</x:v>
      </x:c>
      <x:c r="L33" s="57" t="n">
        <x:v>101.90001452979031</x:v>
      </x:c>
    </x:row>
    <x:row r="34" ht="32.400001525878906" hidden="0" customHeight="1">
      <x:c r="A34" s="27" t="str">
        <x:v>Harris County, Texas</x:v>
      </x:c>
      <x:c r="B34" s="27" t="str">
        <x:v>48201220702</x:v>
      </x:c>
      <x:c r="C34" s="50" t="n">
        <x:v>3805</x:v>
      </x:c>
      <x:c r="D34" s="50" t="n">
        <x:v>626</x:v>
      </x:c>
      <x:c r="E34" s="50" t="n">
        <x:v>146</x:v>
      </x:c>
      <x:c r="F34" s="37" t="n">
        <x:v>0.1645203679369251</x:v>
      </x:c>
      <x:c r="G34" s="37" t="n">
        <x:v>0.038370565045992115</x:v>
      </x:c>
      <x:c r="H34" s="56" t="n">
        <x:v>4038.7</x:v>
      </x:c>
      <x:c r="I34" s="56" t="n">
        <x:v>0.806</x:v>
      </x:c>
      <x:c r="J34" s="56" t="n">
        <x:v>27.7345128597247</x:v>
      </x:c>
      <x:c r="K34" s="56" t="n">
        <x:v>71.60176928958705</x:v>
      </x:c>
      <x:c r="L34" s="56" t="n">
        <x:v>104.43109898512435</x:v>
      </x:c>
    </x:row>
    <x:row r="35" ht="32.400001525878906" hidden="0" customHeight="1">
      <x:c r="A35" s="29" t="str">
        <x:v>Harris County, Texas</x:v>
      </x:c>
      <x:c r="B35" s="29" t="str">
        <x:v>48201220800</x:v>
      </x:c>
      <x:c r="C35" s="51" t="n">
        <x:v>3927</x:v>
      </x:c>
      <x:c r="D35" s="51" t="n">
        <x:v>447</x:v>
      </x:c>
      <x:c r="E35" s="51" t="n">
        <x:v>429</x:v>
      </x:c>
      <x:c r="F35" s="38" t="n">
        <x:v>0.11382734912146678</x:v>
      </x:c>
      <x:c r="G35" s="38" t="n">
        <x:v>0.1092436974789916</x:v>
      </x:c>
      <x:c r="H35" s="57" t="n">
        <x:v>4126.349999999999</x:v>
      </x:c>
      <x:c r="I35" s="57" t="n">
        <x:v>0.67</x:v>
      </x:c>
      <x:c r="J35" s="57" t="n">
        <x:v>26.467310930544073</x:v>
      </x:c>
      <x:c r="K35" s="57" t="n">
        <x:v>69.70096639581611</x:v>
      </x:c>
      <x:c r="L35" s="57" t="n">
        <x:v>101.7156662797373</x:v>
      </x:c>
    </x:row>
    <x:row r="36" ht="32.400001525878906" hidden="0" customHeight="1">
      <x:c r="A36" s="27" t="str">
        <x:v>Harris County, Texas</x:v>
      </x:c>
      <x:c r="B36" s="27" t="str">
        <x:v>48201220900</x:v>
      </x:c>
      <x:c r="C36" s="50" t="n">
        <x:v>1790</x:v>
      </x:c>
      <x:c r="D36" s="50" t="n">
        <x:v>401</x:v>
      </x:c>
      <x:c r="E36" s="50" t="n">
        <x:v>134</x:v>
      </x:c>
      <x:c r="F36" s="37" t="n">
        <x:v>0.2240223463687151</x:v>
      </x:c>
      <x:c r="G36" s="37" t="n">
        <x:v>0.07486033519553073</x:v>
      </x:c>
      <x:c r="H36" s="56" t="n">
        <x:v>1943.7499999999998</x:v>
      </x:c>
      <x:c r="I36" s="56" t="n">
        <x:v>0.578</x:v>
      </x:c>
      <x:c r="J36" s="56" t="n">
        <x:v>24.525833377190473</x:v>
      </x:c>
      <x:c r="K36" s="56" t="n">
        <x:v>66.7887500657857</x:v>
      </x:c>
      <x:c r="L36" s="56" t="n">
        <x:v>97.55535723683673</x:v>
      </x:c>
    </x:row>
    <x:row r="37" ht="32.400001525878906" hidden="0" customHeight="1">
      <x:c r="A37" s="29" t="str">
        <x:v>Harris County, Texas</x:v>
      </x:c>
      <x:c r="B37" s="29" t="str">
        <x:v>48201221000</x:v>
      </x:c>
      <x:c r="C37" s="51" t="n">
        <x:v>3508</x:v>
      </x:c>
      <x:c r="D37" s="51" t="n">
        <x:v>404</x:v>
      </x:c>
      <x:c r="E37" s="51" t="n">
        <x:v>121</x:v>
      </x:c>
      <x:c r="F37" s="38" t="n">
        <x:v>0.11516533637400228</x:v>
      </x:c>
      <x:c r="G37" s="38" t="n">
        <x:v>0.034492588369441274</x:v>
      </x:c>
      <x:c r="H37" s="57" t="n">
        <x:v>3661.5</x:v>
      </x:c>
      <x:c r="I37" s="57" t="n">
        <x:v>0.959</x:v>
      </x:c>
      <x:c r="J37" s="57" t="n">
        <x:v>24.190690703222852</x:v>
      </x:c>
      <x:c r="K37" s="57" t="n">
        <x:v>66.28603605483428</x:v>
      </x:c>
      <x:c r="L37" s="57" t="n">
        <x:v>96.83719436404897</x:v>
      </x:c>
    </x:row>
    <x:row r="38" ht="32.400001525878906" hidden="0" customHeight="1">
      <x:c r="A38" s="27" t="str">
        <x:v>Harris County, Texas</x:v>
      </x:c>
      <x:c r="B38" s="27" t="str">
        <x:v>48201221100</x:v>
      </x:c>
      <x:c r="C38" s="50" t="n">
        <x:v>3233</x:v>
      </x:c>
      <x:c r="D38" s="50" t="n">
        <x:v>484</x:v>
      </x:c>
      <x:c r="E38" s="50" t="n">
        <x:v>247</x:v>
      </x:c>
      <x:c r="F38" s="37" t="n">
        <x:v>0.14970615527373957</x:v>
      </x:c>
      <x:c r="G38" s="37" t="n">
        <x:v>0.0763996288277142</x:v>
      </x:c>
      <x:c r="H38" s="56" t="n">
        <x:v>3427.1</x:v>
      </x:c>
      <x:c r="I38" s="56" t="n">
        <x:v>1.182</x:v>
      </x:c>
      <x:c r="J38" s="56" t="n">
        <x:v>25.254556903545136</x:v>
      </x:c>
      <x:c r="K38" s="56" t="n">
        <x:v>67.8818353553177</x:v>
      </x:c>
      <x:c r="L38" s="56" t="n">
        <x:v>99.11690765045387</x:v>
      </x:c>
    </x:row>
    <x:row r="39" ht="32.400001525878906" hidden="0" customHeight="1">
      <x:c r="A39" s="29" t="str">
        <x:v>Harris County, Texas</x:v>
      </x:c>
      <x:c r="B39" s="29" t="str">
        <x:v>48201221200</x:v>
      </x:c>
      <x:c r="C39" s="51" t="n">
        <x:v>5407</x:v>
      </x:c>
      <x:c r="D39" s="51" t="n">
        <x:v>652</x:v>
      </x:c>
      <x:c r="E39" s="51" t="n">
        <x:v>40</x:v>
      </x:c>
      <x:c r="F39" s="38" t="n">
        <x:v>0.12058442759385982</x:v>
      </x:c>
      <x:c r="G39" s="38" t="n">
        <x:v>0.007397817643795081</x:v>
      </x:c>
      <x:c r="H39" s="57" t="n">
        <x:v>5639.2</x:v>
      </x:c>
      <x:c r="I39" s="57" t="n">
        <x:v>0.965</x:v>
      </x:c>
      <x:c r="J39" s="57" t="n">
        <x:v>27.01449430296247</x:v>
      </x:c>
      <x:c r="K39" s="57" t="n">
        <x:v>70.5217414544437</x:v>
      </x:c>
      <x:c r="L39" s="57" t="n">
        <x:v>102.88820207777673</x:v>
      </x:c>
    </x:row>
    <x:row r="40" ht="32.400001525878906" hidden="0" customHeight="1">
      <x:c r="A40" s="27" t="str">
        <x:v>Harris County, Texas</x:v>
      </x:c>
      <x:c r="B40" s="27" t="str">
        <x:v>48201221301</x:v>
      </x:c>
      <x:c r="C40" s="50" t="n">
        <x:v>4052</x:v>
      </x:c>
      <x:c r="D40" s="50" t="n">
        <x:v>699</x:v>
      </x:c>
      <x:c r="E40" s="50" t="n">
        <x:v>67</x:v>
      </x:c>
      <x:c r="F40" s="37" t="n">
        <x:v>0.17250740375123397</x:v>
      </x:c>
      <x:c r="G40" s="37" t="n">
        <x:v>0.016535044422507403</x:v>
      </x:c>
      <x:c r="H40" s="56" t="n">
        <x:v>4303.35</x:v>
      </x:c>
      <x:c r="I40" s="56" t="n">
        <x:v>0.721</x:v>
      </x:c>
      <x:c r="J40" s="56" t="n">
        <x:v>28.439494056281895</x:v>
      </x:c>
      <x:c r="K40" s="56" t="n">
        <x:v>72.65924108442285</x:v>
      </x:c>
      <x:c r="L40" s="56" t="n">
        <x:v>105.94177297774692</x:v>
      </x:c>
    </x:row>
    <x:row r="41" ht="32.400001525878906" hidden="0" customHeight="1">
      <x:c r="A41" s="29" t="str">
        <x:v>Harris County, Texas</x:v>
      </x:c>
      <x:c r="B41" s="29" t="str">
        <x:v>48201221302</x:v>
      </x:c>
      <x:c r="C41" s="51" t="n">
        <x:v>3464</x:v>
      </x:c>
      <x:c r="D41" s="51" t="n">
        <x:v>177</x:v>
      </x:c>
      <x:c r="E41" s="51" t="n">
        <x:v>0</x:v>
      </x:c>
      <x:c r="F41" s="38" t="n">
        <x:v>0.05109699769053118</x:v>
      </x:c>
      <x:c r="G41" s="38" t="n">
        <x:v>0</x:v>
      </x:c>
      <x:c r="H41" s="57" t="n">
        <x:v>3525.9500000000003</x:v>
      </x:c>
      <x:c r="I41" s="57" t="n">
        <x:v>0.604</x:v>
      </x:c>
      <x:c r="J41" s="57" t="n">
        <x:v>27.151921466396836</x:v>
      </x:c>
      <x:c r="K41" s="57" t="n">
        <x:v>70.72788219959526</x:v>
      </x:c>
      <x:c r="L41" s="57" t="n">
        <x:v>103.18268885656465</x:v>
      </x:c>
    </x:row>
    <x:row r="42" ht="32.400001525878906" hidden="0" customHeight="1">
      <x:c r="A42" s="27" t="str">
        <x:v>Harris County, Texas</x:v>
      </x:c>
      <x:c r="B42" s="27" t="str">
        <x:v>48201221400</x:v>
      </x:c>
      <x:c r="C42" s="50" t="n">
        <x:v>5666</x:v>
      </x:c>
      <x:c r="D42" s="50" t="n">
        <x:v>766</x:v>
      </x:c>
      <x:c r="E42" s="50" t="n">
        <x:v>741.5</x:v>
      </x:c>
      <x:c r="F42" s="37" t="n">
        <x:v>0.1351923755735969</x:v>
      </x:c>
      <x:c r="G42" s="37" t="n">
        <x:v>0.13086833745146487</x:v>
      </x:c>
      <x:c r="H42" s="56" t="n">
        <x:v>6008.249999999999</x:v>
      </x:c>
      <x:c r="I42" s="56" t="n">
        <x:v>0.78</x:v>
      </x:c>
      <x:c r="J42" s="56" t="n">
        <x:v>29.832150714601774</x:v>
      </x:c>
      <x:c r="K42" s="56" t="n">
        <x:v>74.74822607190266</x:v>
      </x:c>
      <x:c r="L42" s="56" t="n">
        <x:v>108.92603724557523</x:v>
      </x:c>
    </x:row>
    <x:row r="43" ht="32.400001525878906" hidden="0" customHeight="1">
      <x:c r="A43" s="29" t="str">
        <x:v>Harris County, Texas</x:v>
      </x:c>
      <x:c r="B43" s="29" t="str">
        <x:v>48201221501</x:v>
      </x:c>
      <x:c r="C43" s="51" t="n">
        <x:v>4732</x:v>
      </x:c>
      <x:c r="D43" s="51" t="n">
        <x:v>669</x:v>
      </x:c>
      <x:c r="E43" s="51" t="n">
        <x:v>404.5</x:v>
      </x:c>
      <x:c r="F43" s="38" t="n">
        <x:v>0.14137785291631447</x:v>
      </x:c>
      <x:c r="G43" s="38" t="n">
        <x:v>0.08548182586644125</x:v>
      </x:c>
      <x:c r="H43" s="57" t="n">
        <x:v>5006.599999999999</x:v>
      </x:c>
      <x:c r="I43" s="57" t="n">
        <x:v>0.671</x:v>
      </x:c>
      <x:c r="J43" s="57" t="n">
        <x:v>29.350307479862973</x:v>
      </x:c>
      <x:c r="K43" s="57" t="n">
        <x:v>74.02546121979447</x:v>
      </x:c>
      <x:c r="L43" s="57" t="n">
        <x:v>107.8935160282778</x:v>
      </x:c>
    </x:row>
    <x:row r="44" ht="32.400001525878906" hidden="0" customHeight="1">
      <x:c r="A44" s="27" t="str">
        <x:v>Harris County, Texas</x:v>
      </x:c>
      <x:c r="B44" s="27" t="str">
        <x:v>48201221502</x:v>
      </x:c>
      <x:c r="C44" s="50" t="n">
        <x:v>2953</x:v>
      </x:c>
      <x:c r="D44" s="50" t="n">
        <x:v>237</x:v>
      </x:c>
      <x:c r="E44" s="50" t="n">
        <x:v>309</x:v>
      </x:c>
      <x:c r="F44" s="37" t="n">
        <x:v>0.08025736539112767</x:v>
      </x:c>
      <x:c r="G44" s="37" t="n">
        <x:v>0.10463934981374873</x:v>
      </x:c>
      <x:c r="H44" s="56" t="n">
        <x:v>3066.85</x:v>
      </x:c>
      <x:c r="I44" s="56" t="n">
        <x:v>0.201</x:v>
      </x:c>
      <x:c r="J44" s="56" t="n">
        <x:v>30.05546387254288</x:v>
      </x:c>
      <x:c r="K44" s="56" t="n">
        <x:v>75.08319580881432</x:v>
      </x:c>
      <x:c r="L44" s="56" t="n">
        <x:v>109.40456544116331</x:v>
      </x:c>
    </x:row>
    <x:row r="45" ht="32.400001525878906" hidden="0" customHeight="1">
      <x:c r="A45" s="29" t="str">
        <x:v>Harris County, Texas</x:v>
      </x:c>
      <x:c r="B45" s="29" t="str">
        <x:v>48201221601</x:v>
      </x:c>
      <x:c r="C45" s="51" t="n">
        <x:v>3264</x:v>
      </x:c>
      <x:c r="D45" s="51" t="n">
        <x:v>221</x:v>
      </x:c>
      <x:c r="E45" s="51" t="n">
        <x:v>16</x:v>
      </x:c>
      <x:c r="F45" s="38" t="n">
        <x:v>0.06770833333333333</x:v>
      </x:c>
      <x:c r="G45" s="38" t="n">
        <x:v>0.004901960784313725</x:v>
      </x:c>
      <x:c r="H45" s="57" t="n">
        <x:v>3342.95</x:v>
      </x:c>
      <x:c r="I45" s="57" t="n">
        <x:v>0.454</x:v>
      </x:c>
      <x:c r="J45" s="57" t="n">
        <x:v>29.153757001752872</x:v>
      </x:c>
      <x:c r="K45" s="57" t="n">
        <x:v>73.73063550262931</x:v>
      </x:c>
      <x:c r="L45" s="57" t="n">
        <x:v>107.47233643232758</x:v>
      </x:c>
    </x:row>
    <x:row r="46" ht="32.400001525878906" hidden="0" customHeight="1">
      <x:c r="A46" s="27" t="str">
        <x:v>Harris County, Texas</x:v>
      </x:c>
      <x:c r="B46" s="27" t="str">
        <x:v>48201221602</x:v>
      </x:c>
      <x:c r="C46" s="50" t="n">
        <x:v>5586</x:v>
      </x:c>
      <x:c r="D46" s="50" t="n">
        <x:v>500</x:v>
      </x:c>
      <x:c r="E46" s="50" t="n">
        <x:v>67</x:v>
      </x:c>
      <x:c r="F46" s="37" t="n">
        <x:v>0.08950948800572861</x:v>
      </x:c>
      <x:c r="G46" s="37" t="n">
        <x:v>0.011994271392767633</x:v>
      </x:c>
      <x:c r="H46" s="56" t="n">
        <x:v>5767.7</x:v>
      </x:c>
      <x:c r="I46" s="56" t="n">
        <x:v>1.77</x:v>
      </x:c>
      <x:c r="J46" s="56" t="n">
        <x:v>29.1628432339141</x:v>
      </x:c>
      <x:c r="K46" s="56" t="n">
        <x:v>73.74426485087115</x:v>
      </x:c>
      <x:c r="L46" s="56" t="n">
        <x:v>107.49180692981594</x:v>
      </x:c>
    </x:row>
    <x:row r="47" ht="32.400001525878906" hidden="0" customHeight="1">
      <x:c r="A47" s="29" t="str">
        <x:v>Harris County, Texas</x:v>
      </x:c>
      <x:c r="B47" s="29" t="str">
        <x:v>48201221701</x:v>
      </x:c>
      <x:c r="C47" s="51" t="n">
        <x:v>5311</x:v>
      </x:c>
      <x:c r="D47" s="51" t="n">
        <x:v>194</x:v>
      </x:c>
      <x:c r="E47" s="51" t="n">
        <x:v>607.5</x:v>
      </x:c>
      <x:c r="F47" s="38" t="n">
        <x:v>0.03652796083600075</x:v>
      </x:c>
      <x:c r="G47" s="38" t="n">
        <x:v>0.11438523818489926</x:v>
      </x:c>
      <x:c r="H47" s="57" t="n">
        <x:v>5439.650000000001</x:v>
      </x:c>
      <x:c r="I47" s="57" t="n">
        <x:v>1.117</x:v>
      </x:c>
      <x:c r="J47" s="57" t="n">
        <x:v>26.795549224846102</x:v>
      </x:c>
      <x:c r="K47" s="57" t="n">
        <x:v>70.19332383726915</x:v>
      </x:c>
      <x:c r="L47" s="57" t="n">
        <x:v>102.41903405324165</x:v>
      </x:c>
    </x:row>
    <x:row r="48" ht="32.400001525878906" hidden="0" customHeight="1">
      <x:c r="A48" s="27" t="str">
        <x:v>Harris County, Texas</x:v>
      </x:c>
      <x:c r="B48" s="27" t="str">
        <x:v>48201221702</x:v>
      </x:c>
      <x:c r="C48" s="50" t="n">
        <x:v>2959</x:v>
      </x:c>
      <x:c r="D48" s="50" t="n">
        <x:v>88</x:v>
      </x:c>
      <x:c r="E48" s="50" t="n">
        <x:v>0</x:v>
      </x:c>
      <x:c r="F48" s="37" t="n">
        <x:v>0.02973977695167286</x:v>
      </x:c>
      <x:c r="G48" s="37" t="n">
        <x:v>0</x:v>
      </x:c>
      <x:c r="H48" s="56" t="n">
        <x:v>2989.7999999999997</x:v>
      </x:c>
      <x:c r="I48" s="56" t="n">
        <x:v>0.937</x:v>
      </x:c>
      <x:c r="J48" s="56" t="n">
        <x:v>26.445495422741697</x:v>
      </x:c>
      <x:c r="K48" s="56" t="n">
        <x:v>69.66824313411254</x:v>
      </x:c>
      <x:c r="L48" s="56" t="n">
        <x:v>101.66891876301793</x:v>
      </x:c>
    </x:row>
    <x:row r="49" ht="32.400001525878906" hidden="0" customHeight="1">
      <x:c r="A49" s="29" t="str">
        <x:v>Harris County, Texas</x:v>
      </x:c>
      <x:c r="B49" s="29" t="str">
        <x:v>48201221800</x:v>
      </x:c>
      <x:c r="C49" s="51" t="n">
        <x:v>4032</x:v>
      </x:c>
      <x:c r="D49" s="51" t="n">
        <x:v>508</x:v>
      </x:c>
      <x:c r="E49" s="51" t="n">
        <x:v>123</x:v>
      </x:c>
      <x:c r="F49" s="38" t="n">
        <x:v>0.1259920634920635</x:v>
      </x:c>
      <x:c r="G49" s="38" t="n">
        <x:v>0.03050595238095238</x:v>
      </x:c>
      <x:c r="H49" s="57" t="n">
        <x:v>4222.1</x:v>
      </x:c>
      <x:c r="I49" s="57" t="n">
        <x:v>1.213</x:v>
      </x:c>
      <x:c r="J49" s="57" t="n">
        <x:v>24.240591923916043</x:v>
      </x:c>
      <x:c r="K49" s="57" t="n">
        <x:v>66.36088788587406</x:v>
      </x:c>
      <x:c r="L49" s="57" t="n">
        <x:v>96.94412555124866</x:v>
      </x:c>
    </x:row>
    <x:row r="50" ht="32.400001525878906" hidden="0" customHeight="1">
      <x:c r="A50" s="27" t="str">
        <x:v>Harris County, Texas</x:v>
      </x:c>
      <x:c r="B50" s="27" t="str">
        <x:v>48201221900</x:v>
      </x:c>
      <x:c r="C50" s="50" t="n">
        <x:v>4854</x:v>
      </x:c>
      <x:c r="D50" s="50" t="n">
        <x:v>489</x:v>
      </x:c>
      <x:c r="E50" s="50" t="n">
        <x:v>45</x:v>
      </x:c>
      <x:c r="F50" s="37" t="n">
        <x:v>0.10074165636588381</x:v>
      </x:c>
      <x:c r="G50" s="37" t="n">
        <x:v>0.009270704573547589</x:v>
      </x:c>
      <x:c r="H50" s="56" t="n">
        <x:v>5029.65</x:v>
      </x:c>
      <x:c r="I50" s="56" t="n">
        <x:v>1.029</x:v>
      </x:c>
      <x:c r="J50" s="56" t="n">
        <x:v>22.91152542755694</x:v>
      </x:c>
      <x:c r="K50" s="56" t="n">
        <x:v>64.36728814133541</x:v>
      </x:c>
      <x:c r="L50" s="56" t="n">
        <x:v>94.09612591619344</x:v>
      </x:c>
    </x:row>
    <x:row r="51" ht="32.400001525878906" hidden="0" customHeight="1">
      <x:c r="A51" s="29" t="str">
        <x:v>Harris County, Texas</x:v>
      </x:c>
      <x:c r="B51" s="29" t="str">
        <x:v>48201222000</x:v>
      </x:c>
      <x:c r="C51" s="51" t="n">
        <x:v>2028</x:v>
      </x:c>
      <x:c r="D51" s="51" t="n">
        <x:v>423</x:v>
      </x:c>
      <x:c r="E51" s="51" t="n">
        <x:v>9</x:v>
      </x:c>
      <x:c r="F51" s="38" t="n">
        <x:v>0.20857988165680474</x:v>
      </x:c>
      <x:c r="G51" s="38" t="n">
        <x:v>0.004437869822485207</x:v>
      </x:c>
      <x:c r="H51" s="57" t="n">
        <x:v>2176.95</x:v>
      </x:c>
      <x:c r="I51" s="57" t="n">
        <x:v>0.439</x:v>
      </x:c>
      <x:c r="J51" s="57" t="n">
        <x:v>22.66901309905381</x:v>
      </x:c>
      <x:c r="K51" s="57" t="n">
        <x:v>64.00351964858072</x:v>
      </x:c>
      <x:c r="L51" s="57" t="n">
        <x:v>93.57645664082959</x:v>
      </x:c>
    </x:row>
    <x:row r="52" ht="32.400001525878906" hidden="0" customHeight="1">
      <x:c r="A52" s="27" t="str">
        <x:v>Harris County, Texas</x:v>
      </x:c>
      <x:c r="B52" s="27" t="str">
        <x:v>48201222100</x:v>
      </x:c>
      <x:c r="C52" s="50" t="n">
        <x:v>4966</x:v>
      </x:c>
      <x:c r="D52" s="50" t="n">
        <x:v>331</x:v>
      </x:c>
      <x:c r="E52" s="50" t="n">
        <x:v>96</x:v>
      </x:c>
      <x:c r="F52" s="37" t="n">
        <x:v>0.0666532420459122</x:v>
      </x:c>
      <x:c r="G52" s="37" t="n">
        <x:v>0.019331453886427707</x:v>
      </x:c>
      <x:c r="H52" s="56" t="n">
        <x:v>5091.450000000001</x:v>
      </x:c>
      <x:c r="I52" s="56" t="n">
        <x:v>0.879</x:v>
      </x:c>
      <x:c r="J52" s="56" t="n">
        <x:v>21.542127426264145</x:v>
      </x:c>
      <x:c r="K52" s="56" t="n">
        <x:v>62.31319113939622</x:v>
      </x:c>
      <x:c r="L52" s="56" t="n">
        <x:v>91.16170162770888</x:v>
      </x:c>
    </x:row>
    <x:row r="53" ht="32.400001525878906" hidden="0" customHeight="1">
      <x:c r="A53" s="29" t="str">
        <x:v>Harris County, Texas</x:v>
      </x:c>
      <x:c r="B53" s="29" t="str">
        <x:v>48201222200</x:v>
      </x:c>
      <x:c r="C53" s="51" t="n">
        <x:v>3378</x:v>
      </x:c>
      <x:c r="D53" s="51" t="n">
        <x:v>444</x:v>
      </x:c>
      <x:c r="E53" s="51" t="n">
        <x:v>334</x:v>
      </x:c>
      <x:c r="F53" s="38" t="n">
        <x:v>0.13143872113676733</x:v>
      </x:c>
      <x:c r="G53" s="38" t="n">
        <x:v>0.09887507400828893</x:v>
      </x:c>
      <x:c r="H53" s="57" t="n">
        <x:v>3566.8</x:v>
      </x:c>
      <x:c r="I53" s="57" t="n">
        <x:v>1.155</x:v>
      </x:c>
      <x:c r="J53" s="57" t="n">
        <x:v>19.366560131125418</x:v>
      </x:c>
      <x:c r="K53" s="57" t="n">
        <x:v>59.04984019668812</x:v>
      </x:c>
      <x:c r="L53" s="57" t="n">
        <x:v>86.49977170955447</x:v>
      </x:c>
    </x:row>
    <x:row r="54" ht="32.400001525878906" hidden="0" customHeight="1">
      <x:c r="A54" s="27" t="str">
        <x:v>Harris County, Texas</x:v>
      </x:c>
      <x:c r="B54" s="27" t="str">
        <x:v>48201222300</x:v>
      </x:c>
      <x:c r="C54" s="50" t="n">
        <x:v>4721</x:v>
      </x:c>
      <x:c r="D54" s="50" t="n">
        <x:v>428</x:v>
      </x:c>
      <x:c r="E54" s="50" t="n">
        <x:v>75</x:v>
      </x:c>
      <x:c r="F54" s="37" t="n">
        <x:v>0.0906587587375556</x:v>
      </x:c>
      <x:c r="G54" s="37" t="n">
        <x:v>0.015886464732048296</x:v>
      </x:c>
      <x:c r="H54" s="56" t="n">
        <x:v>4878.3</x:v>
      </x:c>
      <x:c r="I54" s="56" t="n">
        <x:v>1.929</x:v>
      </x:c>
      <x:c r="J54" s="56" t="n">
        <x:v>22.241630957395156</x:v>
      </x:c>
      <x:c r="K54" s="56" t="n">
        <x:v>63.36244643609273</x:v>
      </x:c>
      <x:c r="L54" s="56" t="n">
        <x:v>92.66063776584676</x:v>
      </x:c>
    </x:row>
    <x:row r="55" ht="32.400001525878906" hidden="0" customHeight="1">
      <x:c r="A55" s="29" t="str">
        <x:v>Harris County, Texas</x:v>
      </x:c>
      <x:c r="B55" s="29" t="str">
        <x:v>48201222401</x:v>
      </x:c>
      <x:c r="C55" s="51" t="n">
        <x:v>3332</x:v>
      </x:c>
      <x:c r="D55" s="51" t="n">
        <x:v>233</x:v>
      </x:c>
      <x:c r="E55" s="51" t="n">
        <x:v>0</x:v>
      </x:c>
      <x:c r="F55" s="38" t="n">
        <x:v>0.0699279711884754</x:v>
      </x:c>
      <x:c r="G55" s="38" t="n">
        <x:v>0</x:v>
      </x:c>
      <x:c r="H55" s="57" t="n">
        <x:v>3413.5499999999997</x:v>
      </x:c>
      <x:c r="I55" s="57" t="n">
        <x:v>1.952</x:v>
      </x:c>
      <x:c r="J55" s="57" t="n">
        <x:v>27.487621587108773</x:v>
      </x:c>
      <x:c r="K55" s="57" t="n">
        <x:v>71.23143238066316</x:v>
      </x:c>
      <x:c r="L55" s="57" t="n">
        <x:v>103.90204625809022</x:v>
      </x:c>
    </x:row>
    <x:row r="56" ht="32.400001525878906" hidden="0" customHeight="1">
      <x:c r="A56" s="27" t="str">
        <x:v>Harris County, Texas</x:v>
      </x:c>
      <x:c r="B56" s="27" t="str">
        <x:v>48201222402</x:v>
      </x:c>
      <x:c r="C56" s="50" t="n">
        <x:v>7301</x:v>
      </x:c>
      <x:c r="D56" s="50" t="n">
        <x:v>455</x:v>
      </x:c>
      <x:c r="E56" s="50" t="n">
        <x:v>261.5</x:v>
      </x:c>
      <x:c r="F56" s="37" t="n">
        <x:v>0.062320230105465</x:v>
      </x:c>
      <x:c r="G56" s="37" t="n">
        <x:v>0.03581701136830571</x:v>
      </x:c>
      <x:c r="H56" s="56" t="n">
        <x:v>7486.4000000000015</x:v>
      </x:c>
      <x:c r="I56" s="56" t="n">
        <x:v>1.572</x:v>
      </x:c>
      <x:c r="J56" s="56" t="n">
        <x:v>26.1079811797094</x:v>
      </x:c>
      <x:c r="K56" s="56" t="n">
        <x:v>69.1619717695641</x:v>
      </x:c>
      <x:c r="L56" s="56" t="n">
        <x:v>100.94567395652015</x:v>
      </x:c>
    </x:row>
    <x:row r="57" ht="32.400001525878906" hidden="0" customHeight="1">
      <x:c r="A57" s="29" t="str">
        <x:v>Harris County, Texas</x:v>
      </x:c>
      <x:c r="B57" s="29" t="str">
        <x:v>48201222501</x:v>
      </x:c>
      <x:c r="C57" s="51" t="n">
        <x:v>3447</x:v>
      </x:c>
      <x:c r="D57" s="51" t="n">
        <x:v>105</x:v>
      </x:c>
      <x:c r="E57" s="51" t="n">
        <x:v>149</x:v>
      </x:c>
      <x:c r="F57" s="38" t="n">
        <x:v>0.030461270670147953</x:v>
      </x:c>
      <x:c r="G57" s="38" t="n">
        <x:v>0.04322599361763853</x:v>
      </x:c>
      <x:c r="H57" s="57" t="n">
        <x:v>3498.6500000000005</x:v>
      </x:c>
      <x:c r="I57" s="57" t="n">
        <x:v>0.351</x:v>
      </x:c>
      <x:c r="J57" s="57" t="n">
        <x:v>27.748277968874874</x:v>
      </x:c>
      <x:c r="K57" s="57" t="n">
        <x:v>71.62241695331231</x:v>
      </x:c>
      <x:c r="L57" s="57" t="n">
        <x:v>104.46059564758902</x:v>
      </x:c>
    </x:row>
    <x:row r="58" ht="32.400001525878906" hidden="0" customHeight="1">
      <x:c r="A58" s="27" t="str">
        <x:v>Harris County, Texas</x:v>
      </x:c>
      <x:c r="B58" s="27" t="str">
        <x:v>48201222502</x:v>
      </x:c>
      <x:c r="C58" s="50" t="n">
        <x:v>3959</x:v>
      </x:c>
      <x:c r="D58" s="50" t="n">
        <x:v>193</x:v>
      </x:c>
      <x:c r="E58" s="50" t="n">
        <x:v>14</x:v>
      </x:c>
      <x:c r="F58" s="37" t="n">
        <x:v>0.04874968426370296</x:v>
      </x:c>
      <x:c r="G58" s="37" t="n">
        <x:v>0.0035362465269007325</x:v>
      </x:c>
      <x:c r="H58" s="56" t="n">
        <x:v>4027.9500000000003</x:v>
      </x:c>
      <x:c r="I58" s="56" t="n">
        <x:v>1.302</x:v>
      </x:c>
      <x:c r="J58" s="56" t="n">
        <x:v>25.601395990458435</x:v>
      </x:c>
      <x:c r="K58" s="56" t="n">
        <x:v>68.40209398568766</x:v>
      </x:c>
      <x:c r="L58" s="56" t="n">
        <x:v>99.86013426526807</x:v>
      </x:c>
    </x:row>
    <x:row r="59" ht="32.400001525878906" hidden="0" customHeight="1">
      <x:c r="A59" s="29" t="str">
        <x:v>Harris County, Texas</x:v>
      </x:c>
      <x:c r="B59" s="29" t="str">
        <x:v>48201222504</x:v>
      </x:c>
      <x:c r="C59" s="51" t="n">
        <x:v>3319</x:v>
      </x:c>
      <x:c r="D59" s="51" t="n">
        <x:v>120</x:v>
      </x:c>
      <x:c r="E59" s="51" t="n">
        <x:v>180</x:v>
      </x:c>
      <x:c r="F59" s="38" t="n">
        <x:v>0.036155468514612835</x:v>
      </x:c>
      <x:c r="G59" s="38" t="n">
        <x:v>0.05423320277191925</x:v>
      </x:c>
      <x:c r="H59" s="57" t="n">
        <x:v>3379</x:v>
      </x:c>
      <x:c r="I59" s="57" t="n">
        <x:v>0.114</x:v>
      </x:c>
      <x:c r="J59" s="57" t="n">
        <x:v>27.74719335974709</x:v>
      </x:c>
      <x:c r="K59" s="57" t="n">
        <x:v>71.62079003962063</x:v>
      </x:c>
      <x:c r="L59" s="57" t="n">
        <x:v>104.45827148517233</x:v>
      </x:c>
    </x:row>
    <x:row r="60" ht="32.400001525878906" hidden="0" customHeight="1">
      <x:c r="A60" s="27" t="str">
        <x:v>Harris County, Texas</x:v>
      </x:c>
      <x:c r="B60" s="27" t="str">
        <x:v>48201222505</x:v>
      </x:c>
      <x:c r="C60" s="50" t="n">
        <x:v>3304</x:v>
      </x:c>
      <x:c r="D60" s="50" t="n">
        <x:v>326</x:v>
      </x:c>
      <x:c r="E60" s="50" t="n">
        <x:v>139.5</x:v>
      </x:c>
      <x:c r="F60" s="37" t="n">
        <x:v>0.0986682808716707</x:v>
      </x:c>
      <x:c r="G60" s="37" t="n">
        <x:v>0.04222154963680387</x:v>
      </x:c>
      <x:c r="H60" s="56" t="n">
        <x:v>3432.0499999999993</x:v>
      </x:c>
      <x:c r="I60" s="56" t="n">
        <x:v>0.544</x:v>
      </x:c>
      <x:c r="J60" s="56" t="n">
        <x:v>27.62811966428479</x:v>
      </x:c>
      <x:c r="K60" s="56" t="n">
        <x:v>71.44217949642719</x:v>
      </x:c>
      <x:c r="L60" s="56" t="n">
        <x:v>104.20311356632455</x:v>
      </x:c>
    </x:row>
    <x:row r="61" ht="32.400001525878906" hidden="0" customHeight="1">
      <x:c r="A61" s="29" t="str">
        <x:v>Harris County, Texas</x:v>
      </x:c>
      <x:c r="B61" s="29" t="str">
        <x:v>48201222601</x:v>
      </x:c>
      <x:c r="C61" s="51" t="n">
        <x:v>2269</x:v>
      </x:c>
      <x:c r="D61" s="51" t="n">
        <x:v>86</x:v>
      </x:c>
      <x:c r="E61" s="51" t="n">
        <x:v>608.5</x:v>
      </x:c>
      <x:c r="F61" s="38" t="n">
        <x:v>0.0379021595416483</x:v>
      </x:c>
      <x:c r="G61" s="38" t="n">
        <x:v>0.26817981489643017</x:v>
      </x:c>
      <x:c r="H61" s="57" t="n">
        <x:v>2359.9500000000003</x:v>
      </x:c>
      <x:c r="I61" s="57" t="n">
        <x:v>0.525</x:v>
      </x:c>
      <x:c r="J61" s="57" t="n">
        <x:v>25.614793834193893</x:v>
      </x:c>
      <x:c r="K61" s="57" t="n">
        <x:v>68.42219075129084</x:v>
      </x:c>
      <x:c r="L61" s="57" t="n">
        <x:v>99.88884393041548</x:v>
      </x:c>
    </x:row>
    <x:row r="62" ht="32.400001525878906" hidden="0" customHeight="1">
      <x:c r="A62" s="27" t="str">
        <x:v>Harris County, Texas</x:v>
      </x:c>
      <x:c r="B62" s="27" t="str">
        <x:v>48201222602</x:v>
      </x:c>
      <x:c r="C62" s="50" t="n">
        <x:v>2320</x:v>
      </x:c>
      <x:c r="D62" s="50" t="n">
        <x:v>321</x:v>
      </x:c>
      <x:c r="E62" s="50" t="n">
        <x:v>506</x:v>
      </x:c>
      <x:c r="F62" s="37" t="n">
        <x:v>0.13836206896551725</x:v>
      </x:c>
      <x:c r="G62" s="37" t="n">
        <x:v>0.21810344827586206</x:v>
      </x:c>
      <x:c r="H62" s="56" t="n">
        <x:v>2482.95</x:v>
      </x:c>
      <x:c r="I62" s="56" t="n">
        <x:v>0.481</x:v>
      </x:c>
      <x:c r="J62" s="56" t="n">
        <x:v>27.617536415957606</x:v>
      </x:c>
      <x:c r="K62" s="56" t="n">
        <x:v>71.4263046239364</x:v>
      </x:c>
      <x:c r="L62" s="56" t="n">
        <x:v>104.180435177052</x:v>
      </x:c>
    </x:row>
    <x:row r="63" ht="32.400001525878906" hidden="0" customHeight="1">
      <x:c r="A63" s="29" t="str">
        <x:v>Harris County, Texas</x:v>
      </x:c>
      <x:c r="B63" s="29" t="str">
        <x:v>48201222701</x:v>
      </x:c>
      <x:c r="C63" s="51" t="n">
        <x:v>2706</x:v>
      </x:c>
      <x:c r="D63" s="51" t="n">
        <x:v>472</x:v>
      </x:c>
      <x:c r="E63" s="51" t="n">
        <x:v>328.5</x:v>
      </x:c>
      <x:c r="F63" s="38" t="n">
        <x:v>0.17442719881744273</x:v>
      </x:c>
      <x:c r="G63" s="38" t="n">
        <x:v>0.12139689578713969</x:v>
      </x:c>
      <x:c r="H63" s="57" t="n">
        <x:v>2904.05</x:v>
      </x:c>
      <x:c r="I63" s="57" t="n">
        <x:v>0.414</x:v>
      </x:c>
      <x:c r="J63" s="57" t="n">
        <x:v>14.639166715552768</x:v>
      </x:c>
      <x:c r="K63" s="57" t="n">
        <x:v>51.958750073329156</x:v>
      </x:c>
      <x:c r="L63" s="57" t="n">
        <x:v>76.36964296189879</x:v>
      </x:c>
    </x:row>
    <x:row r="64" ht="32.400001525878906" hidden="0" customHeight="1">
      <x:c r="A64" s="27" t="str">
        <x:v>Harris County, Texas</x:v>
      </x:c>
      <x:c r="B64" s="27" t="str">
        <x:v>48201222702</x:v>
      </x:c>
      <x:c r="C64" s="50" t="n">
        <x:v>3218</x:v>
      </x:c>
      <x:c r="D64" s="50" t="n">
        <x:v>1039</x:v>
      </x:c>
      <x:c r="E64" s="50" t="n">
        <x:v>216</x:v>
      </x:c>
      <x:c r="F64" s="37" t="n">
        <x:v>0.3228713486637663</x:v>
      </x:c>
      <x:c r="G64" s="37" t="n">
        <x:v>0.06712243629583592</x:v>
      </x:c>
      <x:c r="H64" s="56" t="n">
        <x:v>3603.2500000000005</x:v>
      </x:c>
      <x:c r="I64" s="56" t="n">
        <x:v>2.325</x:v>
      </x:c>
      <x:c r="J64" s="56" t="n">
        <x:v>19.238547954641668</x:v>
      </x:c>
      <x:c r="K64" s="56" t="n">
        <x:v>58.857821931962505</x:v>
      </x:c>
      <x:c r="L64" s="56" t="n">
        <x:v>86.22545990280358</x:v>
      </x:c>
    </x:row>
    <x:row r="65" ht="32.400001525878906" hidden="0" customHeight="1">
      <x:c r="A65" s="29" t="str">
        <x:v>Harris County, Texas</x:v>
      </x:c>
      <x:c r="B65" s="29" t="str">
        <x:v>48201222800</x:v>
      </x:c>
      <x:c r="C65" s="51" t="n">
        <x:v>4090</x:v>
      </x:c>
      <x:c r="D65" s="51" t="n">
        <x:v>219</x:v>
      </x:c>
      <x:c r="E65" s="51" t="n">
        <x:v>0</x:v>
      </x:c>
      <x:c r="F65" s="38" t="n">
        <x:v>0.05354523227383863</x:v>
      </x:c>
      <x:c r="G65" s="38" t="n">
        <x:v>0</x:v>
      </x:c>
      <x:c r="H65" s="57" t="n">
        <x:v>4166.65</x:v>
      </x:c>
      <x:c r="I65" s="57" t="n">
        <x:v>2.612</x:v>
      </x:c>
      <x:c r="J65" s="57" t="n">
        <x:v>22.75304300550567</x:v>
      </x:c>
      <x:c r="K65" s="57" t="n">
        <x:v>64.12956450825851</x:v>
      </x:c>
      <x:c r="L65" s="57" t="n">
        <x:v>93.75652072608358</x:v>
      </x:c>
    </x:row>
    <x:row r="66" ht="32.400001525878906" hidden="0" customHeight="1">
      <x:c r="A66" s="27" t="str">
        <x:v>Harris County, Texas</x:v>
      </x:c>
      <x:c r="B66" s="27" t="str">
        <x:v>48201222900</x:v>
      </x:c>
      <x:c r="C66" s="50" t="n">
        <x:v>7872</x:v>
      </x:c>
      <x:c r="D66" s="50" t="n">
        <x:v>657</x:v>
      </x:c>
      <x:c r="E66" s="50" t="n">
        <x:v>154.5</x:v>
      </x:c>
      <x:c r="F66" s="37" t="n">
        <x:v>0.08346036585365854</x:v>
      </x:c>
      <x:c r="G66" s="37" t="n">
        <x:v>0.019626524390243903</x:v>
      </x:c>
      <x:c r="H66" s="56" t="n">
        <x:v>8117.400000000001</x:v>
      </x:c>
      <x:c r="I66" s="56" t="n">
        <x:v>2.241</x:v>
      </x:c>
      <x:c r="J66" s="56" t="n">
        <x:v>20.49078547274153</x:v>
      </x:c>
      <x:c r="K66" s="56" t="n">
        <x:v>60.73617820911229</x:v>
      </x:c>
      <x:c r="L66" s="56" t="n">
        <x:v>88.90882601301756</x:v>
      </x:c>
    </x:row>
    <x:row r="67" ht="32.400001525878906" hidden="0" customHeight="1">
      <x:c r="A67" s="29" t="str">
        <x:v>Harris County, Texas</x:v>
      </x:c>
      <x:c r="B67" s="29" t="str">
        <x:v>48201223001</x:v>
      </x:c>
      <x:c r="C67" s="51" t="n">
        <x:v>4050</x:v>
      </x:c>
      <x:c r="D67" s="51" t="n">
        <x:v>347</x:v>
      </x:c>
      <x:c r="E67" s="51" t="n">
        <x:v>288.5</x:v>
      </x:c>
      <x:c r="F67" s="38" t="n">
        <x:v>0.08567901234567901</x:v>
      </x:c>
      <x:c r="G67" s="38" t="n">
        <x:v>0.07123456790123457</x:v>
      </x:c>
      <x:c r="H67" s="57" t="n">
        <x:v>4200.3</x:v>
      </x:c>
      <x:c r="I67" s="57" t="n">
        <x:v>1.198</x:v>
      </x:c>
      <x:c r="J67" s="57" t="n">
        <x:v>16.69951873738651</x:v>
      </x:c>
      <x:c r="K67" s="57" t="n">
        <x:v>55.04927810607976</x:v>
      </x:c>
      <x:c r="L67" s="57" t="n">
        <x:v>80.78468300868538</x:v>
      </x:c>
    </x:row>
    <x:row r="68" ht="32.400001525878906" hidden="0" customHeight="1">
      <x:c r="A68" s="27" t="str">
        <x:v>Harris County, Texas</x:v>
      </x:c>
      <x:c r="B68" s="27" t="str">
        <x:v>48201223002</x:v>
      </x:c>
      <x:c r="C68" s="50" t="n">
        <x:v>2739</x:v>
      </x:c>
      <x:c r="D68" s="50" t="n">
        <x:v>365</x:v>
      </x:c>
      <x:c r="E68" s="50" t="n">
        <x:v>287</x:v>
      </x:c>
      <x:c r="F68" s="37" t="n">
        <x:v>0.13326031398320554</x:v>
      </x:c>
      <x:c r="G68" s="37" t="n">
        <x:v>0.10478276743336984</x:v>
      </x:c>
      <x:c r="H68" s="56" t="n">
        <x:v>2895.45</x:v>
      </x:c>
      <x:c r="I68" s="56" t="n">
        <x:v>0.286</x:v>
      </x:c>
      <x:c r="J68" s="56" t="n">
        <x:v>18.766319072050198</x:v>
      </x:c>
      <x:c r="K68" s="56" t="n">
        <x:v>58.1494786080753</x:v>
      </x:c>
      <x:c r="L68" s="56" t="n">
        <x:v>85.21354086867899</x:v>
      </x:c>
    </x:row>
    <x:row r="69" ht="32.400001525878906" hidden="0" customHeight="1">
      <x:c r="A69" s="29" t="str">
        <x:v>Harris County, Texas</x:v>
      </x:c>
      <x:c r="B69" s="29" t="str">
        <x:v>48201223100</x:v>
      </x:c>
      <x:c r="C69" s="51" t="n">
        <x:v>2157</x:v>
      </x:c>
      <x:c r="D69" s="51" t="n">
        <x:v>360</x:v>
      </x:c>
      <x:c r="E69" s="51" t="n">
        <x:v>4</x:v>
      </x:c>
      <x:c r="F69" s="38" t="n">
        <x:v>0.16689847009735745</x:v>
      </x:c>
      <x:c r="G69" s="38" t="n">
        <x:v>0.0018544274455261937</x:v>
      </x:c>
      <x:c r="H69" s="57" t="n">
        <x:v>2283.4</x:v>
      </x:c>
      <x:c r="I69" s="57" t="n">
        <x:v>1.835</x:v>
      </x:c>
      <x:c r="J69" s="57" t="n">
        <x:v>17.53901626736904</x:v>
      </x:c>
      <x:c r="K69" s="57" t="n">
        <x:v>56.30852440105356</x:v>
      </x:c>
      <x:c r="L69" s="57" t="n">
        <x:v>82.58360628721937</x:v>
      </x:c>
    </x:row>
    <x:row r="70" ht="32.400001525878906" hidden="0" customHeight="1">
      <x:c r="A70" s="27" t="str">
        <x:v>Harris County, Texas</x:v>
      </x:c>
      <x:c r="B70" s="27" t="str">
        <x:v>48201230100</x:v>
      </x:c>
      <x:c r="C70" s="50" t="n">
        <x:v>1783</x:v>
      </x:c>
      <x:c r="D70" s="50" t="n">
        <x:v>236</x:v>
      </x:c>
      <x:c r="E70" s="50" t="n">
        <x:v>207</x:v>
      </x:c>
      <x:c r="F70" s="37" t="n">
        <x:v>0.13236118900729107</x:v>
      </x:c>
      <x:c r="G70" s="37" t="n">
        <x:v>0.1160964666292765</x:v>
      </x:c>
      <x:c r="H70" s="56" t="n">
        <x:v>1886.3</x:v>
      </x:c>
      <x:c r="I70" s="56" t="n">
        <x:v>0.526</x:v>
      </x:c>
      <x:c r="J70" s="56" t="n">
        <x:v>27.612756198757936</x:v>
      </x:c>
      <x:c r="K70" s="56" t="n">
        <x:v>71.4191342981369</x:v>
      </x:c>
      <x:c r="L70" s="56" t="n">
        <x:v>104.17019185448129</x:v>
      </x:c>
    </x:row>
    <x:row r="71" ht="32.400001525878906" hidden="0" customHeight="1">
      <x:c r="A71" s="29" t="str">
        <x:v>Harris County, Texas</x:v>
      </x:c>
      <x:c r="B71" s="29" t="str">
        <x:v>48201230200</x:v>
      </x:c>
      <x:c r="C71" s="51" t="n">
        <x:v>5263</x:v>
      </x:c>
      <x:c r="D71" s="51" t="n">
        <x:v>782</x:v>
      </x:c>
      <x:c r="E71" s="51" t="n">
        <x:v>319</x:v>
      </x:c>
      <x:c r="F71" s="38" t="n">
        <x:v>0.148584457533726</x:v>
      </x:c>
      <x:c r="G71" s="38" t="n">
        <x:v>0.06061181835455064</x:v>
      </x:c>
      <x:c r="H71" s="57" t="n">
        <x:v>5568.6</x:v>
      </x:c>
      <x:c r="I71" s="57" t="n">
        <x:v>3.003</x:v>
      </x:c>
      <x:c r="J71" s="57" t="n">
        <x:v>25.068224869834545</x:v>
      </x:c>
      <x:c r="K71" s="57" t="n">
        <x:v>67.60233730475181</x:v>
      </x:c>
      <x:c r="L71" s="57" t="n">
        <x:v>98.71762472107403</x:v>
      </x:c>
    </x:row>
    <x:row r="72" ht="32.400001525878906" hidden="0" customHeight="1">
      <x:c r="A72" s="27" t="str">
        <x:v>Harris County, Texas</x:v>
      </x:c>
      <x:c r="B72" s="27" t="str">
        <x:v>48201230300</x:v>
      </x:c>
      <x:c r="C72" s="50" t="n">
        <x:v>2155</x:v>
      </x:c>
      <x:c r="D72" s="50" t="n">
        <x:v>444</x:v>
      </x:c>
      <x:c r="E72" s="50" t="n">
        <x:v>78</x:v>
      </x:c>
      <x:c r="F72" s="37" t="n">
        <x:v>0.2060324825986079</x:v>
      </x:c>
      <x:c r="G72" s="37" t="n">
        <x:v>0.03619489559164733</x:v>
      </x:c>
      <x:c r="H72" s="56" t="n">
        <x:v>2318.2000000000003</x:v>
      </x:c>
      <x:c r="I72" s="56" t="n">
        <x:v>0.674</x:v>
      </x:c>
      <x:c r="J72" s="56" t="n">
        <x:v>23.745006563446065</x:v>
      </x:c>
      <x:c r="K72" s="56" t="n">
        <x:v>65.6175098451691</x:v>
      </x:c>
      <x:c r="L72" s="56" t="n">
        <x:v>95.88215692167014</x:v>
      </x:c>
    </x:row>
    <x:row r="73" ht="32.400001525878906" hidden="0" customHeight="1">
      <x:c r="A73" s="29" t="str">
        <x:v>Harris County, Texas</x:v>
      </x:c>
      <x:c r="B73" s="29" t="str">
        <x:v>48201230400</x:v>
      </x:c>
      <x:c r="C73" s="51" t="n">
        <x:v>4227</x:v>
      </x:c>
      <x:c r="D73" s="51" t="n">
        <x:v>450</x:v>
      </x:c>
      <x:c r="E73" s="51" t="n">
        <x:v>184</x:v>
      </x:c>
      <x:c r="F73" s="38" t="n">
        <x:v>0.10645848119233499</x:v>
      </x:c>
      <x:c r="G73" s="38" t="n">
        <x:v>0.043529690087532526</x:v>
      </x:c>
      <x:c r="H73" s="57" t="n">
        <x:v>4402.9</x:v>
      </x:c>
      <x:c r="I73" s="57" t="n">
        <x:v>1.109</x:v>
      </x:c>
      <x:c r="J73" s="57" t="n">
        <x:v>25.283593521089266</x:v>
      </x:c>
      <x:c r="K73" s="57" t="n">
        <x:v>67.9253902816339</x:v>
      </x:c>
      <x:c r="L73" s="57" t="n">
        <x:v>99.17912897376272</x:v>
      </x:c>
    </x:row>
    <x:row r="74" ht="32.400001525878906" hidden="0" customHeight="1">
      <x:c r="A74" s="27" t="str">
        <x:v>Harris County, Texas</x:v>
      </x:c>
      <x:c r="B74" s="27" t="str">
        <x:v>48201230500</x:v>
      </x:c>
      <x:c r="C74" s="50" t="n">
        <x:v>3566</x:v>
      </x:c>
      <x:c r="D74" s="50" t="n">
        <x:v>889</x:v>
      </x:c>
      <x:c r="E74" s="50" t="n">
        <x:v>251</x:v>
      </x:c>
      <x:c r="F74" s="37" t="n">
        <x:v>0.249298934380258</x:v>
      </x:c>
      <x:c r="G74" s="37" t="n">
        <x:v>0.07038698822209759</x:v>
      </x:c>
      <x:c r="H74" s="56" t="n">
        <x:v>3902.25</x:v>
      </x:c>
      <x:c r="I74" s="56" t="n">
        <x:v>1.336</x:v>
      </x:c>
      <x:c r="J74" s="56" t="n">
        <x:v>23.665133189195757</x:v>
      </x:c>
      <x:c r="K74" s="56" t="n">
        <x:v>65.49769978379364</x:v>
      </x:c>
      <x:c r="L74" s="56" t="n">
        <x:v>95.71099969113376</x:v>
      </x:c>
    </x:row>
    <x:row r="75" ht="32.400001525878906" hidden="0" customHeight="1">
      <x:c r="A75" s="29" t="str">
        <x:v>Harris County, Texas</x:v>
      </x:c>
      <x:c r="B75" s="29" t="str">
        <x:v>48201230600</x:v>
      </x:c>
      <x:c r="C75" s="51" t="n">
        <x:v>3076</x:v>
      </x:c>
      <x:c r="D75" s="51" t="n">
        <x:v>517</x:v>
      </x:c>
      <x:c r="E75" s="51" t="n">
        <x:v>62</x:v>
      </x:c>
      <x:c r="F75" s="38" t="n">
        <x:v>0.16807542262678804</x:v>
      </x:c>
      <x:c r="G75" s="38" t="n">
        <x:v>0.020156046814044214</x:v>
      </x:c>
      <x:c r="H75" s="57" t="n">
        <x:v>3263.1499999999996</x:v>
      </x:c>
      <x:c r="I75" s="57" t="n">
        <x:v>0.836</x:v>
      </x:c>
      <x:c r="J75" s="57" t="n">
        <x:v>22.301569585467405</x:v>
      </x:c>
      <x:c r="K75" s="57" t="n">
        <x:v>63.45235437820111</x:v>
      </x:c>
      <x:c r="L75" s="57" t="n">
        <x:v>92.78907768314444</x:v>
      </x:c>
    </x:row>
    <x:row r="76" ht="32.400001525878906" hidden="0" customHeight="1">
      <x:c r="A76" s="27" t="str">
        <x:v>Harris County, Texas</x:v>
      </x:c>
      <x:c r="B76" s="27" t="str">
        <x:v>48201230700</x:v>
      </x:c>
      <x:c r="C76" s="50" t="n">
        <x:v>3446</x:v>
      </x:c>
      <x:c r="D76" s="50" t="n">
        <x:v>425</x:v>
      </x:c>
      <x:c r="E76" s="50" t="n">
        <x:v>248</x:v>
      </x:c>
      <x:c r="F76" s="37" t="n">
        <x:v>0.12333139872315728</x:v>
      </x:c>
      <x:c r="G76" s="37" t="n">
        <x:v>0.07196749854904237</x:v>
      </x:c>
      <x:c r="H76" s="56" t="n">
        <x:v>3619.55</x:v>
      </x:c>
      <x:c r="I76" s="56" t="n">
        <x:v>1.042</x:v>
      </x:c>
      <x:c r="J76" s="56" t="n">
        <x:v>21.46757025863564</x:v>
      </x:c>
      <x:c r="K76" s="56" t="n">
        <x:v>62.201355387953456</x:v>
      </x:c>
      <x:c r="L76" s="56" t="n">
        <x:v>91.00193626850495</x:v>
      </x:c>
    </x:row>
    <x:row r="77" ht="32.400001525878906" hidden="0" customHeight="1">
      <x:c r="A77" s="29" t="str">
        <x:v>Harris County, Texas</x:v>
      </x:c>
      <x:c r="B77" s="29" t="str">
        <x:v>48201230800</x:v>
      </x:c>
      <x:c r="C77" s="51" t="n">
        <x:v>2351</x:v>
      </x:c>
      <x:c r="D77" s="51" t="n">
        <x:v>419</x:v>
      </x:c>
      <x:c r="E77" s="51" t="n">
        <x:v>106</x:v>
      </x:c>
      <x:c r="F77" s="38" t="n">
        <x:v>0.17822203317737134</x:v>
      </x:c>
      <x:c r="G77" s="38" t="n">
        <x:v>0.045087196937473414</x:v>
      </x:c>
      <x:c r="H77" s="57" t="n">
        <x:v>2508.2500000000005</x:v>
      </x:c>
      <x:c r="I77" s="57" t="n">
        <x:v>0.715</x:v>
      </x:c>
      <x:c r="J77" s="57" t="n">
        <x:v>21.608851943403703</x:v>
      </x:c>
      <x:c r="K77" s="57" t="n">
        <x:v>62.41327791510555</x:v>
      </x:c>
      <x:c r="L77" s="57" t="n">
        <x:v>91.30468273586507</x:v>
      </x:c>
    </x:row>
    <x:row r="78" ht="32.400001525878906" hidden="0" customHeight="1">
      <x:c r="A78" s="27" t="str">
        <x:v>Harris County, Texas</x:v>
      </x:c>
      <x:c r="B78" s="27" t="str">
        <x:v>48201230900</x:v>
      </x:c>
      <x:c r="C78" s="50" t="n">
        <x:v>4524</x:v>
      </x:c>
      <x:c r="D78" s="50" t="n">
        <x:v>713</x:v>
      </x:c>
      <x:c r="E78" s="50" t="n">
        <x:v>519.5</x:v>
      </x:c>
      <x:c r="F78" s="37" t="n">
        <x:v>0.15760389036251105</x:v>
      </x:c>
      <x:c r="G78" s="37" t="n">
        <x:v>0.11483200707338638</x:v>
      </x:c>
      <x:c r="H78" s="56" t="n">
        <x:v>4825.5</x:v>
      </x:c>
      <x:c r="I78" s="56" t="n">
        <x:v>2.455</x:v>
      </x:c>
      <x:c r="J78" s="56" t="n">
        <x:v>23.561701386506012</x:v>
      </x:c>
      <x:c r="K78" s="56" t="n">
        <x:v>65.34255207975902</x:v>
      </x:c>
      <x:c r="L78" s="56" t="n">
        <x:v>95.48936011394146</x:v>
      </x:c>
    </x:row>
    <x:row r="79" ht="32.400001525878906" hidden="0" customHeight="1">
      <x:c r="A79" s="29" t="str">
        <x:v>Harris County, Texas</x:v>
      </x:c>
      <x:c r="B79" s="29" t="str">
        <x:v>48201231000</x:v>
      </x:c>
      <x:c r="C79" s="51" t="n">
        <x:v>6115</x:v>
      </x:c>
      <x:c r="D79" s="51" t="n">
        <x:v>794</x:v>
      </x:c>
      <x:c r="E79" s="51" t="n">
        <x:v>147.5</x:v>
      </x:c>
      <x:c r="F79" s="38" t="n">
        <x:v>0.12984464431725265</x:v>
      </x:c>
      <x:c r="G79" s="38" t="n">
        <x:v>0.0241210139002453</x:v>
      </x:c>
      <x:c r="H79" s="57" t="n">
        <x:v>6407.65</x:v>
      </x:c>
      <x:c r="I79" s="57" t="n">
        <x:v>1.591</x:v>
      </x:c>
      <x:c r="J79" s="57" t="n">
        <x:v>20.459840304766622</x:v>
      </x:c>
      <x:c r="K79" s="57" t="n">
        <x:v>60.68976045714994</x:v>
      </x:c>
      <x:c r="L79" s="57" t="n">
        <x:v>88.84251493878563</x:v>
      </x:c>
    </x:row>
    <x:row r="80" ht="32.400001525878906" hidden="0" customHeight="1">
      <x:c r="A80" s="27" t="str">
        <x:v>Harris County, Texas</x:v>
      </x:c>
      <x:c r="B80" s="27" t="str">
        <x:v>48201231100</x:v>
      </x:c>
      <x:c r="C80" s="50" t="n">
        <x:v>5489</x:v>
      </x:c>
      <x:c r="D80" s="50" t="n">
        <x:v>903</x:v>
      </x:c>
      <x:c r="E80" s="50" t="n">
        <x:v>551</x:v>
      </x:c>
      <x:c r="F80" s="37" t="n">
        <x:v>0.16451083986154127</x:v>
      </x:c>
      <x:c r="G80" s="37" t="n">
        <x:v>0.10038258334851521</x:v>
      </x:c>
      <x:c r="H80" s="56" t="n">
        <x:v>5860.150000000001</x:v>
      </x:c>
      <x:c r="I80" s="56" t="n">
        <x:v>4.27</x:v>
      </x:c>
      <x:c r="J80" s="56" t="n">
        <x:v>20.472257287017843</x:v>
      </x:c>
      <x:c r="K80" s="56" t="n">
        <x:v>60.70838593052677</x:v>
      </x:c>
      <x:c r="L80" s="56" t="n">
        <x:v>88.86912275789538</x:v>
      </x:c>
    </x:row>
    <x:row r="81" ht="32.400001525878906" hidden="0" customHeight="1">
      <x:c r="A81" s="29" t="str">
        <x:v>Harris County, Texas</x:v>
      </x:c>
      <x:c r="B81" s="29" t="str">
        <x:v>48201231200</x:v>
      </x:c>
      <x:c r="C81" s="51" t="n">
        <x:v>5432</x:v>
      </x:c>
      <x:c r="D81" s="51" t="n">
        <x:v>1244</x:v>
      </x:c>
      <x:c r="E81" s="51" t="n">
        <x:v>747</x:v>
      </x:c>
      <x:c r="F81" s="38" t="n">
        <x:v>0.22901325478645065</x:v>
      </x:c>
      <x:c r="G81" s="38" t="n">
        <x:v>0.13751840942562593</x:v>
      </x:c>
      <x:c r="H81" s="57" t="n">
        <x:v>5942.099999999999</x:v>
      </x:c>
      <x:c r="I81" s="57" t="n">
        <x:v>5.362</x:v>
      </x:c>
      <x:c r="J81" s="57" t="n">
        <x:v>13.867065830293061</x:v>
      </x:c>
      <x:c r="K81" s="57" t="n">
        <x:v>50.80059874543959</x:v>
      </x:c>
      <x:c r="L81" s="57" t="n">
        <x:v>74.7151410649137</x:v>
      </x:c>
    </x:row>
    <x:row r="82" ht="32.400001525878906" hidden="0" customHeight="1">
      <x:c r="A82" s="27" t="str">
        <x:v>Harris County, Texas</x:v>
      </x:c>
      <x:c r="B82" s="27" t="str">
        <x:v>48201231300</x:v>
      </x:c>
      <x:c r="C82" s="50" t="n">
        <x:v>5360</x:v>
      </x:c>
      <x:c r="D82" s="50" t="n">
        <x:v>839</x:v>
      </x:c>
      <x:c r="E82" s="50" t="n">
        <x:v>729</x:v>
      </x:c>
      <x:c r="F82" s="37" t="n">
        <x:v>0.15652985074626866</x:v>
      </x:c>
      <x:c r="G82" s="37" t="n">
        <x:v>0.13600746268656716</x:v>
      </x:c>
      <x:c r="H82" s="56" t="n">
        <x:v>5726.549999999999</x:v>
      </x:c>
      <x:c r="I82" s="56" t="n">
        <x:v>1.857</x:v>
      </x:c>
      <x:c r="J82" s="56" t="n">
        <x:v>17.764819214375734</x:v>
      </x:c>
      <x:c r="K82" s="56" t="n">
        <x:v>56.6472288215636</x:v>
      </x:c>
      <x:c r="L82" s="56" t="n">
        <x:v>83.06746974509086</x:v>
      </x:c>
    </x:row>
    <x:row r="83" ht="32.400001525878906" hidden="0" customHeight="1">
      <x:c r="A83" s="29" t="str">
        <x:v>Harris County, Texas</x:v>
      </x:c>
      <x:c r="B83" s="29" t="str">
        <x:v>48201231400</x:v>
      </x:c>
      <x:c r="C83" s="51" t="n">
        <x:v>3699</x:v>
      </x:c>
      <x:c r="D83" s="51" t="n">
        <x:v>970</x:v>
      </x:c>
      <x:c r="E83" s="51" t="n">
        <x:v>192.5</x:v>
      </x:c>
      <x:c r="F83" s="38" t="n">
        <x:v>0.2622330359556637</x:v>
      </x:c>
      <x:c r="G83" s="38" t="n">
        <x:v>0.05204109218707759</x:v>
      </x:c>
      <x:c r="H83" s="57" t="n">
        <x:v>4057.75</x:v>
      </x:c>
      <x:c r="I83" s="57" t="n">
        <x:v>1.292</x:v>
      </x:c>
      <x:c r="J83" s="57" t="n">
        <x:v>18.26557025541644</x:v>
      </x:c>
      <x:c r="K83" s="57" t="n">
        <x:v>57.39835538312466</x:v>
      </x:c>
      <x:c r="L83" s="57" t="n">
        <x:v>84.14050769017808</x:v>
      </x:c>
    </x:row>
    <x:row r="84" ht="32.400001525878906" hidden="0" customHeight="1">
      <x:c r="A84" s="27" t="str">
        <x:v>Harris County, Texas</x:v>
      </x:c>
      <x:c r="B84" s="27" t="str">
        <x:v>48201231500</x:v>
      </x:c>
      <x:c r="C84" s="50" t="n">
        <x:v>3193</x:v>
      </x:c>
      <x:c r="D84" s="50" t="n">
        <x:v>504</x:v>
      </x:c>
      <x:c r="E84" s="50" t="n">
        <x:v>101</x:v>
      </x:c>
      <x:c r="F84" s="37" t="n">
        <x:v>0.15784528656435953</x:v>
      </x:c>
      <x:c r="G84" s="37" t="n">
        <x:v>0.031631694331349824</x:v>
      </x:c>
      <x:c r="H84" s="56" t="n">
        <x:v>3379.5</x:v>
      </x:c>
      <x:c r="I84" s="56" t="n">
        <x:v>0.448</x:v>
      </x:c>
      <x:c r="J84" s="56" t="n">
        <x:v>19.52489739196475</x:v>
      </x:c>
      <x:c r="K84" s="56" t="n">
        <x:v>59.28734608794712</x:v>
      </x:c>
      <x:c r="L84" s="56" t="n">
        <x:v>86.83906583992446</x:v>
      </x:c>
    </x:row>
    <x:row r="85" ht="32.400001525878906" hidden="0" customHeight="1">
      <x:c r="A85" s="29" t="str">
        <x:v>Harris County, Texas</x:v>
      </x:c>
      <x:c r="B85" s="29" t="str">
        <x:v>48201231600</x:v>
      </x:c>
      <x:c r="C85" s="51" t="n">
        <x:v>2767</x:v>
      </x:c>
      <x:c r="D85" s="51" t="n">
        <x:v>771</x:v>
      </x:c>
      <x:c r="E85" s="51" t="n">
        <x:v>107</x:v>
      </x:c>
      <x:c r="F85" s="38" t="n">
        <x:v>0.278641127574991</x:v>
      </x:c>
      <x:c r="G85" s="38" t="n">
        <x:v>0.038670039754246474</x:v>
      </x:c>
      <x:c r="H85" s="57" t="n">
        <x:v>3047.5499999999997</x:v>
      </x:c>
      <x:c r="I85" s="57" t="n">
        <x:v>0.643</x:v>
      </x:c>
      <x:c r="J85" s="57" t="n">
        <x:v>20.31737295518498</x:v>
      </x:c>
      <x:c r="K85" s="57" t="n">
        <x:v>60.47605943277747</x:v>
      </x:c>
      <x:c r="L85" s="57" t="n">
        <x:v>88.53722776111067</x:v>
      </x:c>
    </x:row>
    <x:row r="86" ht="32.400001525878906" hidden="0" customHeight="1">
      <x:c r="A86" s="27" t="str">
        <x:v>Harris County, Texas</x:v>
      </x:c>
      <x:c r="B86" s="27" t="str">
        <x:v>48201231700</x:v>
      </x:c>
      <x:c r="C86" s="50" t="n">
        <x:v>4756</x:v>
      </x:c>
      <x:c r="D86" s="50" t="n">
        <x:v>344</x:v>
      </x:c>
      <x:c r="E86" s="50" t="n">
        <x:v>67</x:v>
      </x:c>
      <x:c r="F86" s="37" t="n">
        <x:v>0.07232968881412952</x:v>
      </x:c>
      <x:c r="G86" s="37" t="n">
        <x:v>0.014087468460891506</x:v>
      </x:c>
      <x:c r="H86" s="56" t="n">
        <x:v>4883.099999999999</x:v>
      </x:c>
      <x:c r="I86" s="56" t="n">
        <x:v>1.633</x:v>
      </x:c>
      <x:c r="J86" s="56" t="n">
        <x:v>20.161801156187554</x:v>
      </x:c>
      <x:c r="K86" s="56" t="n">
        <x:v>60.24270173428133</x:v>
      </x:c>
      <x:c r="L86" s="56" t="n">
        <x:v>88.2038596204019</x:v>
      </x:c>
    </x:row>
    <x:row r="87" ht="32.400001525878906" hidden="0" customHeight="1">
      <x:c r="A87" s="29" t="str">
        <x:v>Harris County, Texas</x:v>
      </x:c>
      <x:c r="B87" s="29" t="str">
        <x:v>48201231800</x:v>
      </x:c>
      <x:c r="C87" s="51" t="n">
        <x:v>3251</x:v>
      </x:c>
      <x:c r="D87" s="51" t="n">
        <x:v>363</x:v>
      </x:c>
      <x:c r="E87" s="51" t="n">
        <x:v>6</x:v>
      </x:c>
      <x:c r="F87" s="38" t="n">
        <x:v>0.11165795139956937</x:v>
      </x:c>
      <x:c r="G87" s="38" t="n">
        <x:v>0.001845585973546601</x:v>
      </x:c>
      <x:c r="H87" s="57" t="n">
        <x:v>3378.6499999999996</x:v>
      </x:c>
      <x:c r="I87" s="57" t="n">
        <x:v>1.084</x:v>
      </x:c>
      <x:c r="J87" s="57" t="n">
        <x:v>18.8930880376926</x:v>
      </x:c>
      <x:c r="K87" s="57" t="n">
        <x:v>58.339632056538896</x:v>
      </x:c>
      <x:c r="L87" s="57" t="n">
        <x:v>85.48518865219842</x:v>
      </x:c>
    </x:row>
    <x:row r="88" ht="32.400001525878906" hidden="0" customHeight="1">
      <x:c r="A88" s="27" t="str">
        <x:v>Harris County, Texas</x:v>
      </x:c>
      <x:c r="B88" s="27" t="str">
        <x:v>48201231900</x:v>
      </x:c>
      <x:c r="C88" s="50" t="n">
        <x:v>5744</x:v>
      </x:c>
      <x:c r="D88" s="50" t="n">
        <x:v>1666</x:v>
      </x:c>
      <x:c r="E88" s="50" t="n">
        <x:v>283</x:v>
      </x:c>
      <x:c r="F88" s="37" t="n">
        <x:v>0.290041782729805</x:v>
      </x:c>
      <x:c r="G88" s="37" t="n">
        <x:v>0.049268802228412255</x:v>
      </x:c>
      <x:c r="H88" s="56" t="n">
        <x:v>6355.4</x:v>
      </x:c>
      <x:c r="I88" s="56" t="n">
        <x:v>3.407</x:v>
      </x:c>
      <x:c r="J88" s="56" t="n">
        <x:v>15.462799931116873</x:v>
      </x:c>
      <x:c r="K88" s="56" t="n">
        <x:v>53.19419989667531</x:v>
      </x:c>
      <x:c r="L88" s="56" t="n">
        <x:v>78.13457128096474</x:v>
      </x:c>
    </x:row>
    <x:row r="89" ht="32.400001525878906" hidden="0" customHeight="1">
      <x:c r="A89" s="29" t="str">
        <x:v>Harris County, Texas</x:v>
      </x:c>
      <x:c r="B89" s="29" t="str">
        <x:v>48201232000</x:v>
      </x:c>
      <x:c r="C89" s="51" t="n">
        <x:v>4849</x:v>
      </x:c>
      <x:c r="D89" s="51" t="n">
        <x:v>446</x:v>
      </x:c>
      <x:c r="E89" s="51" t="n">
        <x:v>51</x:v>
      </x:c>
      <x:c r="F89" s="38" t="n">
        <x:v>0.09197772736646731</x:v>
      </x:c>
      <x:c r="G89" s="38" t="n">
        <x:v>0.010517632501546711</x:v>
      </x:c>
      <x:c r="H89" s="57" t="n">
        <x:v>5010.200000000001</x:v>
      </x:c>
      <x:c r="I89" s="57" t="n">
        <x:v>6.243</x:v>
      </x:c>
      <x:c r="J89" s="57" t="n">
        <x:v>12.636554389780144</x:v>
      </x:c>
      <x:c r="K89" s="57" t="n">
        <x:v>48.95483158467022</x:v>
      </x:c>
      <x:c r="L89" s="57" t="n">
        <x:v>72.07833083524316</x:v>
      </x:c>
    </x:row>
    <x:row r="90" ht="32.400001525878906" hidden="0" customHeight="1">
      <x:c r="A90" s="27" t="str">
        <x:v>Harris County, Texas</x:v>
      </x:c>
      <x:c r="B90" s="27" t="str">
        <x:v>48201232100</x:v>
      </x:c>
      <x:c r="C90" s="50" t="n">
        <x:v>3386</x:v>
      </x:c>
      <x:c r="D90" s="50" t="n">
        <x:v>109</x:v>
      </x:c>
      <x:c r="E90" s="50" t="n">
        <x:v>258</x:v>
      </x:c>
      <x:c r="F90" s="37" t="n">
        <x:v>0.03219137625516834</x:v>
      </x:c>
      <x:c r="G90" s="37" t="n">
        <x:v>0.07619610159480213</x:v>
      </x:c>
      <x:c r="H90" s="56" t="n">
        <x:v>3449.9500000000003</x:v>
      </x:c>
      <x:c r="I90" s="56" t="n">
        <x:v>1.24</x:v>
      </x:c>
      <x:c r="J90" s="56" t="n">
        <x:v>16.446981970554383</x:v>
      </x:c>
      <x:c r="K90" s="56" t="n">
        <x:v>54.67047295583157</x:v>
      </x:c>
      <x:c r="L90" s="56" t="n">
        <x:v>80.24353279404511</x:v>
      </x:c>
    </x:row>
    <x:row r="91" ht="32.400001525878906" hidden="0" customHeight="1">
      <x:c r="A91" s="29" t="str">
        <x:v>Harris County, Texas</x:v>
      </x:c>
      <x:c r="B91" s="29" t="str">
        <x:v>48201232201</x:v>
      </x:c>
      <x:c r="C91" s="51" t="n">
        <x:v>6721</x:v>
      </x:c>
      <x:c r="D91" s="51" t="n">
        <x:v>831</x:v>
      </x:c>
      <x:c r="E91" s="51" t="n">
        <x:v>309</x:v>
      </x:c>
      <x:c r="F91" s="38" t="n">
        <x:v>0.12364231513167684</x:v>
      </x:c>
      <x:c r="G91" s="38" t="n">
        <x:v>0.04597530129445023</x:v>
      </x:c>
      <x:c r="H91" s="57" t="n">
        <x:v>7042.75</x:v>
      </x:c>
      <x:c r="I91" s="57" t="n">
        <x:v>1.71</x:v>
      </x:c>
      <x:c r="J91" s="57" t="n">
        <x:v>13.00563134288639</x:v>
      </x:c>
      <x:c r="K91" s="57" t="n">
        <x:v>49.50844701432958</x:v>
      </x:c>
      <x:c r="L91" s="57" t="n">
        <x:v>72.86921002047083</x:v>
      </x:c>
    </x:row>
    <x:row r="92" ht="32.400001525878906" hidden="0" customHeight="1">
      <x:c r="A92" s="27" t="str">
        <x:v>Harris County, Texas</x:v>
      </x:c>
      <x:c r="B92" s="27" t="str">
        <x:v>48201232202</x:v>
      </x:c>
      <x:c r="C92" s="50" t="n">
        <x:v>5736</x:v>
      </x:c>
      <x:c r="D92" s="50" t="n">
        <x:v>703</x:v>
      </x:c>
      <x:c r="E92" s="50" t="n">
        <x:v>0</x:v>
      </x:c>
      <x:c r="F92" s="37" t="n">
        <x:v>0.12255927475592747</x:v>
      </x:c>
      <x:c r="G92" s="37" t="n">
        <x:v>0</x:v>
      </x:c>
      <x:c r="H92" s="56" t="n">
        <x:v>5982.05</x:v>
      </x:c>
      <x:c r="I92" s="56" t="n">
        <x:v>2.136</x:v>
      </x:c>
      <x:c r="J92" s="56" t="n">
        <x:v>10.593766133176329</x:v>
      </x:c>
      <x:c r="K92" s="56" t="n">
        <x:v>45.890649199764496</x:v>
      </x:c>
      <x:c r="L92" s="56" t="n">
        <x:v>67.70092742823499</x:v>
      </x:c>
    </x:row>
    <x:row r="93" ht="32.400001525878906" hidden="0" customHeight="1">
      <x:c r="A93" s="29" t="str">
        <x:v>Harris County, Texas</x:v>
      </x:c>
      <x:c r="B93" s="29" t="str">
        <x:v>48201232203</x:v>
      </x:c>
      <x:c r="C93" s="51" t="n">
        <x:v>5823</x:v>
      </x:c>
      <x:c r="D93" s="51" t="n">
        <x:v>468</x:v>
      </x:c>
      <x:c r="E93" s="51" t="n">
        <x:v>549</x:v>
      </x:c>
      <x:c r="F93" s="38" t="n">
        <x:v>0.080370942812983</x:v>
      </x:c>
      <x:c r="G93" s="38" t="n">
        <x:v>0.09428129829984544</x:v>
      </x:c>
      <x:c r="H93" s="57" t="n">
        <x:v>6041.7</x:v>
      </x:c>
      <x:c r="I93" s="57" t="n">
        <x:v>3.814</x:v>
      </x:c>
      <x:c r="J93" s="57" t="n">
        <x:v>6.423308173545106</x:v>
      </x:c>
      <x:c r="K93" s="57" t="n">
        <x:v>39.63496226031766</x:v>
      </x:c>
      <x:c r="L93" s="57" t="n">
        <x:v>58.7642318004538</x:v>
      </x:c>
    </x:row>
    <x:row r="94" ht="32.400001525878906" hidden="0" customHeight="1">
      <x:c r="A94" s="27" t="str">
        <x:v>Harris County, Texas</x:v>
      </x:c>
      <x:c r="B94" s="27" t="str">
        <x:v>48201232303</x:v>
      </x:c>
      <x:c r="C94" s="50" t="n">
        <x:v>5492</x:v>
      </x:c>
      <x:c r="D94" s="50" t="n">
        <x:v>619</x:v>
      </x:c>
      <x:c r="E94" s="50" t="n">
        <x:v>269</x:v>
      </x:c>
      <x:c r="F94" s="37" t="n">
        <x:v>0.11270939548434086</x:v>
      </x:c>
      <x:c r="G94" s="37" t="n">
        <x:v>0.04898033503277494</x:v>
      </x:c>
      <x:c r="H94" s="56" t="n">
        <x:v>5735.55</x:v>
      </x:c>
      <x:c r="I94" s="56" t="n">
        <x:v>5.089</x:v>
      </x:c>
      <x:c r="J94" s="56" t="n">
        <x:v>8.109392575287831</x:v>
      </x:c>
      <x:c r="K94" s="56" t="n">
        <x:v>42.16408886293175</x:v>
      </x:c>
      <x:c r="L94" s="56" t="n">
        <x:v>62.37726980418821</x:v>
      </x:c>
    </x:row>
    <x:row r="95" ht="32.400001525878906" hidden="0" customHeight="1">
      <x:c r="A95" s="29" t="str">
        <x:v>Harris County, Texas</x:v>
      </x:c>
      <x:c r="B95" s="29" t="str">
        <x:v>48201232304</x:v>
      </x:c>
      <x:c r="C95" s="51" t="n">
        <x:v>7403</x:v>
      </x:c>
      <x:c r="D95" s="51" t="n">
        <x:v>1315</x:v>
      </x:c>
      <x:c r="E95" s="51" t="n">
        <x:v>606</x:v>
      </x:c>
      <x:c r="F95" s="38" t="n">
        <x:v>0.17763069026070513</x:v>
      </x:c>
      <x:c r="G95" s="38" t="n">
        <x:v>0.08185870593002836</x:v>
      </x:c>
      <x:c r="H95" s="57" t="n">
        <x:v>7923.849999999999</x:v>
      </x:c>
      <x:c r="I95" s="57" t="n">
        <x:v>4.75</x:v>
      </x:c>
      <x:c r="J95" s="57" t="n">
        <x:v>15.057751416533746</x:v>
      </x:c>
      <x:c r="K95" s="57" t="n">
        <x:v>52.58662712480062</x:v>
      </x:c>
      <x:c r="L95" s="57" t="n">
        <x:v>77.2666101782866</x:v>
      </x:c>
    </x:row>
    <x:row r="96" ht="32.400001525878906" hidden="0" customHeight="1">
      <x:c r="A96" s="27" t="str">
        <x:v>Harris County, Texas</x:v>
      </x:c>
      <x:c r="B96" s="27" t="str">
        <x:v>48201232305</x:v>
      </x:c>
      <x:c r="C96" s="50" t="n">
        <x:v>11986</x:v>
      </x:c>
      <x:c r="D96" s="50" t="n">
        <x:v>1402</x:v>
      </x:c>
      <x:c r="E96" s="50" t="n">
        <x:v>1149.5</x:v>
      </x:c>
      <x:c r="F96" s="37" t="n">
        <x:v>0.11696979809778074</x:v>
      </x:c>
      <x:c r="G96" s="37" t="n">
        <x:v>0.09590355414650426</x:v>
      </x:c>
      <x:c r="H96" s="56" t="n">
        <x:v>12591.65</x:v>
      </x:c>
      <x:c r="I96" s="56" t="n">
        <x:v>2.819</x:v>
      </x:c>
      <x:c r="J96" s="56" t="n">
        <x:v>12.059849352557286</x:v>
      </x:c>
      <x:c r="K96" s="56" t="n">
        <x:v>48.08977402883593</x:v>
      </x:c>
      <x:c r="L96" s="56" t="n">
        <x:v>70.84253432690846</x:v>
      </x:c>
    </x:row>
    <x:row r="97" ht="32.400001525878906" hidden="0" customHeight="1">
      <x:c r="A97" s="29" t="str">
        <x:v>Harris County, Texas</x:v>
      </x:c>
      <x:c r="B97" s="29" t="str">
        <x:v>48201232306</x:v>
      </x:c>
      <x:c r="C97" s="51" t="n">
        <x:v>4202</x:v>
      </x:c>
      <x:c r="D97" s="51" t="n">
        <x:v>176</x:v>
      </x:c>
      <x:c r="E97" s="51" t="n">
        <x:v>101</x:v>
      </x:c>
      <x:c r="F97" s="38" t="n">
        <x:v>0.041884816753926704</x:v>
      </x:c>
      <x:c r="G97" s="38" t="n">
        <x:v>0.024036173250832935</x:v>
      </x:c>
      <x:c r="H97" s="57" t="n">
        <x:v>4273.7</x:v>
      </x:c>
      <x:c r="I97" s="57" t="n">
        <x:v>1.646</x:v>
      </x:c>
      <x:c r="J97" s="57" t="n">
        <x:v>16.711759412644344</x:v>
      </x:c>
      <x:c r="K97" s="57" t="n">
        <x:v>55.06763911896652</x:v>
      </x:c>
      <x:c r="L97" s="57" t="n">
        <x:v>80.81091302709503</x:v>
      </x:c>
    </x:row>
    <x:row r="98" ht="32.400001525878906" hidden="0" customHeight="1">
      <x:c r="A98" s="27" t="str">
        <x:v>Harris County, Texas</x:v>
      </x:c>
      <x:c r="B98" s="27" t="str">
        <x:v>48201232402</x:v>
      </x:c>
      <x:c r="C98" s="50" t="n">
        <x:v>4646</x:v>
      </x:c>
      <x:c r="D98" s="50" t="n">
        <x:v>692</x:v>
      </x:c>
      <x:c r="E98" s="50" t="n">
        <x:v>250</x:v>
      </x:c>
      <x:c r="F98" s="37" t="n">
        <x:v>0.14894532931554025</x:v>
      </x:c>
      <x:c r="G98" s="37" t="n">
        <x:v>0.05380972879896685</x:v>
      </x:c>
      <x:c r="H98" s="56" t="n">
        <x:v>4913.2</x:v>
      </x:c>
      <x:c r="I98" s="56" t="n">
        <x:v>0.542</x:v>
      </x:c>
      <x:c r="J98" s="56" t="n">
        <x:v>21.578264346092173</x:v>
      </x:c>
      <x:c r="K98" s="56" t="n">
        <x:v>62.36739651913826</x:v>
      </x:c>
      <x:c r="L98" s="56" t="n">
        <x:v>91.23913788448323</x:v>
      </x:c>
    </x:row>
    <x:row r="99" ht="32.400001525878906" hidden="0" customHeight="1">
      <x:c r="A99" s="29" t="str">
        <x:v>Harris County, Texas</x:v>
      </x:c>
      <x:c r="B99" s="29" t="str">
        <x:v>48201232403</x:v>
      </x:c>
      <x:c r="C99" s="51" t="n">
        <x:v>4018</x:v>
      </x:c>
      <x:c r="D99" s="51" t="n">
        <x:v>512</x:v>
      </x:c>
      <x:c r="E99" s="51" t="n">
        <x:v>198.5</x:v>
      </x:c>
      <x:c r="F99" s="38" t="n">
        <x:v>0.12742658038825286</x:v>
      </x:c>
      <x:c r="G99" s="38" t="n">
        <x:v>0.049402687904430066</x:v>
      </x:c>
      <x:c r="H99" s="57" t="n">
        <x:v>4217.049999999999</x:v>
      </x:c>
      <x:c r="I99" s="57" t="n">
        <x:v>0.781</x:v>
      </x:c>
      <x:c r="J99" s="57" t="n">
        <x:v>22.014212448756883</x:v>
      </x:c>
      <x:c r="K99" s="57" t="n">
        <x:v>63.021318673135326</x:v>
      </x:c>
      <x:c r="L99" s="57" t="n">
        <x:v>92.17331239019332</x:v>
      </x:c>
    </x:row>
    <x:row r="100" ht="32.400001525878906" hidden="0" customHeight="1">
      <x:c r="A100" s="27" t="str">
        <x:v>Harris County, Texas</x:v>
      </x:c>
      <x:c r="B100" s="27" t="str">
        <x:v>48201232404</x:v>
      </x:c>
      <x:c r="C100" s="50" t="n">
        <x:v>3969</x:v>
      </x:c>
      <x:c r="D100" s="50" t="n">
        <x:v>548</x:v>
      </x:c>
      <x:c r="E100" s="50" t="n">
        <x:v>267</x:v>
      </x:c>
      <x:c r="F100" s="37" t="n">
        <x:v>0.1380700428319476</x:v>
      </x:c>
      <x:c r="G100" s="37" t="n">
        <x:v>0.0672713529856387</x:v>
      </x:c>
      <x:c r="H100" s="56" t="n">
        <x:v>4187.5</x:v>
      </x:c>
      <x:c r="I100" s="56" t="n">
        <x:v>1.459</x:v>
      </x:c>
      <x:c r="J100" s="56" t="n">
        <x:v>18.346005137586204</x:v>
      </x:c>
      <x:c r="K100" s="56" t="n">
        <x:v>57.519007706379305</x:v>
      </x:c>
      <x:c r="L100" s="56" t="n">
        <x:v>84.31286815197043</x:v>
      </x:c>
    </x:row>
    <x:row r="101" ht="32.400001525878906" hidden="0" customHeight="1">
      <x:c r="A101" s="29" t="str">
        <x:v>Harris County, Texas</x:v>
      </x:c>
      <x:c r="B101" s="29" t="str">
        <x:v>48201232405</x:v>
      </x:c>
      <x:c r="C101" s="51" t="n">
        <x:v>6382</x:v>
      </x:c>
      <x:c r="D101" s="51" t="n">
        <x:v>599</x:v>
      </x:c>
      <x:c r="E101" s="51" t="n">
        <x:v>66</x:v>
      </x:c>
      <x:c r="F101" s="38" t="n">
        <x:v>0.09385772485114384</x:v>
      </x:c>
      <x:c r="G101" s="38" t="n">
        <x:v>0.010341585709808837</x:v>
      </x:c>
      <x:c r="H101" s="57" t="n">
        <x:v>6598.250000000001</x:v>
      </x:c>
      <x:c r="I101" s="57" t="n">
        <x:v>4.122</x:v>
      </x:c>
      <x:c r="J101" s="57" t="n">
        <x:v>20.176158382814496</x:v>
      </x:c>
      <x:c r="K101" s="57" t="n">
        <x:v>60.264237574221745</x:v>
      </x:c>
      <x:c r="L101" s="57" t="n">
        <x:v>88.23462510603106</x:v>
      </x:c>
    </x:row>
    <x:row r="102" ht="32.400001525878906" hidden="0" customHeight="1">
      <x:c r="A102" s="27" t="str">
        <x:v>Harris County, Texas</x:v>
      </x:c>
      <x:c r="B102" s="27" t="str">
        <x:v>48201232500</x:v>
      </x:c>
      <x:c r="C102" s="50" t="n">
        <x:v>3860</x:v>
      </x:c>
      <x:c r="D102" s="50" t="n">
        <x:v>790</x:v>
      </x:c>
      <x:c r="E102" s="50" t="n">
        <x:v>229</x:v>
      </x:c>
      <x:c r="F102" s="37" t="n">
        <x:v>0.20466321243523317</x:v>
      </x:c>
      <x:c r="G102" s="37" t="n">
        <x:v>0.05932642487046632</x:v>
      </x:c>
      <x:c r="H102" s="56" t="n">
        <x:v>4159.400000000001</x:v>
      </x:c>
      <x:c r="I102" s="56" t="n">
        <x:v>4.42</x:v>
      </x:c>
      <x:c r="J102" s="56" t="n">
        <x:v>23.568696868690356</x:v>
      </x:c>
      <x:c r="K102" s="56" t="n">
        <x:v>65.35304530303553</x:v>
      </x:c>
      <x:c r="L102" s="56" t="n">
        <x:v>95.5043504329079</x:v>
      </x:c>
    </x:row>
    <x:row r="103" ht="32.400001525878906" hidden="0" customHeight="1">
      <x:c r="A103" s="29" t="str">
        <x:v>Harris County, Texas</x:v>
      </x:c>
      <x:c r="B103" s="29" t="str">
        <x:v>48201232600</x:v>
      </x:c>
      <x:c r="C103" s="51" t="n">
        <x:v>2568</x:v>
      </x:c>
      <x:c r="D103" s="51" t="n">
        <x:v>268</x:v>
      </x:c>
      <x:c r="E103" s="51" t="n">
        <x:v>0</x:v>
      </x:c>
      <x:c r="F103" s="38" t="n">
        <x:v>0.1043613707165109</x:v>
      </x:c>
      <x:c r="G103" s="38" t="n">
        <x:v>0</x:v>
      </x:c>
      <x:c r="H103" s="57" t="n">
        <x:v>2661.7999999999997</x:v>
      </x:c>
      <x:c r="I103" s="57" t="n">
        <x:v>2.363</x:v>
      </x:c>
      <x:c r="J103" s="57" t="n">
        <x:v>26.63525437470414</x:v>
      </x:c>
      <x:c r="K103" s="57" t="n">
        <x:v>69.9528815620562</x:v>
      </x:c>
      <x:c r="L103" s="57" t="n">
        <x:v>102.07554508865172</x:v>
      </x:c>
    </x:row>
    <x:row r="104" ht="32.400001525878906" hidden="0" customHeight="1">
      <x:c r="A104" s="27" t="str">
        <x:v>Harris County, Texas</x:v>
      </x:c>
      <x:c r="B104" s="27" t="str">
        <x:v>48201232701</x:v>
      </x:c>
      <x:c r="C104" s="50" t="n">
        <x:v>7076</x:v>
      </x:c>
      <x:c r="D104" s="50" t="n">
        <x:v>1314</x:v>
      </x:c>
      <x:c r="E104" s="50" t="n">
        <x:v>225</x:v>
      </x:c>
      <x:c r="F104" s="37" t="n">
        <x:v>0.18569813453928774</x:v>
      </x:c>
      <x:c r="G104" s="37" t="n">
        <x:v>0.031797625777275296</x:v>
      </x:c>
      <x:c r="H104" s="56" t="n">
        <x:v>7558.399999999999</x:v>
      </x:c>
      <x:c r="I104" s="56" t="n">
        <x:v>1.803</x:v>
      </x:c>
      <x:c r="J104" s="56" t="n">
        <x:v>25.406856370685738</x:v>
      </x:c>
      <x:c r="K104" s="56" t="n">
        <x:v>68.1102845560286</x:v>
      </x:c>
      <x:c r="L104" s="56" t="n">
        <x:v>99.44326365146944</x:v>
      </x:c>
    </x:row>
    <x:row r="105" ht="32.400001525878906" hidden="0" customHeight="1">
      <x:c r="A105" s="29" t="str">
        <x:v>Harris County, Texas</x:v>
      </x:c>
      <x:c r="B105" s="29" t="str">
        <x:v>48201232703</x:v>
      </x:c>
      <x:c r="C105" s="51" t="n">
        <x:v>2693</x:v>
      </x:c>
      <x:c r="D105" s="51" t="n">
        <x:v>260</x:v>
      </x:c>
      <x:c r="E105" s="51" t="n">
        <x:v>230</x:v>
      </x:c>
      <x:c r="F105" s="38" t="n">
        <x:v>0.09654660230226514</x:v>
      </x:c>
      <x:c r="G105" s="38" t="n">
        <x:v>0.08540660972892684</x:v>
      </x:c>
      <x:c r="H105" s="57" t="n">
        <x:v>2807</x:v>
      </x:c>
      <x:c r="I105" s="57" t="n">
        <x:v>0.253</x:v>
      </x:c>
      <x:c r="J105" s="57" t="n">
        <x:v>27.57518640272897</x:v>
      </x:c>
      <x:c r="K105" s="57" t="n">
        <x:v>71.36277960409346</x:v>
      </x:c>
      <x:c r="L105" s="57" t="n">
        <x:v>104.08968514870494</x:v>
      </x:c>
    </x:row>
    <x:row r="106" ht="32.400001525878906" hidden="0" customHeight="1">
      <x:c r="A106" s="27" t="str">
        <x:v>Harris County, Texas</x:v>
      </x:c>
      <x:c r="B106" s="27" t="str">
        <x:v>48201232704</x:v>
      </x:c>
      <x:c r="C106" s="50" t="n">
        <x:v>1906</x:v>
      </x:c>
      <x:c r="D106" s="50" t="n">
        <x:v>312</x:v>
      </x:c>
      <x:c r="E106" s="50" t="n">
        <x:v>72</x:v>
      </x:c>
      <x:c r="F106" s="37" t="n">
        <x:v>0.16369359916054566</x:v>
      </x:c>
      <x:c r="G106" s="37" t="n">
        <x:v>0.03777544596012592</x:v>
      </x:c>
      <x:c r="H106" s="56" t="n">
        <x:v>2022.4</x:v>
      </x:c>
      <x:c r="I106" s="56" t="n">
        <x:v>1.43</x:v>
      </x:c>
      <x:c r="J106" s="56" t="n">
        <x:v>23.77279037201886</x:v>
      </x:c>
      <x:c r="K106" s="56" t="n">
        <x:v>65.6591855580283</x:v>
      </x:c>
      <x:c r="L106" s="56" t="n">
        <x:v>95.94169365432613</x:v>
      </x:c>
    </x:row>
    <x:row r="107" ht="32.400001525878906" hidden="0" customHeight="1">
      <x:c r="A107" s="29" t="str">
        <x:v>Harris County, Texas</x:v>
      </x:c>
      <x:c r="B107" s="29" t="str">
        <x:v>48201232801</x:v>
      </x:c>
      <x:c r="C107" s="51" t="n">
        <x:v>2807</x:v>
      </x:c>
      <x:c r="D107" s="51" t="n">
        <x:v>143</x:v>
      </x:c>
      <x:c r="E107" s="51" t="n">
        <x:v>107</x:v>
      </x:c>
      <x:c r="F107" s="38" t="n">
        <x:v>0.050944068400427506</x:v>
      </x:c>
      <x:c r="G107" s="38" t="n">
        <x:v>0.03811898824367652</x:v>
      </x:c>
      <x:c r="H107" s="57" t="n">
        <x:v>2867.75</x:v>
      </x:c>
      <x:c r="I107" s="57" t="n">
        <x:v>0.357</x:v>
      </x:c>
      <x:c r="J107" s="57" t="n">
        <x:v>25.13877668678352</x:v>
      </x:c>
      <x:c r="K107" s="57" t="n">
        <x:v>67.70816503017528</x:v>
      </x:c>
      <x:c r="L107" s="57" t="n">
        <x:v>98.86880718596468</x:v>
      </x:c>
    </x:row>
    <x:row r="108" ht="32.400001525878906" hidden="0" customHeight="1">
      <x:c r="A108" s="27" t="str">
        <x:v>Harris County, Texas</x:v>
      </x:c>
      <x:c r="B108" s="27" t="str">
        <x:v>48201232802</x:v>
      </x:c>
      <x:c r="C108" s="50" t="n">
        <x:v>2832</x:v>
      </x:c>
      <x:c r="D108" s="50" t="n">
        <x:v>243</x:v>
      </x:c>
      <x:c r="E108" s="50" t="n">
        <x:v>190.5</x:v>
      </x:c>
      <x:c r="F108" s="37" t="n">
        <x:v>0.0858050847457627</x:v>
      </x:c>
      <x:c r="G108" s="37" t="n">
        <x:v>0.06726694915254237</x:v>
      </x:c>
      <x:c r="H108" s="56" t="n">
        <x:v>2936.1000000000004</x:v>
      </x:c>
      <x:c r="I108" s="56" t="n">
        <x:v>0.408</x:v>
      </x:c>
      <x:c r="J108" s="56" t="n">
        <x:v>25.615404988202947</x:v>
      </x:c>
      <x:c r="K108" s="56" t="n">
        <x:v>68.42310748230442</x:v>
      </x:c>
      <x:c r="L108" s="56" t="n">
        <x:v>99.89015354614918</x:v>
      </x:c>
    </x:row>
    <x:row r="109" ht="32.400001525878906" hidden="0" customHeight="1">
      <x:c r="A109" s="29" t="str">
        <x:v>Harris County, Texas</x:v>
      </x:c>
      <x:c r="B109" s="29" t="str">
        <x:v>48201232901</x:v>
      </x:c>
      <x:c r="C109" s="51" t="n">
        <x:v>4348</x:v>
      </x:c>
      <x:c r="D109" s="51" t="n">
        <x:v>271</x:v>
      </x:c>
      <x:c r="E109" s="51" t="n">
        <x:v>110</x:v>
      </x:c>
      <x:c r="F109" s="38" t="n">
        <x:v>0.06232750689972401</x:v>
      </x:c>
      <x:c r="G109" s="38" t="n">
        <x:v>0.025298988040478382</x:v>
      </x:c>
      <x:c r="H109" s="57" t="n">
        <x:v>4453.85</x:v>
      </x:c>
      <x:c r="I109" s="57" t="n">
        <x:v>0.928</x:v>
      </x:c>
      <x:c r="J109" s="57" t="n">
        <x:v>23.286375472018257</x:v>
      </x:c>
      <x:c r="K109" s="57" t="n">
        <x:v>64.92956320802739</x:v>
      </x:c>
      <x:c r="L109" s="57" t="n">
        <x:v>94.8993760114677</x:v>
      </x:c>
    </x:row>
    <x:row r="110" ht="32.400001525878906" hidden="0" customHeight="1">
      <x:c r="A110" s="27" t="str">
        <x:v>Harris County, Texas</x:v>
      </x:c>
      <x:c r="B110" s="27" t="str">
        <x:v>48201232902</x:v>
      </x:c>
      <x:c r="C110" s="50" t="n">
        <x:v>4665</x:v>
      </x:c>
      <x:c r="D110" s="50" t="n">
        <x:v>317</x:v>
      </x:c>
      <x:c r="E110" s="50" t="n">
        <x:v>134</x:v>
      </x:c>
      <x:c r="F110" s="37" t="n">
        <x:v>0.06795284030010718</x:v>
      </x:c>
      <x:c r="G110" s="37" t="n">
        <x:v>0.02872454448017149</x:v>
      </x:c>
      <x:c r="H110" s="56" t="n">
        <x:v>4789.349999999999</x:v>
      </x:c>
      <x:c r="I110" s="56" t="n">
        <x:v>0.333</x:v>
      </x:c>
      <x:c r="J110" s="56" t="n">
        <x:v>23.299647555298286</x:v>
      </x:c>
      <x:c r="K110" s="56" t="n">
        <x:v>64.94947133294743</x:v>
      </x:c>
      <x:c r="L110" s="56" t="n">
        <x:v>94.9278161899249</x:v>
      </x:c>
    </x:row>
    <x:row r="111" ht="32.400001525878906" hidden="0" customHeight="1">
      <x:c r="A111" s="29" t="str">
        <x:v>Harris County, Texas</x:v>
      </x:c>
      <x:c r="B111" s="29" t="str">
        <x:v>48201233001</x:v>
      </x:c>
      <x:c r="C111" s="51" t="n">
        <x:v>4148</x:v>
      </x:c>
      <x:c r="D111" s="51" t="n">
        <x:v>363</x:v>
      </x:c>
      <x:c r="E111" s="51" t="n">
        <x:v>263</x:v>
      </x:c>
      <x:c r="F111" s="38" t="n">
        <x:v>0.08751205400192864</x:v>
      </x:c>
      <x:c r="G111" s="38" t="n">
        <x:v>0.06340405014464802</x:v>
      </x:c>
      <x:c r="H111" s="57" t="n">
        <x:v>4301.349999999999</x:v>
      </x:c>
      <x:c r="I111" s="57" t="n">
        <x:v>0.368</x:v>
      </x:c>
      <x:c r="J111" s="57" t="n">
        <x:v>23.81835823838634</x:v>
      </x:c>
      <x:c r="K111" s="57" t="n">
        <x:v>65.72753735757951</x:v>
      </x:c>
      <x:c r="L111" s="57" t="n">
        <x:v>96.03933908225645</x:v>
      </x:c>
    </x:row>
    <x:row r="112" ht="32.400001525878906" hidden="0" customHeight="1">
      <x:c r="A112" s="27" t="str">
        <x:v>Harris County, Texas</x:v>
      </x:c>
      <x:c r="B112" s="27" t="str">
        <x:v>48201233002</x:v>
      </x:c>
      <x:c r="C112" s="50" t="n">
        <x:v>3994</x:v>
      </x:c>
      <x:c r="D112" s="50" t="n">
        <x:v>557</x:v>
      </x:c>
      <x:c r="E112" s="50" t="n">
        <x:v>244</x:v>
      </x:c>
      <x:c r="F112" s="37" t="n">
        <x:v>0.13945918878317476</x:v>
      </x:c>
      <x:c r="G112" s="37" t="n">
        <x:v>0.061091637456184275</x:v>
      </x:c>
      <x:c r="H112" s="56" t="n">
        <x:v>4213.349999999999</x:v>
      </x:c>
      <x:c r="I112" s="56" t="n">
        <x:v>0.666</x:v>
      </x:c>
      <x:c r="J112" s="56" t="n">
        <x:v>23.300593517408174</x:v>
      </x:c>
      <x:c r="K112" s="56" t="n">
        <x:v>64.95089027611226</x:v>
      </x:c>
      <x:c r="L112" s="56" t="n">
        <x:v>94.92984325158895</x:v>
      </x:c>
    </x:row>
    <x:row r="113" ht="32.400001525878906" hidden="0" customHeight="1">
      <x:c r="A113" s="29" t="str">
        <x:v>Harris County, Texas</x:v>
      </x:c>
      <x:c r="B113" s="29" t="str">
        <x:v>48201233003</x:v>
      </x:c>
      <x:c r="C113" s="51" t="n">
        <x:v>2790</x:v>
      </x:c>
      <x:c r="D113" s="51" t="n">
        <x:v>341</x:v>
      </x:c>
      <x:c r="E113" s="51" t="n">
        <x:v>0</x:v>
      </x:c>
      <x:c r="F113" s="38" t="n">
        <x:v>0.12222222222222222</x:v>
      </x:c>
      <x:c r="G113" s="38" t="n">
        <x:v>0</x:v>
      </x:c>
      <x:c r="H113" s="57" t="n">
        <x:v>2909.35</x:v>
      </x:c>
      <x:c r="I113" s="57" t="n">
        <x:v>0.394</x:v>
      </x:c>
      <x:c r="J113" s="57" t="n">
        <x:v>24.488817491704378</x:v>
      </x:c>
      <x:c r="K113" s="57" t="n">
        <x:v>66.73322623755656</x:v>
      </x:c>
      <x:c r="L113" s="57" t="n">
        <x:v>97.47603748222366</x:v>
      </x:c>
    </x:row>
    <x:row r="114" ht="32.400001525878906" hidden="0" customHeight="1">
      <x:c r="A114" s="27" t="str">
        <x:v>Harris County, Texas</x:v>
      </x:c>
      <x:c r="B114" s="27" t="str">
        <x:v>48201233101</x:v>
      </x:c>
      <x:c r="C114" s="50" t="n">
        <x:v>4379</x:v>
      </x:c>
      <x:c r="D114" s="50" t="n">
        <x:v>387</x:v>
      </x:c>
      <x:c r="E114" s="50" t="n">
        <x:v>319</x:v>
      </x:c>
      <x:c r="F114" s="37" t="n">
        <x:v>0.08837634163050925</x:v>
      </x:c>
      <x:c r="G114" s="37" t="n">
        <x:v>0.0728476821192053</x:v>
      </x:c>
      <x:c r="H114" s="56" t="n">
        <x:v>4546.35</x:v>
      </x:c>
      <x:c r="I114" s="56" t="n">
        <x:v>0.664</x:v>
      </x:c>
      <x:c r="J114" s="56" t="n">
        <x:v>25.28994315546217</x:v>
      </x:c>
      <x:c r="K114" s="56" t="n">
        <x:v>67.93491473319325</x:v>
      </x:c>
      <x:c r="L114" s="56" t="n">
        <x:v>99.19273533313321</x:v>
      </x:c>
    </x:row>
    <x:row r="115" ht="32.400001525878906" hidden="0" customHeight="1">
      <x:c r="A115" s="29" t="str">
        <x:v>Harris County, Texas</x:v>
      </x:c>
      <x:c r="B115" s="29" t="str">
        <x:v>48201233103</x:v>
      </x:c>
      <x:c r="C115" s="51" t="n">
        <x:v>5036</x:v>
      </x:c>
      <x:c r="D115" s="51" t="n">
        <x:v>544</x:v>
      </x:c>
      <x:c r="E115" s="51" t="n">
        <x:v>115</x:v>
      </x:c>
      <x:c r="F115" s="38" t="n">
        <x:v>0.10802223987291501</x:v>
      </x:c>
      <x:c r="G115" s="38" t="n">
        <x:v>0.02283558379666402</x:v>
      </x:c>
      <x:c r="H115" s="57" t="n">
        <x:v>5237.9</x:v>
      </x:c>
      <x:c r="I115" s="57" t="n">
        <x:v>0.63</x:v>
      </x:c>
      <x:c r="J115" s="57" t="n">
        <x:v>26.97877417478599</x:v>
      </x:c>
      <x:c r="K115" s="57" t="n">
        <x:v>70.46816126217898</x:v>
      </x:c>
      <x:c r="L115" s="57" t="n">
        <x:v>102.81165894596998</x:v>
      </x:c>
    </x:row>
    <x:row r="116" ht="32.400001525878906" hidden="0" customHeight="1">
      <x:c r="A116" s="27" t="str">
        <x:v>Harris County, Texas</x:v>
      </x:c>
      <x:c r="B116" s="27" t="str">
        <x:v>48201233104</x:v>
      </x:c>
      <x:c r="C116" s="50" t="n">
        <x:v>2554</x:v>
      </x:c>
      <x:c r="D116" s="50" t="n">
        <x:v>304</x:v>
      </x:c>
      <x:c r="E116" s="50" t="n">
        <x:v>27</x:v>
      </x:c>
      <x:c r="F116" s="37" t="n">
        <x:v>0.11902897415818324</x:v>
      </x:c>
      <x:c r="G116" s="37" t="n">
        <x:v>0.010571652310101801</x:v>
      </x:c>
      <x:c r="H116" s="56" t="n">
        <x:v>2663.0999999999995</x:v>
      </x:c>
      <x:c r="I116" s="56" t="n">
        <x:v>0.31</x:v>
      </x:c>
      <x:c r="J116" s="56" t="n">
        <x:v>27.105830698168685</x:v>
      </x:c>
      <x:c r="K116" s="56" t="n">
        <x:v>70.65874604725303</x:v>
      </x:c>
      <x:c r="L116" s="56" t="n">
        <x:v>103.08392292464718</x:v>
      </x:c>
    </x:row>
    <x:row r="117" ht="32.400001525878906" hidden="0" customHeight="1">
      <x:c r="A117" s="29" t="str">
        <x:v>Harris County, Texas</x:v>
      </x:c>
      <x:c r="B117" s="29" t="str">
        <x:v>48201233105</x:v>
      </x:c>
      <x:c r="C117" s="51" t="n">
        <x:v>4595</x:v>
      </x:c>
      <x:c r="D117" s="51" t="n">
        <x:v>366</x:v>
      </x:c>
      <x:c r="E117" s="51" t="n">
        <x:v>156.5</x:v>
      </x:c>
      <x:c r="F117" s="38" t="n">
        <x:v>0.07965179542981501</x:v>
      </x:c>
      <x:c r="G117" s="38" t="n">
        <x:v>0.034058759521218715</x:v>
      </x:c>
      <x:c r="H117" s="57" t="n">
        <x:v>4738.75</x:v>
      </x:c>
      <x:c r="I117" s="57" t="n">
        <x:v>0.632</x:v>
      </x:c>
      <x:c r="J117" s="57" t="n">
        <x:v>26.252725686535054</x:v>
      </x:c>
      <x:c r="K117" s="57" t="n">
        <x:v>69.37908852980259</x:v>
      </x:c>
      <x:c r="L117" s="57" t="n">
        <x:v>101.25584075686083</x:v>
      </x:c>
    </x:row>
    <x:row r="118" ht="32.400001525878906" hidden="0" customHeight="1">
      <x:c r="A118" s="27" t="str">
        <x:v>Harris County, Texas</x:v>
      </x:c>
      <x:c r="B118" s="27" t="str">
        <x:v>48201233200</x:v>
      </x:c>
      <x:c r="C118" s="50" t="n">
        <x:v>6280</x:v>
      </x:c>
      <x:c r="D118" s="50" t="n">
        <x:v>923</x:v>
      </x:c>
      <x:c r="E118" s="50" t="n">
        <x:v>105</x:v>
      </x:c>
      <x:c r="F118" s="37" t="n">
        <x:v>0.14697452229299363</x:v>
      </x:c>
      <x:c r="G118" s="37" t="n">
        <x:v>0.016719745222929936</x:v>
      </x:c>
      <x:c r="H118" s="56" t="n">
        <x:v>6613.55</x:v>
      </x:c>
      <x:c r="I118" s="56" t="n">
        <x:v>1.215</x:v>
      </x:c>
      <x:c r="J118" s="56" t="n">
        <x:v>26.445295992016813</x:v>
      </x:c>
      <x:c r="K118" s="56" t="n">
        <x:v>69.66794398802521</x:v>
      </x:c>
      <x:c r="L118" s="56" t="n">
        <x:v>101.6684914114646</x:v>
      </x:c>
    </x:row>
    <x:row r="119" ht="32.400001525878906" hidden="0" customHeight="1">
      <x:c r="A119" s="29" t="str">
        <x:v>Harris County, Texas</x:v>
      </x:c>
      <x:c r="B119" s="29" t="str">
        <x:v>48201233300</x:v>
      </x:c>
      <x:c r="C119" s="51" t="n">
        <x:v>4436</x:v>
      </x:c>
      <x:c r="D119" s="51" t="n">
        <x:v>499</x:v>
      </x:c>
      <x:c r="E119" s="51" t="n">
        <x:v>219</x:v>
      </x:c>
      <x:c r="F119" s="38" t="n">
        <x:v>0.1124887285843102</x:v>
      </x:c>
      <x:c r="G119" s="38" t="n">
        <x:v>0.049368800721370606</x:v>
      </x:c>
      <x:c r="H119" s="57" t="n">
        <x:v>4632.549999999999</x:v>
      </x:c>
      <x:c r="I119" s="57" t="n">
        <x:v>4.16</x:v>
      </x:c>
      <x:c r="J119" s="57" t="n">
        <x:v>30.213643287198813</x:v>
      </x:c>
      <x:c r="K119" s="57" t="n">
        <x:v>75.32046493079822</x:v>
      </x:c>
      <x:c r="L119" s="57" t="n">
        <x:v>109.74352132971174</x:v>
      </x:c>
    </x:row>
    <x:row r="120" ht="32.400001525878906" hidden="0" customHeight="1">
      <x:c r="A120" s="27" t="str">
        <x:v>Harris County, Texas</x:v>
      </x:c>
      <x:c r="B120" s="27" t="str">
        <x:v>48201233400</x:v>
      </x:c>
      <x:c r="C120" s="50" t="n">
        <x:v>2760</x:v>
      </x:c>
      <x:c r="D120" s="50" t="n">
        <x:v>471</x:v>
      </x:c>
      <x:c r="E120" s="50" t="n">
        <x:v>223.5</x:v>
      </x:c>
      <x:c r="F120" s="37" t="n">
        <x:v>0.17065217391304346</x:v>
      </x:c>
      <x:c r="G120" s="37" t="n">
        <x:v>0.08097826086956522</x:v>
      </x:c>
      <x:c r="H120" s="56" t="n">
        <x:v>2947.2</x:v>
      </x:c>
      <x:c r="I120" s="56" t="n">
        <x:v>1.007</x:v>
      </x:c>
      <x:c r="J120" s="56" t="n">
        <x:v>28.483188612583128</x:v>
      </x:c>
      <x:c r="K120" s="56" t="n">
        <x:v>72.7247829188747</x:v>
      </x:c>
      <x:c r="L120" s="56" t="n">
        <x:v>106.03540416982099</x:v>
      </x:c>
    </x:row>
    <x:row r="121" ht="32.400001525878906" hidden="0" customHeight="1">
      <x:c r="A121" s="29" t="str">
        <x:v>Harris County, Texas</x:v>
      </x:c>
      <x:c r="B121" s="29" t="str">
        <x:v>48201233501</x:v>
      </x:c>
      <x:c r="C121" s="51" t="n">
        <x:v>3643</x:v>
      </x:c>
      <x:c r="D121" s="51" t="n">
        <x:v>347</x:v>
      </x:c>
      <x:c r="E121" s="51" t="n">
        <x:v>81</x:v>
      </x:c>
      <x:c r="F121" s="38" t="n">
        <x:v>0.09525116662091683</x:v>
      </x:c>
      <x:c r="G121" s="38" t="n">
        <x:v>0.022234422179522373</x:v>
      </x:c>
      <x:c r="H121" s="57" t="n">
        <x:v>3772.55</x:v>
      </x:c>
      <x:c r="I121" s="57" t="n">
        <x:v>0.55</x:v>
      </x:c>
      <x:c r="J121" s="57" t="n">
        <x:v>29.07072547809442</x:v>
      </x:c>
      <x:c r="K121" s="57" t="n">
        <x:v>73.60608821714163</x:v>
      </x:c>
      <x:c r="L121" s="57" t="n">
        <x:v>107.29441173877376</x:v>
      </x:c>
    </x:row>
    <x:row r="122" ht="32.400001525878906" hidden="0" customHeight="1">
      <x:c r="A122" s="27" t="str">
        <x:v>Harris County, Texas</x:v>
      </x:c>
      <x:c r="B122" s="27" t="str">
        <x:v>48201233502</x:v>
      </x:c>
      <x:c r="C122" s="50" t="n">
        <x:v>2943</x:v>
      </x:c>
      <x:c r="D122" s="50" t="n">
        <x:v>518</x:v>
      </x:c>
      <x:c r="E122" s="50" t="n">
        <x:v>40</x:v>
      </x:c>
      <x:c r="F122" s="37" t="n">
        <x:v>0.17601087325857967</x:v>
      </x:c>
      <x:c r="G122" s="37" t="n">
        <x:v>0.013591573224600747</x:v>
      </x:c>
      <x:c r="H122" s="56" t="n">
        <x:v>3128.2999999999997</x:v>
      </x:c>
      <x:c r="I122" s="56" t="n">
        <x:v>0.533</x:v>
      </x:c>
      <x:c r="J122" s="56" t="n">
        <x:v>29.711574840641106</x:v>
      </x:c>
      <x:c r="K122" s="56" t="n">
        <x:v>74.56736226096166</x:v>
      </x:c>
      <x:c r="L122" s="56" t="n">
        <x:v>108.66766037280237</x:v>
      </x:c>
    </x:row>
    <x:row r="123" ht="32.400001525878906" hidden="0" customHeight="1">
      <x:c r="A123" s="29" t="str">
        <x:v>Harris County, Texas</x:v>
      </x:c>
      <x:c r="B123" s="29" t="str">
        <x:v>48201233600</x:v>
      </x:c>
      <x:c r="C123" s="51" t="n">
        <x:v>2115</x:v>
      </x:c>
      <x:c r="D123" s="51" t="n">
        <x:v>372</x:v>
      </x:c>
      <x:c r="E123" s="51" t="n">
        <x:v>229.5</x:v>
      </x:c>
      <x:c r="F123" s="38" t="n">
        <x:v>0.17588652482269504</x:v>
      </x:c>
      <x:c r="G123" s="38" t="n">
        <x:v>0.10851063829787234</x:v>
      </x:c>
      <x:c r="H123" s="57" t="n">
        <x:v>2268.1499999999996</x:v>
      </x:c>
      <x:c r="I123" s="57" t="n">
        <x:v>1.38</x:v>
      </x:c>
      <x:c r="J123" s="57" t="n">
        <x:v>29.277750122355762</x:v>
      </x:c>
      <x:c r="K123" s="57" t="n">
        <x:v>73.91662518353364</x:v>
      </x:c>
      <x:c r="L123" s="57" t="n">
        <x:v>107.73803597647662</x:v>
      </x:c>
    </x:row>
    <x:row r="124" ht="32.400001525878906" hidden="0" customHeight="1">
      <x:c r="A124" s="27" t="str">
        <x:v>Harris County, Texas</x:v>
      </x:c>
      <x:c r="B124" s="27" t="str">
        <x:v>48201233701</x:v>
      </x:c>
      <x:c r="C124" s="50" t="n">
        <x:v>4630</x:v>
      </x:c>
      <x:c r="D124" s="50" t="n">
        <x:v>646</x:v>
      </x:c>
      <x:c r="E124" s="50" t="n">
        <x:v>126</x:v>
      </x:c>
      <x:c r="F124" s="37" t="n">
        <x:v>0.13952483801295895</x:v>
      </x:c>
      <x:c r="G124" s="37" t="n">
        <x:v>0.027213822894168467</x:v>
      </x:c>
      <x:c r="H124" s="56" t="n">
        <x:v>4868.7</x:v>
      </x:c>
      <x:c r="I124" s="56" t="n">
        <x:v>2.638</x:v>
      </x:c>
      <x:c r="J124" s="56" t="n">
        <x:v>27.929295652878952</x:v>
      </x:c>
      <x:c r="K124" s="56" t="n">
        <x:v>71.89394347931842</x:v>
      </x:c>
      <x:c r="L124" s="56" t="n">
        <x:v>104.84849068474061</x:v>
      </x:c>
    </x:row>
    <x:row r="125" ht="32.400001525878906" hidden="0" customHeight="1">
      <x:c r="A125" s="29" t="str">
        <x:v>Harris County, Texas</x:v>
      </x:c>
      <x:c r="B125" s="29" t="str">
        <x:v>48201233702</x:v>
      </x:c>
      <x:c r="C125" s="51" t="n">
        <x:v>3057</x:v>
      </x:c>
      <x:c r="D125" s="51" t="n">
        <x:v>260</x:v>
      </x:c>
      <x:c r="E125" s="51" t="n">
        <x:v>38</x:v>
      </x:c>
      <x:c r="F125" s="38" t="n">
        <x:v>0.08505070330389271</x:v>
      </x:c>
      <x:c r="G125" s="38" t="n">
        <x:v>0.012430487405953549</x:v>
      </x:c>
      <x:c r="H125" s="57" t="n">
        <x:v>3151.8</x:v>
      </x:c>
      <x:c r="I125" s="57" t="n">
        <x:v>0.951</x:v>
      </x:c>
      <x:c r="J125" s="57" t="n">
        <x:v>30.00776593207082</x:v>
      </x:c>
      <x:c r="K125" s="57" t="n">
        <x:v>75.01164889810623</x:v>
      </x:c>
      <x:c r="L125" s="57" t="n">
        <x:v>109.30235556872319</x:v>
      </x:c>
    </x:row>
    <x:row r="126" ht="32.400001525878906" hidden="0" customHeight="1">
      <x:c r="A126" s="27" t="str">
        <x:v>Harris County, Texas</x:v>
      </x:c>
      <x:c r="B126" s="27" t="str">
        <x:v>48201233703</x:v>
      </x:c>
      <x:c r="C126" s="50" t="n">
        <x:v>2699</x:v>
      </x:c>
      <x:c r="D126" s="50" t="n">
        <x:v>709</x:v>
      </x:c>
      <x:c r="E126" s="50" t="n">
        <x:v>85</x:v>
      </x:c>
      <x:c r="F126" s="37" t="n">
        <x:v>0.2626898851426454</x:v>
      </x:c>
      <x:c r="G126" s="37" t="n">
        <x:v>0.031493145609485</x:v>
      </x:c>
      <x:c r="H126" s="56" t="n">
        <x:v>2955.65</x:v>
      </x:c>
      <x:c r="I126" s="56" t="n">
        <x:v>2.619</x:v>
      </x:c>
      <x:c r="J126" s="56" t="n">
        <x:v>31.0087699990187</x:v>
      </x:c>
      <x:c r="K126" s="56" t="n">
        <x:v>76.51315499852805</x:v>
      </x:c>
      <x:c r="L126" s="56" t="n">
        <x:v>111.4473642836115</x:v>
      </x:c>
    </x:row>
    <x:row r="127" ht="32.400001525878906" hidden="0" customHeight="1">
      <x:c r="A127" s="29" t="str">
        <x:v>Harris County, Texas</x:v>
      </x:c>
      <x:c r="B127" s="29" t="str">
        <x:v>48201240101</x:v>
      </x:c>
      <x:c r="C127" s="51" t="n">
        <x:v>2243</x:v>
      </x:c>
      <x:c r="D127" s="51" t="n">
        <x:v>61</x:v>
      </x:c>
      <x:c r="E127" s="51" t="n">
        <x:v>205</x:v>
      </x:c>
      <x:c r="F127" s="38" t="n">
        <x:v>0.02719572001783326</x:v>
      </x:c>
      <x:c r="G127" s="38" t="n">
        <x:v>0.09139545251894783</x:v>
      </x:c>
      <x:c r="H127" s="57" t="n">
        <x:v>2284.85</x:v>
      </x:c>
      <x:c r="I127" s="57" t="n">
        <x:v>0.634</x:v>
      </x:c>
      <x:c r="J127" s="57" t="n">
        <x:v>25.676858236340426</x:v>
      </x:c>
      <x:c r="K127" s="57" t="n">
        <x:v>68.51528735451063</x:v>
      </x:c>
      <x:c r="L127" s="57" t="n">
        <x:v>100.02183907787234</x:v>
      </x:c>
    </x:row>
    <x:row r="128" ht="32.400001525878906" hidden="0" customHeight="1">
      <x:c r="A128" s="27" t="str">
        <x:v>Harris County, Texas</x:v>
      </x:c>
      <x:c r="B128" s="27" t="str">
        <x:v>48201240102</x:v>
      </x:c>
      <x:c r="C128" s="50" t="n">
        <x:v>1689</x:v>
      </x:c>
      <x:c r="D128" s="50" t="n">
        <x:v>118</x:v>
      </x:c>
      <x:c r="E128" s="50" t="n">
        <x:v>267</x:v>
      </x:c>
      <x:c r="F128" s="37" t="n">
        <x:v>0.06986382474837181</x:v>
      </x:c>
      <x:c r="G128" s="37" t="n">
        <x:v>0.15808170515097691</x:v>
      </x:c>
      <x:c r="H128" s="56" t="n">
        <x:v>1757</x:v>
      </x:c>
      <x:c r="I128" s="56" t="n">
        <x:v>0.742</x:v>
      </x:c>
      <x:c r="J128" s="56" t="n">
        <x:v>28.076503732607502</x:v>
      </x:c>
      <x:c r="K128" s="56" t="n">
        <x:v>72.11475559891126</x:v>
      </x:c>
      <x:c r="L128" s="56" t="n">
        <x:v>105.16393656987321</x:v>
      </x:c>
    </x:row>
    <x:row r="129" ht="32.400001525878906" hidden="0" customHeight="1">
      <x:c r="A129" s="29" t="str">
        <x:v>Harris County, Texas</x:v>
      </x:c>
      <x:c r="B129" s="29" t="str">
        <x:v>48201240400</x:v>
      </x:c>
      <x:c r="C129" s="51" t="n">
        <x:v>7620</x:v>
      </x:c>
      <x:c r="D129" s="51" t="n">
        <x:v>631</x:v>
      </x:c>
      <x:c r="E129" s="51" t="n">
        <x:v>429</x:v>
      </x:c>
      <x:c r="F129" s="38" t="n">
        <x:v>0.08280839895013123</x:v>
      </x:c>
      <x:c r="G129" s="38" t="n">
        <x:v>0.0562992125984252</x:v>
      </x:c>
      <x:c r="H129" s="57" t="n">
        <x:v>7883.749999999999</x:v>
      </x:c>
      <x:c r="I129" s="57" t="n">
        <x:v>8.068</x:v>
      </x:c>
      <x:c r="J129" s="57" t="n">
        <x:v>23.700688793967657</x:v>
      </x:c>
      <x:c r="K129" s="57" t="n">
        <x:v>65.55103319095149</x:v>
      </x:c>
      <x:c r="L129" s="57" t="n">
        <x:v>95.78719027278784</x:v>
      </x:c>
    </x:row>
    <x:row r="130" ht="32.400001525878906" hidden="0" customHeight="1">
      <x:c r="A130" s="27" t="str">
        <x:v>Harris County, Texas</x:v>
      </x:c>
      <x:c r="B130" s="27" t="str">
        <x:v>48201240503</x:v>
      </x:c>
      <x:c r="C130" s="50" t="n">
        <x:v>2731</x:v>
      </x:c>
      <x:c r="D130" s="50" t="n">
        <x:v>96</x:v>
      </x:c>
      <x:c r="E130" s="50" t="n">
        <x:v>174</x:v>
      </x:c>
      <x:c r="F130" s="37" t="n">
        <x:v>0.03515195898938118</x:v>
      </x:c>
      <x:c r="G130" s="37" t="n">
        <x:v>0.06371292566825339</x:v>
      </x:c>
      <x:c r="H130" s="56" t="n">
        <x:v>2782</x:v>
      </x:c>
      <x:c r="I130" s="56" t="n">
        <x:v>0.083</x:v>
      </x:c>
      <x:c r="J130" s="56" t="n">
        <x:v>25.26292487690393</x:v>
      </x:c>
      <x:c r="K130" s="56" t="n">
        <x:v>67.8943873153559</x:v>
      </x:c>
      <x:c r="L130" s="56" t="n">
        <x:v>99.134839021937</x:v>
      </x:c>
    </x:row>
    <x:row r="131" ht="32.400001525878906" hidden="0" customHeight="1">
      <x:c r="A131" s="29" t="str">
        <x:v>Harris County, Texas</x:v>
      </x:c>
      <x:c r="B131" s="29" t="str">
        <x:v>48201240504</x:v>
      </x:c>
      <x:c r="C131" s="51" t="n">
        <x:v>2888</x:v>
      </x:c>
      <x:c r="D131" s="51" t="n">
        <x:v>381</x:v>
      </x:c>
      <x:c r="E131" s="51" t="n">
        <x:v>309</x:v>
      </x:c>
      <x:c r="F131" s="38" t="n">
        <x:v>0.13192520775623268</x:v>
      </x:c>
      <x:c r="G131" s="38" t="n">
        <x:v>0.10699445983379502</x:v>
      </x:c>
      <x:c r="H131" s="57" t="n">
        <x:v>3052.2500000000005</x:v>
      </x:c>
      <x:c r="I131" s="57" t="n">
        <x:v>0.164</x:v>
      </x:c>
      <x:c r="J131" s="57" t="n">
        <x:v>25.874375439258554</x:v>
      </x:c>
      <x:c r="K131" s="57" t="n">
        <x:v>68.81156315888784</x:v>
      </x:c>
      <x:c r="L131" s="57" t="n">
        <x:v>100.44509022698261</x:v>
      </x:c>
    </x:row>
    <x:row r="132" ht="32.400001525878906" hidden="0" customHeight="1">
      <x:c r="A132" s="27" t="str">
        <x:v>Harris County, Texas</x:v>
      </x:c>
      <x:c r="B132" s="27" t="str">
        <x:v>48201240505</x:v>
      </x:c>
      <x:c r="C132" s="50" t="n">
        <x:v>1556</x:v>
      </x:c>
      <x:c r="D132" s="50" t="n">
        <x:v>26</x:v>
      </x:c>
      <x:c r="E132" s="50" t="n">
        <x:v>26</x:v>
      </x:c>
      <x:c r="F132" s="37" t="n">
        <x:v>0.016709511568123392</x:v>
      </x:c>
      <x:c r="G132" s="37" t="n">
        <x:v>0.016709511568123392</x:v>
      </x:c>
      <x:c r="H132" s="56" t="n">
        <x:v>1567.6999999999998</x:v>
      </x:c>
      <x:c r="I132" s="56" t="n">
        <x:v>0.132</x:v>
      </x:c>
      <x:c r="J132" s="56" t="n">
        <x:v>25.963947446153295</x:v>
      </x:c>
      <x:c r="K132" s="56" t="n">
        <x:v>68.94592116922995</x:v>
      </x:c>
      <x:c r="L132" s="56" t="n">
        <x:v>100.63703024175706</x:v>
      </x:c>
    </x:row>
    <x:row r="133" ht="32.400001525878906" hidden="0" customHeight="1">
      <x:c r="A133" s="29" t="str">
        <x:v>Harris County, Texas</x:v>
      </x:c>
      <x:c r="B133" s="29" t="str">
        <x:v>48201240506</x:v>
      </x:c>
      <x:c r="C133" s="51" t="n">
        <x:v>5441</x:v>
      </x:c>
      <x:c r="D133" s="51" t="n">
        <x:v>361</x:v>
      </x:c>
      <x:c r="E133" s="51" t="n">
        <x:v>906</x:v>
      </x:c>
      <x:c r="F133" s="38" t="n">
        <x:v>0.06634809777614409</x:v>
      </x:c>
      <x:c r="G133" s="38" t="n">
        <x:v>0.16651350854622313</x:v>
      </x:c>
      <x:c r="H133" s="57" t="n">
        <x:v>5657.949999999999</x:v>
      </x:c>
      <x:c r="I133" s="57" t="n">
        <x:v>1.087</x:v>
      </x:c>
      <x:c r="J133" s="57" t="n">
        <x:v>25.61866167200217</x:v>
      </x:c>
      <x:c r="K133" s="57" t="n">
        <x:v>68.42799250800326</x:v>
      </x:c>
      <x:c r="L133" s="57" t="n">
        <x:v>99.89713215429036</x:v>
      </x:c>
    </x:row>
    <x:row r="134" ht="32.400001525878906" hidden="0" customHeight="1">
      <x:c r="A134" s="27" t="str">
        <x:v>Harris County, Texas</x:v>
      </x:c>
      <x:c r="B134" s="27" t="str">
        <x:v>48201240600</x:v>
      </x:c>
      <x:c r="C134" s="50" t="n">
        <x:v>3500</x:v>
      </x:c>
      <x:c r="D134" s="50" t="n">
        <x:v>186</x:v>
      </x:c>
      <x:c r="E134" s="50" t="n">
        <x:v>661</x:v>
      </x:c>
      <x:c r="F134" s="37" t="n">
        <x:v>0.053142857142857144</x:v>
      </x:c>
      <x:c r="G134" s="37" t="n">
        <x:v>0.18885714285714286</x:v>
      </x:c>
      <x:c r="H134" s="56" t="n">
        <x:v>3631.2000000000003</x:v>
      </x:c>
      <x:c r="I134" s="56" t="n">
        <x:v>0.995</x:v>
      </x:c>
      <x:c r="J134" s="56" t="n">
        <x:v>27.756659259189554</x:v>
      </x:c>
      <x:c r="K134" s="56" t="n">
        <x:v>71.63498888878433</x:v>
      </x:c>
      <x:c r="L134" s="56" t="n">
        <x:v>104.47855555540619</x:v>
      </x:c>
    </x:row>
    <x:row r="135" ht="32.400001525878906" hidden="0" customHeight="1">
      <x:c r="A135" s="29" t="str">
        <x:v>Harris County, Texas</x:v>
      </x:c>
      <x:c r="B135" s="29" t="str">
        <x:v>48201240703</x:v>
      </x:c>
      <x:c r="C135" s="51" t="n">
        <x:v>6277</x:v>
      </x:c>
      <x:c r="D135" s="51" t="n">
        <x:v>501</x:v>
      </x:c>
      <x:c r="E135" s="51" t="n">
        <x:v>0</x:v>
      </x:c>
      <x:c r="F135" s="38" t="n">
        <x:v>0.07981519834315756</x:v>
      </x:c>
      <x:c r="G135" s="38" t="n">
        <x:v>0</x:v>
      </x:c>
      <x:c r="H135" s="57" t="n">
        <x:v>6452.349999999999</x:v>
      </x:c>
      <x:c r="I135" s="57" t="n">
        <x:v>0.842</x:v>
      </x:c>
      <x:c r="J135" s="57" t="n">
        <x:v>28.57128071946446</x:v>
      </x:c>
      <x:c r="K135" s="57" t="n">
        <x:v>72.8569210791967</x:v>
      </x:c>
      <x:c r="L135" s="57" t="n">
        <x:v>106.22417297028099</x:v>
      </x:c>
    </x:row>
    <x:row r="136" ht="32.400001525878906" hidden="0" customHeight="1">
      <x:c r="A136" s="27" t="str">
        <x:v>Harris County, Texas</x:v>
      </x:c>
      <x:c r="B136" s="27" t="str">
        <x:v>48201240704</x:v>
      </x:c>
      <x:c r="C136" s="50" t="n">
        <x:v>4650</x:v>
      </x:c>
      <x:c r="D136" s="50" t="n">
        <x:v>367</x:v>
      </x:c>
      <x:c r="E136" s="50" t="n">
        <x:v>107</x:v>
      </x:c>
      <x:c r="F136" s="37" t="n">
        <x:v>0.0789247311827957</x:v>
      </x:c>
      <x:c r="G136" s="37" t="n">
        <x:v>0.023010752688172043</x:v>
      </x:c>
      <x:c r="H136" s="56" t="n">
        <x:v>4789.15</x:v>
      </x:c>
      <x:c r="I136" s="56" t="n">
        <x:v>0.846</x:v>
      </x:c>
      <x:c r="J136" s="56" t="n">
        <x:v>26.44361596345881</x:v>
      </x:c>
      <x:c r="K136" s="56" t="n">
        <x:v>69.66542394518822</x:v>
      </x:c>
      <x:c r="L136" s="56" t="n">
        <x:v>101.66489135026887</x:v>
      </x:c>
    </x:row>
    <x:row r="137" ht="32.400001525878906" hidden="0" customHeight="1">
      <x:c r="A137" s="29" t="str">
        <x:v>Harris County, Texas</x:v>
      </x:c>
      <x:c r="B137" s="29" t="str">
        <x:v>48201240705</x:v>
      </x:c>
      <x:c r="C137" s="51" t="n">
        <x:v>5463</x:v>
      </x:c>
      <x:c r="D137" s="51" t="n">
        <x:v>541</x:v>
      </x:c>
      <x:c r="E137" s="51" t="n">
        <x:v>92</x:v>
      </x:c>
      <x:c r="F137" s="38" t="n">
        <x:v>0.09902983708585027</x:v>
      </x:c>
      <x:c r="G137" s="38" t="n">
        <x:v>0.016840563792787845</x:v>
      </x:c>
      <x:c r="H137" s="57" t="n">
        <x:v>5661.55</x:v>
      </x:c>
      <x:c r="I137" s="57" t="n">
        <x:v>1.179</x:v>
      </x:c>
      <x:c r="J137" s="57" t="n">
        <x:v>27.417994199551607</x:v>
      </x:c>
      <x:c r="K137" s="57" t="n">
        <x:v>71.12699129932741</x:v>
      </x:c>
      <x:c r="L137" s="57" t="n">
        <x:v>103.75284471332486</x:v>
      </x:c>
    </x:row>
    <x:row r="138" ht="32.400001525878906" hidden="0" customHeight="1">
      <x:c r="A138" s="27" t="str">
        <x:v>Harris County, Texas</x:v>
      </x:c>
      <x:c r="B138" s="27" t="str">
        <x:v>48201240706</x:v>
      </x:c>
      <x:c r="C138" s="50" t="n">
        <x:v>11268</x:v>
      </x:c>
      <x:c r="D138" s="50" t="n">
        <x:v>655</x:v>
      </x:c>
      <x:c r="E138" s="50" t="n">
        <x:v>351</x:v>
      </x:c>
      <x:c r="F138" s="37" t="n">
        <x:v>0.058129215477458286</x:v>
      </x:c>
      <x:c r="G138" s="37" t="n">
        <x:v>0.031150159744408944</x:v>
      </x:c>
      <x:c r="H138" s="56" t="n">
        <x:v>11532.349999999999</x:v>
      </x:c>
      <x:c r="I138" s="56" t="n">
        <x:v>2.022</x:v>
      </x:c>
      <x:c r="J138" s="56" t="n">
        <x:v>26.899798501159374</x:v>
      </x:c>
      <x:c r="K138" s="56" t="n">
        <x:v>70.34969775173906</x:v>
      </x:c>
      <x:c r="L138" s="56" t="n">
        <x:v>102.64242535962723</x:v>
      </x:c>
    </x:row>
    <x:row r="139" ht="32.400001525878906" hidden="0" customHeight="1">
      <x:c r="A139" s="29" t="str">
        <x:v>Harris County, Texas</x:v>
      </x:c>
      <x:c r="B139" s="29" t="str">
        <x:v>48201240707</x:v>
      </x:c>
      <x:c r="C139" s="51" t="n">
        <x:v>5251</x:v>
      </x:c>
      <x:c r="D139" s="51" t="n">
        <x:v>620</x:v>
      </x:c>
      <x:c r="E139" s="51" t="n">
        <x:v>0</x:v>
      </x:c>
      <x:c r="F139" s="38" t="n">
        <x:v>0.11807274804799085</x:v>
      </x:c>
      <x:c r="G139" s="38" t="n">
        <x:v>0</x:v>
      </x:c>
      <x:c r="H139" s="57" t="n">
        <x:v>5468</x:v>
      </x:c>
      <x:c r="I139" s="57" t="n">
        <x:v>1.947</x:v>
      </x:c>
      <x:c r="J139" s="57" t="n">
        <x:v>28.821942639334033</x:v>
      </x:c>
      <x:c r="K139" s="57" t="n">
        <x:v>73.23291395900105</x:v>
      </x:c>
      <x:c r="L139" s="57" t="n">
        <x:v>106.76130565571577</x:v>
      </x:c>
    </x:row>
    <x:row r="140" ht="32.400001525878906" hidden="0" customHeight="1">
      <x:c r="A140" s="27" t="str">
        <x:v>Harris County, Texas</x:v>
      </x:c>
      <x:c r="B140" s="27" t="str">
        <x:v>48201240802</x:v>
      </x:c>
      <x:c r="C140" s="50" t="n">
        <x:v>8990</x:v>
      </x:c>
      <x:c r="D140" s="50" t="n">
        <x:v>647</x:v>
      </x:c>
      <x:c r="E140" s="50" t="n">
        <x:v>429</x:v>
      </x:c>
      <x:c r="F140" s="37" t="n">
        <x:v>0.07196885428253615</x:v>
      </x:c>
      <x:c r="G140" s="37" t="n">
        <x:v>0.047719688542825364</x:v>
      </x:c>
      <x:c r="H140" s="56" t="n">
        <x:v>9259.349999999999</x:v>
      </x:c>
      <x:c r="I140" s="56" t="n">
        <x:v>5.091</x:v>
      </x:c>
      <x:c r="J140" s="56" t="n">
        <x:v>24.485583692904658</x:v>
      </x:c>
      <x:c r="K140" s="56" t="n">
        <x:v>66.72837553935699</x:v>
      </x:c>
      <x:c r="L140" s="56" t="n">
        <x:v>97.46910791336713</x:v>
      </x:c>
    </x:row>
    <x:row r="141" ht="32.400001525878906" hidden="0" customHeight="1">
      <x:c r="A141" s="29" t="str">
        <x:v>Harris County, Texas</x:v>
      </x:c>
      <x:c r="B141" s="29" t="str">
        <x:v>48201240803</x:v>
      </x:c>
      <x:c r="C141" s="51" t="n">
        <x:v>2325</x:v>
      </x:c>
      <x:c r="D141" s="51" t="n">
        <x:v>322</x:v>
      </x:c>
      <x:c r="E141" s="51" t="n">
        <x:v>167.5</x:v>
      </x:c>
      <x:c r="F141" s="38" t="n">
        <x:v>0.13849462365591397</x:v>
      </x:c>
      <x:c r="G141" s="38" t="n">
        <x:v>0.07204301075268817</x:v>
      </x:c>
      <x:c r="H141" s="57" t="n">
        <x:v>2454.4500000000003</x:v>
      </x:c>
      <x:c r="I141" s="57" t="n">
        <x:v>0.775</x:v>
      </x:c>
      <x:c r="J141" s="57" t="n">
        <x:v>25.141490494100196</x:v>
      </x:c>
      <x:c r="K141" s="57" t="n">
        <x:v>67.7122357411503</x:v>
      </x:c>
      <x:c r="L141" s="57" t="n">
        <x:v>98.87462248735756</x:v>
      </x:c>
    </x:row>
    <x:row r="142" ht="32.400001525878906" hidden="0" customHeight="1">
      <x:c r="A142" s="27" t="str">
        <x:v>Harris County, Texas</x:v>
      </x:c>
      <x:c r="B142" s="27" t="str">
        <x:v>48201240804</x:v>
      </x:c>
      <x:c r="C142" s="50" t="n">
        <x:v>2993</x:v>
      </x:c>
      <x:c r="D142" s="50" t="n">
        <x:v>83</x:v>
      </x:c>
      <x:c r="E142" s="50" t="n">
        <x:v>138</x:v>
      </x:c>
      <x:c r="F142" s="37" t="n">
        <x:v>0.027731373204143</x:v>
      </x:c>
      <x:c r="G142" s="37" t="n">
        <x:v>0.04610758436351487</x:v>
      </x:c>
      <x:c r="H142" s="56" t="n">
        <x:v>3035.8500000000004</x:v>
      </x:c>
      <x:c r="I142" s="56" t="n">
        <x:v>0.346</x:v>
      </x:c>
      <x:c r="J142" s="56" t="n">
        <x:v>24.64483997284584</x:v>
      </x:c>
      <x:c r="K142" s="56" t="n">
        <x:v>66.96725995926876</x:v>
      </x:c>
      <x:c r="L142" s="56" t="n">
        <x:v>97.81037137038395</x:v>
      </x:c>
    </x:row>
    <x:row r="143" ht="32.400001525878906" hidden="0" customHeight="1">
      <x:c r="A143" s="29" t="str">
        <x:v>Harris County, Texas</x:v>
      </x:c>
      <x:c r="B143" s="29" t="str">
        <x:v>48201240903</x:v>
      </x:c>
      <x:c r="C143" s="51" t="n">
        <x:v>6344</x:v>
      </x:c>
      <x:c r="D143" s="51" t="n">
        <x:v>795</x:v>
      </x:c>
      <x:c r="E143" s="51" t="n">
        <x:v>34</x:v>
      </x:c>
      <x:c r="F143" s="38" t="n">
        <x:v>0.12531525851197983</x:v>
      </x:c>
      <x:c r="G143" s="38" t="n">
        <x:v>0.005359394703656999</x:v>
      </x:c>
      <x:c r="H143" s="57" t="n">
        <x:v>6625.65</x:v>
      </x:c>
      <x:c r="I143" s="57" t="n">
        <x:v>1.235</x:v>
      </x:c>
      <x:c r="J143" s="57" t="n">
        <x:v>17.442661273477388</x:v>
      </x:c>
      <x:c r="K143" s="57" t="n">
        <x:v>56.16399191021608</x:v>
      </x:c>
      <x:c r="L143" s="57" t="n">
        <x:v>82.37713130030869</x:v>
      </x:c>
    </x:row>
    <x:row r="144" ht="32.400001525878906" hidden="0" customHeight="1">
      <x:c r="A144" s="27" t="str">
        <x:v>Harris County, Texas</x:v>
      </x:c>
      <x:c r="B144" s="27" t="str">
        <x:v>48201240904</x:v>
      </x:c>
      <x:c r="C144" s="50" t="n">
        <x:v>9142</x:v>
      </x:c>
      <x:c r="D144" s="50" t="n">
        <x:v>638</x:v>
      </x:c>
      <x:c r="E144" s="50" t="n">
        <x:v>52</x:v>
      </x:c>
      <x:c r="F144" s="37" t="n">
        <x:v>0.06978779260555677</x:v>
      </x:c>
      <x:c r="G144" s="37" t="n">
        <x:v>0.0056880332531174796</x:v>
      </x:c>
      <x:c r="H144" s="56" t="n">
        <x:v>9370.5</x:v>
      </x:c>
      <x:c r="I144" s="56" t="n">
        <x:v>3.421</x:v>
      </x:c>
      <x:c r="J144" s="56" t="n">
        <x:v>13.904218762455255</x:v>
      </x:c>
      <x:c r="K144" s="56" t="n">
        <x:v>50.85632814368288</x:v>
      </x:c>
      <x:c r="L144" s="56" t="n">
        <x:v>74.79475449097555</x:v>
      </x:c>
    </x:row>
    <x:row r="145" ht="32.400001525878906" hidden="0" customHeight="1">
      <x:c r="A145" s="29" t="str">
        <x:v>Harris County, Texas</x:v>
      </x:c>
      <x:c r="B145" s="29" t="str">
        <x:v>48201240905</x:v>
      </x:c>
      <x:c r="C145" s="51" t="n">
        <x:v>5370</x:v>
      </x:c>
      <x:c r="D145" s="51" t="n">
        <x:v>783</x:v>
      </x:c>
      <x:c r="E145" s="51" t="n">
        <x:v>198</x:v>
      </x:c>
      <x:c r="F145" s="38" t="n">
        <x:v>0.1458100558659218</x:v>
      </x:c>
      <x:c r="G145" s="38" t="n">
        <x:v>0.03687150837988827</x:v>
      </x:c>
      <x:c r="H145" s="57" t="n">
        <x:v>5663.849999999999</x:v>
      </x:c>
      <x:c r="I145" s="57" t="n">
        <x:v>0.803</x:v>
      </x:c>
      <x:c r="J145" s="57" t="n">
        <x:v>17.9642212240131</x:v>
      </x:c>
      <x:c r="K145" s="57" t="n">
        <x:v>56.94633183601965</x:v>
      </x:c>
      <x:c r="L145" s="57" t="n">
        <x:v>83.49475976574236</x:v>
      </x:c>
    </x:row>
    <x:row r="146" ht="32.400001525878906" hidden="0" customHeight="1">
      <x:c r="A146" s="27" t="str">
        <x:v>Harris County, Texas</x:v>
      </x:c>
      <x:c r="B146" s="27" t="str">
        <x:v>48201240906</x:v>
      </x:c>
      <x:c r="C146" s="50" t="n">
        <x:v>8398</x:v>
      </x:c>
      <x:c r="D146" s="50" t="n">
        <x:v>935</x:v>
      </x:c>
      <x:c r="E146" s="50" t="n">
        <x:v>41</x:v>
      </x:c>
      <x:c r="F146" s="37" t="n">
        <x:v>0.11133603238866396</x:v>
      </x:c>
      <x:c r="G146" s="37" t="n">
        <x:v>0.004882114789235532</x:v>
      </x:c>
      <x:c r="H146" s="56" t="n">
        <x:v>8729.35</x:v>
      </x:c>
      <x:c r="I146" s="56" t="n">
        <x:v>1.423</x:v>
      </x:c>
      <x:c r="J146" s="56" t="n">
        <x:v>18.920780120897547</x:v>
      </x:c>
      <x:c r="K146" s="56" t="n">
        <x:v>58.38117018134632</x:v>
      </x:c>
      <x:c r="L146" s="56" t="n">
        <x:v>85.54452883049474</x:v>
      </x:c>
    </x:row>
    <x:row r="147" ht="32.400001525878906" hidden="0" customHeight="1">
      <x:c r="A147" s="29" t="str">
        <x:v>Harris County, Texas</x:v>
      </x:c>
      <x:c r="B147" s="29" t="str">
        <x:v>48201241001</x:v>
      </x:c>
      <x:c r="C147" s="51" t="n">
        <x:v>3587</x:v>
      </x:c>
      <x:c r="D147" s="51" t="n">
        <x:v>405</x:v>
      </x:c>
      <x:c r="E147" s="51" t="n">
        <x:v>49.5</x:v>
      </x:c>
      <x:c r="F147" s="38" t="n">
        <x:v>0.11290772233063842</x:v>
      </x:c>
      <x:c r="G147" s="38" t="n">
        <x:v>0.01379983272930025</x:v>
      </x:c>
      <x:c r="H147" s="57" t="n">
        <x:v>3733.7</x:v>
      </x:c>
      <x:c r="I147" s="57" t="n">
        <x:v>1.354</x:v>
      </x:c>
      <x:c r="J147" s="57" t="n">
        <x:v>22.824661508910403</x:v>
      </x:c>
      <x:c r="K147" s="57" t="n">
        <x:v>64.23699226336561</x:v>
      </x:c>
      <x:c r="L147" s="57" t="n">
        <x:v>93.90998894766514</x:v>
      </x:c>
    </x:row>
    <x:row r="148" ht="32.400001525878906" hidden="0" customHeight="1">
      <x:c r="A148" s="27" t="str">
        <x:v>Harris County, Texas</x:v>
      </x:c>
      <x:c r="B148" s="27" t="str">
        <x:v>48201241002</x:v>
      </x:c>
      <x:c r="C148" s="50" t="n">
        <x:v>5504</x:v>
      </x:c>
      <x:c r="D148" s="50" t="n">
        <x:v>420</x:v>
      </x:c>
      <x:c r="E148" s="50" t="n">
        <x:v>50</x:v>
      </x:c>
      <x:c r="F148" s="37" t="n">
        <x:v>0.07630813953488372</x:v>
      </x:c>
      <x:c r="G148" s="37" t="n">
        <x:v>0.009084302325581396</x:v>
      </x:c>
      <x:c r="H148" s="56" t="n">
        <x:v>5656</x:v>
      </x:c>
      <x:c r="I148" s="56" t="n">
        <x:v>5.262</x:v>
      </x:c>
      <x:c r="J148" s="56" t="n">
        <x:v>23.91266034506745</x:v>
      </x:c>
      <x:c r="K148" s="56" t="n">
        <x:v>65.86899051760118</x:v>
      </x:c>
      <x:c r="L148" s="56" t="n">
        <x:v>96.24141502514453</x:v>
      </x:c>
    </x:row>
    <x:row r="149" ht="32.400001525878906" hidden="0" customHeight="1">
      <x:c r="A149" s="29" t="str">
        <x:v>Harris County, Texas</x:v>
      </x:c>
      <x:c r="B149" s="29" t="str">
        <x:v>48201241101</x:v>
      </x:c>
      <x:c r="C149" s="51" t="n">
        <x:v>4445</x:v>
      </x:c>
      <x:c r="D149" s="51" t="n">
        <x:v>560</x:v>
      </x:c>
      <x:c r="E149" s="51" t="n">
        <x:v>73</x:v>
      </x:c>
      <x:c r="F149" s="38" t="n">
        <x:v>0.12598425196850394</x:v>
      </x:c>
      <x:c r="G149" s="38" t="n">
        <x:v>0.016422947131608547</x:v>
      </x:c>
      <x:c r="H149" s="57" t="n">
        <x:v>4648.3</x:v>
      </x:c>
      <x:c r="I149" s="57" t="n">
        <x:v>0.79</x:v>
      </x:c>
      <x:c r="J149" s="57" t="n">
        <x:v>25.739824092651062</x:v>
      </x:c>
      <x:c r="K149" s="57" t="n">
        <x:v>68.60973613897659</x:v>
      </x:c>
      <x:c r="L149" s="57" t="n">
        <x:v>100.1567659128237</x:v>
      </x:c>
    </x:row>
    <x:row r="150" ht="32.400001525878906" hidden="0" customHeight="1">
      <x:c r="A150" s="27" t="str">
        <x:v>Harris County, Texas</x:v>
      </x:c>
      <x:c r="B150" s="27" t="str">
        <x:v>48201241103</x:v>
      </x:c>
      <x:c r="C150" s="50" t="n">
        <x:v>5775</x:v>
      </x:c>
      <x:c r="D150" s="50" t="n">
        <x:v>930</x:v>
      </x:c>
      <x:c r="E150" s="50" t="n">
        <x:v>194.5</x:v>
      </x:c>
      <x:c r="F150" s="37" t="n">
        <x:v>0.16103896103896104</x:v>
      </x:c>
      <x:c r="G150" s="37" t="n">
        <x:v>0.03367965367965368</x:v>
      </x:c>
      <x:c r="H150" s="56" t="n">
        <x:v>6119.950000000001</x:v>
      </x:c>
      <x:c r="I150" s="56" t="n">
        <x:v>1.074</x:v>
      </x:c>
      <x:c r="J150" s="56" t="n">
        <x:v>27.72307593795791</x:v>
      </x:c>
      <x:c r="K150" s="56" t="n">
        <x:v>71.58461390693687</x:v>
      </x:c>
      <x:c r="L150" s="56" t="n">
        <x:v>104.40659129562408</x:v>
      </x:c>
    </x:row>
    <x:row r="151" ht="32.400001525878906" hidden="0" customHeight="1">
      <x:c r="A151" s="29" t="str">
        <x:v>Harris County, Texas</x:v>
      </x:c>
      <x:c r="B151" s="29" t="str">
        <x:v>48201241104</x:v>
      </x:c>
      <x:c r="C151" s="51" t="n">
        <x:v>11688</x:v>
      </x:c>
      <x:c r="D151" s="51" t="n">
        <x:v>1274</x:v>
      </x:c>
      <x:c r="E151" s="51" t="n">
        <x:v>283.5</x:v>
      </x:c>
      <x:c r="F151" s="38" t="n">
        <x:v>0.10900068446269678</x:v>
      </x:c>
      <x:c r="G151" s="38" t="n">
        <x:v>0.02425564681724846</x:v>
      </x:c>
      <x:c r="H151" s="57" t="n">
        <x:v>12162.250000000002</x:v>
      </x:c>
      <x:c r="I151" s="57" t="n">
        <x:v>1.823</x:v>
      </x:c>
      <x:c r="J151" s="57" t="n">
        <x:v>26.733902585389547</x:v>
      </x:c>
      <x:c r="K151" s="57" t="n">
        <x:v>70.10085387808432</x:v>
      </x:c>
      <x:c r="L151" s="57" t="n">
        <x:v>102.28693411154903</x:v>
      </x:c>
    </x:row>
    <x:row r="152" ht="32.400001525878906" hidden="0" customHeight="1">
      <x:c r="A152" s="27" t="str">
        <x:v>Harris County, Texas</x:v>
      </x:c>
      <x:c r="B152" s="27" t="str">
        <x:v>48201241105</x:v>
      </x:c>
      <x:c r="C152" s="50" t="n">
        <x:v>5514</x:v>
      </x:c>
      <x:c r="D152" s="50" t="n">
        <x:v>931</x:v>
      </x:c>
      <x:c r="E152" s="50" t="n">
        <x:v>16</x:v>
      </x:c>
      <x:c r="F152" s="37" t="n">
        <x:v>0.1688429452303228</x:v>
      </x:c>
      <x:c r="G152" s="37" t="n">
        <x:v>0.0029017047515415306</x:v>
      </x:c>
      <x:c r="H152" s="56" t="n">
        <x:v>5841.450000000001</x:v>
      </x:c>
      <x:c r="I152" s="56" t="n">
        <x:v>0.723</x:v>
      </x:c>
      <x:c r="J152" s="56" t="n">
        <x:v>25.831636817867956</x:v>
      </x:c>
      <x:c r="K152" s="56" t="n">
        <x:v>68.74745522680193</x:v>
      </x:c>
      <x:c r="L152" s="56" t="n">
        <x:v>100.35350746685991</x:v>
      </x:c>
    </x:row>
    <x:row r="153" ht="32.400001525878906" hidden="0" customHeight="1">
      <x:c r="A153" s="29" t="str">
        <x:v>Harris County, Texas</x:v>
      </x:c>
      <x:c r="B153" s="29" t="str">
        <x:v>48201241201</x:v>
      </x:c>
      <x:c r="C153" s="51" t="n">
        <x:v>3062</x:v>
      </x:c>
      <x:c r="D153" s="51" t="n">
        <x:v>391</x:v>
      </x:c>
      <x:c r="E153" s="51" t="n">
        <x:v>39</x:v>
      </x:c>
      <x:c r="F153" s="38" t="n">
        <x:v>0.12769431743958198</x:v>
      </x:c>
      <x:c r="G153" s="38" t="n">
        <x:v>0.012736773350751143</x:v>
      </x:c>
      <x:c r="H153" s="57" t="n">
        <x:v>3202.7500000000005</x:v>
      </x:c>
      <x:c r="I153" s="57" t="n">
        <x:v>0.662</x:v>
      </x:c>
      <x:c r="J153" s="57" t="n">
        <x:v>27.4830359889427</x:v>
      </x:c>
      <x:c r="K153" s="57" t="n">
        <x:v>71.22455398341405</x:v>
      </x:c>
      <x:c r="L153" s="57" t="n">
        <x:v>103.8922199763058</x:v>
      </x:c>
    </x:row>
    <x:row r="154" ht="32.400001525878906" hidden="0" customHeight="1">
      <x:c r="A154" s="27" t="str">
        <x:v>Harris County, Texas</x:v>
      </x:c>
      <x:c r="B154" s="27" t="str">
        <x:v>48201241202</x:v>
      </x:c>
      <x:c r="C154" s="50" t="n">
        <x:v>5511</x:v>
      </x:c>
      <x:c r="D154" s="50" t="n">
        <x:v>674</x:v>
      </x:c>
      <x:c r="E154" s="50" t="n">
        <x:v>351.5</x:v>
      </x:c>
      <x:c r="F154" s="37" t="n">
        <x:v>0.122300852839775</x:v>
      </x:c>
      <x:c r="G154" s="37" t="n">
        <x:v>0.06378152785338415</x:v>
      </x:c>
      <x:c r="H154" s="56" t="n">
        <x:v>5782.05</x:v>
      </x:c>
      <x:c r="I154" s="56" t="n">
        <x:v>1.236</x:v>
      </x:c>
      <x:c r="J154" s="56" t="n">
        <x:v>25.324343323507648</x:v>
      </x:c>
      <x:c r="K154" s="56" t="n">
        <x:v>67.98651498526146</x:v>
      </x:c>
      <x:c r="L154" s="56" t="n">
        <x:v>99.26644997894496</x:v>
      </x:c>
    </x:row>
    <x:row r="155" ht="32.400001525878906" hidden="0" customHeight="1">
      <x:c r="A155" s="29" t="str">
        <x:v>Harris County, Texas</x:v>
      </x:c>
      <x:c r="B155" s="29" t="str">
        <x:v>48201241301</x:v>
      </x:c>
      <x:c r="C155" s="51" t="n">
        <x:v>5161</x:v>
      </x:c>
      <x:c r="D155" s="51" t="n">
        <x:v>386</x:v>
      </x:c>
      <x:c r="E155" s="51" t="n">
        <x:v>0</x:v>
      </x:c>
      <x:c r="F155" s="38" t="n">
        <x:v>0.07479170703352063</x:v>
      </x:c>
      <x:c r="G155" s="38" t="n">
        <x:v>0</x:v>
      </x:c>
      <x:c r="H155" s="57" t="n">
        <x:v>5296.099999999999</x:v>
      </x:c>
      <x:c r="I155" s="57" t="n">
        <x:v>2.941</x:v>
      </x:c>
      <x:c r="J155" s="57" t="n">
        <x:v>19.960883048392787</x:v>
      </x:c>
      <x:c r="K155" s="57" t="n">
        <x:v>59.94132457258918</x:v>
      </x:c>
      <x:c r="L155" s="57" t="n">
        <x:v>87.77332081798454</x:v>
      </x:c>
    </x:row>
    <x:row r="156" ht="32.400001525878906" hidden="0" customHeight="1">
      <x:c r="A156" s="27" t="str">
        <x:v>Harris County, Texas</x:v>
      </x:c>
      <x:c r="B156" s="27" t="str">
        <x:v>48201241302</x:v>
      </x:c>
      <x:c r="C156" s="50" t="n">
        <x:v>8824</x:v>
      </x:c>
      <x:c r="D156" s="50" t="n">
        <x:v>756</x:v>
      </x:c>
      <x:c r="E156" s="50" t="n">
        <x:v>0</x:v>
      </x:c>
      <x:c r="F156" s="37" t="n">
        <x:v>0.08567543064369901</x:v>
      </x:c>
      <x:c r="G156" s="37" t="n">
        <x:v>0</x:v>
      </x:c>
      <x:c r="H156" s="56" t="n">
        <x:v>9088.599999999999</x:v>
      </x:c>
      <x:c r="I156" s="56" t="n">
        <x:v>3.678</x:v>
      </x:c>
      <x:c r="J156" s="56" t="n">
        <x:v>22.889661737870465</x:v>
      </x:c>
      <x:c r="K156" s="56" t="n">
        <x:v>64.3344926068057</x:v>
      </x:c>
      <x:c r="L156" s="56" t="n">
        <x:v>94.04927515257957</x:v>
      </x:c>
    </x:row>
    <x:row r="157" ht="32.400001525878906" hidden="0" customHeight="1">
      <x:c r="A157" s="29" t="str">
        <x:v>Harris County, Texas</x:v>
      </x:c>
      <x:c r="B157" s="29" t="str">
        <x:v>48201241400</x:v>
      </x:c>
      <x:c r="C157" s="51" t="n">
        <x:v>10240</x:v>
      </x:c>
      <x:c r="D157" s="51" t="n">
        <x:v>976</x:v>
      </x:c>
      <x:c r="E157" s="51" t="n">
        <x:v>146</x:v>
      </x:c>
      <x:c r="F157" s="38" t="n">
        <x:v>0.0953125</x:v>
      </x:c>
      <x:c r="G157" s="38" t="n">
        <x:v>0.0142578125</x:v>
      </x:c>
      <x:c r="H157" s="57" t="n">
        <x:v>10596.2</x:v>
      </x:c>
      <x:c r="I157" s="57" t="n">
        <x:v>4.199</x:v>
      </x:c>
      <x:c r="J157" s="57" t="n">
        <x:v>22.441149195020046</x:v>
      </x:c>
      <x:c r="K157" s="57" t="n">
        <x:v>63.66172379253007</x:v>
      </x:c>
      <x:c r="L157" s="57" t="n">
        <x:v>93.08817684647153</x:v>
      </x:c>
    </x:row>
    <x:row r="158" ht="32.400001525878906" hidden="0" customHeight="1">
      <x:c r="A158" s="27" t="str">
        <x:v>Harris County, Texas</x:v>
      </x:c>
      <x:c r="B158" s="27" t="str">
        <x:v>48201241501</x:v>
      </x:c>
      <x:c r="C158" s="50" t="n">
        <x:v>4137</x:v>
      </x:c>
      <x:c r="D158" s="50" t="n">
        <x:v>440</x:v>
      </x:c>
      <x:c r="E158" s="50" t="n">
        <x:v>417.5</x:v>
      </x:c>
      <x:c r="F158" s="37" t="n">
        <x:v>0.1063572637176698</x:v>
      </x:c>
      <x:c r="G158" s="37" t="n">
        <x:v>0.10091854000483443</x:v>
      </x:c>
      <x:c r="H158" s="56" t="n">
        <x:v>4332.75</x:v>
      </x:c>
      <x:c r="I158" s="56" t="n">
        <x:v>5.626</x:v>
      </x:c>
      <x:c r="J158" s="56" t="n">
        <x:v>13.114435626282566</x:v>
      </x:c>
      <x:c r="K158" s="56" t="n">
        <x:v>49.67165343942385</x:v>
      </x:c>
      <x:c r="L158" s="56" t="n">
        <x:v>73.10236205631978</x:v>
      </x:c>
    </x:row>
    <x:row r="159" ht="32.400001525878906" hidden="0" customHeight="1">
      <x:c r="A159" s="29" t="str">
        <x:v>Harris County, Texas</x:v>
      </x:c>
      <x:c r="B159" s="29" t="str">
        <x:v>48201241502</x:v>
      </x:c>
      <x:c r="C159" s="51" t="n">
        <x:v>2390</x:v>
      </x:c>
      <x:c r="D159" s="51" t="n">
        <x:v>332</x:v>
      </x:c>
      <x:c r="E159" s="51" t="n">
        <x:v>168</x:v>
      </x:c>
      <x:c r="F159" s="38" t="n">
        <x:v>0.1389121338912134</x:v>
      </x:c>
      <x:c r="G159" s="38" t="n">
        <x:v>0.07029288702928871</x:v>
      </x:c>
      <x:c r="H159" s="57" t="n">
        <x:v>2523</x:v>
      </x:c>
      <x:c r="I159" s="57" t="n">
        <x:v>0.532</x:v>
      </x:c>
      <x:c r="J159" s="57" t="n">
        <x:v>13.315383609340886</x:v>
      </x:c>
      <x:c r="K159" s="57" t="n">
        <x:v>49.973075414011326</x:v>
      </x:c>
      <x:c r="L159" s="57" t="n">
        <x:v>73.53296487715903</x:v>
      </x:c>
    </x:row>
    <x:row r="160" ht="32.400001525878906" hidden="0" customHeight="1">
      <x:c r="A160" s="27" t="str">
        <x:v>Harris County, Texas</x:v>
      </x:c>
      <x:c r="B160" s="27" t="str">
        <x:v>48201241503</x:v>
      </x:c>
      <x:c r="C160" s="50" t="n">
        <x:v>2618</x:v>
      </x:c>
      <x:c r="D160" s="50" t="n">
        <x:v>195</x:v>
      </x:c>
      <x:c r="E160" s="50" t="n">
        <x:v>382.5</x:v>
      </x:c>
      <x:c r="F160" s="37" t="n">
        <x:v>0.07448433919022154</x:v>
      </x:c>
      <x:c r="G160" s="37" t="n">
        <x:v>0.1461038961038961</x:v>
      </x:c>
      <x:c r="H160" s="56" t="n">
        <x:v>2724.5</x:v>
      </x:c>
      <x:c r="I160" s="56" t="n">
        <x:v>6.836</x:v>
      </x:c>
      <x:c r="J160" s="56" t="n">
        <x:v>19.897605667243973</x:v>
      </x:c>
      <x:c r="K160" s="56" t="n">
        <x:v>59.84640850086596</x:v>
      </x:c>
      <x:c r="L160" s="56" t="n">
        <x:v>87.63772642980851</x:v>
      </x:c>
    </x:row>
    <x:row r="161" ht="32.400001525878906" hidden="0" customHeight="1">
      <x:c r="A161" s="29" t="str">
        <x:v>Harris County, Texas</x:v>
      </x:c>
      <x:c r="B161" s="29" t="str">
        <x:v>48201250101</x:v>
      </x:c>
      <x:c r="C161" s="51" t="n">
        <x:v>3983</x:v>
      </x:c>
      <x:c r="D161" s="51" t="n">
        <x:v>414</x:v>
      </x:c>
      <x:c r="E161" s="51" t="n">
        <x:v>31.5</x:v>
      </x:c>
      <x:c r="F161" s="38" t="n">
        <x:v>0.10394175244790359</x:v>
      </x:c>
      <x:c r="G161" s="38" t="n">
        <x:v>0.007908611599297012</x:v>
      </x:c>
      <x:c r="H161" s="57" t="n">
        <x:v>4131.049999999999</x:v>
      </x:c>
      <x:c r="I161" s="57" t="n">
        <x:v>3.135</x:v>
      </x:c>
      <x:c r="J161" s="57" t="n">
        <x:v>10.755956555038642</x:v>
      </x:c>
      <x:c r="K161" s="57" t="n">
        <x:v>46.13393483255796</x:v>
      </x:c>
      <x:c r="L161" s="57" t="n">
        <x:v>68.04847833222567</x:v>
      </x:c>
    </x:row>
    <x:row r="162" ht="32.400001525878906" hidden="0" customHeight="1">
      <x:c r="A162" s="27" t="str">
        <x:v>Harris County, Texas</x:v>
      </x:c>
      <x:c r="B162" s="27" t="str">
        <x:v>48201250102</x:v>
      </x:c>
      <x:c r="C162" s="50" t="n">
        <x:v>5431</x:v>
      </x:c>
      <x:c r="D162" s="50" t="n">
        <x:v>562</x:v>
      </x:c>
      <x:c r="E162" s="50" t="n">
        <x:v>0</x:v>
      </x:c>
      <x:c r="F162" s="37" t="n">
        <x:v>0.10348002209537838</x:v>
      </x:c>
      <x:c r="G162" s="37" t="n">
        <x:v>0</x:v>
      </x:c>
      <x:c r="H162" s="56" t="n">
        <x:v>5627.7</x:v>
      </x:c>
      <x:c r="I162" s="56" t="n">
        <x:v>2.331</x:v>
      </x:c>
      <x:c r="J162" s="56" t="n">
        <x:v>7.582184717000394</x:v>
      </x:c>
      <x:c r="K162" s="56" t="n">
        <x:v>41.373277075500596</x:v>
      </x:c>
      <x:c r="L162" s="56" t="n">
        <x:v>61.24753867928656</x:v>
      </x:c>
    </x:row>
    <x:row r="163" ht="32.400001525878906" hidden="0" customHeight="1">
      <x:c r="A163" s="29" t="str">
        <x:v>Harris County, Texas</x:v>
      </x:c>
      <x:c r="B163" s="29" t="str">
        <x:v>48201250201</x:v>
      </x:c>
      <x:c r="C163" s="51" t="n">
        <x:v>7894</x:v>
      </x:c>
      <x:c r="D163" s="51" t="n">
        <x:v>1147</x:v>
      </x:c>
      <x:c r="E163" s="51" t="n">
        <x:v>366</x:v>
      </x:c>
      <x:c r="F163" s="38" t="n">
        <x:v>0.14530022802128198</x:v>
      </x:c>
      <x:c r="G163" s="38" t="n">
        <x:v>0.04636432733721814</x:v>
      </x:c>
      <x:c r="H163" s="57" t="n">
        <x:v>8332.050000000001</x:v>
      </x:c>
      <x:c r="I163" s="57" t="n">
        <x:v>1.784</x:v>
      </x:c>
      <x:c r="J163" s="57" t="n">
        <x:v>8.115706088082094</x:v>
      </x:c>
      <x:c r="K163" s="57" t="n">
        <x:v>42.173559132123145</x:v>
      </x:c>
      <x:c r="L163" s="57" t="n">
        <x:v>62.39079876017591</x:v>
      </x:c>
    </x:row>
    <x:row r="164" ht="32.400001525878906" hidden="0" customHeight="1">
      <x:c r="A164" s="27" t="str">
        <x:v>Harris County, Texas</x:v>
      </x:c>
      <x:c r="B164" s="27" t="str">
        <x:v>48201250202</x:v>
      </x:c>
      <x:c r="C164" s="50" t="n">
        <x:v>2312</x:v>
      </x:c>
      <x:c r="D164" s="50" t="n">
        <x:v>171</x:v>
      </x:c>
      <x:c r="E164" s="50" t="n">
        <x:v>8</x:v>
      </x:c>
      <x:c r="F164" s="37" t="n">
        <x:v>0.07396193771626297</x:v>
      </x:c>
      <x:c r="G164" s="37" t="n">
        <x:v>0.0034602076124567475</x:v>
      </x:c>
      <x:c r="H164" s="56" t="n">
        <x:v>2372.65</x:v>
      </x:c>
      <x:c r="I164" s="56" t="n">
        <x:v>0.525</x:v>
      </x:c>
      <x:c r="J164" s="56" t="n">
        <x:v>10.090866460750805</x:v>
      </x:c>
      <x:c r="K164" s="56" t="n">
        <x:v>45.136299691126204</x:v>
      </x:c>
      <x:c r="L164" s="56" t="n">
        <x:v>66.62328527303744</x:v>
      </x:c>
    </x:row>
    <x:row r="165" ht="32.400001525878906" hidden="0" customHeight="1">
      <x:c r="A165" s="29" t="str">
        <x:v>Harris County, Texas</x:v>
      </x:c>
      <x:c r="B165" s="29" t="str">
        <x:v>48201250303</x:v>
      </x:c>
      <x:c r="C165" s="51" t="n">
        <x:v>3416</x:v>
      </x:c>
      <x:c r="D165" s="51" t="n">
        <x:v>322</x:v>
      </x:c>
      <x:c r="E165" s="51" t="n">
        <x:v>380.5</x:v>
      </x:c>
      <x:c r="F165" s="38" t="n">
        <x:v>0.0942622950819672</x:v>
      </x:c>
      <x:c r="G165" s="38" t="n">
        <x:v>0.11138758782201405</x:v>
      </x:c>
      <x:c r="H165" s="57" t="n">
        <x:v>3566.7499999999995</x:v>
      </x:c>
      <x:c r="I165" s="57" t="n">
        <x:v>0.805</x:v>
      </x:c>
      <x:c r="J165" s="57" t="n">
        <x:v>6.407247248280012</x:v>
      </x:c>
      <x:c r="K165" s="57" t="n">
        <x:v>39.610870872420016</x:v>
      </x:c>
      <x:c r="L165" s="57" t="n">
        <x:v>58.729815532028596</x:v>
      </x:c>
    </x:row>
    <x:row r="166" ht="32.400001525878906" hidden="0" customHeight="1">
      <x:c r="A166" s="27" t="str">
        <x:v>Harris County, Texas</x:v>
      </x:c>
      <x:c r="B166" s="27" t="str">
        <x:v>48201250304</x:v>
      </x:c>
      <x:c r="C166" s="50" t="n">
        <x:v>8396</x:v>
      </x:c>
      <x:c r="D166" s="50" t="n">
        <x:v>936</x:v>
      </x:c>
      <x:c r="E166" s="50" t="n">
        <x:v>453</x:v>
      </x:c>
      <x:c r="F166" s="37" t="n">
        <x:v>0.11148165793234874</x:v>
      </x:c>
      <x:c r="G166" s="37" t="n">
        <x:v>0.05395426393520724</x:v>
      </x:c>
      <x:c r="H166" s="56" t="n">
        <x:v>8768.900000000001</x:v>
      </x:c>
      <x:c r="I166" s="56" t="n">
        <x:v>3.609</x:v>
      </x:c>
      <x:c r="J166" s="56" t="n">
        <x:v>4.282107910274462</x:v>
      </x:c>
      <x:c r="K166" s="56" t="n">
        <x:v>36.42316186541169</x:v>
      </x:c>
      <x:c r="L166" s="56" t="n">
        <x:v>54.175945522016704</x:v>
      </x:c>
    </x:row>
    <x:row r="167" ht="32.400001525878906" hidden="0" customHeight="1">
      <x:c r="A167" s="29" t="str">
        <x:v>Harris County, Texas</x:v>
      </x:c>
      <x:c r="B167" s="29" t="str">
        <x:v>48201250305</x:v>
      </x:c>
      <x:c r="C167" s="51" t="n">
        <x:v>5680</x:v>
      </x:c>
      <x:c r="D167" s="51" t="n">
        <x:v>1261</x:v>
      </x:c>
      <x:c r="E167" s="51" t="n">
        <x:v>0</x:v>
      </x:c>
      <x:c r="F167" s="38" t="n">
        <x:v>0.22200704225352114</x:v>
      </x:c>
      <x:c r="G167" s="38" t="n">
        <x:v>0</x:v>
      </x:c>
      <x:c r="H167" s="57" t="n">
        <x:v>6121.349999999999</x:v>
      </x:c>
      <x:c r="I167" s="57" t="n">
        <x:v>0.915</x:v>
      </x:c>
      <x:c r="J167" s="57" t="n">
        <x:v>3.131393000892646</x:v>
      </x:c>
      <x:c r="K167" s="57" t="n">
        <x:v>34.69708950133897</x:v>
      </x:c>
      <x:c r="L167" s="57" t="n">
        <x:v>51.71012785905567</x:v>
      </x:c>
    </x:row>
    <x:row r="168" ht="32.400001525878906" hidden="0" customHeight="1">
      <x:c r="A168" s="27" t="str">
        <x:v>Harris County, Texas</x:v>
      </x:c>
      <x:c r="B168" s="27" t="str">
        <x:v>48201250306</x:v>
      </x:c>
      <x:c r="C168" s="50" t="n">
        <x:v>3936</x:v>
      </x:c>
      <x:c r="D168" s="50" t="n">
        <x:v>386</x:v>
      </x:c>
      <x:c r="E168" s="50" t="n">
        <x:v>27</x:v>
      </x:c>
      <x:c r="F168" s="37" t="n">
        <x:v>0.09806910569105691</x:v>
      </x:c>
      <x:c r="G168" s="37" t="n">
        <x:v>0.006859756097560976</x:v>
      </x:c>
      <x:c r="H168" s="56" t="n">
        <x:v>4073.8000000000006</x:v>
      </x:c>
      <x:c r="I168" s="56" t="n">
        <x:v>0.83</x:v>
      </x:c>
      <x:c r="J168" s="56" t="n">
        <x:v>2.5650829500203804</x:v>
      </x:c>
      <x:c r="K168" s="56" t="n">
        <x:v>33.847624425030574</x:v>
      </x:c>
      <x:c r="L168" s="56" t="n">
        <x:v>50.49660632147224</x:v>
      </x:c>
    </x:row>
    <x:row r="169" ht="32.400001525878906" hidden="0" customHeight="1">
      <x:c r="A169" s="29" t="str">
        <x:v>Harris County, Texas</x:v>
      </x:c>
      <x:c r="B169" s="29" t="str">
        <x:v>48201250403</x:v>
      </x:c>
      <x:c r="C169" s="51" t="n">
        <x:v>4543</x:v>
      </x:c>
      <x:c r="D169" s="51" t="n">
        <x:v>581</x:v>
      </x:c>
      <x:c r="E169" s="51" t="n">
        <x:v>65</x:v>
      </x:c>
      <x:c r="F169" s="38" t="n">
        <x:v>0.12788906009244994</x:v>
      </x:c>
      <x:c r="G169" s="38" t="n">
        <x:v>0.014307726172132952</x:v>
      </x:c>
      <x:c r="H169" s="57" t="n">
        <x:v>4752.85</x:v>
      </x:c>
      <x:c r="I169" s="57" t="n">
        <x:v>0.797</x:v>
      </x:c>
      <x:c r="J169" s="57" t="n">
        <x:v>9.661354326305142</x:v>
      </x:c>
      <x:c r="K169" s="57" t="n">
        <x:v>44.492031489457716</x:v>
      </x:c>
      <x:c r="L169" s="57" t="n">
        <x:v>65.70290212779673</x:v>
      </x:c>
    </x:row>
    <x:row r="170" ht="32.400001525878906" hidden="0" customHeight="1">
      <x:c r="A170" s="27" t="str">
        <x:v>Harris County, Texas</x:v>
      </x:c>
      <x:c r="B170" s="27" t="str">
        <x:v>48201250404</x:v>
      </x:c>
      <x:c r="C170" s="50" t="n">
        <x:v>5041</x:v>
      </x:c>
      <x:c r="D170" s="50" t="n">
        <x:v>628</x:v>
      </x:c>
      <x:c r="E170" s="50" t="n">
        <x:v>0</x:v>
      </x:c>
      <x:c r="F170" s="37" t="n">
        <x:v>0.12457845665542551</x:v>
      </x:c>
      <x:c r="G170" s="37" t="n">
        <x:v>0</x:v>
      </x:c>
      <x:c r="H170" s="56" t="n">
        <x:v>5260.8</x:v>
      </x:c>
      <x:c r="I170" s="56" t="n">
        <x:v>1.226</x:v>
      </x:c>
      <x:c r="J170" s="56" t="n">
        <x:v>7.493188274030211</x:v>
      </x:c>
      <x:c r="K170" s="56" t="n">
        <x:v>41.23978241104531</x:v>
      </x:c>
      <x:c r="L170" s="56" t="n">
        <x:v>61.05683201577902</x:v>
      </x:c>
    </x:row>
    <x:row r="171" ht="32.400001525878906" hidden="0" customHeight="1">
      <x:c r="A171" s="29" t="str">
        <x:v>Harris County, Texas</x:v>
      </x:c>
      <x:c r="B171" s="29" t="str">
        <x:v>48201250405</x:v>
      </x:c>
      <x:c r="C171" s="51" t="n">
        <x:v>9951</x:v>
      </x:c>
      <x:c r="D171" s="51" t="n">
        <x:v>1069</x:v>
      </x:c>
      <x:c r="E171" s="51" t="n">
        <x:v>170</x:v>
      </x:c>
      <x:c r="F171" s="38" t="n">
        <x:v>0.10742638930760727</x:v>
      </x:c>
      <x:c r="G171" s="38" t="n">
        <x:v>0.017083710179881417</x:v>
      </x:c>
      <x:c r="H171" s="57" t="n">
        <x:v>10342.15</x:v>
      </x:c>
      <x:c r="I171" s="57" t="n">
        <x:v>0.993</x:v>
      </x:c>
      <x:c r="J171" s="57" t="n">
        <x:v>6.007031107175989</x:v>
      </x:c>
      <x:c r="K171" s="57" t="n">
        <x:v>39.010546660763985</x:v>
      </x:c>
      <x:c r="L171" s="57" t="n">
        <x:v>57.87220951537712</x:v>
      </x:c>
    </x:row>
    <x:row r="172" ht="32.400001525878906" hidden="0" customHeight="1">
      <x:c r="A172" s="27" t="str">
        <x:v>Harris County, Texas</x:v>
      </x:c>
      <x:c r="B172" s="27" t="str">
        <x:v>48201250406</x:v>
      </x:c>
      <x:c r="C172" s="50" t="n">
        <x:v>4810</x:v>
      </x:c>
      <x:c r="D172" s="50" t="n">
        <x:v>361</x:v>
      </x:c>
      <x:c r="E172" s="50" t="n">
        <x:v>99</x:v>
      </x:c>
      <x:c r="F172" s="37" t="n">
        <x:v>0.07505197505197506</x:v>
      </x:c>
      <x:c r="G172" s="37" t="n">
        <x:v>0.020582120582120583</x:v>
      </x:c>
      <x:c r="H172" s="56" t="n">
        <x:v>4946.25</x:v>
      </x:c>
      <x:c r="I172" s="56" t="n">
        <x:v>0.844</x:v>
      </x:c>
      <x:c r="J172" s="56" t="n">
        <x:v>4.553829313115831</x:v>
      </x:c>
      <x:c r="K172" s="56" t="n">
        <x:v>36.83074396967375</x:v>
      </x:c>
      <x:c r="L172" s="56" t="n">
        <x:v>54.7582056709625</x:v>
      </x:c>
    </x:row>
    <x:row r="173" ht="32.400001525878906" hidden="0" customHeight="1">
      <x:c r="A173" s="29" t="str">
        <x:v>Harris County, Texas</x:v>
      </x:c>
      <x:c r="B173" s="29" t="str">
        <x:v>48201250407</x:v>
      </x:c>
      <x:c r="C173" s="51" t="n">
        <x:v>10135</x:v>
      </x:c>
      <x:c r="D173" s="51" t="n">
        <x:v>671</x:v>
      </x:c>
      <x:c r="E173" s="51" t="n">
        <x:v>0</x:v>
      </x:c>
      <x:c r="F173" s="38" t="n">
        <x:v>0.0662062160828811</x:v>
      </x:c>
      <x:c r="G173" s="38" t="n">
        <x:v>0</x:v>
      </x:c>
      <x:c r="H173" s="57" t="n">
        <x:v>10369.85</x:v>
      </x:c>
      <x:c r="I173" s="57" t="n">
        <x:v>1.632</x:v>
      </x:c>
      <x:c r="J173" s="57" t="n">
        <x:v>2.3580487145724027</x:v>
      </x:c>
      <x:c r="K173" s="57" t="n">
        <x:v>33.5370730718586</x:v>
      </x:c>
      <x:c r="L173" s="57" t="n">
        <x:v>50.05296153122658</x:v>
      </x:c>
    </x:row>
    <x:row r="174" ht="32.400001525878906" hidden="0" customHeight="1">
      <x:c r="A174" s="27" t="str">
        <x:v>Harris County, Texas</x:v>
      </x:c>
      <x:c r="B174" s="27" t="str">
        <x:v>48201250408</x:v>
      </x:c>
      <x:c r="C174" s="50" t="n">
        <x:v>17485</x:v>
      </x:c>
      <x:c r="D174" s="50" t="n">
        <x:v>885</x:v>
      </x:c>
      <x:c r="E174" s="50" t="n">
        <x:v>89</x:v>
      </x:c>
      <x:c r="F174" s="37" t="n">
        <x:v>0.05061481269659708</x:v>
      </x:c>
      <x:c r="G174" s="37" t="n">
        <x:v>0.005090077209036317</x:v>
      </x:c>
      <x:c r="H174" s="56" t="n">
        <x:v>17803.65</x:v>
      </x:c>
      <x:c r="I174" s="56" t="n">
        <x:v>4.221</x:v>
      </x:c>
      <x:c r="J174" s="56" t="n">
        <x:v>0</x:v>
      </x:c>
      <x:c r="K174" s="56" t="n">
        <x:v>30</x:v>
      </x:c>
      <x:c r="L174" s="56" t="n">
        <x:v>45</x:v>
      </x:c>
    </x:row>
    <x:row r="175" ht="32.400001525878906" hidden="0" customHeight="1">
      <x:c r="A175" s="29" t="str">
        <x:v>Harris County, Texas</x:v>
      </x:c>
      <x:c r="B175" s="29" t="str">
        <x:v>48201250500</x:v>
      </x:c>
      <x:c r="C175" s="51" t="n">
        <x:v>5458</x:v>
      </x:c>
      <x:c r="D175" s="51" t="n">
        <x:v>699</x:v>
      </x:c>
      <x:c r="E175" s="51" t="n">
        <x:v>30</x:v>
      </x:c>
      <x:c r="F175" s="38" t="n">
        <x:v>0.12806888970318797</x:v>
      </x:c>
      <x:c r="G175" s="38" t="n">
        <x:v>0.005496518871381458</x:v>
      </x:c>
      <x:c r="H175" s="57" t="n">
        <x:v>5705.650000000001</x:v>
      </x:c>
      <x:c r="I175" s="57" t="n">
        <x:v>1.761</x:v>
      </x:c>
      <x:c r="J175" s="57" t="n">
        <x:v>5.629030880310329</x:v>
      </x:c>
      <x:c r="K175" s="57" t="n">
        <x:v>38.443546320465494</x:v>
      </x:c>
      <x:c r="L175" s="57" t="n">
        <x:v>57.06220902923642</x:v>
      </x:c>
    </x:row>
    <x:row r="176" ht="32.400001525878906" hidden="0" customHeight="1">
      <x:c r="A176" s="27" t="str">
        <x:v>Harris County, Texas</x:v>
      </x:c>
      <x:c r="B176" s="27" t="str">
        <x:v>48201250601</x:v>
      </x:c>
      <x:c r="C176" s="50" t="n">
        <x:v>3344</x:v>
      </x:c>
      <x:c r="D176" s="50" t="n">
        <x:v>402</x:v>
      </x:c>
      <x:c r="E176" s="50" t="n">
        <x:v>438</x:v>
      </x:c>
      <x:c r="F176" s="37" t="n">
        <x:v>0.12021531100478469</x:v>
      </x:c>
      <x:c r="G176" s="37" t="n">
        <x:v>0.13098086124401914</x:v>
      </x:c>
      <x:c r="H176" s="56" t="n">
        <x:v>3528.5</x:v>
      </x:c>
      <x:c r="I176" s="56" t="n">
        <x:v>1.677</x:v>
      </x:c>
      <x:c r="J176" s="56" t="n">
        <x:v>10.290356794094967</x:v>
      </x:c>
      <x:c r="K176" s="56" t="n">
        <x:v>45.43553519114245</x:v>
      </x:c>
      <x:c r="L176" s="56" t="n">
        <x:v>67.05076455877493</x:v>
      </x:c>
    </x:row>
    <x:row r="177" ht="32.400001525878906" hidden="0" customHeight="1">
      <x:c r="A177" s="29" t="str">
        <x:v>Harris County, Texas</x:v>
      </x:c>
      <x:c r="B177" s="29" t="str">
        <x:v>48201250602</x:v>
      </x:c>
      <x:c r="C177" s="51" t="n">
        <x:v>4634</x:v>
      </x:c>
      <x:c r="D177" s="51" t="n">
        <x:v>418</x:v>
      </x:c>
      <x:c r="E177" s="51" t="n">
        <x:v>345.5</x:v>
      </x:c>
      <x:c r="F177" s="38" t="n">
        <x:v>0.09020284851100561</x:v>
      </x:c>
      <x:c r="G177" s="38" t="n">
        <x:v>0.07455761760897713</x:v>
      </x:c>
      <x:c r="H177" s="57" t="n">
        <x:v>4814.85</x:v>
      </x:c>
      <x:c r="I177" s="57" t="n">
        <x:v>3.736</x:v>
      </x:c>
      <x:c r="J177" s="57" t="n">
        <x:v>7.163592434066552</x:v>
      </x:c>
      <x:c r="K177" s="57" t="n">
        <x:v>40.74538865109983</x:v>
      </x:c>
      <x:c r="L177" s="57" t="n">
        <x:v>60.3505552158569</x:v>
      </x:c>
    </x:row>
    <x:row r="178" ht="32.400001525878906" hidden="0" customHeight="1">
      <x:c r="A178" s="27" t="str">
        <x:v>Harris County, Texas</x:v>
      </x:c>
      <x:c r="B178" s="27" t="str">
        <x:v>48201250701</x:v>
      </x:c>
      <x:c r="C178" s="50" t="n">
        <x:v>7051</x:v>
      </x:c>
      <x:c r="D178" s="50" t="n">
        <x:v>1364</x:v>
      </x:c>
      <x:c r="E178" s="50" t="n">
        <x:v>132</x:v>
      </x:c>
      <x:c r="F178" s="37" t="n">
        <x:v>0.1934477379095164</x:v>
      </x:c>
      <x:c r="G178" s="37" t="n">
        <x:v>0.0187207488299532</x:v>
      </x:c>
      <x:c r="H178" s="56" t="n">
        <x:v>7541.599999999999</x:v>
      </x:c>
      <x:c r="I178" s="56" t="n">
        <x:v>6.773</x:v>
      </x:c>
      <x:c r="J178" s="56" t="n">
        <x:v>9.249484395647901</x:v>
      </x:c>
      <x:c r="K178" s="56" t="n">
        <x:v>43.87422659347185</x:v>
      </x:c>
      <x:c r="L178" s="56" t="n">
        <x:v>64.82032370495979</x:v>
      </x:c>
    </x:row>
    <x:row r="179" ht="32.400001525878906" hidden="0" customHeight="1">
      <x:c r="A179" s="29" t="str">
        <x:v>Harris County, Texas</x:v>
      </x:c>
      <x:c r="B179" s="29" t="str">
        <x:v>48201250702</x:v>
      </x:c>
      <x:c r="C179" s="51" t="n">
        <x:v>4093</x:v>
      </x:c>
      <x:c r="D179" s="51" t="n">
        <x:v>415</x:v>
      </x:c>
      <x:c r="E179" s="51" t="n">
        <x:v>58</x:v>
      </x:c>
      <x:c r="F179" s="38" t="n">
        <x:v>0.10139262154898607</x:v>
      </x:c>
      <x:c r="G179" s="38" t="n">
        <x:v>0.014170535059858295</x:v>
      </x:c>
      <x:c r="H179" s="57" t="n">
        <x:v>4244.05</x:v>
      </x:c>
      <x:c r="I179" s="57" t="n">
        <x:v>1.172</x:v>
      </x:c>
      <x:c r="J179" s="57" t="n">
        <x:v>7.486439797789482</x:v>
      </x:c>
      <x:c r="K179" s="57" t="n">
        <x:v>41.22965969668422</x:v>
      </x:c>
      <x:c r="L179" s="57" t="n">
        <x:v>61.04237099526318</x:v>
      </x:c>
    </x:row>
    <x:row r="180" ht="32.400001525878906" hidden="0" customHeight="1">
      <x:c r="A180" s="27" t="str">
        <x:v>Harris County, Texas</x:v>
      </x:c>
      <x:c r="B180" s="27" t="str">
        <x:v>48201250801</x:v>
      </x:c>
      <x:c r="C180" s="50" t="n">
        <x:v>3576</x:v>
      </x:c>
      <x:c r="D180" s="50" t="n">
        <x:v>403</x:v>
      </x:c>
      <x:c r="E180" s="50" t="n">
        <x:v>12</x:v>
      </x:c>
      <x:c r="F180" s="37" t="n">
        <x:v>0.11269574944071588</x:v>
      </x:c>
      <x:c r="G180" s="37" t="n">
        <x:v>0.003355704697986577</x:v>
      </x:c>
      <x:c r="H180" s="56" t="n">
        <x:v>3718.25</x:v>
      </x:c>
      <x:c r="I180" s="56" t="n">
        <x:v>1.17</x:v>
      </x:c>
      <x:c r="J180" s="56" t="n">
        <x:v>10.42610133495284</x:v>
      </x:c>
      <x:c r="K180" s="56" t="n">
        <x:v>45.639152002429256</x:v>
      </x:c>
      <x:c r="L180" s="56" t="n">
        <x:v>67.34164571775608</x:v>
      </x:c>
    </x:row>
    <x:row r="181" ht="32.400001525878906" hidden="0" customHeight="1">
      <x:c r="A181" s="29" t="str">
        <x:v>Harris County, Texas</x:v>
      </x:c>
      <x:c r="B181" s="29" t="str">
        <x:v>48201250802</x:v>
      </x:c>
      <x:c r="C181" s="51" t="n">
        <x:v>4597</x:v>
      </x:c>
      <x:c r="D181" s="51" t="n">
        <x:v>492</x:v>
      </x:c>
      <x:c r="E181" s="51" t="n">
        <x:v>292</x:v>
      </x:c>
      <x:c r="F181" s="38" t="n">
        <x:v>0.1070263215140309</x:v>
      </x:c>
      <x:c r="G181" s="38" t="n">
        <x:v>0.06351968675222971</x:v>
      </x:c>
      <x:c r="H181" s="57" t="n">
        <x:v>4798.400000000001</x:v>
      </x:c>
      <x:c r="I181" s="57" t="n">
        <x:v>1.486</x:v>
      </x:c>
      <x:c r="J181" s="57" t="n">
        <x:v>10.924879253804086</x:v>
      </x:c>
      <x:c r="K181" s="57" t="n">
        <x:v>46.38731888070613</x:v>
      </x:c>
      <x:c r="L181" s="57" t="n">
        <x:v>68.41045554386591</x:v>
      </x:c>
    </x:row>
    <x:row r="182" ht="32.400001525878906" hidden="0" customHeight="1">
      <x:c r="A182" s="27" t="str">
        <x:v>Harris County, Texas</x:v>
      </x:c>
      <x:c r="B182" s="27" t="str">
        <x:v>48201250901</x:v>
      </x:c>
      <x:c r="C182" s="50" t="n">
        <x:v>4067</x:v>
      </x:c>
      <x:c r="D182" s="50" t="n">
        <x:v>395</x:v>
      </x:c>
      <x:c r="E182" s="50" t="n">
        <x:v>97</x:v>
      </x:c>
      <x:c r="F182" s="37" t="n">
        <x:v>0.0971231866240472</x:v>
      </x:c>
      <x:c r="G182" s="37" t="n">
        <x:v>0.023850504057044506</x:v>
      </x:c>
      <x:c r="H182" s="56" t="n">
        <x:v>4214.95</x:v>
      </x:c>
      <x:c r="I182" s="56" t="n">
        <x:v>1.319</x:v>
      </x:c>
      <x:c r="J182" s="56" t="n">
        <x:v>13.87260110688575</x:v>
      </x:c>
      <x:c r="K182" s="56" t="n">
        <x:v>50.80890166032862</x:v>
      </x:c>
      <x:c r="L182" s="56" t="n">
        <x:v>74.72700237189804</x:v>
      </x:c>
    </x:row>
    <x:row r="183" ht="32.400001525878906" hidden="0" customHeight="1">
      <x:c r="A183" s="29" t="str">
        <x:v>Harris County, Texas</x:v>
      </x:c>
      <x:c r="B183" s="29" t="str">
        <x:v>48201250902</x:v>
      </x:c>
      <x:c r="C183" s="51" t="n">
        <x:v>5704</x:v>
      </x:c>
      <x:c r="D183" s="51" t="n">
        <x:v>192</x:v>
      </x:c>
      <x:c r="E183" s="51" t="n">
        <x:v>0</x:v>
      </x:c>
      <x:c r="F183" s="38" t="n">
        <x:v>0.033660589060308554</x:v>
      </x:c>
      <x:c r="G183" s="38" t="n">
        <x:v>0</x:v>
      </x:c>
      <x:c r="H183" s="57" t="n">
        <x:v>5771.2</x:v>
      </x:c>
      <x:c r="I183" s="57" t="n">
        <x:v>3.128</x:v>
      </x:c>
      <x:c r="J183" s="57" t="n">
        <x:v>15.261242274711465</x:v>
      </x:c>
      <x:c r="K183" s="57" t="n">
        <x:v>52.891863412067195</x:v>
      </x:c>
      <x:c r="L183" s="57" t="n">
        <x:v>77.70266201723885</x:v>
      </x:c>
    </x:row>
    <x:row r="184" ht="32.400001525878906" hidden="0" customHeight="1">
      <x:c r="A184" s="27" t="str">
        <x:v>Harris County, Texas</x:v>
      </x:c>
      <x:c r="B184" s="27" t="str">
        <x:v>48201251000</x:v>
      </x:c>
      <x:c r="C184" s="50" t="n">
        <x:v>3363</x:v>
      </x:c>
      <x:c r="D184" s="50" t="n">
        <x:v>485</x:v>
      </x:c>
      <x:c r="E184" s="50" t="n">
        <x:v>65.5</x:v>
      </x:c>
      <x:c r="F184" s="37" t="n">
        <x:v>0.14421647338685697</x:v>
      </x:c>
      <x:c r="G184" s="37" t="n">
        <x:v>0.019476657746060066</x:v>
      </x:c>
      <x:c r="H184" s="56" t="n">
        <x:v>3539.3</x:v>
      </x:c>
      <x:c r="I184" s="56" t="n">
        <x:v>2.989</x:v>
      </x:c>
      <x:c r="J184" s="56" t="n">
        <x:v>11.908034931722467</x:v>
      </x:c>
      <x:c r="K184" s="56" t="n">
        <x:v>47.8620523975837</x:v>
      </x:c>
      <x:c r="L184" s="56" t="n">
        <x:v>70.51721771083386</x:v>
      </x:c>
    </x:row>
    <x:row r="185" ht="32.400001525878906" hidden="0" customHeight="1">
      <x:c r="A185" s="29" t="str">
        <x:v>Harris County, Texas</x:v>
      </x:c>
      <x:c r="B185" s="29" t="str">
        <x:v>48201251100</x:v>
      </x:c>
      <x:c r="C185" s="51" t="n">
        <x:v>7416</x:v>
      </x:c>
      <x:c r="D185" s="51" t="n">
        <x:v>653</x:v>
      </x:c>
      <x:c r="E185" s="51" t="n">
        <x:v>167</x:v>
      </x:c>
      <x:c r="F185" s="38" t="n">
        <x:v>0.08805285868392665</x:v>
      </x:c>
      <x:c r="G185" s="38" t="n">
        <x:v>0.02251887810140237</x:v>
      </x:c>
      <x:c r="H185" s="57" t="n">
        <x:v>7661.250000000001</x:v>
      </x:c>
      <x:c r="I185" s="57" t="n">
        <x:v>4.05</x:v>
      </x:c>
      <x:c r="J185" s="57" t="n">
        <x:v>13.178345519467044</x:v>
      </x:c>
      <x:c r="K185" s="57" t="n">
        <x:v>49.767518279200566</x:v>
      </x:c>
      <x:c r="L185" s="57" t="n">
        <x:v>73.23931182742939</x:v>
      </x:c>
    </x:row>
    <x:row r="186" ht="32.400001525878906" hidden="0" customHeight="1">
      <x:c r="A186" s="27" t="str">
        <x:v>Harris County, Texas</x:v>
      </x:c>
      <x:c r="B186" s="27" t="str">
        <x:v>48201251200</x:v>
      </x:c>
      <x:c r="C186" s="50" t="n">
        <x:v>6260</x:v>
      </x:c>
      <x:c r="D186" s="50" t="n">
        <x:v>1140</x:v>
      </x:c>
      <x:c r="E186" s="50" t="n">
        <x:v>368</x:v>
      </x:c>
      <x:c r="F186" s="37" t="n">
        <x:v>0.18210862619808307</x:v>
      </x:c>
      <x:c r="G186" s="37" t="n">
        <x:v>0.05878594249201278</x:v>
      </x:c>
      <x:c r="H186" s="56" t="n">
        <x:v>6695.8</x:v>
      </x:c>
      <x:c r="I186" s="56" t="n">
        <x:v>1.337</x:v>
      </x:c>
      <x:c r="J186" s="56" t="n">
        <x:v>15.805792512246104</x:v>
      </x:c>
      <x:c r="K186" s="56" t="n">
        <x:v>53.70868876836916</x:v>
      </x:c>
      <x:c r="L186" s="56" t="n">
        <x:v>78.86955538338451</x:v>
      </x:c>
    </x:row>
    <x:row r="187" ht="32.400001525878906" hidden="0" customHeight="1">
      <x:c r="A187" s="29" t="str">
        <x:v>Harris County, Texas</x:v>
      </x:c>
      <x:c r="B187" s="29" t="str">
        <x:v>48201251300</x:v>
      </x:c>
      <x:c r="C187" s="51" t="n">
        <x:v>7242</x:v>
      </x:c>
      <x:c r="D187" s="51" t="n">
        <x:v>742</x:v>
      </x:c>
      <x:c r="E187" s="51" t="n">
        <x:v>55</x:v>
      </x:c>
      <x:c r="F187" s="38" t="n">
        <x:v>0.10245788456227561</x:v>
      </x:c>
      <x:c r="G187" s="38" t="n">
        <x:v>0.007594587130626899</x:v>
      </x:c>
      <x:c r="H187" s="57" t="n">
        <x:v>7507.2</x:v>
      </x:c>
      <x:c r="I187" s="57" t="n">
        <x:v>2.523</x:v>
      </x:c>
      <x:c r="J187" s="57" t="n">
        <x:v>14.828367967796874</x:v>
      </x:c>
      <x:c r="K187" s="57" t="n">
        <x:v>52.24255195169531</x:v>
      </x:c>
      <x:c r="L187" s="57" t="n">
        <x:v>76.7750742167076</x:v>
      </x:c>
    </x:row>
    <x:row r="188" ht="32.400001525878906" hidden="0" customHeight="1">
      <x:c r="A188" s="27" t="str">
        <x:v>Harris County, Texas</x:v>
      </x:c>
      <x:c r="B188" s="27" t="str">
        <x:v>48201251401</x:v>
      </x:c>
      <x:c r="C188" s="50" t="n">
        <x:v>2975</x:v>
      </x:c>
      <x:c r="D188" s="50" t="n">
        <x:v>276</x:v>
      </x:c>
      <x:c r="E188" s="50" t="n">
        <x:v>7</x:v>
      </x:c>
      <x:c r="F188" s="37" t="n">
        <x:v>0.09277310924369749</x:v>
      </x:c>
      <x:c r="G188" s="37" t="n">
        <x:v>0.002352941176470588</x:v>
      </x:c>
      <x:c r="H188" s="56" t="n">
        <x:v>3072.2999999999997</x:v>
      </x:c>
      <x:c r="I188" s="56" t="n">
        <x:v>0.464</x:v>
      </x:c>
      <x:c r="J188" s="56" t="n">
        <x:v>18.831953487960554</x:v>
      </x:c>
      <x:c r="K188" s="56" t="n">
        <x:v>58.24793023194083</x:v>
      </x:c>
      <x:c r="L188" s="56" t="n">
        <x:v>85.35418604562976</x:v>
      </x:c>
    </x:row>
    <x:row r="189" ht="32.400001525878906" hidden="0" customHeight="1">
      <x:c r="A189" s="29" t="str">
        <x:v>Harris County, Texas</x:v>
      </x:c>
      <x:c r="B189" s="29" t="str">
        <x:v>48201251402</x:v>
      </x:c>
      <x:c r="C189" s="51" t="n">
        <x:v>6730</x:v>
      </x:c>
      <x:c r="D189" s="51" t="n">
        <x:v>1037</x:v>
      </x:c>
      <x:c r="E189" s="51" t="n">
        <x:v>44</x:v>
      </x:c>
      <x:c r="F189" s="38" t="n">
        <x:v>0.15408618127786033</x:v>
      </x:c>
      <x:c r="G189" s="38" t="n">
        <x:v>0.006537890044576523</x:v>
      </x:c>
      <x:c r="H189" s="57" t="n">
        <x:v>7097.349999999999</x:v>
      </x:c>
      <x:c r="I189" s="57" t="n">
        <x:v>1.031</x:v>
      </x:c>
      <x:c r="J189" s="57" t="n">
        <x:v>17.882659899216375</x:v>
      </x:c>
      <x:c r="K189" s="57" t="n">
        <x:v>56.82398984882456</x:v>
      </x:c>
      <x:c r="L189" s="57" t="n">
        <x:v>83.3199854983208</x:v>
      </x:c>
    </x:row>
    <x:row r="190" ht="32.400001525878906" hidden="0" customHeight="1">
      <x:c r="A190" s="27" t="str">
        <x:v>Harris County, Texas</x:v>
      </x:c>
      <x:c r="B190" s="27" t="str">
        <x:v>48201251501</x:v>
      </x:c>
      <x:c r="C190" s="50" t="n">
        <x:v>6877</x:v>
      </x:c>
      <x:c r="D190" s="50" t="n">
        <x:v>424</x:v>
      </x:c>
      <x:c r="E190" s="50" t="n">
        <x:v>122</x:v>
      </x:c>
      <x:c r="F190" s="37" t="n">
        <x:v>0.06165479133343028</x:v>
      </x:c>
      <x:c r="G190" s="37" t="n">
        <x:v>0.017740293732732296</x:v>
      </x:c>
      <x:c r="H190" s="56" t="n">
        <x:v>7037.600000000001</x:v>
      </x:c>
      <x:c r="I190" s="56" t="n">
        <x:v>6.914</x:v>
      </x:c>
      <x:c r="J190" s="56" t="n">
        <x:v>21.890970243331797</x:v>
      </x:c>
      <x:c r="K190" s="56" t="n">
        <x:v>62.83645536499769</x:v>
      </x:c>
      <x:c r="L190" s="56" t="n">
        <x:v>91.9092219499967</x:v>
      </x:c>
    </x:row>
    <x:row r="191" ht="32.400001525878906" hidden="0" customHeight="1">
      <x:c r="A191" s="29" t="str">
        <x:v>Harris County, Texas</x:v>
      </x:c>
      <x:c r="B191" s="29" t="str">
        <x:v>48201251503</x:v>
      </x:c>
      <x:c r="C191" s="51" t="n">
        <x:v>2767</x:v>
      </x:c>
      <x:c r="D191" s="51" t="n">
        <x:v>276</x:v>
      </x:c>
      <x:c r="E191" s="51" t="n">
        <x:v>33</x:v>
      </x:c>
      <x:c r="F191" s="38" t="n">
        <x:v>0.09974701843151428</x:v>
      </x:c>
      <x:c r="G191" s="38" t="n">
        <x:v>0.011926273942898446</x:v>
      </x:c>
      <x:c r="H191" s="57" t="n">
        <x:v>2866.9</x:v>
      </x:c>
      <x:c r="I191" s="57" t="n">
        <x:v>0.357</x:v>
      </x:c>
      <x:c r="J191" s="57" t="n">
        <x:v>17.65825394203346</x:v>
      </x:c>
      <x:c r="K191" s="57" t="n">
        <x:v>56.48738091305019</x:v>
      </x:c>
      <x:c r="L191" s="57" t="n">
        <x:v>82.8391155900717</x:v>
      </x:c>
    </x:row>
    <x:row r="192" ht="32.400001525878906" hidden="0" customHeight="1">
      <x:c r="A192" s="27" t="str">
        <x:v>Harris County, Texas</x:v>
      </x:c>
      <x:c r="B192" s="27" t="str">
        <x:v>48201251504</x:v>
      </x:c>
      <x:c r="C192" s="50" t="n">
        <x:v>5612</x:v>
      </x:c>
      <x:c r="D192" s="50" t="n">
        <x:v>412</x:v>
      </x:c>
      <x:c r="E192" s="50" t="n">
        <x:v>16</x:v>
      </x:c>
      <x:c r="F192" s="37" t="n">
        <x:v>0.07341411261582323</x:v>
      </x:c>
      <x:c r="G192" s="37" t="n">
        <x:v>0.002851033499643621</x:v>
      </x:c>
      <x:c r="H192" s="56" t="n">
        <x:v>5757.8</x:v>
      </x:c>
      <x:c r="I192" s="56" t="n">
        <x:v>1.1</x:v>
      </x:c>
      <x:c r="J192" s="56" t="n">
        <x:v>16.76736244396647</x:v>
      </x:c>
      <x:c r="K192" s="56" t="n">
        <x:v>55.1510436659497</x:v>
      </x:c>
      <x:c r="L192" s="56" t="n">
        <x:v>80.93006237992815</x:v>
      </x:c>
    </x:row>
    <x:row r="193" ht="32.400001525878906" hidden="0" customHeight="1">
      <x:c r="A193" s="29" t="str">
        <x:v>Harris County, Texas</x:v>
      </x:c>
      <x:c r="B193" s="29" t="str">
        <x:v>48201251505</x:v>
      </x:c>
      <x:c r="C193" s="51" t="n">
        <x:v>3839</x:v>
      </x:c>
      <x:c r="D193" s="51" t="n">
        <x:v>457</x:v>
      </x:c>
      <x:c r="E193" s="51" t="n">
        <x:v>36</x:v>
      </x:c>
      <x:c r="F193" s="38" t="n">
        <x:v>0.11904141703568638</x:v>
      </x:c>
      <x:c r="G193" s="38" t="n">
        <x:v>0.00937744204219849</x:v>
      </x:c>
      <x:c r="H193" s="57" t="n">
        <x:v>4002.55</x:v>
      </x:c>
      <x:c r="I193" s="57" t="n">
        <x:v>1.003</x:v>
      </x:c>
      <x:c r="J193" s="57" t="n">
        <x:v>15.4365415344079</x:v>
      </x:c>
      <x:c r="K193" s="57" t="n">
        <x:v>53.15481230161185</x:v>
      </x:c>
      <x:c r="L193" s="57" t="n">
        <x:v>78.07830328801693</x:v>
      </x:c>
    </x:row>
    <x:row r="194" ht="32.400001525878906" hidden="0" customHeight="1">
      <x:c r="A194" s="27" t="str">
        <x:v>Harris County, Texas</x:v>
      </x:c>
      <x:c r="B194" s="27" t="str">
        <x:v>48201251600</x:v>
      </x:c>
      <x:c r="C194" s="50" t="n">
        <x:v>7420</x:v>
      </x:c>
      <x:c r="D194" s="50" t="n">
        <x:v>1380</x:v>
      </x:c>
      <x:c r="E194" s="50" t="n">
        <x:v>32</x:v>
      </x:c>
      <x:c r="F194" s="37" t="n">
        <x:v>0.18598382749326145</x:v>
      </x:c>
      <x:c r="G194" s="37" t="n">
        <x:v>0.00431266846361186</x:v>
      </x:c>
      <x:c r="H194" s="56" t="n">
        <x:v>7906.2</x:v>
      </x:c>
      <x:c r="I194" s="56" t="n">
        <x:v>22.385</x:v>
      </x:c>
      <x:c r="J194" s="56" t="n">
        <x:v>24.281041866268097</x:v>
      </x:c>
      <x:c r="K194" s="56" t="n">
        <x:v>66.42156279940215</x:v>
      </x:c>
      <x:c r="L194" s="56" t="n">
        <x:v>97.03080399914592</x:v>
      </x:c>
    </x:row>
    <x:row r="195" ht="32.400001525878906" hidden="0" customHeight="1">
      <x:c r="A195" s="29" t="str">
        <x:v>Harris County, Texas</x:v>
      </x:c>
      <x:c r="B195" s="29" t="str">
        <x:v>48201251701</x:v>
      </x:c>
      <x:c r="C195" s="51" t="n">
        <x:v>4631</x:v>
      </x:c>
      <x:c r="D195" s="51" t="n">
        <x:v>817</x:v>
      </x:c>
      <x:c r="E195" s="51" t="n">
        <x:v>327</x:v>
      </x:c>
      <x:c r="F195" s="38" t="n">
        <x:v>0.17641977974519543</x:v>
      </x:c>
      <x:c r="G195" s="38" t="n">
        <x:v>0.07061109911466205</x:v>
      </x:c>
      <x:c r="H195" s="57" t="n">
        <x:v>4949.649999999999</x:v>
      </x:c>
      <x:c r="I195" s="57" t="n">
        <x:v>3.908</x:v>
      </x:c>
      <x:c r="J195" s="57" t="n">
        <x:v>16.99310882920967</x:v>
      </x:c>
      <x:c r="K195" s="57" t="n">
        <x:v>55.489663243814505</x:v>
      </x:c>
      <x:c r="L195" s="57" t="n">
        <x:v>81.41380463402072</x:v>
      </x:c>
    </x:row>
    <x:row r="196" ht="32.400001525878906" hidden="0" customHeight="1">
      <x:c r="A196" s="27" t="str">
        <x:v>Harris County, Texas</x:v>
      </x:c>
      <x:c r="B196" s="27" t="str">
        <x:v>48201251702</x:v>
      </x:c>
      <x:c r="C196" s="50" t="n">
        <x:v>3949</x:v>
      </x:c>
      <x:c r="D196" s="50" t="n">
        <x:v>639</x:v>
      </x:c>
      <x:c r="E196" s="50" t="n">
        <x:v>47</x:v>
      </x:c>
      <x:c r="F196" s="37" t="n">
        <x:v>0.16181311724487213</x:v>
      </x:c>
      <x:c r="G196" s="37" t="n">
        <x:v>0.011901747277791846</x:v>
      </x:c>
      <x:c r="H196" s="56" t="n">
        <x:v>4177.35</x:v>
      </x:c>
      <x:c r="I196" s="56" t="n">
        <x:v>23.677</x:v>
      </x:c>
      <x:c r="J196" s="56" t="n">
        <x:v>17.024767275342565</x:v>
      </x:c>
      <x:c r="K196" s="56" t="n">
        <x:v>55.537150913013846</x:v>
      </x:c>
      <x:c r="L196" s="56" t="n">
        <x:v>81.48164416144836</x:v>
      </x:c>
    </x:row>
    <x:row r="197" ht="32.400001525878906" hidden="0" customHeight="1">
      <x:c r="A197" s="29" t="str">
        <x:v>Harris County, Texas</x:v>
      </x:c>
      <x:c r="B197" s="29" t="str">
        <x:v>48201251800</x:v>
      </x:c>
      <x:c r="C197" s="51" t="n">
        <x:v>1813</x:v>
      </x:c>
      <x:c r="D197" s="51" t="n">
        <x:v>217</x:v>
      </x:c>
      <x:c r="E197" s="51" t="n">
        <x:v>64</x:v>
      </x:c>
      <x:c r="F197" s="38" t="n">
        <x:v>0.11969111969111969</x:v>
      </x:c>
      <x:c r="G197" s="38" t="n">
        <x:v>0.03530060672917816</x:v>
      </x:c>
      <x:c r="H197" s="57" t="n">
        <x:v>1895.35</x:v>
      </x:c>
      <x:c r="I197" s="57" t="n">
        <x:v>13.977</x:v>
      </x:c>
      <x:c r="J197" s="57" t="n">
        <x:v>21.1781920449083</x:v>
      </x:c>
      <x:c r="K197" s="57" t="n">
        <x:v>61.76728806736245</x:v>
      </x:c>
      <x:c r="L197" s="57" t="n">
        <x:v>90.38184009623207</x:v>
      </x:c>
    </x:row>
    <x:row r="198" ht="32.400001525878906" hidden="0" customHeight="1">
      <x:c r="A198" s="27" t="str">
        <x:v>Harris County, Texas</x:v>
      </x:c>
      <x:c r="B198" s="27" t="str">
        <x:v>48201251902</x:v>
      </x:c>
      <x:c r="C198" s="50" t="n">
        <x:v>7899</x:v>
      </x:c>
      <x:c r="D198" s="50" t="n">
        <x:v>661</x:v>
      </x:c>
      <x:c r="E198" s="50" t="n">
        <x:v>71</x:v>
      </x:c>
      <x:c r="F198" s="37" t="n">
        <x:v>0.08368147866818584</x:v>
      </x:c>
      <x:c r="G198" s="37" t="n">
        <x:v>0.008988479554373971</x:v>
      </x:c>
      <x:c r="H198" s="56" t="n">
        <x:v>8137.450000000001</x:v>
      </x:c>
      <x:c r="I198" s="56" t="n">
        <x:v>6.367</x:v>
      </x:c>
      <x:c r="J198" s="56" t="n">
        <x:v>14.5359073153098</x:v>
      </x:c>
      <x:c r="K198" s="56" t="n">
        <x:v>51.8038609729647</x:v>
      </x:c>
      <x:c r="L198" s="56" t="n">
        <x:v>76.148372818521</x:v>
      </x:c>
    </x:row>
    <x:row r="199" ht="32.400001525878906" hidden="0" customHeight="1">
      <x:c r="A199" s="29" t="str">
        <x:v>Harris County, Texas</x:v>
      </x:c>
      <x:c r="B199" s="29" t="str">
        <x:v>48201251903</x:v>
      </x:c>
      <x:c r="C199" s="51" t="n">
        <x:v>4395</x:v>
      </x:c>
      <x:c r="D199" s="51" t="n">
        <x:v>513</x:v>
      </x:c>
      <x:c r="E199" s="51" t="n">
        <x:v>16</x:v>
      </x:c>
      <x:c r="F199" s="38" t="n">
        <x:v>0.1167235494880546</x:v>
      </x:c>
      <x:c r="G199" s="38" t="n">
        <x:v>0.0036405005688282138</x:v>
      </x:c>
      <x:c r="H199" s="57" t="n">
        <x:v>4576.150000000001</x:v>
      </x:c>
      <x:c r="I199" s="57" t="n">
        <x:v>9.06</x:v>
      </x:c>
      <x:c r="J199" s="57" t="n">
        <x:v>10.152997243124311</x:v>
      </x:c>
      <x:c r="K199" s="57" t="n">
        <x:v>45.22949586468647</x:v>
      </x:c>
      <x:c r="L199" s="57" t="n">
        <x:v>66.75642266383781</x:v>
      </x:c>
    </x:row>
    <x:row r="200" ht="32.400001525878906" hidden="0" customHeight="1">
      <x:c r="A200" s="27" t="str">
        <x:v>Harris County, Texas</x:v>
      </x:c>
      <x:c r="B200" s="27" t="str">
        <x:v>48201251904</x:v>
      </x:c>
      <x:c r="C200" s="50" t="n">
        <x:v>7486</x:v>
      </x:c>
      <x:c r="D200" s="50" t="n">
        <x:v>645</x:v>
      </x:c>
      <x:c r="E200" s="50" t="n">
        <x:v>54</x:v>
      </x:c>
      <x:c r="F200" s="37" t="n">
        <x:v>0.08616083355597115</x:v>
      </x:c>
      <x:c r="G200" s="37" t="n">
        <x:v>0.007213465134918514</x:v>
      </x:c>
      <x:c r="H200" s="56" t="n">
        <x:v>7717.15</x:v>
      </x:c>
      <x:c r="I200" s="56" t="n">
        <x:v>7.259</x:v>
      </x:c>
      <x:c r="J200" s="56" t="n">
        <x:v>12.154440746856917</x:v>
      </x:c>
      <x:c r="K200" s="56" t="n">
        <x:v>48.231661120285374</x:v>
      </x:c>
      <x:c r="L200" s="56" t="n">
        <x:v>71.04523017183625</x:v>
      </x:c>
    </x:row>
    <x:row r="201" ht="32.400001525878906" hidden="0" customHeight="1">
      <x:c r="A201" s="29" t="str">
        <x:v>Harris County, Texas</x:v>
      </x:c>
      <x:c r="B201" s="29" t="str">
        <x:v>48201252001</x:v>
      </x:c>
      <x:c r="C201" s="51" t="n">
        <x:v>7718</x:v>
      </x:c>
      <x:c r="D201" s="51" t="n">
        <x:v>481</x:v>
      </x:c>
      <x:c r="E201" s="51" t="n">
        <x:v>194</x:v>
      </x:c>
      <x:c r="F201" s="38" t="n">
        <x:v>0.0623218450375745</x:v>
      </x:c>
      <x:c r="G201" s="38" t="n">
        <x:v>0.025136045607670382</x:v>
      </x:c>
      <x:c r="H201" s="57" t="n">
        <x:v>7905.75</x:v>
      </x:c>
      <x:c r="I201" s="57" t="n">
        <x:v>2.855</x:v>
      </x:c>
      <x:c r="J201" s="57" t="n">
        <x:v>2.23704693449968</x:v>
      </x:c>
      <x:c r="K201" s="57" t="n">
        <x:v>33.35557040174952</x:v>
      </x:c>
      <x:c r="L201" s="57" t="n">
        <x:v>49.793672002499314</x:v>
      </x:c>
    </x:row>
    <x:row r="202" ht="32.400001525878906" hidden="0" customHeight="1">
      <x:c r="A202" s="27" t="str">
        <x:v>Harris County, Texas</x:v>
      </x:c>
      <x:c r="B202" s="27" t="str">
        <x:v>48201252002</x:v>
      </x:c>
      <x:c r="C202" s="50" t="n">
        <x:v>6630</x:v>
      </x:c>
      <x:c r="D202" s="50" t="n">
        <x:v>273</x:v>
      </x:c>
      <x:c r="E202" s="50" t="n">
        <x:v>28</x:v>
      </x:c>
      <x:c r="F202" s="37" t="n">
        <x:v>0.041176470588235294</x:v>
      </x:c>
      <x:c r="G202" s="37" t="n">
        <x:v>0.004223227752639517</x:v>
      </x:c>
      <x:c r="H202" s="56" t="n">
        <x:v>6728.35</x:v>
      </x:c>
      <x:c r="I202" s="56" t="n">
        <x:v>9.488</x:v>
      </x:c>
      <x:c r="J202" s="56" t="n">
        <x:v>10.276928502830671</x:v>
      </x:c>
      <x:c r="K202" s="56" t="n">
        <x:v>45.41539275424601</x:v>
      </x:c>
      <x:c r="L202" s="56" t="n">
        <x:v>67.02198964892287</x:v>
      </x:c>
    </x:row>
    <x:row r="203" ht="32.400001525878906" hidden="0" customHeight="1">
      <x:c r="A203" s="29" t="str">
        <x:v>Harris County, Texas</x:v>
      </x:c>
      <x:c r="B203" s="29" t="str">
        <x:v>48201252003</x:v>
      </x:c>
      <x:c r="C203" s="51" t="n">
        <x:v>10901</x:v>
      </x:c>
      <x:c r="D203" s="51" t="n">
        <x:v>491</x:v>
      </x:c>
      <x:c r="E203" s="51" t="n">
        <x:v>0</x:v>
      </x:c>
      <x:c r="F203" s="38" t="n">
        <x:v>0.0450417392899734</x:v>
      </x:c>
      <x:c r="G203" s="38" t="n">
        <x:v>0</x:v>
      </x:c>
      <x:c r="H203" s="57" t="n">
        <x:v>11072.85</x:v>
      </x:c>
      <x:c r="I203" s="57" t="n">
        <x:v>3.49</x:v>
      </x:c>
      <x:c r="J203" s="57" t="n">
        <x:v>4.87440089107741</x:v>
      </x:c>
      <x:c r="K203" s="57" t="n">
        <x:v>37.311601336616114</x:v>
      </x:c>
      <x:c r="L203" s="57" t="n">
        <x:v>55.44514476659445</x:v>
      </x:c>
    </x:row>
    <x:row r="204" ht="32.400001525878906" hidden="0" customHeight="1">
      <x:c r="A204" s="27" t="str">
        <x:v>Harris County, Texas</x:v>
      </x:c>
      <x:c r="B204" s="27" t="str">
        <x:v>48201252100</x:v>
      </x:c>
      <x:c r="C204" s="50" t="n">
        <x:v>3992</x:v>
      </x:c>
      <x:c r="D204" s="50" t="n">
        <x:v>472</x:v>
      </x:c>
      <x:c r="E204" s="50" t="n">
        <x:v>41</x:v>
      </x:c>
      <x:c r="F204" s="37" t="n">
        <x:v>0.11823647294589178</x:v>
      </x:c>
      <x:c r="G204" s="37" t="n">
        <x:v>0.010270541082164329</x:v>
      </x:c>
      <x:c r="H204" s="56" t="n">
        <x:v>4161.3</x:v>
      </x:c>
      <x:c r="I204" s="56" t="n">
        <x:v>8.958</x:v>
      </x:c>
      <x:c r="J204" s="56" t="n">
        <x:v>12.854952696862856</x:v>
      </x:c>
      <x:c r="K204" s="56" t="n">
        <x:v>49.282429045294286</x:v>
      </x:c>
      <x:c r="L204" s="56" t="n">
        <x:v>72.54632720756327</x:v>
      </x:c>
    </x:row>
    <x:row r="205" ht="32.400001525878906" hidden="0" customHeight="1">
      <x:c r="A205" s="29" t="str">
        <x:v>Harris County, Texas</x:v>
      </x:c>
      <x:c r="B205" s="29" t="str">
        <x:v>48201252201</x:v>
      </x:c>
      <x:c r="C205" s="51" t="n">
        <x:v>5108</x:v>
      </x:c>
      <x:c r="D205" s="51" t="n">
        <x:v>280</x:v>
      </x:c>
      <x:c r="E205" s="51" t="n">
        <x:v>0</x:v>
      </x:c>
      <x:c r="F205" s="38" t="n">
        <x:v>0.0548159749412686</x:v>
      </x:c>
      <x:c r="G205" s="38" t="n">
        <x:v>0</x:v>
      </x:c>
      <x:c r="H205" s="57" t="n">
        <x:v>5206</x:v>
      </x:c>
      <x:c r="I205" s="57" t="n">
        <x:v>1.033</x:v>
      </x:c>
      <x:c r="J205" s="57" t="n">
        <x:v>19.761412422202746</x:v>
      </x:c>
      <x:c r="K205" s="57" t="n">
        <x:v>59.64211863330412</x:v>
      </x:c>
      <x:c r="L205" s="57" t="n">
        <x:v>87.34588376186304</x:v>
      </x:c>
    </x:row>
    <x:row r="206" ht="32.400001525878906" hidden="0" customHeight="1">
      <x:c r="A206" s="27" t="str">
        <x:v>Harris County, Texas</x:v>
      </x:c>
      <x:c r="B206" s="27" t="str">
        <x:v>48201252202</x:v>
      </x:c>
      <x:c r="C206" s="50" t="n">
        <x:v>6874</x:v>
      </x:c>
      <x:c r="D206" s="50" t="n">
        <x:v>681</x:v>
      </x:c>
      <x:c r="E206" s="50" t="n">
        <x:v>184</x:v>
      </x:c>
      <x:c r="F206" s="37" t="n">
        <x:v>0.0990689554844341</x:v>
      </x:c>
      <x:c r="G206" s="37" t="n">
        <x:v>0.02676752982251964</x:v>
      </x:c>
      <x:c r="H206" s="56" t="n">
        <x:v>7130.750000000001</x:v>
      </x:c>
      <x:c r="I206" s="56" t="n">
        <x:v>7.419</x:v>
      </x:c>
      <x:c r="J206" s="56" t="n">
        <x:v>18.21798811717127</x:v>
      </x:c>
      <x:c r="K206" s="56" t="n">
        <x:v>57.3269821757569</x:v>
      </x:c>
      <x:c r="L206" s="56" t="n">
        <x:v>84.038545965367</x:v>
      </x:c>
    </x:row>
    <x:row r="207" ht="32.400001525878906" hidden="0" customHeight="1">
      <x:c r="A207" s="29" t="str">
        <x:v>Harris County, Texas</x:v>
      </x:c>
      <x:c r="B207" s="29" t="str">
        <x:v>48201252303</x:v>
      </x:c>
      <x:c r="C207" s="51" t="n">
        <x:v>5424</x:v>
      </x:c>
      <x:c r="D207" s="51" t="n">
        <x:v>515</x:v>
      </x:c>
      <x:c r="E207" s="51" t="n">
        <x:v>0</x:v>
      </x:c>
      <x:c r="F207" s="38" t="n">
        <x:v>0.09494837758112094</x:v>
      </x:c>
      <x:c r="G207" s="38" t="n">
        <x:v>0</x:v>
      </x:c>
      <x:c r="H207" s="57" t="n">
        <x:v>5604.25</x:v>
      </x:c>
      <x:c r="I207" s="57" t="n">
        <x:v>0.469</x:v>
      </x:c>
      <x:c r="J207" s="57" t="n">
        <x:v>25.077002938321584</x:v>
      </x:c>
      <x:c r="K207" s="57" t="n">
        <x:v>67.61550440748238</x:v>
      </x:c>
      <x:c r="L207" s="57" t="n">
        <x:v>98.73643486783197</x:v>
      </x:c>
    </x:row>
    <x:row r="208" ht="32.400001525878906" hidden="0" customHeight="1">
      <x:c r="A208" s="27" t="str">
        <x:v>Harris County, Texas</x:v>
      </x:c>
      <x:c r="B208" s="27" t="str">
        <x:v>48201252304</x:v>
      </x:c>
      <x:c r="C208" s="50" t="n">
        <x:v>4171</x:v>
      </x:c>
      <x:c r="D208" s="50" t="n">
        <x:v>488</x:v>
      </x:c>
      <x:c r="E208" s="50" t="n">
        <x:v>0</x:v>
      </x:c>
      <x:c r="F208" s="37" t="n">
        <x:v>0.1169983217453848</x:v>
      </x:c>
      <x:c r="G208" s="37" t="n">
        <x:v>0</x:v>
      </x:c>
      <x:c r="H208" s="56" t="n">
        <x:v>4341.8</x:v>
      </x:c>
      <x:c r="I208" s="56" t="n">
        <x:v>0.587</x:v>
      </x:c>
      <x:c r="J208" s="56" t="n">
        <x:v>24.127819977603124</x:v>
      </x:c>
      <x:c r="K208" s="56" t="n">
        <x:v>66.1917299664047</x:v>
      </x:c>
      <x:c r="L208" s="56" t="n">
        <x:v>96.70247138057812</x:v>
      </x:c>
    </x:row>
    <x:row r="209" ht="32.400001525878906" hidden="0" customHeight="1">
      <x:c r="A209" s="29" t="str">
        <x:v>Harris County, Texas</x:v>
      </x:c>
      <x:c r="B209" s="29" t="str">
        <x:v>48201252305</x:v>
      </x:c>
      <x:c r="C209" s="51" t="n">
        <x:v>6006</x:v>
      </x:c>
      <x:c r="D209" s="51" t="n">
        <x:v>273</x:v>
      </x:c>
      <x:c r="E209" s="51" t="n">
        <x:v>161</x:v>
      </x:c>
      <x:c r="F209" s="38" t="n">
        <x:v>0.045454545454545456</x:v>
      </x:c>
      <x:c r="G209" s="38" t="n">
        <x:v>0.026806526806526808</x:v>
      </x:c>
      <x:c r="H209" s="57" t="n">
        <x:v>6117.65</x:v>
      </x:c>
      <x:c r="I209" s="57" t="n">
        <x:v>0.905</x:v>
      </x:c>
      <x:c r="J209" s="57" t="n">
        <x:v>23.212345314259178</x:v>
      </x:c>
      <x:c r="K209" s="57" t="n">
        <x:v>64.81851797138877</x:v>
      </x:c>
      <x:c r="L209" s="57" t="n">
        <x:v>94.74073995912681</x:v>
      </x:c>
    </x:row>
    <x:row r="210" ht="32.400001525878906" hidden="0" customHeight="1">
      <x:c r="A210" s="27" t="str">
        <x:v>Harris County, Texas</x:v>
      </x:c>
      <x:c r="B210" s="27" t="str">
        <x:v>48201252306</x:v>
      </x:c>
      <x:c r="C210" s="50" t="n">
        <x:v>10710</x:v>
      </x:c>
      <x:c r="D210" s="50" t="n">
        <x:v>613</x:v>
      </x:c>
      <x:c r="E210" s="50" t="n">
        <x:v>207</x:v>
      </x:c>
      <x:c r="F210" s="37" t="n">
        <x:v>0.057236227824463116</x:v>
      </x:c>
      <x:c r="G210" s="37" t="n">
        <x:v>0.019327731092436976</x:v>
      </x:c>
      <x:c r="H210" s="56" t="n">
        <x:v>10945.250000000002</x:v>
      </x:c>
      <x:c r="I210" s="56" t="n">
        <x:v>2.061</x:v>
      </x:c>
      <x:c r="J210" s="56" t="n">
        <x:v>24.458746029646505</x:v>
      </x:c>
      <x:c r="K210" s="56" t="n">
        <x:v>66.68811904446976</x:v>
      </x:c>
      <x:c r="L210" s="56" t="n">
        <x:v>97.4115986349568</x:v>
      </x:c>
    </x:row>
    <x:row r="211" ht="32.400001525878906" hidden="0" customHeight="1">
      <x:c r="A211" s="29" t="str">
        <x:v>Harris County, Texas</x:v>
      </x:c>
      <x:c r="B211" s="29" t="str">
        <x:v>48201252400</x:v>
      </x:c>
      <x:c r="C211" s="51" t="n">
        <x:v>6395</x:v>
      </x:c>
      <x:c r="D211" s="51" t="n">
        <x:v>1066</x:v>
      </x:c>
      <x:c r="E211" s="51" t="n">
        <x:v>191</x:v>
      </x:c>
      <x:c r="F211" s="38" t="n">
        <x:v>0.1666927286942924</x:v>
      </x:c>
      <x:c r="G211" s="38" t="n">
        <x:v>0.02986708365910868</x:v>
      </x:c>
      <x:c r="H211" s="57" t="n">
        <x:v>6787.200000000001</x:v>
      </x:c>
      <x:c r="I211" s="57" t="n">
        <x:v>2.055</x:v>
      </x:c>
      <x:c r="J211" s="57" t="n">
        <x:v>25.498143406476075</x:v>
      </x:c>
      <x:c r="K211" s="57" t="n">
        <x:v>68.24721510971412</x:v>
      </x:c>
      <x:c r="L211" s="57" t="n">
        <x:v>99.63887872816302</x:v>
      </x:c>
    </x:row>
    <x:row r="212" ht="32.400001525878906" hidden="0" customHeight="1">
      <x:c r="A212" s="27" t="str">
        <x:v>Harris County, Texas</x:v>
      </x:c>
      <x:c r="B212" s="27" t="str">
        <x:v>48201252500</x:v>
      </x:c>
      <x:c r="C212" s="50" t="n">
        <x:v>4545</x:v>
      </x:c>
      <x:c r="D212" s="50" t="n">
        <x:v>636</x:v>
      </x:c>
      <x:c r="E212" s="50" t="n">
        <x:v>178</x:v>
      </x:c>
      <x:c r="F212" s="37" t="n">
        <x:v>0.13993399339933993</x:v>
      </x:c>
      <x:c r="G212" s="37" t="n">
        <x:v>0.039163916391639166</x:v>
      </x:c>
      <x:c r="H212" s="56" t="n">
        <x:v>4785.4</x:v>
      </x:c>
      <x:c r="I212" s="56" t="n">
        <x:v>11.702</x:v>
      </x:c>
      <x:c r="J212" s="56" t="n">
        <x:v>23.47777171124068</x:v>
      </x:c>
      <x:c r="K212" s="56" t="n">
        <x:v>65.21665756686102</x:v>
      </x:c>
      <x:c r="L212" s="56" t="n">
        <x:v>95.30951080980145</x:v>
      </x:c>
    </x:row>
    <x:row r="213" ht="32.400001525878906" hidden="0" customHeight="1">
      <x:c r="A213" s="29" t="str">
        <x:v>Harris County, Texas</x:v>
      </x:c>
      <x:c r="B213" s="29" t="str">
        <x:v>48201252601</x:v>
      </x:c>
      <x:c r="C213" s="51" t="n">
        <x:v>3589</x:v>
      </x:c>
      <x:c r="D213" s="51" t="n">
        <x:v>738</x:v>
      </x:c>
      <x:c r="E213" s="51" t="n">
        <x:v>144</x:v>
      </x:c>
      <x:c r="F213" s="38" t="n">
        <x:v>0.20562830872109222</x:v>
      </x:c>
      <x:c r="G213" s="38" t="n">
        <x:v>0.04012259682362775</x:v>
      </x:c>
      <x:c r="H213" s="57" t="n">
        <x:v>3861.7000000000007</x:v>
      </x:c>
      <x:c r="I213" s="57" t="n">
        <x:v>1.494</x:v>
      </x:c>
      <x:c r="J213" s="57" t="n">
        <x:v>22.200896488871752</x:v>
      </x:c>
      <x:c r="K213" s="57" t="n">
        <x:v>63.30134473330763</x:v>
      </x:c>
      <x:c r="L213" s="57" t="n">
        <x:v>92.5733496190109</x:v>
      </x:c>
    </x:row>
    <x:row r="214" ht="32.400001525878906" hidden="0" customHeight="1">
      <x:c r="A214" s="27" t="str">
        <x:v>Harris County, Texas</x:v>
      </x:c>
      <x:c r="B214" s="27" t="str">
        <x:v>48201252602</x:v>
      </x:c>
      <x:c r="C214" s="50" t="n">
        <x:v>3860</x:v>
      </x:c>
      <x:c r="D214" s="50" t="n">
        <x:v>590</x:v>
      </x:c>
      <x:c r="E214" s="50" t="n">
        <x:v>0</x:v>
      </x:c>
      <x:c r="F214" s="37" t="n">
        <x:v>0.15284974093264247</x:v>
      </x:c>
      <x:c r="G214" s="37" t="n">
        <x:v>0</x:v>
      </x:c>
      <x:c r="H214" s="56" t="n">
        <x:v>4066.5</x:v>
      </x:c>
      <x:c r="I214" s="56" t="n">
        <x:v>11.413</x:v>
      </x:c>
      <x:c r="J214" s="56" t="n">
        <x:v>20.109831010881393</x:v>
      </x:c>
      <x:c r="K214" s="56" t="n">
        <x:v>60.16474651632209</x:v>
      </x:c>
      <x:c r="L214" s="56" t="n">
        <x:v>88.09249502331727</x:v>
      </x:c>
    </x:row>
    <x:row r="215" ht="32.400001525878906" hidden="0" customHeight="1">
      <x:c r="A215" s="29" t="str">
        <x:v>Harris County, Texas</x:v>
      </x:c>
      <x:c r="B215" s="29" t="str">
        <x:v>48201252700</x:v>
      </x:c>
      <x:c r="C215" s="51" t="n">
        <x:v>5593</x:v>
      </x:c>
      <x:c r="D215" s="51" t="n">
        <x:v>575</x:v>
      </x:c>
      <x:c r="E215" s="51" t="n">
        <x:v>254</x:v>
      </x:c>
      <x:c r="F215" s="38" t="n">
        <x:v>0.10280708027892008</x:v>
      </x:c>
      <x:c r="G215" s="38" t="n">
        <x:v>0.04541391024494904</x:v>
      </x:c>
      <x:c r="H215" s="57" t="n">
        <x:v>5819.650000000001</x:v>
      </x:c>
      <x:c r="I215" s="57" t="n">
        <x:v>18.157</x:v>
      </x:c>
      <x:c r="J215" s="57" t="n">
        <x:v>23.47170031559161</x:v>
      </x:c>
      <x:c r="K215" s="57" t="n">
        <x:v>65.20755047338741</x:v>
      </x:c>
      <x:c r="L215" s="57" t="n">
        <x:v>95.29650067626774</x:v>
      </x:c>
    </x:row>
    <x:row r="216" ht="32.400001525878906" hidden="0" customHeight="1">
      <x:c r="A216" s="27" t="str">
        <x:v>Harris County, Texas</x:v>
      </x:c>
      <x:c r="B216" s="27" t="str">
        <x:v>48201252800</x:v>
      </x:c>
      <x:c r="C216" s="50" t="n">
        <x:v>6690</x:v>
      </x:c>
      <x:c r="D216" s="50" t="n">
        <x:v>1043</x:v>
      </x:c>
      <x:c r="E216" s="50" t="n">
        <x:v>395.5</x:v>
      </x:c>
      <x:c r="F216" s="37" t="n">
        <x:v>0.15590433482810165</x:v>
      </x:c>
      <x:c r="G216" s="37" t="n">
        <x:v>0.05911808669656203</x:v>
      </x:c>
      <x:c r="H216" s="56" t="n">
        <x:v>7094.599999999999</x:v>
      </x:c>
      <x:c r="I216" s="56" t="n">
        <x:v>23.555</x:v>
      </x:c>
      <x:c r="J216" s="56" t="n">
        <x:v>16.568581418199383</x:v>
      </x:c>
      <x:c r="K216" s="56" t="n">
        <x:v>54.85287212729907</x:v>
      </x:c>
      <x:c r="L216" s="56" t="n">
        <x:v>80.50410303899868</x:v>
      </x:c>
    </x:row>
    <x:row r="217" ht="32.400001525878906" hidden="0" customHeight="1">
      <x:c r="A217" s="29" t="str">
        <x:v>Harris County, Texas</x:v>
      </x:c>
      <x:c r="B217" s="29" t="str">
        <x:v>48201252901</x:v>
      </x:c>
      <x:c r="C217" s="51" t="n">
        <x:v>2248</x:v>
      </x:c>
      <x:c r="D217" s="51" t="n">
        <x:v>393</x:v>
      </x:c>
      <x:c r="E217" s="51" t="n">
        <x:v>13</x:v>
      </x:c>
      <x:c r="F217" s="38" t="n">
        <x:v>0.1748220640569395</x:v>
      </x:c>
      <x:c r="G217" s="38" t="n">
        <x:v>0.005782918149466192</x:v>
      </x:c>
      <x:c r="H217" s="57" t="n">
        <x:v>2386.85</x:v>
      </x:c>
      <x:c r="I217" s="57" t="n">
        <x:v>1.582</x:v>
      </x:c>
      <x:c r="J217" s="57" t="n">
        <x:v>17.859023035866986</x:v>
      </x:c>
      <x:c r="K217" s="57" t="n">
        <x:v>56.78853455380048</x:v>
      </x:c>
      <x:c r="L217" s="57" t="n">
        <x:v>83.26933507685783</x:v>
      </x:c>
    </x:row>
    <x:row r="218" ht="32.400001525878906" hidden="0" customHeight="1">
      <x:c r="A218" s="27" t="str">
        <x:v>Harris County, Texas</x:v>
      </x:c>
      <x:c r="B218" s="27" t="str">
        <x:v>48201252902</x:v>
      </x:c>
      <x:c r="C218" s="50" t="n">
        <x:v>6326</x:v>
      </x:c>
      <x:c r="D218" s="50" t="n">
        <x:v>1180</x:v>
      </x:c>
      <x:c r="E218" s="50" t="n">
        <x:v>77</x:v>
      </x:c>
      <x:c r="F218" s="37" t="n">
        <x:v>0.18653177363262724</x:v>
      </x:c>
      <x:c r="G218" s="37" t="n">
        <x:v>0.012171988618400253</x:v>
      </x:c>
      <x:c r="H218" s="56" t="n">
        <x:v>6746.700000000001</x:v>
      </x:c>
      <x:c r="I218" s="56" t="n">
        <x:v>3.854</x:v>
      </x:c>
      <x:c r="J218" s="56" t="n">
        <x:v>14.207781552511516</x:v>
      </x:c>
      <x:c r="K218" s="56" t="n">
        <x:v>51.31167232876727</x:v>
      </x:c>
      <x:c r="L218" s="56" t="n">
        <x:v>75.44524618395326</x:v>
      </x:c>
    </x:row>
    <x:row r="219" ht="32.400001525878906" hidden="0" customHeight="1">
      <x:c r="A219" s="29" t="str">
        <x:v>Harris County, Texas</x:v>
      </x:c>
      <x:c r="B219" s="29" t="str">
        <x:v>48201253000</x:v>
      </x:c>
      <x:c r="C219" s="51" t="n">
        <x:v>4898</x:v>
      </x:c>
      <x:c r="D219" s="51" t="n">
        <x:v>861</x:v>
      </x:c>
      <x:c r="E219" s="51" t="n">
        <x:v>105</x:v>
      </x:c>
      <x:c r="F219" s="38" t="n">
        <x:v>0.17578603511637403</x:v>
      </x:c>
      <x:c r="G219" s="38" t="n">
        <x:v>0.02143732135565537</x:v>
      </x:c>
      <x:c r="H219" s="57" t="n">
        <x:v>5209.85</x:v>
      </x:c>
      <x:c r="I219" s="57" t="n">
        <x:v>5.786</x:v>
      </x:c>
      <x:c r="J219" s="57" t="n">
        <x:v>12.53862702882992</x:v>
      </x:c>
      <x:c r="K219" s="57" t="n">
        <x:v>48.80794054324488</x:v>
      </x:c>
      <x:c r="L219" s="57" t="n">
        <x:v>71.86848649034982</x:v>
      </x:c>
    </x:row>
    <x:row r="220" ht="32.400001525878906" hidden="0" customHeight="1">
      <x:c r="A220" s="27" t="str">
        <x:v>Harris County, Texas</x:v>
      </x:c>
      <x:c r="B220" s="27" t="str">
        <x:v>48201253101</x:v>
      </x:c>
      <x:c r="C220" s="50" t="n">
        <x:v>6234</x:v>
      </x:c>
      <x:c r="D220" s="50" t="n">
        <x:v>1051</x:v>
      </x:c>
      <x:c r="E220" s="50" t="n">
        <x:v>241</x:v>
      </x:c>
      <x:c r="F220" s="37" t="n">
        <x:v>0.1685915944818736</x:v>
      </x:c>
      <x:c r="G220" s="37" t="n">
        <x:v>0.03865896695540584</x:v>
      </x:c>
      <x:c r="H220" s="56" t="n">
        <x:v>6625.949999999999</x:v>
      </x:c>
      <x:c r="I220" s="56" t="n">
        <x:v>1.107</x:v>
      </x:c>
      <x:c r="J220" s="56" t="n">
        <x:v>8.78080122509155</x:v>
      </x:c>
      <x:c r="K220" s="56" t="n">
        <x:v>43.17120183763733</x:v>
      </x:c>
      <x:c r="L220" s="56" t="n">
        <x:v>63.81600262519618</x:v>
      </x:c>
    </x:row>
    <x:row r="221" ht="32.400001525878906" hidden="0" customHeight="1">
      <x:c r="A221" s="29" t="str">
        <x:v>Harris County, Texas</x:v>
      </x:c>
      <x:c r="B221" s="29" t="str">
        <x:v>48201253102</x:v>
      </x:c>
      <x:c r="C221" s="51" t="n">
        <x:v>8338</x:v>
      </x:c>
      <x:c r="D221" s="51" t="n">
        <x:v>375</x:v>
      </x:c>
      <x:c r="E221" s="51" t="n">
        <x:v>178.5</x:v>
      </x:c>
      <x:c r="F221" s="38" t="n">
        <x:v>0.0449748141041017</x:v>
      </x:c>
      <x:c r="G221" s="38" t="n">
        <x:v>0.02140801151355241</x:v>
      </x:c>
      <x:c r="H221" s="57" t="n">
        <x:v>8487.1</x:v>
      </x:c>
      <x:c r="I221" s="57" t="n">
        <x:v>10.036</x:v>
      </x:c>
      <x:c r="J221" s="57" t="n">
        <x:v>9.515815525643454</x:v>
      </x:c>
      <x:c r="K221" s="57" t="n">
        <x:v>44.27372328846518</x:v>
      </x:c>
      <x:c r="L221" s="57" t="n">
        <x:v>65.39103326923598</x:v>
      </x:c>
    </x:row>
    <x:row r="222" ht="32.400001525878906" hidden="0" customHeight="1">
      <x:c r="A222" s="27" t="str">
        <x:v>Harris County, Texas</x:v>
      </x:c>
      <x:c r="B222" s="27" t="str">
        <x:v>48201253201</x:v>
      </x:c>
      <x:c r="C222" s="50" t="n">
        <x:v>6350</x:v>
      </x:c>
      <x:c r="D222" s="50" t="n">
        <x:v>783</x:v>
      </x:c>
      <x:c r="E222" s="50" t="n">
        <x:v>207</x:v>
      </x:c>
      <x:c r="F222" s="37" t="n">
        <x:v>0.12330708661417322</x:v>
      </x:c>
      <x:c r="G222" s="37" t="n">
        <x:v>0.03259842519685039</x:v>
      </x:c>
      <x:c r="H222" s="56" t="n">
        <x:v>6644.75</x:v>
      </x:c>
      <x:c r="I222" s="56" t="n">
        <x:v>6.729</x:v>
      </x:c>
      <x:c r="J222" s="56" t="n">
        <x:v>5.276295446802441</x:v>
      </x:c>
      <x:c r="K222" s="56" t="n">
        <x:v>37.91444317020366</x:v>
      </x:c>
      <x:c r="L222" s="56" t="n">
        <x:v>56.30634738600523</x:v>
      </x:c>
    </x:row>
    <x:row r="223" ht="32.400001525878906" hidden="0" customHeight="1">
      <x:c r="A223" s="29" t="str">
        <x:v>Harris County, Texas</x:v>
      </x:c>
      <x:c r="B223" s="29" t="str">
        <x:v>48201253202</x:v>
      </x:c>
      <x:c r="C223" s="51" t="n">
        <x:v>5206</x:v>
      </x:c>
      <x:c r="D223" s="51" t="n">
        <x:v>1012</x:v>
      </x:c>
      <x:c r="E223" s="51" t="n">
        <x:v>582</x:v>
      </x:c>
      <x:c r="F223" s="38" t="n">
        <x:v>0.19439108720706877</x:v>
      </x:c>
      <x:c r="G223" s="38" t="n">
        <x:v>0.11179408374951978</x:v>
      </x:c>
      <x:c r="H223" s="57" t="n">
        <x:v>5618.4</x:v>
      </x:c>
      <x:c r="I223" s="57" t="n">
        <x:v>7.301</x:v>
      </x:c>
      <x:c r="J223" s="57" t="n">
        <x:v>6.840380452676816</x:v>
      </x:c>
      <x:c r="K223" s="57" t="n">
        <x:v>40.260570679015224</x:v>
      </x:c>
      <x:c r="L223" s="57" t="n">
        <x:v>59.65795811287889</x:v>
      </x:c>
    </x:row>
    <x:row r="224" ht="32.400001525878906" hidden="0" customHeight="1">
      <x:c r="A224" s="27" t="str">
        <x:v>Harris County, Texas</x:v>
      </x:c>
      <x:c r="B224" s="27" t="str">
        <x:v>48201253300</x:v>
      </x:c>
      <x:c r="C224" s="50" t="n">
        <x:v>3682</x:v>
      </x:c>
      <x:c r="D224" s="50" t="n">
        <x:v>441</x:v>
      </x:c>
      <x:c r="E224" s="50" t="n">
        <x:v>94</x:v>
      </x:c>
      <x:c r="F224" s="37" t="n">
        <x:v>0.11977186311787072</x:v>
      </x:c>
      <x:c r="G224" s="37" t="n">
        <x:v>0.025529603476371537</x:v>
      </x:c>
      <x:c r="H224" s="56" t="n">
        <x:v>3845.7499999999995</x:v>
      </x:c>
      <x:c r="I224" s="56" t="n">
        <x:v>2.989</x:v>
      </x:c>
      <x:c r="J224" s="56" t="n">
        <x:v>12.350434906054957</x:v>
      </x:c>
      <x:c r="K224" s="56" t="n">
        <x:v>48.525652359082436</x:v>
      </x:c>
      <x:c r="L224" s="56" t="n">
        <x:v>71.46521765583205</x:v>
      </x:c>
    </x:row>
    <x:row r="225" ht="32.400001525878906" hidden="0" customHeight="1">
      <x:c r="A225" s="29" t="str">
        <x:v>Harris County, Texas</x:v>
      </x:c>
      <x:c r="B225" s="29" t="str">
        <x:v>48201253501</x:v>
      </x:c>
      <x:c r="C225" s="51" t="n">
        <x:v>8781</x:v>
      </x:c>
      <x:c r="D225" s="51" t="n">
        <x:v>841</x:v>
      </x:c>
      <x:c r="E225" s="51" t="n">
        <x:v>172</x:v>
      </x:c>
      <x:c r="F225" s="38" t="n">
        <x:v>0.09577496868238242</x:v>
      </x:c>
      <x:c r="G225" s="38" t="n">
        <x:v>0.019587746270356452</x:v>
      </x:c>
      <x:c r="H225" s="57" t="n">
        <x:v>9092.55</x:v>
      </x:c>
      <x:c r="I225" s="57" t="n">
        <x:v>0.936</x:v>
      </x:c>
      <x:c r="J225" s="57" t="n">
        <x:v>5.044013118935556</x:v>
      </x:c>
      <x:c r="K225" s="57" t="n">
        <x:v>37.566019678403336</x:v>
      </x:c>
      <x:c r="L225" s="57" t="n">
        <x:v>55.808599540576196</x:v>
      </x:c>
    </x:row>
    <x:row r="226" ht="32.400001525878906" hidden="0" customHeight="1">
      <x:c r="A226" s="27" t="str">
        <x:v>Harris County, Texas</x:v>
      </x:c>
      <x:c r="B226" s="27" t="str">
        <x:v>48201253502</x:v>
      </x:c>
      <x:c r="C226" s="50" t="n">
        <x:v>3665</x:v>
      </x:c>
      <x:c r="D226" s="50" t="n">
        <x:v>505</x:v>
      </x:c>
      <x:c r="E226" s="50" t="n">
        <x:v>143</x:v>
      </x:c>
      <x:c r="F226" s="37" t="n">
        <x:v>0.1377899045020464</x:v>
      </x:c>
      <x:c r="G226" s="37" t="n">
        <x:v>0.03901773533424284</x:v>
      </x:c>
      <x:c r="H226" s="56" t="n">
        <x:v>3856.05</x:v>
      </x:c>
      <x:c r="I226" s="56" t="n">
        <x:v>1.324</x:v>
      </x:c>
      <x:c r="J226" s="56" t="n">
        <x:v>8.573190407849438</x:v>
      </x:c>
      <x:c r="K226" s="56" t="n">
        <x:v>42.85978561177416</x:v>
      </x:c>
      <x:c r="L226" s="56" t="n">
        <x:v>63.37112230253451</x:v>
      </x:c>
    </x:row>
    <x:row r="227" ht="32.400001525878906" hidden="0" customHeight="1">
      <x:c r="A227" s="29" t="str">
        <x:v>Harris County, Texas</x:v>
      </x:c>
      <x:c r="B227" s="29" t="str">
        <x:v>48201253601</x:v>
      </x:c>
      <x:c r="C227" s="51" t="n">
        <x:v>4254</x:v>
      </x:c>
      <x:c r="D227" s="51" t="n">
        <x:v>484</x:v>
      </x:c>
      <x:c r="E227" s="51" t="n">
        <x:v>148</x:v>
      </x:c>
      <x:c r="F227" s="38" t="n">
        <x:v>0.11377527033380348</x:v>
      </x:c>
      <x:c r="G227" s="38" t="n">
        <x:v>0.034790785143394454</x:v>
      </x:c>
      <x:c r="H227" s="57" t="n">
        <x:v>4438.2</x:v>
      </x:c>
      <x:c r="I227" s="57" t="n">
        <x:v>1.204</x:v>
      </x:c>
      <x:c r="J227" s="57" t="n">
        <x:v>6.308814164524409</x:v>
      </x:c>
      <x:c r="K227" s="57" t="n">
        <x:v>39.46322124678662</x:v>
      </x:c>
      <x:c r="L227" s="57" t="n">
        <x:v>58.518887495409444</x:v>
      </x:c>
    </x:row>
    <x:row r="228" ht="32.400001525878906" hidden="0" customHeight="1">
      <x:c r="A228" s="27" t="str">
        <x:v>Harris County, Texas</x:v>
      </x:c>
      <x:c r="B228" s="27" t="str">
        <x:v>48201253602</x:v>
      </x:c>
      <x:c r="C228" s="50" t="n">
        <x:v>4180</x:v>
      </x:c>
      <x:c r="D228" s="50" t="n">
        <x:v>778</x:v>
      </x:c>
      <x:c r="E228" s="50" t="n">
        <x:v>364.5</x:v>
      </x:c>
      <x:c r="F228" s="37" t="n">
        <x:v>0.1861244019138756</x:v>
      </x:c>
      <x:c r="G228" s="37" t="n">
        <x:v>0.08720095693779904</x:v>
      </x:c>
      <x:c r="H228" s="56" t="n">
        <x:v>4488.749999999999</x:v>
      </x:c>
      <x:c r="I228" s="56" t="n">
        <x:v>0.926</x:v>
      </x:c>
      <x:c r="J228" s="56" t="n">
        <x:v>5.336285758921084</x:v>
      </x:c>
      <x:c r="K228" s="56" t="n">
        <x:v>38.004428638381626</x:v>
      </x:c>
      <x:c r="L228" s="56" t="n">
        <x:v>56.434898054830896</x:v>
      </x:c>
    </x:row>
    <x:row r="229" ht="32.400001525878906" hidden="0" customHeight="1">
      <x:c r="A229" s="29" t="str">
        <x:v>Harris County, Texas</x:v>
      </x:c>
      <x:c r="B229" s="29" t="str">
        <x:v>48201253700</x:v>
      </x:c>
      <x:c r="C229" s="51" t="n">
        <x:v>5854</x:v>
      </x:c>
      <x:c r="D229" s="51" t="n">
        <x:v>702</x:v>
      </x:c>
      <x:c r="E229" s="51" t="n">
        <x:v>294</x:v>
      </x:c>
      <x:c r="F229" s="38" t="n">
        <x:v>0.11991800478305432</x:v>
      </x:c>
      <x:c r="G229" s="38" t="n">
        <x:v>0.05022207037922788</x:v>
      </x:c>
      <x:c r="H229" s="57" t="n">
        <x:v>6129.1</x:v>
      </x:c>
      <x:c r="I229" s="57" t="n">
        <x:v>1.574</x:v>
      </x:c>
      <x:c r="J229" s="57" t="n">
        <x:v>3.3910037266581825</x:v>
      </x:c>
      <x:c r="K229" s="57" t="n">
        <x:v>35.086505589987276</x:v>
      </x:c>
      <x:c r="L229" s="57" t="n">
        <x:v>52.26643655712468</x:v>
      </x:c>
    </x:row>
    <x:row r="230" ht="32.400001525878906" hidden="0" customHeight="1">
      <x:c r="A230" s="27" t="str">
        <x:v>Harris County, Texas</x:v>
      </x:c>
      <x:c r="B230" s="27" t="str">
        <x:v>48201253800</x:v>
      </x:c>
      <x:c r="C230" s="50" t="n">
        <x:v>7805</x:v>
      </x:c>
      <x:c r="D230" s="50" t="n">
        <x:v>1049</x:v>
      </x:c>
      <x:c r="E230" s="50" t="n">
        <x:v>594</x:v>
      </x:c>
      <x:c r="F230" s="37" t="n">
        <x:v>0.13440102498398462</x:v>
      </x:c>
      <x:c r="G230" s="37" t="n">
        <x:v>0.07610506085842408</x:v>
      </x:c>
      <x:c r="H230" s="56" t="n">
        <x:v>8231.550000000001</x:v>
      </x:c>
      <x:c r="I230" s="56" t="n">
        <x:v>2.914</x:v>
      </x:c>
      <x:c r="J230" s="56" t="n">
        <x:v>0</x:v>
      </x:c>
      <x:c r="K230" s="56" t="n">
        <x:v>30</x:v>
      </x:c>
      <x:c r="L230" s="56" t="n">
        <x:v>45</x:v>
      </x:c>
    </x:row>
    <x:row r="231" ht="32.400001525878906" hidden="0" customHeight="1">
      <x:c r="A231" s="29" t="str">
        <x:v>Harris County, Texas</x:v>
      </x:c>
      <x:c r="B231" s="29" t="str">
        <x:v>48201253900</x:v>
      </x:c>
      <x:c r="C231" s="51" t="n">
        <x:v>4042</x:v>
      </x:c>
      <x:c r="D231" s="51" t="n">
        <x:v>399</x:v>
      </x:c>
      <x:c r="E231" s="51" t="n">
        <x:v>34</x:v>
      </x:c>
      <x:c r="F231" s="38" t="n">
        <x:v>0.09871350816427511</x:v>
      </x:c>
      <x:c r="G231" s="38" t="n">
        <x:v>0.008411677387431964</x:v>
      </x:c>
      <x:c r="H231" s="57" t="n">
        <x:v>4185.05</x:v>
      </x:c>
      <x:c r="I231" s="57" t="n">
        <x:v>1.698</x:v>
      </x:c>
      <x:c r="J231" s="57" t="n">
        <x:v>2.765074069561215</x:v>
      </x:c>
      <x:c r="K231" s="57" t="n">
        <x:v>34.14761110434182</x:v>
      </x:c>
      <x:c r="L231" s="57" t="n">
        <x:v>50.92515872048832</x:v>
      </x:c>
    </x:row>
    <x:row r="232" ht="32.400001525878906" hidden="0" customHeight="1">
      <x:c r="A232" s="27" t="str">
        <x:v>Harris County, Texas</x:v>
      </x:c>
      <x:c r="B232" s="27" t="str">
        <x:v>48201254000</x:v>
      </x:c>
      <x:c r="C232" s="50" t="n">
        <x:v>3662</x:v>
      </x:c>
      <x:c r="D232" s="50" t="n">
        <x:v>510</x:v>
      </x:c>
      <x:c r="E232" s="50" t="n">
        <x:v>219</x:v>
      </x:c>
      <x:c r="F232" s="37" t="n">
        <x:v>0.13926815947569635</x:v>
      </x:c>
      <x:c r="G232" s="37" t="n">
        <x:v>0.059803386127799014</x:v>
      </x:c>
      <x:c r="H232" s="56" t="n">
        <x:v>3862.3999999999996</x:v>
      </x:c>
      <x:c r="I232" s="56" t="n">
        <x:v>0.991</x:v>
      </x:c>
      <x:c r="J232" s="56" t="n">
        <x:v>4.858998265140344</x:v>
      </x:c>
      <x:c r="K232" s="56" t="n">
        <x:v>37.288497397710515</x:v>
      </x:c>
      <x:c r="L232" s="56" t="n">
        <x:v>55.41213913958645</x:v>
      </x:c>
    </x:row>
    <x:row r="233" ht="32.400001525878906" hidden="0" customHeight="1">
      <x:c r="A233" s="29" t="str">
        <x:v>Harris County, Texas</x:v>
      </x:c>
      <x:c r="B233" s="29" t="str">
        <x:v>48201254100</x:v>
      </x:c>
      <x:c r="C233" s="51" t="n">
        <x:v>6092</x:v>
      </x:c>
      <x:c r="D233" s="51" t="n">
        <x:v>810</x:v>
      </x:c>
      <x:c r="E233" s="51" t="n">
        <x:v>635</x:v>
      </x:c>
      <x:c r="F233" s="38" t="n">
        <x:v>0.1329612606697308</x:v>
      </x:c>
      <x:c r="G233" s="38" t="n">
        <x:v>0.10423506237688772</x:v>
      </x:c>
      <x:c r="H233" s="57" t="n">
        <x:v>6439</x:v>
      </x:c>
      <x:c r="I233" s="57" t="n">
        <x:v>1.246</x:v>
      </x:c>
      <x:c r="J233" s="57" t="n">
        <x:v>3.1845719891462894</x:v>
      </x:c>
      <x:c r="K233" s="57" t="n">
        <x:v>34.77685798371943</x:v>
      </x:c>
      <x:c r="L233" s="57" t="n">
        <x:v>51.82408283388491</x:v>
      </x:c>
    </x:row>
    <x:row r="234" ht="32.400001525878906" hidden="0" customHeight="1">
      <x:c r="A234" s="27" t="str">
        <x:v>Harris County, Texas</x:v>
      </x:c>
      <x:c r="B234" s="27" t="str">
        <x:v>48201254200</x:v>
      </x:c>
      <x:c r="C234" s="50" t="n">
        <x:v>2570</x:v>
      </x:c>
      <x:c r="D234" s="50" t="n">
        <x:v>363</x:v>
      </x:c>
      <x:c r="E234" s="50" t="n">
        <x:v>325</x:v>
      </x:c>
      <x:c r="F234" s="37" t="n">
        <x:v>0.14124513618677043</x:v>
      </x:c>
      <x:c r="G234" s="37" t="n">
        <x:v>0.1264591439688716</x:v>
      </x:c>
      <x:c r="H234" s="56" t="n">
        <x:v>2729.5499999999997</x:v>
      </x:c>
      <x:c r="I234" s="56" t="n">
        <x:v>0.487</x:v>
      </x:c>
      <x:c r="J234" s="56" t="n">
        <x:v>6.058123739960579</x:v>
      </x:c>
      <x:c r="K234" s="56" t="n">
        <x:v>39.08718560994087</x:v>
      </x:c>
      <x:c r="L234" s="56" t="n">
        <x:v>57.98169372848696</x:v>
      </x:c>
    </x:row>
    <x:row r="235" ht="32.400001525878906" hidden="0" customHeight="1">
      <x:c r="A235" s="29" t="str">
        <x:v>Harris County, Texas</x:v>
      </x:c>
      <x:c r="B235" s="29" t="str">
        <x:v>48201254300</x:v>
      </x:c>
      <x:c r="C235" s="51" t="n">
        <x:v>5272</x:v>
      </x:c>
      <x:c r="D235" s="51" t="n">
        <x:v>598</x:v>
      </x:c>
      <x:c r="E235" s="51" t="n">
        <x:v>372</x:v>
      </x:c>
      <x:c r="F235" s="38" t="n">
        <x:v>0.11342943854324734</x:v>
      </x:c>
      <x:c r="G235" s="38" t="n">
        <x:v>0.07056145675265554</x:v>
      </x:c>
      <x:c r="H235" s="57" t="n">
        <x:v>5518.500000000001</x:v>
      </x:c>
      <x:c r="I235" s="57" t="n">
        <x:v>1.165</x:v>
      </x:c>
      <x:c r="J235" s="57" t="n">
        <x:v>5.078608635830078</x:v>
      </x:c>
      <x:c r="K235" s="57" t="n">
        <x:v>37.61791295374512</x:v>
      </x:c>
      <x:c r="L235" s="57" t="n">
        <x:v>55.882732791064456</x:v>
      </x:c>
    </x:row>
    <x:row r="236" ht="32.400001525878906" hidden="0" customHeight="1">
      <x:c r="A236" s="27" t="str">
        <x:v>Harris County, Texas</x:v>
      </x:c>
      <x:c r="B236" s="27" t="str">
        <x:v>48201254400</x:v>
      </x:c>
      <x:c r="C236" s="50" t="n">
        <x:v>2594</x:v>
      </x:c>
      <x:c r="D236" s="50" t="n">
        <x:v>372</x:v>
      </x:c>
      <x:c r="E236" s="50" t="n">
        <x:v>126</x:v>
      </x:c>
      <x:c r="F236" s="37" t="n">
        <x:v>0.14340786430223593</x:v>
      </x:c>
      <x:c r="G236" s="37" t="n">
        <x:v>0.04857363145720894</x:v>
      </x:c>
      <x:c r="H236" s="56" t="n">
        <x:v>2736.8</x:v>
      </x:c>
      <x:c r="I236" s="56" t="n">
        <x:v>1.063</x:v>
      </x:c>
      <x:c r="J236" s="56" t="n">
        <x:v>7.100849259231951</x:v>
      </x:c>
      <x:c r="K236" s="56" t="n">
        <x:v>40.651273888847925</x:v>
      </x:c>
      <x:c r="L236" s="56" t="n">
        <x:v>60.21610555549704</x:v>
      </x:c>
    </x:row>
    <x:row r="237" ht="32.400001525878906" hidden="0" customHeight="1">
      <x:c r="A237" s="29" t="str">
        <x:v>Harris County, Texas</x:v>
      </x:c>
      <x:c r="B237" s="29" t="str">
        <x:v>48201254600</x:v>
      </x:c>
      <x:c r="C237" s="51" t="n">
        <x:v>3419</x:v>
      </x:c>
      <x:c r="D237" s="51" t="n">
        <x:v>342</x:v>
      </x:c>
      <x:c r="E237" s="51" t="n">
        <x:v>94</x:v>
      </x:c>
      <x:c r="F237" s="38" t="n">
        <x:v>0.1000292483182217</x:v>
      </x:c>
      <x:c r="G237" s="38" t="n">
        <x:v>0.02749341912840012</x:v>
      </x:c>
      <x:c r="H237" s="57" t="n">
        <x:v>3548.1</x:v>
      </x:c>
      <x:c r="I237" s="57" t="n">
        <x:v>1.637</x:v>
      </x:c>
      <x:c r="J237" s="57" t="n">
        <x:v>10.210829916067524</x:v>
      </x:c>
      <x:c r="K237" s="57" t="n">
        <x:v>45.31624487410129</x:v>
      </x:c>
      <x:c r="L237" s="57" t="n">
        <x:v>66.88034982014469</x:v>
      </x:c>
    </x:row>
    <x:row r="238" ht="32.400001525878906" hidden="0" customHeight="1">
      <x:c r="A238" s="27" t="str">
        <x:v>Harris County, Texas</x:v>
      </x:c>
      <x:c r="B238" s="27" t="str">
        <x:v>48201254700</x:v>
      </x:c>
      <x:c r="C238" s="50" t="n">
        <x:v>2665</x:v>
      </x:c>
      <x:c r="D238" s="50" t="n">
        <x:v>380</x:v>
      </x:c>
      <x:c r="E238" s="50" t="n">
        <x:v>325.5</x:v>
      </x:c>
      <x:c r="F238" s="37" t="n">
        <x:v>0.1425891181988743</x:v>
      </x:c>
      <x:c r="G238" s="37" t="n">
        <x:v>0.12213883677298311</x:v>
      </x:c>
      <x:c r="H238" s="56" t="n">
        <x:v>2830.5499999999997</x:v>
      </x:c>
      <x:c r="I238" s="56" t="n">
        <x:v>5.651</x:v>
      </x:c>
      <x:c r="J238" s="56" t="n">
        <x:v>9.546251184352679</x:v>
      </x:c>
      <x:c r="K238" s="56" t="n">
        <x:v>44.31937677652902</x:v>
      </x:c>
      <x:c r="L238" s="56" t="n">
        <x:v>65.45625253789859</x:v>
      </x:c>
    </x:row>
    <x:row r="239" ht="32.400001525878906" hidden="0" customHeight="1">
      <x:c r="A239" s="29" t="str">
        <x:v>Harris County, Texas</x:v>
      </x:c>
      <x:c r="B239" s="29" t="str">
        <x:v>48201254800</x:v>
      </x:c>
      <x:c r="C239" s="51" t="n">
        <x:v>2376</x:v>
      </x:c>
      <x:c r="D239" s="51" t="n">
        <x:v>396</x:v>
      </x:c>
      <x:c r="E239" s="51" t="n">
        <x:v>41.5</x:v>
      </x:c>
      <x:c r="F239" s="38" t="n">
        <x:v>0.16666666666666666</x:v>
      </x:c>
      <x:c r="G239" s="38" t="n">
        <x:v>0.017466329966329967</x:v>
      </x:c>
      <x:c r="H239" s="57" t="n">
        <x:v>2518.75</x:v>
      </x:c>
      <x:c r="I239" s="57" t="n">
        <x:v>7.148</x:v>
      </x:c>
      <x:c r="J239" s="57" t="n">
        <x:v>8.506251790248681</x:v>
      </x:c>
      <x:c r="K239" s="57" t="n">
        <x:v>42.759377685373025</x:v>
      </x:c>
      <x:c r="L239" s="57" t="n">
        <x:v>63.22768240767574</x:v>
      </x:c>
    </x:row>
    <x:row r="240" ht="32.400001525878906" hidden="0" customHeight="1">
      <x:c r="A240" s="27" t="str">
        <x:v>Harris County, Texas</x:v>
      </x:c>
      <x:c r="B240" s="27" t="str">
        <x:v>48201310101</x:v>
      </x:c>
      <x:c r="C240" s="50" t="n">
        <x:v>2760</x:v>
      </x:c>
      <x:c r="D240" s="50" t="n">
        <x:v>339</x:v>
      </x:c>
      <x:c r="E240" s="50" t="n">
        <x:v>241</x:v>
      </x:c>
      <x:c r="F240" s="37" t="n">
        <x:v>0.12282608695652174</x:v>
      </x:c>
      <x:c r="G240" s="37" t="n">
        <x:v>0.08731884057971015</x:v>
      </x:c>
      <x:c r="H240" s="56" t="n">
        <x:v>2902.7500000000005</x:v>
      </x:c>
      <x:c r="I240" s="56" t="n">
        <x:v>0.848</x:v>
      </x:c>
      <x:c r="J240" s="56" t="n">
        <x:v>24.290679855647017</x:v>
      </x:c>
      <x:c r="K240" s="56" t="n">
        <x:v>66.43601978347053</x:v>
      </x:c>
      <x:c r="L240" s="56" t="n">
        <x:v>97.05145683352933</x:v>
      </x:c>
    </x:row>
    <x:row r="241" ht="32.400001525878906" hidden="0" customHeight="1">
      <x:c r="A241" s="29" t="str">
        <x:v>Harris County, Texas</x:v>
      </x:c>
      <x:c r="B241" s="29" t="str">
        <x:v>48201310102</x:v>
      </x:c>
      <x:c r="C241" s="51" t="n">
        <x:v>2378</x:v>
      </x:c>
      <x:c r="D241" s="51" t="n">
        <x:v>324</x:v>
      </x:c>
      <x:c r="E241" s="51" t="n">
        <x:v>296</x:v>
      </x:c>
      <x:c r="F241" s="38" t="n">
        <x:v>0.13624894869638352</x:v>
      </x:c>
      <x:c r="G241" s="38" t="n">
        <x:v>0.12447434819175777</x:v>
      </x:c>
      <x:c r="H241" s="57" t="n">
        <x:v>2521</x:v>
      </x:c>
      <x:c r="I241" s="57" t="n">
        <x:v>0.439</x:v>
      </x:c>
      <x:c r="J241" s="57" t="n">
        <x:v>25.36214103996339</x:v>
      </x:c>
      <x:c r="K241" s="57" t="n">
        <x:v>68.04321155994509</x:v>
      </x:c>
      <x:c r="L241" s="57" t="n">
        <x:v>99.34744508563584</x:v>
      </x:c>
    </x:row>
    <x:row r="242" ht="32.400001525878906" hidden="0" customHeight="1">
      <x:c r="A242" s="27" t="str">
        <x:v>Harris County, Texas</x:v>
      </x:c>
      <x:c r="B242" s="27" t="str">
        <x:v>48201310200</x:v>
      </x:c>
      <x:c r="C242" s="50" t="n">
        <x:v>2129</x:v>
      </x:c>
      <x:c r="D242" s="50" t="n">
        <x:v>177</x:v>
      </x:c>
      <x:c r="E242" s="50" t="n">
        <x:v>245</x:v>
      </x:c>
      <x:c r="F242" s="37" t="n">
        <x:v>0.08313762329732269</x:v>
      </x:c>
      <x:c r="G242" s="37" t="n">
        <x:v>0.11507750117426022</x:v>
      </x:c>
      <x:c r="H242" s="56" t="n">
        <x:v>2215.4500000000003</x:v>
      </x:c>
      <x:c r="I242" s="56" t="n">
        <x:v>0.721</x:v>
      </x:c>
      <x:c r="J242" s="56" t="n">
        <x:v>22.750234184348237</x:v>
      </x:c>
      <x:c r="K242" s="56" t="n">
        <x:v>64.12535127652235</x:v>
      </x:c>
      <x:c r="L242" s="56" t="n">
        <x:v>93.75050182360337</x:v>
      </x:c>
    </x:row>
    <x:row r="243" ht="32.400001525878906" hidden="0" customHeight="1">
      <x:c r="A243" s="29" t="str">
        <x:v>Harris County, Texas</x:v>
      </x:c>
      <x:c r="B243" s="29" t="str">
        <x:v>48201310300</x:v>
      </x:c>
      <x:c r="C243" s="51" t="n">
        <x:v>4058</x:v>
      </x:c>
      <x:c r="D243" s="51" t="n">
        <x:v>856</x:v>
      </x:c>
      <x:c r="E243" s="51" t="n">
        <x:v>658</x:v>
      </x:c>
      <x:c r="F243" s="38" t="n">
        <x:v>0.2109413504189256</x:v>
      </x:c>
      <x:c r="G243" s="38" t="n">
        <x:v>0.1621488417939872</x:v>
      </x:c>
      <x:c r="H243" s="57" t="n">
        <x:v>4423.400000000001</x:v>
      </x:c>
      <x:c r="I243" s="57" t="n">
        <x:v>0.868</x:v>
      </x:c>
      <x:c r="J243" s="57" t="n">
        <x:v>22.230047830245688</x:v>
      </x:c>
      <x:c r="K243" s="57" t="n">
        <x:v>63.345071745368536</x:v>
      </x:c>
      <x:c r="L243" s="57" t="n">
        <x:v>92.63581677909791</x:v>
      </x:c>
    </x:row>
    <x:row r="244" ht="32.400001525878906" hidden="0" customHeight="1">
      <x:c r="A244" s="27" t="str">
        <x:v>Harris County, Texas</x:v>
      </x:c>
      <x:c r="B244" s="27" t="str">
        <x:v>48201310400</x:v>
      </x:c>
      <x:c r="C244" s="50" t="n">
        <x:v>3018</x:v>
      </x:c>
      <x:c r="D244" s="50" t="n">
        <x:v>510</x:v>
      </x:c>
      <x:c r="E244" s="50" t="n">
        <x:v>156</x:v>
      </x:c>
      <x:c r="F244" s="37" t="n">
        <x:v>0.16898608349900596</x:v>
      </x:c>
      <x:c r="G244" s="37" t="n">
        <x:v>0.05168986083499006</x:v>
      </x:c>
      <x:c r="H244" s="56" t="n">
        <x:v>3212.1</x:v>
      </x:c>
      <x:c r="I244" s="56" t="n">
        <x:v>0.659</x:v>
      </x:c>
      <x:c r="J244" s="56" t="n">
        <x:v>24.66426683410103</x:v>
      </x:c>
      <x:c r="K244" s="56" t="n">
        <x:v>66.99640025115154</x:v>
      </x:c>
      <x:c r="L244" s="56" t="n">
        <x:v>97.85200035878792</x:v>
      </x:c>
    </x:row>
    <x:row r="245" ht="32.400001525878906" hidden="0" customHeight="1">
      <x:c r="A245" s="29" t="str">
        <x:v>Harris County, Texas</x:v>
      </x:c>
      <x:c r="B245" s="29" t="str">
        <x:v>48201310500</x:v>
      </x:c>
      <x:c r="C245" s="51" t="n">
        <x:v>3409</x:v>
      </x:c>
      <x:c r="D245" s="51" t="n">
        <x:v>758</x:v>
      </x:c>
      <x:c r="E245" s="51" t="n">
        <x:v>172</x:v>
      </x:c>
      <x:c r="F245" s="38" t="n">
        <x:v>0.22235259606922853</x:v>
      </x:c>
      <x:c r="G245" s="38" t="n">
        <x:v>0.05045467879143444</x:v>
      </x:c>
      <x:c r="H245" s="57" t="n">
        <x:v>3691.5</x:v>
      </x:c>
      <x:c r="I245" s="57" t="n">
        <x:v>1.162</x:v>
      </x:c>
      <x:c r="J245" s="57" t="n">
        <x:v>24.502911089643444</x:v>
      </x:c>
      <x:c r="K245" s="57" t="n">
        <x:v>66.75436663446517</x:v>
      </x:c>
      <x:c r="L245" s="57" t="n">
        <x:v>97.50623804923595</x:v>
      </x:c>
    </x:row>
    <x:row r="246" ht="32.400001525878906" hidden="0" customHeight="1">
      <x:c r="A246" s="27" t="str">
        <x:v>Harris County, Texas</x:v>
      </x:c>
      <x:c r="B246" s="27" t="str">
        <x:v>48201310600</x:v>
      </x:c>
      <x:c r="C246" s="50" t="n">
        <x:v>4598</x:v>
      </x:c>
      <x:c r="D246" s="50" t="n">
        <x:v>937</x:v>
      </x:c>
      <x:c r="E246" s="50" t="n">
        <x:v>450</x:v>
      </x:c>
      <x:c r="F246" s="37" t="n">
        <x:v>0.2037842540234885</x:v>
      </x:c>
      <x:c r="G246" s="37" t="n">
        <x:v>0.09786863853849499</x:v>
      </x:c>
      <x:c r="H246" s="56" t="n">
        <x:v>4970.95</x:v>
      </x:c>
      <x:c r="I246" s="56" t="n">
        <x:v>0.686</x:v>
      </x:c>
      <x:c r="J246" s="56" t="n">
        <x:v>22.160011766116902</x:v>
      </x:c>
      <x:c r="K246" s="56" t="n">
        <x:v>63.24001764917536</x:v>
      </x:c>
      <x:c r="L246" s="56" t="n">
        <x:v>92.48573949882194</x:v>
      </x:c>
    </x:row>
    <x:row r="247" ht="32.400001525878906" hidden="0" customHeight="1">
      <x:c r="A247" s="29" t="str">
        <x:v>Harris County, Texas</x:v>
      </x:c>
      <x:c r="B247" s="29" t="str">
        <x:v>48201310700</x:v>
      </x:c>
      <x:c r="C247" s="51" t="n">
        <x:v>3326</x:v>
      </x:c>
      <x:c r="D247" s="51" t="n">
        <x:v>622</x:v>
      </x:c>
      <x:c r="E247" s="51" t="n">
        <x:v>145</x:v>
      </x:c>
      <x:c r="F247" s="38" t="n">
        <x:v>0.18701142513529764</x:v>
      </x:c>
      <x:c r="G247" s="38" t="n">
        <x:v>0.04359591100420926</x:v>
      </x:c>
      <x:c r="H247" s="57" t="n">
        <x:v>3558.1999999999994</x:v>
      </x:c>
      <x:c r="I247" s="57" t="n">
        <x:v>0.752</x:v>
      </x:c>
      <x:c r="J247" s="57" t="n">
        <x:v>21.313501746137653</x:v>
      </x:c>
      <x:c r="K247" s="57" t="n">
        <x:v>61.97025261920648</x:v>
      </x:c>
      <x:c r="L247" s="57" t="n">
        <x:v>90.67178945600926</x:v>
      </x:c>
    </x:row>
    <x:row r="248" ht="32.400001525878906" hidden="0" customHeight="1">
      <x:c r="A248" s="27" t="str">
        <x:v>Harris County, Texas</x:v>
      </x:c>
      <x:c r="B248" s="27" t="str">
        <x:v>48201310800</x:v>
      </x:c>
      <x:c r="C248" s="50" t="n">
        <x:v>3118</x:v>
      </x:c>
      <x:c r="D248" s="50" t="n">
        <x:v>506</x:v>
      </x:c>
      <x:c r="E248" s="50" t="n">
        <x:v>337.5</x:v>
      </x:c>
      <x:c r="F248" s="37" t="n">
        <x:v>0.16228351507376523</x:v>
      </x:c>
      <x:c r="G248" s="37" t="n">
        <x:v>0.10824246311738293</x:v>
      </x:c>
      <x:c r="H248" s="56" t="n">
        <x:v>3328.85</x:v>
      </x:c>
      <x:c r="I248" s="56" t="n">
        <x:v>0.733</x:v>
      </x:c>
      <x:c r="J248" s="56" t="n">
        <x:v>22.546974831174104</x:v>
      </x:c>
      <x:c r="K248" s="56" t="n">
        <x:v>63.82046224676115</x:v>
      </x:c>
      <x:c r="L248" s="56" t="n">
        <x:v>93.31494606680165</x:v>
      </x:c>
    </x:row>
    <x:row r="249" ht="32.400001525878906" hidden="0" customHeight="1">
      <x:c r="A249" s="29" t="str">
        <x:v>Harris County, Texas</x:v>
      </x:c>
      <x:c r="B249" s="29" t="str">
        <x:v>48201310900</x:v>
      </x:c>
      <x:c r="C249" s="51" t="n">
        <x:v>4145</x:v>
      </x:c>
      <x:c r="D249" s="51" t="n">
        <x:v>1336</x:v>
      </x:c>
      <x:c r="E249" s="51" t="n">
        <x:v>304</x:v>
      </x:c>
      <x:c r="F249" s="38" t="n">
        <x:v>0.3223160434258142</x:v>
      </x:c>
      <x:c r="G249" s="38" t="n">
        <x:v>0.07334137515078408</x:v>
      </x:c>
      <x:c r="H249" s="57" t="n">
        <x:v>4643</x:v>
      </x:c>
      <x:c r="I249" s="57" t="n">
        <x:v>0.672</x:v>
      </x:c>
      <x:c r="J249" s="57" t="n">
        <x:v>23.899161705689142</x:v>
      </x:c>
      <x:c r="K249" s="57" t="n">
        <x:v>65.84874255853371</x:v>
      </x:c>
      <x:c r="L249" s="57" t="n">
        <x:v>96.21248936933387</x:v>
      </x:c>
    </x:row>
    <x:row r="250" ht="32.400001525878906" hidden="0" customHeight="1">
      <x:c r="A250" s="27" t="str">
        <x:v>Harris County, Texas</x:v>
      </x:c>
      <x:c r="B250" s="27" t="str">
        <x:v>48201311001</x:v>
      </x:c>
      <x:c r="C250" s="50" t="n">
        <x:v>2746</x:v>
      </x:c>
      <x:c r="D250" s="50" t="n">
        <x:v>384</x:v>
      </x:c>
      <x:c r="E250" s="50" t="n">
        <x:v>157</x:v>
      </x:c>
      <x:c r="F250" s="37" t="n">
        <x:v>0.13983976693372177</x:v>
      </x:c>
      <x:c r="G250" s="37" t="n">
        <x:v>0.0571740713765477</x:v>
      </x:c>
      <x:c r="H250" s="56" t="n">
        <x:v>2896.0999999999995</x:v>
      </x:c>
      <x:c r="I250" s="56" t="n">
        <x:v>0.321</x:v>
      </x:c>
      <x:c r="J250" s="56" t="n">
        <x:v>25.082407407212447</x:v>
      </x:c>
      <x:c r="K250" s="56" t="n">
        <x:v>67.62361111081867</x:v>
      </x:c>
      <x:c r="L250" s="56" t="n">
        <x:v>98.7480158725981</x:v>
      </x:c>
    </x:row>
    <x:row r="251" ht="32.400001525878906" hidden="0" customHeight="1">
      <x:c r="A251" s="29" t="str">
        <x:v>Harris County, Texas</x:v>
      </x:c>
      <x:c r="B251" s="29" t="str">
        <x:v>48201311002</x:v>
      </x:c>
      <x:c r="C251" s="51" t="n">
        <x:v>3516</x:v>
      </x:c>
      <x:c r="D251" s="51" t="n">
        <x:v>962</x:v>
      </x:c>
      <x:c r="E251" s="51" t="n">
        <x:v>432</x:v>
      </x:c>
      <x:c r="F251" s="38" t="n">
        <x:v>0.27360637087599543</x:v>
      </x:c>
      <x:c r="G251" s="38" t="n">
        <x:v>0.12286689419795221</x:v>
      </x:c>
      <x:c r="H251" s="57" t="n">
        <x:v>3895.9</x:v>
      </x:c>
      <x:c r="I251" s="57" t="n">
        <x:v>0.577</x:v>
      </x:c>
      <x:c r="J251" s="57" t="n">
        <x:v>25.420888353438343</x:v>
      </x:c>
      <x:c r="K251" s="57" t="n">
        <x:v>68.13133253015752</x:v>
      </x:c>
      <x:c r="L251" s="57" t="n">
        <x:v>99.47333218593931</x:v>
      </x:c>
    </x:row>
    <x:row r="252" ht="32.400001525878906" hidden="0" customHeight="1">
      <x:c r="A252" s="27" t="str">
        <x:v>Harris County, Texas</x:v>
      </x:c>
      <x:c r="B252" s="27" t="str">
        <x:v>48201311100</x:v>
      </x:c>
      <x:c r="C252" s="50" t="n">
        <x:v>5091</x:v>
      </x:c>
      <x:c r="D252" s="50" t="n">
        <x:v>690</x:v>
      </x:c>
      <x:c r="E252" s="50" t="n">
        <x:v>350</x:v>
      </x:c>
      <x:c r="F252" s="37" t="n">
        <x:v>0.13553329404832057</x:v>
      </x:c>
      <x:c r="G252" s="37" t="n">
        <x:v>0.06874877234335101</x:v>
      </x:c>
      <x:c r="H252" s="56" t="n">
        <x:v>5367.499999999999</x:v>
      </x:c>
      <x:c r="I252" s="56" t="n">
        <x:v>0.956</x:v>
      </x:c>
      <x:c r="J252" s="56" t="n">
        <x:v>24.536865003358326</x:v>
      </x:c>
      <x:c r="K252" s="56" t="n">
        <x:v>66.80529750503749</x:v>
      </x:c>
      <x:c r="L252" s="56" t="n">
        <x:v>97.57899643576783</x:v>
      </x:c>
    </x:row>
    <x:row r="253" ht="32.400001525878906" hidden="0" customHeight="1">
      <x:c r="A253" s="29" t="str">
        <x:v>Harris County, Texas</x:v>
      </x:c>
      <x:c r="B253" s="29" t="str">
        <x:v>48201311200</x:v>
      </x:c>
      <x:c r="C253" s="51" t="n">
        <x:v>4523</x:v>
      </x:c>
      <x:c r="D253" s="51" t="n">
        <x:v>770</x:v>
      </x:c>
      <x:c r="E253" s="51" t="n">
        <x:v>485</x:v>
      </x:c>
      <x:c r="F253" s="38" t="n">
        <x:v>0.1702409904930356</x:v>
      </x:c>
      <x:c r="G253" s="38" t="n">
        <x:v>0.10722971479106788</x:v>
      </x:c>
      <x:c r="H253" s="57" t="n">
        <x:v>4841.000000000001</x:v>
      </x:c>
      <x:c r="I253" s="57" t="n">
        <x:v>1.135</x:v>
      </x:c>
      <x:c r="J253" s="57" t="n">
        <x:v>21.83691212952991</x:v>
      </x:c>
      <x:c r="K253" s="57" t="n">
        <x:v>62.75536819429486</x:v>
      </x:c>
      <x:c r="L253" s="57" t="n">
        <x:v>91.79338313470694</x:v>
      </x:c>
    </x:row>
    <x:row r="254" ht="32.400001525878906" hidden="0" customHeight="1">
      <x:c r="A254" s="27" t="str">
        <x:v>Harris County, Texas</x:v>
      </x:c>
      <x:c r="B254" s="27" t="str">
        <x:v>48201311300</x:v>
      </x:c>
      <x:c r="C254" s="50" t="n">
        <x:v>4120</x:v>
      </x:c>
      <x:c r="D254" s="50" t="n">
        <x:v>421</x:v>
      </x:c>
      <x:c r="E254" s="50" t="n">
        <x:v>0</x:v>
      </x:c>
      <x:c r="F254" s="37" t="n">
        <x:v>0.10218446601941747</x:v>
      </x:c>
      <x:c r="G254" s="37" t="n">
        <x:v>0</x:v>
      </x:c>
      <x:c r="H254" s="56" t="n">
        <x:v>4267.35</x:v>
      </x:c>
      <x:c r="I254" s="56" t="n">
        <x:v>0.57</x:v>
      </x:c>
      <x:c r="J254" s="56" t="n">
        <x:v>21.004381568600135</x:v>
      </x:c>
      <x:c r="K254" s="56" t="n">
        <x:v>61.5065723529002</x:v>
      </x:c>
      <x:c r="L254" s="56" t="n">
        <x:v>90.00938907557172</x:v>
      </x:c>
    </x:row>
    <x:row r="255" ht="32.400001525878906" hidden="0" customHeight="1">
      <x:c r="A255" s="29" t="str">
        <x:v>Harris County, Texas</x:v>
      </x:c>
      <x:c r="B255" s="29" t="str">
        <x:v>48201311400</x:v>
      </x:c>
      <x:c r="C255" s="51" t="n">
        <x:v>1668</x:v>
      </x:c>
      <x:c r="D255" s="51" t="n">
        <x:v>266</x:v>
      </x:c>
      <x:c r="E255" s="51" t="n">
        <x:v>66</x:v>
      </x:c>
      <x:c r="F255" s="38" t="n">
        <x:v>0.15947242206235013</x:v>
      </x:c>
      <x:c r="G255" s="38" t="n">
        <x:v>0.039568345323741004</x:v>
      </x:c>
      <x:c r="H255" s="57" t="n">
        <x:v>1767.7000000000003</x:v>
      </x:c>
      <x:c r="I255" s="57" t="n">
        <x:v>0.898</x:v>
      </x:c>
      <x:c r="J255" s="57" t="n">
        <x:v>23.62957659273657</x:v>
      </x:c>
      <x:c r="K255" s="57" t="n">
        <x:v>65.44436488910486</x:v>
      </x:c>
      <x:c r="L255" s="57" t="n">
        <x:v>95.6348069844355</x:v>
      </x:c>
    </x:row>
    <x:row r="256" ht="32.400001525878906" hidden="0" customHeight="1">
      <x:c r="A256" s="27" t="str">
        <x:v>Harris County, Texas</x:v>
      </x:c>
      <x:c r="B256" s="27" t="str">
        <x:v>48201311501</x:v>
      </x:c>
      <x:c r="C256" s="50" t="n">
        <x:v>2464</x:v>
      </x:c>
      <x:c r="D256" s="50" t="n">
        <x:v>346</x:v>
      </x:c>
      <x:c r="E256" s="50" t="n">
        <x:v>139</x:v>
      </x:c>
      <x:c r="F256" s="37" t="n">
        <x:v>0.14042207792207792</x:v>
      </x:c>
      <x:c r="G256" s="37" t="n">
        <x:v>0.056412337662337664</x:v>
      </x:c>
      <x:c r="H256" s="56" t="n">
        <x:v>2598.9999999999995</x:v>
      </x:c>
      <x:c r="I256" s="56" t="n">
        <x:v>0.296</x:v>
      </x:c>
      <x:c r="J256" s="56" t="n">
        <x:v>21.066918226722798</x:v>
      </x:c>
      <x:c r="K256" s="56" t="n">
        <x:v>61.600377340084194</x:v>
      </x:c>
      <x:c r="L256" s="56" t="n">
        <x:v>90.14339620012028</x:v>
      </x:c>
    </x:row>
    <x:row r="257" ht="32.400001525878906" hidden="0" customHeight="1">
      <x:c r="A257" s="29" t="str">
        <x:v>Harris County, Texas</x:v>
      </x:c>
      <x:c r="B257" s="29" t="str">
        <x:v>48201311502</x:v>
      </x:c>
      <x:c r="C257" s="51" t="n">
        <x:v>2610</x:v>
      </x:c>
      <x:c r="D257" s="51" t="n">
        <x:v>351</x:v>
      </x:c>
      <x:c r="E257" s="51" t="n">
        <x:v>152</x:v>
      </x:c>
      <x:c r="F257" s="38" t="n">
        <x:v>0.13448275862068965</x:v>
      </x:c>
      <x:c r="G257" s="38" t="n">
        <x:v>0.05823754789272031</x:v>
      </x:c>
      <x:c r="H257" s="57" t="n">
        <x:v>2748.05</x:v>
      </x:c>
      <x:c r="I257" s="57" t="n">
        <x:v>0.609</x:v>
      </x:c>
      <x:c r="J257" s="57" t="n">
        <x:v>22.21335427557371</x:v>
      </x:c>
      <x:c r="K257" s="57" t="n">
        <x:v>63.32003141336057</x:v>
      </x:c>
      <x:c r="L257" s="57" t="n">
        <x:v>92.60004487622939</x:v>
      </x:c>
    </x:row>
    <x:row r="258" ht="32.400001525878906" hidden="0" customHeight="1">
      <x:c r="A258" s="27" t="str">
        <x:v>Harris County, Texas</x:v>
      </x:c>
      <x:c r="B258" s="27" t="str">
        <x:v>48201311600</x:v>
      </x:c>
      <x:c r="C258" s="50" t="n">
        <x:v>3614</x:v>
      </x:c>
      <x:c r="D258" s="50" t="n">
        <x:v>307</x:v>
      </x:c>
      <x:c r="E258" s="50" t="n">
        <x:v>294</x:v>
      </x:c>
      <x:c r="F258" s="37" t="n">
        <x:v>0.08494742667404538</x:v>
      </x:c>
      <x:c r="G258" s="37" t="n">
        <x:v>0.0813503043718871</x:v>
      </x:c>
      <x:c r="H258" s="56" t="n">
        <x:v>3750.8500000000004</x:v>
      </x:c>
      <x:c r="I258" s="56" t="n">
        <x:v>0.19</x:v>
      </x:c>
      <x:c r="J258" s="56" t="n">
        <x:v>20.639173570333295</x:v>
      </x:c>
      <x:c r="K258" s="56" t="n">
        <x:v>60.95876035549994</x:v>
      </x:c>
      <x:c r="L258" s="56" t="n">
        <x:v>89.22680050785706</x:v>
      </x:c>
    </x:row>
    <x:row r="259" ht="32.400001525878906" hidden="0" customHeight="1">
      <x:c r="A259" s="29" t="str">
        <x:v>Harris County, Texas</x:v>
      </x:c>
      <x:c r="B259" s="29" t="str">
        <x:v>48201311701</x:v>
      </x:c>
      <x:c r="C259" s="51" t="n">
        <x:v>3554</x:v>
      </x:c>
      <x:c r="D259" s="51" t="n">
        <x:v>620</x:v>
      </x:c>
      <x:c r="E259" s="51" t="n">
        <x:v>209</x:v>
      </x:c>
      <x:c r="F259" s="38" t="n">
        <x:v>0.17445132245357345</x:v>
      </x:c>
      <x:c r="G259" s="38" t="n">
        <x:v>0.05880697805289814</x:v>
      </x:c>
      <x:c r="H259" s="57" t="n">
        <x:v>3791.9</x:v>
      </x:c>
      <x:c r="I259" s="57" t="n">
        <x:v>0.625</x:v>
      </x:c>
      <x:c r="J259" s="57" t="n">
        <x:v>18.37441025433688</x:v>
      </x:c>
      <x:c r="K259" s="57" t="n">
        <x:v>57.56161538150532</x:v>
      </x:c>
      <x:c r="L259" s="57" t="n">
        <x:v>84.37373625929331</x:v>
      </x:c>
    </x:row>
    <x:row r="260" ht="32.400001525878906" hidden="0" customHeight="1">
      <x:c r="A260" s="27" t="str">
        <x:v>Harris County, Texas</x:v>
      </x:c>
      <x:c r="B260" s="27" t="str">
        <x:v>48201311702</x:v>
      </x:c>
      <x:c r="C260" s="50" t="n">
        <x:v>1917</x:v>
      </x:c>
      <x:c r="D260" s="50" t="n">
        <x:v>315</x:v>
      </x:c>
      <x:c r="E260" s="50" t="n">
        <x:v>79</x:v>
      </x:c>
      <x:c r="F260" s="37" t="n">
        <x:v>0.1643192488262911</x:v>
      </x:c>
      <x:c r="G260" s="37" t="n">
        <x:v>0.04121022430881586</x:v>
      </x:c>
      <x:c r="H260" s="56" t="n">
        <x:v>2035.1500000000003</x:v>
      </x:c>
      <x:c r="I260" s="56" t="n">
        <x:v>0.428</x:v>
      </x:c>
      <x:c r="J260" s="56" t="n">
        <x:v>19.605306262390872</x:v>
      </x:c>
      <x:c r="K260" s="56" t="n">
        <x:v>59.40795939358631</x:v>
      </x:c>
      <x:c r="L260" s="56" t="n">
        <x:v>87.01137056226617</x:v>
      </x:c>
    </x:row>
    <x:row r="261" ht="32.400001525878906" hidden="0" customHeight="1">
      <x:c r="A261" s="29" t="str">
        <x:v>Harris County, Texas</x:v>
      </x:c>
      <x:c r="B261" s="29" t="str">
        <x:v>48201311800</x:v>
      </x:c>
      <x:c r="C261" s="51" t="n">
        <x:v>3646</x:v>
      </x:c>
      <x:c r="D261" s="51" t="n">
        <x:v>254</x:v>
      </x:c>
      <x:c r="E261" s="51" t="n">
        <x:v>272</x:v>
      </x:c>
      <x:c r="F261" s="38" t="n">
        <x:v>0.06966538672517827</x:v>
      </x:c>
      <x:c r="G261" s="38" t="n">
        <x:v>0.0746023038946791</x:v>
      </x:c>
      <x:c r="H261" s="57" t="n">
        <x:v>3762.1000000000004</x:v>
      </x:c>
      <x:c r="I261" s="57" t="n">
        <x:v>0.949</x:v>
      </x:c>
      <x:c r="J261" s="57" t="n">
        <x:v>17.621328221882738</x:v>
      </x:c>
      <x:c r="K261" s="57" t="n">
        <x:v>56.43199233282411</x:v>
      </x:c>
      <x:c r="L261" s="57" t="n">
        <x:v>82.75998904689158</x:v>
      </x:c>
    </x:row>
    <x:row r="262" ht="32.400001525878906" hidden="0" customHeight="1">
      <x:c r="A262" s="27" t="str">
        <x:v>Harris County, Texas</x:v>
      </x:c>
      <x:c r="B262" s="27" t="str">
        <x:v>48201311900</x:v>
      </x:c>
      <x:c r="C262" s="50" t="n">
        <x:v>1629</x:v>
      </x:c>
      <x:c r="D262" s="50" t="n">
        <x:v>143</x:v>
      </x:c>
      <x:c r="E262" s="50" t="n">
        <x:v>75</x:v>
      </x:c>
      <x:c r="F262" s="37" t="n">
        <x:v>0.08778391651319828</x:v>
      </x:c>
      <x:c r="G262" s="37" t="n">
        <x:v>0.04604051565377532</x:v>
      </x:c>
      <x:c r="H262" s="56" t="n">
        <x:v>1686.5500000000002</x:v>
      </x:c>
      <x:c r="I262" s="56" t="n">
        <x:v>0.801</x:v>
      </x:c>
      <x:c r="J262" s="56" t="n">
        <x:v>19.99853145702933</x:v>
      </x:c>
      <x:c r="K262" s="56" t="n">
        <x:v>59.997797185543995</x:v>
      </x:c>
      <x:c r="L262" s="56" t="n">
        <x:v>87.85399597934855</x:v>
      </x:c>
    </x:row>
    <x:row r="263" ht="32.400001525878906" hidden="0" customHeight="1">
      <x:c r="A263" s="29" t="str">
        <x:v>Harris County, Texas</x:v>
      </x:c>
      <x:c r="B263" s="29" t="str">
        <x:v>48201312000</x:v>
      </x:c>
      <x:c r="C263" s="51" t="n">
        <x:v>2969</x:v>
      </x:c>
      <x:c r="D263" s="51" t="n">
        <x:v>298</x:v>
      </x:c>
      <x:c r="E263" s="51" t="n">
        <x:v>75</x:v>
      </x:c>
      <x:c r="F263" s="38" t="n">
        <x:v>0.10037049511620075</x:v>
      </x:c>
      <x:c r="G263" s="38" t="n">
        <x:v>0.02526103065005052</x:v>
      </x:c>
      <x:c r="H263" s="57" t="n">
        <x:v>3080.8</x:v>
      </x:c>
      <x:c r="I263" s="57" t="n">
        <x:v>0.708</x:v>
      </x:c>
      <x:c r="J263" s="57" t="n">
        <x:v>18.583463233082583</x:v>
      </x:c>
      <x:c r="K263" s="57" t="n">
        <x:v>57.875194849623874</x:v>
      </x:c>
      <x:c r="L263" s="57" t="n">
        <x:v>84.8217069280341</x:v>
      </x:c>
    </x:row>
    <x:row r="264" ht="32.400001525878906" hidden="0" customHeight="1">
      <x:c r="A264" s="27" t="str">
        <x:v>Harris County, Texas</x:v>
      </x:c>
      <x:c r="B264" s="27" t="str">
        <x:v>48201312200</x:v>
      </x:c>
      <x:c r="C264" s="50" t="n">
        <x:v>1609</x:v>
      </x:c>
      <x:c r="D264" s="50" t="n">
        <x:v>309</x:v>
      </x:c>
      <x:c r="E264" s="50" t="n">
        <x:v>349.5</x:v>
      </x:c>
      <x:c r="F264" s="37" t="n">
        <x:v>0.1920447482908639</x:v>
      </x:c>
      <x:c r="G264" s="37" t="n">
        <x:v>0.21721566190180236</x:v>
      </x:c>
      <x:c r="H264" s="56" t="n">
        <x:v>1752.0999999999997</x:v>
      </x:c>
      <x:c r="I264" s="56" t="n">
        <x:v>0.42</x:v>
      </x:c>
      <x:c r="J264" s="56" t="n">
        <x:v>21.12348403802578</x:v>
      </x:c>
      <x:c r="K264" s="56" t="n">
        <x:v>61.68522605703867</x:v>
      </x:c>
      <x:c r="L264" s="56" t="n">
        <x:v>90.26460865291239</x:v>
      </x:c>
    </x:row>
    <x:row r="265" ht="32.400001525878906" hidden="0" customHeight="1">
      <x:c r="A265" s="29" t="str">
        <x:v>Harris County, Texas</x:v>
      </x:c>
      <x:c r="B265" s="29" t="str">
        <x:v>48201312300</x:v>
      </x:c>
      <x:c r="C265" s="51" t="n">
        <x:v>2733</x:v>
      </x:c>
      <x:c r="D265" s="51" t="n">
        <x:v>475</x:v>
      </x:c>
      <x:c r="E265" s="51" t="n">
        <x:v>728</x:v>
      </x:c>
      <x:c r="F265" s="38" t="n">
        <x:v>0.17380168313208927</x:v>
      </x:c>
      <x:c r="G265" s="38" t="n">
        <x:v>0.2663739480424442</x:v>
      </x:c>
      <x:c r="H265" s="57" t="n">
        <x:v>2972.05</x:v>
      </x:c>
      <x:c r="I265" s="57" t="n">
        <x:v>0.545</x:v>
      </x:c>
      <x:c r="J265" s="57" t="n">
        <x:v>21.70047268998463</x:v>
      </x:c>
      <x:c r="K265" s="57" t="n">
        <x:v>62.55070903497695</x:v>
      </x:c>
      <x:c r="L265" s="57" t="n">
        <x:v>91.50101290710992</x:v>
      </x:c>
    </x:row>
    <x:row r="266" ht="32.400001525878906" hidden="0" customHeight="1">
      <x:c r="A266" s="27" t="str">
        <x:v>Harris County, Texas</x:v>
      </x:c>
      <x:c r="B266" s="27" t="str">
        <x:v>48201312400</x:v>
      </x:c>
      <x:c r="C266" s="50" t="n">
        <x:v>2048</x:v>
      </x:c>
      <x:c r="D266" s="50" t="n">
        <x:v>577</x:v>
      </x:c>
      <x:c r="E266" s="50" t="n">
        <x:v>818</x:v>
      </x:c>
      <x:c r="F266" s="37" t="n">
        <x:v>0.28173828125</x:v>
      </x:c>
      <x:c r="G266" s="37" t="n">
        <x:v>0.3994140625</x:v>
      </x:c>
      <x:c r="H266" s="56" t="n">
        <x:v>2331.75</x:v>
      </x:c>
      <x:c r="I266" s="56" t="n">
        <x:v>0.418</x:v>
      </x:c>
      <x:c r="J266" s="56" t="n">
        <x:v>20.50800712626376</x:v>
      </x:c>
      <x:c r="K266" s="56" t="n">
        <x:v>60.76201068939564</x:v>
      </x:c>
      <x:c r="L266" s="56" t="n">
        <x:v>88.94572955627949</x:v>
      </x:c>
    </x:row>
    <x:row r="267" ht="32.400001525878906" hidden="0" customHeight="1">
      <x:c r="A267" s="29" t="str">
        <x:v>Harris County, Texas</x:v>
      </x:c>
      <x:c r="B267" s="29" t="str">
        <x:v>48201312501</x:v>
      </x:c>
      <x:c r="C267" s="51" t="n">
        <x:v>3348</x:v>
      </x:c>
      <x:c r="D267" s="51" t="n">
        <x:v>281</x:v>
      </x:c>
      <x:c r="E267" s="51" t="n">
        <x:v>119</x:v>
      </x:c>
      <x:c r="F267" s="38" t="n">
        <x:v>0.08393070489844684</x:v>
      </x:c>
      <x:c r="G267" s="38" t="n">
        <x:v>0.035543608124253286</x:v>
      </x:c>
      <x:c r="H267" s="57" t="n">
        <x:v>3458.25</x:v>
      </x:c>
      <x:c r="I267" s="57" t="n">
        <x:v>0.379</x:v>
      </x:c>
      <x:c r="J267" s="57" t="n">
        <x:v>22.319163811535685</x:v>
      </x:c>
      <x:c r="K267" s="57" t="n">
        <x:v>63.478745717303525</x:v>
      </x:c>
      <x:c r="L267" s="57" t="n">
        <x:v>92.8267795961479</x:v>
      </x:c>
    </x:row>
    <x:row r="268" ht="32.400001525878906" hidden="0" customHeight="1">
      <x:c r="A268" s="27" t="str">
        <x:v>Harris County, Texas</x:v>
      </x:c>
      <x:c r="B268" s="27" t="str">
        <x:v>48201312502</x:v>
      </x:c>
      <x:c r="C268" s="50" t="n">
        <x:v>2089</x:v>
      </x:c>
      <x:c r="D268" s="50" t="n">
        <x:v>250</x:v>
      </x:c>
      <x:c r="E268" s="50" t="n">
        <x:v>98</x:v>
      </x:c>
      <x:c r="F268" s="37" t="n">
        <x:v>0.11967448539971279</x:v>
      </x:c>
      <x:c r="G268" s="37" t="n">
        <x:v>0.04691239827668741</x:v>
      </x:c>
      <x:c r="H268" s="56" t="n">
        <x:v>2186.3</x:v>
      </x:c>
      <x:c r="I268" s="56" t="n">
        <x:v>0.313</x:v>
      </x:c>
      <x:c r="J268" s="56" t="n">
        <x:v>21.211412312180496</x:v>
      </x:c>
      <x:c r="K268" s="56" t="n">
        <x:v>61.81711846827075</x:v>
      </x:c>
      <x:c r="L268" s="56" t="n">
        <x:v>90.45302638324392</x:v>
      </x:c>
    </x:row>
    <x:row r="269" ht="32.400001525878906" hidden="0" customHeight="1">
      <x:c r="A269" s="29" t="str">
        <x:v>Harris County, Texas</x:v>
      </x:c>
      <x:c r="B269" s="29" t="str">
        <x:v>48201312601</x:v>
      </x:c>
      <x:c r="C269" s="51" t="n">
        <x:v>3350</x:v>
      </x:c>
      <x:c r="D269" s="51" t="n">
        <x:v>244</x:v>
      </x:c>
      <x:c r="E269" s="51" t="n">
        <x:v>117</x:v>
      </x:c>
      <x:c r="F269" s="38" t="n">
        <x:v>0.07283582089552239</x:v>
      </x:c>
      <x:c r="G269" s="38" t="n">
        <x:v>0.03492537313432836</x:v>
      </x:c>
      <x:c r="H269" s="57" t="n">
        <x:v>3447.1000000000004</x:v>
      </x:c>
      <x:c r="I269" s="57" t="n">
        <x:v>0.178</x:v>
      </x:c>
      <x:c r="J269" s="57" t="n">
        <x:v>19.0114209474364</x:v>
      </x:c>
      <x:c r="K269" s="57" t="n">
        <x:v>58.517131421154595</x:v>
      </x:c>
      <x:c r="L269" s="57" t="n">
        <x:v>85.738759173078</x:v>
      </x:c>
    </x:row>
    <x:row r="270" ht="32.400001525878906" hidden="0" customHeight="1">
      <x:c r="A270" s="27" t="str">
        <x:v>Harris County, Texas</x:v>
      </x:c>
      <x:c r="B270" s="27" t="str">
        <x:v>48201312602</x:v>
      </x:c>
      <x:c r="C270" s="50" t="n">
        <x:v>2519</x:v>
      </x:c>
      <x:c r="D270" s="50" t="n">
        <x:v>101</x:v>
      </x:c>
      <x:c r="E270" s="50" t="n">
        <x:v>0</x:v>
      </x:c>
      <x:c r="F270" s="37" t="n">
        <x:v>0.04009527590313616</x:v>
      </x:c>
      <x:c r="G270" s="37" t="n">
        <x:v>0</x:v>
      </x:c>
      <x:c r="H270" s="56" t="n">
        <x:v>2554.35</x:v>
      </x:c>
      <x:c r="I270" s="56" t="n">
        <x:v>0.202</x:v>
      </x:c>
      <x:c r="J270" s="56" t="n">
        <x:v>19.61764513578589</x:v>
      </x:c>
      <x:c r="K270" s="56" t="n">
        <x:v>59.42646770367883</x:v>
      </x:c>
      <x:c r="L270" s="56" t="n">
        <x:v>87.03781100525548</x:v>
      </x:c>
    </x:row>
    <x:row r="271" ht="32.400001525878906" hidden="0" customHeight="1">
      <x:c r="A271" s="29" t="str">
        <x:v>Harris County, Texas</x:v>
      </x:c>
      <x:c r="B271" s="29" t="str">
        <x:v>48201312603</x:v>
      </x:c>
      <x:c r="C271" s="51" t="n">
        <x:v>4160</x:v>
      </x:c>
      <x:c r="D271" s="51" t="n">
        <x:v>552</x:v>
      </x:c>
      <x:c r="E271" s="51" t="n">
        <x:v>406</x:v>
      </x:c>
      <x:c r="F271" s="38" t="n">
        <x:v>0.1326923076923077</x:v>
      </x:c>
      <x:c r="G271" s="38" t="n">
        <x:v>0.09759615384615385</x:v>
      </x:c>
      <x:c r="H271" s="57" t="n">
        <x:v>4393.8</x:v>
      </x:c>
      <x:c r="I271" s="57" t="n">
        <x:v>0.394</x:v>
      </x:c>
      <x:c r="J271" s="57" t="n">
        <x:v>19.80557857734907</x:v>
      </x:c>
      <x:c r="K271" s="57" t="n">
        <x:v>59.70836786602361</x:v>
      </x:c>
      <x:c r="L271" s="57" t="n">
        <x:v>87.44052552289087</x:v>
      </x:c>
    </x:row>
    <x:row r="272" ht="32.400001525878906" hidden="0" customHeight="1">
      <x:c r="A272" s="27" t="str">
        <x:v>Harris County, Texas</x:v>
      </x:c>
      <x:c r="B272" s="27" t="str">
        <x:v>48201312700</x:v>
      </x:c>
      <x:c r="C272" s="50" t="n">
        <x:v>2293</x:v>
      </x:c>
      <x:c r="D272" s="50" t="n">
        <x:v>239</x:v>
      </x:c>
      <x:c r="E272" s="50" t="n">
        <x:v>129</x:v>
      </x:c>
      <x:c r="F272" s="37" t="n">
        <x:v>0.10423026602703882</x:v>
      </x:c>
      <x:c r="G272" s="37" t="n">
        <x:v>0.05625817706061927</x:v>
      </x:c>
      <x:c r="H272" s="56" t="n">
        <x:v>2389.55</x:v>
      </x:c>
      <x:c r="I272" s="56" t="n">
        <x:v>0.333</x:v>
      </x:c>
      <x:c r="J272" s="56" t="n">
        <x:v>19.905924822184947</x:v>
      </x:c>
      <x:c r="K272" s="56" t="n">
        <x:v>59.85888723327742</x:v>
      </x:c>
      <x:c r="L272" s="56" t="n">
        <x:v>87.65555319039632</x:v>
      </x:c>
    </x:row>
    <x:row r="273" ht="32.400001525878906" hidden="0" customHeight="1">
      <x:c r="A273" s="29" t="str">
        <x:v>Harris County, Texas</x:v>
      </x:c>
      <x:c r="B273" s="29" t="str">
        <x:v>48201312800</x:v>
      </x:c>
      <x:c r="C273" s="51" t="n">
        <x:v>3752</x:v>
      </x:c>
      <x:c r="D273" s="51" t="n">
        <x:v>553</x:v>
      </x:c>
      <x:c r="E273" s="51" t="n">
        <x:v>636</x:v>
      </x:c>
      <x:c r="F273" s="38" t="n">
        <x:v>0.14738805970149255</x:v>
      </x:c>
      <x:c r="G273" s="38" t="n">
        <x:v>0.1695095948827292</x:v>
      </x:c>
      <x:c r="H273" s="57" t="n">
        <x:v>4009.15</x:v>
      </x:c>
      <x:c r="I273" s="57" t="n">
        <x:v>0.361</x:v>
      </x:c>
      <x:c r="J273" s="57" t="n">
        <x:v>19.40782869722019</x:v>
      </x:c>
      <x:c r="K273" s="57" t="n">
        <x:v>59.11174304583029</x:v>
      </x:c>
      <x:c r="L273" s="57" t="n">
        <x:v>86.58820435118612</x:v>
      </x:c>
    </x:row>
    <x:row r="274" ht="32.400001525878906" hidden="0" customHeight="1">
      <x:c r="A274" s="27" t="str">
        <x:v>Harris County, Texas</x:v>
      </x:c>
      <x:c r="B274" s="27" t="str">
        <x:v>48201312901</x:v>
      </x:c>
      <x:c r="C274" s="50" t="n">
        <x:v>1858</x:v>
      </x:c>
      <x:c r="D274" s="50" t="n">
        <x:v>488</x:v>
      </x:c>
      <x:c r="E274" s="50" t="n">
        <x:v>481</x:v>
      </x:c>
      <x:c r="F274" s="37" t="n">
        <x:v>0.26264800861141013</x:v>
      </x:c>
      <x:c r="G274" s="37" t="n">
        <x:v>0.2588805166846071</x:v>
      </x:c>
      <x:c r="H274" s="56" t="n">
        <x:v>2076.9</x:v>
      </x:c>
      <x:c r="I274" s="56" t="n">
        <x:v>0.177</x:v>
      </x:c>
      <x:c r="J274" s="56" t="n">
        <x:v>18.283319344703596</x:v>
      </x:c>
      <x:c r="K274" s="56" t="n">
        <x:v>57.42497901705539</x:v>
      </x:c>
      <x:c r="L274" s="56" t="n">
        <x:v>84.17854145293627</x:v>
      </x:c>
    </x:row>
    <x:row r="275" ht="32.400001525878906" hidden="0" customHeight="1">
      <x:c r="A275" s="29" t="str">
        <x:v>Harris County, Texas</x:v>
      </x:c>
      <x:c r="B275" s="29" t="str">
        <x:v>48201312902</x:v>
      </x:c>
      <x:c r="C275" s="51" t="n">
        <x:v>2391</x:v>
      </x:c>
      <x:c r="D275" s="51" t="n">
        <x:v>278</x:v>
      </x:c>
      <x:c r="E275" s="51" t="n">
        <x:v>38</x:v>
      </x:c>
      <x:c r="F275" s="38" t="n">
        <x:v>0.11626934337097448</x:v>
      </x:c>
      <x:c r="G275" s="38" t="n">
        <x:v>0.01589293182768716</x:v>
      </x:c>
      <x:c r="H275" s="57" t="n">
        <x:v>2492.1000000000004</x:v>
      </x:c>
      <x:c r="I275" s="57" t="n">
        <x:v>0.373</x:v>
      </x:c>
      <x:c r="J275" s="57" t="n">
        <x:v>18.17836987006091</x:v>
      </x:c>
      <x:c r="K275" s="57" t="n">
        <x:v>57.267554805091365</x:v>
      </x:c>
      <x:c r="L275" s="57" t="n">
        <x:v>83.95364972155909</x:v>
      </x:c>
    </x:row>
    <x:row r="276" ht="32.400001525878906" hidden="0" customHeight="1">
      <x:c r="A276" s="27" t="str">
        <x:v>Harris County, Texas</x:v>
      </x:c>
      <x:c r="B276" s="27" t="str">
        <x:v>48201313000</x:v>
      </x:c>
      <x:c r="C276" s="50" t="n">
        <x:v>2401</x:v>
      </x:c>
      <x:c r="D276" s="50" t="n">
        <x:v>433</x:v>
      </x:c>
      <x:c r="E276" s="50" t="n">
        <x:v>183</x:v>
      </x:c>
      <x:c r="F276" s="37" t="n">
        <x:v>0.180341524364848</x:v>
      </x:c>
      <x:c r="G276" s="37" t="n">
        <x:v>0.07621824239900042</x:v>
      </x:c>
      <x:c r="H276" s="56" t="n">
        <x:v>2570.85</x:v>
      </x:c>
      <x:c r="I276" s="56" t="n">
        <x:v>0.463</x:v>
      </x:c>
      <x:c r="J276" s="56" t="n">
        <x:v>18.816769128612343</x:v>
      </x:c>
      <x:c r="K276" s="56" t="n">
        <x:v>58.22515369291851</x:v>
      </x:c>
      <x:c r="L276" s="56" t="n">
        <x:v>85.32164813274073</x:v>
      </x:c>
    </x:row>
    <x:row r="277" ht="32.400001525878906" hidden="0" customHeight="1">
      <x:c r="A277" s="29" t="str">
        <x:v>Harris County, Texas</x:v>
      </x:c>
      <x:c r="B277" s="29" t="str">
        <x:v>48201313101</x:v>
      </x:c>
      <x:c r="C277" s="51" t="n">
        <x:v>2352</x:v>
      </x:c>
      <x:c r="D277" s="51" t="n">
        <x:v>83</x:v>
      </x:c>
      <x:c r="E277" s="51" t="n">
        <x:v>58</x:v>
      </x:c>
      <x:c r="F277" s="38" t="n">
        <x:v>0.0352891156462585</x:v>
      </x:c>
      <x:c r="G277" s="38" t="n">
        <x:v>0.02465986394557823</x:v>
      </x:c>
      <x:c r="H277" s="57" t="n">
        <x:v>2386.8499999999995</x:v>
      </x:c>
      <x:c r="I277" s="57" t="n">
        <x:v>0.263</x:v>
      </x:c>
      <x:c r="J277" s="57" t="n">
        <x:v>16.683230943958534</x:v>
      </x:c>
      <x:c r="K277" s="57" t="n">
        <x:v>55.0248464159378</x:v>
      </x:c>
      <x:c r="L277" s="57" t="n">
        <x:v>80.74978059419686</x:v>
      </x:c>
    </x:row>
    <x:row r="278" ht="32.400001525878906" hidden="0" customHeight="1">
      <x:c r="A278" s="27" t="str">
        <x:v>Harris County, Texas</x:v>
      </x:c>
      <x:c r="B278" s="27" t="str">
        <x:v>48201313102</x:v>
      </x:c>
      <x:c r="C278" s="50" t="n">
        <x:v>1715</x:v>
      </x:c>
      <x:c r="D278" s="50" t="n">
        <x:v>207</x:v>
      </x:c>
      <x:c r="E278" s="50" t="n">
        <x:v>332.5</x:v>
      </x:c>
      <x:c r="F278" s="37" t="n">
        <x:v>0.1206997084548105</x:v>
      </x:c>
      <x:c r="G278" s="37" t="n">
        <x:v>0.19387755102040816</x:v>
      </x:c>
      <x:c r="H278" s="56" t="n">
        <x:v>1820.6999999999998</x:v>
      </x:c>
      <x:c r="I278" s="56" t="n">
        <x:v>1.209</x:v>
      </x:c>
      <x:c r="J278" s="56" t="n">
        <x:v>17.808153468687163</x:v>
      </x:c>
      <x:c r="K278" s="56" t="n">
        <x:v>56.71223020303074</x:v>
      </x:c>
      <x:c r="L278" s="56" t="n">
        <x:v>83.1603288614725</x:v>
      </x:c>
    </x:row>
    <x:row r="279" ht="32.400001525878906" hidden="0" customHeight="1">
      <x:c r="A279" s="29" t="str">
        <x:v>Harris County, Texas</x:v>
      </x:c>
      <x:c r="B279" s="29" t="str">
        <x:v>48201313201</x:v>
      </x:c>
      <x:c r="C279" s="51" t="n">
        <x:v>1632</x:v>
      </x:c>
      <x:c r="D279" s="51" t="n">
        <x:v>366</x:v>
      </x:c>
      <x:c r="E279" s="51" t="n">
        <x:v>485</x:v>
      </x:c>
      <x:c r="F279" s="38" t="n">
        <x:v>0.22426470588235295</x:v>
      </x:c>
      <x:c r="G279" s="38" t="n">
        <x:v>0.2971813725490196</x:v>
      </x:c>
      <x:c r="H279" s="57" t="n">
        <x:v>1808.6000000000004</x:v>
      </x:c>
      <x:c r="I279" s="57" t="n">
        <x:v>0.546</x:v>
      </x:c>
      <x:c r="J279" s="57" t="n">
        <x:v>17.36687869466303</x:v>
      </x:c>
      <x:c r="K279" s="57" t="n">
        <x:v>56.050318041994544</x:v>
      </x:c>
      <x:c r="L279" s="57" t="n">
        <x:v>82.21474005999221</x:v>
      </x:c>
    </x:row>
    <x:row r="280" ht="32.400001525878906" hidden="0" customHeight="1">
      <x:c r="A280" s="27" t="str">
        <x:v>Harris County, Texas</x:v>
      </x:c>
      <x:c r="B280" s="27" t="str">
        <x:v>48201313202</x:v>
      </x:c>
      <x:c r="C280" s="50" t="n">
        <x:v>2519</x:v>
      </x:c>
      <x:c r="D280" s="50" t="n">
        <x:v>366</x:v>
      </x:c>
      <x:c r="E280" s="50" t="n">
        <x:v>260</x:v>
      </x:c>
      <x:c r="F280" s="37" t="n">
        <x:v>0.14529575228265185</x:v>
      </x:c>
      <x:c r="G280" s="37" t="n">
        <x:v>0.10321556173084558</x:v>
      </x:c>
      <x:c r="H280" s="56" t="n">
        <x:v>2673.0999999999995</x:v>
      </x:c>
      <x:c r="I280" s="56" t="n">
        <x:v>0.653</x:v>
      </x:c>
      <x:c r="J280" s="56" t="n">
        <x:v>16.972912578733318</x:v>
      </x:c>
      <x:c r="K280" s="56" t="n">
        <x:v>55.45936886809998</x:v>
      </x:c>
      <x:c r="L280" s="56" t="n">
        <x:v>81.37052695442854</x:v>
      </x:c>
    </x:row>
    <x:row r="281" ht="32.400001525878906" hidden="0" customHeight="1">
      <x:c r="A281" s="29" t="str">
        <x:v>Harris County, Texas</x:v>
      </x:c>
      <x:c r="B281" s="29" t="str">
        <x:v>48201313300</x:v>
      </x:c>
      <x:c r="C281" s="51" t="n">
        <x:v>2695</x:v>
      </x:c>
      <x:c r="D281" s="51" t="n">
        <x:v>665</x:v>
      </x:c>
      <x:c r="E281" s="51" t="n">
        <x:v>691</x:v>
      </x:c>
      <x:c r="F281" s="38" t="n">
        <x:v>0.24675324675324675</x:v>
      </x:c>
      <x:c r="G281" s="38" t="n">
        <x:v>0.25640074211502784</x:v>
      </x:c>
      <x:c r="H281" s="57" t="n">
        <x:v>2996.8500000000004</x:v>
      </x:c>
      <x:c r="I281" s="57" t="n">
        <x:v>0.876</x:v>
      </x:c>
      <x:c r="J281" s="57" t="n">
        <x:v>17.73800006700023</x:v>
      </x:c>
      <x:c r="K281" s="57" t="n">
        <x:v>56.60700010050034</x:v>
      </x:c>
      <x:c r="L281" s="57" t="n">
        <x:v>83.01000014357192</x:v>
      </x:c>
    </x:row>
    <x:row r="282" ht="32.400001525878906" hidden="0" customHeight="1">
      <x:c r="A282" s="27" t="str">
        <x:v>Harris County, Texas</x:v>
      </x:c>
      <x:c r="B282" s="27" t="str">
        <x:v>48201313400</x:v>
      </x:c>
      <x:c r="C282" s="50" t="n">
        <x:v>3803</x:v>
      </x:c>
      <x:c r="D282" s="50" t="n">
        <x:v>589</x:v>
      </x:c>
      <x:c r="E282" s="50" t="n">
        <x:v>435</x:v>
      </x:c>
      <x:c r="F282" s="37" t="n">
        <x:v>0.15487772810938732</x:v>
      </x:c>
      <x:c r="G282" s="37" t="n">
        <x:v>0.11438338154088877</x:v>
      </x:c>
      <x:c r="H282" s="56" t="n">
        <x:v>4052.6499999999996</x:v>
      </x:c>
      <x:c r="I282" s="56" t="n">
        <x:v>0.721</x:v>
      </x:c>
      <x:c r="J282" s="56" t="n">
        <x:v>16.172254155998253</x:v>
      </x:c>
      <x:c r="K282" s="56" t="n">
        <x:v>54.25838123399738</x:v>
      </x:c>
      <x:c r="L282" s="56" t="n">
        <x:v>79.65483033428197</x:v>
      </x:c>
    </x:row>
    <x:row r="283" ht="32.400001525878906" hidden="0" customHeight="1">
      <x:c r="A283" s="29" t="str">
        <x:v>Harris County, Texas</x:v>
      </x:c>
      <x:c r="B283" s="29" t="str">
        <x:v>48201313500</x:v>
      </x:c>
      <x:c r="C283" s="51" t="n">
        <x:v>1781</x:v>
      </x:c>
      <x:c r="D283" s="51" t="n">
        <x:v>544</x:v>
      </x:c>
      <x:c r="E283" s="51" t="n">
        <x:v>234.5</x:v>
      </x:c>
      <x:c r="F283" s="38" t="n">
        <x:v>0.3054463784390792</x:v>
      </x:c>
      <x:c r="G283" s="38" t="n">
        <x:v>0.13166760247052217</x:v>
      </x:c>
      <x:c r="H283" s="57" t="n">
        <x:v>1994.8500000000001</x:v>
      </x:c>
      <x:c r="I283" s="57" t="n">
        <x:v>0.628</x:v>
      </x:c>
      <x:c r="J283" s="57" t="n">
        <x:v>14.941739866725229</x:v>
      </x:c>
      <x:c r="K283" s="57" t="n">
        <x:v>52.41260980008784</x:v>
      </x:c>
      <x:c r="L283" s="57" t="n">
        <x:v>77.01801400012549</x:v>
      </x:c>
    </x:row>
    <x:row r="284" ht="32.400001525878906" hidden="0" customHeight="1">
      <x:c r="A284" s="27" t="str">
        <x:v>Harris County, Texas</x:v>
      </x:c>
      <x:c r="B284" s="27" t="str">
        <x:v>48201313600</x:v>
      </x:c>
      <x:c r="C284" s="50" t="n">
        <x:v>4618</x:v>
      </x:c>
      <x:c r="D284" s="50" t="n">
        <x:v>703</x:v>
      </x:c>
      <x:c r="E284" s="50" t="n">
        <x:v>391</x:v>
      </x:c>
      <x:c r="F284" s="37" t="n">
        <x:v>0.15223040277176267</x:v>
      </x:c>
      <x:c r="G284" s="37" t="n">
        <x:v>0.08466868774361196</x:v>
      </x:c>
      <x:c r="H284" s="56" t="n">
        <x:v>4903.150000000001</x:v>
      </x:c>
      <x:c r="I284" s="56" t="n">
        <x:v>0.894</x:v>
      </x:c>
      <x:c r="J284" s="56" t="n">
        <x:v>14.984154650369572</x:v>
      </x:c>
      <x:c r="K284" s="56" t="n">
        <x:v>52.476231975554356</x:v>
      </x:c>
      <x:c r="L284" s="56" t="n">
        <x:v>77.10890282222051</x:v>
      </x:c>
    </x:row>
    <x:row r="285" ht="32.400001525878906" hidden="0" customHeight="1">
      <x:c r="A285" s="29" t="str">
        <x:v>Harris County, Texas</x:v>
      </x:c>
      <x:c r="B285" s="29" t="str">
        <x:v>48201313700</x:v>
      </x:c>
      <x:c r="C285" s="51" t="n">
        <x:v>2327</x:v>
      </x:c>
      <x:c r="D285" s="51" t="n">
        <x:v>533</x:v>
      </x:c>
      <x:c r="E285" s="51" t="n">
        <x:v>352.5</x:v>
      </x:c>
      <x:c r="F285" s="38" t="n">
        <x:v>0.22905027932960895</x:v>
      </x:c>
      <x:c r="G285" s="38" t="n">
        <x:v>0.15148259561667382</x:v>
      </x:c>
      <x:c r="H285" s="57" t="n">
        <x:v>2548.8</x:v>
      </x:c>
      <x:c r="I285" s="57" t="n">
        <x:v>0.516</x:v>
      </x:c>
      <x:c r="J285" s="57" t="n">
        <x:v>15.598685952534217</x:v>
      </x:c>
      <x:c r="K285" s="57" t="n">
        <x:v>53.398028928801324</x:v>
      </x:c>
      <x:c r="L285" s="57" t="n">
        <x:v>78.42575561257331</x:v>
      </x:c>
    </x:row>
    <x:row r="286" ht="32.400001525878906" hidden="0" customHeight="1">
      <x:c r="A286" s="27" t="str">
        <x:v>Harris County, Texas</x:v>
      </x:c>
      <x:c r="B286" s="27" t="str">
        <x:v>48201313801</x:v>
      </x:c>
      <x:c r="C286" s="50" t="n">
        <x:v>1549</x:v>
      </x:c>
      <x:c r="D286" s="50" t="n">
        <x:v>377</x:v>
      </x:c>
      <x:c r="E286" s="50" t="n">
        <x:v>506</x:v>
      </x:c>
      <x:c r="F286" s="37" t="n">
        <x:v>0.2433828276307295</x:v>
      </x:c>
      <x:c r="G286" s="37" t="n">
        <x:v>0.32666236281471916</x:v>
      </x:c>
      <x:c r="H286" s="56" t="n">
        <x:v>1731.5500000000002</x:v>
      </x:c>
      <x:c r="I286" s="56" t="n">
        <x:v>0.347</x:v>
      </x:c>
      <x:c r="J286" s="56" t="n">
        <x:v>14.230356557468179</x:v>
      </x:c>
      <x:c r="K286" s="56" t="n">
        <x:v>51.34553483620227</x:v>
      </x:c>
      <x:c r="L286" s="56" t="n">
        <x:v>75.49362119457467</x:v>
      </x:c>
    </x:row>
    <x:row r="287" ht="32.400001525878906" hidden="0" customHeight="1">
      <x:c r="A287" s="29" t="str">
        <x:v>Harris County, Texas</x:v>
      </x:c>
      <x:c r="B287" s="29" t="str">
        <x:v>48201313802</x:v>
      </x:c>
      <x:c r="C287" s="51" t="n">
        <x:v>2707</x:v>
      </x:c>
      <x:c r="D287" s="51" t="n">
        <x:v>395</x:v>
      </x:c>
      <x:c r="E287" s="51" t="n">
        <x:v>218.5</x:v>
      </x:c>
      <x:c r="F287" s="38" t="n">
        <x:v>0.1459179903952715</x:v>
      </x:c>
      <x:c r="G287" s="38" t="n">
        <x:v>0.08071666050978943</x:v>
      </x:c>
      <x:c r="H287" s="57" t="n">
        <x:v>2867.1000000000004</x:v>
      </x:c>
      <x:c r="I287" s="57" t="n">
        <x:v>0.505</x:v>
      </x:c>
      <x:c r="J287" s="57" t="n">
        <x:v>14.032075391037043</x:v>
      </x:c>
      <x:c r="K287" s="57" t="n">
        <x:v>51.04811308655557</x:v>
      </x:c>
      <x:c r="L287" s="57" t="n">
        <x:v>75.06873298079367</x:v>
      </x:c>
    </x:row>
    <x:row r="288" ht="32.400001525878906" hidden="0" customHeight="1">
      <x:c r="A288" s="27" t="str">
        <x:v>Harris County, Texas</x:v>
      </x:c>
      <x:c r="B288" s="27" t="str">
        <x:v>48201313901</x:v>
      </x:c>
      <x:c r="C288" s="50" t="n">
        <x:v>3964</x:v>
      </x:c>
      <x:c r="D288" s="50" t="n">
        <x:v>223</x:v>
      </x:c>
      <x:c r="E288" s="50" t="n">
        <x:v>0</x:v>
      </x:c>
      <x:c r="F288" s="37" t="n">
        <x:v>0.05625630676084763</x:v>
      </x:c>
      <x:c r="G288" s="37" t="n">
        <x:v>0</x:v>
      </x:c>
      <x:c r="H288" s="56" t="n">
        <x:v>4042.05</x:v>
      </x:c>
      <x:c r="I288" s="56" t="n">
        <x:v>0.819</x:v>
      </x:c>
      <x:c r="J288" s="56" t="n">
        <x:v>14.92432657807571</x:v>
      </x:c>
      <x:c r="K288" s="56" t="n">
        <x:v>52.38648986711357</x:v>
      </x:c>
      <x:c r="L288" s="56" t="n">
        <x:v>76.98069981016224</x:v>
      </x:c>
    </x:row>
    <x:row r="289" ht="32.400001525878906" hidden="0" customHeight="1">
      <x:c r="A289" s="29" t="str">
        <x:v>Harris County, Texas</x:v>
      </x:c>
      <x:c r="B289" s="29" t="str">
        <x:v>48201313902</x:v>
      </x:c>
      <x:c r="C289" s="51" t="n">
        <x:v>2706</x:v>
      </x:c>
      <x:c r="D289" s="51" t="n">
        <x:v>108</x:v>
      </x:c>
      <x:c r="E289" s="51" t="n">
        <x:v>138</x:v>
      </x:c>
      <x:c r="F289" s="38" t="n">
        <x:v>0.03991130820399113</x:v>
      </x:c>
      <x:c r="G289" s="38" t="n">
        <x:v>0.050997782705099776</x:v>
      </x:c>
      <x:c r="H289" s="57" t="n">
        <x:v>2757.6</x:v>
      </x:c>
      <x:c r="I289" s="57" t="n">
        <x:v>0.245</x:v>
      </x:c>
      <x:c r="J289" s="57" t="n">
        <x:v>13.216750399177062</x:v>
      </x:c>
      <x:c r="K289" s="57" t="n">
        <x:v>49.825125598765595</x:v>
      </x:c>
      <x:c r="L289" s="57" t="n">
        <x:v>73.32160799823656</x:v>
      </x:c>
    </x:row>
    <x:row r="290" ht="32.400001525878906" hidden="0" customHeight="1">
      <x:c r="A290" s="27" t="str">
        <x:v>Harris County, Texas</x:v>
      </x:c>
      <x:c r="B290" s="27" t="str">
        <x:v>48201314001</x:v>
      </x:c>
      <x:c r="C290" s="50" t="n">
        <x:v>2879</x:v>
      </x:c>
      <x:c r="D290" s="50" t="n">
        <x:v>134</x:v>
      </x:c>
      <x:c r="E290" s="50" t="n">
        <x:v>281</x:v>
      </x:c>
      <x:c r="F290" s="37" t="n">
        <x:v>0.04654393886766238</x:v>
      </x:c>
      <x:c r="G290" s="37" t="n">
        <x:v>0.09760333449114275</x:v>
      </x:c>
      <x:c r="H290" s="56" t="n">
        <x:v>2954</x:v>
      </x:c>
      <x:c r="I290" s="56" t="n">
        <x:v>0.543</x:v>
      </x:c>
      <x:c r="J290" s="56" t="n">
        <x:v>15.603527418978066</x:v>
      </x:c>
      <x:c r="K290" s="56" t="n">
        <x:v>53.4052911284671</x:v>
      </x:c>
      <x:c r="L290" s="56" t="n">
        <x:v>78.43613018352443</x:v>
      </x:c>
    </x:row>
    <x:row r="291" ht="32.400001525878906" hidden="0" customHeight="1">
      <x:c r="A291" s="29" t="str">
        <x:v>Harris County, Texas</x:v>
      </x:c>
      <x:c r="B291" s="29" t="str">
        <x:v>48201314003</x:v>
      </x:c>
      <x:c r="C291" s="51" t="n">
        <x:v>2654</x:v>
      </x:c>
      <x:c r="D291" s="51" t="n">
        <x:v>82</x:v>
      </x:c>
      <x:c r="E291" s="51" t="n">
        <x:v>245</x:v>
      </x:c>
      <x:c r="F291" s="38" t="n">
        <x:v>0.03089675960813866</x:v>
      </x:c>
      <x:c r="G291" s="38" t="n">
        <x:v>0.09231348907309721</x:v>
      </x:c>
      <x:c r="H291" s="57" t="n">
        <x:v>2707.2</x:v>
      </x:c>
      <x:c r="I291" s="57" t="n">
        <x:v>0.339</x:v>
      </x:c>
      <x:c r="J291" s="57" t="n">
        <x:v>14.59487439878352</x:v>
      </x:c>
      <x:c r="K291" s="57" t="n">
        <x:v>51.89231159817528</x:v>
      </x:c>
      <x:c r="L291" s="57" t="n">
        <x:v>76.27473085453612</x:v>
      </x:c>
    </x:row>
    <x:row r="292" ht="32.400001525878906" hidden="0" customHeight="1">
      <x:c r="A292" s="27" t="str">
        <x:v>Harris County, Texas</x:v>
      </x:c>
      <x:c r="B292" s="27" t="str">
        <x:v>48201314004</x:v>
      </x:c>
      <x:c r="C292" s="50" t="n">
        <x:v>2183</x:v>
      </x:c>
      <x:c r="D292" s="50" t="n">
        <x:v>188</x:v>
      </x:c>
      <x:c r="E292" s="50" t="n">
        <x:v>618</x:v>
      </x:c>
      <x:c r="F292" s="37" t="n">
        <x:v>0.08612001832340815</x:v>
      </x:c>
      <x:c r="G292" s="37" t="n">
        <x:v>0.2830966559780119</x:v>
      </x:c>
      <x:c r="H292" s="56" t="n">
        <x:v>2310.6</x:v>
      </x:c>
      <x:c r="I292" s="56" t="n">
        <x:v>0.072</x:v>
      </x:c>
      <x:c r="J292" s="56" t="n">
        <x:v>13.885908135282769</x:v>
      </x:c>
      <x:c r="K292" s="56" t="n">
        <x:v>50.82886220292416</x:v>
      </x:c>
      <x:c r="L292" s="56" t="n">
        <x:v>74.75551743274879</x:v>
      </x:c>
    </x:row>
    <x:row r="293" ht="32.400001525878906" hidden="0" customHeight="1">
      <x:c r="A293" s="29" t="str">
        <x:v>Harris County, Texas</x:v>
      </x:c>
      <x:c r="B293" s="29" t="str">
        <x:v>48201314005</x:v>
      </x:c>
      <x:c r="C293" s="51" t="n">
        <x:v>2632</x:v>
      </x:c>
      <x:c r="D293" s="51" t="n">
        <x:v>528</x:v>
      </x:c>
      <x:c r="E293" s="51" t="n">
        <x:v>485</x:v>
      </x:c>
      <x:c r="F293" s="38" t="n">
        <x:v>0.2006079027355623</x:v>
      </x:c>
      <x:c r="G293" s="38" t="n">
        <x:v>0.18427051671732522</x:v>
      </x:c>
      <x:c r="H293" s="57" t="n">
        <x:v>2865.2999999999997</x:v>
      </x:c>
      <x:c r="I293" s="57" t="n">
        <x:v>0.298</x:v>
      </x:c>
      <x:c r="J293" s="57" t="n">
        <x:v>13.348856277264295</x:v>
      </x:c>
      <x:c r="K293" s="57" t="n">
        <x:v>50.02328441589644</x:v>
      </x:c>
      <x:c r="L293" s="57" t="n">
        <x:v>73.6046920227092</x:v>
      </x:c>
    </x:row>
    <x:row r="294" ht="32.400001525878906" hidden="0" customHeight="1">
      <x:c r="A294" s="27" t="str">
        <x:v>Harris County, Texas</x:v>
      </x:c>
      <x:c r="B294" s="27" t="str">
        <x:v>48201314301</x:v>
      </x:c>
      <x:c r="C294" s="50" t="n">
        <x:v>2226</x:v>
      </x:c>
      <x:c r="D294" s="50" t="n">
        <x:v>397</x:v>
      </x:c>
      <x:c r="E294" s="50" t="n">
        <x:v>1183</x:v>
      </x:c>
      <x:c r="F294" s="37" t="n">
        <x:v>0.17834681042228212</x:v>
      </x:c>
      <x:c r="G294" s="37" t="n">
        <x:v>0.5314465408805031</x:v>
      </x:c>
      <x:c r="H294" s="56" t="n">
        <x:v>2483.2499999999995</x:v>
      </x:c>
      <x:c r="I294" s="56" t="n">
        <x:v>0.118</x:v>
      </x:c>
      <x:c r="J294" s="56" t="n">
        <x:v>13.158802693881114</x:v>
      </x:c>
      <x:c r="K294" s="56" t="n">
        <x:v>49.73820404082167</x:v>
      </x:c>
      <x:c r="L294" s="56" t="n">
        <x:v>73.19743434403097</x:v>
      </x:c>
    </x:row>
    <x:row r="295" ht="32.400001525878906" hidden="0" customHeight="1">
      <x:c r="A295" s="29" t="str">
        <x:v>Harris County, Texas</x:v>
      </x:c>
      <x:c r="B295" s="29" t="str">
        <x:v>48201314302</x:v>
      </x:c>
      <x:c r="C295" s="51" t="n">
        <x:v>1650</x:v>
      </x:c>
      <x:c r="D295" s="51" t="n">
        <x:v>245</x:v>
      </x:c>
      <x:c r="E295" s="51" t="n">
        <x:v>598</x:v>
      </x:c>
      <x:c r="F295" s="38" t="n">
        <x:v>0.1484848484848485</x:v>
      </x:c>
      <x:c r="G295" s="38" t="n">
        <x:v>0.3624242424242424</x:v>
      </x:c>
      <x:c r="H295" s="57" t="n">
        <x:v>1795.55</x:v>
      </x:c>
      <x:c r="I295" s="57" t="n">
        <x:v>0.463</x:v>
      </x:c>
      <x:c r="J295" s="57" t="n">
        <x:v>14.050206890097948</x:v>
      </x:c>
      <x:c r="K295" s="57" t="n">
        <x:v>51.07531033514692</x:v>
      </x:c>
      <x:c r="L295" s="57" t="n">
        <x:v>75.10758619306704</x:v>
      </x:c>
    </x:row>
    <x:row r="296" ht="32.400001525878906" hidden="0" customHeight="1">
      <x:c r="A296" s="27" t="str">
        <x:v>Harris County, Texas</x:v>
      </x:c>
      <x:c r="B296" s="27" t="str">
        <x:v>48201314401</x:v>
      </x:c>
      <x:c r="C296" s="50" t="n">
        <x:v>1510</x:v>
      </x:c>
      <x:c r="D296" s="50" t="n">
        <x:v>65</x:v>
      </x:c>
      <x:c r="E296" s="50" t="n">
        <x:v>212.5</x:v>
      </x:c>
      <x:c r="F296" s="37" t="n">
        <x:v>0.04304635761589404</x:v>
      </x:c>
      <x:c r="G296" s="37" t="n">
        <x:v>0.14072847682119205</x:v>
      </x:c>
      <x:c r="H296" s="56" t="n">
        <x:v>1554</x:v>
      </x:c>
      <x:c r="I296" s="56" t="n">
        <x:v>0.182</x:v>
      </x:c>
      <x:c r="J296" s="56" t="n">
        <x:v>15.388823812468964</x:v>
      </x:c>
      <x:c r="K296" s="56" t="n">
        <x:v>53.08323571870345</x:v>
      </x:c>
      <x:c r="L296" s="56" t="n">
        <x:v>77.9760510267192</x:v>
      </x:c>
    </x:row>
    <x:row r="297" ht="32.400001525878906" hidden="0" customHeight="1">
      <x:c r="A297" s="29" t="str">
        <x:v>Harris County, Texas</x:v>
      </x:c>
      <x:c r="B297" s="29" t="str">
        <x:v>48201314402</x:v>
      </x:c>
      <x:c r="C297" s="51" t="n">
        <x:v>2037</x:v>
      </x:c>
      <x:c r="D297" s="51" t="n">
        <x:v>205</x:v>
      </x:c>
      <x:c r="E297" s="51" t="n">
        <x:v>129</x:v>
      </x:c>
      <x:c r="F297" s="38" t="n">
        <x:v>0.10063819342169858</x:v>
      </x:c>
      <x:c r="G297" s="38" t="n">
        <x:v>0.06332842415316642</x:v>
      </x:c>
      <x:c r="H297" s="57" t="n">
        <x:v>2121.65</x:v>
      </x:c>
      <x:c r="I297" s="57" t="n">
        <x:v>0.733</x:v>
      </x:c>
      <x:c r="J297" s="57" t="n">
        <x:v>14.353472905309886</x:v>
      </x:c>
      <x:c r="K297" s="57" t="n">
        <x:v>51.53020935796483</x:v>
      </x:c>
      <x:c r="L297" s="57" t="n">
        <x:v>75.75744193994976</x:v>
      </x:c>
    </x:row>
    <x:row r="298" ht="32.400001525878906" hidden="0" customHeight="1">
      <x:c r="A298" s="27" t="str">
        <x:v>Harris County, Texas</x:v>
      </x:c>
      <x:c r="B298" s="27" t="str">
        <x:v>48201320100</x:v>
      </x:c>
      <x:c r="C298" s="50" t="n">
        <x:v>2253</x:v>
      </x:c>
      <x:c r="D298" s="50" t="n">
        <x:v>332</x:v>
      </x:c>
      <x:c r="E298" s="50" t="n">
        <x:v>212</x:v>
      </x:c>
      <x:c r="F298" s="37" t="n">
        <x:v>0.1473590767865069</x:v>
      </x:c>
      <x:c r="G298" s="37" t="n">
        <x:v>0.09409675987572126</x:v>
      </x:c>
      <x:c r="H298" s="56" t="n">
        <x:v>2390.3999999999996</x:v>
      </x:c>
      <x:c r="I298" s="56" t="n">
        <x:v>0.38</x:v>
      </x:c>
      <x:c r="J298" s="56" t="n">
        <x:v>20.33241367161066</x:v>
      </x:c>
      <x:c r="K298" s="56" t="n">
        <x:v>60.49862050741599</x:v>
      </x:c>
      <x:c r="L298" s="56" t="n">
        <x:v>88.56945786773713</x:v>
      </x:c>
    </x:row>
    <x:row r="299" ht="32.400001525878906" hidden="0" customHeight="1">
      <x:c r="A299" s="29" t="str">
        <x:v>Harris County, Texas</x:v>
      </x:c>
      <x:c r="B299" s="29" t="str">
        <x:v>48201320201</x:v>
      </x:c>
      <x:c r="C299" s="51" t="n">
        <x:v>2983</x:v>
      </x:c>
      <x:c r="D299" s="51" t="n">
        <x:v>418</x:v>
      </x:c>
      <x:c r="E299" s="51" t="n">
        <x:v>115</x:v>
      </x:c>
      <x:c r="F299" s="38" t="n">
        <x:v>0.14012738853503184</x:v>
      </x:c>
      <x:c r="G299" s="38" t="n">
        <x:v>0.03855179349648005</x:v>
      </x:c>
      <x:c r="H299" s="57" t="n">
        <x:v>3140.8</x:v>
      </x:c>
      <x:c r="I299" s="57" t="n">
        <x:v>0.784</x:v>
      </x:c>
      <x:c r="J299" s="57" t="n">
        <x:v>22.195092787393882</x:v>
      </x:c>
      <x:c r="K299" s="57" t="n">
        <x:v>63.29263918109082</x:v>
      </x:c>
      <x:c r="L299" s="57" t="n">
        <x:v>92.56091311584403</x:v>
      </x:c>
    </x:row>
    <x:row r="300" ht="32.400001525878906" hidden="0" customHeight="1">
      <x:c r="A300" s="27" t="str">
        <x:v>Harris County, Texas</x:v>
      </x:c>
      <x:c r="B300" s="27" t="str">
        <x:v>48201320202</x:v>
      </x:c>
      <x:c r="C300" s="50" t="n">
        <x:v>3033</x:v>
      </x:c>
      <x:c r="D300" s="50" t="n">
        <x:v>399</x:v>
      </x:c>
      <x:c r="E300" s="50" t="n">
        <x:v>169</x:v>
      </x:c>
      <x:c r="F300" s="37" t="n">
        <x:v>0.13155291790306628</x:v>
      </x:c>
      <x:c r="G300" s="37" t="n">
        <x:v>0.05572040883613584</x:v>
      </x:c>
      <x:c r="H300" s="56" t="n">
        <x:v>3189.55</x:v>
      </x:c>
      <x:c r="I300" s="56" t="n">
        <x:v>0.756</x:v>
      </x:c>
      <x:c r="J300" s="56" t="n">
        <x:v>20.718722069124535</x:v>
      </x:c>
      <x:c r="K300" s="56" t="n">
        <x:v>61.07808310368681</x:v>
      </x:c>
      <x:c r="L300" s="56" t="n">
        <x:v>89.39726157669543</x:v>
      </x:c>
    </x:row>
    <x:row r="301" ht="32.400001525878906" hidden="0" customHeight="1">
      <x:c r="A301" s="29" t="str">
        <x:v>Harris County, Texas</x:v>
      </x:c>
      <x:c r="B301" s="29" t="str">
        <x:v>48201320500</x:v>
      </x:c>
      <x:c r="C301" s="51" t="n">
        <x:v>4097</x:v>
      </x:c>
      <x:c r="D301" s="51" t="n">
        <x:v>654</x:v>
      </x:c>
      <x:c r="E301" s="51" t="n">
        <x:v>0</x:v>
      </x:c>
      <x:c r="F301" s="38" t="n">
        <x:v>0.15962899682694653</x:v>
      </x:c>
      <x:c r="G301" s="38" t="n">
        <x:v>0</x:v>
      </x:c>
      <x:c r="H301" s="57" t="n">
        <x:v>4325.900000000001</x:v>
      </x:c>
      <x:c r="I301" s="57" t="n">
        <x:v>2.137</x:v>
      </x:c>
      <x:c r="J301" s="57" t="n">
        <x:v>24.319182550342457</x:v>
      </x:c>
      <x:c r="K301" s="57" t="n">
        <x:v>66.47877382551368</x:v>
      </x:c>
      <x:c r="L301" s="57" t="n">
        <x:v>97.11253403644812</x:v>
      </x:c>
    </x:row>
    <x:row r="302" ht="32.400001525878906" hidden="0" customHeight="1">
      <x:c r="A302" s="27" t="str">
        <x:v>Harris County, Texas</x:v>
      </x:c>
      <x:c r="B302" s="27" t="str">
        <x:v>48201320601</x:v>
      </x:c>
      <x:c r="C302" s="50" t="n">
        <x:v>2104</x:v>
      </x:c>
      <x:c r="D302" s="50" t="n">
        <x:v>281</x:v>
      </x:c>
      <x:c r="E302" s="50" t="n">
        <x:v>319</x:v>
      </x:c>
      <x:c r="F302" s="37" t="n">
        <x:v>0.1335551330798479</x:v>
      </x:c>
      <x:c r="G302" s="37" t="n">
        <x:v>0.15161596958174905</x:v>
      </x:c>
      <x:c r="H302" s="56" t="n">
        <x:v>2234.25</x:v>
      </x:c>
      <x:c r="I302" s="56" t="n">
        <x:v>0.526</x:v>
      </x:c>
      <x:c r="J302" s="56" t="n">
        <x:v>20.980373131786273</x:v>
      </x:c>
      <x:c r="K302" s="56" t="n">
        <x:v>61.470559697679406</x:v>
      </x:c>
      <x:c r="L302" s="56" t="n">
        <x:v>89.9579424252563</x:v>
      </x:c>
    </x:row>
    <x:row r="303" ht="32.400001525878906" hidden="0" customHeight="1">
      <x:c r="A303" s="29" t="str">
        <x:v>Harris County, Texas</x:v>
      </x:c>
      <x:c r="B303" s="29" t="str">
        <x:v>48201320602</x:v>
      </x:c>
      <x:c r="C303" s="51" t="n">
        <x:v>4365</x:v>
      </x:c>
      <x:c r="D303" s="51" t="n">
        <x:v>593</x:v>
      </x:c>
      <x:c r="E303" s="51" t="n">
        <x:v>223</x:v>
      </x:c>
      <x:c r="F303" s="38" t="n">
        <x:v>0.1358533791523482</x:v>
      </x:c>
      <x:c r="G303" s="38" t="n">
        <x:v>0.05108820160366552</x:v>
      </x:c>
      <x:c r="H303" s="57" t="n">
        <x:v>4594.85</x:v>
      </x:c>
      <x:c r="I303" s="57" t="n">
        <x:v>0.585</x:v>
      </x:c>
      <x:c r="J303" s="57" t="n">
        <x:v>20.927366059171913</x:v>
      </x:c>
      <x:c r="K303" s="57" t="n">
        <x:v>61.39104908875787</x:v>
      </x:c>
      <x:c r="L303" s="57" t="n">
        <x:v>89.84435584108267</x:v>
      </x:c>
    </x:row>
    <x:row r="304" ht="32.400001525878906" hidden="0" customHeight="1">
      <x:c r="A304" s="27" t="str">
        <x:v>Harris County, Texas</x:v>
      </x:c>
      <x:c r="B304" s="27" t="str">
        <x:v>48201320700</x:v>
      </x:c>
      <x:c r="C304" s="50" t="n">
        <x:v>3383</x:v>
      </x:c>
      <x:c r="D304" s="50" t="n">
        <x:v>634</x:v>
      </x:c>
      <x:c r="E304" s="50" t="n">
        <x:v>348</x:v>
      </x:c>
      <x:c r="F304" s="37" t="n">
        <x:v>0.18740762636712976</x:v>
      </x:c>
      <x:c r="G304" s="37" t="n">
        <x:v>0.10286727756429205</x:v>
      </x:c>
      <x:c r="H304" s="56" t="n">
        <x:v>3639.7</x:v>
      </x:c>
      <x:c r="I304" s="56" t="n">
        <x:v>1.33</x:v>
      </x:c>
      <x:c r="J304" s="56" t="n">
        <x:v>21.225833247990966</x:v>
      </x:c>
      <x:c r="K304" s="56" t="n">
        <x:v>61.83874987198645</x:v>
      </x:c>
      <x:c r="L304" s="56" t="n">
        <x:v>90.48392838855207</x:v>
      </x:c>
    </x:row>
    <x:row r="305" ht="32.400001525878906" hidden="0" customHeight="1">
      <x:c r="A305" s="29" t="str">
        <x:v>Harris County, Texas</x:v>
      </x:c>
      <x:c r="B305" s="29" t="str">
        <x:v>48201320800</x:v>
      </x:c>
      <x:c r="C305" s="51" t="n">
        <x:v>4738</x:v>
      </x:c>
      <x:c r="D305" s="51" t="n">
        <x:v>536</x:v>
      </x:c>
      <x:c r="E305" s="51" t="n">
        <x:v>107.5</x:v>
      </x:c>
      <x:c r="F305" s="38" t="n">
        <x:v>0.11312790206838329</x:v>
      </x:c>
      <x:c r="G305" s="38" t="n">
        <x:v>0.022688898269311947</x:v>
      </x:c>
      <x:c r="H305" s="57" t="n">
        <x:v>4936.35</x:v>
      </x:c>
      <x:c r="I305" s="57" t="n">
        <x:v>1.128</x:v>
      </x:c>
      <x:c r="J305" s="57" t="n">
        <x:v>21.380081972893787</x:v>
      </x:c>
      <x:c r="K305" s="57" t="n">
        <x:v>62.07012295934068</x:v>
      </x:c>
      <x:c r="L305" s="57" t="n">
        <x:v>90.8144613704867</x:v>
      </x:c>
    </x:row>
    <x:row r="306" ht="32.400001525878906" hidden="0" customHeight="1">
      <x:c r="A306" s="27" t="str">
        <x:v>Harris County, Texas</x:v>
      </x:c>
      <x:c r="B306" s="27" t="str">
        <x:v>48201320901</x:v>
      </x:c>
      <x:c r="C306" s="50" t="n">
        <x:v>2800</x:v>
      </x:c>
      <x:c r="D306" s="50" t="n">
        <x:v>235</x:v>
      </x:c>
      <x:c r="E306" s="50" t="n">
        <x:v>246.5</x:v>
      </x:c>
      <x:c r="F306" s="37" t="n">
        <x:v>0.08392857142857142</x:v>
      </x:c>
      <x:c r="G306" s="37" t="n">
        <x:v>0.08803571428571429</x:v>
      </x:c>
      <x:c r="H306" s="56" t="n">
        <x:v>2906.9</x:v>
      </x:c>
      <x:c r="I306" s="56" t="n">
        <x:v>0.401</x:v>
      </x:c>
      <x:c r="J306" s="56" t="n">
        <x:v>20.292114073180656</x:v>
      </x:c>
      <x:c r="K306" s="56" t="n">
        <x:v>60.438171109770984</x:v>
      </x:c>
      <x:c r="L306" s="56" t="n">
        <x:v>88.48310158538712</x:v>
      </x:c>
    </x:row>
    <x:row r="307" ht="32.400001525878906" hidden="0" customHeight="1">
      <x:c r="A307" s="29" t="str">
        <x:v>Harris County, Texas</x:v>
      </x:c>
      <x:c r="B307" s="29" t="str">
        <x:v>48201320902</x:v>
      </x:c>
      <x:c r="C307" s="51" t="n">
        <x:v>3685</x:v>
      </x:c>
      <x:c r="D307" s="51" t="n">
        <x:v>244</x:v>
      </x:c>
      <x:c r="E307" s="51" t="n">
        <x:v>168</x:v>
      </x:c>
      <x:c r="F307" s="38" t="n">
        <x:v>0.06621438263229308</x:v>
      </x:c>
      <x:c r="G307" s="38" t="n">
        <x:v>0.04559023066485753</x:v>
      </x:c>
      <x:c r="H307" s="57" t="n">
        <x:v>3787.2000000000003</x:v>
      </x:c>
      <x:c r="I307" s="57" t="n">
        <x:v>0.494</x:v>
      </x:c>
      <x:c r="J307" s="57" t="n">
        <x:v>21.74742927765429</x:v>
      </x:c>
      <x:c r="K307" s="57" t="n">
        <x:v>62.62114391648144</x:v>
      </x:c>
      <x:c r="L307" s="57" t="n">
        <x:v>91.60163416640205</x:v>
      </x:c>
    </x:row>
    <x:row r="308" ht="32.400001525878906" hidden="0" customHeight="1">
      <x:c r="A308" s="27" t="str">
        <x:v>Harris County, Texas</x:v>
      </x:c>
      <x:c r="B308" s="27" t="str">
        <x:v>48201321001</x:v>
      </x:c>
      <x:c r="C308" s="50" t="n">
        <x:v>2805</x:v>
      </x:c>
      <x:c r="D308" s="50" t="n">
        <x:v>235</x:v>
      </x:c>
      <x:c r="E308" s="50" t="n">
        <x:v>187</x:v>
      </x:c>
      <x:c r="F308" s="37" t="n">
        <x:v>0.08377896613190731</x:v>
      </x:c>
      <x:c r="G308" s="37" t="n">
        <x:v>0.06666666666666667</x:v>
      </x:c>
      <x:c r="H308" s="56" t="n">
        <x:v>2905.95</x:v>
      </x:c>
      <x:c r="I308" s="56" t="n">
        <x:v>0.504</x:v>
      </x:c>
      <x:c r="J308" s="56" t="n">
        <x:v>21.370456790205623</x:v>
      </x:c>
      <x:c r="K308" s="56" t="n">
        <x:v>62.055685185308434</x:v>
      </x:c>
      <x:c r="L308" s="56" t="n">
        <x:v>90.79383597901204</x:v>
      </x:c>
    </x:row>
    <x:row r="309" ht="32.400001525878906" hidden="0" customHeight="1">
      <x:c r="A309" s="29" t="str">
        <x:v>Harris County, Texas</x:v>
      </x:c>
      <x:c r="B309" s="29" t="str">
        <x:v>48201321002</x:v>
      </x:c>
      <x:c r="C309" s="51" t="n">
        <x:v>5200</x:v>
      </x:c>
      <x:c r="D309" s="51" t="n">
        <x:v>457</x:v>
      </x:c>
      <x:c r="E309" s="51" t="n">
        <x:v>242</x:v>
      </x:c>
      <x:c r="F309" s="38" t="n">
        <x:v>0.08788461538461538</x:v>
      </x:c>
      <x:c r="G309" s="38" t="n">
        <x:v>0.046538461538461535</x:v>
      </x:c>
      <x:c r="H309" s="57" t="n">
        <x:v>5384.150000000001</x:v>
      </x:c>
      <x:c r="I309" s="57" t="n">
        <x:v>1.026</x:v>
      </x:c>
      <x:c r="J309" s="57" t="n">
        <x:v>22.083796185746074</x:v>
      </x:c>
      <x:c r="K309" s="57" t="n">
        <x:v>63.125694278619115</x:v>
      </x:c>
      <x:c r="L309" s="57" t="n">
        <x:v>92.3224203980273</x:v>
      </x:c>
    </x:row>
    <x:row r="310" ht="32.400001525878906" hidden="0" customHeight="1">
      <x:c r="A310" s="27" t="str">
        <x:v>Harris County, Texas</x:v>
      </x:c>
      <x:c r="B310" s="27" t="str">
        <x:v>48201321101</x:v>
      </x:c>
      <x:c r="C310" s="50" t="n">
        <x:v>3896</x:v>
      </x:c>
      <x:c r="D310" s="50" t="n">
        <x:v>397</x:v>
      </x:c>
      <x:c r="E310" s="50" t="n">
        <x:v>177</x:v>
      </x:c>
      <x:c r="F310" s="37" t="n">
        <x:v>0.1018993839835729</x:v>
      </x:c>
      <x:c r="G310" s="37" t="n">
        <x:v>0.045431211498973306</x:v>
      </x:c>
      <x:c r="H310" s="56" t="n">
        <x:v>4052.6500000000005</x:v>
      </x:c>
      <x:c r="I310" s="56" t="n">
        <x:v>1.145</x:v>
      </x:c>
      <x:c r="J310" s="56" t="n">
        <x:v>23.888714206803606</x:v>
      </x:c>
      <x:c r="K310" s="56" t="n">
        <x:v>65.83307131020541</x:v>
      </x:c>
      <x:c r="L310" s="56" t="n">
        <x:v>96.190101871722</x:v>
      </x:c>
    </x:row>
    <x:row r="311" ht="32.400001525878906" hidden="0" customHeight="1">
      <x:c r="A311" s="29" t="str">
        <x:v>Harris County, Texas</x:v>
      </x:c>
      <x:c r="B311" s="29" t="str">
        <x:v>48201321102</x:v>
      </x:c>
      <x:c r="C311" s="51" t="n">
        <x:v>4274</x:v>
      </x:c>
      <x:c r="D311" s="51" t="n">
        <x:v>719</x:v>
      </x:c>
      <x:c r="E311" s="51" t="n">
        <x:v>189</x:v>
      </x:c>
      <x:c r="F311" s="38" t="n">
        <x:v>0.16822648572765558</x:v>
      </x:c>
      <x:c r="G311" s="38" t="n">
        <x:v>0.044220870379036034</x:v>
      </x:c>
      <x:c r="H311" s="57" t="n">
        <x:v>4544.55</x:v>
      </x:c>
      <x:c r="I311" s="57" t="n">
        <x:v>0.988</x:v>
      </x:c>
      <x:c r="J311" s="57" t="n">
        <x:v>23.155421944530058</x:v>
      </x:c>
      <x:c r="K311" s="57" t="n">
        <x:v>64.73313291679509</x:v>
      </x:c>
      <x:c r="L311" s="57" t="n">
        <x:v>94.61876130970727</x:v>
      </x:c>
    </x:row>
    <x:row r="312" ht="32.400001525878906" hidden="0" customHeight="1">
      <x:c r="A312" s="27" t="str">
        <x:v>Harris County, Texas</x:v>
      </x:c>
      <x:c r="B312" s="27" t="str">
        <x:v>48201321200</x:v>
      </x:c>
      <x:c r="C312" s="50" t="n">
        <x:v>4962</x:v>
      </x:c>
      <x:c r="D312" s="50" t="n">
        <x:v>338</x:v>
      </x:c>
      <x:c r="E312" s="50" t="n">
        <x:v>361.5</x:v>
      </x:c>
      <x:c r="F312" s="37" t="n">
        <x:v>0.06811769447803305</x:v>
      </x:c>
      <x:c r="G312" s="37" t="n">
        <x:v>0.07285368802902055</x:v>
      </x:c>
      <x:c r="H312" s="56" t="n">
        <x:v>5116.449999999999</x:v>
      </x:c>
      <x:c r="I312" s="56" t="n">
        <x:v>1.143</x:v>
      </x:c>
      <x:c r="J312" s="56" t="n">
        <x:v>25.143561401931677</x:v>
      </x:c>
      <x:c r="K312" s="56" t="n">
        <x:v>67.71534210289752</x:v>
      </x:c>
      <x:c r="L312" s="56" t="n">
        <x:v>98.87906014699645</x:v>
      </x:c>
    </x:row>
    <x:row r="313" ht="32.400001525878906" hidden="0" customHeight="1">
      <x:c r="A313" s="29" t="str">
        <x:v>Harris County, Texas</x:v>
      </x:c>
      <x:c r="B313" s="29" t="str">
        <x:v>48201321301</x:v>
      </x:c>
      <x:c r="C313" s="51" t="n">
        <x:v>3718</x:v>
      </x:c>
      <x:c r="D313" s="51" t="n">
        <x:v>130</x:v>
      </x:c>
      <x:c r="E313" s="51" t="n">
        <x:v>434</x:v>
      </x:c>
      <x:c r="F313" s="38" t="n">
        <x:v>0.03496503496503497</x:v>
      </x:c>
      <x:c r="G313" s="38" t="n">
        <x:v>0.11672942442173212</x:v>
      </x:c>
      <x:c r="H313" s="57" t="n">
        <x:v>3806.9000000000005</x:v>
      </x:c>
      <x:c r="I313" s="57" t="n">
        <x:v>0.217</x:v>
      </x:c>
      <x:c r="J313" s="57" t="n">
        <x:v>23.378936148909442</x:v>
      </x:c>
      <x:c r="K313" s="57" t="n">
        <x:v>65.06840422336417</x:v>
      </x:c>
      <x:c r="L313" s="57" t="n">
        <x:v>95.09772031909166</x:v>
      </x:c>
    </x:row>
    <x:row r="314" ht="32.400001525878906" hidden="0" customHeight="1">
      <x:c r="A314" s="27" t="str">
        <x:v>Harris County, Texas</x:v>
      </x:c>
      <x:c r="B314" s="27" t="str">
        <x:v>48201321302</x:v>
      </x:c>
      <x:c r="C314" s="50" t="n">
        <x:v>1929</x:v>
      </x:c>
      <x:c r="D314" s="50" t="n">
        <x:v>232</x:v>
      </x:c>
      <x:c r="E314" s="50" t="n">
        <x:v>13</x:v>
      </x:c>
      <x:c r="F314" s="37" t="n">
        <x:v>0.12026956972524624</x:v>
      </x:c>
      <x:c r="G314" s="37" t="n">
        <x:v>0.00673924313115604</x:v>
      </x:c>
      <x:c r="H314" s="56" t="n">
        <x:v>2011.4999999999998</x:v>
      </x:c>
      <x:c r="I314" s="56" t="n">
        <x:v>0.391</x:v>
      </x:c>
      <x:c r="J314" s="56" t="n">
        <x:v>24.053324186328975</x:v>
      </x:c>
      <x:c r="K314" s="56" t="n">
        <x:v>66.07998627949347</x:v>
      </x:c>
      <x:c r="L314" s="56" t="n">
        <x:v>96.54283754213353</x:v>
      </x:c>
    </x:row>
    <x:row r="315" ht="32.400001525878906" hidden="0" customHeight="1">
      <x:c r="A315" s="29" t="str">
        <x:v>Harris County, Texas</x:v>
      </x:c>
      <x:c r="B315" s="29" t="str">
        <x:v>48201321401</x:v>
      </x:c>
      <x:c r="C315" s="51" t="n">
        <x:v>3726</x:v>
      </x:c>
      <x:c r="D315" s="51" t="n">
        <x:v>352</x:v>
      </x:c>
      <x:c r="E315" s="51" t="n">
        <x:v>10</x:v>
      </x:c>
      <x:c r="F315" s="38" t="n">
        <x:v>0.09447128287707998</x:v>
      </x:c>
      <x:c r="G315" s="38" t="n">
        <x:v>0.0026838432635534087</x:v>
      </x:c>
      <x:c r="H315" s="57" t="n">
        <x:v>3850.2000000000003</x:v>
      </x:c>
      <x:c r="I315" s="57" t="n">
        <x:v>0.799</x:v>
      </x:c>
      <x:c r="J315" s="57" t="n">
        <x:v>23.424459333360556</x:v>
      </x:c>
      <x:c r="K315" s="57" t="n">
        <x:v>65.13668900004083</x:v>
      </x:c>
      <x:c r="L315" s="57" t="n">
        <x:v>95.19527000005833</x:v>
      </x:c>
    </x:row>
    <x:row r="316" ht="32.400001525878906" hidden="0" customHeight="1">
      <x:c r="A316" s="27" t="str">
        <x:v>Harris County, Texas</x:v>
      </x:c>
      <x:c r="B316" s="27" t="str">
        <x:v>48201321402</x:v>
      </x:c>
      <x:c r="C316" s="50" t="n">
        <x:v>4867</x:v>
      </x:c>
      <x:c r="D316" s="50" t="n">
        <x:v>505</x:v>
      </x:c>
      <x:c r="E316" s="50" t="n">
        <x:v>0</x:v>
      </x:c>
      <x:c r="F316" s="37" t="n">
        <x:v>0.10376001643723033</x:v>
      </x:c>
      <x:c r="G316" s="37" t="n">
        <x:v>0</x:v>
      </x:c>
      <x:c r="H316" s="56" t="n">
        <x:v>5043.749999999999</x:v>
      </x:c>
      <x:c r="I316" s="56" t="n">
        <x:v>0.755</x:v>
      </x:c>
      <x:c r="J316" s="56" t="n">
        <x:v>23.693476222875066</x:v>
      </x:c>
      <x:c r="K316" s="56" t="n">
        <x:v>65.5402143343126</x:v>
      </x:c>
      <x:c r="L316" s="56" t="n">
        <x:v>95.77173476330371</x:v>
      </x:c>
    </x:row>
    <x:row r="317" ht="32.400001525878906" hidden="0" customHeight="1">
      <x:c r="A317" s="29" t="str">
        <x:v>Harris County, Texas</x:v>
      </x:c>
      <x:c r="B317" s="29" t="str">
        <x:v>48201321500</x:v>
      </x:c>
      <x:c r="C317" s="51" t="n">
        <x:v>2700</x:v>
      </x:c>
      <x:c r="D317" s="51" t="n">
        <x:v>381</x:v>
      </x:c>
      <x:c r="E317" s="51" t="n">
        <x:v>134</x:v>
      </x:c>
      <x:c r="F317" s="38" t="n">
        <x:v>0.1411111111111111</x:v>
      </x:c>
      <x:c r="G317" s="38" t="n">
        <x:v>0.04962962962962963</x:v>
      </x:c>
      <x:c r="H317" s="57" t="n">
        <x:v>2846.7500000000005</x:v>
      </x:c>
      <x:c r="I317" s="57" t="n">
        <x:v>0.364</x:v>
      </x:c>
      <x:c r="J317" s="57" t="n">
        <x:v>25.143469978194243</x:v>
      </x:c>
      <x:c r="K317" s="57" t="n">
        <x:v>67.71520496729137</x:v>
      </x:c>
      <x:c r="L317" s="57" t="n">
        <x:v>98.87886423898766</x:v>
      </x:c>
    </x:row>
    <x:row r="318" ht="32.400001525878906" hidden="0" customHeight="1">
      <x:c r="A318" s="27" t="str">
        <x:v>Harris County, Texas</x:v>
      </x:c>
      <x:c r="B318" s="27" t="str">
        <x:v>48201321600</x:v>
      </x:c>
      <x:c r="C318" s="50" t="n">
        <x:v>6937</x:v>
      </x:c>
      <x:c r="D318" s="50" t="n">
        <x:v>1011</x:v>
      </x:c>
      <x:c r="E318" s="50" t="n">
        <x:v>147</x:v>
      </x:c>
      <x:c r="F318" s="37" t="n">
        <x:v>0.14574023353034454</x:v>
      </x:c>
      <x:c r="G318" s="37" t="n">
        <x:v>0.02119071644803229</x:v>
      </x:c>
      <x:c r="H318" s="56" t="n">
        <x:v>7305.549999999999</x:v>
      </x:c>
      <x:c r="I318" s="56" t="n">
        <x:v>1.114</x:v>
      </x:c>
      <x:c r="J318" s="56" t="n">
        <x:v>25.07227647953369</x:v>
      </x:c>
      <x:c r="K318" s="56" t="n">
        <x:v>67.60841471930054</x:v>
      </x:c>
      <x:c r="L318" s="56" t="n">
        <x:v>98.72630674185791</x:v>
      </x:c>
    </x:row>
    <x:row r="319" ht="32.400001525878906" hidden="0" customHeight="1">
      <x:c r="A319" s="29" t="str">
        <x:v>Harris County, Texas</x:v>
      </x:c>
      <x:c r="B319" s="29" t="str">
        <x:v>48201321700</x:v>
      </x:c>
      <x:c r="C319" s="51" t="n">
        <x:v>3202</x:v>
      </x:c>
      <x:c r="D319" s="51" t="n">
        <x:v>306</x:v>
      </x:c>
      <x:c r="E319" s="51" t="n">
        <x:v>74.5</x:v>
      </x:c>
      <x:c r="F319" s="38" t="n">
        <x:v>0.09556527170518427</x:v>
      </x:c>
      <x:c r="G319" s="38" t="n">
        <x:v>0.023266708307307933</x:v>
      </x:c>
      <x:c r="H319" s="57" t="n">
        <x:v>3316.55</x:v>
      </x:c>
      <x:c r="I319" s="57" t="n">
        <x:v>0.745</x:v>
      </x:c>
      <x:c r="J319" s="57" t="n">
        <x:v>23.321717522423583</x:v>
      </x:c>
      <x:c r="K319" s="57" t="n">
        <x:v>64.98257628363538</x:v>
      </x:c>
      <x:c r="L319" s="57" t="n">
        <x:v>94.97510897662197</x:v>
      </x:c>
    </x:row>
    <x:row r="320" ht="32.400001525878906" hidden="0" customHeight="1">
      <x:c r="A320" s="27" t="str">
        <x:v>Harris County, Texas</x:v>
      </x:c>
      <x:c r="B320" s="27" t="str">
        <x:v>48201321800</x:v>
      </x:c>
      <x:c r="C320" s="50" t="n">
        <x:v>4101</x:v>
      </x:c>
      <x:c r="D320" s="50" t="n">
        <x:v>751</x:v>
      </x:c>
      <x:c r="E320" s="50" t="n">
        <x:v>40</x:v>
      </x:c>
      <x:c r="F320" s="37" t="n">
        <x:v>0.18312606681297244</x:v>
      </x:c>
      <x:c r="G320" s="37" t="n">
        <x:v>0.00975371860521824</x:v>
      </x:c>
      <x:c r="H320" s="56" t="n">
        <x:v>4367.849999999999</x:v>
      </x:c>
      <x:c r="I320" s="56" t="n">
        <x:v>0.504</x:v>
      </x:c>
      <x:c r="J320" s="56" t="n">
        <x:v>23.924484118027383</x:v>
      </x:c>
      <x:c r="K320" s="56" t="n">
        <x:v>65.88672617704107</x:v>
      </x:c>
      <x:c r="L320" s="56" t="n">
        <x:v>96.26675168148725</x:v>
      </x:c>
    </x:row>
    <x:row r="321" ht="32.400001525878906" hidden="0" customHeight="1">
      <x:c r="A321" s="29" t="str">
        <x:v>Harris County, Texas</x:v>
      </x:c>
      <x:c r="B321" s="29" t="str">
        <x:v>48201321900</x:v>
      </x:c>
      <x:c r="C321" s="51" t="n">
        <x:v>5314</x:v>
      </x:c>
      <x:c r="D321" s="51" t="n">
        <x:v>683</x:v>
      </x:c>
      <x:c r="E321" s="51" t="n">
        <x:v>75</x:v>
      </x:c>
      <x:c r="F321" s="38" t="n">
        <x:v>0.12852841550621</x:v>
      </x:c>
      <x:c r="G321" s="38" t="n">
        <x:v>0.014113662024840046</x:v>
      </x:c>
      <x:c r="H321" s="57" t="n">
        <x:v>5560.55</x:v>
      </x:c>
      <x:c r="I321" s="57" t="n">
        <x:v>0.953</x:v>
      </x:c>
      <x:c r="J321" s="57" t="n">
        <x:v>25.991288996447373</x:v>
      </x:c>
      <x:c r="K321" s="57" t="n">
        <x:v>68.98693349467106</x:v>
      </x:c>
      <x:c r="L321" s="57" t="n">
        <x:v>100.6956192781015</x:v>
      </x:c>
    </x:row>
    <x:row r="322" ht="32.400001525878906" hidden="0" customHeight="1">
      <x:c r="A322" s="27" t="str">
        <x:v>Harris County, Texas</x:v>
      </x:c>
      <x:c r="B322" s="27" t="str">
        <x:v>48201322000</x:v>
      </x:c>
      <x:c r="C322" s="50" t="n">
        <x:v>4240</x:v>
      </x:c>
      <x:c r="D322" s="50" t="n">
        <x:v>249</x:v>
      </x:c>
      <x:c r="E322" s="50" t="n">
        <x:v>434</x:v>
      </x:c>
      <x:c r="F322" s="37" t="n">
        <x:v>0.058726415094339623</x:v>
      </x:c>
      <x:c r="G322" s="37" t="n">
        <x:v>0.10235849056603774</x:v>
      </x:c>
      <x:c r="H322" s="56" t="n">
        <x:v>4370.55</x:v>
      </x:c>
      <x:c r="I322" s="56" t="n">
        <x:v>0.27</x:v>
      </x:c>
      <x:c r="J322" s="56" t="n">
        <x:v>27.271811829884072</x:v>
      </x:c>
      <x:c r="K322" s="56" t="n">
        <x:v>70.9077177448261</x:v>
      </x:c>
      <x:c r="L322" s="56" t="n">
        <x:v>103.43959677832301</x:v>
      </x:c>
    </x:row>
    <x:row r="323" ht="32.400001525878906" hidden="0" customHeight="1">
      <x:c r="A323" s="29" t="str">
        <x:v>Harris County, Texas</x:v>
      </x:c>
      <x:c r="B323" s="29" t="str">
        <x:v>48201322100</x:v>
      </x:c>
      <x:c r="C323" s="51" t="n">
        <x:v>3883</x:v>
      </x:c>
      <x:c r="D323" s="51" t="n">
        <x:v>682</x:v>
      </x:c>
      <x:c r="E323" s="51" t="n">
        <x:v>367.5</x:v>
      </x:c>
      <x:c r="F323" s="38" t="n">
        <x:v>0.17563739376770537</x:v>
      </x:c>
      <x:c r="G323" s="38" t="n">
        <x:v>0.09464331702292042</x:v>
      </x:c>
      <x:c r="H323" s="57" t="n">
        <x:v>4158.45</x:v>
      </x:c>
      <x:c r="I323" s="57" t="n">
        <x:v>0.84</x:v>
      </x:c>
      <x:c r="J323" s="57" t="n">
        <x:v>26.719551577159123</x:v>
      </x:c>
      <x:c r="K323" s="57" t="n">
        <x:v>70.07932736573869</x:v>
      </x:c>
      <x:c r="L323" s="57" t="n">
        <x:v>102.25618195105527</x:v>
      </x:c>
    </x:row>
    <x:row r="324" ht="32.400001525878906" hidden="0" customHeight="1">
      <x:c r="A324" s="27" t="str">
        <x:v>Harris County, Texas</x:v>
      </x:c>
      <x:c r="B324" s="27" t="str">
        <x:v>48201322200</x:v>
      </x:c>
      <x:c r="C324" s="50" t="n">
        <x:v>1670</x:v>
      </x:c>
      <x:c r="D324" s="50" t="n">
        <x:v>251</x:v>
      </x:c>
      <x:c r="E324" s="50" t="n">
        <x:v>29</x:v>
      </x:c>
      <x:c r="F324" s="37" t="n">
        <x:v>0.1502994011976048</x:v>
      </x:c>
      <x:c r="G324" s="37" t="n">
        <x:v>0.017365269461077845</x:v>
      </x:c>
      <x:c r="H324" s="56" t="n">
        <x:v>1760.7500000000002</x:v>
      </x:c>
      <x:c r="I324" s="56" t="n">
        <x:v>0.365</x:v>
      </x:c>
      <x:c r="J324" s="56" t="n">
        <x:v>27.959815935412742</x:v>
      </x:c>
      <x:c r="K324" s="56" t="n">
        <x:v>71.93972390311912</x:v>
      </x:c>
      <x:c r="L324" s="56" t="n">
        <x:v>104.91389129017017</x:v>
      </x:c>
    </x:row>
    <x:row r="325" ht="32.400001525878906" hidden="0" customHeight="1">
      <x:c r="A325" s="29" t="str">
        <x:v>Harris County, Texas</x:v>
      </x:c>
      <x:c r="B325" s="29" t="str">
        <x:v>48201322600</x:v>
      </x:c>
      <x:c r="C325" s="51" t="n">
        <x:v>4985</x:v>
      </x:c>
      <x:c r="D325" s="51" t="n">
        <x:v>518</x:v>
      </x:c>
      <x:c r="E325" s="51" t="n">
        <x:v>66</x:v>
      </x:c>
      <x:c r="F325" s="38" t="n">
        <x:v>0.10391173520561685</x:v>
      </x:c>
      <x:c r="G325" s="38" t="n">
        <x:v>0.013239719157472418</x:v>
      </x:c>
      <x:c r="H325" s="57" t="n">
        <x:v>5172.9</x:v>
      </x:c>
      <x:c r="I325" s="57" t="n">
        <x:v>0.957</x:v>
      </x:c>
      <x:c r="J325" s="57" t="n">
        <x:v>28.970370055680583</x:v>
      </x:c>
      <x:c r="K325" s="57" t="n">
        <x:v>73.45555508352088</x:v>
      </x:c>
      <x:c r="L325" s="57" t="n">
        <x:v>107.07936440502982</x:v>
      </x:c>
    </x:row>
    <x:row r="326" ht="32.400001525878906" hidden="0" customHeight="1">
      <x:c r="A326" s="27" t="str">
        <x:v>Harris County, Texas</x:v>
      </x:c>
      <x:c r="B326" s="27" t="str">
        <x:v>48201322701</x:v>
      </x:c>
      <x:c r="C326" s="50" t="n">
        <x:v>2882</x:v>
      </x:c>
      <x:c r="D326" s="50" t="n">
        <x:v>265</x:v>
      </x:c>
      <x:c r="E326" s="50" t="n">
        <x:v>365</x:v>
      </x:c>
      <x:c r="F326" s="37" t="n">
        <x:v>0.0919500346981263</x:v>
      </x:c>
      <x:c r="G326" s="37" t="n">
        <x:v>0.12664816099930604</x:v>
      </x:c>
      <x:c r="H326" s="56" t="n">
        <x:v>3011.25</x:v>
      </x:c>
      <x:c r="I326" s="56" t="n">
        <x:v>0.308</x:v>
      </x:c>
      <x:c r="J326" s="56" t="n">
        <x:v>30.406041611236517</x:v>
      </x:c>
      <x:c r="K326" s="56" t="n">
        <x:v>75.60906241685478</x:v>
      </x:c>
      <x:c r="L326" s="56" t="n">
        <x:v>110.15580345264968</x:v>
      </x:c>
    </x:row>
    <x:row r="327" ht="32.400001525878906" hidden="0" customHeight="1">
      <x:c r="A327" s="29" t="str">
        <x:v>Harris County, Texas</x:v>
      </x:c>
      <x:c r="B327" s="29" t="str">
        <x:v>48201322702</x:v>
      </x:c>
      <x:c r="C327" s="51" t="n">
        <x:v>4356</x:v>
      </x:c>
      <x:c r="D327" s="51" t="n">
        <x:v>396</x:v>
      </x:c>
      <x:c r="E327" s="51" t="n">
        <x:v>63</x:v>
      </x:c>
      <x:c r="F327" s="38" t="n">
        <x:v>0.09090909090909091</x:v>
      </x:c>
      <x:c r="G327" s="38" t="n">
        <x:v>0.014462809917355372</x:v>
      </x:c>
      <x:c r="H327" s="57" t="n">
        <x:v>4500.9</x:v>
      </x:c>
      <x:c r="I327" s="57" t="n">
        <x:v>0.491</x:v>
      </x:c>
      <x:c r="J327" s="57" t="n">
        <x:v>29.932782346521275</x:v>
      </x:c>
      <x:c r="K327" s="57" t="n">
        <x:v>74.89917351978191</x:v>
      </x:c>
      <x:c r="L327" s="57" t="n">
        <x:v>109.1416764568313</x:v>
      </x:c>
    </x:row>
    <x:row r="328" ht="32.400001525878906" hidden="0" customHeight="1">
      <x:c r="A328" s="27" t="str">
        <x:v>Harris County, Texas</x:v>
      </x:c>
      <x:c r="B328" s="27" t="str">
        <x:v>48201322800</x:v>
      </x:c>
      <x:c r="C328" s="50" t="n">
        <x:v>5492</x:v>
      </x:c>
      <x:c r="D328" s="50" t="n">
        <x:v>744</x:v>
      </x:c>
      <x:c r="E328" s="50" t="n">
        <x:v>12</x:v>
      </x:c>
      <x:c r="F328" s="37" t="n">
        <x:v>0.13546977421704298</x:v>
      </x:c>
      <x:c r="G328" s="37" t="n">
        <x:v>0.0021849963583394027</x:v>
      </x:c>
      <x:c r="H328" s="56" t="n">
        <x:v>5753.599999999999</x:v>
      </x:c>
      <x:c r="I328" s="56" t="n">
        <x:v>1.201</x:v>
      </x:c>
      <x:c r="J328" s="56" t="n">
        <x:v>31.488287530995354</x:v>
      </x:c>
      <x:c r="K328" s="56" t="n">
        <x:v>77.23243129649303</x:v>
      </x:c>
      <x:c r="L328" s="56" t="n">
        <x:v>112.4749018521329</x:v>
      </x:c>
    </x:row>
    <x:row r="329" ht="32.400001525878906" hidden="0" customHeight="1">
      <x:c r="A329" s="29" t="str">
        <x:v>Harris County, Texas</x:v>
      </x:c>
      <x:c r="B329" s="29" t="str">
        <x:v>48201322900</x:v>
      </x:c>
      <x:c r="C329" s="51" t="n">
        <x:v>3755</x:v>
      </x:c>
      <x:c r="D329" s="51" t="n">
        <x:v>549</x:v>
      </x:c>
      <x:c r="E329" s="51" t="n">
        <x:v>19</x:v>
      </x:c>
      <x:c r="F329" s="38" t="n">
        <x:v>0.14620505992010652</x:v>
      </x:c>
      <x:c r="G329" s="38" t="n">
        <x:v>0.005059920106524634</x:v>
      </x:c>
      <x:c r="H329" s="57" t="n">
        <x:v>3949.0499999999997</x:v>
      </x:c>
      <x:c r="I329" s="57" t="n">
        <x:v>0.642</x:v>
      </x:c>
      <x:c r="J329" s="57" t="n">
        <x:v>29.938355355301237</x:v>
      </x:c>
      <x:c r="K329" s="57" t="n">
        <x:v>74.90753303295186</x:v>
      </x:c>
      <x:c r="L329" s="57" t="n">
        <x:v>109.15361861850265</x:v>
      </x:c>
    </x:row>
    <x:row r="330" ht="32.400001525878906" hidden="0" customHeight="1">
      <x:c r="A330" s="27" t="str">
        <x:v>Harris County, Texas</x:v>
      </x:c>
      <x:c r="B330" s="27" t="str">
        <x:v>48201323000</x:v>
      </x:c>
      <x:c r="C330" s="50" t="n">
        <x:v>6548</x:v>
      </x:c>
      <x:c r="D330" s="50" t="n">
        <x:v>811</x:v>
      </x:c>
      <x:c r="E330" s="50" t="n">
        <x:v>249</x:v>
      </x:c>
      <x:c r="F330" s="37" t="n">
        <x:v>0.12385461209529627</x:v>
      </x:c>
      <x:c r="G330" s="37" t="n">
        <x:v>0.038026878436163716</x:v>
      </x:c>
      <x:c r="H330" s="56" t="n">
        <x:v>6856.75</x:v>
      </x:c>
      <x:c r="I330" s="56" t="n">
        <x:v>0.54</x:v>
      </x:c>
      <x:c r="J330" s="56" t="n">
        <x:v>29.5199049557071</x:v>
      </x:c>
      <x:c r="K330" s="56" t="n">
        <x:v>74.27985743356065</x:v>
      </x:c>
      <x:c r="L330" s="56" t="n">
        <x:v>108.25693919080094</x:v>
      </x:c>
    </x:row>
    <x:row r="331" ht="32.400001525878906" hidden="0" customHeight="1">
      <x:c r="A331" s="29" t="str">
        <x:v>Harris County, Texas</x:v>
      </x:c>
      <x:c r="B331" s="29" t="str">
        <x:v>48201323100</x:v>
      </x:c>
      <x:c r="C331" s="51" t="n">
        <x:v>3483</x:v>
      </x:c>
      <x:c r="D331" s="51" t="n">
        <x:v>280</x:v>
      </x:c>
      <x:c r="E331" s="51" t="n">
        <x:v>131</x:v>
      </x:c>
      <x:c r="F331" s="38" t="n">
        <x:v>0.08039046798736721</x:v>
      </x:c>
      <x:c r="G331" s="38" t="n">
        <x:v>0.037611254665518234</x:v>
      </x:c>
      <x:c r="H331" s="57" t="n">
        <x:v>3594.0999999999995</x:v>
      </x:c>
      <x:c r="I331" s="57" t="n">
        <x:v>0.791</x:v>
      </x:c>
      <x:c r="J331" s="57" t="n">
        <x:v>31.25141255192542</x:v>
      </x:c>
      <x:c r="K331" s="57" t="n">
        <x:v>76.87711882788813</x:v>
      </x:c>
      <x:c r="L331" s="57" t="n">
        <x:v>111.96731261126875</x:v>
      </x:c>
    </x:row>
    <x:row r="332" ht="32.400001525878906" hidden="0" customHeight="1">
      <x:c r="A332" s="27" t="str">
        <x:v>Harris County, Texas</x:v>
      </x:c>
      <x:c r="B332" s="27" t="str">
        <x:v>48201323200</x:v>
      </x:c>
      <x:c r="C332" s="50" t="n">
        <x:v>6023</x:v>
      </x:c>
      <x:c r="D332" s="50" t="n">
        <x:v>829</x:v>
      </x:c>
      <x:c r="E332" s="50" t="n">
        <x:v>165</x:v>
      </x:c>
      <x:c r="F332" s="37" t="n">
        <x:v>0.1376390503071559</x:v>
      </x:c>
      <x:c r="G332" s="37" t="n">
        <x:v>0.027394985887431514</x:v>
      </x:c>
      <x:c r="H332" s="56" t="n">
        <x:v>6329.650000000001</x:v>
      </x:c>
      <x:c r="I332" s="56" t="n">
        <x:v>0.813</x:v>
      </x:c>
      <x:c r="J332" s="56" t="n">
        <x:v>29.97752919677648</x:v>
      </x:c>
      <x:c r="K332" s="56" t="n">
        <x:v>74.96629379516472</x:v>
      </x:c>
      <x:c r="L332" s="56" t="n">
        <x:v>109.23756256452103</x:v>
      </x:c>
    </x:row>
    <x:row r="333" ht="32.400001525878906" hidden="0" customHeight="1">
      <x:c r="A333" s="29" t="str">
        <x:v>Harris County, Texas</x:v>
      </x:c>
      <x:c r="B333" s="29" t="str">
        <x:v>48201323300</x:v>
      </x:c>
      <x:c r="C333" s="51" t="n">
        <x:v>3167</x:v>
      </x:c>
      <x:c r="D333" s="51" t="n">
        <x:v>827</x:v>
      </x:c>
      <x:c r="E333" s="51" t="n">
        <x:v>789</x:v>
      </x:c>
      <x:c r="F333" s="38" t="n">
        <x:v>0.26113040732554466</x:v>
      </x:c>
      <x:c r="G333" s="38" t="n">
        <x:v>0.24913167035048941</x:v>
      </x:c>
      <x:c r="H333" s="57" t="n">
        <x:v>3535.35</x:v>
      </x:c>
      <x:c r="I333" s="57" t="n">
        <x:v>0.506</x:v>
      </x:c>
      <x:c r="J333" s="57" t="n">
        <x:v>27.90799621967768</x:v>
      </x:c>
      <x:c r="K333" s="57" t="n">
        <x:v>71.86199432951652</x:v>
      </x:c>
      <x:c r="L333" s="57" t="n">
        <x:v>104.80284904216646</x:v>
      </x:c>
    </x:row>
    <x:row r="334" ht="32.400001525878906" hidden="0" customHeight="1">
      <x:c r="A334" s="27" t="str">
        <x:v>Harris County, Texas</x:v>
      </x:c>
      <x:c r="B334" s="27" t="str">
        <x:v>48201323400</x:v>
      </x:c>
      <x:c r="C334" s="50" t="n">
        <x:v>6940</x:v>
      </x:c>
      <x:c r="D334" s="50" t="n">
        <x:v>661</x:v>
      </x:c>
      <x:c r="E334" s="50" t="n">
        <x:v>1044</x:v>
      </x:c>
      <x:c r="F334" s="37" t="n">
        <x:v>0.0952449567723343</x:v>
      </x:c>
      <x:c r="G334" s="37" t="n">
        <x:v>0.15043227665706052</x:v>
      </x:c>
      <x:c r="H334" s="56" t="n">
        <x:v>7275.749999999999</x:v>
      </x:c>
      <x:c r="I334" s="56" t="n">
        <x:v>0.768</x:v>
      </x:c>
      <x:c r="J334" s="56" t="n">
        <x:v>27.342854238851192</x:v>
      </x:c>
      <x:c r="K334" s="56" t="n">
        <x:v>71.01428135827679</x:v>
      </x:c>
      <x:c r="L334" s="56" t="n">
        <x:v>103.59183051182399</x:v>
      </x:c>
    </x:row>
    <x:row r="335" ht="32.400001525878906" hidden="0" customHeight="1">
      <x:c r="A335" s="29" t="str">
        <x:v>Harris County, Texas</x:v>
      </x:c>
      <x:c r="B335" s="29" t="str">
        <x:v>48201323500</x:v>
      </x:c>
      <x:c r="C335" s="51" t="n">
        <x:v>5513</x:v>
      </x:c>
      <x:c r="D335" s="51" t="n">
        <x:v>1009</x:v>
      </x:c>
      <x:c r="E335" s="51" t="n">
        <x:v>202</x:v>
      </x:c>
      <x:c r="F335" s="38" t="n">
        <x:v>0.18302194812261927</x:v>
      </x:c>
      <x:c r="G335" s="38" t="n">
        <x:v>0.03664066751315073</x:v>
      </x:c>
      <x:c r="H335" s="57" t="n">
        <x:v>5886.35</x:v>
      </x:c>
      <x:c r="I335" s="57" t="n">
        <x:v>1.032</x:v>
      </x:c>
      <x:c r="J335" s="57" t="n">
        <x:v>26.314200958841067</x:v>
      </x:c>
      <x:c r="K335" s="57" t="n">
        <x:v>69.4713014382616</x:v>
      </x:c>
      <x:c r="L335" s="57" t="n">
        <x:v>101.38757348323085</x:v>
      </x:c>
    </x:row>
    <x:row r="336" ht="32.400001525878906" hidden="0" customHeight="1">
      <x:c r="A336" s="27" t="str">
        <x:v>Harris County, Texas</x:v>
      </x:c>
      <x:c r="B336" s="27" t="str">
        <x:v>48201323601</x:v>
      </x:c>
      <x:c r="C336" s="50" t="n">
        <x:v>4141</x:v>
      </x:c>
      <x:c r="D336" s="50" t="n">
        <x:v>737</x:v>
      </x:c>
      <x:c r="E336" s="50" t="n">
        <x:v>369</x:v>
      </x:c>
      <x:c r="F336" s="37" t="n">
        <x:v>0.17797633421878772</x:v>
      </x:c>
      <x:c r="G336" s="37" t="n">
        <x:v>0.0891089108910891</x:v>
      </x:c>
      <x:c r="H336" s="56" t="n">
        <x:v>4435.85</x:v>
      </x:c>
      <x:c r="I336" s="56" t="n">
        <x:v>1.101</x:v>
      </x:c>
      <x:c r="J336" s="56" t="n">
        <x:v>26.70827764913476</x:v>
      </x:c>
      <x:c r="K336" s="56" t="n">
        <x:v>70.06241647370214</x:v>
      </x:c>
      <x:c r="L336" s="56" t="n">
        <x:v>102.2320235338602</x:v>
      </x:c>
    </x:row>
    <x:row r="337" ht="32.400001525878906" hidden="0" customHeight="1">
      <x:c r="A337" s="29" t="str">
        <x:v>Harris County, Texas</x:v>
      </x:c>
      <x:c r="B337" s="29" t="str">
        <x:v>48201323602</x:v>
      </x:c>
      <x:c r="C337" s="51" t="n">
        <x:v>4284</x:v>
      </x:c>
      <x:c r="D337" s="51" t="n">
        <x:v>777</x:v>
      </x:c>
      <x:c r="E337" s="51" t="n">
        <x:v>146.5</x:v>
      </x:c>
      <x:c r="F337" s="38" t="n">
        <x:v>0.18137254901960784</x:v>
      </x:c>
      <x:c r="G337" s="38" t="n">
        <x:v>0.03419701213818861</x:v>
      </x:c>
      <x:c r="H337" s="57" t="n">
        <x:v>4570.6</x:v>
      </x:c>
      <x:c r="I337" s="57" t="n">
        <x:v>0.852</x:v>
      </x:c>
      <x:c r="J337" s="57" t="n">
        <x:v>26.912175172023396</x:v>
      </x:c>
      <x:c r="K337" s="57" t="n">
        <x:v>70.36826275803509</x:v>
      </x:c>
      <x:c r="L337" s="57" t="n">
        <x:v>102.66894679719299</x:v>
      </x:c>
    </x:row>
    <x:row r="338" ht="32.400001525878906" hidden="0" customHeight="1">
      <x:c r="A338" s="27" t="str">
        <x:v>Harris County, Texas</x:v>
      </x:c>
      <x:c r="B338" s="27" t="str">
        <x:v>48201323701</x:v>
      </x:c>
      <x:c r="C338" s="50" t="n">
        <x:v>3868</x:v>
      </x:c>
      <x:c r="D338" s="50" t="n">
        <x:v>753</x:v>
      </x:c>
      <x:c r="E338" s="50" t="n">
        <x:v>220</x:v>
      </x:c>
      <x:c r="F338" s="37" t="n">
        <x:v>0.19467425025853155</x:v>
      </x:c>
      <x:c r="G338" s="37" t="n">
        <x:v>0.05687693898655636</x:v>
      </x:c>
      <x:c r="H338" s="56" t="n">
        <x:v>4153.55</x:v>
      </x:c>
      <x:c r="I338" s="56" t="n">
        <x:v>0.892</x:v>
      </x:c>
      <x:c r="J338" s="56" t="n">
        <x:v>28.852861435525558</x:v>
      </x:c>
      <x:c r="K338" s="56" t="n">
        <x:v>73.27929215328834</x:v>
      </x:c>
      <x:c r="L338" s="56" t="n">
        <x:v>106.82756021898334</x:v>
      </x:c>
    </x:row>
    <x:row r="339" ht="32.400001525878906" hidden="0" customHeight="1">
      <x:c r="A339" s="29" t="str">
        <x:v>Harris County, Texas</x:v>
      </x:c>
      <x:c r="B339" s="29" t="str">
        <x:v>48201323702</x:v>
      </x:c>
      <x:c r="C339" s="51" t="n">
        <x:v>3610</x:v>
      </x:c>
      <x:c r="D339" s="51" t="n">
        <x:v>377</x:v>
      </x:c>
      <x:c r="E339" s="51" t="n">
        <x:v>100</x:v>
      </x:c>
      <x:c r="F339" s="38" t="n">
        <x:v>0.10443213296398891</x:v>
      </x:c>
      <x:c r="G339" s="38" t="n">
        <x:v>0.027700831024930747</x:v>
      </x:c>
      <x:c r="H339" s="57" t="n">
        <x:v>3751.95</x:v>
      </x:c>
      <x:c r="I339" s="57" t="n">
        <x:v>0.409</x:v>
      </x:c>
      <x:c r="J339" s="57" t="n">
        <x:v>28.468054883824404</x:v>
      </x:c>
      <x:c r="K339" s="57" t="n">
        <x:v>72.70208232573661</x:v>
      </x:c>
      <x:c r="L339" s="57" t="n">
        <x:v>106.0029747510523</x:v>
      </x:c>
    </x:row>
    <x:row r="340" ht="32.400001525878906" hidden="0" customHeight="1">
      <x:c r="A340" s="27" t="str">
        <x:v>Harris County, Texas</x:v>
      </x:c>
      <x:c r="B340" s="27" t="str">
        <x:v>48201323801</x:v>
      </x:c>
      <x:c r="C340" s="50" t="n">
        <x:v>4084</x:v>
      </x:c>
      <x:c r="D340" s="50" t="n">
        <x:v>520</x:v>
      </x:c>
      <x:c r="E340" s="50" t="n">
        <x:v>69</x:v>
      </x:c>
      <x:c r="F340" s="37" t="n">
        <x:v>0.12732615083251714</x:v>
      </x:c>
      <x:c r="G340" s="37" t="n">
        <x:v>0.016895200783545544</x:v>
      </x:c>
      <x:c r="H340" s="56" t="n">
        <x:v>4272.900000000001</x:v>
      </x:c>
      <x:c r="I340" s="56" t="n">
        <x:v>0.516</x:v>
      </x:c>
      <x:c r="J340" s="56" t="n">
        <x:v>28.417349472941083</x:v>
      </x:c>
      <x:c r="K340" s="56" t="n">
        <x:v>72.62602420941163</x:v>
      </x:c>
      <x:c r="L340" s="56" t="n">
        <x:v>105.89432029915946</x:v>
      </x:c>
    </x:row>
    <x:row r="341" ht="32.400001525878906" hidden="0" customHeight="1">
      <x:c r="A341" s="29" t="str">
        <x:v>Harris County, Texas</x:v>
      </x:c>
      <x:c r="B341" s="29" t="str">
        <x:v>48201323802</x:v>
      </x:c>
      <x:c r="C341" s="51" t="n">
        <x:v>5026</x:v>
      </x:c>
      <x:c r="D341" s="51" t="n">
        <x:v>533</x:v>
      </x:c>
      <x:c r="E341" s="51" t="n">
        <x:v>104</x:v>
      </x:c>
      <x:c r="F341" s="38" t="n">
        <x:v>0.10604854755272583</x:v>
      </x:c>
      <x:c r="G341" s="38" t="n">
        <x:v>0.020692399522483088</x:v>
      </x:c>
      <x:c r="H341" s="57" t="n">
        <x:v>5222.95</x:v>
      </x:c>
      <x:c r="I341" s="57" t="n">
        <x:v>0.931</x:v>
      </x:c>
      <x:c r="J341" s="57" t="n">
        <x:v>29.55042361917476</x:v>
      </x:c>
      <x:c r="K341" s="57" t="n">
        <x:v>74.32563542876214</x:v>
      </x:c>
      <x:c r="L341" s="57" t="n">
        <x:v>108.32233632680305</x:v>
      </x:c>
    </x:row>
    <x:row r="342" ht="32.400001525878906" hidden="0" customHeight="1">
      <x:c r="A342" s="27" t="str">
        <x:v>Harris County, Texas</x:v>
      </x:c>
      <x:c r="B342" s="27" t="str">
        <x:v>48201323900</x:v>
      </x:c>
      <x:c r="C342" s="50" t="n">
        <x:v>3232</x:v>
      </x:c>
      <x:c r="D342" s="50" t="n">
        <x:v>693</x:v>
      </x:c>
      <x:c r="E342" s="50" t="n">
        <x:v>325</x:v>
      </x:c>
      <x:c r="F342" s="37" t="n">
        <x:v>0.21441831683168316</x:v>
      </x:c>
      <x:c r="G342" s="37" t="n">
        <x:v>0.10055693069306931</x:v>
      </x:c>
      <x:c r="H342" s="56" t="n">
        <x:v>3507.05</x:v>
      </x:c>
      <x:c r="I342" s="56" t="n">
        <x:v>1.096</x:v>
      </x:c>
      <x:c r="J342" s="56" t="n">
        <x:v>31.319928521777626</x:v>
      </x:c>
      <x:c r="K342" s="56" t="n">
        <x:v>76.97989278266644</x:v>
      </x:c>
      <x:c r="L342" s="56" t="n">
        <x:v>112.11413254666634</x:v>
      </x:c>
    </x:row>
    <x:row r="343" ht="32.400001525878906" hidden="0" customHeight="1">
      <x:c r="A343" s="29" t="str">
        <x:v>Harris County, Texas</x:v>
      </x:c>
      <x:c r="B343" s="29" t="str">
        <x:v>48201324000</x:v>
      </x:c>
      <x:c r="C343" s="51" t="n">
        <x:v>6029</x:v>
      </x:c>
      <x:c r="D343" s="51" t="n">
        <x:v>1040</x:v>
      </x:c>
      <x:c r="E343" s="51" t="n">
        <x:v>216</x:v>
      </x:c>
      <x:c r="F343" s="38" t="n">
        <x:v>0.17249958533753523</x:v>
      </x:c>
      <x:c r="G343" s="38" t="n">
        <x:v>0.03582683695471886</x:v>
      </x:c>
      <x:c r="H343" s="57" t="n">
        <x:v>6414.6</x:v>
      </x:c>
      <x:c r="I343" s="57" t="n">
        <x:v>3.06</x:v>
      </x:c>
      <x:c r="J343" s="57" t="n">
        <x:v>29.991500384392328</x:v>
      </x:c>
      <x:c r="K343" s="57" t="n">
        <x:v>74.9872505765885</x:v>
      </x:c>
      <x:c r="L343" s="57" t="n">
        <x:v>109.26750082369784</x:v>
      </x:c>
    </x:row>
    <x:row r="344" ht="32.400001525878906" hidden="0" customHeight="1">
      <x:c r="A344" s="27" t="str">
        <x:v>Harris County, Texas</x:v>
      </x:c>
      <x:c r="B344" s="27" t="str">
        <x:v>48201324101</x:v>
      </x:c>
      <x:c r="C344" s="50" t="n">
        <x:v>5105</x:v>
      </x:c>
      <x:c r="D344" s="50" t="n">
        <x:v>678</x:v>
      </x:c>
      <x:c r="E344" s="50" t="n">
        <x:v>232</x:v>
      </x:c>
      <x:c r="F344" s="37" t="n">
        <x:v>0.1328109696376102</x:v>
      </x:c>
      <x:c r="G344" s="37" t="n">
        <x:v>0.04544564152791381</x:v>
      </x:c>
      <x:c r="H344" s="56" t="n">
        <x:v>5365.5</x:v>
      </x:c>
      <x:c r="I344" s="56" t="n">
        <x:v>1.125</x:v>
      </x:c>
      <x:c r="J344" s="56" t="n">
        <x:v>29.712632281526673</x:v>
      </x:c>
      <x:c r="K344" s="56" t="n">
        <x:v>74.56894842229</x:v>
      </x:c>
      <x:c r="L344" s="56" t="n">
        <x:v>108.66992631755716</x:v>
      </x:c>
    </x:row>
    <x:row r="345" ht="32.400001525878906" hidden="0" customHeight="1">
      <x:c r="A345" s="29" t="str">
        <x:v>Harris County, Texas</x:v>
      </x:c>
      <x:c r="B345" s="29" t="str">
        <x:v>48201324200</x:v>
      </x:c>
      <x:c r="C345" s="51" t="n">
        <x:v>728</x:v>
      </x:c>
      <x:c r="D345" s="51" t="n">
        <x:v>147</x:v>
      </x:c>
      <x:c r="E345" s="51" t="n">
        <x:v>28</x:v>
      </x:c>
      <x:c r="F345" s="38" t="n">
        <x:v>0.20192307692307693</x:v>
      </x:c>
      <x:c r="G345" s="38" t="n">
        <x:v>0.038461538461538464</x:v>
      </x:c>
      <x:c r="H345" s="57" t="n">
        <x:v>782.25</x:v>
      </x:c>
      <x:c r="I345" s="57" t="n">
        <x:v>2.505</x:v>
      </x:c>
      <x:c r="J345" s="57" t="n">
        <x:v>26.05156098676456</x:v>
      </x:c>
      <x:c r="K345" s="57" t="n">
        <x:v>69.07734148014684</x:v>
      </x:c>
      <x:c r="L345" s="57" t="n">
        <x:v>100.82477354306691</x:v>
      </x:c>
    </x:row>
    <x:row r="346" ht="32.400001525878906" hidden="0" customHeight="1">
      <x:c r="A346" s="27" t="str">
        <x:v>Harris County, Texas</x:v>
      </x:c>
      <x:c r="B346" s="27" t="str">
        <x:v>48201330101</x:v>
      </x:c>
      <x:c r="C346" s="50" t="n">
        <x:v>5251</x:v>
      </x:c>
      <x:c r="D346" s="50" t="n">
        <x:v>606</x:v>
      </x:c>
      <x:c r="E346" s="50" t="n">
        <x:v>37</x:v>
      </x:c>
      <x:c r="F346" s="37" t="n">
        <x:v>0.11540658922110074</x:v>
      </x:c>
      <x:c r="G346" s="37" t="n">
        <x:v>0.007046276899638164</x:v>
      </x:c>
      <x:c r="H346" s="56" t="n">
        <x:v>5466.8</x:v>
      </x:c>
      <x:c r="I346" s="56" t="n">
        <x:v>0.445</x:v>
      </x:c>
      <x:c r="J346" s="56" t="n">
        <x:v>7.651265361941897</x:v>
      </x:c>
      <x:c r="K346" s="56" t="n">
        <x:v>41.47689804291285</x:v>
      </x:c>
      <x:c r="L346" s="56" t="n">
        <x:v>61.39556863273263</x:v>
      </x:c>
    </x:row>
    <x:row r="347" ht="32.400001525878906" hidden="0" customHeight="1">
      <x:c r="A347" s="29" t="str">
        <x:v>Harris County, Texas</x:v>
      </x:c>
      <x:c r="B347" s="29" t="str">
        <x:v>48201330102</x:v>
      </x:c>
      <x:c r="C347" s="51" t="n">
        <x:v>2022</x:v>
      </x:c>
      <x:c r="D347" s="51" t="n">
        <x:v>437</x:v>
      </x:c>
      <x:c r="E347" s="51" t="n">
        <x:v>157</x:v>
      </x:c>
      <x:c r="F347" s="38" t="n">
        <x:v>0.21612265084075172</x:v>
      </x:c>
      <x:c r="G347" s="38" t="n">
        <x:v>0.07764589515331355</x:v>
      </x:c>
      <x:c r="H347" s="57" t="n">
        <x:v>2190.65</x:v>
      </x:c>
      <x:c r="I347" s="57" t="n">
        <x:v>0.548</x:v>
      </x:c>
      <x:c r="J347" s="57" t="n">
        <x:v>7.0841105314959325</x:v>
      </x:c>
      <x:c r="K347" s="57" t="n">
        <x:v>40.6261657972439</x:v>
      </x:c>
      <x:c r="L347" s="57" t="n">
        <x:v>60.18023685320557</x:v>
      </x:c>
    </x:row>
    <x:row r="348" ht="32.400001525878906" hidden="0" customHeight="1">
      <x:c r="A348" s="27" t="str">
        <x:v>Harris County, Texas</x:v>
      </x:c>
      <x:c r="B348" s="27" t="str">
        <x:v>48201330200</x:v>
      </x:c>
      <x:c r="C348" s="50" t="n">
        <x:v>6079</x:v>
      </x:c>
      <x:c r="D348" s="50" t="n">
        <x:v>865</x:v>
      </x:c>
      <x:c r="E348" s="50" t="n">
        <x:v>195</x:v>
      </x:c>
      <x:c r="F348" s="37" t="n">
        <x:v>0.14229314031913143</x:v>
      </x:c>
      <x:c r="G348" s="37" t="n">
        <x:v>0.032077644349399574</x:v>
      </x:c>
      <x:c r="H348" s="56" t="n">
        <x:v>6401.25</x:v>
      </x:c>
      <x:c r="I348" s="56" t="n">
        <x:v>1.688</x:v>
      </x:c>
      <x:c r="J348" s="56" t="n">
        <x:v>10.528293403137122</x:v>
      </x:c>
      <x:c r="K348" s="56" t="n">
        <x:v>45.79244010470568</x:v>
      </x:c>
      <x:c r="L348" s="56" t="n">
        <x:v>67.56062872100811</x:v>
      </x:c>
    </x:row>
    <x:row r="349" ht="32.400001525878906" hidden="0" customHeight="1">
      <x:c r="A349" s="29" t="str">
        <x:v>Harris County, Texas</x:v>
      </x:c>
      <x:c r="B349" s="29" t="str">
        <x:v>48201330301</x:v>
      </x:c>
      <x:c r="C349" s="51" t="n">
        <x:v>7924</x:v>
      </x:c>
      <x:c r="D349" s="51" t="n">
        <x:v>1067</x:v>
      </x:c>
      <x:c r="E349" s="51" t="n">
        <x:v>224</x:v>
      </x:c>
      <x:c r="F349" s="38" t="n">
        <x:v>0.13465421504290762</x:v>
      </x:c>
      <x:c r="G349" s="38" t="n">
        <x:v>0.028268551236749116</x:v>
      </x:c>
      <x:c r="H349" s="57" t="n">
        <x:v>8319.85</x:v>
      </x:c>
      <x:c r="I349" s="57" t="n">
        <x:v>1.23</x:v>
      </x:c>
      <x:c r="J349" s="57" t="n">
        <x:v>12.889164689714029</x:v>
      </x:c>
      <x:c r="K349" s="57" t="n">
        <x:v>49.33374703457105</x:v>
      </x:c>
      <x:c r="L349" s="57" t="n">
        <x:v>72.61963862081578</x:v>
      </x:c>
    </x:row>
    <x:row r="350" ht="32.400001525878906" hidden="0" customHeight="1">
      <x:c r="A350" s="27" t="str">
        <x:v>Harris County, Texas</x:v>
      </x:c>
      <x:c r="B350" s="27" t="str">
        <x:v>48201330302</x:v>
      </x:c>
      <x:c r="C350" s="50" t="n">
        <x:v>5123</x:v>
      </x:c>
      <x:c r="D350" s="50" t="n">
        <x:v>900</x:v>
      </x:c>
      <x:c r="E350" s="50" t="n">
        <x:v>316</x:v>
      </x:c>
      <x:c r="F350" s="37" t="n">
        <x:v>0.17567831348819052</x:v>
      </x:c>
      <x:c r="G350" s="37" t="n">
        <x:v>0.06168260784696467</x:v>
      </x:c>
      <x:c r="H350" s="56" t="n">
        <x:v>5469.599999999999</x:v>
      </x:c>
      <x:c r="I350" s="56" t="n">
        <x:v>2.334</x:v>
      </x:c>
      <x:c r="J350" s="56" t="n">
        <x:v>12.015099833749899</x:v>
      </x:c>
      <x:c r="K350" s="56" t="n">
        <x:v>48.02264975062485</x:v>
      </x:c>
      <x:c r="L350" s="56" t="n">
        <x:v>70.74664250089265</x:v>
      </x:c>
    </x:row>
    <x:row r="351" ht="32.400001525878906" hidden="0" customHeight="1">
      <x:c r="A351" s="29" t="str">
        <x:v>Harris County, Texas</x:v>
      </x:c>
      <x:c r="B351" s="29" t="str">
        <x:v>48201330303</x:v>
      </x:c>
      <x:c r="C351" s="51" t="n">
        <x:v>4734</x:v>
      </x:c>
      <x:c r="D351" s="51" t="n">
        <x:v>636</x:v>
      </x:c>
      <x:c r="E351" s="51" t="n">
        <x:v>14</x:v>
      </x:c>
      <x:c r="F351" s="38" t="n">
        <x:v>0.13434727503168567</x:v>
      </x:c>
      <x:c r="G351" s="38" t="n">
        <x:v>0.002957329953527672</x:v>
      </x:c>
      <x:c r="H351" s="57" t="n">
        <x:v>4958</x:v>
      </x:c>
      <x:c r="I351" s="57" t="n">
        <x:v>2.053</x:v>
      </x:c>
      <x:c r="J351" s="57" t="n">
        <x:v>15.162109998687278</x:v>
      </x:c>
      <x:c r="K351" s="57" t="n">
        <x:v>52.74316499803092</x:v>
      </x:c>
      <x:c r="L351" s="57" t="n">
        <x:v>77.49023571147274</x:v>
      </x:c>
    </x:row>
    <x:row r="352" ht="32.400001525878906" hidden="0" customHeight="1">
      <x:c r="A352" s="27" t="str">
        <x:v>Harris County, Texas</x:v>
      </x:c>
      <x:c r="B352" s="27" t="str">
        <x:v>48201330400</x:v>
      </x:c>
      <x:c r="C352" s="50" t="n">
        <x:v>5047</x:v>
      </x:c>
      <x:c r="D352" s="50" t="n">
        <x:v>428</x:v>
      </x:c>
      <x:c r="E352" s="50" t="n">
        <x:v>590.5</x:v>
      </x:c>
      <x:c r="F352" s="37" t="n">
        <x:v>0.084802853180107</x:v>
      </x:c>
      <x:c r="G352" s="37" t="n">
        <x:v>0.11700019813750744</x:v>
      </x:c>
      <x:c r="H352" s="56" t="n">
        <x:v>5255.85</x:v>
      </x:c>
      <x:c r="I352" s="56" t="n">
        <x:v>1.679</x:v>
      </x:c>
      <x:c r="J352" s="56" t="n">
        <x:v>9.347265667042798</x:v>
      </x:c>
      <x:c r="K352" s="56" t="n">
        <x:v>44.0208985005642</x:v>
      </x:c>
      <x:c r="L352" s="56" t="n">
        <x:v>65.029855000806</x:v>
      </x:c>
    </x:row>
    <x:row r="353" ht="32.400001525878906" hidden="0" customHeight="1">
      <x:c r="A353" s="29" t="str">
        <x:v>Harris County, Texas</x:v>
      </x:c>
      <x:c r="B353" s="29" t="str">
        <x:v>48201330500</x:v>
      </x:c>
      <x:c r="C353" s="51" t="n">
        <x:v>5441</x:v>
      </x:c>
      <x:c r="D353" s="51" t="n">
        <x:v>568</x:v>
      </x:c>
      <x:c r="E353" s="51" t="n">
        <x:v>283</x:v>
      </x:c>
      <x:c r="F353" s="38" t="n">
        <x:v>0.1043925748943209</x:v>
      </x:c>
      <x:c r="G353" s="38" t="n">
        <x:v>0.052012497702628196</x:v>
      </x:c>
      <x:c r="H353" s="57" t="n">
        <x:v>5668.100000000001</x:v>
      </x:c>
      <x:c r="I353" s="57" t="n">
        <x:v>1.046</x:v>
      </x:c>
      <x:c r="J353" s="57" t="n">
        <x:v>7.005007374810947</x:v>
      </x:c>
      <x:c r="K353" s="57" t="n">
        <x:v>40.50751106221642</x:v>
      </x:c>
      <x:c r="L353" s="57" t="n">
        <x:v>60.0107300888806</x:v>
      </x:c>
    </x:row>
    <x:row r="354" ht="32.400001525878906" hidden="0" customHeight="1">
      <x:c r="A354" s="27" t="str">
        <x:v>Harris County, Texas</x:v>
      </x:c>
      <x:c r="B354" s="27" t="str">
        <x:v>48201330600</x:v>
      </x:c>
      <x:c r="C354" s="50" t="n">
        <x:v>7148</x:v>
      </x:c>
      <x:c r="D354" s="50" t="n">
        <x:v>1236</x:v>
      </x:c>
      <x:c r="E354" s="50" t="n">
        <x:v>223</x:v>
      </x:c>
      <x:c r="F354" s="37" t="n">
        <x:v>0.17291550083939564</x:v>
      </x:c>
      <x:c r="G354" s="37" t="n">
        <x:v>0.031197537772803582</x:v>
      </x:c>
      <x:c r="H354" s="56" t="n">
        <x:v>7602.9000000000015</x:v>
      </x:c>
      <x:c r="I354" s="56" t="n">
        <x:v>1.424</x:v>
      </x:c>
      <x:c r="J354" s="56" t="n">
        <x:v>6.6029312975412955</x:v>
      </x:c>
      <x:c r="K354" s="56" t="n">
        <x:v>39.90439694631195</x:v>
      </x:c>
      <x:c r="L354" s="56" t="n">
        <x:v>59.149138494731346</x:v>
      </x:c>
    </x:row>
    <x:row r="355" ht="32.400001525878906" hidden="0" customHeight="1">
      <x:c r="A355" s="29" t="str">
        <x:v>Harris County, Texas</x:v>
      </x:c>
      <x:c r="B355" s="29" t="str">
        <x:v>48201330700</x:v>
      </x:c>
      <x:c r="C355" s="51" t="n">
        <x:v>8886</x:v>
      </x:c>
      <x:c r="D355" s="51" t="n">
        <x:v>1081</x:v>
      </x:c>
      <x:c r="E355" s="51" t="n">
        <x:v>336</x:v>
      </x:c>
      <x:c r="F355" s="38" t="n">
        <x:v>0.1216520369119964</x:v>
      </x:c>
      <x:c r="G355" s="38" t="n">
        <x:v>0.03781228899392303</x:v>
      </x:c>
      <x:c r="H355" s="57" t="n">
        <x:v>9297.95</x:v>
      </x:c>
      <x:c r="I355" s="57" t="n">
        <x:v>2.368</x:v>
      </x:c>
      <x:c r="J355" s="57" t="n">
        <x:v>7.307050584887456</x:v>
      </x:c>
      <x:c r="K355" s="57" t="n">
        <x:v>40.96057587733118</x:v>
      </x:c>
      <x:c r="L355" s="57" t="n">
        <x:v>60.65796553904455</x:v>
      </x:c>
    </x:row>
    <x:row r="356" ht="32.400001525878906" hidden="0" customHeight="1">
      <x:c r="A356" s="27" t="str">
        <x:v>Harris County, Texas</x:v>
      </x:c>
      <x:c r="B356" s="27" t="str">
        <x:v>48201330801</x:v>
      </x:c>
      <x:c r="C356" s="50" t="n">
        <x:v>6726</x:v>
      </x:c>
      <x:c r="D356" s="50" t="n">
        <x:v>992</x:v>
      </x:c>
      <x:c r="E356" s="50" t="n">
        <x:v>218</x:v>
      </x:c>
      <x:c r="F356" s="37" t="n">
        <x:v>0.14748736247398156</x:v>
      </x:c>
      <x:c r="G356" s="37" t="n">
        <x:v>0.03241153731787095</x:v>
      </x:c>
      <x:c r="H356" s="56" t="n">
        <x:v>7095</x:v>
      </x:c>
      <x:c r="I356" s="56" t="n">
        <x:v>5.692</x:v>
      </x:c>
      <x:c r="J356" s="56" t="n">
        <x:v>8.046421650359568</x:v>
      </x:c>
      <x:c r="K356" s="56" t="n">
        <x:v>42.06963247553935</x:v>
      </x:c>
      <x:c r="L356" s="56" t="n">
        <x:v>62.242332107913356</x:v>
      </x:c>
    </x:row>
    <x:row r="357" ht="32.400001525878906" hidden="0" customHeight="1">
      <x:c r="A357" s="29" t="str">
        <x:v>Harris County, Texas</x:v>
      </x:c>
      <x:c r="B357" s="29" t="str">
        <x:v>48201330802</x:v>
      </x:c>
      <x:c r="C357" s="51" t="n">
        <x:v>10273</x:v>
      </x:c>
      <x:c r="D357" s="51" t="n">
        <x:v>865</x:v>
      </x:c>
      <x:c r="E357" s="51" t="n">
        <x:v>227</x:v>
      </x:c>
      <x:c r="F357" s="38" t="n">
        <x:v>0.08420130439014893</x:v>
      </x:c>
      <x:c r="G357" s="38" t="n">
        <x:v>0.02209675849313735</x:v>
      </x:c>
      <x:c r="H357" s="57" t="n">
        <x:v>10598.45</x:v>
      </x:c>
      <x:c r="I357" s="57" t="n">
        <x:v>6.384</x:v>
      </x:c>
      <x:c r="J357" s="57" t="n">
        <x:v>0</x:v>
      </x:c>
      <x:c r="K357" s="57" t="n">
        <x:v>30</x:v>
      </x:c>
      <x:c r="L357" s="57" t="n">
        <x:v>45</x:v>
      </x:c>
    </x:row>
    <x:row r="358" ht="32.400001525878906" hidden="0" customHeight="1">
      <x:c r="A358" s="27" t="str">
        <x:v>Harris County, Texas</x:v>
      </x:c>
      <x:c r="B358" s="27" t="str">
        <x:v>48201330901</x:v>
      </x:c>
      <x:c r="C358" s="50" t="n">
        <x:v>10349</x:v>
      </x:c>
      <x:c r="D358" s="50" t="n">
        <x:v>1161</x:v>
      </x:c>
      <x:c r="E358" s="50" t="n">
        <x:v>325</x:v>
      </x:c>
      <x:c r="F358" s="37" t="n">
        <x:v>0.11218475214996618</x:v>
      </x:c>
      <x:c r="G358" s="37" t="n">
        <x:v>0.031404000386510776</x:v>
      </x:c>
      <x:c r="H358" s="56" t="n">
        <x:v>10787.85</x:v>
      </x:c>
      <x:c r="I358" s="56" t="n">
        <x:v>1.718</x:v>
      </x:c>
      <x:c r="J358" s="56" t="n">
        <x:v>3.661897533326292</x:v>
      </x:c>
      <x:c r="K358" s="56" t="n">
        <x:v>35.49284629998944</x:v>
      </x:c>
      <x:c r="L358" s="56" t="n">
        <x:v>52.8469232856992</x:v>
      </x:c>
    </x:row>
    <x:row r="359" ht="32.400001525878906" hidden="0" customHeight="1">
      <x:c r="A359" s="29" t="str">
        <x:v>Harris County, Texas</x:v>
      </x:c>
      <x:c r="B359" s="29" t="str">
        <x:v>48201330902</x:v>
      </x:c>
      <x:c r="C359" s="51" t="n">
        <x:v>3665</x:v>
      </x:c>
      <x:c r="D359" s="51" t="n">
        <x:v>79</x:v>
      </x:c>
      <x:c r="E359" s="51" t="n">
        <x:v>23</x:v>
      </x:c>
      <x:c r="F359" s="38" t="n">
        <x:v>0.02155525238744884</x:v>
      </x:c>
      <x:c r="G359" s="38" t="n">
        <x:v>0.006275579809004093</x:v>
      </x:c>
      <x:c r="H359" s="57" t="n">
        <x:v>3694.9499999999994</x:v>
      </x:c>
      <x:c r="I359" s="57" t="n">
        <x:v>2.102</x:v>
      </x:c>
      <x:c r="J359" s="57" t="n">
        <x:v>2.8025215523663136</x:v>
      </x:c>
      <x:c r="K359" s="57" t="n">
        <x:v>34.20378232854947</x:v>
      </x:c>
      <x:c r="L359" s="57" t="n">
        <x:v>51.00540332649924</x:v>
      </x:c>
    </x:row>
    <x:row r="360" ht="32.400001525878906" hidden="0" customHeight="1">
      <x:c r="A360" s="27" t="str">
        <x:v>Harris County, Texas</x:v>
      </x:c>
      <x:c r="B360" s="27" t="str">
        <x:v>48201331100</x:v>
      </x:c>
      <x:c r="C360" s="50" t="n">
        <x:v>4120</x:v>
      </x:c>
      <x:c r="D360" s="50" t="n">
        <x:v>808</x:v>
      </x:c>
      <x:c r="E360" s="50" t="n">
        <x:v>729</x:v>
      </x:c>
      <x:c r="F360" s="37" t="n">
        <x:v>0.19611650485436893</x:v>
      </x:c>
      <x:c r="G360" s="37" t="n">
        <x:v>0.17694174757281553</x:v>
      </x:c>
      <x:c r="H360" s="56" t="n">
        <x:v>4475.700000000001</x:v>
      </x:c>
      <x:c r="I360" s="56" t="n">
        <x:v>1.248</x:v>
      </x:c>
      <x:c r="J360" s="56" t="n">
        <x:v>12.203247328181723</x:v>
      </x:c>
      <x:c r="K360" s="56" t="n">
        <x:v>48.30487099227258</x:v>
      </x:c>
      <x:c r="L360" s="56" t="n">
        <x:v>71.14981570324655</x:v>
      </x:c>
    </x:row>
    <x:row r="361" ht="32.400001525878906" hidden="0" customHeight="1">
      <x:c r="A361" s="29" t="str">
        <x:v>Harris County, Texas</x:v>
      </x:c>
      <x:c r="B361" s="29" t="str">
        <x:v>48201331200</x:v>
      </x:c>
      <x:c r="C361" s="51" t="n">
        <x:v>4997</x:v>
      </x:c>
      <x:c r="D361" s="51" t="n">
        <x:v>1556</x:v>
      </x:c>
      <x:c r="E361" s="51" t="n">
        <x:v>1086.5</x:v>
      </x:c>
      <x:c r="F361" s="38" t="n">
        <x:v>0.31138683209925955</x:v>
      </x:c>
      <x:c r="G361" s="38" t="n">
        <x:v>0.217430458274965</x:v>
      </x:c>
      <x:c r="H361" s="57" t="n">
        <x:v>5650.250000000001</x:v>
      </x:c>
      <x:c r="I361" s="57" t="n">
        <x:v>1.369</x:v>
      </x:c>
      <x:c r="J361" s="57" t="n">
        <x:v>10.48410404126116</x:v>
      </x:c>
      <x:c r="K361" s="57" t="n">
        <x:v>45.72615606189174</x:v>
      </x:c>
      <x:c r="L361" s="57" t="n">
        <x:v>67.46593723127391</x:v>
      </x:c>
    </x:row>
    <x:row r="362" ht="32.400001525878906" hidden="0" customHeight="1">
      <x:c r="A362" s="27" t="str">
        <x:v>Harris County, Texas</x:v>
      </x:c>
      <x:c r="B362" s="27" t="str">
        <x:v>48201331300</x:v>
      </x:c>
      <x:c r="C362" s="50" t="n">
        <x:v>5819</x:v>
      </x:c>
      <x:c r="D362" s="50" t="n">
        <x:v>1518</x:v>
      </x:c>
      <x:c r="E362" s="50" t="n">
        <x:v>593.5</x:v>
      </x:c>
      <x:c r="F362" s="37" t="n">
        <x:v>0.2608695652173913</x:v>
      </x:c>
      <x:c r="G362" s="37" t="n">
        <x:v>0.1019934696683279</x:v>
      </x:c>
      <x:c r="H362" s="56" t="n">
        <x:v>6409.650000000001</x:v>
      </x:c>
      <x:c r="I362" s="56" t="n">
        <x:v>1.752</x:v>
      </x:c>
      <x:c r="J362" s="56" t="n">
        <x:v>7.792803416064622</x:v>
      </x:c>
      <x:c r="K362" s="56" t="n">
        <x:v>41.68920512409693</x:v>
      </x:c>
      <x:c r="L362" s="56" t="n">
        <x:v>61.698864462995616</x:v>
      </x:c>
    </x:row>
    <x:row r="363" ht="32.400001525878906" hidden="0" customHeight="1">
      <x:c r="A363" s="29" t="str">
        <x:v>Harris County, Texas</x:v>
      </x:c>
      <x:c r="B363" s="29" t="str">
        <x:v>48201331400</x:v>
      </x:c>
      <x:c r="C363" s="51" t="n">
        <x:v>3353</x:v>
      </x:c>
      <x:c r="D363" s="51" t="n">
        <x:v>919</x:v>
      </x:c>
      <x:c r="E363" s="51" t="n">
        <x:v>731.5</x:v>
      </x:c>
      <x:c r="F363" s="38" t="n">
        <x:v>0.27408291082612585</x:v>
      </x:c>
      <x:c r="G363" s="38" t="n">
        <x:v>0.21816283924843424</x:v>
      </x:c>
      <x:c r="H363" s="57" t="n">
        <x:v>3747.7999999999997</x:v>
      </x:c>
      <x:c r="I363" s="57" t="n">
        <x:v>0.601</x:v>
      </x:c>
      <x:c r="J363" s="57" t="n">
        <x:v>9.554633336148152</x:v>
      </x:c>
      <x:c r="K363" s="57" t="n">
        <x:v>44.33195000422223</x:v>
      </x:c>
      <x:c r="L363" s="57" t="n">
        <x:v>65.47421429174604</x:v>
      </x:c>
    </x:row>
    <x:row r="364" ht="32.400001525878906" hidden="0" customHeight="1">
      <x:c r="A364" s="27" t="str">
        <x:v>Harris County, Texas</x:v>
      </x:c>
      <x:c r="B364" s="27" t="str">
        <x:v>48201331501</x:v>
      </x:c>
      <x:c r="C364" s="50" t="n">
        <x:v>4551</x:v>
      </x:c>
      <x:c r="D364" s="50" t="n">
        <x:v>793</x:v>
      </x:c>
      <x:c r="E364" s="50" t="n">
        <x:v>190</x:v>
      </x:c>
      <x:c r="F364" s="37" t="n">
        <x:v>0.17424741814985717</x:v>
      </x:c>
      <x:c r="G364" s="37" t="n">
        <x:v>0.041749066139310044</x:v>
      </x:c>
      <x:c r="H364" s="56" t="n">
        <x:v>4847.55</x:v>
      </x:c>
      <x:c r="I364" s="56" t="n">
        <x:v>0.859</x:v>
      </x:c>
      <x:c r="J364" s="56" t="n">
        <x:v>6.894724001498804</x:v>
      </x:c>
      <x:c r="K364" s="56" t="n">
        <x:v>40.34208600224821</x:v>
      </x:c>
      <x:c r="L364" s="56" t="n">
        <x:v>59.77440857464029</x:v>
      </x:c>
    </x:row>
    <x:row r="365" ht="32.400001525878906" hidden="0" customHeight="1">
      <x:c r="A365" s="29" t="str">
        <x:v>Harris County, Texas</x:v>
      </x:c>
      <x:c r="B365" s="29" t="str">
        <x:v>48201331502</x:v>
      </x:c>
      <x:c r="C365" s="51" t="n">
        <x:v>6096</x:v>
      </x:c>
      <x:c r="D365" s="51" t="n">
        <x:v>898</x:v>
      </x:c>
      <x:c r="E365" s="51" t="n">
        <x:v>934</x:v>
      </x:c>
      <x:c r="F365" s="38" t="n">
        <x:v>0.14730971128608925</x:v>
      </x:c>
      <x:c r="G365" s="38" t="n">
        <x:v>0.15321522309711286</x:v>
      </x:c>
      <x:c r="H365" s="57" t="n">
        <x:v>6503.699999999999</x:v>
      </x:c>
      <x:c r="I365" s="57" t="n">
        <x:v>2.725</x:v>
      </x:c>
      <x:c r="J365" s="57" t="n">
        <x:v>5.605114286676251</x:v>
      </x:c>
      <x:c r="K365" s="57" t="n">
        <x:v>38.407671430014375</x:v>
      </x:c>
      <x:c r="L365" s="57" t="n">
        <x:v>57.01095918573482</x:v>
      </x:c>
    </x:row>
    <x:row r="366" ht="32.400001525878906" hidden="0" customHeight="1">
      <x:c r="A366" s="27" t="str">
        <x:v>Harris County, Texas</x:v>
      </x:c>
      <x:c r="B366" s="27" t="str">
        <x:v>48201331602</x:v>
      </x:c>
      <x:c r="C366" s="50" t="n">
        <x:v>3337</x:v>
      </x:c>
      <x:c r="D366" s="50" t="n">
        <x:v>538</x:v>
      </x:c>
      <x:c r="E366" s="50" t="n">
        <x:v>70</x:v>
      </x:c>
      <x:c r="F366" s="37" t="n">
        <x:v>0.16122265507941264</x:v>
      </x:c>
      <x:c r="G366" s="37" t="n">
        <x:v>0.020976925382079712</x:v>
      </x:c>
      <x:c r="H366" s="56" t="n">
        <x:v>3532.3</x:v>
      </x:c>
      <x:c r="I366" s="56" t="n">
        <x:v>2.334</x:v>
      </x:c>
      <x:c r="J366" s="56" t="n">
        <x:v>10.22714565816261</x:v>
      </x:c>
      <x:c r="K366" s="56" t="n">
        <x:v>45.34071848724392</x:v>
      </x:c>
      <x:c r="L366" s="56" t="n">
        <x:v>66.91531212463417</x:v>
      </x:c>
    </x:row>
    <x:row r="367" ht="32.400001525878906" hidden="0" customHeight="1">
      <x:c r="A367" s="29" t="str">
        <x:v>Harris County, Texas</x:v>
      </x:c>
      <x:c r="B367" s="29" t="str">
        <x:v>48201331603</x:v>
      </x:c>
      <x:c r="C367" s="51" t="n">
        <x:v>4532</x:v>
      </x:c>
      <x:c r="D367" s="51" t="n">
        <x:v>778</x:v>
      </x:c>
      <x:c r="E367" s="51" t="n">
        <x:v>116</x:v>
      </x:c>
      <x:c r="F367" s="38" t="n">
        <x:v>0.17166813768755515</x:v>
      </x:c>
      <x:c r="G367" s="38" t="n">
        <x:v>0.02559576345984113</x:v>
      </x:c>
      <x:c r="H367" s="57" t="n">
        <x:v>4815.9</x:v>
      </x:c>
      <x:c r="I367" s="57" t="n">
        <x:v>0.835</x:v>
      </x:c>
      <x:c r="J367" s="57" t="n">
        <x:v>6.774493775098346</x:v>
      </x:c>
      <x:c r="K367" s="57" t="n">
        <x:v>40.16174066264752</x:v>
      </x:c>
      <x:c r="L367" s="57" t="n">
        <x:v>59.51677237521074</x:v>
      </x:c>
    </x:row>
    <x:row r="368" ht="32.400001525878906" hidden="0" customHeight="1">
      <x:c r="A368" s="27" t="str">
        <x:v>Harris County, Texas</x:v>
      </x:c>
      <x:c r="B368" s="27" t="str">
        <x:v>48201331604</x:v>
      </x:c>
      <x:c r="C368" s="50" t="n">
        <x:v>2690</x:v>
      </x:c>
      <x:c r="D368" s="50" t="n">
        <x:v>689</x:v>
      </x:c>
      <x:c r="E368" s="50" t="n">
        <x:v>452</x:v>
      </x:c>
      <x:c r="F368" s="37" t="n">
        <x:v>0.2561338289962825</x:v>
      </x:c>
      <x:c r="G368" s="37" t="n">
        <x:v>0.16802973977695168</x:v>
      </x:c>
      <x:c r="H368" s="56" t="n">
        <x:v>2976.35</x:v>
      </x:c>
      <x:c r="I368" s="56" t="n">
        <x:v>0.361</x:v>
      </x:c>
      <x:c r="J368" s="56" t="n">
        <x:v>7.875577571510225</x:v>
      </x:c>
      <x:c r="K368" s="56" t="n">
        <x:v>41.81336635726534</x:v>
      </x:c>
      <x:c r="L368" s="56" t="n">
        <x:v>61.876237653236196</x:v>
      </x:c>
    </x:row>
    <x:row r="369" ht="32.400001525878906" hidden="0" customHeight="1">
      <x:c r="A369" s="29" t="str">
        <x:v>Harris County, Texas</x:v>
      </x:c>
      <x:c r="B369" s="29" t="str">
        <x:v>48201331700</x:v>
      </x:c>
      <x:c r="C369" s="51" t="n">
        <x:v>3840</x:v>
      </x:c>
      <x:c r="D369" s="51" t="n">
        <x:v>581</x:v>
      </x:c>
      <x:c r="E369" s="51" t="n">
        <x:v>823.5</x:v>
      </x:c>
      <x:c r="F369" s="38" t="n">
        <x:v>0.15130208333333334</x:v>
      </x:c>
      <x:c r="G369" s="38" t="n">
        <x:v>0.214453125</x:v>
      </x:c>
      <x:c r="H369" s="57" t="n">
        <x:v>4125.7</x:v>
      </x:c>
      <x:c r="I369" s="57" t="n">
        <x:v>1.988</x:v>
      </x:c>
      <x:c r="J369" s="57" t="n">
        <x:v>10.178405197333115</x:v>
      </x:c>
      <x:c r="K369" s="57" t="n">
        <x:v>45.26760779599967</x:v>
      </x:c>
      <x:c r="L369" s="57" t="n">
        <x:v>66.81086827999954</x:v>
      </x:c>
    </x:row>
    <x:row r="370" ht="32.400001525878906" hidden="0" customHeight="1">
      <x:c r="A370" s="27" t="str">
        <x:v>Harris County, Texas</x:v>
      </x:c>
      <x:c r="B370" s="27" t="str">
        <x:v>48201331800</x:v>
      </x:c>
      <x:c r="C370" s="50" t="n">
        <x:v>4268</x:v>
      </x:c>
      <x:c r="D370" s="50" t="n">
        <x:v>428</x:v>
      </x:c>
      <x:c r="E370" s="50" t="n">
        <x:v>508.5</x:v>
      </x:c>
      <x:c r="F370" s="37" t="n">
        <x:v>0.10028116213683223</x:v>
      </x:c>
      <x:c r="G370" s="37" t="n">
        <x:v>0.11914245548266167</x:v>
      </x:c>
      <x:c r="H370" s="56" t="n">
        <x:v>4468.65</x:v>
      </x:c>
      <x:c r="I370" s="56" t="n">
        <x:v>0.892</x:v>
      </x:c>
      <x:c r="J370" s="56" t="n">
        <x:v>10.288284511927984</x:v>
      </x:c>
      <x:c r="K370" s="56" t="n">
        <x:v>45.432426767891975</x:v>
      </x:c>
      <x:c r="L370" s="56" t="n">
        <x:v>67.0463239541314</x:v>
      </x:c>
    </x:row>
    <x:row r="371" ht="32.400001525878906" hidden="0" customHeight="1">
      <x:c r="A371" s="29" t="str">
        <x:v>Harris County, Texas</x:v>
      </x:c>
      <x:c r="B371" s="29" t="str">
        <x:v>48201331900</x:v>
      </x:c>
      <x:c r="C371" s="51" t="n">
        <x:v>3361</x:v>
      </x:c>
      <x:c r="D371" s="51" t="n">
        <x:v>711</x:v>
      </x:c>
      <x:c r="E371" s="51" t="n">
        <x:v>131</x:v>
      </x:c>
      <x:c r="F371" s="38" t="n">
        <x:v>0.21154418327878607</x:v>
      </x:c>
      <x:c r="G371" s="38" t="n">
        <x:v>0.0389764950907468</x:v>
      </x:c>
      <x:c r="H371" s="57" t="n">
        <x:v>3622.9500000000003</x:v>
      </x:c>
      <x:c r="I371" s="57" t="n">
        <x:v>0.649</x:v>
      </x:c>
      <x:c r="J371" s="57" t="n">
        <x:v>11.41796148913566</x:v>
      </x:c>
      <x:c r="K371" s="57" t="n">
        <x:v>47.12694223370349</x:v>
      </x:c>
      <x:c r="L371" s="57" t="n">
        <x:v>69.46706033386212</x:v>
      </x:c>
    </x:row>
    <x:row r="372" ht="32.400001525878906" hidden="0" customHeight="1">
      <x:c r="A372" s="27" t="str">
        <x:v>Harris County, Texas</x:v>
      </x:c>
      <x:c r="B372" s="27" t="str">
        <x:v>48201332000</x:v>
      </x:c>
      <x:c r="C372" s="50" t="n">
        <x:v>5918</x:v>
      </x:c>
      <x:c r="D372" s="50" t="n">
        <x:v>1130</x:v>
      </x:c>
      <x:c r="E372" s="50" t="n">
        <x:v>806</x:v>
      </x:c>
      <x:c r="F372" s="37" t="n">
        <x:v>0.19094288611017235</x:v>
      </x:c>
      <x:c r="G372" s="37" t="n">
        <x:v>0.13619466035822914</x:v>
      </x:c>
      <x:c r="H372" s="56" t="n">
        <x:v>6394.1</x:v>
      </x:c>
      <x:c r="I372" s="56" t="n">
        <x:v>0.853</x:v>
      </x:c>
      <x:c r="J372" s="56" t="n">
        <x:v>12.684358496447864</x:v>
      </x:c>
      <x:c r="K372" s="56" t="n">
        <x:v>49.0265377446718</x:v>
      </x:c>
      <x:c r="L372" s="56" t="n">
        <x:v>72.180768206674</x:v>
      </x:c>
    </x:row>
    <x:row r="373" ht="32.400001525878906" hidden="0" customHeight="1">
      <x:c r="A373" s="29" t="str">
        <x:v>Harris County, Texas</x:v>
      </x:c>
      <x:c r="B373" s="29" t="str">
        <x:v>48201332100</x:v>
      </x:c>
      <x:c r="C373" s="51" t="n">
        <x:v>3173</x:v>
      </x:c>
      <x:c r="D373" s="51" t="n">
        <x:v>356</x:v>
      </x:c>
      <x:c r="E373" s="51" t="n">
        <x:v>4</x:v>
      </x:c>
      <x:c r="F373" s="38" t="n">
        <x:v>0.11219665931295304</x:v>
      </x:c>
      <x:c r="G373" s="38" t="n">
        <x:v>0.0012606366214938543</x:v>
      </x:c>
      <x:c r="H373" s="57" t="n">
        <x:v>3297.9999999999995</x:v>
      </x:c>
      <x:c r="I373" s="57" t="n">
        <x:v>0.415</x:v>
      </x:c>
      <x:c r="J373" s="57" t="n">
        <x:v>13.948921303093497</x:v>
      </x:c>
      <x:c r="K373" s="57" t="n">
        <x:v>50.92338195464025</x:v>
      </x:c>
      <x:c r="L373" s="57" t="n">
        <x:v>74.89054564948606</x:v>
      </x:c>
    </x:row>
    <x:row r="374" ht="32.400001525878906" hidden="0" customHeight="1">
      <x:c r="A374" s="27" t="str">
        <x:v>Harris County, Texas</x:v>
      </x:c>
      <x:c r="B374" s="27" t="str">
        <x:v>48201332200</x:v>
      </x:c>
      <x:c r="C374" s="50" t="n">
        <x:v>4845</x:v>
      </x:c>
      <x:c r="D374" s="50" t="n">
        <x:v>1101</x:v>
      </x:c>
      <x:c r="E374" s="50" t="n">
        <x:v>99</x:v>
      </x:c>
      <x:c r="F374" s="37" t="n">
        <x:v>0.22724458204334366</x:v>
      </x:c>
      <x:c r="G374" s="37" t="n">
        <x:v>0.02043343653250774</x:v>
      </x:c>
      <x:c r="H374" s="56" t="n">
        <x:v>5240.25</x:v>
      </x:c>
      <x:c r="I374" s="56" t="n">
        <x:v>1.115</x:v>
      </x:c>
      <x:c r="J374" s="56" t="n">
        <x:v>14.82675863684209</x:v>
      </x:c>
      <x:c r="K374" s="56" t="n">
        <x:v>52.24013795526314</x:v>
      </x:c>
      <x:c r="L374" s="56" t="n">
        <x:v>76.77162565037591</x:v>
      </x:c>
    </x:row>
    <x:row r="375" ht="32.400001525878906" hidden="0" customHeight="1">
      <x:c r="A375" s="29" t="str">
        <x:v>Harris County, Texas</x:v>
      </x:c>
      <x:c r="B375" s="29" t="str">
        <x:v>48201332300</x:v>
      </x:c>
      <x:c r="C375" s="51" t="n">
        <x:v>2910</x:v>
      </x:c>
      <x:c r="D375" s="51" t="n">
        <x:v>613</x:v>
      </x:c>
      <x:c r="E375" s="51" t="n">
        <x:v>223</x:v>
      </x:c>
      <x:c r="F375" s="38" t="n">
        <x:v>0.2106529209621993</x:v>
      </x:c>
      <x:c r="G375" s="38" t="n">
        <x:v>0.07663230240549829</x:v>
      </x:c>
      <x:c r="H375" s="57" t="n">
        <x:v>3146.8500000000004</x:v>
      </x:c>
      <x:c r="I375" s="57" t="n">
        <x:v>0.465</x:v>
      </x:c>
      <x:c r="J375" s="57" t="n">
        <x:v>13.55821779418561</x:v>
      </x:c>
      <x:c r="K375" s="57" t="n">
        <x:v>50.33732669127841</x:v>
      </x:c>
      <x:c r="L375" s="57" t="n">
        <x:v>74.05332384468345</x:v>
      </x:c>
    </x:row>
    <x:row r="376" ht="32.400001525878906" hidden="0" customHeight="1">
      <x:c r="A376" s="27" t="str">
        <x:v>Harris County, Texas</x:v>
      </x:c>
      <x:c r="B376" s="27" t="str">
        <x:v>48201332400</x:v>
      </x:c>
      <x:c r="C376" s="50" t="n">
        <x:v>4057</x:v>
      </x:c>
      <x:c r="D376" s="50" t="n">
        <x:v>724</x:v>
      </x:c>
      <x:c r="E376" s="50" t="n">
        <x:v>74</x:v>
      </x:c>
      <x:c r="F376" s="37" t="n">
        <x:v>0.17845698792210993</x:v>
      </x:c>
      <x:c r="G376" s="37" t="n">
        <x:v>0.018240078876016762</x:v>
      </x:c>
      <x:c r="H376" s="56" t="n">
        <x:v>4317.8</x:v>
      </x:c>
      <x:c r="I376" s="56" t="n">
        <x:v>1.416</x:v>
      </x:c>
      <x:c r="J376" s="56" t="n">
        <x:v>11.989545818761028</x:v>
      </x:c>
      <x:c r="K376" s="56" t="n">
        <x:v>47.984318728141545</x:v>
      </x:c>
      <x:c r="L376" s="56" t="n">
        <x:v>70.69188389734506</x:v>
      </x:c>
    </x:row>
    <x:row r="377" ht="32.400001525878906" hidden="0" customHeight="1">
      <x:c r="A377" s="29" t="str">
        <x:v>Harris County, Texas</x:v>
      </x:c>
      <x:c r="B377" s="29" t="str">
        <x:v>48201332500</x:v>
      </x:c>
      <x:c r="C377" s="51" t="n">
        <x:v>3410</x:v>
      </x:c>
      <x:c r="D377" s="51" t="n">
        <x:v>373</x:v>
      </x:c>
      <x:c r="E377" s="51" t="n">
        <x:v>0</x:v>
      </x:c>
      <x:c r="F377" s="38" t="n">
        <x:v>0.1093841642228739</x:v>
      </x:c>
      <x:c r="G377" s="38" t="n">
        <x:v>0</x:v>
      </x:c>
      <x:c r="H377" s="57" t="n">
        <x:v>3540.55</x:v>
      </x:c>
      <x:c r="I377" s="57" t="n">
        <x:v>0.685</x:v>
      </x:c>
      <x:c r="J377" s="57" t="n">
        <x:v>14.713152787433732</x:v>
      </x:c>
      <x:c r="K377" s="57" t="n">
        <x:v>52.0697291811506</x:v>
      </x:c>
      <x:c r="L377" s="57" t="n">
        <x:v>76.52818454450085</x:v>
      </x:c>
    </x:row>
    <x:row r="378" ht="32.400001525878906" hidden="0" customHeight="1">
      <x:c r="A378" s="27" t="str">
        <x:v>Harris County, Texas</x:v>
      </x:c>
      <x:c r="B378" s="27" t="str">
        <x:v>48201332600</x:v>
      </x:c>
      <x:c r="C378" s="50" t="n">
        <x:v>6338</x:v>
      </x:c>
      <x:c r="D378" s="50" t="n">
        <x:v>886</x:v>
      </x:c>
      <x:c r="E378" s="50" t="n">
        <x:v>248</x:v>
      </x:c>
      <x:c r="F378" s="37" t="n">
        <x:v>0.1397917324076996</x:v>
      </x:c>
      <x:c r="G378" s="37" t="n">
        <x:v>0.03912906279583465</x:v>
      </x:c>
      <x:c r="H378" s="56" t="n">
        <x:v>6672.9</x:v>
      </x:c>
      <x:c r="I378" s="56" t="n">
        <x:v>1.265</x:v>
      </x:c>
      <x:c r="J378" s="56" t="n">
        <x:v>15.908319862918749</x:v>
      </x:c>
      <x:c r="K378" s="56" t="n">
        <x:v>53.862479794378125</x:v>
      </x:c>
      <x:c r="L378" s="56" t="n">
        <x:v>79.0892568491116</x:v>
      </x:c>
    </x:row>
    <x:row r="379" ht="32.400001525878906" hidden="0" customHeight="1">
      <x:c r="A379" s="29" t="str">
        <x:v>Harris County, Texas</x:v>
      </x:c>
      <x:c r="B379" s="29" t="str">
        <x:v>48201332700</x:v>
      </x:c>
      <x:c r="C379" s="51" t="n">
        <x:v>2319</x:v>
      </x:c>
      <x:c r="D379" s="51" t="n">
        <x:v>296</x:v>
      </x:c>
      <x:c r="E379" s="51" t="n">
        <x:v>182.5</x:v>
      </x:c>
      <x:c r="F379" s="38" t="n">
        <x:v>0.12764122466580421</x:v>
      </x:c>
      <x:c r="G379" s="38" t="n">
        <x:v>0.07869771453212591</x:v>
      </x:c>
      <x:c r="H379" s="57" t="n">
        <x:v>2440.85</x:v>
      </x:c>
      <x:c r="I379" s="57" t="n">
        <x:v>0.964</x:v>
      </x:c>
      <x:c r="J379" s="57" t="n">
        <x:v>16.53353177655841</x:v>
      </x:c>
      <x:c r="K379" s="57" t="n">
        <x:v>54.800297664837615</x:v>
      </x:c>
      <x:c r="L379" s="57" t="n">
        <x:v>80.42899666405373</x:v>
      </x:c>
    </x:row>
    <x:row r="380" ht="32.400001525878906" hidden="0" customHeight="1">
      <x:c r="A380" s="27" t="str">
        <x:v>Harris County, Texas</x:v>
      </x:c>
      <x:c r="B380" s="27" t="str">
        <x:v>48201332800</x:v>
      </x:c>
      <x:c r="C380" s="50" t="n">
        <x:v>4436</x:v>
      </x:c>
      <x:c r="D380" s="50" t="n">
        <x:v>401</x:v>
      </x:c>
      <x:c r="E380" s="50" t="n">
        <x:v>262</x:v>
      </x:c>
      <x:c r="F380" s="37" t="n">
        <x:v>0.09039675383228134</x:v>
      </x:c>
      <x:c r="G380" s="37" t="n">
        <x:v>0.059062218214607755</x:v>
      </x:c>
      <x:c r="H380" s="56" t="n">
        <x:v>4602.55</x:v>
      </x:c>
      <x:c r="I380" s="56" t="n">
        <x:v>0.753</x:v>
      </x:c>
      <x:c r="J380" s="56" t="n">
        <x:v>17.571260899076087</x:v>
      </x:c>
      <x:c r="K380" s="56" t="n">
        <x:v>56.35689134861413</x:v>
      </x:c>
      <x:c r="L380" s="56" t="n">
        <x:v>82.65270192659162</x:v>
      </x:c>
    </x:row>
    <x:row r="381" ht="32.400001525878906" hidden="0" customHeight="1">
      <x:c r="A381" s="29" t="str">
        <x:v>Harris County, Texas</x:v>
      </x:c>
      <x:c r="B381" s="29" t="str">
        <x:v>48201332900</x:v>
      </x:c>
      <x:c r="C381" s="51" t="n">
        <x:v>4493</x:v>
      </x:c>
      <x:c r="D381" s="51" t="n">
        <x:v>697</x:v>
      </x:c>
      <x:c r="E381" s="51" t="n">
        <x:v>187</x:v>
      </x:c>
      <x:c r="F381" s="38" t="n">
        <x:v>0.15513020253728022</x:v>
      </x:c>
      <x:c r="G381" s="38" t="n">
        <x:v>0.041620298241709326</x:v>
      </x:c>
      <x:c r="H381" s="57" t="n">
        <x:v>4755.650000000001</x:v>
      </x:c>
      <x:c r="I381" s="57" t="n">
        <x:v>0.713</x:v>
      </x:c>
      <x:c r="J381" s="57" t="n">
        <x:v>19.054407368180303</x:v>
      </x:c>
      <x:c r="K381" s="57" t="n">
        <x:v>58.58161105227045</x:v>
      </x:c>
      <x:c r="L381" s="57" t="n">
        <x:v>85.83087293181494</x:v>
      </x:c>
    </x:row>
    <x:row r="382" ht="32.400001525878906" hidden="0" customHeight="1">
      <x:c r="A382" s="27" t="str">
        <x:v>Harris County, Texas</x:v>
      </x:c>
      <x:c r="B382" s="27" t="str">
        <x:v>48201333000</x:v>
      </x:c>
      <x:c r="C382" s="50" t="n">
        <x:v>3528</x:v>
      </x:c>
      <x:c r="D382" s="50" t="n">
        <x:v>368</x:v>
      </x:c>
      <x:c r="E382" s="50" t="n">
        <x:v>60</x:v>
      </x:c>
      <x:c r="F382" s="37" t="n">
        <x:v>0.10430839002267574</x:v>
      </x:c>
      <x:c r="G382" s="37" t="n">
        <x:v>0.017006802721088437</x:v>
      </x:c>
      <x:c r="H382" s="56" t="n">
        <x:v>3662.8000000000006</x:v>
      </x:c>
      <x:c r="I382" s="56" t="n">
        <x:v>0.577</x:v>
      </x:c>
      <x:c r="J382" s="56" t="n">
        <x:v>18.55623955323229</x:v>
      </x:c>
      <x:c r="K382" s="56" t="n">
        <x:v>57.83435932984844</x:v>
      </x:c>
      <x:c r="L382" s="56" t="n">
        <x:v>84.76337047121206</x:v>
      </x:c>
    </x:row>
    <x:row r="383" ht="32.400001525878906" hidden="0" customHeight="1">
      <x:c r="A383" s="29" t="str">
        <x:v>Harris County, Texas</x:v>
      </x:c>
      <x:c r="B383" s="29" t="str">
        <x:v>48201333100</x:v>
      </x:c>
      <x:c r="C383" s="51" t="n">
        <x:v>3453</x:v>
      </x:c>
      <x:c r="D383" s="51" t="n">
        <x:v>478</x:v>
      </x:c>
      <x:c r="E383" s="51" t="n">
        <x:v>493.5</x:v>
      </x:c>
      <x:c r="F383" s="38" t="n">
        <x:v>0.1384303504199247</x:v>
      </x:c>
      <x:c r="G383" s="38" t="n">
        <x:v>0.1429192006950478</x:v>
      </x:c>
      <x:c r="H383" s="57" t="n">
        <x:v>3669.65</x:v>
      </x:c>
      <x:c r="I383" s="57" t="n">
        <x:v>0.468</x:v>
      </x:c>
      <x:c r="J383" s="57" t="n">
        <x:v>18.680880386462434</x:v>
      </x:c>
      <x:c r="K383" s="57" t="n">
        <x:v>58.02132057969365</x:v>
      </x:c>
      <x:c r="L383" s="57" t="n">
        <x:v>85.03045797099094</x:v>
      </x:c>
    </x:row>
    <x:row r="384" ht="32.400001525878906" hidden="0" customHeight="1">
      <x:c r="A384" s="27" t="str">
        <x:v>Harris County, Texas</x:v>
      </x:c>
      <x:c r="B384" s="27" t="str">
        <x:v>48201333201</x:v>
      </x:c>
      <x:c r="C384" s="50" t="n">
        <x:v>5266</x:v>
      </x:c>
      <x:c r="D384" s="50" t="n">
        <x:v>435</x:v>
      </x:c>
      <x:c r="E384" s="50" t="n">
        <x:v>280.5</x:v>
      </x:c>
      <x:c r="F384" s="37" t="n">
        <x:v>0.08260539308773263</x:v>
      </x:c>
      <x:c r="G384" s="37" t="n">
        <x:v>0.05326623623243448</x:v>
      </x:c>
      <x:c r="H384" s="56" t="n">
        <x:v>5446.3</x:v>
      </x:c>
      <x:c r="I384" s="56" t="n">
        <x:v>0.442</x:v>
      </x:c>
      <x:c r="J384" s="56" t="n">
        <x:v>18.905935205883697</x:v>
      </x:c>
      <x:c r="K384" s="56" t="n">
        <x:v>58.35890280882555</x:v>
      </x:c>
      <x:c r="L384" s="56" t="n">
        <x:v>85.51271829832221</x:v>
      </x:c>
    </x:row>
    <x:row r="385" ht="32.400001525878906" hidden="0" customHeight="1">
      <x:c r="A385" s="29" t="str">
        <x:v>Harris County, Texas</x:v>
      </x:c>
      <x:c r="B385" s="29" t="str">
        <x:v>48201333203</x:v>
      </x:c>
      <x:c r="C385" s="51" t="n">
        <x:v>2171</x:v>
      </x:c>
      <x:c r="D385" s="51" t="n">
        <x:v>287</x:v>
      </x:c>
      <x:c r="E385" s="51" t="n">
        <x:v>308</x:v>
      </x:c>
      <x:c r="F385" s="38" t="n">
        <x:v>0.1321971441731921</x:v>
      </x:c>
      <x:c r="G385" s="38" t="n">
        <x:v>0.14187010594196223</x:v>
      </x:c>
      <x:c r="H385" s="57" t="n">
        <x:v>2302.25</x:v>
      </x:c>
      <x:c r="I385" s="57" t="n">
        <x:v>0.749</x:v>
      </x:c>
      <x:c r="J385" s="57" t="n">
        <x:v>18.86005821331892</x:v>
      </x:c>
      <x:c r="K385" s="57" t="n">
        <x:v>58.29008731997838</x:v>
      </x:c>
      <x:c r="L385" s="57" t="n">
        <x:v>85.41441045711197</x:v>
      </x:c>
    </x:row>
    <x:row r="386" ht="32.400001525878906" hidden="0" customHeight="1">
      <x:c r="A386" s="27" t="str">
        <x:v>Harris County, Texas</x:v>
      </x:c>
      <x:c r="B386" s="27" t="str">
        <x:v>48201333204</x:v>
      </x:c>
      <x:c r="C386" s="50" t="n">
        <x:v>2338</x:v>
      </x:c>
      <x:c r="D386" s="50" t="n">
        <x:v>97</x:v>
      </x:c>
      <x:c r="E386" s="50" t="n">
        <x:v>313</x:v>
      </x:c>
      <x:c r="F386" s="37" t="n">
        <x:v>0.04148845166809239</x:v>
      </x:c>
      <x:c r="G386" s="37" t="n">
        <x:v>0.13387510692899915</x:v>
      </x:c>
      <x:c r="H386" s="56" t="n">
        <x:v>2403.2500000000005</x:v>
      </x:c>
      <x:c r="I386" s="56" t="n">
        <x:v>0.063</x:v>
      </x:c>
      <x:c r="J386" s="56" t="n">
        <x:v>17.581529257390244</x:v>
      </x:c>
      <x:c r="K386" s="56" t="n">
        <x:v>56.372293886085366</x:v>
      </x:c>
      <x:c r="L386" s="56" t="n">
        <x:v>82.67470555155052</x:v>
      </x:c>
    </x:row>
    <x:row r="387" ht="32.400001525878906" hidden="0" customHeight="1">
      <x:c r="A387" s="29" t="str">
        <x:v>Harris County, Texas</x:v>
      </x:c>
      <x:c r="B387" s="29" t="str">
        <x:v>48201333205</x:v>
      </x:c>
      <x:c r="C387" s="51" t="n">
        <x:v>1384</x:v>
      </x:c>
      <x:c r="D387" s="51" t="n">
        <x:v>178</x:v>
      </x:c>
      <x:c r="E387" s="51" t="n">
        <x:v>159</x:v>
      </x:c>
      <x:c r="F387" s="38" t="n">
        <x:v>0.12861271676300579</x:v>
      </x:c>
      <x:c r="G387" s="38" t="n">
        <x:v>0.11488439306358382</x:v>
      </x:c>
      <x:c r="H387" s="57" t="n">
        <x:v>1462.2</x:v>
      </x:c>
      <x:c r="I387" s="57" t="n">
        <x:v>0.052</x:v>
      </x:c>
      <x:c r="J387" s="57" t="n">
        <x:v>17.815899559278122</x:v>
      </x:c>
      <x:c r="K387" s="57" t="n">
        <x:v>56.723849338917184</x:v>
      </x:c>
      <x:c r="L387" s="57" t="n">
        <x:v>83.17692762702455</x:v>
      </x:c>
    </x:row>
    <x:row r="388" ht="32.400001525878906" hidden="0" customHeight="1">
      <x:c r="A388" s="27" t="str">
        <x:v>Harris County, Texas</x:v>
      </x:c>
      <x:c r="B388" s="27" t="str">
        <x:v>48201333301</x:v>
      </x:c>
      <x:c r="C388" s="50" t="n">
        <x:v>4541</x:v>
      </x:c>
      <x:c r="D388" s="50" t="n">
        <x:v>832</x:v>
      </x:c>
      <x:c r="E388" s="50" t="n">
        <x:v>801</x:v>
      </x:c>
      <x:c r="F388" s="37" t="n">
        <x:v>0.18321955516406077</x:v>
      </x:c>
      <x:c r="G388" s="37" t="n">
        <x:v>0.17639286500770757</x:v>
      </x:c>
      <x:c r="H388" s="56" t="n">
        <x:v>4912.3</x:v>
      </x:c>
      <x:c r="I388" s="56" t="n">
        <x:v>0.567</x:v>
      </x:c>
      <x:c r="J388" s="56" t="n">
        <x:v>19.894247781884665</x:v>
      </x:c>
      <x:c r="K388" s="56" t="n">
        <x:v>59.841371672827</x:v>
      </x:c>
      <x:c r="L388" s="56" t="n">
        <x:v>87.63053096118142</x:v>
      </x:c>
    </x:row>
    <x:row r="389" ht="32.400001525878906" hidden="0" customHeight="1">
      <x:c r="A389" s="29" t="str">
        <x:v>Harris County, Texas</x:v>
      </x:c>
      <x:c r="B389" s="29" t="str">
        <x:v>48201333302</x:v>
      </x:c>
      <x:c r="C389" s="51" t="n">
        <x:v>3515</x:v>
      </x:c>
      <x:c r="D389" s="51" t="n">
        <x:v>717</x:v>
      </x:c>
      <x:c r="E389" s="51" t="n">
        <x:v>314</x:v>
      </x:c>
      <x:c r="F389" s="38" t="n">
        <x:v>0.20398293029871978</x:v>
      </x:c>
      <x:c r="G389" s="38" t="n">
        <x:v>0.08933143669985776</x:v>
      </x:c>
      <x:c r="H389" s="57" t="n">
        <x:v>3797.3500000000004</x:v>
      </x:c>
      <x:c r="I389" s="57" t="n">
        <x:v>2.094</x:v>
      </x:c>
      <x:c r="J389" s="57" t="n">
        <x:v>17.815665650414996</x:v>
      </x:c>
      <x:c r="K389" s="57" t="n">
        <x:v>56.72349847562249</x:v>
      </x:c>
      <x:c r="L389" s="57" t="n">
        <x:v>83.17642639374642</x:v>
      </x:c>
    </x:row>
    <x:row r="390" ht="32.400001525878906" hidden="0" customHeight="1">
      <x:c r="A390" s="27" t="str">
        <x:v>Harris County, Texas</x:v>
      </x:c>
      <x:c r="B390" s="27" t="str">
        <x:v>48201333501</x:v>
      </x:c>
      <x:c r="C390" s="50" t="n">
        <x:v>3311</x:v>
      </x:c>
      <x:c r="D390" s="50" t="n">
        <x:v>316</x:v>
      </x:c>
      <x:c r="E390" s="50" t="n">
        <x:v>280</x:v>
      </x:c>
      <x:c r="F390" s="37" t="n">
        <x:v>0.09543944427665357</x:v>
      </x:c>
      <x:c r="G390" s="37" t="n">
        <x:v>0.08456659619450317</x:v>
      </x:c>
      <x:c r="H390" s="56" t="n">
        <x:v>3449.6</x:v>
      </x:c>
      <x:c r="I390" s="56" t="n">
        <x:v>0.38</x:v>
      </x:c>
      <x:c r="J390" s="56" t="n">
        <x:v>17.745393872723394</x:v>
      </x:c>
      <x:c r="K390" s="56" t="n">
        <x:v>56.61809080908509</x:v>
      </x:c>
      <x:c r="L390" s="56" t="n">
        <x:v>83.0258440129787</x:v>
      </x:c>
    </x:row>
    <x:row r="391" ht="32.400001525878906" hidden="0" customHeight="1">
      <x:c r="A391" s="29" t="str">
        <x:v>Harris County, Texas</x:v>
      </x:c>
      <x:c r="B391" s="29" t="str">
        <x:v>48201333502</x:v>
      </x:c>
      <x:c r="C391" s="51" t="n">
        <x:v>2504</x:v>
      </x:c>
      <x:c r="D391" s="51" t="n">
        <x:v>149</x:v>
      </x:c>
      <x:c r="E391" s="51" t="n">
        <x:v>215</x:v>
      </x:c>
      <x:c r="F391" s="38" t="n">
        <x:v>0.05950479233226837</x:v>
      </x:c>
      <x:c r="G391" s="38" t="n">
        <x:v>0.08586261980830671</x:v>
      </x:c>
      <x:c r="H391" s="57" t="n">
        <x:v>2577.6499999999996</x:v>
      </x:c>
      <x:c r="I391" s="57" t="n">
        <x:v>0.35</x:v>
      </x:c>
      <x:c r="J391" s="57" t="n">
        <x:v>17.152283834655094</x:v>
      </x:c>
      <x:c r="K391" s="57" t="n">
        <x:v>55.72842575198264</x:v>
      </x:c>
      <x:c r="L391" s="57" t="n">
        <x:v>81.75489393140377</x:v>
      </x:c>
    </x:row>
    <x:row r="392" ht="32.400001525878906" hidden="0" customHeight="1">
      <x:c r="A392" s="27" t="str">
        <x:v>Harris County, Texas</x:v>
      </x:c>
      <x:c r="B392" s="27" t="str">
        <x:v>48201333600</x:v>
      </x:c>
      <x:c r="C392" s="50" t="n">
        <x:v>3219</x:v>
      </x:c>
      <x:c r="D392" s="50" t="n">
        <x:v>278</x:v>
      </x:c>
      <x:c r="E392" s="50" t="n">
        <x:v>33</x:v>
      </x:c>
      <x:c r="F392" s="37" t="n">
        <x:v>0.08636222429325878</x:v>
      </x:c>
      <x:c r="G392" s="37" t="n">
        <x:v>0.010251630941286114</x:v>
      </x:c>
      <x:c r="H392" s="56" t="n">
        <x:v>3319.6000000000004</x:v>
      </x:c>
      <x:c r="I392" s="56" t="n">
        <x:v>1.426</x:v>
      </x:c>
      <x:c r="J392" s="56" t="n">
        <x:v>14.931780072834533</x:v>
      </x:c>
      <x:c r="K392" s="56" t="n">
        <x:v>52.3976701092518</x:v>
      </x:c>
      <x:c r="L392" s="56" t="n">
        <x:v>76.99667158464543</x:v>
      </x:c>
    </x:row>
    <x:row r="393" ht="32.400001525878906" hidden="0" customHeight="1">
      <x:c r="A393" s="29" t="str">
        <x:v>Harris County, Texas</x:v>
      </x:c>
      <x:c r="B393" s="29" t="str">
        <x:v>48201333700</x:v>
      </x:c>
      <x:c r="C393" s="51" t="n">
        <x:v>4138</x:v>
      </x:c>
      <x:c r="D393" s="51" t="n">
        <x:v>473</x:v>
      </x:c>
      <x:c r="E393" s="51" t="n">
        <x:v>13</x:v>
      </x:c>
      <x:c r="F393" s="38" t="n">
        <x:v>0.11430642822619623</x:v>
      </x:c>
      <x:c r="G393" s="38" t="n">
        <x:v>0.003141614306428226</x:v>
      </x:c>
      <x:c r="H393" s="57" t="n">
        <x:v>4304.849999999999</x:v>
      </x:c>
      <x:c r="I393" s="57" t="n">
        <x:v>3.454</x:v>
      </x:c>
      <x:c r="J393" s="57" t="n">
        <x:v>13.45793319614087</x:v>
      </x:c>
      <x:c r="K393" s="57" t="n">
        <x:v>50.18689979421131</x:v>
      </x:c>
      <x:c r="L393" s="57" t="n">
        <x:v>73.83842827744472</x:v>
      </x:c>
    </x:row>
    <x:row r="394" ht="32.400001525878906" hidden="0" customHeight="1">
      <x:c r="A394" s="27" t="str">
        <x:v>Harris County, Texas</x:v>
      </x:c>
      <x:c r="B394" s="27" t="str">
        <x:v>48201333801</x:v>
      </x:c>
      <x:c r="C394" s="50" t="n">
        <x:v>4084</x:v>
      </x:c>
      <x:c r="D394" s="50" t="n">
        <x:v>279</x:v>
      </x:c>
      <x:c r="E394" s="50" t="n">
        <x:v>0</x:v>
      </x:c>
      <x:c r="F394" s="37" t="n">
        <x:v>0.06831537708129284</x:v>
      </x:c>
      <x:c r="G394" s="37" t="n">
        <x:v>0</x:v>
      </x:c>
      <x:c r="H394" s="56" t="n">
        <x:v>4181.650000000001</x:v>
      </x:c>
      <x:c r="I394" s="56" t="n">
        <x:v>1.986</x:v>
      </x:c>
      <x:c r="J394" s="56" t="n">
        <x:v>12.962509782069628</x:v>
      </x:c>
      <x:c r="K394" s="56" t="n">
        <x:v>49.44376467310444</x:v>
      </x:c>
      <x:c r="L394" s="56" t="n">
        <x:v>72.7768066758635</x:v>
      </x:c>
    </x:row>
    <x:row r="395" ht="32.400001525878906" hidden="0" customHeight="1">
      <x:c r="A395" s="29" t="str">
        <x:v>Harris County, Texas</x:v>
      </x:c>
      <x:c r="B395" s="29" t="str">
        <x:v>48201333802</x:v>
      </x:c>
      <x:c r="C395" s="51" t="n">
        <x:v>6105</x:v>
      </x:c>
      <x:c r="D395" s="51" t="n">
        <x:v>390</x:v>
      </x:c>
      <x:c r="E395" s="51" t="n">
        <x:v>314</x:v>
      </x:c>
      <x:c r="F395" s="38" t="n">
        <x:v>0.06388206388206388</x:v>
      </x:c>
      <x:c r="G395" s="38" t="n">
        <x:v>0.051433251433251434</x:v>
      </x:c>
      <x:c r="H395" s="57" t="n">
        <x:v>6272.899999999999</x:v>
      </x:c>
      <x:c r="I395" s="57" t="n">
        <x:v>1.312</x:v>
      </x:c>
      <x:c r="J395" s="57" t="n">
        <x:v>15.061316094351033</x:v>
      </x:c>
      <x:c r="K395" s="57" t="n">
        <x:v>52.59197414152655</x:v>
      </x:c>
      <x:c r="L395" s="57" t="n">
        <x:v>77.27424877360936</x:v>
      </x:c>
    </x:row>
    <x:row r="396" ht="32.400001525878906" hidden="0" customHeight="1">
      <x:c r="A396" s="27" t="str">
        <x:v>Harris County, Texas</x:v>
      </x:c>
      <x:c r="B396" s="27" t="str">
        <x:v>48201333903</x:v>
      </x:c>
      <x:c r="C396" s="50" t="n">
        <x:v>3720</x:v>
      </x:c>
      <x:c r="D396" s="50" t="n">
        <x:v>264</x:v>
      </x:c>
      <x:c r="E396" s="50" t="n">
        <x:v>99</x:v>
      </x:c>
      <x:c r="F396" s="37" t="n">
        <x:v>0.07096774193548387</x:v>
      </x:c>
      <x:c r="G396" s="37" t="n">
        <x:v>0.02661290322580645</x:v>
      </x:c>
      <x:c r="H396" s="56" t="n">
        <x:v>3822.3</x:v>
      </x:c>
      <x:c r="I396" s="56" t="n">
        <x:v>0.73</x:v>
      </x:c>
      <x:c r="J396" s="56" t="n">
        <x:v>19.89324160103076</x:v>
      </x:c>
      <x:c r="K396" s="56" t="n">
        <x:v>59.83986240154614</x:v>
      </x:c>
      <x:c r="L396" s="56" t="n">
        <x:v>87.62837485935162</x:v>
      </x:c>
    </x:row>
    <x:row r="397" ht="32.400001525878906" hidden="0" customHeight="1">
      <x:c r="A397" s="29" t="str">
        <x:v>Harris County, Texas</x:v>
      </x:c>
      <x:c r="B397" s="29" t="str">
        <x:v>48201333904</x:v>
      </x:c>
      <x:c r="C397" s="51" t="n">
        <x:v>6261</x:v>
      </x:c>
      <x:c r="D397" s="51" t="n">
        <x:v>868</x:v>
      </x:c>
      <x:c r="E397" s="51" t="n">
        <x:v>247.5</x:v>
      </x:c>
      <x:c r="F397" s="38" t="n">
        <x:v>0.13863600063887557</x:v>
      </x:c>
      <x:c r="G397" s="38" t="n">
        <x:v>0.03953042644944897</x:v>
      </x:c>
      <x:c r="H397" s="57" t="n">
        <x:v>6589.550000000001</x:v>
      </x:c>
      <x:c r="I397" s="57" t="n">
        <x:v>0.806</x:v>
      </x:c>
      <x:c r="J397" s="57" t="n">
        <x:v>18.357447697555763</x:v>
      </x:c>
      <x:c r="K397" s="57" t="n">
        <x:v>57.53617154633365</x:v>
      </x:c>
      <x:c r="L397" s="57" t="n">
        <x:v>84.33738792333378</x:v>
      </x:c>
    </x:row>
    <x:row r="398" ht="32.400001525878906" hidden="0" customHeight="1">
      <x:c r="A398" s="27" t="str">
        <x:v>Harris County, Texas</x:v>
      </x:c>
      <x:c r="B398" s="27" t="str">
        <x:v>48201333905</x:v>
      </x:c>
      <x:c r="C398" s="50" t="n">
        <x:v>3448</x:v>
      </x:c>
      <x:c r="D398" s="50" t="n">
        <x:v>463</x:v>
      </x:c>
      <x:c r="E398" s="50" t="n">
        <x:v>67.5</x:v>
      </x:c>
      <x:c r="F398" s="37" t="n">
        <x:v>0.13428074245939675</x:v>
      </x:c>
      <x:c r="G398" s="37" t="n">
        <x:v>0.01957656612529002</x:v>
      </x:c>
      <x:c r="H398" s="56" t="n">
        <x:v>3616.7999999999997</x:v>
      </x:c>
      <x:c r="I398" s="56" t="n">
        <x:v>1.103</x:v>
      </x:c>
      <x:c r="J398" s="56" t="n">
        <x:v>16.97082094803596</x:v>
      </x:c>
      <x:c r="K398" s="56" t="n">
        <x:v>55.45623142205394</x:v>
      </x:c>
      <x:c r="L398" s="56" t="n">
        <x:v>81.36604488864849</x:v>
      </x:c>
    </x:row>
    <x:row r="399" ht="32.400001525878906" hidden="0" customHeight="1">
      <x:c r="A399" s="29" t="str">
        <x:v>Harris County, Texas</x:v>
      </x:c>
      <x:c r="B399" s="29" t="str">
        <x:v>48201333906</x:v>
      </x:c>
      <x:c r="C399" s="51" t="n">
        <x:v>5712</x:v>
      </x:c>
      <x:c r="D399" s="51" t="n">
        <x:v>439</x:v>
      </x:c>
      <x:c r="E399" s="51" t="n">
        <x:v>54</x:v>
      </x:c>
      <x:c r="F399" s="38" t="n">
        <x:v>0.07685574229691877</x:v>
      </x:c>
      <x:c r="G399" s="38" t="n">
        <x:v>0.009453781512605041</x:v>
      </x:c>
      <x:c r="H399" s="57" t="n">
        <x:v>5871.05</x:v>
      </x:c>
      <x:c r="I399" s="57" t="n">
        <x:v>0.765</x:v>
      </x:c>
      <x:c r="J399" s="57" t="n">
        <x:v>16.90510465025998</x:v>
      </x:c>
      <x:c r="K399" s="57" t="n">
        <x:v>55.35765697538997</x:v>
      </x:c>
      <x:c r="L399" s="57" t="n">
        <x:v>81.22522425055709</x:v>
      </x:c>
    </x:row>
    <x:row r="400" ht="32.400001525878906" hidden="0" customHeight="1">
      <x:c r="A400" s="27" t="str">
        <x:v>Harris County, Texas</x:v>
      </x:c>
      <x:c r="B400" s="27" t="str">
        <x:v>48201334001</x:v>
      </x:c>
      <x:c r="C400" s="50" t="n">
        <x:v>2880</x:v>
      </x:c>
      <x:c r="D400" s="50" t="n">
        <x:v>532</x:v>
      </x:c>
      <x:c r="E400" s="50" t="n">
        <x:v>262</x:v>
      </x:c>
      <x:c r="F400" s="37" t="n">
        <x:v>0.18472222222222223</x:v>
      </x:c>
      <x:c r="G400" s="37" t="n">
        <x:v>0.09097222222222222</x:v>
      </x:c>
      <x:c r="H400" s="56" t="n">
        <x:v>3092.4000000000005</x:v>
      </x:c>
      <x:c r="I400" s="56" t="n">
        <x:v>0.516</x:v>
      </x:c>
      <x:c r="J400" s="56" t="n">
        <x:v>21.227101309657183</x:v>
      </x:c>
      <x:c r="K400" s="56" t="n">
        <x:v>61.84065196448577</x:v>
      </x:c>
      <x:c r="L400" s="56" t="n">
        <x:v>90.4866456635511</x:v>
      </x:c>
    </x:row>
    <x:row r="401" ht="32.400001525878906" hidden="0" customHeight="1">
      <x:c r="A401" s="29" t="str">
        <x:v>Harris County, Texas</x:v>
      </x:c>
      <x:c r="B401" s="29" t="str">
        <x:v>48201334002</x:v>
      </x:c>
      <x:c r="C401" s="51" t="n">
        <x:v>2303</x:v>
      </x:c>
      <x:c r="D401" s="51" t="n">
        <x:v>171</x:v>
      </x:c>
      <x:c r="E401" s="51" t="n">
        <x:v>0</x:v>
      </x:c>
      <x:c r="F401" s="38" t="n">
        <x:v>0.07425097698653929</x:v>
      </x:c>
      <x:c r="G401" s="38" t="n">
        <x:v>0</x:v>
      </x:c>
      <x:c r="H401" s="57" t="n">
        <x:v>2362.85</x:v>
      </x:c>
      <x:c r="I401" s="57" t="n">
        <x:v>0.512</x:v>
      </x:c>
      <x:c r="J401" s="57" t="n">
        <x:v>22.626168581991646</x:v>
      </x:c>
      <x:c r="K401" s="57" t="n">
        <x:v>63.93925287298747</x:v>
      </x:c>
      <x:c r="L401" s="57" t="n">
        <x:v>93.48464696141068</x:v>
      </x:c>
    </x:row>
    <x:row r="402" ht="32.400001525878906" hidden="0" customHeight="1">
      <x:c r="A402" s="27" t="str">
        <x:v>Harris County, Texas</x:v>
      </x:c>
      <x:c r="B402" s="27" t="str">
        <x:v>48201334003</x:v>
      </x:c>
      <x:c r="C402" s="50" t="n">
        <x:v>5903</x:v>
      </x:c>
      <x:c r="D402" s="50" t="n">
        <x:v>558</x:v>
      </x:c>
      <x:c r="E402" s="50" t="n">
        <x:v>550</x:v>
      </x:c>
      <x:c r="F402" s="37" t="n">
        <x:v>0.0945282059969507</x:v>
      </x:c>
      <x:c r="G402" s="37" t="n">
        <x:v>0.09317296290022023</x:v>
      </x:c>
      <x:c r="H402" s="56" t="n">
        <x:v>6153.3</x:v>
      </x:c>
      <x:c r="I402" s="56" t="n">
        <x:v>1.067</x:v>
      </x:c>
      <x:c r="J402" s="56" t="n">
        <x:v>20.535842417145325</x:v>
      </x:c>
      <x:c r="K402" s="56" t="n">
        <x:v>60.80376362571799</x:v>
      </x:c>
      <x:c r="L402" s="56" t="n">
        <x:v>89.00537660816855</x:v>
      </x:c>
    </x:row>
    <x:row r="403" ht="32.400001525878906" hidden="0" customHeight="1">
      <x:c r="A403" s="29" t="str">
        <x:v>Harris County, Texas</x:v>
      </x:c>
      <x:c r="B403" s="29" t="str">
        <x:v>48201334101</x:v>
      </x:c>
      <x:c r="C403" s="51" t="n">
        <x:v>9558</x:v>
      </x:c>
      <x:c r="D403" s="51" t="n">
        <x:v>698</x:v>
      </x:c>
      <x:c r="E403" s="51" t="n">
        <x:v>390</x:v>
      </x:c>
      <x:c r="F403" s="38" t="n">
        <x:v>0.07302783008997699</x:v>
      </x:c>
      <x:c r="G403" s="38" t="n">
        <x:v>0.04080351537978657</x:v>
      </x:c>
      <x:c r="H403" s="57" t="n">
        <x:v>9841.3</x:v>
      </x:c>
      <x:c r="I403" s="57" t="n">
        <x:v>6.001</x:v>
      </x:c>
      <x:c r="J403" s="57" t="n">
        <x:v>10.143935999018872</x:v>
      </x:c>
      <x:c r="K403" s="57" t="n">
        <x:v>45.215903998528304</x:v>
      </x:c>
      <x:c r="L403" s="57" t="n">
        <x:v>66.7370057121833</x:v>
      </x:c>
    </x:row>
    <x:row r="404" ht="32.400001525878906" hidden="0" customHeight="1">
      <x:c r="A404" s="27" t="str">
        <x:v>Harris County, Texas</x:v>
      </x:c>
      <x:c r="B404" s="27" t="str">
        <x:v>48201334102</x:v>
      </x:c>
      <x:c r="C404" s="50" t="n">
        <x:v>6673</x:v>
      </x:c>
      <x:c r="D404" s="50" t="n">
        <x:v>1325</x:v>
      </x:c>
      <x:c r="E404" s="50" t="n">
        <x:v>210</x:v>
      </x:c>
      <x:c r="F404" s="37" t="n">
        <x:v>0.19856136670163343</x:v>
      </x:c>
      <x:c r="G404" s="37" t="n">
        <x:v>0.03147010340176832</x:v>
      </x:c>
      <x:c r="H404" s="56" t="n">
        <x:v>7157.749999999998</x:v>
      </x:c>
      <x:c r="I404" s="56" t="n">
        <x:v>4.635</x:v>
      </x:c>
      <x:c r="J404" s="56" t="n">
        <x:v>9.745469228065454</x:v>
      </x:c>
      <x:c r="K404" s="56" t="n">
        <x:v>44.61820384209818</x:v>
      </x:c>
      <x:c r="L404" s="56" t="n">
        <x:v>65.88314834585455</x:v>
      </x:c>
    </x:row>
    <x:row r="405" ht="32.400001525878906" hidden="0" customHeight="1">
      <x:c r="A405" s="29" t="str">
        <x:v>Harris County, Texas</x:v>
      </x:c>
      <x:c r="B405" s="29" t="str">
        <x:v>48201340101</x:v>
      </x:c>
      <x:c r="C405" s="51" t="n">
        <x:v>1581</x:v>
      </x:c>
      <x:c r="D405" s="51" t="n">
        <x:v>174</x:v>
      </x:c>
      <x:c r="E405" s="51" t="n">
        <x:v>41</x:v>
      </x:c>
      <x:c r="F405" s="38" t="n">
        <x:v>0.11005692599620494</x:v>
      </x:c>
      <x:c r="G405" s="38" t="n">
        <x:v>0.025932953826691967</x:v>
      </x:c>
      <x:c r="H405" s="57" t="n">
        <x:v>1646.0000000000002</x:v>
      </x:c>
      <x:c r="I405" s="57" t="n">
        <x:v>1.536</x:v>
      </x:c>
      <x:c r="J405" s="57" t="n">
        <x:v>27.572855814415203</x:v>
      </x:c>
      <x:c r="K405" s="57" t="n">
        <x:v>71.3592837216228</x:v>
      </x:c>
      <x:c r="L405" s="57" t="n">
        <x:v>104.08469103088972</x:v>
      </x:c>
    </x:row>
    <x:row r="406" ht="32.400001525878906" hidden="0" customHeight="1">
      <x:c r="A406" s="27" t="str">
        <x:v>Harris County, Texas</x:v>
      </x:c>
      <x:c r="B406" s="27" t="str">
        <x:v>48201340102</x:v>
      </x:c>
      <x:c r="C406" s="50" t="n">
        <x:v>5498</x:v>
      </x:c>
      <x:c r="D406" s="50" t="n">
        <x:v>452</x:v>
      </x:c>
      <x:c r="E406" s="50" t="n">
        <x:v>206</x:v>
      </x:c>
      <x:c r="F406" s="37" t="n">
        <x:v>0.0822117133503092</x:v>
      </x:c>
      <x:c r="G406" s="37" t="n">
        <x:v>0.037468170243724994</x:v>
      </x:c>
      <x:c r="H406" s="56" t="n">
        <x:v>5676.799999999999</x:v>
      </x:c>
      <x:c r="I406" s="56" t="n">
        <x:v>1.716</x:v>
      </x:c>
      <x:c r="J406" s="56" t="n">
        <x:v>25.66254665265231</x:v>
      </x:c>
      <x:c r="K406" s="56" t="n">
        <x:v>68.49381997897846</x:v>
      </x:c>
      <x:c r="L406" s="56" t="n">
        <x:v>99.99117139854067</x:v>
      </x:c>
    </x:row>
    <x:row r="407" ht="32.400001525878906" hidden="0" customHeight="1">
      <x:c r="A407" s="29" t="str">
        <x:v>Harris County, Texas</x:v>
      </x:c>
      <x:c r="B407" s="29" t="str">
        <x:v>48201340202</x:v>
      </x:c>
      <x:c r="C407" s="51" t="n">
        <x:v>8505</x:v>
      </x:c>
      <x:c r="D407" s="51" t="n">
        <x:v>367</x:v>
      </x:c>
      <x:c r="E407" s="51" t="n">
        <x:v>34</x:v>
      </x:c>
      <x:c r="F407" s="38" t="n">
        <x:v>0.04315108759553204</x:v>
      </x:c>
      <x:c r="G407" s="38" t="n">
        <x:v>0.003997648442092887</x:v>
      </x:c>
      <x:c r="H407" s="57" t="n">
        <x:v>8636.85</x:v>
      </x:c>
      <x:c r="I407" s="57" t="n">
        <x:v>6.294</x:v>
      </x:c>
      <x:c r="J407" s="57" t="n">
        <x:v>32.37537508025837</x:v>
      </x:c>
      <x:c r="K407" s="57" t="n">
        <x:v>78.56306262038756</x:v>
      </x:c>
      <x:c r="L407" s="57" t="n">
        <x:v>114.3758037434108</x:v>
      </x:c>
    </x:row>
    <x:row r="408" ht="32.400001525878906" hidden="0" customHeight="1">
      <x:c r="A408" s="27" t="str">
        <x:v>Harris County, Texas</x:v>
      </x:c>
      <x:c r="B408" s="27" t="str">
        <x:v>48201340203</x:v>
      </x:c>
      <x:c r="C408" s="50" t="n">
        <x:v>4599</x:v>
      </x:c>
      <x:c r="D408" s="50" t="n">
        <x:v>626</x:v>
      </x:c>
      <x:c r="E408" s="50" t="n">
        <x:v>0</x:v>
      </x:c>
      <x:c r="F408" s="37" t="n">
        <x:v>0.13611654707545118</x:v>
      </x:c>
      <x:c r="G408" s="37" t="n">
        <x:v>0</x:v>
      </x:c>
      <x:c r="H408" s="56" t="n">
        <x:v>4818.099999999999</x:v>
      </x:c>
      <x:c r="I408" s="56" t="n">
        <x:v>4.41</x:v>
      </x:c>
      <x:c r="J408" s="56" t="n">
        <x:v>31.095690572651527</x:v>
      </x:c>
      <x:c r="K408" s="56" t="n">
        <x:v>76.64353585897729</x:v>
      </x:c>
      <x:c r="L408" s="56" t="n">
        <x:v>111.63362265568185</x:v>
      </x:c>
    </x:row>
    <x:row r="409" ht="32.400001525878906" hidden="0" customHeight="1">
      <x:c r="A409" s="29" t="str">
        <x:v>Harris County, Texas</x:v>
      </x:c>
      <x:c r="B409" s="29" t="str">
        <x:v>48201340301</x:v>
      </x:c>
      <x:c r="C409" s="51" t="n">
        <x:v>3519</x:v>
      </x:c>
      <x:c r="D409" s="51" t="n">
        <x:v>320</x:v>
      </x:c>
      <x:c r="E409" s="51" t="n">
        <x:v>0</x:v>
      </x:c>
      <x:c r="F409" s="38" t="n">
        <x:v>0.09093492469451549</x:v>
      </x:c>
      <x:c r="G409" s="38" t="n">
        <x:v>0</x:v>
      </x:c>
      <x:c r="H409" s="57" t="n">
        <x:v>3630.9999999999995</x:v>
      </x:c>
      <x:c r="I409" s="57" t="n">
        <x:v>1.375</x:v>
      </x:c>
      <x:c r="J409" s="57" t="n">
        <x:v>34.15050971504023</x:v>
      </x:c>
      <x:c r="K409" s="57" t="n">
        <x:v>81.22576457256034</x:v>
      </x:c>
      <x:c r="L409" s="57" t="n">
        <x:v>118.1796636750862</x:v>
      </x:c>
    </x:row>
    <x:row r="410" ht="32.400001525878906" hidden="0" customHeight="1">
      <x:c r="A410" s="27" t="str">
        <x:v>Harris County, Texas</x:v>
      </x:c>
      <x:c r="B410" s="27" t="str">
        <x:v>48201340302</x:v>
      </x:c>
      <x:c r="C410" s="50" t="n">
        <x:v>6889</x:v>
      </x:c>
      <x:c r="D410" s="50" t="n">
        <x:v>574</x:v>
      </x:c>
      <x:c r="E410" s="50" t="n">
        <x:v>0</x:v>
      </x:c>
      <x:c r="F410" s="37" t="n">
        <x:v>0.0833212367542459</x:v>
      </x:c>
      <x:c r="G410" s="37" t="n">
        <x:v>0</x:v>
      </x:c>
      <x:c r="H410" s="56" t="n">
        <x:v>7089.900000000001</x:v>
      </x:c>
      <x:c r="I410" s="56" t="n">
        <x:v>1.324</x:v>
      </x:c>
      <x:c r="J410" s="56" t="n">
        <x:v>33.114150900985685</x:v>
      </x:c>
      <x:c r="K410" s="56" t="n">
        <x:v>79.67122635147852</x:v>
      </x:c>
      <x:c r="L410" s="56" t="n">
        <x:v>115.95889478782647</x:v>
      </x:c>
    </x:row>
    <x:row r="411" ht="32.400001525878906" hidden="0" customHeight="1">
      <x:c r="A411" s="29" t="str">
        <x:v>Harris County, Texas</x:v>
      </x:c>
      <x:c r="B411" s="29" t="str">
        <x:v>48201340400</x:v>
      </x:c>
      <x:c r="C411" s="51" t="n">
        <x:v>1070</x:v>
      </x:c>
      <x:c r="D411" s="51" t="n">
        <x:v>89</x:v>
      </x:c>
      <x:c r="E411" s="51" t="n">
        <x:v>0</x:v>
      </x:c>
      <x:c r="F411" s="38" t="n">
        <x:v>0.08317757009345794</x:v>
      </x:c>
      <x:c r="G411" s="38" t="n">
        <x:v>0</x:v>
      </x:c>
      <x:c r="H411" s="57" t="n">
        <x:v>1101.1499999999999</x:v>
      </x:c>
      <x:c r="I411" s="57" t="n">
        <x:v>0.613</x:v>
      </x:c>
      <x:c r="J411" s="57" t="n">
        <x:v>35.06800160503313</x:v>
      </x:c>
      <x:c r="K411" s="57" t="n">
        <x:v>82.60200240754969</x:v>
      </x:c>
      <x:c r="L411" s="57" t="n">
        <x:v>120.145717725071</x:v>
      </x:c>
    </x:row>
    <x:row r="412" ht="32.400001525878906" hidden="0" customHeight="1">
      <x:c r="A412" s="27" t="str">
        <x:v>Harris County, Texas</x:v>
      </x:c>
      <x:c r="B412" s="27" t="str">
        <x:v>48201340501</x:v>
      </x:c>
      <x:c r="C412" s="50" t="n">
        <x:v>3754</x:v>
      </x:c>
      <x:c r="D412" s="50" t="n">
        <x:v>352</x:v>
      </x:c>
      <x:c r="E412" s="50" t="n">
        <x:v>231</x:v>
      </x:c>
      <x:c r="F412" s="37" t="n">
        <x:v>0.09376664890783165</x:v>
      </x:c>
      <x:c r="G412" s="37" t="n">
        <x:v>0.061534363345764516</x:v>
      </x:c>
      <x:c r="H412" s="56" t="n">
        <x:v>3900.3000000000006</x:v>
      </x:c>
      <x:c r="I412" s="56" t="n">
        <x:v>0.787</x:v>
      </x:c>
      <x:c r="J412" s="56" t="n">
        <x:v>34.9867400099763</x:v>
      </x:c>
      <x:c r="K412" s="56" t="n">
        <x:v>82.48011001496445</x:v>
      </x:c>
      <x:c r="L412" s="56" t="n">
        <x:v>119.97158573566351</x:v>
      </x:c>
    </x:row>
    <x:row r="413" ht="32.400001525878906" hidden="0" customHeight="1">
      <x:c r="A413" s="29" t="str">
        <x:v>Harris County, Texas</x:v>
      </x:c>
      <x:c r="B413" s="29" t="str">
        <x:v>48201340502</x:v>
      </x:c>
      <x:c r="C413" s="51" t="n">
        <x:v>2216</x:v>
      </x:c>
      <x:c r="D413" s="51" t="n">
        <x:v>190</x:v>
      </x:c>
      <x:c r="E413" s="51" t="n">
        <x:v>85</x:v>
      </x:c>
      <x:c r="F413" s="38" t="n">
        <x:v>0.08574007220216606</x:v>
      </x:c>
      <x:c r="G413" s="38" t="n">
        <x:v>0.03835740072202166</x:v>
      </x:c>
      <x:c r="H413" s="57" t="n">
        <x:v>2291</x:v>
      </x:c>
      <x:c r="I413" s="57" t="n">
        <x:v>0.297</x:v>
      </x:c>
      <x:c r="J413" s="57" t="n">
        <x:v>35.19479744161692</x:v>
      </x:c>
      <x:c r="K413" s="57" t="n">
        <x:v>82.79219616242537</x:v>
      </x:c>
      <x:c r="L413" s="57" t="n">
        <x:v>120.41742308917911</x:v>
      </x:c>
    </x:row>
    <x:row r="414" ht="32.400001525878906" hidden="0" customHeight="1">
      <x:c r="A414" s="27" t="str">
        <x:v>Harris County, Texas</x:v>
      </x:c>
      <x:c r="B414" s="27" t="str">
        <x:v>48201340600</x:v>
      </x:c>
      <x:c r="C414" s="50" t="n">
        <x:v>2463</x:v>
      </x:c>
      <x:c r="D414" s="50" t="n">
        <x:v>284</x:v>
      </x:c>
      <x:c r="E414" s="50" t="n">
        <x:v>5</x:v>
      </x:c>
      <x:c r="F414" s="37" t="n">
        <x:v>0.11530653674380836</x:v>
      </x:c>
      <x:c r="G414" s="37" t="n">
        <x:v>0.0020300446609825416</x:v>
      </x:c>
      <x:c r="H414" s="56" t="n">
        <x:v>2562.9</x:v>
      </x:c>
      <x:c r="I414" s="56" t="n">
        <x:v>0.628</x:v>
      </x:c>
      <x:c r="J414" s="56" t="n">
        <x:v>33.51115964129715</x:v>
      </x:c>
      <x:c r="K414" s="56" t="n">
        <x:v>80.26673946194572</x:v>
      </x:c>
      <x:c r="L414" s="56" t="n">
        <x:v>116.8096278027796</x:v>
      </x:c>
    </x:row>
    <x:row r="415" ht="32.400001525878906" hidden="0" customHeight="1">
      <x:c r="A415" s="29" t="str">
        <x:v>Harris County, Texas</x:v>
      </x:c>
      <x:c r="B415" s="29" t="str">
        <x:v>48201340701</x:v>
      </x:c>
      <x:c r="C415" s="51" t="n">
        <x:v>3918</x:v>
      </x:c>
      <x:c r="D415" s="51" t="n">
        <x:v>425</x:v>
      </x:c>
      <x:c r="E415" s="51" t="n">
        <x:v>66</x:v>
      </x:c>
      <x:c r="F415" s="38" t="n">
        <x:v>0.10847371107708015</x:v>
      </x:c>
      <x:c r="G415" s="38" t="n">
        <x:v>0.016845329249617153</x:v>
      </x:c>
      <x:c r="H415" s="57" t="n">
        <x:v>4073.3500000000004</x:v>
      </x:c>
      <x:c r="I415" s="57" t="n">
        <x:v>0.735</x:v>
      </x:c>
      <x:c r="J415" s="57" t="n">
        <x:v>33.935032930874435</x:v>
      </x:c>
      <x:c r="K415" s="57" t="n">
        <x:v>80.90254939631166</x:v>
      </x:c>
      <x:c r="L415" s="57" t="n">
        <x:v>117.71792770901665</x:v>
      </x:c>
    </x:row>
    <x:row r="416" ht="32.400001525878906" hidden="0" customHeight="1">
      <x:c r="A416" s="27" t="str">
        <x:v>Harris County, Texas</x:v>
      </x:c>
      <x:c r="B416" s="27" t="str">
        <x:v>48201340702</x:v>
      </x:c>
      <x:c r="C416" s="50" t="n">
        <x:v>3871</x:v>
      </x:c>
      <x:c r="D416" s="50" t="n">
        <x:v>136</x:v>
      </x:c>
      <x:c r="E416" s="50" t="n">
        <x:v>594.5</x:v>
      </x:c>
      <x:c r="F416" s="37" t="n">
        <x:v>0.03513304055799535</x:v>
      </x:c>
      <x:c r="G416" s="37" t="n">
        <x:v>0.1535778868509429</x:v>
      </x:c>
      <x:c r="H416" s="56" t="n">
        <x:v>3978.0499999999993</x:v>
      </x:c>
      <x:c r="I416" s="56" t="n">
        <x:v>0.5</x:v>
      </x:c>
      <x:c r="J416" s="56" t="n">
        <x:v>32.40006448580316</x:v>
      </x:c>
      <x:c r="K416" s="56" t="n">
        <x:v>78.60009672870474</x:v>
      </x:c>
      <x:c r="L416" s="56" t="n">
        <x:v>114.42870961243536</x:v>
      </x:c>
    </x:row>
    <x:row r="417" ht="32.400001525878906" hidden="0" customHeight="1">
      <x:c r="A417" s="29" t="str">
        <x:v>Harris County, Texas</x:v>
      </x:c>
      <x:c r="B417" s="29" t="str">
        <x:v>48201340800</x:v>
      </x:c>
      <x:c r="C417" s="51" t="n">
        <x:v>6143</x:v>
      </x:c>
      <x:c r="D417" s="51" t="n">
        <x:v>549</x:v>
      </x:c>
      <x:c r="E417" s="51" t="n">
        <x:v>170</x:v>
      </x:c>
      <x:c r="F417" s="38" t="n">
        <x:v>0.08937001465082207</x:v>
      </x:c>
      <x:c r="G417" s="38" t="n">
        <x:v>0.02767377502848771</x:v>
      </x:c>
      <x:c r="H417" s="57" t="n">
        <x:v>6352.15</x:v>
      </x:c>
      <x:c r="I417" s="57" t="n">
        <x:v>1.114</x:v>
      </x:c>
      <x:c r="J417" s="57" t="n">
        <x:v>31.81057993421056</x:v>
      </x:c>
      <x:c r="K417" s="57" t="n">
        <x:v>77.71586990131584</x:v>
      </x:c>
      <x:c r="L417" s="57" t="n">
        <x:v>113.16552843045119</x:v>
      </x:c>
    </x:row>
    <x:row r="418" ht="32.400001525878906" hidden="0" customHeight="1">
      <x:c r="A418" s="27" t="str">
        <x:v>Harris County, Texas</x:v>
      </x:c>
      <x:c r="B418" s="27" t="str">
        <x:v>48201340900</x:v>
      </x:c>
      <x:c r="C418" s="50" t="n">
        <x:v>4640</x:v>
      </x:c>
      <x:c r="D418" s="50" t="n">
        <x:v>711</x:v>
      </x:c>
      <x:c r="E418" s="50" t="n">
        <x:v>82</x:v>
      </x:c>
      <x:c r="F418" s="37" t="n">
        <x:v>0.15323275862068966</x:v>
      </x:c>
      <x:c r="G418" s="37" t="n">
        <x:v>0.01767241379310345</x:v>
      </x:c>
      <x:c r="H418" s="56" t="n">
        <x:v>4897.05</x:v>
      </x:c>
      <x:c r="I418" s="56" t="n">
        <x:v>1.535</x:v>
      </x:c>
      <x:c r="J418" s="56" t="n">
        <x:v>29.863966917950012</x:v>
      </x:c>
      <x:c r="K418" s="56" t="n">
        <x:v>74.79595037692502</x:v>
      </x:c>
      <x:c r="L418" s="56" t="n">
        <x:v>108.9942148241786</x:v>
      </x:c>
    </x:row>
    <x:row r="419" ht="32.400001525878906" hidden="0" customHeight="1">
      <x:c r="A419" s="29" t="str">
        <x:v>Harris County, Texas</x:v>
      </x:c>
      <x:c r="B419" s="29" t="str">
        <x:v>48201341001</x:v>
      </x:c>
      <x:c r="C419" s="51" t="n">
        <x:v>3953</x:v>
      </x:c>
      <x:c r="D419" s="51" t="n">
        <x:v>534</x:v>
      </x:c>
      <x:c r="E419" s="51" t="n">
        <x:v>528</x:v>
      </x:c>
      <x:c r="F419" s="38" t="n">
        <x:v>0.13508727548697191</x:v>
      </x:c>
      <x:c r="G419" s="38" t="n">
        <x:v>0.13356944093093853</x:v>
      </x:c>
      <x:c r="H419" s="57" t="n">
        <x:v>4192.7</x:v>
      </x:c>
      <x:c r="I419" s="57" t="n">
        <x:v>0.479</x:v>
      </x:c>
      <x:c r="J419" s="57" t="n">
        <x:v>33.34120185968484</x:v>
      </x:c>
      <x:c r="K419" s="57" t="n">
        <x:v>80.01180278952725</x:v>
      </x:c>
      <x:c r="L419" s="57" t="n">
        <x:v>116.44543255646751</x:v>
      </x:c>
    </x:row>
    <x:row r="420" ht="32.400001525878906" hidden="0" customHeight="1">
      <x:c r="A420" s="27" t="str">
        <x:v>Harris County, Texas</x:v>
      </x:c>
      <x:c r="B420" s="27" t="str">
        <x:v>48201341002</x:v>
      </x:c>
      <x:c r="C420" s="50" t="n">
        <x:v>3548</x:v>
      </x:c>
      <x:c r="D420" s="50" t="n">
        <x:v>510</x:v>
      </x:c>
      <x:c r="E420" s="50" t="n">
        <x:v>27</x:v>
      </x:c>
      <x:c r="F420" s="37" t="n">
        <x:v>0.14374295377677565</x:v>
      </x:c>
      <x:c r="G420" s="37" t="n">
        <x:v>0.007609921082299887</x:v>
      </x:c>
      <x:c r="H420" s="56" t="n">
        <x:v>3729.1999999999994</x:v>
      </x:c>
      <x:c r="I420" s="56" t="n">
        <x:v>0.689</x:v>
      </x:c>
      <x:c r="J420" s="56" t="n">
        <x:v>32.36524305854761</x:v>
      </x:c>
      <x:c r="K420" s="56" t="n">
        <x:v>78.54786458782142</x:v>
      </x:c>
      <x:c r="L420" s="56" t="n">
        <x:v>114.35409226831631</x:v>
      </x:c>
    </x:row>
    <x:row r="421" ht="32.400001525878906" hidden="0" customHeight="1">
      <x:c r="A421" s="29" t="str">
        <x:v>Harris County, Texas</x:v>
      </x:c>
      <x:c r="B421" s="29" t="str">
        <x:v>48201341101</x:v>
      </x:c>
      <x:c r="C421" s="51" t="n">
        <x:v>1956</x:v>
      </x:c>
      <x:c r="D421" s="51" t="n">
        <x:v>205</x:v>
      </x:c>
      <x:c r="E421" s="51" t="n">
        <x:v>141</x:v>
      </x:c>
      <x:c r="F421" s="38" t="n">
        <x:v>0.10480572597137014</x:v>
      </x:c>
      <x:c r="G421" s="38" t="n">
        <x:v>0.07208588957055215</x:v>
      </x:c>
      <x:c r="H421" s="57" t="n">
        <x:v>2041.8500000000001</x:v>
      </x:c>
      <x:c r="I421" s="57" t="n">
        <x:v>0.995</x:v>
      </x:c>
      <x:c r="J421" s="57" t="n">
        <x:v>33.9506369733683</x:v>
      </x:c>
      <x:c r="K421" s="57" t="n">
        <x:v>80.92595546005245</x:v>
      </x:c>
      <x:c r="L421" s="57" t="n">
        <x:v>117.75136494293206</x:v>
      </x:c>
    </x:row>
    <x:row r="422" ht="32.400001525878906" hidden="0" customHeight="1">
      <x:c r="A422" s="27" t="str">
        <x:v>Harris County, Texas</x:v>
      </x:c>
      <x:c r="B422" s="27" t="str">
        <x:v>48201341102</x:v>
      </x:c>
      <x:c r="C422" s="50" t="n">
        <x:v>2048</x:v>
      </x:c>
      <x:c r="D422" s="50" t="n">
        <x:v>176</x:v>
      </x:c>
      <x:c r="E422" s="50" t="n">
        <x:v>35</x:v>
      </x:c>
      <x:c r="F422" s="37" t="n">
        <x:v>0.0859375</x:v>
      </x:c>
      <x:c r="G422" s="37" t="n">
        <x:v>0.01708984375</x:v>
      </x:c>
      <x:c r="H422" s="56" t="n">
        <x:v>2113.1</x:v>
      </x:c>
      <x:c r="I422" s="56" t="n">
        <x:v>0.794</x:v>
      </x:c>
      <x:c r="J422" s="56" t="n">
        <x:v>35.817327682452365</x:v>
      </x:c>
      <x:c r="K422" s="56" t="n">
        <x:v>83.72599152367854</x:v>
      </x:c>
      <x:c r="L422" s="56" t="n">
        <x:v>121.75141646239793</x:v>
      </x:c>
    </x:row>
    <x:row r="423" ht="32.400001525878906" hidden="0" customHeight="1">
      <x:c r="A423" s="29" t="str">
        <x:v>Harris County, Texas</x:v>
      </x:c>
      <x:c r="B423" s="29" t="str">
        <x:v>48201341201</x:v>
      </x:c>
      <x:c r="C423" s="51" t="n">
        <x:v>5189</x:v>
      </x:c>
      <x:c r="D423" s="51" t="n">
        <x:v>489</x:v>
      </x:c>
      <x:c r="E423" s="51" t="n">
        <x:v>443</x:v>
      </x:c>
      <x:c r="F423" s="38" t="n">
        <x:v>0.09423781075351706</x:v>
      </x:c>
      <x:c r="G423" s="38" t="n">
        <x:v>0.08537290422046637</x:v>
      </x:c>
      <x:c r="H423" s="57" t="n">
        <x:v>5404.450000000001</x:v>
      </x:c>
      <x:c r="I423" s="57" t="n">
        <x:v>3.088</x:v>
      </x:c>
      <x:c r="J423" s="57" t="n">
        <x:v>37.271444760824295</x:v>
      </x:c>
      <x:c r="K423" s="57" t="n">
        <x:v>85.90716714123644</x:v>
      </x:c>
      <x:c r="L423" s="57" t="n">
        <x:v>124.86738163033776</x:v>
      </x:c>
    </x:row>
    <x:row r="424" ht="32.400001525878906" hidden="0" customHeight="1">
      <x:c r="A424" s="27" t="str">
        <x:v>Harris County, Texas</x:v>
      </x:c>
      <x:c r="B424" s="27" t="str">
        <x:v>48201341203</x:v>
      </x:c>
      <x:c r="C424" s="50" t="n">
        <x:v>2698</x:v>
      </x:c>
      <x:c r="D424" s="50" t="n">
        <x:v>299</x:v>
      </x:c>
      <x:c r="E424" s="50" t="n">
        <x:v>102</x:v>
      </x:c>
      <x:c r="F424" s="37" t="n">
        <x:v>0.11082283172720533</x:v>
      </x:c>
      <x:c r="G424" s="37" t="n">
        <x:v>0.03780578206078577</x:v>
      </x:c>
      <x:c r="H424" s="56" t="n">
        <x:v>2812.85</x:v>
      </x:c>
      <x:c r="I424" s="56" t="n">
        <x:v>0.479</x:v>
      </x:c>
      <x:c r="J424" s="56" t="n">
        <x:v>38.59290002010268</x:v>
      </x:c>
      <x:c r="K424" s="56" t="n">
        <x:v>87.88935003015402</x:v>
      </x:c>
      <x:c r="L424" s="56" t="n">
        <x:v>127.69907147164861</x:v>
      </x:c>
    </x:row>
    <x:row r="425" ht="32.400001525878906" hidden="0" customHeight="1">
      <x:c r="A425" s="29" t="str">
        <x:v>Harris County, Texas</x:v>
      </x:c>
      <x:c r="B425" s="29" t="str">
        <x:v>48201341204</x:v>
      </x:c>
      <x:c r="C425" s="51" t="n">
        <x:v>3486</x:v>
      </x:c>
      <x:c r="D425" s="51" t="n">
        <x:v>595</x:v>
      </x:c>
      <x:c r="E425" s="51" t="n">
        <x:v>146</x:v>
      </x:c>
      <x:c r="F425" s="38" t="n">
        <x:v>0.1706827309236948</x:v>
      </x:c>
      <x:c r="G425" s="38" t="n">
        <x:v>0.04188181296615032</x:v>
      </x:c>
      <x:c r="H425" s="57" t="n">
        <x:v>3708.850000000001</x:v>
      </x:c>
      <x:c r="I425" s="57" t="n">
        <x:v>0.845</x:v>
      </x:c>
      <x:c r="J425" s="57" t="n">
        <x:v>36.14339429677621</x:v>
      </x:c>
      <x:c r="K425" s="57" t="n">
        <x:v>84.2150914451643</x:v>
      </x:c>
      <x:c r="L425" s="57" t="n">
        <x:v>122.45013063594901</x:v>
      </x:c>
    </x:row>
    <x:row r="426" ht="32.400001525878906" hidden="0" customHeight="1">
      <x:c r="A426" s="27" t="str">
        <x:v>Harris County, Texas</x:v>
      </x:c>
      <x:c r="B426" s="27" t="str">
        <x:v>48201341302</x:v>
      </x:c>
      <x:c r="C426" s="50" t="n">
        <x:v>3368</x:v>
      </x:c>
      <x:c r="D426" s="50" t="n">
        <x:v>329</x:v>
      </x:c>
      <x:c r="E426" s="50" t="n">
        <x:v>62</x:v>
      </x:c>
      <x:c r="F426" s="37" t="n">
        <x:v>0.09768408551068884</x:v>
      </x:c>
      <x:c r="G426" s="37" t="n">
        <x:v>0.01840855106888361</x:v>
      </x:c>
      <x:c r="H426" s="56" t="n">
        <x:v>3489.3499999999995</x:v>
      </x:c>
      <x:c r="I426" s="56" t="n">
        <x:v>0.762</x:v>
      </x:c>
      <x:c r="J426" s="56" t="n">
        <x:v>37.52473650857304</x:v>
      </x:c>
      <x:c r="K426" s="56" t="n">
        <x:v>86.28710476285957</x:v>
      </x:c>
      <x:c r="L426" s="56" t="n">
        <x:v>125.41014966122795</x:v>
      </x:c>
    </x:row>
    <x:row r="427" ht="32.400001525878906" hidden="0" customHeight="1">
      <x:c r="A427" s="29" t="str">
        <x:v>Harris County, Texas</x:v>
      </x:c>
      <x:c r="B427" s="29" t="str">
        <x:v>48201341303</x:v>
      </x:c>
      <x:c r="C427" s="51" t="n">
        <x:v>2936</x:v>
      </x:c>
      <x:c r="D427" s="51" t="n">
        <x:v>564</x:v>
      </x:c>
      <x:c r="E427" s="51" t="n">
        <x:v>206</x:v>
      </x:c>
      <x:c r="F427" s="38" t="n">
        <x:v>0.19209809264305178</x:v>
      </x:c>
      <x:c r="G427" s="38" t="n">
        <x:v>0.07016348773841961</x:v>
      </x:c>
      <x:c r="H427" s="57" t="n">
        <x:v>3154</x:v>
      </x:c>
      <x:c r="I427" s="57" t="n">
        <x:v>0.452</x:v>
      </x:c>
      <x:c r="J427" s="57" t="n">
        <x:v>36.60663237215955</x:v>
      </x:c>
      <x:c r="K427" s="57" t="n">
        <x:v>84.90994855823934</x:v>
      </x:c>
      <x:c r="L427" s="57" t="n">
        <x:v>123.44278365462762</x:v>
      </x:c>
    </x:row>
    <x:row r="428" ht="32.400001525878906" hidden="0" customHeight="1">
      <x:c r="A428" s="27" t="str">
        <x:v>Harris County, Texas</x:v>
      </x:c>
      <x:c r="B428" s="27" t="str">
        <x:v>48201341304</x:v>
      </x:c>
      <x:c r="C428" s="50" t="n">
        <x:v>1543</x:v>
      </x:c>
      <x:c r="D428" s="50" t="n">
        <x:v>277</x:v>
      </x:c>
      <x:c r="E428" s="50" t="n">
        <x:v>116</x:v>
      </x:c>
      <x:c r="F428" s="37" t="n">
        <x:v>0.1795204147764096</x:v>
      </x:c>
      <x:c r="G428" s="37" t="n">
        <x:v>0.07517822423849643</x:v>
      </x:c>
      <x:c r="H428" s="56" t="n">
        <x:v>1651.55</x:v>
      </x:c>
      <x:c r="I428" s="56" t="n">
        <x:v>4.02</x:v>
      </x:c>
      <x:c r="J428" s="56" t="n">
        <x:v>34.91800492471927</x:v>
      </x:c>
      <x:c r="K428" s="56" t="n">
        <x:v>82.3770073870789</x:v>
      </x:c>
      <x:c r="L428" s="56" t="n">
        <x:v>119.82429626725558</x:v>
      </x:c>
    </x:row>
    <x:row r="429" ht="32.400001525878906" hidden="0" customHeight="1">
      <x:c r="A429" s="29" t="str">
        <x:v>Harris County, Texas</x:v>
      </x:c>
      <x:c r="B429" s="29" t="str">
        <x:v>48201341400</x:v>
      </x:c>
      <x:c r="C429" s="51" t="n">
        <x:v>5639</x:v>
      </x:c>
      <x:c r="D429" s="51" t="n">
        <x:v>658</x:v>
      </x:c>
      <x:c r="E429" s="51" t="n">
        <x:v>0</x:v>
      </x:c>
      <x:c r="F429" s="38" t="n">
        <x:v>0.11668735591416918</x:v>
      </x:c>
      <x:c r="G429" s="38" t="n">
        <x:v>0</x:v>
      </x:c>
      <x:c r="H429" s="57" t="n">
        <x:v>5869.299999999999</x:v>
      </x:c>
      <x:c r="I429" s="57" t="n">
        <x:v>5.191</x:v>
      </x:c>
      <x:c r="J429" s="57" t="n">
        <x:v>30.63890688726218</x:v>
      </x:c>
      <x:c r="K429" s="57" t="n">
        <x:v>75.95836033089327</x:v>
      </x:c>
      <x:c r="L429" s="57" t="n">
        <x:v>110.65480047270468</x:v>
      </x:c>
    </x:row>
    <x:row r="430" ht="32.400001525878906" hidden="0" customHeight="1">
      <x:c r="A430" s="27" t="str">
        <x:v>Harris County, Texas</x:v>
      </x:c>
      <x:c r="B430" s="27" t="str">
        <x:v>48201341501</x:v>
      </x:c>
      <x:c r="C430" s="50" t="n">
        <x:v>6268</x:v>
      </x:c>
      <x:c r="D430" s="50" t="n">
        <x:v>504</x:v>
      </x:c>
      <x:c r="E430" s="50" t="n">
        <x:v>39</x:v>
      </x:c>
      <x:c r="F430" s="37" t="n">
        <x:v>0.08040842373962986</x:v>
      </x:c>
      <x:c r="G430" s="37" t="n">
        <x:v>0.00622208040842374</x:v>
      </x:c>
      <x:c r="H430" s="56" t="n">
        <x:v>6448.3</x:v>
      </x:c>
      <x:c r="I430" s="56" t="n">
        <x:v>1.445</x:v>
      </x:c>
      <x:c r="J430" s="56" t="n">
        <x:v>30.633137812904177</x:v>
      </x:c>
      <x:c r="K430" s="56" t="n">
        <x:v>75.94970671935627</x:v>
      </x:c>
      <x:c r="L430" s="56" t="n">
        <x:v>110.64243817050895</x:v>
      </x:c>
    </x:row>
    <x:row r="431" ht="32.400001525878906" hidden="0" customHeight="1">
      <x:c r="A431" s="29" t="str">
        <x:v>Harris County, Texas</x:v>
      </x:c>
      <x:c r="B431" s="29" t="str">
        <x:v>48201341502</x:v>
      </x:c>
      <x:c r="C431" s="51" t="n">
        <x:v>4965</x:v>
      </x:c>
      <x:c r="D431" s="51" t="n">
        <x:v>833</x:v>
      </x:c>
      <x:c r="E431" s="51" t="n">
        <x:v>34</x:v>
      </x:c>
      <x:c r="F431" s="38" t="n">
        <x:v>0.1677744209466264</x:v>
      </x:c>
      <x:c r="G431" s="38" t="n">
        <x:v>0.006847935548841893</x:v>
      </x:c>
      <x:c r="H431" s="57" t="n">
        <x:v>5259.950000000001</x:v>
      </x:c>
      <x:c r="I431" s="57" t="n">
        <x:v>1.161</x:v>
      </x:c>
      <x:c r="J431" s="57" t="n">
        <x:v>32.91787387263297</x:v>
      </x:c>
      <x:c r="K431" s="57" t="n">
        <x:v>79.37681080894944</x:v>
      </x:c>
      <x:c r="L431" s="57" t="n">
        <x:v>115.53830115564207</x:v>
      </x:c>
    </x:row>
    <x:row r="432" ht="32.400001525878906" hidden="0" customHeight="1">
      <x:c r="A432" s="27" t="str">
        <x:v>Harris County, Texas</x:v>
      </x:c>
      <x:c r="B432" s="27" t="str">
        <x:v>48201341600</x:v>
      </x:c>
      <x:c r="C432" s="50" t="n">
        <x:v>6841</x:v>
      </x:c>
      <x:c r="D432" s="50" t="n">
        <x:v>583</x:v>
      </x:c>
      <x:c r="E432" s="50" t="n">
        <x:v>86</x:v>
      </x:c>
      <x:c r="F432" s="37" t="n">
        <x:v>0.08522145885104516</x:v>
      </x:c>
      <x:c r="G432" s="37" t="n">
        <x:v>0.01257126151147493</x:v>
      </x:c>
      <x:c r="H432" s="56" t="n">
        <x:v>7053.650000000001</x:v>
      </x:c>
      <x:c r="I432" s="56" t="n">
        <x:v>7.352</x:v>
      </x:c>
      <x:c r="J432" s="56" t="n">
        <x:v>27.831719113051445</x:v>
      </x:c>
      <x:c r="K432" s="56" t="n">
        <x:v>71.74757866957717</x:v>
      </x:c>
      <x:c r="L432" s="56" t="n">
        <x:v>104.63939809939595</x:v>
      </x:c>
    </x:row>
    <x:row r="433" ht="32.400001525878906" hidden="0" customHeight="1">
      <x:c r="A433" s="29" t="str">
        <x:v>Harris County, Texas</x:v>
      </x:c>
      <x:c r="B433" s="29" t="str">
        <x:v>48201341700</x:v>
      </x:c>
      <x:c r="C433" s="51" t="n">
        <x:v>3016</x:v>
      </x:c>
      <x:c r="D433" s="51" t="n">
        <x:v>685</x:v>
      </x:c>
      <x:c r="E433" s="51" t="n">
        <x:v>112</x:v>
      </x:c>
      <x:c r="F433" s="38" t="n">
        <x:v>0.22712201591511935</x:v>
      </x:c>
      <x:c r="G433" s="38" t="n">
        <x:v>0.03713527851458886</x:v>
      </x:c>
      <x:c r="H433" s="57" t="n">
        <x:v>3266.9500000000003</x:v>
      </x:c>
      <x:c r="I433" s="57" t="n">
        <x:v>1.017</x:v>
      </x:c>
      <x:c r="J433" s="57" t="n">
        <x:v>22.993267265344176</x:v>
      </x:c>
      <x:c r="K433" s="57" t="n">
        <x:v>64.48990089801626</x:v>
      </x:c>
      <x:c r="L433" s="57" t="n">
        <x:v>94.2712869971661</x:v>
      </x:c>
    </x:row>
    <x:row r="434" ht="32.400001525878906" hidden="0" customHeight="1">
      <x:c r="A434" s="27" t="str">
        <x:v>Harris County, Texas</x:v>
      </x:c>
      <x:c r="B434" s="27" t="str">
        <x:v>48201341800</x:v>
      </x:c>
      <x:c r="C434" s="50" t="n">
        <x:v>2612</x:v>
      </x:c>
      <x:c r="D434" s="50" t="n">
        <x:v>262</x:v>
      </x:c>
      <x:c r="E434" s="50" t="n">
        <x:v>297.5</x:v>
      </x:c>
      <x:c r="F434" s="37" t="n">
        <x:v>0.1003062787136294</x:v>
      </x:c>
      <x:c r="G434" s="37" t="n">
        <x:v>0.11389739663093415</x:v>
      </x:c>
      <x:c r="H434" s="56" t="n">
        <x:v>2733.45</x:v>
      </x:c>
      <x:c r="I434" s="56" t="n">
        <x:v>1.693</x:v>
      </x:c>
      <x:c r="J434" s="56" t="n">
        <x:v>22.253657757142317</x:v>
      </x:c>
      <x:c r="K434" s="56" t="n">
        <x:v>63.380486635713474</x:v>
      </x:c>
      <x:c r="L434" s="56" t="n">
        <x:v>92.68640947959068</x:v>
      </x:c>
    </x:row>
    <x:row r="435" ht="32.400001525878906" hidden="0" customHeight="1">
      <x:c r="A435" s="29" t="str">
        <x:v>Harris County, Texas</x:v>
      </x:c>
      <x:c r="B435" s="29" t="str">
        <x:v>48201342001</x:v>
      </x:c>
      <x:c r="C435" s="51" t="n">
        <x:v>6399</x:v>
      </x:c>
      <x:c r="D435" s="51" t="n">
        <x:v>840</x:v>
      </x:c>
      <x:c r="E435" s="51" t="n">
        <x:v>0</x:v>
      </x:c>
      <x:c r="F435" s="38" t="n">
        <x:v>0.13127051101734646</x:v>
      </x:c>
      <x:c r="G435" s="38" t="n">
        <x:v>0</x:v>
      </x:c>
      <x:c r="H435" s="57" t="n">
        <x:v>6693.000000000001</x:v>
      </x:c>
      <x:c r="I435" s="57" t="n">
        <x:v>1.951</x:v>
      </x:c>
      <x:c r="J435" s="57" t="n">
        <x:v>29.943960081267424</x:v>
      </x:c>
      <x:c r="K435" s="57" t="n">
        <x:v>74.91594012190113</x:v>
      </x:c>
      <x:c r="L435" s="57" t="n">
        <x:v>109.16562874557304</x:v>
      </x:c>
    </x:row>
    <x:row r="436" ht="32.400001525878906" hidden="0" customHeight="1">
      <x:c r="A436" s="27" t="str">
        <x:v>Harris County, Texas</x:v>
      </x:c>
      <x:c r="B436" s="27" t="str">
        <x:v>48201342002</x:v>
      </x:c>
      <x:c r="C436" s="50" t="n">
        <x:v>4158</x:v>
      </x:c>
      <x:c r="D436" s="50" t="n">
        <x:v>262</x:v>
      </x:c>
      <x:c r="E436" s="50" t="n">
        <x:v>106</x:v>
      </x:c>
      <x:c r="F436" s="37" t="n">
        <x:v>0.06301106301106302</x:v>
      </x:c>
      <x:c r="G436" s="37" t="n">
        <x:v>0.025493025493025494</x:v>
      </x:c>
      <x:c r="H436" s="56" t="n">
        <x:v>4260.3</x:v>
      </x:c>
      <x:c r="I436" s="56" t="n">
        <x:v>1.387</x:v>
      </x:c>
      <x:c r="J436" s="56" t="n">
        <x:v>31.503106205264707</x:v>
      </x:c>
      <x:c r="K436" s="56" t="n">
        <x:v>77.25465930789706</x:v>
      </x:c>
      <x:c r="L436" s="56" t="n">
        <x:v>112.50665615413865</x:v>
      </x:c>
    </x:row>
    <x:row r="437" ht="32.400001525878906" hidden="0" customHeight="1">
      <x:c r="A437" s="29" t="str">
        <x:v>Harris County, Texas</x:v>
      </x:c>
      <x:c r="B437" s="29" t="str">
        <x:v>48201342100</x:v>
      </x:c>
      <x:c r="C437" s="51" t="n">
        <x:v>3964</x:v>
      </x:c>
      <x:c r="D437" s="51" t="n">
        <x:v>344</x:v>
      </x:c>
      <x:c r="E437" s="51" t="n">
        <x:v>0</x:v>
      </x:c>
      <x:c r="F437" s="38" t="n">
        <x:v>0.08678102926337034</x:v>
      </x:c>
      <x:c r="G437" s="38" t="n">
        <x:v>0</x:v>
      </x:c>
      <x:c r="H437" s="57" t="n">
        <x:v>4084.4</x:v>
      </x:c>
      <x:c r="I437" s="57" t="n">
        <x:v>1.785</x:v>
      </x:c>
      <x:c r="J437" s="57" t="n">
        <x:v>30.308955320160898</x:v>
      </x:c>
      <x:c r="K437" s="57" t="n">
        <x:v>75.46343298024135</x:v>
      </x:c>
      <x:c r="L437" s="57" t="n">
        <x:v>109.94776140034477</x:v>
      </x:c>
    </x:row>
    <x:row r="438" ht="32.400001525878906" hidden="0" customHeight="1">
      <x:c r="A438" s="27" t="str">
        <x:v>Harris County, Texas</x:v>
      </x:c>
      <x:c r="B438" s="27" t="str">
        <x:v>48201342200</x:v>
      </x:c>
      <x:c r="C438" s="50" t="n">
        <x:v>3878</x:v>
      </x:c>
      <x:c r="D438" s="50" t="n">
        <x:v>607</x:v>
      </x:c>
      <x:c r="E438" s="50" t="n">
        <x:v>159</x:v>
      </x:c>
      <x:c r="F438" s="37" t="n">
        <x:v>0.15652398143372873</x:v>
      </x:c>
      <x:c r="G438" s="37" t="n">
        <x:v>0.04100051572975761</x:v>
      </x:c>
      <x:c r="H438" s="56" t="n">
        <x:v>4106.349999999999</x:v>
      </x:c>
      <x:c r="I438" s="56" t="n">
        <x:v>1.111</x:v>
      </x:c>
      <x:c r="J438" s="56" t="n">
        <x:v>29.403926928601553</x:v>
      </x:c>
      <x:c r="K438" s="56" t="n">
        <x:v>74.10589039290232</x:v>
      </x:c>
      <x:c r="L438" s="56" t="n">
        <x:v>108.00841484700334</x:v>
      </x:c>
    </x:row>
    <x:row r="439" ht="32.400001525878906" hidden="0" customHeight="1">
      <x:c r="A439" s="29" t="str">
        <x:v>Harris County, Texas</x:v>
      </x:c>
      <x:c r="B439" s="29" t="str">
        <x:v>48201342300</x:v>
      </x:c>
      <x:c r="C439" s="51" t="n">
        <x:v>7114</x:v>
      </x:c>
      <x:c r="D439" s="51" t="n">
        <x:v>1093</x:v>
      </x:c>
      <x:c r="E439" s="51" t="n">
        <x:v>210</x:v>
      </x:c>
      <x:c r="F439" s="38" t="n">
        <x:v>0.15364070846218725</x:v>
      </x:c>
      <x:c r="G439" s="38" t="n">
        <x:v>0.029519257801518133</x:v>
      </x:c>
      <x:c r="H439" s="57" t="n">
        <x:v>7517.55</x:v>
      </x:c>
      <x:c r="I439" s="57" t="n">
        <x:v>1.08</x:v>
      </x:c>
      <x:c r="J439" s="57" t="n">
        <x:v>27.65130009479647</x:v>
      </x:c>
      <x:c r="K439" s="57" t="n">
        <x:v>71.47695014219471</x:v>
      </x:c>
      <x:c r="L439" s="57" t="n">
        <x:v>104.25278591742101</x:v>
      </x:c>
    </x:row>
    <x:row r="440" ht="32.400001525878906" hidden="0" customHeight="1">
      <x:c r="A440" s="27" t="str">
        <x:v>Harris County, Texas</x:v>
      </x:c>
      <x:c r="B440" s="27" t="str">
        <x:v>48201342400</x:v>
      </x:c>
      <x:c r="C440" s="50" t="n">
        <x:v>3524</x:v>
      </x:c>
      <x:c r="D440" s="50" t="n">
        <x:v>414</x:v>
      </x:c>
      <x:c r="E440" s="50" t="n">
        <x:v>11</x:v>
      </x:c>
      <x:c r="F440" s="37" t="n">
        <x:v>0.11748013620885357</x:v>
      </x:c>
      <x:c r="G440" s="37" t="n">
        <x:v>0.0031214528944381384</x:v>
      </x:c>
      <x:c r="H440" s="56" t="n">
        <x:v>3670.0000000000005</x:v>
      </x:c>
      <x:c r="I440" s="56" t="n">
        <x:v>1.282</x:v>
      </x:c>
      <x:c r="J440" s="56" t="n">
        <x:v>28.112348159421206</x:v>
      </x:c>
      <x:c r="K440" s="56" t="n">
        <x:v>72.1685222391318</x:v>
      </x:c>
      <x:c r="L440" s="56" t="n">
        <x:v>105.24074605590258</x:v>
      </x:c>
    </x:row>
    <x:row r="441" ht="32.400001525878906" hidden="0" customHeight="1">
      <x:c r="A441" s="29" t="str">
        <x:v>Harris County, Texas</x:v>
      </x:c>
      <x:c r="B441" s="29" t="str">
        <x:v>48201342500</x:v>
      </x:c>
      <x:c r="C441" s="51" t="n">
        <x:v>6276</x:v>
      </x:c>
      <x:c r="D441" s="51" t="n">
        <x:v>856</x:v>
      </x:c>
      <x:c r="E441" s="51" t="n">
        <x:v>282.5</x:v>
      </x:c>
      <x:c r="F441" s="38" t="n">
        <x:v>0.13639260675589548</x:v>
      </x:c>
      <x:c r="G441" s="38" t="n">
        <x:v>0.04501274697259401</x:v>
      </x:c>
      <x:c r="H441" s="57" t="n">
        <x:v>6603.850000000001</x:v>
      </x:c>
      <x:c r="I441" s="57" t="n">
        <x:v>2.485</x:v>
      </x:c>
      <x:c r="J441" s="57" t="n">
        <x:v>26.11026161523216</x:v>
      </x:c>
      <x:c r="K441" s="57" t="n">
        <x:v>69.16539242284824</x:v>
      </x:c>
      <x:c r="L441" s="57" t="n">
        <x:v>100.95056060406893</x:v>
      </x:c>
    </x:row>
    <x:row r="442" ht="32.400001525878906" hidden="0" customHeight="1">
      <x:c r="A442" s="27" t="str">
        <x:v>Harris County, Texas</x:v>
      </x:c>
      <x:c r="B442" s="27" t="str">
        <x:v>48201342700</x:v>
      </x:c>
      <x:c r="C442" s="50" t="n">
        <x:v>4713</x:v>
      </x:c>
      <x:c r="D442" s="50" t="n">
        <x:v>626</x:v>
      </x:c>
      <x:c r="E442" s="50" t="n">
        <x:v>9</x:v>
      </x:c>
      <x:c r="F442" s="37" t="n">
        <x:v>0.1328241035433906</x:v>
      </x:c>
      <x:c r="G442" s="37" t="n">
        <x:v>0.0019096117122851686</x:v>
      </x:c>
      <x:c r="H442" s="56" t="n">
        <x:v>4933</x:v>
      </x:c>
      <x:c r="I442" s="56" t="n">
        <x:v>1.348</x:v>
      </x:c>
      <x:c r="J442" s="56" t="n">
        <x:v>24.656472907734575</x:v>
      </x:c>
      <x:c r="K442" s="56" t="n">
        <x:v>66.98470936160186</x:v>
      </x:c>
      <x:c r="L442" s="56" t="n">
        <x:v>97.83529908800267</x:v>
      </x:c>
    </x:row>
    <x:row r="443" ht="32.400001525878906" hidden="0" customHeight="1">
      <x:c r="A443" s="29" t="str">
        <x:v>Harris County, Texas</x:v>
      </x:c>
      <x:c r="B443" s="29" t="str">
        <x:v>48201342801</x:v>
      </x:c>
      <x:c r="C443" s="51" t="n">
        <x:v>5306</x:v>
      </x:c>
      <x:c r="D443" s="51" t="n">
        <x:v>707</x:v>
      </x:c>
      <x:c r="E443" s="51" t="n">
        <x:v>0</x:v>
      </x:c>
      <x:c r="F443" s="38" t="n">
        <x:v>0.13324538258575197</x:v>
      </x:c>
      <x:c r="G443" s="38" t="n">
        <x:v>0</x:v>
      </x:c>
      <x:c r="H443" s="57" t="n">
        <x:v>5553.45</x:v>
      </x:c>
      <x:c r="I443" s="57" t="n">
        <x:v>0.879</x:v>
      </x:c>
      <x:c r="J443" s="57" t="n">
        <x:v>23.526491790907137</x:v>
      </x:c>
      <x:c r="K443" s="57" t="n">
        <x:v>65.28973768636071</x:v>
      </x:c>
      <x:c r="L443" s="57" t="n">
        <x:v>95.4139109805153</x:v>
      </x:c>
    </x:row>
    <x:row r="444" ht="32.400001525878906" hidden="0" customHeight="1">
      <x:c r="A444" s="27" t="str">
        <x:v>Harris County, Texas</x:v>
      </x:c>
      <x:c r="B444" s="27" t="str">
        <x:v>48201342802</x:v>
      </x:c>
      <x:c r="C444" s="50" t="n">
        <x:v>3666</x:v>
      </x:c>
      <x:c r="D444" s="50" t="n">
        <x:v>361</x:v>
      </x:c>
      <x:c r="E444" s="50" t="n">
        <x:v>34</x:v>
      </x:c>
      <x:c r="F444" s="37" t="n">
        <x:v>0.09847244953627933</x:v>
      </x:c>
      <x:c r="G444" s="37" t="n">
        <x:v>0.009274413529732678</x:v>
      </x:c>
      <x:c r="H444" s="56" t="n">
        <x:v>3795.75</x:v>
      </x:c>
      <x:c r="I444" s="56" t="n">
        <x:v>1.982</x:v>
      </x:c>
      <x:c r="J444" s="56" t="n">
        <x:v>22.429104441871512</x:v>
      </x:c>
      <x:c r="K444" s="56" t="n">
        <x:v>63.64365666280727</x:v>
      </x:c>
      <x:c r="L444" s="56" t="n">
        <x:v>93.06236666115325</x:v>
      </x:c>
    </x:row>
    <x:row r="445" ht="32.400001525878906" hidden="0" customHeight="1">
      <x:c r="A445" s="29" t="str">
        <x:v>Harris County, Texas</x:v>
      </x:c>
      <x:c r="B445" s="29" t="str">
        <x:v>48201342900</x:v>
      </x:c>
      <x:c r="C445" s="51" t="n">
        <x:v>6853</x:v>
      </x:c>
      <x:c r="D445" s="51" t="n">
        <x:v>959</x:v>
      </x:c>
      <x:c r="E445" s="51" t="n">
        <x:v>186.5</x:v>
      </x:c>
      <x:c r="F445" s="38" t="n">
        <x:v>0.13993871297242083</x:v>
      </x:c>
      <x:c r="G445" s="38" t="n">
        <x:v>0.027214358675032833</x:v>
      </x:c>
      <x:c r="H445" s="57" t="n">
        <x:v>7207.299999999998</x:v>
      </x:c>
      <x:c r="I445" s="57" t="n">
        <x:v>2.295</x:v>
      </x:c>
      <x:c r="J445" s="57" t="n">
        <x:v>24.930177970952982</x:v>
      </x:c>
      <x:c r="K445" s="57" t="n">
        <x:v>67.39526695642948</x:v>
      </x:c>
      <x:c r="L445" s="57" t="n">
        <x:v>98.4218099377564</x:v>
      </x:c>
    </x:row>
    <x:row r="446" ht="32.400001525878906" hidden="0" customHeight="1">
      <x:c r="A446" s="27" t="str">
        <x:v>Harris County, Texas</x:v>
      </x:c>
      <x:c r="B446" s="27" t="str">
        <x:v>48201343000</x:v>
      </x:c>
      <x:c r="C446" s="50" t="n">
        <x:v>8808</x:v>
      </x:c>
      <x:c r="D446" s="50" t="n">
        <x:v>885</x:v>
      </x:c>
      <x:c r="E446" s="50" t="n">
        <x:v>472</x:v>
      </x:c>
      <x:c r="F446" s="37" t="n">
        <x:v>0.10047683923705722</x:v>
      </x:c>
      <x:c r="G446" s="37" t="n">
        <x:v>0.053587647593097185</x:v>
      </x:c>
      <x:c r="H446" s="56" t="n">
        <x:v>9164.95</x:v>
      </x:c>
      <x:c r="I446" s="56" t="n">
        <x:v>2.264</x:v>
      </x:c>
      <x:c r="J446" s="56" t="n">
        <x:v>26.385214573936906</x:v>
      </x:c>
      <x:c r="K446" s="56" t="n">
        <x:v>69.57782186090536</x:v>
      </x:c>
      <x:c r="L446" s="56" t="n">
        <x:v>101.53974551557909</x:v>
      </x:c>
    </x:row>
    <x:row r="447" ht="32.400001525878906" hidden="0" customHeight="1">
      <x:c r="A447" s="29" t="str">
        <x:v>Harris County, Texas</x:v>
      </x:c>
      <x:c r="B447" s="29" t="str">
        <x:v>48201343100</x:v>
      </x:c>
      <x:c r="C447" s="51" t="n">
        <x:v>3900</x:v>
      </x:c>
      <x:c r="D447" s="51" t="n">
        <x:v>932</x:v>
      </x:c>
      <x:c r="E447" s="51" t="n">
        <x:v>67</x:v>
      </x:c>
      <x:c r="F447" s="38" t="n">
        <x:v>0.23897435897435898</x:v>
      </x:c>
      <x:c r="G447" s="38" t="n">
        <x:v>0.01717948717948718</x:v>
      </x:c>
      <x:c r="H447" s="57" t="n">
        <x:v>4232.9</x:v>
      </x:c>
      <x:c r="I447" s="57" t="n">
        <x:v>0.793</x:v>
      </x:c>
      <x:c r="J447" s="57" t="n">
        <x:v>23.459185670568196</x:v>
      </x:c>
      <x:c r="K447" s="57" t="n">
        <x:v>65.1887785058523</x:v>
      </x:c>
      <x:c r="L447" s="57" t="n">
        <x:v>95.26968357978899</x:v>
      </x:c>
    </x:row>
    <x:row r="448" ht="32.400001525878906" hidden="0" customHeight="1">
      <x:c r="A448" s="27" t="str">
        <x:v>Harris County, Texas</x:v>
      </x:c>
      <x:c r="B448" s="27" t="str">
        <x:v>48201343200</x:v>
      </x:c>
      <x:c r="C448" s="50" t="n">
        <x:v>5446</x:v>
      </x:c>
      <x:c r="D448" s="50" t="n">
        <x:v>721</x:v>
      </x:c>
      <x:c r="E448" s="50" t="n">
        <x:v>252</x:v>
      </x:c>
      <x:c r="F448" s="37" t="n">
        <x:v>0.13239074550128535</x:v>
      </x:c>
      <x:c r="G448" s="37" t="n">
        <x:v>0.04627249357326478</x:v>
      </x:c>
      <x:c r="H448" s="56" t="n">
        <x:v>5723.55</x:v>
      </x:c>
      <x:c r="I448" s="56" t="n">
        <x:v>1.808</x:v>
      </x:c>
      <x:c r="J448" s="56" t="n">
        <x:v>21.458425489342318</x:v>
      </x:c>
      <x:c r="K448" s="56" t="n">
        <x:v>62.18763823401348</x:v>
      </x:c>
      <x:c r="L448" s="56" t="n">
        <x:v>90.98234033430498</x:v>
      </x:c>
    </x:row>
    <x:row r="449" ht="32.400001525878906" hidden="0" customHeight="1">
      <x:c r="A449" s="29" t="str">
        <x:v>Harris County, Texas</x:v>
      </x:c>
      <x:c r="B449" s="29" t="str">
        <x:v>48201343301</x:v>
      </x:c>
      <x:c r="C449" s="51" t="n">
        <x:v>4540</x:v>
      </x:c>
      <x:c r="D449" s="51" t="n">
        <x:v>682</x:v>
      </x:c>
      <x:c r="E449" s="51" t="n">
        <x:v>22</x:v>
      </x:c>
      <x:c r="F449" s="38" t="n">
        <x:v>0.1502202643171806</x:v>
      </x:c>
      <x:c r="G449" s="38" t="n">
        <x:v>0.004845814977973568</x:v>
      </x:c>
      <x:c r="H449" s="57" t="n">
        <x:v>4780.9</x:v>
      </x:c>
      <x:c r="I449" s="57" t="n">
        <x:v>4.448</x:v>
      </x:c>
      <x:c r="J449" s="57" t="n">
        <x:v>19.645530920507696</x:v>
      </x:c>
      <x:c r="K449" s="57" t="n">
        <x:v>59.468296380761544</x:v>
      </x:c>
      <x:c r="L449" s="57" t="n">
        <x:v>87.09756625823078</x:v>
      </x:c>
    </x:row>
    <x:row r="450" ht="32.400001525878906" hidden="0" customHeight="1">
      <x:c r="A450" s="27" t="str">
        <x:v>Harris County, Texas</x:v>
      </x:c>
      <x:c r="B450" s="27" t="str">
        <x:v>48201343302</x:v>
      </x:c>
      <x:c r="C450" s="50" t="n">
        <x:v>4927</x:v>
      </x:c>
      <x:c r="D450" s="50" t="n">
        <x:v>503</x:v>
      </x:c>
      <x:c r="E450" s="50" t="n">
        <x:v>177</x:v>
      </x:c>
      <x:c r="F450" s="37" t="n">
        <x:v>0.10209052161558758</x:v>
      </x:c>
      <x:c r="G450" s="37" t="n">
        <x:v>0.03592449766592247</x:v>
      </x:c>
      <x:c r="H450" s="56" t="n">
        <x:v>5120.75</x:v>
      </x:c>
      <x:c r="I450" s="56" t="n">
        <x:v>1.743</x:v>
      </x:c>
      <x:c r="J450" s="56" t="n">
        <x:v>20.677597541188497</x:v>
      </x:c>
      <x:c r="K450" s="56" t="n">
        <x:v>61.01639631178274</x:v>
      </x:c>
      <x:c r="L450" s="56" t="n">
        <x:v>89.30913758826107</x:v>
      </x:c>
    </x:row>
    <x:row r="451" ht="32.400001525878906" hidden="0" customHeight="1">
      <x:c r="A451" s="29" t="str">
        <x:v>Harris County, Texas</x:v>
      </x:c>
      <x:c r="B451" s="29" t="str">
        <x:v>48201343602</x:v>
      </x:c>
      <x:c r="C451" s="51" t="n">
        <x:v>2849</x:v>
      </x:c>
      <x:c r="D451" s="51" t="n">
        <x:v>423</x:v>
      </x:c>
      <x:c r="E451" s="51" t="n">
        <x:v>99</x:v>
      </x:c>
      <x:c r="F451" s="38" t="n">
        <x:v>0.14847314847314846</x:v>
      </x:c>
      <x:c r="G451" s="38" t="n">
        <x:v>0.03474903474903475</x:v>
      </x:c>
      <x:c r="H451" s="57" t="n">
        <x:v>3006.95</x:v>
      </x:c>
      <x:c r="I451" s="57" t="n">
        <x:v>2.065</x:v>
      </x:c>
      <x:c r="J451" s="57" t="n">
        <x:v>17.122153199922526</x:v>
      </x:c>
      <x:c r="K451" s="57" t="n">
        <x:v>55.68322979988379</x:v>
      </x:c>
      <x:c r="L451" s="57" t="n">
        <x:v>81.69032828554828</x:v>
      </x:c>
    </x:row>
    <x:row r="452" ht="32.400001525878906" hidden="0" customHeight="1">
      <x:c r="A452" s="27" t="str">
        <x:v>Harris County, Texas</x:v>
      </x:c>
      <x:c r="B452" s="27" t="str">
        <x:v>48201343700</x:v>
      </x:c>
      <x:c r="C452" s="50" t="n">
        <x:v>3859</x:v>
      </x:c>
      <x:c r="D452" s="50" t="n">
        <x:v>369</x:v>
      </x:c>
      <x:c r="E452" s="50" t="n">
        <x:v>85</x:v>
      </x:c>
      <x:c r="F452" s="37" t="n">
        <x:v>0.09562062710546773</x:v>
      </x:c>
      <x:c r="G452" s="37" t="n">
        <x:v>0.022026431718061675</x:v>
      </x:c>
      <x:c r="H452" s="56" t="n">
        <x:v>3996.6499999999996</x:v>
      </x:c>
      <x:c r="I452" s="56" t="n">
        <x:v>15.468</x:v>
      </x:c>
      <x:c r="J452" s="56" t="n">
        <x:v>24.40226235375582</x:v>
      </x:c>
      <x:c r="K452" s="56" t="n">
        <x:v>66.60339353063372</x:v>
      </x:c>
      <x:c r="L452" s="56" t="n">
        <x:v>97.29056218661961</x:v>
      </x:c>
    </x:row>
    <x:row r="453" ht="32.400001525878906" hidden="0" customHeight="1">
      <x:c r="A453" s="29" t="str">
        <x:v>Harris County, Texas</x:v>
      </x:c>
      <x:c r="B453" s="29" t="str">
        <x:v>48201350101</x:v>
      </x:c>
      <x:c r="C453" s="51" t="n">
        <x:v>4296</x:v>
      </x:c>
      <x:c r="D453" s="51" t="n">
        <x:v>496</x:v>
      </x:c>
      <x:c r="E453" s="51" t="n">
        <x:v>0</x:v>
      </x:c>
      <x:c r="F453" s="38" t="n">
        <x:v>0.1154562383612663</x:v>
      </x:c>
      <x:c r="G453" s="38" t="n">
        <x:v>0</x:v>
      </x:c>
      <x:c r="H453" s="57" t="n">
        <x:v>4469.599999999999</x:v>
      </x:c>
      <x:c r="I453" s="57" t="n">
        <x:v>2.095</x:v>
      </x:c>
      <x:c r="J453" s="57" t="n">
        <x:v>23.600595959914337</x:v>
      </x:c>
      <x:c r="K453" s="57" t="n">
        <x:v>65.40089393987151</x:v>
      </x:c>
      <x:c r="L453" s="57" t="n">
        <x:v>95.57270562838787</x:v>
      </x:c>
    </x:row>
    <x:row r="454" ht="32.400001525878906" hidden="0" customHeight="1">
      <x:c r="A454" s="27" t="str">
        <x:v>Harris County, Texas</x:v>
      </x:c>
      <x:c r="B454" s="27" t="str">
        <x:v>48201350102</x:v>
      </x:c>
      <x:c r="C454" s="50" t="n">
        <x:v>5213</x:v>
      </x:c>
      <x:c r="D454" s="50" t="n">
        <x:v>842</x:v>
      </x:c>
      <x:c r="E454" s="50" t="n">
        <x:v>76</x:v>
      </x:c>
      <x:c r="F454" s="37" t="n">
        <x:v>0.16151927872626126</x:v>
      </x:c>
      <x:c r="G454" s="37" t="n">
        <x:v>0.014578937272204105</x:v>
      </x:c>
      <x:c r="H454" s="56" t="n">
        <x:v>5515.300000000001</x:v>
      </x:c>
      <x:c r="I454" s="56" t="n">
        <x:v>1.751</x:v>
      </x:c>
      <x:c r="J454" s="56" t="n">
        <x:v>20.870340805929292</x:v>
      </x:c>
      <x:c r="K454" s="56" t="n">
        <x:v>61.30551120889394</x:v>
      </x:c>
      <x:c r="L454" s="56" t="n">
        <x:v>89.72215886984849</x:v>
      </x:c>
    </x:row>
    <x:row r="455" ht="32.400001525878906" hidden="0" customHeight="1">
      <x:c r="A455" s="29" t="str">
        <x:v>Harris County, Texas</x:v>
      </x:c>
      <x:c r="B455" s="29" t="str">
        <x:v>48201350103</x:v>
      </x:c>
      <x:c r="C455" s="51" t="n">
        <x:v>8504</x:v>
      </x:c>
      <x:c r="D455" s="51" t="n">
        <x:v>754</x:v>
      </x:c>
      <x:c r="E455" s="51" t="n">
        <x:v>175.5</x:v>
      </x:c>
      <x:c r="F455" s="38" t="n">
        <x:v>0.08866415804327375</x:v>
      </x:c>
      <x:c r="G455" s="38" t="n">
        <x:v>0.020637347130761995</x:v>
      </x:c>
      <x:c r="H455" s="57" t="n">
        <x:v>8785.45</x:v>
      </x:c>
      <x:c r="I455" s="57" t="n">
        <x:v>1.696</x:v>
      </x:c>
      <x:c r="J455" s="57" t="n">
        <x:v>18.834444463399247</x:v>
      </x:c>
      <x:c r="K455" s="57" t="n">
        <x:v>58.251666695098876</x:v>
      </x:c>
      <x:c r="L455" s="57" t="n">
        <x:v>85.35952385014124</x:v>
      </x:c>
    </x:row>
    <x:row r="456" ht="32.400001525878906" hidden="0" customHeight="1">
      <x:c r="A456" s="27" t="str">
        <x:v>Harris County, Texas</x:v>
      </x:c>
      <x:c r="B456" s="27" t="str">
        <x:v>48201350104</x:v>
      </x:c>
      <x:c r="C456" s="50" t="n">
        <x:v>5561</x:v>
      </x:c>
      <x:c r="D456" s="50" t="n">
        <x:v>586</x:v>
      </x:c>
      <x:c r="E456" s="50" t="n">
        <x:v>54</x:v>
      </x:c>
      <x:c r="F456" s="37" t="n">
        <x:v>0.10537673080381227</x:v>
      </x:c>
      <x:c r="G456" s="37" t="n">
        <x:v>0.009710483725948571</x:v>
      </x:c>
      <x:c r="H456" s="56" t="n">
        <x:v>5771.500000000001</x:v>
      </x:c>
      <x:c r="I456" s="56" t="n">
        <x:v>2.175</x:v>
      </x:c>
      <x:c r="J456" s="56" t="n">
        <x:v>17.081302766656375</x:v>
      </x:c>
      <x:c r="K456" s="56" t="n">
        <x:v>55.62195414998456</x:v>
      </x:c>
      <x:c r="L456" s="56" t="n">
        <x:v>81.60279164283509</x:v>
      </x:c>
    </x:row>
    <x:row r="457" ht="32.400001525878906" hidden="0" customHeight="1">
      <x:c r="A457" s="29" t="str">
        <x:v>Harris County, Texas</x:v>
      </x:c>
      <x:c r="B457" s="29" t="str">
        <x:v>48201350201</x:v>
      </x:c>
      <x:c r="C457" s="51" t="n">
        <x:v>3813</x:v>
      </x:c>
      <x:c r="D457" s="51" t="n">
        <x:v>263</x:v>
      </x:c>
      <x:c r="E457" s="51" t="n">
        <x:v>98</x:v>
      </x:c>
      <x:c r="F457" s="38" t="n">
        <x:v>0.06897456071334906</x:v>
      </x:c>
      <x:c r="G457" s="38" t="n">
        <x:v>0.025701547338054027</x:v>
      </x:c>
      <x:c r="H457" s="57" t="n">
        <x:v>3914.8500000000004</x:v>
      </x:c>
      <x:c r="I457" s="57" t="n">
        <x:v>0.642</x:v>
      </x:c>
      <x:c r="J457" s="57" t="n">
        <x:v>21.05438226422343</x:v>
      </x:c>
      <x:c r="K457" s="57" t="n">
        <x:v>61.581573396335145</x:v>
      </x:c>
      <x:c r="L457" s="57" t="n">
        <x:v>90.11653342333592</x:v>
      </x:c>
    </x:row>
    <x:row r="458" ht="32.400001525878906" hidden="0" customHeight="1">
      <x:c r="A458" s="27" t="str">
        <x:v>Harris County, Texas</x:v>
      </x:c>
      <x:c r="B458" s="27" t="str">
        <x:v>48201350202</x:v>
      </x:c>
      <x:c r="C458" s="50" t="n">
        <x:v>4529</x:v>
      </x:c>
      <x:c r="D458" s="50" t="n">
        <x:v>534</x:v>
      </x:c>
      <x:c r="E458" s="50" t="n">
        <x:v>68</x:v>
      </x:c>
      <x:c r="F458" s="37" t="n">
        <x:v>0.11790682269816737</x:v>
      </x:c>
      <x:c r="G458" s="37" t="n">
        <x:v>0.015014351954073748</x:v>
      </x:c>
      <x:c r="H458" s="56" t="n">
        <x:v>4722.700000000001</x:v>
      </x:c>
      <x:c r="I458" s="56" t="n">
        <x:v>0.722</x:v>
      </x:c>
      <x:c r="J458" s="56" t="n">
        <x:v>19.399082710478485</x:v>
      </x:c>
      <x:c r="K458" s="56" t="n">
        <x:v>59.09862406571773</x:v>
      </x:c>
      <x:c r="L458" s="56" t="n">
        <x:v>86.56946295102533</x:v>
      </x:c>
    </x:row>
    <x:row r="459" ht="32.400001525878906" hidden="0" customHeight="1">
      <x:c r="A459" s="29" t="str">
        <x:v>Harris County, Texas</x:v>
      </x:c>
      <x:c r="B459" s="29" t="str">
        <x:v>48201350300</x:v>
      </x:c>
      <x:c r="C459" s="51" t="n">
        <x:v>6328</x:v>
      </x:c>
      <x:c r="D459" s="51" t="n">
        <x:v>1185</x:v>
      </x:c>
      <x:c r="E459" s="51" t="n">
        <x:v>63</x:v>
      </x:c>
      <x:c r="F459" s="38" t="n">
        <x:v>0.1872629582806574</x:v>
      </x:c>
      <x:c r="G459" s="38" t="n">
        <x:v>0.00995575221238938</x:v>
      </x:c>
      <x:c r="H459" s="57" t="n">
        <x:v>6749.05</x:v>
      </x:c>
      <x:c r="I459" s="57" t="n">
        <x:v>0.881</x:v>
      </x:c>
      <x:c r="J459" s="57" t="n">
        <x:v>21.2460363845762</x:v>
      </x:c>
      <x:c r="K459" s="57" t="n">
        <x:v>61.8690545768643</x:v>
      </x:c>
      <x:c r="L459" s="57" t="n">
        <x:v>90.52722082409186</x:v>
      </x:c>
    </x:row>
    <x:row r="460" ht="32.400001525878906" hidden="0" customHeight="1">
      <x:c r="A460" s="27" t="str">
        <x:v>Harris County, Texas</x:v>
      </x:c>
      <x:c r="B460" s="27" t="str">
        <x:v>48201350400</x:v>
      </x:c>
      <x:c r="C460" s="50" t="n">
        <x:v>5806</x:v>
      </x:c>
      <x:c r="D460" s="50" t="n">
        <x:v>770</x:v>
      </x:c>
      <x:c r="E460" s="50" t="n">
        <x:v>262</x:v>
      </x:c>
      <x:c r="F460" s="37" t="n">
        <x:v>0.13262142611091973</x:v>
      </x:c>
      <x:c r="G460" s="37" t="n">
        <x:v>0.045125732001377886</x:v>
      </x:c>
      <x:c r="H460" s="56" t="n">
        <x:v>6101.700000000001</x:v>
      </x:c>
      <x:c r="I460" s="56" t="n">
        <x:v>1.026</x:v>
      </x:c>
      <x:c r="J460" s="56" t="n">
        <x:v>23.21049258866276</x:v>
      </x:c>
      <x:c r="K460" s="56" t="n">
        <x:v>64.81573888299414</x:v>
      </x:c>
      <x:c r="L460" s="56" t="n">
        <x:v>94.73676983284878</x:v>
      </x:c>
    </x:row>
    <x:row r="461" ht="32.400001525878906" hidden="0" customHeight="1">
      <x:c r="A461" s="29" t="str">
        <x:v>Harris County, Texas</x:v>
      </x:c>
      <x:c r="B461" s="29" t="str">
        <x:v>48201350500</x:v>
      </x:c>
      <x:c r="C461" s="51" t="n">
        <x:v>6971</x:v>
      </x:c>
      <x:c r="D461" s="51" t="n">
        <x:v>494</x:v>
      </x:c>
      <x:c r="E461" s="51" t="n">
        <x:v>0</x:v>
      </x:c>
      <x:c r="F461" s="38" t="n">
        <x:v>0.07086501219337255</x:v>
      </x:c>
      <x:c r="G461" s="38" t="n">
        <x:v>0</x:v>
      </x:c>
      <x:c r="H461" s="57" t="n">
        <x:v>7143.9</x:v>
      </x:c>
      <x:c r="I461" s="57" t="n">
        <x:v>2.25</x:v>
      </x:c>
      <x:c r="J461" s="57" t="n">
        <x:v>25.05001757134275</x:v>
      </x:c>
      <x:c r="K461" s="57" t="n">
        <x:v>67.57502635701412</x:v>
      </x:c>
      <x:c r="L461" s="57" t="n">
        <x:v>98.67860908144874</x:v>
      </x:c>
    </x:row>
    <x:row r="462" ht="32.400001525878906" hidden="0" customHeight="1">
      <x:c r="A462" s="27" t="str">
        <x:v>Harris County, Texas</x:v>
      </x:c>
      <x:c r="B462" s="27" t="str">
        <x:v>48201350601</x:v>
      </x:c>
      <x:c r="C462" s="50" t="n">
        <x:v>3828</x:v>
      </x:c>
      <x:c r="D462" s="50" t="n">
        <x:v>559</x:v>
      </x:c>
      <x:c r="E462" s="50" t="n">
        <x:v>112</x:v>
      </x:c>
      <x:c r="F462" s="37" t="n">
        <x:v>0.14602925809822362</x:v>
      </x:c>
      <x:c r="G462" s="37" t="n">
        <x:v>0.029258098223615466</x:v>
      </x:c>
      <x:c r="H462" s="56" t="n">
        <x:v>4034.8499999999995</x:v>
      </x:c>
      <x:c r="I462" s="56" t="n">
        <x:v>5.14</x:v>
      </x:c>
      <x:c r="J462" s="56" t="n">
        <x:v>28.73974593971132</x:v>
      </x:c>
      <x:c r="K462" s="56" t="n">
        <x:v>73.10961890956698</x:v>
      </x:c>
      <x:c r="L462" s="56" t="n">
        <x:v>106.58516987080998</x:v>
      </x:c>
    </x:row>
    <x:row r="463" ht="32.400001525878906" hidden="0" customHeight="1">
      <x:c r="A463" s="29" t="str">
        <x:v>Harris County, Texas</x:v>
      </x:c>
      <x:c r="B463" s="29" t="str">
        <x:v>48201350603</x:v>
      </x:c>
      <x:c r="C463" s="51" t="n">
        <x:v>4398</x:v>
      </x:c>
      <x:c r="D463" s="51" t="n">
        <x:v>741</x:v>
      </x:c>
      <x:c r="E463" s="51" t="n">
        <x:v>9</x:v>
      </x:c>
      <x:c r="F463" s="38" t="n">
        <x:v>0.1684856753069577</x:v>
      </x:c>
      <x:c r="G463" s="38" t="n">
        <x:v>0.0020463847203274215</x:v>
      </x:c>
      <x:c r="H463" s="57" t="n">
        <x:v>4658.249999999999</x:v>
      </x:c>
      <x:c r="I463" s="57" t="n">
        <x:v>0.675</x:v>
      </x:c>
      <x:c r="J463" s="57" t="n">
        <x:v>29.564855527880756</x:v>
      </x:c>
      <x:c r="K463" s="57" t="n">
        <x:v>74.34728329182113</x:v>
      </x:c>
      <x:c r="L463" s="57" t="n">
        <x:v>108.35326184545876</x:v>
      </x:c>
    </x:row>
    <x:row r="464" ht="32.400001525878906" hidden="0" customHeight="1">
      <x:c r="A464" s="27" t="str">
        <x:v>Harris County, Texas</x:v>
      </x:c>
      <x:c r="B464" s="27" t="str">
        <x:v>48201350604</x:v>
      </x:c>
      <x:c r="C464" s="50" t="n">
        <x:v>3684</x:v>
      </x:c>
      <x:c r="D464" s="50" t="n">
        <x:v>278</x:v>
      </x:c>
      <x:c r="E464" s="50" t="n">
        <x:v>52</x:v>
      </x:c>
      <x:c r="F464" s="37" t="n">
        <x:v>0.07546145494028231</x:v>
      </x:c>
      <x:c r="G464" s="37" t="n">
        <x:v>0.014115092290988056</x:v>
      </x:c>
      <x:c r="H464" s="56" t="n">
        <x:v>3786.5</x:v>
      </x:c>
      <x:c r="I464" s="56" t="n">
        <x:v>0.562</x:v>
      </x:c>
      <x:c r="J464" s="56" t="n">
        <x:v>27.654931942715642</x:v>
      </x:c>
      <x:c r="K464" s="56" t="n">
        <x:v>71.48239791407346</x:v>
      </x:c>
      <x:c r="L464" s="56" t="n">
        <x:v>104.26056844867638</x:v>
      </x:c>
    </x:row>
    <x:row r="465" ht="32.400001525878906" hidden="0" customHeight="1">
      <x:c r="A465" s="29" t="str">
        <x:v>Harris County, Texas</x:v>
      </x:c>
      <x:c r="B465" s="29" t="str">
        <x:v>48201350700</x:v>
      </x:c>
      <x:c r="C465" s="51" t="n">
        <x:v>2360</x:v>
      </x:c>
      <x:c r="D465" s="51" t="n">
        <x:v>193</x:v>
      </x:c>
      <x:c r="E465" s="51" t="n">
        <x:v>26.5</x:v>
      </x:c>
      <x:c r="F465" s="38" t="n">
        <x:v>0.08177966101694915</x:v>
      </x:c>
      <x:c r="G465" s="38" t="n">
        <x:v>0.011228813559322034</x:v>
      </x:c>
      <x:c r="H465" s="57" t="n">
        <x:v>2430.2000000000003</x:v>
      </x:c>
      <x:c r="I465" s="57" t="n">
        <x:v>0.548</x:v>
      </x:c>
      <x:c r="J465" s="57" t="n">
        <x:v>28.178676028482123</x:v>
      </x:c>
      <x:c r="K465" s="57" t="n">
        <x:v>72.26801404272318</x:v>
      </x:c>
      <x:c r="L465" s="57" t="n">
        <x:v>105.38287720389026</x:v>
      </x:c>
    </x:row>
    <x:row r="466" ht="32.400001525878906" hidden="0" customHeight="1">
      <x:c r="A466" s="27" t="str">
        <x:v>Harris County, Texas</x:v>
      </x:c>
      <x:c r="B466" s="27" t="str">
        <x:v>48201350801</x:v>
      </x:c>
      <x:c r="C466" s="50" t="n">
        <x:v>4775</x:v>
      </x:c>
      <x:c r="D466" s="50" t="n">
        <x:v>303</x:v>
      </x:c>
      <x:c r="E466" s="50" t="n">
        <x:v>313</x:v>
      </x:c>
      <x:c r="F466" s="37" t="n">
        <x:v>0.06345549738219895</x:v>
      </x:c>
      <x:c r="G466" s="37" t="n">
        <x:v>0.06554973821989529</x:v>
      </x:c>
      <x:c r="H466" s="56" t="n">
        <x:v>4912.349999999999</x:v>
      </x:c>
      <x:c r="I466" s="56" t="n">
        <x:v>0.723</x:v>
      </x:c>
      <x:c r="J466" s="56" t="n">
        <x:v>29.595327744884973</x:v>
      </x:c>
      <x:c r="K466" s="56" t="n">
        <x:v>74.39299161732745</x:v>
      </x:c>
      <x:c r="L466" s="56" t="n">
        <x:v>108.41855945332495</x:v>
      </x:c>
    </x:row>
    <x:row r="467" ht="32.400001525878906" hidden="0" customHeight="1">
      <x:c r="A467" s="29" t="str">
        <x:v>Harris County, Texas</x:v>
      </x:c>
      <x:c r="B467" s="29" t="str">
        <x:v>48201350803</x:v>
      </x:c>
      <x:c r="C467" s="51" t="n">
        <x:v>3059</x:v>
      </x:c>
      <x:c r="D467" s="51" t="n">
        <x:v>286</x:v>
      </x:c>
      <x:c r="E467" s="51" t="n">
        <x:v>86</x:v>
      </x:c>
      <x:c r="F467" s="38" t="n">
        <x:v>0.09349460608041844</x:v>
      </x:c>
      <x:c r="G467" s="38" t="n">
        <x:v>0.02811376266753841</x:v>
      </x:c>
      <x:c r="H467" s="57" t="n">
        <x:v>3167.7</x:v>
      </x:c>
      <x:c r="I467" s="57" t="n">
        <x:v>1.582</x:v>
      </x:c>
      <x:c r="J467" s="57" t="n">
        <x:v>32.50762856178335</x:v>
      </x:c>
      <x:c r="K467" s="57" t="n">
        <x:v>78.76144284267502</x:v>
      </x:c>
      <x:c r="L467" s="57" t="n">
        <x:v>114.65920406096431</x:v>
      </x:c>
    </x:row>
    <x:row r="468" ht="32.400001525878906" hidden="0" customHeight="1">
      <x:c r="A468" s="27" t="str">
        <x:v>Harris County, Texas</x:v>
      </x:c>
      <x:c r="B468" s="27" t="str">
        <x:v>48201350804</x:v>
      </x:c>
      <x:c r="C468" s="50" t="n">
        <x:v>6515</x:v>
      </x:c>
      <x:c r="D468" s="50" t="n">
        <x:v>480</x:v>
      </x:c>
      <x:c r="E468" s="50" t="n">
        <x:v>228</x:v>
      </x:c>
      <x:c r="F468" s="37" t="n">
        <x:v>0.07367613200306984</x:v>
      </x:c>
      <x:c r="G468" s="37" t="n">
        <x:v>0.034996162701458174</x:v>
      </x:c>
      <x:c r="H468" s="56" t="n">
        <x:v>6705.8</x:v>
      </x:c>
      <x:c r="I468" s="56" t="n">
        <x:v>4.104</x:v>
      </x:c>
      <x:c r="J468" s="56" t="n">
        <x:v>33.378288423123756</x:v>
      </x:c>
      <x:c r="K468" s="56" t="n">
        <x:v>80.06743263468563</x:v>
      </x:c>
      <x:c r="L468" s="56" t="n">
        <x:v>116.52490376383662</x:v>
      </x:c>
    </x:row>
    <x:row r="469" ht="32.400001525878906" hidden="0" customHeight="1">
      <x:c r="A469" s="29" t="str">
        <x:v>Harris County, Texas</x:v>
      </x:c>
      <x:c r="B469" s="29" t="str">
        <x:v>48201410101</x:v>
      </x:c>
      <x:c r="C469" s="51" t="n">
        <x:v>2212</x:v>
      </x:c>
      <x:c r="D469" s="51" t="n">
        <x:v>143</x:v>
      </x:c>
      <x:c r="E469" s="51" t="n">
        <x:v>0</x:v>
      </x:c>
      <x:c r="F469" s="38" t="n">
        <x:v>0.06464737793851717</x:v>
      </x:c>
      <x:c r="G469" s="38" t="n">
        <x:v>0</x:v>
      </x:c>
      <x:c r="H469" s="57" t="n">
        <x:v>2262.05</x:v>
      </x:c>
      <x:c r="I469" s="57" t="n">
        <x:v>0.167</x:v>
      </x:c>
      <x:c r="J469" s="57" t="n">
        <x:v>23.98729245778026</x:v>
      </x:c>
      <x:c r="K469" s="57" t="n">
        <x:v>65.98093868667038</x:v>
      </x:c>
      <x:c r="L469" s="57" t="n">
        <x:v>96.4013409809577</x:v>
      </x:c>
    </x:row>
    <x:row r="470" ht="32.400001525878906" hidden="0" customHeight="1">
      <x:c r="A470" s="27" t="str">
        <x:v>Harris County, Texas</x:v>
      </x:c>
      <x:c r="B470" s="27" t="str">
        <x:v>48201410102</x:v>
      </x:c>
      <x:c r="C470" s="50" t="n">
        <x:v>3956</x:v>
      </x:c>
      <x:c r="D470" s="50" t="n">
        <x:v>357</x:v>
      </x:c>
      <x:c r="E470" s="50" t="n">
        <x:v>658</x:v>
      </x:c>
      <x:c r="F470" s="37" t="n">
        <x:v>0.09024266936299292</x:v>
      </x:c>
      <x:c r="G470" s="37" t="n">
        <x:v>0.16632962588473205</x:v>
      </x:c>
      <x:c r="H470" s="56" t="n">
        <x:v>4146.75</x:v>
      </x:c>
      <x:c r="I470" s="56" t="n">
        <x:v>0.298</x:v>
      </x:c>
      <x:c r="J470" s="56" t="n">
        <x:v>24.641599777399357</x:v>
      </x:c>
      <x:c r="K470" s="56" t="n">
        <x:v>66.96239966609903</x:v>
      </x:c>
      <x:c r="L470" s="56" t="n">
        <x:v>97.8034280944272</x:v>
      </x:c>
    </x:row>
    <x:row r="471" ht="32.400001525878906" hidden="0" customHeight="1">
      <x:c r="A471" s="29" t="str">
        <x:v>Harris County, Texas</x:v>
      </x:c>
      <x:c r="B471" s="29" t="str">
        <x:v>48201410201</x:v>
      </x:c>
      <x:c r="C471" s="51" t="n">
        <x:v>1734</x:v>
      </x:c>
      <x:c r="D471" s="51" t="n">
        <x:v>159</x:v>
      </x:c>
      <x:c r="E471" s="51" t="n">
        <x:v>92</x:v>
      </x:c>
      <x:c r="F471" s="38" t="n">
        <x:v>0.09169550173010381</x:v>
      </x:c>
      <x:c r="G471" s="38" t="n">
        <x:v>0.0530565167243368</x:v>
      </x:c>
      <x:c r="H471" s="57" t="n">
        <x:v>1798.85</x:v>
      </x:c>
      <x:c r="I471" s="57" t="n">
        <x:v>0.242</x:v>
      </x:c>
      <x:c r="J471" s="57" t="n">
        <x:v>24.638976376324575</x:v>
      </x:c>
      <x:c r="K471" s="57" t="n">
        <x:v>66.95846456448686</x:v>
      </x:c>
      <x:c r="L471" s="57" t="n">
        <x:v>97.79780652069552</x:v>
      </x:c>
    </x:row>
    <x:row r="472" ht="32.400001525878906" hidden="0" customHeight="1">
      <x:c r="A472" s="27" t="str">
        <x:v>Harris County, Texas</x:v>
      </x:c>
      <x:c r="B472" s="27" t="str">
        <x:v>48201410202</x:v>
      </x:c>
      <x:c r="C472" s="50" t="n">
        <x:v>3900</x:v>
      </x:c>
      <x:c r="D472" s="50" t="n">
        <x:v>283</x:v>
      </x:c>
      <x:c r="E472" s="50" t="n">
        <x:v>79</x:v>
      </x:c>
      <x:c r="F472" s="37" t="n">
        <x:v>0.07256410256410256</x:v>
      </x:c>
      <x:c r="G472" s="37" t="n">
        <x:v>0.020256410256410257</x:v>
      </x:c>
      <x:c r="H472" s="56" t="n">
        <x:v>4006.9499999999994</x:v>
      </x:c>
      <x:c r="I472" s="56" t="n">
        <x:v>0.254</x:v>
      </x:c>
      <x:c r="J472" s="56" t="n">
        <x:v>24.003488515326808</x:v>
      </x:c>
      <x:c r="K472" s="56" t="n">
        <x:v>66.00523277299021</x:v>
      </x:c>
      <x:c r="L472" s="56" t="n">
        <x:v>96.43604681855744</x:v>
      </x:c>
    </x:row>
    <x:row r="473" ht="32.400001525878906" hidden="0" customHeight="1">
      <x:c r="A473" s="29" t="str">
        <x:v>Harris County, Texas</x:v>
      </x:c>
      <x:c r="B473" s="29" t="str">
        <x:v>48201410300</x:v>
      </x:c>
      <x:c r="C473" s="51" t="n">
        <x:v>3748</x:v>
      </x:c>
      <x:c r="D473" s="51" t="n">
        <x:v>321</x:v>
      </x:c>
      <x:c r="E473" s="51" t="n">
        <x:v>86</x:v>
      </x:c>
      <x:c r="F473" s="38" t="n">
        <x:v>0.08564567769477055</x:v>
      </x:c>
      <x:c r="G473" s="38" t="n">
        <x:v>0.02294557097118463</x:v>
      </x:c>
      <x:c r="H473" s="57" t="n">
        <x:v>3868.9500000000003</x:v>
      </x:c>
      <x:c r="I473" s="57" t="n">
        <x:v>0.392</x:v>
      </x:c>
      <x:c r="J473" s="57" t="n">
        <x:v>24.31156225614881</x:v>
      </x:c>
      <x:c r="K473" s="57" t="n">
        <x:v>66.46734338422321</x:v>
      </x:c>
      <x:c r="L473" s="57" t="n">
        <x:v>97.09620483460459</x:v>
      </x:c>
    </x:row>
    <x:row r="474" ht="32.400001525878906" hidden="0" customHeight="1">
      <x:c r="A474" s="27" t="str">
        <x:v>Harris County, Texas</x:v>
      </x:c>
      <x:c r="B474" s="27" t="str">
        <x:v>48201410401</x:v>
      </x:c>
      <x:c r="C474" s="50" t="n">
        <x:v>3899</x:v>
      </x:c>
      <x:c r="D474" s="50" t="n">
        <x:v>273</x:v>
      </x:c>
      <x:c r="E474" s="50" t="n">
        <x:v>108</x:v>
      </x:c>
      <x:c r="F474" s="37" t="n">
        <x:v>0.07001795332136446</x:v>
      </x:c>
      <x:c r="G474" s="37" t="n">
        <x:v>0.027699410105155167</x:v>
      </x:c>
      <x:c r="H474" s="56" t="n">
        <x:v>4005.3500000000004</x:v>
      </x:c>
      <x:c r="I474" s="56" t="n">
        <x:v>0.339</x:v>
      </x:c>
      <x:c r="J474" s="56" t="n">
        <x:v>23.00965954153367</x:v>
      </x:c>
      <x:c r="K474" s="56" t="n">
        <x:v>64.5144893123005</x:v>
      </x:c>
      <x:c r="L474" s="56" t="n">
        <x:v>94.30641330328643</x:v>
      </x:c>
    </x:row>
    <x:row r="475" ht="32.400001525878906" hidden="0" customHeight="1">
      <x:c r="A475" s="29" t="str">
        <x:v>Harris County, Texas</x:v>
      </x:c>
      <x:c r="B475" s="29" t="str">
        <x:v>48201410402</x:v>
      </x:c>
      <x:c r="C475" s="51" t="n">
        <x:v>3044</x:v>
      </x:c>
      <x:c r="D475" s="51" t="n">
        <x:v>228</x:v>
      </x:c>
      <x:c r="E475" s="51" t="n">
        <x:v>95</x:v>
      </x:c>
      <x:c r="F475" s="38" t="n">
        <x:v>0.07490144546649145</x:v>
      </x:c>
      <x:c r="G475" s="38" t="n">
        <x:v>0.03120893561103811</x:v>
      </x:c>
      <x:c r="H475" s="57" t="n">
        <x:v>3133.3</x:v>
      </x:c>
      <x:c r="I475" s="57" t="n">
        <x:v>0.281</x:v>
      </x:c>
      <x:c r="J475" s="57" t="n">
        <x:v>22.91887049794803</x:v>
      </x:c>
      <x:c r="K475" s="57" t="n">
        <x:v>64.37830574692205</x:v>
      </x:c>
      <x:c r="L475" s="57" t="n">
        <x:v>94.11186535274578</x:v>
      </x:c>
    </x:row>
    <x:row r="476" ht="32.400001525878906" hidden="0" customHeight="1">
      <x:c r="A476" s="27" t="str">
        <x:v>Harris County, Texas</x:v>
      </x:c>
      <x:c r="B476" s="27" t="str">
        <x:v>48201410501</x:v>
      </x:c>
      <x:c r="C476" s="50" t="n">
        <x:v>1825</x:v>
      </x:c>
      <x:c r="D476" s="50" t="n">
        <x:v>142</x:v>
      </x:c>
      <x:c r="E476" s="50" t="n">
        <x:v>24</x:v>
      </x:c>
      <x:c r="F476" s="37" t="n">
        <x:v>0.07780821917808219</x:v>
      </x:c>
      <x:c r="G476" s="37" t="n">
        <x:v>0.01315068493150685</x:v>
      </x:c>
      <x:c r="H476" s="56" t="n">
        <x:v>1877.0999999999997</x:v>
      </x:c>
      <x:c r="I476" s="56" t="n">
        <x:v>0.213</x:v>
      </x:c>
      <x:c r="J476" s="56" t="n">
        <x:v>23.119416591394558</x:v>
      </x:c>
      <x:c r="K476" s="56" t="n">
        <x:v>64.67912488709183</x:v>
      </x:c>
      <x:c r="L476" s="56" t="n">
        <x:v>94.54160698155977</x:v>
      </x:c>
    </x:row>
    <x:row r="477" ht="32.400001525878906" hidden="0" customHeight="1">
      <x:c r="A477" s="29" t="str">
        <x:v>Harris County, Texas</x:v>
      </x:c>
      <x:c r="B477" s="29" t="str">
        <x:v>48201410502</x:v>
      </x:c>
      <x:c r="C477" s="51" t="n">
        <x:v>3032</x:v>
      </x:c>
      <x:c r="D477" s="51" t="n">
        <x:v>205</x:v>
      </x:c>
      <x:c r="E477" s="51" t="n">
        <x:v>23</x:v>
      </x:c>
      <x:c r="F477" s="38" t="n">
        <x:v>0.06761213720316622</x:v>
      </x:c>
      <x:c r="G477" s="38" t="n">
        <x:v>0.007585751978891821</x:v>
      </x:c>
      <x:c r="H477" s="57" t="n">
        <x:v>3106.05</x:v>
      </x:c>
      <x:c r="I477" s="57" t="n">
        <x:v>0.212</x:v>
      </x:c>
      <x:c r="J477" s="57" t="n">
        <x:v>23.109714363644365</x:v>
      </x:c>
      <x:c r="K477" s="57" t="n">
        <x:v>64.66457154546654</x:v>
      </x:c>
      <x:c r="L477" s="57" t="n">
        <x:v>94.52081649352364</x:v>
      </x:c>
    </x:row>
    <x:row r="478" ht="32.400001525878906" hidden="0" customHeight="1">
      <x:c r="A478" s="27" t="str">
        <x:v>Harris County, Texas</x:v>
      </x:c>
      <x:c r="B478" s="27" t="str">
        <x:v>48201410601</x:v>
      </x:c>
      <x:c r="C478" s="50" t="n">
        <x:v>3723</x:v>
      </x:c>
      <x:c r="D478" s="50" t="n">
        <x:v>57</x:v>
      </x:c>
      <x:c r="E478" s="50" t="n">
        <x:v>170</x:v>
      </x:c>
      <x:c r="F478" s="37" t="n">
        <x:v>0.015310233682514102</x:v>
      </x:c>
      <x:c r="G478" s="37" t="n">
        <x:v>0.045662100456621</x:v>
      </x:c>
      <x:c r="H478" s="56" t="n">
        <x:v>3759.95</x:v>
      </x:c>
      <x:c r="I478" s="56" t="n">
        <x:v>0.244</x:v>
      </x:c>
      <x:c r="J478" s="56" t="n">
        <x:v>22.454670512621497</x:v>
      </x:c>
      <x:c r="K478" s="56" t="n">
        <x:v>63.68200576893225</x:v>
      </x:c>
      <x:c r="L478" s="56" t="n">
        <x:v>93.11715109847464</x:v>
      </x:c>
    </x:row>
    <x:row r="479" ht="32.400001525878906" hidden="0" customHeight="1">
      <x:c r="A479" s="29" t="str">
        <x:v>Harris County, Texas</x:v>
      </x:c>
      <x:c r="B479" s="29" t="str">
        <x:v>48201410602</x:v>
      </x:c>
      <x:c r="C479" s="51" t="n">
        <x:v>2647</x:v>
      </x:c>
      <x:c r="D479" s="51" t="n">
        <x:v>318</x:v>
      </x:c>
      <x:c r="E479" s="51" t="n">
        <x:v>19</x:v>
      </x:c>
      <x:c r="F479" s="38" t="n">
        <x:v>0.12013600302228938</x:v>
      </x:c>
      <x:c r="G479" s="38" t="n">
        <x:v>0.007177937287495277</x:v>
      </x:c>
      <x:c r="H479" s="57" t="n">
        <x:v>2760.2</x:v>
      </x:c>
      <x:c r="I479" s="57" t="n">
        <x:v>0.146</x:v>
      </x:c>
      <x:c r="J479" s="57" t="n">
        <x:v>23.18093412772489</x:v>
      </x:c>
      <x:c r="K479" s="57" t="n">
        <x:v>64.77140119158733</x:v>
      </x:c>
      <x:c r="L479" s="57" t="n">
        <x:v>94.6734302736962</x:v>
      </x:c>
    </x:row>
    <x:row r="480" ht="32.400001525878906" hidden="0" customHeight="1">
      <x:c r="A480" s="27" t="str">
        <x:v>Harris County, Texas</x:v>
      </x:c>
      <x:c r="B480" s="27" t="str">
        <x:v>48201410703</x:v>
      </x:c>
      <x:c r="C480" s="50" t="n">
        <x:v>2275</x:v>
      </x:c>
      <x:c r="D480" s="50" t="n">
        <x:v>303</x:v>
      </x:c>
      <x:c r="E480" s="50" t="n">
        <x:v>172</x:v>
      </x:c>
      <x:c r="F480" s="37" t="n">
        <x:v>0.1331868131868132</x:v>
      </x:c>
      <x:c r="G480" s="37" t="n">
        <x:v>0.07560439560439561</x:v>
      </x:c>
      <x:c r="H480" s="56" t="n">
        <x:v>2398.25</x:v>
      </x:c>
      <x:c r="I480" s="56" t="n">
        <x:v>0.223</x:v>
      </x:c>
      <x:c r="J480" s="56" t="n">
        <x:v>21.96847605558345</x:v>
      </x:c>
      <x:c r="K480" s="56" t="n">
        <x:v>62.95271408337518</x:v>
      </x:c>
      <x:c r="L480" s="56" t="n">
        <x:v>92.07530583339312</x:v>
      </x:c>
    </x:row>
    <x:row r="481" ht="32.400001525878906" hidden="0" customHeight="1">
      <x:c r="A481" s="29" t="str">
        <x:v>Harris County, Texas</x:v>
      </x:c>
      <x:c r="B481" s="29" t="str">
        <x:v>48201410704</x:v>
      </x:c>
      <x:c r="C481" s="51" t="n">
        <x:v>2087</x:v>
      </x:c>
      <x:c r="D481" s="51" t="n">
        <x:v>308</x:v>
      </x:c>
      <x:c r="E481" s="51" t="n">
        <x:v>367</x:v>
      </x:c>
      <x:c r="F481" s="38" t="n">
        <x:v>0.14758025874460948</x:v>
      </x:c>
      <x:c r="G481" s="38" t="n">
        <x:v>0.17585050311451844</x:v>
      </x:c>
      <x:c r="H481" s="57" t="n">
        <x:v>2231.5</x:v>
      </x:c>
      <x:c r="I481" s="57" t="n">
        <x:v>0.195</x:v>
      </x:c>
      <x:c r="J481" s="57" t="n">
        <x:v>22.079292525982584</x:v>
      </x:c>
      <x:c r="K481" s="57" t="n">
        <x:v>63.11893878897388</x:v>
      </x:c>
      <x:c r="L481" s="57" t="n">
        <x:v>92.31276969853411</x:v>
      </x:c>
    </x:row>
    <x:row r="482" ht="32.400001525878906" hidden="0" customHeight="1">
      <x:c r="A482" s="27" t="str">
        <x:v>Harris County, Texas</x:v>
      </x:c>
      <x:c r="B482" s="27" t="str">
        <x:v>48201410705</x:v>
      </x:c>
      <x:c r="C482" s="50" t="n">
        <x:v>1123</x:v>
      </x:c>
      <x:c r="D482" s="50" t="n">
        <x:v>63</x:v>
      </x:c>
      <x:c r="E482" s="50" t="n">
        <x:v>16</x:v>
      </x:c>
      <x:c r="F482" s="37" t="n">
        <x:v>0.05609973285841496</x:v>
      </x:c>
      <x:c r="G482" s="37" t="n">
        <x:v>0.014247551202137132</x:v>
      </x:c>
      <x:c r="H482" s="56" t="n">
        <x:v>1146.65</x:v>
      </x:c>
      <x:c r="I482" s="56" t="n">
        <x:v>0.185</x:v>
      </x:c>
      <x:c r="J482" s="56" t="n">
        <x:v>21.2524901189404</x:v>
      </x:c>
      <x:c r="K482" s="56" t="n">
        <x:v>61.8787351784106</x:v>
      </x:c>
      <x:c r="L482" s="56" t="n">
        <x:v>90.54105025487229</x:v>
      </x:c>
    </x:row>
    <x:row r="483" ht="32.400001525878906" hidden="0" customHeight="1">
      <x:c r="A483" s="29" t="str">
        <x:v>Harris County, Texas</x:v>
      </x:c>
      <x:c r="B483" s="29" t="str">
        <x:v>48201410706</x:v>
      </x:c>
      <x:c r="C483" s="51" t="n">
        <x:v>1827</x:v>
      </x:c>
      <x:c r="D483" s="51" t="n">
        <x:v>296</x:v>
      </x:c>
      <x:c r="E483" s="51" t="n">
        <x:v>234</x:v>
      </x:c>
      <x:c r="F483" s="38" t="n">
        <x:v>0.1620142309797482</x:v>
      </x:c>
      <x:c r="G483" s="38" t="n">
        <x:v>0.12807881773399016</x:v>
      </x:c>
      <x:c r="H483" s="57" t="n">
        <x:v>1954</x:v>
      </x:c>
      <x:c r="I483" s="57" t="n">
        <x:v>0.167</x:v>
      </x:c>
      <x:c r="J483" s="57" t="n">
        <x:v>21.173246878617224</x:v>
      </x:c>
      <x:c r="K483" s="57" t="n">
        <x:v>61.75987031792583</x:v>
      </x:c>
      <x:c r="L483" s="57" t="n">
        <x:v>90.37124331132262</x:v>
      </x:c>
    </x:row>
    <x:row r="484" ht="32.400001525878906" hidden="0" customHeight="1">
      <x:c r="A484" s="27" t="str">
        <x:v>Harris County, Texas</x:v>
      </x:c>
      <x:c r="B484" s="27" t="str">
        <x:v>48201410801</x:v>
      </x:c>
      <x:c r="C484" s="50" t="n">
        <x:v>2664</x:v>
      </x:c>
      <x:c r="D484" s="50" t="n">
        <x:v>363</x:v>
      </x:c>
      <x:c r="E484" s="50" t="n">
        <x:v>297</x:v>
      </x:c>
      <x:c r="F484" s="37" t="n">
        <x:v>0.13626126126126126</x:v>
      </x:c>
      <x:c r="G484" s="37" t="n">
        <x:v>0.11148648648648649</x:v>
      </x:c>
      <x:c r="H484" s="56" t="n">
        <x:v>2820.7500000000005</x:v>
      </x:c>
      <x:c r="I484" s="56" t="n">
        <x:v>0.203</x:v>
      </x:c>
      <x:c r="J484" s="56" t="n">
        <x:v>21.341001519763516</x:v>
      </x:c>
      <x:c r="K484" s="56" t="n">
        <x:v>62.01150227964528</x:v>
      </x:c>
      <x:c r="L484" s="56" t="n">
        <x:v>90.73071754235039</x:v>
      </x:c>
    </x:row>
    <x:row r="485" ht="32.400001525878906" hidden="0" customHeight="1">
      <x:c r="A485" s="29" t="str">
        <x:v>Harris County, Texas</x:v>
      </x:c>
      <x:c r="B485" s="29" t="str">
        <x:v>48201410802</x:v>
      </x:c>
      <x:c r="C485" s="51" t="n">
        <x:v>1441</x:v>
      </x:c>
      <x:c r="D485" s="51" t="n">
        <x:v>50</x:v>
      </x:c>
      <x:c r="E485" s="51" t="n">
        <x:v>108</x:v>
      </x:c>
      <x:c r="F485" s="38" t="n">
        <x:v>0.03469812630117974</x:v>
      </x:c>
      <x:c r="G485" s="38" t="n">
        <x:v>0.07494795281054822</x:v>
      </x:c>
      <x:c r="H485" s="57" t="n">
        <x:v>1469.3000000000002</x:v>
      </x:c>
      <x:c r="I485" s="57" t="n">
        <x:v>0.194</x:v>
      </x:c>
      <x:c r="J485" s="57" t="n">
        <x:v>21.971114615039415</x:v>
      </x:c>
      <x:c r="K485" s="57" t="n">
        <x:v>62.956671922559124</x:v>
      </x:c>
      <x:c r="L485" s="57" t="n">
        <x:v>92.08095988937018</x:v>
      </x:c>
    </x:row>
    <x:row r="486" ht="32.400001525878906" hidden="0" customHeight="1">
      <x:c r="A486" s="27" t="str">
        <x:v>Harris County, Texas</x:v>
      </x:c>
      <x:c r="B486" s="27" t="str">
        <x:v>48201410900</x:v>
      </x:c>
      <x:c r="C486" s="50" t="n">
        <x:v>3565</x:v>
      </x:c>
      <x:c r="D486" s="50" t="n">
        <x:v>146</x:v>
      </x:c>
      <x:c r="E486" s="50" t="n">
        <x:v>0</x:v>
      </x:c>
      <x:c r="F486" s="37" t="n">
        <x:v>0.04095371669004207</x:v>
      </x:c>
      <x:c r="G486" s="37" t="n">
        <x:v>0</x:v>
      </x:c>
      <x:c r="H486" s="56" t="n">
        <x:v>3616.1000000000004</x:v>
      </x:c>
      <x:c r="I486" s="56" t="n">
        <x:v>0.285</x:v>
      </x:c>
      <x:c r="J486" s="56" t="n">
        <x:v>20.720744288883118</x:v>
      </x:c>
      <x:c r="K486" s="56" t="n">
        <x:v>61.08111643332468</x:v>
      </x:c>
      <x:c r="L486" s="56" t="n">
        <x:v>89.40159490474954</x:v>
      </x:c>
    </x:row>
    <x:row r="487" ht="32.400001525878906" hidden="0" customHeight="1">
      <x:c r="A487" s="29" t="str">
        <x:v>Harris County, Texas</x:v>
      </x:c>
      <x:c r="B487" s="29" t="str">
        <x:v>48201411001</x:v>
      </x:c>
      <x:c r="C487" s="51" t="n">
        <x:v>2673</x:v>
      </x:c>
      <x:c r="D487" s="51" t="n">
        <x:v>360</x:v>
      </x:c>
      <x:c r="E487" s="51" t="n">
        <x:v>20</x:v>
      </x:c>
      <x:c r="F487" s="38" t="n">
        <x:v>0.13468013468013468</x:v>
      </x:c>
      <x:c r="G487" s="38" t="n">
        <x:v>0.0074822297044519264</x:v>
      </x:c>
      <x:c r="H487" s="57" t="n">
        <x:v>2801</x:v>
      </x:c>
      <x:c r="I487" s="57" t="n">
        <x:v>0.174</x:v>
      </x:c>
      <x:c r="J487" s="57" t="n">
        <x:v>22.322890153391477</x:v>
      </x:c>
      <x:c r="K487" s="57" t="n">
        <x:v>63.48433523008721</x:v>
      </x:c>
      <x:c r="L487" s="57" t="n">
        <x:v>92.8347646144103</x:v>
      </x:c>
    </x:row>
    <x:row r="488" ht="32.400001525878906" hidden="0" customHeight="1">
      <x:c r="A488" s="27" t="str">
        <x:v>Harris County, Texas</x:v>
      </x:c>
      <x:c r="B488" s="27" t="str">
        <x:v>48201411002</x:v>
      </x:c>
      <x:c r="C488" s="50" t="n">
        <x:v>2176</x:v>
      </x:c>
      <x:c r="D488" s="50" t="n">
        <x:v>138</x:v>
      </x:c>
      <x:c r="E488" s="50" t="n">
        <x:v>45</x:v>
      </x:c>
      <x:c r="F488" s="37" t="n">
        <x:v>0.06341911764705882</x:v>
      </x:c>
      <x:c r="G488" s="37" t="n">
        <x:v>0.02068014705882353</x:v>
      </x:c>
      <x:c r="H488" s="56" t="n">
        <x:v>2228.7999999999997</x:v>
      </x:c>
      <x:c r="I488" s="56" t="n">
        <x:v>0.131</x:v>
      </x:c>
      <x:c r="J488" s="56" t="n">
        <x:v>22.114575326385964</x:v>
      </x:c>
      <x:c r="K488" s="56" t="n">
        <x:v>63.17186298957894</x:v>
      </x:c>
      <x:c r="L488" s="56" t="n">
        <x:v>92.3883756993985</x:v>
      </x:c>
    </x:row>
    <x:row r="489" ht="32.400001525878906" hidden="0" customHeight="1">
      <x:c r="A489" s="29" t="str">
        <x:v>Harris County, Texas</x:v>
      </x:c>
      <x:c r="B489" s="29" t="str">
        <x:v>48201411003</x:v>
      </x:c>
      <x:c r="C489" s="51" t="n">
        <x:v>1671</x:v>
      </x:c>
      <x:c r="D489" s="51" t="n">
        <x:v>227</x:v>
      </x:c>
      <x:c r="E489" s="51" t="n">
        <x:v>229</x:v>
      </x:c>
      <x:c r="F489" s="38" t="n">
        <x:v>0.13584679832435667</x:v>
      </x:c>
      <x:c r="G489" s="38" t="n">
        <x:v>0.13704368641532017</x:v>
      </x:c>
      <x:c r="H489" s="57" t="n">
        <x:v>1773.35</x:v>
      </x:c>
      <x:c r="I489" s="57" t="n">
        <x:v>0.255</x:v>
      </x:c>
      <x:c r="J489" s="57" t="n">
        <x:v>21.254862479813628</x:v>
      </x:c>
      <x:c r="K489" s="57" t="n">
        <x:v>61.88229371972044</x:v>
      </x:c>
      <x:c r="L489" s="57" t="n">
        <x:v>90.54613388531492</x:v>
      </x:c>
    </x:row>
    <x:row r="490" ht="32.400001525878906" hidden="0" customHeight="1">
      <x:c r="A490" s="27" t="str">
        <x:v>Harris County, Texas</x:v>
      </x:c>
      <x:c r="B490" s="27" t="str">
        <x:v>48201411100</x:v>
      </x:c>
      <x:c r="C490" s="50" t="n">
        <x:v>3667</x:v>
      </x:c>
      <x:c r="D490" s="50" t="n">
        <x:v>128</x:v>
      </x:c>
      <x:c r="E490" s="50" t="n">
        <x:v>99</x:v>
      </x:c>
      <x:c r="F490" s="37" t="n">
        <x:v>0.03490591764385056</x:v>
      </x:c>
      <x:c r="G490" s="37" t="n">
        <x:v>0.026997545677665668</x:v>
      </x:c>
      <x:c r="H490" s="56" t="n">
        <x:v>3721.7</x:v>
      </x:c>
      <x:c r="I490" s="56" t="n">
        <x:v>0.521</x:v>
      </x:c>
      <x:c r="J490" s="56" t="n">
        <x:v>23.56825933525942</x:v>
      </x:c>
      <x:c r="K490" s="56" t="n">
        <x:v>65.35238900288913</x:v>
      </x:c>
      <x:c r="L490" s="56" t="n">
        <x:v>95.50341286127019</x:v>
      </x:c>
    </x:row>
    <x:row r="491" ht="32.400001525878906" hidden="0" customHeight="1">
      <x:c r="A491" s="29" t="str">
        <x:v>Harris County, Texas</x:v>
      </x:c>
      <x:c r="B491" s="29" t="str">
        <x:v>48201411200</x:v>
      </x:c>
      <x:c r="C491" s="51" t="n">
        <x:v>1700</x:v>
      </x:c>
      <x:c r="D491" s="51" t="n">
        <x:v>130</x:v>
      </x:c>
      <x:c r="E491" s="51" t="n">
        <x:v>25</x:v>
      </x:c>
      <x:c r="F491" s="38" t="n">
        <x:v>0.07647058823529412</x:v>
      </x:c>
      <x:c r="G491" s="38" t="n">
        <x:v>0.014705882352941176</x:v>
      </x:c>
      <x:c r="H491" s="57" t="n">
        <x:v>1748.0000000000002</x:v>
      </x:c>
      <x:c r="I491" s="57" t="n">
        <x:v>1.314</x:v>
      </x:c>
      <x:c r="J491" s="57" t="n">
        <x:v>24.598169528240113</x:v>
      </x:c>
      <x:c r="K491" s="57" t="n">
        <x:v>66.89725429236017</x:v>
      </x:c>
      <x:c r="L491" s="57" t="n">
        <x:v>97.71036327480024</x:v>
      </x:c>
    </x:row>
    <x:row r="492" ht="32.400001525878906" hidden="0" customHeight="1">
      <x:c r="A492" s="27" t="str">
        <x:v>Harris County, Texas</x:v>
      </x:c>
      <x:c r="B492" s="27" t="str">
        <x:v>48201411301</x:v>
      </x:c>
      <x:c r="C492" s="50" t="n">
        <x:v>1918</x:v>
      </x:c>
      <x:c r="D492" s="50" t="n">
        <x:v>210</x:v>
      </x:c>
      <x:c r="E492" s="50" t="n">
        <x:v>44</x:v>
      </x:c>
      <x:c r="F492" s="37" t="n">
        <x:v>0.10948905109489052</x:v>
      </x:c>
      <x:c r="G492" s="37" t="n">
        <x:v>0.022940563086548488</x:v>
      </x:c>
      <x:c r="H492" s="56" t="n">
        <x:v>1995.8999999999999</x:v>
      </x:c>
      <x:c r="I492" s="56" t="n">
        <x:v>0.34</x:v>
      </x:c>
      <x:c r="J492" s="56" t="n">
        <x:v>25.213413508014757</x:v>
      </x:c>
      <x:c r="K492" s="56" t="n">
        <x:v>67.82012026202213</x:v>
      </x:c>
      <x:c r="L492" s="56" t="n">
        <x:v>99.0287432314602</x:v>
      </x:c>
    </x:row>
    <x:row r="493" ht="32.400001525878906" hidden="0" customHeight="1">
      <x:c r="A493" s="29" t="str">
        <x:v>Harris County, Texas</x:v>
      </x:c>
      <x:c r="B493" s="29" t="str">
        <x:v>48201411302</x:v>
      </x:c>
      <x:c r="C493" s="51" t="n">
        <x:v>3086</x:v>
      </x:c>
      <x:c r="D493" s="51" t="n">
        <x:v>139</x:v>
      </x:c>
      <x:c r="E493" s="51" t="n">
        <x:v>0</x:v>
      </x:c>
      <x:c r="F493" s="38" t="n">
        <x:v>0.04504212572909916</x:v>
      </x:c>
      <x:c r="G493" s="38" t="n">
        <x:v>0</x:v>
      </x:c>
      <x:c r="H493" s="57" t="n">
        <x:v>3134.65</x:v>
      </x:c>
      <x:c r="I493" s="57" t="n">
        <x:v>0.21</x:v>
      </x:c>
      <x:c r="J493" s="57" t="n">
        <x:v>23.94342809954214</x:v>
      </x:c>
      <x:c r="K493" s="57" t="n">
        <x:v>65.91514214931321</x:v>
      </x:c>
      <x:c r="L493" s="57" t="n">
        <x:v>96.30734592759029</x:v>
      </x:c>
    </x:row>
    <x:row r="494" ht="32.400001525878906" hidden="0" customHeight="1">
      <x:c r="A494" s="27" t="str">
        <x:v>Harris County, Texas</x:v>
      </x:c>
      <x:c r="B494" s="27" t="str">
        <x:v>48201411400</x:v>
      </x:c>
      <x:c r="C494" s="50" t="n">
        <x:v>2898</x:v>
      </x:c>
      <x:c r="D494" s="50" t="n">
        <x:v>226</x:v>
      </x:c>
      <x:c r="E494" s="50" t="n">
        <x:v>0</x:v>
      </x:c>
      <x:c r="F494" s="37" t="n">
        <x:v>0.0779848171152519</x:v>
      </x:c>
      <x:c r="G494" s="37" t="n">
        <x:v>0</x:v>
      </x:c>
      <x:c r="H494" s="56" t="n">
        <x:v>2977.1000000000004</x:v>
      </x:c>
      <x:c r="I494" s="56" t="n">
        <x:v>0.668</x:v>
      </x:c>
      <x:c r="J494" s="56" t="n">
        <x:v>23.230618738937665</x:v>
      </x:c>
      <x:c r="K494" s="56" t="n">
        <x:v>64.8459281084065</x:v>
      </x:c>
      <x:c r="L494" s="56" t="n">
        <x:v>94.77989729772356</x:v>
      </x:c>
    </x:row>
    <x:row r="495" ht="32.400001525878906" hidden="0" customHeight="1">
      <x:c r="A495" s="29" t="str">
        <x:v>Harris County, Texas</x:v>
      </x:c>
      <x:c r="B495" s="29" t="str">
        <x:v>48201411503</x:v>
      </x:c>
      <x:c r="C495" s="51" t="n">
        <x:v>3555</x:v>
      </x:c>
      <x:c r="D495" s="51" t="n">
        <x:v>187</x:v>
      </x:c>
      <x:c r="E495" s="51" t="n">
        <x:v>134</x:v>
      </x:c>
      <x:c r="F495" s="38" t="n">
        <x:v>0.05260196905766526</x:v>
      </x:c>
      <x:c r="G495" s="38" t="n">
        <x:v>0.03769338959212377</x:v>
      </x:c>
      <x:c r="H495" s="57" t="n">
        <x:v>3633.8499999999995</x:v>
      </x:c>
      <x:c r="I495" s="57" t="n">
        <x:v>0.346</x:v>
      </x:c>
      <x:c r="J495" s="57" t="n">
        <x:v>21.481190823438816</x:v>
      </x:c>
      <x:c r="K495" s="57" t="n">
        <x:v>62.22178623515823</x:v>
      </x:c>
      <x:c r="L495" s="57" t="n">
        <x:v>91.03112319308318</x:v>
      </x:c>
    </x:row>
    <x:row r="496" ht="32.400001525878906" hidden="0" customHeight="1">
      <x:c r="A496" s="27" t="str">
        <x:v>Harris County, Texas</x:v>
      </x:c>
      <x:c r="B496" s="27" t="str">
        <x:v>48201411504</x:v>
      </x:c>
      <x:c r="C496" s="50" t="n">
        <x:v>2669</x:v>
      </x:c>
      <x:c r="D496" s="50" t="n">
        <x:v>108</x:v>
      </x:c>
      <x:c r="E496" s="50" t="n">
        <x:v>125</x:v>
      </x:c>
      <x:c r="F496" s="37" t="n">
        <x:v>0.040464593480704386</x:v>
      </x:c>
      <x:c r="G496" s="37" t="n">
        <x:v>0.04683402023229674</x:v>
      </x:c>
      <x:c r="H496" s="56" t="n">
        <x:v>2719.3</x:v>
      </x:c>
      <x:c r="I496" s="56" t="n">
        <x:v>0.36</x:v>
      </x:c>
      <x:c r="J496" s="56" t="n">
        <x:v>21.887472106931924</x:v>
      </x:c>
      <x:c r="K496" s="56" t="n">
        <x:v>62.831208160397885</x:v>
      </x:c>
      <x:c r="L496" s="56" t="n">
        <x:v>91.90172594342556</x:v>
      </x:c>
    </x:row>
    <x:row r="497" ht="32.400001525878906" hidden="0" customHeight="1">
      <x:c r="A497" s="29" t="str">
        <x:v>Harris County, Texas</x:v>
      </x:c>
      <x:c r="B497" s="29" t="str">
        <x:v>48201411505</x:v>
      </x:c>
      <x:c r="C497" s="51" t="n">
        <x:v>3303</x:v>
      </x:c>
      <x:c r="D497" s="51" t="n">
        <x:v>212</x:v>
      </x:c>
      <x:c r="E497" s="51" t="n">
        <x:v>389.5</x:v>
      </x:c>
      <x:c r="F497" s="38" t="n">
        <x:v>0.06418407508325764</x:v>
      </x:c>
      <x:c r="G497" s="38" t="n">
        <x:v>0.11792310021192855</x:v>
      </x:c>
      <x:c r="H497" s="57" t="n">
        <x:v>3416.1500000000005</x:v>
      </x:c>
      <x:c r="I497" s="57" t="n">
        <x:v>0.329</x:v>
      </x:c>
      <x:c r="J497" s="57" t="n">
        <x:v>22.382438524851423</x:v>
      </x:c>
      <x:c r="K497" s="57" t="n">
        <x:v>63.573657787277135</x:v>
      </x:c>
      <x:c r="L497" s="57" t="n">
        <x:v>92.96236826753876</x:v>
      </x:c>
    </x:row>
    <x:row r="498" ht="32.400001525878906" hidden="0" customHeight="1">
      <x:c r="A498" s="27" t="str">
        <x:v>Harris County, Texas</x:v>
      </x:c>
      <x:c r="B498" s="27" t="str">
        <x:v>48201411506</x:v>
      </x:c>
      <x:c r="C498" s="50" t="n">
        <x:v>2967</x:v>
      </x:c>
      <x:c r="D498" s="50" t="n">
        <x:v>195</x:v>
      </x:c>
      <x:c r="E498" s="50" t="n">
        <x:v>218</x:v>
      </x:c>
      <x:c r="F498" s="37" t="n">
        <x:v>0.06572295247724974</x:v>
      </x:c>
      <x:c r="G498" s="37" t="n">
        <x:v>0.07347489046174586</x:v>
      </x:c>
      <x:c r="H498" s="56" t="n">
        <x:v>3057.05</x:v>
      </x:c>
      <x:c r="I498" s="56" t="n">
        <x:v>0.145</x:v>
      </x:c>
      <x:c r="J498" s="56" t="n">
        <x:v>21.803281003749916</x:v>
      </x:c>
      <x:c r="K498" s="56" t="n">
        <x:v>62.704921505624874</x:v>
      </x:c>
      <x:c r="L498" s="56" t="n">
        <x:v>91.72131643660697</x:v>
      </x:c>
    </x:row>
    <x:row r="499" ht="32.400001525878906" hidden="0" customHeight="1">
      <x:c r="A499" s="29" t="str">
        <x:v>Harris County, Texas</x:v>
      </x:c>
      <x:c r="B499" s="29" t="str">
        <x:v>48201411507</x:v>
      </x:c>
      <x:c r="C499" s="51" t="n">
        <x:v>2167</x:v>
      </x:c>
      <x:c r="D499" s="51" t="n">
        <x:v>653</x:v>
      </x:c>
      <x:c r="E499" s="51" t="n">
        <x:v>76</x:v>
      </x:c>
      <x:c r="F499" s="38" t="n">
        <x:v>0.30133825565297645</x:v>
      </x:c>
      <x:c r="G499" s="38" t="n">
        <x:v>0.03507152745731426</x:v>
      </x:c>
      <x:c r="H499" s="57" t="n">
        <x:v>2403.1499999999996</x:v>
      </x:c>
      <x:c r="I499" s="57" t="n">
        <x:v>0.117</x:v>
      </x:c>
      <x:c r="J499" s="57" t="n">
        <x:v>22.49375255438502</x:v>
      </x:c>
      <x:c r="K499" s="57" t="n">
        <x:v>63.740628831577524</x:v>
      </x:c>
      <x:c r="L499" s="57" t="n">
        <x:v>93.20089833082504</x:v>
      </x:c>
    </x:row>
    <x:row r="500" ht="32.400001525878906" hidden="0" customHeight="1">
      <x:c r="A500" s="27" t="str">
        <x:v>Harris County, Texas</x:v>
      </x:c>
      <x:c r="B500" s="27" t="str">
        <x:v>48201411600</x:v>
      </x:c>
      <x:c r="C500" s="50" t="n">
        <x:v>2806</x:v>
      </x:c>
      <x:c r="D500" s="50" t="n">
        <x:v>208</x:v>
      </x:c>
      <x:c r="E500" s="50" t="n">
        <x:v>25</x:v>
      </x:c>
      <x:c r="F500" s="37" t="n">
        <x:v>0.07412687099073414</x:v>
      </x:c>
      <x:c r="G500" s="37" t="n">
        <x:v>0.008909479686386316</x:v>
      </x:c>
      <x:c r="H500" s="56" t="n">
        <x:v>2881.2999999999997</x:v>
      </x:c>
      <x:c r="I500" s="56" t="n">
        <x:v>0.527</x:v>
      </x:c>
      <x:c r="J500" s="56" t="n">
        <x:v>22.791404260675055</x:v>
      </x:c>
      <x:c r="K500" s="56" t="n">
        <x:v>64.18710639101258</x:v>
      </x:c>
      <x:c r="L500" s="56" t="n">
        <x:v>93.83872341573226</x:v>
      </x:c>
    </x:row>
    <x:row r="501" ht="32.400001525878906" hidden="0" customHeight="1">
      <x:c r="A501" s="29" t="str">
        <x:v>Harris County, Texas</x:v>
      </x:c>
      <x:c r="B501" s="29" t="str">
        <x:v>48201411700</x:v>
      </x:c>
      <x:c r="C501" s="51" t="n">
        <x:v>3516</x:v>
      </x:c>
      <x:c r="D501" s="51" t="n">
        <x:v>475</x:v>
      </x:c>
      <x:c r="E501" s="51" t="n">
        <x:v>141</x:v>
      </x:c>
      <x:c r="F501" s="38" t="n">
        <x:v>0.1350967007963595</x:v>
      </x:c>
      <x:c r="G501" s="38" t="n">
        <x:v>0.04010238907849829</x:v>
      </x:c>
      <x:c r="H501" s="57" t="n">
        <x:v>3696.35</x:v>
      </x:c>
      <x:c r="I501" s="57" t="n">
        <x:v>0.467</x:v>
      </x:c>
      <x:c r="J501" s="57" t="n">
        <x:v>21.26935375353159</x:v>
      </x:c>
      <x:c r="K501" s="57" t="n">
        <x:v>61.904030630297385</x:v>
      </x:c>
      <x:c r="L501" s="57" t="n">
        <x:v>90.57718661471054</x:v>
      </x:c>
    </x:row>
    <x:row r="502" ht="32.400001525878906" hidden="0" customHeight="1">
      <x:c r="A502" s="27" t="str">
        <x:v>Harris County, Texas</x:v>
      </x:c>
      <x:c r="B502" s="27" t="str">
        <x:v>48201411801</x:v>
      </x:c>
      <x:c r="C502" s="50" t="n">
        <x:v>3825</x:v>
      </x:c>
      <x:c r="D502" s="50" t="n">
        <x:v>283</x:v>
      </x:c>
      <x:c r="E502" s="50" t="n">
        <x:v>129</x:v>
      </x:c>
      <x:c r="F502" s="37" t="n">
        <x:v>0.07398692810457516</x:v>
      </x:c>
      <x:c r="G502" s="37" t="n">
        <x:v>0.03372549019607843</x:v>
      </x:c>
      <x:c r="H502" s="56" t="n">
        <x:v>3936.95</x:v>
      </x:c>
      <x:c r="I502" s="56" t="n">
        <x:v>0.472</x:v>
      </x:c>
      <x:c r="J502" s="56" t="n">
        <x:v>20.79930955122348</x:v>
      </x:c>
      <x:c r="K502" s="56" t="n">
        <x:v>61.198964326835224</x:v>
      </x:c>
      <x:c r="L502" s="56" t="n">
        <x:v>89.56994903833603</x:v>
      </x:c>
    </x:row>
    <x:row r="503" ht="32.400001525878906" hidden="0" customHeight="1">
      <x:c r="A503" s="29" t="str">
        <x:v>Harris County, Texas</x:v>
      </x:c>
      <x:c r="B503" s="29" t="str">
        <x:v>48201411802</x:v>
      </x:c>
      <x:c r="C503" s="51" t="n">
        <x:v>2196</x:v>
      </x:c>
      <x:c r="D503" s="51" t="n">
        <x:v>394</x:v>
      </x:c>
      <x:c r="E503" s="51" t="n">
        <x:v>365</x:v>
      </x:c>
      <x:c r="F503" s="38" t="n">
        <x:v>0.17941712204007285</x:v>
      </x:c>
      <x:c r="G503" s="38" t="n">
        <x:v>0.1662112932604736</x:v>
      </x:c>
      <x:c r="H503" s="57" t="n">
        <x:v>2370.4000000000005</x:v>
      </x:c>
      <x:c r="I503" s="57" t="n">
        <x:v>0.359</x:v>
      </x:c>
      <x:c r="J503" s="57" t="n">
        <x:v>20.394723938124947</x:v>
      </x:c>
      <x:c r="K503" s="57" t="n">
        <x:v>60.59208590718742</x:v>
      </x:c>
      <x:c r="L503" s="57" t="n">
        <x:v>88.70297986741059</x:v>
      </x:c>
    </x:row>
    <x:row r="504" ht="32.400001525878906" hidden="0" customHeight="1">
      <x:c r="A504" s="27" t="str">
        <x:v>Harris County, Texas</x:v>
      </x:c>
      <x:c r="B504" s="27" t="str">
        <x:v>48201411901</x:v>
      </x:c>
      <x:c r="C504" s="50" t="n">
        <x:v>2182</x:v>
      </x:c>
      <x:c r="D504" s="50" t="n">
        <x:v>141</x:v>
      </x:c>
      <x:c r="E504" s="50" t="n">
        <x:v>0</x:v>
      </x:c>
      <x:c r="F504" s="37" t="n">
        <x:v>0.06461961503208066</x:v>
      </x:c>
      <x:c r="G504" s="37" t="n">
        <x:v>0</x:v>
      </x:c>
      <x:c r="H504" s="56" t="n">
        <x:v>2231.35</x:v>
      </x:c>
      <x:c r="I504" s="56" t="n">
        <x:v>0.374</x:v>
      </x:c>
      <x:c r="J504" s="56" t="n">
        <x:v>20.170266954478926</x:v>
      </x:c>
      <x:c r="K504" s="56" t="n">
        <x:v>60.25540043171839</x:v>
      </x:c>
      <x:c r="L504" s="56" t="n">
        <x:v>88.22200061674056</x:v>
      </x:c>
    </x:row>
    <x:row r="505" ht="32.400001525878906" hidden="0" customHeight="1">
      <x:c r="A505" s="29" t="str">
        <x:v>Harris County, Texas</x:v>
      </x:c>
      <x:c r="B505" s="29" t="str">
        <x:v>48201411902</x:v>
      </x:c>
      <x:c r="C505" s="51" t="n">
        <x:v>2391</x:v>
      </x:c>
      <x:c r="D505" s="51" t="n">
        <x:v>131</x:v>
      </x:c>
      <x:c r="E505" s="51" t="n">
        <x:v>360.5</x:v>
      </x:c>
      <x:c r="F505" s="38" t="n">
        <x:v>0.054788791300711</x:v>
      </x:c>
      <x:c r="G505" s="38" t="n">
        <x:v>0.15077373483897952</x:v>
      </x:c>
      <x:c r="H505" s="57" t="n">
        <x:v>2472.9000000000005</x:v>
      </x:c>
      <x:c r="I505" s="57" t="n">
        <x:v>0.325</x:v>
      </x:c>
      <x:c r="J505" s="57" t="n">
        <x:v>19.74645707526107</x:v>
      </x:c>
      <x:c r="K505" s="57" t="n">
        <x:v>59.61968561289161</x:v>
      </x:c>
      <x:c r="L505" s="57" t="n">
        <x:v>87.31383658984515</x:v>
      </x:c>
    </x:row>
    <x:row r="506" ht="32.400001525878906" hidden="0" customHeight="1">
      <x:c r="A506" s="27" t="str">
        <x:v>Harris County, Texas</x:v>
      </x:c>
      <x:c r="B506" s="27" t="str">
        <x:v>48201412000</x:v>
      </x:c>
      <x:c r="C506" s="50" t="n">
        <x:v>3819</x:v>
      </x:c>
      <x:c r="D506" s="50" t="n">
        <x:v>376</x:v>
      </x:c>
      <x:c r="E506" s="50" t="n">
        <x:v>143</x:v>
      </x:c>
      <x:c r="F506" s="37" t="n">
        <x:v>0.09845509295627128</x:v>
      </x:c>
      <x:c r="G506" s="37" t="n">
        <x:v>0.03744435716156062</x:v>
      </x:c>
      <x:c r="H506" s="56" t="n">
        <x:v>3964.9</x:v>
      </x:c>
      <x:c r="I506" s="56" t="n">
        <x:v>0.577</x:v>
      </x:c>
      <x:c r="J506" s="56" t="n">
        <x:v>19.221340019824726</x:v>
      </x:c>
      <x:c r="K506" s="56" t="n">
        <x:v>58.83201002973709</x:v>
      </x:c>
      <x:c r="L506" s="56" t="n">
        <x:v>86.18858575676728</x:v>
      </x:c>
    </x:row>
    <x:row r="507" ht="32.400001525878906" hidden="0" customHeight="1">
      <x:c r="A507" s="29" t="str">
        <x:v>Harris County, Texas</x:v>
      </x:c>
      <x:c r="B507" s="29" t="str">
        <x:v>48201412201</x:v>
      </x:c>
      <x:c r="C507" s="51" t="n">
        <x:v>2331</x:v>
      </x:c>
      <x:c r="D507" s="51" t="n">
        <x:v>92</x:v>
      </x:c>
      <x:c r="E507" s="51" t="n">
        <x:v>190</x:v>
      </x:c>
      <x:c r="F507" s="38" t="n">
        <x:v>0.039468039468039465</x:v>
      </x:c>
      <x:c r="G507" s="38" t="n">
        <x:v>0.08151008151008152</x:v>
      </x:c>
      <x:c r="H507" s="57" t="n">
        <x:v>2382.2</x:v>
      </x:c>
      <x:c r="I507" s="57" t="n">
        <x:v>0.373</x:v>
      </x:c>
      <x:c r="J507" s="57" t="n">
        <x:v>17.349193186188817</x:v>
      </x:c>
      <x:c r="K507" s="57" t="n">
        <x:v>56.02378977928323</x:v>
      </x:c>
      <x:c r="L507" s="57" t="n">
        <x:v>82.17684254183318</x:v>
      </x:c>
    </x:row>
    <x:row r="508" ht="32.400001525878906" hidden="0" customHeight="1">
      <x:c r="A508" s="27" t="str">
        <x:v>Harris County, Texas</x:v>
      </x:c>
      <x:c r="B508" s="27" t="str">
        <x:v>48201412202</x:v>
      </x:c>
      <x:c r="C508" s="50" t="n">
        <x:v>3496</x:v>
      </x:c>
      <x:c r="D508" s="50" t="n">
        <x:v>149</x:v>
      </x:c>
      <x:c r="E508" s="50" t="n">
        <x:v>235</x:v>
      </x:c>
      <x:c r="F508" s="37" t="n">
        <x:v>0.04262013729977117</x:v>
      </x:c>
      <x:c r="G508" s="37" t="n">
        <x:v>0.06721967963386728</x:v>
      </x:c>
      <x:c r="H508" s="56" t="n">
        <x:v>3571.65</x:v>
      </x:c>
      <x:c r="I508" s="56" t="n">
        <x:v>0.552</x:v>
      </x:c>
      <x:c r="J508" s="56" t="n">
        <x:v>16.96109441052636</x:v>
      </x:c>
      <x:c r="K508" s="56" t="n">
        <x:v>55.44164161578954</x:v>
      </x:c>
      <x:c r="L508" s="56" t="n">
        <x:v>81.34520230827077</x:v>
      </x:c>
    </x:row>
    <x:row r="509" ht="32.400001525878906" hidden="0" customHeight="1">
      <x:c r="A509" s="29" t="str">
        <x:v>Harris County, Texas</x:v>
      </x:c>
      <x:c r="B509" s="29" t="str">
        <x:v>48201412300</x:v>
      </x:c>
      <x:c r="C509" s="51" t="n">
        <x:v>6959</x:v>
      </x:c>
      <x:c r="D509" s="51" t="n">
        <x:v>312</x:v>
      </x:c>
      <x:c r="E509" s="51" t="n">
        <x:v>0</x:v>
      </x:c>
      <x:c r="F509" s="38" t="n">
        <x:v>0.044834027877568614</x:v>
      </x:c>
      <x:c r="G509" s="38" t="n">
        <x:v>0</x:v>
      </x:c>
      <x:c r="H509" s="57" t="n">
        <x:v>7068.200000000001</x:v>
      </x:c>
      <x:c r="I509" s="57" t="n">
        <x:v>0.919</x:v>
      </x:c>
      <x:c r="J509" s="57" t="n">
        <x:v>18.741121684445496</x:v>
      </x:c>
      <x:c r="K509" s="57" t="n">
        <x:v>58.11168252666825</x:v>
      </x:c>
      <x:c r="L509" s="57" t="n">
        <x:v>85.15954646666893</x:v>
      </x:c>
    </x:row>
    <x:row r="510" ht="32.400001525878906" hidden="0" customHeight="1">
      <x:c r="A510" s="27" t="str">
        <x:v>Harris County, Texas</x:v>
      </x:c>
      <x:c r="B510" s="27" t="str">
        <x:v>48201412400</x:v>
      </x:c>
      <x:c r="C510" s="50" t="n">
        <x:v>4525</x:v>
      </x:c>
      <x:c r="D510" s="50" t="n">
        <x:v>144</x:v>
      </x:c>
      <x:c r="E510" s="50" t="n">
        <x:v>8</x:v>
      </x:c>
      <x:c r="F510" s="37" t="n">
        <x:v>0.031823204419889506</x:v>
      </x:c>
      <x:c r="G510" s="37" t="n">
        <x:v>0.0017679558011049724</x:v>
      </x:c>
      <x:c r="H510" s="56" t="n">
        <x:v>4576.199999999999</x:v>
      </x:c>
      <x:c r="I510" s="56" t="n">
        <x:v>0.652</x:v>
      </x:c>
      <x:c r="J510" s="56" t="n">
        <x:v>19.22887096007224</x:v>
      </x:c>
      <x:c r="K510" s="56" t="n">
        <x:v>58.84330644010836</x:v>
      </x:c>
      <x:c r="L510" s="56" t="n">
        <x:v>86.20472348586908</x:v>
      </x:c>
    </x:row>
    <x:row r="511" ht="32.400001525878906" hidden="0" customHeight="1">
      <x:c r="A511" s="29" t="str">
        <x:v>Harris County, Texas</x:v>
      </x:c>
      <x:c r="B511" s="29" t="str">
        <x:v>48201412500</x:v>
      </x:c>
      <x:c r="C511" s="51" t="n">
        <x:v>1706</x:v>
      </x:c>
      <x:c r="D511" s="51" t="n">
        <x:v>119</x:v>
      </x:c>
      <x:c r="E511" s="51" t="n">
        <x:v>42</x:v>
      </x:c>
      <x:c r="F511" s="38" t="n">
        <x:v>0.0697538100820633</x:v>
      </x:c>
      <x:c r="G511" s="38" t="n">
        <x:v>0.0246189917936694</x:v>
      </x:c>
      <x:c r="H511" s="57" t="n">
        <x:v>1751.85</x:v>
      </x:c>
      <x:c r="I511" s="57" t="n">
        <x:v>0.249</x:v>
      </x:c>
      <x:c r="J511" s="57" t="n">
        <x:v>18.177532345128846</x:v>
      </x:c>
      <x:c r="K511" s="57" t="n">
        <x:v>57.26629851769327</x:v>
      </x:c>
      <x:c r="L511" s="57" t="n">
        <x:v>83.9518550252761</x:v>
      </x:c>
    </x:row>
    <x:row r="512" ht="32.400001525878906" hidden="0" customHeight="1">
      <x:c r="A512" s="27" t="str">
        <x:v>Harris County, Texas</x:v>
      </x:c>
      <x:c r="B512" s="27" t="str">
        <x:v>48201412600</x:v>
      </x:c>
      <x:c r="C512" s="50" t="n">
        <x:v>3850</x:v>
      </x:c>
      <x:c r="D512" s="50" t="n">
        <x:v>198</x:v>
      </x:c>
      <x:c r="E512" s="50" t="n">
        <x:v>139</x:v>
      </x:c>
      <x:c r="F512" s="37" t="n">
        <x:v>0.05142857142857143</x:v>
      </x:c>
      <x:c r="G512" s="37" t="n">
        <x:v>0.0361038961038961</x:v>
      </x:c>
      <x:c r="H512" s="56" t="n">
        <x:v>3933.2000000000003</x:v>
      </x:c>
      <x:c r="I512" s="56" t="n">
        <x:v>0.468</x:v>
      </x:c>
      <x:c r="J512" s="56" t="n">
        <x:v>19.4637982801975</x:v>
      </x:c>
      <x:c r="K512" s="56" t="n">
        <x:v>59.19569742029625</x:v>
      </x:c>
      <x:c r="L512" s="56" t="n">
        <x:v>86.70813917185178</x:v>
      </x:c>
    </x:row>
    <x:row r="513" ht="32.400001525878906" hidden="0" customHeight="1">
      <x:c r="A513" s="29" t="str">
        <x:v>Harris County, Texas</x:v>
      </x:c>
      <x:c r="B513" s="29" t="str">
        <x:v>48201412700</x:v>
      </x:c>
      <x:c r="C513" s="51" t="n">
        <x:v>3135</x:v>
      </x:c>
      <x:c r="D513" s="51" t="n">
        <x:v>228</x:v>
      </x:c>
      <x:c r="E513" s="51" t="n">
        <x:v>93</x:v>
      </x:c>
      <x:c r="F513" s="38" t="n">
        <x:v>0.07272727272727272</x:v>
      </x:c>
      <x:c r="G513" s="38" t="n">
        <x:v>0.02966507177033493</x:v>
      </x:c>
      <x:c r="H513" s="57" t="n">
        <x:v>3224.1</x:v>
      </x:c>
      <x:c r="I513" s="57" t="n">
        <x:v>0.794</x:v>
      </x:c>
      <x:c r="J513" s="57" t="n">
        <x:v>19.778930453941737</x:v>
      </x:c>
      <x:c r="K513" s="57" t="n">
        <x:v>59.66839568091261</x:v>
      </x:c>
      <x:c r="L513" s="57" t="n">
        <x:v>87.38342240130373</x:v>
      </x:c>
    </x:row>
    <x:row r="514" ht="32.400001525878906" hidden="0" customHeight="1">
      <x:c r="A514" s="27" t="str">
        <x:v>Harris County, Texas</x:v>
      </x:c>
      <x:c r="B514" s="27" t="str">
        <x:v>48201412800</x:v>
      </x:c>
      <x:c r="C514" s="50" t="n">
        <x:v>5018</x:v>
      </x:c>
      <x:c r="D514" s="50" t="n">
        <x:v>211</x:v>
      </x:c>
      <x:c r="E514" s="50" t="n">
        <x:v>90</x:v>
      </x:c>
      <x:c r="F514" s="37" t="n">
        <x:v>0.04204862495017935</x:v>
      </x:c>
      <x:c r="G514" s="37" t="n">
        <x:v>0.017935432443204464</x:v>
      </x:c>
      <x:c r="H514" s="56" t="n">
        <x:v>5100.849999999999</x:v>
      </x:c>
      <x:c r="I514" s="56" t="n">
        <x:v>0.787</x:v>
      </x:c>
      <x:c r="J514" s="56" t="n">
        <x:v>17.71270860432773</x:v>
      </x:c>
      <x:c r="K514" s="56" t="n">
        <x:v>56.569062906491595</x:v>
      </x:c>
      <x:c r="L514" s="56" t="n">
        <x:v>82.95580415213084</x:v>
      </x:c>
    </x:row>
    <x:row r="515" ht="32.400001525878906" hidden="0" customHeight="1">
      <x:c r="A515" s="29" t="str">
        <x:v>Harris County, Texas</x:v>
      </x:c>
      <x:c r="B515" s="29" t="str">
        <x:v>48201412901</x:v>
      </x:c>
      <x:c r="C515" s="51" t="n">
        <x:v>1916</x:v>
      </x:c>
      <x:c r="D515" s="51" t="n">
        <x:v>300</x:v>
      </x:c>
      <x:c r="E515" s="51" t="n">
        <x:v>118</x:v>
      </x:c>
      <x:c r="F515" s="38" t="n">
        <x:v>0.15657620041753653</x:v>
      </x:c>
      <x:c r="G515" s="38" t="n">
        <x:v>0.061586638830897704</x:v>
      </x:c>
      <x:c r="H515" s="57" t="n">
        <x:v>2032.8</x:v>
      </x:c>
      <x:c r="I515" s="57" t="n">
        <x:v>0.312</x:v>
      </x:c>
      <x:c r="J515" s="57" t="n">
        <x:v>16.000613740317203</x:v>
      </x:c>
      <x:c r="K515" s="57" t="n">
        <x:v>54.0009206104758</x:v>
      </x:c>
      <x:c r="L515" s="57" t="n">
        <x:v>79.28702944353687</x:v>
      </x:c>
    </x:row>
    <x:row r="516" ht="32.400001525878906" hidden="0" customHeight="1">
      <x:c r="A516" s="27" t="str">
        <x:v>Harris County, Texas</x:v>
      </x:c>
      <x:c r="B516" s="27" t="str">
        <x:v>48201412902</x:v>
      </x:c>
      <x:c r="C516" s="50" t="n">
        <x:v>2995</x:v>
      </x:c>
      <x:c r="D516" s="50" t="n">
        <x:v>545</x:v>
      </x:c>
      <x:c r="E516" s="50" t="n">
        <x:v>424.5</x:v>
      </x:c>
      <x:c r="F516" s="37" t="n">
        <x:v>0.18196994991652754</x:v>
      </x:c>
      <x:c r="G516" s="37" t="n">
        <x:v>0.14173622704507513</x:v>
      </x:c>
      <x:c r="H516" s="56" t="n">
        <x:v>3228.2</x:v>
      </x:c>
      <x:c r="I516" s="56" t="n">
        <x:v>0.472</x:v>
      </x:c>
      <x:c r="J516" s="56" t="n">
        <x:v>15.643541268836923</x:v>
      </x:c>
      <x:c r="K516" s="56" t="n">
        <x:v>53.46531190325538</x:v>
      </x:c>
      <x:c r="L516" s="56" t="n">
        <x:v>78.5218741475077</x:v>
      </x:c>
    </x:row>
    <x:row r="517" ht="32.400001525878906" hidden="0" customHeight="1">
      <x:c r="A517" s="29" t="str">
        <x:v>Harris County, Texas</x:v>
      </x:c>
      <x:c r="B517" s="29" t="str">
        <x:v>48201413000</x:v>
      </x:c>
      <x:c r="C517" s="51" t="n">
        <x:v>3111</x:v>
      </x:c>
      <x:c r="D517" s="51" t="n">
        <x:v>491</x:v>
      </x:c>
      <x:c r="E517" s="51" t="n">
        <x:v>58</x:v>
      </x:c>
      <x:c r="F517" s="38" t="n">
        <x:v>0.15782706525233045</x:v>
      </x:c>
      <x:c r="G517" s="38" t="n">
        <x:v>0.01864352298296368</x:v>
      </x:c>
      <x:c r="H517" s="57" t="n">
        <x:v>3288.65</x:v>
      </x:c>
      <x:c r="I517" s="57" t="n">
        <x:v>0.618</x:v>
      </x:c>
      <x:c r="J517" s="57" t="n">
        <x:v>16.966026144378908</x:v>
      </x:c>
      <x:c r="K517" s="57" t="n">
        <x:v>55.449039216568366</x:v>
      </x:c>
      <x:c r="L517" s="57" t="n">
        <x:v>81.35577030938337</x:v>
      </x:c>
    </x:row>
    <x:row r="518" ht="32.400001525878906" hidden="0" customHeight="1">
      <x:c r="A518" s="27" t="str">
        <x:v>Harris County, Texas</x:v>
      </x:c>
      <x:c r="B518" s="27" t="str">
        <x:v>48201413100</x:v>
      </x:c>
      <x:c r="C518" s="50" t="n">
        <x:v>3346</x:v>
      </x:c>
      <x:c r="D518" s="50" t="n">
        <x:v>203</x:v>
      </x:c>
      <x:c r="E518" s="50" t="n">
        <x:v>0</x:v>
      </x:c>
      <x:c r="F518" s="37" t="n">
        <x:v>0.060669456066945605</x:v>
      </x:c>
      <x:c r="G518" s="37" t="n">
        <x:v>0</x:v>
      </x:c>
      <x:c r="H518" s="56" t="n">
        <x:v>3417.0499999999997</x:v>
      </x:c>
      <x:c r="I518" s="56" t="n">
        <x:v>0.551</x:v>
      </x:c>
      <x:c r="J518" s="56" t="n">
        <x:v>16.60843909032198</x:v>
      </x:c>
      <x:c r="K518" s="56" t="n">
        <x:v>54.91265863548297</x:v>
      </x:c>
      <x:c r="L518" s="56" t="n">
        <x:v>80.58951233640424</x:v>
      </x:c>
    </x:row>
    <x:row r="519" ht="32.400001525878906" hidden="0" customHeight="1">
      <x:c r="A519" s="29" t="str">
        <x:v>Harris County, Texas</x:v>
      </x:c>
      <x:c r="B519" s="29" t="str">
        <x:v>48201413203</x:v>
      </x:c>
      <x:c r="C519" s="51" t="n">
        <x:v>1874</x:v>
      </x:c>
      <x:c r="D519" s="51" t="n">
        <x:v>335</x:v>
      </x:c>
      <x:c r="E519" s="51" t="n">
        <x:v>304</x:v>
      </x:c>
      <x:c r="F519" s="38" t="n">
        <x:v>0.17876200640341516</x:v>
      </x:c>
      <x:c r="G519" s="38" t="n">
        <x:v>0.1622198505869797</x:v>
      </x:c>
      <x:c r="H519" s="57" t="n">
        <x:v>2021.65</x:v>
      </x:c>
      <x:c r="I519" s="57" t="n">
        <x:v>0.095</x:v>
      </x:c>
      <x:c r="J519" s="57" t="n">
        <x:v>16.996040923189977</x:v>
      </x:c>
      <x:c r="K519" s="57" t="n">
        <x:v>55.49406138478496</x:v>
      </x:c>
      <x:c r="L519" s="57" t="n">
        <x:v>81.42008769254994</x:v>
      </x:c>
    </x:row>
    <x:row r="520" ht="32.400001525878906" hidden="0" customHeight="1">
      <x:c r="A520" s="27" t="str">
        <x:v>Harris County, Texas</x:v>
      </x:c>
      <x:c r="B520" s="27" t="str">
        <x:v>48201413204</x:v>
      </x:c>
      <x:c r="C520" s="50" t="n">
        <x:v>1061</x:v>
      </x:c>
      <x:c r="D520" s="50" t="n">
        <x:v>195</x:v>
      </x:c>
      <x:c r="E520" s="50" t="n">
        <x:v>288</x:v>
      </x:c>
      <x:c r="F520" s="37" t="n">
        <x:v>0.18378887841658811</x:v>
      </x:c>
      <x:c r="G520" s="37" t="n">
        <x:v>0.2714420358152686</x:v>
      </x:c>
      <x:c r="H520" s="56" t="n">
        <x:v>1158.05</x:v>
      </x:c>
      <x:c r="I520" s="56" t="n">
        <x:v>0.086</x:v>
      </x:c>
      <x:c r="J520" s="56" t="n">
        <x:v>16.369160850132726</x:v>
      </x:c>
      <x:c r="K520" s="56" t="n">
        <x:v>54.55374127519909</x:v>
      </x:c>
      <x:c r="L520" s="56" t="n">
        <x:v>80.07677325028442</x:v>
      </x:c>
    </x:row>
    <x:row r="521" ht="32.400001525878906" hidden="0" customHeight="1">
      <x:c r="A521" s="29" t="str">
        <x:v>Harris County, Texas</x:v>
      </x:c>
      <x:c r="B521" s="29" t="str">
        <x:v>48201413205</x:v>
      </x:c>
      <x:c r="C521" s="51" t="n">
        <x:v>1503</x:v>
      </x:c>
      <x:c r="D521" s="51" t="n">
        <x:v>96</x:v>
      </x:c>
      <x:c r="E521" s="51" t="n">
        <x:v>70</x:v>
      </x:c>
      <x:c r="F521" s="38" t="n">
        <x:v>0.06387225548902195</x:v>
      </x:c>
      <x:c r="G521" s="38" t="n">
        <x:v>0.046573519627411845</x:v>
      </x:c>
      <x:c r="H521" s="57" t="n">
        <x:v>1543.5999999999997</x:v>
      </x:c>
      <x:c r="I521" s="57" t="n">
        <x:v>0.116</x:v>
      </x:c>
      <x:c r="J521" s="57" t="n">
        <x:v>16.793793307306064</x:v>
      </x:c>
      <x:c r="K521" s="57" t="n">
        <x:v>55.1906899609591</x:v>
      </x:c>
      <x:c r="L521" s="57" t="n">
        <x:v>80.98669994422728</x:v>
      </x:c>
    </x:row>
    <x:row r="522" ht="32.400001525878906" hidden="0" customHeight="1">
      <x:c r="A522" s="27" t="str">
        <x:v>Harris County, Texas</x:v>
      </x:c>
      <x:c r="B522" s="27" t="str">
        <x:v>48201413206</x:v>
      </x:c>
      <x:c r="C522" s="50" t="n">
        <x:v>2653</x:v>
      </x:c>
      <x:c r="D522" s="50" t="n">
        <x:v>172</x:v>
      </x:c>
      <x:c r="E522" s="50" t="n">
        <x:v>100</x:v>
      </x:c>
      <x:c r="F522" s="37" t="n">
        <x:v>0.06483226535996985</x:v>
      </x:c>
      <x:c r="G522" s="37" t="n">
        <x:v>0.03769317753486619</x:v>
      </x:c>
      <x:c r="H522" s="56" t="n">
        <x:v>2723.2</x:v>
      </x:c>
      <x:c r="I522" s="56" t="n">
        <x:v>0.102</x:v>
      </x:c>
      <x:c r="J522" s="56" t="n">
        <x:v>16.035599243778258</x:v>
      </x:c>
      <x:c r="K522" s="56" t="n">
        <x:v>54.05339886566739</x:v>
      </x:c>
      <x:c r="L522" s="56" t="n">
        <x:v>79.36199837952483</x:v>
      </x:c>
    </x:row>
    <x:row r="523" ht="32.400001525878906" hidden="0" customHeight="1">
      <x:c r="A523" s="29" t="str">
        <x:v>Harris County, Texas</x:v>
      </x:c>
      <x:c r="B523" s="29" t="str">
        <x:v>48201413301</x:v>
      </x:c>
      <x:c r="C523" s="51" t="n">
        <x:v>5145</x:v>
      </x:c>
      <x:c r="D523" s="51" t="n">
        <x:v>609</x:v>
      </x:c>
      <x:c r="E523" s="51" t="n">
        <x:v>1068</x:v>
      </x:c>
      <x:c r="F523" s="38" t="n">
        <x:v>0.11836734693877551</x:v>
      </x:c>
      <x:c r="G523" s="38" t="n">
        <x:v>0.2075801749271137</x:v>
      </x:c>
      <x:c r="H523" s="57" t="n">
        <x:v>5464.95</x:v>
      </x:c>
      <x:c r="I523" s="57" t="n">
        <x:v>0.546</x:v>
      </x:c>
      <x:c r="J523" s="57" t="n">
        <x:v>15.063268017869104</x:v>
      </x:c>
      <x:c r="K523" s="57" t="n">
        <x:v>52.59490202680366</x:v>
      </x:c>
      <x:c r="L523" s="57" t="n">
        <x:v>77.27843146686237</x:v>
      </x:c>
    </x:row>
    <x:row r="524" ht="32.400001525878906" hidden="0" customHeight="1">
      <x:c r="A524" s="27" t="str">
        <x:v>Harris County, Texas</x:v>
      </x:c>
      <x:c r="B524" s="27" t="str">
        <x:v>48201413302</x:v>
      </x:c>
      <x:c r="C524" s="50" t="n">
        <x:v>3768</x:v>
      </x:c>
      <x:c r="D524" s="50" t="n">
        <x:v>407</x:v>
      </x:c>
      <x:c r="E524" s="50" t="n">
        <x:v>0</x:v>
      </x:c>
      <x:c r="F524" s="37" t="n">
        <x:v>0.10801486199575372</x:v>
      </x:c>
      <x:c r="G524" s="37" t="n">
        <x:v>0</x:v>
      </x:c>
      <x:c r="H524" s="56" t="n">
        <x:v>3910.45</x:v>
      </x:c>
      <x:c r="I524" s="56" t="n">
        <x:v>0.675</x:v>
      </x:c>
      <x:c r="J524" s="56" t="n">
        <x:v>14.804612697811313</x:v>
      </x:c>
      <x:c r="K524" s="56" t="n">
        <x:v>52.20691904671697</x:v>
      </x:c>
      <x:c r="L524" s="56" t="n">
        <x:v>76.72417006673854</x:v>
      </x:c>
    </x:row>
    <x:row r="525" ht="32.400001525878906" hidden="0" customHeight="1">
      <x:c r="A525" s="29" t="str">
        <x:v>Harris County, Texas</x:v>
      </x:c>
      <x:c r="B525" s="29" t="str">
        <x:v>48201420100</x:v>
      </x:c>
      <x:c r="C525" s="51" t="n">
        <x:v>2769</x:v>
      </x:c>
      <x:c r="D525" s="51" t="n">
        <x:v>336</x:v>
      </x:c>
      <x:c r="E525" s="51" t="n">
        <x:v>296</x:v>
      </x:c>
      <x:c r="F525" s="38" t="n">
        <x:v>0.12134344528710726</x:v>
      </x:c>
      <x:c r="G525" s="38" t="n">
        <x:v>0.1068977970386421</x:v>
      </x:c>
      <x:c r="H525" s="57" t="n">
        <x:v>2916.2000000000003</x:v>
      </x:c>
      <x:c r="I525" s="57" t="n">
        <x:v>0.448</x:v>
      </x:c>
      <x:c r="J525" s="57" t="n">
        <x:v>13.358014710245179</x:v>
      </x:c>
      <x:c r="K525" s="57" t="n">
        <x:v>50.037022065367765</x:v>
      </x:c>
      <x:c r="L525" s="57" t="n">
        <x:v>73.62431723623968</x:v>
      </x:c>
    </x:row>
    <x:row r="526" ht="32.400001525878906" hidden="0" customHeight="1">
      <x:c r="A526" s="27" t="str">
        <x:v>Harris County, Texas</x:v>
      </x:c>
      <x:c r="B526" s="27" t="str">
        <x:v>48201420200</x:v>
      </x:c>
      <x:c r="C526" s="50" t="n">
        <x:v>2490</x:v>
      </x:c>
      <x:c r="D526" s="50" t="n">
        <x:v>426</x:v>
      </x:c>
      <x:c r="E526" s="50" t="n">
        <x:v>223</x:v>
      </x:c>
      <x:c r="F526" s="37" t="n">
        <x:v>0.1710843373493976</x:v>
      </x:c>
      <x:c r="G526" s="37" t="n">
        <x:v>0.0895582329317269</x:v>
      </x:c>
      <x:c r="H526" s="56" t="n">
        <x:v>2661.4</x:v>
      </x:c>
      <x:c r="I526" s="56" t="n">
        <x:v>0.638</x:v>
      </x:c>
      <x:c r="J526" s="56" t="n">
        <x:v>13.155500135535629</x:v>
      </x:c>
      <x:c r="K526" s="56" t="n">
        <x:v>49.73325020330344</x:v>
      </x:c>
      <x:c r="L526" s="56" t="n">
        <x:v>73.19035743329064</x:v>
      </x:c>
    </x:row>
    <x:row r="527" ht="32.400001525878906" hidden="0" customHeight="1">
      <x:c r="A527" s="29" t="str">
        <x:v>Harris County, Texas</x:v>
      </x:c>
      <x:c r="B527" s="29" t="str">
        <x:v>48201420300</x:v>
      </x:c>
      <x:c r="C527" s="51" t="n">
        <x:v>4005</x:v>
      </x:c>
      <x:c r="D527" s="51" t="n">
        <x:v>448</x:v>
      </x:c>
      <x:c r="E527" s="51" t="n">
        <x:v>18</x:v>
      </x:c>
      <x:c r="F527" s="38" t="n">
        <x:v>0.1118601747815231</x:v>
      </x:c>
      <x:c r="G527" s="38" t="n">
        <x:v>0.0044943820224719105</x:v>
      </x:c>
      <x:c r="H527" s="57" t="n">
        <x:v>4163.6</x:v>
      </x:c>
      <x:c r="I527" s="57" t="n">
        <x:v>0.925</x:v>
      </x:c>
      <x:c r="J527" s="57" t="n">
        <x:v>14.375119576809661</x:v>
      </x:c>
      <x:c r="K527" s="57" t="n">
        <x:v>51.56267936521449</x:v>
      </x:c>
      <x:c r="L527" s="57" t="n">
        <x:v>75.80382766459213</x:v>
      </x:c>
    </x:row>
    <x:row r="528" ht="32.400001525878906" hidden="0" customHeight="1">
      <x:c r="A528" s="27" t="str">
        <x:v>Harris County, Texas</x:v>
      </x:c>
      <x:c r="B528" s="27" t="str">
        <x:v>48201420400</x:v>
      </x:c>
      <x:c r="C528" s="50" t="n">
        <x:v>3705</x:v>
      </x:c>
      <x:c r="D528" s="50" t="n">
        <x:v>259</x:v>
      </x:c>
      <x:c r="E528" s="50" t="n">
        <x:v>622</x:v>
      </x:c>
      <x:c r="F528" s="37" t="n">
        <x:v>0.0699055330634278</x:v>
      </x:c>
      <x:c r="G528" s="37" t="n">
        <x:v>0.1678812415654521</x:v>
      </x:c>
      <x:c r="H528" s="56" t="n">
        <x:v>3857.85</x:v>
      </x:c>
      <x:c r="I528" s="56" t="n">
        <x:v>0.981</x:v>
      </x:c>
      <x:c r="J528" s="56" t="n">
        <x:v>12.978643796302054</x:v>
      </x:c>
      <x:c r="K528" s="56" t="n">
        <x:v>49.46796569445308</x:v>
      </x:c>
      <x:c r="L528" s="56" t="n">
        <x:v>72.8113795635044</x:v>
      </x:c>
    </x:row>
    <x:row r="529" ht="32.400001525878906" hidden="0" customHeight="1">
      <x:c r="A529" s="29" t="str">
        <x:v>Harris County, Texas</x:v>
      </x:c>
      <x:c r="B529" s="29" t="str">
        <x:v>48201420500</x:v>
      </x:c>
      <x:c r="C529" s="51" t="n">
        <x:v>3480</x:v>
      </x:c>
      <x:c r="D529" s="51" t="n">
        <x:v>541</x:v>
      </x:c>
      <x:c r="E529" s="51" t="n">
        <x:v>163</x:v>
      </x:c>
      <x:c r="F529" s="38" t="n">
        <x:v>0.15545977011494252</x:v>
      </x:c>
      <x:c r="G529" s="38" t="n">
        <x:v>0.046839080459770116</x:v>
      </x:c>
      <x:c r="H529" s="57" t="n">
        <x:v>3685.65</x:v>
      </x:c>
      <x:c r="I529" s="57" t="n">
        <x:v>0.902</x:v>
      </x:c>
      <x:c r="J529" s="57" t="n">
        <x:v>13.616935190351565</x:v>
      </x:c>
      <x:c r="K529" s="57" t="n">
        <x:v>50.425402785527346</x:v>
      </x:c>
      <x:c r="L529" s="57" t="n">
        <x:v>74.17914683646764</x:v>
      </x:c>
    </x:row>
    <x:row r="530" ht="32.400001525878906" hidden="0" customHeight="1">
      <x:c r="A530" s="27" t="str">
        <x:v>Harris County, Texas</x:v>
      </x:c>
      <x:c r="B530" s="27" t="str">
        <x:v>48201420600</x:v>
      </x:c>
      <x:c r="C530" s="50" t="n">
        <x:v>2358</x:v>
      </x:c>
      <x:c r="D530" s="50" t="n">
        <x:v>213</x:v>
      </x:c>
      <x:c r="E530" s="50" t="n">
        <x:v>32</x:v>
      </x:c>
      <x:c r="F530" s="37" t="n">
        <x:v>0.09033078880407125</x:v>
      </x:c>
      <x:c r="G530" s="37" t="n">
        <x:v>0.013570822731128074</x:v>
      </x:c>
      <x:c r="H530" s="56" t="n">
        <x:v>2435.75</x:v>
      </x:c>
      <x:c r="I530" s="56" t="n">
        <x:v>0.465</x:v>
      </x:c>
      <x:c r="J530" s="56" t="n">
        <x:v>14.685009401152083</x:v>
      </x:c>
      <x:c r="K530" s="56" t="n">
        <x:v>52.02751410172812</x:v>
      </x:c>
      <x:c r="L530" s="56" t="n">
        <x:v>76.46787728818303</x:v>
      </x:c>
    </x:row>
    <x:row r="531" ht="32.400001525878906" hidden="0" customHeight="1">
      <x:c r="A531" s="29" t="str">
        <x:v>Harris County, Texas</x:v>
      </x:c>
      <x:c r="B531" s="29" t="str">
        <x:v>48201420700</x:v>
      </x:c>
      <x:c r="C531" s="51" t="n">
        <x:v>2872</x:v>
      </x:c>
      <x:c r="D531" s="51" t="n">
        <x:v>189</x:v>
      </x:c>
      <x:c r="E531" s="51" t="n">
        <x:v>86</x:v>
      </x:c>
      <x:c r="F531" s="38" t="n">
        <x:v>0.06580779944289694</x:v>
      </x:c>
      <x:c r="G531" s="38" t="n">
        <x:v>0.029944289693593314</x:v>
      </x:c>
      <x:c r="H531" s="57" t="n">
        <x:v>2946.75</x:v>
      </x:c>
      <x:c r="I531" s="57" t="n">
        <x:v>0.879</x:v>
      </x:c>
      <x:c r="J531" s="57" t="n">
        <x:v>15.781250501518851</x:v>
      </x:c>
      <x:c r="K531" s="57" t="n">
        <x:v>53.671875752278275</x:v>
      </x:c>
      <x:c r="L531" s="57" t="n">
        <x:v>78.81696536039755</x:v>
      </x:c>
    </x:row>
    <x:row r="532" ht="32.400001525878906" hidden="0" customHeight="1">
      <x:c r="A532" s="27" t="str">
        <x:v>Harris County, Texas</x:v>
      </x:c>
      <x:c r="B532" s="27" t="str">
        <x:v>48201420800</x:v>
      </x:c>
      <x:c r="C532" s="50" t="n">
        <x:v>2829</x:v>
      </x:c>
      <x:c r="D532" s="50" t="n">
        <x:v>155</x:v>
      </x:c>
      <x:c r="E532" s="50" t="n">
        <x:v>0</x:v>
      </x:c>
      <x:c r="F532" s="37" t="n">
        <x:v>0.05478967833156592</x:v>
      </x:c>
      <x:c r="G532" s="37" t="n">
        <x:v>0</x:v>
      </x:c>
      <x:c r="H532" s="56" t="n">
        <x:v>2883.2499999999995</x:v>
      </x:c>
      <x:c r="I532" s="56" t="n">
        <x:v>0.811</x:v>
      </x:c>
      <x:c r="J532" s="56" t="n">
        <x:v>17.169165079176892</x:v>
      </x:c>
      <x:c r="K532" s="56" t="n">
        <x:v>55.75374761876534</x:v>
      </x:c>
      <x:c r="L532" s="56" t="n">
        <x:v>81.79106802680764</x:v>
      </x:c>
    </x:row>
    <x:row r="533" ht="32.400001525878906" hidden="0" customHeight="1">
      <x:c r="A533" s="29" t="str">
        <x:v>Harris County, Texas</x:v>
      </x:c>
      <x:c r="B533" s="29" t="str">
        <x:v>48201420900</x:v>
      </x:c>
      <x:c r="C533" s="51" t="n">
        <x:v>6116</x:v>
      </x:c>
      <x:c r="D533" s="51" t="n">
        <x:v>393</x:v>
      </x:c>
      <x:c r="E533" s="51" t="n">
        <x:v>84</x:v>
      </x:c>
      <x:c r="F533" s="38" t="n">
        <x:v>0.06425768476128188</x:v>
      </x:c>
      <x:c r="G533" s="38" t="n">
        <x:v>0.013734466971877043</x:v>
      </x:c>
      <x:c r="H533" s="57" t="n">
        <x:v>6261.950000000001</x:v>
      </x:c>
      <x:c r="I533" s="57" t="n">
        <x:v>1.342</x:v>
      </x:c>
      <x:c r="J533" s="57" t="n">
        <x:v>18.708677172151305</x:v>
      </x:c>
      <x:c r="K533" s="57" t="n">
        <x:v>58.06301575822696</x:v>
      </x:c>
      <x:c r="L533" s="57" t="n">
        <x:v>85.0900225117528</x:v>
      </x:c>
    </x:row>
    <x:row r="534" ht="32.400001525878906" hidden="0" customHeight="1">
      <x:c r="A534" s="27" t="str">
        <x:v>Harris County, Texas</x:v>
      </x:c>
      <x:c r="B534" s="27" t="str">
        <x:v>48201421000</x:v>
      </x:c>
      <x:c r="C534" s="50" t="n">
        <x:v>2913</x:v>
      </x:c>
      <x:c r="D534" s="50" t="n">
        <x:v>183</x:v>
      </x:c>
      <x:c r="E534" s="50" t="n">
        <x:v>5</x:v>
      </x:c>
      <x:c r="F534" s="37" t="n">
        <x:v>0.06282183316168898</x:v>
      </x:c>
      <x:c r="G534" s="37" t="n">
        <x:v>0.0017164435290078957</x:v>
      </x:c>
      <x:c r="H534" s="56" t="n">
        <x:v>2977.5499999999997</x:v>
      </x:c>
      <x:c r="I534" s="56" t="n">
        <x:v>0.725</x:v>
      </x:c>
      <x:c r="J534" s="56" t="n">
        <x:v>20.46648697225767</x:v>
      </x:c>
      <x:c r="K534" s="56" t="n">
        <x:v>60.699730458386504</x:v>
      </x:c>
      <x:c r="L534" s="56" t="n">
        <x:v>88.85675779769501</x:v>
      </x:c>
    </x:row>
    <x:row r="535" ht="32.400001525878906" hidden="0" customHeight="1">
      <x:c r="A535" s="29" t="str">
        <x:v>Harris County, Texas</x:v>
      </x:c>
      <x:c r="B535" s="29" t="str">
        <x:v>48201421101</x:v>
      </x:c>
      <x:c r="C535" s="51" t="n">
        <x:v>2746</x:v>
      </x:c>
      <x:c r="D535" s="51" t="n">
        <x:v>356</x:v>
      </x:c>
      <x:c r="E535" s="51" t="n">
        <x:v>498</x:v>
      </x:c>
      <x:c r="F535" s="38" t="n">
        <x:v>0.12964311726147124</x:v>
      </x:c>
      <x:c r="G535" s="38" t="n">
        <x:v>0.18135469774217042</x:v>
      </x:c>
      <x:c r="H535" s="57" t="n">
        <x:v>2920.4</x:v>
      </x:c>
      <x:c r="I535" s="57" t="n">
        <x:v>0.478</x:v>
      </x:c>
      <x:c r="J535" s="57" t="n">
        <x:v>21.944806966441483</x:v>
      </x:c>
      <x:c r="K535" s="57" t="n">
        <x:v>62.91721044966222</x:v>
      </x:c>
      <x:c r="L535" s="57" t="n">
        <x:v>92.02458635666032</x:v>
      </x:c>
    </x:row>
    <x:row r="536" ht="32.400001525878906" hidden="0" customHeight="1">
      <x:c r="A536" s="27" t="str">
        <x:v>Harris County, Texas</x:v>
      </x:c>
      <x:c r="B536" s="27" t="str">
        <x:v>48201421103</x:v>
      </x:c>
      <x:c r="C536" s="50" t="n">
        <x:v>1533</x:v>
      </x:c>
      <x:c r="D536" s="50" t="n">
        <x:v>67</x:v>
      </x:c>
      <x:c r="E536" s="50" t="n">
        <x:v>268.5</x:v>
      </x:c>
      <x:c r="F536" s="37" t="n">
        <x:v>0.04370515329419439</x:v>
      </x:c>
      <x:c r="G536" s="37" t="n">
        <x:v>0.175146771037182</x:v>
      </x:c>
      <x:c r="H536" s="56" t="n">
        <x:v>1583.3</x:v>
      </x:c>
      <x:c r="I536" s="56" t="n">
        <x:v>0.126</x:v>
      </x:c>
      <x:c r="J536" s="56" t="n">
        <x:v>22.154728960318497</x:v>
      </x:c>
      <x:c r="K536" s="56" t="n">
        <x:v>63.23209344047775</x:v>
      </x:c>
      <x:c r="L536" s="56" t="n">
        <x:v>92.47441920068249</x:v>
      </x:c>
    </x:row>
    <x:row r="537" ht="32.400001525878906" hidden="0" customHeight="1">
      <x:c r="A537" s="29" t="str">
        <x:v>Harris County, Texas</x:v>
      </x:c>
      <x:c r="B537" s="29" t="str">
        <x:v>48201421104</x:v>
      </x:c>
      <x:c r="C537" s="51" t="n">
        <x:v>4854</x:v>
      </x:c>
      <x:c r="D537" s="51" t="n">
        <x:v>300</x:v>
      </x:c>
      <x:c r="E537" s="51" t="n">
        <x:v>988</x:v>
      </x:c>
      <x:c r="F537" s="38" t="n">
        <x:v>0.06180469715698393</x:v>
      </x:c>
      <x:c r="G537" s="38" t="n">
        <x:v>0.20354346930366707</x:v>
      </x:c>
      <x:c r="H537" s="57" t="n">
        <x:v>5057.8</x:v>
      </x:c>
      <x:c r="I537" s="57" t="n">
        <x:v>0.198</x:v>
      </x:c>
      <x:c r="J537" s="57" t="n">
        <x:v>22.740663775653502</x:v>
      </x:c>
      <x:c r="K537" s="57" t="n">
        <x:v>64.11099566348025</x:v>
      </x:c>
      <x:c r="L537" s="57" t="n">
        <x:v>93.7299938049718</x:v>
      </x:c>
    </x:row>
    <x:row r="538" ht="32.400001525878906" hidden="0" customHeight="1">
      <x:c r="A538" s="27" t="str">
        <x:v>Harris County, Texas</x:v>
      </x:c>
      <x:c r="B538" s="27" t="str">
        <x:v>48201421203</x:v>
      </x:c>
      <x:c r="C538" s="50" t="n">
        <x:v>2358</x:v>
      </x:c>
      <x:c r="D538" s="50" t="n">
        <x:v>136</x:v>
      </x:c>
      <x:c r="E538" s="50" t="n">
        <x:v>455.5</x:v>
      </x:c>
      <x:c r="F538" s="37" t="n">
        <x:v>0.05767599660729432</x:v>
      </x:c>
      <x:c r="G538" s="37" t="n">
        <x:v>0.19317217981340118</x:v>
      </x:c>
      <x:c r="H538" s="56" t="n">
        <x:v>2451.1499999999996</x:v>
      </x:c>
      <x:c r="I538" s="56" t="n">
        <x:v>0.086</x:v>
      </x:c>
      <x:c r="J538" s="56" t="n">
        <x:v>23.333474486765876</x:v>
      </x:c>
      <x:c r="K538" s="56" t="n">
        <x:v>65.00021173014882</x:v>
      </x:c>
      <x:c r="L538" s="56" t="n">
        <x:v>95.00030247164116</x:v>
      </x:c>
    </x:row>
    <x:row r="539" ht="32.400001525878906" hidden="0" customHeight="1">
      <x:c r="A539" s="29" t="str">
        <x:v>Harris County, Texas</x:v>
      </x:c>
      <x:c r="B539" s="29" t="str">
        <x:v>48201421204</x:v>
      </x:c>
      <x:c r="C539" s="51" t="n">
        <x:v>3274</x:v>
      </x:c>
      <x:c r="D539" s="51" t="n">
        <x:v>106</x:v>
      </x:c>
      <x:c r="E539" s="51" t="n">
        <x:v>619</x:v>
      </x:c>
      <x:c r="F539" s="38" t="n">
        <x:v>0.032376298106292</x:v>
      </x:c>
      <x:c r="G539" s="38" t="n">
        <x:v>0.18906536346976177</x:v>
      </x:c>
      <x:c r="H539" s="57" t="n">
        <x:v>3373</x:v>
      </x:c>
      <x:c r="I539" s="57" t="n">
        <x:v>0.09</x:v>
      </x:c>
      <x:c r="J539" s="57" t="n">
        <x:v>23.200592036309896</x:v>
      </x:c>
      <x:c r="K539" s="57" t="n">
        <x:v>64.80088805446485</x:v>
      </x:c>
      <x:c r="L539" s="57" t="n">
        <x:v>94.7155543635212</x:v>
      </x:c>
    </x:row>
    <x:row r="540" ht="32.400001525878906" hidden="0" customHeight="1">
      <x:c r="A540" s="27" t="str">
        <x:v>Harris County, Texas</x:v>
      </x:c>
      <x:c r="B540" s="27" t="str">
        <x:v>48201421205</x:v>
      </x:c>
      <x:c r="C540" s="50" t="n">
        <x:v>2377</x:v>
      </x:c>
      <x:c r="D540" s="50" t="n">
        <x:v>99</x:v>
      </x:c>
      <x:c r="E540" s="50" t="n">
        <x:v>924</x:v>
      </x:c>
      <x:c r="F540" s="37" t="n">
        <x:v>0.041649137568363484</x:v>
      </x:c>
      <x:c r="G540" s="37" t="n">
        <x:v>0.3887252839713925</x:v>
      </x:c>
      <x:c r="H540" s="56" t="n">
        <x:v>2504.05</x:v>
      </x:c>
      <x:c r="I540" s="56" t="n">
        <x:v>0.155</x:v>
      </x:c>
      <x:c r="J540" s="56" t="n">
        <x:v>23.116397751819413</x:v>
      </x:c>
      <x:c r="K540" s="56" t="n">
        <x:v>64.67459662772912</x:v>
      </x:c>
      <x:c r="L540" s="56" t="n">
        <x:v>94.53513803961303</x:v>
      </x:c>
    </x:row>
    <x:row r="541" ht="32.400001525878906" hidden="0" customHeight="1">
      <x:c r="A541" s="29" t="str">
        <x:v>Harris County, Texas</x:v>
      </x:c>
      <x:c r="B541" s="29" t="str">
        <x:v>48201421206</x:v>
      </x:c>
      <x:c r="C541" s="51" t="n">
        <x:v>2013</x:v>
      </x:c>
      <x:c r="D541" s="51" t="n">
        <x:v>100</x:v>
      </x:c>
      <x:c r="E541" s="51" t="n">
        <x:v>541</x:v>
      </x:c>
      <x:c r="F541" s="38" t="n">
        <x:v>0.04967709885742673</x:v>
      </x:c>
      <x:c r="G541" s="38" t="n">
        <x:v>0.2687531048186786</x:v>
      </x:c>
      <x:c r="H541" s="57" t="n">
        <x:v>2102.1</x:v>
      </x:c>
      <x:c r="I541" s="57" t="n">
        <x:v>0.062</x:v>
      </x:c>
      <x:c r="J541" s="57" t="n">
        <x:v>22.60661813490319</x:v>
      </x:c>
      <x:c r="K541" s="57" t="n">
        <x:v>63.90992720235478</x:v>
      </x:c>
      <x:c r="L541" s="57" t="n">
        <x:v>93.44275314622112</x:v>
      </x:c>
    </x:row>
    <x:row r="542" ht="32.400001525878906" hidden="0" customHeight="1">
      <x:c r="A542" s="27" t="str">
        <x:v>Harris County, Texas</x:v>
      </x:c>
      <x:c r="B542" s="27" t="str">
        <x:v>48201421301</x:v>
      </x:c>
      <x:c r="C542" s="50" t="n">
        <x:v>3537</x:v>
      </x:c>
      <x:c r="D542" s="50" t="n">
        <x:v>392</x:v>
      </x:c>
      <x:c r="E542" s="50" t="n">
        <x:v>1209</x:v>
      </x:c>
      <x:c r="F542" s="37" t="n">
        <x:v>0.11082838563754595</x:v>
      </x:c>
      <x:c r="G542" s="37" t="n">
        <x:v>0.3418150975402884</x:v>
      </x:c>
      <x:c r="H542" s="56" t="n">
        <x:v>3795.1</x:v>
      </x:c>
      <x:c r="I542" s="56" t="n">
        <x:v>0.103</x:v>
      </x:c>
      <x:c r="J542" s="56" t="n">
        <x:v>22.115731146032402</x:v>
      </x:c>
      <x:c r="K542" s="56" t="n">
        <x:v>63.173596719048604</x:v>
      </x:c>
      <x:c r="L542" s="56" t="n">
        <x:v>92.39085245578372</x:v>
      </x:c>
    </x:row>
    <x:row r="543" ht="32.400001525878906" hidden="0" customHeight="1">
      <x:c r="A543" s="29" t="str">
        <x:v>Harris County, Texas</x:v>
      </x:c>
      <x:c r="B543" s="29" t="str">
        <x:v>48201421302</x:v>
      </x:c>
      <x:c r="C543" s="51" t="n">
        <x:v>5407</x:v>
      </x:c>
      <x:c r="D543" s="51" t="n">
        <x:v>280</x:v>
      </x:c>
      <x:c r="E543" s="51" t="n">
        <x:v>645</x:v>
      </x:c>
      <x:c r="F543" s="38" t="n">
        <x:v>0.051784723506565565</x:v>
      </x:c>
      <x:c r="G543" s="38" t="n">
        <x:v>0.11928980950619567</x:v>
      </x:c>
      <x:c r="H543" s="57" t="n">
        <x:v>5569.499999999999</x:v>
      </x:c>
      <x:c r="I543" s="57" t="n">
        <x:v>0.47</x:v>
      </x:c>
      <x:c r="J543" s="57" t="n">
        <x:v>22.820873829715087</x:v>
      </x:c>
      <x:c r="K543" s="57" t="n">
        <x:v>64.23131074457262</x:v>
      </x:c>
      <x:c r="L543" s="57" t="n">
        <x:v>93.90187249224661</x:v>
      </x:c>
    </x:row>
    <x:row r="544" ht="32.400001525878906" hidden="0" customHeight="1">
      <x:c r="A544" s="27" t="str">
        <x:v>Harris County, Texas</x:v>
      </x:c>
      <x:c r="B544" s="27" t="str">
        <x:v>48201421401</x:v>
      </x:c>
      <x:c r="C544" s="50" t="n">
        <x:v>3347</x:v>
      </x:c>
      <x:c r="D544" s="50" t="n">
        <x:v>66</x:v>
      </x:c>
      <x:c r="E544" s="50" t="n">
        <x:v>989.5</x:v>
      </x:c>
      <x:c r="F544" s="37" t="n">
        <x:v>0.01971915147893636</x:v>
      </x:c>
      <x:c r="G544" s="37" t="n">
        <x:v>0.29563788467284136</x:v>
      </x:c>
      <x:c r="H544" s="56" t="n">
        <x:v>3469.05</x:v>
      </x:c>
      <x:c r="I544" s="56" t="n">
        <x:v>0.11</x:v>
      </x:c>
      <x:c r="J544" s="56" t="n">
        <x:v>22.584726886246873</x:v>
      </x:c>
      <x:c r="K544" s="56" t="n">
        <x:v>63.87709032937031</x:v>
      </x:c>
      <x:c r="L544" s="56" t="n">
        <x:v>93.39584332767187</x:v>
      </x:c>
    </x:row>
    <x:row r="545" ht="32.400001525878906" hidden="0" customHeight="1">
      <x:c r="A545" s="29" t="str">
        <x:v>Harris County, Texas</x:v>
      </x:c>
      <x:c r="B545" s="29" t="str">
        <x:v>48201421402</x:v>
      </x:c>
      <x:c r="C545" s="51" t="n">
        <x:v>3661</x:v>
      </x:c>
      <x:c r="D545" s="51" t="n">
        <x:v>81</x:v>
      </x:c>
      <x:c r="E545" s="51" t="n">
        <x:v>463</x:v>
      </x:c>
      <x:c r="F545" s="38" t="n">
        <x:v>0.02212510243102977</x:v>
      </x:c>
      <x:c r="G545" s="38" t="n">
        <x:v>0.1264681780934171</x:v>
      </x:c>
      <x:c r="H545" s="57" t="n">
        <x:v>3735.65</x:v>
      </x:c>
      <x:c r="I545" s="57" t="n">
        <x:v>0.062</x:v>
      </x:c>
      <x:c r="J545" s="57" t="n">
        <x:v>22.16076955643155</x:v>
      </x:c>
      <x:c r="K545" s="57" t="n">
        <x:v>63.24115433464733</x:v>
      </x:c>
      <x:c r="L545" s="57" t="n">
        <x:v>92.48736333521046</x:v>
      </x:c>
    </x:row>
    <x:row r="546" ht="32.400001525878906" hidden="0" customHeight="1">
      <x:c r="A546" s="27" t="str">
        <x:v>Harris County, Texas</x:v>
      </x:c>
      <x:c r="B546" s="27" t="str">
        <x:v>48201421403</x:v>
      </x:c>
      <x:c r="C546" s="50" t="n">
        <x:v>4501</x:v>
      </x:c>
      <x:c r="D546" s="50" t="n">
        <x:v>166</x:v>
      </x:c>
      <x:c r="E546" s="50" t="n">
        <x:v>794</x:v>
      </x:c>
      <x:c r="F546" s="37" t="n">
        <x:v>0.03688069317929349</x:v>
      </x:c>
      <x:c r="G546" s="37" t="n">
        <x:v>0.17640524327927126</x:v>
      </x:c>
      <x:c r="H546" s="56" t="n">
        <x:v>4638.5</x:v>
      </x:c>
      <x:c r="I546" s="56" t="n">
        <x:v>0.253</x:v>
      </x:c>
      <x:c r="J546" s="56" t="n">
        <x:v>21.664435908955333</x:v>
      </x:c>
      <x:c r="K546" s="56" t="n">
        <x:v>62.496653863432996</x:v>
      </x:c>
      <x:c r="L546" s="56" t="n">
        <x:v>91.42379123347571</x:v>
      </x:c>
    </x:row>
    <x:row r="547" ht="32.400001525878906" hidden="0" customHeight="1">
      <x:c r="A547" s="29" t="str">
        <x:v>Harris County, Texas</x:v>
      </x:c>
      <x:c r="B547" s="29" t="str">
        <x:v>48201421501</x:v>
      </x:c>
      <x:c r="C547" s="51" t="n">
        <x:v>3970</x:v>
      </x:c>
      <x:c r="D547" s="51" t="n">
        <x:v>397</x:v>
      </x:c>
      <x:c r="E547" s="51" t="n">
        <x:v>796</x:v>
      </x:c>
      <x:c r="F547" s="38" t="n">
        <x:v>0.1</x:v>
      </x:c>
      <x:c r="G547" s="38" t="n">
        <x:v>0.2005037783375315</x:v>
      </x:c>
      <x:c r="H547" s="57" t="n">
        <x:v>4188.549999999999</x:v>
      </x:c>
      <x:c r="I547" s="57" t="n">
        <x:v>0.337</x:v>
      </x:c>
      <x:c r="J547" s="57" t="n">
        <x:v>20.879391105811656</x:v>
      </x:c>
      <x:c r="K547" s="57" t="n">
        <x:v>61.31908665871749</x:v>
      </x:c>
      <x:c r="L547" s="57" t="n">
        <x:v>89.7415523695964</x:v>
      </x:c>
    </x:row>
    <x:row r="548" ht="32.400001525878906" hidden="0" customHeight="1">
      <x:c r="A548" s="27" t="str">
        <x:v>Harris County, Texas</x:v>
      </x:c>
      <x:c r="B548" s="27" t="str">
        <x:v>48201421502</x:v>
      </x:c>
      <x:c r="C548" s="50" t="n">
        <x:v>3109</x:v>
      </x:c>
      <x:c r="D548" s="50" t="n">
        <x:v>43</x:v>
      </x:c>
      <x:c r="E548" s="50" t="n">
        <x:v>645.5</x:v>
      </x:c>
      <x:c r="F548" s="37" t="n">
        <x:v>0.0138308137664844</x:v>
      </x:c>
      <x:c r="G548" s="37" t="n">
        <x:v>0.20762302991315534</x:v>
      </x:c>
      <x:c r="H548" s="56" t="n">
        <x:v>3188.6</x:v>
      </x:c>
      <x:c r="I548" s="56" t="n">
        <x:v>0.252</x:v>
      </x:c>
      <x:c r="J548" s="56" t="n">
        <x:v>21.319742649843672</x:v>
      </x:c>
      <x:c r="K548" s="56" t="n">
        <x:v>61.97961397476551</x:v>
      </x:c>
      <x:c r="L548" s="56" t="n">
        <x:v>90.68516282109358</x:v>
      </x:c>
    </x:row>
    <x:row r="549" ht="32.400001525878906" hidden="0" customHeight="1">
      <x:c r="A549" s="29" t="str">
        <x:v>Harris County, Texas</x:v>
      </x:c>
      <x:c r="B549" s="29" t="str">
        <x:v>48201421601</x:v>
      </x:c>
      <x:c r="C549" s="51" t="n">
        <x:v>3258</x:v>
      </x:c>
      <x:c r="D549" s="51" t="n">
        <x:v>290</x:v>
      </x:c>
      <x:c r="E549" s="51" t="n">
        <x:v>858</x:v>
      </x:c>
      <x:c r="F549" s="38" t="n">
        <x:v>0.08901166359729895</x:v>
      </x:c>
      <x:c r="G549" s="38" t="n">
        <x:v>0.26335174953959484</x:v>
      </x:c>
      <x:c r="H549" s="57" t="n">
        <x:v>3445.3</x:v>
      </x:c>
      <x:c r="I549" s="57" t="n">
        <x:v>0.236</x:v>
      </x:c>
      <x:c r="J549" s="57" t="n">
        <x:v>20.803212055293606</x:v>
      </x:c>
      <x:c r="K549" s="57" t="n">
        <x:v>61.204818082940406</x:v>
      </x:c>
      <x:c r="L549" s="57" t="n">
        <x:v>89.57831154705772</x:v>
      </x:c>
    </x:row>
    <x:row r="550" ht="32.400001525878906" hidden="0" customHeight="1">
      <x:c r="A550" s="27" t="str">
        <x:v>Harris County, Texas</x:v>
      </x:c>
      <x:c r="B550" s="27" t="str">
        <x:v>48201421602</x:v>
      </x:c>
      <x:c r="C550" s="50" t="n">
        <x:v>2868</x:v>
      </x:c>
      <x:c r="D550" s="50" t="n">
        <x:v>158</x:v>
      </x:c>
      <x:c r="E550" s="50" t="n">
        <x:v>619.5</x:v>
      </x:c>
      <x:c r="F550" s="37" t="n">
        <x:v>0.05509065550906555</x:v>
      </x:c>
      <x:c r="G550" s="37" t="n">
        <x:v>0.2160041841004184</x:v>
      </x:c>
      <x:c r="H550" s="56" t="n">
        <x:v>2985.2499999999995</x:v>
      </x:c>
      <x:c r="I550" s="56" t="n">
        <x:v>0.326</x:v>
      </x:c>
      <x:c r="J550" s="56" t="n">
        <x:v>20.15779282808944</x:v>
      </x:c>
      <x:c r="K550" s="56" t="n">
        <x:v>60.23668924213416</x:v>
      </x:c>
      <x:c r="L550" s="56" t="n">
        <x:v>88.19527034590595</x:v>
      </x:c>
    </x:row>
    <x:row r="551" ht="32.400001525878906" hidden="0" customHeight="1">
      <x:c r="A551" s="29" t="str">
        <x:v>Harris County, Texas</x:v>
      </x:c>
      <x:c r="B551" s="29" t="str">
        <x:v>48201421700</x:v>
      </x:c>
      <x:c r="C551" s="51" t="n">
        <x:v>4521</x:v>
      </x:c>
      <x:c r="D551" s="51" t="n">
        <x:v>365</x:v>
      </x:c>
      <x:c r="E551" s="51" t="n">
        <x:v>521</x:v>
      </x:c>
      <x:c r="F551" s="38" t="n">
        <x:v>0.08073435080734351</x:v>
      </x:c>
      <x:c r="G551" s="38" t="n">
        <x:v>0.11523999115239991</x:v>
      </x:c>
      <x:c r="H551" s="57" t="n">
        <x:v>4700.85</x:v>
      </x:c>
      <x:c r="I551" s="57" t="n">
        <x:v>0.727</x:v>
      </x:c>
      <x:c r="J551" s="57" t="n">
        <x:v>19.040616931694107</x:v>
      </x:c>
      <x:c r="K551" s="57" t="n">
        <x:v>58.56092539754116</x:v>
      </x:c>
      <x:c r="L551" s="57" t="n">
        <x:v>85.80132199648737</x:v>
      </x:c>
    </x:row>
    <x:row r="552" ht="32.400001525878906" hidden="0" customHeight="1">
      <x:c r="A552" s="27" t="str">
        <x:v>Harris County, Texas</x:v>
      </x:c>
      <x:c r="B552" s="27" t="str">
        <x:v>48201421801</x:v>
      </x:c>
      <x:c r="C552" s="50" t="n">
        <x:v>2303</x:v>
      </x:c>
      <x:c r="D552" s="50" t="n">
        <x:v>500</x:v>
      </x:c>
      <x:c r="E552" s="50" t="n">
        <x:v>172.5</x:v>
      </x:c>
      <x:c r="F552" s="37" t="n">
        <x:v>0.21710811984368214</x:v>
      </x:c>
      <x:c r="G552" s="37" t="n">
        <x:v>0.07490230134607034</x:v>
      </x:c>
      <x:c r="H552" s="56" t="n">
        <x:v>2495.25</x:v>
      </x:c>
      <x:c r="I552" s="56" t="n">
        <x:v>0.119</x:v>
      </x:c>
      <x:c r="J552" s="56" t="n">
        <x:v>17.437524224390565</x:v>
      </x:c>
      <x:c r="K552" s="56" t="n">
        <x:v>56.15628633658584</x:v>
      </x:c>
      <x:c r="L552" s="56" t="n">
        <x:v>82.36612333797979</x:v>
      </x:c>
    </x:row>
    <x:row r="553" ht="32.400001525878906" hidden="0" customHeight="1">
      <x:c r="A553" s="29" t="str">
        <x:v>Harris County, Texas</x:v>
      </x:c>
      <x:c r="B553" s="29" t="str">
        <x:v>48201421802</x:v>
      </x:c>
      <x:c r="C553" s="51" t="n">
        <x:v>2399</x:v>
      </x:c>
      <x:c r="D553" s="51" t="n">
        <x:v>395</x:v>
      </x:c>
      <x:c r="E553" s="51" t="n">
        <x:v>298</x:v>
      </x:c>
      <x:c r="F553" s="38" t="n">
        <x:v>0.16465193830762817</x:v>
      </x:c>
      <x:c r="G553" s="38" t="n">
        <x:v>0.12421842434347645</x:v>
      </x:c>
      <x:c r="H553" s="57" t="n">
        <x:v>2567.0499999999997</x:v>
      </x:c>
      <x:c r="I553" s="57" t="n">
        <x:v>0.333</x:v>
      </x:c>
      <x:c r="J553" s="57" t="n">
        <x:v>18.290119824649913</x:v>
      </x:c>
      <x:c r="K553" s="57" t="n">
        <x:v>57.43517973697487</x:v>
      </x:c>
      <x:c r="L553" s="57" t="n">
        <x:v>84.1931139099641</x:v>
      </x:c>
    </x:row>
    <x:row r="554" ht="32.400001525878906" hidden="0" customHeight="1">
      <x:c r="A554" s="27" t="str">
        <x:v>Harris County, Texas</x:v>
      </x:c>
      <x:c r="B554" s="27" t="str">
        <x:v>48201421900</x:v>
      </x:c>
      <x:c r="C554" s="50" t="n">
        <x:v>3063</x:v>
      </x:c>
      <x:c r="D554" s="50" t="n">
        <x:v>213</x:v>
      </x:c>
      <x:c r="E554" s="50" t="n">
        <x:v>0</x:v>
      </x:c>
      <x:c r="F554" s="37" t="n">
        <x:v>0.06953966699314397</x:v>
      </x:c>
      <x:c r="G554" s="37" t="n">
        <x:v>0</x:v>
      </x:c>
      <x:c r="H554" s="56" t="n">
        <x:v>3137.55</x:v>
      </x:c>
      <x:c r="I554" s="56" t="n">
        <x:v>0.642</x:v>
      </x:c>
      <x:c r="J554" s="56" t="n">
        <x:v>17.13614115111735</x:v>
      </x:c>
      <x:c r="K554" s="56" t="n">
        <x:v>55.70421172667603</x:v>
      </x:c>
      <x:c r="L554" s="56" t="n">
        <x:v>81.72030246668004</x:v>
      </x:c>
    </x:row>
    <x:row r="555" ht="32.400001525878906" hidden="0" customHeight="1">
      <x:c r="A555" s="29" t="str">
        <x:v>Harris County, Texas</x:v>
      </x:c>
      <x:c r="B555" s="29" t="str">
        <x:v>48201422000</x:v>
      </x:c>
      <x:c r="C555" s="51" t="n">
        <x:v>2272</x:v>
      </x:c>
      <x:c r="D555" s="51" t="n">
        <x:v>185</x:v>
      </x:c>
      <x:c r="E555" s="51" t="n">
        <x:v>7</x:v>
      </x:c>
      <x:c r="F555" s="38" t="n">
        <x:v>0.08142605633802817</x:v>
      </x:c>
      <x:c r="G555" s="38" t="n">
        <x:v>0.0030809859154929575</x:v>
      </x:c>
      <x:c r="H555" s="57" t="n">
        <x:v>2337.45</x:v>
      </x:c>
      <x:c r="I555" s="57" t="n">
        <x:v>0.565</x:v>
      </x:c>
      <x:c r="J555" s="57" t="n">
        <x:v>16.219000173694347</x:v>
      </x:c>
      <x:c r="K555" s="57" t="n">
        <x:v>54.32850026054152</x:v>
      </x:c>
      <x:c r="L555" s="57" t="n">
        <x:v>79.75500037220218</x:v>
      </x:c>
    </x:row>
    <x:row r="556" ht="32.400001525878906" hidden="0" customHeight="1">
      <x:c r="A556" s="27" t="str">
        <x:v>Harris County, Texas</x:v>
      </x:c>
      <x:c r="B556" s="27" t="str">
        <x:v>48201422100</x:v>
      </x:c>
      <x:c r="C556" s="50" t="n">
        <x:v>5004</x:v>
      </x:c>
      <x:c r="D556" s="50" t="n">
        <x:v>915</x:v>
      </x:c>
      <x:c r="E556" s="50" t="n">
        <x:v>148</x:v>
      </x:c>
      <x:c r="F556" s="37" t="n">
        <x:v>0.1828537170263789</x:v>
      </x:c>
      <x:c r="G556" s="37" t="n">
        <x:v>0.029576338928856916</x:v>
      </x:c>
      <x:c r="H556" s="56" t="n">
        <x:v>5339.049999999999</x:v>
      </x:c>
      <x:c r="I556" s="56" t="n">
        <x:v>0.926</x:v>
      </x:c>
      <x:c r="J556" s="56" t="n">
        <x:v>15.300525441844536</x:v>
      </x:c>
      <x:c r="K556" s="56" t="n">
        <x:v>52.950788162766806</x:v>
      </x:c>
      <x:c r="L556" s="56" t="n">
        <x:v>77.78684023252401</x:v>
      </x:c>
    </x:row>
    <x:row r="557" ht="32.400001525878906" hidden="0" customHeight="1">
      <x:c r="A557" s="29" t="str">
        <x:v>Harris County, Texas</x:v>
      </x:c>
      <x:c r="B557" s="29" t="str">
        <x:v>48201422200</x:v>
      </x:c>
      <x:c r="C557" s="51" t="n">
        <x:v>5555</x:v>
      </x:c>
      <x:c r="D557" s="51" t="n">
        <x:v>1049</x:v>
      </x:c>
      <x:c r="E557" s="51" t="n">
        <x:v>1296</x:v>
      </x:c>
      <x:c r="F557" s="38" t="n">
        <x:v>0.18883888388838885</x:v>
      </x:c>
      <x:c r="G557" s="38" t="n">
        <x:v>0.2333033303330333</x:v>
      </x:c>
      <x:c r="H557" s="57" t="n">
        <x:v>6051.749999999999</x:v>
      </x:c>
      <x:c r="I557" s="57" t="n">
        <x:v>0.685</x:v>
      </x:c>
      <x:c r="J557" s="57" t="n">
        <x:v>16.445279327988764</x:v>
      </x:c>
      <x:c r="K557" s="57" t="n">
        <x:v>54.66791899198314</x:v>
      </x:c>
      <x:c r="L557" s="57" t="n">
        <x:v>80.23988427426164</x:v>
      </x:c>
    </x:row>
    <x:row r="558" ht="32.400001525878906" hidden="0" customHeight="1">
      <x:c r="A558" s="27" t="str">
        <x:v>Harris County, Texas</x:v>
      </x:c>
      <x:c r="B558" s="27" t="str">
        <x:v>48201422302</x:v>
      </x:c>
      <x:c r="C558" s="50" t="n">
        <x:v>2106</x:v>
      </x:c>
      <x:c r="D558" s="50" t="n">
        <x:v>197</x:v>
      </x:c>
      <x:c r="E558" s="50" t="n">
        <x:v>140</x:v>
      </x:c>
      <x:c r="F558" s="37" t="n">
        <x:v>0.09354226020892688</x:v>
      </x:c>
      <x:c r="G558" s="37" t="n">
        <x:v>0.06647673314339982</x:v>
      </x:c>
      <x:c r="H558" s="56" t="n">
        <x:v>2188.95</x:v>
      </x:c>
      <x:c r="I558" s="56" t="n">
        <x:v>0.268</x:v>
      </x:c>
      <x:c r="J558" s="56" t="n">
        <x:v>16.49023842467548</x:v>
      </x:c>
      <x:c r="K558" s="56" t="n">
        <x:v>54.735357637013216</x:v>
      </x:c>
      <x:c r="L558" s="56" t="n">
        <x:v>80.33622519573316</x:v>
      </x:c>
    </x:row>
    <x:row r="559" ht="32.400001525878906" hidden="0" customHeight="1">
      <x:c r="A559" s="29" t="str">
        <x:v>Harris County, Texas</x:v>
      </x:c>
      <x:c r="B559" s="29" t="str">
        <x:v>48201422303</x:v>
      </x:c>
      <x:c r="C559" s="51" t="n">
        <x:v>3079</x:v>
      </x:c>
      <x:c r="D559" s="51" t="n">
        <x:v>428</x:v>
      </x:c>
      <x:c r="E559" s="51" t="n">
        <x:v>536</x:v>
      </x:c>
      <x:c r="F559" s="38" t="n">
        <x:v>0.13900617083468658</x:v>
      </x:c>
      <x:c r="G559" s="38" t="n">
        <x:v>0.17408249431633646</x:v>
      </x:c>
      <x:c r="H559" s="57" t="n">
        <x:v>3282.4</x:v>
      </x:c>
      <x:c r="I559" s="57" t="n">
        <x:v>0.148</x:v>
      </x:c>
      <x:c r="J559" s="57" t="n">
        <x:v>17.397820424709455</x:v>
      </x:c>
      <x:c r="K559" s="57" t="n">
        <x:v>56.096730637064184</x:v>
      </x:c>
      <x:c r="L559" s="57" t="n">
        <x:v>82.28104376723455</x:v>
      </x:c>
    </x:row>
    <x:row r="560" ht="32.400001525878906" hidden="0" customHeight="1">
      <x:c r="A560" s="27" t="str">
        <x:v>Harris County, Texas</x:v>
      </x:c>
      <x:c r="B560" s="27" t="str">
        <x:v>48201422304</x:v>
      </x:c>
      <x:c r="C560" s="50" t="n">
        <x:v>4382</x:v>
      </x:c>
      <x:c r="D560" s="50" t="n">
        <x:v>579</x:v>
      </x:c>
      <x:c r="E560" s="50" t="n">
        <x:v>428.5</x:v>
      </x:c>
      <x:c r="F560" s="37" t="n">
        <x:v>0.13213144682793246</x:v>
      </x:c>
      <x:c r="G560" s="37" t="n">
        <x:v>0.09778639890460977</x:v>
      </x:c>
      <x:c r="H560" s="56" t="n">
        <x:v>4627.499999999999</x:v>
      </x:c>
      <x:c r="I560" s="56" t="n">
        <x:v>0.202</x:v>
      </x:c>
      <x:c r="J560" s="56" t="n">
        <x:v>17.84546886013888</x:v>
      </x:c>
      <x:c r="K560" s="56" t="n">
        <x:v>56.76820329020832</x:v>
      </x:c>
      <x:c r="L560" s="56" t="n">
        <x:v>83.24029041458331</x:v>
      </x:c>
    </x:row>
    <x:row r="561" ht="32.400001525878906" hidden="0" customHeight="1">
      <x:c r="A561" s="29" t="str">
        <x:v>Harris County, Texas</x:v>
      </x:c>
      <x:c r="B561" s="29" t="str">
        <x:v>48201422403</x:v>
      </x:c>
      <x:c r="C561" s="51" t="n">
        <x:v>2549</x:v>
      </x:c>
      <x:c r="D561" s="51" t="n">
        <x:v>333</x:v>
      </x:c>
      <x:c r="E561" s="51" t="n">
        <x:v>58</x:v>
      </x:c>
      <x:c r="F561" s="38" t="n">
        <x:v>0.1306394664574343</x:v>
      </x:c>
      <x:c r="G561" s="38" t="n">
        <x:v>0.022754021184778345</x:v>
      </x:c>
      <x:c r="H561" s="57" t="n">
        <x:v>2671.3500000000004</x:v>
      </x:c>
      <x:c r="I561" s="57" t="n">
        <x:v>0.349</x:v>
      </x:c>
      <x:c r="J561" s="57" t="n">
        <x:v>17.461394484918724</x:v>
      </x:c>
      <x:c r="K561" s="57" t="n">
        <x:v>56.192091727378084</x:v>
      </x:c>
      <x:c r="L561" s="57" t="n">
        <x:v>82.41727389625441</x:v>
      </x:c>
    </x:row>
    <x:row r="562" ht="32.400001525878906" hidden="0" customHeight="1">
      <x:c r="A562" s="27" t="str">
        <x:v>Harris County, Texas</x:v>
      </x:c>
      <x:c r="B562" s="27" t="str">
        <x:v>48201422404</x:v>
      </x:c>
      <x:c r="C562" s="50" t="n">
        <x:v>2663</x:v>
      </x:c>
      <x:c r="D562" s="50" t="n">
        <x:v>246</x:v>
      </x:c>
      <x:c r="E562" s="50" t="n">
        <x:v>267.5</x:v>
      </x:c>
      <x:c r="F562" s="37" t="n">
        <x:v>0.09237701840030041</x:v>
      </x:c>
      <x:c r="G562" s="37" t="n">
        <x:v>0.10045061960195269</x:v>
      </x:c>
      <x:c r="H562" s="56" t="n">
        <x:v>2775.8500000000004</x:v>
      </x:c>
      <x:c r="I562" s="56" t="n">
        <x:v>0.177</x:v>
      </x:c>
      <x:c r="J562" s="56" t="n">
        <x:v>16.937189786878577</x:v>
      </x:c>
      <x:c r="K562" s="56" t="n">
        <x:v>55.405784680317865</x:v>
      </x:c>
      <x:c r="L562" s="56" t="n">
        <x:v>81.29397811473982</x:v>
      </x:c>
    </x:row>
    <x:row r="563" ht="32.400001525878906" hidden="0" customHeight="1">
      <x:c r="A563" s="29" t="str">
        <x:v>Harris County, Texas</x:v>
      </x:c>
      <x:c r="B563" s="29" t="str">
        <x:v>48201422405</x:v>
      </x:c>
      <x:c r="C563" s="51" t="n">
        <x:v>1698</x:v>
      </x:c>
      <x:c r="D563" s="51" t="n">
        <x:v>634</x:v>
      </x:c>
      <x:c r="E563" s="51" t="n">
        <x:v>445</x:v>
      </x:c>
      <x:c r="F563" s="38" t="n">
        <x:v>0.37338044758539457</x:v>
      </x:c>
      <x:c r="G563" s="38" t="n">
        <x:v>0.2620730270906949</x:v>
      </x:c>
      <x:c r="H563" s="57" t="n">
        <x:v>1964.3999999999999</x:v>
      </x:c>
      <x:c r="I563" s="57" t="n">
        <x:v>0.081</x:v>
      </x:c>
      <x:c r="J563" s="57" t="n">
        <x:v>18.399992383970762</x:v>
      </x:c>
      <x:c r="K563" s="57" t="n">
        <x:v>57.59998857595615</x:v>
      </x:c>
      <x:c r="L563" s="57" t="n">
        <x:v>84.42855510850877</x:v>
      </x:c>
    </x:row>
    <x:row r="564" ht="32.400001525878906" hidden="0" customHeight="1">
      <x:c r="A564" s="27" t="str">
        <x:v>Harris County, Texas</x:v>
      </x:c>
      <x:c r="B564" s="27" t="str">
        <x:v>48201422406</x:v>
      </x:c>
      <x:c r="C564" s="50" t="n">
        <x:v>2757</x:v>
      </x:c>
      <x:c r="D564" s="50" t="n">
        <x:v>494</x:v>
      </x:c>
      <x:c r="E564" s="50" t="n">
        <x:v>278</x:v>
      </x:c>
      <x:c r="F564" s="37" t="n">
        <x:v>0.17918026840768952</x:v>
      </x:c>
      <x:c r="G564" s="37" t="n">
        <x:v>0.10083424011606819</x:v>
      </x:c>
      <x:c r="H564" s="56" t="n">
        <x:v>2957.7000000000003</x:v>
      </x:c>
      <x:c r="I564" s="56" t="n">
        <x:v>0.239</x:v>
      </x:c>
      <x:c r="J564" s="56" t="n">
        <x:v>18.27498041061777</x:v>
      </x:c>
      <x:c r="K564" s="56" t="n">
        <x:v>57.41247061592665</x:v>
      </x:c>
      <x:c r="L564" s="56" t="n">
        <x:v>84.16067230846664</x:v>
      </x:c>
    </x:row>
    <x:row r="565" ht="32.400001525878906" hidden="0" customHeight="1">
      <x:c r="A565" s="29" t="str">
        <x:v>Harris County, Texas</x:v>
      </x:c>
      <x:c r="B565" s="29" t="str">
        <x:v>48201422501</x:v>
      </x:c>
      <x:c r="C565" s="51" t="n">
        <x:v>3734</x:v>
      </x:c>
      <x:c r="D565" s="51" t="n">
        <x:v>573</x:v>
      </x:c>
      <x:c r="E565" s="51" t="n">
        <x:v>309</x:v>
      </x:c>
      <x:c r="F565" s="38" t="n">
        <x:v>0.15345474022495983</x:v>
      </x:c>
      <x:c r="G565" s="38" t="n">
        <x:v>0.08275307980717729</x:v>
      </x:c>
      <x:c r="H565" s="57" t="n">
        <x:v>3965.45</x:v>
      </x:c>
      <x:c r="I565" s="57" t="n">
        <x:v>0.327</x:v>
      </x:c>
      <x:c r="J565" s="57" t="n">
        <x:v>19.089486110728647</x:v>
      </x:c>
      <x:c r="K565" s="57" t="n">
        <x:v>58.634229166092965</x:v>
      </x:c>
      <x:c r="L565" s="57" t="n">
        <x:v>85.9060416658471</x:v>
      </x:c>
    </x:row>
    <x:row r="566" ht="32.400001525878906" hidden="0" customHeight="1">
      <x:c r="A566" s="27" t="str">
        <x:v>Harris County, Texas</x:v>
      </x:c>
      <x:c r="B566" s="27" t="str">
        <x:v>48201422502</x:v>
      </x:c>
      <x:c r="C566" s="50" t="n">
        <x:v>3043</x:v>
      </x:c>
      <x:c r="D566" s="50" t="n">
        <x:v>321</x:v>
      </x:c>
      <x:c r="E566" s="50" t="n">
        <x:v>72</x:v>
      </x:c>
      <x:c r="F566" s="37" t="n">
        <x:v>0.10548800525796911</x:v>
      </x:c>
      <x:c r="G566" s="37" t="n">
        <x:v>0.02366086099244167</x:v>
      </x:c>
      <x:c r="H566" s="56" t="n">
        <x:v>3162.55</x:v>
      </x:c>
      <x:c r="I566" s="56" t="n">
        <x:v>0.386</x:v>
      </x:c>
      <x:c r="J566" s="56" t="n">
        <x:v>18.46059785378007</x:v>
      </x:c>
      <x:c r="K566" s="56" t="n">
        <x:v>57.6908967806701</x:v>
      </x:c>
      <x:c r="L566" s="56" t="n">
        <x:v>84.55842397238587</x:v>
      </x:c>
    </x:row>
    <x:row r="567" ht="32.400001525878906" hidden="0" customHeight="1">
      <x:c r="A567" s="29" t="str">
        <x:v>Harris County, Texas</x:v>
      </x:c>
      <x:c r="B567" s="29" t="str">
        <x:v>48201422601</x:v>
      </x:c>
      <x:c r="C567" s="51" t="n">
        <x:v>3118</x:v>
      </x:c>
      <x:c r="D567" s="51" t="n">
        <x:v>276</x:v>
      </x:c>
      <x:c r="E567" s="51" t="n">
        <x:v>794</x:v>
      </x:c>
      <x:c r="F567" s="38" t="n">
        <x:v>0.0885182809493265</x:v>
      </x:c>
      <x:c r="G567" s="38" t="n">
        <x:v>0.25465041693393203</x:v>
      </x:c>
      <x:c r="H567" s="57" t="n">
        <x:v>3294</x:v>
      </x:c>
      <x:c r="I567" s="57" t="n">
        <x:v>0.405</x:v>
      </x:c>
      <x:c r="J567" s="57" t="n">
        <x:v>19.88713682042027</x:v>
      </x:c>
      <x:c r="K567" s="57" t="n">
        <x:v>59.83070523063041</x:v>
      </x:c>
      <x:c r="L567" s="57" t="n">
        <x:v>87.61529318661486</x:v>
      </x:c>
    </x:row>
    <x:row r="568" ht="32.400001525878906" hidden="0" customHeight="1">
      <x:c r="A568" s="27" t="str">
        <x:v>Harris County, Texas</x:v>
      </x:c>
      <x:c r="B568" s="27" t="str">
        <x:v>48201422602</x:v>
      </x:c>
      <x:c r="C568" s="50" t="n">
        <x:v>2359</x:v>
      </x:c>
      <x:c r="D568" s="50" t="n">
        <x:v>256</x:v>
      </x:c>
      <x:c r="E568" s="50" t="n">
        <x:v>46</x:v>
      </x:c>
      <x:c r="F568" s="37" t="n">
        <x:v>0.10852055955913523</x:v>
      </x:c>
      <x:c r="G568" s="37" t="n">
        <x:v>0.01949978804578211</x:v>
      </x:c>
      <x:c r="H568" s="56" t="n">
        <x:v>2453.2000000000003</x:v>
      </x:c>
      <x:c r="I568" s="56" t="n">
        <x:v>0.469</x:v>
      </x:c>
      <x:c r="J568" s="56" t="n">
        <x:v>19.97622374473682</x:v>
      </x:c>
      <x:c r="K568" s="56" t="n">
        <x:v>59.96433561710523</x:v>
      </x:c>
      <x:c r="L568" s="56" t="n">
        <x:v>87.80619373872176</x:v>
      </x:c>
    </x:row>
    <x:row r="569" ht="32.400001525878906" hidden="0" customHeight="1">
      <x:c r="A569" s="29" t="str">
        <x:v>Harris County, Texas</x:v>
      </x:c>
      <x:c r="B569" s="29" t="str">
        <x:v>48201422701</x:v>
      </x:c>
      <x:c r="C569" s="51" t="n">
        <x:v>4750</x:v>
      </x:c>
      <x:c r="D569" s="51" t="n">
        <x:v>430</x:v>
      </x:c>
      <x:c r="E569" s="51" t="n">
        <x:v>104</x:v>
      </x:c>
      <x:c r="F569" s="38" t="n">
        <x:v>0.09052631578947369</x:v>
      </x:c>
      <x:c r="G569" s="38" t="n">
        <x:v>0.021894736842105262</x:v>
      </x:c>
      <x:c r="H569" s="57" t="n">
        <x:v>4910.9</x:v>
      </x:c>
      <x:c r="I569" s="57" t="n">
        <x:v>0.71</x:v>
      </x:c>
      <x:c r="J569" s="57" t="n">
        <x:v>21.27584452693382</x:v>
      </x:c>
      <x:c r="K569" s="57" t="n">
        <x:v>61.91376679040073</x:v>
      </x:c>
      <x:c r="L569" s="57" t="n">
        <x:v>90.59109541485819</x:v>
      </x:c>
    </x:row>
    <x:row r="570" ht="32.400001525878906" hidden="0" customHeight="1">
      <x:c r="A570" s="27" t="str">
        <x:v>Harris County, Texas</x:v>
      </x:c>
      <x:c r="B570" s="27" t="str">
        <x:v>48201422702</x:v>
      </x:c>
      <x:c r="C570" s="50" t="n">
        <x:v>3445</x:v>
      </x:c>
      <x:c r="D570" s="50" t="n">
        <x:v>384</x:v>
      </x:c>
      <x:c r="E570" s="50" t="n">
        <x:v>87</x:v>
      </x:c>
      <x:c r="F570" s="37" t="n">
        <x:v>0.11146589259796807</x:v>
      </x:c>
      <x:c r="G570" s="37" t="n">
        <x:v>0.025253991291727142</x:v>
      </x:c>
      <x:c r="H570" s="56" t="n">
        <x:v>3588.1</x:v>
      </x:c>
      <x:c r="I570" s="56" t="n">
        <x:v>0.497</x:v>
      </x:c>
      <x:c r="J570" s="56" t="n">
        <x:v>22.311034853349476</x:v>
      </x:c>
      <x:c r="K570" s="56" t="n">
        <x:v>63.46655228002421</x:v>
      </x:c>
      <x:c r="L570" s="56" t="n">
        <x:v>92.80936040003459</x:v>
      </x:c>
    </x:row>
    <x:row r="571" ht="32.400001525878906" hidden="0" customHeight="1">
      <x:c r="A571" s="29" t="str">
        <x:v>Harris County, Texas</x:v>
      </x:c>
      <x:c r="B571" s="29" t="str">
        <x:v>48201422800</x:v>
      </x:c>
      <x:c r="C571" s="51" t="n">
        <x:v>4321</x:v>
      </x:c>
      <x:c r="D571" s="51" t="n">
        <x:v>437</x:v>
      </x:c>
      <x:c r="E571" s="51" t="n">
        <x:v>443.5</x:v>
      </x:c>
      <x:c r="F571" s="38" t="n">
        <x:v>0.10113399676000925</x:v>
      </x:c>
      <x:c r="G571" s="38" t="n">
        <x:v>0.10263827817634807</x:v>
      </x:c>
      <x:c r="H571" s="57" t="n">
        <x:v>4518.299999999999</x:v>
      </x:c>
      <x:c r="I571" s="57" t="n">
        <x:v>0.888</x:v>
      </x:c>
      <x:c r="J571" s="57" t="n">
        <x:v>22.225522002829507</x:v>
      </x:c>
      <x:c r="K571" s="57" t="n">
        <x:v>63.33828300424426</x:v>
      </x:c>
      <x:c r="L571" s="57" t="n">
        <x:v>92.62611857749181</x:v>
      </x:c>
    </x:row>
    <x:row r="572" ht="32.400001525878906" hidden="0" customHeight="1">
      <x:c r="A572" s="27" t="str">
        <x:v>Harris County, Texas</x:v>
      </x:c>
      <x:c r="B572" s="27" t="str">
        <x:v>48201422900</x:v>
      </x:c>
      <x:c r="C572" s="50" t="n">
        <x:v>4041</x:v>
      </x:c>
      <x:c r="D572" s="50" t="n">
        <x:v>380</x:v>
      </x:c>
      <x:c r="E572" s="50" t="n">
        <x:v>682.5</x:v>
      </x:c>
      <x:c r="F572" s="37" t="n">
        <x:v>0.09403612967087355</x:v>
      </x:c>
      <x:c r="G572" s="37" t="n">
        <x:v>0.16889383815887157</x:v>
      </x:c>
      <x:c r="H572" s="56" t="n">
        <x:v>4242.25</x:v>
      </x:c>
      <x:c r="I572" s="56" t="n">
        <x:v>0.624</x:v>
      </x:c>
      <x:c r="J572" s="56" t="n">
        <x:v>22.74267495876029</x:v>
      </x:c>
      <x:c r="K572" s="56" t="n">
        <x:v>64.11401243814043</x:v>
      </x:c>
      <x:c r="L572" s="56" t="n">
        <x:v>93.73430348305777</x:v>
      </x:c>
    </x:row>
    <x:row r="573" ht="32.400001525878906" hidden="0" customHeight="1">
      <x:c r="A573" s="29" t="str">
        <x:v>Harris County, Texas</x:v>
      </x:c>
      <x:c r="B573" s="29" t="str">
        <x:v>48201423001</x:v>
      </x:c>
      <x:c r="C573" s="51" t="n">
        <x:v>3299</x:v>
      </x:c>
      <x:c r="D573" s="51" t="n">
        <x:v>146</x:v>
      </x:c>
      <x:c r="E573" s="51" t="n">
        <x:v>381.5</x:v>
      </x:c>
      <x:c r="F573" s="38" t="n">
        <x:v>0.044255835101545925</x:v>
      </x:c>
      <x:c r="G573" s="38" t="n">
        <x:v>0.11564110336465595</x:v>
      </x:c>
      <x:c r="H573" s="57" t="n">
        <x:v>3388.25</x:v>
      </x:c>
      <x:c r="I573" s="57" t="n">
        <x:v>0.15</x:v>
      </x:c>
      <x:c r="J573" s="57" t="n">
        <x:v>20.95795918582168</x:v>
      </x:c>
      <x:c r="K573" s="57" t="n">
        <x:v>61.43693877873252</x:v>
      </x:c>
      <x:c r="L573" s="57" t="n">
        <x:v>89.90991254104645</x:v>
      </x:c>
    </x:row>
    <x:row r="574" ht="32.400001525878906" hidden="0" customHeight="1">
      <x:c r="A574" s="27" t="str">
        <x:v>Harris County, Texas</x:v>
      </x:c>
      <x:c r="B574" s="27" t="str">
        <x:v>48201423002</x:v>
      </x:c>
      <x:c r="C574" s="50" t="n">
        <x:v>3080</x:v>
      </x:c>
      <x:c r="D574" s="50" t="n">
        <x:v>221</x:v>
      </x:c>
      <x:c r="E574" s="50" t="n">
        <x:v>712.5</x:v>
      </x:c>
      <x:c r="F574" s="37" t="n">
        <x:v>0.07175324675324675</x:v>
      </x:c>
      <x:c r="G574" s="37" t="n">
        <x:v>0.23133116883116883</x:v>
      </x:c>
      <x:c r="H574" s="56" t="n">
        <x:v>3228.6</x:v>
      </x:c>
      <x:c r="I574" s="56" t="n">
        <x:v>0.538</x:v>
      </x:c>
      <x:c r="J574" s="56" t="n">
        <x:v>21.348901027275495</x:v>
      </x:c>
      <x:c r="K574" s="56" t="n">
        <x:v>62.02335154091325</x:v>
      </x:c>
      <x:c r="L574" s="56" t="n">
        <x:v>90.74764505844749</x:v>
      </x:c>
    </x:row>
    <x:row r="575" ht="32.400001525878906" hidden="0" customHeight="1">
      <x:c r="A575" s="29" t="str">
        <x:v>Harris County, Texas</x:v>
      </x:c>
      <x:c r="B575" s="29" t="str">
        <x:v>48201423100</x:v>
      </x:c>
      <x:c r="C575" s="51" t="n">
        <x:v>2871</x:v>
      </x:c>
      <x:c r="D575" s="51" t="n">
        <x:v>122</x:v>
      </x:c>
      <x:c r="E575" s="51" t="n">
        <x:v>482.5</x:v>
      </x:c>
      <x:c r="F575" s="38" t="n">
        <x:v>0.04249390456287008</x:v>
      </x:c>
      <x:c r="G575" s="38" t="n">
        <x:v>0.16805990943921978</x:v>
      </x:c>
      <x:c r="H575" s="57" t="n">
        <x:v>2961.9500000000003</x:v>
      </x:c>
      <x:c r="I575" s="57" t="n">
        <x:v>0.631</x:v>
      </x:c>
      <x:c r="J575" s="57" t="n">
        <x:v>23.630323180425492</x:v>
      </x:c>
      <x:c r="K575" s="57" t="n">
        <x:v>65.44548477063825</x:v>
      </x:c>
      <x:c r="L575" s="57" t="n">
        <x:v>95.63640681519749</x:v>
      </x:c>
    </x:row>
    <x:row r="576" ht="32.400001525878906" hidden="0" customHeight="1">
      <x:c r="A576" s="27" t="str">
        <x:v>Harris County, Texas</x:v>
      </x:c>
      <x:c r="B576" s="27" t="str">
        <x:v>48201423201</x:v>
      </x:c>
      <x:c r="C576" s="50" t="n">
        <x:v>2628</x:v>
      </x:c>
      <x:c r="D576" s="50" t="n">
        <x:v>284</x:v>
      </x:c>
      <x:c r="E576" s="50" t="n">
        <x:v>38</x:v>
      </x:c>
      <x:c r="F576" s="37" t="n">
        <x:v>0.1080669710806697</x:v>
      </x:c>
      <x:c r="G576" s="37" t="n">
        <x:v>0.01445966514459665</x:v>
      </x:c>
      <x:c r="H576" s="56" t="n">
        <x:v>2731.2000000000003</x:v>
      </x:c>
      <x:c r="I576" s="56" t="n">
        <x:v>0.748</x:v>
      </x:c>
      <x:c r="J576" s="56" t="n">
        <x:v>22.58406570672039</x:v>
      </x:c>
      <x:c r="K576" s="56" t="n">
        <x:v>63.87609856008059</x:v>
      </x:c>
      <x:c r="L576" s="56" t="n">
        <x:v>93.39442651440083</x:v>
      </x:c>
    </x:row>
    <x:row r="577" ht="32.400001525878906" hidden="0" customHeight="1">
      <x:c r="A577" s="29" t="str">
        <x:v>Harris County, Texas</x:v>
      </x:c>
      <x:c r="B577" s="29" t="str">
        <x:v>48201423203</x:v>
      </x:c>
      <x:c r="C577" s="51" t="n">
        <x:v>2280</x:v>
      </x:c>
      <x:c r="D577" s="51" t="n">
        <x:v>406</x:v>
      </x:c>
      <x:c r="E577" s="51" t="n">
        <x:v>119</x:v>
      </x:c>
      <x:c r="F577" s="38" t="n">
        <x:v>0.1780701754385965</x:v>
      </x:c>
      <x:c r="G577" s="38" t="n">
        <x:v>0.052192982456140354</x:v>
      </x:c>
      <x:c r="H577" s="57" t="n">
        <x:v>2434</x:v>
      </x:c>
      <x:c r="I577" s="57" t="n">
        <x:v>0.318</x:v>
      </x:c>
      <x:c r="J577" s="57" t="n">
        <x:v>21.358751240639673</x:v>
      </x:c>
      <x:c r="K577" s="57" t="n">
        <x:v>62.03812686095951</x:v>
      </x:c>
      <x:c r="L577" s="57" t="n">
        <x:v>90.76875265851359</x:v>
      </x:c>
    </x:row>
    <x:row r="578" ht="32.400001525878906" hidden="0" customHeight="1">
      <x:c r="A578" s="27" t="str">
        <x:v>Harris County, Texas</x:v>
      </x:c>
      <x:c r="B578" s="27" t="str">
        <x:v>48201423204</x:v>
      </x:c>
      <x:c r="C578" s="50" t="n">
        <x:v>4070</x:v>
      </x:c>
      <x:c r="D578" s="50" t="n">
        <x:v>480</x:v>
      </x:c>
      <x:c r="E578" s="50" t="n">
        <x:v>1070.5</x:v>
      </x:c>
      <x:c r="F578" s="37" t="n">
        <x:v>0.11793611793611794</x:v>
      </x:c>
      <x:c r="G578" s="37" t="n">
        <x:v>0.26302211302211304</x:v>
      </x:c>
      <x:c r="H578" s="56" t="n">
        <x:v>4345.05</x:v>
      </x:c>
      <x:c r="I578" s="56" t="n">
        <x:v>0.243</x:v>
      </x:c>
      <x:c r="J578" s="56" t="n">
        <x:v>21.868452121597937</x:v>
      </x:c>
      <x:c r="K578" s="56" t="n">
        <x:v>62.8026781823969</x:v>
      </x:c>
      <x:c r="L578" s="56" t="n">
        <x:v>91.86096883199558</x:v>
      </x:c>
    </x:row>
    <x:row r="579" ht="32.400001525878906" hidden="0" customHeight="1">
      <x:c r="A579" s="29" t="str">
        <x:v>Harris County, Texas</x:v>
      </x:c>
      <x:c r="B579" s="29" t="str">
        <x:v>48201423301</x:v>
      </x:c>
      <x:c r="C579" s="51" t="n">
        <x:v>4664</x:v>
      </x:c>
      <x:c r="D579" s="51" t="n">
        <x:v>471</x:v>
      </x:c>
      <x:c r="E579" s="51" t="n">
        <x:v>327</x:v>
      </x:c>
      <x:c r="F579" s="38" t="n">
        <x:v>0.10098627787307032</x:v>
      </x:c>
      <x:c r="G579" s="38" t="n">
        <x:v>0.0701114922813036</x:v>
      </x:c>
      <x:c r="H579" s="57" t="n">
        <x:v>4861.549999999999</x:v>
      </x:c>
      <x:c r="I579" s="57" t="n">
        <x:v>0.639</x:v>
      </x:c>
      <x:c r="J579" s="57" t="n">
        <x:v>20.55722884367976</x:v>
      </x:c>
      <x:c r="K579" s="57" t="n">
        <x:v>60.83584326551964</x:v>
      </x:c>
      <x:c r="L579" s="57" t="n">
        <x:v>89.05120466502805</x:v>
      </x:c>
    </x:row>
    <x:row r="580" ht="32.400001525878906" hidden="0" customHeight="1">
      <x:c r="A580" s="27" t="str">
        <x:v>Harris County, Texas</x:v>
      </x:c>
      <x:c r="B580" s="27" t="str">
        <x:v>48201423303</x:v>
      </x:c>
      <x:c r="C580" s="50" t="n">
        <x:v>1375</x:v>
      </x:c>
      <x:c r="D580" s="50" t="n">
        <x:v>320</x:v>
      </x:c>
      <x:c r="E580" s="50" t="n">
        <x:v>304</x:v>
      </x:c>
      <x:c r="F580" s="37" t="n">
        <x:v>0.23272727272727273</x:v>
      </x:c>
      <x:c r="G580" s="37" t="n">
        <x:v>0.2210909090909091</x:v>
      </x:c>
      <x:c r="H580" s="56" t="n">
        <x:v>1517.3999999999999</x:v>
      </x:c>
      <x:c r="I580" s="56" t="n">
        <x:v>0.175</x:v>
      </x:c>
      <x:c r="J580" s="56" t="n">
        <x:v>18.880079376844733</x:v>
      </x:c>
      <x:c r="K580" s="56" t="n">
        <x:v>58.3201190652671</x:v>
      </x:c>
      <x:c r="L580" s="56" t="n">
        <x:v>85.45731295038158</x:v>
      </x:c>
    </x:row>
    <x:row r="581" ht="32.400001525878906" hidden="0" customHeight="1">
      <x:c r="A581" s="29" t="str">
        <x:v>Harris County, Texas</x:v>
      </x:c>
      <x:c r="B581" s="29" t="str">
        <x:v>48201423304</x:v>
      </x:c>
      <x:c r="C581" s="51" t="n">
        <x:v>3435</x:v>
      </x:c>
      <x:c r="D581" s="51" t="n">
        <x:v>767</x:v>
      </x:c>
      <x:c r="E581" s="51" t="n">
        <x:v>380.5</x:v>
      </x:c>
      <x:c r="F581" s="38" t="n">
        <x:v>0.22328966521106258</x:v>
      </x:c>
      <x:c r="G581" s="38" t="n">
        <x:v>0.11077147016011644</x:v>
      </x:c>
      <x:c r="H581" s="57" t="n">
        <x:v>3741.4999999999995</x:v>
      </x:c>
      <x:c r="I581" s="57" t="n">
        <x:v>0.615</x:v>
      </x:c>
      <x:c r="J581" s="57" t="n">
        <x:v>19.99312398343468</x:v>
      </x:c>
      <x:c r="K581" s="57" t="n">
        <x:v>59.98968597515202</x:v>
      </x:c>
      <x:c r="L581" s="57" t="n">
        <x:v>87.84240853593145</x:v>
      </x:c>
    </x:row>
    <x:row r="582" ht="32.400001525878906" hidden="0" customHeight="1">
      <x:c r="A582" s="27" t="str">
        <x:v>Harris County, Texas</x:v>
      </x:c>
      <x:c r="B582" s="27" t="str">
        <x:v>48201423401</x:v>
      </x:c>
      <x:c r="C582" s="50" t="n">
        <x:v>4745</x:v>
      </x:c>
      <x:c r="D582" s="50" t="n">
        <x:v>686</x:v>
      </x:c>
      <x:c r="E582" s="50" t="n">
        <x:v>785.5</x:v>
      </x:c>
      <x:c r="F582" s="37" t="n">
        <x:v>0.1445732349841939</x:v>
      </x:c>
      <x:c r="G582" s="37" t="n">
        <x:v>0.1655426765015806</x:v>
      </x:c>
      <x:c r="H582" s="56" t="n">
        <x:v>5063.65</x:v>
      </x:c>
      <x:c r="I582" s="56" t="n">
        <x:v>0.874</x:v>
      </x:c>
      <x:c r="J582" s="56" t="n">
        <x:v>18.77022542528087</x:v>
      </x:c>
      <x:c r="K582" s="56" t="n">
        <x:v>58.155338137921305</x:v>
      </x:c>
      <x:c r="L582" s="56" t="n">
        <x:v>85.22191162560188</x:v>
      </x:c>
    </x:row>
    <x:row r="583" ht="32.400001525878906" hidden="0" customHeight="1">
      <x:c r="A583" s="29" t="str">
        <x:v>Harris County, Texas</x:v>
      </x:c>
      <x:c r="B583" s="29" t="str">
        <x:v>48201423402</x:v>
      </x:c>
      <x:c r="C583" s="51" t="n">
        <x:v>4597</x:v>
      </x:c>
      <x:c r="D583" s="51" t="n">
        <x:v>374</x:v>
      </x:c>
      <x:c r="E583" s="51" t="n">
        <x:v>12</x:v>
      </x:c>
      <x:c r="F583" s="38" t="n">
        <x:v>0.0813574070045682</x:v>
      </x:c>
      <x:c r="G583" s="38" t="n">
        <x:v>0.0026103980857080703</x:v>
      </x:c>
      <x:c r="H583" s="57" t="n">
        <x:v>4729.099999999999</x:v>
      </x:c>
      <x:c r="I583" s="57" t="n">
        <x:v>0.592</x:v>
      </x:c>
      <x:c r="J583" s="57" t="n">
        <x:v>20.26738712728233</x:v>
      </x:c>
      <x:c r="K583" s="57" t="n">
        <x:v>60.40108069092349</x:v>
      </x:c>
      <x:c r="L583" s="57" t="n">
        <x:v>88.43011527274786</x:v>
      </x:c>
    </x:row>
    <x:row r="584" ht="32.400001525878906" hidden="0" customHeight="1">
      <x:c r="A584" s="27" t="str">
        <x:v>Harris County, Texas</x:v>
      </x:c>
      <x:c r="B584" s="27" t="str">
        <x:v>48201423500</x:v>
      </x:c>
      <x:c r="C584" s="50" t="n">
        <x:v>2254</x:v>
      </x:c>
      <x:c r="D584" s="50" t="n">
        <x:v>191</x:v>
      </x:c>
      <x:c r="E584" s="50" t="n">
        <x:v>0</x:v>
      </x:c>
      <x:c r="F584" s="37" t="n">
        <x:v>0.08473824312333629</x:v>
      </x:c>
      <x:c r="G584" s="37" t="n">
        <x:v>0</x:v>
      </x:c>
      <x:c r="H584" s="56" t="n">
        <x:v>2320.85</x:v>
      </x:c>
      <x:c r="I584" s="56" t="n">
        <x:v>0.48</x:v>
      </x:c>
      <x:c r="J584" s="56" t="n">
        <x:v>21.79240620404823</x:v>
      </x:c>
      <x:c r="K584" s="56" t="n">
        <x:v>62.688609306072344</x:v>
      </x:c>
      <x:c r="L584" s="56" t="n">
        <x:v>91.69801329438906</x:v>
      </x:c>
    </x:row>
    <x:row r="585" ht="32.400001525878906" hidden="0" customHeight="1">
      <x:c r="A585" s="29" t="str">
        <x:v>Harris County, Texas</x:v>
      </x:c>
      <x:c r="B585" s="29" t="str">
        <x:v>48201423600</x:v>
      </x:c>
      <x:c r="C585" s="51" t="n">
        <x:v>7068</x:v>
      </x:c>
      <x:c r="D585" s="51" t="n">
        <x:v>1291</x:v>
      </x:c>
      <x:c r="E585" s="51" t="n">
        <x:v>53</x:v>
      </x:c>
      <x:c r="F585" s="38" t="n">
        <x:v>0.18265421618562536</x:v>
      </x:c>
      <x:c r="G585" s="38" t="n">
        <x:v>0.007498585172608941</x:v>
      </x:c>
      <x:c r="H585" s="57" t="n">
        <x:v>7525.15</x:v>
      </x:c>
      <x:c r="I585" s="57" t="n">
        <x:v>1.285</x:v>
      </x:c>
      <x:c r="J585" s="57" t="n">
        <x:v>18.416475416267048</x:v>
      </x:c>
      <x:c r="K585" s="57" t="n">
        <x:v>57.62471312440057</x:v>
      </x:c>
      <x:c r="L585" s="57" t="n">
        <x:v>84.46387589200081</x:v>
      </x:c>
    </x:row>
    <x:row r="586" ht="32.400001525878906" hidden="0" customHeight="1">
      <x:c r="A586" s="27" t="str">
        <x:v>Harris County, Texas</x:v>
      </x:c>
      <x:c r="B586" s="27" t="str">
        <x:v>48201430101</x:v>
      </x:c>
      <x:c r="C586" s="50" t="n">
        <x:v>2733</x:v>
      </x:c>
      <x:c r="D586" s="50" t="n">
        <x:v>312</x:v>
      </x:c>
      <x:c r="E586" s="50" t="n">
        <x:v>113</x:v>
      </x:c>
      <x:c r="F586" s="37" t="n">
        <x:v>0.1141602634467618</x:v>
      </x:c>
      <x:c r="G586" s="37" t="n">
        <x:v>0.041346505671423346</x:v>
      </x:c>
      <x:c r="H586" s="56" t="n">
        <x:v>2853.5</x:v>
      </x:c>
      <x:c r="I586" s="56" t="n">
        <x:v>0.576</x:v>
      </x:c>
      <x:c r="J586" s="56" t="n">
        <x:v>29.537498837394782</x:v>
      </x:c>
      <x:c r="K586" s="56" t="n">
        <x:v>74.30624825609218</x:v>
      </x:c>
      <x:c r="L586" s="56" t="n">
        <x:v>108.29464036584596</x:v>
      </x:c>
    </x:row>
    <x:row r="587" ht="32.400001525878906" hidden="0" customHeight="1">
      <x:c r="A587" s="29" t="str">
        <x:v>Harris County, Texas</x:v>
      </x:c>
      <x:c r="B587" s="29" t="str">
        <x:v>48201430102</x:v>
      </x:c>
      <x:c r="C587" s="51" t="n">
        <x:v>2987</x:v>
      </x:c>
      <x:c r="D587" s="51" t="n">
        <x:v>384</x:v>
      </x:c>
      <x:c r="E587" s="51" t="n">
        <x:v>32</x:v>
      </x:c>
      <x:c r="F587" s="38" t="n">
        <x:v>0.12855708068295948</x:v>
      </x:c>
      <x:c r="G587" s="38" t="n">
        <x:v>0.010713090056913292</x:v>
      </x:c>
      <x:c r="H587" s="57" t="n">
        <x:v>3124.6</x:v>
      </x:c>
      <x:c r="I587" s="57" t="n">
        <x:v>1.112</x:v>
      </x:c>
      <x:c r="J587" s="57" t="n">
        <x:v>29.295437646363627</x:v>
      </x:c>
      <x:c r="K587" s="57" t="n">
        <x:v>73.94315646954544</x:v>
      </x:c>
      <x:c r="L587" s="57" t="n">
        <x:v>107.77593781363635</x:v>
      </x:c>
    </x:row>
    <x:row r="588" ht="32.400001525878906" hidden="0" customHeight="1">
      <x:c r="A588" s="27" t="str">
        <x:v>Harris County, Texas</x:v>
      </x:c>
      <x:c r="B588" s="27" t="str">
        <x:v>48201430200</x:v>
      </x:c>
      <x:c r="C588" s="50" t="n">
        <x:v>1609</x:v>
      </x:c>
      <x:c r="D588" s="50" t="n">
        <x:v>185</x:v>
      </x:c>
      <x:c r="E588" s="50" t="n">
        <x:v>33</x:v>
      </x:c>
      <x:c r="F588" s="37" t="n">
        <x:v>0.11497824735860783</x:v>
      </x:c>
      <x:c r="G588" s="37" t="n">
        <x:v>0.020509633312616533</x:v>
      </x:c>
      <x:c r="H588" s="56" t="n">
        <x:v>1677.0500000000004</x:v>
      </x:c>
      <x:c r="I588" s="56" t="n">
        <x:v>0.273</x:v>
      </x:c>
      <x:c r="J588" s="56" t="n">
        <x:v>29.987968244755923</x:v>
      </x:c>
      <x:c r="K588" s="56" t="n">
        <x:v>74.98195236713389</x:v>
      </x:c>
      <x:c r="L588" s="56" t="n">
        <x:v>109.25993195304841</x:v>
      </x:c>
    </x:row>
    <x:row r="589" ht="32.400001525878906" hidden="0" customHeight="1">
      <x:c r="A589" s="29" t="str">
        <x:v>Harris County, Texas</x:v>
      </x:c>
      <x:c r="B589" s="29" t="str">
        <x:v>48201430300</x:v>
      </x:c>
      <x:c r="C589" s="51" t="n">
        <x:v>4369</x:v>
      </x:c>
      <x:c r="D589" s="51" t="n">
        <x:v>247</x:v>
      </x:c>
      <x:c r="E589" s="51" t="n">
        <x:v>6</x:v>
      </x:c>
      <x:c r="F589" s="38" t="n">
        <x:v>0.05653467612726024</x:v>
      </x:c>
      <x:c r="G589" s="38" t="n">
        <x:v>0.001373311970702678</x:v>
      </x:c>
      <x:c r="H589" s="57" t="n">
        <x:v>4456.049999999999</x:v>
      </x:c>
      <x:c r="I589" s="57" t="n">
        <x:v>1.954</x:v>
      </x:c>
      <x:c r="J589" s="57" t="n">
        <x:v>30.332482630996093</x:v>
      </x:c>
      <x:c r="K589" s="57" t="n">
        <x:v>75.49872394649414</x:v>
      </x:c>
      <x:c r="L589" s="57" t="n">
        <x:v>109.9981770664202</x:v>
      </x:c>
    </x:row>
    <x:row r="590" ht="32.400001525878906" hidden="0" customHeight="1">
      <x:c r="A590" s="27" t="str">
        <x:v>Harris County, Texas</x:v>
      </x:c>
      <x:c r="B590" s="27" t="str">
        <x:v>48201430400</x:v>
      </x:c>
      <x:c r="C590" s="50" t="n">
        <x:v>3097</x:v>
      </x:c>
      <x:c r="D590" s="50" t="n">
        <x:v>201</x:v>
      </x:c>
      <x:c r="E590" s="50" t="n">
        <x:v>0</x:v>
      </x:c>
      <x:c r="F590" s="37" t="n">
        <x:v>0.06490151759767517</x:v>
      </x:c>
      <x:c r="G590" s="37" t="n">
        <x:v>0</x:v>
      </x:c>
      <x:c r="H590" s="56" t="n">
        <x:v>3167.35</x:v>
      </x:c>
      <x:c r="I590" s="56" t="n">
        <x:v>2.13</x:v>
      </x:c>
      <x:c r="J590" s="56" t="n">
        <x:v>29.449841683489204</x:v>
      </x:c>
      <x:c r="K590" s="56" t="n">
        <x:v>74.1747625252338</x:v>
      </x:c>
      <x:c r="L590" s="56" t="n">
        <x:v>108.10680360747688</x:v>
      </x:c>
    </x:row>
    <x:row r="591" ht="32.400001525878906" hidden="0" customHeight="1">
      <x:c r="A591" s="29" t="str">
        <x:v>Harris County, Texas</x:v>
      </x:c>
      <x:c r="B591" s="29" t="str">
        <x:v>48201430500</x:v>
      </x:c>
      <x:c r="C591" s="51" t="n">
        <x:v>2291</x:v>
      </x:c>
      <x:c r="D591" s="51" t="n">
        <x:v>220</x:v>
      </x:c>
      <x:c r="E591" s="51" t="n">
        <x:v>6</x:v>
      </x:c>
      <x:c r="F591" s="38" t="n">
        <x:v>0.09602793539938892</x:v>
      </x:c>
      <x:c r="G591" s="38" t="n">
        <x:v>0.0026189436927106066</x:v>
      </x:c>
      <x:c r="H591" s="57" t="n">
        <x:v>2368.6000000000004</x:v>
      </x:c>
      <x:c r="I591" s="57" t="n">
        <x:v>0.961</x:v>
      </x:c>
      <x:c r="J591" s="57" t="n">
        <x:v>32.644710720526135</x:v>
      </x:c>
      <x:c r="K591" s="57" t="n">
        <x:v>78.96706608078921</x:v>
      </x:c>
      <x:c r="L591" s="57" t="n">
        <x:v>114.95295154398458</x:v>
      </x:c>
    </x:row>
    <x:row r="592" ht="32.400001525878906" hidden="0" customHeight="1">
      <x:c r="A592" s="27" t="str">
        <x:v>Harris County, Texas</x:v>
      </x:c>
      <x:c r="B592" s="27" t="str">
        <x:v>48201430600</x:v>
      </x:c>
      <x:c r="C592" s="50" t="n">
        <x:v>3838</x:v>
      </x:c>
      <x:c r="D592" s="50" t="n">
        <x:v>146</x:v>
      </x:c>
      <x:c r="E592" s="50" t="n">
        <x:v>0</x:v>
      </x:c>
      <x:c r="F592" s="37" t="n">
        <x:v>0.03804064616988015</x:v>
      </x:c>
      <x:c r="G592" s="37" t="n">
        <x:v>0</x:v>
      </x:c>
      <x:c r="H592" s="56" t="n">
        <x:v>3889.1000000000004</x:v>
      </x:c>
      <x:c r="I592" s="56" t="n">
        <x:v>1.444</x:v>
      </x:c>
      <x:c r="J592" s="56" t="n">
        <x:v>31.694550355627715</x:v>
      </x:c>
      <x:c r="K592" s="56" t="n">
        <x:v>77.54182553344157</x:v>
      </x:c>
      <x:c r="L592" s="56" t="n">
        <x:v>112.91689361920224</x:v>
      </x:c>
    </x:row>
    <x:row r="593" ht="32.400001525878906" hidden="0" customHeight="1">
      <x:c r="A593" s="29" t="str">
        <x:v>Harris County, Texas</x:v>
      </x:c>
      <x:c r="B593" s="29" t="str">
        <x:v>48201430700</x:v>
      </x:c>
      <x:c r="C593" s="51" t="n">
        <x:v>3831</x:v>
      </x:c>
      <x:c r="D593" s="51" t="n">
        <x:v>434</x:v>
      </x:c>
      <x:c r="E593" s="51" t="n">
        <x:v>615.5</x:v>
      </x:c>
      <x:c r="F593" s="38" t="n">
        <x:v>0.1132863482119551</x:v>
      </x:c>
      <x:c r="G593" s="38" t="n">
        <x:v>0.16066301226833724</x:v>
      </x:c>
      <x:c r="H593" s="57" t="n">
        <x:v>4044.45</x:v>
      </x:c>
      <x:c r="I593" s="57" t="n">
        <x:v>0.725</x:v>
      </x:c>
      <x:c r="J593" s="57" t="n">
        <x:v>33.42691647975869</x:v>
      </x:c>
      <x:c r="K593" s="57" t="n">
        <x:v>80.14037471963803</x:v>
      </x:c>
      <x:c r="L593" s="57" t="n">
        <x:v>116.62910674234004</x:v>
      </x:c>
    </x:row>
    <x:row r="594" ht="32.400001525878906" hidden="0" customHeight="1">
      <x:c r="A594" s="27" t="str">
        <x:v>Harris County, Texas</x:v>
      </x:c>
      <x:c r="B594" s="27" t="str">
        <x:v>48201430800</x:v>
      </x:c>
      <x:c r="C594" s="50" t="n">
        <x:v>6492</x:v>
      </x:c>
      <x:c r="D594" s="50" t="n">
        <x:v>460</x:v>
      </x:c>
      <x:c r="E594" s="50" t="n">
        <x:v>60</x:v>
      </x:c>
      <x:c r="F594" s="37" t="n">
        <x:v>0.07085643869377696</x:v>
      </x:c>
      <x:c r="G594" s="37" t="n">
        <x:v>0.009242144177449169</x:v>
      </x:c>
      <x:c r="H594" s="56" t="n">
        <x:v>6658.999999999999</x:v>
      </x:c>
      <x:c r="I594" s="56" t="n">
        <x:v>1.306</x:v>
      </x:c>
      <x:c r="J594" s="56" t="n">
        <x:v>32.3986380705971</x:v>
      </x:c>
      <x:c r="K594" s="56" t="n">
        <x:v>78.59795710589566</x:v>
      </x:c>
      <x:c r="L594" s="56" t="n">
        <x:v>114.42565300842236</x:v>
      </x:c>
    </x:row>
    <x:row r="595" ht="32.400001525878906" hidden="0" customHeight="1">
      <x:c r="A595" s="29" t="str">
        <x:v>Harris County, Texas</x:v>
      </x:c>
      <x:c r="B595" s="29" t="str">
        <x:v>48201430900</x:v>
      </x:c>
      <x:c r="C595" s="51" t="n">
        <x:v>5559</x:v>
      </x:c>
      <x:c r="D595" s="51" t="n">
        <x:v>382</x:v>
      </x:c>
      <x:c r="E595" s="51" t="n">
        <x:v>229.5</x:v>
      </x:c>
      <x:c r="F595" s="38" t="n">
        <x:v>0.06871739521496673</x:v>
      </x:c>
      <x:c r="G595" s="38" t="n">
        <x:v>0.04128440366972477</x:v>
      </x:c>
      <x:c r="H595" s="57" t="n">
        <x:v>5715.650000000001</x:v>
      </x:c>
      <x:c r="I595" s="57" t="n">
        <x:v>1.089</x:v>
      </x:c>
      <x:c r="J595" s="57" t="n">
        <x:v>31.813348795340396</x:v>
      </x:c>
      <x:c r="K595" s="57" t="n">
        <x:v>77.72002319301059</x:v>
      </x:c>
      <x:c r="L595" s="57" t="n">
        <x:v>113.17146170430085</x:v>
      </x:c>
    </x:row>
    <x:row r="596" ht="32.400001525878906" hidden="0" customHeight="1">
      <x:c r="A596" s="27" t="str">
        <x:v>Harris County, Texas</x:v>
      </x:c>
      <x:c r="B596" s="27" t="str">
        <x:v>48201431001</x:v>
      </x:c>
      <x:c r="C596" s="50" t="n">
        <x:v>2613</x:v>
      </x:c>
      <x:c r="D596" s="50" t="n">
        <x:v>110</x:v>
      </x:c>
      <x:c r="E596" s="50" t="n">
        <x:v>60</x:v>
      </x:c>
      <x:c r="F596" s="37" t="n">
        <x:v>0.04209720627631076</x:v>
      </x:c>
      <x:c r="G596" s="37" t="n">
        <x:v>0.022962112514351322</x:v>
      </x:c>
      <x:c r="H596" s="56" t="n">
        <x:v>2657.4999999999995</x:v>
      </x:c>
      <x:c r="I596" s="56" t="n">
        <x:v>0.842</x:v>
      </x:c>
      <x:c r="J596" s="56" t="n">
        <x:v>30.487319590382757</x:v>
      </x:c>
      <x:c r="K596" s="56" t="n">
        <x:v>75.73097938557413</x:v>
      </x:c>
      <x:c r="L596" s="56" t="n">
        <x:v>110.32997055082019</x:v>
      </x:c>
    </x:row>
    <x:row r="597" ht="32.400001525878906" hidden="0" customHeight="1">
      <x:c r="A597" s="29" t="str">
        <x:v>Harris County, Texas</x:v>
      </x:c>
      <x:c r="B597" s="29" t="str">
        <x:v>48201431002</x:v>
      </x:c>
      <x:c r="C597" s="51" t="n">
        <x:v>3020</x:v>
      </x:c>
      <x:c r="D597" s="51" t="n">
        <x:v>279</x:v>
      </x:c>
      <x:c r="E597" s="51" t="n">
        <x:v>27</x:v>
      </x:c>
      <x:c r="F597" s="38" t="n">
        <x:v>0.0923841059602649</x:v>
      </x:c>
      <x:c r="G597" s="38" t="n">
        <x:v>0.008940397350993378</x:v>
      </x:c>
      <x:c r="H597" s="57" t="n">
        <x:v>3120.3500000000004</x:v>
      </x:c>
      <x:c r="I597" s="57" t="n">
        <x:v>0.77</x:v>
      </x:c>
      <x:c r="J597" s="57" t="n">
        <x:v>31.837222351434967</x:v>
      </x:c>
      <x:c r="K597" s="57" t="n">
        <x:v>77.75583352715245</x:v>
      </x:c>
      <x:c r="L597" s="57" t="n">
        <x:v>113.2226193245035</x:v>
      </x:c>
    </x:row>
    <x:row r="598" ht="32.400001525878906" hidden="0" customHeight="1">
      <x:c r="A598" s="27" t="str">
        <x:v>Harris County, Texas</x:v>
      </x:c>
      <x:c r="B598" s="27" t="str">
        <x:v>48201431101</x:v>
      </x:c>
      <x:c r="C598" s="50" t="n">
        <x:v>5640</x:v>
      </x:c>
      <x:c r="D598" s="50" t="n">
        <x:v>537</x:v>
      </x:c>
      <x:c r="E598" s="50" t="n">
        <x:v>346</x:v>
      </x:c>
      <x:c r="F598" s="37" t="n">
        <x:v>0.09521276595744681</x:v>
      </x:c>
      <x:c r="G598" s="37" t="n">
        <x:v>0.06134751773049645</x:v>
      </x:c>
      <x:c r="H598" s="56" t="n">
        <x:v>5862.55</x:v>
      </x:c>
      <x:c r="I598" s="56" t="n">
        <x:v>0.323</x:v>
      </x:c>
      <x:c r="J598" s="56" t="n">
        <x:v>29.601317037373526</x:v>
      </x:c>
      <x:c r="K598" s="56" t="n">
        <x:v>74.4019755560603</x:v>
      </x:c>
      <x:c r="L598" s="56" t="n">
        <x:v>108.4313936515147</x:v>
      </x:c>
    </x:row>
    <x:row r="599" ht="32.400001525878906" hidden="0" customHeight="1">
      <x:c r="A599" s="29" t="str">
        <x:v>Harris County, Texas</x:v>
      </x:c>
      <x:c r="B599" s="29" t="str">
        <x:v>48201431102</x:v>
      </x:c>
      <x:c r="C599" s="51" t="n">
        <x:v>3994</x:v>
      </x:c>
      <x:c r="D599" s="51" t="n">
        <x:v>752</x:v>
      </x:c>
      <x:c r="E599" s="51" t="n">
        <x:v>730</x:v>
      </x:c>
      <x:c r="F599" s="38" t="n">
        <x:v>0.18828242363545317</x:v>
      </x:c>
      <x:c r="G599" s="38" t="n">
        <x:v>0.1827741612418628</x:v>
      </x:c>
      <x:c r="H599" s="57" t="n">
        <x:v>4330.2</x:v>
      </x:c>
      <x:c r="I599" s="57" t="n">
        <x:v>0.359</x:v>
      </x:c>
      <x:c r="J599" s="57" t="n">
        <x:v>28.673052685671404</x:v>
      </x:c>
      <x:c r="K599" s="57" t="n">
        <x:v>73.0095790285071</x:v>
      </x:c>
      <x:c r="L599" s="57" t="n">
        <x:v>106.44225575501015</x:v>
      </x:c>
    </x:row>
    <x:row r="600" ht="32.400001525878906" hidden="0" customHeight="1">
      <x:c r="A600" s="27" t="str">
        <x:v>Harris County, Texas</x:v>
      </x:c>
      <x:c r="B600" s="27" t="str">
        <x:v>48201431203</x:v>
      </x:c>
      <x:c r="C600" s="50" t="n">
        <x:v>1958</x:v>
      </x:c>
      <x:c r="D600" s="50" t="n">
        <x:v>84</x:v>
      </x:c>
      <x:c r="E600" s="50" t="n">
        <x:v>444</x:v>
      </x:c>
      <x:c r="F600" s="37" t="n">
        <x:v>0.04290091930541369</x:v>
      </x:c>
      <x:c r="G600" s="37" t="n">
        <x:v>0.22676200204290092</x:v>
      </x:c>
      <x:c r="H600" s="56" t="n">
        <x:v>2031.8</x:v>
      </x:c>
      <x:c r="I600" s="56" t="n">
        <x:v>0.179</x:v>
      </x:c>
      <x:c r="J600" s="56" t="n">
        <x:v>27.114298392705322</x:v>
      </x:c>
      <x:c r="K600" s="56" t="n">
        <x:v>70.67144758905798</x:v>
      </x:c>
      <x:c r="L600" s="56" t="n">
        <x:v>103.10206798436855</x:v>
      </x:c>
    </x:row>
    <x:row r="601" ht="32.400001525878906" hidden="0" customHeight="1">
      <x:c r="A601" s="29" t="str">
        <x:v>Harris County, Texas</x:v>
      </x:c>
      <x:c r="B601" s="29" t="str">
        <x:v>48201431204</x:v>
      </x:c>
      <x:c r="C601" s="51" t="n">
        <x:v>3195</x:v>
      </x:c>
      <x:c r="D601" s="51" t="n">
        <x:v>98</x:v>
      </x:c>
      <x:c r="E601" s="51" t="n">
        <x:v>271.5</x:v>
      </x:c>
      <x:c r="F601" s="38" t="n">
        <x:v>0.030672926447574335</x:v>
      </x:c>
      <x:c r="G601" s="38" t="n">
        <x:v>0.08497652582159625</x:v>
      </x:c>
      <x:c r="H601" s="57" t="n">
        <x:v>3256.45</x:v>
      </x:c>
      <x:c r="I601" s="57" t="n">
        <x:v>0.336</x:v>
      </x:c>
      <x:c r="J601" s="57" t="n">
        <x:v>27.187818539054753</x:v>
      </x:c>
      <x:c r="K601" s="57" t="n">
        <x:v>70.78172780858213</x:v>
      </x:c>
      <x:c r="L601" s="57" t="n">
        <x:v>103.25961115511733</x:v>
      </x:c>
    </x:row>
    <x:row r="602" ht="32.400001525878906" hidden="0" customHeight="1">
      <x:c r="A602" s="27" t="str">
        <x:v>Harris County, Texas</x:v>
      </x:c>
      <x:c r="B602" s="27" t="str">
        <x:v>48201431205</x:v>
      </x:c>
      <x:c r="C602" s="50" t="n">
        <x:v>3514</x:v>
      </x:c>
      <x:c r="D602" s="50" t="n">
        <x:v>179</x:v>
      </x:c>
      <x:c r="E602" s="50" t="n">
        <x:v>562.5</x:v>
      </x:c>
      <x:c r="F602" s="37" t="n">
        <x:v>0.050939100739897554</x:v>
      </x:c>
      <x:c r="G602" s="37" t="n">
        <x:v>0.16007398975526466</x:v>
      </x:c>
      <x:c r="H602" s="56" t="n">
        <x:v>3632.9</x:v>
      </x:c>
      <x:c r="I602" s="56" t="n">
        <x:v>0.084</x:v>
      </x:c>
      <x:c r="J602" s="56" t="n">
        <x:v>27.610352716836797</x:v>
      </x:c>
      <x:c r="K602" s="56" t="n">
        <x:v>71.4155290752552</x:v>
      </x:c>
      <x:c r="L602" s="56" t="n">
        <x:v>104.16504153607885</x:v>
      </x:c>
    </x:row>
    <x:row r="603" ht="32.400001525878906" hidden="0" customHeight="1">
      <x:c r="A603" s="29" t="str">
        <x:v>Harris County, Texas</x:v>
      </x:c>
      <x:c r="B603" s="29" t="str">
        <x:v>48201431206</x:v>
      </x:c>
      <x:c r="C603" s="51" t="n">
        <x:v>1742</x:v>
      </x:c>
      <x:c r="D603" s="51" t="n">
        <x:v>203</x:v>
      </x:c>
      <x:c r="E603" s="51" t="n">
        <x:v>199</x:v>
      </x:c>
      <x:c r="F603" s="38" t="n">
        <x:v>0.11653272101033295</x:v>
      </x:c>
      <x:c r="G603" s="38" t="n">
        <x:v>0.11423650975889782</x:v>
      </x:c>
      <x:c r="H603" s="57" t="n">
        <x:v>1832.95</x:v>
      </x:c>
      <x:c r="I603" s="57" t="n">
        <x:v>0.174</x:v>
      </x:c>
      <x:c r="J603" s="57" t="n">
        <x:v>27.439171798257252</x:v>
      </x:c>
      <x:c r="K603" s="57" t="n">
        <x:v>71.15875769738588</x:v>
      </x:c>
      <x:c r="L603" s="57" t="n">
        <x:v>103.79822528197982</x:v>
      </x:c>
    </x:row>
    <x:row r="604" ht="32.400001525878906" hidden="0" customHeight="1">
      <x:c r="A604" s="27" t="str">
        <x:v>Harris County, Texas</x:v>
      </x:c>
      <x:c r="B604" s="27" t="str">
        <x:v>48201431302</x:v>
      </x:c>
      <x:c r="C604" s="50" t="n">
        <x:v>4324</x:v>
      </x:c>
      <x:c r="D604" s="50" t="n">
        <x:v>366</x:v>
      </x:c>
      <x:c r="E604" s="50" t="n">
        <x:v>88</x:v>
      </x:c>
      <x:c r="F604" s="37" t="n">
        <x:v>0.08464384828862165</x:v>
      </x:c>
      <x:c r="G604" s="37" t="n">
        <x:v>0.020351526364477335</x:v>
      </x:c>
      <x:c r="H604" s="56" t="n">
        <x:v>4460.9</x:v>
      </x:c>
      <x:c r="I604" s="56" t="n">
        <x:v>0.528</x:v>
      </x:c>
      <x:c r="J604" s="56" t="n">
        <x:v>26.058506317276127</x:v>
      </x:c>
      <x:c r="K604" s="56" t="n">
        <x:v>69.0877594759142</x:v>
      </x:c>
      <x:c r="L604" s="56" t="n">
        <x:v>100.83965639416313</x:v>
      </x:c>
    </x:row>
    <x:row r="605" ht="32.400001525878906" hidden="0" customHeight="1">
      <x:c r="A605" s="29" t="str">
        <x:v>Harris County, Texas</x:v>
      </x:c>
      <x:c r="B605" s="29" t="str">
        <x:v>48201431303</x:v>
      </x:c>
      <x:c r="C605" s="51" t="n">
        <x:v>1615</x:v>
      </x:c>
      <x:c r="D605" s="51" t="n">
        <x:v>192</x:v>
      </x:c>
      <x:c r="E605" s="51" t="n">
        <x:v>115</x:v>
      </x:c>
      <x:c r="F605" s="38" t="n">
        <x:v>0.11888544891640866</x:v>
      </x:c>
      <x:c r="G605" s="38" t="n">
        <x:v>0.07120743034055728</x:v>
      </x:c>
      <x:c r="H605" s="57" t="n">
        <x:v>1693.6999999999998</x:v>
      </x:c>
      <x:c r="I605" s="57" t="n">
        <x:v>0.107</x:v>
      </x:c>
      <x:c r="J605" s="57" t="n">
        <x:v>26.2526433866723</x:v>
      </x:c>
      <x:c r="K605" s="57" t="n">
        <x:v>69.37896508000846</x:v>
      </x:c>
      <x:c r="L605" s="57" t="n">
        <x:v>101.25566440001208</x:v>
      </x:c>
    </x:row>
    <x:row r="606" ht="32.400001525878906" hidden="0" customHeight="1">
      <x:c r="A606" s="27" t="str">
        <x:v>Harris County, Texas</x:v>
      </x:c>
      <x:c r="B606" s="27" t="str">
        <x:v>48201431304</x:v>
      </x:c>
      <x:c r="C606" s="50" t="n">
        <x:v>3114</x:v>
      </x:c>
      <x:c r="D606" s="50" t="n">
        <x:v>220</x:v>
      </x:c>
      <x:c r="E606" s="50" t="n">
        <x:v>326.5</x:v>
      </x:c>
      <x:c r="F606" s="37" t="n">
        <x:v>0.07064868336544637</x:v>
      </x:c>
      <x:c r="G606" s="37" t="n">
        <x:v>0.1048490687219011</x:v>
      </x:c>
      <x:c r="H606" s="56" t="n">
        <x:v>3223.65</x:v>
      </x:c>
      <x:c r="I606" s="56" t="n">
        <x:v>0.172</x:v>
      </x:c>
      <x:c r="J606" s="56" t="n">
        <x:v>26.88538552210538</x:v>
      </x:c>
      <x:c r="K606" s="56" t="n">
        <x:v>70.32807828315808</x:v>
      </x:c>
      <x:c r="L606" s="56" t="n">
        <x:v>102.61154040451153</x:v>
      </x:c>
    </x:row>
    <x:row r="607" ht="32.400001525878906" hidden="0" customHeight="1">
      <x:c r="A607" s="29" t="str">
        <x:v>Harris County, Texas</x:v>
      </x:c>
      <x:c r="B607" s="29" t="str">
        <x:v>48201431401</x:v>
      </x:c>
      <x:c r="C607" s="51" t="n">
        <x:v>2729</x:v>
      </x:c>
      <x:c r="D607" s="51" t="n">
        <x:v>97</x:v>
      </x:c>
      <x:c r="E607" s="51" t="n">
        <x:v>123</x:v>
      </x:c>
      <x:c r="F607" s="38" t="n">
        <x:v>0.035544155368266765</x:v>
      </x:c>
      <x:c r="G607" s="38" t="n">
        <x:v>0.045071454745327956</x:v>
      </x:c>
      <x:c r="H607" s="57" t="n">
        <x:v>2775.2500000000005</x:v>
      </x:c>
      <x:c r="I607" s="57" t="n">
        <x:v>0.141</x:v>
      </x:c>
      <x:c r="J607" s="57" t="n">
        <x:v>25.73662137812458</x:v>
      </x:c>
      <x:c r="K607" s="57" t="n">
        <x:v>68.60493206718687</x:v>
      </x:c>
      <x:c r="L607" s="57" t="n">
        <x:v>100.1499029531241</x:v>
      </x:c>
    </x:row>
    <x:row r="608" ht="32.400001525878906" hidden="0" customHeight="1">
      <x:c r="A608" s="27" t="str">
        <x:v>Harris County, Texas</x:v>
      </x:c>
      <x:c r="B608" s="27" t="str">
        <x:v>48201431403</x:v>
      </x:c>
      <x:c r="C608" s="50" t="n">
        <x:v>1772</x:v>
      </x:c>
      <x:c r="D608" s="50" t="n">
        <x:v>162</x:v>
      </x:c>
      <x:c r="E608" s="50" t="n">
        <x:v>63</x:v>
      </x:c>
      <x:c r="F608" s="37" t="n">
        <x:v>0.09142212189616253</x:v>
      </x:c>
      <x:c r="G608" s="37" t="n">
        <x:v>0.035553047404063204</x:v>
      </x:c>
      <x:c r="H608" s="56" t="n">
        <x:v>1834.9999999999998</x:v>
      </x:c>
      <x:c r="I608" s="56" t="n">
        <x:v>0.13</x:v>
      </x:c>
      <x:c r="J608" s="56" t="n">
        <x:v>25.35520212387186</x:v>
      </x:c>
      <x:c r="K608" s="56" t="n">
        <x:v>68.0328031858078</x:v>
      </x:c>
      <x:c r="L608" s="56" t="n">
        <x:v>99.33257597972542</x:v>
      </x:c>
    </x:row>
    <x:row r="609" ht="32.400001525878906" hidden="0" customHeight="1">
      <x:c r="A609" s="29" t="str">
        <x:v>Harris County, Texas</x:v>
      </x:c>
      <x:c r="B609" s="29" t="str">
        <x:v>48201431404</x:v>
      </x:c>
      <x:c r="C609" s="51" t="n">
        <x:v>2044</x:v>
      </x:c>
      <x:c r="D609" s="51" t="n">
        <x:v>288</x:v>
      </x:c>
      <x:c r="E609" s="51" t="n">
        <x:v>0</x:v>
      </x:c>
      <x:c r="F609" s="38" t="n">
        <x:v>0.14090019569471623</x:v>
      </x:c>
      <x:c r="G609" s="38" t="n">
        <x:v>0</x:v>
      </x:c>
      <x:c r="H609" s="57" t="n">
        <x:v>2144.8</x:v>
      </x:c>
      <x:c r="I609" s="57" t="n">
        <x:v>0.148</x:v>
      </x:c>
      <x:c r="J609" s="57" t="n">
        <x:v>25.43767558487003</x:v>
      </x:c>
      <x:c r="K609" s="57" t="n">
        <x:v>68.15651337730505</x:v>
      </x:c>
      <x:c r="L609" s="57" t="n">
        <x:v>99.50930482472148</x:v>
      </x:c>
    </x:row>
    <x:row r="610" ht="32.400001525878906" hidden="0" customHeight="1">
      <x:c r="A610" s="27" t="str">
        <x:v>Harris County, Texas</x:v>
      </x:c>
      <x:c r="B610" s="27" t="str">
        <x:v>48201431503</x:v>
      </x:c>
      <x:c r="C610" s="50" t="n">
        <x:v>2295</x:v>
      </x:c>
      <x:c r="D610" s="50" t="n">
        <x:v>142</x:v>
      </x:c>
      <x:c r="E610" s="50" t="n">
        <x:v>19</x:v>
      </x:c>
      <x:c r="F610" s="37" t="n">
        <x:v>0.06187363834422658</x:v>
      </x:c>
      <x:c r="G610" s="37" t="n">
        <x:v>0.008278867102396514</x:v>
      </x:c>
      <x:c r="H610" s="56" t="n">
        <x:v>2346.5999999999995</x:v>
      </x:c>
      <x:c r="I610" s="56" t="n">
        <x:v>0.118</x:v>
      </x:c>
      <x:c r="J610" s="56" t="n">
        <x:v>27.76370468237558</x:v>
      </x:c>
      <x:c r="K610" s="56" t="n">
        <x:v>71.64555702356337</x:v>
      </x:c>
      <x:c r="L610" s="56" t="n">
        <x:v>104.49365289080481</x:v>
      </x:c>
    </x:row>
    <x:row r="611" ht="32.400001525878906" hidden="0" customHeight="1">
      <x:c r="A611" s="29" t="str">
        <x:v>Harris County, Texas</x:v>
      </x:c>
      <x:c r="B611" s="29" t="str">
        <x:v>48201431504</x:v>
      </x:c>
      <x:c r="C611" s="51" t="n">
        <x:v>2503</x:v>
      </x:c>
      <x:c r="D611" s="51" t="n">
        <x:v>86</x:v>
      </x:c>
      <x:c r="E611" s="51" t="n">
        <x:v>0</x:v>
      </x:c>
      <x:c r="F611" s="38" t="n">
        <x:v>0.03435876947662805</x:v>
      </x:c>
      <x:c r="G611" s="38" t="n">
        <x:v>0</x:v>
      </x:c>
      <x:c r="H611" s="57" t="n">
        <x:v>2533.1</x:v>
      </x:c>
      <x:c r="I611" s="57" t="n">
        <x:v>0.309</x:v>
      </x:c>
      <x:c r="J611" s="57" t="n">
        <x:v>27.37578475246926</x:v>
      </x:c>
      <x:c r="K611" s="57" t="n">
        <x:v>71.06367712870389</x:v>
      </x:c>
      <x:c r="L611" s="57" t="n">
        <x:v>103.66239589814842</x:v>
      </x:c>
    </x:row>
    <x:row r="612" ht="32.400001525878906" hidden="0" customHeight="1">
      <x:c r="A612" s="27" t="str">
        <x:v>Harris County, Texas</x:v>
      </x:c>
      <x:c r="B612" s="27" t="str">
        <x:v>48201431505</x:v>
      </x:c>
      <x:c r="C612" s="50" t="n">
        <x:v>1480</x:v>
      </x:c>
      <x:c r="D612" s="50" t="n">
        <x:v>247</x:v>
      </x:c>
      <x:c r="E612" s="50" t="n">
        <x:v>204</x:v>
      </x:c>
      <x:c r="F612" s="37" t="n">
        <x:v>0.16689189189189188</x:v>
      </x:c>
      <x:c r="G612" s="37" t="n">
        <x:v>0.13783783783783785</x:v>
      </x:c>
      <x:c r="H612" s="56" t="n">
        <x:v>1586.8499999999997</x:v>
      </x:c>
      <x:c r="I612" s="56" t="n">
        <x:v>0.122</x:v>
      </x:c>
      <x:c r="J612" s="56" t="n">
        <x:v>27.088591719053206</x:v>
      </x:c>
      <x:c r="K612" s="56" t="n">
        <x:v>70.63288757857981</x:v>
      </x:c>
      <x:c r="L612" s="56" t="n">
        <x:v>103.04698225511402</x:v>
      </x:c>
    </x:row>
    <x:row r="613" ht="32.400001525878906" hidden="0" customHeight="1">
      <x:c r="A613" s="29" t="str">
        <x:v>Harris County, Texas</x:v>
      </x:c>
      <x:c r="B613" s="29" t="str">
        <x:v>48201431506</x:v>
      </x:c>
      <x:c r="C613" s="51" t="n">
        <x:v>2849</x:v>
      </x:c>
      <x:c r="D613" s="51" t="n">
        <x:v>184</x:v>
      </x:c>
      <x:c r="E613" s="51" t="n">
        <x:v>60</x:v>
      </x:c>
      <x:c r="F613" s="38" t="n">
        <x:v>0.06458406458406458</x:v>
      </x:c>
      <x:c r="G613" s="38" t="n">
        <x:v>0.02106002106002106</x:v>
      </x:c>
      <x:c r="H613" s="57" t="n">
        <x:v>2919.4000000000005</x:v>
      </x:c>
      <x:c r="I613" s="57" t="n">
        <x:v>0.277</x:v>
      </x:c>
      <x:c r="J613" s="57" t="n">
        <x:v>27.050834813408827</x:v>
      </x:c>
      <x:c r="K613" s="57" t="n">
        <x:v>70.57625222011325</x:v>
      </x:c>
      <x:c r="L613" s="57" t="n">
        <x:v>102.96607460016178</x:v>
      </x:c>
    </x:row>
    <x:row r="614" ht="32.400001525878906" hidden="0" customHeight="1">
      <x:c r="A614" s="27" t="str">
        <x:v>Harris County, Texas</x:v>
      </x:c>
      <x:c r="B614" s="27" t="str">
        <x:v>48201431600</x:v>
      </x:c>
      <x:c r="C614" s="50" t="n">
        <x:v>3519</x:v>
      </x:c>
      <x:c r="D614" s="50" t="n">
        <x:v>571</x:v>
      </x:c>
      <x:c r="E614" s="50" t="n">
        <x:v>412</x:v>
      </x:c>
      <x:c r="F614" s="37" t="n">
        <x:v>0.1622620062517761</x:v>
      </x:c>
      <x:c r="G614" s="37" t="n">
        <x:v>0.1170787155441887</x:v>
      </x:c>
      <x:c r="H614" s="56" t="n">
        <x:v>3760.0499999999997</x:v>
      </x:c>
      <x:c r="I614" s="56" t="n">
        <x:v>1.135</x:v>
      </x:c>
      <x:c r="J614" s="56" t="n">
        <x:v>28.45259721263489</x:v>
      </x:c>
      <x:c r="K614" s="56" t="n">
        <x:v>72.67889581895233</x:v>
      </x:c>
      <x:c r="L614" s="56" t="n">
        <x:v>105.9698511699319</x:v>
      </x:c>
    </x:row>
    <x:row r="615" ht="32.400001525878906" hidden="0" customHeight="1">
      <x:c r="A615" s="29" t="str">
        <x:v>Harris County, Texas</x:v>
      </x:c>
      <x:c r="B615" s="29" t="str">
        <x:v>48201431701</x:v>
      </x:c>
      <x:c r="C615" s="51" t="n">
        <x:v>2042</x:v>
      </x:c>
      <x:c r="D615" s="51" t="n">
        <x:v>106</x:v>
      </x:c>
      <x:c r="E615" s="51" t="n">
        <x:v>34</x:v>
      </x:c>
      <x:c r="F615" s="38" t="n">
        <x:v>0.05190989226248776</x:v>
      </x:c>
      <x:c r="G615" s="38" t="n">
        <x:v>0.01665034280117532</x:v>
      </x:c>
      <x:c r="H615" s="57" t="n">
        <x:v>2082.5</x:v>
      </x:c>
      <x:c r="I615" s="57" t="n">
        <x:v>0.354</x:v>
      </x:c>
      <x:c r="J615" s="57" t="n">
        <x:v>26.936510286556285</x:v>
      </x:c>
      <x:c r="K615" s="57" t="n">
        <x:v>70.40476542983443</x:v>
      </x:c>
      <x:c r="L615" s="57" t="n">
        <x:v>102.72109347119203</x:v>
      </x:c>
    </x:row>
    <x:row r="616" ht="32.400001525878906" hidden="0" customHeight="1">
      <x:c r="A616" s="27" t="str">
        <x:v>Harris County, Texas</x:v>
      </x:c>
      <x:c r="B616" s="27" t="str">
        <x:v>48201431702</x:v>
      </x:c>
      <x:c r="C616" s="50" t="n">
        <x:v>2848</x:v>
      </x:c>
      <x:c r="D616" s="50" t="n">
        <x:v>286</x:v>
      </x:c>
      <x:c r="E616" s="50" t="n">
        <x:v>105</x:v>
      </x:c>
      <x:c r="F616" s="37" t="n">
        <x:v>0.10042134831460674</x:v>
      </x:c>
      <x:c r="G616" s="37" t="n">
        <x:v>0.03686797752808989</x:v>
      </x:c>
      <x:c r="H616" s="56" t="n">
        <x:v>2958.6</x:v>
      </x:c>
      <x:c r="I616" s="56" t="n">
        <x:v>0.763</x:v>
      </x:c>
      <x:c r="J616" s="56" t="n">
        <x:v>26.587647593331123</x:v>
      </x:c>
      <x:c r="K616" s="56" t="n">
        <x:v>69.88147138999669</x:v>
      </x:c>
      <x:c r="L616" s="56" t="n">
        <x:v>101.97353055713813</x:v>
      </x:c>
    </x:row>
    <x:row r="617" ht="32.400001525878906" hidden="0" customHeight="1">
      <x:c r="A617" s="29" t="str">
        <x:v>Harris County, Texas</x:v>
      </x:c>
      <x:c r="B617" s="29" t="str">
        <x:v>48201431801</x:v>
      </x:c>
      <x:c r="C617" s="51" t="n">
        <x:v>3660</x:v>
      </x:c>
      <x:c r="D617" s="51" t="n">
        <x:v>442</x:v>
      </x:c>
      <x:c r="E617" s="51" t="n">
        <x:v>153</x:v>
      </x:c>
      <x:c r="F617" s="38" t="n">
        <x:v>0.12076502732240438</x:v>
      </x:c>
      <x:c r="G617" s="38" t="n">
        <x:v>0.04180327868852459</x:v>
      </x:c>
      <x:c r="H617" s="57" t="n">
        <x:v>3830</x:v>
      </x:c>
      <x:c r="I617" s="57" t="n">
        <x:v>0.475</x:v>
      </x:c>
      <x:c r="J617" s="57" t="n">
        <x:v>24.973341878561687</x:v>
      </x:c>
      <x:c r="K617" s="57" t="n">
        <x:v>67.46001281784253</x:v>
      </x:c>
      <x:c r="L617" s="57" t="n">
        <x:v>98.51430402548932</x:v>
      </x:c>
    </x:row>
    <x:row r="618" ht="32.400001525878906" hidden="0" customHeight="1">
      <x:c r="A618" s="27" t="str">
        <x:v>Harris County, Texas</x:v>
      </x:c>
      <x:c r="B618" s="27" t="str">
        <x:v>48201431803</x:v>
      </x:c>
      <x:c r="C618" s="50" t="n">
        <x:v>2339</x:v>
      </x:c>
      <x:c r="D618" s="50" t="n">
        <x:v>241</x:v>
      </x:c>
      <x:c r="E618" s="50" t="n">
        <x:v>166</x:v>
      </x:c>
      <x:c r="F618" s="37" t="n">
        <x:v>0.10303548525010689</x:v>
      </x:c>
      <x:c r="G618" s="37" t="n">
        <x:v>0.07097050021376657</x:v>
      </x:c>
      <x:c r="H618" s="56" t="n">
        <x:v>2439.9500000000003</x:v>
      </x:c>
      <x:c r="I618" s="56" t="n">
        <x:v>0.131</x:v>
      </x:c>
      <x:c r="J618" s="56" t="n">
        <x:v>24.825331503311585</x:v>
      </x:c>
      <x:c r="K618" s="56" t="n">
        <x:v>67.23799725496738</x:v>
      </x:c>
      <x:c r="L618" s="56" t="n">
        <x:v>98.19713893566768</x:v>
      </x:c>
    </x:row>
    <x:row r="619" ht="32.400001525878906" hidden="0" customHeight="1">
      <x:c r="A619" s="29" t="str">
        <x:v>Harris County, Texas</x:v>
      </x:c>
      <x:c r="B619" s="29" t="str">
        <x:v>48201431804</x:v>
      </x:c>
      <x:c r="C619" s="51" t="n">
        <x:v>2555</x:v>
      </x:c>
      <x:c r="D619" s="51" t="n">
        <x:v>87</x:v>
      </x:c>
      <x:c r="E619" s="51" t="n">
        <x:v>72</x:v>
      </x:c>
      <x:c r="F619" s="38" t="n">
        <x:v>0.03405088062622309</x:v>
      </x:c>
      <x:c r="G619" s="38" t="n">
        <x:v>0.02818003913894325</x:v>
      </x:c>
      <x:c r="H619" s="57" t="n">
        <x:v>2592.6499999999996</x:v>
      </x:c>
      <x:c r="I619" s="57" t="n">
        <x:v>0.417</x:v>
      </x:c>
      <x:c r="J619" s="57" t="n">
        <x:v>24.791015208955862</x:v>
      </x:c>
      <x:c r="K619" s="57" t="n">
        <x:v>67.1865228134338</x:v>
      </x:c>
      <x:c r="L619" s="57" t="n">
        <x:v>98.12360401919113</x:v>
      </x:c>
    </x:row>
    <x:row r="620" ht="32.400001525878906" hidden="0" customHeight="1">
      <x:c r="A620" s="27" t="str">
        <x:v>Harris County, Texas</x:v>
      </x:c>
      <x:c r="B620" s="27" t="str">
        <x:v>48201431901</x:v>
      </x:c>
      <x:c r="C620" s="50" t="n">
        <x:v>2492</x:v>
      </x:c>
      <x:c r="D620" s="50" t="n">
        <x:v>169</x:v>
      </x:c>
      <x:c r="E620" s="50" t="n">
        <x:v>89</x:v>
      </x:c>
      <x:c r="F620" s="37" t="n">
        <x:v>0.06781701444622792</x:v>
      </x:c>
      <x:c r="G620" s="37" t="n">
        <x:v>0.03571428571428571</x:v>
      </x:c>
      <x:c r="H620" s="56" t="n">
        <x:v>2560.0499999999997</x:v>
      </x:c>
      <x:c r="I620" s="56" t="n">
        <x:v>0.137</x:v>
      </x:c>
      <x:c r="J620" s="56" t="n">
        <x:v>22.576472796463598</x:v>
      </x:c>
      <x:c r="K620" s="56" t="n">
        <x:v>63.8647091946954</x:v>
      </x:c>
      <x:c r="L620" s="56" t="n">
        <x:v>93.378155992422</x:v>
      </x:c>
    </x:row>
    <x:row r="621" ht="32.400001525878906" hidden="0" customHeight="1">
      <x:c r="A621" s="29" t="str">
        <x:v>Harris County, Texas</x:v>
      </x:c>
      <x:c r="B621" s="29" t="str">
        <x:v>48201431902</x:v>
      </x:c>
      <x:c r="C621" s="51" t="n">
        <x:v>2428</x:v>
      </x:c>
      <x:c r="D621" s="51" t="n">
        <x:v>168</x:v>
      </x:c>
      <x:c r="E621" s="51" t="n">
        <x:v>195</x:v>
      </x:c>
      <x:c r="F621" s="38" t="n">
        <x:v>0.06919275123558484</x:v>
      </x:c>
      <x:c r="G621" s="38" t="n">
        <x:v>0.08031301482701812</x:v>
      </x:c>
      <x:c r="H621" s="57" t="n">
        <x:v>2506.3</x:v>
      </x:c>
      <x:c r="I621" s="57" t="n">
        <x:v>0.357</x:v>
      </x:c>
      <x:c r="J621" s="57" t="n">
        <x:v>23.478608920657518</x:v>
      </x:c>
      <x:c r="K621" s="57" t="n">
        <x:v>65.21791338098627</x:v>
      </x:c>
      <x:c r="L621" s="57" t="n">
        <x:v>95.3113048299804</x:v>
      </x:c>
    </x:row>
    <x:row r="622" ht="32.400001525878906" hidden="0" customHeight="1">
      <x:c r="A622" s="27" t="str">
        <x:v>Harris County, Texas</x:v>
      </x:c>
      <x:c r="B622" s="27" t="str">
        <x:v>48201432003</x:v>
      </x:c>
      <x:c r="C622" s="50" t="n">
        <x:v>1763</x:v>
      </x:c>
      <x:c r="D622" s="50" t="n">
        <x:v>133</x:v>
      </x:c>
      <x:c r="E622" s="50" t="n">
        <x:v>255</x:v>
      </x:c>
      <x:c r="F622" s="37" t="n">
        <x:v>0.07543959160521838</x:v>
      </x:c>
      <x:c r="G622" s="37" t="n">
        <x:v>0.14463981849120816</x:v>
      </x:c>
      <x:c r="H622" s="56" t="n">
        <x:v>1835.0499999999997</x:v>
      </x:c>
      <x:c r="I622" s="56" t="n">
        <x:v>0.138</x:v>
      </x:c>
      <x:c r="J622" s="56" t="n">
        <x:v>24.676325474769403</x:v>
      </x:c>
      <x:c r="K622" s="56" t="n">
        <x:v>67.0144882121541</x:v>
      </x:c>
      <x:c r="L622" s="56" t="n">
        <x:v>97.87784030307729</x:v>
      </x:c>
    </x:row>
    <x:row r="623" ht="32.400001525878906" hidden="0" customHeight="1">
      <x:c r="A623" s="29" t="str">
        <x:v>Harris County, Texas</x:v>
      </x:c>
      <x:c r="B623" s="29" t="str">
        <x:v>48201432004</x:v>
      </x:c>
      <x:c r="C623" s="51" t="n">
        <x:v>2018</x:v>
      </x:c>
      <x:c r="D623" s="51" t="n">
        <x:v>140</x:v>
      </x:c>
      <x:c r="E623" s="51" t="n">
        <x:v>23</x:v>
      </x:c>
      <x:c r="F623" s="38" t="n">
        <x:v>0.06937561942517344</x:v>
      </x:c>
      <x:c r="G623" s="38" t="n">
        <x:v>0.011397423191278493</x:v>
      </x:c>
      <x:c r="H623" s="57" t="n">
        <x:v>2069.3</x:v>
      </x:c>
      <x:c r="I623" s="57" t="n">
        <x:v>0.418</x:v>
      </x:c>
      <x:c r="J623" s="57" t="n">
        <x:v>23.960088622406843</x:v>
      </x:c>
      <x:c r="K623" s="57" t="n">
        <x:v>65.94013293361027</x:v>
      </x:c>
      <x:c r="L623" s="57" t="n">
        <x:v>96.34304704801467</x:v>
      </x:c>
    </x:row>
    <x:row r="624" ht="32.400001525878906" hidden="0" customHeight="1">
      <x:c r="A624" s="27" t="str">
        <x:v>Harris County, Texas</x:v>
      </x:c>
      <x:c r="B624" s="27" t="str">
        <x:v>48201432005</x:v>
      </x:c>
      <x:c r="C624" s="50" t="n">
        <x:v>3676</x:v>
      </x:c>
      <x:c r="D624" s="50" t="n">
        <x:v>143</x:v>
      </x:c>
      <x:c r="E624" s="50" t="n">
        <x:v>220</x:v>
      </x:c>
      <x:c r="F624" s="37" t="n">
        <x:v>0.03890097932535364</x:v>
      </x:c>
      <x:c r="G624" s="37" t="n">
        <x:v>0.05984766050054407</x:v>
      </x:c>
      <x:c r="H624" s="56" t="n">
        <x:v>3748.0500000000006</x:v>
      </x:c>
      <x:c r="I624" s="56" t="n">
        <x:v>0.137</x:v>
      </x:c>
      <x:c r="J624" s="56" t="n">
        <x:v>25.0733294966298</x:v>
      </x:c>
      <x:c r="K624" s="56" t="n">
        <x:v>67.6099942449447</x:v>
      </x:c>
      <x:c r="L624" s="56" t="n">
        <x:v>98.72856320706386</x:v>
      </x:c>
    </x:row>
    <x:row r="625" ht="32.400001525878906" hidden="0" customHeight="1">
      <x:c r="A625" s="29" t="str">
        <x:v>Harris County, Texas</x:v>
      </x:c>
      <x:c r="B625" s="29" t="str">
        <x:v>48201432006</x:v>
      </x:c>
      <x:c r="C625" s="51" t="n">
        <x:v>2264</x:v>
      </x:c>
      <x:c r="D625" s="51" t="n">
        <x:v>92</x:v>
      </x:c>
      <x:c r="E625" s="51" t="n">
        <x:v>433</x:v>
      </x:c>
      <x:c r="F625" s="38" t="n">
        <x:v>0.04063604240282685</x:v>
      </x:c>
      <x:c r="G625" s="38" t="n">
        <x:v>0.19125441696113074</x:v>
      </x:c>
      <x:c r="H625" s="57" t="n">
        <x:v>2339.5</x:v>
      </x:c>
      <x:c r="I625" s="57" t="n">
        <x:v>0.135</x:v>
      </x:c>
      <x:c r="J625" s="57" t="n">
        <x:v>25.4688551272943</x:v>
      </x:c>
      <x:c r="K625" s="57" t="n">
        <x:v>68.20328269094145</x:v>
      </x:c>
      <x:c r="L625" s="57" t="n">
        <x:v>99.57611812991635</x:v>
      </x:c>
    </x:row>
    <x:row r="626" ht="32.400001525878906" hidden="0" customHeight="1">
      <x:c r="A626" s="27" t="str">
        <x:v>Harris County, Texas</x:v>
      </x:c>
      <x:c r="B626" s="27" t="str">
        <x:v>48201432101</x:v>
      </x:c>
      <x:c r="C626" s="50" t="n">
        <x:v>3152</x:v>
      </x:c>
      <x:c r="D626" s="50" t="n">
        <x:v>160</x:v>
      </x:c>
      <x:c r="E626" s="50" t="n">
        <x:v>397</x:v>
      </x:c>
      <x:c r="F626" s="37" t="n">
        <x:v>0.050761421319796954</x:v>
      </x:c>
      <x:c r="G626" s="37" t="n">
        <x:v>0.1259517766497462</x:v>
      </x:c>
      <x:c r="H626" s="56" t="n">
        <x:v>3247.7000000000003</x:v>
      </x:c>
      <x:c r="I626" s="56" t="n">
        <x:v>0.221</x:v>
      </x:c>
      <x:c r="J626" s="56" t="n">
        <x:v>26.828254116961276</x:v>
      </x:c>
      <x:c r="K626" s="56" t="n">
        <x:v>70.24238117544192</x:v>
      </x:c>
      <x:c r="L626" s="56" t="n">
        <x:v>102.48911596491702</x:v>
      </x:c>
    </x:row>
    <x:row r="627" ht="32.400001525878906" hidden="0" customHeight="1">
      <x:c r="A627" s="29" t="str">
        <x:v>Harris County, Texas</x:v>
      </x:c>
      <x:c r="B627" s="29" t="str">
        <x:v>48201432102</x:v>
      </x:c>
      <x:c r="C627" s="51" t="n">
        <x:v>4778</x:v>
      </x:c>
      <x:c r="D627" s="51" t="n">
        <x:v>232</x:v>
      </x:c>
      <x:c r="E627" s="51" t="n">
        <x:v>909.5</x:v>
      </x:c>
      <x:c r="F627" s="38" t="n">
        <x:v>0.04855588112180829</x:v>
      </x:c>
      <x:c r="G627" s="38" t="n">
        <x:v>0.19035161155295102</x:v>
      </x:c>
      <x:c r="H627" s="57" t="n">
        <x:v>4950.15</x:v>
      </x:c>
      <x:c r="I627" s="57" t="n">
        <x:v>0.398</x:v>
      </x:c>
      <x:c r="J627" s="57" t="n">
        <x:v>26.11367241092831</x:v>
      </x:c>
      <x:c r="K627" s="57" t="n">
        <x:v>69.17050861639247</x:v>
      </x:c>
      <x:c r="L627" s="57" t="n">
        <x:v>100.95786945198924</x:v>
      </x:c>
    </x:row>
    <x:row r="628" ht="32.400001525878906" hidden="0" customHeight="1">
      <x:c r="A628" s="27" t="str">
        <x:v>Harris County, Texas</x:v>
      </x:c>
      <x:c r="B628" s="27" t="str">
        <x:v>48201432200</x:v>
      </x:c>
      <x:c r="C628" s="50" t="n">
        <x:v>3865</x:v>
      </x:c>
      <x:c r="D628" s="50" t="n">
        <x:v>247</x:v>
      </x:c>
      <x:c r="E628" s="50" t="n">
        <x:v>197</x:v>
      </x:c>
      <x:c r="F628" s="37" t="n">
        <x:v>0.06390685640362224</x:v>
      </x:c>
      <x:c r="G628" s="37" t="n">
        <x:v>0.050970245795601554</x:v>
      </x:c>
      <x:c r="H628" s="56" t="n">
        <x:v>3971.15</x:v>
      </x:c>
      <x:c r="I628" s="56" t="n">
        <x:v>0.647</x:v>
      </x:c>
      <x:c r="J628" s="56" t="n">
        <x:v>27.862812579325986</x:v>
      </x:c>
      <x:c r="K628" s="56" t="n">
        <x:v>71.79421886898898</x:v>
      </x:c>
      <x:c r="L628" s="56" t="n">
        <x:v>104.70602695569855</x:v>
      </x:c>
    </x:row>
    <x:row r="629" ht="32.400001525878906" hidden="0" customHeight="1">
      <x:c r="A629" s="29" t="str">
        <x:v>Harris County, Texas</x:v>
      </x:c>
      <x:c r="B629" s="29" t="str">
        <x:v>48201432301</x:v>
      </x:c>
      <x:c r="C629" s="51" t="n">
        <x:v>3510</x:v>
      </x:c>
      <x:c r="D629" s="51" t="n">
        <x:v>276</x:v>
      </x:c>
      <x:c r="E629" s="51" t="n">
        <x:v>334</x:v>
      </x:c>
      <x:c r="F629" s="38" t="n">
        <x:v>0.07863247863247863</x:v>
      </x:c>
      <x:c r="G629" s="38" t="n">
        <x:v>0.09515669515669516</x:v>
      </x:c>
      <x:c r="H629" s="57" t="n">
        <x:v>3640</x:v>
      </x:c>
      <x:c r="I629" s="57" t="n">
        <x:v>0.165</x:v>
      </x:c>
      <x:c r="J629" s="57" t="n">
        <x:v>28.810089208215597</x:v>
      </x:c>
      <x:c r="K629" s="57" t="n">
        <x:v>73.2151338123234</x:v>
      </x:c>
      <x:c r="L629" s="57" t="n">
        <x:v>106.73590544617628</x:v>
      </x:c>
    </x:row>
    <x:row r="630" ht="32.400001525878906" hidden="0" customHeight="1">
      <x:c r="A630" s="27" t="str">
        <x:v>Harris County, Texas</x:v>
      </x:c>
      <x:c r="B630" s="27" t="str">
        <x:v>48201432302</x:v>
      </x:c>
      <x:c r="C630" s="50" t="n">
        <x:v>2116</x:v>
      </x:c>
      <x:c r="D630" s="50" t="n">
        <x:v>155</x:v>
      </x:c>
      <x:c r="E630" s="50" t="n">
        <x:v>163.5</x:v>
      </x:c>
      <x:c r="F630" s="37" t="n">
        <x:v>0.07325141776937619</x:v>
      </x:c>
      <x:c r="G630" s="37" t="n">
        <x:v>0.07726843100189036</x:v>
      </x:c>
      <x:c r="H630" s="56" t="n">
        <x:v>2186.6</x:v>
      </x:c>
      <x:c r="I630" s="56" t="n">
        <x:v>0.097</x:v>
      </x:c>
      <x:c r="J630" s="56" t="n">
        <x:v>29.094994914538805</x:v>
      </x:c>
      <x:c r="K630" s="56" t="n">
        <x:v>73.6424923718082</x:v>
      </x:c>
      <x:c r="L630" s="56" t="n">
        <x:v>107.34641767401172</x:v>
      </x:c>
    </x:row>
    <x:row r="631" ht="32.400001525878906" hidden="0" customHeight="1">
      <x:c r="A631" s="29" t="str">
        <x:v>Harris County, Texas</x:v>
      </x:c>
      <x:c r="B631" s="29" t="str">
        <x:v>48201432303</x:v>
      </x:c>
      <x:c r="C631" s="51" t="n">
        <x:v>2778</x:v>
      </x:c>
      <x:c r="D631" s="51" t="n">
        <x:v>103</x:v>
      </x:c>
      <x:c r="E631" s="51" t="n">
        <x:v>184</x:v>
      </x:c>
      <x:c r="F631" s="38" t="n">
        <x:v>0.037077033837293015</x:v>
      </x:c>
      <x:c r="G631" s="38" t="n">
        <x:v>0.06623470122390208</x:v>
      </x:c>
      <x:c r="H631" s="57" t="n">
        <x:v>2832.4500000000003</x:v>
      </x:c>
      <x:c r="I631" s="57" t="n">
        <x:v>0.414</x:v>
      </x:c>
      <x:c r="J631" s="57" t="n">
        <x:v>29.835915379498545</x:v>
      </x:c>
      <x:c r="K631" s="57" t="n">
        <x:v>74.75387306924782</x:v>
      </x:c>
      <x:c r="L631" s="57" t="n">
        <x:v>108.93410438463974</x:v>
      </x:c>
    </x:row>
    <x:row r="632" ht="32.400001525878906" hidden="0" customHeight="1">
      <x:c r="A632" s="27" t="str">
        <x:v>Harris County, Texas</x:v>
      </x:c>
      <x:c r="B632" s="27" t="str">
        <x:v>48201432401</x:v>
      </x:c>
      <x:c r="C632" s="50" t="n">
        <x:v>3781</x:v>
      </x:c>
      <x:c r="D632" s="50" t="n">
        <x:v>286</x:v>
      </x:c>
      <x:c r="E632" s="50" t="n">
        <x:v>56</x:v>
      </x:c>
      <x:c r="F632" s="37" t="n">
        <x:v>0.07564136471832848</x:v>
      </x:c>
      <x:c r="G632" s="37" t="n">
        <x:v>0.014810896588204179</x:v>
      </x:c>
      <x:c r="H632" s="56" t="n">
        <x:v>3886.7000000000003</x:v>
      </x:c>
      <x:c r="I632" s="56" t="n">
        <x:v>0.275</x:v>
      </x:c>
      <x:c r="J632" s="56" t="n">
        <x:v>28.014758751712574</x:v>
      </x:c>
      <x:c r="K632" s="56" t="n">
        <x:v>72.02213812756887</x:v>
      </x:c>
      <x:c r="L632" s="56" t="n">
        <x:v>105.03162589652695</x:v>
      </x:c>
    </x:row>
    <x:row r="633" ht="32.400001525878906" hidden="0" customHeight="1">
      <x:c r="A633" s="29" t="str">
        <x:v>Harris County, Texas</x:v>
      </x:c>
      <x:c r="B633" s="29" t="str">
        <x:v>48201432402</x:v>
      </x:c>
      <x:c r="C633" s="51" t="n">
        <x:v>2948</x:v>
      </x:c>
      <x:c r="D633" s="51" t="n">
        <x:v>357</x:v>
      </x:c>
      <x:c r="E633" s="51" t="n">
        <x:v>369</x:v>
      </x:c>
      <x:c r="F633" s="38" t="n">
        <x:v>0.12109905020352782</x:v>
      </x:c>
      <x:c r="G633" s="38" t="n">
        <x:v>0.1251696065128901</x:v>
      </x:c>
      <x:c r="H633" s="57" t="n">
        <x:v>3109.85</x:v>
      </x:c>
      <x:c r="I633" s="57" t="n">
        <x:v>0.425</x:v>
      </x:c>
      <x:c r="J633" s="57" t="n">
        <x:v>28.917464159168336</x:v>
      </x:c>
      <x:c r="K633" s="57" t="n">
        <x:v>73.3761962387525</x:v>
      </x:c>
      <x:c r="L633" s="57" t="n">
        <x:v>106.9659946267893</x:v>
      </x:c>
    </x:row>
    <x:row r="634" ht="32.400001525878906" hidden="0" customHeight="1">
      <x:c r="A634" s="27" t="str">
        <x:v>Harris County, Texas</x:v>
      </x:c>
      <x:c r="B634" s="27" t="str">
        <x:v>48201432501</x:v>
      </x:c>
      <x:c r="C634" s="50" t="n">
        <x:v>3587</x:v>
      </x:c>
      <x:c r="D634" s="50" t="n">
        <x:v>179</x:v>
      </x:c>
      <x:c r="E634" s="50" t="n">
        <x:v>49</x:v>
      </x:c>
      <x:c r="F634" s="37" t="n">
        <x:v>0.04990242542514636</x:v>
      </x:c>
      <x:c r="G634" s="37" t="n">
        <x:v>0.01366044047950934</x:v>
      </x:c>
      <x:c r="H634" s="56" t="n">
        <x:v>3654.5500000000006</x:v>
      </x:c>
      <x:c r="I634" s="56" t="n">
        <x:v>0.354</x:v>
      </x:c>
      <x:c r="J634" s="56" t="n">
        <x:v>27.27537634358228</x:v>
      </x:c>
      <x:c r="K634" s="56" t="n">
        <x:v>70.91306451537342</x:v>
      </x:c>
      <x:c r="L634" s="56" t="n">
        <x:v>103.44723502196203</x:v>
      </x:c>
    </x:row>
    <x:row r="635" ht="32.400001525878906" hidden="0" customHeight="1">
      <x:c r="A635" s="29" t="str">
        <x:v>Harris County, Texas</x:v>
      </x:c>
      <x:c r="B635" s="29" t="str">
        <x:v>48201432502</x:v>
      </x:c>
      <x:c r="C635" s="51" t="n">
        <x:v>1927</x:v>
      </x:c>
      <x:c r="D635" s="51" t="n">
        <x:v>113</x:v>
      </x:c>
      <x:c r="E635" s="51" t="n">
        <x:v>199</x:v>
      </x:c>
      <x:c r="F635" s="38" t="n">
        <x:v>0.05864037363777893</x:v>
      </x:c>
      <x:c r="G635" s="38" t="n">
        <x:v>0.10326933056564608</x:v>
      </x:c>
      <x:c r="H635" s="57" t="n">
        <x:v>1986.4499999999998</x:v>
      </x:c>
      <x:c r="I635" s="57" t="n">
        <x:v>0.288</x:v>
      </x:c>
      <x:c r="J635" s="57" t="n">
        <x:v>26.508175989168294</x:v>
      </x:c>
      <x:c r="K635" s="57" t="n">
        <x:v>69.76226398375243</x:v>
      </x:c>
      <x:c r="L635" s="57" t="n">
        <x:v>101.80323426250348</x:v>
      </x:c>
    </x:row>
    <x:row r="636" ht="32.400001525878906" hidden="0" customHeight="1">
      <x:c r="A636" s="27" t="str">
        <x:v>Harris County, Texas</x:v>
      </x:c>
      <x:c r="B636" s="27" t="str">
        <x:v>48201432600</x:v>
      </x:c>
      <x:c r="C636" s="50" t="n">
        <x:v>2206</x:v>
      </x:c>
      <x:c r="D636" s="50" t="n">
        <x:v>242</x:v>
      </x:c>
      <x:c r="E636" s="50" t="n">
        <x:v>207</x:v>
      </x:c>
      <x:c r="F636" s="37" t="n">
        <x:v>0.10970081595648232</x:v>
      </x:c>
      <x:c r="G636" s="37" t="n">
        <x:v>0.09383499546690843</x:v>
      </x:c>
      <x:c r="H636" s="56" t="n">
        <x:v>2311.4</x:v>
      </x:c>
      <x:c r="I636" s="56" t="n">
        <x:v>0.627</x:v>
      </x:c>
      <x:c r="J636" s="56" t="n">
        <x:v>25.406594795529603</x:v>
      </x:c>
      <x:c r="K636" s="56" t="n">
        <x:v>68.1098921932944</x:v>
      </x:c>
      <x:c r="L636" s="56" t="n">
        <x:v>99.44270313327772</x:v>
      </x:c>
    </x:row>
    <x:row r="637" ht="32.400001525878906" hidden="0" customHeight="1">
      <x:c r="A637" s="29" t="str">
        <x:v>Harris County, Texas</x:v>
      </x:c>
      <x:c r="B637" s="29" t="str">
        <x:v>48201432703</x:v>
      </x:c>
      <x:c r="C637" s="51" t="n">
        <x:v>2048</x:v>
      </x:c>
      <x:c r="D637" s="51" t="n">
        <x:v>110</x:v>
      </x:c>
      <x:c r="E637" s="51" t="n">
        <x:v>18</x:v>
      </x:c>
      <x:c r="F637" s="38" t="n">
        <x:v>0.0537109375</x:v>
      </x:c>
      <x:c r="G637" s="38" t="n">
        <x:v>0.0087890625</x:v>
      </x:c>
      <x:c r="H637" s="57" t="n">
        <x:v>2088.3</x:v>
      </x:c>
      <x:c r="I637" s="57" t="n">
        <x:v>0.182</x:v>
      </x:c>
      <x:c r="J637" s="57" t="n">
        <x:v>22.94660662934984</x:v>
      </x:c>
      <x:c r="K637" s="57" t="n">
        <x:v>64.41990994402477</x:v>
      </x:c>
      <x:c r="L637" s="57" t="n">
        <x:v>94.17129992003538</x:v>
      </x:c>
    </x:row>
    <x:row r="638" ht="32.400001525878906" hidden="0" customHeight="1">
      <x:c r="A638" s="27" t="str">
        <x:v>Harris County, Texas</x:v>
      </x:c>
      <x:c r="B638" s="27" t="str">
        <x:v>48201432704</x:v>
      </x:c>
      <x:c r="C638" s="50" t="n">
        <x:v>1742</x:v>
      </x:c>
      <x:c r="D638" s="50" t="n">
        <x:v>104</x:v>
      </x:c>
      <x:c r="E638" s="50" t="n">
        <x:v>229</x:v>
      </x:c>
      <x:c r="F638" s="37" t="n">
        <x:v>0.05970149253731343</x:v>
      </x:c>
      <x:c r="G638" s="37" t="n">
        <x:v>0.1314580941446613</x:v>
      </x:c>
      <x:c r="H638" s="56" t="n">
        <x:v>1801.3000000000002</x:v>
      </x:c>
      <x:c r="I638" s="56" t="n">
        <x:v>0.264</x:v>
      </x:c>
      <x:c r="J638" s="56" t="n">
        <x:v>23.607348346689445</x:v>
      </x:c>
      <x:c r="K638" s="56" t="n">
        <x:v>65.41102252003417</x:v>
      </x:c>
      <x:c r="L638" s="56" t="n">
        <x:v>95.58717502862024</x:v>
      </x:c>
    </x:row>
    <x:row r="639" ht="32.400001525878906" hidden="0" customHeight="1">
      <x:c r="A639" s="29" t="str">
        <x:v>Harris County, Texas</x:v>
      </x:c>
      <x:c r="B639" s="29" t="str">
        <x:v>48201432705</x:v>
      </x:c>
      <x:c r="C639" s="51" t="n">
        <x:v>5242</x:v>
      </x:c>
      <x:c r="D639" s="51" t="n">
        <x:v>232</x:v>
      </x:c>
      <x:c r="E639" s="51" t="n">
        <x:v>1397.5</x:v>
      </x:c>
      <x:c r="F639" s="38" t="n">
        <x:v>0.04425791682563907</x:v>
      </x:c>
      <x:c r="G639" s="38" t="n">
        <x:v>0.26659671880961466</x:v>
      </x:c>
      <x:c r="H639" s="57" t="n">
        <x:v>5462.950000000001</x:v>
      </x:c>
      <x:c r="I639" s="57" t="n">
        <x:v>0.182</x:v>
      </x:c>
      <x:c r="J639" s="57" t="n">
        <x:v>24.195084155510738</x:v>
      </x:c>
      <x:c r="K639" s="57" t="n">
        <x:v>66.2926262332661</x:v>
      </x:c>
      <x:c r="L639" s="57" t="n">
        <x:v>96.84660890466586</x:v>
      </x:c>
    </x:row>
    <x:row r="640" ht="32.400001525878906" hidden="0" customHeight="1">
      <x:c r="A640" s="27" t="str">
        <x:v>Harris County, Texas</x:v>
      </x:c>
      <x:c r="B640" s="27" t="str">
        <x:v>48201432706</x:v>
      </x:c>
      <x:c r="C640" s="50" t="n">
        <x:v>2243</x:v>
      </x:c>
      <x:c r="D640" s="50" t="n">
        <x:v>85</x:v>
      </x:c>
      <x:c r="E640" s="50" t="n">
        <x:v>585</x:v>
      </x:c>
      <x:c r="F640" s="37" t="n">
        <x:v>0.03789567543468569</x:v>
      </x:c>
      <x:c r="G640" s="37" t="n">
        <x:v>0.26081141328577795</x:v>
      </x:c>
      <x:c r="H640" s="56" t="n">
        <x:v>2331.2499999999995</x:v>
      </x:c>
      <x:c r="I640" s="56" t="n">
        <x:v>0.26</x:v>
      </x:c>
      <x:c r="J640" s="56" t="n">
        <x:v>24.469564985490805</x:v>
      </x:c>
      <x:c r="K640" s="56" t="n">
        <x:v>66.7043474782362</x:v>
      </x:c>
      <x:c r="L640" s="56" t="n">
        <x:v>97.43478211176601</x:v>
      </x:c>
    </x:row>
    <x:row r="641" ht="32.400001525878906" hidden="0" customHeight="1">
      <x:c r="A641" s="29" t="str">
        <x:v>Harris County, Texas</x:v>
      </x:c>
      <x:c r="B641" s="29" t="str">
        <x:v>48201432803</x:v>
      </x:c>
      <x:c r="C641" s="51" t="n">
        <x:v>2577</x:v>
      </x:c>
      <x:c r="D641" s="51" t="n">
        <x:v>122</x:v>
      </x:c>
      <x:c r="E641" s="51" t="n">
        <x:v>275</x:v>
      </x:c>
      <x:c r="F641" s="38" t="n">
        <x:v>0.0473418703919286</x:v>
      </x:c>
      <x:c r="G641" s="38" t="n">
        <x:v>0.10671323244082266</x:v>
      </x:c>
      <x:c r="H641" s="57" t="n">
        <x:v>2647.2</x:v>
      </x:c>
      <x:c r="I641" s="57" t="n">
        <x:v>0.125</x:v>
      </x:c>
      <x:c r="J641" s="57" t="n">
        <x:v>24.747933695851096</x:v>
      </x:c>
      <x:c r="K641" s="57" t="n">
        <x:v>67.12190054377665</x:v>
      </x:c>
      <x:c r="L641" s="57" t="n">
        <x:v>98.03128649110948</x:v>
      </x:c>
    </x:row>
    <x:row r="642" ht="32.400001525878906" hidden="0" customHeight="1">
      <x:c r="A642" s="27" t="str">
        <x:v>Harris County, Texas</x:v>
      </x:c>
      <x:c r="B642" s="27" t="str">
        <x:v>48201432804</x:v>
      </x:c>
      <x:c r="C642" s="50" t="n">
        <x:v>2011</x:v>
      </x:c>
      <x:c r="D642" s="50" t="n">
        <x:v>116</x:v>
      </x:c>
      <x:c r="E642" s="50" t="n">
        <x:v>266.5</x:v>
      </x:c>
      <x:c r="F642" s="37" t="n">
        <x:v>0.057682744903033316</x:v>
      </x:c>
      <x:c r="G642" s="37" t="n">
        <x:v>0.13252113376429636</x:v>
      </x:c>
      <x:c r="H642" s="56" t="n">
        <x:v>2078.25</x:v>
      </x:c>
      <x:c r="I642" s="56" t="n">
        <x:v>0.75</x:v>
      </x:c>
      <x:c r="J642" s="56" t="n">
        <x:v>24.205649772821968</x:v>
      </x:c>
      <x:c r="K642" s="56" t="n">
        <x:v>66.30847465923296</x:v>
      </x:c>
      <x:c r="L642" s="56" t="n">
        <x:v>96.86924951318993</x:v>
      </x:c>
    </x:row>
    <x:row r="643" ht="32.400001525878906" hidden="0" customHeight="1">
      <x:c r="A643" s="29" t="str">
        <x:v>Harris County, Texas</x:v>
      </x:c>
      <x:c r="B643" s="29" t="str">
        <x:v>48201432805</x:v>
      </x:c>
      <x:c r="C643" s="51" t="n">
        <x:v>2473</x:v>
      </x:c>
      <x:c r="D643" s="51" t="n">
        <x:v>115</x:v>
      </x:c>
      <x:c r="E643" s="51" t="n">
        <x:v>659</x:v>
      </x:c>
      <x:c r="F643" s="38" t="n">
        <x:v>0.04650222401940962</x:v>
      </x:c>
      <x:c r="G643" s="38" t="n">
        <x:v>0.2664779619894865</x:v>
      </x:c>
      <x:c r="H643" s="57" t="n">
        <x:v>2579.1499999999996</x:v>
      </x:c>
      <x:c r="I643" s="57" t="n">
        <x:v>0.34</x:v>
      </x:c>
      <x:c r="J643" s="57" t="n">
        <x:v>23.838418443690824</x:v>
      </x:c>
      <x:c r="K643" s="57" t="n">
        <x:v>65.75762766553623</x:v>
      </x:c>
      <x:c r="L643" s="57" t="n">
        <x:v>96.08232523648033</x:v>
      </x:c>
    </x:row>
    <x:row r="644" ht="32.400001525878906" hidden="0" customHeight="1">
      <x:c r="A644" s="27" t="str">
        <x:v>Harris County, Texas</x:v>
      </x:c>
      <x:c r="B644" s="27" t="str">
        <x:v>48201432806</x:v>
      </x:c>
      <x:c r="C644" s="50" t="n">
        <x:v>4169</x:v>
      </x:c>
      <x:c r="D644" s="50" t="n">
        <x:v>639</x:v>
      </x:c>
      <x:c r="E644" s="50" t="n">
        <x:v>1337</x:v>
      </x:c>
      <x:c r="F644" s="37" t="n">
        <x:v>0.1532741664667786</x:v>
      </x:c>
      <x:c r="G644" s="37" t="n">
        <x:v>0.3207004077716479</x:v>
      </x:c>
      <x:c r="H644" s="56" t="n">
        <x:v>4526.35</x:v>
      </x:c>
      <x:c r="I644" s="56" t="n">
        <x:v>0.16</x:v>
      </x:c>
      <x:c r="J644" s="56" t="n">
        <x:v>23.887629083539995</x:v>
      </x:c>
      <x:c r="K644" s="56" t="n">
        <x:v>65.83144362530999</x:v>
      </x:c>
      <x:c r="L644" s="56" t="n">
        <x:v>96.1877766075857</x:v>
      </x:c>
    </x:row>
    <x:row r="645" ht="32.400001525878906" hidden="0" customHeight="1">
      <x:c r="A645" s="29" t="str">
        <x:v>Harris County, Texas</x:v>
      </x:c>
      <x:c r="B645" s="29" t="str">
        <x:v>48201432901</x:v>
      </x:c>
      <x:c r="C645" s="51" t="n">
        <x:v>3688</x:v>
      </x:c>
      <x:c r="D645" s="51" t="n">
        <x:v>314</x:v>
      </x:c>
      <x:c r="E645" s="51" t="n">
        <x:v>331</x:v>
      </x:c>
      <x:c r="F645" s="38" t="n">
        <x:v>0.0851409978308026</x:v>
      </x:c>
      <x:c r="G645" s="38" t="n">
        <x:v>0.08975054229934924</x:v>
      </x:c>
      <x:c r="H645" s="57" t="n">
        <x:v>3831</x:v>
      </x:c>
      <x:c r="I645" s="57" t="n">
        <x:v>0.565</x:v>
      </x:c>
      <x:c r="J645" s="57" t="n">
        <x:v>25.86155111597871</x:v>
      </x:c>
      <x:c r="K645" s="57" t="n">
        <x:v>68.79232667396806</x:v>
      </x:c>
      <x:c r="L645" s="57" t="n">
        <x:v>100.41760953424009</x:v>
      </x:c>
    </x:row>
    <x:row r="646" ht="32.400001525878906" hidden="0" customHeight="1">
      <x:c r="A646" s="27" t="str">
        <x:v>Harris County, Texas</x:v>
      </x:c>
      <x:c r="B646" s="27" t="str">
        <x:v>48201432903</x:v>
      </x:c>
      <x:c r="C646" s="50" t="n">
        <x:v>2099</x:v>
      </x:c>
      <x:c r="D646" s="50" t="n">
        <x:v>198</x:v>
      </x:c>
      <x:c r="E646" s="50" t="n">
        <x:v>398.5</x:v>
      </x:c>
      <x:c r="F646" s="37" t="n">
        <x:v>0.09433063363506432</x:v>
      </x:c>
      <x:c r="G646" s="37" t="n">
        <x:v>0.1898523106241067</x:v>
      </x:c>
      <x:c r="H646" s="56" t="n">
        <x:v>2208.1499999999996</x:v>
      </x:c>
      <x:c r="I646" s="56" t="n">
        <x:v>0.149</x:v>
      </x:c>
      <x:c r="J646" s="56" t="n">
        <x:v>26.05163721177185</x:v>
      </x:c>
      <x:c r="K646" s="56" t="n">
        <x:v>69.07745581765778</x:v>
      </x:c>
      <x:c r="L646" s="56" t="n">
        <x:v>100.82493688236826</x:v>
      </x:c>
    </x:row>
    <x:row r="647" ht="32.400001525878906" hidden="0" customHeight="1">
      <x:c r="A647" s="29" t="str">
        <x:v>Harris County, Texas</x:v>
      </x:c>
      <x:c r="B647" s="29" t="str">
        <x:v>48201432904</x:v>
      </x:c>
      <x:c r="C647" s="51" t="n">
        <x:v>3861</x:v>
      </x:c>
      <x:c r="D647" s="51" t="n">
        <x:v>363</x:v>
      </x:c>
      <x:c r="E647" s="51" t="n">
        <x:v>291.5</x:v>
      </x:c>
      <x:c r="F647" s="38" t="n">
        <x:v>0.09401709401709402</x:v>
      </x:c>
      <x:c r="G647" s="38" t="n">
        <x:v>0.0754985754985755</x:v>
      </x:c>
      <x:c r="H647" s="57" t="n">
        <x:v>4017.2</x:v>
      </x:c>
      <x:c r="I647" s="57" t="n">
        <x:v>0.433</x:v>
      </x:c>
      <x:c r="J647" s="57" t="n">
        <x:v>25.531362325605418</x:v>
      </x:c>
      <x:c r="K647" s="57" t="n">
        <x:v>68.29704348840812</x:v>
      </x:c>
      <x:c r="L647" s="57" t="n">
        <x:v>99.71006212629732</x:v>
      </x:c>
    </x:row>
    <x:row r="648" ht="32.400001525878906" hidden="0" customHeight="1">
      <x:c r="A648" s="27" t="str">
        <x:v>Harris County, Texas</x:v>
      </x:c>
      <x:c r="B648" s="27" t="str">
        <x:v>48201433003</x:v>
      </x:c>
      <x:c r="C648" s="50" t="n">
        <x:v>5476</x:v>
      </x:c>
      <x:c r="D648" s="50" t="n">
        <x:v>763</x:v>
      </x:c>
      <x:c r="E648" s="50" t="n">
        <x:v>1050</x:v>
      </x:c>
      <x:c r="F648" s="37" t="n">
        <x:v>0.13933528122717312</x:v>
      </x:c>
      <x:c r="G648" s="37" t="n">
        <x:v>0.19174579985390797</x:v>
      </x:c>
      <x:c r="H648" s="56" t="n">
        <x:v>5848.05</x:v>
      </x:c>
      <x:c r="I648" s="56" t="n">
        <x:v>0.357</x:v>
      </x:c>
      <x:c r="J648" s="56" t="n">
        <x:v>27.360540718629302</x:v>
      </x:c>
      <x:c r="K648" s="56" t="n">
        <x:v>71.04081107794396</x:v>
      </x:c>
      <x:c r="L648" s="56" t="n">
        <x:v>103.62973011134851</x:v>
      </x:c>
    </x:row>
    <x:row r="649" ht="32.400001525878906" hidden="0" customHeight="1">
      <x:c r="A649" s="29" t="str">
        <x:v>Harris County, Texas</x:v>
      </x:c>
      <x:c r="B649" s="29" t="str">
        <x:v>48201433004</x:v>
      </x:c>
      <x:c r="C649" s="51" t="n">
        <x:v>2210</x:v>
      </x:c>
      <x:c r="D649" s="51" t="n">
        <x:v>91</x:v>
      </x:c>
      <x:c r="E649" s="51" t="n">
        <x:v>634</x:v>
      </x:c>
      <x:c r="F649" s="38" t="n">
        <x:v>0.041176470588235294</x:v>
      </x:c>
      <x:c r="G649" s="38" t="n">
        <x:v>0.2868778280542986</x:v>
      </x:c>
      <x:c r="H649" s="57" t="n">
        <x:v>2305.25</x:v>
      </x:c>
      <x:c r="I649" s="57" t="n">
        <x:v>0.195</x:v>
      </x:c>
      <x:c r="J649" s="57" t="n">
        <x:v>27.36475001129333</x:v>
      </x:c>
      <x:c r="K649" s="57" t="n">
        <x:v>71.04712501694</x:v>
      </x:c>
      <x:c r="L649" s="57" t="n">
        <x:v>103.6387500242</x:v>
      </x:c>
    </x:row>
    <x:row r="650" ht="32.400001525878906" hidden="0" customHeight="1">
      <x:c r="A650" s="27" t="str">
        <x:v>Harris County, Texas</x:v>
      </x:c>
      <x:c r="B650" s="27" t="str">
        <x:v>48201433005</x:v>
      </x:c>
      <x:c r="C650" s="50" t="n">
        <x:v>2088</x:v>
      </x:c>
      <x:c r="D650" s="50" t="n">
        <x:v>305</x:v>
      </x:c>
      <x:c r="E650" s="50" t="n">
        <x:v>611</x:v>
      </x:c>
      <x:c r="F650" s="37" t="n">
        <x:v>0.1460727969348659</x:v>
      </x:c>
      <x:c r="G650" s="37" t="n">
        <x:v>0.29262452107279696</x:v>
      </x:c>
      <x:c r="H650" s="56" t="n">
        <x:v>2255.8500000000004</x:v>
      </x:c>
      <x:c r="I650" s="56" t="n">
        <x:v>0.297</x:v>
      </x:c>
      <x:c r="J650" s="56" t="n">
        <x:v>28.06559666794365</x:v>
      </x:c>
      <x:c r="K650" s="56" t="n">
        <x:v>72.09839500191548</x:v>
      </x:c>
      <x:c r="L650" s="56" t="n">
        <x:v>105.14056428845069</x:v>
      </x:c>
    </x:row>
    <x:row r="651" ht="32.400001525878906" hidden="0" customHeight="1">
      <x:c r="A651" s="29" t="str">
        <x:v>Harris County, Texas</x:v>
      </x:c>
      <x:c r="B651" s="29" t="str">
        <x:v>48201433006</x:v>
      </x:c>
      <x:c r="C651" s="51" t="n">
        <x:v>2239</x:v>
      </x:c>
      <x:c r="D651" s="51" t="n">
        <x:v>72</x:v>
      </x:c>
      <x:c r="E651" s="51" t="n">
        <x:v>791</x:v>
      </x:c>
      <x:c r="F651" s="38" t="n">
        <x:v>0.0321572130415364</x:v>
      </x:c>
      <x:c r="G651" s="38" t="n">
        <x:v>0.3532827154979902</x:v>
      </x:c>
      <x:c r="H651" s="57" t="n">
        <x:v>2343.3</x:v>
      </x:c>
      <x:c r="I651" s="57" t="n">
        <x:v>0.109</x:v>
      </x:c>
      <x:c r="J651" s="57" t="n">
        <x:v>26.66510216943223</x:v>
      </x:c>
      <x:c r="K651" s="57" t="n">
        <x:v>69.99765325414835</x:v>
      </x:c>
      <x:c r="L651" s="57" t="n">
        <x:v>102.13950464878336</x:v>
      </x:c>
    </x:row>
    <x:row r="652" ht="32.400001525878906" hidden="0" customHeight="1">
      <x:c r="A652" s="27" t="str">
        <x:v>Harris County, Texas</x:v>
      </x:c>
      <x:c r="B652" s="27" t="str">
        <x:v>48201433007</x:v>
      </x:c>
      <x:c r="C652" s="50" t="n">
        <x:v>1720</x:v>
      </x:c>
      <x:c r="D652" s="50" t="n">
        <x:v>153</x:v>
      </x:c>
      <x:c r="E652" s="50" t="n">
        <x:v>318.5</x:v>
      </x:c>
      <x:c r="F652" s="37" t="n">
        <x:v>0.08895348837209302</x:v>
      </x:c>
      <x:c r="G652" s="37" t="n">
        <x:v>0.18517441860465117</x:v>
      </x:c>
      <x:c r="H652" s="56" t="n">
        <x:v>1805.4</x:v>
      </x:c>
      <x:c r="I652" s="56" t="n">
        <x:v>0.139</x:v>
      </x:c>
      <x:c r="J652" s="56" t="n">
        <x:v>26.388687893197236</x:v>
      </x:c>
      <x:c r="K652" s="56" t="n">
        <x:v>69.58303183979585</x:v>
      </x:c>
      <x:c r="L652" s="56" t="n">
        <x:v>101.5471883425655</x:v>
      </x:c>
    </x:row>
    <x:row r="653" ht="32.400001525878906" hidden="0" customHeight="1">
      <x:c r="A653" s="29" t="str">
        <x:v>Harris County, Texas</x:v>
      </x:c>
      <x:c r="B653" s="29" t="str">
        <x:v>48201433100</x:v>
      </x:c>
      <x:c r="C653" s="51" t="n">
        <x:v>3295</x:v>
      </x:c>
      <x:c r="D653" s="51" t="n">
        <x:v>182</x:v>
      </x:c>
      <x:c r="E653" s="51" t="n">
        <x:v>790</x:v>
      </x:c>
      <x:c r="F653" s="38" t="n">
        <x:v>0.055235204855842185</x:v>
      </x:c>
      <x:c r="G653" s="38" t="n">
        <x:v>0.23975720789074356</x:v>
      </x:c>
      <x:c r="H653" s="57" t="n">
        <x:v>3437.6999999999994</x:v>
      </x:c>
      <x:c r="I653" s="57" t="n">
        <x:v>0.324</x:v>
      </x:c>
      <x:c r="J653" s="57" t="n">
        <x:v>26.811082189081112</x:v>
      </x:c>
      <x:c r="K653" s="57" t="n">
        <x:v>70.21662328362167</x:v>
      </x:c>
      <x:c r="L653" s="57" t="n">
        <x:v>102.45231897660238</x:v>
      </x:c>
    </x:row>
    <x:row r="654" ht="32.400001525878906" hidden="0" customHeight="1">
      <x:c r="A654" s="27" t="str">
        <x:v>Harris County, Texas</x:v>
      </x:c>
      <x:c r="B654" s="27" t="str">
        <x:v>48201433201</x:v>
      </x:c>
      <x:c r="C654" s="50" t="n">
        <x:v>3925</x:v>
      </x:c>
      <x:c r="D654" s="50" t="n">
        <x:v>335</x:v>
      </x:c>
      <x:c r="E654" s="50" t="n">
        <x:v>153</x:v>
      </x:c>
      <x:c r="F654" s="37" t="n">
        <x:v>0.08535031847133757</x:v>
      </x:c>
      <x:c r="G654" s="37" t="n">
        <x:v>0.038980891719745225</x:v>
      </x:c>
      <x:c r="H654" s="56" t="n">
        <x:v>4057.5499999999993</x:v>
      </x:c>
      <x:c r="I654" s="56" t="n">
        <x:v>0.423</x:v>
      </x:c>
      <x:c r="J654" s="56" t="n">
        <x:v>26.142240869447036</x:v>
      </x:c>
      <x:c r="K654" s="56" t="n">
        <x:v>69.21336130417055</x:v>
      </x:c>
      <x:c r="L654" s="56" t="n">
        <x:v>101.0190875773865</x:v>
      </x:c>
    </x:row>
    <x:row r="655" ht="32.400001525878906" hidden="0" customHeight="1">
      <x:c r="A655" s="29" t="str">
        <x:v>Harris County, Texas</x:v>
      </x:c>
      <x:c r="B655" s="29" t="str">
        <x:v>48201433202</x:v>
      </x:c>
      <x:c r="C655" s="51" t="n">
        <x:v>3666</x:v>
      </x:c>
      <x:c r="D655" s="51" t="n">
        <x:v>289</x:v>
      </x:c>
      <x:c r="E655" s="51" t="n">
        <x:v>195</x:v>
      </x:c>
      <x:c r="F655" s="38" t="n">
        <x:v>0.07883251500272777</x:v>
      </x:c>
      <x:c r="G655" s="38" t="n">
        <x:v>0.05319148936170213</x:v>
      </x:c>
      <x:c r="H655" s="57" t="n">
        <x:v>3786.6499999999996</x:v>
      </x:c>
      <x:c r="I655" s="57" t="n">
        <x:v>0.444</x:v>
      </x:c>
      <x:c r="J655" s="57" t="n">
        <x:v>25.254124727022575</x:v>
      </x:c>
      <x:c r="K655" s="57" t="n">
        <x:v>67.88118709053386</x:v>
      </x:c>
      <x:c r="L655" s="57" t="n">
        <x:v>99.11598155790551</x:v>
      </x:c>
    </x:row>
    <x:row r="656" ht="32.400001525878906" hidden="0" customHeight="1">
      <x:c r="A656" s="27" t="str">
        <x:v>Harris County, Texas</x:v>
      </x:c>
      <x:c r="B656" s="27" t="str">
        <x:v>48201433300</x:v>
      </x:c>
      <x:c r="C656" s="50" t="n">
        <x:v>4680</x:v>
      </x:c>
      <x:c r="D656" s="50" t="n">
        <x:v>324</x:v>
      </x:c>
      <x:c r="E656" s="50" t="n">
        <x:v>192</x:v>
      </x:c>
      <x:c r="F656" s="37" t="n">
        <x:v>0.06923076923076923</x:v>
      </x:c>
      <x:c r="G656" s="37" t="n">
        <x:v>0.041025641025641026</x:v>
      </x:c>
      <x:c r="H656" s="56" t="n">
        <x:v>4812.6</x:v>
      </x:c>
      <x:c r="I656" s="56" t="n">
        <x:v>0.935</x:v>
      </x:c>
      <x:c r="J656" s="56" t="n">
        <x:v>24.161021181323104</x:v>
      </x:c>
      <x:c r="K656" s="56" t="n">
        <x:v>66.24153177198465</x:v>
      </x:c>
      <x:c r="L656" s="56" t="n">
        <x:v>96.77361681712094</x:v>
      </x:c>
    </x:row>
    <x:row r="657" ht="32.400001525878906" hidden="0" customHeight="1">
      <x:c r="A657" s="29" t="str">
        <x:v>Harris County, Texas</x:v>
      </x:c>
      <x:c r="B657" s="29" t="str">
        <x:v>48201433400</x:v>
      </x:c>
      <x:c r="C657" s="51" t="n">
        <x:v>4329</x:v>
      </x:c>
      <x:c r="D657" s="51" t="n">
        <x:v>429</x:v>
      </x:c>
      <x:c r="E657" s="51" t="n">
        <x:v>900</x:v>
      </x:c>
      <x:c r="F657" s="38" t="n">
        <x:v>0.0990990990990991</x:v>
      </x:c>
      <x:c r="G657" s="38" t="n">
        <x:v>0.2079002079002079</x:v>
      </x:c>
      <x:c r="H657" s="57" t="n">
        <x:v>4569.150000000001</x:v>
      </x:c>
      <x:c r="I657" s="57" t="n">
        <x:v>0.632</x:v>
      </x:c>
      <x:c r="J657" s="57" t="n">
        <x:v>24.157983910967005</x:v>
      </x:c>
      <x:c r="K657" s="57" t="n">
        <x:v>66.2369758664505</x:v>
      </x:c>
      <x:c r="L657" s="57" t="n">
        <x:v>96.76710838064358</x:v>
      </x:c>
    </x:row>
    <x:row r="658" ht="32.400001525878906" hidden="0" customHeight="1">
      <x:c r="A658" s="27" t="str">
        <x:v>Harris County, Texas</x:v>
      </x:c>
      <x:c r="B658" s="27" t="str">
        <x:v>48201433503</x:v>
      </x:c>
      <x:c r="C658" s="50" t="n">
        <x:v>2357</x:v>
      </x:c>
      <x:c r="D658" s="50" t="n">
        <x:v>129</x:v>
      </x:c>
      <x:c r="E658" s="50" t="n">
        <x:v>144.5</x:v>
      </x:c>
      <x:c r="F658" s="37" t="n">
        <x:v>0.054730589732711075</x:v>
      </x:c>
      <x:c r="G658" s="37" t="n">
        <x:v>0.06130674586338566</x:v>
      </x:c>
      <x:c r="H658" s="56" t="n">
        <x:v>2416.6</x:v>
      </x:c>
      <x:c r="I658" s="56" t="n">
        <x:v>0.12</x:v>
      </x:c>
      <x:c r="J658" s="56" t="n">
        <x:v>25.924402007688887</x:v>
      </x:c>
      <x:c r="K658" s="56" t="n">
        <x:v>68.88660301153332</x:v>
      </x:c>
      <x:c r="L658" s="56" t="n">
        <x:v>100.55229001647618</x:v>
      </x:c>
    </x:row>
    <x:row r="659" ht="32.400001525878906" hidden="0" customHeight="1">
      <x:c r="A659" s="29" t="str">
        <x:v>Harris County, Texas</x:v>
      </x:c>
      <x:c r="B659" s="29" t="str">
        <x:v>48201433504</x:v>
      </x:c>
      <x:c r="C659" s="51" t="n">
        <x:v>3358</x:v>
      </x:c>
      <x:c r="D659" s="51" t="n">
        <x:v>160</x:v>
      </x:c>
      <x:c r="E659" s="51" t="n">
        <x:v>835</x:v>
      </x:c>
      <x:c r="F659" s="38" t="n">
        <x:v>0.047647409172126266</x:v>
      </x:c>
      <x:c r="G659" s="38" t="n">
        <x:v>0.24865991661703396</x:v>
      </x:c>
      <x:c r="H659" s="57" t="n">
        <x:v>3497.4999999999995</x:v>
      </x:c>
      <x:c r="I659" s="57" t="n">
        <x:v>0.353</x:v>
      </x:c>
      <x:c r="J659" s="57" t="n">
        <x:v>24.290428105053675</x:v>
      </x:c>
      <x:c r="K659" s="57" t="n">
        <x:v>66.43564215758052</x:v>
      </x:c>
      <x:c r="L659" s="57" t="n">
        <x:v>97.05091736797216</x:v>
      </x:c>
    </x:row>
    <x:row r="660" ht="32.400001525878906" hidden="0" customHeight="1">
      <x:c r="A660" s="27" t="str">
        <x:v>Harris County, Texas</x:v>
      </x:c>
      <x:c r="B660" s="27" t="str">
        <x:v>48201433505</x:v>
      </x:c>
      <x:c r="C660" s="50" t="n">
        <x:v>2175</x:v>
      </x:c>
      <x:c r="D660" s="50" t="n">
        <x:v>195</x:v>
      </x:c>
      <x:c r="E660" s="50" t="n">
        <x:v>432.5</x:v>
      </x:c>
      <x:c r="F660" s="37" t="n">
        <x:v>0.0896551724137931</x:v>
      </x:c>
      <x:c r="G660" s="37" t="n">
        <x:v>0.19885057471264367</x:v>
      </x:c>
      <x:c r="H660" s="56" t="n">
        <x:v>2286.5</x:v>
      </x:c>
      <x:c r="I660" s="56" t="n">
        <x:v>0.077</x:v>
      </x:c>
      <x:c r="J660" s="56" t="n">
        <x:v>25.392826661100244</x:v>
      </x:c>
      <x:c r="K660" s="56" t="n">
        <x:v>68.08923999165037</x:v>
      </x:c>
      <x:c r="L660" s="56" t="n">
        <x:v>99.41319998807195</x:v>
      </x:c>
    </x:row>
    <x:row r="661" ht="32.400001525878906" hidden="0" customHeight="1">
      <x:c r="A661" s="29" t="str">
        <x:v>Harris County, Texas</x:v>
      </x:c>
      <x:c r="B661" s="29" t="str">
        <x:v>48201433506</x:v>
      </x:c>
      <x:c r="C661" s="51" t="n">
        <x:v>1562</x:v>
      </x:c>
      <x:c r="D661" s="51" t="n">
        <x:v>150</x:v>
      </x:c>
      <x:c r="E661" s="51" t="n">
        <x:v>360.5</x:v>
      </x:c>
      <x:c r="F661" s="38" t="n">
        <x:v>0.09603072983354674</x:v>
      </x:c>
      <x:c r="G661" s="38" t="n">
        <x:v>0.23079385403329064</x:v>
      </x:c>
      <x:c r="H661" s="57" t="n">
        <x:v>1650.55</x:v>
      </x:c>
      <x:c r="I661" s="57" t="n">
        <x:v>0.05</x:v>
      </x:c>
      <x:c r="J661" s="57" t="n">
        <x:v>25.21851926036961</x:v>
      </x:c>
      <x:c r="K661" s="57" t="n">
        <x:v>67.82777889055441</x:v>
      </x:c>
      <x:c r="L661" s="57" t="n">
        <x:v>99.03968412936345</x:v>
      </x:c>
    </x:row>
    <x:row r="662" ht="32.400001525878906" hidden="0" customHeight="1">
      <x:c r="A662" s="27" t="str">
        <x:v>Harris County, Texas</x:v>
      </x:c>
      <x:c r="B662" s="27" t="str">
        <x:v>48201433507</x:v>
      </x:c>
      <x:c r="C662" s="50" t="n">
        <x:v>2911</x:v>
      </x:c>
      <x:c r="D662" s="50" t="n">
        <x:v>629</x:v>
      </x:c>
      <x:c r="E662" s="50" t="n">
        <x:v>806.5</x:v>
      </x:c>
      <x:c r="F662" s="37" t="n">
        <x:v>0.21607694950188938</x:v>
      </x:c>
      <x:c r="G662" s="37" t="n">
        <x:v>0.27705255925798694</x:v>
      </x:c>
      <x:c r="H662" s="56" t="n">
        <x:v>3211.7999999999997</x:v>
      </x:c>
      <x:c r="I662" s="56" t="n">
        <x:v>0.183</x:v>
      </x:c>
      <x:c r="J662" s="56" t="n">
        <x:v>25.54267237611572</x:v>
      </x:c>
      <x:c r="K662" s="56" t="n">
        <x:v>68.31400856417358</x:v>
      </x:c>
      <x:c r="L662" s="56" t="n">
        <x:v>99.7342979488194</x:v>
      </x:c>
    </x:row>
    <x:row r="663" ht="32.400001525878906" hidden="0" customHeight="1">
      <x:c r="A663" s="29" t="str">
        <x:v>Harris County, Texas</x:v>
      </x:c>
      <x:c r="B663" s="29" t="str">
        <x:v>48201433601</x:v>
      </x:c>
      <x:c r="C663" s="51" t="n">
        <x:v>2878</x:v>
      </x:c>
      <x:c r="D663" s="51" t="n">
        <x:v>320</x:v>
      </x:c>
      <x:c r="E663" s="51" t="n">
        <x:v>374</x:v>
      </x:c>
      <x:c r="F663" s="38" t="n">
        <x:v>0.11118832522585129</x:v>
      </x:c>
      <x:c r="G663" s="38" t="n">
        <x:v>0.1299513551077137</x:v>
      </x:c>
      <x:c r="H663" s="57" t="n">
        <x:v>3027.4</x:v>
      </x:c>
      <x:c r="I663" s="57" t="n">
        <x:v>0.257</x:v>
      </x:c>
      <x:c r="J663" s="57" t="n">
        <x:v>24.52758087883411</x:v>
      </x:c>
      <x:c r="K663" s="57" t="n">
        <x:v>66.79137131825117</x:v>
      </x:c>
      <x:c r="L663" s="57" t="n">
        <x:v>97.55910188321596</x:v>
      </x:c>
    </x:row>
    <x:row r="664" ht="32.400001525878906" hidden="0" customHeight="1">
      <x:c r="A664" s="27" t="str">
        <x:v>Harris County, Texas</x:v>
      </x:c>
      <x:c r="B664" s="27" t="str">
        <x:v>48201433602</x:v>
      </x:c>
      <x:c r="C664" s="50" t="n">
        <x:v>4053</x:v>
      </x:c>
      <x:c r="D664" s="50" t="n">
        <x:v>303</x:v>
      </x:c>
      <x:c r="E664" s="50" t="n">
        <x:v>401</x:v>
      </x:c>
      <x:c r="F664" s="37" t="n">
        <x:v>0.07475943745373798</x:v>
      </x:c>
      <x:c r="G664" s="37" t="n">
        <x:v>0.09893905748828029</x:v>
      </x:c>
      <x:c r="H664" s="56" t="n">
        <x:v>4199.150000000001</x:v>
      </x:c>
      <x:c r="I664" s="56" t="n">
        <x:v>0.301</x:v>
      </x:c>
      <x:c r="J664" s="56" t="n">
        <x:v>24.55159452550445</x:v>
      </x:c>
      <x:c r="K664" s="56" t="n">
        <x:v>66.82739178825668</x:v>
      </x:c>
      <x:c r="L664" s="56" t="n">
        <x:v>97.61055969750953</x:v>
      </x:c>
    </x:row>
    <x:row r="665" ht="32.400001525878906" hidden="0" customHeight="1">
      <x:c r="A665" s="29" t="str">
        <x:v>Harris County, Texas</x:v>
      </x:c>
      <x:c r="B665" s="29" t="str">
        <x:v>48201440101</x:v>
      </x:c>
      <x:c r="C665" s="51" t="n">
        <x:v>1812</x:v>
      </x:c>
      <x:c r="D665" s="51" t="n">
        <x:v>173</x:v>
      </x:c>
      <x:c r="E665" s="51" t="n">
        <x:v>260</x:v>
      </x:c>
      <x:c r="F665" s="38" t="n">
        <x:v>0.09547461368653422</x:v>
      </x:c>
      <x:c r="G665" s="38" t="n">
        <x:v>0.1434878587196468</x:v>
      </x:c>
      <x:c r="H665" s="57" t="n">
        <x:v>1898.55</x:v>
      </x:c>
      <x:c r="I665" s="57" t="n">
        <x:v>0.868</x:v>
      </x:c>
      <x:c r="J665" s="57" t="n">
        <x:v>24.01100330874002</x:v>
      </x:c>
      <x:c r="K665" s="57" t="n">
        <x:v>66.01650496311002</x:v>
      </x:c>
      <x:c r="L665" s="57" t="n">
        <x:v>96.45214994730003</x:v>
      </x:c>
    </x:row>
    <x:row r="666" ht="32.400001525878906" hidden="0" customHeight="1">
      <x:c r="A666" s="27" t="str">
        <x:v>Harris County, Texas</x:v>
      </x:c>
      <x:c r="B666" s="27" t="str">
        <x:v>48201440102</x:v>
      </x:c>
      <x:c r="C666" s="50" t="n">
        <x:v>4477</x:v>
      </x:c>
      <x:c r="D666" s="50" t="n">
        <x:v>401</x:v>
      </x:c>
      <x:c r="E666" s="50" t="n">
        <x:v>33</x:v>
      </x:c>
      <x:c r="F666" s="37" t="n">
        <x:v>0.08956890775072593</x:v>
      </x:c>
      <x:c r="G666" s="37" t="n">
        <x:v>0.007371007371007371</x:v>
      </x:c>
      <x:c r="H666" s="56" t="n">
        <x:v>4620.65</x:v>
      </x:c>
      <x:c r="I666" s="56" t="n">
        <x:v>1.255</x:v>
      </x:c>
      <x:c r="J666" s="56" t="n">
        <x:v>21.000835359482327</x:v>
      </x:c>
      <x:c r="K666" s="56" t="n">
        <x:v>61.50125303922349</x:v>
      </x:c>
      <x:c r="L666" s="56" t="n">
        <x:v>90.00179005603356</x:v>
      </x:c>
    </x:row>
    <x:row r="667" ht="32.400001525878906" hidden="0" customHeight="1">
      <x:c r="A667" s="29" t="str">
        <x:v>Harris County, Texas</x:v>
      </x:c>
      <x:c r="B667" s="29" t="str">
        <x:v>48201450100</x:v>
      </x:c>
      <x:c r="C667" s="51" t="n">
        <x:v>1874</x:v>
      </x:c>
      <x:c r="D667" s="51" t="n">
        <x:v>94</x:v>
      </x:c>
      <x:c r="E667" s="51" t="n">
        <x:v>2</x:v>
      </x:c>
      <x:c r="F667" s="38" t="n">
        <x:v>0.05016008537886873</x:v>
      </x:c>
      <x:c r="G667" s="38" t="n">
        <x:v>0.0010672358591248667</x:v>
      </x:c>
      <x:c r="H667" s="57" t="n">
        <x:v>1907.1</x:v>
      </x:c>
      <x:c r="I667" s="57" t="n">
        <x:v>0.319</x:v>
      </x:c>
      <x:c r="J667" s="57" t="n">
        <x:v>31.185631017336828</x:v>
      </x:c>
      <x:c r="K667" s="57" t="n">
        <x:v>76.77844652600524</x:v>
      </x:c>
      <x:c r="L667" s="57" t="n">
        <x:v>111.82635218000749</x:v>
      </x:c>
    </x:row>
    <x:row r="668" ht="32.400001525878906" hidden="0" customHeight="1">
      <x:c r="A668" s="27" t="str">
        <x:v>Harris County, Texas</x:v>
      </x:c>
      <x:c r="B668" s="27" t="str">
        <x:v>48201450200</x:v>
      </x:c>
      <x:c r="C668" s="50" t="n">
        <x:v>5965</x:v>
      </x:c>
      <x:c r="D668" s="50" t="n">
        <x:v>236</x:v>
      </x:c>
      <x:c r="E668" s="50" t="n">
        <x:v>104</x:v>
      </x:c>
      <x:c r="F668" s="37" t="n">
        <x:v>0.03956412405699916</x:v>
      </x:c>
      <x:c r="G668" s="37" t="n">
        <x:v>0.01743503772003353</x:v>
      </x:c>
      <x:c r="H668" s="56" t="n">
        <x:v>6058</x:v>
      </x:c>
      <x:c r="I668" s="56" t="n">
        <x:v>1.045</x:v>
      </x:c>
      <x:c r="J668" s="56" t="n">
        <x:v>30.0210750759239</x:v>
      </x:c>
      <x:c r="K668" s="56" t="n">
        <x:v>75.03161261388586</x:v>
      </x:c>
      <x:c r="L668" s="56" t="n">
        <x:v>109.33087516269407</x:v>
      </x:c>
    </x:row>
    <x:row r="669" ht="32.400001525878906" hidden="0" customHeight="1">
      <x:c r="A669" s="29" t="str">
        <x:v>Harris County, Texas</x:v>
      </x:c>
      <x:c r="B669" s="29" t="str">
        <x:v>48201450301</x:v>
      </x:c>
      <x:c r="C669" s="51" t="n">
        <x:v>2690</x:v>
      </x:c>
      <x:c r="D669" s="51" t="n">
        <x:v>283</x:v>
      </x:c>
      <x:c r="E669" s="51" t="n">
        <x:v>162</x:v>
      </x:c>
      <x:c r="F669" s="38" t="n">
        <x:v>0.10520446096654275</x:v>
      </x:c>
      <x:c r="G669" s="38" t="n">
        <x:v>0.06022304832713755</x:v>
      </x:c>
      <x:c r="H669" s="57" t="n">
        <x:v>2805.25</x:v>
      </x:c>
      <x:c r="I669" s="57" t="n">
        <x:v>0.382</x:v>
      </x:c>
      <x:c r="J669" s="57" t="n">
        <x:v>28.436838057212356</x:v>
      </x:c>
      <x:c r="K669" s="57" t="n">
        <x:v>72.65525708581853</x:v>
      </x:c>
      <x:c r="L669" s="57" t="n">
        <x:v>105.93608155116934</x:v>
      </x:c>
    </x:row>
    <x:row r="670" ht="32.400001525878906" hidden="0" customHeight="1">
      <x:c r="A670" s="27" t="str">
        <x:v>Harris County, Texas</x:v>
      </x:c>
      <x:c r="B670" s="27" t="str">
        <x:v>48201450302</x:v>
      </x:c>
      <x:c r="C670" s="50" t="n">
        <x:v>5835</x:v>
      </x:c>
      <x:c r="D670" s="50" t="n">
        <x:v>267</x:v>
      </x:c>
      <x:c r="E670" s="50" t="n">
        <x:v>0</x:v>
      </x:c>
      <x:c r="F670" s="37" t="n">
        <x:v>0.04575835475578406</x:v>
      </x:c>
      <x:c r="G670" s="37" t="n">
        <x:v>0</x:v>
      </x:c>
      <x:c r="H670" s="56" t="n">
        <x:v>5928.450000000001</x:v>
      </x:c>
      <x:c r="I670" s="56" t="n">
        <x:v>0.611</x:v>
      </x:c>
      <x:c r="J670" s="56" t="n">
        <x:v>27.459432406042797</x:v>
      </x:c>
      <x:c r="K670" s="56" t="n">
        <x:v>71.18914860906419</x:v>
      </x:c>
      <x:c r="L670" s="56" t="n">
        <x:v>103.84164087009171</x:v>
      </x:c>
    </x:row>
    <x:row r="671" ht="32.400001525878906" hidden="0" customHeight="1">
      <x:c r="A671" s="29" t="str">
        <x:v>Harris County, Texas</x:v>
      </x:c>
      <x:c r="B671" s="29" t="str">
        <x:v>48201450401</x:v>
      </x:c>
      <x:c r="C671" s="51" t="n">
        <x:v>2020</x:v>
      </x:c>
      <x:c r="D671" s="51" t="n">
        <x:v>205</x:v>
      </x:c>
      <x:c r="E671" s="51" t="n">
        <x:v>43</x:v>
      </x:c>
      <x:c r="F671" s="38" t="n">
        <x:v>0.10148514851485149</x:v>
      </x:c>
      <x:c r="G671" s="38" t="n">
        <x:v>0.02128712871287129</x:v>
      </x:c>
      <x:c r="H671" s="57" t="n">
        <x:v>2096.05</x:v>
      </x:c>
      <x:c r="I671" s="57" t="n">
        <x:v>0.167</x:v>
      </x:c>
      <x:c r="J671" s="57" t="n">
        <x:v>26.63511126802119</x:v>
      </x:c>
      <x:c r="K671" s="57" t="n">
        <x:v>69.95266690203178</x:v>
      </x:c>
      <x:c r="L671" s="57" t="n">
        <x:v>102.07523843147398</x:v>
      </x:c>
    </x:row>
    <x:row r="672" ht="32.400001525878906" hidden="0" customHeight="1">
      <x:c r="A672" s="27" t="str">
        <x:v>Harris County, Texas</x:v>
      </x:c>
      <x:c r="B672" s="27" t="str">
        <x:v>48201450402</x:v>
      </x:c>
      <x:c r="C672" s="50" t="n">
        <x:v>2227</x:v>
      </x:c>
      <x:c r="D672" s="50" t="n">
        <x:v>41</x:v>
      </x:c>
      <x:c r="E672" s="50" t="n">
        <x:v>70.5</x:v>
      </x:c>
      <x:c r="F672" s="37" t="n">
        <x:v>0.018410417602155366</x:v>
      </x:c>
      <x:c r="G672" s="37" t="n">
        <x:v>0.03165693758419398</x:v>
      </x:c>
      <x:c r="H672" s="56" t="n">
        <x:v>2248.4</x:v>
      </x:c>
      <x:c r="I672" s="56" t="n">
        <x:v>0.583</x:v>
      </x:c>
      <x:c r="J672" s="56" t="n">
        <x:v>25.652355531983517</x:v>
      </x:c>
      <x:c r="K672" s="56" t="n">
        <x:v>68.47853329797528</x:v>
      </x:c>
      <x:c r="L672" s="56" t="n">
        <x:v>99.96933328282182</x:v>
      </x:c>
    </x:row>
    <x:row r="673" ht="32.400001525878906" hidden="0" customHeight="1">
      <x:c r="A673" s="29" t="str">
        <x:v>Harris County, Texas</x:v>
      </x:c>
      <x:c r="B673" s="29" t="str">
        <x:v>48201450500</x:v>
      </x:c>
      <x:c r="C673" s="51" t="n">
        <x:v>3412</x:v>
      </x:c>
      <x:c r="D673" s="51" t="n">
        <x:v>243</x:v>
      </x:c>
      <x:c r="E673" s="51" t="n">
        <x:v>219.5</x:v>
      </x:c>
      <x:c r="F673" s="38" t="n">
        <x:v>0.07121922626025791</x:v>
      </x:c>
      <x:c r="G673" s="38" t="n">
        <x:v>0.06433177022274326</x:v>
      </x:c>
      <x:c r="H673" s="57" t="n">
        <x:v>3518.9999999999995</x:v>
      </x:c>
      <x:c r="I673" s="57" t="n">
        <x:v>1.111</x:v>
      </x:c>
      <x:c r="J673" s="57" t="n">
        <x:v>23.347175462847517</x:v>
      </x:c>
      <x:c r="K673" s="57" t="n">
        <x:v>65.02076319427127</x:v>
      </x:c>
      <x:c r="L673" s="57" t="n">
        <x:v>95.02966170610182</x:v>
      </x:c>
    </x:row>
    <x:row r="674" ht="32.400001525878906" hidden="0" customHeight="1">
      <x:c r="A674" s="27" t="str">
        <x:v>Harris County, Texas</x:v>
      </x:c>
      <x:c r="B674" s="27" t="str">
        <x:v>48201450600</x:v>
      </x:c>
      <x:c r="C674" s="50" t="n">
        <x:v>5678</x:v>
      </x:c>
      <x:c r="D674" s="50" t="n">
        <x:v>456</x:v>
      </x:c>
      <x:c r="E674" s="50" t="n">
        <x:v>383.5</x:v>
      </x:c>
      <x:c r="F674" s="37" t="n">
        <x:v>0.08030996829869673</x:v>
      </x:c>
      <x:c r="G674" s="37" t="n">
        <x:v>0.06754138781261007</x:v>
      </x:c>
      <x:c r="H674" s="56" t="n">
        <x:v>5875.95</x:v>
      </x:c>
      <x:c r="I674" s="56" t="n">
        <x:v>0.718</x:v>
      </x:c>
      <x:c r="J674" s="56" t="n">
        <x:v>26.00356284749451</x:v>
      </x:c>
      <x:c r="K674" s="56" t="n">
        <x:v>69.00534427124177</x:v>
      </x:c>
      <x:c r="L674" s="56" t="n">
        <x:v>100.72192038748824</x:v>
      </x:c>
    </x:row>
    <x:row r="675" ht="32.400001525878906" hidden="0" customHeight="1">
      <x:c r="A675" s="29" t="str">
        <x:v>Harris County, Texas</x:v>
      </x:c>
      <x:c r="B675" s="29" t="str">
        <x:v>48201450700</x:v>
      </x:c>
      <x:c r="C675" s="51" t="n">
        <x:v>6866</x:v>
      </x:c>
      <x:c r="D675" s="51" t="n">
        <x:v>472</x:v>
      </x:c>
      <x:c r="E675" s="51" t="n">
        <x:v>30</x:v>
      </x:c>
      <x:c r="F675" s="38" t="n">
        <x:v>0.06874453830468978</x:v>
      </x:c>
      <x:c r="G675" s="38" t="n">
        <x:v>0.004369356248179435</x:v>
      </x:c>
      <x:c r="H675" s="57" t="n">
        <x:v>7034.2</x:v>
      </x:c>
      <x:c r="I675" s="57" t="n">
        <x:v>1.691</x:v>
      </x:c>
      <x:c r="J675" s="57" t="n">
        <x:v>30.272842449157906</x:v>
      </x:c>
      <x:c r="K675" s="57" t="n">
        <x:v>75.40926367373686</x:v>
      </x:c>
      <x:c r="L675" s="57" t="n">
        <x:v>109.87037667676694</x:v>
      </x:c>
    </x:row>
    <x:row r="676" ht="32.400001525878906" hidden="0" customHeight="1">
      <x:c r="A676" s="27" t="str">
        <x:v>Harris County, Texas</x:v>
      </x:c>
      <x:c r="B676" s="27" t="str">
        <x:v>48201450801</x:v>
      </x:c>
      <x:c r="C676" s="50" t="n">
        <x:v>2244</x:v>
      </x:c>
      <x:c r="D676" s="50" t="n">
        <x:v>181</x:v>
      </x:c>
      <x:c r="E676" s="50" t="n">
        <x:v>84</x:v>
      </x:c>
      <x:c r="F676" s="37" t="n">
        <x:v>0.08065953654188948</x:v>
      </x:c>
      <x:c r="G676" s="37" t="n">
        <x:v>0.0374331550802139</x:v>
      </x:c>
      <x:c r="H676" s="56" t="n">
        <x:v>2315.75</x:v>
      </x:c>
      <x:c r="I676" s="56" t="n">
        <x:v>0.349</x:v>
      </x:c>
      <x:c r="J676" s="56" t="n">
        <x:v>32.459914483025415</x:v>
      </x:c>
      <x:c r="K676" s="56" t="n">
        <x:v>78.68987172453812</x:v>
      </x:c>
      <x:c r="L676" s="56" t="n">
        <x:v>114.55695960648303</x:v>
      </x:c>
    </x:row>
    <x:row r="677" ht="32.400001525878906" hidden="0" customHeight="1">
      <x:c r="A677" s="29" t="str">
        <x:v>Harris County, Texas</x:v>
      </x:c>
      <x:c r="B677" s="29" t="str">
        <x:v>48201450803</x:v>
      </x:c>
      <x:c r="C677" s="51" t="n">
        <x:v>4179</x:v>
      </x:c>
      <x:c r="D677" s="51" t="n">
        <x:v>588</x:v>
      </x:c>
      <x:c r="E677" s="51" t="n">
        <x:v>482</x:v>
      </x:c>
      <x:c r="F677" s="38" t="n">
        <x:v>0.1407035175879397</x:v>
      </x:c>
      <x:c r="G677" s="38" t="n">
        <x:v>0.11533859775065805</x:v>
      </x:c>
      <x:c r="H677" s="57" t="n">
        <x:v>4433</x:v>
      </x:c>
      <x:c r="I677" s="57" t="n">
        <x:v>0.418</x:v>
      </x:c>
      <x:c r="J677" s="57" t="n">
        <x:v>32.80336634246555</x:v>
      </x:c>
      <x:c r="K677" s="57" t="n">
        <x:v>79.20504951369833</x:v>
      </x:c>
      <x:c r="L677" s="57" t="n">
        <x:v>115.2929278767119</x:v>
      </x:c>
    </x:row>
    <x:row r="678" ht="32.400001525878906" hidden="0" customHeight="1">
      <x:c r="A678" s="27" t="str">
        <x:v>Harris County, Texas</x:v>
      </x:c>
      <x:c r="B678" s="27" t="str">
        <x:v>48201450804</x:v>
      </x:c>
      <x:c r="C678" s="50" t="n">
        <x:v>2310</x:v>
      </x:c>
      <x:c r="D678" s="50" t="n">
        <x:v>100</x:v>
      </x:c>
      <x:c r="E678" s="50" t="n">
        <x:v>12</x:v>
      </x:c>
      <x:c r="F678" s="37" t="n">
        <x:v>0.04329004329004329</x:v>
      </x:c>
      <x:c r="G678" s="37" t="n">
        <x:v>0.005194805194805195</x:v>
      </x:c>
      <x:c r="H678" s="56" t="n">
        <x:v>2346.2000000000003</x:v>
      </x:c>
      <x:c r="I678" s="56" t="n">
        <x:v>0.245</x:v>
      </x:c>
      <x:c r="J678" s="56" t="n">
        <x:v>32.67621885128824</x:v>
      </x:c>
      <x:c r="K678" s="56" t="n">
        <x:v>79.01432827693236</x:v>
      </x:c>
      <x:c r="L678" s="56" t="n">
        <x:v>115.02046896704623</x:v>
      </x:c>
    </x:row>
    <x:row r="679" ht="32.400001525878906" hidden="0" customHeight="1">
      <x:c r="A679" s="29" t="str">
        <x:v>Harris County, Texas</x:v>
      </x:c>
      <x:c r="B679" s="29" t="str">
        <x:v>48201450900</x:v>
      </x:c>
      <x:c r="C679" s="51" t="n">
        <x:v>2783</x:v>
      </x:c>
      <x:c r="D679" s="51" t="n">
        <x:v>216</x:v>
      </x:c>
      <x:c r="E679" s="51" t="n">
        <x:v>8</x:v>
      </x:c>
      <x:c r="F679" s="38" t="n">
        <x:v>0.07761408551922386</x:v>
      </x:c>
      <x:c r="G679" s="38" t="n">
        <x:v>0.002874595759971254</x:v>
      </x:c>
      <x:c r="H679" s="57" t="n">
        <x:v>2859.4</x:v>
      </x:c>
      <x:c r="I679" s="57" t="n">
        <x:v>0.626</x:v>
      </x:c>
      <x:c r="J679" s="57" t="n">
        <x:v>32.03237712716984</x:v>
      </x:c>
      <x:c r="K679" s="57" t="n">
        <x:v>78.04856569075476</x:v>
      </x:c>
      <x:c r="L679" s="57" t="n">
        <x:v>113.64080812964964</x:v>
      </x:c>
    </x:row>
    <x:row r="680" ht="32.400001525878906" hidden="0" customHeight="1">
      <x:c r="A680" s="27" t="str">
        <x:v>Harris County, Texas</x:v>
      </x:c>
      <x:c r="B680" s="27" t="str">
        <x:v>48201451003</x:v>
      </x:c>
      <x:c r="C680" s="50" t="n">
        <x:v>3829</x:v>
      </x:c>
      <x:c r="D680" s="50" t="n">
        <x:v>355</x:v>
      </x:c>
      <x:c r="E680" s="50" t="n">
        <x:v>310.5</x:v>
      </x:c>
      <x:c r="F680" s="37" t="n">
        <x:v>0.09271350221990075</x:v>
      </x:c>
      <x:c r="G680" s="37" t="n">
        <x:v>0.08109166884303996</x:v>
      </x:c>
      <x:c r="H680" s="56" t="n">
        <x:v>3984.3000000000006</x:v>
      </x:c>
      <x:c r="I680" s="56" t="n">
        <x:v>0.091</x:v>
      </x:c>
      <x:c r="J680" s="56" t="n">
        <x:v>31.244607223188215</x:v>
      </x:c>
      <x:c r="K680" s="56" t="n">
        <x:v>76.86691083478232</x:v>
      </x:c>
      <x:c r="L680" s="56" t="n">
        <x:v>111.95272976397474</x:v>
      </x:c>
    </x:row>
    <x:row r="681" ht="32.400001525878906" hidden="0" customHeight="1">
      <x:c r="A681" s="29" t="str">
        <x:v>Harris County, Texas</x:v>
      </x:c>
      <x:c r="B681" s="29" t="str">
        <x:v>48201451004</x:v>
      </x:c>
      <x:c r="C681" s="51" t="n">
        <x:v>1700</x:v>
      </x:c>
      <x:c r="D681" s="51" t="n">
        <x:v>163</x:v>
      </x:c>
      <x:c r="E681" s="51" t="n">
        <x:v>26</x:v>
      </x:c>
      <x:c r="F681" s="38" t="n">
        <x:v>0.09588235294117647</x:v>
      </x:c>
      <x:c r="G681" s="38" t="n">
        <x:v>0.015294117647058824</x:v>
      </x:c>
      <x:c r="H681" s="57" t="n">
        <x:v>1759.6499999999999</x:v>
      </x:c>
      <x:c r="I681" s="57" t="n">
        <x:v>0.14</x:v>
      </x:c>
      <x:c r="J681" s="57" t="n">
        <x:v>31.790399558125195</x:v>
      </x:c>
      <x:c r="K681" s="57" t="n">
        <x:v>77.6855993371878</x:v>
      </x:c>
      <x:c r="L681" s="57" t="n">
        <x:v>113.12228476741113</x:v>
      </x:c>
    </x:row>
    <x:row r="682" ht="32.400001525878906" hidden="0" customHeight="1">
      <x:c r="A682" s="27" t="str">
        <x:v>Harris County, Texas</x:v>
      </x:c>
      <x:c r="B682" s="27" t="str">
        <x:v>48201451005</x:v>
      </x:c>
      <x:c r="C682" s="50" t="n">
        <x:v>1967</x:v>
      </x:c>
      <x:c r="D682" s="50" t="n">
        <x:v>347</x:v>
      </x:c>
      <x:c r="E682" s="50" t="n">
        <x:v>496</x:v>
      </x:c>
      <x:c r="F682" s="37" t="n">
        <x:v>0.17641077783426537</x:v>
      </x:c>
      <x:c r="G682" s="37" t="n">
        <x:v>0.2521606507371632</x:v>
      </x:c>
      <x:c r="H682" s="56" t="n">
        <x:v>2138.05</x:v>
      </x:c>
      <x:c r="I682" s="56" t="n">
        <x:v>0.116</x:v>
      </x:c>
      <x:c r="J682" s="56" t="n">
        <x:v>32.676921061800996</x:v>
      </x:c>
      <x:c r="K682" s="56" t="n">
        <x:v>79.01538159270149</x:v>
      </x:c>
      <x:c r="L682" s="56" t="n">
        <x:v>115.02197370385927</x:v>
      </x:c>
    </x:row>
    <x:row r="683" ht="32.400001525878906" hidden="0" customHeight="1">
      <x:c r="A683" s="29" t="str">
        <x:v>Harris County, Texas</x:v>
      </x:c>
      <x:c r="B683" s="29" t="str">
        <x:v>48201451006</x:v>
      </x:c>
      <x:c r="C683" s="51" t="n">
        <x:v>2465</x:v>
      </x:c>
      <x:c r="D683" s="51" t="n">
        <x:v>484</x:v>
      </x:c>
      <x:c r="E683" s="51" t="n">
        <x:v>315</x:v>
      </x:c>
      <x:c r="F683" s="38" t="n">
        <x:v>0.19634888438133874</x:v>
      </x:c>
      <x:c r="G683" s="38" t="n">
        <x:v>0.12778904665314403</x:v>
      </x:c>
      <x:c r="H683" s="57" t="n">
        <x:v>2665.8999999999996</x:v>
      </x:c>
      <x:c r="I683" s="57" t="n">
        <x:v>0.393</x:v>
      </x:c>
      <x:c r="J683" s="57" t="n">
        <x:v>32.213913967398724</x:v>
      </x:c>
      <x:c r="K683" s="57" t="n">
        <x:v>78.32087095109809</x:v>
      </x:c>
      <x:c r="L683" s="57" t="n">
        <x:v>114.02981564442584</x:v>
      </x:c>
    </x:row>
    <x:row r="684" ht="32.400001525878906" hidden="0" customHeight="1">
      <x:c r="A684" s="27" t="str">
        <x:v>Harris County, Texas</x:v>
      </x:c>
      <x:c r="B684" s="27" t="str">
        <x:v>48201451100</x:v>
      </x:c>
      <x:c r="C684" s="50" t="n">
        <x:v>3935</x:v>
      </x:c>
      <x:c r="D684" s="50" t="n">
        <x:v>349</x:v>
      </x:c>
      <x:c r="E684" s="50" t="n">
        <x:v>425</x:v>
      </x:c>
      <x:c r="F684" s="37" t="n">
        <x:v>0.08869123252858958</x:v>
      </x:c>
      <x:c r="G684" s="37" t="n">
        <x:v>0.10800508259212198</x:v>
      </x:c>
      <x:c r="H684" s="56" t="n">
        <x:v>4099.65</x:v>
      </x:c>
      <x:c r="I684" s="56" t="n">
        <x:v>0.922</x:v>
      </x:c>
      <x:c r="J684" s="56" t="n">
        <x:v>31.14342369995422</x:v>
      </x:c>
      <x:c r="K684" s="56" t="n">
        <x:v>76.71513554993133</x:v>
      </x:c>
      <x:c r="L684" s="56" t="n">
        <x:v>111.73590792847332</x:v>
      </x:c>
    </x:row>
    <x:row r="685" ht="32.400001525878906" hidden="0" customHeight="1">
      <x:c r="A685" s="29" t="str">
        <x:v>Harris County, Texas</x:v>
      </x:c>
      <x:c r="B685" s="29" t="str">
        <x:v>48201451200</x:v>
      </x:c>
      <x:c r="C685" s="51" t="n">
        <x:v>2770</x:v>
      </x:c>
      <x:c r="D685" s="51" t="n">
        <x:v>241</x:v>
      </x:c>
      <x:c r="E685" s="51" t="n">
        <x:v>8</x:v>
      </x:c>
      <x:c r="F685" s="38" t="n">
        <x:v>0.08700361010830325</x:v>
      </x:c>
      <x:c r="G685" s="38" t="n">
        <x:v>0.002888086642599278</x:v>
      </x:c>
      <x:c r="H685" s="57" t="n">
        <x:v>2855.1499999999996</x:v>
      </x:c>
      <x:c r="I685" s="57" t="n">
        <x:v>0.652</x:v>
      </x:c>
      <x:c r="J685" s="57" t="n">
        <x:v>29.29056025788521</x:v>
      </x:c>
      <x:c r="K685" s="57" t="n">
        <x:v>73.93584038682782</x:v>
      </x:c>
      <x:c r="L685" s="57" t="n">
        <x:v>107.76548626689689</x:v>
      </x:c>
    </x:row>
    <x:row r="686" ht="32.400001525878906" hidden="0" customHeight="1">
      <x:c r="A686" s="27" t="str">
        <x:v>Harris County, Texas</x:v>
      </x:c>
      <x:c r="B686" s="27" t="str">
        <x:v>48201451301</x:v>
      </x:c>
      <x:c r="C686" s="50" t="n">
        <x:v>4018</x:v>
      </x:c>
      <x:c r="D686" s="50" t="n">
        <x:v>358</x:v>
      </x:c>
      <x:c r="E686" s="50" t="n">
        <x:v>658.5</x:v>
      </x:c>
      <x:c r="F686" s="37" t="n">
        <x:v>0.08909905425584869</x:v>
      </x:c>
      <x:c r="G686" s="37" t="n">
        <x:v>0.163887506222001</x:v>
      </x:c>
      <x:c r="H686" s="56" t="n">
        <x:v>4209.15</x:v>
      </x:c>
      <x:c r="I686" s="56" t="n">
        <x:v>0.582</x:v>
      </x:c>
      <x:c r="J686" s="56" t="n">
        <x:v>30.06737957689243</x:v>
      </x:c>
      <x:c r="K686" s="56" t="n">
        <x:v>75.10106936533865</x:v>
      </x:c>
      <x:c r="L686" s="56" t="n">
        <x:v>109.43009909334093</x:v>
      </x:c>
    </x:row>
    <x:row r="687" ht="32.400001525878906" hidden="0" customHeight="1">
      <x:c r="A687" s="29" t="str">
        <x:v>Harris County, Texas</x:v>
      </x:c>
      <x:c r="B687" s="29" t="str">
        <x:v>48201451302</x:v>
      </x:c>
      <x:c r="C687" s="51" t="n">
        <x:v>3254</x:v>
      </x:c>
      <x:c r="D687" s="51" t="n">
        <x:v>333</x:v>
      </x:c>
      <x:c r="E687" s="51" t="n">
        <x:v>0</x:v>
      </x:c>
      <x:c r="F687" s="38" t="n">
        <x:v>0.10233558696988322</x:v>
      </x:c>
      <x:c r="G687" s="38" t="n">
        <x:v>0</x:v>
      </x:c>
      <x:c r="H687" s="57" t="n">
        <x:v>3370.5499999999997</x:v>
      </x:c>
      <x:c r="I687" s="57" t="n">
        <x:v>0.608</x:v>
      </x:c>
      <x:c r="J687" s="57" t="n">
        <x:v>29.790893232525338</x:v>
      </x:c>
      <x:c r="K687" s="57" t="n">
        <x:v>74.68633984878801</x:v>
      </x:c>
      <x:c r="L687" s="57" t="n">
        <x:v>108.83762835541144</x:v>
      </x:c>
    </x:row>
    <x:row r="688" ht="32.400001525878906" hidden="0" customHeight="1">
      <x:c r="A688" s="27" t="str">
        <x:v>Harris County, Texas</x:v>
      </x:c>
      <x:c r="B688" s="27" t="str">
        <x:v>48201451401</x:v>
      </x:c>
      <x:c r="C688" s="50" t="n">
        <x:v>3494</x:v>
      </x:c>
      <x:c r="D688" s="50" t="n">
        <x:v>445</x:v>
      </x:c>
      <x:c r="E688" s="50" t="n">
        <x:v>179</x:v>
      </x:c>
      <x:c r="F688" s="37" t="n">
        <x:v>0.12736119061247853</x:v>
      </x:c>
      <x:c r="G688" s="37" t="n">
        <x:v>0.051230681167716084</x:v>
      </x:c>
      <x:c r="H688" s="56" t="n">
        <x:v>3667.6499999999996</x:v>
      </x:c>
      <x:c r="I688" s="56" t="n">
        <x:v>0.419</x:v>
      </x:c>
      <x:c r="J688" s="56" t="n">
        <x:v>27.810696691686402</x:v>
      </x:c>
      <x:c r="K688" s="56" t="n">
        <x:v>71.7160450375296</x:v>
      </x:c>
      <x:c r="L688" s="56" t="n">
        <x:v>104.59435005361371</x:v>
      </x:c>
    </x:row>
    <x:row r="689" ht="32.400001525878906" hidden="0" customHeight="1">
      <x:c r="A689" s="29" t="str">
        <x:v>Harris County, Texas</x:v>
      </x:c>
      <x:c r="B689" s="29" t="str">
        <x:v>48201451404</x:v>
      </x:c>
      <x:c r="C689" s="51" t="n">
        <x:v>3643</x:v>
      </x:c>
      <x:c r="D689" s="51" t="n">
        <x:v>87</x:v>
      </x:c>
      <x:c r="E689" s="51" t="n">
        <x:v>350</x:v>
      </x:c>
      <x:c r="F689" s="38" t="n">
        <x:v>0.023881416415042548</x:v>
      </x:c>
      <x:c r="G689" s="38" t="n">
        <x:v>0.09607466373867692</x:v>
      </x:c>
      <x:c r="H689" s="57" t="n">
        <x:v>3708.45</x:v>
      </x:c>
      <x:c r="I689" s="57" t="n">
        <x:v>0.217</x:v>
      </x:c>
      <x:c r="J689" s="57" t="n">
        <x:v>26.710551065669016</x:v>
      </x:c>
      <x:c r="K689" s="57" t="n">
        <x:v>70.06582659850352</x:v>
      </x:c>
      <x:c r="L689" s="57" t="n">
        <x:v>102.23689514071933</x:v>
      </x:c>
    </x:row>
    <x:row r="690" ht="32.400001525878906" hidden="0" customHeight="1">
      <x:c r="A690" s="27" t="str">
        <x:v>Harris County, Texas</x:v>
      </x:c>
      <x:c r="B690" s="27" t="str">
        <x:v>48201451405</x:v>
      </x:c>
      <x:c r="C690" s="50" t="n">
        <x:v>2813</x:v>
      </x:c>
      <x:c r="D690" s="50" t="n">
        <x:v>336</x:v>
      </x:c>
      <x:c r="E690" s="50" t="n">
        <x:v>290</x:v>
      </x:c>
      <x:c r="F690" s="37" t="n">
        <x:v>0.11944543192321365</x:v>
      </x:c>
      <x:c r="G690" s="37" t="n">
        <x:v>0.10309278350515463</x:v>
      </x:c>
      <x:c r="H690" s="56" t="n">
        <x:v>2959.6000000000004</x:v>
      </x:c>
      <x:c r="I690" s="56" t="n">
        <x:v>0.239</x:v>
      </x:c>
      <x:c r="J690" s="56" t="n">
        <x:v>27.51282022627304</x:v>
      </x:c>
      <x:c r="K690" s="56" t="n">
        <x:v>71.26923033940956</x:v>
      </x:c>
      <x:c r="L690" s="56" t="n">
        <x:v>103.95604334201366</x:v>
      </x:c>
    </x:row>
    <x:row r="691" ht="32.400001525878906" hidden="0" customHeight="1">
      <x:c r="A691" s="29" t="str">
        <x:v>Harris County, Texas</x:v>
      </x:c>
      <x:c r="B691" s="29" t="str">
        <x:v>48201451406</x:v>
      </x:c>
      <x:c r="C691" s="51" t="n">
        <x:v>2444</x:v>
      </x:c>
      <x:c r="D691" s="51" t="n">
        <x:v>343</x:v>
      </x:c>
      <x:c r="E691" s="51" t="n">
        <x:v>140</x:v>
      </x:c>
      <x:c r="F691" s="38" t="n">
        <x:v>0.14034369885433715</x:v>
      </x:c>
      <x:c r="G691" s="38" t="n">
        <x:v>0.057283142389525366</x:v>
      </x:c>
      <x:c r="H691" s="57" t="n">
        <x:v>2578.0499999999997</x:v>
      </x:c>
      <x:c r="I691" s="57" t="n">
        <x:v>0.422</x:v>
      </x:c>
      <x:c r="J691" s="57" t="n">
        <x:v>28.579199456352622</x:v>
      </x:c>
      <x:c r="K691" s="57" t="n">
        <x:v>72.86879918452894</x:v>
      </x:c>
      <x:c r="L691" s="57" t="n">
        <x:v>106.24114169218419</x:v>
      </x:c>
    </x:row>
    <x:row r="692" ht="32.400001525878906" hidden="0" customHeight="1">
      <x:c r="A692" s="27" t="str">
        <x:v>Harris County, Texas</x:v>
      </x:c>
      <x:c r="B692" s="27" t="str">
        <x:v>48201451407</x:v>
      </x:c>
      <x:c r="C692" s="50" t="n">
        <x:v>1785</x:v>
      </x:c>
      <x:c r="D692" s="50" t="n">
        <x:v>250</x:v>
      </x:c>
      <x:c r="E692" s="50" t="n">
        <x:v>145</x:v>
      </x:c>
      <x:c r="F692" s="37" t="n">
        <x:v>0.1400560224089636</x:v>
      </x:c>
      <x:c r="G692" s="37" t="n">
        <x:v>0.08123249299719888</x:v>
      </x:c>
      <x:c r="H692" s="56" t="n">
        <x:v>1887</x:v>
      </x:c>
      <x:c r="I692" s="56" t="n">
        <x:v>0.103</x:v>
      </x:c>
      <x:c r="J692" s="56" t="n">
        <x:v>28.174512320440247</x:v>
      </x:c>
      <x:c r="K692" s="56" t="n">
        <x:v>72.26176848066036</x:v>
      </x:c>
      <x:c r="L692" s="56" t="n">
        <x:v>105.37395497237196</x:v>
      </x:c>
    </x:row>
    <x:row r="693" ht="32.400001525878906" hidden="0" customHeight="1">
      <x:c r="A693" s="29" t="str">
        <x:v>Harris County, Texas</x:v>
      </x:c>
      <x:c r="B693" s="29" t="str">
        <x:v>48201451501</x:v>
      </x:c>
      <x:c r="C693" s="51" t="n">
        <x:v>2984</x:v>
      </x:c>
      <x:c r="D693" s="51" t="n">
        <x:v>168</x:v>
      </x:c>
      <x:c r="E693" s="51" t="n">
        <x:v>59</x:v>
      </x:c>
      <x:c r="F693" s="38" t="n">
        <x:v>0.05630026809651475</x:v>
      </x:c>
      <x:c r="G693" s="38" t="n">
        <x:v>0.019772117962466487</x:v>
      </x:c>
      <x:c r="H693" s="57" t="n">
        <x:v>3048.7</x:v>
      </x:c>
      <x:c r="I693" s="57" t="n">
        <x:v>0.295</x:v>
      </x:c>
      <x:c r="J693" s="57" t="n">
        <x:v>25.97195961135518</x:v>
      </x:c>
      <x:c r="K693" s="57" t="n">
        <x:v>68.95793941703278</x:v>
      </x:c>
      <x:c r="L693" s="57" t="n">
        <x:v>100.65419916718967</x:v>
      </x:c>
    </x:row>
    <x:row r="694" ht="32.400001525878906" hidden="0" customHeight="1">
      <x:c r="A694" s="27" t="str">
        <x:v>Harris County, Texas</x:v>
      </x:c>
      <x:c r="B694" s="27" t="str">
        <x:v>48201451502</x:v>
      </x:c>
      <x:c r="C694" s="50" t="n">
        <x:v>2747</x:v>
      </x:c>
      <x:c r="D694" s="50" t="n">
        <x:v>323</x:v>
      </x:c>
      <x:c r="E694" s="50" t="n">
        <x:v>205</x:v>
      </x:c>
      <x:c r="F694" s="37" t="n">
        <x:v>0.11758281761922097</x:v>
      </x:c>
      <x:c r="G694" s="37" t="n">
        <x:v>0.07462686567164178</x:v>
      </x:c>
      <x:c r="H694" s="56" t="n">
        <x:v>2880.5499999999997</x:v>
      </x:c>
      <x:c r="I694" s="56" t="n">
        <x:v>0.471</x:v>
      </x:c>
      <x:c r="J694" s="56" t="n">
        <x:v>26.937559399380866</x:v>
      </x:c>
      <x:c r="K694" s="56" t="n">
        <x:v>70.4063390990713</x:v>
      </x:c>
      <x:c r="L694" s="56" t="n">
        <x:v>102.72334157010187</x:v>
      </x:c>
    </x:row>
    <x:row r="695" ht="32.400001525878906" hidden="0" customHeight="1">
      <x:c r="A695" s="29" t="str">
        <x:v>Harris County, Texas</x:v>
      </x:c>
      <x:c r="B695" s="29" t="str">
        <x:v>48201451603</x:v>
      </x:c>
      <x:c r="C695" s="51" t="n">
        <x:v>3301</x:v>
      </x:c>
      <x:c r="D695" s="51" t="n">
        <x:v>224</x:v>
      </x:c>
      <x:c r="E695" s="51" t="n">
        <x:v>128</x:v>
      </x:c>
      <x:c r="F695" s="38" t="n">
        <x:v>0.06785822478036958</x:v>
      </x:c>
      <x:c r="G695" s="38" t="n">
        <x:v>0.03877612844592548</x:v>
      </x:c>
      <x:c r="H695" s="57" t="n">
        <x:v>3392.2000000000003</x:v>
      </x:c>
      <x:c r="I695" s="57" t="n">
        <x:v>0.509</x:v>
      </x:c>
      <x:c r="J695" s="57" t="n">
        <x:v>24.785447401513746</x:v>
      </x:c>
      <x:c r="K695" s="57" t="n">
        <x:v>67.17817110227062</x:v>
      </x:c>
      <x:c r="L695" s="57" t="n">
        <x:v>98.11167300324374</x:v>
      </x:c>
    </x:row>
    <x:row r="696" ht="32.400001525878906" hidden="0" customHeight="1">
      <x:c r="A696" s="27" t="str">
        <x:v>Harris County, Texas</x:v>
      </x:c>
      <x:c r="B696" s="27" t="str">
        <x:v>48201451604</x:v>
      </x:c>
      <x:c r="C696" s="50" t="n">
        <x:v>3516</x:v>
      </x:c>
      <x:c r="D696" s="50" t="n">
        <x:v>433</x:v>
      </x:c>
      <x:c r="E696" s="50" t="n">
        <x:v>147</x:v>
      </x:c>
      <x:c r="F696" s="37" t="n">
        <x:v>0.12315130830489192</x:v>
      </x:c>
      <x:c r="G696" s="37" t="n">
        <x:v>0.041808873720136516</x:v>
      </x:c>
      <x:c r="H696" s="56" t="n">
        <x:v>3682.25</x:v>
      </x:c>
      <x:c r="I696" s="56" t="n">
        <x:v>0.774</x:v>
      </x:c>
      <x:c r="J696" s="56" t="n">
        <x:v>24.19799291127909</x:v>
      </x:c>
      <x:c r="K696" s="56" t="n">
        <x:v>66.29698936691864</x:v>
      </x:c>
      <x:c r="L696" s="56" t="n">
        <x:v>96.8528419527409</x:v>
      </x:c>
    </x:row>
    <x:row r="697" ht="32.400001525878906" hidden="0" customHeight="1">
      <x:c r="A697" s="29" t="str">
        <x:v>Harris County, Texas</x:v>
      </x:c>
      <x:c r="B697" s="29" t="str">
        <x:v>48201451605</x:v>
      </x:c>
      <x:c r="C697" s="51" t="n">
        <x:v>3156</x:v>
      </x:c>
      <x:c r="D697" s="51" t="n">
        <x:v>275</x:v>
      </x:c>
      <x:c r="E697" s="51" t="n">
        <x:v>0</x:v>
      </x:c>
      <x:c r="F697" s="38" t="n">
        <x:v>0.08713561470215463</x:v>
      </x:c>
      <x:c r="G697" s="38" t="n">
        <x:v>0</x:v>
      </x:c>
      <x:c r="H697" s="57" t="n">
        <x:v>3252.25</x:v>
      </x:c>
      <x:c r="I697" s="57" t="n">
        <x:v>0.34</x:v>
      </x:c>
      <x:c r="J697" s="57" t="n">
        <x:v>26.373773002559844</x:v>
      </x:c>
      <x:c r="K697" s="57" t="n">
        <x:v>69.56065950383976</x:v>
      </x:c>
      <x:c r="L697" s="57" t="n">
        <x:v>101.51522786262824</x:v>
      </x:c>
    </x:row>
    <x:row r="698" ht="32.400001525878906" hidden="0" customHeight="1">
      <x:c r="A698" s="27" t="str">
        <x:v>Harris County, Texas</x:v>
      </x:c>
      <x:c r="B698" s="27" t="str">
        <x:v>48201451606</x:v>
      </x:c>
      <x:c r="C698" s="50" t="n">
        <x:v>6423</x:v>
      </x:c>
      <x:c r="D698" s="50" t="n">
        <x:v>261</x:v>
      </x:c>
      <x:c r="E698" s="50" t="n">
        <x:v>120</x:v>
      </x:c>
      <x:c r="F698" s="37" t="n">
        <x:v>0.0406352171882298</x:v>
      </x:c>
      <x:c r="G698" s="37" t="n">
        <x:v>0.018682858477347034</x:v>
      </x:c>
      <x:c r="H698" s="56" t="n">
        <x:v>6526.350000000001</x:v>
      </x:c>
      <x:c r="I698" s="56" t="n">
        <x:v>1.309</x:v>
      </x:c>
      <x:c r="J698" s="56" t="n">
        <x:v>25.51187357886372</x:v>
      </x:c>
      <x:c r="K698" s="56" t="n">
        <x:v>68.26781036829559</x:v>
      </x:c>
      <x:c r="L698" s="56" t="n">
        <x:v>99.66830052613653</x:v>
      </x:c>
    </x:row>
    <x:row r="699" ht="32.400001525878906" hidden="0" customHeight="1">
      <x:c r="A699" s="29" t="str">
        <x:v>Harris County, Texas</x:v>
      </x:c>
      <x:c r="B699" s="29" t="str">
        <x:v>48201451700</x:v>
      </x:c>
      <x:c r="C699" s="51" t="n">
        <x:v>4962</x:v>
      </x:c>
      <x:c r="D699" s="51" t="n">
        <x:v>216</x:v>
      </x:c>
      <x:c r="E699" s="51" t="n">
        <x:v>126</x:v>
      </x:c>
      <x:c r="F699" s="38" t="n">
        <x:v>0.04353083434099154</x:v>
      </x:c>
      <x:c r="G699" s="38" t="n">
        <x:v>0.02539298669891173</x:v>
      </x:c>
      <x:c r="H699" s="57" t="n">
        <x:v>5050.2</x:v>
      </x:c>
      <x:c r="I699" s="57" t="n">
        <x:v>0.675</x:v>
      </x:c>
      <x:c r="J699" s="57" t="n">
        <x:v>26.958436009766565</x:v>
      </x:c>
      <x:c r="K699" s="57" t="n">
        <x:v>70.43765401464985</x:v>
      </x:c>
      <x:c r="L699" s="57" t="n">
        <x:v>102.7680771637855</x:v>
      </x:c>
    </x:row>
    <x:row r="700" ht="32.400001525878906" hidden="0" customHeight="1">
      <x:c r="A700" s="27" t="str">
        <x:v>Harris County, Texas</x:v>
      </x:c>
      <x:c r="B700" s="27" t="str">
        <x:v>48201451800</x:v>
      </x:c>
      <x:c r="C700" s="50" t="n">
        <x:v>5758</x:v>
      </x:c>
      <x:c r="D700" s="50" t="n">
        <x:v>836</x:v>
      </x:c>
      <x:c r="E700" s="50" t="n">
        <x:v>295.5</x:v>
      </x:c>
      <x:c r="F700" s="37" t="n">
        <x:v>0.145189301840917</x:v>
      </x:c>
      <x:c r="G700" s="37" t="n">
        <x:v>0.051319902744008335</x:v>
      </x:c>
      <x:c r="H700" s="56" t="n">
        <x:v>6080.150000000001</x:v>
      </x:c>
      <x:c r="I700" s="56" t="n">
        <x:v>1.829</x:v>
      </x:c>
      <x:c r="J700" s="56" t="n">
        <x:v>28.106799235158825</x:v>
      </x:c>
      <x:c r="K700" s="56" t="n">
        <x:v>72.16019885273823</x:v>
      </x:c>
      <x:c r="L700" s="56" t="n">
        <x:v>105.22885550391177</x:v>
      </x:c>
    </x:row>
    <x:row r="701" ht="32.400001525878906" hidden="0" customHeight="1">
      <x:c r="A701" s="29" t="str">
        <x:v>Harris County, Texas</x:v>
      </x:c>
      <x:c r="B701" s="29" t="str">
        <x:v>48201451902</x:v>
      </x:c>
      <x:c r="C701" s="51" t="n">
        <x:v>2520</x:v>
      </x:c>
      <x:c r="D701" s="51" t="n">
        <x:v>272</x:v>
      </x:c>
      <x:c r="E701" s="51" t="n">
        <x:v>19</x:v>
      </x:c>
      <x:c r="F701" s="38" t="n">
        <x:v>0.10793650793650794</x:v>
      </x:c>
      <x:c r="G701" s="38" t="n">
        <x:v>0.00753968253968254</x:v>
      </x:c>
      <x:c r="H701" s="57" t="n">
        <x:v>2617.1</x:v>
      </x:c>
      <x:c r="I701" s="57" t="n">
        <x:v>0.794</x:v>
      </x:c>
      <x:c r="J701" s="57" t="n">
        <x:v>31.49873939172051</x:v>
      </x:c>
      <x:c r="K701" s="57" t="n">
        <x:v>77.24810908758076</x:v>
      </x:c>
      <x:c r="L701" s="57" t="n">
        <x:v>112.49729869654395</x:v>
      </x:c>
    </x:row>
    <x:row r="702" ht="32.400001525878906" hidden="0" customHeight="1">
      <x:c r="A702" s="27" t="str">
        <x:v>Harris County, Texas</x:v>
      </x:c>
      <x:c r="B702" s="27" t="str">
        <x:v>48201451903</x:v>
      </x:c>
      <x:c r="C702" s="50" t="n">
        <x:v>3846</x:v>
      </x:c>
      <x:c r="D702" s="50" t="n">
        <x:v>406</x:v>
      </x:c>
      <x:c r="E702" s="50" t="n">
        <x:v>929.5</x:v>
      </x:c>
      <x:c r="F702" s="37" t="n">
        <x:v>0.10556422256890276</x:v>
      </x:c>
      <x:c r="G702" s="37" t="n">
        <x:v>0.24167966718668746</x:v>
      </x:c>
      <x:c r="H702" s="56" t="n">
        <x:v>4081.0499999999997</x:v>
      </x:c>
      <x:c r="I702" s="56" t="n">
        <x:v>0.224</x:v>
      </x:c>
      <x:c r="J702" s="56" t="n">
        <x:v>30.848672220506682</x:v>
      </x:c>
      <x:c r="K702" s="56" t="n">
        <x:v>76.27300833076002</x:v>
      </x:c>
      <x:c r="L702" s="56" t="n">
        <x:v>111.10429761537146</x:v>
      </x:c>
    </x:row>
    <x:row r="703" ht="32.400001525878906" hidden="0" customHeight="1">
      <x:c r="A703" s="29" t="str">
        <x:v>Harris County, Texas</x:v>
      </x:c>
      <x:c r="B703" s="29" t="str">
        <x:v>48201451904</x:v>
      </x:c>
      <x:c r="C703" s="51" t="n">
        <x:v>3540</x:v>
      </x:c>
      <x:c r="D703" s="51" t="n">
        <x:v>606</x:v>
      </x:c>
      <x:c r="E703" s="51" t="n">
        <x:v>0</x:v>
      </x:c>
      <x:c r="F703" s="38" t="n">
        <x:v>0.1711864406779661</x:v>
      </x:c>
      <x:c r="G703" s="38" t="n">
        <x:v>0</x:v>
      </x:c>
      <x:c r="H703" s="57" t="n">
        <x:v>3752.1</x:v>
      </x:c>
      <x:c r="I703" s="57" t="n">
        <x:v>0.577</x:v>
      </x:c>
      <x:c r="J703" s="57" t="n">
        <x:v>29.92058095886399</x:v>
      </x:c>
      <x:c r="K703" s="57" t="n">
        <x:v>74.88087143829598</x:v>
      </x:c>
      <x:c r="L703" s="57" t="n">
        <x:v>109.11553062613713</x:v>
      </x:c>
    </x:row>
    <x:row r="704" ht="32.400001525878906" hidden="0" customHeight="1">
      <x:c r="A704" s="27" t="str">
        <x:v>Harris County, Texas</x:v>
      </x:c>
      <x:c r="B704" s="27" t="str">
        <x:v>48201452001</x:v>
      </x:c>
      <x:c r="C704" s="50" t="n">
        <x:v>6370</x:v>
      </x:c>
      <x:c r="D704" s="50" t="n">
        <x:v>743</x:v>
      </x:c>
      <x:c r="E704" s="50" t="n">
        <x:v>129</x:v>
      </x:c>
      <x:c r="F704" s="37" t="n">
        <x:v>0.11664050235478807</x:v>
      </x:c>
      <x:c r="G704" s="37" t="n">
        <x:v>0.020251177394034536</x:v>
      </x:c>
      <x:c r="H704" s="56" t="n">
        <x:v>6642.950000000001</x:v>
      </x:c>
      <x:c r="I704" s="56" t="n">
        <x:v>0.418</x:v>
      </x:c>
      <x:c r="J704" s="56" t="n">
        <x:v>29.121949390594292</x:v>
      </x:c>
      <x:c r="K704" s="56" t="n">
        <x:v>73.68292408589144</x:v>
      </x:c>
      <x:c r="L704" s="56" t="n">
        <x:v>107.4041772655592</x:v>
      </x:c>
    </x:row>
    <x:row r="705" ht="32.400001525878906" hidden="0" customHeight="1">
      <x:c r="A705" s="29" t="str">
        <x:v>Harris County, Texas</x:v>
      </x:c>
      <x:c r="B705" s="29" t="str">
        <x:v>48201452002</x:v>
      </x:c>
      <x:c r="C705" s="51" t="n">
        <x:v>3562</x:v>
      </x:c>
      <x:c r="D705" s="51" t="n">
        <x:v>659</x:v>
      </x:c>
      <x:c r="E705" s="51" t="n">
        <x:v>360</x:v>
      </x:c>
      <x:c r="F705" s="38" t="n">
        <x:v>0.1850084222346996</x:v>
      </x:c>
      <x:c r="G705" s="38" t="n">
        <x:v>0.10106681639528355</x:v>
      </x:c>
      <x:c r="H705" s="57" t="n">
        <x:v>3828.65</x:v>
      </x:c>
      <x:c r="I705" s="57" t="n">
        <x:v>0.338</x:v>
      </x:c>
      <x:c r="J705" s="57" t="n">
        <x:v>30.368613752637046</x:v>
      </x:c>
      <x:c r="K705" s="57" t="n">
        <x:v>75.55292062895558</x:v>
      </x:c>
      <x:c r="L705" s="57" t="n">
        <x:v>110.07560089850796</x:v>
      </x:c>
    </x:row>
    <x:row r="706" ht="32.400001525878906" hidden="0" customHeight="1">
      <x:c r="A706" s="27" t="str">
        <x:v>Harris County, Texas</x:v>
      </x:c>
      <x:c r="B706" s="27" t="str">
        <x:v>48201452101</x:v>
      </x:c>
      <x:c r="C706" s="50" t="n">
        <x:v>6997</x:v>
      </x:c>
      <x:c r="D706" s="50" t="n">
        <x:v>1081</x:v>
      </x:c>
      <x:c r="E706" s="50" t="n">
        <x:v>255</x:v>
      </x:c>
      <x:c r="F706" s="37" t="n">
        <x:v>0.1544947834786337</x:v>
      </x:c>
      <x:c r="G706" s="37" t="n">
        <x:v>0.036444190367300275</x:v>
      </x:c>
      <x:c r="H706" s="56" t="n">
        <x:v>7400.849999999999</x:v>
      </x:c>
      <x:c r="I706" s="56" t="n">
        <x:v>1.417</x:v>
      </x:c>
      <x:c r="J706" s="56" t="n">
        <x:v>32.575271237734135</x:v>
      </x:c>
      <x:c r="K706" s="56" t="n">
        <x:v>78.8629068566012</x:v>
      </x:c>
      <x:c r="L706" s="56" t="n">
        <x:v>114.80415265228744</x:v>
      </x:c>
    </x:row>
    <x:row r="707" ht="32.400001525878906" hidden="0" customHeight="1">
      <x:c r="A707" s="29" t="str">
        <x:v>Harris County, Texas</x:v>
      </x:c>
      <x:c r="B707" s="29" t="str">
        <x:v>48201452102</x:v>
      </x:c>
      <x:c r="C707" s="51" t="n">
        <x:v>1818</x:v>
      </x:c>
      <x:c r="D707" s="51" t="n">
        <x:v>76</x:v>
      </x:c>
      <x:c r="E707" s="51" t="n">
        <x:v>99</x:v>
      </x:c>
      <x:c r="F707" s="38" t="n">
        <x:v>0.041804180418041806</x:v>
      </x:c>
      <x:c r="G707" s="38" t="n">
        <x:v>0.054455445544554455</x:v>
      </x:c>
      <x:c r="H707" s="57" t="n">
        <x:v>1854.5000000000002</x:v>
      </x:c>
      <x:c r="I707" s="57" t="n">
        <x:v>0.074</x:v>
      </x:c>
      <x:c r="J707" s="57" t="n">
        <x:v>32.58269697389167</x:v>
      </x:c>
      <x:c r="K707" s="57" t="n">
        <x:v>78.87404546083751</x:v>
      </x:c>
      <x:c r="L707" s="57" t="n">
        <x:v>114.82006494405358</x:v>
      </x:c>
    </x:row>
    <x:row r="708" ht="32.400001525878906" hidden="0" customHeight="1">
      <x:c r="A708" s="27" t="str">
        <x:v>Harris County, Texas</x:v>
      </x:c>
      <x:c r="B708" s="27" t="str">
        <x:v>48201452103</x:v>
      </x:c>
      <x:c r="C708" s="50" t="n">
        <x:v>2513</x:v>
      </x:c>
      <x:c r="D708" s="50" t="n">
        <x:v>141</x:v>
      </x:c>
      <x:c r="E708" s="50" t="n">
        <x:v>105</x:v>
      </x:c>
      <x:c r="F708" s="37" t="n">
        <x:v>0.05610823716673299</x:v>
      </x:c>
      <x:c r="G708" s="37" t="n">
        <x:v>0.04178272980501393</x:v>
      </x:c>
      <x:c r="H708" s="56" t="n">
        <x:v>2572.85</x:v>
      </x:c>
      <x:c r="I708" s="56" t="n">
        <x:v>0.249</x:v>
      </x:c>
      <x:c r="J708" s="56" t="n">
        <x:v>31.990725993925818</x:v>
      </x:c>
      <x:c r="K708" s="56" t="n">
        <x:v>77.98608899088873</x:v>
      </x:c>
      <x:c r="L708" s="56" t="n">
        <x:v>113.5515557012696</x:v>
      </x:c>
    </x:row>
    <x:row r="709" ht="32.400001525878906" hidden="0" customHeight="1">
      <x:c r="A709" s="29" t="str">
        <x:v>Harris County, Texas</x:v>
      </x:c>
      <x:c r="B709" s="29" t="str">
        <x:v>48201452202</x:v>
      </x:c>
      <x:c r="C709" s="51" t="n">
        <x:v>3110</x:v>
      </x:c>
      <x:c r="D709" s="51" t="n">
        <x:v>327</x:v>
      </x:c>
      <x:c r="E709" s="51" t="n">
        <x:v>353</x:v>
      </x:c>
      <x:c r="F709" s="38" t="n">
        <x:v>0.10514469453376206</x:v>
      </x:c>
      <x:c r="G709" s="38" t="n">
        <x:v>0.11350482315112541</x:v>
      </x:c>
      <x:c r="H709" s="57" t="n">
        <x:v>3259.7499999999995</x:v>
      </x:c>
      <x:c r="I709" s="57" t="n">
        <x:v>0.578</x:v>
      </x:c>
      <x:c r="J709" s="57" t="n">
        <x:v>30.06908647046097</x:v>
      </x:c>
      <x:c r="K709" s="57" t="n">
        <x:v>75.10362970569146</x:v>
      </x:c>
      <x:c r="L709" s="57" t="n">
        <x:v>109.43375672241636</x:v>
      </x:c>
    </x:row>
    <x:row r="710" ht="32.400001525878906" hidden="0" customHeight="1">
      <x:c r="A710" s="27" t="str">
        <x:v>Harris County, Texas</x:v>
      </x:c>
      <x:c r="B710" s="27" t="str">
        <x:v>48201452203</x:v>
      </x:c>
      <x:c r="C710" s="50" t="n">
        <x:v>2195</x:v>
      </x:c>
      <x:c r="D710" s="50" t="n">
        <x:v>480</x:v>
      </x:c>
      <x:c r="E710" s="50" t="n">
        <x:v>340</x:v>
      </x:c>
      <x:c r="F710" s="37" t="n">
        <x:v>0.21867881548974943</x:v>
      </x:c>
      <x:c r="G710" s="37" t="n">
        <x:v>0.1548974943052392</x:v>
      </x:c>
      <x:c r="H710" s="56" t="n">
        <x:v>2397</x:v>
      </x:c>
      <x:c r="I710" s="56" t="n">
        <x:v>0.307</x:v>
      </x:c>
      <x:c r="J710" s="56" t="n">
        <x:v>30.677696601173018</x:v>
      </x:c>
      <x:c r="K710" s="56" t="n">
        <x:v>76.01654490175953</x:v>
      </x:c>
      <x:c r="L710" s="56" t="n">
        <x:v>110.7379212882279</x:v>
      </x:c>
    </x:row>
    <x:row r="711" ht="32.400001525878906" hidden="0" customHeight="1">
      <x:c r="A711" s="29" t="str">
        <x:v>Harris County, Texas</x:v>
      </x:c>
      <x:c r="B711" s="29" t="str">
        <x:v>48201452204</x:v>
      </x:c>
      <x:c r="C711" s="51" t="n">
        <x:v>2414</x:v>
      </x:c>
      <x:c r="D711" s="51" t="n">
        <x:v>269</x:v>
      </x:c>
      <x:c r="E711" s="51" t="n">
        <x:v>340.5</x:v>
      </x:c>
      <x:c r="F711" s="38" t="n">
        <x:v>0.11143330571665286</x:v>
      </x:c>
      <x:c r="G711" s="38" t="n">
        <x:v>0.14105219552609777</x:v>
      </x:c>
      <x:c r="H711" s="57" t="n">
        <x:v>2542.2</x:v>
      </x:c>
      <x:c r="I711" s="57" t="n">
        <x:v>0.219</x:v>
      </x:c>
      <x:c r="J711" s="57" t="n">
        <x:v>31.43293383836342</x:v>
      </x:c>
      <x:c r="K711" s="57" t="n">
        <x:v>77.14940075754514</x:v>
      </x:c>
      <x:c r="L711" s="57" t="n">
        <x:v>112.35628679649305</x:v>
      </x:c>
    </x:row>
    <x:row r="712" ht="32.400001525878906" hidden="0" customHeight="1">
      <x:c r="A712" s="27" t="str">
        <x:v>Harris County, Texas</x:v>
      </x:c>
      <x:c r="B712" s="27" t="str">
        <x:v>48201452300</x:v>
      </x:c>
      <x:c r="C712" s="50" t="n">
        <x:v>2216</x:v>
      </x:c>
      <x:c r="D712" s="50" t="n">
        <x:v>356</x:v>
      </x:c>
      <x:c r="E712" s="50" t="n">
        <x:v>63</x:v>
      </x:c>
      <x:c r="F712" s="37" t="n">
        <x:v>0.16064981949458484</x:v>
      </x:c>
      <x:c r="G712" s="37" t="n">
        <x:v>0.028429602888086644</x:v>
      </x:c>
      <x:c r="H712" s="56" t="n">
        <x:v>2346.9</x:v>
      </x:c>
      <x:c r="I712" s="56" t="n">
        <x:v>0.776</x:v>
      </x:c>
      <x:c r="J712" s="56" t="n">
        <x:v>28.778260718225333</x:v>
      </x:c>
      <x:c r="K712" s="56" t="n">
        <x:v>73.167391077338</x:v>
      </x:c>
      <x:c r="L712" s="56" t="n">
        <x:v>106.66770153905429</x:v>
      </x:c>
    </x:row>
    <x:row r="713" ht="32.400001525878906" hidden="0" customHeight="1">
      <x:c r="A713" s="29" t="str">
        <x:v>Harris County, Texas</x:v>
      </x:c>
      <x:c r="B713" s="29" t="str">
        <x:v>48201452401</x:v>
      </x:c>
      <x:c r="C713" s="51" t="n">
        <x:v>3187</x:v>
      </x:c>
      <x:c r="D713" s="51" t="n">
        <x:v>491</x:v>
      </x:c>
      <x:c r="E713" s="51" t="n">
        <x:v>0</x:v>
      </x:c>
      <x:c r="F713" s="38" t="n">
        <x:v>0.1540633824913712</x:v>
      </x:c>
      <x:c r="G713" s="38" t="n">
        <x:v>0</x:v>
      </x:c>
      <x:c r="H713" s="57" t="n">
        <x:v>3358.85</x:v>
      </x:c>
      <x:c r="I713" s="57" t="n">
        <x:v>0.341</x:v>
      </x:c>
      <x:c r="J713" s="57" t="n">
        <x:v>30.80601276065745</x:v>
      </x:c>
      <x:c r="K713" s="57" t="n">
        <x:v>76.20901914098617</x:v>
      </x:c>
      <x:c r="L713" s="57" t="n">
        <x:v>111.0128844871231</x:v>
      </x:c>
    </x:row>
    <x:row r="714" ht="32.400001525878906" hidden="0" customHeight="1">
      <x:c r="A714" s="27" t="str">
        <x:v>Harris County, Texas</x:v>
      </x:c>
      <x:c r="B714" s="27" t="str">
        <x:v>48201452402</x:v>
      </x:c>
      <x:c r="C714" s="50" t="n">
        <x:v>3887</x:v>
      </x:c>
      <x:c r="D714" s="50" t="n">
        <x:v>550</x:v>
      </x:c>
      <x:c r="E714" s="50" t="n">
        <x:v>237.5</x:v>
      </x:c>
      <x:c r="F714" s="37" t="n">
        <x:v>0.14149729868793415</x:v>
      </x:c>
      <x:c r="G714" s="37" t="n">
        <x:v>0.061101106251607924</x:v>
      </x:c>
      <x:c r="H714" s="56" t="n">
        <x:v>4103.25</x:v>
      </x:c>
      <x:c r="I714" s="56" t="n">
        <x:v>0.528</x:v>
      </x:c>
      <x:c r="J714" s="56" t="n">
        <x:v>30.47216901322194</x:v>
      </x:c>
      <x:c r="K714" s="56" t="n">
        <x:v>75.70825351983291</x:v>
      </x:c>
      <x:c r="L714" s="56" t="n">
        <x:v>110.29750502833272</x:v>
      </x:c>
    </x:row>
    <x:row r="715" ht="32.400001525878906" hidden="0" customHeight="1">
      <x:c r="A715" s="29" t="str">
        <x:v>Harris County, Texas</x:v>
      </x:c>
      <x:c r="B715" s="29" t="str">
        <x:v>48201452501</x:v>
      </x:c>
      <x:c r="C715" s="51" t="n">
        <x:v>2479</x:v>
      </x:c>
      <x:c r="D715" s="51" t="n">
        <x:v>387</x:v>
      </x:c>
      <x:c r="E715" s="51" t="n">
        <x:v>73</x:v>
      </x:c>
      <x:c r="F715" s="38" t="n">
        <x:v>0.15611133521581283</x:v>
      </x:c>
      <x:c r="G715" s="38" t="n">
        <x:v>0.02944735780556676</x:v>
      </x:c>
      <x:c r="H715" s="57" t="n">
        <x:v>2621.7500000000005</x:v>
      </x:c>
      <x:c r="I715" s="57" t="n">
        <x:v>0.786</x:v>
      </x:c>
      <x:c r="J715" s="57" t="n">
        <x:v>32.21863650356435</x:v>
      </x:c>
      <x:c r="K715" s="57" t="n">
        <x:v>78.32795475534652</x:v>
      </x:c>
      <x:c r="L715" s="57" t="n">
        <x:v>114.03993536478075</x:v>
      </x:c>
    </x:row>
    <x:row r="716" ht="32.400001525878906" hidden="0" customHeight="1">
      <x:c r="A716" s="27" t="str">
        <x:v>Harris County, Texas</x:v>
      </x:c>
      <x:c r="B716" s="27" t="str">
        <x:v>48201452502</x:v>
      </x:c>
      <x:c r="C716" s="50" t="n">
        <x:v>4498</x:v>
      </x:c>
      <x:c r="D716" s="50" t="n">
        <x:v>760</x:v>
      </x:c>
      <x:c r="E716" s="50" t="n">
        <x:v>250</x:v>
      </x:c>
      <x:c r="F716" s="37" t="n">
        <x:v>0.16896398399288573</x:v>
      </x:c>
      <x:c r="G716" s="37" t="n">
        <x:v>0.05558025789239662</x:v>
      </x:c>
      <x:c r="H716" s="56" t="n">
        <x:v>4788.999999999999</x:v>
      </x:c>
      <x:c r="I716" s="56" t="n">
        <x:v>0.437</x:v>
      </x:c>
      <x:c r="J716" s="56" t="n">
        <x:v>31.57348343551432</x:v>
      </x:c>
      <x:c r="K716" s="56" t="n">
        <x:v>77.36022515327147</x:v>
      </x:c>
      <x:c r="L716" s="56" t="n">
        <x:v>112.65746450467354</x:v>
      </x:c>
    </x:row>
    <x:row r="717" ht="32.400001525878906" hidden="0" customHeight="1">
      <x:c r="A717" s="29" t="str">
        <x:v>Harris County, Texas</x:v>
      </x:c>
      <x:c r="B717" s="29" t="str">
        <x:v>48201452601</x:v>
      </x:c>
      <x:c r="C717" s="51" t="n">
        <x:v>5351</x:v>
      </x:c>
      <x:c r="D717" s="51" t="n">
        <x:v>518</x:v>
      </x:c>
      <x:c r="E717" s="51" t="n">
        <x:v>973</x:v>
      </x:c>
      <x:c r="F717" s="38" t="n">
        <x:v>0.09680433563819847</x:v>
      </x:c>
      <x:c r="G717" s="38" t="n">
        <x:v>0.1818351709960755</x:v>
      </x:c>
      <x:c r="H717" s="57" t="n">
        <x:v>5629.600000000001</x:v>
      </x:c>
      <x:c r="I717" s="57" t="n">
        <x:v>0.293</x:v>
      </x:c>
      <x:c r="J717" s="57" t="n">
        <x:v>28.7412917299629</x:v>
      </x:c>
      <x:c r="K717" s="57" t="n">
        <x:v>73.11193759494435</x:v>
      </x:c>
      <x:c r="L717" s="57" t="n">
        <x:v>106.58848227849194</x:v>
      </x:c>
    </x:row>
    <x:row r="718" ht="32.400001525878906" hidden="0" customHeight="1">
      <x:c r="A718" s="27" t="str">
        <x:v>Harris County, Texas</x:v>
      </x:c>
      <x:c r="B718" s="27" t="str">
        <x:v>48201452602</x:v>
      </x:c>
      <x:c r="C718" s="50" t="n">
        <x:v>2929</x:v>
      </x:c>
      <x:c r="D718" s="50" t="n">
        <x:v>586</x:v>
      </x:c>
      <x:c r="E718" s="50" t="n">
        <x:v>292</x:v>
      </x:c>
      <x:c r="F718" s="37" t="n">
        <x:v>0.200068282690338</x:v>
      </x:c>
      <x:c r="G718" s="37" t="n">
        <x:v>0.09969272789347901</x:v>
      </x:c>
      <x:c r="H718" s="56" t="n">
        <x:v>3163.2999999999997</x:v>
      </x:c>
      <x:c r="I718" s="56" t="n">
        <x:v>0.724</x:v>
      </x:c>
      <x:c r="J718" s="56" t="n">
        <x:v>30.14786742802569</x:v>
      </x:c>
      <x:c r="K718" s="56" t="n">
        <x:v>75.22180114203854</x:v>
      </x:c>
      <x:c r="L718" s="56" t="n">
        <x:v>109.60257306005505</x:v>
      </x:c>
    </x:row>
    <x:row r="719" ht="32.400001525878906" hidden="0" customHeight="1">
      <x:c r="A719" s="29" t="str">
        <x:v>Harris County, Texas</x:v>
      </x:c>
      <x:c r="B719" s="29" t="str">
        <x:v>48201452701</x:v>
      </x:c>
      <x:c r="C719" s="51" t="n">
        <x:v>4022</x:v>
      </x:c>
      <x:c r="D719" s="51" t="n">
        <x:v>428</x:v>
      </x:c>
      <x:c r="E719" s="51" t="n">
        <x:v>35</x:v>
      </x:c>
      <x:c r="F719" s="38" t="n">
        <x:v>0.10641471904525111</x:v>
      </x:c>
      <x:c r="G719" s="38" t="n">
        <x:v>0.00870213823968175</x:v>
      </x:c>
      <x:c r="H719" s="57" t="n">
        <x:v>4175.3</x:v>
      </x:c>
      <x:c r="I719" s="57" t="n">
        <x:v>0.551</x:v>
      </x:c>
      <x:c r="J719" s="57" t="n">
        <x:v>31.8327271185611</x:v>
      </x:c>
      <x:c r="K719" s="57" t="n">
        <x:v>77.74909067784165</x:v>
      </x:c>
      <x:c r="L719" s="57" t="n">
        <x:v>113.21298668263093</x:v>
      </x:c>
    </x:row>
    <x:row r="720" ht="32.400001525878906" hidden="0" customHeight="1">
      <x:c r="A720" s="27" t="str">
        <x:v>Harris County, Texas</x:v>
      </x:c>
      <x:c r="B720" s="27" t="str">
        <x:v>48201452702</x:v>
      </x:c>
      <x:c r="C720" s="50" t="n">
        <x:v>4187</x:v>
      </x:c>
      <x:c r="D720" s="50" t="n">
        <x:v>929</x:v>
      </x:c>
      <x:c r="E720" s="50" t="n">
        <x:v>569</x:v>
      </x:c>
      <x:c r="F720" s="37" t="n">
        <x:v>0.22187723907332219</x:v>
      </x:c>
      <x:c r="G720" s="37" t="n">
        <x:v>0.1358968235013136</x:v>
      </x:c>
      <x:c r="H720" s="56" t="n">
        <x:v>4569.05</x:v>
      </x:c>
      <x:c r="I720" s="56" t="n">
        <x:v>0.682</x:v>
      </x:c>
      <x:c r="J720" s="56" t="n">
        <x:v>30.79682789834666</x:v>
      </x:c>
      <x:c r="K720" s="56" t="n">
        <x:v>76.19524184752</x:v>
      </x:c>
      <x:c r="L720" s="56" t="n">
        <x:v>110.99320263931428</x:v>
      </x:c>
    </x:row>
    <x:row r="721" ht="32.400001525878906" hidden="0" customHeight="1">
      <x:c r="A721" s="29" t="str">
        <x:v>Harris County, Texas</x:v>
      </x:c>
      <x:c r="B721" s="29" t="str">
        <x:v>48201452703</x:v>
      </x:c>
      <x:c r="C721" s="51" t="n">
        <x:v>4034</x:v>
      </x:c>
      <x:c r="D721" s="51" t="n">
        <x:v>227</x:v>
      </x:c>
      <x:c r="E721" s="51" t="n">
        <x:v>239.5</x:v>
      </x:c>
      <x:c r="F721" s="38" t="n">
        <x:v>0.05627169062964799</x:v>
      </x:c>
      <x:c r="G721" s="38" t="n">
        <x:v>0.05937035200793257</x:v>
      </x:c>
      <x:c r="H721" s="57" t="n">
        <x:v>4137.400000000001</x:v>
      </x:c>
      <x:c r="I721" s="57" t="n">
        <x:v>0.548</x:v>
      </x:c>
      <x:c r="J721" s="57" t="n">
        <x:v>29.865691434414476</x:v>
      </x:c>
      <x:c r="K721" s="57" t="n">
        <x:v>74.79853715162172</x:v>
      </x:c>
      <x:c r="L721" s="57" t="n">
        <x:v>108.99791021660245</x:v>
      </x:c>
    </x:row>
    <x:row r="722" ht="32.400001525878906" hidden="0" customHeight="1">
      <x:c r="A722" s="27" t="str">
        <x:v>Harris County, Texas</x:v>
      </x:c>
      <x:c r="B722" s="27" t="str">
        <x:v>48201452801</x:v>
      </x:c>
      <x:c r="C722" s="50" t="n">
        <x:v>5413</x:v>
      </x:c>
      <x:c r="D722" s="50" t="n">
        <x:v>600</x:v>
      </x:c>
      <x:c r="E722" s="50" t="n">
        <x:v>231</x:v>
      </x:c>
      <x:c r="F722" s="37" t="n">
        <x:v>0.11084426380934786</x:v>
      </x:c>
      <x:c r="G722" s="37" t="n">
        <x:v>0.04267504156659893</x:v>
      </x:c>
      <x:c r="H722" s="56" t="n">
        <x:v>5646.100000000001</x:v>
      </x:c>
      <x:c r="I722" s="56" t="n">
        <x:v>0.618</x:v>
      </x:c>
      <x:c r="J722" s="56" t="n">
        <x:v>32.74612298847915</x:v>
      </x:c>
      <x:c r="K722" s="56" t="n">
        <x:v>79.11918448271872</x:v>
      </x:c>
      <x:c r="L722" s="56" t="n">
        <x:v>115.17026354674104</x:v>
      </x:c>
    </x:row>
    <x:row r="723" ht="32.400001525878906" hidden="0" customHeight="1">
      <x:c r="A723" s="29" t="str">
        <x:v>Harris County, Texas</x:v>
      </x:c>
      <x:c r="B723" s="29" t="str">
        <x:v>48201452802</x:v>
      </x:c>
      <x:c r="C723" s="51" t="n">
        <x:v>6301</x:v>
      </x:c>
      <x:c r="D723" s="51" t="n">
        <x:v>721</x:v>
      </x:c>
      <x:c r="E723" s="51" t="n">
        <x:v>336</x:v>
      </x:c>
      <x:c r="F723" s="38" t="n">
        <x:v>0.11442628154261228</x:v>
      </x:c>
      <x:c r="G723" s="38" t="n">
        <x:v>0.053324869068401844</x:v>
      </x:c>
      <x:c r="H723" s="57" t="n">
        <x:v>6586.950000000001</x:v>
      </x:c>
      <x:c r="I723" s="57" t="n">
        <x:v>0.501</x:v>
      </x:c>
      <x:c r="J723" s="57" t="n">
        <x:v>31.811128754523214</x:v>
      </x:c>
      <x:c r="K723" s="57" t="n">
        <x:v>77.71669313178482</x:v>
      </x:c>
      <x:c r="L723" s="57" t="n">
        <x:v>113.16670447397831</x:v>
      </x:c>
    </x:row>
    <x:row r="724" ht="32.400001525878906" hidden="0" customHeight="1">
      <x:c r="A724" s="27" t="str">
        <x:v>Harris County, Texas</x:v>
      </x:c>
      <x:c r="B724" s="27" t="str">
        <x:v>48201452900</x:v>
      </x:c>
      <x:c r="C724" s="50" t="n">
        <x:v>4267</x:v>
      </x:c>
      <x:c r="D724" s="50" t="n">
        <x:v>568</x:v>
      </x:c>
      <x:c r="E724" s="50" t="n">
        <x:v>113.5</x:v>
      </x:c>
      <x:c r="F724" s="37" t="n">
        <x:v>0.13311460042184203</x:v>
      </x:c>
      <x:c r="G724" s="37" t="n">
        <x:v>0.026599484415280056</x:v>
      </x:c>
      <x:c r="H724" s="56" t="n">
        <x:v>4477.15</x:v>
      </x:c>
      <x:c r="I724" s="56" t="n">
        <x:v>0.508</x:v>
      </x:c>
      <x:c r="J724" s="56" t="n">
        <x:v>30.837262668874022</x:v>
      </x:c>
      <x:c r="K724" s="56" t="n">
        <x:v>76.25589400331103</x:v>
      </x:c>
      <x:c r="L724" s="56" t="n">
        <x:v>111.07984857615862</x:v>
      </x:c>
    </x:row>
    <x:row r="725" ht="32.400001525878906" hidden="0" customHeight="1">
      <x:c r="A725" s="29" t="str">
        <x:v>Harris County, Texas</x:v>
      </x:c>
      <x:c r="B725" s="29" t="str">
        <x:v>48201453001</x:v>
      </x:c>
      <x:c r="C725" s="51" t="n">
        <x:v>3174</x:v>
      </x:c>
      <x:c r="D725" s="51" t="n">
        <x:v>252</x:v>
      </x:c>
      <x:c r="E725" s="51" t="n">
        <x:v>20</x:v>
      </x:c>
      <x:c r="F725" s="38" t="n">
        <x:v>0.07939508506616257</x:v>
      </x:c>
      <x:c r="G725" s="38" t="n">
        <x:v>0.00630119722747322</x:v>
      </x:c>
      <x:c r="H725" s="57" t="n">
        <x:v>3264.2</x:v>
      </x:c>
      <x:c r="I725" s="57" t="n">
        <x:v>0.264</x:v>
      </x:c>
      <x:c r="J725" s="57" t="n">
        <x:v>28.627340965834023</x:v>
      </x:c>
      <x:c r="K725" s="57" t="n">
        <x:v>72.94101144875103</x:v>
      </x:c>
      <x:c r="L725" s="57" t="n">
        <x:v>106.34430206964433</x:v>
      </x:c>
    </x:row>
    <x:row r="726" ht="32.400001525878906" hidden="0" customHeight="1">
      <x:c r="A726" s="27" t="str">
        <x:v>Harris County, Texas</x:v>
      </x:c>
      <x:c r="B726" s="27" t="str">
        <x:v>48201453002</x:v>
      </x:c>
      <x:c r="C726" s="50" t="n">
        <x:v>5049</x:v>
      </x:c>
      <x:c r="D726" s="50" t="n">
        <x:v>744</x:v>
      </x:c>
      <x:c r="E726" s="50" t="n">
        <x:v>220.5</x:v>
      </x:c>
      <x:c r="F726" s="37" t="n">
        <x:v>0.1473559120617944</x:v>
      </x:c>
      <x:c r="G726" s="37" t="n">
        <x:v>0.04367201426024955</x:v>
      </x:c>
      <x:c r="H726" s="56" t="n">
        <x:v>5331.45</x:v>
      </x:c>
      <x:c r="I726" s="56" t="n">
        <x:v>0.793</x:v>
      </x:c>
      <x:c r="J726" s="56" t="n">
        <x:v>29.537452782377798</x:v>
      </x:c>
      <x:c r="K726" s="56" t="n">
        <x:v>74.3061791735667</x:v>
      </x:c>
      <x:c r="L726" s="56" t="n">
        <x:v>108.29454167652386</x:v>
      </x:c>
    </x:row>
    <x:row r="727" ht="32.400001525878906" hidden="0" customHeight="1">
      <x:c r="A727" s="29" t="str">
        <x:v>Harris County, Texas</x:v>
      </x:c>
      <x:c r="B727" s="29" t="str">
        <x:v>48201453100</x:v>
      </x:c>
      <x:c r="C727" s="51" t="n">
        <x:v>3712</x:v>
      </x:c>
      <x:c r="D727" s="51" t="n">
        <x:v>449</x:v>
      </x:c>
      <x:c r="E727" s="51" t="n">
        <x:v>385</x:v>
      </x:c>
      <x:c r="F727" s="38" t="n">
        <x:v>0.12095905172413793</x:v>
      </x:c>
      <x:c r="G727" s="38" t="n">
        <x:v>0.10371767241379311</x:v>
      </x:c>
      <x:c r="H727" s="57" t="n">
        <x:v>3907.65</x:v>
      </x:c>
      <x:c r="I727" s="57" t="n">
        <x:v>0.855</x:v>
      </x:c>
      <x:c r="J727" s="57" t="n">
        <x:v>28.246809755361305</x:v>
      </x:c>
      <x:c r="K727" s="57" t="n">
        <x:v>72.37021463304195</x:v>
      </x:c>
      <x:c r="L727" s="57" t="n">
        <x:v>105.5288780472028</x:v>
      </x:c>
    </x:row>
    <x:row r="728" ht="32.400001525878906" hidden="0" customHeight="1">
      <x:c r="A728" s="27" t="str">
        <x:v>Harris County, Texas</x:v>
      </x:c>
      <x:c r="B728" s="27" t="str">
        <x:v>48201453201</x:v>
      </x:c>
      <x:c r="C728" s="50" t="n">
        <x:v>3969</x:v>
      </x:c>
      <x:c r="D728" s="50" t="n">
        <x:v>720</x:v>
      </x:c>
      <x:c r="E728" s="50" t="n">
        <x:v>487.5</x:v>
      </x:c>
      <x:c r="F728" s="37" t="n">
        <x:v>0.18140589569160998</x:v>
      </x:c>
      <x:c r="G728" s="37" t="n">
        <x:v>0.12282690854119425</x:v>
      </x:c>
      <x:c r="H728" s="56" t="n">
        <x:v>4269.75</x:v>
      </x:c>
      <x:c r="I728" s="56" t="n">
        <x:v>0.172</x:v>
      </x:c>
      <x:c r="J728" s="56" t="n">
        <x:v>26.81167321070263</x:v>
      </x:c>
      <x:c r="K728" s="56" t="n">
        <x:v>70.21750981605395</x:v>
      </x:c>
      <x:c r="L728" s="56" t="n">
        <x:v>102.45358545150563</x:v>
      </x:c>
    </x:row>
    <x:row r="729" ht="32.400001525878906" hidden="0" customHeight="1">
      <x:c r="A729" s="29" t="str">
        <x:v>Harris County, Texas</x:v>
      </x:c>
      <x:c r="B729" s="29" t="str">
        <x:v>48201453202</x:v>
      </x:c>
      <x:c r="C729" s="51" t="n">
        <x:v>4995</x:v>
      </x:c>
      <x:c r="D729" s="51" t="n">
        <x:v>1122</x:v>
      </x:c>
      <x:c r="E729" s="51" t="n">
        <x:v>240</x:v>
      </x:c>
      <x:c r="F729" s="38" t="n">
        <x:v>0.22462462462462462</x:v>
      </x:c>
      <x:c r="G729" s="38" t="n">
        <x:v>0.04804804804804805</x:v>
      </x:c>
      <x:c r="H729" s="57" t="n">
        <x:v>5411.7</x:v>
      </x:c>
      <x:c r="I729" s="57" t="n">
        <x:v>0.509</x:v>
      </x:c>
      <x:c r="J729" s="57" t="n">
        <x:v>26.501139763278584</x:v>
      </x:c>
      <x:c r="K729" s="57" t="n">
        <x:v>69.75170964491788</x:v>
      </x:c>
      <x:c r="L729" s="57" t="n">
        <x:v>101.78815663559698</x:v>
      </x:c>
    </x:row>
    <x:row r="730" ht="32.400001525878906" hidden="0" customHeight="1">
      <x:c r="A730" s="27" t="str">
        <x:v>Harris County, Texas</x:v>
      </x:c>
      <x:c r="B730" s="27" t="str">
        <x:v>48201453300</x:v>
      </x:c>
      <x:c r="C730" s="50" t="n">
        <x:v>4680</x:v>
      </x:c>
      <x:c r="D730" s="50" t="n">
        <x:v>713</x:v>
      </x:c>
      <x:c r="E730" s="50" t="n">
        <x:v>213</x:v>
      </x:c>
      <x:c r="F730" s="37" t="n">
        <x:v>0.15235042735042736</x:v>
      </x:c>
      <x:c r="G730" s="37" t="n">
        <x:v>0.04551282051282051</x:v>
      </x:c>
      <x:c r="H730" s="56" t="n">
        <x:v>4950.85</x:v>
      </x:c>
      <x:c r="I730" s="56" t="n">
        <x:v>0.791</x:v>
      </x:c>
      <x:c r="J730" s="56" t="n">
        <x:v>25.449315247456756</x:v>
      </x:c>
      <x:c r="K730" s="56" t="n">
        <x:v>68.17397287118513</x:v>
      </x:c>
      <x:c r="L730" s="56" t="n">
        <x:v>99.53424695883591</x:v>
      </x:c>
    </x:row>
    <x:row r="731" ht="32.400001525878906" hidden="0" customHeight="1">
      <x:c r="A731" s="29" t="str">
        <x:v>Harris County, Texas</x:v>
      </x:c>
      <x:c r="B731" s="29" t="str">
        <x:v>48201453401</x:v>
      </x:c>
      <x:c r="C731" s="51" t="n">
        <x:v>3626</x:v>
      </x:c>
      <x:c r="D731" s="51" t="n">
        <x:v>778</x:v>
      </x:c>
      <x:c r="E731" s="51" t="n">
        <x:v>54</x:v>
      </x:c>
      <x:c r="F731" s="38" t="n">
        <x:v>0.214561500275786</x:v>
      </x:c>
      <x:c r="G731" s="38" t="n">
        <x:v>0.014892443463872035</x:v>
      </x:c>
      <x:c r="H731" s="57" t="n">
        <x:v>3903.7000000000003</x:v>
      </x:c>
      <x:c r="I731" s="57" t="n">
        <x:v>0.372</x:v>
      </x:c>
      <x:c r="J731" s="57" t="n">
        <x:v>26.260496415003466</x:v>
      </x:c>
      <x:c r="K731" s="57" t="n">
        <x:v>69.3907446225052</x:v>
      </x:c>
      <x:c r="L731" s="57" t="n">
        <x:v>101.27249231786458</x:v>
      </x:c>
    </x:row>
    <x:row r="732" ht="32.400001525878906" hidden="0" customHeight="1">
      <x:c r="A732" s="27" t="str">
        <x:v>Harris County, Texas</x:v>
      </x:c>
      <x:c r="B732" s="27" t="str">
        <x:v>48201453403</x:v>
      </x:c>
      <x:c r="C732" s="50" t="n">
        <x:v>3977</x:v>
      </x:c>
      <x:c r="D732" s="50" t="n">
        <x:v>535</x:v>
      </x:c>
      <x:c r="E732" s="50" t="n">
        <x:v>222</x:v>
      </x:c>
      <x:c r="F732" s="37" t="n">
        <x:v>0.13452351018355543</x:v>
      </x:c>
      <x:c r="G732" s="37" t="n">
        <x:v>0.05582097058083983</x:v>
      </x:c>
      <x:c r="H732" s="56" t="n">
        <x:v>4186.45</x:v>
      </x:c>
      <x:c r="I732" s="56" t="n">
        <x:v>0.264</x:v>
      </x:c>
      <x:c r="J732" s="56" t="n">
        <x:v>28.17354226793695</x:v>
      </x:c>
      <x:c r="K732" s="56" t="n">
        <x:v>72.26031340190542</x:v>
      </x:c>
      <x:c r="L732" s="56" t="n">
        <x:v>105.37187628843631</x:v>
      </x:c>
    </x:row>
    <x:row r="733" ht="32.400001525878906" hidden="0" customHeight="1">
      <x:c r="A733" s="29" t="str">
        <x:v>Harris County, Texas</x:v>
      </x:c>
      <x:c r="B733" s="29" t="str">
        <x:v>48201453404</x:v>
      </x:c>
      <x:c r="C733" s="51" t="n">
        <x:v>4557</x:v>
      </x:c>
      <x:c r="D733" s="51" t="n">
        <x:v>523</x:v>
      </x:c>
      <x:c r="E733" s="51" t="n">
        <x:v>336.5</x:v>
      </x:c>
      <x:c r="F733" s="38" t="n">
        <x:v>0.11476848804037744</x:v>
      </x:c>
      <x:c r="G733" s="38" t="n">
        <x:v>0.07384244020188721</x:v>
      </x:c>
      <x:c r="H733" s="57" t="n">
        <x:v>4773.700000000001</x:v>
      </x:c>
      <x:c r="I733" s="57" t="n">
        <x:v>0.442</x:v>
      </x:c>
      <x:c r="J733" s="57" t="n">
        <x:v>27.12705149796167</x:v>
      </x:c>
      <x:c r="K733" s="57" t="n">
        <x:v>70.69057724694251</x:v>
      </x:c>
      <x:c r="L733" s="57" t="n">
        <x:v>103.12939606706072</x:v>
      </x:c>
    </x:row>
    <x:row r="734" ht="32.400001525878906" hidden="0" customHeight="1">
      <x:c r="A734" s="27" t="str">
        <x:v>Harris County, Texas</x:v>
      </x:c>
      <x:c r="B734" s="27" t="str">
        <x:v>48201453405</x:v>
      </x:c>
      <x:c r="C734" s="50" t="n">
        <x:v>4064</x:v>
      </x:c>
      <x:c r="D734" s="50" t="n">
        <x:v>741</x:v>
      </x:c>
      <x:c r="E734" s="50" t="n">
        <x:v>113</x:v>
      </x:c>
      <x:c r="F734" s="37" t="n">
        <x:v>0.18233267716535434</x:v>
      </x:c>
      <x:c r="G734" s="37" t="n">
        <x:v>0.02780511811023622</x:v>
      </x:c>
      <x:c r="H734" s="56" t="n">
        <x:v>4334.65</x:v>
      </x:c>
      <x:c r="I734" s="56" t="n">
        <x:v>0.488</x:v>
      </x:c>
      <x:c r="J734" s="56" t="n">
        <x:v>26.62165697846224</x:v>
      </x:c>
      <x:c r="K734" s="56" t="n">
        <x:v>69.93248546769337</x:v>
      </x:c>
      <x:c r="L734" s="56" t="n">
        <x:v>102.04640781099052</x:v>
      </x:c>
    </x:row>
    <x:row r="735" ht="32.400001525878906" hidden="0" customHeight="1">
      <x:c r="A735" s="29" t="str">
        <x:v>Harris County, Texas</x:v>
      </x:c>
      <x:c r="B735" s="29" t="str">
        <x:v>48201453501</x:v>
      </x:c>
      <x:c r="C735" s="51" t="n">
        <x:v>5876</x:v>
      </x:c>
      <x:c r="D735" s="51" t="n">
        <x:v>1172</x:v>
      </x:c>
      <x:c r="E735" s="51" t="n">
        <x:v>401</x:v>
      </x:c>
      <x:c r="F735" s="38" t="n">
        <x:v>0.19945541184479237</x:v>
      </x:c>
      <x:c r="G735" s="38" t="n">
        <x:v>0.06824370319945541</x:v>
      </x:c>
      <x:c r="H735" s="57" t="n">
        <x:v>6326.299999999999</x:v>
      </x:c>
      <x:c r="I735" s="57" t="n">
        <x:v>0.591</x:v>
      </x:c>
      <x:c r="J735" s="57" t="n">
        <x:v>28.359671122525793</x:v>
      </x:c>
      <x:c r="K735" s="57" t="n">
        <x:v>72.53950668378869</x:v>
      </x:c>
      <x:c r="L735" s="57" t="n">
        <x:v>105.77072383398384</x:v>
      </x:c>
    </x:row>
    <x:row r="736" ht="32.400001525878906" hidden="0" customHeight="1">
      <x:c r="A736" s="27" t="str">
        <x:v>Harris County, Texas</x:v>
      </x:c>
      <x:c r="B736" s="27" t="str">
        <x:v>48201453502</x:v>
      </x:c>
      <x:c r="C736" s="50" t="n">
        <x:v>3616</x:v>
      </x:c>
      <x:c r="D736" s="50" t="n">
        <x:v>649</x:v>
      </x:c>
      <x:c r="E736" s="50" t="n">
        <x:v>17</x:v>
      </x:c>
      <x:c r="F736" s="37" t="n">
        <x:v>0.17948008849557523</x:v>
      </x:c>
      <x:c r="G736" s="37" t="n">
        <x:v>0.004701327433628319</x:v>
      </x:c>
      <x:c r="H736" s="56" t="n">
        <x:v>3844.850000000001</x:v>
      </x:c>
      <x:c r="I736" s="56" t="n">
        <x:v>0.505</x:v>
      </x:c>
      <x:c r="J736" s="56" t="n">
        <x:v>29.941905003366095</x:v>
      </x:c>
      <x:c r="K736" s="56" t="n">
        <x:v>74.91285750504915</x:v>
      </x:c>
      <x:c r="L736" s="56" t="n">
        <x:v>109.16122500721306</x:v>
      </x:c>
    </x:row>
    <x:row r="737" ht="32.400001525878906" hidden="0" customHeight="1">
      <x:c r="A737" s="29" t="str">
        <x:v>Harris County, Texas</x:v>
      </x:c>
      <x:c r="B737" s="29" t="str">
        <x:v>48201453601</x:v>
      </x:c>
      <x:c r="C737" s="51" t="n">
        <x:v>1596</x:v>
      </x:c>
      <x:c r="D737" s="51" t="n">
        <x:v>314</x:v>
      </x:c>
      <x:c r="E737" s="51" t="n">
        <x:v>113</x:v>
      </x:c>
      <x:c r="F737" s="38" t="n">
        <x:v>0.19674185463659147</x:v>
      </x:c>
      <x:c r="G737" s="38" t="n">
        <x:v>0.07080200501253132</x:v>
      </x:c>
      <x:c r="H737" s="57" t="n">
        <x:v>1717.2</x:v>
      </x:c>
      <x:c r="I737" s="57" t="n">
        <x:v>0.462</x:v>
      </x:c>
      <x:c r="J737" s="57" t="n">
        <x:v>29.543334160049966</x:v>
      </x:c>
      <x:c r="K737" s="57" t="n">
        <x:v>74.31500124007495</x:v>
      </x:c>
      <x:c r="L737" s="57" t="n">
        <x:v>108.30714462867849</x:v>
      </x:c>
    </x:row>
    <x:row r="738" ht="32.400001525878906" hidden="0" customHeight="1">
      <x:c r="A738" s="27" t="str">
        <x:v>Harris County, Texas</x:v>
      </x:c>
      <x:c r="B738" s="27" t="str">
        <x:v>48201453603</x:v>
      </x:c>
      <x:c r="C738" s="50" t="n">
        <x:v>3445</x:v>
      </x:c>
      <x:c r="D738" s="50" t="n">
        <x:v>382</x:v>
      </x:c>
      <x:c r="E738" s="50" t="n">
        <x:v>366</x:v>
      </x:c>
      <x:c r="F738" s="37" t="n">
        <x:v>0.11088534107402032</x:v>
      </x:c>
      <x:c r="G738" s="37" t="n">
        <x:v>0.10624092888243832</x:v>
      </x:c>
      <x:c r="H738" s="56" t="n">
        <x:v>3615.2999999999997</x:v>
      </x:c>
      <x:c r="I738" s="56" t="n">
        <x:v>0.53</x:v>
      </x:c>
      <x:c r="J738" s="56" t="n">
        <x:v>28.08663592616001</x:v>
      </x:c>
      <x:c r="K738" s="56" t="n">
        <x:v>72.12995388924001</x:v>
      </x:c>
      <x:c r="L738" s="56" t="n">
        <x:v>105.18564841320003</x:v>
      </x:c>
    </x:row>
    <x:row r="739" ht="32.400001525878906" hidden="0" customHeight="1">
      <x:c r="A739" s="29" t="str">
        <x:v>Harris County, Texas</x:v>
      </x:c>
      <x:c r="B739" s="29" t="str">
        <x:v>48201453604</x:v>
      </x:c>
      <x:c r="C739" s="51" t="n">
        <x:v>3589</x:v>
      </x:c>
      <x:c r="D739" s="51" t="n">
        <x:v>479</x:v>
      </x:c>
      <x:c r="E739" s="51" t="n">
        <x:v>210.5</x:v>
      </x:c>
      <x:c r="F739" s="38" t="n">
        <x:v>0.13346336026748398</x:v>
      </x:c>
      <x:c r="G739" s="38" t="n">
        <x:v>0.058651434940094734</x:v>
      </x:c>
      <x:c r="H739" s="57" t="n">
        <x:v>3777.7000000000003</x:v>
      </x:c>
      <x:c r="I739" s="57" t="n">
        <x:v>0.458</x:v>
      </x:c>
      <x:c r="J739" s="57" t="n">
        <x:v>28.320973187189935</x:v>
      </x:c>
      <x:c r="K739" s="57" t="n">
        <x:v>72.4814597807849</x:v>
      </x:c>
      <x:c r="L739" s="57" t="n">
        <x:v>105.68779968683558</x:v>
      </x:c>
    </x:row>
    <x:row r="740" ht="32.400001525878906" hidden="0" customHeight="1">
      <x:c r="A740" s="27" t="str">
        <x:v>Harris County, Texas</x:v>
      </x:c>
      <x:c r="B740" s="27" t="str">
        <x:v>48201453701</x:v>
      </x:c>
      <x:c r="C740" s="50" t="n">
        <x:v>4495</x:v>
      </x:c>
      <x:c r="D740" s="50" t="n">
        <x:v>704</x:v>
      </x:c>
      <x:c r="E740" s="50" t="n">
        <x:v>314</x:v>
      </x:c>
      <x:c r="F740" s="37" t="n">
        <x:v>0.15661846496106785</x:v>
      </x:c>
      <x:c r="G740" s="37" t="n">
        <x:v>0.06985539488320355</x:v>
      </x:c>
      <x:c r="H740" s="56" t="n">
        <x:v>4772.799999999999</x:v>
      </x:c>
      <x:c r="I740" s="56" t="n">
        <x:v>0.511</x:v>
      </x:c>
      <x:c r="J740" s="56" t="n">
        <x:v>31.858727485671814</x:v>
      </x:c>
      <x:c r="K740" s="56" t="n">
        <x:v>77.78809122850772</x:v>
      </x:c>
      <x:c r="L740" s="56" t="n">
        <x:v>113.26870175501104</x:v>
      </x:c>
    </x:row>
    <x:row r="741" ht="32.400001525878906" hidden="0" customHeight="1">
      <x:c r="A741" s="29" t="str">
        <x:v>Harris County, Texas</x:v>
      </x:c>
      <x:c r="B741" s="29" t="str">
        <x:v>48201453702</x:v>
      </x:c>
      <x:c r="C741" s="51" t="n">
        <x:v>4492</x:v>
      </x:c>
      <x:c r="D741" s="51" t="n">
        <x:v>604</x:v>
      </x:c>
      <x:c r="E741" s="51" t="n">
        <x:v>8</x:v>
      </x:c>
      <x:c r="F741" s="38" t="n">
        <x:v>0.13446126447016918</x:v>
      </x:c>
      <x:c r="G741" s="38" t="n">
        <x:v>0.0017809439002671415</x:v>
      </x:c>
      <x:c r="H741" s="57" t="n">
        <x:v>4704.2</x:v>
      </x:c>
      <x:c r="I741" s="57" t="n">
        <x:v>0.39</x:v>
      </x:c>
      <x:c r="J741" s="57" t="n">
        <x:v>30.736303881438207</x:v>
      </x:c>
      <x:c r="K741" s="57" t="n">
        <x:v>76.1044558221573</x:v>
      </x:c>
      <x:c r="L741" s="57" t="n">
        <x:v>110.86350831736759</x:v>
      </x:c>
    </x:row>
    <x:row r="742" ht="32.400001525878906" hidden="0" customHeight="1">
      <x:c r="A742" s="27" t="str">
        <x:v>Harris County, Texas</x:v>
      </x:c>
      <x:c r="B742" s="27" t="str">
        <x:v>48201453800</x:v>
      </x:c>
      <x:c r="C742" s="50" t="n">
        <x:v>3614</x:v>
      </x:c>
      <x:c r="D742" s="50" t="n">
        <x:v>324</x:v>
      </x:c>
      <x:c r="E742" s="50" t="n">
        <x:v>368.5</x:v>
      </x:c>
      <x:c r="F742" s="37" t="n">
        <x:v>0.0896513558384062</x:v>
      </x:c>
      <x:c r="G742" s="37" t="n">
        <x:v>0.10196458218040952</x:v>
      </x:c>
      <x:c r="H742" s="56" t="n">
        <x:v>3764.25</x:v>
      </x:c>
      <x:c r="I742" s="56" t="n">
        <x:v>0.709</x:v>
      </x:c>
      <x:c r="J742" s="56" t="n">
        <x:v>31.133514203102525</x:v>
      </x:c>
      <x:c r="K742" s="56" t="n">
        <x:v>76.70027130465378</x:v>
      </x:c>
      <x:c r="L742" s="56" t="n">
        <x:v>111.71467329236255</x:v>
      </x:c>
    </x:row>
    <x:row r="743" ht="32.400001525878906" hidden="0" customHeight="1">
      <x:c r="A743" s="29" t="str">
        <x:v>Harris County, Texas</x:v>
      </x:c>
      <x:c r="B743" s="29" t="str">
        <x:v>48201453901</x:v>
      </x:c>
      <x:c r="C743" s="51" t="n">
        <x:v>6044</x:v>
      </x:c>
      <x:c r="D743" s="51" t="n">
        <x:v>953</x:v>
      </x:c>
      <x:c r="E743" s="51" t="n">
        <x:v>294.5</x:v>
      </x:c>
      <x:c r="F743" s="38" t="n">
        <x:v>0.15767703507610853</x:v>
      </x:c>
      <x:c r="G743" s="38" t="n">
        <x:v>0.04872600926538716</x:v>
      </x:c>
      <x:c r="H743" s="57" t="n">
        <x:v>6406.999999999999</x:v>
      </x:c>
      <x:c r="I743" s="57" t="n">
        <x:v>0.892</x:v>
      </x:c>
      <x:c r="J743" s="57" t="n">
        <x:v>32.07324829447201</x:v>
      </x:c>
      <x:c r="K743" s="57" t="n">
        <x:v>78.109872441708</x:v>
      </x:c>
      <x:c r="L743" s="57" t="n">
        <x:v>113.72838920244001</x:v>
      </x:c>
    </x:row>
    <x:row r="744" ht="32.400001525878906" hidden="0" customHeight="1">
      <x:c r="A744" s="27" t="str">
        <x:v>Harris County, Texas</x:v>
      </x:c>
      <x:c r="B744" s="27" t="str">
        <x:v>48201453902</x:v>
      </x:c>
      <x:c r="C744" s="50" t="n">
        <x:v>3752</x:v>
      </x:c>
      <x:c r="D744" s="50" t="n">
        <x:v>407</x:v>
      </x:c>
      <x:c r="E744" s="50" t="n">
        <x:v>0</x:v>
      </x:c>
      <x:c r="F744" s="37" t="n">
        <x:v>0.10847547974413646</x:v>
      </x:c>
      <x:c r="G744" s="37" t="n">
        <x:v>0</x:v>
      </x:c>
      <x:c r="H744" s="56" t="n">
        <x:v>3894.45</x:v>
      </x:c>
      <x:c r="I744" s="56" t="n">
        <x:v>0.367</x:v>
      </x:c>
      <x:c r="J744" s="56" t="n">
        <x:v>33.15655451260502</x:v>
      </x:c>
      <x:c r="K744" s="56" t="n">
        <x:v>79.73483176890753</x:v>
      </x:c>
      <x:c r="L744" s="56" t="n">
        <x:v>116.0497596698679</x:v>
      </x:c>
    </x:row>
    <x:row r="745" ht="32.400001525878906" hidden="0" customHeight="1">
      <x:c r="A745" s="29" t="str">
        <x:v>Harris County, Texas</x:v>
      </x:c>
      <x:c r="B745" s="29" t="str">
        <x:v>48201454000</x:v>
      </x:c>
      <x:c r="C745" s="51" t="n">
        <x:v>4318</x:v>
      </x:c>
      <x:c r="D745" s="51" t="n">
        <x:v>341</x:v>
      </x:c>
      <x:c r="E745" s="51" t="n">
        <x:v>161.5</x:v>
      </x:c>
      <x:c r="F745" s="38" t="n">
        <x:v>0.07897174617878648</x:v>
      </x:c>
      <x:c r="G745" s="38" t="n">
        <x:v>0.03740157480314961</x:v>
      </x:c>
      <x:c r="H745" s="57" t="n">
        <x:v>4453.499999999999</x:v>
      </x:c>
      <x:c r="I745" s="57" t="n">
        <x:v>0.805</x:v>
      </x:c>
      <x:c r="J745" s="57" t="n">
        <x:v>29.0578334986286</x:v>
      </x:c>
      <x:c r="K745" s="57" t="n">
        <x:v>73.5867502479429</x:v>
      </x:c>
      <x:c r="L745" s="57" t="n">
        <x:v>107.26678606848986</x:v>
      </x:c>
    </x:row>
    <x:row r="746" ht="32.400001525878906" hidden="0" customHeight="1">
      <x:c r="A746" s="27" t="str">
        <x:v>Harris County, Texas</x:v>
      </x:c>
      <x:c r="B746" s="27" t="str">
        <x:v>48201454100</x:v>
      </x:c>
      <x:c r="C746" s="50" t="n">
        <x:v>3826</x:v>
      </x:c>
      <x:c r="D746" s="50" t="n">
        <x:v>522</x:v>
      </x:c>
      <x:c r="E746" s="50" t="n">
        <x:v>191.5</x:v>
      </x:c>
      <x:c r="F746" s="37" t="n">
        <x:v>0.13643491897543125</x:v>
      </x:c>
      <x:c r="G746" s="37" t="n">
        <x:v>0.050052273915316255</x:v>
      </x:c>
      <x:c r="H746" s="56" t="n">
        <x:v>4027.85</x:v>
      </x:c>
      <x:c r="I746" s="56" t="n">
        <x:v>0.669</x:v>
      </x:c>
      <x:c r="J746" s="56" t="n">
        <x:v>27.771533482696046</x:v>
      </x:c>
      <x:c r="K746" s="56" t="n">
        <x:v>71.65730022404406</x:v>
      </x:c>
      <x:c r="L746" s="56" t="n">
        <x:v>104.51042889149153</x:v>
      </x:c>
    </x:row>
    <x:row r="747" ht="32.400001525878906" hidden="0" customHeight="1">
      <x:c r="A747" s="29" t="str">
        <x:v>Harris County, Texas</x:v>
      </x:c>
      <x:c r="B747" s="29" t="str">
        <x:v>48201454200</x:v>
      </x:c>
      <x:c r="C747" s="51" t="n">
        <x:v>4270</x:v>
      </x:c>
      <x:c r="D747" s="51" t="n">
        <x:v>516</x:v>
      </x:c>
      <x:c r="E747" s="51" t="n">
        <x:v>39</x:v>
      </x:c>
      <x:c r="F747" s="38" t="n">
        <x:v>0.12084309133489461</x:v>
      </x:c>
      <x:c r="G747" s="38" t="n">
        <x:v>0.009133489461358314</x:v>
      </x:c>
      <x:c r="H747" s="57" t="n">
        <x:v>4454.500000000001</x:v>
      </x:c>
      <x:c r="I747" s="57" t="n">
        <x:v>0.565</x:v>
      </x:c>
      <x:c r="J747" s="57" t="n">
        <x:v>26.288619695725796</x:v>
      </x:c>
      <x:c r="K747" s="57" t="n">
        <x:v>69.4329295435887</x:v>
      </x:c>
      <x:c r="L747" s="57" t="n">
        <x:v>101.33275649084099</x:v>
      </x:c>
    </x:row>
    <x:row r="748" ht="32.400001525878906" hidden="0" customHeight="1">
      <x:c r="A748" s="27" t="str">
        <x:v>Harris County, Texas</x:v>
      </x:c>
      <x:c r="B748" s="27" t="str">
        <x:v>48201454302</x:v>
      </x:c>
      <x:c r="C748" s="50" t="n">
        <x:v>5877</x:v>
      </x:c>
      <x:c r="D748" s="50" t="n">
        <x:v>620</x:v>
      </x:c>
      <x:c r="E748" s="50" t="n">
        <x:v>35</x:v>
      </x:c>
      <x:c r="F748" s="37" t="n">
        <x:v>0.10549600136123873</x:v>
      </x:c>
      <x:c r="G748" s="37" t="n">
        <x:v>0.005955419431682831</x:v>
      </x:c>
      <x:c r="H748" s="56" t="n">
        <x:v>6097.499999999999</x:v>
      </x:c>
      <x:c r="I748" s="56" t="n">
        <x:v>1.062</x:v>
      </x:c>
      <x:c r="J748" s="56" t="n">
        <x:v>25.05594946587207</x:v>
      </x:c>
      <x:c r="K748" s="56" t="n">
        <x:v>67.5839241988081</x:v>
      </x:c>
      <x:c r="L748" s="56" t="n">
        <x:v>98.69132028401158</x:v>
      </x:c>
    </x:row>
    <x:row r="749" ht="32.400001525878906" hidden="0" customHeight="1">
      <x:c r="A749" s="29" t="str">
        <x:v>Harris County, Texas</x:v>
      </x:c>
      <x:c r="B749" s="29" t="str">
        <x:v>48201454303</x:v>
      </x:c>
      <x:c r="C749" s="51" t="n">
        <x:v>3838</x:v>
      </x:c>
      <x:c r="D749" s="51" t="n">
        <x:v>348</x:v>
      </x:c>
      <x:c r="E749" s="51" t="n">
        <x:v>0</x:v>
      </x:c>
      <x:c r="F749" s="38" t="n">
        <x:v>0.09067222511724857</x:v>
      </x:c>
      <x:c r="G749" s="38" t="n">
        <x:v>0</x:v>
      </x:c>
      <x:c r="H749" s="57" t="n">
        <x:v>3959.8</x:v>
      </x:c>
      <x:c r="I749" s="57" t="n">
        <x:v>0.554</x:v>
      </x:c>
      <x:c r="J749" s="57" t="n">
        <x:v>26.833368995624273</x:v>
      </x:c>
      <x:c r="K749" s="57" t="n">
        <x:v>70.25005349343641</x:v>
      </x:c>
      <x:c r="L749" s="57" t="n">
        <x:v>102.50007641919487</x:v>
      </x:c>
    </x:row>
    <x:row r="750" ht="32.400001525878906" hidden="0" customHeight="1">
      <x:c r="A750" s="27" t="str">
        <x:v>Harris County, Texas</x:v>
      </x:c>
      <x:c r="B750" s="27" t="str">
        <x:v>48201454304</x:v>
      </x:c>
      <x:c r="C750" s="50" t="n">
        <x:v>5934</x:v>
      </x:c>
      <x:c r="D750" s="50" t="n">
        <x:v>549</x:v>
      </x:c>
      <x:c r="E750" s="50" t="n">
        <x:v>320</x:v>
      </x:c>
      <x:c r="F750" s="37" t="n">
        <x:v>0.09251769464105157</x:v>
      </x:c>
      <x:c r="G750" s="37" t="n">
        <x:v>0.053926525109538256</x:v>
      </x:c>
      <x:c r="H750" s="56" t="n">
        <x:v>6158.15</x:v>
      </x:c>
      <x:c r="I750" s="56" t="n">
        <x:v>0.322</x:v>
      </x:c>
      <x:c r="J750" s="56" t="n">
        <x:v>25.421598415185084</x:v>
      </x:c>
      <x:c r="K750" s="56" t="n">
        <x:v>68.13239762277763</x:v>
      </x:c>
      <x:c r="L750" s="56" t="n">
        <x:v>99.47485374682518</x:v>
      </x:c>
    </x:row>
    <x:row r="751" ht="32.400001525878906" hidden="0" customHeight="1">
      <x:c r="A751" s="29" t="str">
        <x:v>Harris County, Texas</x:v>
      </x:c>
      <x:c r="B751" s="29" t="str">
        <x:v>48201454305</x:v>
      </x:c>
      <x:c r="C751" s="51" t="n">
        <x:v>3546</x:v>
      </x:c>
      <x:c r="D751" s="51" t="n">
        <x:v>185</x:v>
      </x:c>
      <x:c r="E751" s="51" t="n">
        <x:v>54</x:v>
      </x:c>
      <x:c r="F751" s="38" t="n">
        <x:v>0.052171460800902424</x:v>
      </x:c>
      <x:c r="G751" s="38" t="n">
        <x:v>0.015228426395939087</x:v>
      </x:c>
      <x:c r="H751" s="57" t="n">
        <x:v>3616.1500000000005</x:v>
      </x:c>
      <x:c r="I751" s="57" t="n">
        <x:v>0.65</x:v>
      </x:c>
      <x:c r="J751" s="57" t="n">
        <x:v>25.861356970177166</x:v>
      </x:c>
      <x:c r="K751" s="57" t="n">
        <x:v>68.79203545526575</x:v>
      </x:c>
      <x:c r="L751" s="57" t="n">
        <x:v>100.4171935075225</x:v>
      </x:c>
    </x:row>
    <x:row r="752" ht="32.400001525878906" hidden="0" customHeight="1">
      <x:c r="A752" s="27" t="str">
        <x:v>Harris County, Texas</x:v>
      </x:c>
      <x:c r="B752" s="27" t="str">
        <x:v>48201454400</x:v>
      </x:c>
      <x:c r="C752" s="50" t="n">
        <x:v>1013</x:v>
      </x:c>
      <x:c r="D752" s="50" t="n">
        <x:v>23</x:v>
      </x:c>
      <x:c r="E752" s="50" t="n">
        <x:v>0</x:v>
      </x:c>
      <x:c r="F752" s="37" t="n">
        <x:v>0.022704837117472853</x:v>
      </x:c>
      <x:c r="G752" s="37" t="n">
        <x:v>0</x:v>
      </x:c>
      <x:c r="H752" s="56" t="n">
        <x:v>1021.0499999999998</x:v>
      </x:c>
      <x:c r="I752" s="56" t="n">
        <x:v>12.613</x:v>
      </x:c>
      <x:c r="J752" s="56" t="n">
        <x:v>22.066085937427943</x:v>
      </x:c>
      <x:c r="K752" s="56" t="n">
        <x:v>63.099128906141914</x:v>
      </x:c>
      <x:c r="L752" s="56" t="n">
        <x:v>92.28446986591702</x:v>
      </x:c>
    </x:row>
    <x:row r="753" ht="32.400001525878906" hidden="0" customHeight="1">
      <x:c r="A753" s="29" t="str">
        <x:v>Harris County, Texas</x:v>
      </x:c>
      <x:c r="B753" s="29" t="str">
        <x:v>48201454502</x:v>
      </x:c>
      <x:c r="C753" s="51" t="n">
        <x:v>2216</x:v>
      </x:c>
      <x:c r="D753" s="51" t="n">
        <x:v>74</x:v>
      </x:c>
      <x:c r="E753" s="51" t="n">
        <x:v>9</x:v>
      </x:c>
      <x:c r="F753" s="38" t="n">
        <x:v>0.033393501805054154</x:v>
      </x:c>
      <x:c r="G753" s="38" t="n">
        <x:v>0.004061371841155234</x:v>
      </x:c>
      <x:c r="H753" s="57" t="n">
        <x:v>2242.7999999999997</x:v>
      </x:c>
      <x:c r="I753" s="57" t="n">
        <x:v>2.902</x:v>
      </x:c>
      <x:c r="J753" s="57" t="n">
        <x:v>17.74803508802238</x:v>
      </x:c>
      <x:c r="K753" s="57" t="n">
        <x:v>56.62205263203357</x:v>
      </x:c>
      <x:c r="L753" s="57" t="n">
        <x:v>83.03150376004795</x:v>
      </x:c>
    </x:row>
    <x:row r="754" ht="32.400001525878906" hidden="0" customHeight="1">
      <x:c r="A754" s="27" t="str">
        <x:v>Harris County, Texas</x:v>
      </x:c>
      <x:c r="B754" s="27" t="str">
        <x:v>48201454503</x:v>
      </x:c>
      <x:c r="C754" s="50" t="n">
        <x:v>2700</x:v>
      </x:c>
      <x:c r="D754" s="50" t="n">
        <x:v>322</x:v>
      </x:c>
      <x:c r="E754" s="50" t="n">
        <x:v>39.5</x:v>
      </x:c>
      <x:c r="F754" s="37" t="n">
        <x:v>0.11925925925925926</x:v>
      </x:c>
      <x:c r="G754" s="37" t="n">
        <x:v>0.01462962962962963</x:v>
      </x:c>
      <x:c r="H754" s="56" t="n">
        <x:v>2816.6499999999996</x:v>
      </x:c>
      <x:c r="I754" s="56" t="n">
        <x:v>0.56</x:v>
      </x:c>
      <x:c r="J754" s="56" t="n">
        <x:v>15.546239273405332</x:v>
      </x:c>
      <x:c r="K754" s="56" t="n">
        <x:v>53.319358910108</x:v>
      </x:c>
      <x:c r="L754" s="56" t="n">
        <x:v>78.31336987158286</x:v>
      </x:c>
    </x:row>
    <x:row r="755" ht="32.400001525878906" hidden="0" customHeight="1">
      <x:c r="A755" s="29" t="str">
        <x:v>Harris County, Texas</x:v>
      </x:c>
      <x:c r="B755" s="29" t="str">
        <x:v>48201454504</x:v>
      </x:c>
      <x:c r="C755" s="51" t="n">
        <x:v>5223</x:v>
      </x:c>
      <x:c r="D755" s="51" t="n">
        <x:v>539</x:v>
      </x:c>
      <x:c r="E755" s="51" t="n">
        <x:v>103.5</x:v>
      </x:c>
      <x:c r="F755" s="38" t="n">
        <x:v>0.1031973961324909</x:v>
      </x:c>
      <x:c r="G755" s="38" t="n">
        <x:v>0.019816197587593336</x:v>
      </x:c>
      <x:c r="H755" s="57" t="n">
        <x:v>5422.000000000001</x:v>
      </x:c>
      <x:c r="I755" s="57" t="n">
        <x:v>2.775</x:v>
      </x:c>
      <x:c r="J755" s="57" t="n">
        <x:v>18.350572713401334</x:v>
      </x:c>
      <x:c r="K755" s="57" t="n">
        <x:v>57.525859070102</x:v>
      </x:c>
      <x:c r="L755" s="57" t="n">
        <x:v>84.32265581443143</x:v>
      </x:c>
    </x:row>
    <x:row r="756" ht="32.400001525878906" hidden="0" customHeight="1">
      <x:c r="A756" s="27" t="str">
        <x:v>Harris County, Texas</x:v>
      </x:c>
      <x:c r="B756" s="27" t="str">
        <x:v>48201454505</x:v>
      </x:c>
      <x:c r="C756" s="50" t="n">
        <x:v>2472</x:v>
      </x:c>
      <x:c r="D756" s="50" t="n">
        <x:v>107</x:v>
      </x:c>
      <x:c r="E756" s="50" t="n">
        <x:v>7</x:v>
      </x:c>
      <x:c r="F756" s="37" t="n">
        <x:v>0.043284789644012944</x:v>
      </x:c>
      <x:c r="G756" s="37" t="n">
        <x:v>0.0028317152103559872</x:v>
      </x:c>
      <x:c r="H756" s="56" t="n">
        <x:v>2510.1499999999996</x:v>
      </x:c>
      <x:c r="I756" s="56" t="n">
        <x:v>1.15</x:v>
      </x:c>
      <x:c r="J756" s="56" t="n">
        <x:v>15.290620126038322</x:v>
      </x:c>
      <x:c r="K756" s="56" t="n">
        <x:v>52.93593018905748</x:v>
      </x:c>
      <x:c r="L756" s="56" t="n">
        <x:v>77.7656145557964</x:v>
      </x:c>
    </x:row>
    <x:row r="757" ht="32.400001525878906" hidden="0" customHeight="1">
      <x:c r="A757" s="29" t="str">
        <x:v>Harris County, Texas</x:v>
      </x:c>
      <x:c r="B757" s="29" t="str">
        <x:v>48201454600</x:v>
      </x:c>
      <x:c r="C757" s="51" t="n">
        <x:v>5305</x:v>
      </x:c>
      <x:c r="D757" s="51" t="n">
        <x:v>467</x:v>
      </x:c>
      <x:c r="E757" s="51" t="n">
        <x:v>92</x:v>
      </x:c>
      <x:c r="F757" s="38" t="n">
        <x:v>0.08803016022620169</x:v>
      </x:c>
      <x:c r="G757" s="38" t="n">
        <x:v>0.017342130065975493</x:v>
      </x:c>
      <x:c r="H757" s="57" t="n">
        <x:v>5477.65</x:v>
      </x:c>
      <x:c r="I757" s="57" t="n">
        <x:v>1.33</x:v>
      </x:c>
      <x:c r="J757" s="57" t="n">
        <x:v>12.108487016022607</x:v>
      </x:c>
      <x:c r="K757" s="57" t="n">
        <x:v>48.16273052403391</x:v>
      </x:c>
      <x:c r="L757" s="57" t="n">
        <x:v>70.94675789147702</x:v>
      </x:c>
    </x:row>
    <x:row r="758" ht="32.400001525878906" hidden="0" customHeight="1">
      <x:c r="A758" s="27" t="str">
        <x:v>Harris County, Texas</x:v>
      </x:c>
      <x:c r="B758" s="27" t="str">
        <x:v>48201454700</x:v>
      </x:c>
      <x:c r="C758" s="50" t="n">
        <x:v>7588</x:v>
      </x:c>
      <x:c r="D758" s="50" t="n">
        <x:v>608</x:v>
      </x:c>
      <x:c r="E758" s="50" t="n">
        <x:v>18</x:v>
      </x:c>
      <x:c r="F758" s="37" t="n">
        <x:v>0.08012651555086979</x:v>
      </x:c>
      <x:c r="G758" s="37" t="n">
        <x:v>0.0023721665788086453</x:v>
      </x:c>
      <x:c r="H758" s="56" t="n">
        <x:v>7802.6</x:v>
      </x:c>
      <x:c r="I758" s="56" t="n">
        <x:v>1.324</x:v>
      </x:c>
      <x:c r="J758" s="56" t="n">
        <x:v>14.737513503591568</x:v>
      </x:c>
      <x:c r="K758" s="56" t="n">
        <x:v>52.10627025538735</x:v>
      </x:c>
      <x:c r="L758" s="56" t="n">
        <x:v>76.58038607912479</x:v>
      </x:c>
    </x:row>
    <x:row r="759" ht="32.400001525878906" hidden="0" customHeight="1">
      <x:c r="A759" s="29" t="str">
        <x:v>Harris County, Texas</x:v>
      </x:c>
      <x:c r="B759" s="29" t="str">
        <x:v>48201454801</x:v>
      </x:c>
      <x:c r="C759" s="51" t="n">
        <x:v>4098</x:v>
      </x:c>
      <x:c r="D759" s="51" t="n">
        <x:v>497</x:v>
      </x:c>
      <x:c r="E759" s="51" t="n">
        <x:v>56</x:v>
      </x:c>
      <x:c r="F759" s="38" t="n">
        <x:v>0.12127867252318204</x:v>
      </x:c>
      <x:c r="G759" s="38" t="n">
        <x:v>0.013665202537823329</x:v>
      </x:c>
      <x:c r="H759" s="57" t="n">
        <x:v>4277.55</x:v>
      </x:c>
      <x:c r="I759" s="57" t="n">
        <x:v>0.478</x:v>
      </x:c>
      <x:c r="J759" s="57" t="n">
        <x:v>12.588390384405391</x:v>
      </x:c>
      <x:c r="K759" s="57" t="n">
        <x:v>48.882585576608086</x:v>
      </x:c>
      <x:c r="L759" s="57" t="n">
        <x:v>71.97512225229727</x:v>
      </x:c>
    </x:row>
    <x:row r="760" ht="32.400001525878906" hidden="0" customHeight="1">
      <x:c r="A760" s="27" t="str">
        <x:v>Harris County, Texas</x:v>
      </x:c>
      <x:c r="B760" s="27" t="str">
        <x:v>48201454802</x:v>
      </x:c>
      <x:c r="C760" s="50" t="n">
        <x:v>4324</x:v>
      </x:c>
      <x:c r="D760" s="50" t="n">
        <x:v>541</x:v>
      </x:c>
      <x:c r="E760" s="50" t="n">
        <x:v>0</x:v>
      </x:c>
      <x:c r="F760" s="37" t="n">
        <x:v>0.12511563367252543</x:v>
      </x:c>
      <x:c r="G760" s="37" t="n">
        <x:v>0</x:v>
      </x:c>
      <x:c r="H760" s="56" t="n">
        <x:v>4513.349999999999</x:v>
      </x:c>
      <x:c r="I760" s="56" t="n">
        <x:v>0.655</x:v>
      </x:c>
      <x:c r="J760" s="56" t="n">
        <x:v>13.397441288842563</x:v>
      </x:c>
      <x:c r="K760" s="56" t="n">
        <x:v>50.09616193326384</x:v>
      </x:c>
      <x:c r="L760" s="56" t="n">
        <x:v>73.70880276180549</x:v>
      </x:c>
    </x:row>
    <x:row r="761" ht="32.400001525878906" hidden="0" customHeight="1">
      <x:c r="A761" s="29" t="str">
        <x:v>Harris County, Texas</x:v>
      </x:c>
      <x:c r="B761" s="29" t="str">
        <x:v>48201454901</x:v>
      </x:c>
      <x:c r="C761" s="51" t="n">
        <x:v>2428</x:v>
      </x:c>
      <x:c r="D761" s="51" t="n">
        <x:v>90</x:v>
      </x:c>
      <x:c r="E761" s="51" t="n">
        <x:v>13</x:v>
      </x:c>
      <x:c r="F761" s="38" t="n">
        <x:v>0.03706754530477759</x:v>
      </x:c>
      <x:c r="G761" s="38" t="n">
        <x:v>0.005354200988467875</x:v>
      </x:c>
      <x:c r="H761" s="57" t="n">
        <x:v>2460.7999999999997</x:v>
      </x:c>
      <x:c r="I761" s="57" t="n">
        <x:v>0.415</x:v>
      </x:c>
      <x:c r="J761" s="57" t="n">
        <x:v>15.767396695713495</x:v>
      </x:c>
      <x:c r="K761" s="57" t="n">
        <x:v>53.651095043570244</x:v>
      </x:c>
      <x:c r="L761" s="57" t="n">
        <x:v>78.78727863367178</x:v>
      </x:c>
    </x:row>
    <x:row r="762" ht="32.400001525878906" hidden="0" customHeight="1">
      <x:c r="A762" s="27" t="str">
        <x:v>Harris County, Texas</x:v>
      </x:c>
      <x:c r="B762" s="27" t="str">
        <x:v>48201454902</x:v>
      </x:c>
      <x:c r="C762" s="50" t="n">
        <x:v>8576</x:v>
      </x:c>
      <x:c r="D762" s="50" t="n">
        <x:v>512</x:v>
      </x:c>
      <x:c r="E762" s="50" t="n">
        <x:v>223</x:v>
      </x:c>
      <x:c r="F762" s="37" t="n">
        <x:v>0.05970149253731343</x:v>
      </x:c>
      <x:c r="G762" s="37" t="n">
        <x:v>0.026002798507462687</x:v>
      </x:c>
      <x:c r="H762" s="56" t="n">
        <x:v>8777.500000000002</x:v>
      </x:c>
      <x:c r="I762" s="56" t="n">
        <x:v>1.377</x:v>
      </x:c>
      <x:c r="J762" s="56" t="n">
        <x:v>15.46089234464821</x:v>
      </x:c>
      <x:c r="K762" s="56" t="n">
        <x:v>53.191338516972316</x:v>
      </x:c>
      <x:c r="L762" s="56" t="n">
        <x:v>78.13048359567473</x:v>
      </x:c>
    </x:row>
    <x:row r="763" ht="32.400001525878906" hidden="0" customHeight="1">
      <x:c r="A763" s="29" t="str">
        <x:v>Harris County, Texas</x:v>
      </x:c>
      <x:c r="B763" s="29" t="str">
        <x:v>48201455000</x:v>
      </x:c>
      <x:c r="C763" s="51" t="n">
        <x:v>3601</x:v>
      </x:c>
      <x:c r="D763" s="51" t="n">
        <x:v>395</x:v>
      </x:c>
      <x:c r="E763" s="51" t="n">
        <x:v>0</x:v>
      </x:c>
      <x:c r="F763" s="38" t="n">
        <x:v>0.10969175229103027</x:v>
      </x:c>
      <x:c r="G763" s="38" t="n">
        <x:v>0</x:v>
      </x:c>
      <x:c r="H763" s="57" t="n">
        <x:v>3739.25</x:v>
      </x:c>
      <x:c r="I763" s="57" t="n">
        <x:v>0.504</x:v>
      </x:c>
      <x:c r="J763" s="57" t="n">
        <x:v>13.793175364685622</x:v>
      </x:c>
      <x:c r="K763" s="57" t="n">
        <x:v>50.689763047028435</x:v>
      </x:c>
      <x:c r="L763" s="57" t="n">
        <x:v>74.55680435289776</x:v>
      </x:c>
    </x:row>
    <x:row r="764" ht="32.400001525878906" hidden="0" customHeight="1">
      <x:c r="A764" s="27" t="str">
        <x:v>Harris County, Texas</x:v>
      </x:c>
      <x:c r="B764" s="27" t="str">
        <x:v>48201455102</x:v>
      </x:c>
      <x:c r="C764" s="50" t="n">
        <x:v>2886</x:v>
      </x:c>
      <x:c r="D764" s="50" t="n">
        <x:v>253</x:v>
      </x:c>
      <x:c r="E764" s="50" t="n">
        <x:v>10</x:v>
      </x:c>
      <x:c r="F764" s="37" t="n">
        <x:v>0.08766458766458766</x:v>
      </x:c>
      <x:c r="G764" s="37" t="n">
        <x:v>0.003465003465003465</x:v>
      </x:c>
      <x:c r="H764" s="56" t="n">
        <x:v>2975.55</x:v>
      </x:c>
      <x:c r="I764" s="56" t="n">
        <x:v>0.613</x:v>
      </x:c>
      <x:c r="J764" s="56" t="n">
        <x:v>11.504170966066837</x:v>
      </x:c>
      <x:c r="K764" s="56" t="n">
        <x:v>47.256256449100256</x:v>
      </x:c>
      <x:c r="L764" s="56" t="n">
        <x:v>69.65179492728608</x:v>
      </x:c>
    </x:row>
    <x:row r="765" ht="32.400001525878906" hidden="0" customHeight="1">
      <x:c r="A765" s="29" t="str">
        <x:v>Harris County, Texas</x:v>
      </x:c>
      <x:c r="B765" s="29" t="str">
        <x:v>48201455103</x:v>
      </x:c>
      <x:c r="C765" s="51" t="n">
        <x:v>3810</x:v>
      </x:c>
      <x:c r="D765" s="51" t="n">
        <x:v>266</x:v>
      </x:c>
      <x:c r="E765" s="51" t="n">
        <x:v>0</x:v>
      </x:c>
      <x:c r="F765" s="38" t="n">
        <x:v>0.06981627296587926</x:v>
      </x:c>
      <x:c r="G765" s="38" t="n">
        <x:v>0</x:v>
      </x:c>
      <x:c r="H765" s="57" t="n">
        <x:v>3903.1000000000004</x:v>
      </x:c>
      <x:c r="I765" s="57" t="n">
        <x:v>0.57</x:v>
      </x:c>
      <x:c r="J765" s="57" t="n">
        <x:v>12.568025144104338</x:v>
      </x:c>
      <x:c r="K765" s="57" t="n">
        <x:v>48.85203771615651</x:v>
      </x:c>
      <x:c r="L765" s="57" t="n">
        <x:v>71.93148245165216</x:v>
      </x:c>
    </x:row>
    <x:row r="766" ht="32.400001525878906" hidden="0" customHeight="1">
      <x:c r="A766" s="27" t="str">
        <x:v>Harris County, Texas</x:v>
      </x:c>
      <x:c r="B766" s="27" t="str">
        <x:v>48201455104</x:v>
      </x:c>
      <x:c r="C766" s="50" t="n">
        <x:v>3393</x:v>
      </x:c>
      <x:c r="D766" s="50" t="n">
        <x:v>454</x:v>
      </x:c>
      <x:c r="E766" s="50" t="n">
        <x:v>57</x:v>
      </x:c>
      <x:c r="F766" s="37" t="n">
        <x:v>0.13380489242558208</x:v>
      </x:c>
      <x:c r="G766" s="37" t="n">
        <x:v>0.016799292661361626</x:v>
      </x:c>
      <x:c r="H766" s="56" t="n">
        <x:v>3557.6</x:v>
      </x:c>
      <x:c r="I766" s="56" t="n">
        <x:v>0.485</x:v>
      </x:c>
      <x:c r="J766" s="56" t="n">
        <x:v>11.3641316842752</x:v>
      </x:c>
      <x:c r="K766" s="56" t="n">
        <x:v>47.0461975264128</x:v>
      </x:c>
      <x:c r="L766" s="56" t="n">
        <x:v>69.35171075201828</x:v>
      </x:c>
    </x:row>
    <x:row r="767" ht="32.400001525878906" hidden="0" customHeight="1">
      <x:c r="A767" s="29" t="str">
        <x:v>Harris County, Texas</x:v>
      </x:c>
      <x:c r="B767" s="29" t="str">
        <x:v>48201455200</x:v>
      </x:c>
      <x:c r="C767" s="51" t="n">
        <x:v>4190</x:v>
      </x:c>
      <x:c r="D767" s="51" t="n">
        <x:v>501</x:v>
      </x:c>
      <x:c r="E767" s="51" t="n">
        <x:v>96</x:v>
      </x:c>
      <x:c r="F767" s="38" t="n">
        <x:v>0.11957040572792363</x:v>
      </x:c>
      <x:c r="G767" s="38" t="n">
        <x:v>0.022911694510739856</x:v>
      </x:c>
      <x:c r="H767" s="57" t="n">
        <x:v>4374.95</x:v>
      </x:c>
      <x:c r="I767" s="57" t="n">
        <x:v>1.157</x:v>
      </x:c>
      <x:c r="J767" s="57" t="n">
        <x:v>9.924527064870455</x:v>
      </x:c>
      <x:c r="K767" s="57" t="n">
        <x:v>44.88679059730568</x:v>
      </x:c>
      <x:c r="L767" s="57" t="n">
        <x:v>66.26684371043669</x:v>
      </x:c>
    </x:row>
    <x:row r="768" ht="32.400001525878906" hidden="0" customHeight="1">
      <x:c r="A768" s="27" t="str">
        <x:v>Harris County, Texas</x:v>
      </x:c>
      <x:c r="B768" s="27" t="str">
        <x:v>48201455300</x:v>
      </x:c>
      <x:c r="C768" s="50" t="n">
        <x:v>13285</x:v>
      </x:c>
      <x:c r="D768" s="50" t="n">
        <x:v>913</x:v>
      </x:c>
      <x:c r="E768" s="50" t="n">
        <x:v>922.5</x:v>
      </x:c>
      <x:c r="F768" s="37" t="n">
        <x:v>0.06872412495295446</x:v>
      </x:c>
      <x:c r="G768" s="37" t="n">
        <x:v>0.06943921716221302</x:v>
      </x:c>
      <x:c r="H768" s="56" t="n">
        <x:v>13696.8</x:v>
      </x:c>
      <x:c r="I768" s="56" t="n">
        <x:v>2.05</x:v>
      </x:c>
      <x:c r="J768" s="56" t="n">
        <x:v>9.619294201556722</x:v>
      </x:c>
      <x:c r="K768" s="56" t="n">
        <x:v>44.42894130233508</x:v>
      </x:c>
      <x:c r="L768" s="56" t="n">
        <x:v>65.61277328905012</x:v>
      </x:c>
    </x:row>
    <x:row r="769" ht="32.400001525878906" hidden="0" customHeight="1">
      <x:c r="A769" s="29" t="str">
        <x:v>Harris County, Texas</x:v>
      </x:c>
      <x:c r="B769" s="29" t="str">
        <x:v>48201510100</x:v>
      </x:c>
      <x:c r="C769" s="51" t="n">
        <x:v>3096</x:v>
      </x:c>
      <x:c r="D769" s="51" t="n">
        <x:v>200</x:v>
      </x:c>
      <x:c r="E769" s="51" t="n">
        <x:v>39</x:v>
      </x:c>
      <x:c r="F769" s="38" t="n">
        <x:v>0.06459948320413436</x:v>
      </x:c>
      <x:c r="G769" s="38" t="n">
        <x:v>0.012596899224806201</x:v>
      </x:c>
      <x:c r="H769" s="57" t="n">
        <x:v>3169.8999999999996</x:v>
      </x:c>
      <x:c r="I769" s="57" t="n">
        <x:v>0.559</x:v>
      </x:c>
      <x:c r="J769" s="57" t="n">
        <x:v>26.236019895904274</x:v>
      </x:c>
      <x:c r="K769" s="57" t="n">
        <x:v>69.35402984385641</x:v>
      </x:c>
      <x:c r="L769" s="57" t="n">
        <x:v>101.22004263408058</x:v>
      </x:c>
    </x:row>
    <x:row r="770" ht="32.400001525878906" hidden="0" customHeight="1">
      <x:c r="A770" s="27" t="str">
        <x:v>Harris County, Texas</x:v>
      </x:c>
      <x:c r="B770" s="27" t="str">
        <x:v>48201510201</x:v>
      </x:c>
      <x:c r="C770" s="50" t="n">
        <x:v>2450</x:v>
      </x:c>
      <x:c r="D770" s="50" t="n">
        <x:v>115</x:v>
      </x:c>
      <x:c r="E770" s="50" t="n">
        <x:v>46</x:v>
      </x:c>
      <x:c r="F770" s="37" t="n">
        <x:v>0.04693877551020408</x:v>
      </x:c>
      <x:c r="G770" s="37" t="n">
        <x:v>0.018775510204081632</x:v>
      </x:c>
      <x:c r="H770" s="56" t="n">
        <x:v>2494.85</x:v>
      </x:c>
      <x:c r="I770" s="56" t="n">
        <x:v>0.35</x:v>
      </x:c>
      <x:c r="J770" s="56" t="n">
        <x:v>25.411093655145063</x:v>
      </x:c>
      <x:c r="K770" s="56" t="n">
        <x:v>68.1166404827176</x:v>
      </x:c>
      <x:c r="L770" s="56" t="n">
        <x:v>99.45234354673943</x:v>
      </x:c>
    </x:row>
    <x:row r="771" ht="32.400001525878906" hidden="0" customHeight="1">
      <x:c r="A771" s="29" t="str">
        <x:v>Harris County, Texas</x:v>
      </x:c>
      <x:c r="B771" s="29" t="str">
        <x:v>48201510202</x:v>
      </x:c>
      <x:c r="C771" s="51" t="n">
        <x:v>6566</x:v>
      </x:c>
      <x:c r="D771" s="51" t="n">
        <x:v>710</x:v>
      </x:c>
      <x:c r="E771" s="51" t="n">
        <x:v>174</x:v>
      </x:c>
      <x:c r="F771" s="38" t="n">
        <x:v>0.10813280536095035</x:v>
      </x:c>
      <x:c r="G771" s="38" t="n">
        <x:v>0.02650015229972586</x:v>
      </x:c>
      <x:c r="H771" s="57" t="n">
        <x:v>6831.900000000001</x:v>
      </x:c>
      <x:c r="I771" s="57" t="n">
        <x:v>1.016</x:v>
      </x:c>
      <x:c r="J771" s="57" t="n">
        <x:v>26.402582087671743</x:v>
      </x:c>
      <x:c r="K771" s="57" t="n">
        <x:v>69.60387313150761</x:v>
      </x:c>
      <x:c r="L771" s="57" t="n">
        <x:v>101.57696161643945</x:v>
      </x:c>
    </x:row>
    <x:row r="772" ht="32.400001525878906" hidden="0" customHeight="1">
      <x:c r="A772" s="27" t="str">
        <x:v>Harris County, Texas</x:v>
      </x:c>
      <x:c r="B772" s="27" t="str">
        <x:v>48201510301</x:v>
      </x:c>
      <x:c r="C772" s="50" t="n">
        <x:v>3551</x:v>
      </x:c>
      <x:c r="D772" s="50" t="n">
        <x:v>362</x:v>
      </x:c>
      <x:c r="E772" s="50" t="n">
        <x:v>82</x:v>
      </x:c>
      <x:c r="F772" s="37" t="n">
        <x:v>0.10194311461560124</x:v>
      </x:c>
      <x:c r="G772" s="37" t="n">
        <x:v>0.023092086736130668</x:v>
      </x:c>
      <x:c r="H772" s="56" t="n">
        <x:v>3685.9</x:v>
      </x:c>
      <x:c r="I772" s="56" t="n">
        <x:v>0.554</x:v>
      </x:c>
      <x:c r="J772" s="56" t="n">
        <x:v>28.143527053896182</x:v>
      </x:c>
      <x:c r="K772" s="56" t="n">
        <x:v>72.21529058084427</x:v>
      </x:c>
      <x:c r="L772" s="56" t="n">
        <x:v>105.30755797263467</x:v>
      </x:c>
    </x:row>
    <x:row r="773" ht="32.400001525878906" hidden="0" customHeight="1">
      <x:c r="A773" s="29" t="str">
        <x:v>Harris County, Texas</x:v>
      </x:c>
      <x:c r="B773" s="29" t="str">
        <x:v>48201510302</x:v>
      </x:c>
      <x:c r="C773" s="51" t="n">
        <x:v>3482</x:v>
      </x:c>
      <x:c r="D773" s="51" t="n">
        <x:v>128</x:v>
      </x:c>
      <x:c r="E773" s="51" t="n">
        <x:v>11</x:v>
      </x:c>
      <x:c r="F773" s="38" t="n">
        <x:v>0.03676048248133257</x:v>
      </x:c>
      <x:c r="G773" s="38" t="n">
        <x:v>0.0031591039632395176</x:v>
      </x:c>
      <x:c r="H773" s="57" t="n">
        <x:v>3527.9</x:v>
      </x:c>
      <x:c r="I773" s="57" t="n">
        <x:v>0.359</x:v>
      </x:c>
      <x:c r="J773" s="57" t="n">
        <x:v>28.78841416259773</x:v>
      </x:c>
      <x:c r="K773" s="57" t="n">
        <x:v>73.18262124389659</x:v>
      </x:c>
      <x:c r="L773" s="57" t="n">
        <x:v>106.68945891985227</x:v>
      </x:c>
    </x:row>
    <x:row r="774" ht="32.400001525878906" hidden="0" customHeight="1">
      <x:c r="A774" s="27" t="str">
        <x:v>Harris County, Texas</x:v>
      </x:c>
      <x:c r="B774" s="27" t="str">
        <x:v>48201510400</x:v>
      </x:c>
      <x:c r="C774" s="50" t="n">
        <x:v>3836</x:v>
      </x:c>
      <x:c r="D774" s="50" t="n">
        <x:v>252</x:v>
      </x:c>
      <x:c r="E774" s="50" t="n">
        <x:v>160</x:v>
      </x:c>
      <x:c r="F774" s="37" t="n">
        <x:v>0.06569343065693431</x:v>
      </x:c>
      <x:c r="G774" s="37" t="n">
        <x:v>0.04171011470281543</x:v>
      </x:c>
      <x:c r="H774" s="56" t="n">
        <x:v>3940.2000000000003</x:v>
      </x:c>
      <x:c r="I774" s="56" t="n">
        <x:v>0.571</x:v>
      </x:c>
      <x:c r="J774" s="56" t="n">
        <x:v>28.403859666817535</x:v>
      </x:c>
      <x:c r="K774" s="56" t="n">
        <x:v>72.60578950022631</x:v>
      </x:c>
      <x:c r="L774" s="56" t="n">
        <x:v>105.86541357175186</x:v>
      </x:c>
    </x:row>
    <x:row r="775" ht="32.400001525878906" hidden="0" customHeight="1">
      <x:c r="A775" s="29" t="str">
        <x:v>Harris County, Texas</x:v>
      </x:c>
      <x:c r="B775" s="29" t="str">
        <x:v>48201510500</x:v>
      </x:c>
      <x:c r="C775" s="51" t="n">
        <x:v>5097</x:v>
      </x:c>
      <x:c r="D775" s="51" t="n">
        <x:v>247</x:v>
      </x:c>
      <x:c r="E775" s="51" t="n">
        <x:v>16</x:v>
      </x:c>
      <x:c r="F775" s="38" t="n">
        <x:v>0.0484598783598195</x:v>
      </x:c>
      <x:c r="G775" s="38" t="n">
        <x:v>0.0031391014322150286</x:v>
      </x:c>
      <x:c r="H775" s="57" t="n">
        <x:v>5185.05</x:v>
      </x:c>
      <x:c r="I775" s="57" t="n">
        <x:v>0.673</x:v>
      </x:c>
      <x:c r="J775" s="57" t="n">
        <x:v>28.465445979508498</x:v>
      </x:c>
      <x:c r="K775" s="57" t="n">
        <x:v>72.69816896926275</x:v>
      </x:c>
      <x:c r="L775" s="57" t="n">
        <x:v>105.99738424180393</x:v>
      </x:c>
    </x:row>
    <x:row r="776" ht="32.400001525878906" hidden="0" customHeight="1">
      <x:c r="A776" s="27" t="str">
        <x:v>Harris County, Texas</x:v>
      </x:c>
      <x:c r="B776" s="27" t="str">
        <x:v>48201510601</x:v>
      </x:c>
      <x:c r="C776" s="50" t="n">
        <x:v>3417</x:v>
      </x:c>
      <x:c r="D776" s="50" t="n">
        <x:v>239</x:v>
      </x:c>
      <x:c r="E776" s="50" t="n">
        <x:v>62</x:v>
      </x:c>
      <x:c r="F776" s="37" t="n">
        <x:v>0.06994439566871524</x:v>
      </x:c>
      <x:c r="G776" s="37" t="n">
        <x:v>0.018144571261340357</x:v>
      </x:c>
      <x:c r="H776" s="56" t="n">
        <x:v>3506.85</x:v>
      </x:c>
      <x:c r="I776" s="56" t="n">
        <x:v>0.343</x:v>
      </x:c>
      <x:c r="J776" s="56" t="n">
        <x:v>26.90627929762001</x:v>
      </x:c>
      <x:c r="K776" s="56" t="n">
        <x:v>70.35941894643001</x:v>
      </x:c>
      <x:c r="L776" s="56" t="n">
        <x:v>102.65631278061431</x:v>
      </x:c>
    </x:row>
    <x:row r="777" ht="32.400001525878906" hidden="0" customHeight="1">
      <x:c r="A777" s="29" t="str">
        <x:v>Harris County, Texas</x:v>
      </x:c>
      <x:c r="B777" s="29" t="str">
        <x:v>48201510602</x:v>
      </x:c>
      <x:c r="C777" s="51" t="n">
        <x:v>4592</x:v>
      </x:c>
      <x:c r="D777" s="51" t="n">
        <x:v>135</x:v>
      </x:c>
      <x:c r="E777" s="51" t="n">
        <x:v>48</x:v>
      </x:c>
      <x:c r="F777" s="38" t="n">
        <x:v>0.029398954703832754</x:v>
      </x:c>
      <x:c r="G777" s="38" t="n">
        <x:v>0.010452961672473868</x:v>
      </x:c>
      <x:c r="H777" s="57" t="n">
        <x:v>4644.049999999999</x:v>
      </x:c>
      <x:c r="I777" s="57" t="n">
        <x:v>0.462</x:v>
      </x:c>
      <x:c r="J777" s="57" t="n">
        <x:v>27.188144433385794</x:v>
      </x:c>
      <x:c r="K777" s="57" t="n">
        <x:v>70.7822166500787</x:v>
      </x:c>
      <x:c r="L777" s="57" t="n">
        <x:v>103.26030950011241</x:v>
      </x:c>
    </x:row>
    <x:row r="778" ht="32.400001525878906" hidden="0" customHeight="1">
      <x:c r="A778" s="27" t="str">
        <x:v>Harris County, Texas</x:v>
      </x:c>
      <x:c r="B778" s="27" t="str">
        <x:v>48201510701</x:v>
      </x:c>
      <x:c r="C778" s="50" t="n">
        <x:v>2165</x:v>
      </x:c>
      <x:c r="D778" s="50" t="n">
        <x:v>191</x:v>
      </x:c>
      <x:c r="E778" s="50" t="n">
        <x:v>0</x:v>
      </x:c>
      <x:c r="F778" s="37" t="n">
        <x:v>0.08822170900692841</x:v>
      </x:c>
      <x:c r="G778" s="37" t="n">
        <x:v>0</x:v>
      </x:c>
      <x:c r="H778" s="56" t="n">
        <x:v>2231.85</x:v>
      </x:c>
      <x:c r="I778" s="56" t="n">
        <x:v>0.218</x:v>
      </x:c>
      <x:c r="J778" s="56" t="n">
        <x:v>25.25917857041081</x:v>
      </x:c>
      <x:c r="K778" s="56" t="n">
        <x:v>67.88876785561621</x:v>
      </x:c>
      <x:c r="L778" s="56" t="n">
        <x:v>99.12681122230887</x:v>
      </x:c>
    </x:row>
    <x:row r="779" ht="32.400001525878906" hidden="0" customHeight="1">
      <x:c r="A779" s="29" t="str">
        <x:v>Harris County, Texas</x:v>
      </x:c>
      <x:c r="B779" s="29" t="str">
        <x:v>48201510702</x:v>
      </x:c>
      <x:c r="C779" s="51" t="n">
        <x:v>2059</x:v>
      </x:c>
      <x:c r="D779" s="51" t="n">
        <x:v>82</x:v>
      </x:c>
      <x:c r="E779" s="51" t="n">
        <x:v>21</x:v>
      </x:c>
      <x:c r="F779" s="38" t="n">
        <x:v>0.0398251578436134</x:v>
      </x:c>
      <x:c r="G779" s="38" t="n">
        <x:v>0.010199125789218067</x:v>
      </x:c>
      <x:c r="H779" s="57" t="n">
        <x:v>2089.8</x:v>
      </x:c>
      <x:c r="I779" s="57" t="n">
        <x:v>0.198</x:v>
      </x:c>
      <x:c r="J779" s="57" t="n">
        <x:v>26.069473332874303</x:v>
      </x:c>
      <x:c r="K779" s="57" t="n">
        <x:v>69.10420999931145</x:v>
      </x:c>
      <x:c r="L779" s="57" t="n">
        <x:v>100.8631571418735</x:v>
      </x:c>
    </x:row>
    <x:row r="780" ht="32.400001525878906" hidden="0" customHeight="1">
      <x:c r="A780" s="27" t="str">
        <x:v>Harris County, Texas</x:v>
      </x:c>
      <x:c r="B780" s="27" t="str">
        <x:v>48201510801</x:v>
      </x:c>
      <x:c r="C780" s="50" t="n">
        <x:v>4526</x:v>
      </x:c>
      <x:c r="D780" s="50" t="n">
        <x:v>333</x:v>
      </x:c>
      <x:c r="E780" s="50" t="n">
        <x:v>0</x:v>
      </x:c>
      <x:c r="F780" s="37" t="n">
        <x:v>0.07357490057445869</x:v>
      </x:c>
      <x:c r="G780" s="37" t="n">
        <x:v>0</x:v>
      </x:c>
      <x:c r="H780" s="56" t="n">
        <x:v>4642.55</x:v>
      </x:c>
      <x:c r="I780" s="56" t="n">
        <x:v>0.336</x:v>
      </x:c>
      <x:c r="J780" s="56" t="n">
        <x:v>26.039932973886277</x:v>
      </x:c>
      <x:c r="K780" s="56" t="n">
        <x:v>69.05989946082941</x:v>
      </x:c>
      <x:c r="L780" s="56" t="n">
        <x:v>100.79985637261345</x:v>
      </x:c>
    </x:row>
    <x:row r="781" ht="32.400001525878906" hidden="0" customHeight="1">
      <x:c r="A781" s="29" t="str">
        <x:v>Harris County, Texas</x:v>
      </x:c>
      <x:c r="B781" s="29" t="str">
        <x:v>48201510802</x:v>
      </x:c>
      <x:c r="C781" s="51" t="n">
        <x:v>2817</x:v>
      </x:c>
      <x:c r="D781" s="51" t="n">
        <x:v>153</x:v>
      </x:c>
      <x:c r="E781" s="51" t="n">
        <x:v>21</x:v>
      </x:c>
      <x:c r="F781" s="38" t="n">
        <x:v>0.054313099041533544</x:v>
      </x:c>
      <x:c r="G781" s="38" t="n">
        <x:v>0.007454739084132056</x:v>
      </x:c>
      <x:c r="H781" s="57" t="n">
        <x:v>2872.65</x:v>
      </x:c>
      <x:c r="I781" s="57" t="n">
        <x:v>2.764</x:v>
      </x:c>
      <x:c r="J781" s="57" t="n">
        <x:v>27.29590151383642</x:v>
      </x:c>
      <x:c r="K781" s="57" t="n">
        <x:v>70.94385227075463</x:v>
      </x:c>
      <x:c r="L781" s="57" t="n">
        <x:v>103.49121752964948</x:v>
      </x:c>
    </x:row>
    <x:row r="782" ht="32.400001525878906" hidden="0" customHeight="1">
      <x:c r="A782" s="27" t="str">
        <x:v>Harris County, Texas</x:v>
      </x:c>
      <x:c r="B782" s="27" t="str">
        <x:v>48201510803</x:v>
      </x:c>
      <x:c r="C782" s="50" t="n">
        <x:v>2515</x:v>
      </x:c>
      <x:c r="D782" s="50" t="n">
        <x:v>93</x:v>
      </x:c>
      <x:c r="E782" s="50" t="n">
        <x:v>10</x:v>
      </x:c>
      <x:c r="F782" s="37" t="n">
        <x:v>0.036978131212723656</x:v>
      </x:c>
      <x:c r="G782" s="37" t="n">
        <x:v>0.003976143141153081</x:v>
      </x:c>
      <x:c r="H782" s="56" t="n">
        <x:v>2548.55</x:v>
      </x:c>
      <x:c r="I782" s="56" t="n">
        <x:v>0.313</x:v>
      </x:c>
      <x:c r="J782" s="56" t="n">
        <x:v>25.21174723952074</x:v>
      </x:c>
      <x:c r="K782" s="56" t="n">
        <x:v>67.8176208592811</x:v>
      </x:c>
      <x:c r="L782" s="56" t="n">
        <x:v>99.02517265611587</x:v>
      </x:c>
    </x:row>
    <x:row r="783" ht="32.400001525878906" hidden="0" customHeight="1">
      <x:c r="A783" s="29" t="str">
        <x:v>Harris County, Texas</x:v>
      </x:c>
      <x:c r="B783" s="29" t="str">
        <x:v>48201510901</x:v>
      </x:c>
      <x:c r="C783" s="51" t="n">
        <x:v>6490</x:v>
      </x:c>
      <x:c r="D783" s="51" t="n">
        <x:v>170</x:v>
      </x:c>
      <x:c r="E783" s="51" t="n">
        <x:v>0</x:v>
      </x:c>
      <x:c r="F783" s="38" t="n">
        <x:v>0.026194144838212634</x:v>
      </x:c>
      <x:c r="G783" s="38" t="n">
        <x:v>0</x:v>
      </x:c>
      <x:c r="H783" s="57" t="n">
        <x:v>6549.5</x:v>
      </x:c>
      <x:c r="I783" s="57" t="n">
        <x:v>0.54</x:v>
      </x:c>
      <x:c r="J783" s="57" t="n">
        <x:v>28.233032063623043</x:v>
      </x:c>
      <x:c r="K783" s="57" t="n">
        <x:v>72.34954809543456</x:v>
      </x:c>
      <x:c r="L783" s="57" t="n">
        <x:v>105.49935442204938</x:v>
      </x:c>
    </x:row>
    <x:row r="784" ht="32.400001525878906" hidden="0" customHeight="1">
      <x:c r="A784" s="27" t="str">
        <x:v>Harris County, Texas</x:v>
      </x:c>
      <x:c r="B784" s="27" t="str">
        <x:v>48201510902</x:v>
      </x:c>
      <x:c r="C784" s="50" t="n">
        <x:v>5731</x:v>
      </x:c>
      <x:c r="D784" s="50" t="n">
        <x:v>351</x:v>
      </x:c>
      <x:c r="E784" s="50" t="n">
        <x:v>60</x:v>
      </x:c>
      <x:c r="F784" s="37" t="n">
        <x:v>0.06124585587157564</x:v>
      </x:c>
      <x:c r="G784" s="37" t="n">
        <x:v>0.010469377072064212</x:v>
      </x:c>
      <x:c r="H784" s="56" t="n">
        <x:v>5859.849999999999</x:v>
      </x:c>
      <x:c r="I784" s="56" t="n">
        <x:v>1.56</x:v>
      </x:c>
      <x:c r="J784" s="56" t="n">
        <x:v>29.333002022758038</x:v>
      </x:c>
      <x:c r="K784" s="56" t="n">
        <x:v>73.99950303413706</x:v>
      </x:c>
      <x:c r="L784" s="56" t="n">
        <x:v>107.85643290591008</x:v>
      </x:c>
    </x:row>
    <x:row r="785" ht="32.400001525878906" hidden="0" customHeight="1">
      <x:c r="A785" s="29" t="str">
        <x:v>Harris County, Texas</x:v>
      </x:c>
      <x:c r="B785" s="29" t="str">
        <x:v>48201511001</x:v>
      </x:c>
      <x:c r="C785" s="51" t="n">
        <x:v>3575</x:v>
      </x:c>
      <x:c r="D785" s="51" t="n">
        <x:v>430</x:v>
      </x:c>
      <x:c r="E785" s="51" t="n">
        <x:v>115</x:v>
      </x:c>
      <x:c r="F785" s="38" t="n">
        <x:v>0.12027972027972028</x:v>
      </x:c>
      <x:c r="G785" s="38" t="n">
        <x:v>0.032167832167832165</x:v>
      </x:c>
      <x:c r="H785" s="57" t="n">
        <x:v>3737.000000000001</x:v>
      </x:c>
      <x:c r="I785" s="57" t="n">
        <x:v>0.876</x:v>
      </x:c>
      <x:c r="J785" s="57" t="n">
        <x:v>31.53985213517849</x:v>
      </x:c>
      <x:c r="K785" s="57" t="n">
        <x:v>77.30977820276773</x:v>
      </x:c>
      <x:c r="L785" s="57" t="n">
        <x:v>112.58539743252534</x:v>
      </x:c>
    </x:row>
    <x:row r="786" ht="32.400001525878906" hidden="0" customHeight="1">
      <x:c r="A786" s="27" t="str">
        <x:v>Harris County, Texas</x:v>
      </x:c>
      <x:c r="B786" s="27" t="str">
        <x:v>48201511003</x:v>
      </x:c>
      <x:c r="C786" s="50" t="n">
        <x:v>1889</x:v>
      </x:c>
      <x:c r="D786" s="50" t="n">
        <x:v>158</x:v>
      </x:c>
      <x:c r="E786" s="50" t="n">
        <x:v>87</x:v>
      </x:c>
      <x:c r="F786" s="37" t="n">
        <x:v>0.08364213869772366</x:v>
      </x:c>
      <x:c r="G786" s="37" t="n">
        <x:v>0.04605611434621493</x:v>
      </x:c>
      <x:c r="H786" s="56" t="n">
        <x:v>1953.0000000000002</x:v>
      </x:c>
      <x:c r="I786" s="56" t="n">
        <x:v>0.412</x:v>
      </x:c>
      <x:c r="J786" s="56" t="n">
        <x:v>30.682912396868765</x:v>
      </x:c>
      <x:c r="K786" s="56" t="n">
        <x:v>76.02436859530314</x:v>
      </x:c>
      <x:c r="L786" s="56" t="n">
        <x:v>110.74909799329022</x:v>
      </x:c>
    </x:row>
    <x:row r="787" ht="32.400001525878906" hidden="0" customHeight="1">
      <x:c r="A787" s="29" t="str">
        <x:v>Harris County, Texas</x:v>
      </x:c>
      <x:c r="B787" s="29" t="str">
        <x:v>48201511004</x:v>
      </x:c>
      <x:c r="C787" s="51" t="n">
        <x:v>1834</x:v>
      </x:c>
      <x:c r="D787" s="51" t="n">
        <x:v>253</x:v>
      </x:c>
      <x:c r="E787" s="51" t="n">
        <x:v>73.5</x:v>
      </x:c>
      <x:c r="F787" s="38" t="n">
        <x:v>0.13794983642311887</x:v>
      </x:c>
      <x:c r="G787" s="38" t="n">
        <x:v>0.04007633587786259</x:v>
      </x:c>
      <x:c r="H787" s="57" t="n">
        <x:v>1929.9000000000003</x:v>
      </x:c>
      <x:c r="I787" s="57" t="n">
        <x:v>0.4</x:v>
      </x:c>
      <x:c r="J787" s="57" t="n">
        <x:v>30.42522683831246</x:v>
      </x:c>
      <x:c r="K787" s="57" t="n">
        <x:v>75.6378402574687</x:v>
      </x:c>
      <x:c r="L787" s="57" t="n">
        <x:v>110.1969146535267</x:v>
      </x:c>
    </x:row>
    <x:row r="788" ht="32.400001525878906" hidden="0" customHeight="1">
      <x:c r="A788" s="27" t="str">
        <x:v>Harris County, Texas</x:v>
      </x:c>
      <x:c r="B788" s="27" t="str">
        <x:v>48201511100</x:v>
      </x:c>
      <x:c r="C788" s="50" t="n">
        <x:v>4424</x:v>
      </x:c>
      <x:c r="D788" s="50" t="n">
        <x:v>138</x:v>
      </x:c>
      <x:c r="E788" s="50" t="n">
        <x:v>105</x:v>
      </x:c>
      <x:c r="F788" s="37" t="n">
        <x:v>0.031193490054249547</x:v>
      </x:c>
      <x:c r="G788" s="37" t="n">
        <x:v>0.023734177215189875</x:v>
      </x:c>
      <x:c r="H788" s="56" t="n">
        <x:v>4482.799999999999</x:v>
      </x:c>
      <x:c r="I788" s="56" t="n">
        <x:v>0.725</x:v>
      </x:c>
      <x:c r="J788" s="56" t="n">
        <x:v>32.41264959859066</x:v>
      </x:c>
      <x:c r="K788" s="56" t="n">
        <x:v>78.61897439788599</x:v>
      </x:c>
      <x:c r="L788" s="56" t="n">
        <x:v>114.45567771126571</x:v>
      </x:c>
    </x:row>
    <x:row r="789" ht="32.400001525878906" hidden="0" customHeight="1">
      <x:c r="A789" s="29" t="str">
        <x:v>Harris County, Texas</x:v>
      </x:c>
      <x:c r="B789" s="29" t="str">
        <x:v>48201511201</x:v>
      </x:c>
      <x:c r="C789" s="51" t="n">
        <x:v>2910</x:v>
      </x:c>
      <x:c r="D789" s="51" t="n">
        <x:v>84</x:v>
      </x:c>
      <x:c r="E789" s="51" t="n">
        <x:v>59</x:v>
      </x:c>
      <x:c r="F789" s="38" t="n">
        <x:v>0.0288659793814433</x:v>
      </x:c>
      <x:c r="G789" s="38" t="n">
        <x:v>0.02027491408934708</x:v>
      </x:c>
      <x:c r="H789" s="57" t="n">
        <x:v>2945.2999999999997</x:v>
      </x:c>
      <x:c r="I789" s="57" t="n">
        <x:v>0.425</x:v>
      </x:c>
      <x:c r="J789" s="57" t="n">
        <x:v>30.39683547184579</x:v>
      </x:c>
      <x:c r="K789" s="57" t="n">
        <x:v>75.59525320776868</x:v>
      </x:c>
      <x:c r="L789" s="57" t="n">
        <x:v>110.13607601109813</x:v>
      </x:c>
    </x:row>
    <x:row r="790" ht="32.400001525878906" hidden="0" customHeight="1">
      <x:c r="A790" s="27" t="str">
        <x:v>Harris County, Texas</x:v>
      </x:c>
      <x:c r="B790" s="27" t="str">
        <x:v>48201511202</x:v>
      </x:c>
      <x:c r="C790" s="50" t="n">
        <x:v>3510</x:v>
      </x:c>
      <x:c r="D790" s="50" t="n">
        <x:v>348</x:v>
      </x:c>
      <x:c r="E790" s="50" t="n">
        <x:v>44</x:v>
      </x:c>
      <x:c r="F790" s="37" t="n">
        <x:v>0.09914529914529914</x:v>
      </x:c>
      <x:c r="G790" s="37" t="n">
        <x:v>0.012535612535612535</x:v>
      </x:c>
      <x:c r="H790" s="56" t="n">
        <x:v>3636.2000000000003</x:v>
      </x:c>
      <x:c r="I790" s="56" t="n">
        <x:v>0.382</x:v>
      </x:c>
      <x:c r="J790" s="56" t="n">
        <x:v>31.629019616806897</x:v>
      </x:c>
      <x:c r="K790" s="56" t="n">
        <x:v>77.44352942521034</x:v>
      </x:c>
      <x:c r="L790" s="56" t="n">
        <x:v>112.77647060744336</x:v>
      </x:c>
    </x:row>
    <x:row r="791" ht="32.400001525878906" hidden="0" customHeight="1">
      <x:c r="A791" s="29" t="str">
        <x:v>Harris County, Texas</x:v>
      </x:c>
      <x:c r="B791" s="29" t="str">
        <x:v>48201511301</x:v>
      </x:c>
      <x:c r="C791" s="51" t="n">
        <x:v>5065</x:v>
      </x:c>
      <x:c r="D791" s="51" t="n">
        <x:v>502</x:v>
      </x:c>
      <x:c r="E791" s="51" t="n">
        <x:v>306</x:v>
      </x:c>
      <x:c r="F791" s="38" t="n">
        <x:v>0.09911154985192498</x:v>
      </x:c>
      <x:c r="G791" s="38" t="n">
        <x:v>0.060414610069101676</x:v>
      </x:c>
      <x:c r="H791" s="57" t="n">
        <x:v>5271.3</x:v>
      </x:c>
      <x:c r="I791" s="57" t="n">
        <x:v>0.698</x:v>
      </x:c>
      <x:c r="J791" s="57" t="n">
        <x:v>30.43325021835822</x:v>
      </x:c>
      <x:c r="K791" s="57" t="n">
        <x:v>75.64987532753733</x:v>
      </x:c>
      <x:c r="L791" s="57" t="n">
        <x:v>110.21410761076761</x:v>
      </x:c>
    </x:row>
    <x:row r="792" ht="32.400001525878906" hidden="0" customHeight="1">
      <x:c r="A792" s="27" t="str">
        <x:v>Harris County, Texas</x:v>
      </x:c>
      <x:c r="B792" s="27" t="str">
        <x:v>48201511302</x:v>
      </x:c>
      <x:c r="C792" s="50" t="n">
        <x:v>4961</x:v>
      </x:c>
      <x:c r="D792" s="50" t="n">
        <x:v>315</x:v>
      </x:c>
      <x:c r="E792" s="50" t="n">
        <x:v>190</x:v>
      </x:c>
      <x:c r="F792" s="37" t="n">
        <x:v>0.06349526305180407</x:v>
      </x:c>
      <x:c r="G792" s="37" t="n">
        <x:v>0.03829873009473896</x:v>
      </x:c>
      <x:c r="H792" s="56" t="n">
        <x:v>5090.25</x:v>
      </x:c>
      <x:c r="I792" s="56" t="n">
        <x:v>0.613</x:v>
      </x:c>
      <x:c r="J792" s="56" t="n">
        <x:v>30.370675712190703</x:v>
      </x:c>
      <x:c r="K792" s="56" t="n">
        <x:v>75.55601356828606</x:v>
      </x:c>
      <x:c r="L792" s="56" t="n">
        <x:v>110.08001938326579</x:v>
      </x:c>
    </x:row>
    <x:row r="793" ht="32.400001525878906" hidden="0" customHeight="1">
      <x:c r="A793" s="29" t="str">
        <x:v>Harris County, Texas</x:v>
      </x:c>
      <x:c r="B793" s="29" t="str">
        <x:v>48201511400</x:v>
      </x:c>
      <x:c r="C793" s="51" t="n">
        <x:v>2686</x:v>
      </x:c>
      <x:c r="D793" s="51" t="n">
        <x:v>243</x:v>
      </x:c>
      <x:c r="E793" s="51" t="n">
        <x:v>241.5</x:v>
      </x:c>
      <x:c r="F793" s="38" t="n">
        <x:v>0.09046909903201787</x:v>
      </x:c>
      <x:c r="G793" s="38" t="n">
        <x:v>0.08991064780342517</x:v>
      </x:c>
      <x:c r="H793" s="57" t="n">
        <x:v>2795.2000000000003</x:v>
      </x:c>
      <x:c r="I793" s="57" t="n">
        <x:v>0.443</x:v>
      </x:c>
      <x:c r="J793" s="57" t="n">
        <x:v>30.121049190268597</x:v>
      </x:c>
      <x:c r="K793" s="57" t="n">
        <x:v>75.18157378540289</x:v>
      </x:c>
      <x:c r="L793" s="57" t="n">
        <x:v>109.54510540771842</x:v>
      </x:c>
    </x:row>
    <x:row r="794" ht="32.400001525878906" hidden="0" customHeight="1">
      <x:c r="A794" s="27" t="str">
        <x:v>Harris County, Texas</x:v>
      </x:c>
      <x:c r="B794" s="27" t="str">
        <x:v>48201511501</x:v>
      </x:c>
      <x:c r="C794" s="50" t="n">
        <x:v>3757</x:v>
      </x:c>
      <x:c r="D794" s="50" t="n">
        <x:v>180</x:v>
      </x:c>
      <x:c r="E794" s="50" t="n">
        <x:v>0</x:v>
      </x:c>
      <x:c r="F794" s="37" t="n">
        <x:v>0.04791056694170881</x:v>
      </x:c>
      <x:c r="G794" s="37" t="n">
        <x:v>0</x:v>
      </x:c>
      <x:c r="H794" s="56" t="n">
        <x:v>3820</x:v>
      </x:c>
      <x:c r="I794" s="56" t="n">
        <x:v>0.48</x:v>
      </x:c>
      <x:c r="J794" s="56" t="n">
        <x:v>32.09250217972198</x:v>
      </x:c>
      <x:c r="K794" s="56" t="n">
        <x:v>78.13875326958298</x:v>
      </x:c>
      <x:c r="L794" s="56" t="n">
        <x:v>113.76964752797568</x:v>
      </x:c>
    </x:row>
    <x:row r="795" ht="32.400001525878906" hidden="0" customHeight="1">
      <x:c r="A795" s="29" t="str">
        <x:v>Harris County, Texas</x:v>
      </x:c>
      <x:c r="B795" s="29" t="str">
        <x:v>48201511502</x:v>
      </x:c>
      <x:c r="C795" s="51" t="n">
        <x:v>5455</x:v>
      </x:c>
      <x:c r="D795" s="51" t="n">
        <x:v>276</x:v>
      </x:c>
      <x:c r="E795" s="51" t="n">
        <x:v>0</x:v>
      </x:c>
      <x:c r="F795" s="38" t="n">
        <x:v>0.05059578368469294</x:v>
      </x:c>
      <x:c r="G795" s="38" t="n">
        <x:v>0</x:v>
      </x:c>
      <x:c r="H795" s="57" t="n">
        <x:v>5551.599999999999</x:v>
      </x:c>
      <x:c r="I795" s="57" t="n">
        <x:v>0.709</x:v>
      </x:c>
      <x:c r="J795" s="57" t="n">
        <x:v>32.056367486963424</x:v>
      </x:c>
      <x:c r="K795" s="57" t="n">
        <x:v>78.08455123044513</x:v>
      </x:c>
      <x:c r="L795" s="57" t="n">
        <x:v>113.69221604349305</x:v>
      </x:c>
    </x:row>
    <x:row r="796" ht="32.400001525878906" hidden="0" customHeight="1">
      <x:c r="A796" s="27" t="str">
        <x:v>Harris County, Texas</x:v>
      </x:c>
      <x:c r="B796" s="27" t="str">
        <x:v>48201511600</x:v>
      </x:c>
      <x:c r="C796" s="50" t="n">
        <x:v>3548</x:v>
      </x:c>
      <x:c r="D796" s="50" t="n">
        <x:v>316</x:v>
      </x:c>
      <x:c r="E796" s="50" t="n">
        <x:v>56</x:v>
      </x:c>
      <x:c r="F796" s="37" t="n">
        <x:v>0.08906426155580609</x:v>
      </x:c>
      <x:c r="G796" s="37" t="n">
        <x:v>0.015783540022547914</x:v>
      </x:c>
      <x:c r="H796" s="56" t="n">
        <x:v>3664.2</x:v>
      </x:c>
      <x:c r="I796" s="56" t="n">
        <x:v>0.753</x:v>
      </x:c>
      <x:c r="J796" s="56" t="n">
        <x:v>31.228176065155925</x:v>
      </x:c>
      <x:c r="K796" s="56" t="n">
        <x:v>76.84226409773389</x:v>
      </x:c>
      <x:c r="L796" s="56" t="n">
        <x:v>111.91752013961984</x:v>
      </x:c>
    </x:row>
    <x:row r="797" ht="32.400001525878906" hidden="0" customHeight="1">
      <x:c r="A797" s="29" t="str">
        <x:v>Harris County, Texas</x:v>
      </x:c>
      <x:c r="B797" s="29" t="str">
        <x:v>48201520100</x:v>
      </x:c>
      <x:c r="C797" s="51" t="n">
        <x:v>3406</x:v>
      </x:c>
      <x:c r="D797" s="51" t="n">
        <x:v>244</x:v>
      </x:c>
      <x:c r="E797" s="51" t="n">
        <x:v>10</x:v>
      </x:c>
      <x:c r="F797" s="38" t="n">
        <x:v>0.0716382853787434</x:v>
      </x:c>
      <x:c r="G797" s="38" t="n">
        <x:v>0.002935995302407516</x:v>
      </x:c>
      <x:c r="H797" s="57" t="n">
        <x:v>3492.4</x:v>
      </x:c>
      <x:c r="I797" s="57" t="n">
        <x:v>1.14</x:v>
      </x:c>
      <x:c r="J797" s="57" t="n">
        <x:v>31.100575256907423</x:v>
      </x:c>
      <x:c r="K797" s="57" t="n">
        <x:v>76.65086288536114</x:v>
      </x:c>
      <x:c r="L797" s="57" t="n">
        <x:v>111.6440898362302</x:v>
      </x:c>
    </x:row>
    <x:row r="798" ht="32.400001525878906" hidden="0" customHeight="1">
      <x:c r="A798" s="27" t="str">
        <x:v>Harris County, Texas</x:v>
      </x:c>
      <x:c r="B798" s="27" t="str">
        <x:v>48201520200</x:v>
      </x:c>
      <x:c r="C798" s="50" t="n">
        <x:v>3189</x:v>
      </x:c>
      <x:c r="D798" s="50" t="n">
        <x:v>357</x:v>
      </x:c>
      <x:c r="E798" s="50" t="n">
        <x:v>166.5</x:v>
      </x:c>
      <x:c r="F798" s="37" t="n">
        <x:v>0.11194731890874883</x:v>
      </x:c>
      <x:c r="G798" s="37" t="n">
        <x:v>0.05221072436500471</x:v>
      </x:c>
      <x:c r="H798" s="56" t="n">
        <x:v>3330.6000000000004</x:v>
      </x:c>
      <x:c r="I798" s="56" t="n">
        <x:v>0.727</x:v>
      </x:c>
      <x:c r="J798" s="56" t="n">
        <x:v>31.40407745132564</x:v>
      </x:c>
      <x:c r="K798" s="56" t="n">
        <x:v>77.10611617698846</x:v>
      </x:c>
      <x:c r="L798" s="56" t="n">
        <x:v>112.29445168141208</x:v>
      </x:c>
    </x:row>
    <x:row r="799" ht="32.400001525878906" hidden="0" customHeight="1">
      <x:c r="A799" s="29" t="str">
        <x:v>Harris County, Texas</x:v>
      </x:c>
      <x:c r="B799" s="29" t="str">
        <x:v>48201520301</x:v>
      </x:c>
      <x:c r="C799" s="51" t="n">
        <x:v>2443</x:v>
      </x:c>
      <x:c r="D799" s="51" t="n">
        <x:v>440</x:v>
      </x:c>
      <x:c r="E799" s="51" t="n">
        <x:v>250</x:v>
      </x:c>
      <x:c r="F799" s="38" t="n">
        <x:v>0.18010642652476463</x:v>
      </x:c>
      <x:c r="G799" s="38" t="n">
        <x:v>0.10233319688907082</x:v>
      </x:c>
      <x:c r="H799" s="57" t="n">
        <x:v>2622</x:v>
      </x:c>
      <x:c r="I799" s="57" t="n">
        <x:v>0.26</x:v>
      </x:c>
      <x:c r="J799" s="57" t="n">
        <x:v>32.49733246862308</x:v>
      </x:c>
      <x:c r="K799" s="57" t="n">
        <x:v>78.74599870293461</x:v>
      </x:c>
      <x:c r="L799" s="57" t="n">
        <x:v>114.63714100419232</x:v>
      </x:c>
    </x:row>
    <x:row r="800" ht="32.400001525878906" hidden="0" customHeight="1">
      <x:c r="A800" s="27" t="str">
        <x:v>Harris County, Texas</x:v>
      </x:c>
      <x:c r="B800" s="27" t="str">
        <x:v>48201520302</x:v>
      </x:c>
      <x:c r="C800" s="50" t="n">
        <x:v>2591</x:v>
      </x:c>
      <x:c r="D800" s="50" t="n">
        <x:v>390</x:v>
      </x:c>
      <x:c r="E800" s="50" t="n">
        <x:v>79</x:v>
      </x:c>
      <x:c r="F800" s="37" t="n">
        <x:v>0.15052103434967193</x:v>
      </x:c>
      <x:c r="G800" s="37" t="n">
        <x:v>0.03049015824006175</x:v>
      </x:c>
      <x:c r="H800" s="56" t="n">
        <x:v>2735.3999999999996</x:v>
      </x:c>
      <x:c r="I800" s="56" t="n">
        <x:v>0.312</x:v>
      </x:c>
      <x:c r="J800" s="56" t="n">
        <x:v>32.88882576086077</x:v>
      </x:c>
      <x:c r="K800" s="56" t="n">
        <x:v>79.33323864129116</x:v>
      </x:c>
      <x:c r="L800" s="56" t="n">
        <x:v>115.4760552018445</x:v>
      </x:c>
    </x:row>
    <x:row r="801" ht="32.400001525878906" hidden="0" customHeight="1">
      <x:c r="A801" s="29" t="str">
        <x:v>Harris County, Texas</x:v>
      </x:c>
      <x:c r="B801" s="29" t="str">
        <x:v>48201520400</x:v>
      </x:c>
      <x:c r="C801" s="51" t="n">
        <x:v>3837</x:v>
      </x:c>
      <x:c r="D801" s="51" t="n">
        <x:v>478</x:v>
      </x:c>
      <x:c r="E801" s="51" t="n">
        <x:v>451</x:v>
      </x:c>
      <x:c r="F801" s="38" t="n">
        <x:v>0.12457649205108158</x:v>
      </x:c>
      <x:c r="G801" s="38" t="n">
        <x:v>0.11753974459212926</x:v>
      </x:c>
      <x:c r="H801" s="57" t="n">
        <x:v>4049.4</x:v>
      </x:c>
      <x:c r="I801" s="57" t="n">
        <x:v>0.788</x:v>
      </x:c>
      <x:c r="J801" s="57" t="n">
        <x:v>33.88152868003736</x:v>
      </x:c>
      <x:c r="K801" s="57" t="n">
        <x:v>80.82229302005604</x:v>
      </x:c>
      <x:c r="L801" s="57" t="n">
        <x:v>117.6032757429372</x:v>
      </x:c>
    </x:row>
    <x:row r="802" ht="32.400001525878906" hidden="0" customHeight="1">
      <x:c r="A802" s="27" t="str">
        <x:v>Harris County, Texas</x:v>
      </x:c>
      <x:c r="B802" s="27" t="str">
        <x:v>48201520501</x:v>
      </x:c>
      <x:c r="C802" s="50" t="n">
        <x:v>4009</x:v>
      </x:c>
      <x:c r="D802" s="50" t="n">
        <x:v>443</x:v>
      </x:c>
      <x:c r="E802" s="50" t="n">
        <x:v>434.5</x:v>
      </x:c>
      <x:c r="F802" s="37" t="n">
        <x:v>0.11050137191319531</x:v>
      </x:c>
      <x:c r="G802" s="37" t="n">
        <x:v>0.10838114242953355</x:v>
      </x:c>
      <x:c r="H802" s="56" t="n">
        <x:v>4207.5</x:v>
      </x:c>
      <x:c r="I802" s="56" t="n">
        <x:v>1.784</x:v>
      </x:c>
      <x:c r="J802" s="56" t="n">
        <x:v>34.76828527907955</x:v>
      </x:c>
      <x:c r="K802" s="56" t="n">
        <x:v>82.15242791861932</x:v>
      </x:c>
      <x:c r="L802" s="56" t="n">
        <x:v>119.50346845517046</x:v>
      </x:c>
    </x:row>
    <x:row r="803" ht="32.400001525878906" hidden="0" customHeight="1">
      <x:c r="A803" s="29" t="str">
        <x:v>Harris County, Texas</x:v>
      </x:c>
      <x:c r="B803" s="29" t="str">
        <x:v>48201520502</x:v>
      </x:c>
      <x:c r="C803" s="51" t="n">
        <x:v>4644</x:v>
      </x:c>
      <x:c r="D803" s="51" t="n">
        <x:v>178</x:v>
      </x:c>
      <x:c r="E803" s="51" t="n">
        <x:v>108</x:v>
      </x:c>
      <x:c r="F803" s="38" t="n">
        <x:v>0.03832902670111973</x:v>
      </x:c>
      <x:c r="G803" s="38" t="n">
        <x:v>0.023255813953488372</x:v>
      </x:c>
      <x:c r="H803" s="57" t="n">
        <x:v>4717.1</x:v>
      </x:c>
      <x:c r="I803" s="57" t="n">
        <x:v>1.114</x:v>
      </x:c>
      <x:c r="J803" s="57" t="n">
        <x:v>31.88196506107578</x:v>
      </x:c>
      <x:c r="K803" s="57" t="n">
        <x:v>77.82294759161367</x:v>
      </x:c>
      <x:c r="L803" s="57" t="n">
        <x:v>113.31849655944809</x:v>
      </x:c>
    </x:row>
    <x:row r="804" ht="32.400001525878906" hidden="0" customHeight="1">
      <x:c r="A804" s="27" t="str">
        <x:v>Harris County, Texas</x:v>
      </x:c>
      <x:c r="B804" s="27" t="str">
        <x:v>48201520601</x:v>
      </x:c>
      <x:c r="C804" s="50" t="n">
        <x:v>2658</x:v>
      </x:c>
      <x:c r="D804" s="50" t="n">
        <x:v>417</x:v>
      </x:c>
      <x:c r="E804" s="50" t="n">
        <x:v>225.5</x:v>
      </x:c>
      <x:c r="F804" s="37" t="n">
        <x:v>0.15688487584650113</x:v>
      </x:c>
      <x:c r="G804" s="37" t="n">
        <x:v>0.08483822422874342</x:v>
      </x:c>
      <x:c r="H804" s="56" t="n">
        <x:v>2826.4999999999995</x:v>
      </x:c>
      <x:c r="I804" s="56" t="n">
        <x:v>0.759</x:v>
      </x:c>
      <x:c r="J804" s="56" t="n">
        <x:v>33.772018946024815</x:v>
      </x:c>
      <x:c r="K804" s="56" t="n">
        <x:v>80.65802841903722</x:v>
      </x:c>
      <x:c r="L804" s="56" t="n">
        <x:v>117.36861202719604</x:v>
      </x:c>
    </x:row>
    <x:row r="805" ht="32.400001525878906" hidden="0" customHeight="1">
      <x:c r="A805" s="29" t="str">
        <x:v>Harris County, Texas</x:v>
      </x:c>
      <x:c r="B805" s="29" t="str">
        <x:v>48201520603</x:v>
      </x:c>
      <x:c r="C805" s="51" t="n">
        <x:v>2037</x:v>
      </x:c>
      <x:c r="D805" s="51" t="n">
        <x:v>359</x:v>
      </x:c>
      <x:c r="E805" s="51" t="n">
        <x:v>542</x:v>
      </x:c>
      <x:c r="F805" s="38" t="n">
        <x:v>0.17623956799214532</x:v>
      </x:c>
      <x:c r="G805" s="38" t="n">
        <x:v>0.2660775650466372</x:v>
      </x:c>
      <x:c r="H805" s="57" t="n">
        <x:v>2216.85</x:v>
      </x:c>
      <x:c r="I805" s="57" t="n">
        <x:v>0.136</x:v>
      </x:c>
      <x:c r="J805" s="57" t="n">
        <x:v>34.34371367306735</x:v>
      </x:c>
      <x:c r="K805" s="57" t="n">
        <x:v>81.51557050960102</x:v>
      </x:c>
      <x:c r="L805" s="57" t="n">
        <x:v>118.5936721565729</x:v>
      </x:c>
    </x:row>
    <x:row r="806" ht="32.400001525878906" hidden="0" customHeight="1">
      <x:c r="A806" s="27" t="str">
        <x:v>Harris County, Texas</x:v>
      </x:c>
      <x:c r="B806" s="27" t="str">
        <x:v>48201520604</x:v>
      </x:c>
      <x:c r="C806" s="50" t="n">
        <x:v>3447</x:v>
      </x:c>
      <x:c r="D806" s="50" t="n">
        <x:v>309</x:v>
      </x:c>
      <x:c r="E806" s="50" t="n">
        <x:v>86</x:v>
      </x:c>
      <x:c r="F806" s="37" t="n">
        <x:v>0.08964316797214969</x:v>
      </x:c>
      <x:c r="G806" s="37" t="n">
        <x:v>0.024949231215549754</x:v>
      </x:c>
      <x:c r="H806" s="56" t="n">
        <x:v>3563.7499999999995</x:v>
      </x:c>
      <x:c r="I806" s="56" t="n">
        <x:v>0.384</x:v>
      </x:c>
      <x:c r="J806" s="56" t="n">
        <x:v>34.415871474537006</x:v>
      </x:c>
      <x:c r="K806" s="56" t="n">
        <x:v>81.62380721180551</x:v>
      </x:c>
      <x:c r="L806" s="56" t="n">
        <x:v>118.74829601686501</x:v>
      </x:c>
    </x:row>
    <x:row r="807" ht="32.400001525878906" hidden="0" customHeight="1">
      <x:c r="A807" s="29" t="str">
        <x:v>Harris County, Texas</x:v>
      </x:c>
      <x:c r="B807" s="29" t="str">
        <x:v>48201520700</x:v>
      </x:c>
      <x:c r="C807" s="51" t="n">
        <x:v>4466</x:v>
      </x:c>
      <x:c r="D807" s="51" t="n">
        <x:v>234</x:v>
      </x:c>
      <x:c r="E807" s="51" t="n">
        <x:v>16</x:v>
      </x:c>
      <x:c r="F807" s="38" t="n">
        <x:v>0.052395879982086876</x:v>
      </x:c>
      <x:c r="G807" s="38" t="n">
        <x:v>0.0035826242722794446</x:v>
      </x:c>
      <x:c r="H807" s="57" t="n">
        <x:v>4549.5</x:v>
      </x:c>
      <x:c r="I807" s="57" t="n">
        <x:v>0.759</x:v>
      </x:c>
      <x:c r="J807" s="57" t="n">
        <x:v>33.82272703364799</x:v>
      </x:c>
      <x:c r="K807" s="57" t="n">
        <x:v>80.73409055047199</x:v>
      </x:c>
      <x:c r="L807" s="57" t="n">
        <x:v>117.47727221495998</x:v>
      </x:c>
    </x:row>
    <x:row r="808" ht="32.400001525878906" hidden="0" customHeight="1">
      <x:c r="A808" s="27" t="str">
        <x:v>Harris County, Texas</x:v>
      </x:c>
      <x:c r="B808" s="27" t="str">
        <x:v>48201521000</x:v>
      </x:c>
      <x:c r="C808" s="50" t="n">
        <x:v>2158</x:v>
      </x:c>
      <x:c r="D808" s="50" t="n">
        <x:v>159</x:v>
      </x:c>
      <x:c r="E808" s="50" t="n">
        <x:v>302</x:v>
      </x:c>
      <x:c r="F808" s="37" t="n">
        <x:v>0.07367933271547729</x:v>
      </x:c>
      <x:c r="G808" s="37" t="n">
        <x:v>0.13994439295644115</x:v>
      </x:c>
      <x:c r="H808" s="56" t="n">
        <x:v>2243.8500000000004</x:v>
      </x:c>
      <x:c r="I808" s="56" t="n">
        <x:v>0.455</x:v>
      </x:c>
      <x:c r="J808" s="56" t="n">
        <x:v>33.41863846999106</x:v>
      </x:c>
      <x:c r="K808" s="56" t="n">
        <x:v>80.12795770498658</x:v>
      </x:c>
      <x:c r="L808" s="56" t="n">
        <x:v>116.61136814998085</x:v>
      </x:c>
    </x:row>
    <x:row r="809" ht="32.400001525878906" hidden="0" customHeight="1">
      <x:c r="A809" s="29" t="str">
        <x:v>Harris County, Texas</x:v>
      </x:c>
      <x:c r="B809" s="29" t="str">
        <x:v>48201521100</x:v>
      </x:c>
      <x:c r="C809" s="51" t="n">
        <x:v>2494</x:v>
      </x:c>
      <x:c r="D809" s="51" t="n">
        <x:v>383</x:v>
      </x:c>
      <x:c r="E809" s="51" t="n">
        <x:v>36</x:v>
      </x:c>
      <x:c r="F809" s="38" t="n">
        <x:v>0.15356856455493184</x:v>
      </x:c>
      <x:c r="G809" s="38" t="n">
        <x:v>0.014434643143544507</x:v>
      </x:c>
      <x:c r="H809" s="57" t="n">
        <x:v>2631.65</x:v>
      </x:c>
      <x:c r="I809" s="57" t="n">
        <x:v>0.231</x:v>
      </x:c>
      <x:c r="J809" s="57" t="n">
        <x:v>32.462694777302836</x:v>
      </x:c>
      <x:c r="K809" s="57" t="n">
        <x:v>78.69404216595426</x:v>
      </x:c>
      <x:c r="L809" s="57" t="n">
        <x:v>114.56291737993465</x:v>
      </x:c>
    </x:row>
    <x:row r="810" ht="32.400001525878906" hidden="0" customHeight="1">
      <x:c r="A810" s="27" t="str">
        <x:v>Harris County, Texas</x:v>
      </x:c>
      <x:c r="B810" s="27" t="str">
        <x:v>48201521201</x:v>
      </x:c>
      <x:c r="C810" s="50" t="n">
        <x:v>2057</x:v>
      </x:c>
      <x:c r="D810" s="50" t="n">
        <x:v>269</x:v>
      </x:c>
      <x:c r="E810" s="50" t="n">
        <x:v>64</x:v>
      </x:c>
      <x:c r="F810" s="37" t="n">
        <x:v>0.13077297034516286</x:v>
      </x:c>
      <x:c r="G810" s="37" t="n">
        <x:v>0.031113271754982984</x:v>
      </x:c>
      <x:c r="H810" s="56" t="n">
        <x:v>2157.55</x:v>
      </x:c>
      <x:c r="I810" s="56" t="n">
        <x:v>0.186</x:v>
      </x:c>
      <x:c r="J810" s="56" t="n">
        <x:v>33.523494614618095</x:v>
      </x:c>
      <x:c r="K810" s="56" t="n">
        <x:v>80.28524192192714</x:v>
      </x:c>
      <x:c r="L810" s="56" t="n">
        <x:v>116.83605988846735</x:v>
      </x:c>
    </x:row>
    <x:row r="811" ht="32.400001525878906" hidden="0" customHeight="1">
      <x:c r="A811" s="29" t="str">
        <x:v>Harris County, Texas</x:v>
      </x:c>
      <x:c r="B811" s="29" t="str">
        <x:v>48201521202</x:v>
      </x:c>
      <x:c r="C811" s="51" t="n">
        <x:v>3325</x:v>
      </x:c>
      <x:c r="D811" s="51" t="n">
        <x:v>413</x:v>
      </x:c>
      <x:c r="E811" s="51" t="n">
        <x:v>96</x:v>
      </x:c>
      <x:c r="F811" s="38" t="n">
        <x:v>0.12421052631578948</x:v>
      </x:c>
      <x:c r="G811" s="38" t="n">
        <x:v>0.02887218045112782</x:v>
      </x:c>
      <x:c r="H811" s="57" t="n">
        <x:v>3479.1499999999996</x:v>
      </x:c>
      <x:c r="I811" s="57" t="n">
        <x:v>0.539</x:v>
      </x:c>
      <x:c r="J811" s="57" t="n">
        <x:v>32.44728785074256</x:v>
      </x:c>
      <x:c r="K811" s="57" t="n">
        <x:v>78.67093177611385</x:v>
      </x:c>
      <x:c r="L811" s="57" t="n">
        <x:v>114.52990253730549</x:v>
      </x:c>
    </x:row>
    <x:row r="812" ht="32.400001525878906" hidden="0" customHeight="1">
      <x:c r="A812" s="27" t="str">
        <x:v>Harris County, Texas</x:v>
      </x:c>
      <x:c r="B812" s="27" t="str">
        <x:v>48201521300</x:v>
      </x:c>
      <x:c r="C812" s="50" t="n">
        <x:v>7160</x:v>
      </x:c>
      <x:c r="D812" s="50" t="n">
        <x:v>684</x:v>
      </x:c>
      <x:c r="E812" s="50" t="n">
        <x:v>759</x:v>
      </x:c>
      <x:c r="F812" s="37" t="n">
        <x:v>0.09553072625698324</x:v>
      </x:c>
      <x:c r="G812" s="37" t="n">
        <x:v>0.10600558659217878</x:v>
      </x:c>
      <x:c r="H812" s="56" t="n">
        <x:v>7475.3</x:v>
      </x:c>
      <x:c r="I812" s="56" t="n">
        <x:v>1.126</x:v>
      </x:c>
      <x:c r="J812" s="56" t="n">
        <x:v>31.794467707433302</x:v>
      </x:c>
      <x:c r="K812" s="56" t="n">
        <x:v>77.69170156114996</x:v>
      </x:c>
      <x:c r="L812" s="56" t="n">
        <x:v>113.13100223021422</x:v>
      </x:c>
    </x:row>
    <x:row r="813" ht="32.400001525878906" hidden="0" customHeight="1">
      <x:c r="A813" s="29" t="str">
        <x:v>Harris County, Texas</x:v>
      </x:c>
      <x:c r="B813" s="29" t="str">
        <x:v>48201521401</x:v>
      </x:c>
      <x:c r="C813" s="51" t="n">
        <x:v>3298</x:v>
      </x:c>
      <x:c r="D813" s="51" t="n">
        <x:v>76</x:v>
      </x:c>
      <x:c r="E813" s="51" t="n">
        <x:v>171</x:v>
      </x:c>
      <x:c r="F813" s="38" t="n">
        <x:v>0.02304426925409339</x:v>
      </x:c>
      <x:c r="G813" s="38" t="n">
        <x:v>0.05184960582171013</x:v>
      </x:c>
      <x:c r="H813" s="57" t="n">
        <x:v>3341.7</x:v>
      </x:c>
      <x:c r="I813" s="57" t="n">
        <x:v>0.228</x:v>
      </x:c>
      <x:c r="J813" s="57" t="n">
        <x:v>31.660027565845667</x:v>
      </x:c>
      <x:c r="K813" s="57" t="n">
        <x:v>77.4900413487685</x:v>
      </x:c>
      <x:c r="L813" s="57" t="n">
        <x:v>112.84291621252643</x:v>
      </x:c>
    </x:row>
    <x:row r="814" ht="32.400001525878906" hidden="0" customHeight="1">
      <x:c r="A814" s="27" t="str">
        <x:v>Harris County, Texas</x:v>
      </x:c>
      <x:c r="B814" s="27" t="str">
        <x:v>48201521402</x:v>
      </x:c>
      <x:c r="C814" s="50" t="n">
        <x:v>3430</x:v>
      </x:c>
      <x:c r="D814" s="50" t="n">
        <x:v>239</x:v>
      </x:c>
      <x:c r="E814" s="50" t="n">
        <x:v>184.5</x:v>
      </x:c>
      <x:c r="F814" s="37" t="n">
        <x:v>0.06967930029154519</x:v>
      </x:c>
      <x:c r="G814" s="37" t="n">
        <x:v>0.05379008746355685</x:v>
      </x:c>
      <x:c r="H814" s="56" t="n">
        <x:v>3532.1</x:v>
      </x:c>
      <x:c r="I814" s="56" t="n">
        <x:v>0.359</x:v>
      </x:c>
      <x:c r="J814" s="56" t="n">
        <x:v>31.95721038197599</x:v>
      </x:c>
      <x:c r="K814" s="56" t="n">
        <x:v>77.93581557296399</x:v>
      </x:c>
      <x:c r="L814" s="56" t="n">
        <x:v>113.47973653280569</x:v>
      </x:c>
    </x:row>
    <x:row r="815" ht="32.400001525878906" hidden="0" customHeight="1">
      <x:c r="A815" s="29" t="str">
        <x:v>Harris County, Texas</x:v>
      </x:c>
      <x:c r="B815" s="29" t="str">
        <x:v>48201521501</x:v>
      </x:c>
      <x:c r="C815" s="51" t="n">
        <x:v>2853</x:v>
      </x:c>
      <x:c r="D815" s="51" t="n">
        <x:v>197</x:v>
      </x:c>
      <x:c r="E815" s="51" t="n">
        <x:v>439</x:v>
      </x:c>
      <x:c r="F815" s="38" t="n">
        <x:v>0.06905012267788294</x:v>
      </x:c>
      <x:c r="G815" s="38" t="n">
        <x:v>0.15387311601822642</x:v>
      </x:c>
      <x:c r="H815" s="57" t="n">
        <x:v>2965.85</x:v>
      </x:c>
      <x:c r="I815" s="57" t="n">
        <x:v>0.191</x:v>
      </x:c>
      <x:c r="J815" s="57" t="n">
        <x:v>29.893096906758494</x:v>
      </x:c>
      <x:c r="K815" s="57" t="n">
        <x:v>74.83964536013774</x:v>
      </x:c>
      <x:c r="L815" s="57" t="n">
        <x:v>109.0566362287682</x:v>
      </x:c>
    </x:row>
    <x:row r="816" ht="32.400001525878906" hidden="0" customHeight="1">
      <x:c r="A816" s="27" t="str">
        <x:v>Harris County, Texas</x:v>
      </x:c>
      <x:c r="B816" s="27" t="str">
        <x:v>48201521502</x:v>
      </x:c>
      <x:c r="C816" s="50" t="n">
        <x:v>2899</x:v>
      </x:c>
      <x:c r="D816" s="50" t="n">
        <x:v>497</x:v>
      </x:c>
      <x:c r="E816" s="50" t="n">
        <x:v>9</x:v>
      </x:c>
      <x:c r="F816" s="37" t="n">
        <x:v>0.1714384270438082</x:v>
      </x:c>
      <x:c r="G816" s="37" t="n">
        <x:v>0.003104518799586064</x:v>
      </x:c>
      <x:c r="H816" s="56" t="n">
        <x:v>3073.8500000000004</x:v>
      </x:c>
      <x:c r="I816" s="56" t="n">
        <x:v>0.594</x:v>
      </x:c>
      <x:c r="J816" s="56" t="n">
        <x:v>30.356183761115886</x:v>
      </x:c>
      <x:c r="K816" s="56" t="n">
        <x:v>75.53427564167383</x:v>
      </x:c>
      <x:c r="L816" s="56" t="n">
        <x:v>110.04896520239119</x:v>
      </x:c>
    </x:row>
    <x:row r="817" ht="32.400001525878906" hidden="0" customHeight="1">
      <x:c r="A817" s="29" t="str">
        <x:v>Harris County, Texas</x:v>
      </x:c>
      <x:c r="B817" s="29" t="str">
        <x:v>48201521600</x:v>
      </x:c>
      <x:c r="C817" s="51" t="n">
        <x:v>2938</x:v>
      </x:c>
      <x:c r="D817" s="51" t="n">
        <x:v>334</x:v>
      </x:c>
      <x:c r="E817" s="51" t="n">
        <x:v>45</x:v>
      </x:c>
      <x:c r="F817" s="38" t="n">
        <x:v>0.11368277739959155</x:v>
      </x:c>
      <x:c r="G817" s="38" t="n">
        <x:v>0.01531654186521443</x:v>
      </x:c>
      <x:c r="H817" s="57" t="n">
        <x:v>3059.3999999999996</x:v>
      </x:c>
      <x:c r="I817" s="57" t="n">
        <x:v>2.577</x:v>
      </x:c>
      <x:c r="J817" s="57" t="n">
        <x:v>27.244552035993664</x:v>
      </x:c>
      <x:c r="K817" s="57" t="n">
        <x:v>70.8668280539905</x:v>
      </x:c>
      <x:c r="L817" s="57" t="n">
        <x:v>103.38118293427215</x:v>
      </x:c>
    </x:row>
    <x:row r="818" ht="32.400001525878906" hidden="0" customHeight="1">
      <x:c r="A818" s="27" t="str">
        <x:v>Harris County, Texas</x:v>
      </x:c>
      <x:c r="B818" s="27" t="str">
        <x:v>48201521701</x:v>
      </x:c>
      <x:c r="C818" s="50" t="n">
        <x:v>4632</x:v>
      </x:c>
      <x:c r="D818" s="50" t="n">
        <x:v>578</x:v>
      </x:c>
      <x:c r="E818" s="50" t="n">
        <x:v>227</x:v>
      </x:c>
      <x:c r="F818" s="37" t="n">
        <x:v>0.12478411053540588</x:v>
      </x:c>
      <x:c r="G818" s="37" t="n">
        <x:v>0.04900690846286701</x:v>
      </x:c>
      <x:c r="H818" s="56" t="n">
        <x:v>4857</x:v>
      </x:c>
      <x:c r="I818" s="56" t="n">
        <x:v>1.577</x:v>
      </x:c>
      <x:c r="J818" s="56" t="n">
        <x:v>26.206906432528196</x:v>
      </x:c>
      <x:c r="K818" s="56" t="n">
        <x:v>69.3103596487923</x:v>
      </x:c>
      <x:c r="L818" s="56" t="n">
        <x:v>101.15765664113185</x:v>
      </x:c>
    </x:row>
    <x:row r="819" ht="32.400001525878906" hidden="0" customHeight="1">
      <x:c r="A819" s="29" t="str">
        <x:v>Harris County, Texas</x:v>
      </x:c>
      <x:c r="B819" s="29" t="str">
        <x:v>48201521702</x:v>
      </x:c>
      <x:c r="C819" s="51" t="n">
        <x:v>3159</x:v>
      </x:c>
      <x:c r="D819" s="51" t="n">
        <x:v>186</x:v>
      </x:c>
      <x:c r="E819" s="51" t="n">
        <x:v>414.5</x:v>
      </x:c>
      <x:c r="F819" s="38" t="n">
        <x:v>0.05887939221272555</x:v>
      </x:c>
      <x:c r="G819" s="38" t="n">
        <x:v>0.13121240899018677</x:v>
      </x:c>
      <x:c r="H819" s="57" t="n">
        <x:v>3265.5499999999997</x:v>
      </x:c>
      <x:c r="I819" s="57" t="n">
        <x:v>0.543</x:v>
      </x:c>
      <x:c r="J819" s="57" t="n">
        <x:v>29.878114617722886</x:v>
      </x:c>
      <x:c r="K819" s="57" t="n">
        <x:v>74.81717192658434</x:v>
      </x:c>
      <x:c r="L819" s="57" t="n">
        <x:v>109.0245313236919</x:v>
      </x:c>
    </x:row>
    <x:row r="820" ht="32.400001525878906" hidden="0" customHeight="1">
      <x:c r="A820" s="27" t="str">
        <x:v>Harris County, Texas</x:v>
      </x:c>
      <x:c r="B820" s="27" t="str">
        <x:v>48201521800</x:v>
      </x:c>
      <x:c r="C820" s="50" t="n">
        <x:v>4557</x:v>
      </x:c>
      <x:c r="D820" s="50" t="n">
        <x:v>1082</x:v>
      </x:c>
      <x:c r="E820" s="50" t="n">
        <x:v>41</x:v>
      </x:c>
      <x:c r="F820" s="37" t="n">
        <x:v>0.23743691024797015</x:v>
      </x:c>
      <x:c r="G820" s="37" t="n">
        <x:v>0.008997147245995173</x:v>
      </x:c>
      <x:c r="H820" s="56" t="n">
        <x:v>4939.8</x:v>
      </x:c>
      <x:c r="I820" s="56" t="n">
        <x:v>2.723</x:v>
      </x:c>
      <x:c r="J820" s="56" t="n">
        <x:v>24.605225292858762</x:v>
      </x:c>
      <x:c r="K820" s="56" t="n">
        <x:v>66.90783793928814</x:v>
      </x:c>
      <x:c r="L820" s="56" t="n">
        <x:v>97.72548277041163</x:v>
      </x:c>
    </x:row>
    <x:row r="821" ht="32.400001525878906" hidden="0" customHeight="1">
      <x:c r="A821" s="29" t="str">
        <x:v>Harris County, Texas</x:v>
      </x:c>
      <x:c r="B821" s="29" t="str">
        <x:v>48201521900</x:v>
      </x:c>
      <x:c r="C821" s="51" t="n">
        <x:v>7291</x:v>
      </x:c>
      <x:c r="D821" s="51" t="n">
        <x:v>557</x:v>
      </x:c>
      <x:c r="E821" s="51" t="n">
        <x:v>247.5</x:v>
      </x:c>
      <x:c r="F821" s="38" t="n">
        <x:v>0.0763955561651351</x:v>
      </x:c>
      <x:c r="G821" s="38" t="n">
        <x:v>0.03394596077355644</x:v>
      </x:c>
      <x:c r="H821" s="57" t="n">
        <x:v>7510.699999999999</x:v>
      </x:c>
      <x:c r="I821" s="57" t="n">
        <x:v>1.472</x:v>
      </x:c>
      <x:c r="J821" s="57" t="n">
        <x:v>27.27765037279853</x:v>
      </x:c>
      <x:c r="K821" s="57" t="n">
        <x:v>70.91647555919779</x:v>
      </x:c>
      <x:c r="L821" s="57" t="n">
        <x:v>103.45210794171113</x:v>
      </x:c>
    </x:row>
    <x:row r="822" ht="32.400001525878906" hidden="0" customHeight="1">
      <x:c r="A822" s="27" t="str">
        <x:v>Harris County, Texas</x:v>
      </x:c>
      <x:c r="B822" s="27" t="str">
        <x:v>48201522001</x:v>
      </x:c>
      <x:c r="C822" s="50" t="n">
        <x:v>2213</x:v>
      </x:c>
      <x:c r="D822" s="50" t="n">
        <x:v>326</x:v>
      </x:c>
      <x:c r="E822" s="50" t="n">
        <x:v>294</x:v>
      </x:c>
      <x:c r="F822" s="37" t="n">
        <x:v>0.1473113420695888</x:v>
      </x:c>
      <x:c r="G822" s="37" t="n">
        <x:v>0.13285133303208316</x:v>
      </x:c>
      <x:c r="H822" s="56" t="n">
        <x:v>2356.5</x:v>
      </x:c>
      <x:c r="I822" s="56" t="n">
        <x:v>0.432</x:v>
      </x:c>
      <x:c r="J822" s="56" t="n">
        <x:v>27.857397772584136</x:v>
      </x:c>
      <x:c r="K822" s="56" t="n">
        <x:v>71.7860966588762</x:v>
      </x:c>
      <x:c r="L822" s="56" t="n">
        <x:v>104.69442379839458</x:v>
      </x:c>
    </x:row>
    <x:row r="823" ht="32.400001525878906" hidden="0" customHeight="1">
      <x:c r="A823" s="29" t="str">
        <x:v>Harris County, Texas</x:v>
      </x:c>
      <x:c r="B823" s="29" t="str">
        <x:v>48201522002</x:v>
      </x:c>
      <x:c r="C823" s="51" t="n">
        <x:v>3096</x:v>
      </x:c>
      <x:c r="D823" s="51" t="n">
        <x:v>304</x:v>
      </x:c>
      <x:c r="E823" s="51" t="n">
        <x:v>7</x:v>
      </x:c>
      <x:c r="F823" s="38" t="n">
        <x:v>0.09819121447028424</x:v>
      </x:c>
      <x:c r="G823" s="38" t="n">
        <x:v>0.0022609819121447027</x:v>
      </x:c>
      <x:c r="H823" s="57" t="n">
        <x:v>3203.1000000000004</x:v>
      </x:c>
      <x:c r="I823" s="57" t="n">
        <x:v>0.35</x:v>
      </x:c>
      <x:c r="J823" s="57" t="n">
        <x:v>28.958874750177735</x:v>
      </x:c>
      <x:c r="K823" s="57" t="n">
        <x:v>73.4383121252666</x:v>
      </x:c>
      <x:c r="L823" s="57" t="n">
        <x:v>107.0547316075237</x:v>
      </x:c>
    </x:row>
    <x:row r="824" ht="32.400001525878906" hidden="0" customHeight="1">
      <x:c r="A824" s="27" t="str">
        <x:v>Harris County, Texas</x:v>
      </x:c>
      <x:c r="B824" s="27" t="str">
        <x:v>48201522101</x:v>
      </x:c>
      <x:c r="C824" s="50" t="n">
        <x:v>3413</x:v>
      </x:c>
      <x:c r="D824" s="50" t="n">
        <x:v>286</x:v>
      </x:c>
      <x:c r="E824" s="50" t="n">
        <x:v>85</x:v>
      </x:c>
      <x:c r="F824" s="37" t="n">
        <x:v>0.08379724582478758</x:v>
      </x:c>
      <x:c r="G824" s="37" t="n">
        <x:v>0.024904775857017288</x:v>
      </x:c>
      <x:c r="H824" s="56" t="n">
        <x:v>3521.6000000000004</x:v>
      </x:c>
      <x:c r="I824" s="56" t="n">
        <x:v>0.346</x:v>
      </x:c>
      <x:c r="J824" s="56" t="n">
        <x:v>28.80081845042432</x:v>
      </x:c>
      <x:c r="K824" s="56" t="n">
        <x:v>73.20122767563647</x:v>
      </x:c>
      <x:c r="L824" s="56" t="n">
        <x:v>106.71603953662354</x:v>
      </x:c>
    </x:row>
    <x:row r="825" ht="32.400001525878906" hidden="0" customHeight="1">
      <x:c r="A825" s="29" t="str">
        <x:v>Harris County, Texas</x:v>
      </x:c>
      <x:c r="B825" s="29" t="str">
        <x:v>48201522102</x:v>
      </x:c>
      <x:c r="C825" s="51" t="n">
        <x:v>4514</x:v>
      </x:c>
      <x:c r="D825" s="51" t="n">
        <x:v>532</x:v>
      </x:c>
      <x:c r="E825" s="51" t="n">
        <x:v>211.5</x:v>
      </x:c>
      <x:c r="F825" s="38" t="n">
        <x:v>0.1178555604785113</x:v>
      </x:c>
      <x:c r="G825" s="38" t="n">
        <x:v>0.04685423128046079</x:v>
      </x:c>
      <x:c r="H825" s="57" t="n">
        <x:v>4721.35</x:v>
      </x:c>
      <x:c r="I825" s="57" t="n">
        <x:v>0.544</x:v>
      </x:c>
      <x:c r="J825" s="57" t="n">
        <x:v>29.913044364576248</x:v>
      </x:c>
      <x:c r="K825" s="57" t="n">
        <x:v>74.86956654686438</x:v>
      </x:c>
      <x:c r="L825" s="57" t="n">
        <x:v>109.09938078123481</x:v>
      </x:c>
    </x:row>
    <x:row r="826" ht="32.400001525878906" hidden="0" customHeight="1">
      <x:c r="A826" s="27" t="str">
        <x:v>Harris County, Texas</x:v>
      </x:c>
      <x:c r="B826" s="27" t="str">
        <x:v>48201522201</x:v>
      </x:c>
      <x:c r="C826" s="50" t="n">
        <x:v>5166</x:v>
      </x:c>
      <x:c r="D826" s="50" t="n">
        <x:v>515</x:v>
      </x:c>
      <x:c r="E826" s="50" t="n">
        <x:v>307.5</x:v>
      </x:c>
      <x:c r="F826" s="37" t="n">
        <x:v>0.09969028261711188</x:v>
      </x:c>
      <x:c r="G826" s="37" t="n">
        <x:v>0.05952380952380952</x:v>
      </x:c>
      <x:c r="H826" s="56" t="n">
        <x:v>5377</x:v>
      </x:c>
      <x:c r="I826" s="56" t="n">
        <x:v>0.629</x:v>
      </x:c>
      <x:c r="J826" s="56" t="n">
        <x:v>29.856629182830787</x:v>
      </x:c>
      <x:c r="K826" s="56" t="n">
        <x:v>74.78494377424619</x:v>
      </x:c>
      <x:c r="L826" s="56" t="n">
        <x:v>108.97849110606597</x:v>
      </x:c>
    </x:row>
    <x:row r="827" ht="32.400001525878906" hidden="0" customHeight="1">
      <x:c r="A827" s="29" t="str">
        <x:v>Harris County, Texas</x:v>
      </x:c>
      <x:c r="B827" s="29" t="str">
        <x:v>48201522202</x:v>
      </x:c>
      <x:c r="C827" s="51" t="n">
        <x:v>4088</x:v>
      </x:c>
      <x:c r="D827" s="51" t="n">
        <x:v>393</x:v>
      </x:c>
      <x:c r="E827" s="51" t="n">
        <x:v>143</x:v>
      </x:c>
      <x:c r="F827" s="38" t="n">
        <x:v>0.09613502935420744</x:v>
      </x:c>
      <x:c r="G827" s="38" t="n">
        <x:v>0.03498043052837573</x:v>
      </x:c>
      <x:c r="H827" s="57" t="n">
        <x:v>4239.849999999999</x:v>
      </x:c>
      <x:c r="I827" s="57" t="n">
        <x:v>0.683</x:v>
      </x:c>
      <x:c r="J827" s="57" t="n">
        <x:v>30.900176333164715</x:v>
      </x:c>
      <x:c r="K827" s="57" t="n">
        <x:v>76.35026449974707</x:v>
      </x:c>
      <x:c r="L827" s="57" t="n">
        <x:v>111.21466357106725</x:v>
      </x:c>
    </x:row>
    <x:row r="828" ht="32.400001525878906" hidden="0" customHeight="1">
      <x:c r="A828" s="27" t="str">
        <x:v>Harris County, Texas</x:v>
      </x:c>
      <x:c r="B828" s="27" t="str">
        <x:v>48201522301</x:v>
      </x:c>
      <x:c r="C828" s="50" t="n">
        <x:v>3896</x:v>
      </x:c>
      <x:c r="D828" s="50" t="n">
        <x:v>485</x:v>
      </x:c>
      <x:c r="E828" s="50" t="n">
        <x:v>613.5</x:v>
      </x:c>
      <x:c r="F828" s="37" t="n">
        <x:v>0.12448665297741274</x:v>
      </x:c>
      <x:c r="G828" s="37" t="n">
        <x:v>0.15746919917864477</x:v>
      </x:c>
      <x:c r="H828" s="56" t="n">
        <x:v>4127.099999999999</x:v>
      </x:c>
      <x:c r="I828" s="56" t="n">
        <x:v>0.535</x:v>
      </x:c>
      <x:c r="J828" s="56" t="n">
        <x:v>32.99683012454258</x:v>
      </x:c>
      <x:c r="K828" s="56" t="n">
        <x:v>79.49524518681388</x:v>
      </x:c>
      <x:c r="L828" s="56" t="n">
        <x:v>115.70749312401982</x:v>
      </x:c>
    </x:row>
    <x:row r="829" ht="32.400001525878906" hidden="0" customHeight="1">
      <x:c r="A829" s="29" t="str">
        <x:v>Harris County, Texas</x:v>
      </x:c>
      <x:c r="B829" s="29" t="str">
        <x:v>48201522302</x:v>
      </x:c>
      <x:c r="C829" s="51" t="n">
        <x:v>3176</x:v>
      </x:c>
      <x:c r="D829" s="51" t="n">
        <x:v>207</x:v>
      </x:c>
      <x:c r="E829" s="51" t="n">
        <x:v>26</x:v>
      </x:c>
      <x:c r="F829" s="38" t="n">
        <x:v>0.06517632241813602</x:v>
      </x:c>
      <x:c r="G829" s="38" t="n">
        <x:v>0.00818639798488665</x:v>
      </x:c>
      <x:c r="H829" s="57" t="n">
        <x:v>3251.05</x:v>
      </x:c>
      <x:c r="I829" s="57" t="n">
        <x:v>0.5</x:v>
      </x:c>
      <x:c r="J829" s="57" t="n">
        <x:v>32.08418542988227</x:v>
      </x:c>
      <x:c r="K829" s="57" t="n">
        <x:v>78.1262781448234</x:v>
      </x:c>
      <x:c r="L829" s="57" t="n">
        <x:v>113.75182592117629</x:v>
      </x:c>
    </x:row>
    <x:row r="830" ht="32.400001525878906" hidden="0" customHeight="1">
      <x:c r="A830" s="27" t="str">
        <x:v>Harris County, Texas</x:v>
      </x:c>
      <x:c r="B830" s="27" t="str">
        <x:v>48201522401</x:v>
      </x:c>
      <x:c r="C830" s="50" t="n">
        <x:v>6023</x:v>
      </x:c>
      <x:c r="D830" s="50" t="n">
        <x:v>477</x:v>
      </x:c>
      <x:c r="E830" s="50" t="n">
        <x:v>714</x:v>
      </x:c>
      <x:c r="F830" s="37" t="n">
        <x:v>0.079196413747302</x:v>
      </x:c>
      <x:c r="G830" s="37" t="n">
        <x:v>0.11854557529470364</x:v>
      </x:c>
      <x:c r="H830" s="56" t="n">
        <x:v>6261.35</x:v>
      </x:c>
      <x:c r="I830" s="56" t="n">
        <x:v>1.055</x:v>
      </x:c>
      <x:c r="J830" s="56" t="n">
        <x:v>30.089574556455393</x:v>
      </x:c>
      <x:c r="K830" s="56" t="n">
        <x:v>75.13436183468309</x:v>
      </x:c>
      <x:c r="L830" s="56" t="n">
        <x:v>109.47765976383299</x:v>
      </x:c>
    </x:row>
    <x:row r="831" ht="32.400001525878906" hidden="0" customHeight="1">
      <x:c r="A831" s="29" t="str">
        <x:v>Harris County, Texas</x:v>
      </x:c>
      <x:c r="B831" s="29" t="str">
        <x:v>48201522402</x:v>
      </x:c>
      <x:c r="C831" s="51" t="n">
        <x:v>3862</x:v>
      </x:c>
      <x:c r="D831" s="51" t="n">
        <x:v>195</x:v>
      </x:c>
      <x:c r="E831" s="51" t="n">
        <x:v>345.5</x:v>
      </x:c>
      <x:c r="F831" s="38" t="n">
        <x:v>0.050491973070947695</x:v>
      </x:c>
      <x:c r="G831" s="38" t="n">
        <x:v>0.0894614189539099</x:v>
      </x:c>
      <x:c r="H831" s="57" t="n">
        <x:v>3964.7999999999993</x:v>
      </x:c>
      <x:c r="I831" s="57" t="n">
        <x:v>1.118</x:v>
      </x:c>
      <x:c r="J831" s="57" t="n">
        <x:v>29.275778683762915</x:v>
      </x:c>
      <x:c r="K831" s="57" t="n">
        <x:v>73.91366802564437</x:v>
      </x:c>
      <x:c r="L831" s="57" t="n">
        <x:v>107.73381146520626</x:v>
      </x:c>
    </x:row>
    <x:row r="832" ht="32.400001525878906" hidden="0" customHeight="1">
      <x:c r="A832" s="27" t="str">
        <x:v>Harris County, Texas</x:v>
      </x:c>
      <x:c r="B832" s="27" t="str">
        <x:v>48201522500</x:v>
      </x:c>
      <x:c r="C832" s="50" t="n">
        <x:v>5510</x:v>
      </x:c>
      <x:c r="D832" s="50" t="n">
        <x:v>236</x:v>
      </x:c>
      <x:c r="E832" s="50" t="n">
        <x:v>39</x:v>
      </x:c>
      <x:c r="F832" s="37" t="n">
        <x:v>0.042831215970961886</x:v>
      </x:c>
      <x:c r="G832" s="37" t="n">
        <x:v>0.0070780399274047185</x:v>
      </x:c>
      <x:c r="H832" s="56" t="n">
        <x:v>5596.499999999999</x:v>
      </x:c>
      <x:c r="I832" s="56" t="n">
        <x:v>1.488</x:v>
      </x:c>
      <x:c r="J832" s="56" t="n">
        <x:v>32.814020268810346</x:v>
      </x:c>
      <x:c r="K832" s="56" t="n">
        <x:v>79.22103040321552</x:v>
      </x:c>
      <x:c r="L832" s="56" t="n">
        <x:v>115.31575771887931</x:v>
      </x:c>
    </x:row>
    <x:row r="833" ht="32.400001525878906" hidden="0" customHeight="1">
      <x:c r="A833" s="29" t="str">
        <x:v>Harris County, Texas</x:v>
      </x:c>
      <x:c r="B833" s="29" t="str">
        <x:v>48201530101</x:v>
      </x:c>
      <x:c r="C833" s="51" t="n">
        <x:v>3296</x:v>
      </x:c>
      <x:c r="D833" s="51" t="n">
        <x:v>612</x:v>
      </x:c>
      <x:c r="E833" s="51" t="n">
        <x:v>320</x:v>
      </x:c>
      <x:c r="F833" s="38" t="n">
        <x:v>0.18567961165048544</x:v>
      </x:c>
      <x:c r="G833" s="38" t="n">
        <x:v>0.0970873786407767</x:v>
      </x:c>
      <x:c r="H833" s="57" t="n">
        <x:v>3542.2000000000003</x:v>
      </x:c>
      <x:c r="I833" s="57" t="n">
        <x:v>0.34</x:v>
      </x:c>
      <x:c r="J833" s="57" t="n">
        <x:v>34.36219859356873</x:v>
      </x:c>
      <x:c r="K833" s="57" t="n">
        <x:v>81.5432978903531</x:v>
      </x:c>
      <x:c r="L833" s="57" t="n">
        <x:v>118.63328270050442</x:v>
      </x:c>
    </x:row>
    <x:row r="834" ht="32.400001525878906" hidden="0" customHeight="1">
      <x:c r="A834" s="27" t="str">
        <x:v>Harris County, Texas</x:v>
      </x:c>
      <x:c r="B834" s="27" t="str">
        <x:v>48201530102</x:v>
      </x:c>
      <x:c r="C834" s="50" t="n">
        <x:v>2971</x:v>
      </x:c>
      <x:c r="D834" s="50" t="n">
        <x:v>153</x:v>
      </x:c>
      <x:c r="E834" s="50" t="n">
        <x:v>50</x:v>
      </x:c>
      <x:c r="F834" s="37" t="n">
        <x:v>0.05149781218444968</x:v>
      </x:c>
      <x:c r="G834" s="37" t="n">
        <x:v>0.01682935038707506</x:v>
      </x:c>
      <x:c r="H834" s="56" t="n">
        <x:v>3029.55</x:v>
      </x:c>
      <x:c r="I834" s="56" t="n">
        <x:v>0.663</x:v>
      </x:c>
      <x:c r="J834" s="56" t="n">
        <x:v>33.584055441654804</x:v>
      </x:c>
      <x:c r="K834" s="56" t="n">
        <x:v>80.3760831624822</x:v>
      </x:c>
      <x:c r="L834" s="56" t="n">
        <x:v>116.9658330892603</x:v>
      </x:c>
    </x:row>
    <x:row r="835" ht="32.400001525878906" hidden="0" customHeight="1">
      <x:c r="A835" s="29" t="str">
        <x:v>Harris County, Texas</x:v>
      </x:c>
      <x:c r="B835" s="29" t="str">
        <x:v>48201530200</x:v>
      </x:c>
      <x:c r="C835" s="51" t="n">
        <x:v>4156</x:v>
      </x:c>
      <x:c r="D835" s="51" t="n">
        <x:v>415</x:v>
      </x:c>
      <x:c r="E835" s="51" t="n">
        <x:v>463</x:v>
      </x:c>
      <x:c r="F835" s="38" t="n">
        <x:v>0.09985563041385948</x:v>
      </x:c>
      <x:c r="G835" s="38" t="n">
        <x:v>0.11140519730510105</x:v>
      </x:c>
      <x:c r="H835" s="57" t="n">
        <x:v>4347.55</x:v>
      </x:c>
      <x:c r="I835" s="57" t="n">
        <x:v>1.364</x:v>
      </x:c>
      <x:c r="J835" s="57" t="n">
        <x:v>33.54389080746085</x:v>
      </x:c>
      <x:c r="K835" s="57" t="n">
        <x:v>80.31583621119127</x:v>
      </x:c>
      <x:c r="L835" s="57" t="n">
        <x:v>116.87976601598753</x:v>
      </x:c>
    </x:row>
    <x:row r="836" ht="32.400001525878906" hidden="0" customHeight="1">
      <x:c r="A836" s="27" t="str">
        <x:v>Harris County, Texas</x:v>
      </x:c>
      <x:c r="B836" s="27" t="str">
        <x:v>48201530300</x:v>
      </x:c>
      <x:c r="C836" s="50" t="n">
        <x:v>2393</x:v>
      </x:c>
      <x:c r="D836" s="50" t="n">
        <x:v>310</x:v>
      </x:c>
      <x:c r="E836" s="50" t="n">
        <x:v>97</x:v>
      </x:c>
      <x:c r="F836" s="37" t="n">
        <x:v>0.12954450480568325</x:v>
      </x:c>
      <x:c r="G836" s="37" t="n">
        <x:v>0.04053489343919766</x:v>
      </x:c>
      <x:c r="H836" s="56" t="n">
        <x:v>2511.2</x:v>
      </x:c>
      <x:c r="I836" s="56" t="n">
        <x:v>0.709</x:v>
      </x:c>
      <x:c r="J836" s="56" t="n">
        <x:v>32.64954157494815</x:v>
      </x:c>
      <x:c r="K836" s="56" t="n">
        <x:v>78.97431236242222</x:v>
      </x:c>
      <x:c r="L836" s="56" t="n">
        <x:v>114.9633033748889</x:v>
      </x:c>
    </x:row>
    <x:row r="837" ht="32.400001525878906" hidden="0" customHeight="1">
      <x:c r="A837" s="29" t="str">
        <x:v>Harris County, Texas</x:v>
      </x:c>
      <x:c r="B837" s="29" t="str">
        <x:v>48201530400</x:v>
      </x:c>
      <x:c r="C837" s="51" t="n">
        <x:v>3549</x:v>
      </x:c>
      <x:c r="D837" s="51" t="n">
        <x:v>428</x:v>
      </x:c>
      <x:c r="E837" s="51" t="n">
        <x:v>70</x:v>
      </x:c>
      <x:c r="F837" s="38" t="n">
        <x:v>0.12059735136658213</x:v>
      </x:c>
      <x:c r="G837" s="38" t="n">
        <x:v>0.01972386587771203</x:v>
      </x:c>
      <x:c r="H837" s="57" t="n">
        <x:v>3705.8</x:v>
      </x:c>
      <x:c r="I837" s="57" t="n">
        <x:v>0.614</x:v>
      </x:c>
      <x:c r="J837" s="57" t="n">
        <x:v>31.762140608029927</x:v>
      </x:c>
      <x:c r="K837" s="57" t="n">
        <x:v>77.64321091204489</x:v>
      </x:c>
      <x:c r="L837" s="57" t="n">
        <x:v>113.06172987434984</x:v>
      </x:c>
    </x:row>
    <x:row r="838" ht="32.400001525878906" hidden="0" customHeight="1">
      <x:c r="A838" s="27" t="str">
        <x:v>Harris County, Texas</x:v>
      </x:c>
      <x:c r="B838" s="27" t="str">
        <x:v>48201530501</x:v>
      </x:c>
      <x:c r="C838" s="50" t="n">
        <x:v>1636</x:v>
      </x:c>
      <x:c r="D838" s="50" t="n">
        <x:v>188</x:v>
      </x:c>
      <x:c r="E838" s="50" t="n">
        <x:v>90</x:v>
      </x:c>
      <x:c r="F838" s="37" t="n">
        <x:v>0.11491442542787286</x:v>
      </x:c>
      <x:c r="G838" s="37" t="n">
        <x:v>0.0550122249388753</x:v>
      </x:c>
      <x:c r="H838" s="56" t="n">
        <x:v>1710.8</x:v>
      </x:c>
      <x:c r="I838" s="56" t="n">
        <x:v>0.403</x:v>
      </x:c>
      <x:c r="J838" s="56" t="n">
        <x:v>31.074260849765647</x:v>
      </x:c>
      <x:c r="K838" s="56" t="n">
        <x:v>76.61139127464847</x:v>
      </x:c>
      <x:c r="L838" s="56" t="n">
        <x:v>111.58770182092638</x:v>
      </x:c>
    </x:row>
    <x:row r="839" ht="32.400001525878906" hidden="0" customHeight="1">
      <x:c r="A839" s="29" t="str">
        <x:v>Harris County, Texas</x:v>
      </x:c>
      <x:c r="B839" s="29" t="str">
        <x:v>48201530502</x:v>
      </x:c>
      <x:c r="C839" s="51" t="n">
        <x:v>2491</x:v>
      </x:c>
      <x:c r="D839" s="51" t="n">
        <x:v>580</x:v>
      </x:c>
      <x:c r="E839" s="51" t="n">
        <x:v>335</x:v>
      </x:c>
      <x:c r="F839" s="38" t="n">
        <x:v>0.23283821758329987</x:v>
      </x:c>
      <x:c r="G839" s="38" t="n">
        <x:v>0.13448414291449218</x:v>
      </x:c>
      <x:c r="H839" s="57" t="n">
        <x:v>2727.5</x:v>
      </x:c>
      <x:c r="I839" s="57" t="n">
        <x:v>0.508</x:v>
      </x:c>
      <x:c r="J839" s="57" t="n">
        <x:v>31.922424954453714</x:v>
      </x:c>
      <x:c r="K839" s="57" t="n">
        <x:v>77.88363743168057</x:v>
      </x:c>
      <x:c r="L839" s="57" t="n">
        <x:v>113.40519633097225</x:v>
      </x:c>
    </x:row>
    <x:row r="840" ht="32.400001525878906" hidden="0" customHeight="1">
      <x:c r="A840" s="27" t="str">
        <x:v>Harris County, Texas</x:v>
      </x:c>
      <x:c r="B840" s="27" t="str">
        <x:v>48201530600</x:v>
      </x:c>
      <x:c r="C840" s="50" t="n">
        <x:v>3562</x:v>
      </x:c>
      <x:c r="D840" s="50" t="n">
        <x:v>564</x:v>
      </x:c>
      <x:c r="E840" s="50" t="n">
        <x:v>170</x:v>
      </x:c>
      <x:c r="F840" s="37" t="n">
        <x:v>0.15833801235261089</x:v>
      </x:c>
      <x:c r="G840" s="37" t="n">
        <x:v>0.04772599663110612</x:v>
      </x:c>
      <x:c r="H840" s="56" t="n">
        <x:v>3776.4</x:v>
      </x:c>
      <x:c r="I840" s="56" t="n">
        <x:v>1.194</x:v>
      </x:c>
      <x:c r="J840" s="56" t="n">
        <x:v>33.11788050147032</x:v>
      </x:c>
      <x:c r="K840" s="56" t="n">
        <x:v>79.67682075220547</x:v>
      </x:c>
      <x:c r="L840" s="56" t="n">
        <x:v>115.96688678886497</x:v>
      </x:c>
    </x:row>
    <x:row r="841" ht="32.400001525878906" hidden="0" customHeight="1">
      <x:c r="A841" s="29" t="str">
        <x:v>Harris County, Texas</x:v>
      </x:c>
      <x:c r="B841" s="29" t="str">
        <x:v>48201530701</x:v>
      </x:c>
      <x:c r="C841" s="51" t="n">
        <x:v>1382</x:v>
      </x:c>
      <x:c r="D841" s="51" t="n">
        <x:v>503</x:v>
      </x:c>
      <x:c r="E841" s="51" t="n">
        <x:v>252</x:v>
      </x:c>
      <x:c r="F841" s="38" t="n">
        <x:v>0.36396526772793053</x:v>
      </x:c>
      <x:c r="G841" s="38" t="n">
        <x:v>0.18234442836468887</x:v>
      </x:c>
      <x:c r="H841" s="57" t="n">
        <x:v>1583.25</x:v>
      </x:c>
      <x:c r="I841" s="57" t="n">
        <x:v>0.38</x:v>
      </x:c>
      <x:c r="J841" s="57" t="n">
        <x:v>31.106770937957346</x:v>
      </x:c>
      <x:c r="K841" s="57" t="n">
        <x:v>76.66015640693603</x:v>
      </x:c>
      <x:c r="L841" s="57" t="n">
        <x:v>111.6573662956229</x:v>
      </x:c>
    </x:row>
    <x:row r="842" ht="32.400001525878906" hidden="0" customHeight="1">
      <x:c r="A842" s="27" t="str">
        <x:v>Harris County, Texas</x:v>
      </x:c>
      <x:c r="B842" s="27" t="str">
        <x:v>48201530702</x:v>
      </x:c>
      <x:c r="C842" s="50" t="n">
        <x:v>4321</x:v>
      </x:c>
      <x:c r="D842" s="50" t="n">
        <x:v>394</x:v>
      </x:c>
      <x:c r="E842" s="50" t="n">
        <x:v>236</x:v>
      </x:c>
      <x:c r="F842" s="37" t="n">
        <x:v>0.09118259662115251</x:v>
      </x:c>
      <x:c r="G842" s="37" t="n">
        <x:v>0.054616986808609116</x:v>
      </x:c>
      <x:c r="H842" s="56" t="n">
        <x:v>4482.5</x:v>
      </x:c>
      <x:c r="I842" s="56" t="n">
        <x:v>0.697</x:v>
      </x:c>
      <x:c r="J842" s="56" t="n">
        <x:v>31.363690551912015</x:v>
      </x:c>
      <x:c r="K842" s="56" t="n">
        <x:v>77.04553582786802</x:v>
      </x:c>
      <x:c r="L842" s="56" t="n">
        <x:v>112.20790832552575</x:v>
      </x:c>
    </x:row>
    <x:row r="843" ht="32.400001525878906" hidden="0" customHeight="1">
      <x:c r="A843" s="29" t="str">
        <x:v>Harris County, Texas</x:v>
      </x:c>
      <x:c r="B843" s="29" t="str">
        <x:v>48201530800</x:v>
      </x:c>
      <x:c r="C843" s="51" t="n">
        <x:v>3880</x:v>
      </x:c>
      <x:c r="D843" s="51" t="n">
        <x:v>692</x:v>
      </x:c>
      <x:c r="E843" s="51" t="n">
        <x:v>98</x:v>
      </x:c>
      <x:c r="F843" s="38" t="n">
        <x:v>0.17835051546391753</x:v>
      </x:c>
      <x:c r="G843" s="38" t="n">
        <x:v>0.025257731958762887</x:v>
      </x:c>
      <x:c r="H843" s="57" t="n">
        <x:v>4132</x:v>
      </x:c>
      <x:c r="I843" s="57" t="n">
        <x:v>1.776</x:v>
      </x:c>
      <x:c r="J843" s="57" t="n">
        <x:v>33.087010408539335</x:v>
      </x:c>
      <x:c r="K843" s="57" t="n">
        <x:v>79.630515612809</x:v>
      </x:c>
      <x:c r="L843" s="57" t="n">
        <x:v>115.90073658972715</x:v>
      </x:c>
    </x:row>
    <x:row r="844" ht="32.400001525878906" hidden="0" customHeight="1">
      <x:c r="A844" s="27" t="str">
        <x:v>Harris County, Texas</x:v>
      </x:c>
      <x:c r="B844" s="27" t="str">
        <x:v>48201530900</x:v>
      </x:c>
      <x:c r="C844" s="50" t="n">
        <x:v>4670</x:v>
      </x:c>
      <x:c r="D844" s="50" t="n">
        <x:v>387</x:v>
      </x:c>
      <x:c r="E844" s="50" t="n">
        <x:v>60</x:v>
      </x:c>
      <x:c r="F844" s="37" t="n">
        <x:v>0.0828693790149893</x:v>
      </x:c>
      <x:c r="G844" s="37" t="n">
        <x:v>0.01284796573875803</x:v>
      </x:c>
      <x:c r="H844" s="56" t="n">
        <x:v>4811.450000000001</x:v>
      </x:c>
      <x:c r="I844" s="56" t="n">
        <x:v>0.773</x:v>
      </x:c>
      <x:c r="J844" s="56" t="n">
        <x:v>34.37395005453003</x:v>
      </x:c>
      <x:c r="K844" s="56" t="n">
        <x:v>81.56092508179503</x:v>
      </x:c>
      <x:c r="L844" s="56" t="n">
        <x:v>118.65846440256435</x:v>
      </x:c>
    </x:row>
    <x:row r="845" ht="32.400001525878906" hidden="0" customHeight="1">
      <x:c r="A845" s="29" t="str">
        <x:v>Harris County, Texas</x:v>
      </x:c>
      <x:c r="B845" s="29" t="str">
        <x:v>48201531000</x:v>
      </x:c>
      <x:c r="C845" s="51" t="n">
        <x:v>5027</x:v>
      </x:c>
      <x:c r="D845" s="51" t="n">
        <x:v>400</x:v>
      </x:c>
      <x:c r="E845" s="51" t="n">
        <x:v>0</x:v>
      </x:c>
      <x:c r="F845" s="38" t="n">
        <x:v>0.07957032027053909</x:v>
      </x:c>
      <x:c r="G845" s="38" t="n">
        <x:v>0</x:v>
      </x:c>
      <x:c r="H845" s="57" t="n">
        <x:v>5167</x:v>
      </x:c>
      <x:c r="I845" s="57" t="n">
        <x:v>0.921</x:v>
      </x:c>
      <x:c r="J845" s="57" t="n">
        <x:v>34.79509531303216</x:v>
      </x:c>
      <x:c r="K845" s="57" t="n">
        <x:v>82.19264296954825</x:v>
      </x:c>
      <x:c r="L845" s="57" t="n">
        <x:v>119.56091852792606</x:v>
      </x:c>
    </x:row>
    <x:row r="846" ht="32.400001525878906" hidden="0" customHeight="1">
      <x:c r="A846" s="27" t="str">
        <x:v>Harris County, Texas</x:v>
      </x:c>
      <x:c r="B846" s="27" t="str">
        <x:v>48201531100</x:v>
      </x:c>
      <x:c r="C846" s="50" t="n">
        <x:v>3552</x:v>
      </x:c>
      <x:c r="D846" s="50" t="n">
        <x:v>171</x:v>
      </x:c>
      <x:c r="E846" s="50" t="n">
        <x:v>205</x:v>
      </x:c>
      <x:c r="F846" s="37" t="n">
        <x:v>0.04814189189189189</x:v>
      </x:c>
      <x:c r="G846" s="37" t="n">
        <x:v>0.057713963963963964</x:v>
      </x:c>
      <x:c r="H846" s="56" t="n">
        <x:v>3632.3499999999995</x:v>
      </x:c>
      <x:c r="I846" s="56" t="n">
        <x:v>0.637</x:v>
      </x:c>
      <x:c r="J846" s="56" t="n">
        <x:v>35.056866297739155</x:v>
      </x:c>
      <x:c r="K846" s="56" t="n">
        <x:v>82.58529944660873</x:v>
      </x:c>
      <x:c r="L846" s="56" t="n">
        <x:v>120.1218563522982</x:v>
      </x:c>
    </x:row>
    <x:row r="847" ht="32.400001525878906" hidden="0" customHeight="1">
      <x:c r="A847" s="29" t="str">
        <x:v>Harris County, Texas</x:v>
      </x:c>
      <x:c r="B847" s="29" t="str">
        <x:v>48201531200</x:v>
      </x:c>
      <x:c r="C847" s="51" t="n">
        <x:v>3801</x:v>
      </x:c>
      <x:c r="D847" s="51" t="n">
        <x:v>345</x:v>
      </x:c>
      <x:c r="E847" s="51" t="n">
        <x:v>175.5</x:v>
      </x:c>
      <x:c r="F847" s="38" t="n">
        <x:v>0.09076558800315707</x:v>
      </x:c>
      <x:c r="G847" s="38" t="n">
        <x:v>0.04617205998421468</x:v>
      </x:c>
      <x:c r="H847" s="57" t="n">
        <x:v>3939.3000000000006</x:v>
      </x:c>
      <x:c r="I847" s="57" t="n">
        <x:v>0.739</x:v>
      </x:c>
      <x:c r="J847" s="57" t="n">
        <x:v>35.86463033076087</x:v>
      </x:c>
      <x:c r="K847" s="57" t="n">
        <x:v>83.7969454961413</x:v>
      </x:c>
      <x:c r="L847" s="57" t="n">
        <x:v>121.85277928020186</x:v>
      </x:c>
    </x:row>
    <x:row r="848" ht="32.400001525878906" hidden="0" customHeight="1">
      <x:c r="A848" s="27" t="str">
        <x:v>Harris County, Texas</x:v>
      </x:c>
      <x:c r="B848" s="27" t="str">
        <x:v>48201531300</x:v>
      </x:c>
      <x:c r="C848" s="50" t="n">
        <x:v>5109</x:v>
      </x:c>
      <x:c r="D848" s="50" t="n">
        <x:v>284</x:v>
      </x:c>
      <x:c r="E848" s="50" t="n">
        <x:v>363</x:v>
      </x:c>
      <x:c r="F848" s="37" t="n">
        <x:v>0.055588177725582305</x:v>
      </x:c>
      <x:c r="G848" s="37" t="n">
        <x:v>0.07105108631826189</x:v>
      </x:c>
      <x:c r="H848" s="56" t="n">
        <x:v>5244.7</x:v>
      </x:c>
      <x:c r="I848" s="56" t="n">
        <x:v>0.595</x:v>
      </x:c>
      <x:c r="J848" s="56" t="n">
        <x:v>35.63634899968141</x:v>
      </x:c>
      <x:c r="K848" s="56" t="n">
        <x:v>83.45452349952211</x:v>
      </x:c>
      <x:c r="L848" s="56" t="n">
        <x:v>121.3636049993173</x:v>
      </x:c>
    </x:row>
    <x:row r="849" ht="32.400001525878906" hidden="0" customHeight="1">
      <x:c r="A849" s="29" t="str">
        <x:v>Harris County, Texas</x:v>
      </x:c>
      <x:c r="B849" s="29" t="str">
        <x:v>48201531400</x:v>
      </x:c>
      <x:c r="C849" s="51" t="n">
        <x:v>2139</x:v>
      </x:c>
      <x:c r="D849" s="51" t="n">
        <x:v>375</x:v>
      </x:c>
      <x:c r="E849" s="51" t="n">
        <x:v>91</x:v>
      </x:c>
      <x:c r="F849" s="38" t="n">
        <x:v>0.1753155680224404</x:v>
      </x:c>
      <x:c r="G849" s="38" t="n">
        <x:v>0.04254324450677887</x:v>
      </x:c>
      <x:c r="H849" s="57" t="n">
        <x:v>2279.35</x:v>
      </x:c>
      <x:c r="I849" s="57" t="n">
        <x:v>0.411</x:v>
      </x:c>
      <x:c r="J849" s="57" t="n">
        <x:v>35.04459770619205</x:v>
      </x:c>
      <x:c r="K849" s="57" t="n">
        <x:v>82.56689655928808</x:v>
      </x:c>
      <x:c r="L849" s="57" t="n">
        <x:v>120.09556651326868</x:v>
      </x:c>
    </x:row>
    <x:row r="850" ht="32.400001525878906" hidden="0" customHeight="1">
      <x:c r="A850" s="27" t="str">
        <x:v>Harris County, Texas</x:v>
      </x:c>
      <x:c r="B850" s="27" t="str">
        <x:v>48201531500</x:v>
      </x:c>
      <x:c r="C850" s="50" t="n">
        <x:v>2639</x:v>
      </x:c>
      <x:c r="D850" s="50" t="n">
        <x:v>213</x:v>
      </x:c>
      <x:c r="E850" s="50" t="n">
        <x:v>49</x:v>
      </x:c>
      <x:c r="F850" s="37" t="n">
        <x:v>0.08071239105721864</x:v>
      </x:c>
      <x:c r="G850" s="37" t="n">
        <x:v>0.01856763925729443</x:v>
      </x:c>
      <x:c r="H850" s="56" t="n">
        <x:v>2718.45</x:v>
      </x:c>
      <x:c r="I850" s="56" t="n">
        <x:v>0.737</x:v>
      </x:c>
      <x:c r="J850" s="56" t="n">
        <x:v>33.931111448493034</x:v>
      </x:c>
      <x:c r="K850" s="56" t="n">
        <x:v>80.89666717273955</x:v>
      </x:c>
      <x:c r="L850" s="56" t="n">
        <x:v>117.70952453248508</x:v>
      </x:c>
    </x:row>
    <x:row r="851" ht="32.400001525878906" hidden="0" customHeight="1">
      <x:c r="A851" s="29" t="str">
        <x:v>Harris County, Texas</x:v>
      </x:c>
      <x:c r="B851" s="29" t="str">
        <x:v>48201531600</x:v>
      </x:c>
      <x:c r="C851" s="51" t="n">
        <x:v>3002</x:v>
      </x:c>
      <x:c r="D851" s="51" t="n">
        <x:v>195</x:v>
      </x:c>
      <x:c r="E851" s="51" t="n">
        <x:v>6</x:v>
      </x:c>
      <x:c r="F851" s="38" t="n">
        <x:v>0.06495669553630913</x:v>
      </x:c>
      <x:c r="G851" s="38" t="n">
        <x:v>0.001998667554963358</x:v>
      </x:c>
      <x:c r="H851" s="57" t="n">
        <x:v>3070.85</x:v>
      </x:c>
      <x:c r="I851" s="57" t="n">
        <x:v>0.909</x:v>
      </x:c>
      <x:c r="J851" s="57" t="n">
        <x:v>36.48228344704237</x:v>
      </x:c>
      <x:c r="K851" s="57" t="n">
        <x:v>84.72342517056356</x:v>
      </x:c>
      <x:c r="L851" s="57" t="n">
        <x:v>123.17632167223364</x:v>
      </x:c>
    </x:row>
    <x:row r="852" ht="32.400001525878906" hidden="0" customHeight="1">
      <x:c r="A852" s="27" t="str">
        <x:v>Harris County, Texas</x:v>
      </x:c>
      <x:c r="B852" s="27" t="str">
        <x:v>48201531700</x:v>
      </x:c>
      <x:c r="C852" s="50" t="n">
        <x:v>3917</x:v>
      </x:c>
      <x:c r="D852" s="50" t="n">
        <x:v>130</x:v>
      </x:c>
      <x:c r="E852" s="50" t="n">
        <x:v>0</x:v>
      </x:c>
      <x:c r="F852" s="37" t="n">
        <x:v>0.033188664794485574</x:v>
      </x:c>
      <x:c r="G852" s="37" t="n">
        <x:v>0</x:v>
      </x:c>
      <x:c r="H852" s="56" t="n">
        <x:v>3962.4999999999995</x:v>
      </x:c>
      <x:c r="I852" s="56" t="n">
        <x:v>0.719</x:v>
      </x:c>
      <x:c r="J852" s="56" t="n">
        <x:v>36.13689101003151</x:v>
      </x:c>
      <x:c r="K852" s="56" t="n">
        <x:v>84.20533651504726</x:v>
      </x:c>
      <x:c r="L852" s="56" t="n">
        <x:v>122.4361950214961</x:v>
      </x:c>
    </x:row>
    <x:row r="853" ht="32.400001525878906" hidden="0" customHeight="1">
      <x:c r="A853" s="29" t="str">
        <x:v>Harris County, Texas</x:v>
      </x:c>
      <x:c r="B853" s="29" t="str">
        <x:v>48201531800</x:v>
      </x:c>
      <x:c r="C853" s="51" t="n">
        <x:v>2928</x:v>
      </x:c>
      <x:c r="D853" s="51" t="n">
        <x:v>427</x:v>
      </x:c>
      <x:c r="E853" s="51" t="n">
        <x:v>178</x:v>
      </x:c>
      <x:c r="F853" s="38" t="n">
        <x:v>0.14583333333333334</x:v>
      </x:c>
      <x:c r="G853" s="38" t="n">
        <x:v>0.060792349726775954</x:v>
      </x:c>
      <x:c r="H853" s="57" t="n">
        <x:v>3095.2500000000005</x:v>
      </x:c>
      <x:c r="I853" s="57" t="n">
        <x:v>1.257</x:v>
      </x:c>
      <x:c r="J853" s="57" t="n">
        <x:v>34.95893327783994</x:v>
      </x:c>
      <x:c r="K853" s="57" t="n">
        <x:v>82.4383999167599</x:v>
      </x:c>
      <x:c r="L853" s="57" t="n">
        <x:v>119.91199988108558</x:v>
      </x:c>
    </x:row>
    <x:row r="854" ht="32.400001525878906" hidden="0" customHeight="1">
      <x:c r="A854" s="27" t="str">
        <x:v>Harris County, Texas</x:v>
      </x:c>
      <x:c r="B854" s="27" t="str">
        <x:v>48201531900</x:v>
      </x:c>
      <x:c r="C854" s="50" t="n">
        <x:v>6056</x:v>
      </x:c>
      <x:c r="D854" s="50" t="n">
        <x:v>1119</x:v>
      </x:c>
      <x:c r="E854" s="50" t="n">
        <x:v>1003</x:v>
      </x:c>
      <x:c r="F854" s="37" t="n">
        <x:v>0.184775429326288</x:v>
      </x:c>
      <x:c r="G854" s="37" t="n">
        <x:v>0.1656208718626156</x:v>
      </x:c>
      <x:c r="H854" s="56" t="n">
        <x:v>6547.95</x:v>
      </x:c>
      <x:c r="I854" s="56" t="n">
        <x:v>1.673</x:v>
      </x:c>
      <x:c r="J854" s="56" t="n">
        <x:v>35.95055237818472</x:v>
      </x:c>
      <x:c r="K854" s="56" t="n">
        <x:v>83.92582856727708</x:v>
      </x:c>
      <x:c r="L854" s="56" t="n">
        <x:v>122.03689795325296</x:v>
      </x:c>
    </x:row>
    <x:row r="855" ht="32.400001525878906" hidden="0" customHeight="1">
      <x:c r="A855" s="29" t="str">
        <x:v>Harris County, Texas</x:v>
      </x:c>
      <x:c r="B855" s="29" t="str">
        <x:v>48201532003</x:v>
      </x:c>
      <x:c r="C855" s="51" t="n">
        <x:v>3990</x:v>
      </x:c>
      <x:c r="D855" s="51" t="n">
        <x:v>293</x:v>
      </x:c>
      <x:c r="E855" s="51" t="n">
        <x:v>67</x:v>
      </x:c>
      <x:c r="F855" s="38" t="n">
        <x:v>0.07343358395989975</x:v>
      </x:c>
      <x:c r="G855" s="38" t="n">
        <x:v>0.016791979949874688</x:v>
      </x:c>
      <x:c r="H855" s="57" t="n">
        <x:v>4099.250000000001</x:v>
      </x:c>
      <x:c r="I855" s="57" t="n">
        <x:v>0.39</x:v>
      </x:c>
      <x:c r="J855" s="57" t="n">
        <x:v>33.000164776106416</x:v>
      </x:c>
      <x:c r="K855" s="57" t="n">
        <x:v>79.50024716415962</x:v>
      </x:c>
      <x:c r="L855" s="57" t="n">
        <x:v>115.71463880594231</x:v>
      </x:c>
    </x:row>
    <x:row r="856" ht="32.400001525878906" hidden="0" customHeight="1">
      <x:c r="A856" s="27" t="str">
        <x:v>Harris County, Texas</x:v>
      </x:c>
      <x:c r="B856" s="27" t="str">
        <x:v>48201532004</x:v>
      </x:c>
      <x:c r="C856" s="50" t="n">
        <x:v>5291</x:v>
      </x:c>
      <x:c r="D856" s="50" t="n">
        <x:v>1069</x:v>
      </x:c>
      <x:c r="E856" s="50" t="n">
        <x:v>689</x:v>
      </x:c>
      <x:c r="F856" s="37" t="n">
        <x:v>0.20204120204120204</x:v>
      </x:c>
      <x:c r="G856" s="37" t="n">
        <x:v>0.13022113022113022</x:v>
      </x:c>
      <x:c r="H856" s="56" t="n">
        <x:v>5734.050000000001</x:v>
      </x:c>
      <x:c r="I856" s="56" t="n">
        <x:v>0.606</x:v>
      </x:c>
      <x:c r="J856" s="56" t="n">
        <x:v>34.270368601778294</x:v>
      </x:c>
      <x:c r="K856" s="56" t="n">
        <x:v>81.40555290266744</x:v>
      </x:c>
      <x:c r="L856" s="56" t="n">
        <x:v>118.43650414666777</x:v>
      </x:c>
    </x:row>
    <x:row r="857" ht="32.400001525878906" hidden="0" customHeight="1">
      <x:c r="A857" s="29" t="str">
        <x:v>Harris County, Texas</x:v>
      </x:c>
      <x:c r="B857" s="29" t="str">
        <x:v>48201532101</x:v>
      </x:c>
      <x:c r="C857" s="51" t="n">
        <x:v>3746</x:v>
      </x:c>
      <x:c r="D857" s="51" t="n">
        <x:v>482</x:v>
      </x:c>
      <x:c r="E857" s="51" t="n">
        <x:v>324</x:v>
      </x:c>
      <x:c r="F857" s="38" t="n">
        <x:v>0.12867058195408435</x:v>
      </x:c>
      <x:c r="G857" s="38" t="n">
        <x:v>0.08649225840896957</x:v>
      </x:c>
      <x:c r="H857" s="57" t="n">
        <x:v>3947.1000000000004</x:v>
      </x:c>
      <x:c r="I857" s="57" t="n">
        <x:v>0.45</x:v>
      </x:c>
      <x:c r="J857" s="57" t="n">
        <x:v>33.235252476902865</x:v>
      </x:c>
      <x:c r="K857" s="57" t="n">
        <x:v>79.8528787153543</x:v>
      </x:c>
      <x:c r="L857" s="57" t="n">
        <x:v>116.21839816479185</x:v>
      </x:c>
    </x:row>
    <x:row r="858" ht="32.400001525878906" hidden="0" customHeight="1">
      <x:c r="A858" s="27" t="str">
        <x:v>Harris County, Texas</x:v>
      </x:c>
      <x:c r="B858" s="27" t="str">
        <x:v>48201532102</x:v>
      </x:c>
      <x:c r="C858" s="50" t="n">
        <x:v>3308</x:v>
      </x:c>
      <x:c r="D858" s="50" t="n">
        <x:v>287</x:v>
      </x:c>
      <x:c r="E858" s="50" t="n">
        <x:v>144</x:v>
      </x:c>
      <x:c r="F858" s="37" t="n">
        <x:v>0.08675937122128174</x:v>
      </x:c>
      <x:c r="G858" s="37" t="n">
        <x:v>0.04353083434099154</x:v>
      </x:c>
      <x:c r="H858" s="56" t="n">
        <x:v>3422.8500000000004</x:v>
      </x:c>
      <x:c r="I858" s="56" t="n">
        <x:v>0.278</x:v>
      </x:c>
      <x:c r="J858" s="56" t="n">
        <x:v>31.9429297031951</x:v>
      </x:c>
      <x:c r="K858" s="56" t="n">
        <x:v>77.91439455479265</x:v>
      </x:c>
      <x:c r="L858" s="56" t="n">
        <x:v>113.44913507827522</x:v>
      </x:c>
    </x:row>
    <x:row r="859" ht="32.400001525878906" hidden="0" customHeight="1">
      <x:c r="A859" s="29" t="str">
        <x:v>Harris County, Texas</x:v>
      </x:c>
      <x:c r="B859" s="29" t="str">
        <x:v>48201532200</x:v>
      </x:c>
      <x:c r="C859" s="51" t="n">
        <x:v>3566</x:v>
      </x:c>
      <x:c r="D859" s="51" t="n">
        <x:v>326</x:v>
      </x:c>
      <x:c r="E859" s="51" t="n">
        <x:v>430.5</x:v>
      </x:c>
      <x:c r="F859" s="38" t="n">
        <x:v>0.09141895681435783</x:v>
      </x:c>
      <x:c r="G859" s="38" t="n">
        <x:v>0.12072349971957375</x:v>
      </x:c>
      <x:c r="H859" s="57" t="n">
        <x:v>3723.149999999999</x:v>
      </x:c>
      <x:c r="I859" s="57" t="n">
        <x:v>0.718</x:v>
      </x:c>
      <x:c r="J859" s="57" t="n">
        <x:v>31.61103200960811</x:v>
      </x:c>
      <x:c r="K859" s="57" t="n">
        <x:v>77.41654801441217</x:v>
      </x:c>
      <x:c r="L859" s="57" t="n">
        <x:v>112.73792573487452</x:v>
      </x:c>
    </x:row>
    <x:row r="860" ht="32.400001525878906" hidden="0" customHeight="1">
      <x:c r="A860" s="27" t="str">
        <x:v>Harris County, Texas</x:v>
      </x:c>
      <x:c r="B860" s="27" t="str">
        <x:v>48201532301</x:v>
      </x:c>
      <x:c r="C860" s="50" t="n">
        <x:v>4612</x:v>
      </x:c>
      <x:c r="D860" s="50" t="n">
        <x:v>787</x:v>
      </x:c>
      <x:c r="E860" s="50" t="n">
        <x:v>699</x:v>
      </x:c>
      <x:c r="F860" s="37" t="n">
        <x:v>0.17064180398959236</x:v>
      </x:c>
      <x:c r="G860" s="37" t="n">
        <x:v>0.151561144839549</x:v>
      </x:c>
      <x:c r="H860" s="56" t="n">
        <x:v>4957.35</x:v>
      </x:c>
      <x:c r="I860" s="56" t="n">
        <x:v>0.905</x:v>
      </x:c>
      <x:c r="J860" s="56" t="n">
        <x:v>28.180101559359667</x:v>
      </x:c>
      <x:c r="K860" s="56" t="n">
        <x:v>72.2701523390395</x:v>
      </x:c>
      <x:c r="L860" s="56" t="n">
        <x:v>105.38593191291358</x:v>
      </x:c>
    </x:row>
    <x:row r="861" ht="32.400001525878906" hidden="0" customHeight="1">
      <x:c r="A861" s="29" t="str">
        <x:v>Harris County, Texas</x:v>
      </x:c>
      <x:c r="B861" s="29" t="str">
        <x:v>48201532302</x:v>
      </x:c>
      <x:c r="C861" s="51" t="n">
        <x:v>4414</x:v>
      </x:c>
      <x:c r="D861" s="51" t="n">
        <x:v>301</x:v>
      </x:c>
      <x:c r="E861" s="51" t="n">
        <x:v>79.5</x:v>
      </x:c>
      <x:c r="F861" s="38" t="n">
        <x:v>0.06819211599456275</x:v>
      </x:c>
      <x:c r="G861" s="38" t="n">
        <x:v>0.018010874490258268</x:v>
      </x:c>
      <x:c r="H861" s="57" t="n">
        <x:v>4527.299999999999</x:v>
      </x:c>
      <x:c r="I861" s="57" t="n">
        <x:v>1.491</x:v>
      </x:c>
      <x:c r="J861" s="57" t="n">
        <x:v>30.47293365128938</x:v>
      </x:c>
      <x:c r="K861" s="57" t="n">
        <x:v>75.70940047693406</x:v>
      </x:c>
      <x:c r="L861" s="57" t="n">
        <x:v>110.29914353847724</x:v>
      </x:c>
    </x:row>
    <x:row r="862" ht="32.400001525878906" hidden="0" customHeight="1">
      <x:c r="A862" s="27" t="str">
        <x:v>Harris County, Texas</x:v>
      </x:c>
      <x:c r="B862" s="27" t="str">
        <x:v>48201532400</x:v>
      </x:c>
      <x:c r="C862" s="50" t="n">
        <x:v>7362</x:v>
      </x:c>
      <x:c r="D862" s="50" t="n">
        <x:v>626</x:v>
      </x:c>
      <x:c r="E862" s="50" t="n">
        <x:v>59</x:v>
      </x:c>
      <x:c r="F862" s="37" t="n">
        <x:v>0.08503124151045911</x:v>
      </x:c>
      <x:c r="G862" s="37" t="n">
        <x:v>0.008014126596033686</x:v>
      </x:c>
      <x:c r="H862" s="56" t="n">
        <x:v>7587</x:v>
      </x:c>
      <x:c r="I862" s="56" t="n">
        <x:v>1.796</x:v>
      </x:c>
      <x:c r="J862" s="56" t="n">
        <x:v>28.422427713554875</x:v>
      </x:c>
      <x:c r="K862" s="56" t="n">
        <x:v>72.63364157033232</x:v>
      </x:c>
      <x:c r="L862" s="56" t="n">
        <x:v>105.90520224333187</x:v>
      </x:c>
    </x:row>
    <x:row r="863" ht="32.400001525878906" hidden="0" customHeight="1">
      <x:c r="A863" s="29" t="str">
        <x:v>Harris County, Texas</x:v>
      </x:c>
      <x:c r="B863" s="29" t="str">
        <x:v>48201532502</x:v>
      </x:c>
      <x:c r="C863" s="51" t="n">
        <x:v>5785</x:v>
      </x:c>
      <x:c r="D863" s="51" t="n">
        <x:v>352</x:v>
      </x:c>
      <x:c r="E863" s="51" t="n">
        <x:v>53</x:v>
      </x:c>
      <x:c r="F863" s="38" t="n">
        <x:v>0.06084701815038894</x:v>
      </x:c>
      <x:c r="G863" s="38" t="n">
        <x:v>0.009161624891961971</x:v>
      </x:c>
      <x:c r="H863" s="57" t="n">
        <x:v>5913.5</x:v>
      </x:c>
      <x:c r="I863" s="57" t="n">
        <x:v>1.041</x:v>
      </x:c>
      <x:c r="J863" s="57" t="n">
        <x:v>28.258506200619337</x:v>
      </x:c>
      <x:c r="K863" s="57" t="n">
        <x:v>72.387759300929</x:v>
      </x:c>
      <x:c r="L863" s="57" t="n">
        <x:v>105.55394185847001</x:v>
      </x:c>
    </x:row>
    <x:row r="864" ht="32.400001525878906" hidden="0" customHeight="1">
      <x:c r="A864" s="27" t="str">
        <x:v>Harris County, Texas</x:v>
      </x:c>
      <x:c r="B864" s="27" t="str">
        <x:v>48201532503</x:v>
      </x:c>
      <x:c r="C864" s="50" t="n">
        <x:v>5605</x:v>
      </x:c>
      <x:c r="D864" s="50" t="n">
        <x:v>615</x:v>
      </x:c>
      <x:c r="E864" s="50" t="n">
        <x:v>0</x:v>
      </x:c>
      <x:c r="F864" s="37" t="n">
        <x:v>0.10972346119536129</x:v>
      </x:c>
      <x:c r="G864" s="37" t="n">
        <x:v>0</x:v>
      </x:c>
      <x:c r="H864" s="56" t="n">
        <x:v>5820.250000000001</x:v>
      </x:c>
      <x:c r="I864" s="56" t="n">
        <x:v>0.818</x:v>
      </x:c>
      <x:c r="J864" s="56" t="n">
        <x:v>25.917116941837318</x:v>
      </x:c>
      <x:c r="K864" s="56" t="n">
        <x:v>68.87567541275598</x:v>
      </x:c>
      <x:c r="L864" s="56" t="n">
        <x:v>100.53667916107997</x:v>
      </x:c>
    </x:row>
    <x:row r="865" ht="32.400001525878906" hidden="0" customHeight="1">
      <x:c r="A865" s="29" t="str">
        <x:v>Harris County, Texas</x:v>
      </x:c>
      <x:c r="B865" s="29" t="str">
        <x:v>48201532504</x:v>
      </x:c>
      <x:c r="C865" s="51" t="n">
        <x:v>4644</x:v>
      </x:c>
      <x:c r="D865" s="51" t="n">
        <x:v>510</x:v>
      </x:c>
      <x:c r="E865" s="51" t="n">
        <x:v>423</x:v>
      </x:c>
      <x:c r="F865" s="38" t="n">
        <x:v>0.10981912144702842</x:v>
      </x:c>
      <x:c r="G865" s="38" t="n">
        <x:v>0.09108527131782945</x:v>
      </x:c>
      <x:c r="H865" s="57" t="n">
        <x:v>4864.8</x:v>
      </x:c>
      <x:c r="I865" s="57" t="n">
        <x:v>1.038</x:v>
      </x:c>
      <x:c r="J865" s="57" t="n">
        <x:v>26.6435509146083</x:v>
      </x:c>
      <x:c r="K865" s="57" t="n">
        <x:v>69.96532637191245</x:v>
      </x:c>
      <x:c r="L865" s="57" t="n">
        <x:v>102.09332338844636</x:v>
      </x:c>
    </x:row>
    <x:row r="866" ht="32.400001525878906" hidden="0" customHeight="1">
      <x:c r="A866" s="27" t="str">
        <x:v>Harris County, Texas</x:v>
      </x:c>
      <x:c r="B866" s="27" t="str">
        <x:v>48201532600</x:v>
      </x:c>
      <x:c r="C866" s="50" t="n">
        <x:v>6375</x:v>
      </x:c>
      <x:c r="D866" s="50" t="n">
        <x:v>994</x:v>
      </x:c>
      <x:c r="E866" s="50" t="n">
        <x:v>62</x:v>
      </x:c>
      <x:c r="F866" s="37" t="n">
        <x:v>0.155921568627451</x:v>
      </x:c>
      <x:c r="G866" s="37" t="n">
        <x:v>0.009725490196078431</x:v>
      </x:c>
      <x:c r="H866" s="56" t="n">
        <x:v>6729.099999999999</x:v>
      </x:c>
      <x:c r="I866" s="56" t="n">
        <x:v>1.033</x:v>
      </x:c>
      <x:c r="J866" s="56" t="n">
        <x:v>29.137735889239462</x:v>
      </x:c>
      <x:c r="K866" s="56" t="n">
        <x:v>73.70660383385919</x:v>
      </x:c>
      <x:c r="L866" s="56" t="n">
        <x:v>107.4380054769417</x:v>
      </x:c>
    </x:row>
    <x:row r="867" ht="32.400001525878906" hidden="0" customHeight="1">
      <x:c r="A867" s="29" t="str">
        <x:v>Harris County, Texas</x:v>
      </x:c>
      <x:c r="B867" s="29" t="str">
        <x:v>48201532700</x:v>
      </x:c>
      <x:c r="C867" s="51" t="n">
        <x:v>5389</x:v>
      </x:c>
      <x:c r="D867" s="51" t="n">
        <x:v>1115</x:v>
      </x:c>
      <x:c r="E867" s="51" t="n">
        <x:v>661</x:v>
      </x:c>
      <x:c r="F867" s="38" t="n">
        <x:v>0.2069029504546298</x:v>
      </x:c>
      <x:c r="G867" s="38" t="n">
        <x:v>0.12265726479866394</x:v>
      </x:c>
      <x:c r="H867" s="57" t="n">
        <x:v>5845.349999999999</x:v>
      </x:c>
      <x:c r="I867" s="57" t="n">
        <x:v>1.016</x:v>
      </x:c>
      <x:c r="J867" s="57" t="n">
        <x:v>30.823612514718768</x:v>
      </x:c>
      <x:c r="K867" s="57" t="n">
        <x:v>76.23541877207815</x:v>
      </x:c>
      <x:c r="L867" s="57" t="n">
        <x:v>111.05059824582592</x:v>
      </x:c>
    </x:row>
    <x:row r="868" ht="32.400001525878906" hidden="0" customHeight="1">
      <x:c r="A868" s="27" t="str">
        <x:v>Harris County, Texas</x:v>
      </x:c>
      <x:c r="B868" s="27" t="str">
        <x:v>48201532800</x:v>
      </x:c>
      <x:c r="C868" s="50" t="n">
        <x:v>2314</x:v>
      </x:c>
      <x:c r="D868" s="50" t="n">
        <x:v>251</x:v>
      </x:c>
      <x:c r="E868" s="50" t="n">
        <x:v>117</x:v>
      </x:c>
      <x:c r="F868" s="37" t="n">
        <x:v>0.10847018150388937</x:v>
      </x:c>
      <x:c r="G868" s="37" t="n">
        <x:v>0.05056179775280899</x:v>
      </x:c>
      <x:c r="H868" s="56" t="n">
        <x:v>2413.5499999999997</x:v>
      </x:c>
      <x:c r="I868" s="56" t="n">
        <x:v>0.513</x:v>
      </x:c>
      <x:c r="J868" s="56" t="n">
        <x:v>32.30289243303215</x:v>
      </x:c>
      <x:c r="K868" s="56" t="n">
        <x:v>78.45433864954822</x:v>
      </x:c>
      <x:c r="L868" s="56" t="n">
        <x:v>114.2204837850689</x:v>
      </x:c>
    </x:row>
    <x:row r="869" ht="32.400001525878906" hidden="0" customHeight="1">
      <x:c r="A869" s="29" t="str">
        <x:v>Harris County, Texas</x:v>
      </x:c>
      <x:c r="B869" s="29" t="str">
        <x:v>48201532900</x:v>
      </x:c>
      <x:c r="C869" s="51" t="n">
        <x:v>5094</x:v>
      </x:c>
      <x:c r="D869" s="51" t="n">
        <x:v>969</x:v>
      </x:c>
      <x:c r="E869" s="51" t="n">
        <x:v>253.5</x:v>
      </x:c>
      <x:c r="F869" s="38" t="n">
        <x:v>0.19022379269729092</x:v>
      </x:c>
      <x:c r="G869" s="38" t="n">
        <x:v>0.04976442873969376</x:v>
      </x:c>
      <x:c r="H869" s="57" t="n">
        <x:v>5458.5</x:v>
      </x:c>
      <x:c r="I869" s="57" t="n">
        <x:v>0.659</x:v>
      </x:c>
      <x:c r="J869" s="57" t="n">
        <x:v>31.099842319151456</x:v>
      </x:c>
      <x:c r="K869" s="57" t="n">
        <x:v>76.64976347872718</x:v>
      </x:c>
      <x:c r="L869" s="57" t="n">
        <x:v>111.64251925532456</x:v>
      </x:c>
    </x:row>
    <x:row r="870" ht="32.400001525878906" hidden="0" customHeight="1">
      <x:c r="A870" s="27" t="str">
        <x:v>Harris County, Texas</x:v>
      </x:c>
      <x:c r="B870" s="27" t="str">
        <x:v>48201533000</x:v>
      </x:c>
      <x:c r="C870" s="50" t="n">
        <x:v>2525</x:v>
      </x:c>
      <x:c r="D870" s="50" t="n">
        <x:v>488</x:v>
      </x:c>
      <x:c r="E870" s="50" t="n">
        <x:v>319</x:v>
      </x:c>
      <x:c r="F870" s="37" t="n">
        <x:v>0.19326732673267327</x:v>
      </x:c>
      <x:c r="G870" s="37" t="n">
        <x:v>0.12633663366336634</x:v>
      </x:c>
      <x:c r="H870" s="56" t="n">
        <x:v>2727.7000000000003</x:v>
      </x:c>
      <x:c r="I870" s="56" t="n">
        <x:v>0.684</x:v>
      </x:c>
      <x:c r="J870" s="56" t="n">
        <x:v>32.658329930321656</x:v>
      </x:c>
      <x:c r="K870" s="56" t="n">
        <x:v>78.98749489548248</x:v>
      </x:c>
      <x:c r="L870" s="56" t="n">
        <x:v>114.98213556497498</x:v>
      </x:c>
    </x:row>
    <x:row r="871" ht="32.400001525878906" hidden="0" customHeight="1">
      <x:c r="A871" s="29" t="str">
        <x:v>Harris County, Texas</x:v>
      </x:c>
      <x:c r="B871" s="29" t="str">
        <x:v>48201533100</x:v>
      </x:c>
      <x:c r="C871" s="51" t="n">
        <x:v>8754</x:v>
      </x:c>
      <x:c r="D871" s="51" t="n">
        <x:v>1149</x:v>
      </x:c>
      <x:c r="E871" s="51" t="n">
        <x:v>848.5</x:v>
      </x:c>
      <x:c r="F871" s="38" t="n">
        <x:v>0.13125428375599726</x:v>
      </x:c>
      <x:c r="G871" s="38" t="n">
        <x:v>0.09692711903129998</x:v>
      </x:c>
      <x:c r="H871" s="57" t="n">
        <x:v>9241</x:v>
      </x:c>
      <x:c r="I871" s="57" t="n">
        <x:v>1.345</x:v>
      </x:c>
      <x:c r="J871" s="57" t="n">
        <x:v>33.90289368809061</x:v>
      </x:c>
      <x:c r="K871" s="57" t="n">
        <x:v>80.85434053213591</x:v>
      </x:c>
      <x:c r="L871" s="57" t="n">
        <x:v>117.6490579030513</x:v>
      </x:c>
    </x:row>
    <x:row r="872" ht="32.400001525878906" hidden="0" customHeight="1">
      <x:c r="A872" s="27" t="str">
        <x:v>Harris County, Texas</x:v>
      </x:c>
      <x:c r="B872" s="27" t="str">
        <x:v>48201533200</x:v>
      </x:c>
      <x:c r="C872" s="50" t="n">
        <x:v>3688</x:v>
      </x:c>
      <x:c r="D872" s="50" t="n">
        <x:v>744</x:v>
      </x:c>
      <x:c r="E872" s="50" t="n">
        <x:v>528.5</x:v>
      </x:c>
      <x:c r="F872" s="37" t="n">
        <x:v>0.2017353579175705</x:v>
      </x:c>
      <x:c r="G872" s="37" t="n">
        <x:v>0.14330260303687636</x:v>
      </x:c>
      <x:c r="H872" s="56" t="n">
        <x:v>4001.2499999999995</x:v>
      </x:c>
      <x:c r="I872" s="56" t="n">
        <x:v>1.034</x:v>
      </x:c>
      <x:c r="J872" s="56" t="n">
        <x:v>35.211559420337906</x:v>
      </x:c>
      <x:c r="K872" s="56" t="n">
        <x:v>82.81733913050685</x:v>
      </x:c>
      <x:c r="L872" s="56" t="n">
        <x:v>120.45334161500979</x:v>
      </x:c>
    </x:row>
    <x:row r="873" ht="32.400001525878906" hidden="0" customHeight="1">
      <x:c r="A873" s="29" t="str">
        <x:v>Harris County, Texas</x:v>
      </x:c>
      <x:c r="B873" s="29" t="str">
        <x:v>48201533301</x:v>
      </x:c>
      <x:c r="C873" s="51" t="n">
        <x:v>3144</x:v>
      </x:c>
      <x:c r="D873" s="51" t="n">
        <x:v>587</x:v>
      </x:c>
      <x:c r="E873" s="51" t="n">
        <x:v>274</x:v>
      </x:c>
      <x:c r="F873" s="38" t="n">
        <x:v>0.18670483460559797</x:v>
      </x:c>
      <x:c r="G873" s="38" t="n">
        <x:v>0.0871501272264631</x:v>
      </x:c>
      <x:c r="H873" s="57" t="n">
        <x:v>3376.85</x:v>
      </x:c>
      <x:c r="I873" s="57" t="n">
        <x:v>0.734</x:v>
      </x:c>
      <x:c r="J873" s="57" t="n">
        <x:v>31.643552914414652</x:v>
      </x:c>
      <x:c r="K873" s="57" t="n">
        <x:v>77.46532937162198</x:v>
      </x:c>
      <x:c r="L873" s="57" t="n">
        <x:v>112.8076133880314</x:v>
      </x:c>
    </x:row>
    <x:row r="874" ht="32.400001525878906" hidden="0" customHeight="1">
      <x:c r="A874" s="27" t="str">
        <x:v>Harris County, Texas</x:v>
      </x:c>
      <x:c r="B874" s="27" t="str">
        <x:v>48201533302</x:v>
      </x:c>
      <x:c r="C874" s="50" t="n">
        <x:v>3938</x:v>
      </x:c>
      <x:c r="D874" s="50" t="n">
        <x:v>608</x:v>
      </x:c>
      <x:c r="E874" s="50" t="n">
        <x:v>157</x:v>
      </x:c>
      <x:c r="F874" s="37" t="n">
        <x:v>0.15439309294057899</x:v>
      </x:c>
      <x:c r="G874" s="37" t="n">
        <x:v>0.039867953275774505</x:v>
      </x:c>
      <x:c r="H874" s="56" t="n">
        <x:v>4166.499999999999</x:v>
      </x:c>
      <x:c r="I874" s="56" t="n">
        <x:v>0.632</x:v>
      </x:c>
      <x:c r="J874" s="56" t="n">
        <x:v>32.044458754764925</x:v>
      </x:c>
      <x:c r="K874" s="56" t="n">
        <x:v>78.06668813214739</x:v>
      </x:c>
      <x:c r="L874" s="56" t="n">
        <x:v>113.66669733163913</x:v>
      </x:c>
    </x:row>
    <x:row r="875" ht="32.400001525878906" hidden="0" customHeight="1">
      <x:c r="A875" s="29" t="str">
        <x:v>Harris County, Texas</x:v>
      </x:c>
      <x:c r="B875" s="29" t="str">
        <x:v>48201533401</x:v>
      </x:c>
      <x:c r="C875" s="51" t="n">
        <x:v>4205</x:v>
      </x:c>
      <x:c r="D875" s="51" t="n">
        <x:v>596</x:v>
      </x:c>
      <x:c r="E875" s="51" t="n">
        <x:v>463.5</x:v>
      </x:c>
      <x:c r="F875" s="38" t="n">
        <x:v>0.1417360285374554</x:v>
      </x:c>
      <x:c r="G875" s="38" t="n">
        <x:v>0.11022592152199762</x:v>
      </x:c>
      <x:c r="H875" s="57" t="n">
        <x:v>4459.95</x:v>
      </x:c>
      <x:c r="I875" s="57" t="n">
        <x:v>0.792</x:v>
      </x:c>
      <x:c r="J875" s="57" t="n">
        <x:v>32.52164816612959</x:v>
      </x:c>
      <x:c r="K875" s="57" t="n">
        <x:v>78.78247224919438</x:v>
      </x:c>
      <x:c r="L875" s="57" t="n">
        <x:v>114.68924607027769</x:v>
      </x:c>
    </x:row>
    <x:row r="876" ht="32.400001525878906" hidden="0" customHeight="1">
      <x:c r="A876" s="27" t="str">
        <x:v>Harris County, Texas</x:v>
      </x:c>
      <x:c r="B876" s="27" t="str">
        <x:v>48201533402</x:v>
      </x:c>
      <x:c r="C876" s="50" t="n">
        <x:v>6418</x:v>
      </x:c>
      <x:c r="D876" s="50" t="n">
        <x:v>796</x:v>
      </x:c>
      <x:c r="E876" s="50" t="n">
        <x:v>505</x:v>
      </x:c>
      <x:c r="F876" s="37" t="n">
        <x:v>0.12402617637893425</x:v>
      </x:c>
      <x:c r="G876" s="37" t="n">
        <x:v>0.07868494858211281</x:v>
      </x:c>
      <x:c r="H876" s="56" t="n">
        <x:v>6747.099999999999</x:v>
      </x:c>
      <x:c r="I876" s="56" t="n">
        <x:v>1.812</x:v>
      </x:c>
      <x:c r="J876" s="56" t="n">
        <x:v>34.27351643689492</x:v>
      </x:c>
      <x:c r="K876" s="56" t="n">
        <x:v>81.41027465534238</x:v>
      </x:c>
      <x:c r="L876" s="56" t="n">
        <x:v>118.44324950763198</x:v>
      </x:c>
    </x:row>
    <x:row r="877" ht="32.400001525878906" hidden="0" customHeight="1">
      <x:c r="A877" s="29" t="str">
        <x:v>Harris County, Texas</x:v>
      </x:c>
      <x:c r="B877" s="29" t="str">
        <x:v>48201533500</x:v>
      </x:c>
      <x:c r="C877" s="51" t="n">
        <x:v>4225</x:v>
      </x:c>
      <x:c r="D877" s="51" t="n">
        <x:v>315</x:v>
      </x:c>
      <x:c r="E877" s="51" t="n">
        <x:v>36</x:v>
      </x:c>
      <x:c r="F877" s="38" t="n">
        <x:v>0.07455621301775148</x:v>
      </x:c>
      <x:c r="G877" s="38" t="n">
        <x:v>0.008520710059171597</x:v>
      </x:c>
      <x:c r="H877" s="57" t="n">
        <x:v>4338.85</x:v>
      </x:c>
      <x:c r="I877" s="57" t="n">
        <x:v>1.032</x:v>
      </x:c>
      <x:c r="J877" s="57" t="n">
        <x:v>30.74060039527536</x:v>
      </x:c>
      <x:c r="K877" s="57" t="n">
        <x:v>76.11090059291304</x:v>
      </x:c>
      <x:c r="L877" s="57" t="n">
        <x:v>110.87271513273292</x:v>
      </x:c>
    </x:row>
    <x:row r="878" ht="32.400001525878906" hidden="0" customHeight="1">
      <x:c r="A878" s="27" t="str">
        <x:v>Harris County, Texas</x:v>
      </x:c>
      <x:c r="B878" s="27" t="str">
        <x:v>48201533600</x:v>
      </x:c>
      <x:c r="C878" s="50" t="n">
        <x:v>5377</x:v>
      </x:c>
      <x:c r="D878" s="50" t="n">
        <x:v>773</x:v>
      </x:c>
      <x:c r="E878" s="50" t="n">
        <x:v>242</x:v>
      </x:c>
      <x:c r="F878" s="37" t="n">
        <x:v>0.1437604612237307</x:v>
      </x:c>
      <x:c r="G878" s="37" t="n">
        <x:v>0.045006509205876885</x:v>
      </x:c>
      <x:c r="H878" s="56" t="n">
        <x:v>5671.749999999999</x:v>
      </x:c>
      <x:c r="I878" s="56" t="n">
        <x:v>1.357</x:v>
      </x:c>
      <x:c r="J878" s="56" t="n">
        <x:v>30.97188421455511</x:v>
      </x:c>
      <x:c r="K878" s="56" t="n">
        <x:v>76.45782632183267</x:v>
      </x:c>
      <x:c r="L878" s="56" t="n">
        <x:v>111.36832331690381</x:v>
      </x:c>
    </x:row>
    <x:row r="879" ht="32.400001525878906" hidden="0" customHeight="1">
      <x:c r="A879" s="29" t="str">
        <x:v>Harris County, Texas</x:v>
      </x:c>
      <x:c r="B879" s="29" t="str">
        <x:v>48201533701</x:v>
      </x:c>
      <x:c r="C879" s="51" t="n">
        <x:v>7269</x:v>
      </x:c>
      <x:c r="D879" s="51" t="n">
        <x:v>422</x:v>
      </x:c>
      <x:c r="E879" s="51" t="n">
        <x:v>174</x:v>
      </x:c>
      <x:c r="F879" s="38" t="n">
        <x:v>0.05805475306094374</x:v>
      </x:c>
      <x:c r="G879" s="38" t="n">
        <x:v>0.023937267849773007</x:v>
      </x:c>
      <x:c r="H879" s="57" t="n">
        <x:v>7434.1</x:v>
      </x:c>
      <x:c r="I879" s="57" t="n">
        <x:v>3.392</x:v>
      </x:c>
      <x:c r="J879" s="57" t="n">
        <x:v>30.658514600802683</x:v>
      </x:c>
      <x:c r="K879" s="57" t="n">
        <x:v>75.98777190120403</x:v>
      </x:c>
      <x:c r="L879" s="57" t="n">
        <x:v>110.69681700172004</x:v>
      </x:c>
    </x:row>
    <x:row r="880" ht="32.400001525878906" hidden="0" customHeight="1">
      <x:c r="A880" s="27" t="str">
        <x:v>Harris County, Texas</x:v>
      </x:c>
      <x:c r="B880" s="27" t="str">
        <x:v>48201533702</x:v>
      </x:c>
      <x:c r="C880" s="50" t="n">
        <x:v>3233</x:v>
      </x:c>
      <x:c r="D880" s="50" t="n">
        <x:v>459</x:v>
      </x:c>
      <x:c r="E880" s="50" t="n">
        <x:v>56</x:v>
      </x:c>
      <x:c r="F880" s="37" t="n">
        <x:v>0.14197339931951747</x:v>
      </x:c>
      <x:c r="G880" s="37" t="n">
        <x:v>0.01732137333745747</x:v>
      </x:c>
      <x:c r="H880" s="56" t="n">
        <x:v>3399.2500000000005</x:v>
      </x:c>
      <x:c r="I880" s="56" t="n">
        <x:v>0.379</x:v>
      </x:c>
      <x:c r="J880" s="56" t="n">
        <x:v>32.16541539712727</x:v>
      </x:c>
      <x:c r="K880" s="56" t="n">
        <x:v>78.2481230956909</x:v>
      </x:c>
      <x:c r="L880" s="56" t="n">
        <x:v>113.92589013670128</x:v>
      </x:c>
    </x:row>
    <x:row r="881" ht="32.400001525878906" hidden="0" customHeight="1">
      <x:c r="A881" s="29" t="str">
        <x:v>Harris County, Texas</x:v>
      </x:c>
      <x:c r="B881" s="29" t="str">
        <x:v>48201533802</x:v>
      </x:c>
      <x:c r="C881" s="51" t="n">
        <x:v>6909</x:v>
      </x:c>
      <x:c r="D881" s="51" t="n">
        <x:v>731</x:v>
      </x:c>
      <x:c r="E881" s="51" t="n">
        <x:v>252</x:v>
      </x:c>
      <x:c r="F881" s="38" t="n">
        <x:v>0.10580402373715443</x:v>
      </x:c>
      <x:c r="G881" s="38" t="n">
        <x:v>0.0364741641337386</x:v>
      </x:c>
      <x:c r="H881" s="57" t="n">
        <x:v>7190.050000000001</x:v>
      </x:c>
      <x:c r="I881" s="57" t="n">
        <x:v>2.141</x:v>
      </x:c>
      <x:c r="J881" s="57" t="n">
        <x:v>30.855530560126123</x:v>
      </x:c>
      <x:c r="K881" s="57" t="n">
        <x:v>76.28329584018918</x:v>
      </x:c>
      <x:c r="L881" s="57" t="n">
        <x:v>111.11899405741312</x:v>
      </x:c>
    </x:row>
    <x:row r="882" ht="32.400001525878906" hidden="0" customHeight="1">
      <x:c r="A882" s="27" t="str">
        <x:v>Harris County, Texas</x:v>
      </x:c>
      <x:c r="B882" s="27" t="str">
        <x:v>48201533803</x:v>
      </x:c>
      <x:c r="C882" s="50" t="n">
        <x:v>7014</x:v>
      </x:c>
      <x:c r="D882" s="50" t="n">
        <x:v>328</x:v>
      </x:c>
      <x:c r="E882" s="50" t="n">
        <x:v>88</x:v>
      </x:c>
      <x:c r="F882" s="37" t="n">
        <x:v>0.046763615625891077</x:v>
      </x:c>
      <x:c r="G882" s="37" t="n">
        <x:v>0.012546335899629312</x:v>
      </x:c>
      <x:c r="H882" s="56" t="n">
        <x:v>7137.6</x:v>
      </x:c>
      <x:c r="I882" s="56" t="n">
        <x:v>1.332</x:v>
      </x:c>
      <x:c r="J882" s="56" t="n">
        <x:v>33.27375220746822</x:v>
      </x:c>
      <x:c r="K882" s="56" t="n">
        <x:v>79.91062831120233</x:v>
      </x:c>
      <x:c r="L882" s="56" t="n">
        <x:v>116.3008975874319</x:v>
      </x:c>
    </x:row>
    <x:row r="883" ht="32.400001525878906" hidden="0" customHeight="1">
      <x:c r="A883" s="29" t="str">
        <x:v>Harris County, Texas</x:v>
      </x:c>
      <x:c r="B883" s="29" t="str">
        <x:v>48201533804</x:v>
      </x:c>
      <x:c r="C883" s="51" t="n">
        <x:v>6437</x:v>
      </x:c>
      <x:c r="D883" s="51" t="n">
        <x:v>477</x:v>
      </x:c>
      <x:c r="E883" s="51" t="n">
        <x:v>164</x:v>
      </x:c>
      <x:c r="F883" s="38" t="n">
        <x:v>0.07410284293925742</x:v>
      </x:c>
      <x:c r="G883" s="38" t="n">
        <x:v>0.025477707006369428</x:v>
      </x:c>
      <x:c r="H883" s="57" t="n">
        <x:v>6620.35</x:v>
      </x:c>
      <x:c r="I883" s="57" t="n">
        <x:v>1.94</x:v>
      </x:c>
      <x:c r="J883" s="57" t="n">
        <x:v>31.9212391986283</x:v>
      </x:c>
      <x:c r="K883" s="57" t="n">
        <x:v>77.88185879794244</x:v>
      </x:c>
      <x:c r="L883" s="57" t="n">
        <x:v>113.40265542563206</x:v>
      </x:c>
    </x:row>
    <x:row r="884" ht="32.400001525878906" hidden="0" customHeight="1">
      <x:c r="A884" s="27" t="str">
        <x:v>Harris County, Texas</x:v>
      </x:c>
      <x:c r="B884" s="27" t="str">
        <x:v>48201533902</x:v>
      </x:c>
      <x:c r="C884" s="50" t="n">
        <x:v>5511</x:v>
      </x:c>
      <x:c r="D884" s="50" t="n">
        <x:v>1142</x:v>
      </x:c>
      <x:c r="E884" s="50" t="n">
        <x:v>622</x:v>
      </x:c>
      <x:c r="F884" s="37" t="n">
        <x:v>0.2072219197967701</x:v>
      </x:c>
      <x:c r="G884" s="37" t="n">
        <x:v>0.1128651787334422</x:v>
      </x:c>
      <x:c r="H884" s="56" t="n">
        <x:v>5972.899999999999</x:v>
      </x:c>
      <x:c r="I884" s="56" t="n">
        <x:v>0.748</x:v>
      </x:c>
      <x:c r="J884" s="56" t="n">
        <x:v>26.457315638992345</x:v>
      </x:c>
      <x:c r="K884" s="56" t="n">
        <x:v>69.68597345848852</x:v>
      </x:c>
      <x:c r="L884" s="56" t="n">
        <x:v>101.69424779784075</x:v>
      </x:c>
    </x:row>
    <x:row r="885" ht="32.400001525878906" hidden="0" customHeight="1">
      <x:c r="A885" s="29" t="str">
        <x:v>Harris County, Texas</x:v>
      </x:c>
      <x:c r="B885" s="29" t="str">
        <x:v>48201533903</x:v>
      </x:c>
      <x:c r="C885" s="51" t="n">
        <x:v>4135</x:v>
      </x:c>
      <x:c r="D885" s="51" t="n">
        <x:v>215</x:v>
      </x:c>
      <x:c r="E885" s="51" t="n">
        <x:v>277</x:v>
      </x:c>
      <x:c r="F885" s="38" t="n">
        <x:v>0.05199516324062878</x:v>
      </x:c>
      <x:c r="G885" s="38" t="n">
        <x:v>0.06698911729141475</x:v>
      </x:c>
      <x:c r="H885" s="57" t="n">
        <x:v>4237.949999999999</x:v>
      </x:c>
      <x:c r="I885" s="57" t="n">
        <x:v>0.645</x:v>
      </x:c>
      <x:c r="J885" s="57" t="n">
        <x:v>28.54947557361183</x:v>
      </x:c>
      <x:c r="K885" s="57" t="n">
        <x:v>72.82421336041774</x:v>
      </x:c>
      <x:c r="L885" s="57" t="n">
        <x:v>106.17744765773963</x:v>
      </x:c>
    </x:row>
    <x:row r="886" ht="32.400001525878906" hidden="0" customHeight="1">
      <x:c r="A886" s="27" t="str">
        <x:v>Harris County, Texas</x:v>
      </x:c>
      <x:c r="B886" s="27" t="str">
        <x:v>48201533904</x:v>
      </x:c>
      <x:c r="C886" s="50" t="n">
        <x:v>4323</x:v>
      </x:c>
      <x:c r="D886" s="50" t="n">
        <x:v>771</x:v>
      </x:c>
      <x:c r="E886" s="50" t="n">
        <x:v>269</x:v>
      </x:c>
      <x:c r="F886" s="37" t="n">
        <x:v>0.17834836918806385</x:v>
      </x:c>
      <x:c r="G886" s="37" t="n">
        <x:v>0.06222530650011566</x:v>
      </x:c>
      <x:c r="H886" s="56" t="n">
        <x:v>4619.75</x:v>
      </x:c>
      <x:c r="I886" s="56" t="n">
        <x:v>0.473</x:v>
      </x:c>
      <x:c r="J886" s="56" t="n">
        <x:v>27.8926803130906</x:v>
      </x:c>
      <x:c r="K886" s="56" t="n">
        <x:v>71.8390204696359</x:v>
      </x:c>
      <x:c r="L886" s="56" t="n">
        <x:v>104.770029242337</x:v>
      </x:c>
    </x:row>
    <x:row r="887" ht="32.400001525878906" hidden="0" customHeight="1">
      <x:c r="A887" s="29" t="str">
        <x:v>Harris County, Texas</x:v>
      </x:c>
      <x:c r="B887" s="29" t="str">
        <x:v>48201534001</x:v>
      </x:c>
      <x:c r="C887" s="51" t="n">
        <x:v>3341</x:v>
      </x:c>
      <x:c r="D887" s="51" t="n">
        <x:v>390</x:v>
      </x:c>
      <x:c r="E887" s="51" t="n">
        <x:v>44</x:v>
      </x:c>
      <x:c r="F887" s="38" t="n">
        <x:v>0.11673151750972763</x:v>
      </x:c>
      <x:c r="G887" s="38" t="n">
        <x:v>0.013169709667764143</x:v>
      </x:c>
      <x:c r="H887" s="57" t="n">
        <x:v>3481.9</x:v>
      </x:c>
      <x:c r="I887" s="57" t="n">
        <x:v>1.5</x:v>
      </x:c>
      <x:c r="J887" s="57" t="n">
        <x:v>29.237752072844952</x:v>
      </x:c>
      <x:c r="K887" s="57" t="n">
        <x:v>73.85662810926743</x:v>
      </x:c>
      <x:c r="L887" s="57" t="n">
        <x:v>107.65232587038204</x:v>
      </x:c>
    </x:row>
    <x:row r="888" ht="32.400001525878906" hidden="0" customHeight="1">
      <x:c r="A888" s="27" t="str">
        <x:v>Harris County, Texas</x:v>
      </x:c>
      <x:c r="B888" s="27" t="str">
        <x:v>48201534002</x:v>
      </x:c>
      <x:c r="C888" s="50" t="n">
        <x:v>5216</x:v>
      </x:c>
      <x:c r="D888" s="50" t="n">
        <x:v>562</x:v>
      </x:c>
      <x:c r="E888" s="50" t="n">
        <x:v>36</x:v>
      </x:c>
      <x:c r="F888" s="37" t="n">
        <x:v>0.10774539877300614</x:v>
      </x:c>
      <x:c r="G888" s="37" t="n">
        <x:v>0.006901840490797546</x:v>
      </x:c>
      <x:c r="H888" s="56" t="n">
        <x:v>5416.300000000001</x:v>
      </x:c>
      <x:c r="I888" s="56" t="n">
        <x:v>1.252</x:v>
      </x:c>
      <x:c r="J888" s="56" t="n">
        <x:v>27.04771052345599</x:v>
      </x:c>
      <x:c r="K888" s="56" t="n">
        <x:v>70.57156578518399</x:v>
      </x:c>
      <x:c r="L888" s="56" t="n">
        <x:v>102.95937969311998</x:v>
      </x:c>
    </x:row>
    <x:row r="889" ht="32.400001525878906" hidden="0" customHeight="1">
      <x:c r="A889" s="29" t="str">
        <x:v>Harris County, Texas</x:v>
      </x:c>
      <x:c r="B889" s="29" t="str">
        <x:v>48201534003</x:v>
      </x:c>
      <x:c r="C889" s="51" t="n">
        <x:v>2307</x:v>
      </x:c>
      <x:c r="D889" s="51" t="n">
        <x:v>179</x:v>
      </x:c>
      <x:c r="E889" s="51" t="n">
        <x:v>12</x:v>
      </x:c>
      <x:c r="F889" s="38" t="n">
        <x:v>0.0775899436497616</x:v>
      </x:c>
      <x:c r="G889" s="38" t="n">
        <x:v>0.005201560468140442</x:v>
      </x:c>
      <x:c r="H889" s="57" t="n">
        <x:v>2370.8499999999995</x:v>
      </x:c>
      <x:c r="I889" s="57" t="n">
        <x:v>0.512</x:v>
      </x:c>
      <x:c r="J889" s="57" t="n">
        <x:v>25.001391660992148</x:v>
      </x:c>
      <x:c r="K889" s="57" t="n">
        <x:v>67.50208749148823</x:v>
      </x:c>
      <x:c r="L889" s="57" t="n">
        <x:v>98.57441070212603</x:v>
      </x:c>
    </x:row>
    <x:row r="890" ht="32.400001525878906" hidden="0" customHeight="1">
      <x:c r="A890" s="27" t="str">
        <x:v>Harris County, Texas</x:v>
      </x:c>
      <x:c r="B890" s="27" t="str">
        <x:v>48201534101</x:v>
      </x:c>
      <x:c r="C890" s="50" t="n">
        <x:v>2973</x:v>
      </x:c>
      <x:c r="D890" s="50" t="n">
        <x:v>193</x:v>
      </x:c>
      <x:c r="E890" s="50" t="n">
        <x:v>24</x:v>
      </x:c>
      <x:c r="F890" s="37" t="n">
        <x:v>0.06491759165825765</x:v>
      </x:c>
      <x:c r="G890" s="37" t="n">
        <x:v>0.008072653884964682</x:v>
      </x:c>
      <x:c r="H890" s="56" t="n">
        <x:v>3042.9500000000003</x:v>
      </x:c>
      <x:c r="I890" s="56" t="n">
        <x:v>2.95</x:v>
      </x:c>
      <x:c r="J890" s="56" t="n">
        <x:v>22.085729213975604</x:v>
      </x:c>
      <x:c r="K890" s="56" t="n">
        <x:v>63.12859382096341</x:v>
      </x:c>
      <x:c r="L890" s="56" t="n">
        <x:v>92.3265626013763</x:v>
      </x:c>
    </x:row>
    <x:row r="891" ht="32.400001525878906" hidden="0" customHeight="1">
      <x:c r="A891" s="29" t="str">
        <x:v>Harris County, Texas</x:v>
      </x:c>
      <x:c r="B891" s="29" t="str">
        <x:v>48201534102</x:v>
      </x:c>
      <x:c r="C891" s="51" t="n">
        <x:v>5419</x:v>
      </x:c>
      <x:c r="D891" s="51" t="n">
        <x:v>493</x:v>
      </x:c>
      <x:c r="E891" s="51" t="n">
        <x:v>54</x:v>
      </x:c>
      <x:c r="F891" s="38" t="n">
        <x:v>0.0909761948699022</x:v>
      </x:c>
      <x:c r="G891" s="38" t="n">
        <x:v>0.009964938180476102</x:v>
      </x:c>
      <x:c r="H891" s="57" t="n">
        <x:v>5596.95</x:v>
      </x:c>
      <x:c r="I891" s="57" t="n">
        <x:v>1.904</x:v>
      </x:c>
      <x:c r="J891" s="57" t="n">
        <x:v>25.544159621123537</x:v>
      </x:c>
      <x:c r="K891" s="57" t="n">
        <x:v>68.3162394316853</x:v>
      </x:c>
      <x:c r="L891" s="57" t="n">
        <x:v>99.73748490240757</x:v>
      </x:c>
    </x:row>
    <x:row r="892" ht="32.400001525878906" hidden="0" customHeight="1">
      <x:c r="A892" s="27" t="str">
        <x:v>Harris County, Texas</x:v>
      </x:c>
      <x:c r="B892" s="27" t="str">
        <x:v>48201534201</x:v>
      </x:c>
      <x:c r="C892" s="50" t="n">
        <x:v>3274</x:v>
      </x:c>
      <x:c r="D892" s="50" t="n">
        <x:v>386</x:v>
      </x:c>
      <x:c r="E892" s="50" t="n">
        <x:v>8</x:v>
      </x:c>
      <x:c r="F892" s="37" t="n">
        <x:v>0.1178985949908369</x:v>
      </x:c>
      <x:c r="G892" s="37" t="n">
        <x:v>0.002443494196701283</x:v>
      </x:c>
      <x:c r="H892" s="56" t="n">
        <x:v>3409.9</x:v>
      </x:c>
      <x:c r="I892" s="56" t="n">
        <x:v>1.283</x:v>
      </x:c>
      <x:c r="J892" s="56" t="n">
        <x:v>20.902979416072405</x:v>
      </x:c>
      <x:c r="K892" s="56" t="n">
        <x:v>61.354469124108604</x:v>
      </x:c>
      <x:c r="L892" s="56" t="n">
        <x:v>89.79209874872657</x:v>
      </x:c>
    </x:row>
    <x:row r="893" ht="32.400001525878906" hidden="0" customHeight="1">
      <x:c r="A893" s="29" t="str">
        <x:v>Harris County, Texas</x:v>
      </x:c>
      <x:c r="B893" s="29" t="str">
        <x:v>48201534203</x:v>
      </x:c>
      <x:c r="C893" s="51" t="n">
        <x:v>2201</x:v>
      </x:c>
      <x:c r="D893" s="51" t="n">
        <x:v>53</x:v>
      </x:c>
      <x:c r="E893" s="51" t="n">
        <x:v>158.5</x:v>
      </x:c>
      <x:c r="F893" s="38" t="n">
        <x:v>0.02407996365288505</x:v>
      </x:c>
      <x:c r="G893" s="38" t="n">
        <x:v>0.07201272149023172</x:v>
      </x:c>
      <x:c r="H893" s="57" t="n">
        <x:v>2235.4</x:v>
      </x:c>
      <x:c r="I893" s="57" t="n">
        <x:v>1.631</x:v>
      </x:c>
      <x:c r="J893" s="57" t="n">
        <x:v>24.426977032123855</x:v>
      </x:c>
      <x:c r="K893" s="57" t="n">
        <x:v>66.64046554818579</x:v>
      </x:c>
      <x:c r="L893" s="57" t="n">
        <x:v>97.34352221169398</x:v>
      </x:c>
    </x:row>
    <x:row r="894" ht="32.400001525878906" hidden="0" customHeight="1">
      <x:c r="A894" s="27" t="str">
        <x:v>Harris County, Texas</x:v>
      </x:c>
      <x:c r="B894" s="27" t="str">
        <x:v>48201534204</x:v>
      </x:c>
      <x:c r="C894" s="50" t="n">
        <x:v>4775</x:v>
      </x:c>
      <x:c r="D894" s="50" t="n">
        <x:v>435</x:v>
      </x:c>
      <x:c r="E894" s="50" t="n">
        <x:v>0</x:v>
      </x:c>
      <x:c r="F894" s="37" t="n">
        <x:v>0.09109947643979058</x:v>
      </x:c>
      <x:c r="G894" s="37" t="n">
        <x:v>0</x:v>
      </x:c>
      <x:c r="H894" s="56" t="n">
        <x:v>4927.25</x:v>
      </x:c>
      <x:c r="I894" s="56" t="n">
        <x:v>0.877</x:v>
      </x:c>
      <x:c r="J894" s="56" t="n">
        <x:v>23.779849653644064</x:v>
      </x:c>
      <x:c r="K894" s="56" t="n">
        <x:v>65.66977448046609</x:v>
      </x:c>
      <x:c r="L894" s="56" t="n">
        <x:v>95.95682068638013</x:v>
      </x:c>
    </x:row>
    <x:row r="895" ht="32.400001525878906" hidden="0" customHeight="1">
      <x:c r="A895" s="29" t="str">
        <x:v>Harris County, Texas</x:v>
      </x:c>
      <x:c r="B895" s="29" t="str">
        <x:v>48201534205</x:v>
      </x:c>
      <x:c r="C895" s="51" t="n">
        <x:v>3760</x:v>
      </x:c>
      <x:c r="D895" s="51" t="n">
        <x:v>472</x:v>
      </x:c>
      <x:c r="E895" s="51" t="n">
        <x:v>113</x:v>
      </x:c>
      <x:c r="F895" s="38" t="n">
        <x:v>0.125531914893617</x:v>
      </x:c>
      <x:c r="G895" s="38" t="n">
        <x:v>0.0300531914893617</x:v>
      </x:c>
      <x:c r="H895" s="57" t="n">
        <x:v>3936.4999999999995</x:v>
      </x:c>
      <x:c r="I895" s="57" t="n">
        <x:v>0.966</x:v>
      </x:c>
      <x:c r="J895" s="57" t="n">
        <x:v>22.64750599136</x:v>
      </x:c>
      <x:c r="K895" s="57" t="n">
        <x:v>63.97125898704</x:v>
      </x:c>
      <x:c r="L895" s="57" t="n">
        <x:v>93.5303699814857</x:v>
      </x:c>
    </x:row>
    <x:row r="896" ht="32.400001525878906" hidden="0" customHeight="1">
      <x:c r="A896" s="27" t="str">
        <x:v>Harris County, Texas</x:v>
      </x:c>
      <x:c r="B896" s="27" t="str">
        <x:v>48201540101</x:v>
      </x:c>
      <x:c r="C896" s="50" t="n">
        <x:v>7031</x:v>
      </x:c>
      <x:c r="D896" s="50" t="n">
        <x:v>813</x:v>
      </x:c>
      <x:c r="E896" s="50" t="n">
        <x:v>0</x:v>
      </x:c>
      <x:c r="F896" s="37" t="n">
        <x:v>0.11563077798321718</x:v>
      </x:c>
      <x:c r="G896" s="37" t="n">
        <x:v>0</x:v>
      </x:c>
      <x:c r="H896" s="56" t="n">
        <x:v>7315.55</x:v>
      </x:c>
      <x:c r="I896" s="56" t="n">
        <x:v>4.622</x:v>
      </x:c>
      <x:c r="J896" s="56" t="n">
        <x:v>22.437476083978847</x:v>
      </x:c>
      <x:c r="K896" s="56" t="n">
        <x:v>63.656214125968276</x:v>
      </x:c>
      <x:c r="L896" s="56" t="n">
        <x:v>93.08030589424038</x:v>
      </x:c>
    </x:row>
    <x:row r="897" ht="32.400001525878906" hidden="0" customHeight="1">
      <x:c r="A897" s="29" t="str">
        <x:v>Harris County, Texas</x:v>
      </x:c>
      <x:c r="B897" s="29" t="str">
        <x:v>48201540102</x:v>
      </x:c>
      <x:c r="C897" s="51" t="n">
        <x:v>6316</x:v>
      </x:c>
      <x:c r="D897" s="51" t="n">
        <x:v>1007</x:v>
      </x:c>
      <x:c r="E897" s="51" t="n">
        <x:v>0</x:v>
      </x:c>
      <x:c r="F897" s="38" t="n">
        <x:v>0.15943635212159596</x:v>
      </x:c>
      <x:c r="G897" s="38" t="n">
        <x:v>0</x:v>
      </x:c>
      <x:c r="H897" s="57" t="n">
        <x:v>6668.450000000001</x:v>
      </x:c>
      <x:c r="I897" s="57" t="n">
        <x:v>3.883</x:v>
      </x:c>
      <x:c r="J897" s="57" t="n">
        <x:v>19.870750661849385</x:v>
      </x:c>
      <x:c r="K897" s="57" t="n">
        <x:v>59.80612599277408</x:v>
      </x:c>
      <x:c r="L897" s="57" t="n">
        <x:v>87.58017998967725</x:v>
      </x:c>
    </x:row>
    <x:row r="898" ht="32.400001525878906" hidden="0" customHeight="1">
      <x:c r="A898" s="27" t="str">
        <x:v>Harris County, Texas</x:v>
      </x:c>
      <x:c r="B898" s="27" t="str">
        <x:v>48201540200</x:v>
      </x:c>
      <x:c r="C898" s="50" t="n">
        <x:v>2433</x:v>
      </x:c>
      <x:c r="D898" s="50" t="n">
        <x:v>275</x:v>
      </x:c>
      <x:c r="E898" s="50" t="n">
        <x:v>81</x:v>
      </x:c>
      <x:c r="F898" s="37" t="n">
        <x:v>0.11302918207973695</x:v>
      </x:c>
      <x:c r="G898" s="37" t="n">
        <x:v>0.03329223181257707</x:v>
      </x:c>
      <x:c r="H898" s="56" t="n">
        <x:v>2537.3499999999995</x:v>
      </x:c>
      <x:c r="I898" s="56" t="n">
        <x:v>0.967</x:v>
      </x:c>
      <x:c r="J898" s="56" t="n">
        <x:v>25.551660260017723</x:v>
      </x:c>
      <x:c r="K898" s="56" t="n">
        <x:v>68.32749039002658</x:v>
      </x:c>
      <x:c r="L898" s="56" t="n">
        <x:v>99.75355770003797</x:v>
      </x:c>
    </x:row>
    <x:row r="899" ht="32.400001525878906" hidden="0" customHeight="1">
      <x:c r="A899" s="29" t="str">
        <x:v>Harris County, Texas</x:v>
      </x:c>
      <x:c r="B899" s="29" t="str">
        <x:v>48201540502</x:v>
      </x:c>
      <x:c r="C899" s="51" t="n">
        <x:v>5191</x:v>
      </x:c>
      <x:c r="D899" s="51" t="n">
        <x:v>277</x:v>
      </x:c>
      <x:c r="E899" s="51" t="n">
        <x:v>80</x:v>
      </x:c>
      <x:c r="F899" s="38" t="n">
        <x:v>0.05336158736274321</x:v>
      </x:c>
      <x:c r="G899" s="38" t="n">
        <x:v>0.015411288769023309</x:v>
      </x:c>
      <x:c r="H899" s="57" t="n">
        <x:v>5295.95</x:v>
      </x:c>
      <x:c r="I899" s="57" t="n">
        <x:v>1.605</x:v>
      </x:c>
      <x:c r="J899" s="57" t="n">
        <x:v>17.858903023946315</x:v>
      </x:c>
      <x:c r="K899" s="57" t="n">
        <x:v>56.788354535919474</x:v>
      </x:c>
      <x:c r="L899" s="57" t="n">
        <x:v>83.26907790845638</x:v>
      </x:c>
    </x:row>
    <x:row r="900" ht="32.400001525878906" hidden="0" customHeight="1">
      <x:c r="A900" s="27" t="str">
        <x:v>Harris County, Texas</x:v>
      </x:c>
      <x:c r="B900" s="27" t="str">
        <x:v>48201540503</x:v>
      </x:c>
      <x:c r="C900" s="50" t="n">
        <x:v>5037</x:v>
      </x:c>
      <x:c r="D900" s="50" t="n">
        <x:v>600</x:v>
      </x:c>
      <x:c r="E900" s="50" t="n">
        <x:v>1013.5</x:v>
      </x:c>
      <x:c r="F900" s="37" t="n">
        <x:v>0.11911852293031566</x:v>
      </x:c>
      <x:c r="G900" s="37" t="n">
        <x:v>0.2012110383164582</x:v>
      </x:c>
      <x:c r="H900" s="56" t="n">
        <x:v>5348.35</x:v>
      </x:c>
      <x:c r="I900" s="56" t="n">
        <x:v>0.265</x:v>
      </x:c>
      <x:c r="J900" s="56" t="n">
        <x:v>15.62634772882536</x:v>
      </x:c>
      <x:c r="K900" s="56" t="n">
        <x:v>53.43952159323804</x:v>
      </x:c>
      <x:c r="L900" s="56" t="n">
        <x:v>78.48503084748292</x:v>
      </x:c>
    </x:row>
    <x:row r="901" ht="32.400001525878906" hidden="0" customHeight="1">
      <x:c r="A901" s="29" t="str">
        <x:v>Harris County, Texas</x:v>
      </x:c>
      <x:c r="B901" s="29" t="str">
        <x:v>48201540504</x:v>
      </x:c>
      <x:c r="C901" s="51" t="n">
        <x:v>3408</x:v>
      </x:c>
      <x:c r="D901" s="51" t="n">
        <x:v>249</x:v>
      </x:c>
      <x:c r="E901" s="51" t="n">
        <x:v>289.5</x:v>
      </x:c>
      <x:c r="F901" s="38" t="n">
        <x:v>0.07306338028169014</x:v>
      </x:c>
      <x:c r="G901" s="38" t="n">
        <x:v>0.08494718309859155</x:v>
      </x:c>
      <x:c r="H901" s="57" t="n">
        <x:v>3524.1</x:v>
      </x:c>
      <x:c r="I901" s="57" t="n">
        <x:v>0.428</x:v>
      </x:c>
      <x:c r="J901" s="57" t="n">
        <x:v>17.13992220503083</x:v>
      </x:c>
      <x:c r="K901" s="57" t="n">
        <x:v>55.70988330754625</x:v>
      </x:c>
      <x:c r="L901" s="57" t="n">
        <x:v>81.72840472506607</x:v>
      </x:c>
    </x:row>
    <x:row r="902" ht="32.400001525878906" hidden="0" customHeight="1">
      <x:c r="A902" s="27" t="str">
        <x:v>Harris County, Texas</x:v>
      </x:c>
      <x:c r="B902" s="27" t="str">
        <x:v>48201540601</x:v>
      </x:c>
      <x:c r="C902" s="50" t="n">
        <x:v>4133</x:v>
      </x:c>
      <x:c r="D902" s="50" t="n">
        <x:v>405</x:v>
      </x:c>
      <x:c r="E902" s="50" t="n">
        <x:v>70</x:v>
      </x:c>
      <x:c r="F902" s="37" t="n">
        <x:v>0.0979917735301234</x:v>
      </x:c>
      <x:c r="G902" s="37" t="n">
        <x:v>0.016936849745947252</x:v>
      </x:c>
      <x:c r="H902" s="56" t="n">
        <x:v>4281.75</x:v>
      </x:c>
      <x:c r="I902" s="56" t="n">
        <x:v>0.623</x:v>
      </x:c>
      <x:c r="J902" s="56" t="n">
        <x:v>15.846783571822808</x:v>
      </x:c>
      <x:c r="K902" s="56" t="n">
        <x:v>53.77017535773421</x:v>
      </x:c>
      <x:c r="L902" s="56" t="n">
        <x:v>78.95739336819173</x:v>
      </x:c>
    </x:row>
    <x:row r="903" ht="32.400001525878906" hidden="0" customHeight="1">
      <x:c r="A903" s="29" t="str">
        <x:v>Harris County, Texas</x:v>
      </x:c>
      <x:c r="B903" s="29" t="str">
        <x:v>48201540602</x:v>
      </x:c>
      <x:c r="C903" s="51" t="n">
        <x:v>7498</x:v>
      </x:c>
      <x:c r="D903" s="51" t="n">
        <x:v>637</x:v>
      </x:c>
      <x:c r="E903" s="51" t="n">
        <x:v>37</x:v>
      </x:c>
      <x:c r="F903" s="38" t="n">
        <x:v>0.08495598826353694</x:v>
      </x:c>
      <x:c r="G903" s="38" t="n">
        <x:v>0.004934649239797279</x:v>
      </x:c>
      <x:c r="H903" s="57" t="n">
        <x:v>7724.650000000001</x:v>
      </x:c>
      <x:c r="I903" s="57" t="n">
        <x:v>1.053</x:v>
      </x:c>
      <x:c r="J903" s="57" t="n">
        <x:v>14.176910010451877</x:v>
      </x:c>
      <x:c r="K903" s="57" t="n">
        <x:v>51.265365015677816</x:v>
      </x:c>
      <x:c r="L903" s="57" t="n">
        <x:v>75.37909287953974</x:v>
      </x:c>
    </x:row>
    <x:row r="904" ht="32.400001525878906" hidden="0" customHeight="1">
      <x:c r="A904" s="27" t="str">
        <x:v>Harris County, Texas</x:v>
      </x:c>
      <x:c r="B904" s="27" t="str">
        <x:v>48201540700</x:v>
      </x:c>
      <x:c r="C904" s="50" t="n">
        <x:v>5372</x:v>
      </x:c>
      <x:c r="D904" s="50" t="n">
        <x:v>577</x:v>
      </x:c>
      <x:c r="E904" s="50" t="n">
        <x:v>158</x:v>
      </x:c>
      <x:c r="F904" s="37" t="n">
        <x:v>0.10740878629932986</x:v>
      </x:c>
      <x:c r="G904" s="37" t="n">
        <x:v>0.029411764705882353</x:v>
      </x:c>
      <x:c r="H904" s="56" t="n">
        <x:v>5589.75</x:v>
      </x:c>
      <x:c r="I904" s="56" t="n">
        <x:v>2.882</x:v>
      </x:c>
      <x:c r="J904" s="56" t="n">
        <x:v>18.004224470016947</x:v>
      </x:c>
      <x:c r="K904" s="56" t="n">
        <x:v>57.00633670502542</x:v>
      </x:c>
      <x:c r="L904" s="56" t="n">
        <x:v>83.58048100717917</x:v>
      </x:c>
    </x:row>
    <x:row r="905" ht="32.400001525878906" hidden="0" customHeight="1">
      <x:c r="A905" s="29" t="str">
        <x:v>Harris County, Texas</x:v>
      </x:c>
      <x:c r="B905" s="29" t="str">
        <x:v>48201540800</x:v>
      </x:c>
      <x:c r="C905" s="51" t="n">
        <x:v>6864</x:v>
      </x:c>
      <x:c r="D905" s="51" t="n">
        <x:v>624</x:v>
      </x:c>
      <x:c r="E905" s="51" t="n">
        <x:v>49</x:v>
      </x:c>
      <x:c r="F905" s="38" t="n">
        <x:v>0.09090909090909091</x:v>
      </x:c>
      <x:c r="G905" s="38" t="n">
        <x:v>0.007138694638694639</x:v>
      </x:c>
      <x:c r="H905" s="57" t="n">
        <x:v>7087.3</x:v>
      </x:c>
      <x:c r="I905" s="57" t="n">
        <x:v>3.705</x:v>
      </x:c>
      <x:c r="J905" s="57" t="n">
        <x:v>15.949029597046046</x:v>
      </x:c>
      <x:c r="K905" s="57" t="n">
        <x:v>53.92354439556907</x:v>
      </x:c>
      <x:c r="L905" s="57" t="n">
        <x:v>79.1764919936701</x:v>
      </x:c>
    </x:row>
    <x:row r="906" ht="32.400001525878906" hidden="0" customHeight="1">
      <x:c r="A906" s="27" t="str">
        <x:v>Harris County, Texas</x:v>
      </x:c>
      <x:c r="B906" s="27" t="str">
        <x:v>48201540901</x:v>
      </x:c>
      <x:c r="C906" s="50" t="n">
        <x:v>3102</x:v>
      </x:c>
      <x:c r="D906" s="50" t="n">
        <x:v>231</x:v>
      </x:c>
      <x:c r="E906" s="50" t="n">
        <x:v>153</x:v>
      </x:c>
      <x:c r="F906" s="37" t="n">
        <x:v>0.07446808510638298</x:v>
      </x:c>
      <x:c r="G906" s="37" t="n">
        <x:v>0.04932301740812379</x:v>
      </x:c>
      <x:c r="H906" s="56" t="n">
        <x:v>3198.1499999999996</x:v>
      </x:c>
      <x:c r="I906" s="56" t="n">
        <x:v>0.608</x:v>
      </x:c>
      <x:c r="J906" s="56" t="n">
        <x:v>13.520070178411444</x:v>
      </x:c>
      <x:c r="K906" s="56" t="n">
        <x:v>50.28010526761717</x:v>
      </x:c>
      <x:c r="L906" s="56" t="n">
        <x:v>73.9715789537388</x:v>
      </x:c>
    </x:row>
    <x:row r="907" ht="32.400001525878906" hidden="0" customHeight="1">
      <x:c r="A907" s="29" t="str">
        <x:v>Harris County, Texas</x:v>
      </x:c>
      <x:c r="B907" s="29" t="str">
        <x:v>48201540903</x:v>
      </x:c>
      <x:c r="C907" s="51" t="n">
        <x:v>3562</x:v>
      </x:c>
      <x:c r="D907" s="51" t="n">
        <x:v>170</x:v>
      </x:c>
      <x:c r="E907" s="51" t="n">
        <x:v>242.5</x:v>
      </x:c>
      <x:c r="F907" s="38" t="n">
        <x:v>0.04772599663110612</x:v>
      </x:c>
      <x:c r="G907" s="38" t="n">
        <x:v>0.06807973048848961</x:v>
      </x:c>
      <x:c r="H907" s="57" t="n">
        <x:v>3645.75</x:v>
      </x:c>
      <x:c r="I907" s="57" t="n">
        <x:v>0.552</x:v>
      </x:c>
      <x:c r="J907" s="57" t="n">
        <x:v>11.943708650614365</x:v>
      </x:c>
      <x:c r="K907" s="57" t="n">
        <x:v>47.915562975921546</x:v>
      </x:c>
      <x:c r="L907" s="57" t="n">
        <x:v>70.59366139417364</x:v>
      </x:c>
    </x:row>
    <x:row r="908" ht="32.400001525878906" hidden="0" customHeight="1">
      <x:c r="A908" s="27" t="str">
        <x:v>Harris County, Texas</x:v>
      </x:c>
      <x:c r="B908" s="27" t="str">
        <x:v>48201540904</x:v>
      </x:c>
      <x:c r="C908" s="50" t="n">
        <x:v>3804</x:v>
      </x:c>
      <x:c r="D908" s="50" t="n">
        <x:v>199</x:v>
      </x:c>
      <x:c r="E908" s="50" t="n">
        <x:v>0</x:v>
      </x:c>
      <x:c r="F908" s="37" t="n">
        <x:v>0.05231335436382755</x:v>
      </x:c>
      <x:c r="G908" s="37" t="n">
        <x:v>0</x:v>
      </x:c>
      <x:c r="H908" s="56" t="n">
        <x:v>3873.65</x:v>
      </x:c>
      <x:c r="I908" s="56" t="n">
        <x:v>1.193</x:v>
      </x:c>
      <x:c r="J908" s="56" t="n">
        <x:v>12.603252108137477</x:v>
      </x:c>
      <x:c r="K908" s="56" t="n">
        <x:v>48.90487816220622</x:v>
      </x:c>
      <x:c r="L908" s="56" t="n">
        <x:v>72.00696880315174</x:v>
      </x:c>
    </x:row>
    <x:row r="909" ht="32.400001525878906" hidden="0" customHeight="1">
      <x:c r="A909" s="29" t="str">
        <x:v>Harris County, Texas</x:v>
      </x:c>
      <x:c r="B909" s="29" t="str">
        <x:v>48201541004</x:v>
      </x:c>
      <x:c r="C909" s="51" t="n">
        <x:v>5726</x:v>
      </x:c>
      <x:c r="D909" s="51" t="n">
        <x:v>580</x:v>
      </x:c>
      <x:c r="E909" s="51" t="n">
        <x:v>0</x:v>
      </x:c>
      <x:c r="F909" s="38" t="n">
        <x:v>0.10129235068110373</x:v>
      </x:c>
      <x:c r="G909" s="38" t="n">
        <x:v>0</x:v>
      </x:c>
      <x:c r="H909" s="57" t="n">
        <x:v>5929</x:v>
      </x:c>
      <x:c r="I909" s="57" t="n">
        <x:v>1.427</x:v>
      </x:c>
      <x:c r="J909" s="57" t="n">
        <x:v>9.006131890994451</x:v>
      </x:c>
      <x:c r="K909" s="57" t="n">
        <x:v>43.50919783649168</x:v>
      </x:c>
      <x:c r="L909" s="57" t="n">
        <x:v>64.29885405213096</x:v>
      </x:c>
    </x:row>
    <x:row r="910" ht="32.400001525878906" hidden="0" customHeight="1">
      <x:c r="A910" s="27" t="str">
        <x:v>Harris County, Texas</x:v>
      </x:c>
      <x:c r="B910" s="27" t="str">
        <x:v>48201541005</x:v>
      </x:c>
      <x:c r="C910" s="50" t="n">
        <x:v>4587</x:v>
      </x:c>
      <x:c r="D910" s="50" t="n">
        <x:v>327</x:v>
      </x:c>
      <x:c r="E910" s="50" t="n">
        <x:v>25</x:v>
      </x:c>
      <x:c r="F910" s="37" t="n">
        <x:v>0.07128842380640942</x:v>
      </x:c>
      <x:c r="G910" s="37" t="n">
        <x:v>0.0054501853063004145</x:v>
      </x:c>
      <x:c r="H910" s="56" t="n">
        <x:v>4703.949999999999</x:v>
      </x:c>
      <x:c r="I910" s="56" t="n">
        <x:v>0.632</x:v>
      </x:c>
      <x:c r="J910" s="56" t="n">
        <x:v>10.700300272952662</x:v>
      </x:c>
      <x:c r="K910" s="56" t="n">
        <x:v>46.05045040942899</x:v>
      </x:c>
      <x:c r="L910" s="56" t="n">
        <x:v>67.92921487061284</x:v>
      </x:c>
    </x:row>
    <x:row r="911" ht="32.400001525878906" hidden="0" customHeight="1">
      <x:c r="A911" s="29" t="str">
        <x:v>Harris County, Texas</x:v>
      </x:c>
      <x:c r="B911" s="29" t="str">
        <x:v>48201541006</x:v>
      </x:c>
      <x:c r="C911" s="51" t="n">
        <x:v>6242</x:v>
      </x:c>
      <x:c r="D911" s="51" t="n">
        <x:v>675</x:v>
      </x:c>
      <x:c r="E911" s="51" t="n">
        <x:v>14</x:v>
      </x:c>
      <x:c r="F911" s="38" t="n">
        <x:v>0.1081384171739827</x:v>
      </x:c>
      <x:c r="G911" s="38" t="n">
        <x:v>0.002242870874719641</x:v>
      </x:c>
      <x:c r="H911" s="57" t="n">
        <x:v>6479.65</x:v>
      </x:c>
      <x:c r="I911" s="57" t="n">
        <x:v>0.859</x:v>
      </x:c>
      <x:c r="J911" s="57" t="n">
        <x:v>4.208545890770629</x:v>
      </x:c>
      <x:c r="K911" s="57" t="n">
        <x:v>36.31281883615594</x:v>
      </x:c>
      <x:c r="L911" s="57" t="n">
        <x:v>54.01831262307992</x:v>
      </x:c>
    </x:row>
    <x:row r="912" ht="32.400001525878906" hidden="0" customHeight="1">
      <x:c r="A912" s="27" t="str">
        <x:v>Harris County, Texas</x:v>
      </x:c>
      <x:c r="B912" s="27" t="str">
        <x:v>48201541007</x:v>
      </x:c>
      <x:c r="C912" s="50" t="n">
        <x:v>7383</x:v>
      </x:c>
      <x:c r="D912" s="50" t="n">
        <x:v>802</x:v>
      </x:c>
      <x:c r="E912" s="50" t="n">
        <x:v>13</x:v>
      </x:c>
      <x:c r="F912" s="37" t="n">
        <x:v>0.10862792902614113</x:v>
      </x:c>
      <x:c r="G912" s="37" t="n">
        <x:v>0.0017608018420696193</x:v>
      </x:c>
      <x:c r="H912" s="56" t="n">
        <x:v>7665</x:v>
      </x:c>
      <x:c r="I912" s="56" t="n">
        <x:v>1.723</x:v>
      </x:c>
      <x:c r="J912" s="56" t="n">
        <x:v>4.48388102639663</x:v>
      </x:c>
      <x:c r="K912" s="56" t="n">
        <x:v>36.725821539594946</x:v>
      </x:c>
      <x:c r="L912" s="56" t="n">
        <x:v>54.60831648513563</x:v>
      </x:c>
    </x:row>
    <x:row r="913" ht="32.400001525878906" hidden="0" customHeight="1">
      <x:c r="A913" s="29" t="str">
        <x:v>Harris County, Texas</x:v>
      </x:c>
      <x:c r="B913" s="29" t="str">
        <x:v>48201541008</x:v>
      </x:c>
      <x:c r="C913" s="51" t="n">
        <x:v>3351</x:v>
      </x:c>
      <x:c r="D913" s="51" t="n">
        <x:v>191</x:v>
      </x:c>
      <x:c r="E913" s="51" t="n">
        <x:v>0</x:v>
      </x:c>
      <x:c r="F913" s="38" t="n">
        <x:v>0.056997911071321995</x:v>
      </x:c>
      <x:c r="G913" s="38" t="n">
        <x:v>0</x:v>
      </x:c>
      <x:c r="H913" s="57" t="n">
        <x:v>3417.85</x:v>
      </x:c>
      <x:c r="I913" s="57" t="n">
        <x:v>2.172</x:v>
      </x:c>
      <x:c r="J913" s="57" t="n">
        <x:v>6.461188903290593</x:v>
      </x:c>
      <x:c r="K913" s="57" t="n">
        <x:v>39.69178335493589</x:v>
      </x:c>
      <x:c r="L913" s="57" t="n">
        <x:v>58.84540479276556</x:v>
      </x:c>
    </x:row>
    <x:row r="914" ht="32.400001525878906" hidden="0" customHeight="1">
      <x:c r="A914" s="27" t="str">
        <x:v>Harris County, Texas</x:v>
      </x:c>
      <x:c r="B914" s="27" t="str">
        <x:v>48201541009</x:v>
      </x:c>
      <x:c r="C914" s="50" t="n">
        <x:v>4861</x:v>
      </x:c>
      <x:c r="D914" s="50" t="n">
        <x:v>638</x:v>
      </x:c>
      <x:c r="E914" s="50" t="n">
        <x:v>157.5</x:v>
      </x:c>
      <x:c r="F914" s="37" t="n">
        <x:v>0.13124871425632587</x:v>
      </x:c>
      <x:c r="G914" s="37" t="n">
        <x:v>0.032400740588356305</x:v>
      </x:c>
      <x:c r="H914" s="56" t="n">
        <x:v>5100.05</x:v>
      </x:c>
      <x:c r="I914" s="56" t="n">
        <x:v>0.853</x:v>
      </x:c>
      <x:c r="J914" s="56" t="n">
        <x:v>7.8566155262123765</x:v>
      </x:c>
      <x:c r="K914" s="56" t="n">
        <x:v>41.78492328931856</x:v>
      </x:c>
      <x:c r="L914" s="56" t="n">
        <x:v>61.83560469902652</x:v>
      </x:c>
    </x:row>
    <x:row r="915" ht="32.400001525878906" hidden="0" customHeight="1">
      <x:c r="A915" s="29" t="str">
        <x:v>Harris County, Texas</x:v>
      </x:c>
      <x:c r="B915" s="29" t="str">
        <x:v>48201541100</x:v>
      </x:c>
      <x:c r="C915" s="51" t="n">
        <x:v>8045</x:v>
      </x:c>
      <x:c r="D915" s="51" t="n">
        <x:v>981</x:v>
      </x:c>
      <x:c r="E915" s="51" t="n">
        <x:v>28</x:v>
      </x:c>
      <x:c r="F915" s="38" t="n">
        <x:v>0.12193909260410192</x:v>
      </x:c>
      <x:c r="G915" s="38" t="n">
        <x:v>0.003480422622747048</x:v>
      </x:c>
      <x:c r="H915" s="57" t="n">
        <x:v>8391.15</x:v>
      </x:c>
      <x:c r="I915" s="57" t="n">
        <x:v>1.306</x:v>
      </x:c>
      <x:c r="J915" s="57" t="n">
        <x:v>9.76773835042378</x:v>
      </x:c>
      <x:c r="K915" s="57" t="n">
        <x:v>44.65160752563567</x:v>
      </x:c>
      <x:c r="L915" s="57" t="n">
        <x:v>65.93086789376525</x:v>
      </x:c>
    </x:row>
    <x:row r="916" ht="32.400001525878906" hidden="0" customHeight="1">
      <x:c r="A916" s="27" t="str">
        <x:v>Harris County, Texas</x:v>
      </x:c>
      <x:c r="B916" s="27" t="str">
        <x:v>48201541203</x:v>
      </x:c>
      <x:c r="C916" s="50" t="n">
        <x:v>2482</x:v>
      </x:c>
      <x:c r="D916" s="50" t="n">
        <x:v>344</x:v>
      </x:c>
      <x:c r="E916" s="50" t="n">
        <x:v>6</x:v>
      </x:c>
      <x:c r="F916" s="37" t="n">
        <x:v>0.1385979049153908</x:v>
      </x:c>
      <x:c r="G916" s="37" t="n">
        <x:v>0.0024174053182917004</x:v>
      </x:c>
      <x:c r="H916" s="56" t="n">
        <x:v>2603</x:v>
      </x:c>
      <x:c r="I916" s="56" t="n">
        <x:v>0.591</x:v>
      </x:c>
      <x:c r="J916" s="56" t="n">
        <x:v>11.34746445463204</x:v>
      </x:c>
      <x:c r="K916" s="56" t="n">
        <x:v>47.021196681948055</x:v>
      </x:c>
      <x:c r="L916" s="56" t="n">
        <x:v>69.3159952599258</x:v>
      </x:c>
    </x:row>
    <x:row r="917" ht="32.400001525878906" hidden="0" customHeight="1">
      <x:c r="A917" s="29" t="str">
        <x:v>Harris County, Texas</x:v>
      </x:c>
      <x:c r="B917" s="29" t="str">
        <x:v>48201541204</x:v>
      </x:c>
      <x:c r="C917" s="51" t="n">
        <x:v>5826</x:v>
      </x:c>
      <x:c r="D917" s="51" t="n">
        <x:v>720</x:v>
      </x:c>
      <x:c r="E917" s="51" t="n">
        <x:v>56</x:v>
      </x:c>
      <x:c r="F917" s="38" t="n">
        <x:v>0.12358393408856849</x:v>
      </x:c>
      <x:c r="G917" s="38" t="n">
        <x:v>0.009612083762444216</x:v>
      </x:c>
      <x:c r="H917" s="57" t="n">
        <x:v>6083.6</x:v>
      </x:c>
      <x:c r="I917" s="57" t="n">
        <x:v>0.709</x:v>
      </x:c>
      <x:c r="J917" s="57" t="n">
        <x:v>11.048689537302417</x:v>
      </x:c>
      <x:c r="K917" s="57" t="n">
        <x:v>46.57303430595363</x:v>
      </x:c>
      <x:c r="L917" s="57" t="n">
        <x:v>68.67576329421946</x:v>
      </x:c>
    </x:row>
    <x:row r="918" ht="32.400001525878906" hidden="0" customHeight="1">
      <x:c r="A918" s="27" t="str">
        <x:v>Harris County, Texas</x:v>
      </x:c>
      <x:c r="B918" s="27" t="str">
        <x:v>48201541205</x:v>
      </x:c>
      <x:c r="C918" s="50" t="n">
        <x:v>3286</x:v>
      </x:c>
      <x:c r="D918" s="50" t="n">
        <x:v>196</x:v>
      </x:c>
      <x:c r="E918" s="50" t="n">
        <x:v>10</x:v>
      </x:c>
      <x:c r="F918" s="37" t="n">
        <x:v>0.05964698721850274</x:v>
      </x:c>
      <x:c r="G918" s="37" t="n">
        <x:v>0.0030432136335970784</x:v>
      </x:c>
      <x:c r="H918" s="56" t="n">
        <x:v>3355.6000000000004</x:v>
      </x:c>
      <x:c r="I918" s="56" t="n">
        <x:v>0.527</x:v>
      </x:c>
      <x:c r="J918" s="56" t="n">
        <x:v>9.68317664889062</x:v>
      </x:c>
      <x:c r="K918" s="56" t="n">
        <x:v>44.524764973335934</x:v>
      </x:c>
      <x:c r="L918" s="56" t="n">
        <x:v>65.74966424762276</x:v>
      </x:c>
    </x:row>
    <x:row r="919" ht="32.400001525878906" hidden="0" customHeight="1">
      <x:c r="A919" s="29" t="str">
        <x:v>Harris County, Texas</x:v>
      </x:c>
      <x:c r="B919" s="29" t="str">
        <x:v>48201541206</x:v>
      </x:c>
      <x:c r="C919" s="51" t="n">
        <x:v>4882</x:v>
      </x:c>
      <x:c r="D919" s="51" t="n">
        <x:v>234</x:v>
      </x:c>
      <x:c r="E919" s="51" t="n">
        <x:v>0</x:v>
      </x:c>
      <x:c r="F919" s="38" t="n">
        <x:v>0.04793117574764441</x:v>
      </x:c>
      <x:c r="G919" s="38" t="n">
        <x:v>0</x:v>
      </x:c>
      <x:c r="H919" s="57" t="n">
        <x:v>4963.9</x:v>
      </x:c>
      <x:c r="I919" s="57" t="n">
        <x:v>0.859</x:v>
      </x:c>
      <x:c r="J919" s="57" t="n">
        <x:v>9.865141965067613</x:v>
      </x:c>
      <x:c r="K919" s="57" t="n">
        <x:v>44.79771294760142</x:v>
      </x:c>
      <x:c r="L919" s="57" t="n">
        <x:v>66.13958992514489</x:v>
      </x:c>
    </x:row>
    <x:row r="920" ht="32.400001525878906" hidden="0" customHeight="1">
      <x:c r="A920" s="27" t="str">
        <x:v>Harris County, Texas</x:v>
      </x:c>
      <x:c r="B920" s="27" t="str">
        <x:v>48201541207</x:v>
      </x:c>
      <x:c r="C920" s="50" t="n">
        <x:v>4262</x:v>
      </x:c>
      <x:c r="D920" s="50" t="n">
        <x:v>319</x:v>
      </x:c>
      <x:c r="E920" s="50" t="n">
        <x:v>0</x:v>
      </x:c>
      <x:c r="F920" s="37" t="n">
        <x:v>0.07484748944157672</x:v>
      </x:c>
      <x:c r="G920" s="37" t="n">
        <x:v>0</x:v>
      </x:c>
      <x:c r="H920" s="56" t="n">
        <x:v>4373.650000000001</x:v>
      </x:c>
      <x:c r="I920" s="56" t="n">
        <x:v>0.875</x:v>
      </x:c>
      <x:c r="J920" s="56" t="n">
        <x:v>7.735469730142809</x:v>
      </x:c>
      <x:c r="K920" s="56" t="n">
        <x:v>41.60320459521421</x:v>
      </x:c>
      <x:c r="L920" s="56" t="n">
        <x:v>61.57600656459174</x:v>
      </x:c>
    </x:row>
    <x:row r="921" ht="32.400001525878906" hidden="0" customHeight="1">
      <x:c r="A921" s="29" t="str">
        <x:v>Harris County, Texas</x:v>
      </x:c>
      <x:c r="B921" s="29" t="str">
        <x:v>48201541301</x:v>
      </x:c>
      <x:c r="C921" s="51" t="n">
        <x:v>6232</x:v>
      </x:c>
      <x:c r="D921" s="51" t="n">
        <x:v>547</x:v>
      </x:c>
      <x:c r="E921" s="51" t="n">
        <x:v>167</x:v>
      </x:c>
      <x:c r="F921" s="38" t="n">
        <x:v>0.08777278562259307</x:v>
      </x:c>
      <x:c r="G921" s="38" t="n">
        <x:v>0.026797175866495507</x:v>
      </x:c>
      <x:c r="H921" s="57" t="n">
        <x:v>6440.15</x:v>
      </x:c>
      <x:c r="I921" s="57" t="n">
        <x:v>1.225</x:v>
      </x:c>
      <x:c r="J921" s="57" t="n">
        <x:v>13.171512991110674</x:v>
      </x:c>
      <x:c r="K921" s="57" t="n">
        <x:v>49.75726948666601</x:v>
      </x:c>
      <x:c r="L921" s="57" t="n">
        <x:v>73.22467069523717</x:v>
      </x:c>
    </x:row>
    <x:row r="922" ht="32.400001525878906" hidden="0" customHeight="1">
      <x:c r="A922" s="27" t="str">
        <x:v>Harris County, Texas</x:v>
      </x:c>
      <x:c r="B922" s="27" t="str">
        <x:v>48201541302</x:v>
      </x:c>
      <x:c r="C922" s="50" t="n">
        <x:v>7451</x:v>
      </x:c>
      <x:c r="D922" s="50" t="n">
        <x:v>680</x:v>
      </x:c>
      <x:c r="E922" s="50" t="n">
        <x:v>25</x:v>
      </x:c>
      <x:c r="F922" s="37" t="n">
        <x:v>0.09126291772916387</x:v>
      </x:c>
      <x:c r="G922" s="37" t="n">
        <x:v>0.0033552543282780833</x:v>
      </x:c>
      <x:c r="H922" s="56" t="n">
        <x:v>7691.5</x:v>
      </x:c>
      <x:c r="I922" s="56" t="n">
        <x:v>0.824</x:v>
      </x:c>
      <x:c r="J922" s="56" t="n">
        <x:v>11.781087430030022</x:v>
      </x:c>
      <x:c r="K922" s="56" t="n">
        <x:v>47.67163114504503</x:v>
      </x:c>
      <x:c r="L922" s="56" t="n">
        <x:v>70.24518735006433</x:v>
      </x:c>
    </x:row>
    <x:row r="923" ht="32.400001525878906" hidden="0" customHeight="1">
      <x:c r="A923" s="29" t="str">
        <x:v>Harris County, Texas</x:v>
      </x:c>
      <x:c r="B923" s="29" t="str">
        <x:v>48201541401</x:v>
      </x:c>
      <x:c r="C923" s="51" t="n">
        <x:v>4542</x:v>
      </x:c>
      <x:c r="D923" s="51" t="n">
        <x:v>372</x:v>
      </x:c>
      <x:c r="E923" s="51" t="n">
        <x:v>260</x:v>
      </x:c>
      <x:c r="F923" s="38" t="n">
        <x:v>0.08190224570673713</x:v>
      </x:c>
      <x:c r="G923" s="38" t="n">
        <x:v>0.057243505063848524</x:v>
      </x:c>
      <x:c r="H923" s="57" t="n">
        <x:v>4698.2</x:v>
      </x:c>
      <x:c r="I923" s="57" t="n">
        <x:v>0.555</x:v>
      </x:c>
      <x:c r="J923" s="57" t="n">
        <x:v>15.224911243360205</x:v>
      </x:c>
      <x:c r="K923" s="57" t="n">
        <x:v>52.83736686504031</x:v>
      </x:c>
      <x:c r="L923" s="57" t="n">
        <x:v>77.62480980720045</x:v>
      </x:c>
    </x:row>
    <x:row r="924" ht="32.400001525878906" hidden="0" customHeight="1">
      <x:c r="A924" s="27" t="str">
        <x:v>Harris County, Texas</x:v>
      </x:c>
      <x:c r="B924" s="27" t="str">
        <x:v>48201541402</x:v>
      </x:c>
      <x:c r="C924" s="50" t="n">
        <x:v>2374</x:v>
      </x:c>
      <x:c r="D924" s="50" t="n">
        <x:v>231</x:v>
      </x:c>
      <x:c r="E924" s="50" t="n">
        <x:v>0</x:v>
      </x:c>
      <x:c r="F924" s="37" t="n">
        <x:v>0.09730412805391744</x:v>
      </x:c>
      <x:c r="G924" s="37" t="n">
        <x:v>0</x:v>
      </x:c>
      <x:c r="H924" s="56" t="n">
        <x:v>2454.85</x:v>
      </x:c>
      <x:c r="I924" s="56" t="n">
        <x:v>0.385</x:v>
      </x:c>
      <x:c r="J924" s="56" t="n">
        <x:v>15.353977945081164</x:v>
      </x:c>
      <x:c r="K924" s="56" t="n">
        <x:v>53.03096691762175</x:v>
      </x:c>
      <x:c r="L924" s="56" t="n">
        <x:v>77.90138131088821</x:v>
      </x:c>
    </x:row>
    <x:row r="925" ht="32.400001525878906" hidden="0" customHeight="1">
      <x:c r="A925" s="29" t="str">
        <x:v>Harris County, Texas</x:v>
      </x:c>
      <x:c r="B925" s="29" t="str">
        <x:v>48201541403</x:v>
      </x:c>
      <x:c r="C925" s="51" t="n">
        <x:v>3278</x:v>
      </x:c>
      <x:c r="D925" s="51" t="n">
        <x:v>448</x:v>
      </x:c>
      <x:c r="E925" s="51" t="n">
        <x:v>0</x:v>
      </x:c>
      <x:c r="F925" s="38" t="n">
        <x:v>0.1366687004270897</x:v>
      </x:c>
      <x:c r="G925" s="38" t="n">
        <x:v>0</x:v>
      </x:c>
      <x:c r="H925" s="57" t="n">
        <x:v>3434.8</x:v>
      </x:c>
      <x:c r="I925" s="57" t="n">
        <x:v>0.287</x:v>
      </x:c>
      <x:c r="J925" s="57" t="n">
        <x:v>14.839208110620342</x:v>
      </x:c>
      <x:c r="K925" s="57" t="n">
        <x:v>52.258812165930514</x:v>
      </x:c>
      <x:c r="L925" s="57" t="n">
        <x:v>76.79830309418645</x:v>
      </x:c>
    </x:row>
    <x:row r="926" ht="32.400001525878906" hidden="0" customHeight="1">
      <x:c r="A926" s="27" t="str">
        <x:v>Harris County, Texas</x:v>
      </x:c>
      <x:c r="B926" s="27" t="str">
        <x:v>48201541404</x:v>
      </x:c>
      <x:c r="C926" s="50" t="n">
        <x:v>3421</x:v>
      </x:c>
      <x:c r="D926" s="50" t="n">
        <x:v>122</x:v>
      </x:c>
      <x:c r="E926" s="50" t="n">
        <x:v>0</x:v>
      </x:c>
      <x:c r="F926" s="37" t="n">
        <x:v>0.035662087109032445</x:v>
      </x:c>
      <x:c r="G926" s="37" t="n">
        <x:v>0</x:v>
      </x:c>
      <x:c r="H926" s="56" t="n">
        <x:v>3463.7</x:v>
      </x:c>
      <x:c r="I926" s="56" t="n">
        <x:v>0.481</x:v>
      </x:c>
      <x:c r="J926" s="56" t="n">
        <x:v>13.977318351834917</x:v>
      </x:c>
      <x:c r="K926" s="56" t="n">
        <x:v>50.96597752775237</x:v>
      </x:c>
      <x:c r="L926" s="56" t="n">
        <x:v>74.95139646821768</x:v>
      </x:c>
    </x:row>
    <x:row r="927" ht="32.400001525878906" hidden="0" customHeight="1">
      <x:c r="A927" s="29" t="str">
        <x:v>Harris County, Texas</x:v>
      </x:c>
      <x:c r="B927" s="29" t="str">
        <x:v>48201541500</x:v>
      </x:c>
      <x:c r="C927" s="51" t="n">
        <x:v>5136</x:v>
      </x:c>
      <x:c r="D927" s="51" t="n">
        <x:v>440</x:v>
      </x:c>
      <x:c r="E927" s="51" t="n">
        <x:v>94</x:v>
      </x:c>
      <x:c r="F927" s="38" t="n">
        <x:v>0.08566978193146417</x:v>
      </x:c>
      <x:c r="G927" s="38" t="n">
        <x:v>0.018302180685358254</x:v>
      </x:c>
      <x:c r="H927" s="57" t="n">
        <x:v>5299.400000000001</x:v>
      </x:c>
      <x:c r="I927" s="57" t="n">
        <x:v>1.187</x:v>
      </x:c>
      <x:c r="J927" s="57" t="n">
        <x:v>14.035178899775374</x:v>
      </x:c>
      <x:c r="K927" s="57" t="n">
        <x:v>51.05276834966306</x:v>
      </x:c>
      <x:c r="L927" s="57" t="n">
        <x:v>75.07538335666152</x:v>
      </x:c>
    </x:row>
    <x:row r="928" ht="32.400001525878906" hidden="0" customHeight="1">
      <x:c r="A928" s="27" t="str">
        <x:v>Harris County, Texas</x:v>
      </x:c>
      <x:c r="B928" s="27" t="str">
        <x:v>48201541603</x:v>
      </x:c>
      <x:c r="C928" s="50" t="n">
        <x:v>6786</x:v>
      </x:c>
      <x:c r="D928" s="50" t="n">
        <x:v>728</x:v>
      </x:c>
      <x:c r="E928" s="50" t="n">
        <x:v>21</x:v>
      </x:c>
      <x:c r="F928" s="37" t="n">
        <x:v>0.10727969348659004</x:v>
      </x:c>
      <x:c r="G928" s="37" t="n">
        <x:v>0.003094606542882405</x:v>
      </x:c>
      <x:c r="H928" s="56" t="n">
        <x:v>7042.9</x:v>
      </x:c>
      <x:c r="I928" s="56" t="n">
        <x:v>0.916</x:v>
      </x:c>
      <x:c r="J928" s="56" t="n">
        <x:v>16.987295344409034</x:v>
      </x:c>
      <x:c r="K928" s="56" t="n">
        <x:v>55.48094301661355</x:v>
      </x:c>
      <x:c r="L928" s="56" t="n">
        <x:v>81.4013471665908</x:v>
      </x:c>
    </x:row>
    <x:row r="929" ht="32.400001525878906" hidden="0" customHeight="1">
      <x:c r="A929" s="29" t="str">
        <x:v>Harris County, Texas</x:v>
      </x:c>
      <x:c r="B929" s="29" t="str">
        <x:v>48201541604</x:v>
      </x:c>
      <x:c r="C929" s="51" t="n">
        <x:v>10089</x:v>
      </x:c>
      <x:c r="D929" s="51" t="n">
        <x:v>1365</x:v>
      </x:c>
      <x:c r="E929" s="51" t="n">
        <x:v>188.5</x:v>
      </x:c>
      <x:c r="F929" s="38" t="n">
        <x:v>0.1352958667856081</x:v>
      </x:c>
      <x:c r="G929" s="38" t="n">
        <x:v>0.018683714937060166</x:v>
      </x:c>
      <x:c r="H929" s="57" t="n">
        <x:v>10585.6</x:v>
      </x:c>
      <x:c r="I929" s="57" t="n">
        <x:v>2.809</x:v>
      </x:c>
      <x:c r="J929" s="57" t="n">
        <x:v>15.684430156952354</x:v>
      </x:c>
      <x:c r="K929" s="57" t="n">
        <x:v>53.52664523542853</x:v>
      </x:c>
      <x:c r="L929" s="57" t="n">
        <x:v>78.60949319346933</x:v>
      </x:c>
    </x:row>
    <x:row r="930" ht="32.400001525878906" hidden="0" customHeight="1">
      <x:c r="A930" s="27" t="str">
        <x:v>Harris County, Texas</x:v>
      </x:c>
      <x:c r="B930" s="27" t="str">
        <x:v>48201541701</x:v>
      </x:c>
      <x:c r="C930" s="50" t="n">
        <x:v>6879</x:v>
      </x:c>
      <x:c r="D930" s="50" t="n">
        <x:v>640</x:v>
      </x:c>
      <x:c r="E930" s="50" t="n">
        <x:v>0</x:v>
      </x:c>
      <x:c r="F930" s="37" t="n">
        <x:v>0.09303677860154091</x:v>
      </x:c>
      <x:c r="G930" s="37" t="n">
        <x:v>0</x:v>
      </x:c>
      <x:c r="H930" s="56" t="n">
        <x:v>7103</x:v>
      </x:c>
      <x:c r="I930" s="56" t="n">
        <x:v>3.082</x:v>
      </x:c>
      <x:c r="J930" s="56" t="n">
        <x:v>18.920314111899906</x:v>
      </x:c>
      <x:c r="K930" s="56" t="n">
        <x:v>58.380471167849855</x:v>
      </x:c>
      <x:c r="L930" s="56" t="n">
        <x:v>85.54353023978551</x:v>
      </x:c>
    </x:row>
    <x:row r="931" ht="32.400001525878906" hidden="0" customHeight="1">
      <x:c r="A931" s="29" t="str">
        <x:v>Harris County, Texas</x:v>
      </x:c>
      <x:c r="B931" s="29" t="str">
        <x:v>48201541702</x:v>
      </x:c>
      <x:c r="C931" s="51" t="n">
        <x:v>2644</x:v>
      </x:c>
      <x:c r="D931" s="51" t="n">
        <x:v>201</x:v>
      </x:c>
      <x:c r="E931" s="51" t="n">
        <x:v>125</x:v>
      </x:c>
      <x:c r="F931" s="38" t="n">
        <x:v>0.07602118003025718</x:v>
      </x:c>
      <x:c r="G931" s="38" t="n">
        <x:v>0.0472768532526475</x:v>
      </x:c>
      <x:c r="H931" s="57" t="n">
        <x:v>2726.85</x:v>
      </x:c>
      <x:c r="I931" s="57" t="n">
        <x:v>1.041</x:v>
      </x:c>
      <x:c r="J931" s="57" t="n">
        <x:v>18.741337964865004</x:v>
      </x:c>
      <x:c r="K931" s="57" t="n">
        <x:v>58.1120069472975</x:v>
      </x:c>
      <x:c r="L931" s="57" t="n">
        <x:v>85.16000992471072</x:v>
      </x:c>
    </x:row>
    <x:row r="932" ht="32.400001525878906" hidden="0" customHeight="1">
      <x:c r="A932" s="27" t="str">
        <x:v>Harris County, Texas</x:v>
      </x:c>
      <x:c r="B932" s="27" t="str">
        <x:v>48201541703</x:v>
      </x:c>
      <x:c r="C932" s="50" t="n">
        <x:v>3705</x:v>
      </x:c>
      <x:c r="D932" s="50" t="n">
        <x:v>325</x:v>
      </x:c>
      <x:c r="E932" s="50" t="n">
        <x:v>152</x:v>
      </x:c>
      <x:c r="F932" s="37" t="n">
        <x:v>0.08771929824561403</x:v>
      </x:c>
      <x:c r="G932" s="37" t="n">
        <x:v>0.041025641025641026</x:v>
      </x:c>
      <x:c r="H932" s="56" t="n">
        <x:v>3833.95</x:v>
      </x:c>
      <x:c r="I932" s="56" t="n">
        <x:v>4.084</x:v>
      </x:c>
      <x:c r="J932" s="56" t="n">
        <x:v>18.30907825680377</x:v>
      </x:c>
      <x:c r="K932" s="56" t="n">
        <x:v>57.46361738520565</x:v>
      </x:c>
      <x:c r="L932" s="56" t="n">
        <x:v>84.23373912172235</x:v>
      </x:c>
    </x:row>
    <x:row r="933" ht="32.400001525878906" hidden="0" customHeight="1">
      <x:c r="A933" s="29" t="str">
        <x:v>Harris County, Texas</x:v>
      </x:c>
      <x:c r="B933" s="29" t="str">
        <x:v>48201541801</x:v>
      </x:c>
      <x:c r="C933" s="51" t="n">
        <x:v>3980</x:v>
      </x:c>
      <x:c r="D933" s="51" t="n">
        <x:v>492</x:v>
      </x:c>
      <x:c r="E933" s="51" t="n">
        <x:v>99.5</x:v>
      </x:c>
      <x:c r="F933" s="38" t="n">
        <x:v>0.12361809045226131</x:v>
      </x:c>
      <x:c r="G933" s="38" t="n">
        <x:v>0.025</x:v>
      </x:c>
      <x:c r="H933" s="57" t="n">
        <x:v>4162.15</x:v>
      </x:c>
      <x:c r="I933" s="57" t="n">
        <x:v>0.552</x:v>
      </x:c>
      <x:c r="J933" s="57" t="n">
        <x:v>13.154438781651473</x:v>
      </x:c>
      <x:c r="K933" s="57" t="n">
        <x:v>49.73165817247721</x:v>
      </x:c>
      <x:c r="L933" s="57" t="n">
        <x:v>73.18808310353887</x:v>
      </x:c>
    </x:row>
    <x:row r="934" ht="32.400001525878906" hidden="0" customHeight="1">
      <x:c r="A934" s="27" t="str">
        <x:v>Harris County, Texas</x:v>
      </x:c>
      <x:c r="B934" s="27" t="str">
        <x:v>48201541802</x:v>
      </x:c>
      <x:c r="C934" s="50" t="n">
        <x:v>4140</x:v>
      </x:c>
      <x:c r="D934" s="50" t="n">
        <x:v>358</x:v>
      </x:c>
      <x:c r="E934" s="50" t="n">
        <x:v>205</x:v>
      </x:c>
      <x:c r="F934" s="37" t="n">
        <x:v>0.08647342995169083</x:v>
      </x:c>
      <x:c r="G934" s="37" t="n">
        <x:v>0.049516908212560384</x:v>
      </x:c>
      <x:c r="H934" s="56" t="n">
        <x:v>4285.8</x:v>
      </x:c>
      <x:c r="I934" s="56" t="n">
        <x:v>1.358</x:v>
      </x:c>
      <x:c r="J934" s="56" t="n">
        <x:v>14.790299404447419</x:v>
      </x:c>
      <x:c r="K934" s="56" t="n">
        <x:v>52.18544910667113</x:v>
      </x:c>
      <x:c r="L934" s="56" t="n">
        <x:v>76.6934987238159</x:v>
      </x:c>
    </x:row>
    <x:row r="935" ht="32.400001525878906" hidden="0" customHeight="1">
      <x:c r="A935" s="29" t="str">
        <x:v>Harris County, Texas</x:v>
      </x:c>
      <x:c r="B935" s="29" t="str">
        <x:v>48201541901</x:v>
      </x:c>
      <x:c r="C935" s="51" t="n">
        <x:v>2742</x:v>
      </x:c>
      <x:c r="D935" s="51" t="n">
        <x:v>263</x:v>
      </x:c>
      <x:c r="E935" s="51" t="n">
        <x:v>41</x:v>
      </x:c>
      <x:c r="F935" s="38" t="n">
        <x:v>0.09591539022611233</x:v>
      </x:c>
      <x:c r="G935" s="38" t="n">
        <x:v>0.014952589350838803</x:v>
      </x:c>
      <x:c r="H935" s="57" t="n">
        <x:v>2838.1499999999996</x:v>
      </x:c>
      <x:c r="I935" s="57" t="n">
        <x:v>0.977</x:v>
      </x:c>
      <x:c r="J935" s="57" t="n">
        <x:v>14.34397316982017</x:v>
      </x:c>
      <x:c r="K935" s="57" t="n">
        <x:v>51.515959754730254</x:v>
      </x:c>
      <x:c r="L935" s="57" t="n">
        <x:v>75.73708536390036</x:v>
      </x:c>
    </x:row>
    <x:row r="936" ht="32.400001525878906" hidden="0" customHeight="1">
      <x:c r="A936" s="27" t="str">
        <x:v>Harris County, Texas</x:v>
      </x:c>
      <x:c r="B936" s="27" t="str">
        <x:v>48201541902</x:v>
      </x:c>
      <x:c r="C936" s="50" t="n">
        <x:v>4756</x:v>
      </x:c>
      <x:c r="D936" s="50" t="n">
        <x:v>344</x:v>
      </x:c>
      <x:c r="E936" s="50" t="n">
        <x:v>62.5</x:v>
      </x:c>
      <x:c r="F936" s="37" t="n">
        <x:v>0.07232968881412952</x:v>
      </x:c>
      <x:c r="G936" s="37" t="n">
        <x:v>0.013141295206055508</x:v>
      </x:c>
      <x:c r="H936" s="56" t="n">
        <x:v>4882.650000000001</x:v>
      </x:c>
      <x:c r="I936" s="56" t="n">
        <x:v>1.144</x:v>
      </x:c>
      <x:c r="J936" s="56" t="n">
        <x:v>13.396761310185862</x:v>
      </x:c>
      <x:c r="K936" s="56" t="n">
        <x:v>50.09514196527879</x:v>
      </x:c>
      <x:c r="L936" s="56" t="n">
        <x:v>73.707345664684</x:v>
      </x:c>
    </x:row>
    <x:row r="937" ht="32.400001525878906" hidden="0" customHeight="1">
      <x:c r="A937" s="29" t="str">
        <x:v>Harris County, Texas</x:v>
      </x:c>
      <x:c r="B937" s="29" t="str">
        <x:v>48201542001</x:v>
      </x:c>
      <x:c r="C937" s="51" t="n">
        <x:v>4289</x:v>
      </x:c>
      <x:c r="D937" s="51" t="n">
        <x:v>677</x:v>
      </x:c>
      <x:c r="E937" s="51" t="n">
        <x:v>49</x:v>
      </x:c>
      <x:c r="F937" s="38" t="n">
        <x:v>0.15784565166705525</x:v>
      </x:c>
      <x:c r="G937" s="38" t="n">
        <x:v>0.011424574492888785</x:v>
      </x:c>
      <x:c r="H937" s="57" t="n">
        <x:v>4530.849999999999</x:v>
      </x:c>
      <x:c r="I937" s="57" t="n">
        <x:v>0.585</x:v>
      </x:c>
      <x:c r="J937" s="57" t="n">
        <x:v>11.448525096785493</x:v>
      </x:c>
      <x:c r="K937" s="57" t="n">
        <x:v>47.17278764517824</x:v>
      </x:c>
      <x:c r="L937" s="57" t="n">
        <x:v>69.53255377882606</x:v>
      </x:c>
    </x:row>
    <x:row r="938" ht="32.400001525878906" hidden="0" customHeight="1">
      <x:c r="A938" s="27" t="str">
        <x:v>Harris County, Texas</x:v>
      </x:c>
      <x:c r="B938" s="27" t="str">
        <x:v>48201542002</x:v>
      </x:c>
      <x:c r="C938" s="50" t="n">
        <x:v>2483</x:v>
      </x:c>
      <x:c r="D938" s="50" t="n">
        <x:v>206</x:v>
      </x:c>
      <x:c r="E938" s="50" t="n">
        <x:v>0</x:v>
      </x:c>
      <x:c r="F938" s="37" t="n">
        <x:v>0.08296415626258558</x:v>
      </x:c>
      <x:c r="G938" s="37" t="n">
        <x:v>0</x:v>
      </x:c>
      <x:c r="H938" s="56" t="n">
        <x:v>2555.1</x:v>
      </x:c>
      <x:c r="I938" s="56" t="n">
        <x:v>0.526</x:v>
      </x:c>
      <x:c r="J938" s="56" t="n">
        <x:v>11.719408458714078</x:v>
      </x:c>
      <x:c r="K938" s="56" t="n">
        <x:v>47.57911268807112</x:v>
      </x:c>
      <x:c r="L938" s="56" t="n">
        <x:v>70.11301812581588</x:v>
      </x:c>
    </x:row>
    <x:row r="939" ht="32.400001525878906" hidden="0" customHeight="1">
      <x:c r="A939" s="29" t="str">
        <x:v>Harris County, Texas</x:v>
      </x:c>
      <x:c r="B939" s="29" t="str">
        <x:v>48201542003</x:v>
      </x:c>
      <x:c r="C939" s="51" t="n">
        <x:v>3809</x:v>
      </x:c>
      <x:c r="D939" s="51" t="n">
        <x:v>467</x:v>
      </x:c>
      <x:c r="E939" s="51" t="n">
        <x:v>0</x:v>
      </x:c>
      <x:c r="F939" s="38" t="n">
        <x:v>0.12260435809923864</x:v>
      </x:c>
      <x:c r="G939" s="38" t="n">
        <x:v>0</x:v>
      </x:c>
      <x:c r="H939" s="57" t="n">
        <x:v>3972.4500000000003</x:v>
      </x:c>
      <x:c r="I939" s="57" t="n">
        <x:v>0.452</x:v>
      </x:c>
      <x:c r="J939" s="57" t="n">
        <x:v>12.229902920617738</x:v>
      </x:c>
      <x:c r="K939" s="57" t="n">
        <x:v>48.344854380926606</x:v>
      </x:c>
      <x:c r="L939" s="57" t="n">
        <x:v>71.20693482989515</x:v>
      </x:c>
    </x:row>
    <x:row r="940" ht="32.400001525878906" hidden="0" customHeight="1">
      <x:c r="A940" s="27" t="str">
        <x:v>Harris County, Texas</x:v>
      </x:c>
      <x:c r="B940" s="27" t="str">
        <x:v>48201542004</x:v>
      </x:c>
      <x:c r="C940" s="50" t="n">
        <x:v>2989</x:v>
      </x:c>
      <x:c r="D940" s="50" t="n">
        <x:v>384</x:v>
      </x:c>
      <x:c r="E940" s="50" t="n">
        <x:v>38</x:v>
      </x:c>
      <x:c r="F940" s="37" t="n">
        <x:v>0.1284710605553697</x:v>
      </x:c>
      <x:c r="G940" s="37" t="n">
        <x:v>0.012713282034125126</x:v>
      </x:c>
      <x:c r="H940" s="56" t="n">
        <x:v>3127.2</x:v>
      </x:c>
      <x:c r="I940" s="56" t="n">
        <x:v>0.531</x:v>
      </x:c>
      <x:c r="J940" s="56" t="n">
        <x:v>12.500549479132328</x:v>
      </x:c>
      <x:c r="K940" s="56" t="n">
        <x:v>48.75082421869849</x:v>
      </x:c>
      <x:c r="L940" s="56" t="n">
        <x:v>71.78689174099785</x:v>
      </x:c>
    </x:row>
    <x:row r="941" ht="32.400001525878906" hidden="0" customHeight="1">
      <x:c r="A941" s="29" t="str">
        <x:v>Harris County, Texas</x:v>
      </x:c>
      <x:c r="B941" s="29" t="str">
        <x:v>48201542103</x:v>
      </x:c>
      <x:c r="C941" s="51" t="n">
        <x:v>9503</x:v>
      </x:c>
      <x:c r="D941" s="51" t="n">
        <x:v>1061</x:v>
      </x:c>
      <x:c r="E941" s="51" t="n">
        <x:v>0</x:v>
      </x:c>
      <x:c r="F941" s="38" t="n">
        <x:v>0.11164895296222245</x:v>
      </x:c>
      <x:c r="G941" s="38" t="n">
        <x:v>0</x:v>
      </x:c>
      <x:c r="H941" s="57" t="n">
        <x:v>9874.35</x:v>
      </x:c>
      <x:c r="I941" s="57" t="n">
        <x:v>1.45</x:v>
      </x:c>
      <x:c r="J941" s="57" t="n">
        <x:v>13.639492398824334</x:v>
      </x:c>
      <x:c r="K941" s="57" t="n">
        <x:v>50.4592385982365</x:v>
      </x:c>
      <x:c r="L941" s="57" t="n">
        <x:v>74.22748371176644</x:v>
      </x:c>
    </x:row>
    <x:row r="942" ht="32.400001525878906" hidden="0" customHeight="1">
      <x:c r="A942" s="27" t="str">
        <x:v>Harris County, Texas</x:v>
      </x:c>
      <x:c r="B942" s="27" t="str">
        <x:v>48201542104</x:v>
      </x:c>
      <x:c r="C942" s="50" t="n">
        <x:v>7914</x:v>
      </x:c>
      <x:c r="D942" s="50" t="n">
        <x:v>1132</x:v>
      </x:c>
      <x:c r="E942" s="50" t="n">
        <x:v>26</x:v>
      </x:c>
      <x:c r="F942" s="37" t="n">
        <x:v>0.14303765478898156</x:v>
      </x:c>
      <x:c r="G942" s="37" t="n">
        <x:v>0.0032853171594642407</x:v>
      </x:c>
      <x:c r="H942" s="56" t="n">
        <x:v>8312.8</x:v>
      </x:c>
      <x:c r="I942" s="56" t="n">
        <x:v>0.835</x:v>
      </x:c>
      <x:c r="J942" s="56" t="n">
        <x:v>11.645477567603397</x:v>
      </x:c>
      <x:c r="K942" s="56" t="n">
        <x:v>47.4682163514051</x:v>
      </x:c>
      <x:c r="L942" s="56" t="n">
        <x:v>69.95459478772156</x:v>
      </x:c>
    </x:row>
    <x:row r="943" ht="32.400001525878906" hidden="0" customHeight="1">
      <x:c r="A943" s="29" t="str">
        <x:v>Harris County, Texas</x:v>
      </x:c>
      <x:c r="B943" s="29" t="str">
        <x:v>48201542105</x:v>
      </x:c>
      <x:c r="C943" s="51" t="n">
        <x:v>10026</x:v>
      </x:c>
      <x:c r="D943" s="51" t="n">
        <x:v>886</x:v>
      </x:c>
      <x:c r="E943" s="51" t="n">
        <x:v>199</x:v>
      </x:c>
      <x:c r="F943" s="38" t="n">
        <x:v>0.08837023738280471</x:v>
      </x:c>
      <x:c r="G943" s="38" t="n">
        <x:v>0.019848394175144623</x:v>
      </x:c>
      <x:c r="H943" s="57" t="n">
        <x:v>10356</x:v>
      </x:c>
      <x:c r="I943" s="57" t="n">
        <x:v>1.229</x:v>
      </x:c>
      <x:c r="J943" s="57" t="n">
        <x:v>11.768167849951212</x:v>
      </x:c>
      <x:c r="K943" s="57" t="n">
        <x:v>47.65225177492682</x:v>
      </x:c>
      <x:c r="L943" s="57" t="n">
        <x:v>70.21750253560974</x:v>
      </x:c>
    </x:row>
    <x:row r="944" ht="32.400001525878906" hidden="0" customHeight="1">
      <x:c r="A944" s="27" t="str">
        <x:v>Harris County, Texas</x:v>
      </x:c>
      <x:c r="B944" s="27" t="str">
        <x:v>48201542106</x:v>
      </x:c>
      <x:c r="C944" s="50" t="n">
        <x:v>8489</x:v>
      </x:c>
      <x:c r="D944" s="50" t="n">
        <x:v>563</x:v>
      </x:c>
      <x:c r="E944" s="50" t="n">
        <x:v>90</x:v>
      </x:c>
      <x:c r="F944" s="37" t="n">
        <x:v>0.0663211214512899</x:v>
      </x:c>
      <x:c r="G944" s="37" t="n">
        <x:v>0.010601955471787019</x:v>
      </x:c>
      <x:c r="H944" s="56" t="n">
        <x:v>8695.050000000001</x:v>
      </x:c>
      <x:c r="I944" s="56" t="n">
        <x:v>1.176</x:v>
      </x:c>
      <x:c r="J944" s="56" t="n">
        <x:v>11.415811768058498</x:v>
      </x:c>
      <x:c r="K944" s="56" t="n">
        <x:v>47.12371765208775</x:v>
      </x:c>
      <x:c r="L944" s="56" t="n">
        <x:v>69.46245378869679</x:v>
      </x:c>
    </x:row>
    <x:row r="945" ht="32.400001525878906" hidden="0" customHeight="1">
      <x:c r="A945" s="29" t="str">
        <x:v>Harris County, Texas</x:v>
      </x:c>
      <x:c r="B945" s="29" t="str">
        <x:v>48201542107</x:v>
      </x:c>
      <x:c r="C945" s="51" t="n">
        <x:v>3822</x:v>
      </x:c>
      <x:c r="D945" s="51" t="n">
        <x:v>308</x:v>
      </x:c>
      <x:c r="E945" s="51" t="n">
        <x:v>0</x:v>
      </x:c>
      <x:c r="F945" s="38" t="n">
        <x:v>0.08058608058608059</x:v>
      </x:c>
      <x:c r="G945" s="38" t="n">
        <x:v>0</x:v>
      </x:c>
      <x:c r="H945" s="57" t="n">
        <x:v>3929.7999999999997</x:v>
      </x:c>
      <x:c r="I945" s="57" t="n">
        <x:v>0.532</x:v>
      </x:c>
      <x:c r="J945" s="57" t="n">
        <x:v>11.538580753360405</x:v>
      </x:c>
      <x:c r="K945" s="57" t="n">
        <x:v>47.30787113004061</x:v>
      </x:c>
      <x:c r="L945" s="57" t="n">
        <x:v>69.7255301857723</x:v>
      </x:c>
    </x:row>
    <x:row r="946" ht="32.400001525878906" hidden="0" customHeight="1">
      <x:c r="A946" s="27" t="str">
        <x:v>Harris County, Texas</x:v>
      </x:c>
      <x:c r="B946" s="27" t="str">
        <x:v>48201542108</x:v>
      </x:c>
      <x:c r="C946" s="50" t="n">
        <x:v>5180</x:v>
      </x:c>
      <x:c r="D946" s="50" t="n">
        <x:v>592</x:v>
      </x:c>
      <x:c r="E946" s="50" t="n">
        <x:v>30</x:v>
      </x:c>
      <x:c r="F946" s="37" t="n">
        <x:v>0.11428571428571428</x:v>
      </x:c>
      <x:c r="G946" s="37" t="n">
        <x:v>0.005791505791505791</x:v>
      </x:c>
      <x:c r="H946" s="56" t="n">
        <x:v>5390.2</x:v>
      </x:c>
      <x:c r="I946" s="56" t="n">
        <x:v>0.743</x:v>
      </x:c>
      <x:c r="J946" s="56" t="n">
        <x:v>10.866481055342565</x:v>
      </x:c>
      <x:c r="K946" s="56" t="n">
        <x:v>46.29972158301385</x:v>
      </x:c>
      <x:c r="L946" s="56" t="n">
        <x:v>68.28531654716264</x:v>
      </x:c>
    </x:row>
    <x:row r="947" ht="32.400001525878906" hidden="0" customHeight="1">
      <x:c r="A947" s="29" t="str">
        <x:v>Harris County, Texas</x:v>
      </x:c>
      <x:c r="B947" s="29" t="str">
        <x:v>48201542201</x:v>
      </x:c>
      <x:c r="C947" s="51" t="n">
        <x:v>7542</x:v>
      </x:c>
      <x:c r="D947" s="51" t="n">
        <x:v>592</x:v>
      </x:c>
      <x:c r="E947" s="51" t="n">
        <x:v>156</x:v>
      </x:c>
      <x:c r="F947" s="38" t="n">
        <x:v>0.0784937682312384</x:v>
      </x:c>
      <x:c r="G947" s="38" t="n">
        <x:v>0.020684168655529037</x:v>
      </x:c>
      <x:c r="H947" s="57" t="n">
        <x:v>7764.8</x:v>
      </x:c>
      <x:c r="I947" s="57" t="n">
        <x:v>0.748</x:v>
      </x:c>
      <x:c r="J947" s="57" t="n">
        <x:v>10.719155682833586</x:v>
      </x:c>
      <x:c r="K947" s="57" t="n">
        <x:v>46.07873352425038</x:v>
      </x:c>
      <x:c r="L947" s="57" t="n">
        <x:v>67.96961932035768</x:v>
      </x:c>
    </x:row>
    <x:row r="948" ht="32.400001525878906" hidden="0" customHeight="1">
      <x:c r="A948" s="27" t="str">
        <x:v>Harris County, Texas</x:v>
      </x:c>
      <x:c r="B948" s="27" t="str">
        <x:v>48201542202</x:v>
      </x:c>
      <x:c r="C948" s="50" t="n">
        <x:v>11845</x:v>
      </x:c>
      <x:c r="D948" s="50" t="n">
        <x:v>1169</x:v>
      </x:c>
      <x:c r="E948" s="50" t="n">
        <x:v>756.5</x:v>
      </x:c>
      <x:c r="F948" s="37" t="n">
        <x:v>0.09869143098353736</x:v>
      </x:c>
      <x:c r="G948" s="37" t="n">
        <x:v>0.06386661038412833</x:v>
      </x:c>
      <x:c r="H948" s="56" t="n">
        <x:v>12329.800000000001</x:v>
      </x:c>
      <x:c r="I948" s="56" t="n">
        <x:v>5.446</x:v>
      </x:c>
      <x:c r="J948" s="56" t="n">
        <x:v>7.11460869908811</x:v>
      </x:c>
      <x:c r="K948" s="56" t="n">
        <x:v>40.67191304863216</x:v>
      </x:c>
      <x:c r="L948" s="56" t="n">
        <x:v>60.24559006947452</x:v>
      </x:c>
    </x:row>
    <x:row r="949" ht="32.400001525878906" hidden="0" customHeight="1">
      <x:c r="A949" s="29" t="str">
        <x:v>Harris County, Texas</x:v>
      </x:c>
      <x:c r="B949" s="29" t="str">
        <x:v>48201542203</x:v>
      </x:c>
      <x:c r="C949" s="51" t="n">
        <x:v>12427</x:v>
      </x:c>
      <x:c r="D949" s="51" t="n">
        <x:v>1407</x:v>
      </x:c>
      <x:c r="E949" s="51" t="n">
        <x:v>194</x:v>
      </x:c>
      <x:c r="F949" s="38" t="n">
        <x:v>0.11322121187736381</x:v>
      </x:c>
      <x:c r="G949" s="38" t="n">
        <x:v>0.015611169228293233</x:v>
      </x:c>
      <x:c r="H949" s="57" t="n">
        <x:v>12938.85</x:v>
      </x:c>
      <x:c r="I949" s="57" t="n">
        <x:v>3.091</x:v>
      </x:c>
      <x:c r="J949" s="57" t="n">
        <x:v>8.697330650984958</x:v>
      </x:c>
      <x:c r="K949" s="57" t="n">
        <x:v>43.045995976477435</x:v>
      </x:c>
      <x:c r="L949" s="57" t="n">
        <x:v>63.63713710925348</x:v>
      </x:c>
    </x:row>
    <x:row r="950" ht="32.400001525878906" hidden="0" customHeight="1">
      <x:c r="A950" s="27" t="str">
        <x:v>Harris County, Texas</x:v>
      </x:c>
      <x:c r="B950" s="27" t="str">
        <x:v>48201542302</x:v>
      </x:c>
      <x:c r="C950" s="50" t="n">
        <x:v>7713</x:v>
      </x:c>
      <x:c r="D950" s="50" t="n">
        <x:v>1014</x:v>
      </x:c>
      <x:c r="E950" s="50" t="n">
        <x:v>715.5</x:v>
      </x:c>
      <x:c r="F950" s="37" t="n">
        <x:v>0.13146635550369506</x:v>
      </x:c>
      <x:c r="G950" s="37" t="n">
        <x:v>0.0927654609101517</x:v>
      </x:c>
      <x:c r="H950" s="56" t="n">
        <x:v>8139.449999999999</x:v>
      </x:c>
      <x:c r="I950" s="56" t="n">
        <x:v>1.716</x:v>
      </x:c>
      <x:c r="J950" s="56" t="n">
        <x:v>8.622960054753815</x:v>
      </x:c>
      <x:c r="K950" s="56" t="n">
        <x:v>42.93444008213072</x:v>
      </x:c>
      <x:c r="L950" s="56" t="n">
        <x:v>63.477771545901035</x:v>
      </x:c>
    </x:row>
    <x:row r="951" ht="32.400001525878906" hidden="0" customHeight="1">
      <x:c r="A951" s="29" t="str">
        <x:v>Harris County, Texas</x:v>
      </x:c>
      <x:c r="B951" s="29" t="str">
        <x:v>48201542303</x:v>
      </x:c>
      <x:c r="C951" s="51" t="n">
        <x:v>3640</x:v>
      </x:c>
      <x:c r="D951" s="51" t="n">
        <x:v>379</x:v>
      </x:c>
      <x:c r="E951" s="51" t="n">
        <x:v>0</x:v>
      </x:c>
      <x:c r="F951" s="38" t="n">
        <x:v>0.10412087912087913</x:v>
      </x:c>
      <x:c r="G951" s="38" t="n">
        <x:v>0</x:v>
      </x:c>
      <x:c r="H951" s="57" t="n">
        <x:v>3772.65</x:v>
      </x:c>
      <x:c r="I951" s="57" t="n">
        <x:v>0.524</x:v>
      </x:c>
      <x:c r="J951" s="57" t="n">
        <x:v>10.246078904417873</x:v>
      </x:c>
      <x:c r="K951" s="57" t="n">
        <x:v>45.36911835662681</x:v>
      </x:c>
      <x:c r="L951" s="57" t="n">
        <x:v>66.95588336660973</x:v>
      </x:c>
    </x:row>
    <x:row r="952" ht="32.400001525878906" hidden="0" customHeight="1">
      <x:c r="A952" s="27" t="str">
        <x:v>Harris County, Texas</x:v>
      </x:c>
      <x:c r="B952" s="27" t="str">
        <x:v>48201542304</x:v>
      </x:c>
      <x:c r="C952" s="50" t="n">
        <x:v>5523</x:v>
      </x:c>
      <x:c r="D952" s="50" t="n">
        <x:v>383</x:v>
      </x:c>
      <x:c r="E952" s="50" t="n">
        <x:v>0</x:v>
      </x:c>
      <x:c r="F952" s="37" t="n">
        <x:v>0.06934636972659787</x:v>
      </x:c>
      <x:c r="G952" s="37" t="n">
        <x:v>0</x:v>
      </x:c>
      <x:c r="H952" s="56" t="n">
        <x:v>5657.05</x:v>
      </x:c>
      <x:c r="I952" s="56" t="n">
        <x:v>0.766</x:v>
      </x:c>
      <x:c r="J952" s="56" t="n">
        <x:v>9.949167440044706</x:v>
      </x:c>
      <x:c r="K952" s="56" t="n">
        <x:v>44.923751160067056</x:v>
      </x:c>
      <x:c r="L952" s="56" t="n">
        <x:v>66.31964451438151</x:v>
      </x:c>
    </x:row>
    <x:row r="953" ht="32.400001525878906" hidden="0" customHeight="1">
      <x:c r="A953" s="29" t="str">
        <x:v>Harris County, Texas</x:v>
      </x:c>
      <x:c r="B953" s="29" t="str">
        <x:v>48201542305</x:v>
      </x:c>
      <x:c r="C953" s="51" t="n">
        <x:v>4761</x:v>
      </x:c>
      <x:c r="D953" s="51" t="n">
        <x:v>485</x:v>
      </x:c>
      <x:c r="E953" s="51" t="n">
        <x:v>0</x:v>
      </x:c>
      <x:c r="F953" s="38" t="n">
        <x:v>0.10186935517748372</x:v>
      </x:c>
      <x:c r="G953" s="38" t="n">
        <x:v>0</x:v>
      </x:c>
      <x:c r="H953" s="57" t="n">
        <x:v>4930.75</x:v>
      </x:c>
      <x:c r="I953" s="57" t="n">
        <x:v>1.012</x:v>
      </x:c>
      <x:c r="J953" s="57" t="n">
        <x:v>8.13715417010147</x:v>
      </x:c>
      <x:c r="K953" s="57" t="n">
        <x:v>42.2057312551522</x:v>
      </x:c>
      <x:c r="L953" s="57" t="n">
        <x:v>62.43675893593172</x:v>
      </x:c>
    </x:row>
    <x:row r="954" ht="32.400001525878906" hidden="0" customHeight="1">
      <x:c r="A954" s="27" t="str">
        <x:v>Harris County, Texas</x:v>
      </x:c>
      <x:c r="B954" s="27" t="str">
        <x:v>48201542401</x:v>
      </x:c>
      <x:c r="C954" s="50" t="n">
        <x:v>4991</x:v>
      </x:c>
      <x:c r="D954" s="50" t="n">
        <x:v>468</x:v>
      </x:c>
      <x:c r="E954" s="50" t="n">
        <x:v>216</x:v>
      </x:c>
      <x:c r="F954" s="37" t="n">
        <x:v>0.09376878381085954</x:v>
      </x:c>
      <x:c r="G954" s="37" t="n">
        <x:v>0.043277900220396716</x:v>
      </x:c>
      <x:c r="H954" s="56" t="n">
        <x:v>5176.400000000001</x:v>
      </x:c>
      <x:c r="I954" s="56" t="n">
        <x:v>0.474</x:v>
      </x:c>
      <x:c r="J954" s="56" t="n">
        <x:v>11.78760190084621</x:v>
      </x:c>
      <x:c r="K954" s="56" t="n">
        <x:v>47.68140285126932</x:v>
      </x:c>
      <x:c r="L954" s="56" t="n">
        <x:v>70.25914693038473</x:v>
      </x:c>
    </x:row>
    <x:row r="955" ht="32.400001525878906" hidden="0" customHeight="1">
      <x:c r="A955" s="29" t="str">
        <x:v>Harris County, Texas</x:v>
      </x:c>
      <x:c r="B955" s="29" t="str">
        <x:v>48201542402</x:v>
      </x:c>
      <x:c r="C955" s="51" t="n">
        <x:v>5162</x:v>
      </x:c>
      <x:c r="D955" s="51" t="n">
        <x:v>324</x:v>
      </x:c>
      <x:c r="E955" s="51" t="n">
        <x:v>79</x:v>
      </x:c>
      <x:c r="F955" s="38" t="n">
        <x:v>0.06276636962417667</x:v>
      </x:c>
      <x:c r="G955" s="38" t="n">
        <x:v>0.015304145679969005</x:v>
      </x:c>
      <x:c r="H955" s="57" t="n">
        <x:v>5283.299999999999</x:v>
      </x:c>
      <x:c r="I955" s="57" t="n">
        <x:v>1.706</x:v>
      </x:c>
      <x:c r="J955" s="57" t="n">
        <x:v>10.533581515643009</x:v>
      </x:c>
      <x:c r="K955" s="57" t="n">
        <x:v>45.80037227346451</x:v>
      </x:c>
      <x:c r="L955" s="57" t="n">
        <x:v>67.57196039066359</x:v>
      </x:c>
    </x:row>
    <x:row r="956" ht="32.400001525878906" hidden="0" customHeight="1">
      <x:c r="A956" s="27" t="str">
        <x:v>Harris County, Texas</x:v>
      </x:c>
      <x:c r="B956" s="27" t="str">
        <x:v>48201542500</x:v>
      </x:c>
      <x:c r="C956" s="50" t="n">
        <x:v>3885</x:v>
      </x:c>
      <x:c r="D956" s="50" t="n">
        <x:v>546</x:v>
      </x:c>
      <x:c r="E956" s="50" t="n">
        <x:v>64</x:v>
      </x:c>
      <x:c r="F956" s="37" t="n">
        <x:v>0.14054054054054055</x:v>
      </x:c>
      <x:c r="G956" s="37" t="n">
        <x:v>0.016473616473616472</x:v>
      </x:c>
      <x:c r="H956" s="56" t="n">
        <x:v>4082.4999999999995</x:v>
      </x:c>
      <x:c r="I956" s="56" t="n">
        <x:v>1.696</x:v>
      </x:c>
      <x:c r="J956" s="56" t="n">
        <x:v>8.214327991423273</x:v>
      </x:c>
      <x:c r="K956" s="56" t="n">
        <x:v>42.321491987134905</x:v>
      </x:c>
      <x:c r="L956" s="56" t="n">
        <x:v>62.602131410192726</x:v>
      </x:c>
    </x:row>
    <x:row r="957" ht="32.400001525878906" hidden="0" customHeight="1">
      <x:c r="A957" s="29" t="str">
        <x:v>Harris County, Texas</x:v>
      </x:c>
      <x:c r="B957" s="29" t="str">
        <x:v>48201542600</x:v>
      </x:c>
      <x:c r="C957" s="51" t="n">
        <x:v>6062</x:v>
      </x:c>
      <x:c r="D957" s="51" t="n">
        <x:v>959</x:v>
      </x:c>
      <x:c r="E957" s="51" t="n">
        <x:v>164</x:v>
      </x:c>
      <x:c r="F957" s="38" t="n">
        <x:v>0.1581986143187067</x:v>
      </x:c>
      <x:c r="G957" s="38" t="n">
        <x:v>0.027053777631144835</x:v>
      </x:c>
      <x:c r="H957" s="57" t="n">
        <x:v>6414.050000000001</x:v>
      </x:c>
      <x:c r="I957" s="57" t="n">
        <x:v>1.691</x:v>
      </x:c>
      <x:c r="J957" s="57" t="n">
        <x:v>6.888232789551821</x:v>
      </x:c>
      <x:c r="K957" s="57" t="n">
        <x:v>40.33234918432773</x:v>
      </x:c>
      <x:c r="L957" s="57" t="n">
        <x:v>59.7604988347539</x:v>
      </x:c>
    </x:row>
    <x:row r="958" ht="32.400001525878906" hidden="0" customHeight="1">
      <x:c r="A958" s="27" t="str">
        <x:v>Harris County, Texas</x:v>
      </x:c>
      <x:c r="B958" s="27" t="str">
        <x:v>48201542700</x:v>
      </x:c>
      <x:c r="C958" s="50" t="n">
        <x:v>4903</x:v>
      </x:c>
      <x:c r="D958" s="50" t="n">
        <x:v>472</x:v>
      </x:c>
      <x:c r="E958" s="50" t="n">
        <x:v>13</x:v>
      </x:c>
      <x:c r="F958" s="37" t="n">
        <x:v>0.09626759127065063</x:v>
      </x:c>
      <x:c r="G958" s="37" t="n">
        <x:v>0.0026514378951662245</x:v>
      </x:c>
      <x:c r="H958" s="56" t="n">
        <x:v>5069.5</x:v>
      </x:c>
      <x:c r="I958" s="56" t="n">
        <x:v>1.798</x:v>
      </x:c>
      <x:c r="J958" s="56" t="n">
        <x:v>7.135877574000082</x:v>
      </x:c>
      <x:c r="K958" s="56" t="n">
        <x:v>40.70381636100012</x:v>
      </x:c>
      <x:c r="L958" s="56" t="n">
        <x:v>60.29116623000017</x:v>
      </x:c>
    </x:row>
    <x:row r="959" ht="32.400001525878906" hidden="0" customHeight="1">
      <x:c r="A959" s="29" t="str">
        <x:v>Harris County, Texas</x:v>
      </x:c>
      <x:c r="B959" s="29" t="str">
        <x:v>48201542800</x:v>
      </x:c>
      <x:c r="C959" s="51" t="n">
        <x:v>8846</x:v>
      </x:c>
      <x:c r="D959" s="51" t="n">
        <x:v>1022</x:v>
      </x:c>
      <x:c r="E959" s="51" t="n">
        <x:v>24</x:v>
      </x:c>
      <x:c r="F959" s="38" t="n">
        <x:v>0.11553244404250508</x:v>
      </x:c>
      <x:c r="G959" s="38" t="n">
        <x:v>0.0027130906624463036</x:v>
      </x:c>
      <x:c r="H959" s="57" t="n">
        <x:v>9206.1</x:v>
      </x:c>
      <x:c r="I959" s="57" t="n">
        <x:v>3.436</x:v>
      </x:c>
      <x:c r="J959" s="57" t="n">
        <x:v>2.969052488442281</x:v>
      </x:c>
      <x:c r="K959" s="57" t="n">
        <x:v>34.45357873266342</x:v>
      </x:c>
      <x:c r="L959" s="57" t="n">
        <x:v>51.362255332376314</x:v>
      </x:c>
    </x:row>
    <x:row r="960" ht="32.400001525878906" hidden="0" customHeight="1">
      <x:c r="A960" s="27" t="str">
        <x:v>Harris County, Texas</x:v>
      </x:c>
      <x:c r="B960" s="27" t="str">
        <x:v>48201542901</x:v>
      </x:c>
      <x:c r="C960" s="50" t="n">
        <x:v>9563</x:v>
      </x:c>
      <x:c r="D960" s="50" t="n">
        <x:v>776</x:v>
      </x:c>
      <x:c r="E960" s="50" t="n">
        <x:v>244</x:v>
      </x:c>
      <x:c r="F960" s="37" t="n">
        <x:v>0.08114608386489595</x:v>
      </x:c>
      <x:c r="G960" s="37" t="n">
        <x:v>0.025515005751333263</x:v>
      </x:c>
      <x:c r="H960" s="56" t="n">
        <x:v>9859</x:v>
      </x:c>
      <x:c r="I960" s="56" t="n">
        <x:v>2.185</x:v>
      </x:c>
      <x:c r="J960" s="56" t="n">
        <x:v>6.135239659104175</x:v>
      </x:c>
      <x:c r="K960" s="56" t="n">
        <x:v>39.20285948865626</x:v>
      </x:c>
      <x:c r="L960" s="56" t="n">
        <x:v>58.14694212665181</x:v>
      </x:c>
    </x:row>
    <x:row r="961" ht="32.400001525878906" hidden="0" customHeight="1">
      <x:c r="A961" s="29" t="str">
        <x:v>Harris County, Texas</x:v>
      </x:c>
      <x:c r="B961" s="29" t="str">
        <x:v>48201542902</x:v>
      </x:c>
      <x:c r="C961" s="51" t="n">
        <x:v>42523</x:v>
      </x:c>
      <x:c r="D961" s="51" t="n">
        <x:v>2100</x:v>
      </x:c>
      <x:c r="E961" s="51" t="n">
        <x:v>1438.5</x:v>
      </x:c>
      <x:c r="F961" s="38" t="n">
        <x:v>0.04938503868494697</x:v>
      </x:c>
      <x:c r="G961" s="38" t="n">
        <x:v>0.033828751499188674</x:v>
      </x:c>
      <x:c r="H961" s="57" t="n">
        <x:v>43401.850000000006</x:v>
      </x:c>
      <x:c r="I961" s="57" t="n">
        <x:v>18.712</x:v>
      </x:c>
      <x:c r="J961" s="57" t="n">
        <x:v>0</x:v>
      </x:c>
      <x:c r="K961" s="57" t="n">
        <x:v>30</x:v>
      </x:c>
      <x:c r="L961" s="57" t="n">
        <x:v>45</x:v>
      </x:c>
    </x:row>
    <x:row r="962" ht="32.400001525878906" hidden="0" customHeight="1">
      <x:c r="A962" s="27" t="str">
        <x:v>Harris County, Texas</x:v>
      </x:c>
      <x:c r="B962" s="27" t="str">
        <x:v>48201543004</x:v>
      </x:c>
      <x:c r="C962" s="50" t="n">
        <x:v>18217</x:v>
      </x:c>
      <x:c r="D962" s="50" t="n">
        <x:v>1178</x:v>
      </x:c>
      <x:c r="E962" s="50" t="n">
        <x:v>0</x:v>
      </x:c>
      <x:c r="F962" s="37" t="n">
        <x:v>0.06466487346983586</x:v>
      </x:c>
      <x:c r="G962" s="37" t="n">
        <x:v>0</x:v>
      </x:c>
      <x:c r="H962" s="56" t="n">
        <x:v>18629.300000000003</x:v>
      </x:c>
      <x:c r="I962" s="56" t="n">
        <x:v>13.025</x:v>
      </x:c>
      <x:c r="J962" s="56" t="n">
        <x:v>5.689225909489151</x:v>
      </x:c>
      <x:c r="K962" s="56" t="n">
        <x:v>38.53383886423373</x:v>
      </x:c>
      <x:c r="L962" s="56" t="n">
        <x:v>57.19119837747675</x:v>
      </x:c>
    </x:row>
    <x:row r="963" ht="32.400001525878906" hidden="0" customHeight="1">
      <x:c r="A963" s="29" t="str">
        <x:v>Harris County, Texas</x:v>
      </x:c>
      <x:c r="B963" s="29" t="str">
        <x:v>48201543005</x:v>
      </x:c>
      <x:c r="C963" s="51" t="n">
        <x:v>12043</x:v>
      </x:c>
      <x:c r="D963" s="51" t="n">
        <x:v>672</x:v>
      </x:c>
      <x:c r="E963" s="51" t="n">
        <x:v>425</x:v>
      </x:c>
      <x:c r="F963" s="38" t="n">
        <x:v>0.055800049821473054</x:v>
      </x:c>
      <x:c r="G963" s="38" t="n">
        <x:v>0.03529021008054471</x:v>
      </x:c>
      <x:c r="H963" s="57" t="n">
        <x:v>12320.699999999999</x:v>
      </x:c>
      <x:c r="I963" s="57" t="n">
        <x:v>28.873</x:v>
      </x:c>
      <x:c r="J963" s="57" t="n">
        <x:v>9.270747631884959</x:v>
      </x:c>
      <x:c r="K963" s="57" t="n">
        <x:v>43.90612144782744</x:v>
      </x:c>
      <x:c r="L963" s="57" t="n">
        <x:v>64.86588778261063</x:v>
      </x:c>
    </x:row>
    <x:row r="964" ht="32.400001525878906" hidden="0" customHeight="1">
      <x:c r="A964" s="27" t="str">
        <x:v>Harris County, Texas</x:v>
      </x:c>
      <x:c r="B964" s="27" t="str">
        <x:v>48201543006</x:v>
      </x:c>
      <x:c r="C964" s="50" t="n">
        <x:v>17605</x:v>
      </x:c>
      <x:c r="D964" s="50" t="n">
        <x:v>1649</x:v>
      </x:c>
      <x:c r="E964" s="50" t="n">
        <x:v>875</x:v>
      </x:c>
      <x:c r="F964" s="37" t="n">
        <x:v>0.09366657199659188</x:v>
      </x:c>
      <x:c r="G964" s="37" t="n">
        <x:v>0.04970178926441352</x:v>
      </x:c>
      <x:c r="H964" s="56" t="n">
        <x:v>18269.65</x:v>
      </x:c>
      <x:c r="I964" s="56" t="n">
        <x:v>4.671</x:v>
      </x:c>
      <x:c r="J964" s="56" t="n">
        <x:v>5.87853648779737</x:v>
      </x:c>
      <x:c r="K964" s="56" t="n">
        <x:v>38.81780473169606</x:v>
      </x:c>
      <x:c r="L964" s="56" t="n">
        <x:v>57.59686390242294</x:v>
      </x:c>
    </x:row>
    <x:row r="965" ht="32.400001525878906" hidden="0" customHeight="1">
      <x:c r="A965" s="29" t="str">
        <x:v>Harris County, Texas</x:v>
      </x:c>
      <x:c r="B965" s="29" t="str">
        <x:v>48201543007</x:v>
      </x:c>
      <x:c r="C965" s="51" t="n">
        <x:v>23471</x:v>
      </x:c>
      <x:c r="D965" s="51" t="n">
        <x:v>1828</x:v>
      </x:c>
      <x:c r="E965" s="51" t="n">
        <x:v>339</x:v>
      </x:c>
      <x:c r="F965" s="38" t="n">
        <x:v>0.07788334540496783</x:v>
      </x:c>
      <x:c r="G965" s="38" t="n">
        <x:v>0.01444335563035235</x:v>
      </x:c>
      <x:c r="H965" s="57" t="n">
        <x:v>24144.699999999997</x:v>
      </x:c>
      <x:c r="I965" s="57" t="n">
        <x:v>8.663</x:v>
      </x:c>
      <x:c r="J965" s="57" t="n">
        <x:v>0</x:v>
      </x:c>
      <x:c r="K965" s="57" t="n">
        <x:v>30</x:v>
      </x:c>
      <x:c r="L965" s="57" t="n">
        <x:v>45</x:v>
      </x:c>
    </x:row>
    <x:row r="966" ht="32.400001525878906" hidden="0" customHeight="1">
      <x:c r="A966" s="27" t="str">
        <x:v>Harris County, Texas</x:v>
      </x:c>
      <x:c r="B966" s="27" t="str">
        <x:v>48201543008</x:v>
      </x:c>
      <x:c r="C966" s="50" t="n">
        <x:v>5255</x:v>
      </x:c>
      <x:c r="D966" s="50" t="n">
        <x:v>254</x:v>
      </x:c>
      <x:c r="E966" s="50" t="n">
        <x:v>317.5</x:v>
      </x:c>
      <x:c r="F966" s="37" t="n">
        <x:v>0.048334919124643196</x:v>
      </x:c>
      <x:c r="G966" s="37" t="n">
        <x:v>0.060418648905804</x:v>
      </x:c>
      <x:c r="H966" s="56" t="n">
        <x:v>5375.65</x:v>
      </x:c>
      <x:c r="I966" s="56" t="n">
        <x:v>0.909</x:v>
      </x:c>
      <x:c r="J966" s="56" t="n">
        <x:v>9.328909334051453</x:v>
      </x:c>
      <x:c r="K966" s="56" t="n">
        <x:v>43.99336400107718</x:v>
      </x:c>
      <x:c r="L966" s="56" t="n">
        <x:v>64.99052000153883</x:v>
      </x:c>
    </x:row>
    <x:row r="967" ht="32.400001525878906" hidden="0" customHeight="1">
      <x:c r="A967" s="29" t="str">
        <x:v>Harris County, Texas</x:v>
      </x:c>
      <x:c r="B967" s="29" t="str">
        <x:v>48201543009</x:v>
      </x:c>
      <x:c r="C967" s="51" t="n">
        <x:v>5268</x:v>
      </x:c>
      <x:c r="D967" s="51" t="n">
        <x:v>490</x:v>
      </x:c>
      <x:c r="E967" s="51" t="n">
        <x:v>93</x:v>
      </x:c>
      <x:c r="F967" s="38" t="n">
        <x:v>0.09301442672741078</x:v>
      </x:c>
      <x:c r="G967" s="38" t="n">
        <x:v>0.01765375854214123</x:v>
      </x:c>
      <x:c r="H967" s="57" t="n">
        <x:v>5448.800000000001</x:v>
      </x:c>
      <x:c r="I967" s="57" t="n">
        <x:v>0.403</x:v>
      </x:c>
      <x:c r="J967" s="57" t="n">
        <x:v>9.060502437269259</x:v>
      </x:c>
      <x:c r="K967" s="57" t="n">
        <x:v>43.59075365590389</x:v>
      </x:c>
      <x:c r="L967" s="57" t="n">
        <x:v>64.41536236557698</x:v>
      </x:c>
    </x:row>
    <x:row r="968" ht="32.400001525878906" hidden="0" customHeight="1">
      <x:c r="A968" s="27" t="str">
        <x:v>Harris County, Texas</x:v>
      </x:c>
      <x:c r="B968" s="27" t="str">
        <x:v>48201543010</x:v>
      </x:c>
      <x:c r="C968" s="50" t="n">
        <x:v>5584</x:v>
      </x:c>
      <x:c r="D968" s="50" t="n">
        <x:v>374</x:v>
      </x:c>
      <x:c r="E968" s="50" t="n">
        <x:v>0</x:v>
      </x:c>
      <x:c r="F968" s="37" t="n">
        <x:v>0.06697707736389685</x:v>
      </x:c>
      <x:c r="G968" s="37" t="n">
        <x:v>0</x:v>
      </x:c>
      <x:c r="H968" s="56" t="n">
        <x:v>5714.900000000001</x:v>
      </x:c>
      <x:c r="I968" s="56" t="n">
        <x:v>0.528</x:v>
      </x:c>
      <x:c r="J968" s="56" t="n">
        <x:v>9.12660777458821</x:v>
      </x:c>
      <x:c r="K968" s="56" t="n">
        <x:v>43.68991166188231</x:v>
      </x:c>
      <x:c r="L968" s="56" t="n">
        <x:v>64.55701665983187</x:v>
      </x:c>
    </x:row>
    <x:row r="969" ht="32.400001525878906" hidden="0" customHeight="1">
      <x:c r="A969" s="29" t="str">
        <x:v>Harris County, Texas</x:v>
      </x:c>
      <x:c r="B969" s="29" t="str">
        <x:v>48201543011</x:v>
      </x:c>
      <x:c r="C969" s="51" t="n">
        <x:v>4140</x:v>
      </x:c>
      <x:c r="D969" s="51" t="n">
        <x:v>375</x:v>
      </x:c>
      <x:c r="E969" s="51" t="n">
        <x:v>0</x:v>
      </x:c>
      <x:c r="F969" s="38" t="n">
        <x:v>0.09057971014492754</x:v>
      </x:c>
      <x:c r="G969" s="38" t="n">
        <x:v>0</x:v>
      </x:c>
      <x:c r="H969" s="57" t="n">
        <x:v>4271.25</x:v>
      </x:c>
      <x:c r="I969" s="57" t="n">
        <x:v>0.515</x:v>
      </x:c>
      <x:c r="J969" s="57" t="n">
        <x:v>8.922087517241069</x:v>
      </x:c>
      <x:c r="K969" s="57" t="n">
        <x:v>43.3831312758616</x:v>
      </x:c>
      <x:c r="L969" s="57" t="n">
        <x:v>64.11875896551658</x:v>
      </x:c>
    </x:row>
    <x:row r="970" ht="32.400001525878906" hidden="0" customHeight="1">
      <x:c r="A970" s="27" t="str">
        <x:v>Harris County, Texas</x:v>
      </x:c>
      <x:c r="B970" s="27" t="str">
        <x:v>48201543100</x:v>
      </x:c>
      <x:c r="C970" s="50" t="n">
        <x:v>4573</x:v>
      </x:c>
      <x:c r="D970" s="50" t="n">
        <x:v>558</x:v>
      </x:c>
      <x:c r="E970" s="50" t="n">
        <x:v>211.5</x:v>
      </x:c>
      <x:c r="F970" s="37" t="n">
        <x:v>0.12202055543406953</x:v>
      </x:c>
      <x:c r="G970" s="37" t="n">
        <x:v>0.04624972665646184</x:v>
      </x:c>
      <x:c r="H970" s="56" t="n">
        <x:v>4789.450000000001</x:v>
      </x:c>
      <x:c r="I970" s="56" t="n">
        <x:v>49.23</x:v>
      </x:c>
      <x:c r="J970" s="56" t="n">
        <x:v>17.205948601597335</x:v>
      </x:c>
      <x:c r="K970" s="56" t="n">
        <x:v>55.808922902396</x:v>
      </x:c>
      <x:c r="L970" s="56" t="n">
        <x:v>81.8698898605657</x:v>
      </x:c>
    </x:row>
    <x:row r="971" ht="32.400001525878906" hidden="0" customHeight="1">
      <x:c r="A971" s="29" t="str">
        <x:v>Harris County, Texas</x:v>
      </x:c>
      <x:c r="B971" s="29" t="str">
        <x:v>48201543201</x:v>
      </x:c>
      <x:c r="C971" s="51" t="n">
        <x:v>6673</x:v>
      </x:c>
      <x:c r="D971" s="51" t="n">
        <x:v>496</x:v>
      </x:c>
      <x:c r="E971" s="51" t="n">
        <x:v>117</x:v>
      </x:c>
      <x:c r="F971" s="38" t="n">
        <x:v>0.07432938708227184</x:v>
      </x:c>
      <x:c r="G971" s="38" t="n">
        <x:v>0.01753334332384235</x:v>
      </x:c>
      <x:c r="H971" s="57" t="n">
        <x:v>6858.300000000001</x:v>
      </x:c>
      <x:c r="I971" s="57" t="n">
        <x:v>1.846</x:v>
      </x:c>
      <x:c r="J971" s="57" t="n">
        <x:v>28.074931582756573</x:v>
      </x:c>
      <x:c r="K971" s="57" t="n">
        <x:v>72.11239737413486</x:v>
      </x:c>
      <x:c r="L971" s="57" t="n">
        <x:v>105.16056767733551</x:v>
      </x:c>
    </x:row>
    <x:row r="972" ht="32.400001525878906" hidden="0" customHeight="1">
      <x:c r="A972" s="27" t="str">
        <x:v>Harris County, Texas</x:v>
      </x:c>
      <x:c r="B972" s="27" t="str">
        <x:v>48201543202</x:v>
      </x:c>
      <x:c r="C972" s="50" t="n">
        <x:v>3905</x:v>
      </x:c>
      <x:c r="D972" s="50" t="n">
        <x:v>318</x:v>
      </x:c>
      <x:c r="E972" s="50" t="n">
        <x:v>119</x:v>
      </x:c>
      <x:c r="F972" s="37" t="n">
        <x:v>0.08143405889884762</x:v>
      </x:c>
      <x:c r="G972" s="37" t="n">
        <x:v>0.030473751600512165</x:v>
      </x:c>
      <x:c r="H972" s="56" t="n">
        <x:v>4028.2000000000003</x:v>
      </x:c>
      <x:c r="I972" s="56" t="n">
        <x:v>13.684</x:v>
      </x:c>
      <x:c r="J972" s="56" t="n">
        <x:v>24.326496313513232</x:v>
      </x:c>
      <x:c r="K972" s="56" t="n">
        <x:v>66.48974447026984</x:v>
      </x:c>
      <x:c r="L972" s="56" t="n">
        <x:v>97.12820638609978</x:v>
      </x:c>
    </x:row>
    <x:row r="973" ht="32.400001525878906" hidden="0" customHeight="1">
      <x:c r="A973" s="29" t="str">
        <x:v>Harris County, Texas</x:v>
      </x:c>
      <x:c r="B973" s="29" t="str">
        <x:v>48201550101</x:v>
      </x:c>
      <x:c r="C973" s="51" t="n">
        <x:v>2396</x:v>
      </x:c>
      <x:c r="D973" s="51" t="n">
        <x:v>454</x:v>
      </x:c>
      <x:c r="E973" s="51" t="n">
        <x:v>218</x:v>
      </x:c>
      <x:c r="F973" s="38" t="n">
        <x:v>0.18948247078464106</x:v>
      </x:c>
      <x:c r="G973" s="38" t="n">
        <x:v>0.09098497495826377</x:v>
      </x:c>
      <x:c r="H973" s="57" t="n">
        <x:v>2576.7000000000003</x:v>
      </x:c>
      <x:c r="I973" s="57" t="n">
        <x:v>0.327</x:v>
      </x:c>
      <x:c r="J973" s="57" t="n">
        <x:v>29.81419818679414</x:v>
      </x:c>
      <x:c r="K973" s="57" t="n">
        <x:v>74.72129728019121</x:v>
      </x:c>
      <x:c r="L973" s="57" t="n">
        <x:v>108.8875675431303</x:v>
      </x:c>
    </x:row>
    <x:row r="974" ht="32.400001525878906" hidden="0" customHeight="1">
      <x:c r="A974" s="27" t="str">
        <x:v>Harris County, Texas</x:v>
      </x:c>
      <x:c r="B974" s="27" t="str">
        <x:v>48201550102</x:v>
      </x:c>
      <x:c r="C974" s="50" t="n">
        <x:v>2295</x:v>
      </x:c>
      <x:c r="D974" s="50" t="n">
        <x:v>365</x:v>
      </x:c>
      <x:c r="E974" s="50" t="n">
        <x:v>206</x:v>
      </x:c>
      <x:c r="F974" s="37" t="n">
        <x:v>0.15904139433551198</x:v>
      </x:c>
      <x:c r="G974" s="37" t="n">
        <x:v>0.08976034858387799</x:v>
      </x:c>
      <x:c r="H974" s="56" t="n">
        <x:v>2443.3500000000004</x:v>
      </x:c>
      <x:c r="I974" s="56" t="n">
        <x:v>1.021</x:v>
      </x:c>
      <x:c r="J974" s="56" t="n">
        <x:v>30.57676913261646</x:v>
      </x:c>
      <x:c r="K974" s="56" t="n">
        <x:v>75.86515369892469</x:v>
      </x:c>
      <x:c r="L974" s="56" t="n">
        <x:v>110.52164814132098</x:v>
      </x:c>
    </x:row>
    <x:row r="975" ht="32.400001525878906" hidden="0" customHeight="1">
      <x:c r="A975" s="29" t="str">
        <x:v>Harris County, Texas</x:v>
      </x:c>
      <x:c r="B975" s="29" t="str">
        <x:v>48201550201</x:v>
      </x:c>
      <x:c r="C975" s="51" t="n">
        <x:v>1946</x:v>
      </x:c>
      <x:c r="D975" s="51" t="n">
        <x:v>127</x:v>
      </x:c>
      <x:c r="E975" s="51" t="n">
        <x:v>220</x:v>
      </x:c>
      <x:c r="F975" s="38" t="n">
        <x:v>0.06526207605344296</x:v>
      </x:c>
      <x:c r="G975" s="38" t="n">
        <x:v>0.1130524152106886</x:v>
      </x:c>
      <x:c r="H975" s="57" t="n">
        <x:v>2012.45</x:v>
      </x:c>
      <x:c r="I975" s="57" t="n">
        <x:v>0.304</x:v>
      </x:c>
      <x:c r="J975" s="57" t="n">
        <x:v>29.505784010738505</x:v>
      </x:c>
      <x:c r="K975" s="57" t="n">
        <x:v>74.25867601610776</x:v>
      </x:c>
      <x:c r="L975" s="57" t="n">
        <x:v>108.22668002301108</x:v>
      </x:c>
    </x:row>
    <x:row r="976" ht="32.400001525878906" hidden="0" customHeight="1">
      <x:c r="A976" s="27" t="str">
        <x:v>Harris County, Texas</x:v>
      </x:c>
      <x:c r="B976" s="27" t="str">
        <x:v>48201550202</x:v>
      </x:c>
      <x:c r="C976" s="50" t="n">
        <x:v>2240</x:v>
      </x:c>
      <x:c r="D976" s="50" t="n">
        <x:v>333</x:v>
      </x:c>
      <x:c r="E976" s="50" t="n">
        <x:v>315</x:v>
      </x:c>
      <x:c r="F976" s="37" t="n">
        <x:v>0.14866071428571428</x:v>
      </x:c>
      <x:c r="G976" s="37" t="n">
        <x:v>0.140625</x:v>
      </x:c>
      <x:c r="H976" s="56" t="n">
        <x:v>2388.05</x:v>
      </x:c>
      <x:c r="I976" s="56" t="n">
        <x:v>0.664</x:v>
      </x:c>
      <x:c r="J976" s="56" t="n">
        <x:v>30.781921473239255</x:v>
      </x:c>
      <x:c r="K976" s="56" t="n">
        <x:v>76.17288220985888</x:v>
      </x:c>
      <x:c r="L976" s="56" t="n">
        <x:v>110.9612602997984</x:v>
      </x:c>
    </x:row>
    <x:row r="977" ht="32.400001525878906" hidden="0" customHeight="1">
      <x:c r="A977" s="29" t="str">
        <x:v>Harris County, Texas</x:v>
      </x:c>
      <x:c r="B977" s="29" t="str">
        <x:v>48201550303</x:v>
      </x:c>
      <x:c r="C977" s="51" t="n">
        <x:v>3375</x:v>
      </x:c>
      <x:c r="D977" s="51" t="n">
        <x:v>450</x:v>
      </x:c>
      <x:c r="E977" s="51" t="n">
        <x:v>619.5</x:v>
      </x:c>
      <x:c r="F977" s="38" t="n">
        <x:v>0.13333333333333333</x:v>
      </x:c>
      <x:c r="G977" s="38" t="n">
        <x:v>0.18355555555555556</x:v>
      </x:c>
      <x:c r="H977" s="57" t="n">
        <x:v>3594.4499999999994</x:v>
      </x:c>
      <x:c r="I977" s="57" t="n">
        <x:v>0.568</x:v>
      </x:c>
      <x:c r="J977" s="57" t="n">
        <x:v>30.032912303828137</x:v>
      </x:c>
      <x:c r="K977" s="57" t="n">
        <x:v>75.04936845574221</x:v>
      </x:c>
      <x:c r="L977" s="57" t="n">
        <x:v>109.35624065106029</x:v>
      </x:c>
    </x:row>
    <x:row r="978" ht="32.400001525878906" hidden="0" customHeight="1">
      <x:c r="A978" s="27" t="str">
        <x:v>Harris County, Texas</x:v>
      </x:c>
      <x:c r="B978" s="27" t="str">
        <x:v>48201550304</x:v>
      </x:c>
      <x:c r="C978" s="50" t="n">
        <x:v>1611</x:v>
      </x:c>
      <x:c r="D978" s="50" t="n">
        <x:v>180</x:v>
      </x:c>
      <x:c r="E978" s="50" t="n">
        <x:v>79</x:v>
      </x:c>
      <x:c r="F978" s="37" t="n">
        <x:v>0.11173184357541899</x:v>
      </x:c>
      <x:c r="G978" s="37" t="n">
        <x:v>0.04903786468032278</x:v>
      </x:c>
      <x:c r="H978" s="56" t="n">
        <x:v>1681.8999999999999</x:v>
      </x:c>
      <x:c r="I978" s="56" t="n">
        <x:v>0.638</x:v>
      </x:c>
      <x:c r="J978" s="56" t="n">
        <x:v>24.96967852533131</x:v>
      </x:c>
      <x:c r="K978" s="56" t="n">
        <x:v>67.45451778799696</x:v>
      </x:c>
      <x:c r="L978" s="56" t="n">
        <x:v>98.5064539828528</x:v>
      </x:c>
    </x:row>
    <x:row r="979" ht="32.400001525878906" hidden="0" customHeight="1">
      <x:c r="A979" s="29" t="str">
        <x:v>Harris County, Texas</x:v>
      </x:c>
      <x:c r="B979" s="29" t="str">
        <x:v>48201550305</x:v>
      </x:c>
      <x:c r="C979" s="51" t="n">
        <x:v>3236</x:v>
      </x:c>
      <x:c r="D979" s="51" t="n">
        <x:v>446</x:v>
      </x:c>
      <x:c r="E979" s="51" t="n">
        <x:v>33</x:v>
      </x:c>
      <x:c r="F979" s="38" t="n">
        <x:v>0.13782447466007416</x:v>
      </x:c>
      <x:c r="G979" s="38" t="n">
        <x:v>0.01019777503090235</x:v>
      </x:c>
      <x:c r="H979" s="57" t="n">
        <x:v>3395.4000000000005</x:v>
      </x:c>
      <x:c r="I979" s="57" t="n">
        <x:v>0.922</x:v>
      </x:c>
      <x:c r="J979" s="57" t="n">
        <x:v>26.071684576319676</x:v>
      </x:c>
      <x:c r="K979" s="57" t="n">
        <x:v>69.10752686447951</x:v>
      </x:c>
      <x:c r="L979" s="57" t="n">
        <x:v>100.86789552068501</x:v>
      </x:c>
    </x:row>
    <x:row r="980" ht="32.400001525878906" hidden="0" customHeight="1">
      <x:c r="A980" s="27" t="str">
        <x:v>Harris County, Texas</x:v>
      </x:c>
      <x:c r="B980" s="27" t="str">
        <x:v>48201550306</x:v>
      </x:c>
      <x:c r="C980" s="50" t="n">
        <x:v>5063</x:v>
      </x:c>
      <x:c r="D980" s="50" t="n">
        <x:v>640</x:v>
      </x:c>
      <x:c r="E980" s="50" t="n">
        <x:v>292.5</x:v>
      </x:c>
      <x:c r="F980" s="37" t="n">
        <x:v>0.12640726841793404</x:v>
      </x:c>
      <x:c r="G980" s="37" t="n">
        <x:v>0.057772071894133914</x:v>
      </x:c>
      <x:c r="H980" s="56" t="n">
        <x:v>5316.25</x:v>
      </x:c>
      <x:c r="I980" s="56" t="n">
        <x:v>0.829</x:v>
      </x:c>
      <x:c r="J980" s="56" t="n">
        <x:v>27.40902387855571</x:v>
      </x:c>
      <x:c r="K980" s="56" t="n">
        <x:v>71.11353581783357</x:v>
      </x:c>
      <x:c r="L980" s="56" t="n">
        <x:v>103.7336225969051</x:v>
      </x:c>
    </x:row>
    <x:row r="981" ht="32.400001525878906" hidden="0" customHeight="1">
      <x:c r="A981" s="29" t="str">
        <x:v>Harris County, Texas</x:v>
      </x:c>
      <x:c r="B981" s="29" t="str">
        <x:v>48201550307</x:v>
      </x:c>
      <x:c r="C981" s="51" t="n">
        <x:v>2841</x:v>
      </x:c>
      <x:c r="D981" s="51" t="n">
        <x:v>217</x:v>
      </x:c>
      <x:c r="E981" s="51" t="n">
        <x:v>286</x:v>
      </x:c>
      <x:c r="F981" s="38" t="n">
        <x:v>0.07638155579021472</x:v>
      </x:c>
      <x:c r="G981" s="38" t="n">
        <x:v>0.10066877859908482</x:v>
      </x:c>
      <x:c r="H981" s="57" t="n">
        <x:v>2945.5499999999997</x:v>
      </x:c>
      <x:c r="I981" s="57" t="n">
        <x:v>1.051</x:v>
      </x:c>
      <x:c r="J981" s="57" t="n">
        <x:v>25.09460337318705</x:v>
      </x:c>
      <x:c r="K981" s="57" t="n">
        <x:v>67.64190505978057</x:v>
      </x:c>
      <x:c r="L981" s="57" t="n">
        <x:v>98.77415008540082</x:v>
      </x:c>
    </x:row>
    <x:row r="982" ht="32.400001525878906" hidden="0" customHeight="1">
      <x:c r="A982" s="27" t="str">
        <x:v>Harris County, Texas</x:v>
      </x:c>
      <x:c r="B982" s="27" t="str">
        <x:v>48201550308</x:v>
      </x:c>
      <x:c r="C982" s="50" t="n">
        <x:v>2993</x:v>
      </x:c>
      <x:c r="D982" s="50" t="n">
        <x:v>485</x:v>
      </x:c>
      <x:c r="E982" s="50" t="n">
        <x:v>529</x:v>
      </x:c>
      <x:c r="F982" s="37" t="n">
        <x:v>0.16204477113264285</x:v>
      </x:c>
      <x:c r="G982" s="37" t="n">
        <x:v>0.17674574006014032</x:v>
      </x:c>
      <x:c r="H982" s="56" t="n">
        <x:v>3215.65</x:v>
      </x:c>
      <x:c r="I982" s="56" t="n">
        <x:v>0.545</x:v>
      </x:c>
      <x:c r="J982" s="56" t="n">
        <x:v>28.440096857566495</x:v>
      </x:c>
      <x:c r="K982" s="56" t="n">
        <x:v>72.66014528634975</x:v>
      </x:c>
      <x:c r="L982" s="56" t="n">
        <x:v>105.94306469478533</x:v>
      </x:c>
    </x:row>
    <x:row r="983" ht="32.400001525878906" hidden="0" customHeight="1">
      <x:c r="A983" s="29" t="str">
        <x:v>Harris County, Texas</x:v>
      </x:c>
      <x:c r="B983" s="29" t="str">
        <x:v>48201550403</x:v>
      </x:c>
      <x:c r="C983" s="51" t="n">
        <x:v>2928</x:v>
      </x:c>
      <x:c r="D983" s="51" t="n">
        <x:v>597</x:v>
      </x:c>
      <x:c r="E983" s="51" t="n">
        <x:v>490</x:v>
      </x:c>
      <x:c r="F983" s="38" t="n">
        <x:v>0.2038934426229508</x:v>
      </x:c>
      <x:c r="G983" s="38" t="n">
        <x:v>0.16734972677595628</x:v>
      </x:c>
      <x:c r="H983" s="57" t="n">
        <x:v>3185.95</x:v>
      </x:c>
      <x:c r="I983" s="57" t="n">
        <x:v>0.632</x:v>
      </x:c>
      <x:c r="J983" s="57" t="n">
        <x:v>30.157862448528242</x:v>
      </x:c>
      <x:c r="K983" s="57" t="n">
        <x:v>75.23679367279236</x:v>
      </x:c>
      <x:c r="L983" s="57" t="n">
        <x:v>109.62399096113195</x:v>
      </x:c>
    </x:row>
    <x:row r="984" ht="32.400001525878906" hidden="0" customHeight="1">
      <x:c r="A984" s="27" t="str">
        <x:v>Harris County, Texas</x:v>
      </x:c>
      <x:c r="B984" s="27" t="str">
        <x:v>48201550404</x:v>
      </x:c>
      <x:c r="C984" s="50" t="n">
        <x:v>6224</x:v>
      </x:c>
      <x:c r="D984" s="50" t="n">
        <x:v>882</x:v>
      </x:c>
      <x:c r="E984" s="50" t="n">
        <x:v>107</x:v>
      </x:c>
      <x:c r="F984" s="37" t="n">
        <x:v>0.1417095115681234</x:v>
      </x:c>
      <x:c r="G984" s="37" t="n">
        <x:v>0.017191516709511568</x:v>
      </x:c>
      <x:c r="H984" s="56" t="n">
        <x:v>6543.4</x:v>
      </x:c>
      <x:c r="I984" s="56" t="n">
        <x:v>1.171</x:v>
      </x:c>
      <x:c r="J984" s="56" t="n">
        <x:v>28.804773843183742</x:v>
      </x:c>
      <x:c r="K984" s="56" t="n">
        <x:v>73.20716076477561</x:v>
      </x:c>
      <x:c r="L984" s="56" t="n">
        <x:v>106.72451537825089</x:v>
      </x:c>
    </x:row>
    <x:row r="985" ht="32.400001525878906" hidden="0" customHeight="1">
      <x:c r="A985" s="29" t="str">
        <x:v>Harris County, Texas</x:v>
      </x:c>
      <x:c r="B985" s="29" t="str">
        <x:v>48201550405</x:v>
      </x:c>
      <x:c r="C985" s="51" t="n">
        <x:v>7123</x:v>
      </x:c>
      <x:c r="D985" s="51" t="n">
        <x:v>878</x:v>
      </x:c>
      <x:c r="E985" s="51" t="n">
        <x:v>217</x:v>
      </x:c>
      <x:c r="F985" s="38" t="n">
        <x:v>0.12326267022322056</x:v>
      </x:c>
      <x:c r="G985" s="38" t="n">
        <x:v>0.030464691843324444</x:v>
      </x:c>
      <x:c r="H985" s="57" t="n">
        <x:v>7452</x:v>
      </x:c>
      <x:c r="I985" s="57" t="n">
        <x:v>1.47</x:v>
      </x:c>
      <x:c r="J985" s="57" t="n">
        <x:v>25.011573962187093</x:v>
      </x:c>
      <x:c r="K985" s="57" t="n">
        <x:v>67.51736094328064</x:v>
      </x:c>
      <x:c r="L985" s="57" t="n">
        <x:v>98.59622991897234</x:v>
      </x:c>
    </x:row>
    <x:row r="986" ht="32.400001525878906" hidden="0" customHeight="1">
      <x:c r="A986" s="27" t="str">
        <x:v>Harris County, Texas</x:v>
      </x:c>
      <x:c r="B986" s="27" t="str">
        <x:v>48201550406</x:v>
      </x:c>
      <x:c r="C986" s="50" t="n">
        <x:v>4271</x:v>
      </x:c>
      <x:c r="D986" s="50" t="n">
        <x:v>360</x:v>
      </x:c>
      <x:c r="E986" s="50" t="n">
        <x:v>435.5</x:v>
      </x:c>
      <x:c r="F986" s="37" t="n">
        <x:v>0.0842893935846406</x:v>
      </x:c>
      <x:c r="G986" s="37" t="n">
        <x:v>0.10196675251697494</x:v>
      </x:c>
      <x:c r="H986" s="56" t="n">
        <x:v>4440.55</x:v>
      </x:c>
      <x:c r="I986" s="56" t="n">
        <x:v>1.251</x:v>
      </x:c>
      <x:c r="J986" s="56" t="n">
        <x:v>27.025827630210024</x:v>
      </x:c>
      <x:c r="K986" s="56" t="n">
        <x:v>70.53874144531504</x:v>
      </x:c>
      <x:c r="L986" s="56" t="n">
        <x:v>102.91248777902149</x:v>
      </x:c>
    </x:row>
    <x:row r="987" ht="32.400001525878906" hidden="0" customHeight="1">
      <x:c r="A987" s="29" t="str">
        <x:v>Harris County, Texas</x:v>
      </x:c>
      <x:c r="B987" s="29" t="str">
        <x:v>48201550407</x:v>
      </x:c>
      <x:c r="C987" s="51" t="n">
        <x:v>6268</x:v>
      </x:c>
      <x:c r="D987" s="51" t="n">
        <x:v>552</x:v>
      </x:c>
      <x:c r="E987" s="51" t="n">
        <x:v>239</x:v>
      </x:c>
      <x:c r="F987" s="38" t="n">
        <x:v>0.08806636885768986</x:v>
      </x:c>
      <x:c r="G987" s="38" t="n">
        <x:v>0.03813018506700702</x:v>
      </x:c>
      <x:c r="H987" s="57" t="n">
        <x:v>6485.1</x:v>
      </x:c>
      <x:c r="I987" s="57" t="n">
        <x:v>1.156</x:v>
      </x:c>
      <x:c r="J987" s="57" t="n">
        <x:v>27.627987823690116</x:v>
      </x:c>
      <x:c r="K987" s="57" t="n">
        <x:v>71.44198173553518</x:v>
      </x:c>
      <x:c r="L987" s="57" t="n">
        <x:v>104.20283105076453</x:v>
      </x:c>
    </x:row>
    <x:row r="988" ht="32.400001525878906" hidden="0" customHeight="1">
      <x:c r="A988" s="27" t="str">
        <x:v>Harris County, Texas</x:v>
      </x:c>
      <x:c r="B988" s="27" t="str">
        <x:v>48201550500</x:v>
      </x:c>
      <x:c r="C988" s="50" t="n">
        <x:v>6347</x:v>
      </x:c>
      <x:c r="D988" s="50" t="n">
        <x:v>1362</x:v>
      </x:c>
      <x:c r="E988" s="50" t="n">
        <x:v>197.5</x:v>
      </x:c>
      <x:c r="F988" s="37" t="n">
        <x:v>0.21458956987553174</x:v>
      </x:c>
      <x:c r="G988" s="37" t="n">
        <x:v>0.03111706317945486</x:v>
      </x:c>
      <x:c r="H988" s="56" t="n">
        <x:v>6843.450000000001</x:v>
      </x:c>
      <x:c r="I988" s="56" t="n">
        <x:v>1.689</x:v>
      </x:c>
      <x:c r="J988" s="56" t="n">
        <x:v>31.62559975823106</x:v>
      </x:c>
      <x:c r="K988" s="56" t="n">
        <x:v>77.43839963734659</x:v>
      </x:c>
      <x:c r="L988" s="56" t="n">
        <x:v>112.76914233906656</x:v>
      </x:c>
    </x:row>
    <x:row r="989" ht="32.400001525878906" hidden="0" customHeight="1">
      <x:c r="A989" s="29" t="str">
        <x:v>Harris County, Texas</x:v>
      </x:c>
      <x:c r="B989" s="29" t="str">
        <x:v>48201550601</x:v>
      </x:c>
      <x:c r="C989" s="51" t="n">
        <x:v>7107</x:v>
      </x:c>
      <x:c r="D989" s="51" t="n">
        <x:v>933</x:v>
      </x:c>
      <x:c r="E989" s="51" t="n">
        <x:v>34</x:v>
      </x:c>
      <x:c r="F989" s="38" t="n">
        <x:v>0.13127902068383285</x:v>
      </x:c>
      <x:c r="G989" s="38" t="n">
        <x:v>0.004784015759110736</x:v>
      </x:c>
      <x:c r="H989" s="57" t="n">
        <x:v>7436.950000000002</x:v>
      </x:c>
      <x:c r="I989" s="57" t="n">
        <x:v>0.786</x:v>
      </x:c>
      <x:c r="J989" s="57" t="n">
        <x:v>30.261033707344716</x:v>
      </x:c>
      <x:c r="K989" s="57" t="n">
        <x:v>75.39155056101707</x:v>
      </x:c>
      <x:c r="L989" s="57" t="n">
        <x:v>109.84507223002439</x:v>
      </x:c>
    </x:row>
    <x:row r="990" ht="32.400001525878906" hidden="0" customHeight="1">
      <x:c r="A990" s="27" t="str">
        <x:v>Harris County, Texas</x:v>
      </x:c>
      <x:c r="B990" s="27" t="str">
        <x:v>48201550602</x:v>
      </x:c>
      <x:c r="C990" s="50" t="n">
        <x:v>2665</x:v>
      </x:c>
      <x:c r="D990" s="50" t="n">
        <x:v>155</x:v>
      </x:c>
      <x:c r="E990" s="50" t="n">
        <x:v>36</x:v>
      </x:c>
      <x:c r="F990" s="37" t="n">
        <x:v>0.058161350844277676</x:v>
      </x:c>
      <x:c r="G990" s="37" t="n">
        <x:v>0.01350844277673546</x:v>
      </x:c>
      <x:c r="H990" s="56" t="n">
        <x:v>2722.85</x:v>
      </x:c>
      <x:c r="I990" s="56" t="n">
        <x:v>0.433</x:v>
      </x:c>
      <x:c r="J990" s="56" t="n">
        <x:v>31.755936672854535</x:v>
      </x:c>
      <x:c r="K990" s="56" t="n">
        <x:v>77.6339050092818</x:v>
      </x:c>
      <x:c r="L990" s="56" t="n">
        <x:v>113.04843572754542</x:v>
      </x:c>
    </x:row>
    <x:row r="991" ht="32.400001525878906" hidden="0" customHeight="1">
      <x:c r="A991" s="29" t="str">
        <x:v>Harris County, Texas</x:v>
      </x:c>
      <x:c r="B991" s="29" t="str">
        <x:v>48201550603</x:v>
      </x:c>
      <x:c r="C991" s="51" t="n">
        <x:v>5031</x:v>
      </x:c>
      <x:c r="D991" s="51" t="n">
        <x:v>312</x:v>
      </x:c>
      <x:c r="E991" s="51" t="n">
        <x:v>157</x:v>
      </x:c>
      <x:c r="F991" s="38" t="n">
        <x:v>0.06201550387596899</x:v>
      </x:c>
      <x:c r="G991" s="38" t="n">
        <x:v>0.0312065195786126</x:v>
      </x:c>
      <x:c r="H991" s="57" t="n">
        <x:v>5155.900000000001</x:v>
      </x:c>
      <x:c r="I991" s="57" t="n">
        <x:v>0.673</x:v>
      </x:c>
      <x:c r="J991" s="57" t="n">
        <x:v>29.43189609793118</x:v>
      </x:c>
      <x:c r="K991" s="57" t="n">
        <x:v>74.14784414689677</x:v>
      </x:c>
      <x:c r="L991" s="57" t="n">
        <x:v>108.06834878128109</x:v>
      </x:c>
    </x:row>
    <x:row r="992" ht="32.400001525878906" hidden="0" customHeight="1">
      <x:c r="A992" s="27" t="str">
        <x:v>Harris County, Texas</x:v>
      </x:c>
      <x:c r="B992" s="27" t="str">
        <x:v>48201550700</x:v>
      </x:c>
      <x:c r="C992" s="50" t="n">
        <x:v>5079</x:v>
      </x:c>
      <x:c r="D992" s="50" t="n">
        <x:v>410</x:v>
      </x:c>
      <x:c r="E992" s="50" t="n">
        <x:v>246</x:v>
      </x:c>
      <x:c r="F992" s="37" t="n">
        <x:v>0.08072455207718054</x:v>
      </x:c>
      <x:c r="G992" s="37" t="n">
        <x:v>0.04843473124630833</x:v>
      </x:c>
      <x:c r="H992" s="56" t="n">
        <x:v>5247.099999999999</x:v>
      </x:c>
      <x:c r="I992" s="56" t="n">
        <x:v>2.341</x:v>
      </x:c>
      <x:c r="J992" s="56" t="n">
        <x:v>26.92999706183246</x:v>
      </x:c>
      <x:c r="K992" s="56" t="n">
        <x:v>70.39499559274869</x:v>
      </x:c>
      <x:c r="L992" s="56" t="n">
        <x:v>102.70713656106955</x:v>
      </x:c>
    </x:row>
    <x:row r="993" ht="32.400001525878906" hidden="0" customHeight="1">
      <x:c r="A993" s="29" t="str">
        <x:v>Harris County, Texas</x:v>
      </x:c>
      <x:c r="B993" s="29" t="str">
        <x:v>48201550800</x:v>
      </x:c>
      <x:c r="C993" s="51" t="n">
        <x:v>3591</x:v>
      </x:c>
      <x:c r="D993" s="51" t="n">
        <x:v>582</x:v>
      </x:c>
      <x:c r="E993" s="51" t="n">
        <x:v>18</x:v>
      </x:c>
      <x:c r="F993" s="38" t="n">
        <x:v>0.1620718462823726</x:v>
      </x:c>
      <x:c r="G993" s="38" t="n">
        <x:v>0.005012531328320802</x:v>
      </x:c>
      <x:c r="H993" s="57" t="n">
        <x:v>3796.5000000000005</x:v>
      </x:c>
      <x:c r="I993" s="57" t="n">
        <x:v>0.768</x:v>
      </x:c>
      <x:c r="J993" s="57" t="n">
        <x:v>29.586190817294348</x:v>
      </x:c>
      <x:c r="K993" s="57" t="n">
        <x:v>74.37928622594153</x:v>
      </x:c>
      <x:c r="L993" s="57" t="n">
        <x:v>108.39898032277361</x:v>
      </x:c>
    </x:row>
    <x:row r="994" ht="32.400001525878906" hidden="0" customHeight="1">
      <x:c r="A994" s="27" t="str">
        <x:v>Harris County, Texas</x:v>
      </x:c>
      <x:c r="B994" s="27" t="str">
        <x:v>48201550901</x:v>
      </x:c>
      <x:c r="C994" s="50" t="n">
        <x:v>5599</x:v>
      </x:c>
      <x:c r="D994" s="50" t="n">
        <x:v>610</x:v>
      </x:c>
      <x:c r="E994" s="50" t="n">
        <x:v>314.5</x:v>
      </x:c>
      <x:c r="F994" s="37" t="n">
        <x:v>0.10894802643329166</x:v>
      </x:c>
      <x:c r="G994" s="37" t="n">
        <x:v>0.05617074477585283</x:v>
      </x:c>
      <x:c r="H994" s="56" t="n">
        <x:v>5843.949999999999</x:v>
      </x:c>
      <x:c r="I994" s="56" t="n">
        <x:v>0.641</x:v>
      </x:c>
      <x:c r="J994" s="56" t="n">
        <x:v>27.289543262304797</x:v>
      </x:c>
      <x:c r="K994" s="56" t="n">
        <x:v>70.9343148934572</x:v>
      </x:c>
      <x:c r="L994" s="56" t="n">
        <x:v>103.47759270493884</x:v>
      </x:c>
    </x:row>
    <x:row r="995" ht="32.400001525878906" hidden="0" customHeight="1">
      <x:c r="A995" s="29" t="str">
        <x:v>Harris County, Texas</x:v>
      </x:c>
      <x:c r="B995" s="29" t="str">
        <x:v>48201550902</x:v>
      </x:c>
      <x:c r="C995" s="51" t="n">
        <x:v>4531</x:v>
      </x:c>
      <x:c r="D995" s="51" t="n">
        <x:v>330</x:v>
      </x:c>
      <x:c r="E995" s="51" t="n">
        <x:v>24</x:v>
      </x:c>
      <x:c r="F995" s="38" t="n">
        <x:v>0.07283160450231736</x:v>
      </x:c>
      <x:c r="G995" s="38" t="n">
        <x:v>0.0052968439638048995</x:v>
      </x:c>
      <x:c r="H995" s="57" t="n">
        <x:v>4648.9</x:v>
      </x:c>
      <x:c r="I995" s="57" t="n">
        <x:v>0.588</x:v>
      </x:c>
      <x:c r="J995" s="57" t="n">
        <x:v>27.900676326411823</x:v>
      </x:c>
      <x:c r="K995" s="57" t="n">
        <x:v>71.85101448961774</x:v>
      </x:c>
      <x:c r="L995" s="57" t="n">
        <x:v>104.78716355659677</x:v>
      </x:c>
    </x:row>
    <x:row r="996" ht="32.400001525878906" hidden="0" customHeight="1">
      <x:c r="A996" s="27" t="str">
        <x:v>Harris County, Texas</x:v>
      </x:c>
      <x:c r="B996" s="27" t="str">
        <x:v>48201551000</x:v>
      </x:c>
      <x:c r="C996" s="50" t="n">
        <x:v>3693</x:v>
      </x:c>
      <x:c r="D996" s="50" t="n">
        <x:v>326</x:v>
      </x:c>
      <x:c r="E996" s="50" t="n">
        <x:v>0</x:v>
      </x:c>
      <x:c r="F996" s="37" t="n">
        <x:v>0.08827511508258869</x:v>
      </x:c>
      <x:c r="G996" s="37" t="n">
        <x:v>0</x:v>
      </x:c>
      <x:c r="H996" s="56" t="n">
        <x:v>3807.1</x:v>
      </x:c>
      <x:c r="I996" s="56" t="n">
        <x:v>0.429</x:v>
      </x:c>
      <x:c r="J996" s="56" t="n">
        <x:v>26.728277501018333</x:v>
      </x:c>
      <x:c r="K996" s="56" t="n">
        <x:v>70.0924162515275</x:v>
      </x:c>
      <x:c r="L996" s="56" t="n">
        <x:v>102.274880359325</x:v>
      </x:c>
    </x:row>
    <x:row r="997" ht="32.400001525878906" hidden="0" customHeight="1">
      <x:c r="A997" s="29" t="str">
        <x:v>Harris County, Texas</x:v>
      </x:c>
      <x:c r="B997" s="29" t="str">
        <x:v>48201551101</x:v>
      </x:c>
      <x:c r="C997" s="51" t="n">
        <x:v>3707</x:v>
      </x:c>
      <x:c r="D997" s="51" t="n">
        <x:v>486</x:v>
      </x:c>
      <x:c r="E997" s="51" t="n">
        <x:v>345</x:v>
      </x:c>
      <x:c r="F997" s="38" t="n">
        <x:v>0.13110331804693823</x:v>
      </x:c>
      <x:c r="G997" s="38" t="n">
        <x:v>0.09306717021850552</x:v>
      </x:c>
      <x:c r="H997" s="57" t="n">
        <x:v>3911.6</x:v>
      </x:c>
      <x:c r="I997" s="57" t="n">
        <x:v>0.706</x:v>
      </x:c>
      <x:c r="J997" s="57" t="n">
        <x:v>24.54835587883396</x:v>
      </x:c>
      <x:c r="K997" s="57" t="n">
        <x:v>66.82253381825095</x:v>
      </x:c>
      <x:c r="L997" s="57" t="n">
        <x:v>97.60361974035848</x:v>
      </x:c>
    </x:row>
    <x:row r="998" ht="32.400001525878906" hidden="0" customHeight="1">
      <x:c r="A998" s="27" t="str">
        <x:v>Harris County, Texas</x:v>
      </x:c>
      <x:c r="B998" s="27" t="str">
        <x:v>48201551102</x:v>
      </x:c>
      <x:c r="C998" s="50" t="n">
        <x:v>6460</x:v>
      </x:c>
      <x:c r="D998" s="50" t="n">
        <x:v>754</x:v>
      </x:c>
      <x:c r="E998" s="50" t="n">
        <x:v>718.5</x:v>
      </x:c>
      <x:c r="F998" s="37" t="n">
        <x:v>0.11671826625386997</x:v>
      </x:c>
      <x:c r="G998" s="37" t="n">
        <x:v>0.11122291021671826</x:v>
      </x:c>
      <x:c r="H998" s="56" t="n">
        <x:v>6795.75</x:v>
      </x:c>
      <x:c r="I998" s="56" t="n">
        <x:v>1.074</x:v>
      </x:c>
      <x:c r="J998" s="56" t="n">
        <x:v>27.510820033649765</x:v>
      </x:c>
      <x:c r="K998" s="56" t="n">
        <x:v>71.26623005047465</x:v>
      </x:c>
      <x:c r="L998" s="56" t="n">
        <x:v>103.95175721496378</x:v>
      </x:c>
    </x:row>
    <x:row r="999" ht="32.400001525878906" hidden="0" customHeight="1">
      <x:c r="A999" s="29" t="str">
        <x:v>Harris County, Texas</x:v>
      </x:c>
      <x:c r="B999" s="29" t="str">
        <x:v>48201551201</x:v>
      </x:c>
      <x:c r="C999" s="51" t="n">
        <x:v>4843</x:v>
      </x:c>
      <x:c r="D999" s="51" t="n">
        <x:v>712</x:v>
      </x:c>
      <x:c r="E999" s="51" t="n">
        <x:v>502</x:v>
      </x:c>
      <x:c r="F999" s="38" t="n">
        <x:v>0.14701631220317984</x:v>
      </x:c>
      <x:c r="G999" s="38" t="n">
        <x:v>0.10365475944662399</x:v>
      </x:c>
      <x:c r="H999" s="57" t="n">
        <x:v>5142.4</x:v>
      </x:c>
      <x:c r="I999" s="57" t="n">
        <x:v>0.77</x:v>
      </x:c>
      <x:c r="J999" s="57" t="n">
        <x:v>25.226545133571776</x:v>
      </x:c>
      <x:c r="K999" s="57" t="n">
        <x:v>67.83981770035766</x:v>
      </x:c>
      <x:c r="L999" s="57" t="n">
        <x:v>99.05688242908238</x:v>
      </x:c>
    </x:row>
    <x:row r="1000" ht="32.400001525878906" hidden="0" customHeight="1">
      <x:c r="A1000" s="27" t="str">
        <x:v>Harris County, Texas</x:v>
      </x:c>
      <x:c r="B1000" s="27" t="str">
        <x:v>48201551202</x:v>
      </x:c>
      <x:c r="C1000" s="50" t="n">
        <x:v>3674</x:v>
      </x:c>
      <x:c r="D1000" s="50" t="n">
        <x:v>395</x:v>
      </x:c>
      <x:c r="E1000" s="50" t="n">
        <x:v>135.5</x:v>
      </x:c>
      <x:c r="F1000" s="37" t="n">
        <x:v>0.10751224823081111</x:v>
      </x:c>
      <x:c r="G1000" s="37" t="n">
        <x:v>0.03688078388677191</x:v>
      </x:c>
      <x:c r="H1000" s="56" t="n">
        <x:v>3825.8</x:v>
      </x:c>
      <x:c r="I1000" s="56" t="n">
        <x:v>0.608</x:v>
      </x:c>
      <x:c r="J1000" s="56" t="n">
        <x:v>25.890403317320267</x:v>
      </x:c>
      <x:c r="K1000" s="56" t="n">
        <x:v>68.8356049759804</x:v>
      </x:c>
      <x:c r="L1000" s="56" t="n">
        <x:v>100.479435679972</x:v>
      </x:c>
    </x:row>
    <x:row r="1001" ht="32.400001525878906" hidden="0" customHeight="1">
      <x:c r="A1001" s="29" t="str">
        <x:v>Harris County, Texas</x:v>
      </x:c>
      <x:c r="B1001" s="29" t="str">
        <x:v>48201551300</x:v>
      </x:c>
      <x:c r="C1001" s="51" t="n">
        <x:v>3616</x:v>
      </x:c>
      <x:c r="D1001" s="51" t="n">
        <x:v>533</x:v>
      </x:c>
      <x:c r="E1001" s="51" t="n">
        <x:v>32</x:v>
      </x:c>
      <x:c r="F1001" s="38" t="n">
        <x:v>0.1474004424778761</x:v>
      </x:c>
      <x:c r="G1001" s="38" t="n">
        <x:v>0.008849557522123894</x:v>
      </x:c>
      <x:c r="H1001" s="57" t="n">
        <x:v>3805.75</x:v>
      </x:c>
      <x:c r="I1001" s="57" t="n">
        <x:v>0.767</x:v>
      </x:c>
      <x:c r="J1001" s="57" t="n">
        <x:v>25.43701818566759</x:v>
      </x:c>
      <x:c r="K1001" s="57" t="n">
        <x:v>68.15552727850138</x:v>
      </x:c>
      <x:c r="L1001" s="57" t="n">
        <x:v>99.50789611214483</x:v>
      </x:c>
    </x:row>
    <x:row r="1002" ht="32.400001525878906" hidden="0" customHeight="1">
      <x:c r="A1002" s="27" t="str">
        <x:v>Harris County, Texas</x:v>
      </x:c>
      <x:c r="B1002" s="27" t="str">
        <x:v>48201551400</x:v>
      </x:c>
      <x:c r="C1002" s="50" t="n">
        <x:v>6451</x:v>
      </x:c>
      <x:c r="D1002" s="50" t="n">
        <x:v>410</x:v>
      </x:c>
      <x:c r="E1002" s="50" t="n">
        <x:v>18</x:v>
      </x:c>
      <x:c r="F1002" s="37" t="n">
        <x:v>0.06355603782359324</x:v>
      </x:c>
      <x:c r="G1002" s="37" t="n">
        <x:v>0.0027902650751821423</x:v>
      </x:c>
      <x:c r="H1002" s="56" t="n">
        <x:v>6596.300000000001</x:v>
      </x:c>
      <x:c r="I1002" s="56" t="n">
        <x:v>3.056</x:v>
      </x:c>
      <x:c r="J1002" s="56" t="n">
        <x:v>23.75590688128385</x:v>
      </x:c>
      <x:c r="K1002" s="56" t="n">
        <x:v>65.63386032192577</x:v>
      </x:c>
      <x:c r="L1002" s="56" t="n">
        <x:v>95.90551474560824</x:v>
      </x:c>
    </x:row>
    <x:row r="1003" ht="32.400001525878906" hidden="0" customHeight="1">
      <x:c r="A1003" s="29" t="str">
        <x:v>Harris County, Texas</x:v>
      </x:c>
      <x:c r="B1003" s="29" t="str">
        <x:v>48201551501</x:v>
      </x:c>
      <x:c r="C1003" s="51" t="n">
        <x:v>4311</x:v>
      </x:c>
      <x:c r="D1003" s="51" t="n">
        <x:v>659</x:v>
      </x:c>
      <x:c r="E1003" s="51" t="n">
        <x:v>112.5</x:v>
      </x:c>
      <x:c r="F1003" s="38" t="n">
        <x:v>0.1528647645557875</x:v>
      </x:c>
      <x:c r="G1003" s="38" t="n">
        <x:v>0.026096033402922755</x:v>
      </x:c>
      <x:c r="H1003" s="57" t="n">
        <x:v>4552.9</x:v>
      </x:c>
      <x:c r="I1003" s="57" t="n">
        <x:v>1.492</x:v>
      </x:c>
      <x:c r="J1003" s="57" t="n">
        <x:v>18.81858833234204</x:v>
      </x:c>
      <x:c r="K1003" s="57" t="n">
        <x:v>58.22788249851306</x:v>
      </x:c>
      <x:c r="L1003" s="57" t="n">
        <x:v>85.32554642644723</x:v>
      </x:c>
    </x:row>
    <x:row r="1004" ht="32.400001525878906" hidden="0" customHeight="1">
      <x:c r="A1004" s="27" t="str">
        <x:v>Harris County, Texas</x:v>
      </x:c>
      <x:c r="B1004" s="27" t="str">
        <x:v>48201551502</x:v>
      </x:c>
      <x:c r="C1004" s="50" t="n">
        <x:v>4924</x:v>
      </x:c>
      <x:c r="D1004" s="50" t="n">
        <x:v>648</x:v>
      </x:c>
      <x:c r="E1004" s="50" t="n">
        <x:v>225</x:v>
      </x:c>
      <x:c r="F1004" s="37" t="n">
        <x:v>0.13160032493907392</x:v>
      </x:c>
      <x:c r="G1004" s="37" t="n">
        <x:v>0.045694557270511776</x:v>
      </x:c>
      <x:c r="H1004" s="56" t="n">
        <x:v>5173.3</x:v>
      </x:c>
      <x:c r="I1004" s="56" t="n">
        <x:v>2.334</x:v>
      </x:c>
      <x:c r="J1004" s="56" t="n">
        <x:v>22.70574718804454</x:v>
      </x:c>
      <x:c r="K1004" s="56" t="n">
        <x:v>64.05862078206681</x:v>
      </x:c>
      <x:c r="L1004" s="56" t="n">
        <x:v>93.65517254580973</x:v>
      </x:c>
    </x:row>
    <x:row r="1005" ht="32.400001525878906" hidden="0" customHeight="1">
      <x:c r="A1005" s="29" t="str">
        <x:v>Harris County, Texas</x:v>
      </x:c>
      <x:c r="B1005" s="29" t="str">
        <x:v>48201551601</x:v>
      </x:c>
      <x:c r="C1005" s="51" t="n">
        <x:v>3000</x:v>
      </x:c>
      <x:c r="D1005" s="51" t="n">
        <x:v>394</x:v>
      </x:c>
      <x:c r="E1005" s="51" t="n">
        <x:v>6</x:v>
      </x:c>
      <x:c r="F1005" s="38" t="n">
        <x:v>0.13133333333333333</x:v>
      </x:c>
      <x:c r="G1005" s="38" t="n">
        <x:v>0.002</x:v>
      </x:c>
      <x:c r="H1005" s="57" t="n">
        <x:v>3138.5</x:v>
      </x:c>
      <x:c r="I1005" s="57" t="n">
        <x:v>0.53</x:v>
      </x:c>
      <x:c r="J1005" s="57" t="n">
        <x:v>19.311597205130912</x:v>
      </x:c>
      <x:c r="K1005" s="57" t="n">
        <x:v>58.96739580769637</x:v>
      </x:c>
      <x:c r="L1005" s="57" t="n">
        <x:v>86.38199401099482</x:v>
      </x:c>
    </x:row>
    <x:row r="1006" ht="32.400001525878906" hidden="0" customHeight="1">
      <x:c r="A1006" s="27" t="str">
        <x:v>Harris County, Texas</x:v>
      </x:c>
      <x:c r="B1006" s="27" t="str">
        <x:v>48201551602</x:v>
      </x:c>
      <x:c r="C1006" s="50" t="n">
        <x:v>4474</x:v>
      </x:c>
      <x:c r="D1006" s="50" t="n">
        <x:v>399</x:v>
      </x:c>
      <x:c r="E1006" s="50" t="n">
        <x:v>52</x:v>
      </x:c>
      <x:c r="F1006" s="37" t="n">
        <x:v>0.089181940098346</x:v>
      </x:c>
      <x:c r="G1006" s="37" t="n">
        <x:v>0.0116227089852481</x:v>
      </x:c>
      <x:c r="H1006" s="56" t="n">
        <x:v>4618.85</x:v>
      </x:c>
      <x:c r="I1006" s="56" t="n">
        <x:v>0.65</x:v>
      </x:c>
      <x:c r="J1006" s="56" t="n">
        <x:v>17.068235326715723</x:v>
      </x:c>
      <x:c r="K1006" s="56" t="n">
        <x:v>55.602352990073584</x:v>
      </x:c>
      <x:c r="L1006" s="56" t="n">
        <x:v>81.57478998581941</x:v>
      </x:c>
    </x:row>
    <x:row r="1007" ht="32.400001525878906" hidden="0" customHeight="1">
      <x:c r="A1007" s="29" t="str">
        <x:v>Harris County, Texas</x:v>
      </x:c>
      <x:c r="B1007" s="29" t="str">
        <x:v>48201551702</x:v>
      </x:c>
      <x:c r="C1007" s="51" t="n">
        <x:v>4086</x:v>
      </x:c>
      <x:c r="D1007" s="51" t="n">
        <x:v>510</x:v>
      </x:c>
      <x:c r="E1007" s="51" t="n">
        <x:v>13</x:v>
      </x:c>
      <x:c r="F1007" s="38" t="n">
        <x:v>0.12481644640234948</x:v>
      </x:c>
      <x:c r="G1007" s="38" t="n">
        <x:v>0.0031815956926089083</x:v>
      </x:c>
      <x:c r="H1007" s="57" t="n">
        <x:v>4265.8</x:v>
      </x:c>
      <x:c r="I1007" s="57" t="n">
        <x:v>0.8</x:v>
      </x:c>
      <x:c r="J1007" s="57" t="n">
        <x:v>19.865458195246983</x:v>
      </x:c>
      <x:c r="K1007" s="57" t="n">
        <x:v>59.79818729287048</x:v>
      </x:c>
      <x:c r="L1007" s="57" t="n">
        <x:v>87.56883898981496</x:v>
      </x:c>
    </x:row>
    <x:row r="1008" ht="32.400001525878906" hidden="0" customHeight="1">
      <x:c r="A1008" s="27" t="str">
        <x:v>Harris County, Texas</x:v>
      </x:c>
      <x:c r="B1008" s="27" t="str">
        <x:v>48201551703</x:v>
      </x:c>
      <x:c r="C1008" s="50" t="n">
        <x:v>8108</x:v>
      </x:c>
      <x:c r="D1008" s="50" t="n">
        <x:v>746</x:v>
      </x:c>
      <x:c r="E1008" s="50" t="n">
        <x:v>205</x:v>
      </x:c>
      <x:c r="F1008" s="37" t="n">
        <x:v>0.09200789343857918</x:v>
      </x:c>
      <x:c r="G1008" s="37" t="n">
        <x:v>0.02528367044893932</x:v>
      </x:c>
      <x:c r="H1008" s="56" t="n">
        <x:v>8389.599999999999</x:v>
      </x:c>
      <x:c r="I1008" s="56" t="n">
        <x:v>1.194</x:v>
      </x:c>
      <x:c r="J1008" s="56" t="n">
        <x:v>18.959288514985843</x:v>
      </x:c>
      <x:c r="K1008" s="56" t="n">
        <x:v>58.438932772478765</x:v>
      </x:c>
      <x:c r="L1008" s="56" t="n">
        <x:v>85.62704681782681</x:v>
      </x:c>
    </x:row>
    <x:row r="1009" ht="32.400001525878906" hidden="0" customHeight="1">
      <x:c r="A1009" s="29" t="str">
        <x:v>Harris County, Texas</x:v>
      </x:c>
      <x:c r="B1009" s="29" t="str">
        <x:v>48201551704</x:v>
      </x:c>
      <x:c r="C1009" s="51" t="n">
        <x:v>3988</x:v>
      </x:c>
      <x:c r="D1009" s="51" t="n">
        <x:v>438</x:v>
      </x:c>
      <x:c r="E1009" s="51" t="n">
        <x:v>120.5</x:v>
      </x:c>
      <x:c r="F1009" s="38" t="n">
        <x:v>0.10982948846539618</x:v>
      </x:c>
      <x:c r="G1009" s="38" t="n">
        <x:v>0.030215646940822467</x:v>
      </x:c>
      <x:c r="H1009" s="57" t="n">
        <x:v>4153.35</x:v>
      </x:c>
      <x:c r="I1009" s="57" t="n">
        <x:v>0.818</x:v>
      </x:c>
      <x:c r="J1009" s="57" t="n">
        <x:v>18.038589607591792</x:v>
      </x:c>
      <x:c r="K1009" s="57" t="n">
        <x:v>57.05788441138769</x:v>
      </x:c>
      <x:c r="L1009" s="57" t="n">
        <x:v>83.6541205876967</x:v>
      </x:c>
    </x:row>
    <x:row r="1010" ht="32.400001525878906" hidden="0" customHeight="1">
      <x:c r="A1010" s="27" t="str">
        <x:v>Harris County, Texas</x:v>
      </x:c>
      <x:c r="B1010" s="27" t="str">
        <x:v>48201551705</x:v>
      </x:c>
      <x:c r="C1010" s="50" t="n">
        <x:v>4738</x:v>
      </x:c>
      <x:c r="D1010" s="50" t="n">
        <x:v>218</x:v>
      </x:c>
      <x:c r="E1010" s="50" t="n">
        <x:v>176</x:v>
      </x:c>
      <x:c r="F1010" s="37" t="n">
        <x:v>0.046010975094976786</x:v>
      </x:c>
      <x:c r="G1010" s="37" t="n">
        <x:v>0.037146475306036306</x:v>
      </x:c>
      <x:c r="H1010" s="56" t="n">
        <x:v>4831.9</x:v>
      </x:c>
      <x:c r="I1010" s="56" t="n">
        <x:v>0.921</x:v>
      </x:c>
      <x:c r="J1010" s="56" t="n">
        <x:v>17.152034127886935</x:v>
      </x:c>
      <x:c r="K1010" s="56" t="n">
        <x:v>55.7280511918304</x:v>
      </x:c>
      <x:c r="L1010" s="56" t="n">
        <x:v>81.754358845472</x:v>
      </x:c>
    </x:row>
    <x:row r="1011" ht="32.400001525878906" hidden="0" customHeight="1">
      <x:c r="A1011" s="29" t="str">
        <x:v>Harris County, Texas</x:v>
      </x:c>
      <x:c r="B1011" s="29" t="str">
        <x:v>48201551800</x:v>
      </x:c>
      <x:c r="C1011" s="51" t="n">
        <x:v>3846</x:v>
      </x:c>
      <x:c r="D1011" s="51" t="n">
        <x:v>613</x:v>
      </x:c>
      <x:c r="E1011" s="51" t="n">
        <x:v>0</x:v>
      </x:c>
      <x:c r="F1011" s="38" t="n">
        <x:v>0.15938637545501821</x:v>
      </x:c>
      <x:c r="G1011" s="38" t="n">
        <x:v>0</x:v>
      </x:c>
      <x:c r="H1011" s="57" t="n">
        <x:v>4060.55</x:v>
      </x:c>
      <x:c r="I1011" s="57" t="n">
        <x:v>2.406</x:v>
      </x:c>
      <x:c r="J1011" s="57" t="n">
        <x:v>20.30966013649516</x:v>
      </x:c>
      <x:c r="K1011" s="57" t="n">
        <x:v>60.464490204742745</x:v>
      </x:c>
      <x:c r="L1011" s="57" t="n">
        <x:v>88.52070029248964</x:v>
      </x:c>
    </x:row>
    <x:row r="1012" ht="32.400001525878906" hidden="0" customHeight="1">
      <x:c r="A1012" s="27" t="str">
        <x:v>Harris County, Texas</x:v>
      </x:c>
      <x:c r="B1012" s="27" t="str">
        <x:v>48201551901</x:v>
      </x:c>
      <x:c r="C1012" s="50" t="n">
        <x:v>2362</x:v>
      </x:c>
      <x:c r="D1012" s="50" t="n">
        <x:v>271</x:v>
      </x:c>
      <x:c r="E1012" s="50" t="n">
        <x:v>50</x:v>
      </x:c>
      <x:c r="F1012" s="37" t="n">
        <x:v>0.11473327688399661</x:v>
      </x:c>
      <x:c r="G1012" s="37" t="n">
        <x:v>0.021168501270110076</x:v>
      </x:c>
      <x:c r="H1012" s="56" t="n">
        <x:v>2461.85</x:v>
      </x:c>
      <x:c r="I1012" s="56" t="n">
        <x:v>0.146</x:v>
      </x:c>
      <x:c r="J1012" s="56" t="n">
        <x:v>16.67488022549152</x:v>
      </x:c>
      <x:c r="K1012" s="56" t="n">
        <x:v>55.01232033823728</x:v>
      </x:c>
      <x:c r="L1012" s="56" t="n">
        <x:v>80.73188619748183</x:v>
      </x:c>
    </x:row>
    <x:row r="1013" ht="32.400001525878906" hidden="0" customHeight="1">
      <x:c r="A1013" s="29" t="str">
        <x:v>Harris County, Texas</x:v>
      </x:c>
      <x:c r="B1013" s="29" t="str">
        <x:v>48201551902</x:v>
      </x:c>
      <x:c r="C1013" s="51" t="n">
        <x:v>4690</x:v>
      </x:c>
      <x:c r="D1013" s="51" t="n">
        <x:v>902</x:v>
      </x:c>
      <x:c r="E1013" s="51" t="n">
        <x:v>123</x:v>
      </x:c>
      <x:c r="F1013" s="38" t="n">
        <x:v>0.19232409381663113</x:v>
      </x:c>
      <x:c r="G1013" s="38" t="n">
        <x:v>0.026226012793176972</x:v>
      </x:c>
      <x:c r="H1013" s="57" t="n">
        <x:v>5018.000000000001</x:v>
      </x:c>
      <x:c r="I1013" s="57" t="n">
        <x:v>0.546</x:v>
      </x:c>
      <x:c r="J1013" s="57" t="n">
        <x:v>16.349979850515393</x:v>
      </x:c>
      <x:c r="K1013" s="57" t="n">
        <x:v>54.52496977577309</x:v>
      </x:c>
      <x:c r="L1013" s="57" t="n">
        <x:v>80.03567110824727</x:v>
      </x:c>
    </x:row>
    <x:row r="1014" ht="32.400001525878906" hidden="0" customHeight="1">
      <x:c r="A1014" s="27" t="str">
        <x:v>Harris County, Texas</x:v>
      </x:c>
      <x:c r="B1014" s="27" t="str">
        <x:v>48201552002</x:v>
      </x:c>
      <x:c r="C1014" s="50" t="n">
        <x:v>1473</x:v>
      </x:c>
      <x:c r="D1014" s="50" t="n">
        <x:v>210</x:v>
      </x:c>
      <x:c r="E1014" s="50" t="n">
        <x:v>36</x:v>
      </x:c>
      <x:c r="F1014" s="37" t="n">
        <x:v>0.1425661914460285</x:v>
      </x:c>
      <x:c r="G1014" s="37" t="n">
        <x:v>0.024439918533604887</x:v>
      </x:c>
      <x:c r="H1014" s="56" t="n">
        <x:v>1550.1000000000001</x:v>
      </x:c>
      <x:c r="I1014" s="56" t="n">
        <x:v>0.645</x:v>
      </x:c>
      <x:c r="J1014" s="56" t="n">
        <x:v>13.374772282552902</x:v>
      </x:c>
      <x:c r="K1014" s="56" t="n">
        <x:v>50.06215842382935</x:v>
      </x:c>
      <x:c r="L1014" s="56" t="n">
        <x:v>73.66022631975622</x:v>
      </x:c>
    </x:row>
    <x:row r="1015" ht="32.400001525878906" hidden="0" customHeight="1">
      <x:c r="A1015" s="29" t="str">
        <x:v>Harris County, Texas</x:v>
      </x:c>
      <x:c r="B1015" s="29" t="str">
        <x:v>48201552003</x:v>
      </x:c>
      <x:c r="C1015" s="51" t="n">
        <x:v>4461</x:v>
      </x:c>
      <x:c r="D1015" s="51" t="n">
        <x:v>391</x:v>
      </x:c>
      <x:c r="E1015" s="51" t="n">
        <x:v>371</x:v>
      </x:c>
      <x:c r="F1015" s="38" t="n">
        <x:v>0.0876485093028469</x:v>
      </x:c>
      <x:c r="G1015" s="38" t="n">
        <x:v>0.08316520959426138</x:v>
      </x:c>
      <x:c r="H1015" s="57" t="n">
        <x:v>4634.949999999999</x:v>
      </x:c>
      <x:c r="I1015" s="57" t="n">
        <x:v>1.03</x:v>
      </x:c>
      <x:c r="J1015" s="57" t="n">
        <x:v>14.698946985086812</x:v>
      </x:c>
      <x:c r="K1015" s="57" t="n">
        <x:v>52.048420477630216</x:v>
      </x:c>
      <x:c r="L1015" s="57" t="n">
        <x:v>76.49774353947174</x:v>
      </x:c>
    </x:row>
    <x:row r="1016" ht="32.400001525878906" hidden="0" customHeight="1">
      <x:c r="A1016" s="27" t="str">
        <x:v>Harris County, Texas</x:v>
      </x:c>
      <x:c r="B1016" s="27" t="str">
        <x:v>48201552004</x:v>
      </x:c>
      <x:c r="C1016" s="50" t="n">
        <x:v>3238</x:v>
      </x:c>
      <x:c r="D1016" s="50" t="n">
        <x:v>575</x:v>
      </x:c>
      <x:c r="E1016" s="50" t="n">
        <x:v>171</x:v>
      </x:c>
      <x:c r="F1016" s="37" t="n">
        <x:v>0.1775787523162446</x:v>
      </x:c>
      <x:c r="G1016" s="37" t="n">
        <x:v>0.052810376775787524</x:v>
      </x:c>
      <x:c r="H1016" s="56" t="n">
        <x:v>3456.35</x:v>
      </x:c>
      <x:c r="I1016" s="56" t="n">
        <x:v>0.674</x:v>
      </x:c>
      <x:c r="J1016" s="56" t="n">
        <x:v>15.25379589109754</x:v>
      </x:c>
      <x:c r="K1016" s="56" t="n">
        <x:v>52.88069383664631</x:v>
      </x:c>
      <x:c r="L1016" s="56" t="n">
        <x:v>77.68670548092331</x:v>
      </x:c>
    </x:row>
    <x:row r="1017" ht="32.400001525878906" hidden="0" customHeight="1">
      <x:c r="A1017" s="29" t="str">
        <x:v>Harris County, Texas</x:v>
      </x:c>
      <x:c r="B1017" s="29" t="str">
        <x:v>48201552101</x:v>
      </x:c>
      <x:c r="C1017" s="51" t="n">
        <x:v>4381</x:v>
      </x:c>
      <x:c r="D1017" s="51" t="n">
        <x:v>468</x:v>
      </x:c>
      <x:c r="E1017" s="51" t="n">
        <x:v>0</x:v>
      </x:c>
      <x:c r="F1017" s="38" t="n">
        <x:v>0.10682492581602374</x:v>
      </x:c>
      <x:c r="G1017" s="38" t="n">
        <x:v>0</x:v>
      </x:c>
      <x:c r="H1017" s="57" t="n">
        <x:v>4544.8</x:v>
      </x:c>
      <x:c r="I1017" s="57" t="n">
        <x:v>0.899</x:v>
      </x:c>
      <x:c r="J1017" s="57" t="n">
        <x:v>11.616106222591203</x:v>
      </x:c>
      <x:c r="K1017" s="57" t="n">
        <x:v>47.424159333886806</x:v>
      </x:c>
      <x:c r="L1017" s="57" t="n">
        <x:v>69.89165619126686</x:v>
      </x:c>
    </x:row>
    <x:row r="1018" ht="32.400001525878906" hidden="0" customHeight="1">
      <x:c r="A1018" s="27" t="str">
        <x:v>Harris County, Texas</x:v>
      </x:c>
      <x:c r="B1018" s="27" t="str">
        <x:v>48201552102</x:v>
      </x:c>
      <x:c r="C1018" s="50" t="n">
        <x:v>5959</x:v>
      </x:c>
      <x:c r="D1018" s="50" t="n">
        <x:v>632</x:v>
      </x:c>
      <x:c r="E1018" s="50" t="n">
        <x:v>57</x:v>
      </x:c>
      <x:c r="F1018" s="37" t="n">
        <x:v>0.106058063433462</x:v>
      </x:c>
      <x:c r="G1018" s="37" t="n">
        <x:v>0.009565363315992616</x:v>
      </x:c>
      <x:c r="H1018" s="56" t="n">
        <x:v>6185.900000000001</x:v>
      </x:c>
      <x:c r="I1018" s="56" t="n">
        <x:v>1.222</x:v>
      </x:c>
      <x:c r="J1018" s="56" t="n">
        <x:v>11.508572685099825</x:v>
      </x:c>
      <x:c r="K1018" s="56" t="n">
        <x:v>47.26285902764974</x:v>
      </x:c>
      <x:c r="L1018" s="56" t="n">
        <x:v>69.66122718235677</x:v>
      </x:c>
    </x:row>
    <x:row r="1019" ht="32.400001525878906" hidden="0" customHeight="1">
      <x:c r="A1019" s="29" t="str">
        <x:v>Harris County, Texas</x:v>
      </x:c>
      <x:c r="B1019" s="29" t="str">
        <x:v>48201552103</x:v>
      </x:c>
      <x:c r="C1019" s="51" t="n">
        <x:v>3986</x:v>
      </x:c>
      <x:c r="D1019" s="51" t="n">
        <x:v>384</x:v>
      </x:c>
      <x:c r="E1019" s="51" t="n">
        <x:v>118</x:v>
      </x:c>
      <x:c r="F1019" s="38" t="n">
        <x:v>0.0963371801304566</x:v>
      </x:c>
      <x:c r="G1019" s="38" t="n">
        <x:v>0.02960361264425489</x:v>
      </x:c>
      <x:c r="H1019" s="57" t="n">
        <x:v>4132.2</x:v>
      </x:c>
      <x:c r="I1019" s="57" t="n">
        <x:v>0.602</x:v>
      </x:c>
      <x:c r="J1019" s="57" t="n">
        <x:v>10.34438986611041</x:v>
      </x:c>
      <x:c r="K1019" s="57" t="n">
        <x:v>45.516584799165614</x:v>
      </x:c>
      <x:c r="L1019" s="57" t="n">
        <x:v>67.16654971309373</x:v>
      </x:c>
    </x:row>
    <x:row r="1020" ht="32.400001525878906" hidden="0" customHeight="1">
      <x:c r="A1020" s="27" t="str">
        <x:v>Harris County, Texas</x:v>
      </x:c>
      <x:c r="B1020" s="27" t="str">
        <x:v>48201552200</x:v>
      </x:c>
      <x:c r="C1020" s="50" t="n">
        <x:v>7367</x:v>
      </x:c>
      <x:c r="D1020" s="50" t="n">
        <x:v>611</x:v>
      </x:c>
      <x:c r="E1020" s="50" t="n">
        <x:v>38</x:v>
      </x:c>
      <x:c r="F1020" s="37" t="n">
        <x:v>0.08293742364598887</x:v>
      </x:c>
      <x:c r="G1020" s="37" t="n">
        <x:v>0.0051581376408307315</x:v>
      </x:c>
      <x:c r="H1020" s="56" t="n">
        <x:v>7584.650000000001</x:v>
      </x:c>
      <x:c r="I1020" s="56" t="n">
        <x:v>3.854</x:v>
      </x:c>
      <x:c r="J1020" s="56" t="n">
        <x:v>8.485525418656827</x:v>
      </x:c>
      <x:c r="K1020" s="56" t="n">
        <x:v>42.72828812798524</x:v>
      </x:c>
      <x:c r="L1020" s="56" t="n">
        <x:v>63.18326875426463</x:v>
      </x:c>
    </x:row>
    <x:row r="1021" ht="32.400001525878906" hidden="0" customHeight="1">
      <x:c r="A1021" s="29" t="str">
        <x:v>Harris County, Texas</x:v>
      </x:c>
      <x:c r="B1021" s="29" t="str">
        <x:v>48201552301</x:v>
      </x:c>
      <x:c r="C1021" s="51" t="n">
        <x:v>4845</x:v>
      </x:c>
      <x:c r="D1021" s="51" t="n">
        <x:v>567</x:v>
      </x:c>
      <x:c r="E1021" s="51" t="n">
        <x:v>20</x:v>
      </x:c>
      <x:c r="F1021" s="38" t="n">
        <x:v>0.11702786377708978</x:v>
      </x:c>
      <x:c r="G1021" s="38" t="n">
        <x:v>0.0041279669762641896</x:v>
      </x:c>
      <x:c r="H1021" s="57" t="n">
        <x:v>5045.45</x:v>
      </x:c>
      <x:c r="I1021" s="57" t="n">
        <x:v>1.65</x:v>
      </x:c>
      <x:c r="J1021" s="57" t="n">
        <x:v>11.783638908256926</x:v>
      </x:c>
      <x:c r="K1021" s="57" t="n">
        <x:v>47.675458362385385</x:v>
      </x:c>
      <x:c r="L1021" s="57" t="n">
        <x:v>70.2506548034077</x:v>
      </x:c>
    </x:row>
    <x:row r="1022" ht="32.400001525878906" hidden="0" customHeight="1">
      <x:c r="A1022" s="27" t="str">
        <x:v>Harris County, Texas</x:v>
      </x:c>
      <x:c r="B1022" s="27" t="str">
        <x:v>48201552303</x:v>
      </x:c>
      <x:c r="C1022" s="50" t="n">
        <x:v>3250</x:v>
      </x:c>
      <x:c r="D1022" s="50" t="n">
        <x:v>808</x:v>
      </x:c>
      <x:c r="E1022" s="50" t="n">
        <x:v>94</x:v>
      </x:c>
      <x:c r="F1022" s="37" t="n">
        <x:v>0.24861538461538463</x:v>
      </x:c>
      <x:c r="G1022" s="37" t="n">
        <x:v>0.028923076923076923</x:v>
      </x:c>
      <x:c r="H1022" s="56" t="n">
        <x:v>3542.2000000000007</x:v>
      </x:c>
      <x:c r="I1022" s="56" t="n">
        <x:v>0.449</x:v>
      </x:c>
      <x:c r="J1022" s="56" t="n">
        <x:v>14.955117727668812</x:v>
      </x:c>
      <x:c r="K1022" s="56" t="n">
        <x:v>52.43267659150322</x:v>
      </x:c>
      <x:c r="L1022" s="56" t="n">
        <x:v>77.0466808450046</x:v>
      </x:c>
    </x:row>
    <x:row r="1023" ht="32.400001525878906" hidden="0" customHeight="1">
      <x:c r="A1023" s="29" t="str">
        <x:v>Harris County, Texas</x:v>
      </x:c>
      <x:c r="B1023" s="29" t="str">
        <x:v>48201552304</x:v>
      </x:c>
      <x:c r="C1023" s="51" t="n">
        <x:v>2079</x:v>
      </x:c>
      <x:c r="D1023" s="51" t="n">
        <x:v>301</x:v>
      </x:c>
      <x:c r="E1023" s="51" t="n">
        <x:v>4</x:v>
      </x:c>
      <x:c r="F1023" s="38" t="n">
        <x:v>0.1447811447811448</x:v>
      </x:c>
      <x:c r="G1023" s="38" t="n">
        <x:v>0.001924001924001924</x:v>
      </x:c>
      <x:c r="H1023" s="57" t="n">
        <x:v>2184.75</x:v>
      </x:c>
      <x:c r="I1023" s="57" t="n">
        <x:v>0.951</x:v>
      </x:c>
      <x:c r="J1023" s="57" t="n">
        <x:v>13.767316005864892</x:v>
      </x:c>
      <x:c r="K1023" s="57" t="n">
        <x:v>50.650974008797334</x:v>
      </x:c>
      <x:c r="L1023" s="57" t="n">
        <x:v>74.50139144113905</x:v>
      </x:c>
    </x:row>
    <x:row r="1024" ht="32.400001525878906" hidden="0" customHeight="1">
      <x:c r="A1024" s="27" t="str">
        <x:v>Harris County, Texas</x:v>
      </x:c>
      <x:c r="B1024" s="27" t="str">
        <x:v>48201552401</x:v>
      </x:c>
      <x:c r="C1024" s="50" t="n">
        <x:v>5253</x:v>
      </x:c>
      <x:c r="D1024" s="50" t="n">
        <x:v>820</x:v>
      </x:c>
      <x:c r="E1024" s="50" t="n">
        <x:v>220</x:v>
      </x:c>
      <x:c r="F1024" s="37" t="n">
        <x:v>0.15610127546164096</x:v>
      </x:c>
      <x:c r="G1024" s="37" t="n">
        <x:v>0.04188083000190367</x:v>
      </x:c>
      <x:c r="H1024" s="56" t="n">
        <x:v>5562</x:v>
      </x:c>
      <x:c r="I1024" s="56" t="n">
        <x:v>0.992</x:v>
      </x:c>
      <x:c r="J1024" s="56" t="n">
        <x:v>14.068278816961993</x:v>
      </x:c>
      <x:c r="K1024" s="56" t="n">
        <x:v>51.10241822544299</x:v>
      </x:c>
      <x:c r="L1024" s="56" t="n">
        <x:v>75.14631175063283</x:v>
      </x:c>
    </x:row>
    <x:row r="1025" ht="32.400001525878906" hidden="0" customHeight="1">
      <x:c r="A1025" s="29" t="str">
        <x:v>Harris County, Texas</x:v>
      </x:c>
      <x:c r="B1025" s="29" t="str">
        <x:v>48201552402</x:v>
      </x:c>
      <x:c r="C1025" s="51" t="n">
        <x:v>3108</x:v>
      </x:c>
      <x:c r="D1025" s="51" t="n">
        <x:v>677</x:v>
      </x:c>
      <x:c r="E1025" s="51" t="n">
        <x:v>102</x:v>
      </x:c>
      <x:c r="F1025" s="38" t="n">
        <x:v>0.21782496782496782</x:v>
      </x:c>
      <x:c r="G1025" s="38" t="n">
        <x:v>0.032818532818532815</x:v>
      </x:c>
      <x:c r="H1025" s="57" t="n">
        <x:v>3355.1499999999996</x:v>
      </x:c>
      <x:c r="I1025" s="57" t="n">
        <x:v>1.368</x:v>
      </x:c>
      <x:c r="J1025" s="57" t="n">
        <x:v>13.927391326993398</x:v>
      </x:c>
      <x:c r="K1025" s="57" t="n">
        <x:v>50.891086990490095</x:v>
      </x:c>
      <x:c r="L1025" s="57" t="n">
        <x:v>74.84440998641443</x:v>
      </x:c>
    </x:row>
    <x:row r="1026" ht="32.400001525878906" hidden="0" customHeight="1">
      <x:c r="A1026" s="27" t="str">
        <x:v>Harris County, Texas</x:v>
      </x:c>
      <x:c r="B1026" s="27" t="str">
        <x:v>48201552501</x:v>
      </x:c>
      <x:c r="C1026" s="50" t="n">
        <x:v>5114</x:v>
      </x:c>
      <x:c r="D1026" s="50" t="n">
        <x:v>638</x:v>
      </x:c>
      <x:c r="E1026" s="50" t="n">
        <x:v>672</x:v>
      </x:c>
      <x:c r="F1026" s="37" t="n">
        <x:v>0.12475557293703558</x:v>
      </x:c>
      <x:c r="G1026" s="37" t="n">
        <x:v>0.13140398904966757</x:v>
      </x:c>
      <x:c r="H1026" s="56" t="n">
        <x:v>5404.5</x:v>
      </x:c>
      <x:c r="I1026" s="56" t="n">
        <x:v>1.026</x:v>
      </x:c>
      <x:c r="J1026" s="56" t="n">
        <x:v>16.038720011266747</x:v>
      </x:c>
      <x:c r="K1026" s="56" t="n">
        <x:v>54.05808001690012</x:v>
      </x:c>
      <x:c r="L1026" s="56" t="n">
        <x:v>79.36868573842875</x:v>
      </x:c>
    </x:row>
    <x:row r="1027" ht="32.400001525878906" hidden="0" customHeight="1">
      <x:c r="A1027" s="29" t="str">
        <x:v>Harris County, Texas</x:v>
      </x:c>
      <x:c r="B1027" s="29" t="str">
        <x:v>48201552502</x:v>
      </x:c>
      <x:c r="C1027" s="51" t="n">
        <x:v>6384</x:v>
      </x:c>
      <x:c r="D1027" s="51" t="n">
        <x:v>952</x:v>
      </x:c>
      <x:c r="E1027" s="51" t="n">
        <x:v>21</x:v>
      </x:c>
      <x:c r="F1027" s="38" t="n">
        <x:v>0.14912280701754385</x:v>
      </x:c>
      <x:c r="G1027" s="38" t="n">
        <x:v>0.003289473684210526</x:v>
      </x:c>
      <x:c r="H1027" s="57" t="n">
        <x:v>6719.3</x:v>
      </x:c>
      <x:c r="I1027" s="57" t="n">
        <x:v>1.085</x:v>
      </x:c>
      <x:c r="J1027" s="57" t="n">
        <x:v>17.063251753441328</x:v>
      </x:c>
      <x:c r="K1027" s="57" t="n">
        <x:v>55.59487763016199</x:v>
      </x:c>
      <x:c r="L1027" s="57" t="n">
        <x:v>81.56411090023141</x:v>
      </x:c>
    </x:row>
    <x:row r="1028" ht="32.400001525878906" hidden="0" customHeight="1">
      <x:c r="A1028" s="27" t="str">
        <x:v>Harris County, Texas</x:v>
      </x:c>
      <x:c r="B1028" s="27" t="str">
        <x:v>48201552602</x:v>
      </x:c>
      <x:c r="C1028" s="50" t="n">
        <x:v>7901</x:v>
      </x:c>
      <x:c r="D1028" s="50" t="n">
        <x:v>864</x:v>
      </x:c>
      <x:c r="E1028" s="50" t="n">
        <x:v>353.5</x:v>
      </x:c>
      <x:c r="F1028" s="37" t="n">
        <x:v>0.10935324642450323</x:v>
      </x:c>
      <x:c r="G1028" s="37" t="n">
        <x:v>0.044741172003543855</x:v>
      </x:c>
      <x:c r="H1028" s="56" t="n">
        <x:v>8238.75</x:v>
      </x:c>
      <x:c r="I1028" s="56" t="n">
        <x:v>2.013</x:v>
      </x:c>
      <x:c r="J1028" s="56" t="n">
        <x:v>16.95999341081937</x:v>
      </x:c>
      <x:c r="K1028" s="56" t="n">
        <x:v>55.439990116229055</x:v>
      </x:c>
      <x:c r="L1028" s="56" t="n">
        <x:v>81.34284302318436</x:v>
      </x:c>
    </x:row>
    <x:row r="1029" ht="32.400001525878906" hidden="0" customHeight="1">
      <x:c r="A1029" s="29" t="str">
        <x:v>Harris County, Texas</x:v>
      </x:c>
      <x:c r="B1029" s="29" t="str">
        <x:v>48201552603</x:v>
      </x:c>
      <x:c r="C1029" s="51" t="n">
        <x:v>5552</x:v>
      </x:c>
      <x:c r="D1029" s="51" t="n">
        <x:v>414</x:v>
      </x:c>
      <x:c r="E1029" s="51" t="n">
        <x:v>307.5</x:v>
      </x:c>
      <x:c r="F1029" s="38" t="n">
        <x:v>0.07456772334293948</x:v>
      </x:c>
      <x:c r="G1029" s="38" t="n">
        <x:v>0.05538544668587896</x:v>
      </x:c>
      <x:c r="H1029" s="57" t="n">
        <x:v>5727.65</x:v>
      </x:c>
      <x:c r="I1029" s="57" t="n">
        <x:v>0.558</x:v>
      </x:c>
      <x:c r="J1029" s="57" t="n">
        <x:v>19.13469170003672</x:v>
      </x:c>
      <x:c r="K1029" s="57" t="n">
        <x:v>58.702037550055074</x:v>
      </x:c>
      <x:c r="L1029" s="57" t="n">
        <x:v>86.00291078579296</x:v>
      </x:c>
    </x:row>
    <x:row r="1030" ht="32.400001525878906" hidden="0" customHeight="1">
      <x:c r="A1030" s="27" t="str">
        <x:v>Harris County, Texas</x:v>
      </x:c>
      <x:c r="B1030" s="27" t="str">
        <x:v>48201552604</x:v>
      </x:c>
      <x:c r="C1030" s="50" t="n">
        <x:v>3025</x:v>
      </x:c>
      <x:c r="D1030" s="50" t="n">
        <x:v>269</x:v>
      </x:c>
      <x:c r="E1030" s="50" t="n">
        <x:v>84</x:v>
      </x:c>
      <x:c r="F1030" s="37" t="n">
        <x:v>0.08892561983471074</x:v>
      </x:c>
      <x:c r="G1030" s="37" t="n">
        <x:v>0.027768595041322314</x:v>
      </x:c>
      <x:c r="H1030" s="56" t="n">
        <x:v>3127.55</x:v>
      </x:c>
      <x:c r="I1030" s="56" t="n">
        <x:v>0.57</x:v>
      </x:c>
      <x:c r="J1030" s="56" t="n">
        <x:v>17.0326510009416</x:v>
      </x:c>
      <x:c r="K1030" s="56" t="n">
        <x:v>55.5489765014124</x:v>
      </x:c>
      <x:c r="L1030" s="56" t="n">
        <x:v>81.49853785916056</x:v>
      </x:c>
    </x:row>
    <x:row r="1031" ht="32.400001525878906" hidden="0" customHeight="1">
      <x:c r="A1031" s="29" t="str">
        <x:v>Harris County, Texas</x:v>
      </x:c>
      <x:c r="B1031" s="29" t="str">
        <x:v>48201552701</x:v>
      </x:c>
      <x:c r="C1031" s="51" t="n">
        <x:v>3164</x:v>
      </x:c>
      <x:c r="D1031" s="51" t="n">
        <x:v>304</x:v>
      </x:c>
      <x:c r="E1031" s="51" t="n">
        <x:v>218</x:v>
      </x:c>
      <x:c r="F1031" s="38" t="n">
        <x:v>0.09608091024020228</x:v>
      </x:c>
      <x:c r="G1031" s="38" t="n">
        <x:v>0.06890012642225031</x:v>
      </x:c>
      <x:c r="H1031" s="57" t="n">
        <x:v>3292.2000000000007</x:v>
      </x:c>
      <x:c r="I1031" s="57" t="n">
        <x:v>0.808</x:v>
      </x:c>
      <x:c r="J1031" s="57" t="n">
        <x:v>20.464280431562063</x:v>
      </x:c>
      <x:c r="K1031" s="57" t="n">
        <x:v>60.69642064734309</x:v>
      </x:c>
      <x:c r="L1031" s="57" t="n">
        <x:v>88.85202949620441</x:v>
      </x:c>
    </x:row>
    <x:row r="1032" ht="32.400001525878906" hidden="0" customHeight="1">
      <x:c r="A1032" s="27" t="str">
        <x:v>Harris County, Texas</x:v>
      </x:c>
      <x:c r="B1032" s="27" t="str">
        <x:v>48201552702</x:v>
      </x:c>
      <x:c r="C1032" s="50" t="n">
        <x:v>6008</x:v>
      </x:c>
      <x:c r="D1032" s="50" t="n">
        <x:v>804</x:v>
      </x:c>
      <x:c r="E1032" s="50" t="n">
        <x:v>190</x:v>
      </x:c>
      <x:c r="F1032" s="37" t="n">
        <x:v>0.13382157123834887</x:v>
      </x:c>
      <x:c r="G1032" s="37" t="n">
        <x:v>0.03162450066577896</x:v>
      </x:c>
      <x:c r="H1032" s="56" t="n">
        <x:v>6308.400000000001</x:v>
      </x:c>
      <x:c r="I1032" s="56" t="n">
        <x:v>1.11</x:v>
      </x:c>
      <x:c r="J1032" s="56" t="n">
        <x:v>19.637734018557797</x:v>
      </x:c>
      <x:c r="K1032" s="56" t="n">
        <x:v>59.4566010278367</x:v>
      </x:c>
      <x:c r="L1032" s="56" t="n">
        <x:v>87.08085861119528</x:v>
      </x:c>
    </x:row>
    <x:row r="1033" ht="32.400001525878906" hidden="0" customHeight="1">
      <x:c r="A1033" s="29" t="str">
        <x:v>Harris County, Texas</x:v>
      </x:c>
      <x:c r="B1033" s="29" t="str">
        <x:v>48201552801</x:v>
      </x:c>
      <x:c r="C1033" s="51" t="n">
        <x:v>5307</x:v>
      </x:c>
      <x:c r="D1033" s="51" t="n">
        <x:v>708</x:v>
      </x:c>
      <x:c r="E1033" s="51" t="n">
        <x:v>59</x:v>
      </x:c>
      <x:c r="F1033" s="38" t="n">
        <x:v>0.13340870548332392</x:v>
      </x:c>
      <x:c r="G1033" s="38" t="n">
        <x:v>0.011117392123610325</x:v>
      </x:c>
      <x:c r="H1033" s="57" t="n">
        <x:v>5560.699999999999</x:v>
      </x:c>
      <x:c r="I1033" s="57" t="n">
        <x:v>1.385</x:v>
      </x:c>
      <x:c r="J1033" s="57" t="n">
        <x:v>22.425556078351928</x:v>
      </x:c>
      <x:c r="K1033" s="57" t="n">
        <x:v>63.63833411752789</x:v>
      </x:c>
      <x:c r="L1033" s="57" t="n">
        <x:v>93.05476302503985</x:v>
      </x:c>
    </x:row>
    <x:row r="1034" ht="32.400001525878906" hidden="0" customHeight="1">
      <x:c r="A1034" s="27" t="str">
        <x:v>Harris County, Texas</x:v>
      </x:c>
      <x:c r="B1034" s="27" t="str">
        <x:v>48201552802</x:v>
      </x:c>
      <x:c r="C1034" s="50" t="n">
        <x:v>4051</x:v>
      </x:c>
      <x:c r="D1034" s="50" t="n">
        <x:v>307</x:v>
      </x:c>
      <x:c r="E1034" s="50" t="n">
        <x:v>80</x:v>
      </x:c>
      <x:c r="F1034" s="37" t="n">
        <x:v>0.07578375709701309</x:v>
      </x:c>
      <x:c r="G1034" s="37" t="n">
        <x:v>0.01974821031843989</x:v>
      </x:c>
      <x:c r="H1034" s="56" t="n">
        <x:v>4166.450000000001</x:v>
      </x:c>
      <x:c r="I1034" s="56" t="n">
        <x:v>1.1</x:v>
      </x:c>
      <x:c r="J1034" s="56" t="n">
        <x:v>22.94143307117418</x:v>
      </x:c>
      <x:c r="K1034" s="56" t="n">
        <x:v>64.41214960676128</x:v>
      </x:c>
      <x:c r="L1034" s="56" t="n">
        <x:v>94.16021372394468</x:v>
      </x:c>
    </x:row>
    <x:row r="1035" ht="32.400001525878906" hidden="0" customHeight="1">
      <x:c r="A1035" s="29" t="str">
        <x:v>Harris County, Texas</x:v>
      </x:c>
      <x:c r="B1035" s="29" t="str">
        <x:v>48201552901</x:v>
      </x:c>
      <x:c r="C1035" s="51" t="n">
        <x:v>5079</x:v>
      </x:c>
      <x:c r="D1035" s="51" t="n">
        <x:v>478</x:v>
      </x:c>
      <x:c r="E1035" s="51" t="n">
        <x:v>22</x:v>
      </x:c>
      <x:c r="F1035" s="38" t="n">
        <x:v>0.09411301437290805</x:v>
      </x:c>
      <x:c r="G1035" s="38" t="n">
        <x:v>0.0043315613309706635</x:v>
      </x:c>
      <x:c r="H1035" s="57" t="n">
        <x:v>5248.5</x:v>
      </x:c>
      <x:c r="I1035" s="57" t="n">
        <x:v>0.749</x:v>
      </x:c>
      <x:c r="J1035" s="57" t="n">
        <x:v>22.68392898998203</x:v>
      </x:c>
      <x:c r="K1035" s="57" t="n">
        <x:v>64.02589348497304</x:v>
      </x:c>
      <x:c r="L1035" s="57" t="n">
        <x:v>93.6084192642472</x:v>
      </x:c>
    </x:row>
    <x:row r="1036" ht="32.400001525878906" hidden="0" customHeight="1">
      <x:c r="A1036" s="27" t="str">
        <x:v>Harris County, Texas</x:v>
      </x:c>
      <x:c r="B1036" s="27" t="str">
        <x:v>48201552902</x:v>
      </x:c>
      <x:c r="C1036" s="50" t="n">
        <x:v>5286</x:v>
      </x:c>
      <x:c r="D1036" s="50" t="n">
        <x:v>649</x:v>
      </x:c>
      <x:c r="E1036" s="50" t="n">
        <x:v>97</x:v>
      </x:c>
      <x:c r="F1036" s="37" t="n">
        <x:v>0.12277714718123345</x:v>
      </x:c>
      <x:c r="G1036" s="37" t="n">
        <x:v>0.01835035944003027</x:v>
      </x:c>
      <x:c r="H1036" s="56" t="n">
        <x:v>5522.8499999999985</x:v>
      </x:c>
      <x:c r="I1036" s="56" t="n">
        <x:v>1.116</x:v>
      </x:c>
      <x:c r="J1036" s="56" t="n">
        <x:v>22.075940429873178</x:v>
      </x:c>
      <x:c r="K1036" s="56" t="n">
        <x:v>63.11391064480976</x:v>
      </x:c>
      <x:c r="L1036" s="56" t="n">
        <x:v>92.30558663544252</x:v>
      </x:c>
    </x:row>
    <x:row r="1037" ht="32.400001525878906" hidden="0" customHeight="1">
      <x:c r="A1037" s="29" t="str">
        <x:v>Harris County, Texas</x:v>
      </x:c>
      <x:c r="B1037" s="29" t="str">
        <x:v>48201553001</x:v>
      </x:c>
      <x:c r="C1037" s="51" t="n">
        <x:v>7211</x:v>
      </x:c>
      <x:c r="D1037" s="51" t="n">
        <x:v>772</x:v>
      </x:c>
      <x:c r="E1037" s="51" t="n">
        <x:v>36</x:v>
      </x:c>
      <x:c r="F1037" s="38" t="n">
        <x:v>0.10705866037997504</x:v>
      </x:c>
      <x:c r="G1037" s="38" t="n">
        <x:v>0.0049923727638330325</x:v>
      </x:c>
      <x:c r="H1037" s="57" t="n">
        <x:v>7484.799999999999</x:v>
      </x:c>
      <x:c r="I1037" s="57" t="n">
        <x:v>1.807</x:v>
      </x:c>
      <x:c r="J1037" s="57" t="n">
        <x:v>22.145620966920113</x:v>
      </x:c>
      <x:c r="K1037" s="57" t="n">
        <x:v>63.21843145038017</x:v>
      </x:c>
      <x:c r="L1037" s="57" t="n">
        <x:v>92.45490207197167</x:v>
      </x:c>
    </x:row>
    <x:row r="1038" ht="32.400001525878906" hidden="0" customHeight="1">
      <x:c r="A1038" s="27" t="str">
        <x:v>Harris County, Texas</x:v>
      </x:c>
      <x:c r="B1038" s="27" t="str">
        <x:v>48201553002</x:v>
      </x:c>
      <x:c r="C1038" s="50" t="n">
        <x:v>4832</x:v>
      </x:c>
      <x:c r="D1038" s="50" t="n">
        <x:v>343</x:v>
      </x:c>
      <x:c r="E1038" s="50" t="n">
        <x:v>43</x:v>
      </x:c>
      <x:c r="F1038" s="37" t="n">
        <x:v>0.07098509933774834</x:v>
      </x:c>
      <x:c r="G1038" s="37" t="n">
        <x:v>0.008899006622516557</x:v>
      </x:c>
      <x:c r="H1038" s="56" t="n">
        <x:v>4956.349999999999</x:v>
      </x:c>
      <x:c r="I1038" s="56" t="n">
        <x:v>1.759</x:v>
      </x:c>
      <x:c r="J1038" s="56" t="n">
        <x:v>21.66196720806187</x:v>
      </x:c>
      <x:c r="K1038" s="56" t="n">
        <x:v>62.49295081209281</x:v>
      </x:c>
      <x:c r="L1038" s="56" t="n">
        <x:v>91.41850116013258</x:v>
      </x:c>
    </x:row>
    <x:row r="1039" ht="32.400001525878906" hidden="0" customHeight="1">
      <x:c r="A1039" s="29" t="str">
        <x:v>Harris County, Texas</x:v>
      </x:c>
      <x:c r="B1039" s="29" t="str">
        <x:v>48201553101</x:v>
      </x:c>
      <x:c r="C1039" s="51" t="n">
        <x:v>3491</x:v>
      </x:c>
      <x:c r="D1039" s="51" t="n">
        <x:v>368</x:v>
      </x:c>
      <x:c r="E1039" s="51" t="n">
        <x:v>53</x:v>
      </x:c>
      <x:c r="F1039" s="38" t="n">
        <x:v>0.10541392151246061</x:v>
      </x:c>
      <x:c r="G1039" s="38" t="n">
        <x:v>0.01518189630478373</x:v>
      </x:c>
      <x:c r="H1039" s="57" t="n">
        <x:v>3625.1</x:v>
      </x:c>
      <x:c r="I1039" s="57" t="n">
        <x:v>0.721</x:v>
      </x:c>
      <x:c r="J1039" s="57" t="n">
        <x:v>21.59445710307102</x:v>
      </x:c>
      <x:c r="K1039" s="57" t="n">
        <x:v>62.391685654606526</x:v>
      </x:c>
      <x:c r="L1039" s="57" t="n">
        <x:v>91.2738366494379</x:v>
      </x:c>
    </x:row>
    <x:row r="1040" ht="32.400001525878906" hidden="0" customHeight="1">
      <x:c r="A1040" s="27" t="str">
        <x:v>Harris County, Texas</x:v>
      </x:c>
      <x:c r="B1040" s="27" t="str">
        <x:v>48201553102</x:v>
      </x:c>
      <x:c r="C1040" s="50" t="n">
        <x:v>5005</x:v>
      </x:c>
      <x:c r="D1040" s="50" t="n">
        <x:v>798</x:v>
      </x:c>
      <x:c r="E1040" s="50" t="n">
        <x:v>137</x:v>
      </x:c>
      <x:c r="F1040" s="37" t="n">
        <x:v>0.15944055944055943</x:v>
      </x:c>
      <x:c r="G1040" s="37" t="n">
        <x:v>0.027372627372627373</x:v>
      </x:c>
      <x:c r="H1040" s="56" t="n">
        <x:v>5298</x:v>
      </x:c>
      <x:c r="I1040" s="56" t="n">
        <x:v>0.582</x:v>
      </x:c>
      <x:c r="J1040" s="56" t="n">
        <x:v>22.891744828335227</x:v>
      </x:c>
      <x:c r="K1040" s="56" t="n">
        <x:v>64.33761724250284</x:v>
      </x:c>
      <x:c r="L1040" s="56" t="n">
        <x:v>94.05373891786121</x:v>
      </x:c>
    </x:row>
    <x:row r="1041" ht="32.400001525878906" hidden="0" customHeight="1">
      <x:c r="A1041" s="29" t="str">
        <x:v>Harris County, Texas</x:v>
      </x:c>
      <x:c r="B1041" s="29" t="str">
        <x:v>48201553201</x:v>
      </x:c>
      <x:c r="C1041" s="51" t="n">
        <x:v>2545</x:v>
      </x:c>
      <x:c r="D1041" s="51" t="n">
        <x:v>296</x:v>
      </x:c>
      <x:c r="E1041" s="51" t="n">
        <x:v>45</x:v>
      </x:c>
      <x:c r="F1041" s="38" t="n">
        <x:v>0.11630648330058939</x:v>
      </x:c>
      <x:c r="G1041" s="38" t="n">
        <x:v>0.01768172888015717</x:v>
      </x:c>
      <x:c r="H1041" s="57" t="n">
        <x:v>2653.1000000000004</x:v>
      </x:c>
      <x:c r="I1041" s="57" t="n">
        <x:v>0.888</x:v>
      </x:c>
      <x:c r="J1041" s="57" t="n">
        <x:v>22.70823095794293</x:v>
      </x:c>
      <x:c r="K1041" s="57" t="n">
        <x:v>64.0623464369144</x:v>
      </x:c>
      <x:c r="L1041" s="57" t="n">
        <x:v>93.66049490987771</x:v>
      </x:c>
    </x:row>
    <x:row r="1042" ht="32.400001525878906" hidden="0" customHeight="1">
      <x:c r="A1042" s="27" t="str">
        <x:v>Harris County, Texas</x:v>
      </x:c>
      <x:c r="B1042" s="27" t="str">
        <x:v>48201553202</x:v>
      </x:c>
      <x:c r="C1042" s="50" t="n">
        <x:v>4728</x:v>
      </x:c>
      <x:c r="D1042" s="50" t="n">
        <x:v>394</x:v>
      </x:c>
      <x:c r="E1042" s="50" t="n">
        <x:v>457</x:v>
      </x:c>
      <x:c r="F1042" s="37" t="n">
        <x:v>0.08333333333333333</x:v>
      </x:c>
      <x:c r="G1042" s="37" t="n">
        <x:v>0.09665820642978003</x:v>
      </x:c>
      <x:c r="H1042" s="56" t="n">
        <x:v>4911.599999999999</x:v>
      </x:c>
      <x:c r="I1042" s="56" t="n">
        <x:v>0.741</x:v>
      </x:c>
      <x:c r="J1042" s="56" t="n">
        <x:v>22.231756150150964</x:v>
      </x:c>
      <x:c r="K1042" s="56" t="n">
        <x:v>63.34763422522645</x:v>
      </x:c>
      <x:c r="L1042" s="56" t="n">
        <x:v>92.63947746460921</x:v>
      </x:c>
    </x:row>
    <x:row r="1043" ht="32.400001525878906" hidden="0" customHeight="1">
      <x:c r="A1043" s="29" t="str">
        <x:v>Harris County, Texas</x:v>
      </x:c>
      <x:c r="B1043" s="29" t="str">
        <x:v>48201553300</x:v>
      </x:c>
      <x:c r="C1043" s="51" t="n">
        <x:v>3755</x:v>
      </x:c>
      <x:c r="D1043" s="51" t="n">
        <x:v>453</x:v>
      </x:c>
      <x:c r="E1043" s="51" t="n">
        <x:v>245</x:v>
      </x:c>
      <x:c r="F1043" s="38" t="n">
        <x:v>0.12063914780292943</x:v>
      </x:c>
      <x:c r="G1043" s="38" t="n">
        <x:v>0.06524633821571238</x:v>
      </x:c>
      <x:c r="H1043" s="57" t="n">
        <x:v>3938.0499999999993</x:v>
      </x:c>
      <x:c r="I1043" s="57" t="n">
        <x:v>0.53</x:v>
      </x:c>
      <x:c r="J1043" s="57" t="n">
        <x:v>23.891428190232492</x:v>
      </x:c>
      <x:c r="K1043" s="57" t="n">
        <x:v>65.83714228534873</x:v>
      </x:c>
      <x:c r="L1043" s="57" t="n">
        <x:v>96.1959175504982</x:v>
      </x:c>
    </x:row>
    <x:row r="1044" ht="32.400001525878906" hidden="0" customHeight="1">
      <x:c r="A1044" s="27" t="str">
        <x:v>Harris County, Texas</x:v>
      </x:c>
      <x:c r="B1044" s="27" t="str">
        <x:v>48201553401</x:v>
      </x:c>
      <x:c r="C1044" s="50" t="n">
        <x:v>4462</x:v>
      </x:c>
      <x:c r="D1044" s="50" t="n">
        <x:v>630</x:v>
      </x:c>
      <x:c r="E1044" s="50" t="n">
        <x:v>130.5</x:v>
      </x:c>
      <x:c r="F1044" s="37" t="n">
        <x:v>0.14119229045271178</x:v>
      </x:c>
      <x:c r="G1044" s="37" t="n">
        <x:v>0.02924697445091887</x:v>
      </x:c>
      <x:c r="H1044" s="56" t="n">
        <x:v>4695.55</x:v>
      </x:c>
      <x:c r="I1044" s="56" t="n">
        <x:v>1.413</x:v>
      </x:c>
      <x:c r="J1044" s="56" t="n">
        <x:v>21.462737597783715</x:v>
      </x:c>
      <x:c r="K1044" s="56" t="n">
        <x:v>62.19410639667557</x:v>
      </x:c>
      <x:c r="L1044" s="56" t="n">
        <x:v>90.99158056667939</x:v>
      </x:c>
    </x:row>
    <x:row r="1045" ht="32.400001525878906" hidden="0" customHeight="1">
      <x:c r="A1045" s="29" t="str">
        <x:v>Harris County, Texas</x:v>
      </x:c>
      <x:c r="B1045" s="29" t="str">
        <x:v>48201553403</x:v>
      </x:c>
      <x:c r="C1045" s="51" t="n">
        <x:v>8462</x:v>
      </x:c>
      <x:c r="D1045" s="51" t="n">
        <x:v>942</x:v>
      </x:c>
      <x:c r="E1045" s="51" t="n">
        <x:v>185</x:v>
      </x:c>
      <x:c r="F1045" s="38" t="n">
        <x:v>0.11132120066178208</x:v>
      </x:c>
      <x:c r="G1045" s="38" t="n">
        <x:v>0.02186244386669818</x:v>
      </x:c>
      <x:c r="H1045" s="57" t="n">
        <x:v>8810.199999999999</x:v>
      </x:c>
      <x:c r="I1045" s="57" t="n">
        <x:v>2.567</x:v>
      </x:c>
      <x:c r="J1045" s="57" t="n">
        <x:v>17.888721102993447</x:v>
      </x:c>
      <x:c r="K1045" s="57" t="n">
        <x:v>56.83308165449017</x:v>
      </x:c>
      <x:c r="L1045" s="57" t="n">
        <x:v>83.33297379212883</x:v>
      </x:c>
    </x:row>
    <x:row r="1046" ht="32.400001525878906" hidden="0" customHeight="1">
      <x:c r="A1046" s="27" t="str">
        <x:v>Harris County, Texas</x:v>
      </x:c>
      <x:c r="B1046" s="27" t="str">
        <x:v>48201553404</x:v>
      </x:c>
      <x:c r="C1046" s="50" t="n">
        <x:v>3489</x:v>
      </x:c>
      <x:c r="D1046" s="50" t="n">
        <x:v>439</x:v>
      </x:c>
      <x:c r="E1046" s="50" t="n">
        <x:v>27</x:v>
      </x:c>
      <x:c r="F1046" s="37" t="n">
        <x:v>0.12582401834336487</x:v>
      </x:c>
      <x:c r="G1046" s="37" t="n">
        <x:v>0.007738607050730868</x:v>
      </x:c>
      <x:c r="H1046" s="56" t="n">
        <x:v>3645.3500000000004</x:v>
      </x:c>
      <x:c r="I1046" s="56" t="n">
        <x:v>0.779</x:v>
      </x:c>
      <x:c r="J1046" s="56" t="n">
        <x:v>19.205706365719447</x:v>
      </x:c>
      <x:c r="K1046" s="56" t="n">
        <x:v>58.80855954857917</x:v>
      </x:c>
      <x:c r="L1046" s="56" t="n">
        <x:v>86.15508506939881</x:v>
      </x:c>
    </x:row>
    <x:row r="1047" ht="32.400001525878906" hidden="0" customHeight="1">
      <x:c r="A1047" s="29" t="str">
        <x:v>Harris County, Texas</x:v>
      </x:c>
      <x:c r="B1047" s="29" t="str">
        <x:v>48201553405</x:v>
      </x:c>
      <x:c r="C1047" s="51" t="n">
        <x:v>6518</x:v>
      </x:c>
      <x:c r="D1047" s="51" t="n">
        <x:v>905</x:v>
      </x:c>
      <x:c r="E1047" s="51" t="n">
        <x:v>17</x:v>
      </x:c>
      <x:c r="F1047" s="38" t="n">
        <x:v>0.1388462718625345</x:v>
      </x:c>
      <x:c r="G1047" s="38" t="n">
        <x:v>0.002608162012887389</x:v>
      </x:c>
      <x:c r="H1047" s="57" t="n">
        <x:v>6836.450000000001</x:v>
      </x:c>
      <x:c r="I1047" s="57" t="n">
        <x:v>1.277</x:v>
      </x:c>
      <x:c r="J1047" s="57" t="n">
        <x:v>19.762846767321424</x:v>
      </x:c>
      <x:c r="K1047" s="57" t="n">
        <x:v>59.64427015098214</x:v>
      </x:c>
      <x:c r="L1047" s="57" t="n">
        <x:v>87.3489573585459</x:v>
      </x:c>
    </x:row>
    <x:row r="1048" ht="32.400001525878906" hidden="0" customHeight="1">
      <x:c r="A1048" s="27" t="str">
        <x:v>Harris County, Texas</x:v>
      </x:c>
      <x:c r="B1048" s="27" t="str">
        <x:v>48201553500</x:v>
      </x:c>
      <x:c r="C1048" s="50" t="n">
        <x:v>7369</x:v>
      </x:c>
      <x:c r="D1048" s="50" t="n">
        <x:v>775</x:v>
      </x:c>
      <x:c r="E1048" s="50" t="n">
        <x:v>180</x:v>
      </x:c>
      <x:c r="F1048" s="37" t="n">
        <x:v>0.10517030804722487</x:v>
      </x:c>
      <x:c r="G1048" s="37" t="n">
        <x:v>0.024426652191613517</x:v>
      </x:c>
      <x:c r="H1048" s="56" t="n">
        <x:v>7658.250000000001</x:v>
      </x:c>
      <x:c r="I1048" s="56" t="n">
        <x:v>1.367</x:v>
      </x:c>
      <x:c r="J1048" s="56" t="n">
        <x:v>19.0086239619414</x:v>
      </x:c>
      <x:c r="K1048" s="56" t="n">
        <x:v>58.5129359429121</x:v>
      </x:c>
      <x:c r="L1048" s="56" t="n">
        <x:v>85.73276563273157</x:v>
      </x:c>
    </x:row>
    <x:row r="1049" ht="32.400001525878906" hidden="0" customHeight="1">
      <x:c r="A1049" s="29" t="str">
        <x:v>Harris County, Texas</x:v>
      </x:c>
      <x:c r="B1049" s="29" t="str">
        <x:v>48201553601</x:v>
      </x:c>
      <x:c r="C1049" s="51" t="n">
        <x:v>5127</x:v>
      </x:c>
      <x:c r="D1049" s="51" t="n">
        <x:v>443</x:v>
      </x:c>
      <x:c r="E1049" s="51" t="n">
        <x:v>181</x:v>
      </x:c>
      <x:c r="F1049" s="38" t="n">
        <x:v>0.08640530524673298</x:v>
      </x:c>
      <x:c r="G1049" s="38" t="n">
        <x:v>0.035303296274624536</x:v>
      </x:c>
      <x:c r="H1049" s="57" t="n">
        <x:v>5300.15</x:v>
      </x:c>
      <x:c r="I1049" s="57" t="n">
        <x:v>1.14</x:v>
      </x:c>
      <x:c r="J1049" s="57" t="n">
        <x:v>18.48011476322999</x:v>
      </x:c>
      <x:c r="K1049" s="57" t="n">
        <x:v>57.72017214484499</x:v>
      </x:c>
      <x:c r="L1049" s="57" t="n">
        <x:v>84.60024592120712</x:v>
      </x:c>
    </x:row>
    <x:row r="1050" ht="32.400001525878906" hidden="0" customHeight="1">
      <x:c r="A1050" s="27" t="str">
        <x:v>Harris County, Texas</x:v>
      </x:c>
      <x:c r="B1050" s="27" t="str">
        <x:v>48201553602</x:v>
      </x:c>
      <x:c r="C1050" s="50" t="n">
        <x:v>2398</x:v>
      </x:c>
      <x:c r="D1050" s="50" t="n">
        <x:v>421</x:v>
      </x:c>
      <x:c r="E1050" s="50" t="n">
        <x:v>158</x:v>
      </x:c>
      <x:c r="F1050" s="37" t="n">
        <x:v>0.1755629691409508</x:v>
      </x:c>
      <x:c r="G1050" s="37" t="n">
        <x:v>0.0658882402001668</x:v>
      </x:c>
      <x:c r="H1050" s="56" t="n">
        <x:v>2561.15</x:v>
      </x:c>
      <x:c r="I1050" s="56" t="n">
        <x:v>0.718</x:v>
      </x:c>
      <x:c r="J1050" s="56" t="n">
        <x:v>19.09147190961301</x:v>
      </x:c>
      <x:c r="K1050" s="56" t="n">
        <x:v>58.637207864419516</x:v>
      </x:c>
      <x:c r="L1050" s="56" t="n">
        <x:v>85.91029694917074</x:v>
      </x:c>
    </x:row>
    <x:row r="1051" ht="32.400001525878906" hidden="0" customHeight="1">
      <x:c r="A1051" s="29" t="str">
        <x:v>Harris County, Texas</x:v>
      </x:c>
      <x:c r="B1051" s="29" t="str">
        <x:v>48201553700</x:v>
      </x:c>
      <x:c r="C1051" s="51" t="n">
        <x:v>4376</x:v>
      </x:c>
      <x:c r="D1051" s="51" t="n">
        <x:v>556</x:v>
      </x:c>
      <x:c r="E1051" s="51" t="n">
        <x:v>422</x:v>
      </x:c>
      <x:c r="F1051" s="38" t="n">
        <x:v>0.12705667276051189</x:v>
      </x:c>
      <x:c r="G1051" s="38" t="n">
        <x:v>0.09643510054844608</x:v>
      </x:c>
      <x:c r="H1051" s="57" t="n">
        <x:v>4612.8</x:v>
      </x:c>
      <x:c r="I1051" s="57" t="n">
        <x:v>1.213</x:v>
      </x:c>
      <x:c r="J1051" s="57" t="n">
        <x:v>19.215363251782193</x:v>
      </x:c>
      <x:c r="K1051" s="57" t="n">
        <x:v>58.82304487767329</x:v>
      </x:c>
      <x:c r="L1051" s="57" t="n">
        <x:v>86.17577839667612</x:v>
      </x:c>
    </x:row>
    <x:row r="1052" ht="32.400001525878906" hidden="0" customHeight="1">
      <x:c r="A1052" s="27" t="str">
        <x:v>Harris County, Texas</x:v>
      </x:c>
      <x:c r="B1052" s="27" t="str">
        <x:v>48201553801</x:v>
      </x:c>
      <x:c r="C1052" s="50" t="n">
        <x:v>2624</x:v>
      </x:c>
      <x:c r="D1052" s="50" t="n">
        <x:v>175</x:v>
      </x:c>
      <x:c r="E1052" s="50" t="n">
        <x:v>40.5</x:v>
      </x:c>
      <x:c r="F1052" s="37" t="n">
        <x:v>0.06669207317073171</x:v>
      </x:c>
      <x:c r="G1052" s="37" t="n">
        <x:v>0.015434451219512195</x:v>
      </x:c>
      <x:c r="H1052" s="56" t="n">
        <x:v>2689.3</x:v>
      </x:c>
      <x:c r="I1052" s="56" t="n">
        <x:v>1.428</x:v>
      </x:c>
      <x:c r="J1052" s="56" t="n">
        <x:v>15.74459663672978</x:v>
      </x:c>
      <x:c r="K1052" s="56" t="n">
        <x:v>53.61689495509467</x:v>
      </x:c>
      <x:c r="L1052" s="56" t="n">
        <x:v>78.73842136442096</x:v>
      </x:c>
    </x:row>
    <x:row r="1053" ht="32.400001525878906" hidden="0" customHeight="1">
      <x:c r="A1053" s="29" t="str">
        <x:v>Harris County, Texas</x:v>
      </x:c>
      <x:c r="B1053" s="29" t="str">
        <x:v>48201553803</x:v>
      </x:c>
      <x:c r="C1053" s="51" t="n">
        <x:v>4828</x:v>
      </x:c>
      <x:c r="D1053" s="51" t="n">
        <x:v>667</x:v>
      </x:c>
      <x:c r="E1053" s="51" t="n">
        <x:v>12</x:v>
      </x:c>
      <x:c r="F1053" s="38" t="n">
        <x:v>0.13815244407622204</x:v>
      </x:c>
      <x:c r="G1053" s="38" t="n">
        <x:v>0.0024855012427506215</x:v>
      </x:c>
      <x:c r="H1053" s="57" t="n">
        <x:v>5062.65</x:v>
      </x:c>
      <x:c r="I1053" s="57" t="n">
        <x:v>1.031</x:v>
      </x:c>
      <x:c r="J1053" s="57" t="n">
        <x:v>15.965908173285348</x:v>
      </x:c>
      <x:c r="K1053" s="57" t="n">
        <x:v>53.94886225992802</x:v>
      </x:c>
      <x:c r="L1053" s="57" t="n">
        <x:v>79.21266037132574</x:v>
      </x:c>
    </x:row>
    <x:row r="1054" ht="32.400001525878906" hidden="0" customHeight="1">
      <x:c r="A1054" s="27" t="str">
        <x:v>Harris County, Texas</x:v>
      </x:c>
      <x:c r="B1054" s="27" t="str">
        <x:v>48201553804</x:v>
      </x:c>
      <x:c r="C1054" s="50" t="n">
        <x:v>5826</x:v>
      </x:c>
      <x:c r="D1054" s="50" t="n">
        <x:v>645</x:v>
      </x:c>
      <x:c r="E1054" s="50" t="n">
        <x:v>286.5</x:v>
      </x:c>
      <x:c r="F1054" s="37" t="n">
        <x:v>0.11071060762100927</x:v>
      </x:c>
      <x:c r="G1054" s="37" t="n">
        <x:v>0.04917610710607621</x:v>
      </x:c>
      <x:c r="H1054" s="56" t="n">
        <x:v>6080.4</x:v>
      </x:c>
      <x:c r="I1054" s="56" t="n">
        <x:v>1.054</x:v>
      </x:c>
      <x:c r="J1054" s="56" t="n">
        <x:v>15.17641262692259</x:v>
      </x:c>
      <x:c r="K1054" s="56" t="n">
        <x:v>52.76461894038388</x:v>
      </x:c>
      <x:c r="L1054" s="56" t="n">
        <x:v>77.52088420054841</x:v>
      </x:c>
    </x:row>
    <x:row r="1055" ht="32.400001525878906" hidden="0" customHeight="1">
      <x:c r="A1055" s="29" t="str">
        <x:v>Harris County, Texas</x:v>
      </x:c>
      <x:c r="B1055" s="29" t="str">
        <x:v>48201553901</x:v>
      </x:c>
      <x:c r="C1055" s="51" t="n">
        <x:v>6293</x:v>
      </x:c>
      <x:c r="D1055" s="51" t="n">
        <x:v>423</x:v>
      </x:c>
      <x:c r="E1055" s="51" t="n">
        <x:v>135.5</x:v>
      </x:c>
      <x:c r="F1055" s="38" t="n">
        <x:v>0.06721754330208168</x:v>
      </x:c>
      <x:c r="G1055" s="38" t="n">
        <x:v>0.021531860797711744</x:v>
      </x:c>
      <x:c r="H1055" s="57" t="n">
        <x:v>6454.599999999999</x:v>
      </x:c>
      <x:c r="I1055" s="57" t="n">
        <x:v>1.497</x:v>
      </x:c>
      <x:c r="J1055" s="57" t="n">
        <x:v>15.84198162942233</x:v>
      </x:c>
      <x:c r="K1055" s="57" t="n">
        <x:v>53.762972444133496</x:v>
      </x:c>
      <x:c r="L1055" s="57" t="n">
        <x:v>78.94710349161929</x:v>
      </x:c>
    </x:row>
    <x:row r="1056" ht="32.400001525878906" hidden="0" customHeight="1">
      <x:c r="A1056" s="27" t="str">
        <x:v>Harris County, Texas</x:v>
      </x:c>
      <x:c r="B1056" s="27" t="str">
        <x:v>48201554001</x:v>
      </x:c>
      <x:c r="C1056" s="50" t="n">
        <x:v>3566</x:v>
      </x:c>
      <x:c r="D1056" s="50" t="n">
        <x:v>326</x:v>
      </x:c>
      <x:c r="E1056" s="50" t="n">
        <x:v>191</x:v>
      </x:c>
      <x:c r="F1056" s="37" t="n">
        <x:v>0.09141895681435783</x:v>
      </x:c>
      <x:c r="G1056" s="37" t="n">
        <x:v>0.0535614133482894</x:v>
      </x:c>
      <x:c r="H1056" s="56" t="n">
        <x:v>3699.1999999999994</x:v>
      </x:c>
      <x:c r="I1056" s="56" t="n">
        <x:v>1.292</x:v>
      </x:c>
      <x:c r="J1056" s="56" t="n">
        <x:v>19.525689547909437</x:v>
      </x:c>
      <x:c r="K1056" s="56" t="n">
        <x:v>59.288534321864155</x:v>
      </x:c>
      <x:c r="L1056" s="56" t="n">
        <x:v>86.8407633169488</x:v>
      </x:c>
    </x:row>
    <x:row r="1057" ht="32.400001525878906" hidden="0" customHeight="1">
      <x:c r="A1057" s="29" t="str">
        <x:v>Harris County, Texas</x:v>
      </x:c>
      <x:c r="B1057" s="29" t="str">
        <x:v>48201554002</x:v>
      </x:c>
      <x:c r="C1057" s="51" t="n">
        <x:v>4623</x:v>
      </x:c>
      <x:c r="D1057" s="51" t="n">
        <x:v>327</x:v>
      </x:c>
      <x:c r="E1057" s="51" t="n">
        <x:v>110.5</x:v>
      </x:c>
      <x:c r="F1057" s="38" t="n">
        <x:v>0.07073329007138222</x:v>
      </x:c>
      <x:c r="G1057" s="38" t="n">
        <x:v>0.02390222799048237</x:v>
      </x:c>
      <x:c r="H1057" s="57" t="n">
        <x:v>4748.5</x:v>
      </x:c>
      <x:c r="I1057" s="57" t="n">
        <x:v>1.649</x:v>
      </x:c>
      <x:c r="J1057" s="57" t="n">
        <x:v>20.279506497673882</x:v>
      </x:c>
      <x:c r="K1057" s="57" t="n">
        <x:v>60.419259746510825</x:v>
      </x:c>
      <x:c r="L1057" s="57" t="n">
        <x:v>88.45608535215831</x:v>
      </x:c>
    </x:row>
    <x:row r="1058" ht="32.400001525878906" hidden="0" customHeight="1">
      <x:c r="A1058" s="27" t="str">
        <x:v>Harris County, Texas</x:v>
      </x:c>
      <x:c r="B1058" s="27" t="str">
        <x:v>48201554103</x:v>
      </x:c>
      <x:c r="C1058" s="50" t="n">
        <x:v>5154</x:v>
      </x:c>
      <x:c r="D1058" s="50" t="n">
        <x:v>363</x:v>
      </x:c>
      <x:c r="E1058" s="50" t="n">
        <x:v>77</x:v>
      </x:c>
      <x:c r="F1058" s="37" t="n">
        <x:v>0.07043073341094296</x:v>
      </x:c>
      <x:c r="G1058" s="37" t="n">
        <x:v>0.014939852541715173</x:v>
      </x:c>
      <x:c r="H1058" s="56" t="n">
        <x:v>5288.750000000001</x:v>
      </x:c>
      <x:c r="I1058" s="56" t="n">
        <x:v>1.041</x:v>
      </x:c>
      <x:c r="J1058" s="56" t="n">
        <x:v>18.772561926875913</x:v>
      </x:c>
      <x:c r="K1058" s="56" t="n">
        <x:v>58.15884289031386</x:v>
      </x:c>
      <x:c r="L1058" s="56" t="n">
        <x:v>85.22691841473409</x:v>
      </x:c>
    </x:row>
    <x:row r="1059" ht="32.400001525878906" hidden="0" customHeight="1">
      <x:c r="A1059" s="29" t="str">
        <x:v>Harris County, Texas</x:v>
      </x:c>
      <x:c r="B1059" s="29" t="str">
        <x:v>48201554104</x:v>
      </x:c>
      <x:c r="C1059" s="51" t="n">
        <x:v>4064</x:v>
      </x:c>
      <x:c r="D1059" s="51" t="n">
        <x:v>385</x:v>
      </x:c>
      <x:c r="E1059" s="51" t="n">
        <x:v>16</x:v>
      </x:c>
      <x:c r="F1059" s="38" t="n">
        <x:v>0.09473425196850394</x:v>
      </x:c>
      <x:c r="G1059" s="38" t="n">
        <x:v>0.003937007874015748</x:v>
      </x:c>
      <x:c r="H1059" s="57" t="n">
        <x:v>4200.349999999999</x:v>
      </x:c>
      <x:c r="I1059" s="57" t="n">
        <x:v>0.698</x:v>
      </x:c>
      <x:c r="J1059" s="57" t="n">
        <x:v>17.02103887963589</x:v>
      </x:c>
      <x:c r="K1059" s="57" t="n">
        <x:v>55.531558319453836</x:v>
      </x:c>
      <x:c r="L1059" s="57" t="n">
        <x:v>81.4736547420769</x:v>
      </x:c>
    </x:row>
    <x:row r="1060" ht="32.400001525878906" hidden="0" customHeight="1">
      <x:c r="A1060" s="27" t="str">
        <x:v>Harris County, Texas</x:v>
      </x:c>
      <x:c r="B1060" s="27" t="str">
        <x:v>48201554201</x:v>
      </x:c>
      <x:c r="C1060" s="50" t="n">
        <x:v>6498</x:v>
      </x:c>
      <x:c r="D1060" s="50" t="n">
        <x:v>610</x:v>
      </x:c>
      <x:c r="E1060" s="50" t="n">
        <x:v>334</x:v>
      </x:c>
      <x:c r="F1060" s="37" t="n">
        <x:v>0.09387503847337643</x:v>
      </x:c>
      <x:c r="G1060" s="37" t="n">
        <x:v>0.051400430901815945</x:v>
      </x:c>
      <x:c r="H1060" s="56" t="n">
        <x:v>6744.9</x:v>
      </x:c>
      <x:c r="I1060" s="56" t="n">
        <x:v>1.097</x:v>
      </x:c>
      <x:c r="J1060" s="56" t="n">
        <x:v>19.813698300660715</x:v>
      </x:c>
      <x:c r="K1060" s="56" t="n">
        <x:v>59.72054745099108</x:v>
      </x:c>
      <x:c r="L1060" s="56" t="n">
        <x:v>87.45792492998726</x:v>
      </x:c>
    </x:row>
    <x:row r="1061" ht="32.400001525878906" hidden="0" customHeight="1">
      <x:c r="A1061" s="29" t="str">
        <x:v>Harris County, Texas</x:v>
      </x:c>
      <x:c r="B1061" s="29" t="str">
        <x:v>48201554202</x:v>
      </x:c>
      <x:c r="C1061" s="51" t="n">
        <x:v>3163</x:v>
      </x:c>
      <x:c r="D1061" s="51" t="n">
        <x:v>465</x:v>
      </x:c>
      <x:c r="E1061" s="51" t="n">
        <x:v>136</x:v>
      </x:c>
      <x:c r="F1061" s="38" t="n">
        <x:v>0.14701233006639267</x:v>
      </x:c>
      <x:c r="G1061" s="38" t="n">
        <x:v>0.04299715460006323</x:v>
      </x:c>
      <x:c r="H1061" s="57" t="n">
        <x:v>3339.3500000000004</x:v>
      </x:c>
      <x:c r="I1061" s="57" t="n">
        <x:v>1.608</x:v>
      </x:c>
      <x:c r="J1061" s="57" t="n">
        <x:v>18.85537026281126</x:v>
      </x:c>
      <x:c r="K1061" s="57" t="n">
        <x:v>58.28305539421689</x:v>
      </x:c>
      <x:c r="L1061" s="57" t="n">
        <x:v>85.40436484888127</x:v>
      </x:c>
    </x:row>
    <x:row r="1062" ht="32.400001525878906" hidden="0" customHeight="1">
      <x:c r="A1062" s="27" t="str">
        <x:v>Harris County, Texas</x:v>
      </x:c>
      <x:c r="B1062" s="27" t="str">
        <x:v>48201554301</x:v>
      </x:c>
      <x:c r="C1062" s="50" t="n">
        <x:v>7922</x:v>
      </x:c>
      <x:c r="D1062" s="50" t="n">
        <x:v>980</x:v>
      </x:c>
      <x:c r="E1062" s="50" t="n">
        <x:v>0</x:v>
      </x:c>
      <x:c r="F1062" s="37" t="n">
        <x:v>0.1237061348144408</x:v>
      </x:c>
      <x:c r="G1062" s="37" t="n">
        <x:v>0</x:v>
      </x:c>
      <x:c r="H1062" s="56" t="n">
        <x:v>8265</x:v>
      </x:c>
      <x:c r="I1062" s="56" t="n">
        <x:v>2.118</x:v>
      </x:c>
      <x:c r="J1062" s="56" t="n">
        <x:v>15.488106753777467</x:v>
      </x:c>
      <x:c r="K1062" s="56" t="n">
        <x:v>53.2321601306662</x:v>
      </x:c>
      <x:c r="L1062" s="56" t="n">
        <x:v>78.188800186666</x:v>
      </x:c>
    </x:row>
    <x:row r="1063" ht="32.400001525878906" hidden="0" customHeight="1">
      <x:c r="A1063" s="29" t="str">
        <x:v>Harris County, Texas</x:v>
      </x:c>
      <x:c r="B1063" s="29" t="str">
        <x:v>48201554302</x:v>
      </x:c>
      <x:c r="C1063" s="51" t="n">
        <x:v>4855</x:v>
      </x:c>
      <x:c r="D1063" s="51" t="n">
        <x:v>491</x:v>
      </x:c>
      <x:c r="E1063" s="51" t="n">
        <x:v>112.5</x:v>
      </x:c>
      <x:c r="F1063" s="38" t="n">
        <x:v>0.10113285272914521</x:v>
      </x:c>
      <x:c r="G1063" s="38" t="n">
        <x:v>0.023171987641606592</x:v>
      </x:c>
      <x:c r="H1063" s="57" t="n">
        <x:v>5038.099999999999</x:v>
      </x:c>
      <x:c r="I1063" s="57" t="n">
        <x:v>2.284</x:v>
      </x:c>
      <x:c r="J1063" s="57" t="n">
        <x:v>12.263836243643269</x:v>
      </x:c>
      <x:c r="K1063" s="57" t="n">
        <x:v>48.3957543654649</x:v>
      </x:c>
      <x:c r="L1063" s="57" t="n">
        <x:v>71.2796490935213</x:v>
      </x:c>
    </x:row>
    <x:row r="1064" ht="32.400001525878906" hidden="0" customHeight="1">
      <x:c r="A1064" s="27" t="str">
        <x:v>Harris County, Texas</x:v>
      </x:c>
      <x:c r="B1064" s="27" t="str">
        <x:v>48201554404</x:v>
      </x:c>
      <x:c r="C1064" s="50" t="n">
        <x:v>4766</x:v>
      </x:c>
      <x:c r="D1064" s="50" t="n">
        <x:v>428</x:v>
      </x:c>
      <x:c r="E1064" s="50" t="n">
        <x:v>45</x:v>
      </x:c>
      <x:c r="F1064" s="37" t="n">
        <x:v>0.08980276961812841</x:v>
      </x:c>
      <x:c r="G1064" s="37" t="n">
        <x:v>0.009441879983214435</x:v>
      </x:c>
      <x:c r="H1064" s="56" t="n">
        <x:v>4920.3</x:v>
      </x:c>
      <x:c r="I1064" s="56" t="n">
        <x:v>2.301</x:v>
      </x:c>
      <x:c r="J1064" s="56" t="n">
        <x:v>9.322620528035118</x:v>
      </x:c>
      <x:c r="K1064" s="56" t="n">
        <x:v>43.983930792052675</x:v>
      </x:c>
      <x:c r="L1064" s="56" t="n">
        <x:v>64.97704398864668</x:v>
      </x:c>
    </x:row>
    <x:row r="1065" ht="32.400001525878906" hidden="0" customHeight="1">
      <x:c r="A1065" s="29" t="str">
        <x:v>Harris County, Texas</x:v>
      </x:c>
      <x:c r="B1065" s="29" t="str">
        <x:v>48201554405</x:v>
      </x:c>
      <x:c r="C1065" s="51" t="n">
        <x:v>8825</x:v>
      </x:c>
      <x:c r="D1065" s="51" t="n">
        <x:v>1217</x:v>
      </x:c>
      <x:c r="E1065" s="51" t="n">
        <x:v>48</x:v>
      </x:c>
      <x:c r="F1065" s="38" t="n">
        <x:v>0.13790368271954676</x:v>
      </x:c>
      <x:c r="G1065" s="38" t="n">
        <x:v>0.005439093484419263</x:v>
      </x:c>
      <x:c r="H1065" s="57" t="n">
        <x:v>9255.749999999998</x:v>
      </x:c>
      <x:c r="I1065" s="57" t="n">
        <x:v>1.548</x:v>
      </x:c>
      <x:c r="J1065" s="57" t="n">
        <x:v>5.8909461206575555</x:v>
      </x:c>
      <x:c r="K1065" s="57" t="n">
        <x:v>38.83641918098633</x:v>
      </x:c>
      <x:c r="L1065" s="57" t="n">
        <x:v>57.62345597283762</x:v>
      </x:c>
    </x:row>
    <x:row r="1066" ht="32.400001525878906" hidden="0" customHeight="1">
      <x:c r="A1066" s="27" t="str">
        <x:v>Harris County, Texas</x:v>
      </x:c>
      <x:c r="B1066" s="27" t="str">
        <x:v>48201554406</x:v>
      </x:c>
      <x:c r="C1066" s="50" t="n">
        <x:v>5054</x:v>
      </x:c>
      <x:c r="D1066" s="50" t="n">
        <x:v>275</x:v>
      </x:c>
      <x:c r="E1066" s="50" t="n">
        <x:v>0</x:v>
      </x:c>
      <x:c r="F1066" s="37" t="n">
        <x:v>0.05441234665611397</x:v>
      </x:c>
      <x:c r="G1066" s="37" t="n">
        <x:v>0</x:v>
      </x:c>
      <x:c r="H1066" s="56" t="n">
        <x:v>5150.25</x:v>
      </x:c>
      <x:c r="I1066" s="56" t="n">
        <x:v>2.614</x:v>
      </x:c>
      <x:c r="J1066" s="56" t="n">
        <x:v>9.957972278776454</x:v>
      </x:c>
      <x:c r="K1066" s="56" t="n">
        <x:v>44.93695841816468</x:v>
      </x:c>
      <x:c r="L1066" s="56" t="n">
        <x:v>66.33851202594954</x:v>
      </x:c>
    </x:row>
    <x:row r="1067" ht="32.400001525878906" hidden="0" customHeight="1">
      <x:c r="A1067" s="29" t="str">
        <x:v>Harris County, Texas</x:v>
      </x:c>
      <x:c r="B1067" s="29" t="str">
        <x:v>48201554407</x:v>
      </x:c>
      <x:c r="C1067" s="51" t="n">
        <x:v>6308</x:v>
      </x:c>
      <x:c r="D1067" s="51" t="n">
        <x:v>657</x:v>
      </x:c>
      <x:c r="E1067" s="51" t="n">
        <x:v>0</x:v>
      </x:c>
      <x:c r="F1067" s="38" t="n">
        <x:v>0.10415345592897908</x:v>
      </x:c>
      <x:c r="G1067" s="38" t="n">
        <x:v>0</x:v>
      </x:c>
      <x:c r="H1067" s="57" t="n">
        <x:v>6537.95</x:v>
      </x:c>
      <x:c r="I1067" s="57" t="n">
        <x:v>2.492</x:v>
      </x:c>
      <x:c r="J1067" s="57" t="n">
        <x:v>6.546901943531985</x:v>
      </x:c>
      <x:c r="K1067" s="57" t="n">
        <x:v>39.820352915297974</x:v>
      </x:c>
      <x:c r="L1067" s="57" t="n">
        <x:v>59.029075593282826</x:v>
      </x:c>
    </x:row>
    <x:row r="1068" ht="32.400001525878906" hidden="0" customHeight="1">
      <x:c r="A1068" s="27" t="str">
        <x:v>Harris County, Texas</x:v>
      </x:c>
      <x:c r="B1068" s="27" t="str">
        <x:v>48201554408</x:v>
      </x:c>
      <x:c r="C1068" s="50" t="n">
        <x:v>9142</x:v>
      </x:c>
      <x:c r="D1068" s="50" t="n">
        <x:v>781</x:v>
      </x:c>
      <x:c r="E1068" s="50" t="n">
        <x:v>21</x:v>
      </x:c>
      <x:c r="F1068" s="37" t="n">
        <x:v>0.08542988405162984</x:v>
      </x:c>
      <x:c r="G1068" s="37" t="n">
        <x:v>0.002297090352220521</x:v>
      </x:c>
      <x:c r="H1068" s="56" t="n">
        <x:v>9417.45</x:v>
      </x:c>
      <x:c r="I1068" s="56" t="n">
        <x:v>2.993</x:v>
      </x:c>
      <x:c r="J1068" s="56" t="n">
        <x:v>9.24057972273844</x:v>
      </x:c>
      <x:c r="K1068" s="56" t="n">
        <x:v>43.86086958410766</x:v>
      </x:c>
      <x:c r="L1068" s="56" t="n">
        <x:v>64.80124226301095</x:v>
      </x:c>
    </x:row>
    <x:row r="1069" ht="32.400001525878906" hidden="0" customHeight="1">
      <x:c r="A1069" s="29" t="str">
        <x:v>Harris County, Texas</x:v>
      </x:c>
      <x:c r="B1069" s="29" t="str">
        <x:v>48201554409</x:v>
      </x:c>
      <x:c r="C1069" s="51" t="n">
        <x:v>7224</x:v>
      </x:c>
      <x:c r="D1069" s="51" t="n">
        <x:v>329</x:v>
      </x:c>
      <x:c r="E1069" s="51" t="n">
        <x:v>0</x:v>
      </x:c>
      <x:c r="F1069" s="38" t="n">
        <x:v>0.045542635658914726</x:v>
      </x:c>
      <x:c r="G1069" s="38" t="n">
        <x:v>0</x:v>
      </x:c>
      <x:c r="H1069" s="57" t="n">
        <x:v>7339.150000000001</x:v>
      </x:c>
      <x:c r="I1069" s="57" t="n">
        <x:v>2.054</x:v>
      </x:c>
      <x:c r="J1069" s="57" t="n">
        <x:v>5.643502393979706</x:v>
      </x:c>
      <x:c r="K1069" s="57" t="n">
        <x:v>38.46525359096956</x:v>
      </x:c>
      <x:c r="L1069" s="57" t="n">
        <x:v>57.0932194156708</x:v>
      </x:c>
    </x:row>
    <x:row r="1070" ht="32.400001525878906" hidden="0" customHeight="1">
      <x:c r="A1070" s="27" t="str">
        <x:v>Harris County, Texas</x:v>
      </x:c>
      <x:c r="B1070" s="27" t="str">
        <x:v>48201554410</x:v>
      </x:c>
      <x:c r="C1070" s="50" t="n">
        <x:v>4586</x:v>
      </x:c>
      <x:c r="D1070" s="50" t="n">
        <x:v>232</x:v>
      </x:c>
      <x:c r="E1070" s="50" t="n">
        <x:v>58</x:v>
      </x:c>
      <x:c r="F1070" s="37" t="n">
        <x:v>0.05058874836458788</x:v>
      </x:c>
      <x:c r="G1070" s="37" t="n">
        <x:v>0.01264718709114697</x:v>
      </x:c>
      <x:c r="H1070" s="56" t="n">
        <x:v>4672.999999999999</x:v>
      </x:c>
      <x:c r="I1070" s="56" t="n">
        <x:v>1.365</x:v>
      </x:c>
      <x:c r="J1070" s="56" t="n">
        <x:v>6.690909027729445</x:v>
      </x:c>
      <x:c r="K1070" s="56" t="n">
        <x:v>40.03636354159417</x:v>
      </x:c>
      <x:c r="L1070" s="56" t="n">
        <x:v>59.337662202277386</x:v>
      </x:c>
    </x:row>
    <x:row r="1071" ht="32.400001525878906" hidden="0" customHeight="1">
      <x:c r="A1071" s="29" t="str">
        <x:v>Harris County, Texas</x:v>
      </x:c>
      <x:c r="B1071" s="29" t="str">
        <x:v>48201554501</x:v>
      </x:c>
      <x:c r="C1071" s="51" t="n">
        <x:v>6535</x:v>
      </x:c>
      <x:c r="D1071" s="51" t="n">
        <x:v>446</x:v>
      </x:c>
      <x:c r="E1071" s="51" t="n">
        <x:v>30</x:v>
      </x:c>
      <x:c r="F1071" s="38" t="n">
        <x:v>0.06824789594491201</x:v>
      </x:c>
      <x:c r="G1071" s="38" t="n">
        <x:v>0.0045906656465187455</x:v>
      </x:c>
      <x:c r="H1071" s="57" t="n">
        <x:v>6694.099999999999</x:v>
      </x:c>
      <x:c r="I1071" s="57" t="n">
        <x:v>4.75</x:v>
      </x:c>
      <x:c r="J1071" s="57" t="n">
        <x:v>10.848578526713132</x:v>
      </x:c>
      <x:c r="K1071" s="57" t="n">
        <x:v>46.2728677900697</x:v>
      </x:c>
      <x:c r="L1071" s="57" t="n">
        <x:v>68.24695398581386</x:v>
      </x:c>
    </x:row>
    <x:row r="1072" ht="32.400001525878906" hidden="0" customHeight="1">
      <x:c r="A1072" s="27" t="str">
        <x:v>Harris County, Texas</x:v>
      </x:c>
      <x:c r="B1072" s="27" t="str">
        <x:v>48201554502</x:v>
      </x:c>
      <x:c r="C1072" s="50" t="n">
        <x:v>6006</x:v>
      </x:c>
      <x:c r="D1072" s="50" t="n">
        <x:v>398</x:v>
      </x:c>
      <x:c r="E1072" s="50" t="n">
        <x:v>38</x:v>
      </x:c>
      <x:c r="F1072" s="37" t="n">
        <x:v>0.06626706626706627</x:v>
      </x:c>
      <x:c r="G1072" s="37" t="n">
        <x:v>0.006327006327006327</x:v>
      </x:c>
      <x:c r="H1072" s="56" t="n">
        <x:v>6149.099999999999</x:v>
      </x:c>
      <x:c r="I1072" s="56" t="n">
        <x:v>1.785</x:v>
      </x:c>
      <x:c r="J1072" s="56" t="n">
        <x:v>10.48554191372249</x:v>
      </x:c>
      <x:c r="K1072" s="56" t="n">
        <x:v>45.728312870583736</x:v>
      </x:c>
      <x:c r="L1072" s="56" t="n">
        <x:v>67.46901838654819</x:v>
      </x:c>
    </x:row>
    <x:row r="1073" ht="32.400001525878906" hidden="0" customHeight="1">
      <x:c r="A1073" s="29" t="str">
        <x:v>Harris County, Texas</x:v>
      </x:c>
      <x:c r="B1073" s="29" t="str">
        <x:v>48201554600</x:v>
      </x:c>
      <x:c r="C1073" s="51" t="n">
        <x:v>4626</x:v>
      </x:c>
      <x:c r="D1073" s="51" t="n">
        <x:v>597</x:v>
      </x:c>
      <x:c r="E1073" s="51" t="n">
        <x:v>7</x:v>
      </x:c>
      <x:c r="F1073" s="38" t="n">
        <x:v>0.12905317769131</x:v>
      </x:c>
      <x:c r="G1073" s="38" t="n">
        <x:v>0.0015131863380890619</x:v>
      </x:c>
      <x:c r="H1073" s="57" t="n">
        <x:v>4835.650000000001</x:v>
      </x:c>
      <x:c r="I1073" s="57" t="n">
        <x:v>1.407</x:v>
      </x:c>
      <x:c r="J1073" s="57" t="n">
        <x:v>13.82587650634418</x:v>
      </x:c>
      <x:c r="K1073" s="57" t="n">
        <x:v>50.73881475951627</x:v>
      </x:c>
      <x:c r="L1073" s="57" t="n">
        <x:v>74.62687822788038</x:v>
      </x:c>
    </x:row>
    <x:row r="1074" ht="32.400001525878906" hidden="0" customHeight="1">
      <x:c r="A1074" s="27" t="str">
        <x:v>Harris County, Texas</x:v>
      </x:c>
      <x:c r="B1074" s="27" t="str">
        <x:v>48201554701</x:v>
      </x:c>
      <x:c r="C1074" s="50" t="n">
        <x:v>3382</x:v>
      </x:c>
      <x:c r="D1074" s="50" t="n">
        <x:v>213</x:v>
      </x:c>
      <x:c r="E1074" s="50" t="n">
        <x:v>0</x:v>
      </x:c>
      <x:c r="F1074" s="37" t="n">
        <x:v>0.06298048492016559</x:v>
      </x:c>
      <x:c r="G1074" s="37" t="n">
        <x:v>0</x:v>
      </x:c>
      <x:c r="H1074" s="56" t="n">
        <x:v>3456.55</x:v>
      </x:c>
      <x:c r="I1074" s="56" t="n">
        <x:v>0.577</x:v>
      </x:c>
      <x:c r="J1074" s="56" t="n">
        <x:v>17.104773685095026</x:v>
      </x:c>
      <x:c r="K1074" s="56" t="n">
        <x:v>55.65716052764254</x:v>
      </x:c>
      <x:c r="L1074" s="56" t="n">
        <x:v>81.65308646806076</x:v>
      </x:c>
    </x:row>
    <x:row r="1075" ht="32.400001525878906" hidden="0" customHeight="1">
      <x:c r="A1075" s="29" t="str">
        <x:v>Harris County, Texas</x:v>
      </x:c>
      <x:c r="B1075" s="29" t="str">
        <x:v>48201554702</x:v>
      </x:c>
      <x:c r="C1075" s="51" t="n">
        <x:v>4383</x:v>
      </x:c>
      <x:c r="D1075" s="51" t="n">
        <x:v>414</x:v>
      </x:c>
      <x:c r="E1075" s="51" t="n">
        <x:v>0</x:v>
      </x:c>
      <x:c r="F1075" s="38" t="n">
        <x:v>0.0944558521560575</x:v>
      </x:c>
      <x:c r="G1075" s="38" t="n">
        <x:v>0</x:v>
      </x:c>
      <x:c r="H1075" s="57" t="n">
        <x:v>4527.9</x:v>
      </x:c>
      <x:c r="I1075" s="57" t="n">
        <x:v>1.2</x:v>
      </x:c>
      <x:c r="J1075" s="57" t="n">
        <x:v>15.81568473575204</x:v>
      </x:c>
      <x:c r="K1075" s="57" t="n">
        <x:v>53.72352710362806</x:v>
      </x:c>
      <x:c r="L1075" s="57" t="n">
        <x:v>78.89075300518294</x:v>
      </x:c>
    </x:row>
    <x:row r="1076" ht="32.400001525878906" hidden="0" customHeight="1">
      <x:c r="A1076" s="27" t="str">
        <x:v>Harris County, Texas</x:v>
      </x:c>
      <x:c r="B1076" s="27" t="str">
        <x:v>48201554803</x:v>
      </x:c>
      <x:c r="C1076" s="50" t="n">
        <x:v>7977</x:v>
      </x:c>
      <x:c r="D1076" s="50" t="n">
        <x:v>996</x:v>
      </x:c>
      <x:c r="E1076" s="50" t="n">
        <x:v>0</x:v>
      </x:c>
      <x:c r="F1076" s="37" t="n">
        <x:v>0.12485896953742008</x:v>
      </x:c>
      <x:c r="G1076" s="37" t="n">
        <x:v>0</x:v>
      </x:c>
      <x:c r="H1076" s="56" t="n">
        <x:v>8325.6</x:v>
      </x:c>
      <x:c r="I1076" s="56" t="n">
        <x:v>6.091</x:v>
      </x:c>
      <x:c r="J1076" s="56" t="n">
        <x:v>8.587976703329277</x:v>
      </x:c>
      <x:c r="K1076" s="56" t="n">
        <x:v>42.88196505499391</x:v>
      </x:c>
      <x:c r="L1076" s="56" t="n">
        <x:v>63.40280722141988</x:v>
      </x:c>
    </x:row>
    <x:row r="1077" ht="32.400001525878906" hidden="0" customHeight="1">
      <x:c r="A1077" s="29" t="str">
        <x:v>Harris County, Texas</x:v>
      </x:c>
      <x:c r="B1077" s="29" t="str">
        <x:v>48201554804</x:v>
      </x:c>
      <x:c r="C1077" s="51" t="n">
        <x:v>4622</x:v>
      </x:c>
      <x:c r="D1077" s="51" t="n">
        <x:v>645</x:v>
      </x:c>
      <x:c r="E1077" s="51" t="n">
        <x:v>0</x:v>
      </x:c>
      <x:c r="F1077" s="38" t="n">
        <x:v>0.13954997836434443</x:v>
      </x:c>
      <x:c r="G1077" s="38" t="n">
        <x:v>0</x:v>
      </x:c>
      <x:c r="H1077" s="57" t="n">
        <x:v>4847.75</x:v>
      </x:c>
      <x:c r="I1077" s="57" t="n">
        <x:v>3.245</x:v>
      </x:c>
      <x:c r="J1077" s="57" t="n">
        <x:v>11.064610429812463</x:v>
      </x:c>
      <x:c r="K1077" s="57" t="n">
        <x:v>46.59691564471869</x:v>
      </x:c>
      <x:c r="L1077" s="57" t="n">
        <x:v>68.70987949245529</x:v>
      </x:c>
    </x:row>
    <x:row r="1078" ht="32.400001525878906" hidden="0" customHeight="1">
      <x:c r="A1078" s="27" t="str">
        <x:v>Harris County, Texas</x:v>
      </x:c>
      <x:c r="B1078" s="27" t="str">
        <x:v>48201554805</x:v>
      </x:c>
      <x:c r="C1078" s="50" t="n">
        <x:v>8907</x:v>
      </x:c>
      <x:c r="D1078" s="50" t="n">
        <x:v>927</x:v>
      </x:c>
      <x:c r="E1078" s="50" t="n">
        <x:v>0</x:v>
      </x:c>
      <x:c r="F1078" s="37" t="n">
        <x:v>0.10407544627820815</x:v>
      </x:c>
      <x:c r="G1078" s="37" t="n">
        <x:v>0</x:v>
      </x:c>
      <x:c r="H1078" s="56" t="n">
        <x:v>9231.45</x:v>
      </x:c>
      <x:c r="I1078" s="56" t="n">
        <x:v>1.526</x:v>
      </x:c>
      <x:c r="J1078" s="56" t="n">
        <x:v>15.67699720139792</x:v>
      </x:c>
      <x:c r="K1078" s="56" t="n">
        <x:v>53.51549580209688</x:v>
      </x:c>
      <x:c r="L1078" s="56" t="n">
        <x:v>78.59356543156697</x:v>
      </x:c>
    </x:row>
    <x:row r="1079" ht="32.400001525878906" hidden="0" customHeight="1">
      <x:c r="A1079" s="29" t="str">
        <x:v>Harris County, Texas</x:v>
      </x:c>
      <x:c r="B1079" s="29" t="str">
        <x:v>48201554806</x:v>
      </x:c>
      <x:c r="C1079" s="51" t="n">
        <x:v>2073</x:v>
      </x:c>
      <x:c r="D1079" s="51" t="n">
        <x:v>169</x:v>
      </x:c>
      <x:c r="E1079" s="51" t="n">
        <x:v>0</x:v>
      </x:c>
      <x:c r="F1079" s="38" t="n">
        <x:v>0.08152436082971538</x:v>
      </x:c>
      <x:c r="G1079" s="38" t="n">
        <x:v>0</x:v>
      </x:c>
      <x:c r="H1079" s="57" t="n">
        <x:v>2132.1499999999996</x:v>
      </x:c>
      <x:c r="I1079" s="57" t="n">
        <x:v>1.731</x:v>
      </x:c>
      <x:c r="J1079" s="57" t="n">
        <x:v>11.983586182639732</x:v>
      </x:c>
      <x:c r="K1079" s="57" t="n">
        <x:v>47.9753792739596</x:v>
      </x:c>
      <x:c r="L1079" s="57" t="n">
        <x:v>70.67911324851372</x:v>
      </x:c>
    </x:row>
    <x:row r="1080" ht="32.400001525878906" hidden="0" customHeight="1">
      <x:c r="A1080" s="27" t="str">
        <x:v>Harris County, Texas</x:v>
      </x:c>
      <x:c r="B1080" s="27" t="str">
        <x:v>48201554807</x:v>
      </x:c>
      <x:c r="C1080" s="50" t="n">
        <x:v>6516</x:v>
      </x:c>
      <x:c r="D1080" s="50" t="n">
        <x:v>1157</x:v>
      </x:c>
      <x:c r="E1080" s="50" t="n">
        <x:v>320</x:v>
      </x:c>
      <x:c r="F1080" s="37" t="n">
        <x:v>0.17756292203806015</x:v>
      </x:c>
      <x:c r="G1080" s="37" t="n">
        <x:v>0.04910988336402701</x:v>
      </x:c>
      <x:c r="H1080" s="56" t="n">
        <x:v>6952.949999999999</x:v>
      </x:c>
      <x:c r="I1080" s="56" t="n">
        <x:v>2.189</x:v>
      </x:c>
      <x:c r="J1080" s="56" t="n">
        <x:v>15.675727743607366</x:v>
      </x:c>
      <x:c r="K1080" s="56" t="n">
        <x:v>53.51359161541105</x:v>
      </x:c>
      <x:c r="L1080" s="56" t="n">
        <x:v>78.59084516487293</x:v>
      </x:c>
    </x:row>
    <x:row r="1081" ht="32.400001525878906" hidden="0" customHeight="1">
      <x:c r="A1081" s="29" t="str">
        <x:v>Harris County, Texas</x:v>
      </x:c>
      <x:c r="B1081" s="29" t="str">
        <x:v>48201554808</x:v>
      </x:c>
      <x:c r="C1081" s="51" t="n">
        <x:v>3205</x:v>
      </x:c>
      <x:c r="D1081" s="51" t="n">
        <x:v>253</x:v>
      </x:c>
      <x:c r="E1081" s="51" t="n">
        <x:v>0</x:v>
      </x:c>
      <x:c r="F1081" s="38" t="n">
        <x:v>0.07893915756630265</x:v>
      </x:c>
      <x:c r="G1081" s="38" t="n">
        <x:v>0</x:v>
      </x:c>
      <x:c r="H1081" s="57" t="n">
        <x:v>3293.55</x:v>
      </x:c>
      <x:c r="I1081" s="57" t="n">
        <x:v>0.784</x:v>
      </x:c>
      <x:c r="J1081" s="57" t="n">
        <x:v>14.670608158509541</x:v>
      </x:c>
      <x:c r="K1081" s="57" t="n">
        <x:v>52.00591223776431</x:v>
      </x:c>
      <x:c r="L1081" s="57" t="n">
        <x:v>76.43701748252045</x:v>
      </x:c>
    </x:row>
    <x:row r="1082" ht="32.400001525878906" hidden="0" customHeight="1">
      <x:c r="A1082" s="27" t="str">
        <x:v>Harris County, Texas</x:v>
      </x:c>
      <x:c r="B1082" s="27" t="str">
        <x:v>48201554809</x:v>
      </x:c>
      <x:c r="C1082" s="50" t="n">
        <x:v>10919</x:v>
      </x:c>
      <x:c r="D1082" s="50" t="n">
        <x:v>862</x:v>
      </x:c>
      <x:c r="E1082" s="50" t="n">
        <x:v>163</x:v>
      </x:c>
      <x:c r="F1082" s="37" t="n">
        <x:v>0.07894495832951735</x:v>
      </x:c>
      <x:c r="G1082" s="37" t="n">
        <x:v>0.014928106969502702</x:v>
      </x:c>
      <x:c r="H1082" s="56" t="n">
        <x:v>11237</x:v>
      </x:c>
      <x:c r="I1082" s="56" t="n">
        <x:v>2.876</x:v>
      </x:c>
      <x:c r="J1082" s="56" t="n">
        <x:v>12.198468660948706</x:v>
      </x:c>
      <x:c r="K1082" s="56" t="n">
        <x:v>48.29770299142306</x:v>
      </x:c>
      <x:c r="L1082" s="56" t="n">
        <x:v>71.13957570203294</x:v>
      </x:c>
    </x:row>
    <x:row r="1083" ht="32.400001525878906" hidden="0" customHeight="1">
      <x:c r="A1083" s="29" t="str">
        <x:v>Harris County, Texas</x:v>
      </x:c>
      <x:c r="B1083" s="29" t="str">
        <x:v>48201554902</x:v>
      </x:c>
      <x:c r="C1083" s="51" t="n">
        <x:v>11277</x:v>
      </x:c>
      <x:c r="D1083" s="51" t="n">
        <x:v>695</x:v>
      </x:c>
      <x:c r="E1083" s="51" t="n">
        <x:v>0</x:v>
      </x:c>
      <x:c r="F1083" s="38" t="n">
        <x:v>0.06162986609913984</x:v>
      </x:c>
      <x:c r="G1083" s="38" t="n">
        <x:v>0</x:v>
      </x:c>
      <x:c r="H1083" s="57" t="n">
        <x:v>11520.25</x:v>
      </x:c>
      <x:c r="I1083" s="57" t="n">
        <x:v>4.911</x:v>
      </x:c>
      <x:c r="J1083" s="57" t="n">
        <x:v>8.399320462542144</x:v>
      </x:c>
      <x:c r="K1083" s="57" t="n">
        <x:v>42.59898069381322</x:v>
      </x:c>
      <x:c r="L1083" s="57" t="n">
        <x:v>62.99854384830459</x:v>
      </x:c>
    </x:row>
    <x:row r="1084" ht="32.400001525878906" hidden="0" customHeight="1">
      <x:c r="A1084" s="27" t="str">
        <x:v>Harris County, Texas</x:v>
      </x:c>
      <x:c r="B1084" s="27" t="str">
        <x:v>48201554904</x:v>
      </x:c>
      <x:c r="C1084" s="50" t="n">
        <x:v>3847</x:v>
      </x:c>
      <x:c r="D1084" s="50" t="n">
        <x:v>679</x:v>
      </x:c>
      <x:c r="E1084" s="50" t="n">
        <x:v>0</x:v>
      </x:c>
      <x:c r="F1084" s="37" t="n">
        <x:v>0.17650116974265662</x:v>
      </x:c>
      <x:c r="G1084" s="37" t="n">
        <x:v>0</x:v>
      </x:c>
      <x:c r="H1084" s="56" t="n">
        <x:v>4084.65</x:v>
      </x:c>
      <x:c r="I1084" s="56" t="n">
        <x:v>0.703</x:v>
      </x:c>
      <x:c r="J1084" s="56" t="n">
        <x:v>11.525758844781839</x:v>
      </x:c>
      <x:c r="K1084" s="56" t="n">
        <x:v>47.28863826717276</x:v>
      </x:c>
      <x:c r="L1084" s="56" t="n">
        <x:v>69.69805466738966</x:v>
      </x:c>
    </x:row>
    <x:row r="1085" ht="32.400001525878906" hidden="0" customHeight="1">
      <x:c r="A1085" s="29" t="str">
        <x:v>Harris County, Texas</x:v>
      </x:c>
      <x:c r="B1085" s="29" t="str">
        <x:v>48201554905</x:v>
      </x:c>
      <x:c r="C1085" s="51" t="n">
        <x:v>8210</x:v>
      </x:c>
      <x:c r="D1085" s="51" t="n">
        <x:v>733</x:v>
      </x:c>
      <x:c r="E1085" s="51" t="n">
        <x:v>355.5</x:v>
      </x:c>
      <x:c r="F1085" s="38" t="n">
        <x:v>0.08928136419001217</x:v>
      </x:c>
      <x:c r="G1085" s="38" t="n">
        <x:v>0.043300852618757615</x:v>
      </x:c>
      <x:c r="H1085" s="57" t="n">
        <x:v>8502.1</x:v>
      </x:c>
      <x:c r="I1085" s="57" t="n">
        <x:v>3.786</x:v>
      </x:c>
      <x:c r="J1085" s="57" t="n">
        <x:v>12.127373728540672</x:v>
      </x:c>
      <x:c r="K1085" s="57" t="n">
        <x:v>48.191060592811006</x:v>
      </x:c>
      <x:c r="L1085" s="57" t="n">
        <x:v>70.98722941830144</x:v>
      </x:c>
    </x:row>
    <x:row r="1086" ht="32.400001525878906" hidden="0" customHeight="1">
      <x:c r="A1086" s="27" t="str">
        <x:v>Harris County, Texas</x:v>
      </x:c>
      <x:c r="B1086" s="27" t="str">
        <x:v>48201554906</x:v>
      </x:c>
      <x:c r="C1086" s="50" t="n">
        <x:v>4743</x:v>
      </x:c>
      <x:c r="D1086" s="50" t="n">
        <x:v>482</x:v>
      </x:c>
      <x:c r="E1086" s="50" t="n">
        <x:v>0</x:v>
      </x:c>
      <x:c r="F1086" s="37" t="n">
        <x:v>0.10162344507695552</x:v>
      </x:c>
      <x:c r="G1086" s="37" t="n">
        <x:v>0</x:v>
      </x:c>
      <x:c r="H1086" s="56" t="n">
        <x:v>4911.7</x:v>
      </x:c>
      <x:c r="I1086" s="56" t="n">
        <x:v>0.756</x:v>
      </x:c>
      <x:c r="J1086" s="56" t="n">
        <x:v>15.112168171795814</x:v>
      </x:c>
      <x:c r="K1086" s="56" t="n">
        <x:v>52.66825225769372</x:v>
      </x:c>
      <x:c r="L1086" s="56" t="n">
        <x:v>77.38321751099103</x:v>
      </x:c>
    </x:row>
    <x:row r="1087" ht="32.400001525878906" hidden="0" customHeight="1">
      <x:c r="A1087" s="29" t="str">
        <x:v>Harris County, Texas</x:v>
      </x:c>
      <x:c r="B1087" s="29" t="str">
        <x:v>48201554907</x:v>
      </x:c>
      <x:c r="C1087" s="51" t="n">
        <x:v>4389</x:v>
      </x:c>
      <x:c r="D1087" s="51" t="n">
        <x:v>332</x:v>
      </x:c>
      <x:c r="E1087" s="51" t="n">
        <x:v>10</x:v>
      </x:c>
      <x:c r="F1087" s="38" t="n">
        <x:v>0.07564365459102301</x:v>
      </x:c>
      <x:c r="G1087" s="38" t="n">
        <x:v>0.00227842333105491</x:v>
      </x:c>
      <x:c r="H1087" s="57" t="n">
        <x:v>4506.2</x:v>
      </x:c>
      <x:c r="I1087" s="57" t="n">
        <x:v>1.231</x:v>
      </x:c>
      <x:c r="J1087" s="57" t="n">
        <x:v>9.7588770429073</x:v>
      </x:c>
      <x:c r="K1087" s="57" t="n">
        <x:v>44.63831556436095</x:v>
      </x:c>
      <x:c r="L1087" s="57" t="n">
        <x:v>65.9118793776585</x:v>
      </x:c>
    </x:row>
    <x:row r="1088" ht="32.400001525878906" hidden="0" customHeight="1">
      <x:c r="A1088" s="27" t="str">
        <x:v>Harris County, Texas</x:v>
      </x:c>
      <x:c r="B1088" s="27" t="str">
        <x:v>48201554908</x:v>
      </x:c>
      <x:c r="C1088" s="50" t="n">
        <x:v>7681</x:v>
      </x:c>
      <x:c r="D1088" s="50" t="n">
        <x:v>555</x:v>
      </x:c>
      <x:c r="E1088" s="50" t="n">
        <x:v>262</x:v>
      </x:c>
      <x:c r="F1088" s="37" t="n">
        <x:v>0.07225621663845853</x:v>
      </x:c>
      <x:c r="G1088" s="37" t="n">
        <x:v>0.03411014190860565</x:v>
      </x:c>
      <x:c r="H1088" s="56" t="n">
        <x:v>7901.449999999999</x:v>
      </x:c>
      <x:c r="I1088" s="56" t="n">
        <x:v>2.144</x:v>
      </x:c>
      <x:c r="J1088" s="56" t="n">
        <x:v>7.514095128248271</x:v>
      </x:c>
      <x:c r="K1088" s="56" t="n">
        <x:v>41.27114269237241</x:v>
      </x:c>
      <x:c r="L1088" s="56" t="n">
        <x:v>61.101632417674864</x:v>
      </x:c>
    </x:row>
    <x:row r="1089" ht="32.400001525878906" hidden="0" customHeight="1">
      <x:c r="A1089" s="29" t="str">
        <x:v>Harris County, Texas</x:v>
      </x:c>
      <x:c r="B1089" s="29" t="str">
        <x:v>48201555001</x:v>
      </x:c>
      <x:c r="C1089" s="51" t="n">
        <x:v>2483</x:v>
      </x:c>
      <x:c r="D1089" s="51" t="n">
        <x:v>153</x:v>
      </x:c>
      <x:c r="E1089" s="51" t="n">
        <x:v>0</x:v>
      </x:c>
      <x:c r="F1089" s="38" t="n">
        <x:v>0.06161900926298832</x:v>
      </x:c>
      <x:c r="G1089" s="38" t="n">
        <x:v>0</x:v>
      </x:c>
      <x:c r="H1089" s="57" t="n">
        <x:v>2536.55</x:v>
      </x:c>
      <x:c r="I1089" s="57" t="n">
        <x:v>0.753</x:v>
      </x:c>
      <x:c r="J1089" s="57" t="n">
        <x:v>17.385709583299683</x:v>
      </x:c>
      <x:c r="K1089" s="57" t="n">
        <x:v>56.07856437494952</x:v>
      </x:c>
      <x:c r="L1089" s="57" t="n">
        <x:v>82.2550919642136</x:v>
      </x:c>
    </x:row>
    <x:row r="1090" ht="32.400001525878906" hidden="0" customHeight="1">
      <x:c r="A1090" s="27" t="str">
        <x:v>Harris County, Texas</x:v>
      </x:c>
      <x:c r="B1090" s="27" t="str">
        <x:v>48201555002</x:v>
      </x:c>
      <x:c r="C1090" s="50" t="n">
        <x:v>4839</x:v>
      </x:c>
      <x:c r="D1090" s="50" t="n">
        <x:v>547</x:v>
      </x:c>
      <x:c r="E1090" s="50" t="n">
        <x:v>0</x:v>
      </x:c>
      <x:c r="F1090" s="37" t="n">
        <x:v>0.11303988427361025</x:v>
      </x:c>
      <x:c r="G1090" s="37" t="n">
        <x:v>0</x:v>
      </x:c>
      <x:c r="H1090" s="56" t="n">
        <x:v>5030.45</x:v>
      </x:c>
      <x:c r="I1090" s="56" t="n">
        <x:v>1.39</x:v>
      </x:c>
      <x:c r="J1090" s="56" t="n">
        <x:v>15.223424777507889</x:v>
      </x:c>
      <x:c r="K1090" s="56" t="n">
        <x:v>52.83513716626183</x:v>
      </x:c>
      <x:c r="L1090" s="56" t="n">
        <x:v>77.62162452323119</x:v>
      </x:c>
    </x:row>
    <x:row r="1091" ht="32.400001525878906" hidden="0" customHeight="1">
      <x:c r="A1091" s="29" t="str">
        <x:v>Harris County, Texas</x:v>
      </x:c>
      <x:c r="B1091" s="29" t="str">
        <x:v>48201555101</x:v>
      </x:c>
      <x:c r="C1091" s="51" t="n">
        <x:v>5187</x:v>
      </x:c>
      <x:c r="D1091" s="51" t="n">
        <x:v>739</x:v>
      </x:c>
      <x:c r="E1091" s="51" t="n">
        <x:v>13</x:v>
      </x:c>
      <x:c r="F1091" s="38" t="n">
        <x:v>0.1424715635241951</x:v>
      </x:c>
      <x:c r="G1091" s="38" t="n">
        <x:v>0.002506265664160401</x:v>
      </x:c>
      <x:c r="H1091" s="57" t="n">
        <x:v>5446.95</x:v>
      </x:c>
      <x:c r="I1091" s="57" t="n">
        <x:v>1.347</x:v>
      </x:c>
      <x:c r="J1091" s="57" t="n">
        <x:v>13.395048675609395</x:v>
      </x:c>
      <x:c r="K1091" s="57" t="n">
        <x:v>50.092573013414096</x:v>
      </x:c>
      <x:c r="L1091" s="57" t="n">
        <x:v>73.7036757334487</x:v>
      </x:c>
    </x:row>
    <x:row r="1092" ht="32.400001525878906" hidden="0" customHeight="1">
      <x:c r="A1092" s="27" t="str">
        <x:v>Harris County, Texas</x:v>
      </x:c>
      <x:c r="B1092" s="27" t="str">
        <x:v>48201555102</x:v>
      </x:c>
      <x:c r="C1092" s="50" t="n">
        <x:v>6083</x:v>
      </x:c>
      <x:c r="D1092" s="50" t="n">
        <x:v>495</x:v>
      </x:c>
      <x:c r="E1092" s="50" t="n">
        <x:v>113</x:v>
      </x:c>
      <x:c r="F1092" s="37" t="n">
        <x:v>0.081374321880651</x:v>
      </x:c>
      <x:c r="G1092" s="37" t="n">
        <x:v>0.018576360348512247</x:v>
      </x:c>
      <x:c r="H1092" s="56" t="n">
        <x:v>6267.549999999999</x:v>
      </x:c>
      <x:c r="I1092" s="56" t="n">
        <x:v>1.566</x:v>
      </x:c>
      <x:c r="J1092" s="56" t="n">
        <x:v>17.48919072387054</x:v>
      </x:c>
      <x:c r="K1092" s="56" t="n">
        <x:v>56.23378608580581</x:v>
      </x:c>
      <x:c r="L1092" s="56" t="n">
        <x:v>82.47683726543687</x:v>
      </x:c>
    </x:row>
    <x:row r="1093" ht="32.400001525878906" hidden="0" customHeight="1">
      <x:c r="A1093" s="29" t="str">
        <x:v>Harris County, Texas</x:v>
      </x:c>
      <x:c r="B1093" s="29" t="str">
        <x:v>48201555200</x:v>
      </x:c>
      <x:c r="C1093" s="51" t="n">
        <x:v>12791</x:v>
      </x:c>
      <x:c r="D1093" s="51" t="n">
        <x:v>976</x:v>
      </x:c>
      <x:c r="E1093" s="51" t="n">
        <x:v>69</x:v>
      </x:c>
      <x:c r="F1093" s="38" t="n">
        <x:v>0.07630365100461262</x:v>
      </x:c>
      <x:c r="G1093" s="38" t="n">
        <x:v>0.005394417950121179</x:v>
      </x:c>
      <x:c r="H1093" s="57" t="n">
        <x:v>13139.500000000002</x:v>
      </x:c>
      <x:c r="I1093" s="57" t="n">
        <x:v>7.208</x:v>
      </x:c>
      <x:c r="J1093" s="57" t="n">
        <x:v>14.213806726185545</x:v>
      </x:c>
      <x:c r="K1093" s="57" t="n">
        <x:v>51.32071008927832</x:v>
      </x:c>
      <x:c r="L1093" s="57" t="n">
        <x:v>75.4581572703976</x:v>
      </x:c>
    </x:row>
    <x:row r="1094" ht="32.400001525878906" hidden="0" customHeight="1">
      <x:c r="A1094" s="27" t="str">
        <x:v>Harris County, Texas</x:v>
      </x:c>
      <x:c r="B1094" s="27" t="str">
        <x:v>48201555301</x:v>
      </x:c>
      <x:c r="C1094" s="50" t="n">
        <x:v>5032</x:v>
      </x:c>
      <x:c r="D1094" s="50" t="n">
        <x:v>357</x:v>
      </x:c>
      <x:c r="E1094" s="50" t="n">
        <x:v>35</x:v>
      </x:c>
      <x:c r="F1094" s="37" t="n">
        <x:v>0.07094594594594594</x:v>
      </x:c>
      <x:c r="G1094" s="37" t="n">
        <x:v>0.006955484896661367</x:v>
      </x:c>
      <x:c r="H1094" s="56" t="n">
        <x:v>5160.45</x:v>
      </x:c>
      <x:c r="I1094" s="56" t="n">
        <x:v>2.714</x:v>
      </x:c>
      <x:c r="J1094" s="56" t="n">
        <x:v>6.929587257327193</x:v>
      </x:c>
      <x:c r="K1094" s="56" t="n">
        <x:v>40.394380885990785</x:v>
      </x:c>
      <x:c r="L1094" s="56" t="n">
        <x:v>59.84911555141541</x:v>
      </x:c>
    </x:row>
    <x:row r="1095" ht="32.400001525878906" hidden="0" customHeight="1">
      <x:c r="A1095" s="29" t="str">
        <x:v>Harris County, Texas</x:v>
      </x:c>
      <x:c r="B1095" s="29" t="str">
        <x:v>48201555303</x:v>
      </x:c>
      <x:c r="C1095" s="51" t="n">
        <x:v>16375</x:v>
      </x:c>
      <x:c r="D1095" s="51" t="n">
        <x:v>1003</x:v>
      </x:c>
      <x:c r="E1095" s="51" t="n">
        <x:v>108</x:v>
      </x:c>
      <x:c r="F1095" s="38" t="n">
        <x:v>0.06125190839694657</x:v>
      </x:c>
      <x:c r="G1095" s="38" t="n">
        <x:v>0.006595419847328244</x:v>
      </x:c>
      <x:c r="H1095" s="57" t="n">
        <x:v>16736.85</x:v>
      </x:c>
      <x:c r="I1095" s="57" t="n">
        <x:v>8.128</x:v>
      </x:c>
      <x:c r="J1095" s="57" t="n">
        <x:v>0</x:v>
      </x:c>
      <x:c r="K1095" s="57" t="n">
        <x:v>30</x:v>
      </x:c>
      <x:c r="L1095" s="57" t="n">
        <x:v>45</x:v>
      </x:c>
    </x:row>
    <x:row r="1096" ht="32.400001525878906" hidden="0" customHeight="1">
      <x:c r="A1096" s="27" t="str">
        <x:v>Harris County, Texas</x:v>
      </x:c>
      <x:c r="B1096" s="27" t="str">
        <x:v>48201555304</x:v>
      </x:c>
      <x:c r="C1096" s="50" t="n">
        <x:v>9377</x:v>
      </x:c>
      <x:c r="D1096" s="50" t="n">
        <x:v>929</x:v>
      </x:c>
      <x:c r="E1096" s="50" t="n">
        <x:v>96</x:v>
      </x:c>
      <x:c r="F1096" s="37" t="n">
        <x:v>0.09907219793110802</x:v>
      </x:c>
      <x:c r="G1096" s="37" t="n">
        <x:v>0.010237815932601046</x:v>
      </x:c>
      <x:c r="H1096" s="56" t="n">
        <x:v>9711.75</x:v>
      </x:c>
      <x:c r="I1096" s="56" t="n">
        <x:v>2.571</x:v>
      </x:c>
      <x:c r="J1096" s="56" t="n">
        <x:v>4.381701929365895</x:v>
      </x:c>
      <x:c r="K1096" s="56" t="n">
        <x:v>36.57255289404884</x:v>
      </x:c>
      <x:c r="L1096" s="56" t="n">
        <x:v>54.38936127721263</x:v>
      </x:c>
    </x:row>
    <x:row r="1097" ht="32.400001525878906" hidden="0" customHeight="1">
      <x:c r="A1097" s="29" t="str">
        <x:v>Harris County, Texas</x:v>
      </x:c>
      <x:c r="B1097" s="29" t="str">
        <x:v>48201555305</x:v>
      </x:c>
      <x:c r="C1097" s="51" t="n">
        <x:v>12542</x:v>
      </x:c>
      <x:c r="D1097" s="51" t="n">
        <x:v>674</x:v>
      </x:c>
      <x:c r="E1097" s="51" t="n">
        <x:v>174.5</x:v>
      </x:c>
      <x:c r="F1097" s="38" t="n">
        <x:v>0.053739435496730985</x:v>
      </x:c>
      <x:c r="G1097" s="38" t="n">
        <x:v>0.013913251475043853</x:v>
      </x:c>
      <x:c r="H1097" s="57" t="n">
        <x:v>12795.349999999999</x:v>
      </x:c>
      <x:c r="I1097" s="57" t="n">
        <x:v>4.659</x:v>
      </x:c>
      <x:c r="J1097" s="57" t="n">
        <x:v>5.487718744747731</x:v>
      </x:c>
      <x:c r="K1097" s="57" t="n">
        <x:v>38.2315781171216</x:v>
      </x:c>
      <x:c r="L1097" s="57" t="n">
        <x:v>56.75939731017371</x:v>
      </x:c>
    </x:row>
    <x:row r="1098" ht="32.400001525878906" hidden="0" customHeight="1">
      <x:c r="A1098" s="27" t="str">
        <x:v>Harris County, Texas</x:v>
      </x:c>
      <x:c r="B1098" s="27" t="str">
        <x:v>48201555401</x:v>
      </x:c>
      <x:c r="C1098" s="50" t="n">
        <x:v>3856</x:v>
      </x:c>
      <x:c r="D1098" s="50" t="n">
        <x:v>283</x:v>
      </x:c>
      <x:c r="E1098" s="50" t="n">
        <x:v>48</x:v>
      </x:c>
      <x:c r="F1098" s="37" t="n">
        <x:v>0.07339211618257262</x:v>
      </x:c>
      <x:c r="G1098" s="37" t="n">
        <x:v>0.012448132780082987</x:v>
      </x:c>
      <x:c r="H1098" s="56" t="n">
        <x:v>3959.85</x:v>
      </x:c>
      <x:c r="I1098" s="56" t="n">
        <x:v>5.189</x:v>
      </x:c>
      <x:c r="J1098" s="56" t="n">
        <x:v>6.514905783817417</x:v>
      </x:c>
      <x:c r="K1098" s="56" t="n">
        <x:v>39.772358675726124</x:v>
      </x:c>
      <x:c r="L1098" s="56" t="n">
        <x:v>58.96051239389446</x:v>
      </x:c>
    </x:row>
    <x:row r="1099" ht="32.400001525878906" hidden="0" customHeight="1">
      <x:c r="A1099" s="29" t="str">
        <x:v>Harris County, Texas</x:v>
      </x:c>
      <x:c r="B1099" s="29" t="str">
        <x:v>48201555403</x:v>
      </x:c>
      <x:c r="C1099" s="51" t="n">
        <x:v>4411</x:v>
      </x:c>
      <x:c r="D1099" s="51" t="n">
        <x:v>885</x:v>
      </x:c>
      <x:c r="E1099" s="51" t="n">
        <x:v>9</x:v>
      </x:c>
      <x:c r="F1099" s="38" t="n">
        <x:v>0.20063477669462706</x:v>
      </x:c>
      <x:c r="G1099" s="38" t="n">
        <x:v>0.0020403536613012923</x:v>
      </x:c>
      <x:c r="H1099" s="57" t="n">
        <x:v>4721.650000000001</x:v>
      </x:c>
      <x:c r="I1099" s="57" t="n">
        <x:v>2.659</x:v>
      </x:c>
      <x:c r="J1099" s="57" t="n">
        <x:v>8.914921614153668</x:v>
      </x:c>
      <x:c r="K1099" s="57" t="n">
        <x:v>43.372382421230505</x:v>
      </x:c>
      <x:c r="L1099" s="57" t="n">
        <x:v>64.10340345890071</x:v>
      </x:c>
    </x:row>
    <x:row r="1100" ht="32.400001525878906" hidden="0" customHeight="1">
      <x:c r="A1100" s="27" t="str">
        <x:v>Harris County, Texas</x:v>
      </x:c>
      <x:c r="B1100" s="27" t="str">
        <x:v>48201555404</x:v>
      </x:c>
      <x:c r="C1100" s="50" t="n">
        <x:v>3669</x:v>
      </x:c>
      <x:c r="D1100" s="50" t="n">
        <x:v>744</x:v>
      </x:c>
      <x:c r="E1100" s="50" t="n">
        <x:v>401</x:v>
      </x:c>
      <x:c r="F1100" s="37" t="n">
        <x:v>0.2027800490596893</x:v>
      </x:c>
      <x:c r="G1100" s="37" t="n">
        <x:v>0.10929408558190243</x:v>
      </x:c>
      <x:c r="H1100" s="56" t="n">
        <x:v>3969.5</x:v>
      </x:c>
      <x:c r="I1100" s="56" t="n">
        <x:v>2.813</x:v>
      </x:c>
      <x:c r="J1100" s="56" t="n">
        <x:v>10.112274000412372</x:v>
      </x:c>
      <x:c r="K1100" s="56" t="n">
        <x:v>45.168411000618555</x:v>
      </x:c>
      <x:c r="L1100" s="56" t="n">
        <x:v>66.66915857231223</x:v>
      </x:c>
    </x:row>
    <x:row r="1101" ht="32.400001525878906" hidden="0" customHeight="1">
      <x:c r="A1101" s="29" t="str">
        <x:v>Harris County, Texas</x:v>
      </x:c>
      <x:c r="B1101" s="29" t="str">
        <x:v>48201555501</x:v>
      </x:c>
      <x:c r="C1101" s="51" t="n">
        <x:v>5948</x:v>
      </x:c>
      <x:c r="D1101" s="51" t="n">
        <x:v>700</x:v>
      </x:c>
      <x:c r="E1101" s="51" t="n">
        <x:v>0</x:v>
      </x:c>
      <x:c r="F1101" s="38" t="n">
        <x:v>0.11768661735036987</x:v>
      </x:c>
      <x:c r="G1101" s="38" t="n">
        <x:v>0</x:v>
      </x:c>
      <x:c r="H1101" s="57" t="n">
        <x:v>6193</x:v>
      </x:c>
      <x:c r="I1101" s="57" t="n">
        <x:v>16.345</x:v>
      </x:c>
      <x:c r="J1101" s="57" t="n">
        <x:v>14.474983095816965</x:v>
      </x:c>
      <x:c r="K1101" s="57" t="n">
        <x:v>51.71247464372545</x:v>
      </x:c>
      <x:c r="L1101" s="57" t="n">
        <x:v>76.01782091960779</x:v>
      </x:c>
    </x:row>
    <x:row r="1102" ht="32.400001525878906" hidden="0" customHeight="1">
      <x:c r="A1102" s="27" t="str">
        <x:v>Harris County, Texas</x:v>
      </x:c>
      <x:c r="B1102" s="27" t="str">
        <x:v>48201555503</x:v>
      </x:c>
      <x:c r="C1102" s="50" t="n">
        <x:v>13885</x:v>
      </x:c>
      <x:c r="D1102" s="50" t="n">
        <x:v>860</x:v>
      </x:c>
      <x:c r="E1102" s="50" t="n">
        <x:v>0</x:v>
      </x:c>
      <x:c r="F1102" s="37" t="n">
        <x:v>0.061937342455887646</x:v>
      </x:c>
      <x:c r="G1102" s="37" t="n">
        <x:v>0</x:v>
      </x:c>
      <x:c r="H1102" s="56" t="n">
        <x:v>14186</x:v>
      </x:c>
      <x:c r="I1102" s="56" t="n">
        <x:v>8.99</x:v>
      </x:c>
      <x:c r="J1102" s="56" t="n">
        <x:v>14.917286158180863</x:v>
      </x:c>
      <x:c r="K1102" s="56" t="n">
        <x:v>52.37592923727129</x:v>
      </x:c>
      <x:c r="L1102" s="56" t="n">
        <x:v>76.96561319610186</x:v>
      </x:c>
    </x:row>
    <x:row r="1103" ht="32.400001525878906" hidden="0" customHeight="1">
      <x:c r="A1103" s="29" t="str">
        <x:v>Harris County, Texas</x:v>
      </x:c>
      <x:c r="B1103" s="29" t="str">
        <x:v>48201555504</x:v>
      </x:c>
      <x:c r="C1103" s="51" t="n">
        <x:v>8095</x:v>
      </x:c>
      <x:c r="D1103" s="51" t="n">
        <x:v>518</x:v>
      </x:c>
      <x:c r="E1103" s="51" t="n">
        <x:v>22.5</x:v>
      </x:c>
      <x:c r="F1103" s="38" t="n">
        <x:v>0.06399011735639283</x:v>
      </x:c>
      <x:c r="G1103" s="38" t="n">
        <x:v>0.002779493514515133</x:v>
      </x:c>
      <x:c r="H1103" s="57" t="n">
        <x:v>8278.550000000001</x:v>
      </x:c>
      <x:c r="I1103" s="57" t="n">
        <x:v>1.194</x:v>
      </x:c>
      <x:c r="J1103" s="57" t="n">
        <x:v>15.804626762192886</x:v>
      </x:c>
      <x:c r="K1103" s="57" t="n">
        <x:v>53.70694014328933</x:v>
      </x:c>
      <x:c r="L1103" s="57" t="n">
        <x:v>78.86705734755618</x:v>
      </x:c>
    </x:row>
    <x:row r="1104" ht="32.400001525878906" hidden="0" customHeight="1">
      <x:c r="A1104" s="27" t="str">
        <x:v>Harris County, Texas</x:v>
      </x:c>
      <x:c r="B1104" s="27" t="str">
        <x:v>48201555505</x:v>
      </x:c>
      <x:c r="C1104" s="50" t="n">
        <x:v>11508</x:v>
      </x:c>
      <x:c r="D1104" s="50" t="n">
        <x:v>1014</x:v>
      </x:c>
      <x:c r="E1104" s="50" t="n">
        <x:v>338</x:v>
      </x:c>
      <x:c r="F1104" s="37" t="n">
        <x:v>0.0881126173096976</x:v>
      </x:c>
      <x:c r="G1104" s="37" t="n">
        <x:v>0.029370872436565866</x:v>
      </x:c>
      <x:c r="H1104" s="56" t="n">
        <x:v>11896.699999999999</x:v>
      </x:c>
      <x:c r="I1104" s="56" t="n">
        <x:v>2.89</x:v>
      </x:c>
      <x:c r="J1104" s="56" t="n">
        <x:v>15.268864781534601</x:v>
      </x:c>
      <x:c r="K1104" s="56" t="n">
        <x:v>52.903297172301905</x:v>
      </x:c>
      <x:c r="L1104" s="56" t="n">
        <x:v>77.71899596043129</x:v>
      </x:c>
    </x:row>
    <x:row r="1105" ht="32.400001525878906" hidden="0" customHeight="1">
      <x:c r="A1105" s="29" t="str">
        <x:v>Harris County, Texas</x:v>
      </x:c>
      <x:c r="B1105" s="29" t="str">
        <x:v>48201555600</x:v>
      </x:c>
      <x:c r="C1105" s="51" t="n">
        <x:v>9965</x:v>
      </x:c>
      <x:c r="D1105" s="51" t="n">
        <x:v>554</x:v>
      </x:c>
      <x:c r="E1105" s="51" t="n">
        <x:v>417</x:v>
      </x:c>
      <x:c r="F1105" s="38" t="n">
        <x:v>0.05559458103361766</x:v>
      </x:c>
      <x:c r="G1105" s="38" t="n">
        <x:v>0.04184646261916709</x:v>
      </x:c>
      <x:c r="H1105" s="57" t="n">
        <x:v>10200.6</x:v>
      </x:c>
      <x:c r="I1105" s="57" t="n">
        <x:v>20.967</x:v>
      </x:c>
      <x:c r="J1105" s="57" t="n">
        <x:v>16.57366410707171</x:v>
      </x:c>
      <x:c r="K1105" s="57" t="n">
        <x:v>54.86049616060757</x:v>
      </x:c>
      <x:c r="L1105" s="57" t="n">
        <x:v>80.51499451515366</x:v>
      </x:c>
    </x:row>
    <x:row r="1106" ht="32.400001525878906" hidden="0" customHeight="1">
      <x:c r="A1106" s="27" t="str">
        <x:v>Harris County, Texas</x:v>
      </x:c>
      <x:c r="B1106" s="27" t="str">
        <x:v>48201555701</x:v>
      </x:c>
      <x:c r="C1106" s="50" t="n">
        <x:v>12304</x:v>
      </x:c>
      <x:c r="D1106" s="50" t="n">
        <x:v>774</x:v>
      </x:c>
      <x:c r="E1106" s="50" t="n">
        <x:v>0</x:v>
      </x:c>
      <x:c r="F1106" s="37" t="n">
        <x:v>0.06290637191157347</x:v>
      </x:c>
      <x:c r="G1106" s="37" t="n">
        <x:v>0</x:v>
      </x:c>
      <x:c r="H1106" s="56" t="n">
        <x:v>12574.9</x:v>
      </x:c>
      <x:c r="I1106" s="56" t="n">
        <x:v>4.156</x:v>
      </x:c>
      <x:c r="J1106" s="56" t="n">
        <x:v>10.475682971248169</x:v>
      </x:c>
      <x:c r="K1106" s="56" t="n">
        <x:v>45.71352445687225</x:v>
      </x:c>
      <x:c r="L1106" s="56" t="n">
        <x:v>67.44789208124607</x:v>
      </x:c>
    </x:row>
    <x:row r="1107" ht="32.400001525878906" hidden="0" customHeight="1">
      <x:c r="A1107" s="29" t="str">
        <x:v>Harris County, Texas</x:v>
      </x:c>
      <x:c r="B1107" s="29" t="str">
        <x:v>48201555703</x:v>
      </x:c>
      <x:c r="C1107" s="51" t="n">
        <x:v>6280</x:v>
      </x:c>
      <x:c r="D1107" s="51" t="n">
        <x:v>542</x:v>
      </x:c>
      <x:c r="E1107" s="51" t="n">
        <x:v>20</x:v>
      </x:c>
      <x:c r="F1107" s="38" t="n">
        <x:v>0.08630573248407643</x:v>
      </x:c>
      <x:c r="G1107" s="38" t="n">
        <x:v>0.0031847133757961785</x:v>
      </x:c>
      <x:c r="H1107" s="57" t="n">
        <x:v>6471.7</x:v>
      </x:c>
      <x:c r="I1107" s="57" t="n">
        <x:v>1.485</x:v>
      </x:c>
      <x:c r="J1107" s="57" t="n">
        <x:v>9.859506174102908</x:v>
      </x:c>
      <x:c r="K1107" s="57" t="n">
        <x:v>44.78925926115436</x:v>
      </x:c>
      <x:c r="L1107" s="57" t="n">
        <x:v>66.12751323022052</x:v>
      </x:c>
    </x:row>
    <x:row r="1108" ht="32.400001525878906" hidden="0" customHeight="1">
      <x:c r="A1108" s="27" t="str">
        <x:v>Harris County, Texas</x:v>
      </x:c>
      <x:c r="B1108" s="27" t="str">
        <x:v>48201555704</x:v>
      </x:c>
      <x:c r="C1108" s="50" t="n">
        <x:v>8211</x:v>
      </x:c>
      <x:c r="D1108" s="50" t="n">
        <x:v>676</x:v>
      </x:c>
      <x:c r="E1108" s="50" t="n">
        <x:v>0</x:v>
      </x:c>
      <x:c r="F1108" s="37" t="n">
        <x:v>0.08232858360735598</x:v>
      </x:c>
      <x:c r="G1108" s="37" t="n">
        <x:v>0</x:v>
      </x:c>
      <x:c r="H1108" s="56" t="n">
        <x:v>8447.6</x:v>
      </x:c>
      <x:c r="I1108" s="56" t="n">
        <x:v>3.055</x:v>
      </x:c>
      <x:c r="J1108" s="56" t="n">
        <x:v>12.722955622450936</x:v>
      </x:c>
      <x:c r="K1108" s="56" t="n">
        <x:v>49.0844334336764</x:v>
      </x:c>
      <x:c r="L1108" s="56" t="n">
        <x:v>72.26347633382343</x:v>
      </x:c>
    </x:row>
    <x:row r="1109" ht="32.400001525878906" hidden="0" customHeight="1">
      <x:c r="A1109" s="29" t="str">
        <x:v>Harris County, Texas</x:v>
      </x:c>
      <x:c r="B1109" s="29" t="str">
        <x:v>48201556000</x:v>
      </x:c>
      <x:c r="C1109" s="51" t="n">
        <x:v>15767</x:v>
      </x:c>
      <x:c r="D1109" s="51" t="n">
        <x:v>1286</x:v>
      </x:c>
      <x:c r="E1109" s="51" t="n">
        <x:v>410</x:v>
      </x:c>
      <x:c r="F1109" s="38" t="n">
        <x:v>0.08156275765840046</x:v>
      </x:c>
      <x:c r="G1109" s="38" t="n">
        <x:v>0.026003678569163444</x:v>
      </x:c>
      <x:c r="H1109" s="57" t="n">
        <x:v>16258.100000000002</x:v>
      </x:c>
      <x:c r="I1109" s="57" t="n">
        <x:v>51.342</x:v>
      </x:c>
      <x:c r="J1109" s="57" t="n">
        <x:v>0</x:v>
      </x:c>
      <x:c r="K1109" s="57" t="n">
        <x:v>30</x:v>
      </x:c>
      <x:c r="L1109" s="57" t="n">
        <x:v>45</x:v>
      </x:c>
    </x:row>
    <x:row r="1110" ht="32.400001525878906" hidden="0" customHeight="1">
      <x:c r="A1110" s="27" t="str">
        <x:v>Harris County, Texas</x:v>
      </x:c>
      <x:c r="B1110" s="27" t="str">
        <x:v>48201556100</x:v>
      </x:c>
      <x:c r="C1110" s="50" t="n">
        <x:v>3757</x:v>
      </x:c>
      <x:c r="D1110" s="50" t="n">
        <x:v>512</x:v>
      </x:c>
      <x:c r="E1110" s="50" t="n">
        <x:v>0</x:v>
      </x:c>
      <x:c r="F1110" s="37" t="n">
        <x:v>0.1362789459675273</x:v>
      </x:c>
      <x:c r="G1110" s="37" t="n">
        <x:v>0</x:v>
      </x:c>
      <x:c r="H1110" s="56" t="n">
        <x:v>3936.2000000000003</x:v>
      </x:c>
      <x:c r="I1110" s="56" t="n">
        <x:v>0.82</x:v>
      </x:c>
      <x:c r="J1110" s="56" t="n">
        <x:v>17.28625572725594</x:v>
      </x:c>
      <x:c r="K1110" s="56" t="n">
        <x:v>55.929383590883916</x:v>
      </x:c>
      <x:c r="L1110" s="56" t="n">
        <x:v>82.0419765584056</x:v>
      </x:c>
    </x:row>
    <x:row r="1111" ht="32.400001525878906" hidden="0" customHeight="1">
      <x:c r="A1111" s="29" t="str">
        <x:v>Harris County, Texas</x:v>
      </x:c>
      <x:c r="B1111" s="29" t="str">
        <x:v>48201980000</x:v>
      </x:c>
      <x:c r="C1111" s="51" t="n">
        <x:v>35</x:v>
      </x:c>
      <x:c r="D1111" s="51" t="n">
        <x:v>6</x:v>
      </x:c>
      <x:c r="E1111" s="51" t="n">
        <x:v>0</x:v>
      </x:c>
      <x:c r="F1111" s="38" t="n">
        <x:v>0.17142857142857143</x:v>
      </x:c>
      <x:c r="G1111" s="38" t="n">
        <x:v>0</x:v>
      </x:c>
      <x:c r="H1111" s="57" t="n">
        <x:v>37.1</x:v>
      </x:c>
      <x:c r="I1111" s="57" t="n">
        <x:v>2.134</x:v>
      </x:c>
      <x:c r="J1111" s="57" t="n">
        <x:v>16.430610946368738</x:v>
      </x:c>
      <x:c r="K1111" s="57" t="n">
        <x:v>54.6459164195531</x:v>
      </x:c>
      <x:c r="L1111" s="57" t="n">
        <x:v>80.208452027933</x:v>
      </x:c>
    </x:row>
    <x:row r="1112" ht="32.400001525878906" hidden="0" customHeight="1">
      <x:c r="A1112" s="27" t="str">
        <x:v>Harris County, Texas</x:v>
      </x:c>
      <x:c r="B1112" s="27" t="str">
        <x:v>48201980200</x:v>
      </x:c>
      <x:c r="C1112" s="50" t="n">
        <x:v>160</x:v>
      </x:c>
      <x:c r="D1112" s="50" t="n">
        <x:v>25</x:v>
      </x:c>
      <x:c r="E1112" s="50" t="n">
        <x:v>31</x:v>
      </x:c>
      <x:c r="F1112" s="37" t="n">
        <x:v>0.15625</x:v>
      </x:c>
      <x:c r="G1112" s="37" t="n">
        <x:v>0.19375</x:v>
      </x:c>
      <x:c r="H1112" s="56" t="n">
        <x:v>171.85</x:v>
      </x:c>
      <x:c r="I1112" s="56" t="n">
        <x:v>0.256</x:v>
      </x:c>
      <x:c r="J1112" s="56" t="n">
        <x:v>26.1212097976773</x:v>
      </x:c>
      <x:c r="K1112" s="56" t="n">
        <x:v>69.18181469651594</x:v>
      </x:c>
      <x:c r="L1112" s="56" t="n">
        <x:v>100.97402099502278</x:v>
      </x:c>
    </x:row>
    <x:row r="1113" ht="32.400001525878906" hidden="0" customHeight="1">
      <x:c r="A1113" s="29" t="str">
        <x:v>Harris County, Texas</x:v>
      </x:c>
      <x:c r="B1113" s="29" t="str">
        <x:v>48201980300</x:v>
      </x:c>
      <x:c r="C1113" s="51" t="n">
        <x:v>2908</x:v>
      </x:c>
      <x:c r="D1113" s="51" t="n">
        <x:v>207</x:v>
      </x:c>
      <x:c r="E1113" s="51" t="n">
        <x:v>0</x:v>
      </x:c>
      <x:c r="F1113" s="38" t="n">
        <x:v>0.07118294360385144</x:v>
      </x:c>
      <x:c r="G1113" s="38" t="n">
        <x:v>0</x:v>
      </x:c>
      <x:c r="H1113" s="57" t="n">
        <x:v>2980.45</x:v>
      </x:c>
      <x:c r="I1113" s="57" t="n">
        <x:v>0.47</x:v>
      </x:c>
      <x:c r="J1113" s="57" t="n">
        <x:v>18.438200352374576</x:v>
      </x:c>
      <x:c r="K1113" s="57" t="n">
        <x:v>57.65730052856186</x:v>
      </x:c>
      <x:c r="L1113" s="57" t="n">
        <x:v>84.51042932651694</x:v>
      </x:c>
    </x:row>
    <x:row r="1114" ht="32.400001525878906" hidden="0" customHeight="1">
      <x:c r="A1114" s="27" t="str">
        <x:v>Harris County, Texas</x:v>
      </x:c>
      <x:c r="B1114" s="27" t="str">
        <x:v>48201980400</x:v>
      </x:c>
      <x:c r="C1114" s="50" t="n">
        <x:v>4285</x:v>
      </x:c>
      <x:c r="D1114" s="50" t="n">
        <x:v>202</x:v>
      </x:c>
      <x:c r="E1114" s="50" t="n">
        <x:v>0</x:v>
      </x:c>
      <x:c r="F1114" s="37" t="n">
        <x:v>0.04714119019836639</x:v>
      </x:c>
      <x:c r="G1114" s="37" t="n">
        <x:v>0</x:v>
      </x:c>
      <x:c r="H1114" s="56" t="n">
        <x:v>4355.700000000001</x:v>
      </x:c>
      <x:c r="I1114" s="56" t="n">
        <x:v>0.516</x:v>
      </x:c>
      <x:c r="J1114" s="56" t="n">
        <x:v>19.869173357009636</x:v>
      </x:c>
      <x:c r="K1114" s="56" t="n">
        <x:v>59.80376003551446</x:v>
      </x:c>
      <x:c r="L1114" s="56" t="n">
        <x:v>87.57680005073493</x:v>
      </x:c>
    </x:row>
    <x:row r="1115" ht="32.400001525878906" hidden="0" customHeight="1">
      <x:c r="A1115" s="29" t="str">
        <x:v>Harris County, Texas</x:v>
      </x:c>
      <x:c r="B1115" s="29" t="str">
        <x:v>48201980700</x:v>
      </x:c>
      <x:c r="C1115" s="51" t="n">
        <x:v>2014</x:v>
      </x:c>
      <x:c r="D1115" s="51" t="n">
        <x:v>114</x:v>
      </x:c>
      <x:c r="E1115" s="51" t="n">
        <x:v>117</x:v>
      </x:c>
      <x:c r="F1115" s="38" t="n">
        <x:v>0.05660377358490566</x:v>
      </x:c>
      <x:c r="G1115" s="38" t="n">
        <x:v>0.05809334657398212</x:v>
      </x:c>
      <x:c r="H1115" s="57" t="n">
        <x:v>2065.6</x:v>
      </x:c>
      <x:c r="I1115" s="57" t="n">
        <x:v>0.485</x:v>
      </x:c>
      <x:c r="J1115" s="57" t="n">
        <x:v>25.231688064714092</x:v>
      </x:c>
      <x:c r="K1115" s="57" t="n">
        <x:v>67.84753209707114</x:v>
      </x:c>
      <x:c r="L1115" s="57" t="n">
        <x:v>99.06790299581591</x:v>
      </x:c>
    </x:row>
    <x:row r="1116" ht="32.400001525878906" hidden="0" customHeight="1">
      <x:c r="A1116" s="27" t="str">
        <x:v>Miami-Dade County, Florida</x:v>
      </x:c>
      <x:c r="B1116" s="27" t="str">
        <x:v>12086000107</x:v>
      </x:c>
      <x:c r="C1116" s="50" t="n">
        <x:v>3134</x:v>
      </x:c>
      <x:c r="D1116" s="50" t="n">
        <x:v>256</x:v>
      </x:c>
      <x:c r="E1116" s="50" t="n">
        <x:v>387</x:v>
      </x:c>
      <x:c r="F1116" s="37" t="n">
        <x:v>0.0816847479259732</x:v>
      </x:c>
      <x:c r="G1116" s="37" t="n">
        <x:v>0.12348436502871729</x:v>
      </x:c>
      <x:c r="H1116" s="56" t="n">
        <x:v>3262.2999999999997</x:v>
      </x:c>
      <x:c r="I1116" s="56" t="n">
        <x:v>0.126</x:v>
      </x:c>
      <x:c r="J1116" s="56" t="n">
        <x:v>22.944094577704288</x:v>
      </x:c>
      <x:c r="K1116" s="56" t="n">
        <x:v>64.41614186655643</x:v>
      </x:c>
      <x:c r="L1116" s="56" t="n">
        <x:v>94.16591695222348</x:v>
      </x:c>
    </x:row>
    <x:row r="1117" ht="32.400001525878906" hidden="0" customHeight="1">
      <x:c r="A1117" s="29" t="str">
        <x:v>Miami-Dade County, Florida</x:v>
      </x:c>
      <x:c r="B1117" s="29" t="str">
        <x:v>12086000109</x:v>
      </x:c>
      <x:c r="C1117" s="51" t="n">
        <x:v>3801</x:v>
      </x:c>
      <x:c r="D1117" s="51" t="n">
        <x:v>454</x:v>
      </x:c>
      <x:c r="E1117" s="51" t="n">
        <x:v>151</x:v>
      </x:c>
      <x:c r="F1117" s="38" t="n">
        <x:v>0.11944225203893712</x:v>
      </x:c>
      <x:c r="G1117" s="38" t="n">
        <x:v>0.039726387792686134</x:v>
      </x:c>
      <x:c r="H1117" s="57" t="n">
        <x:v>3975.0000000000005</x:v>
      </x:c>
      <x:c r="I1117" s="57" t="n">
        <x:v>2.689</x:v>
      </x:c>
      <x:c r="J1117" s="57" t="n">
        <x:v>20.099841811916534</x:v>
      </x:c>
      <x:c r="K1117" s="57" t="n">
        <x:v>60.1497627178748</x:v>
      </x:c>
      <x:c r="L1117" s="57" t="n">
        <x:v>88.071089596964</x:v>
      </x:c>
    </x:row>
    <x:row r="1118" ht="32.400001525878906" hidden="0" customHeight="1">
      <x:c r="A1118" s="27" t="str">
        <x:v>Miami-Dade County, Florida</x:v>
      </x:c>
      <x:c r="B1118" s="27" t="str">
        <x:v>12086000115</x:v>
      </x:c>
      <x:c r="C1118" s="50" t="n">
        <x:v>1796</x:v>
      </x:c>
      <x:c r="D1118" s="50" t="n">
        <x:v>76</x:v>
      </x:c>
      <x:c r="E1118" s="50" t="n">
        <x:v>112</x:v>
      </x:c>
      <x:c r="F1118" s="37" t="n">
        <x:v>0.042316258351893093</x:v>
      </x:c>
      <x:c r="G1118" s="37" t="n">
        <x:v>0.062360801781737196</x:v>
      </x:c>
      <x:c r="H1118" s="56" t="n">
        <x:v>1833.8000000000002</x:v>
      </x:c>
      <x:c r="I1118" s="56" t="n">
        <x:v>0.413</x:v>
      </x:c>
      <x:c r="J1118" s="56" t="n">
        <x:v>28.875297408198673</x:v>
      </x:c>
      <x:c r="K1118" s="56" t="n">
        <x:v>73.31294611229801</x:v>
      </x:c>
      <x:c r="L1118" s="56" t="n">
        <x:v>106.87563730328287</x:v>
      </x:c>
    </x:row>
    <x:row r="1119" ht="32.400001525878906" hidden="0" customHeight="1">
      <x:c r="A1119" s="29" t="str">
        <x:v>Miami-Dade County, Florida</x:v>
      </x:c>
      <x:c r="B1119" s="29" t="str">
        <x:v>12086000118</x:v>
      </x:c>
      <x:c r="C1119" s="51" t="n">
        <x:v>1259</x:v>
      </x:c>
      <x:c r="D1119" s="51" t="n">
        <x:v>99</x:v>
      </x:c>
      <x:c r="E1119" s="51" t="n">
        <x:v>123</x:v>
      </x:c>
      <x:c r="F1119" s="38" t="n">
        <x:v>0.07863383637807785</x:v>
      </x:c>
      <x:c r="G1119" s="38" t="n">
        <x:v>0.0976965845909452</x:v>
      </x:c>
      <x:c r="H1119" s="57" t="n">
        <x:v>1305.9499999999998</x:v>
      </x:c>
      <x:c r="I1119" s="57" t="n">
        <x:v>0.056</x:v>
      </x:c>
      <x:c r="J1119" s="57" t="n">
        <x:v>24.358276456731687</x:v>
      </x:c>
      <x:c r="K1119" s="57" t="n">
        <x:v>66.53741468509753</x:v>
      </x:c>
      <x:c r="L1119" s="57" t="n">
        <x:v>97.19630669299647</x:v>
      </x:c>
    </x:row>
    <x:row r="1120" ht="32.400001525878906" hidden="0" customHeight="1">
      <x:c r="A1120" s="27" t="str">
        <x:v>Miami-Dade County, Florida</x:v>
      </x:c>
      <x:c r="B1120" s="27" t="str">
        <x:v>12086000120</x:v>
      </x:c>
      <x:c r="C1120" s="50" t="n">
        <x:v>3934</x:v>
      </x:c>
      <x:c r="D1120" s="50" t="n">
        <x:v>204</x:v>
      </x:c>
      <x:c r="E1120" s="50" t="n">
        <x:v>148</x:v>
      </x:c>
      <x:c r="F1120" s="37" t="n">
        <x:v>0.05185561769191662</x:v>
      </x:c>
      <x:c r="G1120" s="37" t="n">
        <x:v>0.03762074224707677</x:v>
      </x:c>
      <x:c r="H1120" s="56" t="n">
        <x:v>4020.2000000000003</x:v>
      </x:c>
      <x:c r="I1120" s="56" t="n">
        <x:v>0.58</x:v>
      </x:c>
      <x:c r="J1120" s="56" t="n">
        <x:v>18.242131296787537</x:v>
      </x:c>
      <x:c r="K1120" s="56" t="n">
        <x:v>57.36319694518131</x:v>
      </x:c>
      <x:c r="L1120" s="56" t="n">
        <x:v>84.090281350259</x:v>
      </x:c>
    </x:row>
    <x:row r="1121" ht="32.400001525878906" hidden="0" customHeight="1">
      <x:c r="A1121" s="29" t="str">
        <x:v>Miami-Dade County, Florida</x:v>
      </x:c>
      <x:c r="B1121" s="29" t="str">
        <x:v>12086000121</x:v>
      </x:c>
      <x:c r="C1121" s="51" t="n">
        <x:v>1798</x:v>
      </x:c>
      <x:c r="D1121" s="51" t="n">
        <x:v>218</x:v>
      </x:c>
      <x:c r="E1121" s="51" t="n">
        <x:v>72</x:v>
      </x:c>
      <x:c r="F1121" s="38" t="n">
        <x:v>0.12124582869855395</x:v>
      </x:c>
      <x:c r="G1121" s="38" t="n">
        <x:v>0.04004449388209121</x:v>
      </x:c>
      <x:c r="H1121" s="57" t="n">
        <x:v>1881.5000000000002</x:v>
      </x:c>
      <x:c r="I1121" s="57" t="n">
        <x:v>0.09</x:v>
      </x:c>
      <x:c r="J1121" s="57" t="n">
        <x:v>27.22499876215936</x:v>
      </x:c>
      <x:c r="K1121" s="57" t="n">
        <x:v>70.83749814323903</x:v>
      </x:c>
      <x:c r="L1121" s="57" t="n">
        <x:v>103.33928306177006</x:v>
      </x:c>
    </x:row>
    <x:row r="1122" ht="32.400001525878906" hidden="0" customHeight="1">
      <x:c r="A1122" s="27" t="str">
        <x:v>Miami-Dade County, Florida</x:v>
      </x:c>
      <x:c r="B1122" s="27" t="str">
        <x:v>12086000122</x:v>
      </x:c>
      <x:c r="C1122" s="50" t="n">
        <x:v>3629</x:v>
      </x:c>
      <x:c r="D1122" s="50" t="n">
        <x:v>560</x:v>
      </x:c>
      <x:c r="E1122" s="50" t="n">
        <x:v>143</x:v>
      </x:c>
      <x:c r="F1122" s="37" t="n">
        <x:v>0.1543124827776247</x:v>
      </x:c>
      <x:c r="G1122" s="37" t="n">
        <x:v>0.0394047947092863</x:v>
      </x:c>
      <x:c r="H1122" s="56" t="n">
        <x:v>3839.2999999999997</x:v>
      </x:c>
      <x:c r="I1122" s="56" t="n">
        <x:v>0.104</x:v>
      </x:c>
      <x:c r="J1122" s="56" t="n">
        <x:v>28.42056720820476</x:v>
      </x:c>
      <x:c r="K1122" s="56" t="n">
        <x:v>72.63085081230713</x:v>
      </x:c>
      <x:c r="L1122" s="56" t="n">
        <x:v>105.90121544615306</x:v>
      </x:c>
    </x:row>
    <x:row r="1123" ht="32.400001525878906" hidden="0" customHeight="1">
      <x:c r="A1123" s="29" t="str">
        <x:v>Miami-Dade County, Florida</x:v>
      </x:c>
      <x:c r="B1123" s="29" t="str">
        <x:v>12086000123</x:v>
      </x:c>
      <x:c r="C1123" s="51" t="n">
        <x:v>4471</x:v>
      </x:c>
      <x:c r="D1123" s="51" t="n">
        <x:v>511</x:v>
      </x:c>
      <x:c r="E1123" s="51" t="n">
        <x:v>62</x:v>
      </x:c>
      <x:c r="F1123" s="38" t="n">
        <x:v>0.11429210467456945</x:v>
      </x:c>
      <x:c r="G1123" s="38" t="n">
        <x:v>0.013867143815701186</x:v>
      </x:c>
      <x:c r="H1123" s="57" t="n">
        <x:v>4656.049999999999</x:v>
      </x:c>
      <x:c r="I1123" s="57" t="n">
        <x:v>0.334</x:v>
      </x:c>
      <x:c r="J1123" s="57" t="n">
        <x:v>25.840861004849</x:v>
      </x:c>
      <x:c r="K1123" s="57" t="n">
        <x:v>68.7612915072735</x:v>
      </x:c>
      <x:c r="L1123" s="57" t="n">
        <x:v>100.37327358181929</x:v>
      </x:c>
    </x:row>
    <x:row r="1124" ht="32.400001525878906" hidden="0" customHeight="1">
      <x:c r="A1124" s="27" t="str">
        <x:v>Miami-Dade County, Florida</x:v>
      </x:c>
      <x:c r="B1124" s="27" t="str">
        <x:v>12086000124</x:v>
      </x:c>
      <x:c r="C1124" s="50" t="n">
        <x:v>2960</x:v>
      </x:c>
      <x:c r="D1124" s="50" t="n">
        <x:v>348</x:v>
      </x:c>
      <x:c r="E1124" s="50" t="n">
        <x:v>223</x:v>
      </x:c>
      <x:c r="F1124" s="37" t="n">
        <x:v>0.11756756756756757</x:v>
      </x:c>
      <x:c r="G1124" s="37" t="n">
        <x:v>0.07533783783783783</x:v>
      </x:c>
      <x:c r="H1124" s="56" t="n">
        <x:v>3104.100000000001</x:v>
      </x:c>
      <x:c r="I1124" s="56" t="n">
        <x:v>0.241</x:v>
      </x:c>
      <x:c r="J1124" s="56" t="n">
        <x:v>16.84534279486762</x:v>
      </x:c>
      <x:c r="K1124" s="56" t="n">
        <x:v>55.26801419230143</x:v>
      </x:c>
      <x:c r="L1124" s="56" t="n">
        <x:v>81.09716313185919</x:v>
      </x:c>
    </x:row>
    <x:row r="1125" ht="32.400001525878906" hidden="0" customHeight="1">
      <x:c r="A1125" s="29" t="str">
        <x:v>Miami-Dade County, Florida</x:v>
      </x:c>
      <x:c r="B1125" s="29" t="str">
        <x:v>12086000125</x:v>
      </x:c>
      <x:c r="C1125" s="51" t="n">
        <x:v>4413</x:v>
      </x:c>
      <x:c r="D1125" s="51" t="n">
        <x:v>537</x:v>
      </x:c>
      <x:c r="E1125" s="51" t="n">
        <x:v>635</x:v>
      </x:c>
      <x:c r="F1125" s="38" t="n">
        <x:v>0.12168592794017676</x:v>
      </x:c>
      <x:c r="G1125" s="38" t="n">
        <x:v>0.1438930432812146</x:v>
      </x:c>
      <x:c r="H1125" s="57" t="n">
        <x:v>4664.45</x:v>
      </x:c>
      <x:c r="I1125" s="57" t="n">
        <x:v>0.08</x:v>
      </x:c>
      <x:c r="J1125" s="57" t="n">
        <x:v>24.13100940197431</x:v>
      </x:c>
      <x:c r="K1125" s="57" t="n">
        <x:v>66.19651410296146</x:v>
      </x:c>
      <x:c r="L1125" s="57" t="n">
        <x:v>96.70930586137352</x:v>
      </x:c>
    </x:row>
    <x:row r="1126" ht="32.400001525878906" hidden="0" customHeight="1">
      <x:c r="A1126" s="27" t="str">
        <x:v>Miami-Dade County, Florida</x:v>
      </x:c>
      <x:c r="B1126" s="27" t="str">
        <x:v>12086000126</x:v>
      </x:c>
      <x:c r="C1126" s="50" t="n">
        <x:v>1625</x:v>
      </x:c>
      <x:c r="D1126" s="50" t="n">
        <x:v>298</x:v>
      </x:c>
      <x:c r="E1126" s="50" t="n">
        <x:v>173</x:v>
      </x:c>
      <x:c r="F1126" s="37" t="n">
        <x:v>0.1833846153846154</x:v>
      </x:c>
      <x:c r="G1126" s="37" t="n">
        <x:v>0.10646153846153845</x:v>
      </x:c>
      <x:c r="H1126" s="56" t="n">
        <x:v>1746.5999999999997</x:v>
      </x:c>
      <x:c r="I1126" s="56" t="n">
        <x:v>0.116</x:v>
      </x:c>
      <x:c r="J1126" s="56" t="n">
        <x:v>25.18446325443143</x:v>
      </x:c>
      <x:c r="K1126" s="56" t="n">
        <x:v>67.77669488164715</x:v>
      </x:c>
      <x:c r="L1126" s="56" t="n">
        <x:v>98.96670697378164</x:v>
      </x:c>
    </x:row>
    <x:row r="1127" ht="32.400001525878906" hidden="0" customHeight="1">
      <x:c r="A1127" s="29" t="str">
        <x:v>Miami-Dade County, Florida</x:v>
      </x:c>
      <x:c r="B1127" s="29" t="str">
        <x:v>12086000127</x:v>
      </x:c>
      <x:c r="C1127" s="51" t="n">
        <x:v>3355</x:v>
      </x:c>
      <x:c r="D1127" s="51" t="n">
        <x:v>390</x:v>
      </x:c>
      <x:c r="E1127" s="51" t="n">
        <x:v>186</x:v>
      </x:c>
      <x:c r="F1127" s="38" t="n">
        <x:v>0.11624441132637854</x:v>
      </x:c>
      <x:c r="G1127" s="38" t="n">
        <x:v>0.055439642324888225</x:v>
      </x:c>
      <x:c r="H1127" s="57" t="n">
        <x:v>3510.1</x:v>
      </x:c>
      <x:c r="I1127" s="57" t="n">
        <x:v>0.181</x:v>
      </x:c>
      <x:c r="J1127" s="57" t="n">
        <x:v>23.70580503746113</x:v>
      </x:c>
      <x:c r="K1127" s="57" t="n">
        <x:v>65.55870755619169</x:v>
      </x:c>
      <x:c r="L1127" s="57" t="n">
        <x:v>95.79815365170242</x:v>
      </x:c>
    </x:row>
    <x:row r="1128" ht="32.400001525878906" hidden="0" customHeight="1">
      <x:c r="A1128" s="27" t="str">
        <x:v>Miami-Dade County, Florida</x:v>
      </x:c>
      <x:c r="B1128" s="27" t="str">
        <x:v>12086000128</x:v>
      </x:c>
      <x:c r="C1128" s="50" t="n">
        <x:v>4050</x:v>
      </x:c>
      <x:c r="D1128" s="50" t="n">
        <x:v>459</x:v>
      </x:c>
      <x:c r="E1128" s="50" t="n">
        <x:v>158</x:v>
      </x:c>
      <x:c r="F1128" s="37" t="n">
        <x:v>0.11333333333333333</x:v>
      </x:c>
      <x:c r="G1128" s="37" t="n">
        <x:v>0.03901234567901234</x:v>
      </x:c>
      <x:c r="H1128" s="56" t="n">
        <x:v>4226.450000000001</x:v>
      </x:c>
      <x:c r="I1128" s="56" t="n">
        <x:v>0.457</x:v>
      </x:c>
      <x:c r="J1128" s="56" t="n">
        <x:v>22.62080437047758</x:v>
      </x:c>
      <x:c r="K1128" s="56" t="n">
        <x:v>63.93120655571637</x:v>
      </x:c>
      <x:c r="L1128" s="56" t="n">
        <x:v>93.47315222245196</x:v>
      </x:c>
    </x:row>
    <x:row r="1129" ht="32.400001525878906" hidden="0" customHeight="1">
      <x:c r="A1129" s="29" t="str">
        <x:v>Miami-Dade County, Florida</x:v>
      </x:c>
      <x:c r="B1129" s="29" t="str">
        <x:v>12086000129</x:v>
      </x:c>
      <x:c r="C1129" s="51" t="n">
        <x:v>1936</x:v>
      </x:c>
      <x:c r="D1129" s="51" t="n">
        <x:v>316</x:v>
      </x:c>
      <x:c r="E1129" s="51" t="n">
        <x:v>99</x:v>
      </x:c>
      <x:c r="F1129" s="38" t="n">
        <x:v>0.16322314049586778</x:v>
      </x:c>
      <x:c r="G1129" s="38" t="n">
        <x:v>0.05113636363636364</x:v>
      </x:c>
      <x:c r="H1129" s="57" t="n">
        <x:v>2056.5</x:v>
      </x:c>
      <x:c r="I1129" s="57" t="n">
        <x:v>0.118</x:v>
      </x:c>
      <x:c r="J1129" s="57" t="n">
        <x:v>24.953135569431865</x:v>
      </x:c>
      <x:c r="K1129" s="57" t="n">
        <x:v>67.42970335414779</x:v>
      </x:c>
      <x:c r="L1129" s="57" t="n">
        <x:v>98.4710047916397</x:v>
      </x:c>
    </x:row>
    <x:row r="1130" ht="32.400001525878906" hidden="0" customHeight="1">
      <x:c r="A1130" s="27" t="str">
        <x:v>Miami-Dade County, Florida</x:v>
      </x:c>
      <x:c r="B1130" s="27" t="str">
        <x:v>12086000130</x:v>
      </x:c>
      <x:c r="C1130" s="50" t="n">
        <x:v>2945</x:v>
      </x:c>
      <x:c r="D1130" s="50" t="n">
        <x:v>379</x:v>
      </x:c>
      <x:c r="E1130" s="50" t="n">
        <x:v>85</x:v>
      </x:c>
      <x:c r="F1130" s="37" t="n">
        <x:v>0.12869269949066214</x:v>
      </x:c>
      <x:c r="G1130" s="37" t="n">
        <x:v>0.028862478777589132</x:v>
      </x:c>
      <x:c r="H1130" s="56" t="n">
        <x:v>3086.15</x:v>
      </x:c>
      <x:c r="I1130" s="56" t="n">
        <x:v>0.403</x:v>
      </x:c>
      <x:c r="J1130" s="56" t="n">
        <x:v>21.188278812329322</x:v>
      </x:c>
      <x:c r="K1130" s="56" t="n">
        <x:v>61.78241821849399</x:v>
      </x:c>
      <x:c r="L1130" s="56" t="n">
        <x:v>90.40345459784855</x:v>
      </x:c>
    </x:row>
    <x:row r="1131" ht="32.400001525878906" hidden="0" customHeight="1">
      <x:c r="A1131" s="29" t="str">
        <x:v>Miami-Dade County, Florida</x:v>
      </x:c>
      <x:c r="B1131" s="29" t="str">
        <x:v>12086000131</x:v>
      </x:c>
      <x:c r="C1131" s="51" t="n">
        <x:v>4862</x:v>
      </x:c>
      <x:c r="D1131" s="51" t="n">
        <x:v>575</x:v>
      </x:c>
      <x:c r="E1131" s="51" t="n">
        <x:v>93</x:v>
      </x:c>
      <x:c r="F1131" s="38" t="n">
        <x:v>0.11826408885232415</x:v>
      </x:c>
      <x:c r="G1131" s="38" t="n">
        <x:v>0.019127930892636775</x:v>
      </x:c>
      <x:c r="H1131" s="57" t="n">
        <x:v>5072.55</x:v>
      </x:c>
      <x:c r="I1131" s="57" t="n">
        <x:v>0.192</x:v>
      </x:c>
      <x:c r="J1131" s="57" t="n">
        <x:v>25.28000404283854</x:v>
      </x:c>
      <x:c r="K1131" s="57" t="n">
        <x:v>67.92000606425782</x:v>
      </x:c>
      <x:c r="L1131" s="57" t="n">
        <x:v>99.17143723465402</x:v>
      </x:c>
    </x:row>
    <x:row r="1132" ht="32.400001525878906" hidden="0" customHeight="1">
      <x:c r="A1132" s="27" t="str">
        <x:v>Miami-Dade County, Florida</x:v>
      </x:c>
      <x:c r="B1132" s="27" t="str">
        <x:v>12086000132</x:v>
      </x:c>
      <x:c r="C1132" s="50" t="n">
        <x:v>5202</x:v>
      </x:c>
      <x:c r="D1132" s="50" t="n">
        <x:v>812</x:v>
      </x:c>
      <x:c r="E1132" s="50" t="n">
        <x:v>602</x:v>
      </x:c>
      <x:c r="F1132" s="37" t="n">
        <x:v>0.15609381007304882</x:v>
      </x:c>
      <x:c r="G1132" s="37" t="n">
        <x:v>0.11572472126105345</x:v>
      </x:c>
      <x:c r="H1132" s="56" t="n">
        <x:v>5546.399999999999</x:v>
      </x:c>
      <x:c r="I1132" s="56" t="n">
        <x:v>0.207</x:v>
      </x:c>
      <x:c r="J1132" s="56" t="n">
        <x:v>24.189038058670313</x:v>
      </x:c>
      <x:c r="K1132" s="56" t="n">
        <x:v>66.28355708800547</x:v>
      </x:c>
      <x:c r="L1132" s="56" t="n">
        <x:v>96.83365298286496</x:v>
      </x:c>
    </x:row>
    <x:row r="1133" ht="32.400001525878906" hidden="0" customHeight="1">
      <x:c r="A1133" s="29" t="str">
        <x:v>Miami-Dade County, Florida</x:v>
      </x:c>
      <x:c r="B1133" s="29" t="str">
        <x:v>12086000134</x:v>
      </x:c>
      <x:c r="C1133" s="51" t="n">
        <x:v>3165</x:v>
      </x:c>
      <x:c r="D1133" s="51" t="n">
        <x:v>387</x:v>
      </x:c>
      <x:c r="E1133" s="51" t="n">
        <x:v>250</x:v>
      </x:c>
      <x:c r="F1133" s="38" t="n">
        <x:v>0.12227488151658768</x:v>
      </x:c>
      <x:c r="G1133" s="38" t="n">
        <x:v>0.07898894154818326</x:v>
      </x:c>
      <x:c r="H1133" s="57" t="n">
        <x:v>3325.4500000000003</x:v>
      </x:c>
      <x:c r="I1133" s="57" t="n">
        <x:v>0.618</x:v>
      </x:c>
      <x:c r="J1133" s="57" t="n">
        <x:v>27.366428159331427</x:v>
      </x:c>
      <x:c r="K1133" s="57" t="n">
        <x:v>71.04964223899714</x:v>
      </x:c>
      <x:c r="L1133" s="57" t="n">
        <x:v>103.6423460557102</x:v>
      </x:c>
    </x:row>
    <x:row r="1134" ht="32.400001525878906" hidden="0" customHeight="1">
      <x:c r="A1134" s="27" t="str">
        <x:v>Miami-Dade County, Florida</x:v>
      </x:c>
      <x:c r="B1134" s="27" t="str">
        <x:v>12086000140</x:v>
      </x:c>
      <x:c r="C1134" s="50" t="n">
        <x:v>3485</x:v>
      </x:c>
      <x:c r="D1134" s="50" t="n">
        <x:v>311</x:v>
      </x:c>
      <x:c r="E1134" s="50" t="n">
        <x:v>228.5</x:v>
      </x:c>
      <x:c r="F1134" s="37" t="n">
        <x:v>0.08923959827833572</x:v>
      </x:c>
      <x:c r="G1134" s="37" t="n">
        <x:v>0.06556671449067432</x:v>
      </x:c>
      <x:c r="H1134" s="56" t="n">
        <x:v>3616.7000000000003</x:v>
      </x:c>
      <x:c r="I1134" s="56" t="n">
        <x:v>0.124</x:v>
      </x:c>
      <x:c r="J1134" s="56" t="n">
        <x:v>23.8246720157409</x:v>
      </x:c>
      <x:c r="K1134" s="56" t="n">
        <x:v>65.73700802361135</x:v>
      </x:c>
      <x:c r="L1134" s="56" t="n">
        <x:v>96.05286860515906</x:v>
      </x:c>
    </x:row>
    <x:row r="1135" ht="32.400001525878906" hidden="0" customHeight="1">
      <x:c r="A1135" s="29" t="str">
        <x:v>Miami-Dade County, Florida</x:v>
      </x:c>
      <x:c r="B1135" s="29" t="str">
        <x:v>12086000141</x:v>
      </x:c>
      <x:c r="C1135" s="51" t="n">
        <x:v>2474</x:v>
      </x:c>
      <x:c r="D1135" s="51" t="n">
        <x:v>190</x:v>
      </x:c>
      <x:c r="E1135" s="51" t="n">
        <x:v>43</x:v>
      </x:c>
      <x:c r="F1135" s="38" t="n">
        <x:v>0.07679870654810024</x:v>
      </x:c>
      <x:c r="G1135" s="38" t="n">
        <x:v>0.017380759902991108</x:v>
      </x:c>
      <x:c r="H1135" s="57" t="n">
        <x:v>2544.8</x:v>
      </x:c>
      <x:c r="I1135" s="57" t="n">
        <x:v>0.211</x:v>
      </x:c>
      <x:c r="J1135" s="57" t="n">
        <x:v>25.790312462856207</x:v>
      </x:c>
      <x:c r="K1135" s="57" t="n">
        <x:v>68.68546869428431</x:v>
      </x:c>
      <x:c r="L1135" s="57" t="n">
        <x:v>100.264955277549</x:v>
      </x:c>
    </x:row>
    <x:row r="1136" ht="32.400001525878906" hidden="0" customHeight="1">
      <x:c r="A1136" s="27" t="str">
        <x:v>Miami-Dade County, Florida</x:v>
      </x:c>
      <x:c r="B1136" s="27" t="str">
        <x:v>12086000142</x:v>
      </x:c>
      <x:c r="C1136" s="50" t="n">
        <x:v>4815</x:v>
      </x:c>
      <x:c r="D1136" s="50" t="n">
        <x:v>383</x:v>
      </x:c>
      <x:c r="E1136" s="50" t="n">
        <x:v>196</x:v>
      </x:c>
      <x:c r="F1136" s="37" t="n">
        <x:v>0.07954309449636553</x:v>
      </x:c>
      <x:c r="G1136" s="37" t="n">
        <x:v>0.0407061266874351</x:v>
      </x:c>
      <x:c r="H1136" s="56" t="n">
        <x:v>4968.650000000001</x:v>
      </x:c>
      <x:c r="I1136" s="56" t="n">
        <x:v>0.135</x:v>
      </x:c>
      <x:c r="J1136" s="56" t="n">
        <x:v>26.40991902730381</x:v>
      </x:c>
      <x:c r="K1136" s="56" t="n">
        <x:v>69.61487854095571</x:v>
      </x:c>
      <x:c r="L1136" s="56" t="n">
        <x:v>101.59268362993674</x:v>
      </x:c>
    </x:row>
    <x:row r="1137" ht="32.400001525878906" hidden="0" customHeight="1">
      <x:c r="A1137" s="29" t="str">
        <x:v>Miami-Dade County, Florida</x:v>
      </x:c>
      <x:c r="B1137" s="29" t="str">
        <x:v>12086000143</x:v>
      </x:c>
      <x:c r="C1137" s="51" t="n">
        <x:v>2681</x:v>
      </x:c>
      <x:c r="D1137" s="51" t="n">
        <x:v>338</x:v>
      </x:c>
      <x:c r="E1137" s="51" t="n">
        <x:v>278</x:v>
      </x:c>
      <x:c r="F1137" s="38" t="n">
        <x:v>0.12607236105930622</x:v>
      </x:c>
      <x:c r="G1137" s="38" t="n">
        <x:v>0.10369265199552406</x:v>
      </x:c>
      <x:c r="H1137" s="57" t="n">
        <x:v>2827.1000000000004</x:v>
      </x:c>
      <x:c r="I1137" s="57" t="n">
        <x:v>0.218</x:v>
      </x:c>
      <x:c r="J1137" s="57" t="n">
        <x:v>27.73340155425375</x:v>
      </x:c>
      <x:c r="K1137" s="57" t="n">
        <x:v>71.60010233138063</x:v>
      </x:c>
      <x:c r="L1137" s="57" t="n">
        <x:v>104.42871761625804</x:v>
      </x:c>
    </x:row>
    <x:row r="1138" ht="32.400001525878906" hidden="0" customHeight="1">
      <x:c r="A1138" s="27" t="str">
        <x:v>Miami-Dade County, Florida</x:v>
      </x:c>
      <x:c r="B1138" s="27" t="str">
        <x:v>12086000144</x:v>
      </x:c>
      <x:c r="C1138" s="50" t="n">
        <x:v>1340</x:v>
      </x:c>
      <x:c r="D1138" s="50" t="n">
        <x:v>83</x:v>
      </x:c>
      <x:c r="E1138" s="50" t="n">
        <x:v>44</x:v>
      </x:c>
      <x:c r="F1138" s="37" t="n">
        <x:v>0.06194029850746269</x:v>
      </x:c>
      <x:c r="G1138" s="37" t="n">
        <x:v>0.03283582089552239</x:v>
      </x:c>
      <x:c r="H1138" s="56" t="n">
        <x:v>1373.45</x:v>
      </x:c>
      <x:c r="I1138" s="56" t="n">
        <x:v>0.26</x:v>
      </x:c>
      <x:c r="J1138" s="56" t="n">
        <x:v>27.400888698487165</x:v>
      </x:c>
      <x:c r="K1138" s="56" t="n">
        <x:v>71.10133304773075</x:v>
      </x:c>
      <x:c r="L1138" s="56" t="n">
        <x:v>103.71619006818679</x:v>
      </x:c>
    </x:row>
    <x:row r="1139" ht="32.400001525878906" hidden="0" customHeight="1">
      <x:c r="A1139" s="29" t="str">
        <x:v>Miami-Dade County, Florida</x:v>
      </x:c>
      <x:c r="B1139" s="29" t="str">
        <x:v>12086000145</x:v>
      </x:c>
      <x:c r="C1139" s="51" t="n">
        <x:v>2973</x:v>
      </x:c>
      <x:c r="D1139" s="51" t="n">
        <x:v>387</x:v>
      </x:c>
      <x:c r="E1139" s="51" t="n">
        <x:v>92.5</x:v>
      </x:c>
      <x:c r="F1139" s="38" t="n">
        <x:v>0.1301715438950555</x:v>
      </x:c>
      <x:c r="G1139" s="38" t="n">
        <x:v>0.031113353514968047</x:v>
      </x:c>
      <x:c r="H1139" s="57" t="n">
        <x:v>3117.7000000000003</x:v>
      </x:c>
      <x:c r="I1139" s="57" t="n">
        <x:v>0.314</x:v>
      </x:c>
      <x:c r="J1139" s="57" t="n">
        <x:v>28.977847896028653</x:v>
      </x:c>
      <x:c r="K1139" s="57" t="n">
        <x:v>73.46677184404298</x:v>
      </x:c>
      <x:c r="L1139" s="57" t="n">
        <x:v>107.09538834863282</x:v>
      </x:c>
    </x:row>
    <x:row r="1140" ht="32.400001525878906" hidden="0" customHeight="1">
      <x:c r="A1140" s="27" t="str">
        <x:v>Miami-Dade County, Florida</x:v>
      </x:c>
      <x:c r="B1140" s="27" t="str">
        <x:v>12086000146</x:v>
      </x:c>
      <x:c r="C1140" s="50" t="n">
        <x:v>4597</x:v>
      </x:c>
      <x:c r="D1140" s="50" t="n">
        <x:v>159</x:v>
      </x:c>
      <x:c r="E1140" s="50" t="n">
        <x:v>43</x:v>
      </x:c>
      <x:c r="F1140" s="37" t="n">
        <x:v>0.03458777463563193</x:v>
      </x:c>
      <x:c r="G1140" s="37" t="n">
        <x:v>0.009353926473787253</x:v>
      </x:c>
      <x:c r="H1140" s="56" t="n">
        <x:v>4656.95</x:v>
      </x:c>
      <x:c r="I1140" s="56" t="n">
        <x:v>0.179</x:v>
      </x:c>
      <x:c r="J1140" s="56" t="n">
        <x:v>28.87316628342887</x:v>
      </x:c>
      <x:c r="K1140" s="56" t="n">
        <x:v>73.30974942514331</x:v>
      </x:c>
      <x:c r="L1140" s="56" t="n">
        <x:v>106.87107060734758</x:v>
      </x:c>
    </x:row>
    <x:row r="1141" ht="32.400001525878906" hidden="0" customHeight="1">
      <x:c r="A1141" s="29" t="str">
        <x:v>Miami-Dade County, Florida</x:v>
      </x:c>
      <x:c r="B1141" s="29" t="str">
        <x:v>12086000204</x:v>
      </x:c>
      <x:c r="C1141" s="51" t="n">
        <x:v>3667</x:v>
      </x:c>
      <x:c r="D1141" s="51" t="n">
        <x:v>350</x:v>
      </x:c>
      <x:c r="E1141" s="51" t="n">
        <x:v>56</x:v>
      </x:c>
      <x:c r="F1141" s="38" t="n">
        <x:v>0.09544586855740388</x:v>
      </x:c>
      <x:c r="G1141" s="38" t="n">
        <x:v>0.01527133896918462</x:v>
      </x:c>
      <x:c r="H1141" s="57" t="n">
        <x:v>3795.1</x:v>
      </x:c>
      <x:c r="I1141" s="57" t="n">
        <x:v>1.093</x:v>
      </x:c>
      <x:c r="J1141" s="57" t="n">
        <x:v>22.238799234199654</x:v>
      </x:c>
      <x:c r="K1141" s="57" t="n">
        <x:v>63.358198851299484</x:v>
      </x:c>
      <x:c r="L1141" s="57" t="n">
        <x:v>92.6545697875707</x:v>
      </x:c>
    </x:row>
    <x:row r="1142" ht="32.400001525878906" hidden="0" customHeight="1">
      <x:c r="A1142" s="27" t="str">
        <x:v>Miami-Dade County, Florida</x:v>
      </x:c>
      <x:c r="B1142" s="27" t="str">
        <x:v>12086000206</x:v>
      </x:c>
      <x:c r="C1142" s="50" t="n">
        <x:v>7277</x:v>
      </x:c>
      <x:c r="D1142" s="50" t="n">
        <x:v>1082</x:v>
      </x:c>
      <x:c r="E1142" s="50" t="n">
        <x:v>772</x:v>
      </x:c>
      <x:c r="F1142" s="37" t="n">
        <x:v>0.14868764600797033</x:v>
      </x:c>
      <x:c r="G1142" s="37" t="n">
        <x:v>0.10608767349182355</x:v>
      </x:c>
      <x:c r="H1142" s="56" t="n">
        <x:v>7732.900000000001</x:v>
      </x:c>
      <x:c r="I1142" s="56" t="n">
        <x:v>0.915</x:v>
      </x:c>
      <x:c r="J1142" s="56" t="n">
        <x:v>20.19108093243952</x:v>
      </x:c>
      <x:c r="K1142" s="56" t="n">
        <x:v>60.28662139865928</x:v>
      </x:c>
      <x:c r="L1142" s="56" t="n">
        <x:v>88.2666019980847</x:v>
      </x:c>
    </x:row>
    <x:row r="1143" ht="32.400001525878906" hidden="0" customHeight="1">
      <x:c r="A1143" s="29" t="str">
        <x:v>Miami-Dade County, Florida</x:v>
      </x:c>
      <x:c r="B1143" s="29" t="str">
        <x:v>12086000211</x:v>
      </x:c>
      <x:c r="C1143" s="51" t="n">
        <x:v>2487</x:v>
      </x:c>
      <x:c r="D1143" s="51" t="n">
        <x:v>311</x:v>
      </x:c>
      <x:c r="E1143" s="51" t="n">
        <x:v>55</x:v>
      </x:c>
      <x:c r="F1143" s="38" t="n">
        <x:v>0.12505026135906716</x:v>
      </x:c>
      <x:c r="G1143" s="38" t="n">
        <x:v>0.022114997989545637</x:v>
      </x:c>
      <x:c r="H1143" s="57" t="n">
        <x:v>2601.35</x:v>
      </x:c>
      <x:c r="I1143" s="57" t="n">
        <x:v>0.621</x:v>
      </x:c>
      <x:c r="J1143" s="57" t="n">
        <x:v>24.184126747226294</x:v>
      </x:c>
      <x:c r="K1143" s="57" t="n">
        <x:v>66.27619012083944</x:v>
      </x:c>
      <x:c r="L1143" s="57" t="n">
        <x:v>96.82312874405635</x:v>
      </x:c>
    </x:row>
    <x:row r="1144" ht="32.400001525878906" hidden="0" customHeight="1">
      <x:c r="A1144" s="27" t="str">
        <x:v>Miami-Dade County, Florida</x:v>
      </x:c>
      <x:c r="B1144" s="27" t="str">
        <x:v>12086000212</x:v>
      </x:c>
      <x:c r="C1144" s="50" t="n">
        <x:v>4618</x:v>
      </x:c>
      <x:c r="D1144" s="50" t="n">
        <x:v>625</x:v>
      </x:c>
      <x:c r="E1144" s="50" t="n">
        <x:v>461</x:v>
      </x:c>
      <x:c r="F1144" s="37" t="n">
        <x:v>0.135339974014725</x:v>
      </x:c>
      <x:c r="G1144" s="37" t="n">
        <x:v>0.09982676483326115</x:v>
      </x:c>
      <x:c r="H1144" s="56" t="n">
        <x:v>4882.85</x:v>
      </x:c>
      <x:c r="I1144" s="56" t="n">
        <x:v>0.243</x:v>
      </x:c>
      <x:c r="J1144" s="56" t="n">
        <x:v>22.552078426393845</x:v>
      </x:c>
      <x:c r="K1144" s="56" t="n">
        <x:v>63.828117639590765</x:v>
      </x:c>
      <x:c r="L1144" s="56" t="n">
        <x:v>93.32588234227252</x:v>
      </x:c>
    </x:row>
    <x:row r="1145" ht="32.400001525878906" hidden="0" customHeight="1">
      <x:c r="A1145" s="29" t="str">
        <x:v>Miami-Dade County, Florida</x:v>
      </x:c>
      <x:c r="B1145" s="29" t="str">
        <x:v>12086000213</x:v>
      </x:c>
      <x:c r="C1145" s="51" t="n">
        <x:v>5918</x:v>
      </x:c>
      <x:c r="D1145" s="51" t="n">
        <x:v>346</x:v>
      </x:c>
      <x:c r="E1145" s="51" t="n">
        <x:v>154</x:v>
      </x:c>
      <x:c r="F1145" s="38" t="n">
        <x:v>0.05846569787090233</x:v>
      </x:c>
      <x:c r="G1145" s="38" t="n">
        <x:v>0.026022304832713755</x:v>
      </x:c>
      <x:c r="H1145" s="57" t="n">
        <x:v>6054.5</x:v>
      </x:c>
      <x:c r="I1145" s="57" t="n">
        <x:v>0.604</x:v>
      </x:c>
      <x:c r="J1145" s="57" t="n">
        <x:v>22.82039472222226</x:v>
      </x:c>
      <x:c r="K1145" s="57" t="n">
        <x:v>64.23059208333339</x:v>
      </x:c>
      <x:c r="L1145" s="57" t="n">
        <x:v>93.90084583333342</x:v>
      </x:c>
    </x:row>
    <x:row r="1146" ht="32.400001525878906" hidden="0" customHeight="1">
      <x:c r="A1146" s="27" t="str">
        <x:v>Miami-Dade County, Florida</x:v>
      </x:c>
      <x:c r="B1146" s="27" t="str">
        <x:v>12086000215</x:v>
      </x:c>
      <x:c r="C1146" s="50" t="n">
        <x:v>5291</x:v>
      </x:c>
      <x:c r="D1146" s="50" t="n">
        <x:v>399</x:v>
      </x:c>
      <x:c r="E1146" s="50" t="n">
        <x:v>370</x:v>
      </x:c>
      <x:c r="F1146" s="37" t="n">
        <x:v>0.07541107541107542</x:v>
      </x:c>
      <x:c r="G1146" s="37" t="n">
        <x:v>0.06993006993006994</x:v>
      </x:c>
      <x:c r="H1146" s="56" t="n">
        <x:v>5467.650000000001</x:v>
      </x:c>
      <x:c r="I1146" s="56" t="n">
        <x:v>0.391</x:v>
      </x:c>
      <x:c r="J1146" s="56" t="n">
        <x:v>20.10993884122282</x:v>
      </x:c>
      <x:c r="K1146" s="56" t="n">
        <x:v>60.164908261834235</x:v>
      </x:c>
      <x:c r="L1146" s="56" t="n">
        <x:v>88.09272608833462</x:v>
      </x:c>
    </x:row>
    <x:row r="1147" ht="32.400001525878906" hidden="0" customHeight="1">
      <x:c r="A1147" s="29" t="str">
        <x:v>Miami-Dade County, Florida</x:v>
      </x:c>
      <x:c r="B1147" s="29" t="str">
        <x:v>12086000216</x:v>
      </x:c>
      <x:c r="C1147" s="51" t="n">
        <x:v>4510</x:v>
      </x:c>
      <x:c r="D1147" s="51" t="n">
        <x:v>308</x:v>
      </x:c>
      <x:c r="E1147" s="51" t="n">
        <x:v>725.5</x:v>
      </x:c>
      <x:c r="F1147" s="38" t="n">
        <x:v>0.06829268292682927</x:v>
      </x:c>
      <x:c r="G1147" s="38" t="n">
        <x:v>0.16086474501108647</x:v>
      </x:c>
      <x:c r="H1147" s="57" t="n">
        <x:v>4690.35</x:v>
      </x:c>
      <x:c r="I1147" s="57" t="n">
        <x:v>0.461</x:v>
      </x:c>
      <x:c r="J1147" s="57" t="n">
        <x:v>20.62488996256866</x:v>
      </x:c>
      <x:c r="K1147" s="57" t="n">
        <x:v>60.93733494385299</x:v>
      </x:c>
      <x:c r="L1147" s="57" t="n">
        <x:v>89.19619277693283</x:v>
      </x:c>
    </x:row>
    <x:row r="1148" ht="32.400001525878906" hidden="0" customHeight="1">
      <x:c r="A1148" s="27" t="str">
        <x:v>Miami-Dade County, Florida</x:v>
      </x:c>
      <x:c r="B1148" s="27" t="str">
        <x:v>12086000218</x:v>
      </x:c>
      <x:c r="C1148" s="50" t="n">
        <x:v>2691</x:v>
      </x:c>
      <x:c r="D1148" s="50" t="n">
        <x:v>310</x:v>
      </x:c>
      <x:c r="E1148" s="50" t="n">
        <x:v>372</x:v>
      </x:c>
      <x:c r="F1148" s="37" t="n">
        <x:v>0.11519881085098477</x:v>
      </x:c>
      <x:c r="G1148" s="37" t="n">
        <x:v>0.13823857302118173</x:v>
      </x:c>
      <x:c r="H1148" s="56" t="n">
        <x:v>2836.7</x:v>
      </x:c>
      <x:c r="I1148" s="56" t="n">
        <x:v>0.373</x:v>
      </x:c>
      <x:c r="J1148" s="56" t="n">
        <x:v>17.854773164830544</x:v>
      </x:c>
      <x:c r="K1148" s="56" t="n">
        <x:v>56.782159747245814</x:v>
      </x:c>
      <x:c r="L1148" s="56" t="n">
        <x:v>83.26022821035116</x:v>
      </x:c>
    </x:row>
    <x:row r="1149" ht="32.400001525878906" hidden="0" customHeight="1">
      <x:c r="A1149" s="29" t="str">
        <x:v>Miami-Dade County, Florida</x:v>
      </x:c>
      <x:c r="B1149" s="29" t="str">
        <x:v>12086000219</x:v>
      </x:c>
      <x:c r="C1149" s="51" t="n">
        <x:v>4610</x:v>
      </x:c>
      <x:c r="D1149" s="51" t="n">
        <x:v>231</x:v>
      </x:c>
      <x:c r="E1149" s="51" t="n">
        <x:v>254</x:v>
      </x:c>
      <x:c r="F1149" s="38" t="n">
        <x:v>0.05010845986984815</x:v>
      </x:c>
      <x:c r="G1149" s="38" t="n">
        <x:v>0.05509761388286334</x:v>
      </x:c>
      <x:c r="H1149" s="57" t="n">
        <x:v>4716.25</x:v>
      </x:c>
      <x:c r="I1149" s="57" t="n">
        <x:v>0.485</x:v>
      </x:c>
      <x:c r="J1149" s="57" t="n">
        <x:v>15.9268391340092</x:v>
      </x:c>
      <x:c r="K1149" s="57" t="n">
        <x:v>53.8902587010138</x:v>
      </x:c>
      <x:c r="L1149" s="57" t="n">
        <x:v>79.12894100144828</x:v>
      </x:c>
    </x:row>
    <x:row r="1150" ht="32.400001525878906" hidden="0" customHeight="1">
      <x:c r="A1150" s="27" t="str">
        <x:v>Miami-Dade County, Florida</x:v>
      </x:c>
      <x:c r="B1150" s="27" t="str">
        <x:v>12086000220</x:v>
      </x:c>
      <x:c r="C1150" s="50" t="n">
        <x:v>5651</x:v>
      </x:c>
      <x:c r="D1150" s="50" t="n">
        <x:v>625</x:v>
      </x:c>
      <x:c r="E1150" s="50" t="n">
        <x:v>316.5</x:v>
      </x:c>
      <x:c r="F1150" s="37" t="n">
        <x:v>0.11059989382410193</x:v>
      </x:c>
      <x:c r="G1150" s="37" t="n">
        <x:v>0.05600778623252522</x:v>
      </x:c>
      <x:c r="H1150" s="56" t="n">
        <x:v>5901.400000000001</x:v>
      </x:c>
      <x:c r="I1150" s="56" t="n">
        <x:v>0.506</x:v>
      </x:c>
      <x:c r="J1150" s="56" t="n">
        <x:v>16.929380633561376</x:v>
      </x:c>
      <x:c r="K1150" s="56" t="n">
        <x:v>55.39407095034206</x:v>
      </x:c>
      <x:c r="L1150" s="56" t="n">
        <x:v>81.27724421477438</x:v>
      </x:c>
    </x:row>
    <x:row r="1151" ht="32.400001525878906" hidden="0" customHeight="1">
      <x:c r="A1151" s="29" t="str">
        <x:v>Miami-Dade County, Florida</x:v>
      </x:c>
      <x:c r="B1151" s="29" t="str">
        <x:v>12086000221</x:v>
      </x:c>
      <x:c r="C1151" s="51" t="n">
        <x:v>2402</x:v>
      </x:c>
      <x:c r="D1151" s="51" t="n">
        <x:v>185</x:v>
      </x:c>
      <x:c r="E1151" s="51" t="n">
        <x:v>24</x:v>
      </x:c>
      <x:c r="F1151" s="38" t="n">
        <x:v>0.07701915070774355</x:v>
      </x:c>
      <x:c r="G1151" s="38" t="n">
        <x:v>0.009991673605328892</x:v>
      </x:c>
      <x:c r="H1151" s="57" t="n">
        <x:v>2469.15</x:v>
      </x:c>
      <x:c r="I1151" s="57" t="n">
        <x:v>0.274</x:v>
      </x:c>
      <x:c r="J1151" s="57" t="n">
        <x:v>22.51305816976827</x:v>
      </x:c>
      <x:c r="K1151" s="57" t="n">
        <x:v>63.76958725465241</x:v>
      </x:c>
      <x:c r="L1151" s="57" t="n">
        <x:v>93.2422675066463</x:v>
      </x:c>
    </x:row>
    <x:row r="1152" ht="32.400001525878906" hidden="0" customHeight="1">
      <x:c r="A1152" s="27" t="str">
        <x:v>Miami-Dade County, Florida</x:v>
      </x:c>
      <x:c r="B1152" s="27" t="str">
        <x:v>12086000222</x:v>
      </x:c>
      <x:c r="C1152" s="50" t="n">
        <x:v>3729</x:v>
      </x:c>
      <x:c r="D1152" s="50" t="n">
        <x:v>237</x:v>
      </x:c>
      <x:c r="E1152" s="50" t="n">
        <x:v>172</x:v>
      </x:c>
      <x:c r="F1152" s="37" t="n">
        <x:v>0.06355591311343524</x:v>
      </x:c>
      <x:c r="G1152" s="37" t="n">
        <x:v>0.04612496647894878</x:v>
      </x:c>
      <x:c r="H1152" s="56" t="n">
        <x:v>3829.1499999999996</x:v>
      </x:c>
      <x:c r="I1152" s="56" t="n">
        <x:v>0.539</x:v>
      </x:c>
      <x:c r="J1152" s="56" t="n">
        <x:v>23.674831916792485</x:v>
      </x:c>
      <x:c r="K1152" s="56" t="n">
        <x:v>65.51224787518873</x:v>
      </x:c>
      <x:c r="L1152" s="56" t="n">
        <x:v>95.73178267884104</x:v>
      </x:c>
    </x:row>
    <x:row r="1153" ht="32.400001525878906" hidden="0" customHeight="1">
      <x:c r="A1153" s="29" t="str">
        <x:v>Miami-Dade County, Florida</x:v>
      </x:c>
      <x:c r="B1153" s="29" t="str">
        <x:v>12086000223</x:v>
      </x:c>
      <x:c r="C1153" s="51" t="n">
        <x:v>3022</x:v>
      </x:c>
      <x:c r="D1153" s="51" t="n">
        <x:v>418</x:v>
      </x:c>
      <x:c r="E1153" s="51" t="n">
        <x:v>253</x:v>
      </x:c>
      <x:c r="F1153" s="38" t="n">
        <x:v>0.13831899404367967</x:v>
      </x:c>
      <x:c r="G1153" s="38" t="n">
        <x:v>0.08371939113170086</x:v>
      </x:c>
      <x:c r="H1153" s="57" t="n">
        <x:v>3193.6</x:v>
      </x:c>
      <x:c r="I1153" s="57" t="n">
        <x:v>0.283</x:v>
      </x:c>
      <x:c r="J1153" s="57" t="n">
        <x:v>17.996253246822626</x:v>
      </x:c>
      <x:c r="K1153" s="57" t="n">
        <x:v>56.99437987023394</x:v>
      </x:c>
      <x:c r="L1153" s="57" t="n">
        <x:v>83.56339981461991</x:v>
      </x:c>
    </x:row>
    <x:row r="1154" ht="32.400001525878906" hidden="0" customHeight="1">
      <x:c r="A1154" s="27" t="str">
        <x:v>Miami-Dade County, Florida</x:v>
      </x:c>
      <x:c r="B1154" s="27" t="str">
        <x:v>12086000224</x:v>
      </x:c>
      <x:c r="C1154" s="50" t="n">
        <x:v>4658</x:v>
      </x:c>
      <x:c r="D1154" s="50" t="n">
        <x:v>343</x:v>
      </x:c>
      <x:c r="E1154" s="50" t="n">
        <x:v>374</x:v>
      </x:c>
      <x:c r="F1154" s="37" t="n">
        <x:v>0.07363675397166165</x:v>
      </x:c>
      <x:c r="G1154" s="37" t="n">
        <x:v>0.08029197080291971</x:v>
      </x:c>
      <x:c r="H1154" s="56" t="n">
        <x:v>4815.45</x:v>
      </x:c>
      <x:c r="I1154" s="56" t="n">
        <x:v>0.453</x:v>
      </x:c>
      <x:c r="J1154" s="56" t="n">
        <x:v>18.866302256516015</x:v>
      </x:c>
      <x:c r="K1154" s="56" t="n">
        <x:v>58.299453384774026</x:v>
      </x:c>
      <x:c r="L1154" s="56" t="n">
        <x:v>85.42779054967718</x:v>
      </x:c>
    </x:row>
    <x:row r="1155" ht="32.400001525878906" hidden="0" customHeight="1">
      <x:c r="A1155" s="29" t="str">
        <x:v>Miami-Dade County, Florida</x:v>
      </x:c>
      <x:c r="B1155" s="29" t="str">
        <x:v>12086000225</x:v>
      </x:c>
      <x:c r="C1155" s="51" t="n">
        <x:v>3933</x:v>
      </x:c>
      <x:c r="D1155" s="51" t="n">
        <x:v>332</x:v>
      </x:c>
      <x:c r="E1155" s="51" t="n">
        <x:v>106</x:v>
      </x:c>
      <x:c r="F1155" s="38" t="n">
        <x:v>0.0844139333841851</x:v>
      </x:c>
      <x:c r="G1155" s="38" t="n">
        <x:v>0.026951436562420543</x:v>
      </x:c>
      <x:c r="H1155" s="57" t="n">
        <x:v>4059.8</x:v>
      </x:c>
      <x:c r="I1155" s="57" t="n">
        <x:v>0.297</x:v>
      </x:c>
      <x:c r="J1155" s="57" t="n">
        <x:v>21.693875279890396</x:v>
      </x:c>
      <x:c r="K1155" s="57" t="n">
        <x:v>62.540812919835595</x:v>
      </x:c>
      <x:c r="L1155" s="57" t="n">
        <x:v>91.48687559976514</x:v>
      </x:c>
    </x:row>
    <x:row r="1156" ht="32.400001525878906" hidden="0" customHeight="1">
      <x:c r="A1156" s="27" t="str">
        <x:v>Miami-Dade County, Florida</x:v>
      </x:c>
      <x:c r="B1156" s="27" t="str">
        <x:v>12086000226</x:v>
      </x:c>
      <x:c r="C1156" s="50" t="n">
        <x:v>2398</x:v>
      </x:c>
      <x:c r="D1156" s="50" t="n">
        <x:v>225</x:v>
      </x:c>
      <x:c r="E1156" s="50" t="n">
        <x:v>126</x:v>
      </x:c>
      <x:c r="F1156" s="37" t="n">
        <x:v>0.09382819015846539</x:v>
      </x:c>
      <x:c r="G1156" s="37" t="n">
        <x:v>0.05254378648874062</x:v>
      </x:c>
      <x:c r="H1156" s="56" t="n">
        <x:v>2489.35</x:v>
      </x:c>
      <x:c r="I1156" s="56" t="n">
        <x:v>0.362</x:v>
      </x:c>
      <x:c r="J1156" s="56" t="n">
        <x:v>22.524265052089714</x:v>
      </x:c>
      <x:c r="K1156" s="56" t="n">
        <x:v>63.78639757813457</x:v>
      </x:c>
      <x:c r="L1156" s="56" t="n">
        <x:v>93.26628225447796</x:v>
      </x:c>
    </x:row>
    <x:row r="1157" ht="32.400001525878906" hidden="0" customHeight="1">
      <x:c r="A1157" s="29" t="str">
        <x:v>Miami-Dade County, Florida</x:v>
      </x:c>
      <x:c r="B1157" s="29" t="str">
        <x:v>12086000227</x:v>
      </x:c>
      <x:c r="C1157" s="51" t="n">
        <x:v>2802</x:v>
      </x:c>
      <x:c r="D1157" s="51" t="n">
        <x:v>402</x:v>
      </x:c>
      <x:c r="E1157" s="51" t="n">
        <x:v>263</x:v>
      </x:c>
      <x:c r="F1157" s="38" t="n">
        <x:v>0.14346895074946467</x:v>
      </x:c>
      <x:c r="G1157" s="38" t="n">
        <x:v>0.09386152748037116</x:v>
      </x:c>
      <x:c r="H1157" s="57" t="n">
        <x:v>2969.0000000000005</x:v>
      </x:c>
      <x:c r="I1157" s="57" t="n">
        <x:v>0.277</x:v>
      </x:c>
      <x:c r="J1157" s="57" t="n">
        <x:v>18.732433209285063</x:v>
      </x:c>
      <x:c r="K1157" s="57" t="n">
        <x:v>58.098649813927594</x:v>
      </x:c>
      <x:c r="L1157" s="57" t="n">
        <x:v>85.14092830561084</x:v>
      </x:c>
    </x:row>
    <x:row r="1158" ht="32.400001525878906" hidden="0" customHeight="1">
      <x:c r="A1158" s="27" t="str">
        <x:v>Miami-Dade County, Florida</x:v>
      </x:c>
      <x:c r="B1158" s="27" t="str">
        <x:v>12086000228</x:v>
      </x:c>
      <x:c r="C1158" s="50" t="n">
        <x:v>3052</x:v>
      </x:c>
      <x:c r="D1158" s="50" t="n">
        <x:v>214</x:v>
      </x:c>
      <x:c r="E1158" s="50" t="n">
        <x:v>185.5</x:v>
      </x:c>
      <x:c r="F1158" s="37" t="n">
        <x:v>0.07011795543905636</x:v>
      </x:c>
      <x:c r="G1158" s="37" t="n">
        <x:v>0.06077981651376147</x:v>
      </x:c>
      <x:c r="H1158" s="56" t="n">
        <x:v>3145.4499999999994</x:v>
      </x:c>
      <x:c r="I1158" s="56" t="n">
        <x:v>0.246</x:v>
      </x:c>
      <x:c r="J1158" s="56" t="n">
        <x:v>19.158753983616116</x:v>
      </x:c>
      <x:c r="K1158" s="56" t="n">
        <x:v>58.73813097542417</x:v>
      </x:c>
      <x:c r="L1158" s="56" t="n">
        <x:v>86.05447282203454</x:v>
      </x:c>
    </x:row>
    <x:row r="1159" ht="32.400001525878906" hidden="0" customHeight="1">
      <x:c r="A1159" s="29" t="str">
        <x:v>Miami-Dade County, Florida</x:v>
      </x:c>
      <x:c r="B1159" s="29" t="str">
        <x:v>12086000302</x:v>
      </x:c>
      <x:c r="C1159" s="51" t="n">
        <x:v>2111</x:v>
      </x:c>
      <x:c r="D1159" s="51" t="n">
        <x:v>140</x:v>
      </x:c>
      <x:c r="E1159" s="51" t="n">
        <x:v>36</x:v>
      </x:c>
      <x:c r="F1159" s="38" t="n">
        <x:v>0.06631927996210327</x:v>
      </x:c>
      <x:c r="G1159" s="38" t="n">
        <x:v>0.01705352913311227</x:v>
      </x:c>
      <x:c r="H1159" s="57" t="n">
        <x:v>2163.6000000000004</x:v>
      </x:c>
      <x:c r="I1159" s="57" t="n">
        <x:v>0.416</x:v>
      </x:c>
      <x:c r="J1159" s="57" t="n">
        <x:v>18.99856401098052</x:v>
      </x:c>
      <x:c r="K1159" s="57" t="n">
        <x:v>58.497846016470774</x:v>
      </x:c>
      <x:c r="L1159" s="57" t="n">
        <x:v>85.71120859495825</x:v>
      </x:c>
    </x:row>
    <x:row r="1160" ht="32.400001525878906" hidden="0" customHeight="1">
      <x:c r="A1160" s="27" t="str">
        <x:v>Miami-Dade County, Florida</x:v>
      </x:c>
      <x:c r="B1160" s="27" t="str">
        <x:v>12086000306</x:v>
      </x:c>
      <x:c r="C1160" s="50" t="n">
        <x:v>4664</x:v>
      </x:c>
      <x:c r="D1160" s="50" t="n">
        <x:v>397</x:v>
      </x:c>
      <x:c r="E1160" s="50" t="n">
        <x:v>798.5</x:v>
      </x:c>
      <x:c r="F1160" s="37" t="n">
        <x:v>0.08512006861063465</x:v>
      </x:c>
      <x:c r="G1160" s="37" t="n">
        <x:v>0.171204974271012</x:v>
      </x:c>
      <x:c r="H1160" s="56" t="n">
        <x:v>4882.799999999999</x:v>
      </x:c>
      <x:c r="I1160" s="56" t="n">
        <x:v>0.445</x:v>
      </x:c>
      <x:c r="J1160" s="56" t="n">
        <x:v>16.16079392385166</x:v>
      </x:c>
      <x:c r="K1160" s="56" t="n">
        <x:v>54.24119088577749</x:v>
      </x:c>
      <x:c r="L1160" s="56" t="n">
        <x:v>79.63027269396784</x:v>
      </x:c>
    </x:row>
    <x:row r="1161" ht="32.400001525878906" hidden="0" customHeight="1">
      <x:c r="A1161" s="29" t="str">
        <x:v>Miami-Dade County, Florida</x:v>
      </x:c>
      <x:c r="B1161" s="29" t="str">
        <x:v>12086000307</x:v>
      </x:c>
      <x:c r="C1161" s="51" t="n">
        <x:v>4451</x:v>
      </x:c>
      <x:c r="D1161" s="51" t="n">
        <x:v>273</x:v>
      </x:c>
      <x:c r="E1161" s="51" t="n">
        <x:v>85</x:v>
      </x:c>
      <x:c r="F1161" s="38" t="n">
        <x:v>0.06133453156594024</x:v>
      </x:c>
      <x:c r="G1161" s="38" t="n">
        <x:v>0.019096832172545496</x:v>
      </x:c>
      <x:c r="H1161" s="57" t="n">
        <x:v>4555.049999999999</x:v>
      </x:c>
      <x:c r="I1161" s="57" t="n">
        <x:v>0.631</x:v>
      </x:c>
      <x:c r="J1161" s="57" t="n">
        <x:v>16.616484972183244</x:v>
      </x:c>
      <x:c r="K1161" s="57" t="n">
        <x:v>54.924727458274866</x:v>
      </x:c>
      <x:c r="L1161" s="57" t="n">
        <x:v>80.60675351182124</x:v>
      </x:c>
    </x:row>
    <x:row r="1162" ht="32.400001525878906" hidden="0" customHeight="1">
      <x:c r="A1162" s="27" t="str">
        <x:v>Miami-Dade County, Florida</x:v>
      </x:c>
      <x:c r="B1162" s="27" t="str">
        <x:v>12086000308</x:v>
      </x:c>
      <x:c r="C1162" s="50" t="n">
        <x:v>4386</x:v>
      </x:c>
      <x:c r="D1162" s="50" t="n">
        <x:v>218</x:v>
      </x:c>
      <x:c r="E1162" s="50" t="n">
        <x:v>218</x:v>
      </x:c>
      <x:c r="F1162" s="37" t="n">
        <x:v>0.04970360237118103</x:v>
      </x:c>
      <x:c r="G1162" s="37" t="n">
        <x:v>0.04970360237118103</x:v>
      </x:c>
      <x:c r="H1162" s="56" t="n">
        <x:v>4484.1</x:v>
      </x:c>
      <x:c r="I1162" s="56" t="n">
        <x:v>0.749</x:v>
      </x:c>
      <x:c r="J1162" s="56" t="n">
        <x:v>16.508029864254837</x:v>
      </x:c>
      <x:c r="K1162" s="56" t="n">
        <x:v>54.762044796382256</x:v>
      </x:c>
      <x:c r="L1162" s="56" t="n">
        <x:v>80.37434970911751</x:v>
      </x:c>
    </x:row>
    <x:row r="1163" ht="32.400001525878906" hidden="0" customHeight="1">
      <x:c r="A1163" s="29" t="str">
        <x:v>Miami-Dade County, Florida</x:v>
      </x:c>
      <x:c r="B1163" s="29" t="str">
        <x:v>12086000309</x:v>
      </x:c>
      <x:c r="C1163" s="51" t="n">
        <x:v>3550</x:v>
      </x:c>
      <x:c r="D1163" s="51" t="n">
        <x:v>354</x:v>
      </x:c>
      <x:c r="E1163" s="51" t="n">
        <x:v>277.5</x:v>
      </x:c>
      <x:c r="F1163" s="38" t="n">
        <x:v>0.09971830985915493</x:v>
      </x:c>
      <x:c r="G1163" s="38" t="n">
        <x:v>0.07816901408450705</x:v>
      </x:c>
      <x:c r="H1163" s="57" t="n">
        <x:v>3701.6500000000005</x:v>
      </x:c>
      <x:c r="I1163" s="57" t="n">
        <x:v>0.161</x:v>
      </x:c>
      <x:c r="J1163" s="57" t="n">
        <x:v>17.61849637042114</x:v>
      </x:c>
      <x:c r="K1163" s="57" t="n">
        <x:v>56.42774455563171</x:v>
      </x:c>
      <x:c r="L1163" s="57" t="n">
        <x:v>82.75392079375959</x:v>
      </x:c>
    </x:row>
    <x:row r="1164" ht="32.400001525878906" hidden="0" customHeight="1">
      <x:c r="A1164" s="27" t="str">
        <x:v>Miami-Dade County, Florida</x:v>
      </x:c>
      <x:c r="B1164" s="27" t="str">
        <x:v>12086000310</x:v>
      </x:c>
      <x:c r="C1164" s="50" t="n">
        <x:v>4113</x:v>
      </x:c>
      <x:c r="D1164" s="50" t="n">
        <x:v>870</x:v>
      </x:c>
      <x:c r="E1164" s="50" t="n">
        <x:v>614.5</x:v>
      </x:c>
      <x:c r="F1164" s="37" t="n">
        <x:v>0.21152443471918309</x:v>
      </x:c>
      <x:c r="G1164" s="37" t="n">
        <x:v>0.14940432774130805</x:v>
      </x:c>
      <x:c r="H1164" s="56" t="n">
        <x:v>4478.95</x:v>
      </x:c>
      <x:c r="I1164" s="56" t="n">
        <x:v>0.602</x:v>
      </x:c>
      <x:c r="J1164" s="56" t="n">
        <x:v>18.614241710174777</x:v>
      </x:c>
      <x:c r="K1164" s="56" t="n">
        <x:v>57.921362565262164</x:v>
      </x:c>
      <x:c r="L1164" s="56" t="n">
        <x:v>84.88766080751738</x:v>
      </x:c>
    </x:row>
    <x:row r="1165" ht="32.400001525878906" hidden="0" customHeight="1">
      <x:c r="A1165" s="29" t="str">
        <x:v>Miami-Dade County, Florida</x:v>
      </x:c>
      <x:c r="B1165" s="29" t="str">
        <x:v>12086000311</x:v>
      </x:c>
      <x:c r="C1165" s="51" t="n">
        <x:v>4173</x:v>
      </x:c>
      <x:c r="D1165" s="51" t="n">
        <x:v>321</x:v>
      </x:c>
      <x:c r="E1165" s="51" t="n">
        <x:v>80</x:v>
      </x:c>
      <x:c r="F1165" s="38" t="n">
        <x:v>0.07692307692307693</x:v>
      </x:c>
      <x:c r="G1165" s="38" t="n">
        <x:v>0.01917086029235562</x:v>
      </x:c>
      <x:c r="H1165" s="57" t="n">
        <x:v>4293.349999999999</x:v>
      </x:c>
      <x:c r="I1165" s="57" t="n">
        <x:v>0.411</x:v>
      </x:c>
      <x:c r="J1165" s="57" t="n">
        <x:v>20.619541794009486</x:v>
      </x:c>
      <x:c r="K1165" s="57" t="n">
        <x:v>60.92931269101423</x:v>
      </x:c>
      <x:c r="L1165" s="57" t="n">
        <x:v>89.18473241573462</x:v>
      </x:c>
    </x:row>
    <x:row r="1166" ht="32.400001525878906" hidden="0" customHeight="1">
      <x:c r="A1166" s="27" t="str">
        <x:v>Miami-Dade County, Florida</x:v>
      </x:c>
      <x:c r="B1166" s="27" t="str">
        <x:v>12086000312</x:v>
      </x:c>
      <x:c r="C1166" s="50" t="n">
        <x:v>2727</x:v>
      </x:c>
      <x:c r="D1166" s="50" t="n">
        <x:v>302</x:v>
      </x:c>
      <x:c r="E1166" s="50" t="n">
        <x:v>355</x:v>
      </x:c>
      <x:c r="F1166" s="37" t="n">
        <x:v>0.11074440777411075</x:v>
      </x:c>
      <x:c r="G1166" s="37" t="n">
        <x:v>0.1301796846351302</x:v>
      </x:c>
      <x:c r="H1166" s="56" t="n">
        <x:v>2868.2</x:v>
      </x:c>
      <x:c r="I1166" s="56" t="n">
        <x:v>0.759</x:v>
      </x:c>
      <x:c r="J1166" s="56" t="n">
        <x:v>20.503472285656603</x:v>
      </x:c>
      <x:c r="K1166" s="56" t="n">
        <x:v>60.755208428484906</x:v>
      </x:c>
      <x:c r="L1166" s="56" t="n">
        <x:v>88.93601204069273</x:v>
      </x:c>
    </x:row>
    <x:row r="1167" ht="32.400001525878906" hidden="0" customHeight="1">
      <x:c r="A1167" s="29" t="str">
        <x:v>Miami-Dade County, Florida</x:v>
      </x:c>
      <x:c r="B1167" s="29" t="str">
        <x:v>12086000402</x:v>
      </x:c>
      <x:c r="C1167" s="51" t="n">
        <x:v>4486</x:v>
      </x:c>
      <x:c r="D1167" s="51" t="n">
        <x:v>399</x:v>
      </x:c>
      <x:c r="E1167" s="51" t="n">
        <x:v>296.5</x:v>
      </x:c>
      <x:c r="F1167" s="38" t="n">
        <x:v>0.08894337940258583</x:v>
      </x:c>
      <x:c r="G1167" s="38" t="n">
        <x:v>0.06609451627284886</x:v>
      </x:c>
      <x:c r="H1167" s="57" t="n">
        <x:v>4655.3</x:v>
      </x:c>
      <x:c r="I1167" s="57" t="n">
        <x:v>0.667</x:v>
      </x:c>
      <x:c r="J1167" s="57" t="n">
        <x:v>16.800002685248053</x:v>
      </x:c>
      <x:c r="K1167" s="57" t="n">
        <x:v>55.20000402787208</x:v>
      </x:c>
      <x:c r="L1167" s="57" t="n">
        <x:v>81.00000575410297</x:v>
      </x:c>
    </x:row>
    <x:row r="1168" ht="32.400001525878906" hidden="0" customHeight="1">
      <x:c r="A1168" s="27" t="str">
        <x:v>Miami-Dade County, Florida</x:v>
      </x:c>
      <x:c r="B1168" s="27" t="str">
        <x:v>12086000405</x:v>
      </x:c>
      <x:c r="C1168" s="50" t="n">
        <x:v>4357</x:v>
      </x:c>
      <x:c r="D1168" s="50" t="n">
        <x:v>209</x:v>
      </x:c>
      <x:c r="E1168" s="50" t="n">
        <x:v>108</x:v>
      </x:c>
      <x:c r="F1168" s="37" t="n">
        <x:v>0.04796878586183154</x:v>
      </x:c>
      <x:c r="G1168" s="37" t="n">
        <x:v>0.024787697957310076</x:v>
      </x:c>
      <x:c r="H1168" s="56" t="n">
        <x:v>4440.95</x:v>
      </x:c>
      <x:c r="I1168" s="56" t="n">
        <x:v>0.621</x:v>
      </x:c>
      <x:c r="J1168" s="56" t="n">
        <x:v>16.886986433383246</x:v>
      </x:c>
      <x:c r="K1168" s="56" t="n">
        <x:v>55.33047965007487</x:v>
      </x:c>
      <x:c r="L1168" s="56" t="n">
        <x:v>81.18639950010696</x:v>
      </x:c>
    </x:row>
    <x:row r="1169" ht="32.400001525878906" hidden="0" customHeight="1">
      <x:c r="A1169" s="29" t="str">
        <x:v>Miami-Dade County, Florida</x:v>
      </x:c>
      <x:c r="B1169" s="29" t="str">
        <x:v>12086000408</x:v>
      </x:c>
      <x:c r="C1169" s="51" t="n">
        <x:v>5684</x:v>
      </x:c>
      <x:c r="D1169" s="51" t="n">
        <x:v>566</x:v>
      </x:c>
      <x:c r="E1169" s="51" t="n">
        <x:v>1031.5</x:v>
      </x:c>
      <x:c r="F1169" s="38" t="n">
        <x:v>0.0995777621393385</x:v>
      </x:c>
      <x:c r="G1169" s="38" t="n">
        <x:v>0.18147431386347643</x:v>
      </x:c>
      <x:c r="H1169" s="57" t="n">
        <x:v>5985.25</x:v>
      </x:c>
      <x:c r="I1169" s="57" t="n">
        <x:v>0.804</x:v>
      </x:c>
      <x:c r="J1169" s="57" t="n">
        <x:v>12.743636192737272</x:v>
      </x:c>
      <x:c r="K1169" s="57" t="n">
        <x:v>49.115454289105905</x:v>
      </x:c>
      <x:c r="L1169" s="57" t="n">
        <x:v>72.30779184157987</x:v>
      </x:c>
    </x:row>
    <x:row r="1170" ht="32.400001525878906" hidden="0" customHeight="1">
      <x:c r="A1170" s="27" t="str">
        <x:v>Miami-Dade County, Florida</x:v>
      </x:c>
      <x:c r="B1170" s="27" t="str">
        <x:v>12086000409</x:v>
      </x:c>
      <x:c r="C1170" s="50" t="n">
        <x:v>4840</x:v>
      </x:c>
      <x:c r="D1170" s="50" t="n">
        <x:v>368</x:v>
      </x:c>
      <x:c r="E1170" s="50" t="n">
        <x:v>217</x:v>
      </x:c>
      <x:c r="F1170" s="37" t="n">
        <x:v>0.07603305785123966</x:v>
      </x:c>
      <x:c r="G1170" s="37" t="n">
        <x:v>0.04483471074380165</x:v>
      </x:c>
      <x:c r="H1170" s="56" t="n">
        <x:v>4990.5</x:v>
      </x:c>
      <x:c r="I1170" s="56" t="n">
        <x:v>0.417</x:v>
      </x:c>
      <x:c r="J1170" s="56" t="n">
        <x:v>14.731614479295903</x:v>
      </x:c>
      <x:c r="K1170" s="56" t="n">
        <x:v>52.097421718943856</x:v>
      </x:c>
      <x:c r="L1170" s="56" t="n">
        <x:v>76.56774531277694</x:v>
      </x:c>
    </x:row>
    <x:row r="1171" ht="32.400001525878906" hidden="0" customHeight="1">
      <x:c r="A1171" s="29" t="str">
        <x:v>Miami-Dade County, Florida</x:v>
      </x:c>
      <x:c r="B1171" s="29" t="str">
        <x:v>12086000410</x:v>
      </x:c>
      <x:c r="C1171" s="51" t="n">
        <x:v>4847</x:v>
      </x:c>
      <x:c r="D1171" s="51" t="n">
        <x:v>638</x:v>
      </x:c>
      <x:c r="E1171" s="51" t="n">
        <x:v>11</x:v>
      </x:c>
      <x:c r="F1171" s="38" t="n">
        <x:v>0.131627811017124</x:v>
      </x:c>
      <x:c r="G1171" s="38" t="n">
        <x:v>0.0022694450175366207</x:v>
      </x:c>
      <x:c r="H1171" s="57" t="n">
        <x:v>5071.400000000001</x:v>
      </x:c>
      <x:c r="I1171" s="57" t="n">
        <x:v>0.546</x:v>
      </x:c>
      <x:c r="J1171" s="57" t="n">
        <x:v>15.755569925946338</x:v>
      </x:c>
      <x:c r="K1171" s="57" t="n">
        <x:v>53.633354888919506</x:v>
      </x:c>
      <x:c r="L1171" s="57" t="n">
        <x:v>78.7619355555993</x:v>
      </x:c>
    </x:row>
    <x:row r="1172" ht="32.400001525878906" hidden="0" customHeight="1">
      <x:c r="A1172" s="27" t="str">
        <x:v>Miami-Dade County, Florida</x:v>
      </x:c>
      <x:c r="B1172" s="27" t="str">
        <x:v>12086000411</x:v>
      </x:c>
      <x:c r="C1172" s="50" t="n">
        <x:v>6708</x:v>
      </x:c>
      <x:c r="D1172" s="50" t="n">
        <x:v>538</x:v>
      </x:c>
      <x:c r="E1172" s="50" t="n">
        <x:v>395</x:v>
      </x:c>
      <x:c r="F1172" s="37" t="n">
        <x:v>0.08020274299344067</x:v>
      </x:c>
      <x:c r="G1172" s="37" t="n">
        <x:v>0.058884913536076326</x:v>
      </x:c>
      <x:c r="H1172" s="56" t="n">
        <x:v>6935.8</x:v>
      </x:c>
      <x:c r="I1172" s="56" t="n">
        <x:v>0.543</x:v>
      </x:c>
      <x:c r="J1172" s="56" t="n">
        <x:v>13.929194853170468</x:v>
      </x:c>
      <x:c r="K1172" s="56" t="n">
        <x:v>50.8937922797557</x:v>
      </x:c>
      <x:c r="L1172" s="56" t="n">
        <x:v>74.84827468536528</x:v>
      </x:c>
    </x:row>
    <x:row r="1173" ht="32.400001525878906" hidden="0" customHeight="1">
      <x:c r="A1173" s="29" t="str">
        <x:v>Miami-Dade County, Florida</x:v>
      </x:c>
      <x:c r="B1173" s="29" t="str">
        <x:v>12086000413</x:v>
      </x:c>
      <x:c r="C1173" s="51" t="n">
        <x:v>5780</x:v>
      </x:c>
      <x:c r="D1173" s="51" t="n">
        <x:v>356</x:v>
      </x:c>
      <x:c r="E1173" s="51" t="n">
        <x:v>404</x:v>
      </x:c>
      <x:c r="F1173" s="38" t="n">
        <x:v>0.061591695501730104</x:v>
      </x:c>
      <x:c r="G1173" s="38" t="n">
        <x:v>0.0698961937716263</x:v>
      </x:c>
      <x:c r="H1173" s="57" t="n">
        <x:v>5945</x:v>
      </x:c>
      <x:c r="I1173" s="57" t="n">
        <x:v>1.011</x:v>
      </x:c>
      <x:c r="J1173" s="57" t="n">
        <x:v>17.97673501442143</x:v>
      </x:c>
      <x:c r="K1173" s="57" t="n">
        <x:v>56.96510252163215</x:v>
      </x:c>
      <x:c r="L1173" s="57" t="n">
        <x:v>83.52157503090307</x:v>
      </x:c>
    </x:row>
    <x:row r="1174" ht="32.400001525878906" hidden="0" customHeight="1">
      <x:c r="A1174" s="27" t="str">
        <x:v>Miami-Dade County, Florida</x:v>
      </x:c>
      <x:c r="B1174" s="27" t="str">
        <x:v>12086000414</x:v>
      </x:c>
      <x:c r="C1174" s="50" t="n">
        <x:v>5406</x:v>
      </x:c>
      <x:c r="D1174" s="50" t="n">
        <x:v>691</x:v>
      </x:c>
      <x:c r="E1174" s="50" t="n">
        <x:v>199.5</x:v>
      </x:c>
      <x:c r="F1174" s="37" t="n">
        <x:v>0.12782093969663336</x:v>
      </x:c>
      <x:c r="G1174" s="37" t="n">
        <x:v>0.036903440621531634</x:v>
      </x:c>
      <x:c r="H1174" s="56" t="n">
        <x:v>5667.8</x:v>
      </x:c>
      <x:c r="I1174" s="56" t="n">
        <x:v>1.245</x:v>
      </x:c>
      <x:c r="J1174" s="56" t="n">
        <x:v>19.539279107848376</x:v>
      </x:c>
      <x:c r="K1174" s="56" t="n">
        <x:v>59.308918661772566</x:v>
      </x:c>
      <x:c r="L1174" s="56" t="n">
        <x:v>86.86988380253223</x:v>
      </x:c>
    </x:row>
    <x:row r="1175" ht="32.400001525878906" hidden="0" customHeight="1">
      <x:c r="A1175" s="29" t="str">
        <x:v>Miami-Dade County, Florida</x:v>
      </x:c>
      <x:c r="B1175" s="29" t="str">
        <x:v>12086000415</x:v>
      </x:c>
      <x:c r="C1175" s="51" t="n">
        <x:v>2032</x:v>
      </x:c>
      <x:c r="D1175" s="51" t="n">
        <x:v>148</x:v>
      </x:c>
      <x:c r="E1175" s="51" t="n">
        <x:v>109.5</x:v>
      </x:c>
      <x:c r="F1175" s="38" t="n">
        <x:v>0.07283464566929133</x:v>
      </x:c>
      <x:c r="G1175" s="38" t="n">
        <x:v>0.05388779527559055</x:v>
      </x:c>
      <x:c r="H1175" s="57" t="n">
        <x:v>2094.75</x:v>
      </x:c>
      <x:c r="I1175" s="57" t="n">
        <x:v>0.426</x:v>
      </x:c>
      <x:c r="J1175" s="57" t="n">
        <x:v>14.339666418720217</x:v>
      </x:c>
      <x:c r="K1175" s="57" t="n">
        <x:v>51.50949962808033</x:v>
      </x:c>
      <x:c r="L1175" s="57" t="n">
        <x:v>75.72785661154333</x:v>
      </x:c>
    </x:row>
    <x:row r="1176" ht="32.400001525878906" hidden="0" customHeight="1">
      <x:c r="A1176" s="27" t="str">
        <x:v>Miami-Dade County, Florida</x:v>
      </x:c>
      <x:c r="B1176" s="27" t="str">
        <x:v>12086000416</x:v>
      </x:c>
      <x:c r="C1176" s="50" t="n">
        <x:v>4730</x:v>
      </x:c>
      <x:c r="D1176" s="50" t="n">
        <x:v>801</x:v>
      </x:c>
      <x:c r="E1176" s="50" t="n">
        <x:v>905</x:v>
      </x:c>
      <x:c r="F1176" s="37" t="n">
        <x:v>0.1693446088794926</x:v>
      </x:c>
      <x:c r="G1176" s="37" t="n">
        <x:v>0.19133192389006343</x:v>
      </x:c>
      <x:c r="H1176" s="56" t="n">
        <x:v>5100.85</x:v>
      </x:c>
      <x:c r="I1176" s="56" t="n">
        <x:v>0.749</x:v>
      </x:c>
      <x:c r="J1176" s="56" t="n">
        <x:v>14.527661664724008</x:v>
      </x:c>
      <x:c r="K1176" s="56" t="n">
        <x:v>51.79149249708601</x:v>
      </x:c>
      <x:c r="L1176" s="56" t="n">
        <x:v>76.13070356726573</x:v>
      </x:c>
    </x:row>
    <x:row r="1177" ht="32.400001525878906" hidden="0" customHeight="1">
      <x:c r="A1177" s="29" t="str">
        <x:v>Miami-Dade County, Florida</x:v>
      </x:c>
      <x:c r="B1177" s="29" t="str">
        <x:v>12086000417</x:v>
      </x:c>
      <x:c r="C1177" s="51" t="n">
        <x:v>4449</x:v>
      </x:c>
      <x:c r="D1177" s="51" t="n">
        <x:v>395</x:v>
      </x:c>
      <x:c r="E1177" s="51" t="n">
        <x:v>782</x:v>
      </x:c>
      <x:c r="F1177" s="38" t="n">
        <x:v>0.08878399640368623</x:v>
      </x:c>
      <x:c r="G1177" s="38" t="n">
        <x:v>0.17576983591818385</x:v>
      </x:c>
      <x:c r="H1177" s="57" t="n">
        <x:v>4665.450000000001</x:v>
      </x:c>
      <x:c r="I1177" s="57" t="n">
        <x:v>0.606</x:v>
      </x:c>
      <x:c r="J1177" s="57" t="n">
        <x:v>16.416549300978357</x:v>
      </x:c>
      <x:c r="K1177" s="57" t="n">
        <x:v>54.62482395146753</x:v>
      </x:c>
      <x:c r="L1177" s="57" t="n">
        <x:v>80.17831993066791</x:v>
      </x:c>
    </x:row>
    <x:row r="1178" ht="32.400001525878906" hidden="0" customHeight="1">
      <x:c r="A1178" s="27" t="str">
        <x:v>Miami-Dade County, Florida</x:v>
      </x:c>
      <x:c r="B1178" s="27" t="str">
        <x:v>12086000418</x:v>
      </x:c>
      <x:c r="C1178" s="50" t="n">
        <x:v>2337</x:v>
      </x:c>
      <x:c r="D1178" s="50" t="n">
        <x:v>386</x:v>
      </x:c>
      <x:c r="E1178" s="50" t="n">
        <x:v>186</x:v>
      </x:c>
      <x:c r="F1178" s="37" t="n">
        <x:v>0.16516902011125376</x:v>
      </x:c>
      <x:c r="G1178" s="37" t="n">
        <x:v>0.07958921694480103</x:v>
      </x:c>
      <x:c r="H1178" s="56" t="n">
        <x:v>2490.7000000000003</x:v>
      </x:c>
      <x:c r="I1178" s="56" t="n">
        <x:v>0.385</x:v>
      </x:c>
      <x:c r="J1178" s="56" t="n">
        <x:v>17.410390022357813</x:v>
      </x:c>
      <x:c r="K1178" s="56" t="n">
        <x:v>56.11558503353672</x:v>
      </x:c>
      <x:c r="L1178" s="56" t="n">
        <x:v>82.30797861933817</x:v>
      </x:c>
    </x:row>
    <x:row r="1179" ht="32.400001525878906" hidden="0" customHeight="1">
      <x:c r="A1179" s="29" t="str">
        <x:v>Miami-Dade County, Florida</x:v>
      </x:c>
      <x:c r="B1179" s="29" t="str">
        <x:v>12086000419</x:v>
      </x:c>
      <x:c r="C1179" s="51" t="n">
        <x:v>3916</x:v>
      </x:c>
      <x:c r="D1179" s="51" t="n">
        <x:v>633</x:v>
      </x:c>
      <x:c r="E1179" s="51" t="n">
        <x:v>210.5</x:v>
      </x:c>
      <x:c r="F1179" s="38" t="n">
        <x:v>0.16164453524004085</x:v>
      </x:c>
      <x:c r="G1179" s="38" t="n">
        <x:v>0.053753830439223695</x:v>
      </x:c>
      <x:c r="H1179" s="57" t="n">
        <x:v>4158.599999999999</x:v>
      </x:c>
      <x:c r="I1179" s="57" t="n">
        <x:v>0.476</x:v>
      </x:c>
      <x:c r="J1179" s="57" t="n">
        <x:v>16.98587839202031</x:v>
      </x:c>
      <x:c r="K1179" s="57" t="n">
        <x:v>55.478817588030466</x:v>
      </x:c>
      <x:c r="L1179" s="57" t="n">
        <x:v>81.39831084004352</x:v>
      </x:c>
    </x:row>
    <x:row r="1180" ht="32.400001525878906" hidden="0" customHeight="1">
      <x:c r="A1180" s="27" t="str">
        <x:v>Miami-Dade County, Florida</x:v>
      </x:c>
      <x:c r="B1180" s="27" t="str">
        <x:v>12086000420</x:v>
      </x:c>
      <x:c r="C1180" s="50" t="n">
        <x:v>4048</x:v>
      </x:c>
      <x:c r="D1180" s="50" t="n">
        <x:v>329</x:v>
      </x:c>
      <x:c r="E1180" s="50" t="n">
        <x:v>0</x:v>
      </x:c>
      <x:c r="F1180" s="37" t="n">
        <x:v>0.08127470355731226</x:v>
      </x:c>
      <x:c r="G1180" s="37" t="n">
        <x:v>0</x:v>
      </x:c>
      <x:c r="H1180" s="56" t="n">
        <x:v>4163.150000000001</x:v>
      </x:c>
      <x:c r="I1180" s="56" t="n">
        <x:v>0.503</x:v>
      </x:c>
      <x:c r="J1180" s="56" t="n">
        <x:v>16.549557723192123</x:v>
      </x:c>
      <x:c r="K1180" s="56" t="n">
        <x:v>54.824336584788185</x:v>
      </x:c>
      <x:c r="L1180" s="56" t="n">
        <x:v>80.46333797826884</x:v>
      </x:c>
    </x:row>
    <x:row r="1181" ht="32.400001525878906" hidden="0" customHeight="1">
      <x:c r="A1181" s="29" t="str">
        <x:v>Miami-Dade County, Florida</x:v>
      </x:c>
      <x:c r="B1181" s="29" t="str">
        <x:v>12086000504</x:v>
      </x:c>
      <x:c r="C1181" s="51" t="n">
        <x:v>4360</x:v>
      </x:c>
      <x:c r="D1181" s="51" t="n">
        <x:v>616</x:v>
      </x:c>
      <x:c r="E1181" s="51" t="n">
        <x:v>140</x:v>
      </x:c>
      <x:c r="F1181" s="38" t="n">
        <x:v>0.14128440366972478</x:v>
      </x:c>
      <x:c r="G1181" s="38" t="n">
        <x:v>0.03211009174311927</x:v>
      </x:c>
      <x:c r="H1181" s="57" t="n">
        <x:v>4589.599999999999</x:v>
      </x:c>
      <x:c r="I1181" s="57" t="n">
        <x:v>0.673</x:v>
      </x:c>
      <x:c r="J1181" s="57" t="n">
        <x:v>14.522065911090548</x:v>
      </x:c>
      <x:c r="K1181" s="57" t="n">
        <x:v>51.783098866635825</x:v>
      </x:c>
      <x:c r="L1181" s="57" t="n">
        <x:v>76.1187126666226</x:v>
      </x:c>
    </x:row>
    <x:row r="1182" ht="32.400001525878906" hidden="0" customHeight="1">
      <x:c r="A1182" s="27" t="str">
        <x:v>Miami-Dade County, Florida</x:v>
      </x:c>
      <x:c r="B1182" s="27" t="str">
        <x:v>12086000505</x:v>
      </x:c>
      <x:c r="C1182" s="50" t="n">
        <x:v>5437</x:v>
      </x:c>
      <x:c r="D1182" s="50" t="n">
        <x:v>831</x:v>
      </x:c>
      <x:c r="E1182" s="50" t="n">
        <x:v>119</x:v>
      </x:c>
      <x:c r="F1182" s="37" t="n">
        <x:v>0.15284164061063085</x:v>
      </x:c>
      <x:c r="G1182" s="37" t="n">
        <x:v>0.021887070075409232</x:v>
      </x:c>
      <x:c r="H1182" s="56" t="n">
        <x:v>5739.749999999999</x:v>
      </x:c>
      <x:c r="I1182" s="56" t="n">
        <x:v>1.859</x:v>
      </x:c>
      <x:c r="J1182" s="56" t="n">
        <x:v>11.321253899374854</x:v>
      </x:c>
      <x:c r="K1182" s="56" t="n">
        <x:v>46.98188084906228</x:v>
      </x:c>
      <x:c r="L1182" s="56" t="n">
        <x:v>69.25982978437469</x:v>
      </x:c>
    </x:row>
    <x:row r="1183" ht="32.400001525878906" hidden="0" customHeight="1">
      <x:c r="A1183" s="29" t="str">
        <x:v>Miami-Dade County, Florida</x:v>
      </x:c>
      <x:c r="B1183" s="29" t="str">
        <x:v>12086000506</x:v>
      </x:c>
      <x:c r="C1183" s="51" t="n">
        <x:v>2397</x:v>
      </x:c>
      <x:c r="D1183" s="51" t="n">
        <x:v>319</x:v>
      </x:c>
      <x:c r="E1183" s="51" t="n">
        <x:v>82</x:v>
      </x:c>
      <x:c r="F1183" s="38" t="n">
        <x:v>0.13308302044221945</x:v>
      </x:c>
      <x:c r="G1183" s="38" t="n">
        <x:v>0.03420942845223195</x:v>
      </x:c>
      <x:c r="H1183" s="57" t="n">
        <x:v>2516.85</x:v>
      </x:c>
      <x:c r="I1183" s="57" t="n">
        <x:v>0.37</x:v>
      </x:c>
      <x:c r="J1183" s="57" t="n">
        <x:v>15.28778443166337</x:v>
      </x:c>
      <x:c r="K1183" s="57" t="n">
        <x:v>52.93167664749505</x:v>
      </x:c>
      <x:c r="L1183" s="57" t="n">
        <x:v>77.75953806785009</x:v>
      </x:c>
    </x:row>
    <x:row r="1184" ht="32.400001525878906" hidden="0" customHeight="1">
      <x:c r="A1184" s="27" t="str">
        <x:v>Miami-Dade County, Florida</x:v>
      </x:c>
      <x:c r="B1184" s="27" t="str">
        <x:v>12086000507</x:v>
      </x:c>
      <x:c r="C1184" s="50" t="n">
        <x:v>4976</x:v>
      </x:c>
      <x:c r="D1184" s="50" t="n">
        <x:v>770</x:v>
      </x:c>
      <x:c r="E1184" s="50" t="n">
        <x:v>256.5</x:v>
      </x:c>
      <x:c r="F1184" s="37" t="n">
        <x:v>0.1547427652733119</x:v>
      </x:c>
      <x:c r="G1184" s="37" t="n">
        <x:v>0.05154742765273312</x:v>
      </x:c>
      <x:c r="H1184" s="56" t="n">
        <x:v>5271.150000000001</x:v>
      </x:c>
      <x:c r="I1184" s="56" t="n">
        <x:v>1.764</x:v>
      </x:c>
      <x:c r="J1184" s="56" t="n">
        <x:v>12.156246134388194</x:v>
      </x:c>
      <x:c r="K1184" s="56" t="n">
        <x:v>48.23436920158229</x:v>
      </x:c>
      <x:c r="L1184" s="56" t="n">
        <x:v>71.04909885940327</x:v>
      </x:c>
    </x:row>
    <x:row r="1185" ht="32.400001525878906" hidden="0" customHeight="1">
      <x:c r="A1185" s="29" t="str">
        <x:v>Miami-Dade County, Florida</x:v>
      </x:c>
      <x:c r="B1185" s="29" t="str">
        <x:v>12086000508</x:v>
      </x:c>
      <x:c r="C1185" s="51" t="n">
        <x:v>3922</x:v>
      </x:c>
      <x:c r="D1185" s="51" t="n">
        <x:v>658</x:v>
      </x:c>
      <x:c r="E1185" s="51" t="n">
        <x:v>706.5</x:v>
      </x:c>
      <x:c r="F1185" s="38" t="n">
        <x:v>0.1677715451300357</x:v>
      </x:c>
      <x:c r="G1185" s="38" t="n">
        <x:v>0.180137684854666</x:v>
      </x:c>
      <x:c r="H1185" s="57" t="n">
        <x:v>4222.95</x:v>
      </x:c>
      <x:c r="I1185" s="57" t="n">
        <x:v>2.207</x:v>
      </x:c>
      <x:c r="J1185" s="57" t="n">
        <x:v>15.031142121441285</x:v>
      </x:c>
      <x:c r="K1185" s="57" t="n">
        <x:v>52.54671318216192</x:v>
      </x:c>
      <x:c r="L1185" s="57" t="n">
        <x:v>77.20959026023132</x:v>
      </x:c>
    </x:row>
    <x:row r="1186" ht="32.400001525878906" hidden="0" customHeight="1">
      <x:c r="A1186" s="27" t="str">
        <x:v>Miami-Dade County, Florida</x:v>
      </x:c>
      <x:c r="B1186" s="27" t="str">
        <x:v>12086000509</x:v>
      </x:c>
      <x:c r="C1186" s="50" t="n">
        <x:v>3535</x:v>
      </x:c>
      <x:c r="D1186" s="50" t="n">
        <x:v>614</x:v>
      </x:c>
      <x:c r="E1186" s="50" t="n">
        <x:v>178</x:v>
      </x:c>
      <x:c r="F1186" s="37" t="n">
        <x:v>0.1736916548797737</x:v>
      </x:c>
      <x:c r="G1186" s="37" t="n">
        <x:v>0.050353606789250355</x:v>
      </x:c>
      <x:c r="H1186" s="56" t="n">
        <x:v>3767.7000000000003</x:v>
      </x:c>
      <x:c r="I1186" s="56" t="n">
        <x:v>0.441</x:v>
      </x:c>
      <x:c r="J1186" s="56" t="n">
        <x:v>15.283858058270312</x:v>
      </x:c>
      <x:c r="K1186" s="56" t="n">
        <x:v>52.92578708740547</x:v>
      </x:c>
      <x:c r="L1186" s="56" t="n">
        <x:v>77.75112441057924</x:v>
      </x:c>
    </x:row>
    <x:row r="1187" ht="32.400001525878906" hidden="0" customHeight="1">
      <x:c r="A1187" s="29" t="str">
        <x:v>Miami-Dade County, Florida</x:v>
      </x:c>
      <x:c r="B1187" s="29" t="str">
        <x:v>12086000601</x:v>
      </x:c>
      <x:c r="C1187" s="51" t="n">
        <x:v>4291</x:v>
      </x:c>
      <x:c r="D1187" s="51" t="n">
        <x:v>694</x:v>
      </x:c>
      <x:c r="E1187" s="51" t="n">
        <x:v>153</x:v>
      </x:c>
      <x:c r="F1187" s="38" t="n">
        <x:v>0.16173386157072944</x:v>
      </x:c>
      <x:c r="G1187" s="38" t="n">
        <x:v>0.03565602423677464</x:v>
      </x:c>
      <x:c r="H1187" s="57" t="n">
        <x:v>4549.2</x:v>
      </x:c>
      <x:c r="I1187" s="57" t="n">
        <x:v>0.576</x:v>
      </x:c>
      <x:c r="J1187" s="57" t="n">
        <x:v>13.17130910223127</x:v>
      </x:c>
      <x:c r="K1187" s="57" t="n">
        <x:v>49.7569636533469</x:v>
      </x:c>
      <x:c r="L1187" s="57" t="n">
        <x:v>73.22423379049557</x:v>
      </x:c>
    </x:row>
    <x:row r="1188" ht="32.400001525878906" hidden="0" customHeight="1">
      <x:c r="A1188" s="27" t="str">
        <x:v>Miami-Dade County, Florida</x:v>
      </x:c>
      <x:c r="B1188" s="27" t="str">
        <x:v>12086000602</x:v>
      </x:c>
      <x:c r="C1188" s="50" t="n">
        <x:v>5223</x:v>
      </x:c>
      <x:c r="D1188" s="50" t="n">
        <x:v>750</x:v>
      </x:c>
      <x:c r="E1188" s="50" t="n">
        <x:v>71</x:v>
      </x:c>
      <x:c r="F1188" s="37" t="n">
        <x:v>0.14359563469270534</x:v>
      </x:c>
      <x:c r="G1188" s="37" t="n">
        <x:v>0.013593720084242773</x:v>
      </x:c>
      <x:c r="H1188" s="56" t="n">
        <x:v>5492.599999999999</x:v>
      </x:c>
      <x:c r="I1188" s="56" t="n">
        <x:v>0.555</x:v>
      </x:c>
      <x:c r="J1188" s="56" t="n">
        <x:v>11.811382190782867</x:v>
      </x:c>
      <x:c r="K1188" s="56" t="n">
        <x:v>47.7170732861743</x:v>
      </x:c>
      <x:c r="L1188" s="56" t="n">
        <x:v>70.31010469453472</x:v>
      </x:c>
    </x:row>
    <x:row r="1189" ht="32.400001525878906" hidden="0" customHeight="1">
      <x:c r="A1189" s="29" t="str">
        <x:v>Miami-Dade County, Florida</x:v>
      </x:c>
      <x:c r="B1189" s="29" t="str">
        <x:v>12086000603</x:v>
      </x:c>
      <x:c r="C1189" s="51" t="n">
        <x:v>5511</x:v>
      </x:c>
      <x:c r="D1189" s="51" t="n">
        <x:v>445</x:v>
      </x:c>
      <x:c r="E1189" s="51" t="n">
        <x:v>213.5</x:v>
      </x:c>
      <x:c r="F1189" s="38" t="n">
        <x:v>0.0807475957176556</x:v>
      </x:c>
      <x:c r="G1189" s="38" t="n">
        <x:v>0.038740700417347125</x:v>
      </x:c>
      <x:c r="H1189" s="57" t="n">
        <x:v>5688.1</x:v>
      </x:c>
      <x:c r="I1189" s="57" t="n">
        <x:v>0.698</x:v>
      </x:c>
      <x:c r="J1189" s="57" t="n">
        <x:v>13.019078768248777</x:v>
      </x:c>
      <x:c r="K1189" s="57" t="n">
        <x:v>49.52861815237316</x:v>
      </x:c>
      <x:c r="L1189" s="57" t="n">
        <x:v>72.89802593196166</x:v>
      </x:c>
    </x:row>
    <x:row r="1190" ht="32.400001525878906" hidden="0" customHeight="1">
      <x:c r="A1190" s="27" t="str">
        <x:v>Miami-Dade County, Florida</x:v>
      </x:c>
      <x:c r="B1190" s="27" t="str">
        <x:v>12086000605</x:v>
      </x:c>
      <x:c r="C1190" s="50" t="n">
        <x:v>4821</x:v>
      </x:c>
      <x:c r="D1190" s="50" t="n">
        <x:v>733</x:v>
      </x:c>
      <x:c r="E1190" s="50" t="n">
        <x:v>214.5</x:v>
      </x:c>
      <x:c r="F1190" s="37" t="n">
        <x:v>0.15204314457581414</x:v>
      </x:c>
      <x:c r="G1190" s="37" t="n">
        <x:v>0.04449284380833852</x:v>
      </x:c>
      <x:c r="H1190" s="56" t="n">
        <x:v>5099</x:v>
      </x:c>
      <x:c r="I1190" s="56" t="n">
        <x:v>0.645</x:v>
      </x:c>
      <x:c r="J1190" s="56" t="n">
        <x:v>14.217649259661064</x:v>
      </x:c>
      <x:c r="K1190" s="56" t="n">
        <x:v>51.326473889491595</x:v>
      </x:c>
      <x:c r="L1190" s="56" t="n">
        <x:v>75.46639127070227</x:v>
      </x:c>
    </x:row>
    <x:row r="1191" ht="32.400001525878906" hidden="0" customHeight="1">
      <x:c r="A1191" s="29" t="str">
        <x:v>Miami-Dade County, Florida</x:v>
      </x:c>
      <x:c r="B1191" s="29" t="str">
        <x:v>12086000607</x:v>
      </x:c>
      <x:c r="C1191" s="51" t="n">
        <x:v>4683</x:v>
      </x:c>
      <x:c r="D1191" s="51" t="n">
        <x:v>820</x:v>
      </x:c>
      <x:c r="E1191" s="51" t="n">
        <x:v>277</x:v>
      </x:c>
      <x:c r="F1191" s="38" t="n">
        <x:v>0.17510143070681186</x:v>
      </x:c>
      <x:c r="G1191" s="38" t="n">
        <x:v>0.05915011744608157</x:v>
      </x:c>
      <x:c r="H1191" s="57" t="n">
        <x:v>4997.7</x:v>
      </x:c>
      <x:c r="I1191" s="57" t="n">
        <x:v>0.464</x:v>
      </x:c>
      <x:c r="J1191" s="57" t="n">
        <x:v>13.555869953623844</x:v>
      </x:c>
      <x:c r="K1191" s="57" t="n">
        <x:v>50.33380493043577</x:v>
      </x:c>
      <x:c r="L1191" s="57" t="n">
        <x:v>74.04829275776538</x:v>
      </x:c>
    </x:row>
    <x:row r="1192" ht="32.400001525878906" hidden="0" customHeight="1">
      <x:c r="A1192" s="27" t="str">
        <x:v>Miami-Dade County, Florida</x:v>
      </x:c>
      <x:c r="B1192" s="27" t="str">
        <x:v>12086000609</x:v>
      </x:c>
      <x:c r="C1192" s="50" t="n">
        <x:v>3298</x:v>
      </x:c>
      <x:c r="D1192" s="50" t="n">
        <x:v>472</x:v>
      </x:c>
      <x:c r="E1192" s="50" t="n">
        <x:v>300</x:v>
      </x:c>
      <x:c r="F1192" s="37" t="n">
        <x:v>0.14311704063068525</x:v>
      </x:c>
      <x:c r="G1192" s="37" t="n">
        <x:v>0.09096422073984232</x:v>
      </x:c>
      <x:c r="H1192" s="56" t="n">
        <x:v>3493.2</x:v>
      </x:c>
      <x:c r="I1192" s="56" t="n">
        <x:v>0.224</x:v>
      </x:c>
      <x:c r="J1192" s="56" t="n">
        <x:v>14.058030783490981</x:v>
      </x:c>
      <x:c r="K1192" s="56" t="n">
        <x:v>51.08704617523647</x:v>
      </x:c>
      <x:c r="L1192" s="56" t="n">
        <x:v>75.12435167890925</x:v>
      </x:c>
    </x:row>
    <x:row r="1193" ht="32.400001525878906" hidden="0" customHeight="1">
      <x:c r="A1193" s="29" t="str">
        <x:v>Miami-Dade County, Florida</x:v>
      </x:c>
      <x:c r="B1193" s="29" t="str">
        <x:v>12086000610</x:v>
      </x:c>
      <x:c r="C1193" s="51" t="n">
        <x:v>2904</x:v>
      </x:c>
      <x:c r="D1193" s="51" t="n">
        <x:v>426</x:v>
      </x:c>
      <x:c r="E1193" s="51" t="n">
        <x:v>204</x:v>
      </x:c>
      <x:c r="F1193" s="38" t="n">
        <x:v>0.14669421487603307</x:v>
      </x:c>
      <x:c r="G1193" s="38" t="n">
        <x:v>0.07024793388429752</x:v>
      </x:c>
      <x:c r="H1193" s="57" t="n">
        <x:v>3073.4999999999995</x:v>
      </x:c>
      <x:c r="I1193" s="57" t="n">
        <x:v>0.239</x:v>
      </x:c>
      <x:c r="J1193" s="57" t="n">
        <x:v>14.4631025578605</x:v>
      </x:c>
      <x:c r="K1193" s="57" t="n">
        <x:v>51.69465383679075</x:v>
      </x:c>
      <x:c r="L1193" s="57" t="n">
        <x:v>75.99236262398679</x:v>
      </x:c>
    </x:row>
    <x:row r="1194" ht="32.400001525878906" hidden="0" customHeight="1">
      <x:c r="A1194" s="27" t="str">
        <x:v>Miami-Dade County, Florida</x:v>
      </x:c>
      <x:c r="B1194" s="27" t="str">
        <x:v>12086000611</x:v>
      </x:c>
      <x:c r="C1194" s="50" t="n">
        <x:v>2444</x:v>
      </x:c>
      <x:c r="D1194" s="50" t="n">
        <x:v>365</x:v>
      </x:c>
      <x:c r="E1194" s="50" t="n">
        <x:v>80</x:v>
      </x:c>
      <x:c r="F1194" s="37" t="n">
        <x:v>0.1493453355155483</x:v>
      </x:c>
      <x:c r="G1194" s="37" t="n">
        <x:v>0.03273322422258593</x:v>
      </x:c>
      <x:c r="H1194" s="56" t="n">
        <x:v>2579.75</x:v>
      </x:c>
      <x:c r="I1194" s="56" t="n">
        <x:v>0.358</x:v>
      </x:c>
      <x:c r="J1194" s="56" t="n">
        <x:v>15.134473322708507</x:v>
      </x:c>
      <x:c r="K1194" s="56" t="n">
        <x:v>52.70170998406276</x:v>
      </x:c>
      <x:c r="L1194" s="56" t="n">
        <x:v>77.4310142629468</x:v>
      </x:c>
    </x:row>
    <x:row r="1195" ht="32.400001525878906" hidden="0" customHeight="1">
      <x:c r="A1195" s="29" t="str">
        <x:v>Miami-Dade County, Florida</x:v>
      </x:c>
      <x:c r="B1195" s="29" t="str">
        <x:v>12086000612</x:v>
      </x:c>
      <x:c r="C1195" s="51" t="n">
        <x:v>3231</x:v>
      </x:c>
      <x:c r="D1195" s="51" t="n">
        <x:v>476</x:v>
      </x:c>
      <x:c r="E1195" s="51" t="n">
        <x:v>64</x:v>
      </x:c>
      <x:c r="F1195" s="38" t="n">
        <x:v>0.14732281027545652</x:v>
      </x:c>
      <x:c r="G1195" s="38" t="n">
        <x:v>0.019808108944599195</x:v>
      </x:c>
      <x:c r="H1195" s="57" t="n">
        <x:v>3404</x:v>
      </x:c>
      <x:c r="I1195" s="57" t="n">
        <x:v>0.362</x:v>
      </x:c>
      <x:c r="J1195" s="57" t="n">
        <x:v>14.602898580364478</x:v>
      </x:c>
      <x:c r="K1195" s="57" t="n">
        <x:v>51.904347870546715</x:v>
      </x:c>
      <x:c r="L1195" s="57" t="n">
        <x:v>76.29192552935245</x:v>
      </x:c>
    </x:row>
    <x:row r="1196" ht="32.400001525878906" hidden="0" customHeight="1">
      <x:c r="A1196" s="27" t="str">
        <x:v>Miami-Dade County, Florida</x:v>
      </x:c>
      <x:c r="B1196" s="27" t="str">
        <x:v>12086000705</x:v>
      </x:c>
      <x:c r="C1196" s="50" t="n">
        <x:v>5022</x:v>
      </x:c>
      <x:c r="D1196" s="50" t="n">
        <x:v>829</x:v>
      </x:c>
      <x:c r="E1196" s="50" t="n">
        <x:v>361</x:v>
      </x:c>
      <x:c r="F1196" s="37" t="n">
        <x:v>0.165073675826364</x:v>
      </x:c>
      <x:c r="G1196" s="37" t="n">
        <x:v>0.07188371166865791</x:v>
      </x:c>
      <x:c r="H1196" s="56" t="n">
        <x:v>5348.250000000001</x:v>
      </x:c>
      <x:c r="I1196" s="56" t="n">
        <x:v>0.487</x:v>
      </x:c>
      <x:c r="J1196" s="56" t="n">
        <x:v>10.014088433168979</x:v>
      </x:c>
      <x:c r="K1196" s="56" t="n">
        <x:v>45.02113264975347</x:v>
      </x:c>
      <x:c r="L1196" s="56" t="n">
        <x:v>66.45876092821925</x:v>
      </x:c>
    </x:row>
    <x:row r="1197" ht="32.400001525878906" hidden="0" customHeight="1">
      <x:c r="A1197" s="29" t="str">
        <x:v>Miami-Dade County, Florida</x:v>
      </x:c>
      <x:c r="B1197" s="29" t="str">
        <x:v>12086000710</x:v>
      </x:c>
      <x:c r="C1197" s="51" t="n">
        <x:v>4901</x:v>
      </x:c>
      <x:c r="D1197" s="51" t="n">
        <x:v>611</x:v>
      </x:c>
      <x:c r="E1197" s="51" t="n">
        <x:v>321</x:v>
      </x:c>
      <x:c r="F1197" s="38" t="n">
        <x:v>0.1246684350132626</x:v>
      </x:c>
      <x:c r="G1197" s="38" t="n">
        <x:v>0.0654968373801265</x:v>
      </x:c>
      <x:c r="H1197" s="57" t="n">
        <x:v>5146.949999999999</x:v>
      </x:c>
      <x:c r="I1197" s="57" t="n">
        <x:v>0.241</x:v>
      </x:c>
      <x:c r="J1197" s="57" t="n">
        <x:v>12.727799236358514</x:v>
      </x:c>
      <x:c r="K1197" s="57" t="n">
        <x:v>49.09169885453777</x:v>
      </x:c>
      <x:c r="L1197" s="57" t="n">
        <x:v>72.27385550648253</x:v>
      </x:c>
    </x:row>
    <x:row r="1198" ht="32.400001525878906" hidden="0" customHeight="1">
      <x:c r="A1198" s="27" t="str">
        <x:v>Miami-Dade County, Florida</x:v>
      </x:c>
      <x:c r="B1198" s="27" t="str">
        <x:v>12086000711</x:v>
      </x:c>
      <x:c r="C1198" s="50" t="n">
        <x:v>5915</x:v>
      </x:c>
      <x:c r="D1198" s="50" t="n">
        <x:v>1086</x:v>
      </x:c>
      <x:c r="E1198" s="50" t="n">
        <x:v>337</x:v>
      </x:c>
      <x:c r="F1198" s="37" t="n">
        <x:v>0.18360101437024515</x:v>
      </x:c>
      <x:c r="G1198" s="37" t="n">
        <x:v>0.056973795435333895</x:v>
      </x:c>
      <x:c r="H1198" s="56" t="n">
        <x:v>6328.799999999999</x:v>
      </x:c>
      <x:c r="I1198" s="56" t="n">
        <x:v>0.609</x:v>
      </x:c>
      <x:c r="J1198" s="56" t="n">
        <x:v>13.305504381251916</x:v>
      </x:c>
      <x:c r="K1198" s="56" t="n">
        <x:v>49.958256571877875</x:v>
      </x:c>
      <x:c r="L1198" s="56" t="n">
        <x:v>73.51179510268267</x:v>
      </x:c>
    </x:row>
    <x:row r="1199" ht="32.400001525878906" hidden="0" customHeight="1">
      <x:c r="A1199" s="29" t="str">
        <x:v>Miami-Dade County, Florida</x:v>
      </x:c>
      <x:c r="B1199" s="29" t="str">
        <x:v>12086000712</x:v>
      </x:c>
      <x:c r="C1199" s="51" t="n">
        <x:v>2327</x:v>
      </x:c>
      <x:c r="D1199" s="51" t="n">
        <x:v>167</x:v>
      </x:c>
      <x:c r="E1199" s="51" t="n">
        <x:v>51</x:v>
      </x:c>
      <x:c r="F1199" s="38" t="n">
        <x:v>0.07176622260421144</x:v>
      </x:c>
      <x:c r="G1199" s="38" t="n">
        <x:v>0.02191663085517834</x:v>
      </x:c>
      <x:c r="H1199" s="57" t="n">
        <x:v>2390.55</x:v>
      </x:c>
      <x:c r="I1199" s="57" t="n">
        <x:v>0.375</x:v>
      </x:c>
      <x:c r="J1199" s="57" t="n">
        <x:v>14.773050938794315</x:v>
      </x:c>
      <x:c r="K1199" s="57" t="n">
        <x:v>52.15957640819147</x:v>
      </x:c>
      <x:c r="L1199" s="57" t="n">
        <x:v>76.65653772598782</x:v>
      </x:c>
    </x:row>
    <x:row r="1200" ht="32.400001525878906" hidden="0" customHeight="1">
      <x:c r="A1200" s="27" t="str">
        <x:v>Miami-Dade County, Florida</x:v>
      </x:c>
      <x:c r="B1200" s="27" t="str">
        <x:v>12086000713</x:v>
      </x:c>
      <x:c r="C1200" s="50" t="n">
        <x:v>3032</x:v>
      </x:c>
      <x:c r="D1200" s="50" t="n">
        <x:v>460</x:v>
      </x:c>
      <x:c r="E1200" s="50" t="n">
        <x:v>508</x:v>
      </x:c>
      <x:c r="F1200" s="37" t="n">
        <x:v>0.1517150395778364</x:v>
      </x:c>
      <x:c r="G1200" s="37" t="n">
        <x:v>0.16754617414248021</x:v>
      </x:c>
      <x:c r="H1200" s="56" t="n">
        <x:v>3243.8</x:v>
      </x:c>
      <x:c r="I1200" s="56" t="n">
        <x:v>0.141</x:v>
      </x:c>
      <x:c r="J1200" s="56" t="n">
        <x:v>10.177215715442205</x:v>
      </x:c>
      <x:c r="K1200" s="56" t="n">
        <x:v>45.26582357316331</x:v>
      </x:c>
      <x:c r="L1200" s="56" t="n">
        <x:v>66.8083193902333</x:v>
      </x:c>
    </x:row>
    <x:row r="1201" ht="32.400001525878906" hidden="0" customHeight="1">
      <x:c r="A1201" s="29" t="str">
        <x:v>Miami-Dade County, Florida</x:v>
      </x:c>
      <x:c r="B1201" s="29" t="str">
        <x:v>12086000714</x:v>
      </x:c>
      <x:c r="C1201" s="51" t="n">
        <x:v>4831</x:v>
      </x:c>
      <x:c r="D1201" s="51" t="n">
        <x:v>526</x:v>
      </x:c>
      <x:c r="E1201" s="51" t="n">
        <x:v>222</x:v>
      </x:c>
      <x:c r="F1201" s="38" t="n">
        <x:v>0.10888014903746636</x:v>
      </x:c>
      <x:c r="G1201" s="38" t="n">
        <x:v>0.04595321879528048</x:v>
      </x:c>
      <x:c r="H1201" s="57" t="n">
        <x:v>5037.3</x:v>
      </x:c>
      <x:c r="I1201" s="57" t="n">
        <x:v>0.25</x:v>
      </x:c>
      <x:c r="J1201" s="57" t="n">
        <x:v>10.838626854261964</x:v>
      </x:c>
      <x:c r="K1201" s="57" t="n">
        <x:v>46.25794028139295</x:v>
      </x:c>
      <x:c r="L1201" s="57" t="n">
        <x:v>68.2256289734185</x:v>
      </x:c>
    </x:row>
    <x:row r="1202" ht="32.400001525878906" hidden="0" customHeight="1">
      <x:c r="A1202" s="27" t="str">
        <x:v>Miami-Dade County, Florida</x:v>
      </x:c>
      <x:c r="B1202" s="27" t="str">
        <x:v>12086000715</x:v>
      </x:c>
      <x:c r="C1202" s="50" t="n">
        <x:v>3383</x:v>
      </x:c>
      <x:c r="D1202" s="50" t="n">
        <x:v>284</x:v>
      </x:c>
      <x:c r="E1202" s="50" t="n">
        <x:v>50</x:v>
      </x:c>
      <x:c r="F1202" s="37" t="n">
        <x:v>0.08394915755246822</x:v>
      </x:c>
      <x:c r="G1202" s="37" t="n">
        <x:v>0.014779781259237363</x:v>
      </x:c>
      <x:c r="H1202" s="56" t="n">
        <x:v>3487.4</x:v>
      </x:c>
      <x:c r="I1202" s="56" t="n">
        <x:v>0.218</x:v>
      </x:c>
      <x:c r="J1202" s="56" t="n">
        <x:v>11.07823407694453</x:v>
      </x:c>
      <x:c r="K1202" s="56" t="n">
        <x:v>46.617351115416795</x:v>
      </x:c>
      <x:c r="L1202" s="56" t="n">
        <x:v>68.739073022024</x:v>
      </x:c>
    </x:row>
    <x:row r="1203" ht="32.400001525878906" hidden="0" customHeight="1">
      <x:c r="A1203" s="29" t="str">
        <x:v>Miami-Dade County, Florida</x:v>
      </x:c>
      <x:c r="B1203" s="29" t="str">
        <x:v>12086000716</x:v>
      </x:c>
      <x:c r="C1203" s="51" t="n">
        <x:v>2531</x:v>
      </x:c>
      <x:c r="D1203" s="51" t="n">
        <x:v>193</x:v>
      </x:c>
      <x:c r="E1203" s="51" t="n">
        <x:v>120</x:v>
      </x:c>
      <x:c r="F1203" s="38" t="n">
        <x:v>0.07625444488344528</x:v>
      </x:c>
      <x:c r="G1203" s="38" t="n">
        <x:v>0.047412090082971155</x:v>
      </x:c>
      <x:c r="H1203" s="57" t="n">
        <x:v>2610.55</x:v>
      </x:c>
      <x:c r="I1203" s="57" t="n">
        <x:v>0.165</x:v>
      </x:c>
      <x:c r="J1203" s="57" t="n">
        <x:v>11.681644370977999</x:v>
      </x:c>
      <x:c r="K1203" s="57" t="n">
        <x:v>47.522466556466995</x:v>
      </x:c>
      <x:c r="L1203" s="57" t="n">
        <x:v>70.03209508066715</x:v>
      </x:c>
    </x:row>
    <x:row r="1204" ht="32.400001525878906" hidden="0" customHeight="1">
      <x:c r="A1204" s="27" t="str">
        <x:v>Miami-Dade County, Florida</x:v>
      </x:c>
      <x:c r="B1204" s="27" t="str">
        <x:v>12086000717</x:v>
      </x:c>
      <x:c r="C1204" s="50" t="n">
        <x:v>2520</x:v>
      </x:c>
      <x:c r="D1204" s="50" t="n">
        <x:v>275</x:v>
      </x:c>
      <x:c r="E1204" s="50" t="n">
        <x:v>122</x:v>
      </x:c>
      <x:c r="F1204" s="37" t="n">
        <x:v>0.10912698412698413</x:v>
      </x:c>
      <x:c r="G1204" s="37" t="n">
        <x:v>0.048412698412698414</x:v>
      </x:c>
      <x:c r="H1204" s="56" t="n">
        <x:v>2628.45</x:v>
      </x:c>
      <x:c r="I1204" s="56" t="n">
        <x:v>0.366</x:v>
      </x:c>
      <x:c r="J1204" s="56" t="n">
        <x:v>12.702446793631129</x:v>
      </x:c>
      <x:c r="K1204" s="56" t="n">
        <x:v>49.053670190446695</x:v>
      </x:c>
      <x:c r="L1204" s="56" t="n">
        <x:v>72.21952884349528</x:v>
      </x:c>
    </x:row>
    <x:row r="1205" ht="32.400001525878906" hidden="0" customHeight="1">
      <x:c r="A1205" s="29" t="str">
        <x:v>Miami-Dade County, Florida</x:v>
      </x:c>
      <x:c r="B1205" s="29" t="str">
        <x:v>12086000718</x:v>
      </x:c>
      <x:c r="C1205" s="51" t="n">
        <x:v>4013</x:v>
      </x:c>
      <x:c r="D1205" s="51" t="n">
        <x:v>239</x:v>
      </x:c>
      <x:c r="E1205" s="51" t="n">
        <x:v>161</x:v>
      </x:c>
      <x:c r="F1205" s="38" t="n">
        <x:v>0.05955644156491403</x:v>
      </x:c>
      <x:c r="G1205" s="38" t="n">
        <x:v>0.04011961126339397</x:v>
      </x:c>
      <x:c r="H1205" s="57" t="n">
        <x:v>4112.75</x:v>
      </x:c>
      <x:c r="I1205" s="57" t="n">
        <x:v>0.443</x:v>
      </x:c>
      <x:c r="J1205" s="57" t="n">
        <x:v>10.833120329444025</x:v>
      </x:c>
      <x:c r="K1205" s="57" t="n">
        <x:v>46.249680494166036</x:v>
      </x:c>
      <x:c r="L1205" s="57" t="n">
        <x:v>68.21382927738006</x:v>
      </x:c>
    </x:row>
    <x:row r="1206" ht="32.400001525878906" hidden="0" customHeight="1">
      <x:c r="A1206" s="27" t="str">
        <x:v>Miami-Dade County, Florida</x:v>
      </x:c>
      <x:c r="B1206" s="27" t="str">
        <x:v>12086000719</x:v>
      </x:c>
      <x:c r="C1206" s="50" t="n">
        <x:v>1272</x:v>
      </x:c>
      <x:c r="D1206" s="50" t="n">
        <x:v>114</x:v>
      </x:c>
      <x:c r="E1206" s="50" t="n">
        <x:v>21</x:v>
      </x:c>
      <x:c r="F1206" s="37" t="n">
        <x:v>0.08962264150943396</x:v>
      </x:c>
      <x:c r="G1206" s="37" t="n">
        <x:v>0.01650943396226415</x:v>
      </x:c>
      <x:c r="H1206" s="56" t="n">
        <x:v>1314</x:v>
      </x:c>
      <x:c r="I1206" s="56" t="n">
        <x:v>0.283</x:v>
      </x:c>
      <x:c r="J1206" s="56" t="n">
        <x:v>11.010631880913802</x:v>
      </x:c>
      <x:c r="K1206" s="56" t="n">
        <x:v>46.5159478213707</x:v>
      </x:c>
      <x:c r="L1206" s="56" t="n">
        <x:v>68.59421117338673</x:v>
      </x:c>
    </x:row>
    <x:row r="1207" ht="32.400001525878906" hidden="0" customHeight="1">
      <x:c r="A1207" s="29" t="str">
        <x:v>Miami-Dade County, Florida</x:v>
      </x:c>
      <x:c r="B1207" s="29" t="str">
        <x:v>12086000720</x:v>
      </x:c>
      <x:c r="C1207" s="51" t="n">
        <x:v>3671</x:v>
      </x:c>
      <x:c r="D1207" s="51" t="n">
        <x:v>670</x:v>
      </x:c>
      <x:c r="E1207" s="51" t="n">
        <x:v>386</x:v>
      </x:c>
      <x:c r="F1207" s="38" t="n">
        <x:v>0.18251157722691363</x:v>
      </x:c>
      <x:c r="G1207" s="38" t="n">
        <x:v>0.10514846090983383</x:v>
      </x:c>
      <x:c r="H1207" s="57" t="n">
        <x:v>3944.1</x:v>
      </x:c>
      <x:c r="I1207" s="57" t="n">
        <x:v>0.25</x:v>
      </x:c>
      <x:c r="J1207" s="57" t="n">
        <x:v>12.046958475637279</x:v>
      </x:c>
      <x:c r="K1207" s="57" t="n">
        <x:v>48.07043771345592</x:v>
      </x:c>
      <x:c r="L1207" s="57" t="n">
        <x:v>70.81491101922273</x:v>
      </x:c>
    </x:row>
    <x:row r="1208" ht="32.400001525878906" hidden="0" customHeight="1">
      <x:c r="A1208" s="27" t="str">
        <x:v>Miami-Dade County, Florida</x:v>
      </x:c>
      <x:c r="B1208" s="27" t="str">
        <x:v>12086000804</x:v>
      </x:c>
      <x:c r="C1208" s="50" t="n">
        <x:v>4317</x:v>
      </x:c>
      <x:c r="D1208" s="50" t="n">
        <x:v>792</x:v>
      </x:c>
      <x:c r="E1208" s="50" t="n">
        <x:v>406.5</x:v>
      </x:c>
      <x:c r="F1208" s="37" t="n">
        <x:v>0.1834607366226546</x:v>
      </x:c>
      <x:c r="G1208" s="37" t="n">
        <x:v>0.0941626129256428</x:v>
      </x:c>
      <x:c r="H1208" s="56" t="n">
        <x:v>4634.849999999999</x:v>
      </x:c>
      <x:c r="I1208" s="56" t="n">
        <x:v>0.397</x:v>
      </x:c>
      <x:c r="J1208" s="56" t="n">
        <x:v>13.815996243330794</x:v>
      </x:c>
      <x:c r="K1208" s="56" t="n">
        <x:v>50.72399436499619</x:v>
      </x:c>
      <x:c r="L1208" s="56" t="n">
        <x:v>74.60570623570885</x:v>
      </x:c>
    </x:row>
    <x:row r="1209" ht="32.400001525878906" hidden="0" customHeight="1">
      <x:c r="A1209" s="29" t="str">
        <x:v>Miami-Dade County, Florida</x:v>
      </x:c>
      <x:c r="B1209" s="29" t="str">
        <x:v>12086000805</x:v>
      </x:c>
      <x:c r="C1209" s="51" t="n">
        <x:v>5149</x:v>
      </x:c>
      <x:c r="D1209" s="51" t="n">
        <x:v>717</x:v>
      </x:c>
      <x:c r="E1209" s="51" t="n">
        <x:v>122</x:v>
      </x:c>
      <x:c r="F1209" s="38" t="n">
        <x:v>0.13925033987181978</x:v>
      </x:c>
      <x:c r="G1209" s="38" t="n">
        <x:v>0.023693921149737812</x:v>
      </x:c>
      <x:c r="H1209" s="57" t="n">
        <x:v>5412.150000000001</x:v>
      </x:c>
      <x:c r="I1209" s="57" t="n">
        <x:v>0.612</x:v>
      </x:c>
      <x:c r="J1209" s="57" t="n">
        <x:v>12.717157967064527</x:v>
      </x:c>
      <x:c r="K1209" s="57" t="n">
        <x:v>49.07573695059679</x:v>
      </x:c>
      <x:c r="L1209" s="57" t="n">
        <x:v>72.25105278656685</x:v>
      </x:c>
    </x:row>
    <x:row r="1210" ht="32.400001525878906" hidden="0" customHeight="1">
      <x:c r="A1210" s="27" t="str">
        <x:v>Miami-Dade County, Florida</x:v>
      </x:c>
      <x:c r="B1210" s="27" t="str">
        <x:v>12086000806</x:v>
      </x:c>
      <x:c r="C1210" s="50" t="n">
        <x:v>3784</x:v>
      </x:c>
      <x:c r="D1210" s="50" t="n">
        <x:v>585</x:v>
      </x:c>
      <x:c r="E1210" s="50" t="n">
        <x:v>357</x:v>
      </x:c>
      <x:c r="F1210" s="37" t="n">
        <x:v>0.1545983086680761</x:v>
      </x:c>
      <x:c r="G1210" s="37" t="n">
        <x:v>0.0943446088794926</x:v>
      </x:c>
      <x:c r="H1210" s="56" t="n">
        <x:v>4024.4500000000003</x:v>
      </x:c>
      <x:c r="I1210" s="56" t="n">
        <x:v>0.74</x:v>
      </x:c>
      <x:c r="J1210" s="56" t="n">
        <x:v>14.998411657306647</x:v>
      </x:c>
      <x:c r="K1210" s="56" t="n">
        <x:v>52.49761748595997</x:v>
      </x:c>
      <x:c r="L1210" s="56" t="n">
        <x:v>77.13945355137139</x:v>
      </x:c>
    </x:row>
    <x:row r="1211" ht="32.400001525878906" hidden="0" customHeight="1">
      <x:c r="A1211" s="29" t="str">
        <x:v>Miami-Dade County, Florida</x:v>
      </x:c>
      <x:c r="B1211" s="29" t="str">
        <x:v>12086000807</x:v>
      </x:c>
      <x:c r="C1211" s="51" t="n">
        <x:v>3776</x:v>
      </x:c>
      <x:c r="D1211" s="51" t="n">
        <x:v>640</x:v>
      </x:c>
      <x:c r="E1211" s="51" t="n">
        <x:v>386</x:v>
      </x:c>
      <x:c r="F1211" s="38" t="n">
        <x:v>0.1694915254237288</x:v>
      </x:c>
      <x:c r="G1211" s="38" t="n">
        <x:v>0.10222457627118645</x:v>
      </x:c>
      <x:c r="H1211" s="57" t="n">
        <x:v>4038.6</x:v>
      </x:c>
      <x:c r="I1211" s="57" t="n">
        <x:v>0.164</x:v>
      </x:c>
      <x:c r="J1211" s="57" t="n">
        <x:v>14.390769338560688</x:v>
      </x:c>
      <x:c r="K1211" s="57" t="n">
        <x:v>51.58615400784103</x:v>
      </x:c>
      <x:c r="L1211" s="57" t="n">
        <x:v>75.83736286834433</x:v>
      </x:c>
    </x:row>
    <x:row r="1212" ht="32.400001525878906" hidden="0" customHeight="1">
      <x:c r="A1212" s="27" t="str">
        <x:v>Miami-Dade County, Florida</x:v>
      </x:c>
      <x:c r="B1212" s="27" t="str">
        <x:v>12086000808</x:v>
      </x:c>
      <x:c r="C1212" s="50" t="n">
        <x:v>3744</x:v>
      </x:c>
      <x:c r="D1212" s="50" t="n">
        <x:v>565</x:v>
      </x:c>
      <x:c r="E1212" s="50" t="n">
        <x:v>345.5</x:v>
      </x:c>
      <x:c r="F1212" s="37" t="n">
        <x:v>0.15090811965811965</x:v>
      </x:c>
      <x:c r="G1212" s="37" t="n">
        <x:v>0.09228098290598291</x:v>
      </x:c>
      <x:c r="H1212" s="56" t="n">
        <x:v>3976.2999999999997</x:v>
      </x:c>
      <x:c r="I1212" s="56" t="n">
        <x:v>0.327</x:v>
      </x:c>
      <x:c r="J1212" s="56" t="n">
        <x:v>15.03876506566302</x:v>
      </x:c>
      <x:c r="K1212" s="56" t="n">
        <x:v>52.55814759849453</x:v>
      </x:c>
      <x:c r="L1212" s="56" t="n">
        <x:v>77.22592514070647</x:v>
      </x:c>
    </x:row>
    <x:row r="1213" ht="32.400001525878906" hidden="0" customHeight="1">
      <x:c r="A1213" s="29" t="str">
        <x:v>Miami-Dade County, Florida</x:v>
      </x:c>
      <x:c r="B1213" s="29" t="str">
        <x:v>12086000903</x:v>
      </x:c>
      <x:c r="C1213" s="51" t="n">
        <x:v>3671</x:v>
      </x:c>
      <x:c r="D1213" s="51" t="n">
        <x:v>481</x:v>
      </x:c>
      <x:c r="E1213" s="51" t="n">
        <x:v>234.5</x:v>
      </x:c>
      <x:c r="F1213" s="38" t="n">
        <x:v>0.1310269681285753</x:v>
      </x:c>
      <x:c r="G1213" s="38" t="n">
        <x:v>0.06387905202941978</x:v>
      </x:c>
      <x:c r="H1213" s="57" t="n">
        <x:v>3862.8</x:v>
      </x:c>
      <x:c r="I1213" s="57" t="n">
        <x:v>1.14</x:v>
      </x:c>
      <x:c r="J1213" s="57" t="n">
        <x:v>11.371811359225172</x:v>
      </x:c>
      <x:c r="K1213" s="57" t="n">
        <x:v>47.05771703883776</x:v>
      </x:c>
      <x:c r="L1213" s="57" t="n">
        <x:v>69.36816719833965</x:v>
      </x:c>
    </x:row>
    <x:row r="1214" ht="32.400001525878906" hidden="0" customHeight="1">
      <x:c r="A1214" s="27" t="str">
        <x:v>Miami-Dade County, Florida</x:v>
      </x:c>
      <x:c r="B1214" s="27" t="str">
        <x:v>12086000904</x:v>
      </x:c>
      <x:c r="C1214" s="50" t="n">
        <x:v>2500</x:v>
      </x:c>
      <x:c r="D1214" s="50" t="n">
        <x:v>370</x:v>
      </x:c>
      <x:c r="E1214" s="50" t="n">
        <x:v>26</x:v>
      </x:c>
      <x:c r="F1214" s="37" t="n">
        <x:v>0.148</x:v>
      </x:c>
      <x:c r="G1214" s="37" t="n">
        <x:v>0.0104</x:v>
      </x:c>
      <x:c r="H1214" s="56" t="n">
        <x:v>2632.1</x:v>
      </x:c>
      <x:c r="I1214" s="56" t="n">
        <x:v>0.73</x:v>
      </x:c>
      <x:c r="J1214" s="56" t="n">
        <x:v>13.013477223525893</x:v>
      </x:c>
      <x:c r="K1214" s="56" t="n">
        <x:v>49.52021583528884</x:v>
      </x:c>
      <x:c r="L1214" s="56" t="n">
        <x:v>72.88602262184119</x:v>
      </x:c>
    </x:row>
    <x:row r="1215" ht="32.400001525878906" hidden="0" customHeight="1">
      <x:c r="A1215" s="29" t="str">
        <x:v>Miami-Dade County, Florida</x:v>
      </x:c>
      <x:c r="B1215" s="29" t="str">
        <x:v>12086000905</x:v>
      </x:c>
      <x:c r="C1215" s="51" t="n">
        <x:v>3500</x:v>
      </x:c>
      <x:c r="D1215" s="51" t="n">
        <x:v>537</x:v>
      </x:c>
      <x:c r="E1215" s="51" t="n">
        <x:v>21</x:v>
      </x:c>
      <x:c r="F1215" s="38" t="n">
        <x:v>0.15342857142857144</x:v>
      </x:c>
      <x:c r="G1215" s="38" t="n">
        <x:v>0.006</x:v>
      </x:c>
      <x:c r="H1215" s="57" t="n">
        <x:v>3690.05</x:v>
      </x:c>
      <x:c r="I1215" s="57" t="n">
        <x:v>0.436</x:v>
      </x:c>
      <x:c r="J1215" s="57" t="n">
        <x:v>13.471182328771885</x:v>
      </x:c>
      <x:c r="K1215" s="57" t="n">
        <x:v>50.206773493157826</x:v>
      </x:c>
      <x:c r="L1215" s="57" t="n">
        <x:v>73.86681927593975</x:v>
      </x:c>
    </x:row>
    <x:row r="1216" ht="32.400001525878906" hidden="0" customHeight="1">
      <x:c r="A1216" s="27" t="str">
        <x:v>Miami-Dade County, Florida</x:v>
      </x:c>
      <x:c r="B1216" s="27" t="str">
        <x:v>12086000906</x:v>
      </x:c>
      <x:c r="C1216" s="50" t="n">
        <x:v>1877</x:v>
      </x:c>
      <x:c r="D1216" s="50" t="n">
        <x:v>185</x:v>
      </x:c>
      <x:c r="E1216" s="50" t="n">
        <x:v>28</x:v>
      </x:c>
      <x:c r="F1216" s="37" t="n">
        <x:v>0.09856153436334576</x:v>
      </x:c>
      <x:c r="G1216" s="37" t="n">
        <x:v>0.014917421417155035</x:v>
      </x:c>
      <x:c r="H1216" s="56" t="n">
        <x:v>1944.5500000000002</x:v>
      </x:c>
      <x:c r="I1216" s="56" t="n">
        <x:v>0.185</x:v>
      </x:c>
      <x:c r="J1216" s="56" t="n">
        <x:v>13.687952972429123</x:v>
      </x:c>
      <x:c r="K1216" s="56" t="n">
        <x:v>50.53192945864369</x:v>
      </x:c>
      <x:c r="L1216" s="56" t="n">
        <x:v>74.3313277980624</x:v>
      </x:c>
    </x:row>
    <x:row r="1217" ht="32.400001525878906" hidden="0" customHeight="1">
      <x:c r="A1217" s="29" t="str">
        <x:v>Miami-Dade County, Florida</x:v>
      </x:c>
      <x:c r="B1217" s="29" t="str">
        <x:v>12086000907</x:v>
      </x:c>
      <x:c r="C1217" s="51" t="n">
        <x:v>1907</x:v>
      </x:c>
      <x:c r="D1217" s="51" t="n">
        <x:v>184</x:v>
      </x:c>
      <x:c r="E1217" s="51" t="n">
        <x:v>0</x:v>
      </x:c>
      <x:c r="F1217" s="38" t="n">
        <x:v>0.09648662821185107</x:v>
      </x:c>
      <x:c r="G1217" s="38" t="n">
        <x:v>0</x:v>
      </x:c>
      <x:c r="H1217" s="57" t="n">
        <x:v>1971.4</x:v>
      </x:c>
      <x:c r="I1217" s="57" t="n">
        <x:v>0.195</x:v>
      </x:c>
      <x:c r="J1217" s="57" t="n">
        <x:v>14.717300790888025</x:v>
      </x:c>
      <x:c r="K1217" s="57" t="n">
        <x:v>52.075951186332034</x:v>
      </x:c>
      <x:c r="L1217" s="57" t="n">
        <x:v>76.53707312333148</x:v>
      </x:c>
    </x:row>
    <x:row r="1218" ht="32.400001525878906" hidden="0" customHeight="1">
      <x:c r="A1218" s="27" t="str">
        <x:v>Miami-Dade County, Florida</x:v>
      </x:c>
      <x:c r="B1218" s="27" t="str">
        <x:v>12086000908</x:v>
      </x:c>
      <x:c r="C1218" s="50" t="n">
        <x:v>3094</x:v>
      </x:c>
      <x:c r="D1218" s="50" t="n">
        <x:v>487</x:v>
      </x:c>
      <x:c r="E1218" s="50" t="n">
        <x:v>119</x:v>
      </x:c>
      <x:c r="F1218" s="37" t="n">
        <x:v>0.15740142210730446</x:v>
      </x:c>
      <x:c r="G1218" s="37" t="n">
        <x:v>0.038461538461538464</x:v>
      </x:c>
      <x:c r="H1218" s="56" t="n">
        <x:v>3276.35</x:v>
      </x:c>
      <x:c r="I1218" s="56" t="n">
        <x:v>0.384</x:v>
      </x:c>
      <x:c r="J1218" s="56" t="n">
        <x:v>14.935841827051503</x:v>
      </x:c>
      <x:c r="K1218" s="56" t="n">
        <x:v>52.40376274057726</x:v>
      </x:c>
      <x:c r="L1218" s="56" t="n">
        <x:v>77.00537534368179</x:v>
      </x:c>
    </x:row>
    <x:row r="1219" ht="32.400001525878906" hidden="0" customHeight="1">
      <x:c r="A1219" s="29" t="str">
        <x:v>Miami-Dade County, Florida</x:v>
      </x:c>
      <x:c r="B1219" s="29" t="str">
        <x:v>12086001003</x:v>
      </x:c>
      <x:c r="C1219" s="51" t="n">
        <x:v>6705</x:v>
      </x:c>
      <x:c r="D1219" s="51" t="n">
        <x:v>659</x:v>
      </x:c>
      <x:c r="E1219" s="51" t="n">
        <x:v>502</x:v>
      </x:c>
      <x:c r="F1219" s="38" t="n">
        <x:v>0.0982848620432513</x:v>
      </x:c>
      <x:c r="G1219" s="38" t="n">
        <x:v>0.07486950037285607</x:v>
      </x:c>
      <x:c r="H1219" s="57" t="n">
        <x:v>6985.85</x:v>
      </x:c>
      <x:c r="I1219" s="57" t="n">
        <x:v>0.773</x:v>
      </x:c>
      <x:c r="J1219" s="57" t="n">
        <x:v>11.755898714278022</x:v>
      </x:c>
      <x:c r="K1219" s="57" t="n">
        <x:v>47.633848071417034</x:v>
      </x:c>
      <x:c r="L1219" s="57" t="n">
        <x:v>70.19121153059575</x:v>
      </x:c>
    </x:row>
    <x:row r="1220" ht="32.400001525878906" hidden="0" customHeight="1">
      <x:c r="A1220" s="27" t="str">
        <x:v>Miami-Dade County, Florida</x:v>
      </x:c>
      <x:c r="B1220" s="27" t="str">
        <x:v>12086001004</x:v>
      </x:c>
      <x:c r="C1220" s="50" t="n">
        <x:v>8911</x:v>
      </x:c>
      <x:c r="D1220" s="50" t="n">
        <x:v>549</x:v>
      </x:c>
      <x:c r="E1220" s="50" t="n">
        <x:v>1516.5</x:v>
      </x:c>
      <x:c r="F1220" s="37" t="n">
        <x:v>0.06160924699809225</x:v>
      </x:c>
      <x:c r="G1220" s="37" t="n">
        <x:v>0.1701829199865335</x:v>
      </x:c>
      <x:c r="H1220" s="56" t="n">
        <x:v>9254.800000000001</x:v>
      </x:c>
      <x:c r="I1220" s="56" t="n">
        <x:v>0.966</x:v>
      </x:c>
      <x:c r="J1220" s="56" t="n">
        <x:v>9.758444201276298</x:v>
      </x:c>
      <x:c r="K1220" s="56" t="n">
        <x:v>44.63766630191445</x:v>
      </x:c>
      <x:c r="L1220" s="56" t="n">
        <x:v>65.91095185987778</x:v>
      </x:c>
    </x:row>
    <x:row r="1221" ht="32.400001525878906" hidden="0" customHeight="1">
      <x:c r="A1221" s="29" t="str">
        <x:v>Miami-Dade County, Florida</x:v>
      </x:c>
      <x:c r="B1221" s="29" t="str">
        <x:v>12086001005</x:v>
      </x:c>
      <x:c r="C1221" s="51" t="n">
        <x:v>1511</x:v>
      </x:c>
      <x:c r="D1221" s="51" t="n">
        <x:v>386</x:v>
      </x:c>
      <x:c r="E1221" s="51" t="n">
        <x:v>389</x:v>
      </x:c>
      <x:c r="F1221" s="38" t="n">
        <x:v>0.2554599602911979</x:v>
      </x:c>
      <x:c r="G1221" s="38" t="n">
        <x:v>0.257445400397088</x:v>
      </x:c>
      <x:c r="H1221" s="57" t="n">
        <x:v>1684.9999999999998</x:v>
      </x:c>
      <x:c r="I1221" s="57" t="n">
        <x:v>0.377</x:v>
      </x:c>
      <x:c r="J1221" s="57" t="n">
        <x:v>11.628147281717611</x:v>
      </x:c>
      <x:c r="K1221" s="57" t="n">
        <x:v>47.44222092257642</x:v>
      </x:c>
      <x:c r="L1221" s="57" t="n">
        <x:v>69.91745846082345</x:v>
      </x:c>
    </x:row>
    <x:row r="1222" ht="32.400001525878906" hidden="0" customHeight="1">
      <x:c r="A1222" s="27" t="str">
        <x:v>Miami-Dade County, Florida</x:v>
      </x:c>
      <x:c r="B1222" s="27" t="str">
        <x:v>12086001006</x:v>
      </x:c>
      <x:c r="C1222" s="50" t="n">
        <x:v>4326</x:v>
      </x:c>
      <x:c r="D1222" s="50" t="n">
        <x:v>537</x:v>
      </x:c>
      <x:c r="E1222" s="50" t="n">
        <x:v>986.5</x:v>
      </x:c>
      <x:c r="F1222" s="37" t="n">
        <x:v>0.12413314840499307</x:v>
      </x:c>
      <x:c r="G1222" s="37" t="n">
        <x:v>0.22803975959315764</x:v>
      </x:c>
      <x:c r="H1222" s="56" t="n">
        <x:v>4612.6</x:v>
      </x:c>
      <x:c r="I1222" s="56" t="n">
        <x:v>0.501</x:v>
      </x:c>
      <x:c r="J1222" s="56" t="n">
        <x:v>10.284457151532434</x:v>
      </x:c>
      <x:c r="K1222" s="56" t="n">
        <x:v>45.426685727298654</x:v>
      </x:c>
      <x:c r="L1222" s="56" t="n">
        <x:v>67.03812246756951</x:v>
      </x:c>
    </x:row>
    <x:row r="1223" ht="32.400001525878906" hidden="0" customHeight="1">
      <x:c r="A1223" s="29" t="str">
        <x:v>Miami-Dade County, Florida</x:v>
      </x:c>
      <x:c r="B1223" s="29" t="str">
        <x:v>12086001007</x:v>
      </x:c>
      <x:c r="C1223" s="51" t="n">
        <x:v>4081</x:v>
      </x:c>
      <x:c r="D1223" s="51" t="n">
        <x:v>322</x:v>
      </x:c>
      <x:c r="E1223" s="51" t="n">
        <x:v>201</x:v>
      </x:c>
      <x:c r="F1223" s="38" t="n">
        <x:v>0.07890222984562607</x:v>
      </x:c>
      <x:c r="G1223" s="38" t="n">
        <x:v>0.049252634158294534</x:v>
      </x:c>
      <x:c r="H1223" s="57" t="n">
        <x:v>4213.8</x:v>
      </x:c>
      <x:c r="I1223" s="57" t="n">
        <x:v>0.484</x:v>
      </x:c>
      <x:c r="J1223" s="57" t="n">
        <x:v>11.652719697811309</x:v>
      </x:c>
      <x:c r="K1223" s="57" t="n">
        <x:v>47.47907954671696</x:v>
      </x:c>
      <x:c r="L1223" s="57" t="n">
        <x:v>69.97011363816709</x:v>
      </x:c>
    </x:row>
    <x:row r="1224" ht="32.400001525878906" hidden="0" customHeight="1">
      <x:c r="A1224" s="27" t="str">
        <x:v>Miami-Dade County, Florida</x:v>
      </x:c>
      <x:c r="B1224" s="27" t="str">
        <x:v>12086001008</x:v>
      </x:c>
      <x:c r="C1224" s="50" t="n">
        <x:v>3747</x:v>
      </x:c>
      <x:c r="D1224" s="50" t="n">
        <x:v>450</x:v>
      </x:c>
      <x:c r="E1224" s="50" t="n">
        <x:v>104</x:v>
      </x:c>
      <x:c r="F1224" s="37" t="n">
        <x:v>0.1200960768614892</x:v>
      </x:c>
      <x:c r="G1224" s="37" t="n">
        <x:v>0.02775553776354417</x:v>
      </x:c>
      <x:c r="H1224" s="56" t="n">
        <x:v>3914.9</x:v>
      </x:c>
      <x:c r="I1224" s="56" t="n">
        <x:v>0.449</x:v>
      </x:c>
      <x:c r="J1224" s="56" t="n">
        <x:v>10.801920328556923</x:v>
      </x:c>
      <x:c r="K1224" s="56" t="n">
        <x:v>46.202880492835384</x:v>
      </x:c>
      <x:c r="L1224" s="56" t="n">
        <x:v>68.14697213262198</x:v>
      </x:c>
    </x:row>
    <x:row r="1225" ht="32.400001525878906" hidden="0" customHeight="1">
      <x:c r="A1225" s="29" t="str">
        <x:v>Miami-Dade County, Florida</x:v>
      </x:c>
      <x:c r="B1225" s="29" t="str">
        <x:v>12086001101</x:v>
      </x:c>
      <x:c r="C1225" s="51" t="n">
        <x:v>4906</x:v>
      </x:c>
      <x:c r="D1225" s="51" t="n">
        <x:v>370</x:v>
      </x:c>
      <x:c r="E1225" s="51" t="n">
        <x:v>102</x:v>
      </x:c>
      <x:c r="F1225" s="38" t="n">
        <x:v>0.07541785568691398</x:v>
      </x:c>
      <x:c r="G1225" s="38" t="n">
        <x:v>0.02079086832450061</x:v>
      </x:c>
      <x:c r="H1225" s="57" t="n">
        <x:v>5045.700000000001</x:v>
      </x:c>
      <x:c r="I1225" s="57" t="n">
        <x:v>0.585</x:v>
      </x:c>
      <x:c r="J1225" s="57" t="n">
        <x:v>13.71687759569895</x:v>
      </x:c>
      <x:c r="K1225" s="57" t="n">
        <x:v>50.57531639354843</x:v>
      </x:c>
      <x:c r="L1225" s="57" t="n">
        <x:v>74.3933091336406</x:v>
      </x:c>
    </x:row>
    <x:row r="1226" ht="32.400001525878906" hidden="0" customHeight="1">
      <x:c r="A1226" s="27" t="str">
        <x:v>Miami-Dade County, Florida</x:v>
      </x:c>
      <x:c r="B1226" s="27" t="str">
        <x:v>12086001102</x:v>
      </x:c>
      <x:c r="C1226" s="50" t="n">
        <x:v>5923</x:v>
      </x:c>
      <x:c r="D1226" s="50" t="n">
        <x:v>305</x:v>
      </x:c>
      <x:c r="E1226" s="50" t="n">
        <x:v>216</x:v>
      </x:c>
      <x:c r="F1226" s="37" t="n">
        <x:v>0.05149417524902921</x:v>
      </x:c>
      <x:c r="G1226" s="37" t="n">
        <x:v>0.03646800607800101</x:v>
      </x:c>
      <x:c r="H1226" s="56" t="n">
        <x:v>6051.35</x:v>
      </x:c>
      <x:c r="I1226" s="56" t="n">
        <x:v>0.711</x:v>
      </x:c>
      <x:c r="J1226" s="56" t="n">
        <x:v>13.570343861532834</x:v>
      </x:c>
      <x:c r="K1226" s="56" t="n">
        <x:v>50.35551579229925</x:v>
      </x:c>
      <x:c r="L1226" s="56" t="n">
        <x:v>74.07930827471321</x:v>
      </x:c>
    </x:row>
    <x:row r="1227" ht="32.400001525878906" hidden="0" customHeight="1">
      <x:c r="A1227" s="29" t="str">
        <x:v>Miami-Dade County, Florida</x:v>
      </x:c>
      <x:c r="B1227" s="29" t="str">
        <x:v>12086001103</x:v>
      </x:c>
      <x:c r="C1227" s="51" t="n">
        <x:v>4513</x:v>
      </x:c>
      <x:c r="D1227" s="51" t="n">
        <x:v>234</x:v>
      </x:c>
      <x:c r="E1227" s="51" t="n">
        <x:v>101</x:v>
      </x:c>
      <x:c r="F1227" s="38" t="n">
        <x:v>0.05185021050299136</x:v>
      </x:c>
      <x:c r="G1227" s="38" t="n">
        <x:v>0.022379791712829604</x:v>
      </x:c>
      <x:c r="H1227" s="57" t="n">
        <x:v>4605</x:v>
      </x:c>
      <x:c r="I1227" s="57" t="n">
        <x:v>0.531</x:v>
      </x:c>
      <x:c r="J1227" s="57" t="n">
        <x:v>11.923258355927938</x:v>
      </x:c>
      <x:c r="K1227" s="57" t="n">
        <x:v>47.884887533891906</x:v>
      </x:c>
      <x:c r="L1227" s="57" t="n">
        <x:v>70.54983933413129</x:v>
      </x:c>
    </x:row>
    <x:row r="1228" ht="32.400001525878906" hidden="0" customHeight="1">
      <x:c r="A1228" s="27" t="str">
        <x:v>Miami-Dade County, Florida</x:v>
      </x:c>
      <x:c r="B1228" s="27" t="str">
        <x:v>12086001104</x:v>
      </x:c>
      <x:c r="C1228" s="50" t="n">
        <x:v>4890</x:v>
      </x:c>
      <x:c r="D1228" s="50" t="n">
        <x:v>292</x:v>
      </x:c>
      <x:c r="E1228" s="50" t="n">
        <x:v>202.5</x:v>
      </x:c>
      <x:c r="F1228" s="37" t="n">
        <x:v>0.05971370143149284</x:v>
      </x:c>
      <x:c r="G1228" s="37" t="n">
        <x:v>0.04141104294478527</x:v>
      </x:c>
      <x:c r="H1228" s="56" t="n">
        <x:v>5012.45</x:v>
      </x:c>
      <x:c r="I1228" s="56" t="n">
        <x:v>0.994</x:v>
      </x:c>
      <x:c r="J1228" s="56" t="n">
        <x:v>11.553779676338467</x:v>
      </x:c>
      <x:c r="K1228" s="56" t="n">
        <x:v>47.3306695145077</x:v>
      </x:c>
      <x:c r="L1228" s="56" t="n">
        <x:v>69.75809930643956</x:v>
      </x:c>
    </x:row>
    <x:row r="1229" ht="32.400001525878906" hidden="0" customHeight="1">
      <x:c r="A1229" s="29" t="str">
        <x:v>Miami-Dade County, Florida</x:v>
      </x:c>
      <x:c r="B1229" s="29" t="str">
        <x:v>12086001204</x:v>
      </x:c>
      <x:c r="C1229" s="51" t="n">
        <x:v>5924</x:v>
      </x:c>
      <x:c r="D1229" s="51" t="n">
        <x:v>633</x:v>
      </x:c>
      <x:c r="E1229" s="51" t="n">
        <x:v>337</x:v>
      </x:c>
      <x:c r="F1229" s="38" t="n">
        <x:v>0.10685347738014855</x:v>
      </x:c>
      <x:c r="G1229" s="38" t="n">
        <x:v>0.05688723835246455</x:v>
      </x:c>
      <x:c r="H1229" s="57" t="n">
        <x:v>6179.250000000001</x:v>
      </x:c>
      <x:c r="I1229" s="57" t="n">
        <x:v>0.5</x:v>
      </x:c>
      <x:c r="J1229" s="57" t="n">
        <x:v>16.040792269050655</x:v>
      </x:c>
      <x:c r="K1229" s="57" t="n">
        <x:v>54.06118840357598</x:v>
      </x:c>
      <x:c r="L1229" s="57" t="n">
        <x:v>79.37312629082282</x:v>
      </x:c>
    </x:row>
    <x:row r="1230" ht="32.400001525878906" hidden="0" customHeight="1">
      <x:c r="A1230" s="27" t="str">
        <x:v>Miami-Dade County, Florida</x:v>
      </x:c>
      <x:c r="B1230" s="27" t="str">
        <x:v>12086001205</x:v>
      </x:c>
      <x:c r="C1230" s="50" t="n">
        <x:v>2413</x:v>
      </x:c>
      <x:c r="D1230" s="50" t="n">
        <x:v>216</x:v>
      </x:c>
      <x:c r="E1230" s="50" t="n">
        <x:v>5</x:v>
      </x:c>
      <x:c r="F1230" s="37" t="n">
        <x:v>0.08951512639867384</x:v>
      </x:c>
      <x:c r="G1230" s="37" t="n">
        <x:v>0.0020721094073767096</x:v>
      </x:c>
      <x:c r="H1230" s="56" t="n">
        <x:v>2489.1</x:v>
      </x:c>
      <x:c r="I1230" s="56" t="n">
        <x:v>1.045</x:v>
      </x:c>
      <x:c r="J1230" s="56" t="n">
        <x:v>12.919320065319084</x:v>
      </x:c>
      <x:c r="K1230" s="56" t="n">
        <x:v>49.378980097978626</x:v>
      </x:c>
      <x:c r="L1230" s="56" t="n">
        <x:v>72.68425728282661</x:v>
      </x:c>
    </x:row>
    <x:row r="1231" ht="32.400001525878906" hidden="0" customHeight="1">
      <x:c r="A1231" s="29" t="str">
        <x:v>Miami-Dade County, Florida</x:v>
      </x:c>
      <x:c r="B1231" s="29" t="str">
        <x:v>12086001206</x:v>
      </x:c>
      <x:c r="C1231" s="51" t="n">
        <x:v>4322</x:v>
      </x:c>
      <x:c r="D1231" s="51" t="n">
        <x:v>417</x:v>
      </x:c>
      <x:c r="E1231" s="51" t="n">
        <x:v>148</x:v>
      </x:c>
      <x:c r="F1231" s="38" t="n">
        <x:v>0.09648310967144841</x:v>
      </x:c>
      <x:c r="G1231" s="38" t="n">
        <x:v>0.03424340583063397</x:v>
      </x:c>
      <x:c r="H1231" s="57" t="n">
        <x:v>4482.75</x:v>
      </x:c>
      <x:c r="I1231" s="57" t="n">
        <x:v>0.646</x:v>
      </x:c>
      <x:c r="J1231" s="57" t="n">
        <x:v>12.213739389110867</x:v>
      </x:c>
      <x:c r="K1231" s="57" t="n">
        <x:v>48.3206090836663</x:v>
      </x:c>
      <x:c r="L1231" s="57" t="n">
        <x:v>71.17229869095186</x:v>
      </x:c>
    </x:row>
    <x:row r="1232" ht="32.400001525878906" hidden="0" customHeight="1">
      <x:c r="A1232" s="27" t="str">
        <x:v>Miami-Dade County, Florida</x:v>
      </x:c>
      <x:c r="B1232" s="27" t="str">
        <x:v>12086001207</x:v>
      </x:c>
      <x:c r="C1232" s="50" t="n">
        <x:v>2018</x:v>
      </x:c>
      <x:c r="D1232" s="50" t="n">
        <x:v>109</x:v>
      </x:c>
      <x:c r="E1232" s="50" t="n">
        <x:v>20</x:v>
      </x:c>
      <x:c r="F1232" s="37" t="n">
        <x:v>0.05401387512388504</x:v>
      </x:c>
      <x:c r="G1232" s="37" t="n">
        <x:v>0.009910802775024777</x:v>
      </x:c>
      <x:c r="H1232" s="56" t="n">
        <x:v>2058.15</x:v>
      </x:c>
      <x:c r="I1232" s="56" t="n">
        <x:v>0.26</x:v>
      </x:c>
      <x:c r="J1232" s="56" t="n">
        <x:v>14.655870180217626</x:v>
      </x:c>
      <x:c r="K1232" s="56" t="n">
        <x:v>51.98380527032644</x:v>
      </x:c>
      <x:c r="L1232" s="56" t="n">
        <x:v>76.40543610046635</x:v>
      </x:c>
    </x:row>
    <x:row r="1233" ht="32.400001525878906" hidden="0" customHeight="1">
      <x:c r="A1233" s="29" t="str">
        <x:v>Miami-Dade County, Florida</x:v>
      </x:c>
      <x:c r="B1233" s="29" t="str">
        <x:v>12086001208</x:v>
      </x:c>
      <x:c r="C1233" s="51" t="n">
        <x:v>3146</x:v>
      </x:c>
      <x:c r="D1233" s="51" t="n">
        <x:v>150</x:v>
      </x:c>
      <x:c r="E1233" s="51" t="n">
        <x:v>238</x:v>
      </x:c>
      <x:c r="F1233" s="38" t="n">
        <x:v>0.04767959313413859</x:v>
      </x:c>
      <x:c r="G1233" s="38" t="n">
        <x:v>0.07565162110616656</x:v>
      </x:c>
      <x:c r="H1233" s="57" t="n">
        <x:v>3222.3</x:v>
      </x:c>
      <x:c r="I1233" s="57" t="n">
        <x:v>0.193</x:v>
      </x:c>
      <x:c r="J1233" s="57" t="n">
        <x:v>15.55582011537779</x:v>
      </x:c>
      <x:c r="K1233" s="57" t="n">
        <x:v>53.333730173066684</x:v>
      </x:c>
      <x:c r="L1233" s="57" t="n">
        <x:v>78.33390024723812</x:v>
      </x:c>
    </x:row>
    <x:row r="1234" ht="32.400001525878906" hidden="0" customHeight="1">
      <x:c r="A1234" s="27" t="str">
        <x:v>Miami-Dade County, Florida</x:v>
      </x:c>
      <x:c r="B1234" s="27" t="str">
        <x:v>12086001209</x:v>
      </x:c>
      <x:c r="C1234" s="50" t="n">
        <x:v>3842</x:v>
      </x:c>
      <x:c r="D1234" s="50" t="n">
        <x:v>355</x:v>
      </x:c>
      <x:c r="E1234" s="50" t="n">
        <x:v>533.5</x:v>
      </x:c>
      <x:c r="F1234" s="37" t="n">
        <x:v>0.09239979177511713</x:v>
      </x:c>
      <x:c r="G1234" s="37" t="n">
        <x:v>0.13885996876626758</x:v>
      </x:c>
      <x:c r="H1234" s="56" t="n">
        <x:v>4019.6</x:v>
      </x:c>
      <x:c r="I1234" s="56" t="n">
        <x:v>0.339</x:v>
      </x:c>
      <x:c r="J1234" s="56" t="n">
        <x:v>14.359144788454222</x:v>
      </x:c>
      <x:c r="K1234" s="56" t="n">
        <x:v>51.53871718268133</x:v>
      </x:c>
      <x:c r="L1234" s="56" t="n">
        <x:v>75.76959597525905</x:v>
      </x:c>
    </x:row>
    <x:row r="1235" ht="32.400001525878906" hidden="0" customHeight="1">
      <x:c r="A1235" s="29" t="str">
        <x:v>Miami-Dade County, Florida</x:v>
      </x:c>
      <x:c r="B1235" s="29" t="str">
        <x:v>12086001301</x:v>
      </x:c>
      <x:c r="C1235" s="51" t="n">
        <x:v>5393</x:v>
      </x:c>
      <x:c r="D1235" s="51" t="n">
        <x:v>528</x:v>
      </x:c>
      <x:c r="E1235" s="51" t="n">
        <x:v>483</x:v>
      </x:c>
      <x:c r="F1235" s="38" t="n">
        <x:v>0.09790469126645651</x:v>
      </x:c>
      <x:c r="G1235" s="38" t="n">
        <x:v>0.08956054144261079</x:v>
      </x:c>
      <x:c r="H1235" s="57" t="n">
        <x:v>5626.099999999999</x:v>
      </x:c>
      <x:c r="I1235" s="57" t="n">
        <x:v>0.592</x:v>
      </x:c>
      <x:c r="J1235" s="57" t="n">
        <x:v>10.171404561821186</x:v>
      </x:c>
      <x:c r="K1235" s="57" t="n">
        <x:v>45.25710684273178</x:v>
      </x:c>
      <x:c r="L1235" s="57" t="n">
        <x:v>66.79586691818825</x:v>
      </x:c>
    </x:row>
    <x:row r="1236" ht="32.400001525878906" hidden="0" customHeight="1">
      <x:c r="A1236" s="27" t="str">
        <x:v>Miami-Dade County, Florida</x:v>
      </x:c>
      <x:c r="B1236" s="27" t="str">
        <x:v>12086001302</x:v>
      </x:c>
      <x:c r="C1236" s="50" t="n">
        <x:v>5568</x:v>
      </x:c>
      <x:c r="D1236" s="50" t="n">
        <x:v>341</x:v>
      </x:c>
      <x:c r="E1236" s="50" t="n">
        <x:v>377</x:v>
      </x:c>
      <x:c r="F1236" s="37" t="n">
        <x:v>0.061242816091954026</x:v>
      </x:c>
      <x:c r="G1236" s="37" t="n">
        <x:v>0.06770833333333333</x:v>
      </x:c>
      <x:c r="H1236" s="56" t="n">
        <x:v>5725.05</x:v>
      </x:c>
      <x:c r="I1236" s="56" t="n">
        <x:v>0.647</x:v>
      </x:c>
      <x:c r="J1236" s="56" t="n">
        <x:v>8.499593041686909</x:v>
      </x:c>
      <x:c r="K1236" s="56" t="n">
        <x:v>42.74938956253037</x:v>
      </x:c>
      <x:c r="L1236" s="56" t="n">
        <x:v>63.213413660757666</x:v>
      </x:c>
    </x:row>
    <x:row r="1237" ht="32.400001525878906" hidden="0" customHeight="1">
      <x:c r="A1237" s="29" t="str">
        <x:v>Miami-Dade County, Florida</x:v>
      </x:c>
      <x:c r="B1237" s="29" t="str">
        <x:v>12086001401</x:v>
      </x:c>
      <x:c r="C1237" s="51" t="n">
        <x:v>5761</x:v>
      </x:c>
      <x:c r="D1237" s="51" t="n">
        <x:v>843</x:v>
      </x:c>
      <x:c r="E1237" s="51" t="n">
        <x:v>985</x:v>
      </x:c>
      <x:c r="F1237" s="38" t="n">
        <x:v>0.1463287623676445</x:v>
      </x:c>
      <x:c r="G1237" s="38" t="n">
        <x:v>0.17097726089220622</x:v>
      </x:c>
      <x:c r="H1237" s="57" t="n">
        <x:v>6154.55</x:v>
      </x:c>
      <x:c r="I1237" s="57" t="n">
        <x:v>0.474</x:v>
      </x:c>
      <x:c r="J1237" s="57" t="n">
        <x:v>8.647902392389994</x:v>
      </x:c>
      <x:c r="K1237" s="57" t="n">
        <x:v>42.97185358858499</x:v>
      </x:c>
      <x:c r="L1237" s="57" t="n">
        <x:v>63.53121941226428</x:v>
      </x:c>
    </x:row>
    <x:row r="1238" ht="32.400001525878906" hidden="0" customHeight="1">
      <x:c r="A1238" s="27" t="str">
        <x:v>Miami-Dade County, Florida</x:v>
      </x:c>
      <x:c r="B1238" s="27" t="str">
        <x:v>12086001402</x:v>
      </x:c>
      <x:c r="C1238" s="50" t="n">
        <x:v>5479</x:v>
      </x:c>
      <x:c r="D1238" s="50" t="n">
        <x:v>435</x:v>
      </x:c>
      <x:c r="E1238" s="50" t="n">
        <x:v>691</x:v>
      </x:c>
      <x:c r="F1238" s="37" t="n">
        <x:v>0.07939405000912575</x:v>
      </x:c>
      <x:c r="G1238" s="37" t="n">
        <x:v>0.12611790472714</x:v>
      </x:c>
      <x:c r="H1238" s="56" t="n">
        <x:v>5700.350000000001</x:v>
      </x:c>
      <x:c r="I1238" s="56" t="n">
        <x:v>0.457</x:v>
      </x:c>
      <x:c r="J1238" s="56" t="n">
        <x:v>9.296222519529037</x:v>
      </x:c>
      <x:c r="K1238" s="56" t="n">
        <x:v>43.94433377929356</x:v>
      </x:c>
      <x:c r="L1238" s="56" t="n">
        <x:v>64.92047682756223</x:v>
      </x:c>
    </x:row>
    <x:row r="1239" ht="32.400001525878906" hidden="0" customHeight="1">
      <x:c r="A1239" s="29" t="str">
        <x:v>Miami-Dade County, Florida</x:v>
      </x:c>
      <x:c r="B1239" s="29" t="str">
        <x:v>12086001501</x:v>
      </x:c>
      <x:c r="C1239" s="51" t="n">
        <x:v>3906</x:v>
      </x:c>
      <x:c r="D1239" s="51" t="n">
        <x:v>259</x:v>
      </x:c>
      <x:c r="E1239" s="51" t="n">
        <x:v>1211.5</x:v>
      </x:c>
      <x:c r="F1239" s="38" t="n">
        <x:v>0.06630824372759857</x:v>
      </x:c>
      <x:c r="G1239" s="38" t="n">
        <x:v>0.31016385048643114</x:v>
      </x:c>
      <x:c r="H1239" s="57" t="n">
        <x:v>4117.8</x:v>
      </x:c>
      <x:c r="I1239" s="57" t="n">
        <x:v>0.264</x:v>
      </x:c>
      <x:c r="J1239" s="57" t="n">
        <x:v>8.613811261827937</x:v>
      </x:c>
      <x:c r="K1239" s="57" t="n">
        <x:v>42.92071689274191</x:v>
      </x:c>
      <x:c r="L1239" s="57" t="n">
        <x:v>63.458166989631295</x:v>
      </x:c>
    </x:row>
    <x:row r="1240" ht="32.400001525878906" hidden="0" customHeight="1">
      <x:c r="A1240" s="27" t="str">
        <x:v>Miami-Dade County, Florida</x:v>
      </x:c>
      <x:c r="B1240" s="27" t="str">
        <x:v>12086001502</x:v>
      </x:c>
      <x:c r="C1240" s="50" t="n">
        <x:v>4523</x:v>
      </x:c>
      <x:c r="D1240" s="50" t="n">
        <x:v>563</x:v>
      </x:c>
      <x:c r="E1240" s="50" t="n">
        <x:v>351.5</x:v>
      </x:c>
      <x:c r="F1240" s="37" t="n">
        <x:v>0.12447490603581693</x:v>
      </x:c>
      <x:c r="G1240" s="37" t="n">
        <x:v>0.07771390669909352</x:v>
      </x:c>
      <x:c r="H1240" s="56" t="n">
        <x:v>4755.2</x:v>
      </x:c>
      <x:c r="I1240" s="56" t="n">
        <x:v>0.653</x:v>
      </x:c>
      <x:c r="J1240" s="56" t="n">
        <x:v>9.63037339802863</x:v>
      </x:c>
      <x:c r="K1240" s="56" t="n">
        <x:v>44.44556009704294</x:v>
      </x:c>
      <x:c r="L1240" s="56" t="n">
        <x:v>65.63651442434707</x:v>
      </x:c>
    </x:row>
    <x:row r="1241" ht="32.400001525878906" hidden="0" customHeight="1">
      <x:c r="A1241" s="29" t="str">
        <x:v>Miami-Dade County, Florida</x:v>
      </x:c>
      <x:c r="B1241" s="29" t="str">
        <x:v>12086001603</x:v>
      </x:c>
      <x:c r="C1241" s="51" t="n">
        <x:v>3397</x:v>
      </x:c>
      <x:c r="D1241" s="51" t="n">
        <x:v>538</x:v>
      </x:c>
      <x:c r="E1241" s="51" t="n">
        <x:v>281</x:v>
      </x:c>
      <x:c r="F1241" s="38" t="n">
        <x:v>0.158375036797174</x:v>
      </x:c>
      <x:c r="G1241" s="38" t="n">
        <x:v>0.0827200471003827</x:v>
      </x:c>
      <x:c r="H1241" s="57" t="n">
        <x:v>3613.399999999999</x:v>
      </x:c>
      <x:c r="I1241" s="57" t="n">
        <x:v>0.374</x:v>
      </x:c>
      <x:c r="J1241" s="57" t="n">
        <x:v>11.850220989333181</x:v>
      </x:c>
      <x:c r="K1241" s="57" t="n">
        <x:v>47.77533148399977</x:v>
      </x:c>
      <x:c r="L1241" s="57" t="n">
        <x:v>70.39333069142825</x:v>
      </x:c>
    </x:row>
    <x:row r="1242" ht="32.400001525878906" hidden="0" customHeight="1">
      <x:c r="A1242" s="27" t="str">
        <x:v>Miami-Dade County, Florida</x:v>
      </x:c>
      <x:c r="B1242" s="27" t="str">
        <x:v>12086001605</x:v>
      </x:c>
      <x:c r="C1242" s="50" t="n">
        <x:v>3677</x:v>
      </x:c>
      <x:c r="D1242" s="50" t="n">
        <x:v>725</x:v>
      </x:c>
      <x:c r="E1242" s="50" t="n">
        <x:v>835</x:v>
      </x:c>
      <x:c r="F1242" s="37" t="n">
        <x:v>0.19717160728855046</x:v>
      </x:c>
      <x:c r="G1242" s="37" t="n">
        <x:v>0.22708729942888223</x:v>
      </x:c>
      <x:c r="H1242" s="56" t="n">
        <x:v>4014.25</x:v>
      </x:c>
      <x:c r="I1242" s="56" t="n">
        <x:v>0.184</x:v>
      </x:c>
      <x:c r="J1242" s="56" t="n">
        <x:v>13.97303339839239</x:v>
      </x:c>
      <x:c r="K1242" s="56" t="n">
        <x:v>50.95955009758858</x:v>
      </x:c>
      <x:c r="L1242" s="56" t="n">
        <x:v>74.94221442512655</x:v>
      </x:c>
    </x:row>
    <x:row r="1243" ht="32.400001525878906" hidden="0" customHeight="1">
      <x:c r="A1243" s="29" t="str">
        <x:v>Miami-Dade County, Florida</x:v>
      </x:c>
      <x:c r="B1243" s="29" t="str">
        <x:v>12086001606</x:v>
      </x:c>
      <x:c r="C1243" s="51" t="n">
        <x:v>4330</x:v>
      </x:c>
      <x:c r="D1243" s="51" t="n">
        <x:v>593</x:v>
      </x:c>
      <x:c r="E1243" s="51" t="n">
        <x:v>585</x:v>
      </x:c>
      <x:c r="F1243" s="38" t="n">
        <x:v>0.13695150115473442</x:v>
      </x:c>
      <x:c r="G1243" s="38" t="n">
        <x:v>0.1351039260969977</x:v>
      </x:c>
      <x:c r="H1243" s="57" t="n">
        <x:v>4596.05</x:v>
      </x:c>
      <x:c r="I1243" s="57" t="n">
        <x:v>0.265</x:v>
      </x:c>
      <x:c r="J1243" s="57" t="n">
        <x:v>13.024431773925809</x:v>
      </x:c>
      <x:c r="K1243" s="57" t="n">
        <x:v>49.53664766088871</x:v>
      </x:c>
      <x:c r="L1243" s="57" t="n">
        <x:v>72.90949665841245</x:v>
      </x:c>
    </x:row>
    <x:row r="1244" ht="32.400001525878906" hidden="0" customHeight="1">
      <x:c r="A1244" s="27" t="str">
        <x:v>Miami-Dade County, Florida</x:v>
      </x:c>
      <x:c r="B1244" s="27" t="str">
        <x:v>12086001607</x:v>
      </x:c>
      <x:c r="C1244" s="50" t="n">
        <x:v>3099</x:v>
      </x:c>
      <x:c r="D1244" s="50" t="n">
        <x:v>408</x:v>
      </x:c>
      <x:c r="E1244" s="50" t="n">
        <x:v>120</x:v>
      </x:c>
      <x:c r="F1244" s="37" t="n">
        <x:v>0.13165537270087124</x:v>
      </x:c>
      <x:c r="G1244" s="37" t="n">
        <x:v>0.03872216844143272</x:v>
      </x:c>
      <x:c r="H1244" s="56" t="n">
        <x:v>3253.8</x:v>
      </x:c>
      <x:c r="I1244" s="56" t="n">
        <x:v>0.458</x:v>
      </x:c>
      <x:c r="J1244" s="56" t="n">
        <x:v>10.683935787463128</x:v>
      </x:c>
      <x:c r="K1244" s="56" t="n">
        <x:v>46.02590368119469</x:v>
      </x:c>
      <x:c r="L1244" s="56" t="n">
        <x:v>67.89414811599241</x:v>
      </x:c>
    </x:row>
    <x:row r="1245" ht="32.400001525878906" hidden="0" customHeight="1">
      <x:c r="A1245" s="29" t="str">
        <x:v>Miami-Dade County, Florida</x:v>
      </x:c>
      <x:c r="B1245" s="29" t="str">
        <x:v>12086001608</x:v>
      </x:c>
      <x:c r="C1245" s="51" t="n">
        <x:v>2829</x:v>
      </x:c>
      <x:c r="D1245" s="51" t="n">
        <x:v>353</x:v>
      </x:c>
      <x:c r="E1245" s="51" t="n">
        <x:v>134</x:v>
      </x:c>
      <x:c r="F1245" s="38" t="n">
        <x:v>0.1247790738776953</x:v>
      </x:c>
      <x:c r="G1245" s="38" t="n">
        <x:v>0.04736656062212796</x:v>
      </x:c>
      <x:c r="H1245" s="57" t="n">
        <x:v>2965.95</x:v>
      </x:c>
      <x:c r="I1245" s="57" t="n">
        <x:v>0.345</x:v>
      </x:c>
      <x:c r="J1245" s="57" t="n">
        <x:v>11.949735611433118</x:v>
      </x:c>
      <x:c r="K1245" s="57" t="n">
        <x:v>47.924603417149676</x:v>
      </x:c>
      <x:c r="L1245" s="57" t="n">
        <x:v>70.60657631021382</x:v>
      </x:c>
    </x:row>
    <x:row r="1246" ht="32.400001525878906" hidden="0" customHeight="1">
      <x:c r="A1246" s="27" t="str">
        <x:v>Miami-Dade County, Florida</x:v>
      </x:c>
      <x:c r="B1246" s="27" t="str">
        <x:v>12086001701</x:v>
      </x:c>
      <x:c r="C1246" s="50" t="n">
        <x:v>5171</x:v>
      </x:c>
      <x:c r="D1246" s="50" t="n">
        <x:v>569</x:v>
      </x:c>
      <x:c r="E1246" s="50" t="n">
        <x:v>347</x:v>
      </x:c>
      <x:c r="F1246" s="37" t="n">
        <x:v>0.11003674337652292</x:v>
      </x:c>
      <x:c r="G1246" s="37" t="n">
        <x:v>0.06710500870237865</x:v>
      </x:c>
      <x:c r="H1246" s="56" t="n">
        <x:v>5404.85</x:v>
      </x:c>
      <x:c r="I1246" s="56" t="n">
        <x:v>1.105</x:v>
      </x:c>
      <x:c r="J1246" s="56" t="n">
        <x:v>10.010023129013344</x:v>
      </x:c>
      <x:c r="K1246" s="56" t="n">
        <x:v>45.015034693520015</x:v>
      </x:c>
      <x:c r="L1246" s="56" t="n">
        <x:v>66.45004956217144</x:v>
      </x:c>
    </x:row>
    <x:row r="1247" ht="32.400001525878906" hidden="0" customHeight="1">
      <x:c r="A1247" s="29" t="str">
        <x:v>Miami-Dade County, Florida</x:v>
      </x:c>
      <x:c r="B1247" s="29" t="str">
        <x:v>12086001702</x:v>
      </x:c>
      <x:c r="C1247" s="51" t="n">
        <x:v>3689</x:v>
      </x:c>
      <x:c r="D1247" s="51" t="n">
        <x:v>410</x:v>
      </x:c>
      <x:c r="E1247" s="51" t="n">
        <x:v>164</x:v>
      </x:c>
      <x:c r="F1247" s="38" t="n">
        <x:v>0.11114123068582271</x:v>
      </x:c>
      <x:c r="G1247" s="38" t="n">
        <x:v>0.04445649227432909</x:v>
      </x:c>
      <x:c r="H1247" s="57" t="n">
        <x:v>3848.9</x:v>
      </x:c>
      <x:c r="I1247" s="57" t="n">
        <x:v>0.401</x:v>
      </x:c>
      <x:c r="J1247" s="57" t="n">
        <x:v>8.82954837975467</x:v>
      </x:c>
      <x:c r="K1247" s="57" t="n">
        <x:v>43.244322569632004</x:v>
      </x:c>
      <x:c r="L1247" s="57" t="n">
        <x:v>63.92046081376</x:v>
      </x:c>
    </x:row>
    <x:row r="1248" ht="32.400001525878906" hidden="0" customHeight="1">
      <x:c r="A1248" s="27" t="str">
        <x:v>Miami-Dade County, Florida</x:v>
      </x:c>
      <x:c r="B1248" s="27" t="str">
        <x:v>12086001704</x:v>
      </x:c>
      <x:c r="C1248" s="50" t="n">
        <x:v>2532</x:v>
      </x:c>
      <x:c r="D1248" s="50" t="n">
        <x:v>471</x:v>
      </x:c>
      <x:c r="E1248" s="50" t="n">
        <x:v>301.5</x:v>
      </x:c>
      <x:c r="F1248" s="37" t="n">
        <x:v>0.18601895734597157</x:v>
      </x:c>
      <x:c r="G1248" s="37" t="n">
        <x:v>0.11907582938388625</x:v>
      </x:c>
      <x:c r="H1248" s="56" t="n">
        <x:v>2727</x:v>
      </x:c>
      <x:c r="I1248" s="56" t="n">
        <x:v>0.464</x:v>
      </x:c>
      <x:c r="J1248" s="56" t="n">
        <x:v>7.702092825735396</x:v>
      </x:c>
      <x:c r="K1248" s="56" t="n">
        <x:v>41.553139238603094</x:v>
      </x:c>
      <x:c r="L1248" s="56" t="n">
        <x:v>61.504484626575845</x:v>
      </x:c>
    </x:row>
    <x:row r="1249" ht="32.400001525878906" hidden="0" customHeight="1">
      <x:c r="A1249" s="29" t="str">
        <x:v>Miami-Dade County, Florida</x:v>
      </x:c>
      <x:c r="B1249" s="29" t="str">
        <x:v>12086001705</x:v>
      </x:c>
      <x:c r="C1249" s="51" t="n">
        <x:v>2226</x:v>
      </x:c>
      <x:c r="D1249" s="51" t="n">
        <x:v>325</x:v>
      </x:c>
      <x:c r="E1249" s="51" t="n">
        <x:v>86</x:v>
      </x:c>
      <x:c r="F1249" s="38" t="n">
        <x:v>0.14600179694519316</x:v>
      </x:c>
      <x:c r="G1249" s="38" t="n">
        <x:v>0.03863432165318958</x:v>
      </x:c>
      <x:c r="H1249" s="57" t="n">
        <x:v>2348.35</x:v>
      </x:c>
      <x:c r="I1249" s="57" t="n">
        <x:v>0.496</x:v>
      </x:c>
      <x:c r="J1249" s="57" t="n">
        <x:v>8.770201276017453</x:v>
      </x:c>
      <x:c r="K1249" s="57" t="n">
        <x:v>43.15530191402618</x:v>
      </x:c>
      <x:c r="L1249" s="57" t="n">
        <x:v>63.79328844860883</x:v>
      </x:c>
    </x:row>
    <x:row r="1250" ht="32.400001525878906" hidden="0" customHeight="1">
      <x:c r="A1250" s="27" t="str">
        <x:v>Miami-Dade County, Florida</x:v>
      </x:c>
      <x:c r="B1250" s="27" t="str">
        <x:v>12086001801</x:v>
      </x:c>
      <x:c r="C1250" s="50" t="n">
        <x:v>4324</x:v>
      </x:c>
      <x:c r="D1250" s="50" t="n">
        <x:v>707</x:v>
      </x:c>
      <x:c r="E1250" s="50" t="n">
        <x:v>533</x:v>
      </x:c>
      <x:c r="F1250" s="37" t="n">
        <x:v>0.16350601295097134</x:v>
      </x:c>
      <x:c r="G1250" s="37" t="n">
        <x:v>0.12326549491211841</x:v>
      </x:c>
      <x:c r="H1250" s="56" t="n">
        <x:v>4624.75</x:v>
      </x:c>
      <x:c r="I1250" s="56" t="n">
        <x:v>0.505</x:v>
      </x:c>
      <x:c r="J1250" s="56" t="n">
        <x:v>8.587047755963432</x:v>
      </x:c>
      <x:c r="K1250" s="56" t="n">
        <x:v>42.88057163394515</x:v>
      </x:c>
      <x:c r="L1250" s="56" t="n">
        <x:v>63.40081661992164</x:v>
      </x:c>
    </x:row>
    <x:row r="1251" ht="32.400001525878906" hidden="0" customHeight="1">
      <x:c r="A1251" s="29" t="str">
        <x:v>Miami-Dade County, Florida</x:v>
      </x:c>
      <x:c r="B1251" s="29" t="str">
        <x:v>12086001802</x:v>
      </x:c>
      <x:c r="C1251" s="51" t="n">
        <x:v>4697</x:v>
      </x:c>
      <x:c r="D1251" s="51" t="n">
        <x:v>486</x:v>
      </x:c>
      <x:c r="E1251" s="51" t="n">
        <x:v>837.5</x:v>
      </x:c>
      <x:c r="F1251" s="38" t="n">
        <x:v>0.10347030019161167</x:v>
      </x:c>
      <x:c r="G1251" s="38" t="n">
        <x:v>0.17830530125612093</x:v>
      </x:c>
      <x:c r="H1251" s="57" t="n">
        <x:v>4950.849999999999</x:v>
      </x:c>
      <x:c r="I1251" s="57" t="n">
        <x:v>0.425</x:v>
      </x:c>
      <x:c r="J1251" s="57" t="n">
        <x:v>7.130850007157725</x:v>
      </x:c>
      <x:c r="K1251" s="57" t="n">
        <x:v>40.696275010736585</x:v>
      </x:c>
      <x:c r="L1251" s="57" t="n">
        <x:v>60.28039287248084</x:v>
      </x:c>
    </x:row>
    <x:row r="1252" ht="32.400001525878906" hidden="0" customHeight="1">
      <x:c r="A1252" s="27" t="str">
        <x:v>Miami-Dade County, Florida</x:v>
      </x:c>
      <x:c r="B1252" s="27" t="str">
        <x:v>12086001803</x:v>
      </x:c>
      <x:c r="C1252" s="50" t="n">
        <x:v>3155</x:v>
      </x:c>
      <x:c r="D1252" s="50" t="n">
        <x:v>458</x:v>
      </x:c>
      <x:c r="E1252" s="50" t="n">
        <x:v>898.5</x:v>
      </x:c>
      <x:c r="F1252" s="37" t="n">
        <x:v>0.14516640253565768</x:v>
      </x:c>
      <x:c r="G1252" s="37" t="n">
        <x:v>0.2847860538827258</x:v>
      </x:c>
      <x:c r="H1252" s="56" t="n">
        <x:v>3405.15</x:v>
      </x:c>
      <x:c r="I1252" s="56" t="n">
        <x:v>0.416</x:v>
      </x:c>
      <x:c r="J1252" s="56" t="n">
        <x:v>7.93939585774456</x:v>
      </x:c>
      <x:c r="K1252" s="56" t="n">
        <x:v>41.909093786616836</x:v>
      </x:c>
      <x:c r="L1252" s="56" t="n">
        <x:v>62.012991123738345</x:v>
      </x:c>
    </x:row>
    <x:row r="1253" ht="32.400001525878906" hidden="0" customHeight="1">
      <x:c r="A1253" s="29" t="str">
        <x:v>Miami-Dade County, Florida</x:v>
      </x:c>
      <x:c r="B1253" s="29" t="str">
        <x:v>12086001901</x:v>
      </x:c>
      <x:c r="C1253" s="51" t="n">
        <x:v>4690</x:v>
      </x:c>
      <x:c r="D1253" s="51" t="n">
        <x:v>490</x:v>
      </x:c>
      <x:c r="E1253" s="51" t="n">
        <x:v>826</x:v>
      </x:c>
      <x:c r="F1253" s="38" t="n">
        <x:v>0.1044776119402985</x:v>
      </x:c>
      <x:c r="G1253" s="38" t="n">
        <x:v>0.1761194029850746</x:v>
      </x:c>
      <x:c r="H1253" s="57" t="n">
        <x:v>4944.1</x:v>
      </x:c>
      <x:c r="I1253" s="57" t="n">
        <x:v>0.502</x:v>
      </x:c>
      <x:c r="J1253" s="57" t="n">
        <x:v>7.87581397886303</x:v>
      </x:c>
      <x:c r="K1253" s="57" t="n">
        <x:v>41.81372096829455</x:v>
      </x:c>
      <x:c r="L1253" s="57" t="n">
        <x:v>61.87674424042078</x:v>
      </x:c>
    </x:row>
    <x:row r="1254" ht="32.400001525878906" hidden="0" customHeight="1">
      <x:c r="A1254" s="27" t="str">
        <x:v>Miami-Dade County, Florida</x:v>
      </x:c>
      <x:c r="B1254" s="27" t="str">
        <x:v>12086001903</x:v>
      </x:c>
      <x:c r="C1254" s="50" t="n">
        <x:v>3350</x:v>
      </x:c>
      <x:c r="D1254" s="50" t="n">
        <x:v>429</x:v>
      </x:c>
      <x:c r="E1254" s="50" t="n">
        <x:v>480</x:v>
      </x:c>
      <x:c r="F1254" s="37" t="n">
        <x:v>0.12805970149253731</x:v>
      </x:c>
      <x:c r="G1254" s="37" t="n">
        <x:v>0.14328358208955225</x:v>
      </x:c>
      <x:c r="H1254" s="56" t="n">
        <x:v>3548.1500000000005</x:v>
      </x:c>
      <x:c r="I1254" s="56" t="n">
        <x:v>0.26</x:v>
      </x:c>
      <x:c r="J1254" s="56" t="n">
        <x:v>7.636445255118807</x:v>
      </x:c>
      <x:c r="K1254" s="56" t="n">
        <x:v>41.45466788267821</x:v>
      </x:c>
      <x:c r="L1254" s="56" t="n">
        <x:v>61.36381126096887</x:v>
      </x:c>
    </x:row>
    <x:row r="1255" ht="32.400001525878906" hidden="0" customHeight="1">
      <x:c r="A1255" s="29" t="str">
        <x:v>Miami-Dade County, Florida</x:v>
      </x:c>
      <x:c r="B1255" s="29" t="str">
        <x:v>12086001904</x:v>
      </x:c>
      <x:c r="C1255" s="51" t="n">
        <x:v>4088</x:v>
      </x:c>
      <x:c r="D1255" s="51" t="n">
        <x:v>435</x:v>
      </x:c>
      <x:c r="E1255" s="51" t="n">
        <x:v>560</x:v>
      </x:c>
      <x:c r="F1255" s="38" t="n">
        <x:v>0.10640900195694716</x:v>
      </x:c>
      <x:c r="G1255" s="38" t="n">
        <x:v>0.136986301369863</x:v>
      </x:c>
      <x:c r="H1255" s="57" t="n">
        <x:v>4296.25</x:v>
      </x:c>
      <x:c r="I1255" s="57" t="n">
        <x:v>0.428</x:v>
      </x:c>
      <x:c r="J1255" s="57" t="n">
        <x:v>6.689177229204171</x:v>
      </x:c>
      <x:c r="K1255" s="57" t="n">
        <x:v>40.03376584380626</x:v>
      </x:c>
      <x:c r="L1255" s="57" t="n">
        <x:v>59.33395120543751</x:v>
      </x:c>
    </x:row>
    <x:row r="1256" ht="32.400001525878906" hidden="0" customHeight="1">
      <x:c r="A1256" s="27" t="str">
        <x:v>Miami-Dade County, Florida</x:v>
      </x:c>
      <x:c r="B1256" s="27" t="str">
        <x:v>12086002001</x:v>
      </x:c>
      <x:c r="C1256" s="50" t="n">
        <x:v>3732</x:v>
      </x:c>
      <x:c r="D1256" s="50" t="n">
        <x:v>419</x:v>
      </x:c>
      <x:c r="E1256" s="50" t="n">
        <x:v>436</x:v>
      </x:c>
      <x:c r="F1256" s="37" t="n">
        <x:v>0.1122722400857449</x:v>
      </x:c>
      <x:c r="G1256" s="37" t="n">
        <x:v>0.11682743837084673</x:v>
      </x:c>
      <x:c r="H1256" s="56" t="n">
        <x:v>3922.2500000000005</x:v>
      </x:c>
      <x:c r="I1256" s="56" t="n">
        <x:v>0.412</x:v>
      </x:c>
      <x:c r="J1256" s="56" t="n">
        <x:v>7.657185847852954</x:v>
      </x:c>
      <x:c r="K1256" s="56" t="n">
        <x:v>41.48577877177943</x:v>
      </x:c>
      <x:c r="L1256" s="56" t="n">
        <x:v>61.40825538825633</x:v>
      </x:c>
    </x:row>
    <x:row r="1257" ht="32.400001525878906" hidden="0" customHeight="1">
      <x:c r="A1257" s="29" t="str">
        <x:v>Miami-Dade County, Florida</x:v>
      </x:c>
      <x:c r="B1257" s="29" t="str">
        <x:v>12086002003</x:v>
      </x:c>
      <x:c r="C1257" s="51" t="n">
        <x:v>3525</x:v>
      </x:c>
      <x:c r="D1257" s="51" t="n">
        <x:v>404</x:v>
      </x:c>
      <x:c r="E1257" s="51" t="n">
        <x:v>781.5</x:v>
      </x:c>
      <x:c r="F1257" s="38" t="n">
        <x:v>0.11460992907801418</x:v>
      </x:c>
      <x:c r="G1257" s="38" t="n">
        <x:v>0.22170212765957448</x:v>
      </x:c>
      <x:c r="H1257" s="57" t="n">
        <x:v>3744.55</x:v>
      </x:c>
      <x:c r="I1257" s="57" t="n">
        <x:v>0.319</x:v>
      </x:c>
      <x:c r="J1257" s="57" t="n">
        <x:v>6.7053304240986025</x:v>
      </x:c>
      <x:c r="K1257" s="57" t="n">
        <x:v>40.05799563614791</x:v>
      </x:c>
      <x:c r="L1257" s="57" t="n">
        <x:v>59.36856519449701</x:v>
      </x:c>
    </x:row>
    <x:row r="1258" ht="32.400001525878906" hidden="0" customHeight="1">
      <x:c r="A1258" s="27" t="str">
        <x:v>Miami-Dade County, Florida</x:v>
      </x:c>
      <x:c r="B1258" s="27" t="str">
        <x:v>12086002004</x:v>
      </x:c>
      <x:c r="C1258" s="50" t="n">
        <x:v>3212</x:v>
      </x:c>
      <x:c r="D1258" s="50" t="n">
        <x:v>285</x:v>
      </x:c>
      <x:c r="E1258" s="50" t="n">
        <x:v>596</x:v>
      </x:c>
      <x:c r="F1258" s="37" t="n">
        <x:v>0.08872976338729763</x:v>
      </x:c>
      <x:c r="G1258" s="37" t="n">
        <x:v>0.1855541718555417</x:v>
      </x:c>
      <x:c r="H1258" s="56" t="n">
        <x:v>3371.35</x:v>
      </x:c>
      <x:c r="I1258" s="56" t="n">
        <x:v>0.275</x:v>
      </x:c>
      <x:c r="J1258" s="56" t="n">
        <x:v>6.615896563837239</x:v>
      </x:c>
      <x:c r="K1258" s="56" t="n">
        <x:v>39.92384484575586</x:v>
      </x:c>
      <x:c r="L1258" s="56" t="n">
        <x:v>59.17692120822265</x:v>
      </x:c>
    </x:row>
    <x:row r="1259" ht="32.400001525878906" hidden="0" customHeight="1">
      <x:c r="A1259" s="29" t="str">
        <x:v>Miami-Dade County, Florida</x:v>
      </x:c>
      <x:c r="B1259" s="29" t="str">
        <x:v>12086002100</x:v>
      </x:c>
      <x:c r="C1259" s="51" t="n">
        <x:v>3181</x:v>
      </x:c>
      <x:c r="D1259" s="51" t="n">
        <x:v>227</x:v>
      </x:c>
      <x:c r="E1259" s="51" t="n">
        <x:v>63</x:v>
      </x:c>
      <x:c r="F1259" s="38" t="n">
        <x:v>0.07136120716755737</x:v>
      </x:c>
      <x:c r="G1259" s="38" t="n">
        <x:v>0.019805092738132662</x:v>
      </x:c>
      <x:c r="H1259" s="57" t="n">
        <x:v>3266.75</x:v>
      </x:c>
      <x:c r="I1259" s="57" t="n">
        <x:v>0.745</x:v>
      </x:c>
      <x:c r="J1259" s="57" t="n">
        <x:v>5.013862032736751</x:v>
      </x:c>
      <x:c r="K1259" s="57" t="n">
        <x:v>37.52079304910512</x:v>
      </x:c>
      <x:c r="L1259" s="57" t="n">
        <x:v>55.743990070150176</x:v>
      </x:c>
    </x:row>
    <x:row r="1260" ht="32.400001525878906" hidden="0" customHeight="1">
      <x:c r="A1260" s="27" t="str">
        <x:v>Miami-Dade County, Florida</x:v>
      </x:c>
      <x:c r="B1260" s="27" t="str">
        <x:v>12086002201</x:v>
      </x:c>
      <x:c r="C1260" s="50" t="n">
        <x:v>2827</x:v>
      </x:c>
      <x:c r="D1260" s="50" t="n">
        <x:v>283</x:v>
      </x:c>
      <x:c r="E1260" s="50" t="n">
        <x:v>491</x:v>
      </x:c>
      <x:c r="F1260" s="37" t="n">
        <x:v>0.10010611956137248</x:v>
      </x:c>
      <x:c r="G1260" s="37" t="n">
        <x:v>0.17368234877962505</x:v>
      </x:c>
      <x:c r="H1260" s="56" t="n">
        <x:v>2975.1499999999996</x:v>
      </x:c>
      <x:c r="I1260" s="56" t="n">
        <x:v>0.381</x:v>
      </x:c>
      <x:c r="J1260" s="56" t="n">
        <x:v>5.104224089204533</x:v>
      </x:c>
      <x:c r="K1260" s="56" t="n">
        <x:v>37.656336133806796</x:v>
      </x:c>
      <x:c r="L1260" s="56" t="n">
        <x:v>55.93762304829543</x:v>
      </x:c>
    </x:row>
    <x:row r="1261" ht="32.400001525878906" hidden="0" customHeight="1">
      <x:c r="A1261" s="29" t="str">
        <x:v>Miami-Dade County, Florida</x:v>
      </x:c>
      <x:c r="B1261" s="29" t="str">
        <x:v>12086002202</x:v>
      </x:c>
      <x:c r="C1261" s="51" t="n">
        <x:v>5074</x:v>
      </x:c>
      <x:c r="D1261" s="51" t="n">
        <x:v>422</x:v>
      </x:c>
      <x:c r="E1261" s="51" t="n">
        <x:v>143</x:v>
      </x:c>
      <x:c r="F1261" s="38" t="n">
        <x:v>0.08316909735908554</x:v>
      </x:c>
      <x:c r="G1261" s="38" t="n">
        <x:v>0.02818289318092235</x:v>
      </x:c>
      <x:c r="H1261" s="57" t="n">
        <x:v>5235.999999999999</x:v>
      </x:c>
      <x:c r="I1261" s="57" t="n">
        <x:v>0.621</x:v>
      </x:c>
      <x:c r="J1261" s="57" t="n">
        <x:v>5.153654450312689</x:v>
      </x:c>
      <x:c r="K1261" s="57" t="n">
        <x:v>37.730481675469036</x:v>
      </x:c>
      <x:c r="L1261" s="57" t="n">
        <x:v>56.04354525067005</x:v>
      </x:c>
    </x:row>
    <x:row r="1262" ht="32.400001525878906" hidden="0" customHeight="1">
      <x:c r="A1262" s="27" t="str">
        <x:v>Miami-Dade County, Florida</x:v>
      </x:c>
      <x:c r="B1262" s="27" t="str">
        <x:v>12086002300</x:v>
      </x:c>
      <x:c r="C1262" s="50" t="n">
        <x:v>5686</x:v>
      </x:c>
      <x:c r="D1262" s="50" t="n">
        <x:v>394</x:v>
      </x:c>
      <x:c r="E1262" s="50" t="n">
        <x:v>1136.5</x:v>
      </x:c>
      <x:c r="F1262" s="37" t="n">
        <x:v>0.06929300035174112</x:v>
      </x:c>
      <x:c r="G1262" s="37" t="n">
        <x:v>0.19987689060851213</x:v>
      </x:c>
      <x:c r="H1262" s="56" t="n">
        <x:v>5937.55</x:v>
      </x:c>
      <x:c r="I1262" s="56" t="n">
        <x:v>0.662</x:v>
      </x:c>
      <x:c r="J1262" s="56" t="n">
        <x:v>5.805833033661062</x:v>
      </x:c>
      <x:c r="K1262" s="56" t="n">
        <x:v>38.70874955049159</x:v>
      </x:c>
      <x:c r="L1262" s="56" t="n">
        <x:v>57.44107078641656</x:v>
      </x:c>
    </x:row>
    <x:row r="1263" ht="32.400001525878906" hidden="0" customHeight="1">
      <x:c r="A1263" s="29" t="str">
        <x:v>Miami-Dade County, Florida</x:v>
      </x:c>
      <x:c r="B1263" s="29" t="str">
        <x:v>12086002402</x:v>
      </x:c>
      <x:c r="C1263" s="51" t="n">
        <x:v>6409</x:v>
      </x:c>
      <x:c r="D1263" s="51" t="n">
        <x:v>718</x:v>
      </x:c>
      <x:c r="E1263" s="51" t="n">
        <x:v>443</x:v>
      </x:c>
      <x:c r="F1263" s="38" t="n">
        <x:v>0.11202995787174286</x:v>
      </x:c>
      <x:c r="G1263" s="38" t="n">
        <x:v>0.06912154782337337</x:v>
      </x:c>
      <x:c r="H1263" s="57" t="n">
        <x:v>6704.600000000001</x:v>
      </x:c>
      <x:c r="I1263" s="57" t="n">
        <x:v>0.524</x:v>
      </x:c>
      <x:c r="J1263" s="57" t="n">
        <x:v>5.8986294424634655</x:v>
      </x:c>
      <x:c r="K1263" s="57" t="n">
        <x:v>38.8479441636952</x:v>
      </x:c>
      <x:c r="L1263" s="57" t="n">
        <x:v>57.63992023385028</x:v>
      </x:c>
    </x:row>
    <x:row r="1264" ht="32.400001525878906" hidden="0" customHeight="1">
      <x:c r="A1264" s="27" t="str">
        <x:v>Miami-Dade County, Florida</x:v>
      </x:c>
      <x:c r="B1264" s="27" t="str">
        <x:v>12086002403</x:v>
      </x:c>
      <x:c r="C1264" s="50" t="n">
        <x:v>3629</x:v>
      </x:c>
      <x:c r="D1264" s="50" t="n">
        <x:v>691</x:v>
      </x:c>
      <x:c r="E1264" s="50" t="n">
        <x:v>625</x:v>
      </x:c>
      <x:c r="F1264" s="37" t="n">
        <x:v>0.19041058142739048</x:v>
      </x:c>
      <x:c r="G1264" s="37" t="n">
        <x:v>0.17222375310002755</x:v>
      </x:c>
      <x:c r="H1264" s="56" t="n">
        <x:v>3933.3499999999995</x:v>
      </x:c>
      <x:c r="I1264" s="56" t="n">
        <x:v>0.364</x:v>
      </x:c>
      <x:c r="J1264" s="56" t="n">
        <x:v>6.9786481545591075</x:v>
      </x:c>
      <x:c r="K1264" s="56" t="n">
        <x:v>40.46797223183866</x:v>
      </x:c>
      <x:c r="L1264" s="56" t="n">
        <x:v>59.9542460454838</x:v>
      </x:c>
    </x:row>
    <x:row r="1265" ht="32.400001525878906" hidden="0" customHeight="1">
      <x:c r="A1265" s="29" t="str">
        <x:v>Miami-Dade County, Florida</x:v>
      </x:c>
      <x:c r="B1265" s="29" t="str">
        <x:v>12086002404</x:v>
      </x:c>
      <x:c r="C1265" s="51" t="n">
        <x:v>5156</x:v>
      </x:c>
      <x:c r="D1265" s="51" t="n">
        <x:v>1769</x:v>
      </x:c>
      <x:c r="E1265" s="51" t="n">
        <x:v>1064</x:v>
      </x:c>
      <x:c r="F1265" s="38" t="n">
        <x:v>0.34309542280837857</x:v>
      </x:c>
      <x:c r="G1265" s="38" t="n">
        <x:v>0.20636152055857254</x:v>
      </x:c>
      <x:c r="H1265" s="57" t="n">
        <x:v>5881.550000000001</x:v>
      </x:c>
      <x:c r="I1265" s="57" t="n">
        <x:v>0.355</x:v>
      </x:c>
      <x:c r="J1265" s="57" t="n">
        <x:v>6.030594651923882</x:v>
      </x:c>
      <x:c r="K1265" s="57" t="n">
        <x:v>39.04589197788582</x:v>
      </x:c>
      <x:c r="L1265" s="57" t="n">
        <x:v>57.92270282555118</x:v>
      </x:c>
    </x:row>
    <x:row r="1266" ht="32.400001525878906" hidden="0" customHeight="1">
      <x:c r="A1266" s="27" t="str">
        <x:v>Miami-Dade County, Florida</x:v>
      </x:c>
      <x:c r="B1266" s="27" t="str">
        <x:v>12086002501</x:v>
      </x:c>
      <x:c r="C1266" s="50" t="n">
        <x:v>5785</x:v>
      </x:c>
      <x:c r="D1266" s="50" t="n">
        <x:v>675</x:v>
      </x:c>
      <x:c r="E1266" s="50" t="n">
        <x:v>841</x:v>
      </x:c>
      <x:c r="F1266" s="37" t="n">
        <x:v>0.11668107173725151</x:v>
      </x:c>
      <x:c r="G1266" s="37" t="n">
        <x:v>0.1453759723422645</x:v>
      </x:c>
      <x:c r="H1266" s="56" t="n">
        <x:v>6105.350000000001</x:v>
      </x:c>
      <x:c r="I1266" s="56" t="n">
        <x:v>0.364</x:v>
      </x:c>
      <x:c r="J1266" s="56" t="n">
        <x:v>4.845528280047541</x:v>
      </x:c>
      <x:c r="K1266" s="56" t="n">
        <x:v>37.26829242007131</x:v>
      </x:c>
      <x:c r="L1266" s="56" t="n">
        <x:v>55.383274885816164</x:v>
      </x:c>
    </x:row>
    <x:row r="1267" ht="32.400001525878906" hidden="0" customHeight="1">
      <x:c r="A1267" s="29" t="str">
        <x:v>Miami-Dade County, Florida</x:v>
      </x:c>
      <x:c r="B1267" s="29" t="str">
        <x:v>12086002502</x:v>
      </x:c>
      <x:c r="C1267" s="51" t="n">
        <x:v>3451</x:v>
      </x:c>
      <x:c r="D1267" s="51" t="n">
        <x:v>631</x:v>
      </x:c>
      <x:c r="E1267" s="51" t="n">
        <x:v>667.5</x:v>
      </x:c>
      <x:c r="F1267" s="38" t="n">
        <x:v>0.182845552013909</x:v>
      </x:c>
      <x:c r="G1267" s="38" t="n">
        <x:v>0.1934221964647928</x:v>
      </x:c>
      <x:c r="H1267" s="57" t="n">
        <x:v>3738.6</x:v>
      </x:c>
      <x:c r="I1267" s="57" t="n">
        <x:v>0.401</x:v>
      </x:c>
      <x:c r="J1267" s="57" t="n">
        <x:v>4.589972380512212</x:v>
      </x:c>
      <x:c r="K1267" s="57" t="n">
        <x:v>36.88495857076832</x:v>
      </x:c>
      <x:c r="L1267" s="57" t="n">
        <x:v>54.8356551010976</x:v>
      </x:c>
    </x:row>
    <x:row r="1268" ht="32.400001525878906" hidden="0" customHeight="1">
      <x:c r="A1268" s="27" t="str">
        <x:v>Miami-Dade County, Florida</x:v>
      </x:c>
      <x:c r="B1268" s="27" t="str">
        <x:v>12086002600</x:v>
      </x:c>
      <x:c r="C1268" s="50" t="n">
        <x:v>6114</x:v>
      </x:c>
      <x:c r="D1268" s="50" t="n">
        <x:v>671</x:v>
      </x:c>
      <x:c r="E1268" s="50" t="n">
        <x:v>876.5</x:v>
      </x:c>
      <x:c r="F1268" s="37" t="n">
        <x:v>0.10974811907098463</x:v>
      </x:c>
      <x:c r="G1268" s="37" t="n">
        <x:v>0.14335950278050377</x:v>
      </x:c>
      <x:c r="H1268" s="56" t="n">
        <x:v>6436.500000000001</x:v>
      </x:c>
      <x:c r="I1268" s="56" t="n">
        <x:v>0.529</x:v>
      </x:c>
      <x:c r="J1268" s="56" t="n">
        <x:v>3.5384636190324037</x:v>
      </x:c>
      <x:c r="K1268" s="56" t="n">
        <x:v>35.307695428548605</x:v>
      </x:c>
      <x:c r="L1268" s="56" t="n">
        <x:v>52.58242204078372</x:v>
      </x:c>
    </x:row>
    <x:row r="1269" ht="32.400001525878906" hidden="0" customHeight="1">
      <x:c r="A1269" s="29" t="str">
        <x:v>Miami-Dade County, Florida</x:v>
      </x:c>
      <x:c r="B1269" s="29" t="str">
        <x:v>12086002702</x:v>
      </x:c>
      <x:c r="C1269" s="51" t="n">
        <x:v>7715</x:v>
      </x:c>
      <x:c r="D1269" s="51" t="n">
        <x:v>536</x:v>
      </x:c>
      <x:c r="E1269" s="51" t="n">
        <x:v>662</x:v>
      </x:c>
      <x:c r="F1269" s="38" t="n">
        <x:v>0.0694750486066105</x:v>
      </x:c>
      <x:c r="G1269" s="38" t="n">
        <x:v>0.08580686973428386</x:v>
      </x:c>
      <x:c r="H1269" s="57" t="n">
        <x:v>7968.799999999999</x:v>
      </x:c>
      <x:c r="I1269" s="57" t="n">
        <x:v>0.39</x:v>
      </x:c>
      <x:c r="J1269" s="57" t="n">
        <x:v>1.9203812981576869</x:v>
      </x:c>
      <x:c r="K1269" s="57" t="n">
        <x:v>32.88057194723653</x:v>
      </x:c>
      <x:c r="L1269" s="57" t="n">
        <x:v>49.115102781766474</x:v>
      </x:c>
    </x:row>
    <x:row r="1270" ht="32.400001525878906" hidden="0" customHeight="1">
      <x:c r="A1270" s="27" t="str">
        <x:v>Miami-Dade County, Florida</x:v>
      </x:c>
      <x:c r="B1270" s="27" t="str">
        <x:v>12086002705</x:v>
      </x:c>
      <x:c r="C1270" s="50" t="n">
        <x:v>5489</x:v>
      </x:c>
      <x:c r="D1270" s="50" t="n">
        <x:v>150</x:v>
      </x:c>
      <x:c r="E1270" s="50" t="n">
        <x:v>762</x:v>
      </x:c>
      <x:c r="F1270" s="37" t="n">
        <x:v>0.027327382036800876</x:v>
      </x:c>
      <x:c r="G1270" s="37" t="n">
        <x:v>0.13882310074694845</x:v>
      </x:c>
      <x:c r="H1270" s="56" t="n">
        <x:v>5617.7</x:v>
      </x:c>
      <x:c r="I1270" s="56" t="n">
        <x:v>0.14</x:v>
      </x:c>
      <x:c r="J1270" s="56" t="n">
        <x:v>4.945936438919699</x:v>
      </x:c>
      <x:c r="K1270" s="56" t="n">
        <x:v>37.418904658379546</x:v>
      </x:c>
      <x:c r="L1270" s="56" t="n">
        <x:v>55.5984352262565</x:v>
      </x:c>
    </x:row>
    <x:row r="1271" ht="32.400001525878906" hidden="0" customHeight="1">
      <x:c r="A1271" s="29" t="str">
        <x:v>Miami-Dade County, Florida</x:v>
      </x:c>
      <x:c r="B1271" s="29" t="str">
        <x:v>12086002707</x:v>
      </x:c>
      <x:c r="C1271" s="51" t="n">
        <x:v>2552</x:v>
      </x:c>
      <x:c r="D1271" s="51" t="n">
        <x:v>106</x:v>
      </x:c>
      <x:c r="E1271" s="51" t="n">
        <x:v>87</x:v>
      </x:c>
      <x:c r="F1271" s="38" t="n">
        <x:v>0.041536050156739814</x:v>
      </x:c>
      <x:c r="G1271" s="38" t="n">
        <x:v>0.03409090909090909</x:v>
      </x:c>
      <x:c r="H1271" s="57" t="n">
        <x:v>2597.7999999999997</x:v>
      </x:c>
      <x:c r="I1271" s="57" t="n">
        <x:v>0.07</x:v>
      </x:c>
      <x:c r="J1271" s="57" t="n">
        <x:v>2.641651062874099</x:v>
      </x:c>
      <x:c r="K1271" s="57" t="n">
        <x:v>33.96247659431115</x:v>
      </x:c>
      <x:c r="L1271" s="57" t="n">
        <x:v>50.660680849015925</x:v>
      </x:c>
    </x:row>
    <x:row r="1272" ht="32.400001525878906" hidden="0" customHeight="1">
      <x:c r="A1272" s="27" t="str">
        <x:v>Miami-Dade County, Florida</x:v>
      </x:c>
      <x:c r="B1272" s="27" t="str">
        <x:v>12086002708</x:v>
      </x:c>
      <x:c r="C1272" s="50" t="n">
        <x:v>2943</x:v>
      </x:c>
      <x:c r="D1272" s="50" t="n">
        <x:v>109</x:v>
      </x:c>
      <x:c r="E1272" s="50" t="n">
        <x:v>16</x:v>
      </x:c>
      <x:c r="F1272" s="37" t="n">
        <x:v>0.037037037037037035</x:v>
      </x:c>
      <x:c r="G1272" s="37" t="n">
        <x:v>0.0054366292898402994</x:v>
      </x:c>
      <x:c r="H1272" s="56" t="n">
        <x:v>2982.7500000000005</x:v>
      </x:c>
      <x:c r="I1272" s="56" t="n">
        <x:v>0.06</x:v>
      </x:c>
      <x:c r="J1272" s="56" t="n">
        <x:v>2.295451404420496</x:v>
      </x:c>
      <x:c r="K1272" s="56" t="n">
        <x:v>33.44317710663074</x:v>
      </x:c>
      <x:c r="L1272" s="56" t="n">
        <x:v>49.91882443804392</x:v>
      </x:c>
    </x:row>
    <x:row r="1273" ht="32.400001525878906" hidden="0" customHeight="1">
      <x:c r="A1273" s="29" t="str">
        <x:v>Miami-Dade County, Florida</x:v>
      </x:c>
      <x:c r="B1273" s="29" t="str">
        <x:v>12086002709</x:v>
      </x:c>
      <x:c r="C1273" s="51" t="n">
        <x:v>3999</x:v>
      </x:c>
      <x:c r="D1273" s="51" t="n">
        <x:v>62</x:v>
      </x:c>
      <x:c r="E1273" s="51" t="n">
        <x:v>212</x:v>
      </x:c>
      <x:c r="F1273" s="38" t="n">
        <x:v>0.015503875968992248</x:v>
      </x:c>
      <x:c r="G1273" s="38" t="n">
        <x:v>0.05301325331332833</x:v>
      </x:c>
      <x:c r="H1273" s="57" t="n">
        <x:v>4041.8999999999996</x:v>
      </x:c>
      <x:c r="I1273" s="57" t="n">
        <x:v>0.067</x:v>
      </x:c>
      <x:c r="J1273" s="57" t="n">
        <x:v>1.422043951508334</x:v>
      </x:c>
      <x:c r="K1273" s="57" t="n">
        <x:v>32.1330659272625</x:v>
      </x:c>
      <x:c r="L1273" s="57" t="n">
        <x:v>48.04723703894643</x:v>
      </x:c>
    </x:row>
    <x:row r="1274" ht="32.400001525878906" hidden="0" customHeight="1">
      <x:c r="A1274" s="27" t="str">
        <x:v>Miami-Dade County, Florida</x:v>
      </x:c>
      <x:c r="B1274" s="27" t="str">
        <x:v>12086002710</x:v>
      </x:c>
      <x:c r="C1274" s="50" t="n">
        <x:v>1834</x:v>
      </x:c>
      <x:c r="D1274" s="50" t="n">
        <x:v>177</x:v>
      </x:c>
      <x:c r="E1274" s="50" t="n">
        <x:v>189</x:v>
      </x:c>
      <x:c r="F1274" s="37" t="n">
        <x:v>0.0965103598691385</x:v>
      </x:c>
      <x:c r="G1274" s="37" t="n">
        <x:v>0.10305343511450382</x:v>
      </x:c>
      <x:c r="H1274" s="56" t="n">
        <x:v>1914.8500000000001</x:v>
      </x:c>
      <x:c r="I1274" s="56" t="n">
        <x:v>0.134</x:v>
      </x:c>
      <x:c r="J1274" s="56" t="n">
        <x:v>2.1841934859386467</x:v>
      </x:c>
      <x:c r="K1274" s="56" t="n">
        <x:v>33.27629022890797</x:v>
      </x:c>
      <x:c r="L1274" s="56" t="n">
        <x:v>49.68041461272567</x:v>
      </x:c>
    </x:row>
    <x:row r="1275" ht="32.400001525878906" hidden="0" customHeight="1">
      <x:c r="A1275" s="29" t="str">
        <x:v>Miami-Dade County, Florida</x:v>
      </x:c>
      <x:c r="B1275" s="29" t="str">
        <x:v>12086002800</x:v>
      </x:c>
      <x:c r="C1275" s="51" t="n">
        <x:v>1338</x:v>
      </x:c>
      <x:c r="D1275" s="51" t="n">
        <x:v>222</x:v>
      </x:c>
      <x:c r="E1275" s="51" t="n">
        <x:v>445.5</x:v>
      </x:c>
      <x:c r="F1275" s="38" t="n">
        <x:v>0.16591928251121077</x:v>
      </x:c>
      <x:c r="G1275" s="38" t="n">
        <x:v>0.3329596412556054</x:v>
      </x:c>
      <x:c r="H1275" s="57" t="n">
        <x:v>1460.25</x:v>
      </x:c>
      <x:c r="I1275" s="57" t="n">
        <x:v>0.343</x:v>
      </x:c>
      <x:c r="J1275" s="57" t="n">
        <x:v>2.4744281136641897</x:v>
      </x:c>
      <x:c r="K1275" s="57" t="n">
        <x:v>33.71164217049628</x:v>
      </x:c>
      <x:c r="L1275" s="57" t="n">
        <x:v>50.302345957851834</x:v>
      </x:c>
    </x:row>
    <x:row r="1276" ht="32.400001525878906" hidden="0" customHeight="1">
      <x:c r="A1276" s="27" t="str">
        <x:v>Miami-Dade County, Florida</x:v>
      </x:c>
      <x:c r="B1276" s="27" t="str">
        <x:v>12086002900</x:v>
      </x:c>
      <x:c r="C1276" s="50" t="n">
        <x:v>4953</x:v>
      </x:c>
      <x:c r="D1276" s="50" t="n">
        <x:v>599</x:v>
      </x:c>
      <x:c r="E1276" s="50" t="n">
        <x:v>722.5</x:v>
      </x:c>
      <x:c r="F1276" s="37" t="n">
        <x:v>0.12093680597617605</x:v>
      </x:c>
      <x:c r="G1276" s="37" t="n">
        <x:v>0.1458711891782758</x:v>
      </x:c>
      <x:c r="H1276" s="56" t="n">
        <x:v>5234.9</x:v>
      </x:c>
      <x:c r="I1276" s="56" t="n">
        <x:v>0.551</x:v>
      </x:c>
      <x:c r="J1276" s="56" t="n">
        <x:v>3.8590731523187425</x:v>
      </x:c>
      <x:c r="K1276" s="56" t="n">
        <x:v>35.788609728478114</x:v>
      </x:c>
      <x:c r="L1276" s="56" t="n">
        <x:v>53.26944246925445</x:v>
      </x:c>
    </x:row>
    <x:row r="1277" ht="32.400001525878906" hidden="0" customHeight="1">
      <x:c r="A1277" s="29" t="str">
        <x:v>Miami-Dade County, Florida</x:v>
      </x:c>
      <x:c r="B1277" s="29" t="str">
        <x:v>12086003001</x:v>
      </x:c>
      <x:c r="C1277" s="51" t="n">
        <x:v>3029</x:v>
      </x:c>
      <x:c r="D1277" s="51" t="n">
        <x:v>744</x:v>
      </x:c>
      <x:c r="E1277" s="51" t="n">
        <x:v>666</x:v>
      </x:c>
      <x:c r="F1277" s="38" t="n">
        <x:v>0.24562561901617697</x:v>
      </x:c>
      <x:c r="G1277" s="38" t="n">
        <x:v>0.21987454605480355</x:v>
      </x:c>
      <x:c r="H1277" s="57" t="n">
        <x:v>3356</x:v>
      </x:c>
      <x:c r="I1277" s="57" t="n">
        <x:v>0.486</x:v>
      </x:c>
      <x:c r="J1277" s="57" t="n">
        <x:v>2.742426058484376</x:v>
      </x:c>
      <x:c r="K1277" s="57" t="n">
        <x:v>34.11363908772656</x:v>
      </x:c>
      <x:c r="L1277" s="57" t="n">
        <x:v>50.876627268180805</x:v>
      </x:c>
    </x:row>
    <x:row r="1278" ht="32.400001525878906" hidden="0" customHeight="1">
      <x:c r="A1278" s="27" t="str">
        <x:v>Miami-Dade County, Florida</x:v>
      </x:c>
      <x:c r="B1278" s="27" t="str">
        <x:v>12086003004</x:v>
      </x:c>
      <x:c r="C1278" s="50" t="n">
        <x:v>4090</x:v>
      </x:c>
      <x:c r="D1278" s="50" t="n">
        <x:v>995</x:v>
      </x:c>
      <x:c r="E1278" s="50" t="n">
        <x:v>840</x:v>
      </x:c>
      <x:c r="F1278" s="37" t="n">
        <x:v>0.24327628361858192</x:v>
      </x:c>
      <x:c r="G1278" s="37" t="n">
        <x:v>0.20537897310513448</x:v>
      </x:c>
      <x:c r="H1278" s="56" t="n">
        <x:v>4522.250000000001</x:v>
      </x:c>
      <x:c r="I1278" s="56" t="n">
        <x:v>0.361</x:v>
      </x:c>
      <x:c r="J1278" s="56" t="n">
        <x:v>3.8460503557440315</x:v>
      </x:c>
      <x:c r="K1278" s="56" t="n">
        <x:v>35.769075533616046</x:v>
      </x:c>
      <x:c r="L1278" s="56" t="n">
        <x:v>53.241536476594355</x:v>
      </x:c>
    </x:row>
    <x:row r="1279" ht="32.400001525878906" hidden="0" customHeight="1">
      <x:c r="A1279" s="29" t="str">
        <x:v>Miami-Dade County, Florida</x:v>
      </x:c>
      <x:c r="B1279" s="29" t="str">
        <x:v>12086003005</x:v>
      </x:c>
      <x:c r="C1279" s="51" t="n">
        <x:v>1543</x:v>
      </x:c>
      <x:c r="D1279" s="51" t="n">
        <x:v>301</x:v>
      </x:c>
      <x:c r="E1279" s="51" t="n">
        <x:v>75</x:v>
      </x:c>
      <x:c r="F1279" s="38" t="n">
        <x:v>0.19507453013609852</x:v>
      </x:c>
      <x:c r="G1279" s="38" t="n">
        <x:v>0.04860661049902787</x:v>
      </x:c>
      <x:c r="H1279" s="57" t="n">
        <x:v>1655.85</x:v>
      </x:c>
      <x:c r="I1279" s="57" t="n">
        <x:v>0.134</x:v>
      </x:c>
      <x:c r="J1279" s="57" t="n">
        <x:v>6.009707847939864</x:v>
      </x:c>
      <x:c r="K1279" s="57" t="n">
        <x:v>39.0145617719098</x:v>
      </x:c>
      <x:c r="L1279" s="57" t="n">
        <x:v>57.87794538844257</x:v>
      </x:c>
    </x:row>
    <x:row r="1280" ht="32.400001525878906" hidden="0" customHeight="1">
      <x:c r="A1280" s="27" t="str">
        <x:v>Miami-Dade County, Florida</x:v>
      </x:c>
      <x:c r="B1280" s="27" t="str">
        <x:v>12086003006</x:v>
      </x:c>
      <x:c r="C1280" s="50" t="n">
        <x:v>5035</x:v>
      </x:c>
      <x:c r="D1280" s="50" t="n">
        <x:v>776</x:v>
      </x:c>
      <x:c r="E1280" s="50" t="n">
        <x:v>417</x:v>
      </x:c>
      <x:c r="F1280" s="37" t="n">
        <x:v>0.15412115193644488</x:v>
      </x:c>
      <x:c r="G1280" s="37" t="n">
        <x:v>0.08282025819265144</x:v>
      </x:c>
      <x:c r="H1280" s="56" t="n">
        <x:v>5348.3</x:v>
      </x:c>
      <x:c r="I1280" s="56" t="n">
        <x:v>0.252</x:v>
      </x:c>
      <x:c r="J1280" s="56" t="n">
        <x:v>4.9064016319388</x:v>
      </x:c>
      <x:c r="K1280" s="56" t="n">
        <x:v>37.3596024479082</x:v>
      </x:c>
      <x:c r="L1280" s="56" t="n">
        <x:v>55.513717782726</x:v>
      </x:c>
    </x:row>
    <x:row r="1281" ht="32.400001525878906" hidden="0" customHeight="1">
      <x:c r="A1281" s="29" t="str">
        <x:v>Miami-Dade County, Florida</x:v>
      </x:c>
      <x:c r="B1281" s="29" t="str">
        <x:v>12086003100</x:v>
      </x:c>
      <x:c r="C1281" s="51" t="n">
        <x:v>5177</x:v>
      </x:c>
      <x:c r="D1281" s="51" t="n">
        <x:v>1372</x:v>
      </x:c>
      <x:c r="E1281" s="51" t="n">
        <x:v>1207.5</x:v>
      </x:c>
      <x:c r="F1281" s="38" t="n">
        <x:v>0.2650183503959822</x:v>
      </x:c>
      <x:c r="G1281" s="38" t="n">
        <x:v>0.23324319103728028</x:v>
      </x:c>
      <x:c r="H1281" s="57" t="n">
        <x:v>5777.95</x:v>
      </x:c>
      <x:c r="I1281" s="57" t="n">
        <x:v>0.418</x:v>
      </x:c>
      <x:c r="J1281" s="57" t="n">
        <x:v>1.8457760178008336</x:v>
      </x:c>
      <x:c r="K1281" s="57" t="n">
        <x:v>32.76866402670125</x:v>
      </x:c>
      <x:c r="L1281" s="57" t="n">
        <x:v>48.95523432385893</x:v>
      </x:c>
    </x:row>
    <x:row r="1282" ht="32.400001525878906" hidden="0" customHeight="1">
      <x:c r="A1282" s="27" t="str">
        <x:v>Miami-Dade County, Florida</x:v>
      </x:c>
      <x:c r="B1282" s="27" t="str">
        <x:v>12086003400</x:v>
      </x:c>
      <x:c r="C1282" s="50" t="n">
        <x:v>3997</x:v>
      </x:c>
      <x:c r="D1282" s="50" t="n">
        <x:v>526</x:v>
      </x:c>
      <x:c r="E1282" s="50" t="n">
        <x:v>1040</x:v>
      </x:c>
      <x:c r="F1282" s="37" t="n">
        <x:v>0.1315986990242682</x:v>
      </x:c>
      <x:c r="G1282" s="37" t="n">
        <x:v>0.2601951463597698</x:v>
      </x:c>
      <x:c r="H1282" s="56" t="n">
        <x:v>4285.1</x:v>
      </x:c>
      <x:c r="I1282" s="56" t="n">
        <x:v>0.33</x:v>
      </x:c>
      <x:c r="J1282" s="56" t="n">
        <x:v>1.3661200688572304</x:v>
      </x:c>
      <x:c r="K1282" s="56" t="n">
        <x:v>32.04918010328585</x:v>
      </x:c>
      <x:c r="L1282" s="56" t="n">
        <x:v>47.92740014755121</x:v>
      </x:c>
    </x:row>
    <x:row r="1283" ht="32.400001525878906" hidden="0" customHeight="1">
      <x:c r="A1283" s="29" t="str">
        <x:v>Miami-Dade County, Florida</x:v>
      </x:c>
      <x:c r="B1283" s="29" t="str">
        <x:v>12086003603</x:v>
      </x:c>
      <x:c r="C1283" s="51" t="n">
        <x:v>2154</x:v>
      </x:c>
      <x:c r="D1283" s="51" t="n">
        <x:v>164</x:v>
      </x:c>
      <x:c r="E1283" s="51" t="n">
        <x:v>452.5</x:v>
      </x:c>
      <x:c r="F1283" s="38" t="n">
        <x:v>0.07613741875580315</x:v>
      </x:c>
      <x:c r="G1283" s="38" t="n">
        <x:v>0.21007428040854226</x:v>
      </x:c>
      <x:c r="H1283" s="57" t="n">
        <x:v>2256.65</x:v>
      </x:c>
      <x:c r="I1283" s="57" t="n">
        <x:v>0.072</x:v>
      </x:c>
      <x:c r="J1283" s="57" t="n">
        <x:v>2.483761982048198</x:v>
      </x:c>
      <x:c r="K1283" s="57" t="n">
        <x:v>33.7256429730723</x:v>
      </x:c>
      <x:c r="L1283" s="57" t="n">
        <x:v>50.322347104388996</x:v>
      </x:c>
    </x:row>
    <x:row r="1284" ht="32.400001525878906" hidden="0" customHeight="1">
      <x:c r="A1284" s="27" t="str">
        <x:v>Miami-Dade County, Florida</x:v>
      </x:c>
      <x:c r="B1284" s="27" t="str">
        <x:v>12086003604</x:v>
      </x:c>
      <x:c r="C1284" s="50" t="n">
        <x:v>3147</x:v>
      </x:c>
      <x:c r="D1284" s="50" t="n">
        <x:v>271</x:v>
      </x:c>
      <x:c r="E1284" s="50" t="n">
        <x:v>710.5</x:v>
      </x:c>
      <x:c r="F1284" s="37" t="n">
        <x:v>0.08611375913568478</x:v>
      </x:c>
      <x:c r="G1284" s="37" t="n">
        <x:v>0.2257705751509374</x:v>
      </x:c>
      <x:c r="H1284" s="56" t="n">
        <x:v>3312.8999999999996</x:v>
      </x:c>
      <x:c r="I1284" s="56" t="n">
        <x:v>0.083</x:v>
      </x:c>
      <x:c r="J1284" s="56" t="n">
        <x:v>2.9870136617495833</x:v>
      </x:c>
      <x:c r="K1284" s="56" t="n">
        <x:v>34.48052049262437</x:v>
      </x:c>
      <x:c r="L1284" s="56" t="n">
        <x:v>51.40074356089196</x:v>
      </x:c>
    </x:row>
    <x:row r="1285" ht="32.400001525878906" hidden="0" customHeight="1">
      <x:c r="A1285" s="29" t="str">
        <x:v>Miami-Dade County, Florida</x:v>
      </x:c>
      <x:c r="B1285" s="29" t="str">
        <x:v>12086003605</x:v>
      </x:c>
      <x:c r="C1285" s="51" t="n">
        <x:v>2993</x:v>
      </x:c>
      <x:c r="D1285" s="51" t="n">
        <x:v>585</x:v>
      </x:c>
      <x:c r="E1285" s="51" t="n">
        <x:v>1018</x:v>
      </x:c>
      <x:c r="F1285" s="38" t="n">
        <x:v>0.19545606414968258</x:v>
      </x:c>
      <x:c r="G1285" s="38" t="n">
        <x:v>0.3401269629134647</x:v>
      </x:c>
      <x:c r="H1285" s="57" t="n">
        <x:v>3299.55</x:v>
      </x:c>
      <x:c r="I1285" s="57" t="n">
        <x:v>0.115</x:v>
      </x:c>
      <x:c r="J1285" s="57" t="n">
        <x:v>2.6676773770435314</x:v>
      </x:c>
      <x:c r="K1285" s="57" t="n">
        <x:v>34.0015160655653</x:v>
      </x:c>
      <x:c r="L1285" s="57" t="n">
        <x:v>50.71645152223614</x:v>
      </x:c>
    </x:row>
    <x:row r="1286" ht="32.400001525878906" hidden="0" customHeight="1">
      <x:c r="A1286" s="27" t="str">
        <x:v>Miami-Dade County, Florida</x:v>
      </x:c>
      <x:c r="B1286" s="27" t="str">
        <x:v>12086003606</x:v>
      </x:c>
      <x:c r="C1286" s="50" t="n">
        <x:v>2575</x:v>
      </x:c>
      <x:c r="D1286" s="50" t="n">
        <x:v>564</x:v>
      </x:c>
      <x:c r="E1286" s="50" t="n">
        <x:v>836</x:v>
      </x:c>
      <x:c r="F1286" s="37" t="n">
        <x:v>0.21902912621359225</x:v>
      </x:c>
      <x:c r="G1286" s="37" t="n">
        <x:v>0.3246601941747573</x:v>
      </x:c>
      <x:c r="H1286" s="56" t="n">
        <x:v>2856</x:v>
      </x:c>
      <x:c r="I1286" s="56" t="n">
        <x:v>0.227</x:v>
      </x:c>
      <x:c r="J1286" s="56" t="n">
        <x:v>1.8903140798330997</x:v>
      </x:c>
      <x:c r="K1286" s="56" t="n">
        <x:v>32.83547111974965</x:v>
      </x:c>
      <x:c r="L1286" s="56" t="n">
        <x:v>49.05067302821379</x:v>
      </x:c>
    </x:row>
    <x:row r="1287" ht="32.400001525878906" hidden="0" customHeight="1">
      <x:c r="A1287" s="29" t="str">
        <x:v>Miami-Dade County, Florida</x:v>
      </x:c>
      <x:c r="B1287" s="29" t="str">
        <x:v>12086003607</x:v>
      </x:c>
      <x:c r="C1287" s="51" t="n">
        <x:v>1765</x:v>
      </x:c>
      <x:c r="D1287" s="51" t="n">
        <x:v>328</x:v>
      </x:c>
      <x:c r="E1287" s="51" t="n">
        <x:v>511</x:v>
      </x:c>
      <x:c r="F1287" s="38" t="n">
        <x:v>0.1858356940509915</x:v>
      </x:c>
      <x:c r="G1287" s="38" t="n">
        <x:v>0.2895184135977337</x:v>
      </x:c>
      <x:c r="H1287" s="57" t="n">
        <x:v>1930.9</x:v>
      </x:c>
      <x:c r="I1287" s="57" t="n">
        <x:v>0.091</x:v>
      </x:c>
      <x:c r="J1287" s="57" t="n">
        <x:v>2.0087428679491595</x:v>
      </x:c>
      <x:c r="K1287" s="57" t="n">
        <x:v>33.013114301923736</x:v>
      </x:c>
      <x:c r="L1287" s="57" t="n">
        <x:v>49.3044490027482</x:v>
      </x:c>
    </x:row>
    <x:row r="1288" ht="32.400001525878906" hidden="0" customHeight="1">
      <x:c r="A1288" s="27" t="str">
        <x:v>Miami-Dade County, Florida</x:v>
      </x:c>
      <x:c r="B1288" s="27" t="str">
        <x:v>12086003703</x:v>
      </x:c>
      <x:c r="C1288" s="50" t="n">
        <x:v>2725</x:v>
      </x:c>
      <x:c r="D1288" s="50" t="n">
        <x:v>41</x:v>
      </x:c>
      <x:c r="E1288" s="50" t="n">
        <x:v>368</x:v>
      </x:c>
      <x:c r="F1288" s="37" t="n">
        <x:v>0.015045871559633028</x:v>
      </x:c>
      <x:c r="G1288" s="37" t="n">
        <x:v>0.13504587155963302</x:v>
      </x:c>
      <x:c r="H1288" s="56" t="n">
        <x:v>2776.1500000000005</x:v>
      </x:c>
      <x:c r="I1288" s="56" t="n">
        <x:v>0.062</x:v>
      </x:c>
      <x:c r="J1288" s="56" t="n">
        <x:v>1.9613867555895148</x:v>
      </x:c>
      <x:c r="K1288" s="56" t="n">
        <x:v>32.94208013338427</x:v>
      </x:c>
      <x:c r="L1288" s="56" t="n">
        <x:v>49.20297161912039</x:v>
      </x:c>
    </x:row>
    <x:row r="1289" ht="32.400001525878906" hidden="0" customHeight="1">
      <x:c r="A1289" s="29" t="str">
        <x:v>Miami-Dade County, Florida</x:v>
      </x:c>
      <x:c r="B1289" s="29" t="str">
        <x:v>12086003704</x:v>
      </x:c>
      <x:c r="C1289" s="51" t="n">
        <x:v>1309</x:v>
      </x:c>
      <x:c r="D1289" s="51" t="n">
        <x:v>189</x:v>
      </x:c>
      <x:c r="E1289" s="51" t="n">
        <x:v>481</x:v>
      </x:c>
      <x:c r="F1289" s="38" t="n">
        <x:v>0.1443850267379679</x:v>
      </x:c>
      <x:c r="G1289" s="38" t="n">
        <x:v>0.3674560733384263</x:v>
      </x:c>
      <x:c r="H1289" s="57" t="n">
        <x:v>1423.25</x:v>
      </x:c>
      <x:c r="I1289" s="57" t="n">
        <x:v>0.095</x:v>
      </x:c>
      <x:c r="J1289" s="57" t="n">
        <x:v>1.7009915181178483</x:v>
      </x:c>
      <x:c r="K1289" s="57" t="n">
        <x:v>32.551487277176776</x:v>
      </x:c>
      <x:c r="L1289" s="57" t="n">
        <x:v>48.64498182453825</x:v>
      </x:c>
    </x:row>
    <x:row r="1290" ht="32.400001525878906" hidden="0" customHeight="1">
      <x:c r="A1290" s="27" t="str">
        <x:v>Miami-Dade County, Florida</x:v>
      </x:c>
      <x:c r="B1290" s="27" t="str">
        <x:v>12086003705</x:v>
      </x:c>
      <x:c r="C1290" s="50" t="n">
        <x:v>1932</x:v>
      </x:c>
      <x:c r="D1290" s="50" t="n">
        <x:v>85</x:v>
      </x:c>
      <x:c r="E1290" s="50" t="n">
        <x:v>223</x:v>
      </x:c>
      <x:c r="F1290" s="37" t="n">
        <x:v>0.04399585921325052</x:v>
      </x:c>
      <x:c r="G1290" s="37" t="n">
        <x:v>0.11542443064182195</x:v>
      </x:c>
      <x:c r="H1290" s="56" t="n">
        <x:v>1984.05</x:v>
      </x:c>
      <x:c r="I1290" s="56" t="n">
        <x:v>0.046</x:v>
      </x:c>
      <x:c r="J1290" s="56" t="n">
        <x:v>2.1006909782817176</x:v>
      </x:c>
      <x:c r="K1290" s="56" t="n">
        <x:v>33.15103646742258</x:v>
      </x:c>
      <x:c r="L1290" s="56" t="n">
        <x:v>49.501480667746534</x:v>
      </x:c>
    </x:row>
    <x:row r="1291" ht="32.400001525878906" hidden="0" customHeight="1">
      <x:c r="A1291" s="29" t="str">
        <x:v>Miami-Dade County, Florida</x:v>
      </x:c>
      <x:c r="B1291" s="29" t="str">
        <x:v>12086003706</x:v>
      </x:c>
      <x:c r="C1291" s="51" t="n">
        <x:v>1551</x:v>
      </x:c>
      <x:c r="D1291" s="51" t="n">
        <x:v>149</x:v>
      </x:c>
      <x:c r="E1291" s="51" t="n">
        <x:v>459</x:v>
      </x:c>
      <x:c r="F1291" s="38" t="n">
        <x:v>0.09606705351386202</x:v>
      </x:c>
      <x:c r="G1291" s="38" t="n">
        <x:v>0.29593810444874274</x:v>
      </x:c>
      <x:c r="H1291" s="57" t="n">
        <x:v>1649.0500000000002</x:v>
      </x:c>
      <x:c r="I1291" s="57" t="n">
        <x:v>0.095</x:v>
      </x:c>
      <x:c r="J1291" s="57" t="n">
        <x:v>1.2374057145649884</x:v>
      </x:c>
      <x:c r="K1291" s="57" t="n">
        <x:v>31.856108571847482</x:v>
      </x:c>
      <x:c r="L1291" s="57" t="n">
        <x:v>47.65158367406783</x:v>
      </x:c>
    </x:row>
    <x:row r="1292" ht="32.400001525878906" hidden="0" customHeight="1">
      <x:c r="A1292" s="27" t="str">
        <x:v>Miami-Dade County, Florida</x:v>
      </x:c>
      <x:c r="B1292" s="27" t="str">
        <x:v>12086003707</x:v>
      </x:c>
      <x:c r="C1292" s="50" t="n">
        <x:v>1926</x:v>
      </x:c>
      <x:c r="D1292" s="50" t="n">
        <x:v>140</x:v>
      </x:c>
      <x:c r="E1292" s="50" t="n">
        <x:v>340</x:v>
      </x:c>
      <x:c r="F1292" s="37" t="n">
        <x:v>0.07268951194184839</x:v>
      </x:c>
      <x:c r="G1292" s="37" t="n">
        <x:v>0.17653167185877466</x:v>
      </x:c>
      <x:c r="H1292" s="56" t="n">
        <x:v>2009</x:v>
      </x:c>
      <x:c r="I1292" s="56" t="n">
        <x:v>0.065</x:v>
      </x:c>
      <x:c r="J1292" s="56" t="n">
        <x:v>1.0667014731268953</x:v>
      </x:c>
      <x:c r="K1292" s="56" t="n">
        <x:v>31.600052209690343</x:v>
      </x:c>
      <x:c r="L1292" s="56" t="n">
        <x:v>47.2857888709862</x:v>
      </x:c>
    </x:row>
    <x:row r="1293" ht="32.400001525878906" hidden="0" customHeight="1">
      <x:c r="A1293" s="29" t="str">
        <x:v>Miami-Dade County, Florida</x:v>
      </x:c>
      <x:c r="B1293" s="29" t="str">
        <x:v>12086003708</x:v>
      </x:c>
      <x:c r="C1293" s="51" t="n">
        <x:v>953</x:v>
      </x:c>
      <x:c r="D1293" s="51" t="n">
        <x:v>80</x:v>
      </x:c>
      <x:c r="E1293" s="51" t="n">
        <x:v>13</x:v>
      </x:c>
      <x:c r="F1293" s="38" t="n">
        <x:v>0.08394543546694648</x:v>
      </x:c>
      <x:c r="G1293" s="38" t="n">
        <x:v>0.013641133263378805</x:v>
      </x:c>
      <x:c r="H1293" s="57" t="n">
        <x:v>982.3</x:v>
      </x:c>
      <x:c r="I1293" s="57" t="n">
        <x:v>0.098</x:v>
      </x:c>
      <x:c r="J1293" s="57" t="n">
        <x:v>1.4801630776508574</x:v>
      </x:c>
      <x:c r="K1293" s="57" t="n">
        <x:v>32.220244616476286</x:v>
      </x:c>
      <x:c r="L1293" s="57" t="n">
        <x:v>48.17177802353755</x:v>
      </x:c>
    </x:row>
    <x:row r="1294" ht="32.400001525878906" hidden="0" customHeight="1">
      <x:c r="A1294" s="27" t="str">
        <x:v>Miami-Dade County, Florida</x:v>
      </x:c>
      <x:c r="B1294" s="27" t="str">
        <x:v>12086003709</x:v>
      </x:c>
      <x:c r="C1294" s="50" t="n">
        <x:v>1322</x:v>
      </x:c>
      <x:c r="D1294" s="50" t="n">
        <x:v>63</x:v>
      </x:c>
      <x:c r="E1294" s="50" t="n">
        <x:v>203</x:v>
      </x:c>
      <x:c r="F1294" s="37" t="n">
        <x:v>0.047655068078668684</x:v>
      </x:c>
      <x:c r="G1294" s="37" t="n">
        <x:v>0.1535552193645991</x:v>
      </x:c>
      <x:c r="H1294" s="56" t="n">
        <x:v>1364.35</x:v>
      </x:c>
      <x:c r="I1294" s="56" t="n">
        <x:v>0.029</x:v>
      </x:c>
      <x:c r="J1294" s="56" t="n">
        <x:v>0.739804015371681</x:v>
      </x:c>
      <x:c r="K1294" s="56" t="n">
        <x:v>31.109706023057523</x:v>
      </x:c>
      <x:c r="L1294" s="56" t="n">
        <x:v>46.5852943186536</x:v>
      </x:c>
    </x:row>
    <x:row r="1295" ht="32.400001525878906" hidden="0" customHeight="1">
      <x:c r="A1295" s="29" t="str">
        <x:v>Miami-Dade County, Florida</x:v>
      </x:c>
      <x:c r="B1295" s="29" t="str">
        <x:v>12086003710</x:v>
      </x:c>
      <x:c r="C1295" s="51" t="n">
        <x:v>8329</x:v>
      </x:c>
      <x:c r="D1295" s="51" t="n">
        <x:v>488</x:v>
      </x:c>
      <x:c r="E1295" s="51" t="n">
        <x:v>312</x:v>
      </x:c>
      <x:c r="F1295" s="38" t="n">
        <x:v>0.05859046704286229</x:v>
      </x:c>
      <x:c r="G1295" s="38" t="n">
        <x:v>0.037459478929043104</x:v>
      </x:c>
      <x:c r="H1295" s="57" t="n">
        <x:v>8531</x:v>
      </x:c>
      <x:c r="I1295" s="57" t="n">
        <x:v>0.387</x:v>
      </x:c>
      <x:c r="J1295" s="57" t="n">
        <x:v>0</x:v>
      </x:c>
      <x:c r="K1295" s="57" t="n">
        <x:v>30</x:v>
      </x:c>
      <x:c r="L1295" s="57" t="n">
        <x:v>45</x:v>
      </x:c>
    </x:row>
    <x:row r="1296" ht="32.400001525878906" hidden="0" customHeight="1">
      <x:c r="A1296" s="27" t="str">
        <x:v>Miami-Dade County, Florida</x:v>
      </x:c>
      <x:c r="B1296" s="27" t="str">
        <x:v>12086003801</x:v>
      </x:c>
      <x:c r="C1296" s="50" t="n">
        <x:v>5886</x:v>
      </x:c>
      <x:c r="D1296" s="50" t="n">
        <x:v>426</x:v>
      </x:c>
      <x:c r="E1296" s="50" t="n">
        <x:v>314</x:v>
      </x:c>
      <x:c r="F1296" s="37" t="n">
        <x:v>0.07237512742099898</x:v>
      </x:c>
      <x:c r="G1296" s="37" t="n">
        <x:v>0.05334692490655794</x:v>
      </x:c>
      <x:c r="H1296" s="56" t="n">
        <x:v>6066.5</x:v>
      </x:c>
      <x:c r="I1296" s="56" t="n">
        <x:v>0.822</x:v>
      </x:c>
      <x:c r="J1296" s="56" t="n">
        <x:v>15.671183941910636</x:v>
      </x:c>
      <x:c r="K1296" s="56" t="n">
        <x:v>53.506775912865955</x:v>
      </x:c>
      <x:c r="L1296" s="56" t="n">
        <x:v>78.58110844695136</x:v>
      </x:c>
    </x:row>
    <x:row r="1297" ht="32.400001525878906" hidden="0" customHeight="1">
      <x:c r="A1297" s="29" t="str">
        <x:v>Miami-Dade County, Florida</x:v>
      </x:c>
      <x:c r="B1297" s="29" t="str">
        <x:v>12086003803</x:v>
      </x:c>
      <x:c r="C1297" s="51" t="n">
        <x:v>3055</x:v>
      </x:c>
      <x:c r="D1297" s="51" t="n">
        <x:v>261</x:v>
      </x:c>
      <x:c r="E1297" s="51" t="n">
        <x:v>210</x:v>
      </x:c>
      <x:c r="F1297" s="38" t="n">
        <x:v>0.08543371522094927</x:v>
      </x:c>
      <x:c r="G1297" s="38" t="n">
        <x:v>0.06873977086743044</x:v>
      </x:c>
      <x:c r="H1297" s="57" t="n">
        <x:v>3167.3499999999995</x:v>
      </x:c>
      <x:c r="I1297" s="57" t="n">
        <x:v>0.383</x:v>
      </x:c>
      <x:c r="J1297" s="57" t="n">
        <x:v>18.620054128161584</x:v>
      </x:c>
      <x:c r="K1297" s="57" t="n">
        <x:v>57.930081192242376</x:v>
      </x:c>
      <x:c r="L1297" s="57" t="n">
        <x:v>84.90011598891768</x:v>
      </x:c>
    </x:row>
    <x:row r="1298" ht="32.400001525878906" hidden="0" customHeight="1">
      <x:c r="A1298" s="27" t="str">
        <x:v>Miami-Dade County, Florida</x:v>
      </x:c>
      <x:c r="B1298" s="27" t="str">
        <x:v>12086003804</x:v>
      </x:c>
      <x:c r="C1298" s="50" t="n">
        <x:v>5631</x:v>
      </x:c>
      <x:c r="D1298" s="50" t="n">
        <x:v>664</x:v>
      </x:c>
      <x:c r="E1298" s="50" t="n">
        <x:v>154</x:v>
      </x:c>
      <x:c r="F1298" s="37" t="n">
        <x:v>0.11791866453560647</x:v>
      </x:c>
      <x:c r="G1298" s="37" t="n">
        <x:v>0.027348605931450897</x:v>
      </x:c>
      <x:c r="H1298" s="56" t="n">
        <x:v>5878.799999999999</x:v>
      </x:c>
      <x:c r="I1298" s="56" t="n">
        <x:v>0.56</x:v>
      </x:c>
      <x:c r="J1298" s="56" t="n">
        <x:v>16.75008694763985</x:v>
      </x:c>
      <x:c r="K1298" s="56" t="n">
        <x:v>55.12513042145977</x:v>
      </x:c>
      <x:c r="L1298" s="56" t="n">
        <x:v>80.89304345922825</x:v>
      </x:c>
    </x:row>
    <x:row r="1299" ht="32.400001525878906" hidden="0" customHeight="1">
      <x:c r="A1299" s="29" t="str">
        <x:v>Miami-Dade County, Florida</x:v>
      </x:c>
      <x:c r="B1299" s="29" t="str">
        <x:v>12086003906</x:v>
      </x:c>
      <x:c r="C1299" s="51" t="n">
        <x:v>2760</x:v>
      </x:c>
      <x:c r="D1299" s="51" t="n">
        <x:v>192</x:v>
      </x:c>
      <x:c r="E1299" s="51" t="n">
        <x:v>105</x:v>
      </x:c>
      <x:c r="F1299" s="38" t="n">
        <x:v>0.06956521739130435</x:v>
      </x:c>
      <x:c r="G1299" s="38" t="n">
        <x:v>0.03804347826086957</x:v>
      </x:c>
      <x:c r="H1299" s="57" t="n">
        <x:v>2837.7</x:v>
      </x:c>
      <x:c r="I1299" s="57" t="n">
        <x:v>0.875</x:v>
      </x:c>
      <x:c r="J1299" s="57" t="n">
        <x:v>11.559676209867542</x:v>
      </x:c>
      <x:c r="K1299" s="57" t="n">
        <x:v>47.33951431480131</x:v>
      </x:c>
      <x:c r="L1299" s="57" t="n">
        <x:v>69.77073473543044</x:v>
      </x:c>
    </x:row>
    <x:row r="1300" ht="32.400001525878906" hidden="0" customHeight="1">
      <x:c r="A1300" s="27" t="str">
        <x:v>Miami-Dade County, Florida</x:v>
      </x:c>
      <x:c r="B1300" s="27" t="str">
        <x:v>12086003909</x:v>
      </x:c>
      <x:c r="C1300" s="50" t="n">
        <x:v>1492</x:v>
      </x:c>
      <x:c r="D1300" s="50" t="n">
        <x:v>284</x:v>
      </x:c>
      <x:c r="E1300" s="50" t="n">
        <x:v>318</x:v>
      </x:c>
      <x:c r="F1300" s="37" t="n">
        <x:v>0.1903485254691689</x:v>
      </x:c>
      <x:c r="G1300" s="37" t="n">
        <x:v>0.2131367292225201</x:v>
      </x:c>
      <x:c r="H1300" s="56" t="n">
        <x:v>1623.2</x:v>
      </x:c>
      <x:c r="I1300" s="56" t="n">
        <x:v>0.19</x:v>
      </x:c>
      <x:c r="J1300" s="56" t="n">
        <x:v>15.67266517506921</x:v>
      </x:c>
      <x:c r="K1300" s="56" t="n">
        <x:v>53.50899776260381</x:v>
      </x:c>
      <x:c r="L1300" s="56" t="n">
        <x:v>78.58428251800545</x:v>
      </x:c>
    </x:row>
    <x:row r="1301" ht="32.400001525878906" hidden="0" customHeight="1">
      <x:c r="A1301" s="29" t="str">
        <x:v>Miami-Dade County, Florida</x:v>
      </x:c>
      <x:c r="B1301" s="29" t="str">
        <x:v>12086003911</x:v>
      </x:c>
      <x:c r="C1301" s="51" t="n">
        <x:v>4336</x:v>
      </x:c>
      <x:c r="D1301" s="51" t="n">
        <x:v>509</x:v>
      </x:c>
      <x:c r="E1301" s="51" t="n">
        <x:v>335</x:v>
      </x:c>
      <x:c r="F1301" s="38" t="n">
        <x:v>0.11738929889298894</x:v>
      </x:c>
      <x:c r="G1301" s="38" t="n">
        <x:v>0.07726014760147601</x:v>
      </x:c>
      <x:c r="H1301" s="57" t="n">
        <x:v>4547.650000000001</x:v>
      </x:c>
      <x:c r="I1301" s="57" t="n">
        <x:v>0.122</x:v>
      </x:c>
      <x:c r="J1301" s="57" t="n">
        <x:v>15.018070349292412</x:v>
      </x:c>
      <x:c r="K1301" s="57" t="n">
        <x:v>52.527105523938616</x:v>
      </x:c>
      <x:c r="L1301" s="57" t="n">
        <x:v>77.18157931991232</x:v>
      </x:c>
    </x:row>
    <x:row r="1302" ht="32.400001525878906" hidden="0" customHeight="1">
      <x:c r="A1302" s="27" t="str">
        <x:v>Miami-Dade County, Florida</x:v>
      </x:c>
      <x:c r="B1302" s="27" t="str">
        <x:v>12086003912</x:v>
      </x:c>
      <x:c r="C1302" s="50" t="n">
        <x:v>4394</x:v>
      </x:c>
      <x:c r="D1302" s="50" t="n">
        <x:v>383</x:v>
      </x:c>
      <x:c r="E1302" s="50" t="n">
        <x:v>579</x:v>
      </x:c>
      <x:c r="F1302" s="37" t="n">
        <x:v>0.08716431497496586</x:v>
      </x:c>
      <x:c r="G1302" s="37" t="n">
        <x:v>0.13177059626763768</x:v>
      </x:c>
      <x:c r="H1302" s="56" t="n">
        <x:v>4585.95</x:v>
      </x:c>
      <x:c r="I1302" s="56" t="n">
        <x:v>0.315</x:v>
      </x:c>
      <x:c r="J1302" s="56" t="n">
        <x:v>13.767534388631635</x:v>
      </x:c>
      <x:c r="K1302" s="56" t="n">
        <x:v>50.651301582947454</x:v>
      </x:c>
      <x:c r="L1302" s="56" t="n">
        <x:v>74.50185940421065</x:v>
      </x:c>
    </x:row>
    <x:row r="1303" ht="32.400001525878906" hidden="0" customHeight="1">
      <x:c r="A1303" s="29" t="str">
        <x:v>Miami-Dade County, Florida</x:v>
      </x:c>
      <x:c r="B1303" s="29" t="str">
        <x:v>12086003913</x:v>
      </x:c>
      <x:c r="C1303" s="51" t="n">
        <x:v>4060</x:v>
      </x:c>
      <x:c r="D1303" s="51" t="n">
        <x:v>370</x:v>
      </x:c>
      <x:c r="E1303" s="51" t="n">
        <x:v>732</x:v>
      </x:c>
      <x:c r="F1303" s="38" t="n">
        <x:v>0.09113300492610837</x:v>
      </x:c>
      <x:c r="G1303" s="38" t="n">
        <x:v>0.18029556650246306</x:v>
      </x:c>
      <x:c r="H1303" s="57" t="n">
        <x:v>4262.7</x:v>
      </x:c>
      <x:c r="I1303" s="57" t="n">
        <x:v>0.179</x:v>
      </x:c>
      <x:c r="J1303" s="57" t="n">
        <x:v>14.26444447550794</x:v>
      </x:c>
      <x:c r="K1303" s="57" t="n">
        <x:v>51.39666671326191</x:v>
      </x:c>
      <x:c r="L1303" s="57" t="n">
        <x:v>75.5666667332313</x:v>
      </x:c>
    </x:row>
    <x:row r="1304" ht="32.400001525878906" hidden="0" customHeight="1">
      <x:c r="A1304" s="27" t="str">
        <x:v>Miami-Dade County, Florida</x:v>
      </x:c>
      <x:c r="B1304" s="27" t="str">
        <x:v>12086003914</x:v>
      </x:c>
      <x:c r="C1304" s="50" t="n">
        <x:v>3343</x:v>
      </x:c>
      <x:c r="D1304" s="50" t="n">
        <x:v>394</x:v>
      </x:c>
      <x:c r="E1304" s="50" t="n">
        <x:v>571</x:v>
      </x:c>
      <x:c r="F1304" s="37" t="n">
        <x:v>0.11785821118755609</x:v>
      </x:c>
      <x:c r="G1304" s="37" t="n">
        <x:v>0.170804666467245</x:v>
      </x:c>
      <x:c r="H1304" s="56" t="n">
        <x:v>3538.0000000000005</x:v>
      </x:c>
      <x:c r="I1304" s="56" t="n">
        <x:v>0.167</x:v>
      </x:c>
      <x:c r="J1304" s="56" t="n">
        <x:v>13.320452999010172</x:v>
      </x:c>
      <x:c r="K1304" s="56" t="n">
        <x:v>49.98067949851526</x:v>
      </x:c>
      <x:c r="L1304" s="56" t="n">
        <x:v>73.54382785502179</x:v>
      </x:c>
    </x:row>
    <x:row r="1305" ht="32.400001525878906" hidden="0" customHeight="1">
      <x:c r="A1305" s="29" t="str">
        <x:v>Miami-Dade County, Florida</x:v>
      </x:c>
      <x:c r="B1305" s="29" t="str">
        <x:v>12086003915</x:v>
      </x:c>
      <x:c r="C1305" s="51" t="n">
        <x:v>5097</x:v>
      </x:c>
      <x:c r="D1305" s="51" t="n">
        <x:v>452</x:v>
      </x:c>
      <x:c r="E1305" s="51" t="n">
        <x:v>694</x:v>
      </x:c>
      <x:c r="F1305" s="38" t="n">
        <x:v>0.08867961546007455</x:v>
      </x:c>
      <x:c r="G1305" s="38" t="n">
        <x:v>0.13615852462232686</x:v>
      </x:c>
      <x:c r="H1305" s="57" t="n">
        <x:v>5324.6</x:v>
      </x:c>
      <x:c r="I1305" s="57" t="n">
        <x:v>0.304</x:v>
      </x:c>
      <x:c r="J1305" s="57" t="n">
        <x:v>12.764244378967271</x:v>
      </x:c>
      <x:c r="K1305" s="57" t="n">
        <x:v>49.14636656845091</x:v>
      </x:c>
      <x:c r="L1305" s="57" t="n">
        <x:v>72.35195224064415</x:v>
      </x:c>
    </x:row>
    <x:row r="1306" ht="32.400001525878906" hidden="0" customHeight="1">
      <x:c r="A1306" s="27" t="str">
        <x:v>Miami-Dade County, Florida</x:v>
      </x:c>
      <x:c r="B1306" s="27" t="str">
        <x:v>12086003916</x:v>
      </x:c>
      <x:c r="C1306" s="50" t="n">
        <x:v>4182</x:v>
      </x:c>
      <x:c r="D1306" s="50" t="n">
        <x:v>466</x:v>
      </x:c>
      <x:c r="E1306" s="50" t="n">
        <x:v>650.5</x:v>
      </x:c>
      <x:c r="F1306" s="37" t="n">
        <x:v>0.11142993782879006</x:v>
      </x:c>
      <x:c r="G1306" s="37" t="n">
        <x:v>0.15554758488761358</x:v>
      </x:c>
      <x:c r="H1306" s="56" t="n">
        <x:v>4410.150000000001</x:v>
      </x:c>
      <x:c r="I1306" s="56" t="n">
        <x:v>0.439</x:v>
      </x:c>
      <x:c r="J1306" s="56" t="n">
        <x:v>12.974557850695485</x:v>
      </x:c>
      <x:c r="K1306" s="56" t="n">
        <x:v>49.46183677604323</x:v>
      </x:c>
      <x:c r="L1306" s="56" t="n">
        <x:v>72.80262396577604</x:v>
      </x:c>
    </x:row>
    <x:row r="1307" ht="32.400001525878906" hidden="0" customHeight="1">
      <x:c r="A1307" s="29" t="str">
        <x:v>Miami-Dade County, Florida</x:v>
      </x:c>
      <x:c r="B1307" s="29" t="str">
        <x:v>12086003917</x:v>
      </x:c>
      <x:c r="C1307" s="51" t="n">
        <x:v>5175</x:v>
      </x:c>
      <x:c r="D1307" s="51" t="n">
        <x:v>519</x:v>
      </x:c>
      <x:c r="E1307" s="51" t="n">
        <x:v>45</x:v>
      </x:c>
      <x:c r="F1307" s="38" t="n">
        <x:v>0.10028985507246377</x:v>
      </x:c>
      <x:c r="G1307" s="38" t="n">
        <x:v>0.008695652173913044</x:v>
      </x:c>
      <x:c r="H1307" s="57" t="n">
        <x:v>5361.15</x:v>
      </x:c>
      <x:c r="I1307" s="57" t="n">
        <x:v>0.234</x:v>
      </x:c>
      <x:c r="J1307" s="57" t="n">
        <x:v>10.576503203270528</x:v>
      </x:c>
      <x:c r="K1307" s="57" t="n">
        <x:v>45.86475480490579</x:v>
      </x:c>
      <x:c r="L1307" s="57" t="n">
        <x:v>67.6639354355797</x:v>
      </x:c>
    </x:row>
    <x:row r="1308" ht="32.400001525878906" hidden="0" customHeight="1">
      <x:c r="A1308" s="27" t="str">
        <x:v>Miami-Dade County, Florida</x:v>
      </x:c>
      <x:c r="B1308" s="27" t="str">
        <x:v>12086003918</x:v>
      </x:c>
      <x:c r="C1308" s="50" t="n">
        <x:v>2721</x:v>
      </x:c>
      <x:c r="D1308" s="50" t="n">
        <x:v>184</x:v>
      </x:c>
      <x:c r="E1308" s="50" t="n">
        <x:v>92</x:v>
      </x:c>
      <x:c r="F1308" s="37" t="n">
        <x:v>0.06762219772142594</x:v>
      </x:c>
      <x:c r="G1308" s="37" t="n">
        <x:v>0.03381109886071297</x:v>
      </x:c>
      <x:c r="H1308" s="56" t="n">
        <x:v>2794.6</x:v>
      </x:c>
      <x:c r="I1308" s="56" t="n">
        <x:v>0.136</x:v>
      </x:c>
      <x:c r="J1308" s="56" t="n">
        <x:v>10.82901861146613</x:v>
      </x:c>
      <x:c r="K1308" s="56" t="n">
        <x:v>46.243527917199195</x:v>
      </x:c>
      <x:c r="L1308" s="56" t="n">
        <x:v>68.20503988171313</x:v>
      </x:c>
    </x:row>
    <x:row r="1309" ht="32.400001525878906" hidden="0" customHeight="1">
      <x:c r="A1309" s="29" t="str">
        <x:v>Miami-Dade County, Florida</x:v>
      </x:c>
      <x:c r="B1309" s="29" t="str">
        <x:v>12086003919</x:v>
      </x:c>
      <x:c r="C1309" s="51" t="n">
        <x:v>2804</x:v>
      </x:c>
      <x:c r="D1309" s="51" t="n">
        <x:v>291</x:v>
      </x:c>
      <x:c r="E1309" s="51" t="n">
        <x:v>89</x:v>
      </x:c>
      <x:c r="F1309" s="38" t="n">
        <x:v>0.10378031383737518</x:v>
      </x:c>
      <x:c r="G1309" s="38" t="n">
        <x:v>0.03174037089871612</x:v>
      </x:c>
      <x:c r="H1309" s="57" t="n">
        <x:v>2914.7500000000005</x:v>
      </x:c>
      <x:c r="I1309" s="57" t="n">
        <x:v>0.109</x:v>
      </x:c>
      <x:c r="J1309" s="57" t="n">
        <x:v>10.784772764337278</x:v>
      </x:c>
      <x:c r="K1309" s="57" t="n">
        <x:v>46.177159146505915</x:v>
      </x:c>
      <x:c r="L1309" s="57" t="n">
        <x:v>68.11022735215131</x:v>
      </x:c>
    </x:row>
    <x:row r="1310" ht="32.400001525878906" hidden="0" customHeight="1">
      <x:c r="A1310" s="27" t="str">
        <x:v>Miami-Dade County, Florida</x:v>
      </x:c>
      <x:c r="B1310" s="27" t="str">
        <x:v>12086003921</x:v>
      </x:c>
      <x:c r="C1310" s="50" t="n">
        <x:v>2331</x:v>
      </x:c>
      <x:c r="D1310" s="50" t="n">
        <x:v>129</x:v>
      </x:c>
      <x:c r="E1310" s="50" t="n">
        <x:v>73</x:v>
      </x:c>
      <x:c r="F1310" s="37" t="n">
        <x:v>0.055341055341055344</x:v>
      </x:c>
      <x:c r="G1310" s="37" t="n">
        <x:v>0.03131703131703132</x:v>
      </x:c>
      <x:c r="H1310" s="56" t="n">
        <x:v>2383.45</x:v>
      </x:c>
      <x:c r="I1310" s="56" t="n">
        <x:v>0.122</x:v>
      </x:c>
      <x:c r="J1310" s="56" t="n">
        <x:v>12.88509364187587</x:v>
      </x:c>
      <x:c r="K1310" s="56" t="n">
        <x:v>49.327640462813804</x:v>
      </x:c>
      <x:c r="L1310" s="56" t="n">
        <x:v>72.61091494687686</x:v>
      </x:c>
    </x:row>
    <x:row r="1311" ht="32.400001525878906" hidden="0" customHeight="1">
      <x:c r="A1311" s="29" t="str">
        <x:v>Miami-Dade County, Florida</x:v>
      </x:c>
      <x:c r="B1311" s="29" t="str">
        <x:v>12086003922</x:v>
      </x:c>
      <x:c r="C1311" s="51" t="n">
        <x:v>2256</x:v>
      </x:c>
      <x:c r="D1311" s="51" t="n">
        <x:v>257</x:v>
      </x:c>
      <x:c r="E1311" s="51" t="n">
        <x:v>82</x:v>
      </x:c>
      <x:c r="F1311" s="38" t="n">
        <x:v>0.11391843971631206</x:v>
      </x:c>
      <x:c r="G1311" s="38" t="n">
        <x:v>0.03634751773049645</x:v>
      </x:c>
      <x:c r="H1311" s="57" t="n">
        <x:v>2354.15</x:v>
      </x:c>
      <x:c r="I1311" s="57" t="n">
        <x:v>0.113</x:v>
      </x:c>
      <x:c r="J1311" s="57" t="n">
        <x:v>11.64323944118478</x:v>
      </x:c>
      <x:c r="K1311" s="57" t="n">
        <x:v>47.46485916177717</x:v>
      </x:c>
      <x:c r="L1311" s="57" t="n">
        <x:v>69.94979880253882</x:v>
      </x:c>
    </x:row>
    <x:row r="1312" ht="32.400001525878906" hidden="0" customHeight="1">
      <x:c r="A1312" s="27" t="str">
        <x:v>Miami-Dade County, Florida</x:v>
      </x:c>
      <x:c r="B1312" s="27" t="str">
        <x:v>12086004000</x:v>
      </x:c>
      <x:c r="C1312" s="50" t="n">
        <x:v>5430</x:v>
      </x:c>
      <x:c r="D1312" s="50" t="n">
        <x:v>397</x:v>
      </x:c>
      <x:c r="E1312" s="50" t="n">
        <x:v>166</x:v>
      </x:c>
      <x:c r="F1312" s="37" t="n">
        <x:v>0.07311233885819521</x:v>
      </x:c>
      <x:c r="G1312" s="37" t="n">
        <x:v>0.030570902394106814</x:v>
      </x:c>
      <x:c r="H1312" s="56" t="n">
        <x:v>5585.55</x:v>
      </x:c>
      <x:c r="I1312" s="56" t="n">
        <x:v>1.045</x:v>
      </x:c>
      <x:c r="J1312" s="56" t="n">
        <x:v>6.808159294327683</x:v>
      </x:c>
      <x:c r="K1312" s="56" t="n">
        <x:v>40.21223894149152</x:v>
      </x:c>
      <x:c r="L1312" s="56" t="n">
        <x:v>59.58891277355932</x:v>
      </x:c>
    </x:row>
    <x:row r="1313" ht="32.400001525878906" hidden="0" customHeight="1">
      <x:c r="A1313" s="29" t="str">
        <x:v>Miami-Dade County, Florida</x:v>
      </x:c>
      <x:c r="B1313" s="29" t="str">
        <x:v>12086004102</x:v>
      </x:c>
      <x:c r="C1313" s="51" t="n">
        <x:v>2200</x:v>
      </x:c>
      <x:c r="D1313" s="51" t="n">
        <x:v>170</x:v>
      </x:c>
      <x:c r="E1313" s="51" t="n">
        <x:v>49</x:v>
      </x:c>
      <x:c r="F1313" s="38" t="n">
        <x:v>0.07727272727272727</x:v>
      </x:c>
      <x:c r="G1313" s="38" t="n">
        <x:v>0.022272727272727274</x:v>
      </x:c>
      <x:c r="H1313" s="57" t="n">
        <x:v>2264.4</x:v>
      </x:c>
      <x:c r="I1313" s="57" t="n">
        <x:v>0.617</x:v>
      </x:c>
      <x:c r="J1313" s="57" t="n">
        <x:v>5.335397212849679</x:v>
      </x:c>
      <x:c r="K1313" s="57" t="n">
        <x:v>38.00309581927452</x:v>
      </x:c>
      <x:c r="L1313" s="57" t="n">
        <x:v>56.432994027535024</x:v>
      </x:c>
    </x:row>
    <x:row r="1314" ht="32.400001525878906" hidden="0" customHeight="1">
      <x:c r="A1314" s="27" t="str">
        <x:v>Miami-Dade County, Florida</x:v>
      </x:c>
      <x:c r="B1314" s="27" t="str">
        <x:v>12086004103</x:v>
      </x:c>
      <x:c r="C1314" s="50" t="n">
        <x:v>2133</x:v>
      </x:c>
      <x:c r="D1314" s="50" t="n">
        <x:v>326</x:v>
      </x:c>
      <x:c r="E1314" s="50" t="n">
        <x:v>478</x:v>
      </x:c>
      <x:c r="F1314" s="37" t="n">
        <x:v>0.15283638068448194</x:v>
      </x:c>
      <x:c r="G1314" s="37" t="n">
        <x:v>0.22409751523675575</x:v>
      </x:c>
      <x:c r="H1314" s="56" t="n">
        <x:v>2294.9</x:v>
      </x:c>
      <x:c r="I1314" s="56" t="n">
        <x:v>0.139</x:v>
      </x:c>
      <x:c r="J1314" s="56" t="n">
        <x:v>9.965779190438312</x:v>
      </x:c>
      <x:c r="K1314" s="56" t="n">
        <x:v>44.94866878565747</x:v>
      </x:c>
      <x:c r="L1314" s="56" t="n">
        <x:v>66.35524112236781</x:v>
      </x:c>
    </x:row>
    <x:row r="1315" ht="32.400001525878906" hidden="0" customHeight="1">
      <x:c r="A1315" s="29" t="str">
        <x:v>Miami-Dade County, Florida</x:v>
      </x:c>
      <x:c r="B1315" s="29" t="str">
        <x:v>12086004105</x:v>
      </x:c>
      <x:c r="C1315" s="51" t="n">
        <x:v>2195</x:v>
      </x:c>
      <x:c r="D1315" s="51" t="n">
        <x:v>88</x:v>
      </x:c>
      <x:c r="E1315" s="51" t="n">
        <x:v>603</x:v>
      </x:c>
      <x:c r="F1315" s="38" t="n">
        <x:v>0.04009111617312073</x:v>
      </x:c>
      <x:c r="G1315" s="38" t="n">
        <x:v>0.2747152619589977</x:v>
      </x:c>
      <x:c r="H1315" s="57" t="n">
        <x:v>2286.1</x:v>
      </x:c>
      <x:c r="I1315" s="57" t="n">
        <x:v>0.19</x:v>
      </x:c>
      <x:c r="J1315" s="57" t="n">
        <x:v>9.218059195672698</x:v>
      </x:c>
      <x:c r="K1315" s="57" t="n">
        <x:v>43.82708879350905</x:v>
      </x:c>
      <x:c r="L1315" s="57" t="n">
        <x:v>64.75298399072722</x:v>
      </x:c>
    </x:row>
    <x:row r="1316" ht="32.400001525878906" hidden="0" customHeight="1">
      <x:c r="A1316" s="27" t="str">
        <x:v>Miami-Dade County, Florida</x:v>
      </x:c>
      <x:c r="B1316" s="27" t="str">
        <x:v>12086004106</x:v>
      </x:c>
      <x:c r="C1316" s="50" t="n">
        <x:v>3089</x:v>
      </x:c>
      <x:c r="D1316" s="50" t="n">
        <x:v>121</x:v>
      </x:c>
      <x:c r="E1316" s="50" t="n">
        <x:v>345.5</x:v>
      </x:c>
      <x:c r="F1316" s="37" t="n">
        <x:v>0.03917125283263192</x:v>
      </x:c>
      <x:c r="G1316" s="37" t="n">
        <x:v>0.11184849465846552</x:v>
      </x:c>
      <x:c r="H1316" s="56" t="n">
        <x:v>3165.9000000000005</x:v>
      </x:c>
      <x:c r="I1316" s="56" t="n">
        <x:v>0.847</x:v>
      </x:c>
      <x:c r="J1316" s="56" t="n">
        <x:v>6.854928036415983</x:v>
      </x:c>
      <x:c r="K1316" s="56" t="n">
        <x:v>40.282392054623976</x:v>
      </x:c>
      <x:c r="L1316" s="56" t="n">
        <x:v>59.689131506605676</x:v>
      </x:c>
    </x:row>
    <x:row r="1317" ht="32.400001525878906" hidden="0" customHeight="1">
      <x:c r="A1317" s="29" t="str">
        <x:v>Miami-Dade County, Florida</x:v>
      </x:c>
      <x:c r="B1317" s="29" t="str">
        <x:v>12086004204</x:v>
      </x:c>
      <x:c r="C1317" s="51" t="n">
        <x:v>2069</x:v>
      </x:c>
      <x:c r="D1317" s="51" t="n">
        <x:v>157</x:v>
      </x:c>
      <x:c r="E1317" s="51" t="n">
        <x:v>853</x:v>
      </x:c>
      <x:c r="F1317" s="38" t="n">
        <x:v>0.07588206863218946</x:v>
      </x:c>
      <x:c r="G1317" s="38" t="n">
        <x:v>0.4122764620589657</x:v>
      </x:c>
      <x:c r="H1317" s="57" t="n">
        <x:v>2209.25</x:v>
      </x:c>
      <x:c r="I1317" s="57" t="n">
        <x:v>0.148</x:v>
      </x:c>
      <x:c r="J1317" s="57" t="n">
        <x:v>6.962681444184115</x:v>
      </x:c>
      <x:c r="K1317" s="57" t="n">
        <x:v>40.44402216627617</x:v>
      </x:c>
      <x:c r="L1317" s="57" t="n">
        <x:v>59.92003166610882</x:v>
      </x:c>
    </x:row>
    <x:row r="1318" ht="32.400001525878906" hidden="0" customHeight="1">
      <x:c r="A1318" s="27" t="str">
        <x:v>Miami-Dade County, Florida</x:v>
      </x:c>
      <x:c r="B1318" s="27" t="str">
        <x:v>12086004205</x:v>
      </x:c>
      <x:c r="C1318" s="50" t="n">
        <x:v>1892</x:v>
      </x:c>
      <x:c r="D1318" s="50" t="n">
        <x:v>150</x:v>
      </x:c>
      <x:c r="E1318" s="50" t="n">
        <x:v>861</x:v>
      </x:c>
      <x:c r="F1318" s="37" t="n">
        <x:v>0.07928118393234672</x:v>
      </x:c>
      <x:c r="G1318" s="37" t="n">
        <x:v>0.4550739957716702</x:v>
      </x:c>
      <x:c r="H1318" s="56" t="n">
        <x:v>2030.6000000000001</x:v>
      </x:c>
      <x:c r="I1318" s="56" t="n">
        <x:v>0.142</x:v>
      </x:c>
      <x:c r="J1318" s="56" t="n">
        <x:v>8.381875790910449</x:v>
      </x:c>
      <x:c r="K1318" s="56" t="n">
        <x:v>42.57281368636568</x:v>
      </x:c>
      <x:c r="L1318" s="56" t="n">
        <x:v>62.96116240909382</x:v>
      </x:c>
    </x:row>
    <x:row r="1319" ht="32.400001525878906" hidden="0" customHeight="1">
      <x:c r="A1319" s="29" t="str">
        <x:v>Miami-Dade County, Florida</x:v>
      </x:c>
      <x:c r="B1319" s="29" t="str">
        <x:v>12086004206</x:v>
      </x:c>
      <x:c r="C1319" s="51" t="n">
        <x:v>2012</x:v>
      </x:c>
      <x:c r="D1319" s="51" t="n">
        <x:v>251</x:v>
      </x:c>
      <x:c r="E1319" s="51" t="n">
        <x:v>231</x:v>
      </x:c>
      <x:c r="F1319" s="38" t="n">
        <x:v>0.12475149105367793</x:v>
      </x:c>
      <x:c r="G1319" s="38" t="n">
        <x:v>0.11481113320079522</x:v>
      </x:c>
      <x:c r="H1319" s="57" t="n">
        <x:v>2122.9500000000003</x:v>
      </x:c>
      <x:c r="I1319" s="57" t="n">
        <x:v>0.332</x:v>
      </x:c>
      <x:c r="J1319" s="57" t="n">
        <x:v>8.707631622145634</x:v>
      </x:c>
      <x:c r="K1319" s="57" t="n">
        <x:v>43.06144743321845</x:v>
      </x:c>
      <x:c r="L1319" s="57" t="n">
        <x:v>63.6592106188835</x:v>
      </x:c>
    </x:row>
    <x:row r="1320" ht="32.400001525878906" hidden="0" customHeight="1">
      <x:c r="A1320" s="27" t="str">
        <x:v>Miami-Dade County, Florida</x:v>
      </x:c>
      <x:c r="B1320" s="27" t="str">
        <x:v>12086004207</x:v>
      </x:c>
      <x:c r="C1320" s="50" t="n">
        <x:v>1823</x:v>
      </x:c>
      <x:c r="D1320" s="50" t="n">
        <x:v>162</x:v>
      </x:c>
      <x:c r="E1320" s="50" t="n">
        <x:v>288</x:v>
      </x:c>
      <x:c r="F1320" s="37" t="n">
        <x:v>0.08886450905101481</x:v>
      </x:c>
      <x:c r="G1320" s="37" t="n">
        <x:v>0.15798134942402633</x:v>
      </x:c>
      <x:c r="H1320" s="56" t="n">
        <x:v>1908.4999999999998</x:v>
      </x:c>
      <x:c r="I1320" s="56" t="n">
        <x:v>0.045</x:v>
      </x:c>
      <x:c r="J1320" s="56" t="n">
        <x:v>6.33902520804882</x:v>
      </x:c>
      <x:c r="K1320" s="56" t="n">
        <x:v>39.50853781207323</x:v>
      </x:c>
      <x:c r="L1320" s="56" t="n">
        <x:v>58.583625445818896</x:v>
      </x:c>
    </x:row>
    <x:row r="1321" ht="32.400001525878906" hidden="0" customHeight="1">
      <x:c r="A1321" s="29" t="str">
        <x:v>Miami-Dade County, Florida</x:v>
      </x:c>
      <x:c r="B1321" s="29" t="str">
        <x:v>12086004208</x:v>
      </x:c>
      <x:c r="C1321" s="51" t="n">
        <x:v>1290</x:v>
      </x:c>
      <x:c r="D1321" s="51" t="n">
        <x:v>319</x:v>
      </x:c>
      <x:c r="E1321" s="51" t="n">
        <x:v>230</x:v>
      </x:c>
      <x:c r="F1321" s="38" t="n">
        <x:v>0.24728682170542635</x:v>
      </x:c>
      <x:c r="G1321" s="38" t="n">
        <x:v>0.17829457364341086</x:v>
      </x:c>
      <x:c r="H1321" s="57" t="n">
        <x:v>1424.65</x:v>
      </x:c>
      <x:c r="I1321" s="57" t="n">
        <x:v>0.046</x:v>
      </x:c>
      <x:c r="J1321" s="57" t="n">
        <x:v>6.478136463468669</x:v>
      </x:c>
      <x:c r="K1321" s="57" t="n">
        <x:v>39.717204695203</x:v>
      </x:c>
      <x:c r="L1321" s="57" t="n">
        <x:v>58.88172099314715</x:v>
      </x:c>
    </x:row>
    <x:row r="1322" ht="32.400001525878906" hidden="0" customHeight="1">
      <x:c r="A1322" s="27" t="str">
        <x:v>Miami-Dade County, Florida</x:v>
      </x:c>
      <x:c r="B1322" s="27" t="str">
        <x:v>12086004301</x:v>
      </x:c>
      <x:c r="C1322" s="50" t="n">
        <x:v>2686</x:v>
      </x:c>
      <x:c r="D1322" s="50" t="n">
        <x:v>144</x:v>
      </x:c>
      <x:c r="E1322" s="50" t="n">
        <x:v>324</x:v>
      </x:c>
      <x:c r="F1322" s="37" t="n">
        <x:v>0.05361131794489948</x:v>
      </x:c>
      <x:c r="G1322" s="37" t="n">
        <x:v>0.12062546537602382</x:v>
      </x:c>
      <x:c r="H1322" s="56" t="n">
        <x:v>2768.8</x:v>
      </x:c>
      <x:c r="I1322" s="56" t="n">
        <x:v>0.051</x:v>
      </x:c>
      <x:c r="J1322" s="56" t="n">
        <x:v>6.531452366733104</x:v>
      </x:c>
      <x:c r="K1322" s="56" t="n">
        <x:v>39.79717855009966</x:v>
      </x:c>
      <x:c r="L1322" s="56" t="n">
        <x:v>58.99596935728522</x:v>
      </x:c>
    </x:row>
    <x:row r="1323" ht="32.400001525878906" hidden="0" customHeight="1">
      <x:c r="A1323" s="29" t="str">
        <x:v>Miami-Dade County, Florida</x:v>
      </x:c>
      <x:c r="B1323" s="29" t="str">
        <x:v>12086004303</x:v>
      </x:c>
      <x:c r="C1323" s="51" t="n">
        <x:v>2743</x:v>
      </x:c>
      <x:c r="D1323" s="51" t="n">
        <x:v>173</x:v>
      </x:c>
      <x:c r="E1323" s="51" t="n">
        <x:v>1282</x:v>
      </x:c>
      <x:c r="F1323" s="38" t="n">
        <x:v>0.06306963179001093</x:v>
      </x:c>
      <x:c r="G1323" s="38" t="n">
        <x:v>0.46737149106817355</x:v>
      </x:c>
      <x:c r="H1323" s="57" t="n">
        <x:v>2931.7500000000005</x:v>
      </x:c>
      <x:c r="I1323" s="57" t="n">
        <x:v>0.167</x:v>
      </x:c>
      <x:c r="J1323" s="57" t="n">
        <x:v>8.310594251890505</x:v>
      </x:c>
      <x:c r="K1323" s="57" t="n">
        <x:v>42.46589137783576</x:v>
      </x:c>
      <x:c r="L1323" s="57" t="n">
        <x:v>62.80841625405108</x:v>
      </x:c>
    </x:row>
    <x:row r="1324" ht="32.400001525878906" hidden="0" customHeight="1">
      <x:c r="A1324" s="27" t="str">
        <x:v>Miami-Dade County, Florida</x:v>
      </x:c>
      <x:c r="B1324" s="27" t="str">
        <x:v>12086004304</x:v>
      </x:c>
      <x:c r="C1324" s="50" t="n">
        <x:v>2207</x:v>
      </x:c>
      <x:c r="D1324" s="50" t="n">
        <x:v>114</x:v>
      </x:c>
      <x:c r="E1324" s="50" t="n">
        <x:v>516</x:v>
      </x:c>
      <x:c r="F1324" s="37" t="n">
        <x:v>0.051653828726778435</x:v>
      </x:c>
      <x:c r="G1324" s="37" t="n">
        <x:v>0.2338015405527866</x:v>
      </x:c>
      <x:c r="H1324" s="56" t="n">
        <x:v>2298.5000000000005</x:v>
      </x:c>
      <x:c r="I1324" s="56" t="n">
        <x:v>0.191</x:v>
      </x:c>
      <x:c r="J1324" s="56" t="n">
        <x:v>7.039808805460296</x:v>
      </x:c>
      <x:c r="K1324" s="56" t="n">
        <x:v>40.559713208190445</x:v>
      </x:c>
      <x:c r="L1324" s="56" t="n">
        <x:v>60.0853045831292</x:v>
      </x:c>
    </x:row>
    <x:row r="1325" ht="32.400001525878906" hidden="0" customHeight="1">
      <x:c r="A1325" s="29" t="str">
        <x:v>Miami-Dade County, Florida</x:v>
      </x:c>
      <x:c r="B1325" s="29" t="str">
        <x:v>12086004403</x:v>
      </x:c>
      <x:c r="C1325" s="51" t="n">
        <x:v>2493</x:v>
      </x:c>
      <x:c r="D1325" s="51" t="n">
        <x:v>269</x:v>
      </x:c>
      <x:c r="E1325" s="51" t="n">
        <x:v>536</x:v>
      </x:c>
      <x:c r="F1325" s="38" t="n">
        <x:v>0.10790212595266747</x:v>
      </x:c>
      <x:c r="G1325" s="38" t="n">
        <x:v>0.21500200561572402</x:v>
      </x:c>
      <x:c r="H1325" s="57" t="n">
        <x:v>2640.7499999999995</x:v>
      </x:c>
      <x:c r="I1325" s="57" t="n">
        <x:v>0.126</x:v>
      </x:c>
      <x:c r="J1325" s="57" t="n">
        <x:v>7.697901828426243</x:v>
      </x:c>
      <x:c r="K1325" s="57" t="n">
        <x:v>41.546852742639366</x:v>
      </x:c>
      <x:c r="L1325" s="57" t="n">
        <x:v>61.49550391805624</x:v>
      </x:c>
    </x:row>
    <x:row r="1326" ht="32.400001525878906" hidden="0" customHeight="1">
      <x:c r="A1326" s="27" t="str">
        <x:v>Miami-Dade County, Florida</x:v>
      </x:c>
      <x:c r="B1326" s="27" t="str">
        <x:v>12086004404</x:v>
      </x:c>
      <x:c r="C1326" s="50" t="n">
        <x:v>1960</x:v>
      </x:c>
      <x:c r="D1326" s="50" t="n">
        <x:v>375</x:v>
      </x:c>
      <x:c r="E1326" s="50" t="n">
        <x:v>682</x:v>
      </x:c>
      <x:c r="F1326" s="37" t="n">
        <x:v>0.1913265306122449</x:v>
      </x:c>
      <x:c r="G1326" s="37" t="n">
        <x:v>0.3479591836734694</x:v>
      </x:c>
      <x:c r="H1326" s="56" t="n">
        <x:v>2159.4500000000003</x:v>
      </x:c>
      <x:c r="I1326" s="56" t="n">
        <x:v>0.156</x:v>
      </x:c>
      <x:c r="J1326" s="56" t="n">
        <x:v>8.075109966074477</x:v>
      </x:c>
      <x:c r="K1326" s="56" t="n">
        <x:v>42.11266494911172</x:v>
      </x:c>
      <x:c r="L1326" s="56" t="n">
        <x:v>62.30380707015959</x:v>
      </x:c>
    </x:row>
    <x:row r="1327" ht="32.400001525878906" hidden="0" customHeight="1">
      <x:c r="A1327" s="29" t="str">
        <x:v>Miami-Dade County, Florida</x:v>
      </x:c>
      <x:c r="B1327" s="29" t="str">
        <x:v>12086004405</x:v>
      </x:c>
      <x:c r="C1327" s="51" t="n">
        <x:v>2856</x:v>
      </x:c>
      <x:c r="D1327" s="51" t="n">
        <x:v>468</x:v>
      </x:c>
      <x:c r="E1327" s="51" t="n">
        <x:v>1173</x:v>
      </x:c>
      <x:c r="F1327" s="38" t="n">
        <x:v>0.1638655462184874</x:v>
      </x:c>
      <x:c r="G1327" s="38" t="n">
        <x:v>0.4107142857142857</x:v>
      </x:c>
      <x:c r="H1327" s="57" t="n">
        <x:v>3137.1000000000004</x:v>
      </x:c>
      <x:c r="I1327" s="57" t="n">
        <x:v>0.136</x:v>
      </x:c>
      <x:c r="J1327" s="57" t="n">
        <x:v>7.185520555433896</x:v>
      </x:c>
      <x:c r="K1327" s="57" t="n">
        <x:v>40.778280833150845</x:v>
      </x:c>
      <x:c r="L1327" s="57" t="n">
        <x:v>60.39754404735835</x:v>
      </x:c>
    </x:row>
    <x:row r="1328" ht="32.400001525878906" hidden="0" customHeight="1">
      <x:c r="A1328" s="27" t="str">
        <x:v>Miami-Dade County, Florida</x:v>
      </x:c>
      <x:c r="B1328" s="27" t="str">
        <x:v>12086004406</x:v>
      </x:c>
      <x:c r="C1328" s="50" t="n">
        <x:v>2314</x:v>
      </x:c>
      <x:c r="D1328" s="50" t="n">
        <x:v>227</x:v>
      </x:c>
      <x:c r="E1328" s="50" t="n">
        <x:v>449</x:v>
      </x:c>
      <x:c r="F1328" s="37" t="n">
        <x:v>0.09809853068280035</x:v>
      </x:c>
      <x:c r="G1328" s="37" t="n">
        <x:v>0.19403630077787382</x:v>
      </x:c>
      <x:c r="H1328" s="56" t="n">
        <x:v>2438.3499999999995</x:v>
      </x:c>
      <x:c r="I1328" s="56" t="n">
        <x:v>0.075</x:v>
      </x:c>
      <x:c r="J1328" s="56" t="n">
        <x:v>6.700299953675881</x:v>
      </x:c>
      <x:c r="K1328" s="56" t="n">
        <x:v>40.05044993051382</x:v>
      </x:c>
      <x:c r="L1328" s="56" t="n">
        <x:v>59.35778561501974</x:v>
      </x:c>
    </x:row>
    <x:row r="1329" ht="32.400001525878906" hidden="0" customHeight="1">
      <x:c r="A1329" s="29" t="str">
        <x:v>Miami-Dade County, Florida</x:v>
      </x:c>
      <x:c r="B1329" s="29" t="str">
        <x:v>12086004500</x:v>
      </x:c>
      <x:c r="C1329" s="51" t="n">
        <x:v>4153</x:v>
      </x:c>
      <x:c r="D1329" s="51" t="n">
        <x:v>535</x:v>
      </x:c>
      <x:c r="E1329" s="51" t="n">
        <x:v>356</x:v>
      </x:c>
      <x:c r="F1329" s="38" t="n">
        <x:v>0.128822537924392</x:v>
      </x:c>
      <x:c r="G1329" s="38" t="n">
        <x:v>0.08572116542258608</x:v>
      </x:c>
      <x:c r="H1329" s="57" t="n">
        <x:v>4375.85</x:v>
      </x:c>
      <x:c r="I1329" s="57" t="n">
        <x:v>0.549</x:v>
      </x:c>
      <x:c r="J1329" s="57" t="n">
        <x:v>7.808813772857586</x:v>
      </x:c>
      <x:c r="K1329" s="57" t="n">
        <x:v>41.71322065928638</x:v>
      </x:c>
      <x:c r="L1329" s="57" t="n">
        <x:v>61.73317237040911</x:v>
      </x:c>
    </x:row>
    <x:row r="1330" ht="32.400001525878906" hidden="0" customHeight="1">
      <x:c r="A1330" s="27" t="str">
        <x:v>Miami-Dade County, Florida</x:v>
      </x:c>
      <x:c r="B1330" s="27" t="str">
        <x:v>12086004602</x:v>
      </x:c>
      <x:c r="C1330" s="50" t="n">
        <x:v>4513</x:v>
      </x:c>
      <x:c r="D1330" s="50" t="n">
        <x:v>74</x:v>
      </x:c>
      <x:c r="E1330" s="50" t="n">
        <x:v>0</x:v>
      </x:c>
      <x:c r="F1330" s="37" t="n">
        <x:v>0.016397075116330602</x:v>
      </x:c>
      <x:c r="G1330" s="37" t="n">
        <x:v>0</x:v>
      </x:c>
      <x:c r="H1330" s="56" t="n">
        <x:v>4538.9</x:v>
      </x:c>
      <x:c r="I1330" s="56" t="n">
        <x:v>1.325</x:v>
      </x:c>
      <x:c r="J1330" s="56" t="n">
        <x:v>16.94597562708076</x:v>
      </x:c>
      <x:c r="K1330" s="56" t="n">
        <x:v>55.41896344062114</x:v>
      </x:c>
      <x:c r="L1330" s="56" t="n">
        <x:v>81.31280491517305</x:v>
      </x:c>
    </x:row>
    <x:row r="1331" ht="32.400001525878906" hidden="0" customHeight="1">
      <x:c r="A1331" s="29" t="str">
        <x:v>Miami-Dade County, Florida</x:v>
      </x:c>
      <x:c r="B1331" s="29" t="str">
        <x:v>12086004605</x:v>
      </x:c>
      <x:c r="C1331" s="51" t="n">
        <x:v>3718</x:v>
      </x:c>
      <x:c r="D1331" s="51" t="n">
        <x:v>257</x:v>
      </x:c>
      <x:c r="E1331" s="51" t="n">
        <x:v>75</x:v>
      </x:c>
      <x:c r="F1331" s="38" t="n">
        <x:v>0.06912318450779989</x:v>
      </x:c>
      <x:c r="G1331" s="38" t="n">
        <x:v>0.02017213555675094</x:v>
      </x:c>
      <x:c r="H1331" s="57" t="n">
        <x:v>3815.45</x:v>
      </x:c>
      <x:c r="I1331" s="57" t="n">
        <x:v>0.128</x:v>
      </x:c>
      <x:c r="J1331" s="57" t="n">
        <x:v>13.785141979027678</x:v>
      </x:c>
      <x:c r="K1331" s="57" t="n">
        <x:v>50.67771296854151</x:v>
      </x:c>
      <x:c r="L1331" s="57" t="n">
        <x:v>74.53958995505931</x:v>
      </x:c>
    </x:row>
    <x:row r="1332" ht="32.400001525878906" hidden="0" customHeight="1">
      <x:c r="A1332" s="27" t="str">
        <x:v>Miami-Dade County, Florida</x:v>
      </x:c>
      <x:c r="B1332" s="27" t="str">
        <x:v>12086004607</x:v>
      </x:c>
      <x:c r="C1332" s="50" t="n">
        <x:v>4418</x:v>
      </x:c>
      <x:c r="D1332" s="50" t="n">
        <x:v>321</x:v>
      </x:c>
      <x:c r="E1332" s="50" t="n">
        <x:v>0</x:v>
      </x:c>
      <x:c r="F1332" s="37" t="n">
        <x:v>0.0726573110004527</x:v>
      </x:c>
      <x:c r="G1332" s="37" t="n">
        <x:v>0</x:v>
      </x:c>
      <x:c r="H1332" s="56" t="n">
        <x:v>4530.349999999999</x:v>
      </x:c>
      <x:c r="I1332" s="56" t="n">
        <x:v>0.256</x:v>
      </x:c>
      <x:c r="J1332" s="56" t="n">
        <x:v>15.518309252623517</x:v>
      </x:c>
      <x:c r="K1332" s="56" t="n">
        <x:v>53.27746387893528</x:v>
      </x:c>
      <x:c r="L1332" s="56" t="n">
        <x:v>78.2535198270504</x:v>
      </x:c>
    </x:row>
    <x:row r="1333" ht="32.400001525878906" hidden="0" customHeight="1">
      <x:c r="A1333" s="29" t="str">
        <x:v>Miami-Dade County, Florida</x:v>
      </x:c>
      <x:c r="B1333" s="29" t="str">
        <x:v>12086004608</x:v>
      </x:c>
      <x:c r="C1333" s="51" t="n">
        <x:v>2142</x:v>
      </x:c>
      <x:c r="D1333" s="51" t="n">
        <x:v>106</x:v>
      </x:c>
      <x:c r="E1333" s="51" t="n">
        <x:v>101</x:v>
      </x:c>
      <x:c r="F1333" s="38" t="n">
        <x:v>0.04948646125116713</x:v>
      </x:c>
      <x:c r="G1333" s="38" t="n">
        <x:v>0.04715219421101774</x:v>
      </x:c>
      <x:c r="H1333" s="57" t="n">
        <x:v>2189.2</x:v>
      </x:c>
      <x:c r="I1333" s="57" t="n">
        <x:v>0.084</x:v>
      </x:c>
      <x:c r="J1333" s="57" t="n">
        <x:v>15.054517468358556</x:v>
      </x:c>
      <x:c r="K1333" s="57" t="n">
        <x:v>52.58177620253783</x:v>
      </x:c>
      <x:c r="L1333" s="57" t="n">
        <x:v>77.25968028933977</x:v>
      </x:c>
    </x:row>
    <x:row r="1334" ht="32.400001525878906" hidden="0" customHeight="1">
      <x:c r="A1334" s="27" t="str">
        <x:v>Miami-Dade County, Florida</x:v>
      </x:c>
      <x:c r="B1334" s="27" t="str">
        <x:v>12086004701</x:v>
      </x:c>
      <x:c r="C1334" s="50" t="n">
        <x:v>5117</x:v>
      </x:c>
      <x:c r="D1334" s="50" t="n">
        <x:v>528</x:v>
      </x:c>
      <x:c r="E1334" s="50" t="n">
        <x:v>349.5</x:v>
      </x:c>
      <x:c r="F1334" s="37" t="n">
        <x:v>0.10318546023060388</x:v>
      </x:c>
      <x:c r="G1334" s="37" t="n">
        <x:v>0.06830173930037131</x:v>
      </x:c>
      <x:c r="H1334" s="56" t="n">
        <x:v>5336.75</x:v>
      </x:c>
      <x:c r="I1334" s="56" t="n">
        <x:v>1.073</x:v>
      </x:c>
      <x:c r="J1334" s="56" t="n">
        <x:v>15.63795729407413</x:v>
      </x:c>
      <x:c r="K1334" s="56" t="n">
        <x:v>53.4569359411112</x:v>
      </x:c>
      <x:c r="L1334" s="56" t="n">
        <x:v>78.50990848730171</x:v>
      </x:c>
    </x:row>
    <x:row r="1335" ht="32.400001525878906" hidden="0" customHeight="1">
      <x:c r="A1335" s="29" t="str">
        <x:v>Miami-Dade County, Florida</x:v>
      </x:c>
      <x:c r="B1335" s="29" t="str">
        <x:v>12086004703</x:v>
      </x:c>
      <x:c r="C1335" s="51" t="n">
        <x:v>4732</x:v>
      </x:c>
      <x:c r="D1335" s="51" t="n">
        <x:v>433</x:v>
      </x:c>
      <x:c r="E1335" s="51" t="n">
        <x:v>95</x:v>
      </x:c>
      <x:c r="F1335" s="38" t="n">
        <x:v>0.09150464919695689</x:v>
      </x:c>
      <x:c r="G1335" s="38" t="n">
        <x:v>0.02007607776838546</x:v>
      </x:c>
      <x:c r="H1335" s="57" t="n">
        <x:v>4893.05</x:v>
      </x:c>
      <x:c r="I1335" s="57" t="n">
        <x:v>0.829</x:v>
      </x:c>
      <x:c r="J1335" s="57" t="n">
        <x:v>12.524501389502282</x:v>
      </x:c>
      <x:c r="K1335" s="57" t="n">
        <x:v>48.78675208425342</x:v>
      </x:c>
      <x:c r="L1335" s="57" t="n">
        <x:v>71.83821726321918</x:v>
      </x:c>
    </x:row>
    <x:row r="1336" ht="32.400001525878906" hidden="0" customHeight="1">
      <x:c r="A1336" s="27" t="str">
        <x:v>Miami-Dade County, Florida</x:v>
      </x:c>
      <x:c r="B1336" s="27" t="str">
        <x:v>12086004704</x:v>
      </x:c>
      <x:c r="C1336" s="50" t="n">
        <x:v>2423</x:v>
      </x:c>
      <x:c r="D1336" s="50" t="n">
        <x:v>188</x:v>
      </x:c>
      <x:c r="E1336" s="50" t="n">
        <x:v>0</x:v>
      </x:c>
      <x:c r="F1336" s="37" t="n">
        <x:v>0.07758976475443664</x:v>
      </x:c>
      <x:c r="G1336" s="37" t="n">
        <x:v>0</x:v>
      </x:c>
      <x:c r="H1336" s="56" t="n">
        <x:v>2488.8</x:v>
      </x:c>
      <x:c r="I1336" s="56" t="n">
        <x:v>0.294</x:v>
      </x:c>
      <x:c r="J1336" s="56" t="n">
        <x:v>14.912128280718429</x:v>
      </x:c>
      <x:c r="K1336" s="56" t="n">
        <x:v>52.368192421077644</x:v>
      </x:c>
      <x:c r="L1336" s="56" t="n">
        <x:v>76.9545606015395</x:v>
      </x:c>
    </x:row>
    <x:row r="1337" ht="32.400001525878906" hidden="0" customHeight="1">
      <x:c r="A1337" s="29" t="str">
        <x:v>Miami-Dade County, Florida</x:v>
      </x:c>
      <x:c r="B1337" s="29" t="str">
        <x:v>12086004705</x:v>
      </x:c>
      <x:c r="C1337" s="51" t="n">
        <x:v>3576</x:v>
      </x:c>
      <x:c r="D1337" s="51" t="n">
        <x:v>200</x:v>
      </x:c>
      <x:c r="E1337" s="51" t="n">
        <x:v>89</x:v>
      </x:c>
      <x:c r="F1337" s="38" t="n">
        <x:v>0.05592841163310962</x:v>
      </x:c>
      <x:c r="G1337" s="38" t="n">
        <x:v>0.024888143176733782</x:v>
      </x:c>
      <x:c r="H1337" s="57" t="n">
        <x:v>3654.9</x:v>
      </x:c>
      <x:c r="I1337" s="57" t="n">
        <x:v>0.884</x:v>
      </x:c>
      <x:c r="J1337" s="57" t="n">
        <x:v>14.418743084034913</x:v>
      </x:c>
      <x:c r="K1337" s="57" t="n">
        <x:v>51.62811462605237</x:v>
      </x:c>
      <x:c r="L1337" s="57" t="n">
        <x:v>75.89730660864625</x:v>
      </x:c>
    </x:row>
    <x:row r="1338" ht="32.400001525878906" hidden="0" customHeight="1">
      <x:c r="A1338" s="27" t="str">
        <x:v>Miami-Dade County, Florida</x:v>
      </x:c>
      <x:c r="B1338" s="27" t="str">
        <x:v>12086004901</x:v>
      </x:c>
      <x:c r="C1338" s="50" t="n">
        <x:v>3662</x:v>
      </x:c>
      <x:c r="D1338" s="50" t="n">
        <x:v>424</x:v>
      </x:c>
      <x:c r="E1338" s="50" t="n">
        <x:v>342</x:v>
      </x:c>
      <x:c r="F1338" s="37" t="n">
        <x:v>0.11578372474057892</x:v>
      </x:c>
      <x:c r="G1338" s="37" t="n">
        <x:v>0.09339158929546695</x:v>
      </x:c>
      <x:c r="H1338" s="56" t="n">
        <x:v>3844.6</x:v>
      </x:c>
      <x:c r="I1338" s="56" t="n">
        <x:v>0.598</x:v>
      </x:c>
      <x:c r="J1338" s="56" t="n">
        <x:v>10.00521760904217</x:v>
      </x:c>
      <x:c r="K1338" s="56" t="n">
        <x:v>45.00782641356325</x:v>
      </x:c>
      <x:c r="L1338" s="56" t="n">
        <x:v>66.43975201937607</x:v>
      </x:c>
    </x:row>
    <x:row r="1339" ht="32.400001525878906" hidden="0" customHeight="1">
      <x:c r="A1339" s="29" t="str">
        <x:v>Miami-Dade County, Florida</x:v>
      </x:c>
      <x:c r="B1339" s="29" t="str">
        <x:v>12086004903</x:v>
      </x:c>
      <x:c r="C1339" s="51" t="n">
        <x:v>3125</x:v>
      </x:c>
      <x:c r="D1339" s="51" t="n">
        <x:v>471</x:v>
      </x:c>
      <x:c r="E1339" s="51" t="n">
        <x:v>222</x:v>
      </x:c>
      <x:c r="F1339" s="38" t="n">
        <x:v>0.15072</x:v>
      </x:c>
      <x:c r="G1339" s="38" t="n">
        <x:v>0.07104</x:v>
      </x:c>
      <x:c r="H1339" s="57" t="n">
        <x:v>3312.0499999999997</x:v>
      </x:c>
      <x:c r="I1339" s="57" t="n">
        <x:v>0.244</x:v>
      </x:c>
      <x:c r="J1339" s="57" t="n">
        <x:v>10.55953067556373</x:v>
      </x:c>
      <x:c r="K1339" s="57" t="n">
        <x:v>45.839296013345596</x:v>
      </x:c>
      <x:c r="L1339" s="57" t="n">
        <x:v>67.62756573335085</x:v>
      </x:c>
    </x:row>
    <x:row r="1340" ht="32.400001525878906" hidden="0" customHeight="1">
      <x:c r="A1340" s="27" t="str">
        <x:v>Miami-Dade County, Florida</x:v>
      </x:c>
      <x:c r="B1340" s="27" t="str">
        <x:v>12086004904</x:v>
      </x:c>
      <x:c r="C1340" s="50" t="n">
        <x:v>2810</x:v>
      </x:c>
      <x:c r="D1340" s="50" t="n">
        <x:v>505</x:v>
      </x:c>
      <x:c r="E1340" s="50" t="n">
        <x:v>79</x:v>
      </x:c>
      <x:c r="F1340" s="37" t="n">
        <x:v>0.1797153024911032</x:v>
      </x:c>
      <x:c r="G1340" s="37" t="n">
        <x:v>0.028113879003558717</x:v>
      </x:c>
      <x:c r="H1340" s="56" t="n">
        <x:v>2994.65</x:v>
      </x:c>
      <x:c r="I1340" s="56" t="n">
        <x:v>0.251</x:v>
      </x:c>
      <x:c r="J1340" s="56" t="n">
        <x:v>9.466969675283979</x:v>
      </x:c>
      <x:c r="K1340" s="56" t="n">
        <x:v>44.200454512925965</x:v>
      </x:c>
      <x:c r="L1340" s="56" t="n">
        <x:v>65.28636358989424</x:v>
      </x:c>
    </x:row>
    <x:row r="1341" ht="32.400001525878906" hidden="0" customHeight="1">
      <x:c r="A1341" s="29" t="str">
        <x:v>Miami-Dade County, Florida</x:v>
      </x:c>
      <x:c r="B1341" s="29" t="str">
        <x:v>12086005002</x:v>
      </x:c>
      <x:c r="C1341" s="51" t="n">
        <x:v>5035</x:v>
      </x:c>
      <x:c r="D1341" s="51" t="n">
        <x:v>638</x:v>
      </x:c>
      <x:c r="E1341" s="51" t="n">
        <x:v>312</x:v>
      </x:c>
      <x:c r="F1341" s="38" t="n">
        <x:v>0.12671300893743792</x:v>
      </x:c>
      <x:c r="G1341" s="38" t="n">
        <x:v>0.06196623634558093</x:v>
      </x:c>
      <x:c r="H1341" s="57" t="n">
        <x:v>5289.5</x:v>
      </x:c>
      <x:c r="I1341" s="57" t="n">
        <x:v>0.408</x:v>
      </x:c>
      <x:c r="J1341" s="57" t="n">
        <x:v>7.7663182027018935</x:v>
      </x:c>
      <x:c r="K1341" s="57" t="n">
        <x:v>41.64947730405284</x:v>
      </x:c>
      <x:c r="L1341" s="57" t="n">
        <x:v>61.6421104343612</x:v>
      </x:c>
    </x:row>
    <x:row r="1342" ht="32.400001525878906" hidden="0" customHeight="1">
      <x:c r="A1342" s="27" t="str">
        <x:v>Miami-Dade County, Florida</x:v>
      </x:c>
      <x:c r="B1342" s="27" t="str">
        <x:v>12086005003</x:v>
      </x:c>
      <x:c r="C1342" s="50" t="n">
        <x:v>3797</x:v>
      </x:c>
      <x:c r="D1342" s="50" t="n">
        <x:v>575</x:v>
      </x:c>
      <x:c r="E1342" s="50" t="n">
        <x:v>461</x:v>
      </x:c>
      <x:c r="F1342" s="37" t="n">
        <x:v>0.15143534369238873</x:v>
      </x:c>
      <x:c r="G1342" s="37" t="n">
        <x:v>0.12141164076902818</x:v>
      </x:c>
      <x:c r="H1342" s="56" t="n">
        <x:v>4044.350000000001</x:v>
      </x:c>
      <x:c r="I1342" s="56" t="n">
        <x:v>0.278</x:v>
      </x:c>
      <x:c r="J1342" s="56" t="n">
        <x:v>7.97014908211154</x:v>
      </x:c>
      <x:c r="K1342" s="56" t="n">
        <x:v>41.95522362316731</x:v>
      </x:c>
      <x:c r="L1342" s="56" t="n">
        <x:v>62.078890890239016</x:v>
      </x:c>
    </x:row>
    <x:row r="1343" ht="32.400001525878906" hidden="0" customHeight="1">
      <x:c r="A1343" s="29" t="str">
        <x:v>Miami-Dade County, Florida</x:v>
      </x:c>
      <x:c r="B1343" s="29" t="str">
        <x:v>12086005004</x:v>
      </x:c>
      <x:c r="C1343" s="51" t="n">
        <x:v>3932</x:v>
      </x:c>
      <x:c r="D1343" s="51" t="n">
        <x:v>593</x:v>
      </x:c>
      <x:c r="E1343" s="51" t="n">
        <x:v>0</x:v>
      </x:c>
      <x:c r="F1343" s="38" t="n">
        <x:v>0.15081383519837233</x:v>
      </x:c>
      <x:c r="G1343" s="38" t="n">
        <x:v>0</x:v>
      </x:c>
      <x:c r="H1343" s="57" t="n">
        <x:v>4139.55</x:v>
      </x:c>
      <x:c r="I1343" s="57" t="n">
        <x:v>0.366</x:v>
      </x:c>
      <x:c r="J1343" s="57" t="n">
        <x:v>7.664830800863521</x:v>
      </x:c>
      <x:c r="K1343" s="57" t="n">
        <x:v>41.49724620129528</x:v>
      </x:c>
      <x:c r="L1343" s="57" t="n">
        <x:v>61.424637430421825</x:v>
      </x:c>
    </x:row>
    <x:row r="1344" ht="32.400001525878906" hidden="0" customHeight="1">
      <x:c r="A1344" s="27" t="str">
        <x:v>Miami-Dade County, Florida</x:v>
      </x:c>
      <x:c r="B1344" s="27" t="str">
        <x:v>12086005102</x:v>
      </x:c>
      <x:c r="C1344" s="50" t="n">
        <x:v>5503</x:v>
      </x:c>
      <x:c r="D1344" s="50" t="n">
        <x:v>800</x:v>
      </x:c>
      <x:c r="E1344" s="50" t="n">
        <x:v>1114</x:v>
      </x:c>
      <x:c r="F1344" s="37" t="n">
        <x:v>0.1453752498637107</x:v>
      </x:c>
      <x:c r="G1344" s="37" t="n">
        <x:v>0.20243503543521715</x:v>
      </x:c>
      <x:c r="H1344" s="56" t="n">
        <x:v>5894.400000000001</x:v>
      </x:c>
      <x:c r="I1344" s="56" t="n">
        <x:v>0.38</x:v>
      </x:c>
      <x:c r="J1344" s="56" t="n">
        <x:v>4.449271578576116</x:v>
      </x:c>
      <x:c r="K1344" s="56" t="n">
        <x:v>36.673907367864174</x:v>
      </x:c>
      <x:c r="L1344" s="56" t="n">
        <x:v>54.534153382663106</x:v>
      </x:c>
    </x:row>
    <x:row r="1345" ht="32.400001525878906" hidden="0" customHeight="1">
      <x:c r="A1345" s="29" t="str">
        <x:v>Miami-Dade County, Florida</x:v>
      </x:c>
      <x:c r="B1345" s="29" t="str">
        <x:v>12086005103</x:v>
      </x:c>
      <x:c r="C1345" s="51" t="n">
        <x:v>2608</x:v>
      </x:c>
      <x:c r="D1345" s="51" t="n">
        <x:v>346</x:v>
      </x:c>
      <x:c r="E1345" s="51" t="n">
        <x:v>199</x:v>
      </x:c>
      <x:c r="F1345" s="38" t="n">
        <x:v>0.13266871165644173</x:v>
      </x:c>
      <x:c r="G1345" s="38" t="n">
        <x:v>0.0763036809815951</x:v>
      </x:c>
      <x:c r="H1345" s="57" t="n">
        <x:v>2749</x:v>
      </x:c>
      <x:c r="I1345" s="57" t="n">
        <x:v>0.126</x:v>
      </x:c>
      <x:c r="J1345" s="57" t="n">
        <x:v>6.080229385547022</x:v>
      </x:c>
      <x:c r="K1345" s="57" t="n">
        <x:v>39.12034407832053</x:v>
      </x:c>
      <x:c r="L1345" s="57" t="n">
        <x:v>58.02906296902933</x:v>
      </x:c>
    </x:row>
    <x:row r="1346" ht="32.400001525878906" hidden="0" customHeight="1">
      <x:c r="A1346" s="27" t="str">
        <x:v>Miami-Dade County, Florida</x:v>
      </x:c>
      <x:c r="B1346" s="27" t="str">
        <x:v>12086005104</x:v>
      </x:c>
      <x:c r="C1346" s="50" t="n">
        <x:v>4267</x:v>
      </x:c>
      <x:c r="D1346" s="50" t="n">
        <x:v>475</x:v>
      </x:c>
      <x:c r="E1346" s="50" t="n">
        <x:v>298.5</x:v>
      </x:c>
      <x:c r="F1346" s="37" t="n">
        <x:v>0.11131942816967424</x:v>
      </x:c>
      <x:c r="G1346" s="37" t="n">
        <x:v>0.06995547222873214</x:v>
      </x:c>
      <x:c r="H1346" s="56" t="n">
        <x:v>4463.100000000001</x:v>
      </x:c>
      <x:c r="I1346" s="56" t="n">
        <x:v>0.242</x:v>
      </x:c>
      <x:c r="J1346" s="56" t="n">
        <x:v>6.316668839217161</x:v>
      </x:c>
      <x:c r="K1346" s="56" t="n">
        <x:v>39.47500325882574</x:v>
      </x:c>
      <x:c r="L1346" s="56" t="n">
        <x:v>58.53571894117963</x:v>
      </x:c>
    </x:row>
    <x:row r="1347" ht="32.400001525878906" hidden="0" customHeight="1">
      <x:c r="A1347" s="29" t="str">
        <x:v>Miami-Dade County, Florida</x:v>
      </x:c>
      <x:c r="B1347" s="29" t="str">
        <x:v>12086005201</x:v>
      </x:c>
      <x:c r="C1347" s="51" t="n">
        <x:v>5074</x:v>
      </x:c>
      <x:c r="D1347" s="51" t="n">
        <x:v>590</x:v>
      </x:c>
      <x:c r="E1347" s="51" t="n">
        <x:v>1327</x:v>
      </x:c>
      <x:c r="F1347" s="38" t="n">
        <x:v>0.11627906976744186</x:v>
      </x:c>
      <x:c r="G1347" s="38" t="n">
        <x:v>0.2615293653921955</x:v>
      </x:c>
      <x:c r="H1347" s="57" t="n">
        <x:v>5413.2</x:v>
      </x:c>
      <x:c r="I1347" s="57" t="n">
        <x:v>0.233</x:v>
      </x:c>
      <x:c r="J1347" s="57" t="n">
        <x:v>4.024766211355405</x:v>
      </x:c>
      <x:c r="K1347" s="57" t="n">
        <x:v>36.037149317033105</x:v>
      </x:c>
      <x:c r="L1347" s="57" t="n">
        <x:v>53.62449902433301</x:v>
      </x:c>
    </x:row>
    <x:row r="1348" ht="32.400001525878906" hidden="0" customHeight="1">
      <x:c r="A1348" s="27" t="str">
        <x:v>Miami-Dade County, Florida</x:v>
      </x:c>
      <x:c r="B1348" s="27" t="str">
        <x:v>12086005202</x:v>
      </x:c>
      <x:c r="C1348" s="50" t="n">
        <x:v>5742</x:v>
      </x:c>
      <x:c r="D1348" s="50" t="n">
        <x:v>455</x:v>
      </x:c>
      <x:c r="E1348" s="50" t="n">
        <x:v>1034</x:v>
      </x:c>
      <x:c r="F1348" s="37" t="n">
        <x:v>0.07924068268895855</x:v>
      </x:c>
      <x:c r="G1348" s="37" t="n">
        <x:v>0.18007662835249041</x:v>
      </x:c>
      <x:c r="H1348" s="56" t="n">
        <x:v>6004.65</x:v>
      </x:c>
      <x:c r="I1348" s="56" t="n">
        <x:v>0.186</x:v>
      </x:c>
      <x:c r="J1348" s="56" t="n">
        <x:v>2.9623653326760264</x:v>
      </x:c>
      <x:c r="K1348" s="56" t="n">
        <x:v>34.44354799901404</x:v>
      </x:c>
      <x:c r="L1348" s="56" t="n">
        <x:v>51.3479257128772</x:v>
      </x:c>
    </x:row>
    <x:row r="1349" ht="32.400001525878906" hidden="0" customHeight="1">
      <x:c r="A1349" s="29" t="str">
        <x:v>Miami-Dade County, Florida</x:v>
      </x:c>
      <x:c r="B1349" s="29" t="str">
        <x:v>12086005303</x:v>
      </x:c>
      <x:c r="C1349" s="51" t="n">
        <x:v>3504</x:v>
      </x:c>
      <x:c r="D1349" s="51" t="n">
        <x:v>189</x:v>
      </x:c>
      <x:c r="E1349" s="51" t="n">
        <x:v>775.5</x:v>
      </x:c>
      <x:c r="F1349" s="38" t="n">
        <x:v>0.05393835616438356</x:v>
      </x:c>
      <x:c r="G1349" s="38" t="n">
        <x:v>0.22131849315068494</x:v>
      </x:c>
      <x:c r="H1349" s="57" t="n">
        <x:v>3647.6999999999994</x:v>
      </x:c>
      <x:c r="I1349" s="57" t="n">
        <x:v>0.135</x:v>
      </x:c>
      <x:c r="J1349" s="57" t="n">
        <x:v>4.321041011360817</x:v>
      </x:c>
      <x:c r="K1349" s="57" t="n">
        <x:v>36.48156151704123</x:v>
      </x:c>
      <x:c r="L1349" s="57" t="n">
        <x:v>54.259373595773184</x:v>
      </x:c>
    </x:row>
    <x:row r="1350" ht="32.400001525878906" hidden="0" customHeight="1">
      <x:c r="A1350" s="27" t="str">
        <x:v>Miami-Dade County, Florida</x:v>
      </x:c>
      <x:c r="B1350" s="27" t="str">
        <x:v>12086005304</x:v>
      </x:c>
      <x:c r="C1350" s="50" t="n">
        <x:v>4197</x:v>
      </x:c>
      <x:c r="D1350" s="50" t="n">
        <x:v>424</x:v>
      </x:c>
      <x:c r="E1350" s="50" t="n">
        <x:v>769.5</x:v>
      </x:c>
      <x:c r="F1350" s="37" t="n">
        <x:v>0.1010245413390517</x:v>
      </x:c>
      <x:c r="G1350" s="37" t="n">
        <x:v>0.18334524660471765</x:v>
      </x:c>
      <x:c r="H1350" s="56" t="n">
        <x:v>4422.35</x:v>
      </x:c>
      <x:c r="I1350" s="56" t="n">
        <x:v>0.13</x:v>
      </x:c>
      <x:c r="J1350" s="56" t="n">
        <x:v>4.610485140196852</x:v>
      </x:c>
      <x:c r="K1350" s="56" t="n">
        <x:v>36.91572771029528</x:v>
      </x:c>
      <x:c r="L1350" s="56" t="n">
        <x:v>54.879611014707535</x:v>
      </x:c>
    </x:row>
    <x:row r="1351" ht="32.400001525878906" hidden="0" customHeight="1">
      <x:c r="A1351" s="29" t="str">
        <x:v>Miami-Dade County, Florida</x:v>
      </x:c>
      <x:c r="B1351" s="29" t="str">
        <x:v>12086005305</x:v>
      </x:c>
      <x:c r="C1351" s="51" t="n">
        <x:v>3915</x:v>
      </x:c>
      <x:c r="D1351" s="51" t="n">
        <x:v>702</x:v>
      </x:c>
      <x:c r="E1351" s="51" t="n">
        <x:v>1176</x:v>
      </x:c>
      <x:c r="F1351" s="38" t="n">
        <x:v>0.1793103448275862</x:v>
      </x:c>
      <x:c r="G1351" s="38" t="n">
        <x:v>0.3003831417624521</x:v>
      </x:c>
      <x:c r="H1351" s="57" t="n">
        <x:v>4278.3</x:v>
      </x:c>
      <x:c r="I1351" s="57" t="n">
        <x:v>0.117</x:v>
      </x:c>
      <x:c r="J1351" s="57" t="n">
        <x:v>3.4392799496796487</x:v>
      </x:c>
      <x:c r="K1351" s="57" t="n">
        <x:v>35.15891992451947</x:v>
      </x:c>
      <x:c r="L1351" s="57" t="n">
        <x:v>52.36988560645639</x:v>
      </x:c>
    </x:row>
    <x:row r="1352" ht="32.400001525878906" hidden="0" customHeight="1">
      <x:c r="A1352" s="27" t="str">
        <x:v>Miami-Dade County, Florida</x:v>
      </x:c>
      <x:c r="B1352" s="27" t="str">
        <x:v>12086005306</x:v>
      </x:c>
      <x:c r="C1352" s="50" t="n">
        <x:v>4275</x:v>
      </x:c>
      <x:c r="D1352" s="50" t="n">
        <x:v>786</x:v>
      </x:c>
      <x:c r="E1352" s="50" t="n">
        <x:v>1637.5</x:v>
      </x:c>
      <x:c r="F1352" s="37" t="n">
        <x:v>0.18385964912280703</x:v>
      </x:c>
      <x:c r="G1352" s="37" t="n">
        <x:v>0.3830409356725146</x:v>
      </x:c>
      <x:c r="H1352" s="56" t="n">
        <x:v>4713.849999999999</x:v>
      </x:c>
      <x:c r="I1352" s="56" t="n">
        <x:v>0.114</x:v>
      </x:c>
      <x:c r="J1352" s="56" t="n">
        <x:v>3.792577930982705</x:v>
      </x:c>
      <x:c r="K1352" s="56" t="n">
        <x:v>35.68886689647406</x:v>
      </x:c>
      <x:c r="L1352" s="56" t="n">
        <x:v>53.126952709248656</x:v>
      </x:c>
    </x:row>
    <x:row r="1353" ht="32.400001525878906" hidden="0" customHeight="1">
      <x:c r="A1353" s="29" t="str">
        <x:v>Miami-Dade County, Florida</x:v>
      </x:c>
      <x:c r="B1353" s="29" t="str">
        <x:v>12086005403</x:v>
      </x:c>
      <x:c r="C1353" s="51" t="n">
        <x:v>1950</x:v>
      </x:c>
      <x:c r="D1353" s="51" t="n">
        <x:v>474</x:v>
      </x:c>
      <x:c r="E1353" s="51" t="n">
        <x:v>175</x:v>
      </x:c>
      <x:c r="F1353" s="38" t="n">
        <x:v>0.24307692307692308</x:v>
      </x:c>
      <x:c r="G1353" s="38" t="n">
        <x:v>0.08974358974358974</x:v>
      </x:c>
      <x:c r="H1353" s="57" t="n">
        <x:v>2133.4</x:v>
      </x:c>
      <x:c r="I1353" s="57" t="n">
        <x:v>0.102</x:v>
      </x:c>
      <x:c r="J1353" s="57" t="n">
        <x:v>6.500323865948917</x:v>
      </x:c>
      <x:c r="K1353" s="57" t="n">
        <x:v>39.75048579892338</x:v>
      </x:c>
      <x:c r="L1353" s="57" t="n">
        <x:v>58.92926542703339</x:v>
      </x:c>
    </x:row>
    <x:row r="1354" ht="32.400001525878906" hidden="0" customHeight="1">
      <x:c r="A1354" s="27" t="str">
        <x:v>Miami-Dade County, Florida</x:v>
      </x:c>
      <x:c r="B1354" s="27" t="str">
        <x:v>12086005405</x:v>
      </x:c>
      <x:c r="C1354" s="50" t="n">
        <x:v>3883</x:v>
      </x:c>
      <x:c r="D1354" s="50" t="n">
        <x:v>553</x:v>
      </x:c>
      <x:c r="E1354" s="50" t="n">
        <x:v>471</x:v>
      </x:c>
      <x:c r="F1354" s="37" t="n">
        <x:v>0.14241565799639455</x:v>
      </x:c>
      <x:c r="G1354" s="37" t="n">
        <x:v>0.12129796549060005</x:v>
      </x:c>
      <x:c r="H1354" s="56" t="n">
        <x:v>4123.650000000001</x:v>
      </x:c>
      <x:c r="I1354" s="56" t="n">
        <x:v>0.224</x:v>
      </x:c>
      <x:c r="J1354" s="56" t="n">
        <x:v>5.792401803918396</x:v>
      </x:c>
      <x:c r="K1354" s="56" t="n">
        <x:v>38.68860270587759</x:v>
      </x:c>
      <x:c r="L1354" s="56" t="n">
        <x:v>57.412289579825135</x:v>
      </x:c>
    </x:row>
    <x:row r="1355" ht="32.400001525878906" hidden="0" customHeight="1">
      <x:c r="A1355" s="29" t="str">
        <x:v>Miami-Dade County, Florida</x:v>
      </x:c>
      <x:c r="B1355" s="29" t="str">
        <x:v>12086005406</x:v>
      </x:c>
      <x:c r="C1355" s="51" t="n">
        <x:v>3935</x:v>
      </x:c>
      <x:c r="D1355" s="51" t="n">
        <x:v>668</x:v>
      </x:c>
      <x:c r="E1355" s="51" t="n">
        <x:v>1167</x:v>
      </x:c>
      <x:c r="F1355" s="38" t="n">
        <x:v>0.16975857687420584</x:v>
      </x:c>
      <x:c r="G1355" s="38" t="n">
        <x:v>0.296569250317662</x:v>
      </x:c>
      <x:c r="H1355" s="57" t="n">
        <x:v>4285.5</x:v>
      </x:c>
      <x:c r="I1355" s="57" t="n">
        <x:v>0.174</x:v>
      </x:c>
      <x:c r="J1355" s="57" t="n">
        <x:v>4.942572767648721</x:v>
      </x:c>
      <x:c r="K1355" s="57" t="n">
        <x:v>37.41385915147308</x:v>
      </x:c>
      <x:c r="L1355" s="57" t="n">
        <x:v>55.591227359247256</x:v>
      </x:c>
    </x:row>
    <x:row r="1356" ht="32.400001525878906" hidden="0" customHeight="1">
      <x:c r="A1356" s="27" t="str">
        <x:v>Miami-Dade County, Florida</x:v>
      </x:c>
      <x:c r="B1356" s="27" t="str">
        <x:v>12086005407</x:v>
      </x:c>
      <x:c r="C1356" s="50" t="n">
        <x:v>2743</x:v>
      </x:c>
      <x:c r="D1356" s="50" t="n">
        <x:v>284</x:v>
      </x:c>
      <x:c r="E1356" s="50" t="n">
        <x:v>326.5</x:v>
      </x:c>
      <x:c r="F1356" s="37" t="n">
        <x:v>0.10353627415238789</x:v>
      </x:c>
      <x:c r="G1356" s="37" t="n">
        <x:v>0.11903025884068538</x:v>
      </x:c>
      <x:c r="H1356" s="56" t="n">
        <x:v>2875.0499999999997</x:v>
      </x:c>
      <x:c r="I1356" s="56" t="n">
        <x:v>0.251</x:v>
      </x:c>
      <x:c r="J1356" s="56" t="n">
        <x:v>6.474548320368147</x:v>
      </x:c>
      <x:c r="K1356" s="56" t="n">
        <x:v>39.71182248055222</x:v>
      </x:c>
      <x:c r="L1356" s="56" t="n">
        <x:v>58.8740321150746</x:v>
      </x:c>
    </x:row>
    <x:row r="1357" ht="32.400001525878906" hidden="0" customHeight="1">
      <x:c r="A1357" s="29" t="str">
        <x:v>Miami-Dade County, Florida</x:v>
      </x:c>
      <x:c r="B1357" s="29" t="str">
        <x:v>12086005409</x:v>
      </x:c>
      <x:c r="C1357" s="51" t="n">
        <x:v>3580</x:v>
      </x:c>
      <x:c r="D1357" s="51" t="n">
        <x:v>633</x:v>
      </x:c>
      <x:c r="E1357" s="51" t="n">
        <x:v>810</x:v>
      </x:c>
      <x:c r="F1357" s="38" t="n">
        <x:v>0.17681564245810055</x:v>
      </x:c>
      <x:c r="G1357" s="38" t="n">
        <x:v>0.22625698324022347</x:v>
      </x:c>
      <x:c r="H1357" s="57" t="n">
        <x:v>3882.5499999999997</x:v>
      </x:c>
      <x:c r="I1357" s="57" t="n">
        <x:v>0.127</x:v>
      </x:c>
      <x:c r="J1357" s="57" t="n">
        <x:v>5.346092795590196</x:v>
      </x:c>
      <x:c r="K1357" s="57" t="n">
        <x:v>38.01913919338529</x:v>
      </x:c>
      <x:c r="L1357" s="57" t="n">
        <x:v>56.45591313340756</x:v>
      </x:c>
    </x:row>
    <x:row r="1358" ht="32.400001525878906" hidden="0" customHeight="1">
      <x:c r="A1358" s="27" t="str">
        <x:v>Miami-Dade County, Florida</x:v>
      </x:c>
      <x:c r="B1358" s="27" t="str">
        <x:v>12086005410</x:v>
      </x:c>
      <x:c r="C1358" s="50" t="n">
        <x:v>2994</x:v>
      </x:c>
      <x:c r="D1358" s="50" t="n">
        <x:v>551</x:v>
      </x:c>
      <x:c r="E1358" s="50" t="n">
        <x:v>592.5</x:v>
      </x:c>
      <x:c r="F1358" s="37" t="n">
        <x:v>0.18403473613894455</x:v>
      </x:c>
      <x:c r="G1358" s="37" t="n">
        <x:v>0.19789579158316634</x:v>
      </x:c>
      <x:c r="H1358" s="56" t="n">
        <x:v>3246.1</x:v>
      </x:c>
      <x:c r="I1358" s="56" t="n">
        <x:v>0.125</x:v>
      </x:c>
      <x:c r="J1358" s="56" t="n">
        <x:v>5.570093649778629</x:v>
      </x:c>
      <x:c r="K1358" s="56" t="n">
        <x:v>38.35514047466795</x:v>
      </x:c>
      <x:c r="L1358" s="56" t="n">
        <x:v>56.93591496381135</x:v>
      </x:c>
    </x:row>
    <x:row r="1359" ht="32.400001525878906" hidden="0" customHeight="1">
      <x:c r="A1359" s="29" t="str">
        <x:v>Miami-Dade County, Florida</x:v>
      </x:c>
      <x:c r="B1359" s="29" t="str">
        <x:v>12086005503</x:v>
      </x:c>
      <x:c r="C1359" s="51" t="n">
        <x:v>3834</x:v>
      </x:c>
      <x:c r="D1359" s="51" t="n">
        <x:v>183</x:v>
      </x:c>
      <x:c r="E1359" s="51" t="n">
        <x:v>364</x:v>
      </x:c>
      <x:c r="F1359" s="38" t="n">
        <x:v>0.04773082942097027</x:v>
      </x:c>
      <x:c r="G1359" s="38" t="n">
        <x:v>0.09494001043296818</x:v>
      </x:c>
      <x:c r="H1359" s="57" t="n">
        <x:v>3934.4500000000003</x:v>
      </x:c>
      <x:c r="I1359" s="57" t="n">
        <x:v>0.228</x:v>
      </x:c>
      <x:c r="J1359" s="57" t="n">
        <x:v>8.49147996774157</x:v>
      </x:c>
      <x:c r="K1359" s="57" t="n">
        <x:v>42.73721995161236</x:v>
      </x:c>
      <x:c r="L1359" s="57" t="n">
        <x:v>63.19602850230336</x:v>
      </x:c>
    </x:row>
    <x:row r="1360" ht="32.400001525878906" hidden="0" customHeight="1">
      <x:c r="A1360" s="27" t="str">
        <x:v>Miami-Dade County, Florida</x:v>
      </x:c>
      <x:c r="B1360" s="27" t="str">
        <x:v>12086005504</x:v>
      </x:c>
      <x:c r="C1360" s="50" t="n">
        <x:v>3318</x:v>
      </x:c>
      <x:c r="D1360" s="50" t="n">
        <x:v>326</x:v>
      </x:c>
      <x:c r="E1360" s="50" t="n">
        <x:v>345.5</x:v>
      </x:c>
      <x:c r="F1360" s="37" t="n">
        <x:v>0.09825195901145269</x:v>
      </x:c>
      <x:c r="G1360" s="37" t="n">
        <x:v>0.1041289933694997</x:v>
      </x:c>
      <x:c r="H1360" s="56" t="n">
        <x:v>3466.6499999999996</x:v>
      </x:c>
      <x:c r="I1360" s="56" t="n">
        <x:v>0.273</x:v>
      </x:c>
      <x:c r="J1360" s="56" t="n">
        <x:v>7.684505835101886</x:v>
      </x:c>
      <x:c r="K1360" s="56" t="n">
        <x:v>41.526758752652825</x:v>
      </x:c>
      <x:c r="L1360" s="56" t="n">
        <x:v>61.46679821807547</x:v>
      </x:c>
    </x:row>
    <x:row r="1361" ht="32.400001525878906" hidden="0" customHeight="1">
      <x:c r="A1361" s="29" t="str">
        <x:v>Miami-Dade County, Florida</x:v>
      </x:c>
      <x:c r="B1361" s="29" t="str">
        <x:v>12086005505</x:v>
      </x:c>
      <x:c r="C1361" s="51" t="n">
        <x:v>2275</x:v>
      </x:c>
      <x:c r="D1361" s="51" t="n">
        <x:v>500</x:v>
      </x:c>
      <x:c r="E1361" s="51" t="n">
        <x:v>121</x:v>
      </x:c>
      <x:c r="F1361" s="38" t="n">
        <x:v>0.21978021978021978</x:v>
      </x:c>
      <x:c r="G1361" s="38" t="n">
        <x:v>0.05318681318681319</x:v>
      </x:c>
      <x:c r="H1361" s="57" t="n">
        <x:v>2462.1</x:v>
      </x:c>
      <x:c r="I1361" s="57" t="n">
        <x:v>0.199</x:v>
      </x:c>
      <x:c r="J1361" s="57" t="n">
        <x:v>8.477563197649163</x:v>
      </x:c>
      <x:c r="K1361" s="57" t="n">
        <x:v>42.71634479647375</x:v>
      </x:c>
      <x:c r="L1361" s="57" t="n">
        <x:v>63.16620685210535</x:v>
      </x:c>
    </x:row>
    <x:row r="1362" ht="32.400001525878906" hidden="0" customHeight="1">
      <x:c r="A1362" s="27" t="str">
        <x:v>Miami-Dade County, Florida</x:v>
      </x:c>
      <x:c r="B1362" s="27" t="str">
        <x:v>12086005506</x:v>
      </x:c>
      <x:c r="C1362" s="50" t="n">
        <x:v>3593</x:v>
      </x:c>
      <x:c r="D1362" s="50" t="n">
        <x:v>434</x:v>
      </x:c>
      <x:c r="E1362" s="50" t="n">
        <x:v>95</x:v>
      </x:c>
      <x:c r="F1362" s="37" t="n">
        <x:v>0.12079042582799888</x:v>
      </x:c>
      <x:c r="G1362" s="37" t="n">
        <x:v>0.026440300584469802</x:v>
      </x:c>
      <x:c r="H1362" s="56" t="n">
        <x:v>3754.4</x:v>
      </x:c>
      <x:c r="I1362" s="56" t="n">
        <x:v>0.301</x:v>
      </x:c>
      <x:c r="J1362" s="56" t="n">
        <x:v>7.383605783782487</x:v>
      </x:c>
      <x:c r="K1362" s="56" t="n">
        <x:v>41.07540867567373</x:v>
      </x:c>
      <x:c r="L1362" s="56" t="n">
        <x:v>60.82201239381962</x:v>
      </x:c>
    </x:row>
    <x:row r="1363" ht="32.400001525878906" hidden="0" customHeight="1">
      <x:c r="A1363" s="29" t="str">
        <x:v>Miami-Dade County, Florida</x:v>
      </x:c>
      <x:c r="B1363" s="29" t="str">
        <x:v>12086005600</x:v>
      </x:c>
      <x:c r="C1363" s="51" t="n">
        <x:v>4903</x:v>
      </x:c>
      <x:c r="D1363" s="51" t="n">
        <x:v>705</x:v>
      </x:c>
      <x:c r="E1363" s="51" t="n">
        <x:v>257</x:v>
      </x:c>
      <x:c r="F1363" s="38" t="n">
        <x:v>0.14378951662247602</x:v>
      </x:c>
      <x:c r="G1363" s="38" t="n">
        <x:v>0.0524168876198246</x:v>
      </x:c>
      <x:c r="H1363" s="57" t="n">
        <x:v>5175.449999999999</x:v>
      </x:c>
      <x:c r="I1363" s="57" t="n">
        <x:v>0.507</x:v>
      </x:c>
      <x:c r="J1363" s="57" t="n">
        <x:v>10.188760046557707</x:v>
      </x:c>
      <x:c r="K1363" s="57" t="n">
        <x:v>45.28314006983656</x:v>
      </x:c>
      <x:c r="L1363" s="57" t="n">
        <x:v>66.83305724262365</x:v>
      </x:c>
    </x:row>
    <x:row r="1364" ht="32.400001525878906" hidden="0" customHeight="1">
      <x:c r="A1364" s="27" t="str">
        <x:v>Miami-Dade County, Florida</x:v>
      </x:c>
      <x:c r="B1364" s="27" t="str">
        <x:v>12086005701</x:v>
      </x:c>
      <x:c r="C1364" s="50" t="n">
        <x:v>5511</x:v>
      </x:c>
      <x:c r="D1364" s="50" t="n">
        <x:v>856</x:v>
      </x:c>
      <x:c r="E1364" s="50" t="n">
        <x:v>601</x:v>
      </x:c>
      <x:c r="F1364" s="37" t="n">
        <x:v>0.15532571221193975</x:v>
      </x:c>
      <x:c r="G1364" s="37" t="n">
        <x:v>0.10905461803665396</x:v>
      </x:c>
      <x:c r="H1364" s="56" t="n">
        <x:v>5870.700000000001</x:v>
      </x:c>
      <x:c r="I1364" s="56" t="n">
        <x:v>0.525</x:v>
      </x:c>
      <x:c r="J1364" s="56" t="n">
        <x:v>14.469227093599446</x:v>
      </x:c>
      <x:c r="K1364" s="56" t="n">
        <x:v>51.70384064039917</x:v>
      </x:c>
      <x:c r="L1364" s="56" t="n">
        <x:v>76.00548662914167</x:v>
      </x:c>
    </x:row>
    <x:row r="1365" ht="32.400001525878906" hidden="0" customHeight="1">
      <x:c r="A1365" s="29" t="str">
        <x:v>Miami-Dade County, Florida</x:v>
      </x:c>
      <x:c r="B1365" s="29" t="str">
        <x:v>12086005705</x:v>
      </x:c>
      <x:c r="C1365" s="51" t="n">
        <x:v>3255</x:v>
      </x:c>
      <x:c r="D1365" s="51" t="n">
        <x:v>420</x:v>
      </x:c>
      <x:c r="E1365" s="51" t="n">
        <x:v>357</x:v>
      </x:c>
      <x:c r="F1365" s="38" t="n">
        <x:v>0.12903225806451613</x:v>
      </x:c>
      <x:c r="G1365" s="38" t="n">
        <x:v>0.10967741935483871</x:v>
      </x:c>
      <x:c r="H1365" s="57" t="n">
        <x:v>3437.7000000000003</x:v>
      </x:c>
      <x:c r="I1365" s="57" t="n">
        <x:v>0.084</x:v>
      </x:c>
      <x:c r="J1365" s="57" t="n">
        <x:v>11.211061356630266</x:v>
      </x:c>
      <x:c r="K1365" s="57" t="n">
        <x:v>46.8165920349454</x:v>
      </x:c>
      <x:c r="L1365" s="57" t="n">
        <x:v>69.02370290706486</x:v>
      </x:c>
    </x:row>
    <x:row r="1366" ht="32.400001525878906" hidden="0" customHeight="1">
      <x:c r="A1366" s="27" t="str">
        <x:v>Miami-Dade County, Florida</x:v>
      </x:c>
      <x:c r="B1366" s="27" t="str">
        <x:v>12086005706</x:v>
      </x:c>
      <x:c r="C1366" s="50" t="n">
        <x:v>3720</x:v>
      </x:c>
      <x:c r="D1366" s="50" t="n">
        <x:v>506</x:v>
      </x:c>
      <x:c r="E1366" s="50" t="n">
        <x:v>525.5</x:v>
      </x:c>
      <x:c r="F1366" s="37" t="n">
        <x:v>0.13602150537634408</x:v>
      </x:c>
      <x:c r="G1366" s="37" t="n">
        <x:v>0.14126344086021506</x:v>
      </x:c>
      <x:c r="H1366" s="56" t="n">
        <x:v>3949.65</x:v>
      </x:c>
      <x:c r="I1366" s="56" t="n">
        <x:v>0.077</x:v>
      </x:c>
      <x:c r="J1366" s="56" t="n">
        <x:v>12.864207540609097</x:v>
      </x:c>
      <x:c r="K1366" s="56" t="n">
        <x:v>49.296311310913644</x:v>
      </x:c>
      <x:c r="L1366" s="56" t="n">
        <x:v>72.56615901559093</x:v>
      </x:c>
    </x:row>
    <x:row r="1367" ht="32.400001525878906" hidden="0" customHeight="1">
      <x:c r="A1367" s="29" t="str">
        <x:v>Miami-Dade County, Florida</x:v>
      </x:c>
      <x:c r="B1367" s="29" t="str">
        <x:v>12086005707</x:v>
      </x:c>
      <x:c r="C1367" s="51" t="n">
        <x:v>1479</x:v>
      </x:c>
      <x:c r="D1367" s="51" t="n">
        <x:v>215</x:v>
      </x:c>
      <x:c r="E1367" s="51" t="n">
        <x:v>107</x:v>
      </x:c>
      <x:c r="F1367" s="38" t="n">
        <x:v>0.145368492224476</x:v>
      </x:c>
      <x:c r="G1367" s="38" t="n">
        <x:v>0.07234617985125084</x:v>
      </x:c>
      <x:c r="H1367" s="57" t="n">
        <x:v>1564.9499999999998</x:v>
      </x:c>
      <x:c r="I1367" s="57" t="n">
        <x:v>0.19</x:v>
      </x:c>
      <x:c r="J1367" s="57" t="n">
        <x:v>12.889753841217681</x:v>
      </x:c>
      <x:c r="K1367" s="57" t="n">
        <x:v>49.334630761826524</x:v>
      </x:c>
      <x:c r="L1367" s="57" t="n">
        <x:v>72.6209010883236</x:v>
      </x:c>
    </x:row>
    <x:row r="1368" ht="32.400001525878906" hidden="0" customHeight="1">
      <x:c r="A1368" s="27" t="str">
        <x:v>Miami-Dade County, Florida</x:v>
      </x:c>
      <x:c r="B1368" s="27" t="str">
        <x:v>12086005708</x:v>
      </x:c>
      <x:c r="C1368" s="50" t="n">
        <x:v>6441</x:v>
      </x:c>
      <x:c r="D1368" s="50" t="n">
        <x:v>972</x:v>
      </x:c>
      <x:c r="E1368" s="50" t="n">
        <x:v>749</x:v>
      </x:c>
      <x:c r="F1368" s="37" t="n">
        <x:v>0.15090824406148112</x:v>
      </x:c>
      <x:c r="G1368" s="37" t="n">
        <x:v>0.11628629094861047</x:v>
      </x:c>
      <x:c r="H1368" s="56" t="n">
        <x:v>6856.1</x:v>
      </x:c>
      <x:c r="I1368" s="56" t="n">
        <x:v>0.318</x:v>
      </x:c>
      <x:c r="J1368" s="56" t="n">
        <x:v>11.782872630190017</x:v>
      </x:c>
      <x:c r="K1368" s="56" t="n">
        <x:v>47.67430894528503</x:v>
      </x:c>
      <x:c r="L1368" s="56" t="n">
        <x:v>70.24901277897861</x:v>
      </x:c>
    </x:row>
    <x:row r="1369" ht="32.400001525878906" hidden="0" customHeight="1">
      <x:c r="A1369" s="29" t="str">
        <x:v>Miami-Dade County, Florida</x:v>
      </x:c>
      <x:c r="B1369" s="29" t="str">
        <x:v>12086005803</x:v>
      </x:c>
      <x:c r="C1369" s="51" t="n">
        <x:v>6461</x:v>
      </x:c>
      <x:c r="D1369" s="51" t="n">
        <x:v>763</x:v>
      </x:c>
      <x:c r="E1369" s="51" t="n">
        <x:v>347.5</x:v>
      </x:c>
      <x:c r="F1369" s="38" t="n">
        <x:v>0.1180931744312026</x:v>
      </x:c>
      <x:c r="G1369" s="38" t="n">
        <x:v>0.053784243925088994</x:v>
      </x:c>
      <x:c r="H1369" s="57" t="n">
        <x:v>6762.799999999999</x:v>
      </x:c>
      <x:c r="I1369" s="57" t="n">
        <x:v>0.434</x:v>
      </x:c>
      <x:c r="J1369" s="57" t="n">
        <x:v>14.661988472936894</x:v>
      </x:c>
      <x:c r="K1369" s="57" t="n">
        <x:v>51.99298270940534</x:v>
      </x:c>
      <x:c r="L1369" s="57" t="n">
        <x:v>76.41854672772192</x:v>
      </x:c>
    </x:row>
    <x:row r="1370" ht="32.400001525878906" hidden="0" customHeight="1">
      <x:c r="A1370" s="27" t="str">
        <x:v>Miami-Dade County, Florida</x:v>
      </x:c>
      <x:c r="B1370" s="27" t="str">
        <x:v>12086005804</x:v>
      </x:c>
      <x:c r="C1370" s="50" t="n">
        <x:v>3961</x:v>
      </x:c>
      <x:c r="D1370" s="50" t="n">
        <x:v>636</x:v>
      </x:c>
      <x:c r="E1370" s="50" t="n">
        <x:v>137</x:v>
      </x:c>
      <x:c r="F1370" s="37" t="n">
        <x:v>0.16056551375915173</x:v>
      </x:c>
      <x:c r="G1370" s="37" t="n">
        <x:v>0.03458722544811916</x:v>
      </x:c>
      <x:c r="H1370" s="56" t="n">
        <x:v>4197.3</x:v>
      </x:c>
      <x:c r="I1370" s="56" t="n">
        <x:v>0.393</x:v>
      </x:c>
      <x:c r="J1370" s="56" t="n">
        <x:v>16.507665019179818</x:v>
      </x:c>
      <x:c r="K1370" s="56" t="n">
        <x:v>54.76149752876972</x:v>
      </x:c>
      <x:c r="L1370" s="56" t="n">
        <x:v>80.37356789824247</x:v>
      </x:c>
    </x:row>
    <x:row r="1371" ht="32.400001525878906" hidden="0" customHeight="1">
      <x:c r="A1371" s="29" t="str">
        <x:v>Miami-Dade County, Florida</x:v>
      </x:c>
      <x:c r="B1371" s="29" t="str">
        <x:v>12086005805</x:v>
      </x:c>
      <x:c r="C1371" s="51" t="n">
        <x:v>2208</x:v>
      </x:c>
      <x:c r="D1371" s="51" t="n">
        <x:v>178</x:v>
      </x:c>
      <x:c r="E1371" s="51" t="n">
        <x:v>49</x:v>
      </x:c>
      <x:c r="F1371" s="38" t="n">
        <x:v>0.0806159420289855</x:v>
      </x:c>
      <x:c r="G1371" s="38" t="n">
        <x:v>0.022192028985507248</x:v>
      </x:c>
      <x:c r="H1371" s="57" t="n">
        <x:v>2275.2000000000003</x:v>
      </x:c>
      <x:c r="I1371" s="57" t="n">
        <x:v>0.256</x:v>
      </x:c>
      <x:c r="J1371" s="57" t="n">
        <x:v>11.807095921483509</x:v>
      </x:c>
      <x:c r="K1371" s="57" t="n">
        <x:v>47.71064388222526</x:v>
      </x:c>
      <x:c r="L1371" s="57" t="n">
        <x:v>70.30091983175038</x:v>
      </x:c>
    </x:row>
    <x:row r="1372" ht="32.400001525878906" hidden="0" customHeight="1">
      <x:c r="A1372" s="27" t="str">
        <x:v>Miami-Dade County, Florida</x:v>
      </x:c>
      <x:c r="B1372" s="27" t="str">
        <x:v>12086005806</x:v>
      </x:c>
      <x:c r="C1372" s="50" t="n">
        <x:v>3845</x:v>
      </x:c>
      <x:c r="D1372" s="50" t="n">
        <x:v>741</x:v>
      </x:c>
      <x:c r="E1372" s="50" t="n">
        <x:v>249</x:v>
      </x:c>
      <x:c r="F1372" s="37" t="n">
        <x:v>0.1927178153446034</x:v>
      </x:c>
      <x:c r="G1372" s="37" t="n">
        <x:v>0.06475942782834851</x:v>
      </x:c>
      <x:c r="H1372" s="56" t="n">
        <x:v>4129.25</x:v>
      </x:c>
      <x:c r="I1372" s="56" t="n">
        <x:v>0.325</x:v>
      </x:c>
      <x:c r="J1372" s="56" t="n">
        <x:v>13.061565281021034</x:v>
      </x:c>
      <x:c r="K1372" s="56" t="n">
        <x:v>49.59234792153155</x:v>
      </x:c>
      <x:c r="L1372" s="56" t="n">
        <x:v>72.98906845933078</x:v>
      </x:c>
    </x:row>
    <x:row r="1373" ht="32.400001525878906" hidden="0" customHeight="1">
      <x:c r="A1373" s="29" t="str">
        <x:v>Miami-Dade County, Florida</x:v>
      </x:c>
      <x:c r="B1373" s="29" t="str">
        <x:v>12086005901</x:v>
      </x:c>
      <x:c r="C1373" s="51" t="n">
        <x:v>4817</x:v>
      </x:c>
      <x:c r="D1373" s="51" t="n">
        <x:v>481</x:v>
      </x:c>
      <x:c r="E1373" s="51" t="n">
        <x:v>89</x:v>
      </x:c>
      <x:c r="F1373" s="38" t="n">
        <x:v>0.0998546813369317</x:v>
      </x:c>
      <x:c r="G1373" s="38" t="n">
        <x:v>0.01847623001868383</x:v>
      </x:c>
      <x:c r="H1373" s="57" t="n">
        <x:v>4994.250000000001</x:v>
      </x:c>
      <x:c r="I1373" s="57" t="n">
        <x:v>0.503</x:v>
      </x:c>
      <x:c r="J1373" s="57" t="n">
        <x:v>14.729589385451185</x:v>
      </x:c>
      <x:c r="K1373" s="57" t="n">
        <x:v>52.09438407817677</x:v>
      </x:c>
      <x:c r="L1373" s="57" t="n">
        <x:v>76.56340582596683</x:v>
      </x:c>
    </x:row>
    <x:row r="1374" ht="32.400001525878906" hidden="0" customHeight="1">
      <x:c r="A1374" s="27" t="str">
        <x:v>Miami-Dade County, Florida</x:v>
      </x:c>
      <x:c r="B1374" s="27" t="str">
        <x:v>12086005902</x:v>
      </x:c>
      <x:c r="C1374" s="50" t="n">
        <x:v>3257</x:v>
      </x:c>
      <x:c r="D1374" s="50" t="n">
        <x:v>406</x:v>
      </x:c>
      <x:c r="E1374" s="50" t="n">
        <x:v>153.5</x:v>
      </x:c>
      <x:c r="F1374" s="37" t="n">
        <x:v>0.12465459011360147</x:v>
      </x:c>
      <x:c r="G1374" s="37" t="n">
        <x:v>0.04712926005526558</x:v>
      </x:c>
      <x:c r="H1374" s="56" t="n">
        <x:v>3414.45</x:v>
      </x:c>
      <x:c r="I1374" s="56" t="n">
        <x:v>0.511</x:v>
      </x:c>
      <x:c r="J1374" s="56" t="n">
        <x:v>17.014201038464844</x:v>
      </x:c>
      <x:c r="K1374" s="56" t="n">
        <x:v>55.521301557697264</x:v>
      </x:c>
      <x:c r="L1374" s="56" t="n">
        <x:v>81.45900222528181</x:v>
      </x:c>
    </x:row>
    <x:row r="1375" ht="32.400001525878906" hidden="0" customHeight="1">
      <x:c r="A1375" s="29" t="str">
        <x:v>Miami-Dade County, Florida</x:v>
      </x:c>
      <x:c r="B1375" s="29" t="str">
        <x:v>12086005903</x:v>
      </x:c>
      <x:c r="C1375" s="51" t="n">
        <x:v>5694</x:v>
      </x:c>
      <x:c r="D1375" s="51" t="n">
        <x:v>963</x:v>
      </x:c>
      <x:c r="E1375" s="51" t="n">
        <x:v>447</x:v>
      </x:c>
      <x:c r="F1375" s="38" t="n">
        <x:v>0.1691253951527924</x:v>
      </x:c>
      <x:c r="G1375" s="38" t="n">
        <x:v>0.07850368809272919</x:v>
      </x:c>
      <x:c r="H1375" s="57" t="n">
        <x:v>6075.749999999999</x:v>
      </x:c>
      <x:c r="I1375" s="57" t="n">
        <x:v>0.518</x:v>
      </x:c>
      <x:c r="J1375" s="57" t="n">
        <x:v>17.06848884094442</x:v>
      </x:c>
      <x:c r="K1375" s="57" t="n">
        <x:v>55.602733261416624</x:v>
      </x:c>
      <x:c r="L1375" s="57" t="n">
        <x:v>81.57533323059518</x:v>
      </x:c>
    </x:row>
    <x:row r="1376" ht="32.400001525878906" hidden="0" customHeight="1">
      <x:c r="A1376" s="27" t="str">
        <x:v>Miami-Dade County, Florida</x:v>
      </x:c>
      <x:c r="B1376" s="27" t="str">
        <x:v>12086005904</x:v>
      </x:c>
      <x:c r="C1376" s="50" t="n">
        <x:v>5608</x:v>
      </x:c>
      <x:c r="D1376" s="50" t="n">
        <x:v>610</x:v>
      </x:c>
      <x:c r="E1376" s="50" t="n">
        <x:v>244</x:v>
      </x:c>
      <x:c r="F1376" s="37" t="n">
        <x:v>0.10877318116975748</x:v>
      </x:c>
      <x:c r="G1376" s="37" t="n">
        <x:v>0.043509272467902996</x:v>
      </x:c>
      <x:c r="H1376" s="56" t="n">
        <x:v>5845.9</x:v>
      </x:c>
      <x:c r="I1376" s="56" t="n">
        <x:v>0.545</x:v>
      </x:c>
      <x:c r="J1376" s="56" t="n">
        <x:v>15.032606172593947</x:v>
      </x:c>
      <x:c r="K1376" s="56" t="n">
        <x:v>52.54890925889092</x:v>
      </x:c>
      <x:c r="L1376" s="56" t="n">
        <x:v>77.21272751270132</x:v>
      </x:c>
    </x:row>
    <x:row r="1377" ht="32.400001525878906" hidden="0" customHeight="1">
      <x:c r="A1377" s="29" t="str">
        <x:v>Miami-Dade County, Florida</x:v>
      </x:c>
      <x:c r="B1377" s="29" t="str">
        <x:v>12086006002</x:v>
      </x:c>
      <x:c r="C1377" s="51" t="n">
        <x:v>6616</x:v>
      </x:c>
      <x:c r="D1377" s="51" t="n">
        <x:v>746</x:v>
      </x:c>
      <x:c r="E1377" s="51" t="n">
        <x:v>41</x:v>
      </x:c>
      <x:c r="F1377" s="38" t="n">
        <x:v>0.11275695284159613</x:v>
      </x:c>
      <x:c r="G1377" s="38" t="n">
        <x:v>0.006197097944377267</x:v>
      </x:c>
      <x:c r="H1377" s="57" t="n">
        <x:v>6881.200000000001</x:v>
      </x:c>
      <x:c r="I1377" s="57" t="n">
        <x:v>1.064</x:v>
      </x:c>
      <x:c r="J1377" s="57" t="n">
        <x:v>17.492148909977118</x:v>
      </x:c>
      <x:c r="K1377" s="57" t="n">
        <x:v>56.23822336496568</x:v>
      </x:c>
      <x:c r="L1377" s="57" t="n">
        <x:v>82.48317623566525</x:v>
      </x:c>
    </x:row>
    <x:row r="1378" ht="32.400001525878906" hidden="0" customHeight="1">
      <x:c r="A1378" s="27" t="str">
        <x:v>Miami-Dade County, Florida</x:v>
      </x:c>
      <x:c r="B1378" s="27" t="str">
        <x:v>12086006003</x:v>
      </x:c>
      <x:c r="C1378" s="50" t="n">
        <x:v>3359</x:v>
      </x:c>
      <x:c r="D1378" s="50" t="n">
        <x:v>308</x:v>
      </x:c>
      <x:c r="E1378" s="50" t="n">
        <x:v>177</x:v>
      </x:c>
      <x:c r="F1378" s="37" t="n">
        <x:v>0.09169395653468294</x:v>
      </x:c>
      <x:c r="G1378" s="37" t="n">
        <x:v>0.05269425424233403</x:v>
      </x:c>
      <x:c r="H1378" s="56" t="n">
        <x:v>3484.5</x:v>
      </x:c>
      <x:c r="I1378" s="56" t="n">
        <x:v>0.406</x:v>
      </x:c>
      <x:c r="J1378" s="56" t="n">
        <x:v>16.350136356372737</x:v>
      </x:c>
      <x:c r="K1378" s="56" t="n">
        <x:v>54.52520453455911</x:v>
      </x:c>
      <x:c r="L1378" s="56" t="n">
        <x:v>80.03600647794158</x:v>
      </x:c>
    </x:row>
    <x:row r="1379" ht="32.400001525878906" hidden="0" customHeight="1">
      <x:c r="A1379" s="29" t="str">
        <x:v>Miami-Dade County, Florida</x:v>
      </x:c>
      <x:c r="B1379" s="29" t="str">
        <x:v>12086006004</x:v>
      </x:c>
      <x:c r="C1379" s="51" t="n">
        <x:v>2405</x:v>
      </x:c>
      <x:c r="D1379" s="51" t="n">
        <x:v>223</x:v>
      </x:c>
      <x:c r="E1379" s="51" t="n">
        <x:v>39</x:v>
      </x:c>
      <x:c r="F1379" s="38" t="n">
        <x:v>0.09272349272349273</x:v>
      </x:c>
      <x:c r="G1379" s="38" t="n">
        <x:v>0.016216216216216217</x:v>
      </x:c>
      <x:c r="H1379" s="57" t="n">
        <x:v>2486.95</x:v>
      </x:c>
      <x:c r="I1379" s="57" t="n">
        <x:v>0.521</x:v>
      </x:c>
      <x:c r="J1379" s="57" t="n">
        <x:v>15.47329777691879</x:v>
      </x:c>
      <x:c r="K1379" s="57" t="n">
        <x:v>53.20994666537818</x:v>
      </x:c>
      <x:c r="L1379" s="57" t="n">
        <x:v>78.15706666482598</x:v>
      </x:c>
    </x:row>
    <x:row r="1380" ht="32.400001525878906" hidden="0" customHeight="1">
      <x:c r="A1380" s="27" t="str">
        <x:v>Miami-Dade County, Florida</x:v>
      </x:c>
      <x:c r="B1380" s="27" t="str">
        <x:v>12086006103</x:v>
      </x:c>
      <x:c r="C1380" s="50" t="n">
        <x:v>1966</x:v>
      </x:c>
      <x:c r="D1380" s="50" t="n">
        <x:v>141</x:v>
      </x:c>
      <x:c r="E1380" s="50" t="n">
        <x:v>10</x:v>
      </x:c>
      <x:c r="F1380" s="37" t="n">
        <x:v>0.07171922685656154</x:v>
      </x:c>
      <x:c r="G1380" s="37" t="n">
        <x:v>0.00508646998982706</x:v>
      </x:c>
      <x:c r="H1380" s="56" t="n">
        <x:v>2016.3500000000004</x:v>
      </x:c>
      <x:c r="I1380" s="56" t="n">
        <x:v>0.504</x:v>
      </x:c>
      <x:c r="J1380" s="56" t="n">
        <x:v>12.438643891685013</x:v>
      </x:c>
      <x:c r="K1380" s="56" t="n">
        <x:v>48.65796583752752</x:v>
      </x:c>
      <x:c r="L1380" s="56" t="n">
        <x:v>71.6542369107536</x:v>
      </x:c>
    </x:row>
    <x:row r="1381" ht="32.400001525878906" hidden="0" customHeight="1">
      <x:c r="A1381" s="29" t="str">
        <x:v>Miami-Dade County, Florida</x:v>
      </x:c>
      <x:c r="B1381" s="29" t="str">
        <x:v>12086006104</x:v>
      </x:c>
      <x:c r="C1381" s="51" t="n">
        <x:v>4160</x:v>
      </x:c>
      <x:c r="D1381" s="51" t="n">
        <x:v>213</x:v>
      </x:c>
      <x:c r="E1381" s="51" t="n">
        <x:v>123.5</x:v>
      </x:c>
      <x:c r="F1381" s="38" t="n">
        <x:v>0.051201923076923075</x:v>
      </x:c>
      <x:c r="G1381" s="38" t="n">
        <x:v>0.0296875</x:v>
      </x:c>
      <x:c r="H1381" s="57" t="n">
        <x:v>4246.9</x:v>
      </x:c>
      <x:c r="I1381" s="57" t="n">
        <x:v>1.008</x:v>
      </x:c>
      <x:c r="J1381" s="57" t="n">
        <x:v>13.436248047335692</x:v>
      </x:c>
      <x:c r="K1381" s="57" t="n">
        <x:v>50.154372071003536</x:v>
      </x:c>
      <x:c r="L1381" s="57" t="n">
        <x:v>73.79196010143363</x:v>
      </x:c>
    </x:row>
    <x:row r="1382" ht="32.400001525878906" hidden="0" customHeight="1">
      <x:c r="A1382" s="27" t="str">
        <x:v>Miami-Dade County, Florida</x:v>
      </x:c>
      <x:c r="B1382" s="27" t="str">
        <x:v>12086006105</x:v>
      </x:c>
      <x:c r="C1382" s="50" t="n">
        <x:v>2268</x:v>
      </x:c>
      <x:c r="D1382" s="50" t="n">
        <x:v>186</x:v>
      </x:c>
      <x:c r="E1382" s="50" t="n">
        <x:v>7</x:v>
      </x:c>
      <x:c r="F1382" s="37" t="n">
        <x:v>0.082010582010582</x:v>
      </x:c>
      <x:c r="G1382" s="37" t="n">
        <x:v>0.0030864197530864196</x:v>
      </x:c>
      <x:c r="H1382" s="56" t="n">
        <x:v>2333.8</x:v>
      </x:c>
      <x:c r="I1382" s="56" t="n">
        <x:v>0.413</x:v>
      </x:c>
      <x:c r="J1382" s="56" t="n">
        <x:v>13.265217672292742</x:v>
      </x:c>
      <x:c r="K1382" s="56" t="n">
        <x:v>49.89782650843911</x:v>
      </x:c>
      <x:c r="L1382" s="56" t="n">
        <x:v>73.4254664406273</x:v>
      </x:c>
    </x:row>
    <x:row r="1383" ht="32.400001525878906" hidden="0" customHeight="1">
      <x:c r="A1383" s="29" t="str">
        <x:v>Miami-Dade County, Florida</x:v>
      </x:c>
      <x:c r="B1383" s="29" t="str">
        <x:v>12086006106</x:v>
      </x:c>
      <x:c r="C1383" s="51" t="n">
        <x:v>2343</x:v>
      </x:c>
      <x:c r="D1383" s="51" t="n">
        <x:v>143</x:v>
      </x:c>
      <x:c r="E1383" s="51" t="n">
        <x:v>64</x:v>
      </x:c>
      <x:c r="F1383" s="38" t="n">
        <x:v>0.06103286384976526</x:v>
      </x:c>
      <x:c r="G1383" s="38" t="n">
        <x:v>0.02731540759709774</x:v>
      </x:c>
      <x:c r="H1383" s="57" t="n">
        <x:v>2399.45</x:v>
      </x:c>
      <x:c r="I1383" s="57" t="n">
        <x:v>0.416</x:v>
      </x:c>
      <x:c r="J1383" s="57" t="n">
        <x:v>11.863844171422212</x:v>
      </x:c>
      <x:c r="K1383" s="57" t="n">
        <x:v>47.795766257133316</x:v>
      </x:c>
      <x:c r="L1383" s="57" t="n">
        <x:v>70.42252322447617</x:v>
      </x:c>
    </x:row>
    <x:row r="1384" ht="32.400001525878906" hidden="0" customHeight="1">
      <x:c r="A1384" s="27" t="str">
        <x:v>Miami-Dade County, Florida</x:v>
      </x:c>
      <x:c r="B1384" s="27" t="str">
        <x:v>12086006201</x:v>
      </x:c>
      <x:c r="C1384" s="50" t="n">
        <x:v>3060</x:v>
      </x:c>
      <x:c r="D1384" s="50" t="n">
        <x:v>142</x:v>
      </x:c>
      <x:c r="E1384" s="50" t="n">
        <x:v>354</x:v>
      </x:c>
      <x:c r="F1384" s="37" t="n">
        <x:v>0.046405228758169936</x:v>
      </x:c>
      <x:c r="G1384" s="37" t="n">
        <x:v>0.11568627450980393</x:v>
      </x:c>
      <x:c r="H1384" s="56" t="n">
        <x:v>3145.1</x:v>
      </x:c>
      <x:c r="I1384" s="56" t="n">
        <x:v>0.246</x:v>
      </x:c>
      <x:c r="J1384" s="56" t="n">
        <x:v>10.61564085811378</x:v>
      </x:c>
      <x:c r="K1384" s="56" t="n">
        <x:v>45.92346128717067</x:v>
      </x:c>
      <x:c r="L1384" s="56" t="n">
        <x:v>67.74780183881523</x:v>
      </x:c>
    </x:row>
    <x:row r="1385" ht="32.400001525878906" hidden="0" customHeight="1">
      <x:c r="A1385" s="29" t="str">
        <x:v>Miami-Dade County, Florida</x:v>
      </x:c>
      <x:c r="B1385" s="29" t="str">
        <x:v>12086006203</x:v>
      </x:c>
      <x:c r="C1385" s="51" t="n">
        <x:v>2711</x:v>
      </x:c>
      <x:c r="D1385" s="51" t="n">
        <x:v>241</x:v>
      </x:c>
      <x:c r="E1385" s="51" t="n">
        <x:v>179</x:v>
      </x:c>
      <x:c r="F1385" s="38" t="n">
        <x:v>0.08889708594614533</x:v>
      </x:c>
      <x:c r="G1385" s="38" t="n">
        <x:v>0.06602729620066396</x:v>
      </x:c>
      <x:c r="H1385" s="57" t="n">
        <x:v>2813.25</x:v>
      </x:c>
      <x:c r="I1385" s="57" t="n">
        <x:v>0.37</x:v>
      </x:c>
      <x:c r="J1385" s="57" t="n">
        <x:v>11.150869939668446</x:v>
      </x:c>
      <x:c r="K1385" s="57" t="n">
        <x:v>46.72630490950267</x:v>
      </x:c>
      <x:c r="L1385" s="57" t="n">
        <x:v>68.89472129928953</x:v>
      </x:c>
    </x:row>
    <x:row r="1386" ht="32.400001525878906" hidden="0" customHeight="1">
      <x:c r="A1386" s="27" t="str">
        <x:v>Miami-Dade County, Florida</x:v>
      </x:c>
      <x:c r="B1386" s="27" t="str">
        <x:v>12086006205</x:v>
      </x:c>
      <x:c r="C1386" s="50" t="n">
        <x:v>3481</x:v>
      </x:c>
      <x:c r="D1386" s="50" t="n">
        <x:v>252</x:v>
      </x:c>
      <x:c r="E1386" s="50" t="n">
        <x:v>309</x:v>
      </x:c>
      <x:c r="F1386" s="37" t="n">
        <x:v>0.07239299051996553</x:v>
      </x:c>
      <x:c r="G1386" s="37" t="n">
        <x:v>0.08876759551852915</x:v>
      </x:c>
      <x:c r="H1386" s="56" t="n">
        <x:v>3600.0999999999995</x:v>
      </x:c>
      <x:c r="I1386" s="56" t="n">
        <x:v>0.212</x:v>
      </x:c>
      <x:c r="J1386" s="56" t="n">
        <x:v>9.833012087752797</x:v>
      </x:c>
      <x:c r="K1386" s="56" t="n">
        <x:v>44.749518131629195</x:v>
      </x:c>
      <x:c r="L1386" s="56" t="n">
        <x:v>66.07074018804171</x:v>
      </x:c>
    </x:row>
    <x:row r="1387" ht="32.400001525878906" hidden="0" customHeight="1">
      <x:c r="A1387" s="29" t="str">
        <x:v>Miami-Dade County, Florida</x:v>
      </x:c>
      <x:c r="B1387" s="29" t="str">
        <x:v>12086006206</x:v>
      </x:c>
      <x:c r="C1387" s="51" t="n">
        <x:v>3925</x:v>
      </x:c>
      <x:c r="D1387" s="51" t="n">
        <x:v>346</x:v>
      </x:c>
      <x:c r="E1387" s="51" t="n">
        <x:v>81</x:v>
      </x:c>
      <x:c r="F1387" s="38" t="n">
        <x:v>0.08815286624203822</x:v>
      </x:c>
      <x:c r="G1387" s="38" t="n">
        <x:v>0.020636942675159236</x:v>
      </x:c>
      <x:c r="H1387" s="57" t="n">
        <x:v>4054.2000000000003</x:v>
      </x:c>
      <x:c r="I1387" s="57" t="n">
        <x:v>0.332</x:v>
      </x:c>
      <x:c r="J1387" s="57" t="n">
        <x:v>10.676386670223476</x:v>
      </x:c>
      <x:c r="K1387" s="57" t="n">
        <x:v>46.01458000533521</x:v>
      </x:c>
      <x:c r="L1387" s="57" t="n">
        <x:v>67.87797143619316</x:v>
      </x:c>
    </x:row>
    <x:row r="1388" ht="32.400001525878906" hidden="0" customHeight="1">
      <x:c r="A1388" s="27" t="str">
        <x:v>Miami-Dade County, Florida</x:v>
      </x:c>
      <x:c r="B1388" s="27" t="str">
        <x:v>12086006302</x:v>
      </x:c>
      <x:c r="C1388" s="50" t="n">
        <x:v>5804</x:v>
      </x:c>
      <x:c r="D1388" s="50" t="n">
        <x:v>444</x:v>
      </x:c>
      <x:c r="E1388" s="50" t="n">
        <x:v>346</x:v>
      </x:c>
      <x:c r="F1388" s="37" t="n">
        <x:v>0.07649896623018608</x:v>
      </x:c>
      <x:c r="G1388" s="37" t="n">
        <x:v>0.05961405926946933</x:v>
      </x:c>
      <x:c r="H1388" s="56" t="n">
        <x:v>5993.999999999999</x:v>
      </x:c>
      <x:c r="I1388" s="56" t="n">
        <x:v>0.535</x:v>
      </x:c>
      <x:c r="J1388" s="56" t="n">
        <x:v>8.880929077581564</x:v>
      </x:c>
      <x:c r="K1388" s="56" t="n">
        <x:v>43.32139361637235</x:v>
      </x:c>
      <x:c r="L1388" s="56" t="n">
        <x:v>64.03056230910335</x:v>
      </x:c>
    </x:row>
    <x:row r="1389" ht="32.400001525878906" hidden="0" customHeight="1">
      <x:c r="A1389" s="29" t="str">
        <x:v>Miami-Dade County, Florida</x:v>
      </x:c>
      <x:c r="B1389" s="29" t="str">
        <x:v>12086006303</x:v>
      </x:c>
      <x:c r="C1389" s="51" t="n">
        <x:v>3823</x:v>
      </x:c>
      <x:c r="D1389" s="51" t="n">
        <x:v>590</x:v>
      </x:c>
      <x:c r="E1389" s="51" t="n">
        <x:v>573</x:v>
      </x:c>
      <x:c r="F1389" s="38" t="n">
        <x:v>0.15432906094690035</x:v>
      </x:c>
      <x:c r="G1389" s="38" t="n">
        <x:v>0.14988229139419304</x:v>
      </x:c>
      <x:c r="H1389" s="57" t="n">
        <x:v>4086.8</x:v>
      </x:c>
      <x:c r="I1389" s="57" t="n">
        <x:v>0.245</x:v>
      </x:c>
      <x:c r="J1389" s="57" t="n">
        <x:v>7.919650829031147</x:v>
      </x:c>
      <x:c r="K1389" s="57" t="n">
        <x:v>41.87947624354672</x:v>
      </x:c>
      <x:c r="L1389" s="57" t="n">
        <x:v>61.97068034792389</x:v>
      </x:c>
    </x:row>
    <x:row r="1390" ht="32.400001525878906" hidden="0" customHeight="1">
      <x:c r="A1390" s="27" t="str">
        <x:v>Miami-Dade County, Florida</x:v>
      </x:c>
      <x:c r="B1390" s="27" t="str">
        <x:v>12086006304</x:v>
      </x:c>
      <x:c r="C1390" s="50" t="n">
        <x:v>3197</x:v>
      </x:c>
      <x:c r="D1390" s="50" t="n">
        <x:v>576</x:v>
      </x:c>
      <x:c r="E1390" s="50" t="n">
        <x:v>227</x:v>
      </x:c>
      <x:c r="F1390" s="37" t="n">
        <x:v>0.18016890835157962</x:v>
      </x:c>
      <x:c r="G1390" s="37" t="n">
        <x:v>0.07100406631216766</x:v>
      </x:c>
      <x:c r="H1390" s="56" t="n">
        <x:v>3421.3</x:v>
      </x:c>
      <x:c r="I1390" s="56" t="n">
        <x:v>0.258</x:v>
      </x:c>
      <x:c r="J1390" s="56" t="n">
        <x:v>8.928951264616824</x:v>
      </x:c>
      <x:c r="K1390" s="56" t="n">
        <x:v>43.393426896925234</x:v>
      </x:c>
      <x:c r="L1390" s="56" t="n">
        <x:v>64.13346699560748</x:v>
      </x:c>
    </x:row>
    <x:row r="1391" ht="32.400001525878906" hidden="0" customHeight="1">
      <x:c r="A1391" s="29" t="str">
        <x:v>Miami-Dade County, Florida</x:v>
      </x:c>
      <x:c r="B1391" s="29" t="str">
        <x:v>12086006401</x:v>
      </x:c>
      <x:c r="C1391" s="51" t="n">
        <x:v>3543</x:v>
      </x:c>
      <x:c r="D1391" s="51" t="n">
        <x:v>490</x:v>
      </x:c>
      <x:c r="E1391" s="51" t="n">
        <x:v>336</x:v>
      </x:c>
      <x:c r="F1391" s="38" t="n">
        <x:v>0.13830087496471916</x:v>
      </x:c>
      <x:c r="G1391" s="38" t="n">
        <x:v>0.09483488569009314</x:v>
      </x:c>
      <x:c r="H1391" s="57" t="n">
        <x:v>3748.1000000000004</x:v>
      </x:c>
      <x:c r="I1391" s="57" t="n">
        <x:v>0.257</x:v>
      </x:c>
      <x:c r="J1391" s="57" t="n">
        <x:v>6.92707374763992</x:v>
      </x:c>
      <x:c r="K1391" s="57" t="n">
        <x:v>40.39061062145988</x:v>
      </x:c>
      <x:c r="L1391" s="57" t="n">
        <x:v>59.8437294592284</x:v>
      </x:c>
    </x:row>
    <x:row r="1392" ht="32.400001525878906" hidden="0" customHeight="1">
      <x:c r="A1392" s="27" t="str">
        <x:v>Miami-Dade County, Florida</x:v>
      </x:c>
      <x:c r="B1392" s="27" t="str">
        <x:v>12086006402</x:v>
      </x:c>
      <x:c r="C1392" s="50" t="n">
        <x:v>4370</x:v>
      </x:c>
      <x:c r="D1392" s="50" t="n">
        <x:v>325</x:v>
      </x:c>
      <x:c r="E1392" s="50" t="n">
        <x:v>180</x:v>
      </x:c>
      <x:c r="F1392" s="37" t="n">
        <x:v>0.07437070938215103</x:v>
      </x:c>
      <x:c r="G1392" s="37" t="n">
        <x:v>0.041189931350114416</x:v>
      </x:c>
      <x:c r="H1392" s="56" t="n">
        <x:v>4501.75</x:v>
      </x:c>
      <x:c r="I1392" s="56" t="n">
        <x:v>0.257</x:v>
      </x:c>
      <x:c r="J1392" s="56" t="n">
        <x:v>5.984093790237802</x:v>
      </x:c>
      <x:c r="K1392" s="56" t="n">
        <x:v>38.976140685356704</x:v>
      </x:c>
      <x:c r="L1392" s="56" t="n">
        <x:v>57.823058121938146</x:v>
      </x:c>
    </x:row>
    <x:row r="1393" ht="32.400001525878906" hidden="0" customHeight="1">
      <x:c r="A1393" s="29" t="str">
        <x:v>Miami-Dade County, Florida</x:v>
      </x:c>
      <x:c r="B1393" s="29" t="str">
        <x:v>12086006403</x:v>
      </x:c>
      <x:c r="C1393" s="51" t="n">
        <x:v>3279</x:v>
      </x:c>
      <x:c r="D1393" s="51" t="n">
        <x:v>701</x:v>
      </x:c>
      <x:c r="E1393" s="51" t="n">
        <x:v>246</x:v>
      </x:c>
      <x:c r="F1393" s="38" t="n">
        <x:v>0.21378469045440684</x:v>
      </x:c>
      <x:c r="G1393" s="38" t="n">
        <x:v>0.07502287282708142</x:v>
      </x:c>
      <x:c r="H1393" s="57" t="n">
        <x:v>3548.95</x:v>
      </x:c>
      <x:c r="I1393" s="57" t="n">
        <x:v>0.273</x:v>
      </x:c>
      <x:c r="J1393" s="57" t="n">
        <x:v>5.132841100388267</x:v>
      </x:c>
      <x:c r="K1393" s="57" t="n">
        <x:v>37.6992616505824</x:v>
      </x:c>
      <x:c r="L1393" s="57" t="n">
        <x:v>55.998945215117715</x:v>
      </x:c>
    </x:row>
    <x:row r="1394" ht="32.400001525878906" hidden="0" customHeight="1">
      <x:c r="A1394" s="27" t="str">
        <x:v>Miami-Dade County, Florida</x:v>
      </x:c>
      <x:c r="B1394" s="27" t="str">
        <x:v>12086006501</x:v>
      </x:c>
      <x:c r="C1394" s="50" t="n">
        <x:v>3386</x:v>
      </x:c>
      <x:c r="D1394" s="50" t="n">
        <x:v>429</x:v>
      </x:c>
      <x:c r="E1394" s="50" t="n">
        <x:v>123</x:v>
      </x:c>
      <x:c r="F1394" s="37" t="n">
        <x:v>0.12669816893089192</x:v>
      </x:c>
      <x:c r="G1394" s="37" t="n">
        <x:v>0.036326048434731244</x:v>
      </x:c>
      <x:c r="H1394" s="56" t="n">
        <x:v>3548.45</x:v>
      </x:c>
      <x:c r="I1394" s="56" t="n">
        <x:v>0.262</x:v>
      </x:c>
      <x:c r="J1394" s="56" t="n">
        <x:v>7.5227704720157496</x:v>
      </x:c>
      <x:c r="K1394" s="56" t="n">
        <x:v>41.284155708023626</x:v>
      </x:c>
      <x:c r="L1394" s="56" t="n">
        <x:v>61.12022244003375</x:v>
      </x:c>
    </x:row>
    <x:row r="1395" ht="32.400001525878906" hidden="0" customHeight="1">
      <x:c r="A1395" s="29" t="str">
        <x:v>Miami-Dade County, Florida</x:v>
      </x:c>
      <x:c r="B1395" s="29" t="str">
        <x:v>12086006503</x:v>
      </x:c>
      <x:c r="C1395" s="51" t="n">
        <x:v>2273</x:v>
      </x:c>
      <x:c r="D1395" s="51" t="n">
        <x:v>303</x:v>
      </x:c>
      <x:c r="E1395" s="51" t="n">
        <x:v>152</x:v>
      </x:c>
      <x:c r="F1395" s="38" t="n">
        <x:v>0.13330400351957766</x:v>
      </x:c>
      <x:c r="G1395" s="38" t="n">
        <x:v>0.06687197536295644</x:v>
      </x:c>
      <x:c r="H1395" s="57" t="n">
        <x:v>2394.25</x:v>
      </x:c>
      <x:c r="I1395" s="57" t="n">
        <x:v>0.26</x:v>
      </x:c>
      <x:c r="J1395" s="57" t="n">
        <x:v>6.668819610948105</x:v>
      </x:c>
      <x:c r="K1395" s="57" t="n">
        <x:v>40.00322941642216</x:v>
      </x:c>
      <x:c r="L1395" s="57" t="n">
        <x:v>59.29032773774594</x:v>
      </x:c>
    </x:row>
    <x:row r="1396" ht="32.400001525878906" hidden="0" customHeight="1">
      <x:c r="A1396" s="27" t="str">
        <x:v>Miami-Dade County, Florida</x:v>
      </x:c>
      <x:c r="B1396" s="27" t="str">
        <x:v>12086006504</x:v>
      </x:c>
      <x:c r="C1396" s="50" t="n">
        <x:v>1862</x:v>
      </x:c>
      <x:c r="D1396" s="50" t="n">
        <x:v>267</x:v>
      </x:c>
      <x:c r="E1396" s="50" t="n">
        <x:v>142</x:v>
      </x:c>
      <x:c r="F1396" s="37" t="n">
        <x:v>0.14339419978517723</x:v>
      </x:c>
      <x:c r="G1396" s="37" t="n">
        <x:v>0.07626208378088077</x:v>
      </x:c>
      <x:c r="H1396" s="56" t="n">
        <x:v>1969.6499999999999</x:v>
      </x:c>
      <x:c r="I1396" s="56" t="n">
        <x:v>0.235</x:v>
      </x:c>
      <x:c r="J1396" s="56" t="n">
        <x:v>5.933190215303714</x:v>
      </x:c>
      <x:c r="K1396" s="56" t="n">
        <x:v>38.89978532295557</x:v>
      </x:c>
      <x:c r="L1396" s="56" t="n">
        <x:v>57.713979032793674</x:v>
      </x:c>
    </x:row>
    <x:row r="1397" ht="32.400001525878906" hidden="0" customHeight="1">
      <x:c r="A1397" s="29" t="str">
        <x:v>Miami-Dade County, Florida</x:v>
      </x:c>
      <x:c r="B1397" s="29" t="str">
        <x:v>12086006603</x:v>
      </x:c>
      <x:c r="C1397" s="51" t="n">
        <x:v>2783</x:v>
      </x:c>
      <x:c r="D1397" s="51" t="n">
        <x:v>251</x:v>
      </x:c>
      <x:c r="E1397" s="51" t="n">
        <x:v>688</x:v>
      </x:c>
      <x:c r="F1397" s="38" t="n">
        <x:v>0.09019044196909809</x:v>
      </x:c>
      <x:c r="G1397" s="38" t="n">
        <x:v>0.24721523535752785</x:v>
      </x:c>
      <x:c r="H1397" s="57" t="n">
        <x:v>2939.65</x:v>
      </x:c>
      <x:c r="I1397" s="57" t="n">
        <x:v>0.054</x:v>
      </x:c>
      <x:c r="J1397" s="57" t="n">
        <x:v>3.4022193719765315</x:v>
      </x:c>
      <x:c r="K1397" s="57" t="n">
        <x:v>35.1033290579648</x:v>
      </x:c>
      <x:c r="L1397" s="57" t="n">
        <x:v>52.290470082806856</x:v>
      </x:c>
    </x:row>
    <x:row r="1398" ht="32.400001525878906" hidden="0" customHeight="1">
      <x:c r="A1398" s="27" t="str">
        <x:v>Miami-Dade County, Florida</x:v>
      </x:c>
      <x:c r="B1398" s="27" t="str">
        <x:v>12086006604</x:v>
      </x:c>
      <x:c r="C1398" s="50" t="n">
        <x:v>2183</x:v>
      </x:c>
      <x:c r="D1398" s="50" t="n">
        <x:v>230</x:v>
      </x:c>
      <x:c r="E1398" s="50" t="n">
        <x:v>389</x:v>
      </x:c>
      <x:c r="F1398" s="37" t="n">
        <x:v>0.10535959688502061</x:v>
      </x:c>
      <x:c r="G1398" s="37" t="n">
        <x:v>0.17819514429683922</x:v>
      </x:c>
      <x:c r="H1398" s="56" t="n">
        <x:v>2302.4000000000005</x:v>
      </x:c>
      <x:c r="I1398" s="56" t="n">
        <x:v>0.047</x:v>
      </x:c>
      <x:c r="J1398" s="56" t="n">
        <x:v>3.4155506803687232</x:v>
      </x:c>
      <x:c r="K1398" s="56" t="n">
        <x:v>35.12332602055309</x:v>
      </x:c>
      <x:c r="L1398" s="56" t="n">
        <x:v>52.31903717221869</x:v>
      </x:c>
    </x:row>
    <x:row r="1399" ht="32.400001525878906" hidden="0" customHeight="1">
      <x:c r="A1399" s="29" t="str">
        <x:v>Miami-Dade County, Florida</x:v>
      </x:c>
      <x:c r="B1399" s="29" t="str">
        <x:v>12086006605</x:v>
      </x:c>
      <x:c r="C1399" s="51" t="n">
        <x:v>1656</x:v>
      </x:c>
      <x:c r="D1399" s="51" t="n">
        <x:v>28</x:v>
      </x:c>
      <x:c r="E1399" s="51" t="n">
        <x:v>207</x:v>
      </x:c>
      <x:c r="F1399" s="38" t="n">
        <x:v>0.016908212560386472</x:v>
      </x:c>
      <x:c r="G1399" s="38" t="n">
        <x:v>0.125</x:v>
      </x:c>
      <x:c r="H1399" s="57" t="n">
        <x:v>1686.4999999999998</x:v>
      </x:c>
      <x:c r="I1399" s="57" t="n">
        <x:v>0.059</x:v>
      </x:c>
      <x:c r="J1399" s="57" t="n">
        <x:v>2.9506354444496172</x:v>
      </x:c>
      <x:c r="K1399" s="57" t="n">
        <x:v>34.425953166674425</x:v>
      </x:c>
      <x:c r="L1399" s="57" t="n">
        <x:v>51.32279023810632</x:v>
      </x:c>
    </x:row>
    <x:row r="1400" ht="32.400001525878906" hidden="0" customHeight="1">
      <x:c r="A1400" s="27" t="str">
        <x:v>Miami-Dade County, Florida</x:v>
      </x:c>
      <x:c r="B1400" s="27" t="str">
        <x:v>12086006606</x:v>
      </x:c>
      <x:c r="C1400" s="50" t="n">
        <x:v>1181</x:v>
      </x:c>
      <x:c r="D1400" s="50" t="n">
        <x:v>137</x:v>
      </x:c>
      <x:c r="E1400" s="50" t="n">
        <x:v>171</x:v>
      </x:c>
      <x:c r="F1400" s="37" t="n">
        <x:v>0.11600338696020322</x:v>
      </x:c>
      <x:c r="G1400" s="37" t="n">
        <x:v>0.14479254868755292</x:v>
      </x:c>
      <x:c r="H1400" s="56" t="n">
        <x:v>1246.05</x:v>
      </x:c>
      <x:c r="I1400" s="56" t="n">
        <x:v>0.083</x:v>
      </x:c>
      <x:c r="J1400" s="56" t="n">
        <x:v>3.335096792761554</x:v>
      </x:c>
      <x:c r="K1400" s="56" t="n">
        <x:v>35.00264518914233</x:v>
      </x:c>
      <x:c r="L1400" s="56" t="n">
        <x:v>52.146635984489045</x:v>
      </x:c>
    </x:row>
    <x:row r="1401" ht="32.400001525878906" hidden="0" customHeight="1">
      <x:c r="A1401" s="29" t="str">
        <x:v>Miami-Dade County, Florida</x:v>
      </x:c>
      <x:c r="B1401" s="29" t="str">
        <x:v>12086006607</x:v>
      </x:c>
      <x:c r="C1401" s="51" t="n">
        <x:v>3178</x:v>
      </x:c>
      <x:c r="D1401" s="51" t="n">
        <x:v>363</x:v>
      </x:c>
      <x:c r="E1401" s="51" t="n">
        <x:v>240</x:v>
      </x:c>
      <x:c r="F1401" s="38" t="n">
        <x:v>0.11422278162366269</x:v>
      </x:c>
      <x:c r="G1401" s="38" t="n">
        <x:v>0.07551919446192575</x:v>
      </x:c>
      <x:c r="H1401" s="57" t="n">
        <x:v>3329.05</x:v>
      </x:c>
      <x:c r="I1401" s="57" t="n">
        <x:v>0.147</x:v>
      </x:c>
      <x:c r="J1401" s="57" t="n">
        <x:v>3.9134620610003674</x:v>
      </x:c>
      <x:c r="K1401" s="57" t="n">
        <x:v>35.87019309150055</x:v>
      </x:c>
      <x:c r="L1401" s="57" t="n">
        <x:v>53.38599013071507</x:v>
      </x:c>
    </x:row>
    <x:row r="1402" ht="32.400001525878906" hidden="0" customHeight="1">
      <x:c r="A1402" s="27" t="str">
        <x:v>Miami-Dade County, Florida</x:v>
      </x:c>
      <x:c r="B1402" s="27" t="str">
        <x:v>12086006608</x:v>
      </x:c>
      <x:c r="C1402" s="50" t="n">
        <x:v>3423</x:v>
      </x:c>
      <x:c r="D1402" s="50" t="n">
        <x:v>211</x:v>
      </x:c>
      <x:c r="E1402" s="50" t="n">
        <x:v>199</x:v>
      </x:c>
      <x:c r="F1402" s="37" t="n">
        <x:v>0.061641834647969615</x:v>
      </x:c>
      <x:c r="G1402" s="37" t="n">
        <x:v>0.05813613789073912</x:v>
      </x:c>
      <x:c r="H1402" s="56" t="n">
        <x:v>3516.7499999999995</x:v>
      </x:c>
      <x:c r="I1402" s="56" t="n">
        <x:v>0.43</x:v>
      </x:c>
      <x:c r="J1402" s="56" t="n">
        <x:v>4.612760535684593</x:v>
      </x:c>
      <x:c r="K1402" s="56" t="n">
        <x:v>36.919140803526886</x:v>
      </x:c>
      <x:c r="L1402" s="56" t="n">
        <x:v>54.88448686218127</x:v>
      </x:c>
    </x:row>
    <x:row r="1403" ht="32.400001525878906" hidden="0" customHeight="1">
      <x:c r="A1403" s="29" t="str">
        <x:v>Miami-Dade County, Florida</x:v>
      </x:c>
      <x:c r="B1403" s="29" t="str">
        <x:v>12086006705</x:v>
      </x:c>
      <x:c r="C1403" s="51" t="n">
        <x:v>3894</x:v>
      </x:c>
      <x:c r="D1403" s="51" t="n">
        <x:v>217</x:v>
      </x:c>
      <x:c r="E1403" s="51" t="n">
        <x:v>179</x:v>
      </x:c>
      <x:c r="F1403" s="38" t="n">
        <x:v>0.05572675911658963</x:v>
      </x:c>
      <x:c r="G1403" s="38" t="n">
        <x:v>0.04596815613764766</x:v>
      </x:c>
      <x:c r="H1403" s="57" t="n">
        <x:v>3987.85</x:v>
      </x:c>
      <x:c r="I1403" s="57" t="n">
        <x:v>0.073</x:v>
      </x:c>
      <x:c r="J1403" s="57" t="n">
        <x:v>4.447335286751053</x:v>
      </x:c>
      <x:c r="K1403" s="57" t="n">
        <x:v>36.671002930126576</x:v>
      </x:c>
      <x:c r="L1403" s="57" t="n">
        <x:v>54.53000418589511</x:v>
      </x:c>
    </x:row>
    <x:row r="1404" ht="32.400001525878906" hidden="0" customHeight="1">
      <x:c r="A1404" s="27" t="str">
        <x:v>Miami-Dade County, Florida</x:v>
      </x:c>
      <x:c r="B1404" s="27" t="str">
        <x:v>12086006706</x:v>
      </x:c>
      <x:c r="C1404" s="50" t="n">
        <x:v>2948</x:v>
      </x:c>
      <x:c r="D1404" s="50" t="n">
        <x:v>196</x:v>
      </x:c>
      <x:c r="E1404" s="50" t="n">
        <x:v>63</x:v>
      </x:c>
      <x:c r="F1404" s="37" t="n">
        <x:v>0.06648575305291723</x:v>
      </x:c>
      <x:c r="G1404" s="37" t="n">
        <x:v>0.021370420624151967</x:v>
      </x:c>
      <x:c r="H1404" s="56" t="n">
        <x:v>3022.9</x:v>
      </x:c>
      <x:c r="I1404" s="56" t="n">
        <x:v>0.104</x:v>
      </x:c>
      <x:c r="J1404" s="56" t="n">
        <x:v>5.90420351475638</x:v>
      </x:c>
      <x:c r="K1404" s="56" t="n">
        <x:v>38.85630527213457</x:v>
      </x:c>
      <x:c r="L1404" s="56" t="n">
        <x:v>57.651864674477956</x:v>
      </x:c>
    </x:row>
    <x:row r="1405" ht="32.400001525878906" hidden="0" customHeight="1">
      <x:c r="A1405" s="29" t="str">
        <x:v>Miami-Dade County, Florida</x:v>
      </x:c>
      <x:c r="B1405" s="29" t="str">
        <x:v>12086006707</x:v>
      </x:c>
      <x:c r="C1405" s="51" t="n">
        <x:v>4191</x:v>
      </x:c>
      <x:c r="D1405" s="51" t="n">
        <x:v>173</x:v>
      </x:c>
      <x:c r="E1405" s="51" t="n">
        <x:v>233</x:v>
      </x:c>
      <x:c r="F1405" s="38" t="n">
        <x:v>0.04127893104271057</x:v>
      </x:c>
      <x:c r="G1405" s="38" t="n">
        <x:v>0.05559532331185874</x:v>
      </x:c>
      <x:c r="H1405" s="57" t="n">
        <x:v>4274.849999999999</x:v>
      </x:c>
      <x:c r="I1405" s="57" t="n">
        <x:v>0.07</x:v>
      </x:c>
      <x:c r="J1405" s="57" t="n">
        <x:v>3.0567996038660694</x:v>
      </x:c>
      <x:c r="K1405" s="57" t="n">
        <x:v>34.5851994057991</x:v>
      </x:c>
      <x:c r="L1405" s="57" t="n">
        <x:v>51.550284865427294</x:v>
      </x:c>
    </x:row>
    <x:row r="1406" ht="32.400001525878906" hidden="0" customHeight="1">
      <x:c r="A1406" s="27" t="str">
        <x:v>Miami-Dade County, Florida</x:v>
      </x:c>
      <x:c r="B1406" s="27" t="str">
        <x:v>12086006709</x:v>
      </x:c>
      <x:c r="C1406" s="50" t="n">
        <x:v>1925</x:v>
      </x:c>
      <x:c r="D1406" s="50" t="n">
        <x:v>20</x:v>
      </x:c>
      <x:c r="E1406" s="50" t="n">
        <x:v>219.5</x:v>
      </x:c>
      <x:c r="F1406" s="37" t="n">
        <x:v>0.01038961038961039</x:v>
      </x:c>
      <x:c r="G1406" s="37" t="n">
        <x:v>0.11402597402597403</x:v>
      </x:c>
      <x:c r="H1406" s="56" t="n">
        <x:v>1953.9499999999998</x:v>
      </x:c>
      <x:c r="I1406" s="56" t="n">
        <x:v>0.036</x:v>
      </x:c>
      <x:c r="J1406" s="56" t="n">
        <x:v>2.718471116126412</x:v>
      </x:c>
      <x:c r="K1406" s="56" t="n">
        <x:v>34.07770667418962</x:v>
      </x:c>
      <x:c r="L1406" s="56" t="n">
        <x:v>50.82529524884231</x:v>
      </x:c>
    </x:row>
    <x:row r="1407" ht="32.400001525878906" hidden="0" customHeight="1">
      <x:c r="A1407" s="29" t="str">
        <x:v>Miami-Dade County, Florida</x:v>
      </x:c>
      <x:c r="B1407" s="29" t="str">
        <x:v>12086006713</x:v>
      </x:c>
      <x:c r="C1407" s="51" t="n">
        <x:v>1782</x:v>
      </x:c>
      <x:c r="D1407" s="51" t="n">
        <x:v>33</x:v>
      </x:c>
      <x:c r="E1407" s="51" t="n">
        <x:v>141</x:v>
      </x:c>
      <x:c r="F1407" s="38" t="n">
        <x:v>0.018518518518518517</x:v>
      </x:c>
      <x:c r="G1407" s="38" t="n">
        <x:v>0.07912457912457913</x:v>
      </x:c>
      <x:c r="H1407" s="57" t="n">
        <x:v>1807.65</x:v>
      </x:c>
      <x:c r="I1407" s="57" t="n">
        <x:v>0.037</x:v>
      </x:c>
      <x:c r="J1407" s="57" t="n">
        <x:v>3.569464904362315</x:v>
      </x:c>
      <x:c r="K1407" s="57" t="n">
        <x:v>35.35419735654347</x:v>
      </x:c>
      <x:c r="L1407" s="57" t="n">
        <x:v>52.64885336649068</x:v>
      </x:c>
    </x:row>
    <x:row r="1408" ht="32.400001525878906" hidden="0" customHeight="1">
      <x:c r="A1408" s="27" t="str">
        <x:v>Miami-Dade County, Florida</x:v>
      </x:c>
      <x:c r="B1408" s="27" t="str">
        <x:v>12086006714</x:v>
      </x:c>
      <x:c r="C1408" s="50" t="n">
        <x:v>2197</x:v>
      </x:c>
      <x:c r="D1408" s="50" t="n">
        <x:v>113</x:v>
      </x:c>
      <x:c r="E1408" s="50" t="n">
        <x:v>256</x:v>
      </x:c>
      <x:c r="F1408" s="37" t="n">
        <x:v>0.051433773327264454</x:v>
      </x:c>
      <x:c r="G1408" s="37" t="n">
        <x:v>0.11652253072371416</x:v>
      </x:c>
      <x:c r="H1408" s="56" t="n">
        <x:v>2262.15</x:v>
      </x:c>
      <x:c r="I1408" s="56" t="n">
        <x:v>0.043</x:v>
      </x:c>
      <x:c r="J1408" s="56" t="n">
        <x:v>3.9841897323185975</x:v>
      </x:c>
      <x:c r="K1408" s="56" t="n">
        <x:v>35.976284598477896</x:v>
      </x:c>
      <x:c r="L1408" s="56" t="n">
        <x:v>53.53754942639699</x:v>
      </x:c>
    </x:row>
    <x:row r="1409" ht="32.400001525878906" hidden="0" customHeight="1">
      <x:c r="A1409" s="29" t="str">
        <x:v>Miami-Dade County, Florida</x:v>
      </x:c>
      <x:c r="B1409" s="29" t="str">
        <x:v>12086006715</x:v>
      </x:c>
      <x:c r="C1409" s="51" t="n">
        <x:v>4171</x:v>
      </x:c>
      <x:c r="D1409" s="51" t="n">
        <x:v>414</x:v>
      </x:c>
      <x:c r="E1409" s="51" t="n">
        <x:v>152</x:v>
      </x:c>
      <x:c r="F1409" s="38" t="n">
        <x:v>0.09925677295612563</x:v>
      </x:c>
      <x:c r="G1409" s="38" t="n">
        <x:v>0.03644210021577559</x:v>
      </x:c>
      <x:c r="H1409" s="57" t="n">
        <x:v>4331.1</x:v>
      </x:c>
      <x:c r="I1409" s="57" t="n">
        <x:v>0.534</x:v>
      </x:c>
      <x:c r="J1409" s="57" t="n">
        <x:v>4.9876406349986215</x:v>
      </x:c>
      <x:c r="K1409" s="57" t="n">
        <x:v>37.48146095249793</x:v>
      </x:c>
      <x:c r="L1409" s="57" t="n">
        <x:v>55.68780136071133</x:v>
      </x:c>
    </x:row>
    <x:row r="1410" ht="32.400001525878906" hidden="0" customHeight="1">
      <x:c r="A1410" s="27" t="str">
        <x:v>Miami-Dade County, Florida</x:v>
      </x:c>
      <x:c r="B1410" s="27" t="str">
        <x:v>12086006716</x:v>
      </x:c>
      <x:c r="C1410" s="50" t="n">
        <x:v>949</x:v>
      </x:c>
      <x:c r="D1410" s="50" t="n">
        <x:v>47</x:v>
      </x:c>
      <x:c r="E1410" s="50" t="n">
        <x:v>154</x:v>
      </x:c>
      <x:c r="F1410" s="37" t="n">
        <x:v>0.04952581664910432</x:v>
      </x:c>
      <x:c r="G1410" s="37" t="n">
        <x:v>0.16227608008429925</x:v>
      </x:c>
      <x:c r="H1410" s="56" t="n">
        <x:v>980.8499999999999</x:v>
      </x:c>
      <x:c r="I1410" s="56" t="n">
        <x:v>0.036</x:v>
      </x:c>
      <x:c r="J1410" s="56" t="n">
        <x:v>3.7682992366945185</x:v>
      </x:c>
      <x:c r="K1410" s="56" t="n">
        <x:v>35.652448855041776</x:v>
      </x:c>
      <x:c r="L1410" s="56" t="n">
        <x:v>53.074926935773966</x:v>
      </x:c>
    </x:row>
    <x:row r="1411" ht="32.400001525878906" hidden="0" customHeight="1">
      <x:c r="A1411" s="29" t="str">
        <x:v>Miami-Dade County, Florida</x:v>
      </x:c>
      <x:c r="B1411" s="29" t="str">
        <x:v>12086006717</x:v>
      </x:c>
      <x:c r="C1411" s="51" t="n">
        <x:v>2350</x:v>
      </x:c>
      <x:c r="D1411" s="51" t="n">
        <x:v>205</x:v>
      </x:c>
      <x:c r="E1411" s="51" t="n">
        <x:v>229</x:v>
      </x:c>
      <x:c r="F1411" s="38" t="n">
        <x:v>0.08723404255319149</x:v>
      </x:c>
      <x:c r="G1411" s="38" t="n">
        <x:v>0.09744680851063829</x:v>
      </x:c>
      <x:c r="H1411" s="57" t="n">
        <x:v>2444.6499999999996</x:v>
      </x:c>
      <x:c r="I1411" s="57" t="n">
        <x:v>0.018</x:v>
      </x:c>
      <x:c r="J1411" s="57" t="n">
        <x:v>3.4297145308110153</x:v>
      </x:c>
      <x:c r="K1411" s="57" t="n">
        <x:v>35.144571796216525</x:v>
      </x:c>
      <x:c r="L1411" s="57" t="n">
        <x:v>52.34938828030932</x:v>
      </x:c>
    </x:row>
    <x:row r="1412" ht="32.400001525878906" hidden="0" customHeight="1">
      <x:c r="A1412" s="27" t="str">
        <x:v>Miami-Dade County, Florida</x:v>
      </x:c>
      <x:c r="B1412" s="27" t="str">
        <x:v>12086006718</x:v>
      </x:c>
      <x:c r="C1412" s="50" t="n">
        <x:v>3038</x:v>
      </x:c>
      <x:c r="D1412" s="50" t="n">
        <x:v>184</x:v>
      </x:c>
      <x:c r="E1412" s="50" t="n">
        <x:v>581</x:v>
      </x:c>
      <x:c r="F1412" s="37" t="n">
        <x:v>0.06056616194865043</x:v>
      </x:c>
      <x:c r="G1412" s="37" t="n">
        <x:v>0.1912442396313364</x:v>
      </x:c>
      <x:c r="H1412" s="56" t="n">
        <x:v>3160.5</x:v>
      </x:c>
      <x:c r="I1412" s="56" t="n">
        <x:v>0.04</x:v>
      </x:c>
      <x:c r="J1412" s="56" t="n">
        <x:v>3.1355127532028435</x:v>
      </x:c>
      <x:c r="K1412" s="56" t="n">
        <x:v>34.70326912980426</x:v>
      </x:c>
      <x:c r="L1412" s="56" t="n">
        <x:v>51.71895589972038</x:v>
      </x:c>
    </x:row>
    <x:row r="1413" ht="32.400001525878906" hidden="0" customHeight="1">
      <x:c r="A1413" s="29" t="str">
        <x:v>Miami-Dade County, Florida</x:v>
      </x:c>
      <x:c r="B1413" s="29" t="str">
        <x:v>12086006719</x:v>
      </x:c>
      <x:c r="C1413" s="51" t="n">
        <x:v>2264</x:v>
      </x:c>
      <x:c r="D1413" s="51" t="n">
        <x:v>8</x:v>
      </x:c>
      <x:c r="E1413" s="51" t="n">
        <x:v>293</x:v>
      </x:c>
      <x:c r="F1413" s="38" t="n">
        <x:v>0.0035335689045936395</x:v>
      </x:c>
      <x:c r="G1413" s="38" t="n">
        <x:v>0.12941696113074205</x:v>
      </x:c>
      <x:c r="H1413" s="57" t="n">
        <x:v>2296.1</x:v>
      </x:c>
      <x:c r="I1413" s="57" t="n">
        <x:v>0.027</x:v>
      </x:c>
      <x:c r="J1413" s="57" t="n">
        <x:v>3.073514878757846</x:v>
      </x:c>
      <x:c r="K1413" s="57" t="n">
        <x:v>34.610272318136765</x:v>
      </x:c>
      <x:c r="L1413" s="57" t="n">
        <x:v>51.58610331162396</x:v>
      </x:c>
    </x:row>
    <x:row r="1414" ht="32.400001525878906" hidden="0" customHeight="1">
      <x:c r="A1414" s="27" t="str">
        <x:v>Miami-Dade County, Florida</x:v>
      </x:c>
      <x:c r="B1414" s="27" t="str">
        <x:v>12086006720</x:v>
      </x:c>
      <x:c r="C1414" s="50" t="n">
        <x:v>2397</x:v>
      </x:c>
      <x:c r="D1414" s="50" t="n">
        <x:v>95</x:v>
      </x:c>
      <x:c r="E1414" s="50" t="n">
        <x:v>331</x:v>
      </x:c>
      <x:c r="F1414" s="37" t="n">
        <x:v>0.03963287442636629</x:v>
      </x:c>
      <x:c r="G1414" s="37" t="n">
        <x:v>0.1380892782644973</x:v>
      </x:c>
      <x:c r="H1414" s="56" t="n">
        <x:v>2463.35</x:v>
      </x:c>
      <x:c r="I1414" s="56" t="n">
        <x:v>0.069</x:v>
      </x:c>
      <x:c r="J1414" s="56" t="n">
        <x:v>2.6083322773666016</x:v>
      </x:c>
      <x:c r="K1414" s="56" t="n">
        <x:v>33.9124984160499</x:v>
      </x:c>
      <x:c r="L1414" s="56" t="n">
        <x:v>50.58928345149986</x:v>
      </x:c>
    </x:row>
    <x:row r="1415" ht="32.400001525878906" hidden="0" customHeight="1">
      <x:c r="A1415" s="29" t="str">
        <x:v>Miami-Dade County, Florida</x:v>
      </x:c>
      <x:c r="B1415" s="29" t="str">
        <x:v>12086006721</x:v>
      </x:c>
      <x:c r="C1415" s="51" t="n">
        <x:v>3338</x:v>
      </x:c>
      <x:c r="D1415" s="51" t="n">
        <x:v>53</x:v>
      </x:c>
      <x:c r="E1415" s="51" t="n">
        <x:v>120</x:v>
      </x:c>
      <x:c r="F1415" s="38" t="n">
        <x:v>0.015877771120431396</x:v>
      </x:c>
      <x:c r="G1415" s="38" t="n">
        <x:v>0.035949670461354104</x:v>
      </x:c>
      <x:c r="H1415" s="57" t="n">
        <x:v>3368.55</x:v>
      </x:c>
      <x:c r="I1415" s="57" t="n">
        <x:v>0.019</x:v>
      </x:c>
      <x:c r="J1415" s="57" t="n">
        <x:v>3.1188555018914363</x:v>
      </x:c>
      <x:c r="K1415" s="57" t="n">
        <x:v>34.678283252837154</x:v>
      </x:c>
      <x:c r="L1415" s="57" t="n">
        <x:v>51.683261789767364</x:v>
      </x:c>
    </x:row>
    <x:row r="1416" ht="32.400001525878906" hidden="0" customHeight="1">
      <x:c r="A1416" s="27" t="str">
        <x:v>Miami-Dade County, Florida</x:v>
      </x:c>
      <x:c r="B1416" s="27" t="str">
        <x:v>12086006722</x:v>
      </x:c>
      <x:c r="C1416" s="50" t="n">
        <x:v>1773</x:v>
      </x:c>
      <x:c r="D1416" s="50" t="n">
        <x:v>51</x:v>
      </x:c>
      <x:c r="E1416" s="50" t="n">
        <x:v>171</x:v>
      </x:c>
      <x:c r="F1416" s="37" t="n">
        <x:v>0.028764805414551606</x:v>
      </x:c>
      <x:c r="G1416" s="37" t="n">
        <x:v>0.09644670050761421</x:v>
      </x:c>
      <x:c r="H1416" s="56" t="n">
        <x:v>1807.9500000000003</x:v>
      </x:c>
      <x:c r="I1416" s="56" t="n">
        <x:v>0.018</x:v>
      </x:c>
      <x:c r="J1416" s="56" t="n">
        <x:v>3.1385748517210414</x:v>
      </x:c>
      <x:c r="K1416" s="56" t="n">
        <x:v>34.70786227758156</x:v>
      </x:c>
      <x:c r="L1416" s="56" t="n">
        <x:v>51.72551753940223</x:v>
      </x:c>
    </x:row>
    <x:row r="1417" ht="32.400001525878906" hidden="0" customHeight="1">
      <x:c r="A1417" s="29" t="str">
        <x:v>Miami-Dade County, Florida</x:v>
      </x:c>
      <x:c r="B1417" s="29" t="str">
        <x:v>12086006801</x:v>
      </x:c>
      <x:c r="C1417" s="51" t="n">
        <x:v>3676</x:v>
      </x:c>
      <x:c r="D1417" s="51" t="n">
        <x:v>284</x:v>
      </x:c>
      <x:c r="E1417" s="51" t="n">
        <x:v>201</x:v>
      </x:c>
      <x:c r="F1417" s="38" t="n">
        <x:v>0.07725788900979326</x:v>
      </x:c>
      <x:c r="G1417" s="38" t="n">
        <x:v>0.05467899891186072</x:v>
      </x:c>
      <x:c r="H1417" s="57" t="n">
        <x:v>3795.5000000000005</x:v>
      </x:c>
      <x:c r="I1417" s="57" t="n">
        <x:v>0.456</x:v>
      </x:c>
      <x:c r="J1417" s="57" t="n">
        <x:v>9.584867871656808</x:v>
      </x:c>
      <x:c r="K1417" s="57" t="n">
        <x:v>44.37730180748521</x:v>
      </x:c>
      <x:c r="L1417" s="57" t="n">
        <x:v>65.53900258212173</x:v>
      </x:c>
    </x:row>
    <x:row r="1418" ht="32.400001525878906" hidden="0" customHeight="1">
      <x:c r="A1418" s="27" t="str">
        <x:v>Miami-Dade County, Florida</x:v>
      </x:c>
      <x:c r="B1418" s="27" t="str">
        <x:v>12086006802</x:v>
      </x:c>
      <x:c r="C1418" s="50" t="n">
        <x:v>3694</x:v>
      </x:c>
      <x:c r="D1418" s="50" t="n">
        <x:v>335</x:v>
      </x:c>
      <x:c r="E1418" s="50" t="n">
        <x:v>359</x:v>
      </x:c>
      <x:c r="F1418" s="37" t="n">
        <x:v>0.09068760151597184</x:v>
      </x:c>
      <x:c r="G1418" s="37" t="n">
        <x:v>0.09718462371413103</x:v>
      </x:c>
      <x:c r="H1418" s="56" t="n">
        <x:v>3847.1499999999996</x:v>
      </x:c>
      <x:c r="I1418" s="56" t="n">
        <x:v>0.894</x:v>
      </x:c>
      <x:c r="J1418" s="56" t="n">
        <x:v>6.607911138269965</x:v>
      </x:c>
      <x:c r="K1418" s="56" t="n">
        <x:v>39.91186670740495</x:v>
      </x:c>
      <x:c r="L1418" s="56" t="n">
        <x:v>59.15980958200707</x:v>
      </x:c>
    </x:row>
    <x:row r="1419" ht="32.400001525878906" hidden="0" customHeight="1">
      <x:c r="A1419" s="29" t="str">
        <x:v>Miami-Dade County, Florida</x:v>
      </x:c>
      <x:c r="B1419" s="29" t="str">
        <x:v>12086006901</x:v>
      </x:c>
      <x:c r="C1419" s="51" t="n">
        <x:v>2715</x:v>
      </x:c>
      <x:c r="D1419" s="51" t="n">
        <x:v>260</x:v>
      </x:c>
      <x:c r="E1419" s="51" t="n">
        <x:v>138</x:v>
      </x:c>
      <x:c r="F1419" s="38" t="n">
        <x:v>0.09576427255985268</x:v>
      </x:c>
      <x:c r="G1419" s="38" t="n">
        <x:v>0.05082872928176796</x:v>
      </x:c>
      <x:c r="H1419" s="57" t="n">
        <x:v>2819.8000000000006</x:v>
      </x:c>
      <x:c r="I1419" s="57" t="n">
        <x:v>0.316</x:v>
      </x:c>
      <x:c r="J1419" s="57" t="n">
        <x:v>8.338621149696904</x:v>
      </x:c>
      <x:c r="K1419" s="57" t="n">
        <x:v>42.50793172454536</x:v>
      </x:c>
      <x:c r="L1419" s="57" t="n">
        <x:v>62.868473892207646</x:v>
      </x:c>
    </x:row>
    <x:row r="1420" ht="32.400001525878906" hidden="0" customHeight="1">
      <x:c r="A1420" s="27" t="str">
        <x:v>Miami-Dade County, Florida</x:v>
      </x:c>
      <x:c r="B1420" s="27" t="str">
        <x:v>12086006902</x:v>
      </x:c>
      <x:c r="C1420" s="50" t="n">
        <x:v>3076</x:v>
      </x:c>
      <x:c r="D1420" s="50" t="n">
        <x:v>487</x:v>
      </x:c>
      <x:c r="E1420" s="50" t="n">
        <x:v>168.5</x:v>
      </x:c>
      <x:c r="F1420" s="37" t="n">
        <x:v>0.1583224967490247</x:v>
      </x:c>
      <x:c r="G1420" s="37" t="n">
        <x:v>0.05477893368010403</x:v>
      </x:c>
      <x:c r="H1420" s="56" t="n">
        <x:v>3263.3</x:v>
      </x:c>
      <x:c r="I1420" s="56" t="n">
        <x:v>0.307</x:v>
      </x:c>
      <x:c r="J1420" s="56" t="n">
        <x:v>7.220202598320898</x:v>
      </x:c>
      <x:c r="K1420" s="56" t="n">
        <x:v>40.83030389748134</x:v>
      </x:c>
      <x:c r="L1420" s="56" t="n">
        <x:v>60.47186271068764</x:v>
      </x:c>
    </x:row>
    <x:row r="1421" ht="32.400001525878906" hidden="0" customHeight="1">
      <x:c r="A1421" s="29" t="str">
        <x:v>Miami-Dade County, Florida</x:v>
      </x:c>
      <x:c r="B1421" s="29" t="str">
        <x:v>12086007003</x:v>
      </x:c>
      <x:c r="C1421" s="51" t="n">
        <x:v>4668</x:v>
      </x:c>
      <x:c r="D1421" s="51" t="n">
        <x:v>298</x:v>
      </x:c>
      <x:c r="E1421" s="51" t="n">
        <x:v>100</x:v>
      </x:c>
      <x:c r="F1421" s="38" t="n">
        <x:v>0.06383890317052271</x:v>
      </x:c>
      <x:c r="G1421" s="38" t="n">
        <x:v>0.021422450728363324</x:v>
      </x:c>
      <x:c r="H1421" s="57" t="n">
        <x:v>4782.3</x:v>
      </x:c>
      <x:c r="I1421" s="57" t="n">
        <x:v>0.242</x:v>
      </x:c>
      <x:c r="J1421" s="57" t="n">
        <x:v>9.049039641876355</x:v>
      </x:c>
      <x:c r="K1421" s="57" t="n">
        <x:v>43.57355946281453</x:v>
      </x:c>
      <x:c r="L1421" s="57" t="n">
        <x:v>64.39079923259219</x:v>
      </x:c>
    </x:row>
    <x:row r="1422" ht="32.400001525878906" hidden="0" customHeight="1">
      <x:c r="A1422" s="27" t="str">
        <x:v>Miami-Dade County, Florida</x:v>
      </x:c>
      <x:c r="B1422" s="27" t="str">
        <x:v>12086007004</x:v>
      </x:c>
      <x:c r="C1422" s="50" t="n">
        <x:v>5029</x:v>
      </x:c>
      <x:c r="D1422" s="50" t="n">
        <x:v>595</x:v>
      </x:c>
      <x:c r="E1422" s="50" t="n">
        <x:v>163</x:v>
      </x:c>
      <x:c r="F1422" s="37" t="n">
        <x:v>0.11831378007556174</x:v>
      </x:c>
      <x:c r="G1422" s="37" t="n">
        <x:v>0.03241201034002784</x:v>
      </x:c>
      <x:c r="H1422" s="56" t="n">
        <x:v>5253.55</x:v>
      </x:c>
      <x:c r="I1422" s="56" t="n">
        <x:v>0.243</x:v>
      </x:c>
      <x:c r="J1422" s="56" t="n">
        <x:v>9.94929957925592</x:v>
      </x:c>
      <x:c r="K1422" s="56" t="n">
        <x:v>44.92394936888388</x:v>
      </x:c>
      <x:c r="L1422" s="56" t="n">
        <x:v>66.31992766983412</x:v>
      </x:c>
    </x:row>
    <x:row r="1423" ht="32.400001525878906" hidden="0" customHeight="1">
      <x:c r="A1423" s="29" t="str">
        <x:v>Miami-Dade County, Florida</x:v>
      </x:c>
      <x:c r="B1423" s="29" t="str">
        <x:v>12086007005</x:v>
      </x:c>
      <x:c r="C1423" s="51" t="n">
        <x:v>1842</x:v>
      </x:c>
      <x:c r="D1423" s="51" t="n">
        <x:v>80</x:v>
      </x:c>
      <x:c r="E1423" s="51" t="n">
        <x:v>110</x:v>
      </x:c>
      <x:c r="F1423" s="38" t="n">
        <x:v>0.04343105320304017</x:v>
      </x:c>
      <x:c r="G1423" s="38" t="n">
        <x:v>0.05971769815418024</x:v>
      </x:c>
      <x:c r="H1423" s="57" t="n">
        <x:v>1881</x:v>
      </x:c>
      <x:c r="I1423" s="57" t="n">
        <x:v>0.171</x:v>
      </x:c>
      <x:c r="J1423" s="57" t="n">
        <x:v>9.661307800025329</x:v>
      </x:c>
      <x:c r="K1423" s="57" t="n">
        <x:v>44.49196170003799</x:v>
      </x:c>
      <x:c r="L1423" s="57" t="n">
        <x:v>65.7028024286257</x:v>
      </x:c>
    </x:row>
    <x:row r="1424" ht="32.400001525878906" hidden="0" customHeight="1">
      <x:c r="A1424" s="27" t="str">
        <x:v>Miami-Dade County, Florida</x:v>
      </x:c>
      <x:c r="B1424" s="27" t="str">
        <x:v>12086007006</x:v>
      </x:c>
      <x:c r="C1424" s="50" t="n">
        <x:v>3184</x:v>
      </x:c>
      <x:c r="D1424" s="50" t="n">
        <x:v>229</x:v>
      </x:c>
      <x:c r="E1424" s="50" t="n">
        <x:v>190</x:v>
      </x:c>
      <x:c r="F1424" s="37" t="n">
        <x:v>0.07192211055276382</x:v>
      </x:c>
      <x:c r="G1424" s="37" t="n">
        <x:v>0.059673366834170856</x:v>
      </x:c>
      <x:c r="H1424" s="56" t="n">
        <x:v>3283.149999999999</x:v>
      </x:c>
      <x:c r="I1424" s="56" t="n">
        <x:v>0.26</x:v>
      </x:c>
      <x:c r="J1424" s="56" t="n">
        <x:v>10.600218391985697</x:v>
      </x:c>
      <x:c r="K1424" s="56" t="n">
        <x:v>45.900327587978545</x:v>
      </x:c>
      <x:c r="L1424" s="56" t="n">
        <x:v>67.7147536971122</x:v>
      </x:c>
    </x:row>
    <x:row r="1425" ht="32.400001525878906" hidden="0" customHeight="1">
      <x:c r="A1425" s="29" t="str">
        <x:v>Miami-Dade County, Florida</x:v>
      </x:c>
      <x:c r="B1425" s="29" t="str">
        <x:v>12086007007</x:v>
      </x:c>
      <x:c r="C1425" s="51" t="n">
        <x:v>3627</x:v>
      </x:c>
      <x:c r="D1425" s="51" t="n">
        <x:v>245</x:v>
      </x:c>
      <x:c r="E1425" s="51" t="n">
        <x:v>224.5</x:v>
      </x:c>
      <x:c r="F1425" s="38" t="n">
        <x:v>0.06754893851668045</x:v>
      </x:c>
      <x:c r="G1425" s="38" t="n">
        <x:v>0.06189688447752964</x:v>
      </x:c>
      <x:c r="H1425" s="57" t="n">
        <x:v>3735.2000000000003</x:v>
      </x:c>
      <x:c r="I1425" s="57" t="n">
        <x:v>0.159</x:v>
      </x:c>
      <x:c r="J1425" s="57" t="n">
        <x:v>11.462110586917744</x:v>
      </x:c>
      <x:c r="K1425" s="57" t="n">
        <x:v>47.19316588037662</x:v>
      </x:c>
      <x:c r="L1425" s="57" t="n">
        <x:v>69.56166554339516</x:v>
      </x:c>
    </x:row>
    <x:row r="1426" ht="32.400001525878906" hidden="0" customHeight="1">
      <x:c r="A1426" s="27" t="str">
        <x:v>Miami-Dade County, Florida</x:v>
      </x:c>
      <x:c r="B1426" s="27" t="str">
        <x:v>12086007101</x:v>
      </x:c>
      <x:c r="C1426" s="50" t="n">
        <x:v>2993</x:v>
      </x:c>
      <x:c r="D1426" s="50" t="n">
        <x:v>375</x:v>
      </x:c>
      <x:c r="E1426" s="50" t="n">
        <x:v>118</x:v>
      </x:c>
      <x:c r="F1426" s="37" t="n">
        <x:v>0.12529234881389908</x:v>
      </x:c>
      <x:c r="G1426" s="37" t="n">
        <x:v>0.03942532576010692</x:v>
      </x:c>
      <x:c r="H1426" s="56" t="n">
        <x:v>3136.0500000000006</x:v>
      </x:c>
      <x:c r="I1426" s="56" t="n">
        <x:v>0.236</x:v>
      </x:c>
      <x:c r="J1426" s="56" t="n">
        <x:v>11.245154260656596</x:v>
      </x:c>
      <x:c r="K1426" s="56" t="n">
        <x:v>46.86773139098489</x:v>
      </x:c>
      <x:c r="L1426" s="56" t="n">
        <x:v>69.09675912997842</x:v>
      </x:c>
    </x:row>
    <x:row r="1427" ht="32.400001525878906" hidden="0" customHeight="1">
      <x:c r="A1427" s="29" t="str">
        <x:v>Miami-Dade County, Florida</x:v>
      </x:c>
      <x:c r="B1427" s="29" t="str">
        <x:v>12086007103</x:v>
      </x:c>
      <x:c r="C1427" s="51" t="n">
        <x:v>2121</x:v>
      </x:c>
      <x:c r="D1427" s="51" t="n">
        <x:v>32</x:v>
      </x:c>
      <x:c r="E1427" s="51" t="n">
        <x:v>49</x:v>
      </x:c>
      <x:c r="F1427" s="38" t="n">
        <x:v>0.015087223008015087</x:v>
      </x:c>
      <x:c r="G1427" s="38" t="n">
        <x:v>0.0231023102310231</x:v>
      </x:c>
      <x:c r="H1427" s="57" t="n">
        <x:v>2137.1</x:v>
      </x:c>
      <x:c r="I1427" s="57" t="n">
        <x:v>0.129</x:v>
      </x:c>
      <x:c r="J1427" s="57" t="n">
        <x:v>10.868385268008838</x:v>
      </x:c>
      <x:c r="K1427" s="57" t="n">
        <x:v>46.302577902013255</x:v>
      </x:c>
      <x:c r="L1427" s="57" t="n">
        <x:v>68.28939700287609</x:v>
      </x:c>
    </x:row>
    <x:row r="1428" ht="32.400001525878906" hidden="0" customHeight="1">
      <x:c r="A1428" s="27" t="str">
        <x:v>Miami-Dade County, Florida</x:v>
      </x:c>
      <x:c r="B1428" s="27" t="str">
        <x:v>12086007104</x:v>
      </x:c>
      <x:c r="C1428" s="50" t="n">
        <x:v>3280</x:v>
      </x:c>
      <x:c r="D1428" s="50" t="n">
        <x:v>203</x:v>
      </x:c>
      <x:c r="E1428" s="50" t="n">
        <x:v>167</x:v>
      </x:c>
      <x:c r="F1428" s="37" t="n">
        <x:v>0.061890243902439024</x:v>
      </x:c>
      <x:c r="G1428" s="37" t="n">
        <x:v>0.05091463414634146</x:v>
      </x:c>
      <x:c r="H1428" s="56" t="n">
        <x:v>3367.7500000000005</x:v>
      </x:c>
      <x:c r="I1428" s="56" t="n">
        <x:v>0.235</x:v>
      </x:c>
      <x:c r="J1428" s="56" t="n">
        <x:v>10.18116303524915</x:v>
      </x:c>
      <x:c r="K1428" s="56" t="n">
        <x:v>45.27174455287373</x:v>
      </x:c>
      <x:c r="L1428" s="56" t="n">
        <x:v>66.81677793267676</x:v>
      </x:c>
    </x:row>
    <x:row r="1429" ht="32.400001525878906" hidden="0" customHeight="1">
      <x:c r="A1429" s="29" t="str">
        <x:v>Miami-Dade County, Florida</x:v>
      </x:c>
      <x:c r="B1429" s="29" t="str">
        <x:v>12086007200</x:v>
      </x:c>
      <x:c r="C1429" s="51" t="n">
        <x:v>2886</x:v>
      </x:c>
      <x:c r="D1429" s="51" t="n">
        <x:v>207</x:v>
      </x:c>
      <x:c r="E1429" s="51" t="n">
        <x:v>694.5</x:v>
      </x:c>
      <x:c r="F1429" s="38" t="n">
        <x:v>0.07172557172557173</x:v>
      </x:c>
      <x:c r="G1429" s="38" t="n">
        <x:v>0.24064449064449064</x:v>
      </x:c>
      <x:c r="H1429" s="57" t="n">
        <x:v>3027.8999999999996</x:v>
      </x:c>
      <x:c r="I1429" s="57" t="n">
        <x:v>0.352</x:v>
      </x:c>
      <x:c r="J1429" s="57" t="n">
        <x:v>12.223193604087493</x:v>
      </x:c>
      <x:c r="K1429" s="57" t="n">
        <x:v>48.33479040613124</x:v>
      </x:c>
      <x:c r="L1429" s="57" t="n">
        <x:v>71.19255772304463</x:v>
      </x:c>
    </x:row>
    <x:row r="1430" ht="32.400001525878906" hidden="0" customHeight="1">
      <x:c r="A1430" s="27" t="str">
        <x:v>Miami-Dade County, Florida</x:v>
      </x:c>
      <x:c r="B1430" s="27" t="str">
        <x:v>12086007300</x:v>
      </x:c>
      <x:c r="C1430" s="50" t="n">
        <x:v>4310</x:v>
      </x:c>
      <x:c r="D1430" s="50" t="n">
        <x:v>127</x:v>
      </x:c>
      <x:c r="E1430" s="50" t="n">
        <x:v>64.5</x:v>
      </x:c>
      <x:c r="F1430" s="37" t="n">
        <x:v>0.029466357308584688</x:v>
      </x:c>
      <x:c r="G1430" s="37" t="n">
        <x:v>0.014965197215777262</x:v>
      </x:c>
      <x:c r="H1430" s="56" t="n">
        <x:v>4360.900000000001</x:v>
      </x:c>
      <x:c r="I1430" s="56" t="n">
        <x:v>1.118</x:v>
      </x:c>
      <x:c r="J1430" s="56" t="n">
        <x:v>13.004618984943912</x:v>
      </x:c>
      <x:c r="K1430" s="56" t="n">
        <x:v>49.50692847741587</x:v>
      </x:c>
      <x:c r="L1430" s="56" t="n">
        <x:v>72.86704068202266</x:v>
      </x:c>
    </x:row>
    <x:row r="1431" ht="32.400001525878906" hidden="0" customHeight="1">
      <x:c r="A1431" s="29" t="str">
        <x:v>Miami-Dade County, Florida</x:v>
      </x:c>
      <x:c r="B1431" s="29" t="str">
        <x:v>12086007401</x:v>
      </x:c>
      <x:c r="C1431" s="51" t="n">
        <x:v>1503</x:v>
      </x:c>
      <x:c r="D1431" s="51" t="n">
        <x:v>90</x:v>
      </x:c>
      <x:c r="E1431" s="51" t="n">
        <x:v>0</x:v>
      </x:c>
      <x:c r="F1431" s="38" t="n">
        <x:v>0.059880239520958084</x:v>
      </x:c>
      <x:c r="G1431" s="38" t="n">
        <x:v>0</x:v>
      </x:c>
      <x:c r="H1431" s="57" t="n">
        <x:v>1534.5</x:v>
      </x:c>
      <x:c r="I1431" s="57" t="n">
        <x:v>0.352</x:v>
      </x:c>
      <x:c r="J1431" s="57" t="n">
        <x:v>14.162192079478022</x:v>
      </x:c>
      <x:c r="K1431" s="57" t="n">
        <x:v>51.243288119217034</x:v>
      </x:c>
      <x:c r="L1431" s="57" t="n">
        <x:v>75.34755445602434</x:v>
      </x:c>
    </x:row>
    <x:row r="1432" ht="32.400001525878906" hidden="0" customHeight="1">
      <x:c r="A1432" s="27" t="str">
        <x:v>Miami-Dade County, Florida</x:v>
      </x:c>
      <x:c r="B1432" s="27" t="str">
        <x:v>12086007402</x:v>
      </x:c>
      <x:c r="C1432" s="50" t="n">
        <x:v>2561</x:v>
      </x:c>
      <x:c r="D1432" s="50" t="n">
        <x:v>269</x:v>
      </x:c>
      <x:c r="E1432" s="50" t="n">
        <x:v>38</x:v>
      </x:c>
      <x:c r="F1432" s="37" t="n">
        <x:v>0.10503709488481063</x:v>
      </x:c>
      <x:c r="G1432" s="37" t="n">
        <x:v>0.01483795392424834</x:v>
      </x:c>
      <x:c r="H1432" s="56" t="n">
        <x:v>2658.95</x:v>
      </x:c>
      <x:c r="I1432" s="56" t="n">
        <x:v>0.557</x:v>
      </x:c>
      <x:c r="J1432" s="56" t="n">
        <x:v>12.315809119618203</x:v>
      </x:c>
      <x:c r="K1432" s="56" t="n">
        <x:v>48.473713679427306</x:v>
      </x:c>
      <x:c r="L1432" s="56" t="n">
        <x:v>71.391019542039</x:v>
      </x:c>
    </x:row>
    <x:row r="1433" ht="32.400001525878906" hidden="0" customHeight="1">
      <x:c r="A1433" s="29" t="str">
        <x:v>Miami-Dade County, Florida</x:v>
      </x:c>
      <x:c r="B1433" s="29" t="str">
        <x:v>12086007403</x:v>
      </x:c>
      <x:c r="C1433" s="51" t="n">
        <x:v>3342</x:v>
      </x:c>
      <x:c r="D1433" s="51" t="n">
        <x:v>262</x:v>
      </x:c>
      <x:c r="E1433" s="51" t="n">
        <x:v>28</x:v>
      </x:c>
      <x:c r="F1433" s="38" t="n">
        <x:v>0.07839616995810891</x:v>
      </x:c>
      <x:c r="G1433" s="38" t="n">
        <x:v>0.008378216636744464</x:v>
      </x:c>
      <x:c r="H1433" s="57" t="n">
        <x:v>3436.5</x:v>
      </x:c>
      <x:c r="I1433" s="57" t="n">
        <x:v>0.646</x:v>
      </x:c>
      <x:c r="J1433" s="57" t="n">
        <x:v>13.154557249581616</x:v>
      </x:c>
      <x:c r="K1433" s="57" t="n">
        <x:v>49.73183587437242</x:v>
      </x:c>
      <x:c r="L1433" s="57" t="n">
        <x:v>73.18833696338918</x:v>
      </x:c>
    </x:row>
    <x:row r="1434" ht="32.400001525878906" hidden="0" customHeight="1">
      <x:c r="A1434" s="27" t="str">
        <x:v>Miami-Dade County, Florida</x:v>
      </x:c>
      <x:c r="B1434" s="27" t="str">
        <x:v>12086007501</x:v>
      </x:c>
      <x:c r="C1434" s="50" t="n">
        <x:v>2613</x:v>
      </x:c>
      <x:c r="D1434" s="50" t="n">
        <x:v>146</x:v>
      </x:c>
      <x:c r="E1434" s="50" t="n">
        <x:v>37</x:v>
      </x:c>
      <x:c r="F1434" s="37" t="n">
        <x:v>0.055874473784921545</x:v>
      </x:c>
      <x:c r="G1434" s="37" t="n">
        <x:v>0.014159969383849981</x:v>
      </x:c>
      <x:c r="H1434" s="56" t="n">
        <x:v>2667.7999999999997</x:v>
      </x:c>
      <x:c r="I1434" s="56" t="n">
        <x:v>0.749</x:v>
      </x:c>
      <x:c r="J1434" s="56" t="n">
        <x:v>14.856095673896585</x:v>
      </x:c>
      <x:c r="K1434" s="56" t="n">
        <x:v>52.28414351084488</x:v>
      </x:c>
      <x:c r="L1434" s="56" t="n">
        <x:v>76.8344907297784</x:v>
      </x:c>
    </x:row>
    <x:row r="1435" ht="32.400001525878906" hidden="0" customHeight="1">
      <x:c r="A1435" s="29" t="str">
        <x:v>Miami-Dade County, Florida</x:v>
      </x:c>
      <x:c r="B1435" s="29" t="str">
        <x:v>12086007503</x:v>
      </x:c>
      <x:c r="C1435" s="51" t="n">
        <x:v>844</x:v>
      </x:c>
      <x:c r="D1435" s="51" t="n">
        <x:v>49</x:v>
      </x:c>
      <x:c r="E1435" s="51" t="n">
        <x:v>88</x:v>
      </x:c>
      <x:c r="F1435" s="38" t="n">
        <x:v>0.058056872037914695</x:v>
      </x:c>
      <x:c r="G1435" s="38" t="n">
        <x:v>0.10426540284360189</x:v>
      </x:c>
      <x:c r="H1435" s="57" t="n">
        <x:v>869.9499999999999</x:v>
      </x:c>
      <x:c r="I1435" s="57" t="n">
        <x:v>0.204</x:v>
      </x:c>
      <x:c r="J1435" s="57" t="n">
        <x:v>15.305372309509185</x:v>
      </x:c>
      <x:c r="K1435" s="57" t="n">
        <x:v>52.95805846426378</x:v>
      </x:c>
      <x:c r="L1435" s="57" t="n">
        <x:v>77.79722637751968</x:v>
      </x:c>
    </x:row>
    <x:row r="1436" ht="32.400001525878906" hidden="0" customHeight="1">
      <x:c r="A1436" s="27" t="str">
        <x:v>Miami-Dade County, Florida</x:v>
      </x:c>
      <x:c r="B1436" s="27" t="str">
        <x:v>12086007601</x:v>
      </x:c>
      <x:c r="C1436" s="50" t="n">
        <x:v>2536</x:v>
      </x:c>
      <x:c r="D1436" s="50" t="n">
        <x:v>142</x:v>
      </x:c>
      <x:c r="E1436" s="50" t="n">
        <x:v>131</x:v>
      </x:c>
      <x:c r="F1436" s="37" t="n">
        <x:v>0.055993690851735015</x:v>
      </x:c>
      <x:c r="G1436" s="37" t="n">
        <x:v>0.05165615141955836</x:v>
      </x:c>
      <x:c r="H1436" s="56" t="n">
        <x:v>2598.7999999999997</x:v>
      </x:c>
      <x:c r="I1436" s="56" t="n">
        <x:v>0.538</x:v>
      </x:c>
      <x:c r="J1436" s="56" t="n">
        <x:v>16.1228339780325</x:v>
      </x:c>
      <x:c r="K1436" s="56" t="n">
        <x:v>54.18425096704875</x:v>
      </x:c>
      <x:c r="L1436" s="56" t="n">
        <x:v>79.54892995292678</x:v>
      </x:c>
    </x:row>
    <x:row r="1437" ht="32.400001525878906" hidden="0" customHeight="1">
      <x:c r="A1437" s="29" t="str">
        <x:v>Miami-Dade County, Florida</x:v>
      </x:c>
      <x:c r="B1437" s="29" t="str">
        <x:v>12086007603</x:v>
      </x:c>
      <x:c r="C1437" s="51" t="n">
        <x:v>3827</x:v>
      </x:c>
      <x:c r="D1437" s="51" t="n">
        <x:v>562</x:v>
      </x:c>
      <x:c r="E1437" s="51" t="n">
        <x:v>649</x:v>
      </x:c>
      <x:c r="F1437" s="38" t="n">
        <x:v>0.1468513195714659</x:v>
      </x:c>
      <x:c r="G1437" s="38" t="n">
        <x:v>0.16958453096420173</x:v>
      </x:c>
      <x:c r="H1437" s="57" t="n">
        <x:v>4088.6000000000004</x:v>
      </x:c>
      <x:c r="I1437" s="57" t="n">
        <x:v>0.497</x:v>
      </x:c>
      <x:c r="J1437" s="57" t="n">
        <x:v>17.471304158804177</x:v>
      </x:c>
      <x:c r="K1437" s="57" t="n">
        <x:v>56.20695623820627</x:v>
      </x:c>
      <x:c r="L1437" s="57" t="n">
        <x:v>82.43850891172323</x:v>
      </x:c>
    </x:row>
    <x:row r="1438" ht="32.400001525878906" hidden="0" customHeight="1">
      <x:c r="A1438" s="27" t="str">
        <x:v>Miami-Dade County, Florida</x:v>
      </x:c>
      <x:c r="B1438" s="27" t="str">
        <x:v>12086007605</x:v>
      </x:c>
      <x:c r="C1438" s="50" t="n">
        <x:v>3177</x:v>
      </x:c>
      <x:c r="D1438" s="50" t="n">
        <x:v>300</x:v>
      </x:c>
      <x:c r="E1438" s="50" t="n">
        <x:v>192</x:v>
      </x:c>
      <x:c r="F1438" s="37" t="n">
        <x:v>0.09442870632672333</x:v>
      </x:c>
      <x:c r="G1438" s="37" t="n">
        <x:v>0.06043437204910293</x:v>
      </x:c>
      <x:c r="H1438" s="56" t="n">
        <x:v>3301.2</x:v>
      </x:c>
      <x:c r="I1438" s="56" t="n">
        <x:v>0.606</x:v>
      </x:c>
      <x:c r="J1438" s="56" t="n">
        <x:v>18.42558944129301</x:v>
      </x:c>
      <x:c r="K1438" s="56" t="n">
        <x:v>57.63838416193951</x:v>
      </x:c>
      <x:c r="L1438" s="56" t="n">
        <x:v>84.48340594562788</x:v>
      </x:c>
    </x:row>
    <x:row r="1439" ht="32.400001525878906" hidden="0" customHeight="1">
      <x:c r="A1439" s="29" t="str">
        <x:v>Miami-Dade County, Florida</x:v>
      </x:c>
      <x:c r="B1439" s="29" t="str">
        <x:v>12086007607</x:v>
      </x:c>
      <x:c r="C1439" s="51" t="n">
        <x:v>2287</x:v>
      </x:c>
      <x:c r="D1439" s="51" t="n">
        <x:v>374</x:v>
      </x:c>
      <x:c r="E1439" s="51" t="n">
        <x:v>24</x:v>
      </x:c>
      <x:c r="F1439" s="38" t="n">
        <x:v>0.1635330126803673</x:v>
      </x:c>
      <x:c r="G1439" s="38" t="n">
        <x:v>0.010494097070397902</x:v>
      </x:c>
      <x:c r="H1439" s="57" t="n">
        <x:v>2420.2999999999997</x:v>
      </x:c>
      <x:c r="I1439" s="57" t="n">
        <x:v>0.506</x:v>
      </x:c>
      <x:c r="J1439" s="57" t="n">
        <x:v>17.197238856544168</x:v>
      </x:c>
      <x:c r="K1439" s="57" t="n">
        <x:v>55.79585828481625</x:v>
      </x:c>
      <x:c r="L1439" s="57" t="n">
        <x:v>81.85122612116606</x:v>
      </x:c>
    </x:row>
    <x:row r="1440" ht="32.400001525878906" hidden="0" customHeight="1">
      <x:c r="A1440" s="27" t="str">
        <x:v>Miami-Dade County, Florida</x:v>
      </x:c>
      <x:c r="B1440" s="27" t="str">
        <x:v>12086007608</x:v>
      </x:c>
      <x:c r="C1440" s="50" t="n">
        <x:v>2358</x:v>
      </x:c>
      <x:c r="D1440" s="50" t="n">
        <x:v>103</x:v>
      </x:c>
      <x:c r="E1440" s="50" t="n">
        <x:v>50</x:v>
      </x:c>
      <x:c r="F1440" s="37" t="n">
        <x:v>0.04368108566581849</x:v>
      </x:c>
      <x:c r="G1440" s="37" t="n">
        <x:v>0.021204410517387615</x:v>
      </x:c>
      <x:c r="H1440" s="56" t="n">
        <x:v>2399.05</x:v>
      </x:c>
      <x:c r="I1440" s="56" t="n">
        <x:v>0.481</x:v>
      </x:c>
      <x:c r="J1440" s="56" t="n">
        <x:v>18.244032785404865</x:v>
      </x:c>
      <x:c r="K1440" s="56" t="n">
        <x:v>57.3660491781073</x:v>
      </x:c>
      <x:c r="L1440" s="56" t="n">
        <x:v>84.09435596872471</x:v>
      </x:c>
    </x:row>
    <x:row r="1441" ht="32.400001525878906" hidden="0" customHeight="1">
      <x:c r="A1441" s="29" t="str">
        <x:v>Miami-Dade County, Florida</x:v>
      </x:c>
      <x:c r="B1441" s="29" t="str">
        <x:v>12086007609</x:v>
      </x:c>
      <x:c r="C1441" s="51" t="n">
        <x:v>1845</x:v>
      </x:c>
      <x:c r="D1441" s="51" t="n">
        <x:v>207</x:v>
      </x:c>
      <x:c r="E1441" s="51" t="n">
        <x:v>101</x:v>
      </x:c>
      <x:c r="F1441" s="38" t="n">
        <x:v>0.11219512195121951</x:v>
      </x:c>
      <x:c r="G1441" s="38" t="n">
        <x:v>0.054742547425474256</x:v>
      </x:c>
      <x:c r="H1441" s="57" t="n">
        <x:v>1927.5500000000002</x:v>
      </x:c>
      <x:c r="I1441" s="57" t="n">
        <x:v>0.32</x:v>
      </x:c>
      <x:c r="J1441" s="57" t="n">
        <x:v>20.281639903415833</x:v>
      </x:c>
      <x:c r="K1441" s="57" t="n">
        <x:v>60.42245985512375</x:v>
      </x:c>
      <x:c r="L1441" s="57" t="n">
        <x:v>88.46065693589107</x:v>
      </x:c>
    </x:row>
    <x:row r="1442" ht="32.400001525878906" hidden="0" customHeight="1">
      <x:c r="A1442" s="27" t="str">
        <x:v>Miami-Dade County, Florida</x:v>
      </x:c>
      <x:c r="B1442" s="27" t="str">
        <x:v>12086007610</x:v>
      </x:c>
      <x:c r="C1442" s="50" t="n">
        <x:v>4725</x:v>
      </x:c>
      <x:c r="D1442" s="50" t="n">
        <x:v>285</x:v>
      </x:c>
      <x:c r="E1442" s="50" t="n">
        <x:v>203</x:v>
      </x:c>
      <x:c r="F1442" s="37" t="n">
        <x:v>0.06031746031746032</x:v>
      </x:c>
      <x:c r="G1442" s="37" t="n">
        <x:v>0.04296296296296296</x:v>
      </x:c>
      <x:c r="H1442" s="56" t="n">
        <x:v>4845.049999999999</x:v>
      </x:c>
      <x:c r="I1442" s="56" t="n">
        <x:v>1.009</x:v>
      </x:c>
      <x:c r="J1442" s="56" t="n">
        <x:v>19.33632249713488</x:v>
      </x:c>
      <x:c r="K1442" s="56" t="n">
        <x:v>59.00448374570232</x:v>
      </x:c>
      <x:c r="L1442" s="56" t="n">
        <x:v>86.43497677957475</x:v>
      </x:c>
    </x:row>
    <x:row r="1443" ht="32.400001525878906" hidden="0" customHeight="1">
      <x:c r="A1443" s="29" t="str">
        <x:v>Miami-Dade County, Florida</x:v>
      </x:c>
      <x:c r="B1443" s="29" t="str">
        <x:v>12086007704</x:v>
      </x:c>
      <x:c r="C1443" s="51" t="n">
        <x:v>6375</x:v>
      </x:c>
      <x:c r="D1443" s="51" t="n">
        <x:v>585</x:v>
      </x:c>
      <x:c r="E1443" s="51" t="n">
        <x:v>90</x:v>
      </x:c>
      <x:c r="F1443" s="38" t="n">
        <x:v>0.09176470588235294</x:v>
      </x:c>
      <x:c r="G1443" s="38" t="n">
        <x:v>0.01411764705882353</x:v>
      </x:c>
      <x:c r="H1443" s="57" t="n">
        <x:v>6588.750000000001</x:v>
      </x:c>
      <x:c r="I1443" s="57" t="n">
        <x:v>0.844</x:v>
      </x:c>
      <x:c r="J1443" s="57" t="n">
        <x:v>20.77690737391798</x:v>
      </x:c>
      <x:c r="K1443" s="57" t="n">
        <x:v>61.16536106087697</x:v>
      </x:c>
      <x:c r="L1443" s="57" t="n">
        <x:v>89.52194437268139</x:v>
      </x:c>
    </x:row>
    <x:row r="1444" ht="32.400001525878906" hidden="0" customHeight="1">
      <x:c r="A1444" s="27" t="str">
        <x:v>Miami-Dade County, Florida</x:v>
      </x:c>
      <x:c r="B1444" s="27" t="str">
        <x:v>12086007705</x:v>
      </x:c>
      <x:c r="C1444" s="50" t="n">
        <x:v>5405</x:v>
      </x:c>
      <x:c r="D1444" s="50" t="n">
        <x:v>655</x:v>
      </x:c>
      <x:c r="E1444" s="50" t="n">
        <x:v>191</x:v>
      </x:c>
      <x:c r="F1444" s="37" t="n">
        <x:v>0.1211840888066605</x:v>
      </x:c>
      <x:c r="G1444" s="37" t="n">
        <x:v>0.03533765032377428</x:v>
      </x:c>
      <x:c r="H1444" s="56" t="n">
        <x:v>5653.349999999999</x:v>
      </x:c>
      <x:c r="I1444" s="56" t="n">
        <x:v>0.819</x:v>
      </x:c>
      <x:c r="J1444" s="56" t="n">
        <x:v>22.517495923295915</x:v>
      </x:c>
      <x:c r="K1444" s="56" t="n">
        <x:v>63.77624388494387</x:v>
      </x:c>
      <x:c r="L1444" s="56" t="n">
        <x:v>93.25177697849125</x:v>
      </x:c>
    </x:row>
    <x:row r="1445" ht="32.400001525878906" hidden="0" customHeight="1">
      <x:c r="A1445" s="29" t="str">
        <x:v>Miami-Dade County, Florida</x:v>
      </x:c>
      <x:c r="B1445" s="29" t="str">
        <x:v>12086007706</x:v>
      </x:c>
      <x:c r="C1445" s="51" t="n">
        <x:v>3509</x:v>
      </x:c>
      <x:c r="D1445" s="51" t="n">
        <x:v>426</x:v>
      </x:c>
      <x:c r="E1445" s="51" t="n">
        <x:v>117</x:v>
      </x:c>
      <x:c r="F1445" s="38" t="n">
        <x:v>0.12140210886292391</x:v>
      </x:c>
      <x:c r="G1445" s="38" t="n">
        <x:v>0.03334283271587347</x:v>
      </x:c>
      <x:c r="H1445" s="57" t="n">
        <x:v>3669.7999999999997</x:v>
      </x:c>
      <x:c r="I1445" s="57" t="n">
        <x:v>1.682</x:v>
      </x:c>
      <x:c r="J1445" s="57" t="n">
        <x:v>19.89035726555427</x:v>
      </x:c>
      <x:c r="K1445" s="57" t="n">
        <x:v>59.83553589833141</x:v>
      </x:c>
      <x:c r="L1445" s="57" t="n">
        <x:v>87.62219414047344</x:v>
      </x:c>
    </x:row>
    <x:row r="1446" ht="32.400001525878906" hidden="0" customHeight="1">
      <x:c r="A1446" s="27" t="str">
        <x:v>Miami-Dade County, Florida</x:v>
      </x:c>
      <x:c r="B1446" s="27" t="str">
        <x:v>12086007707</x:v>
      </x:c>
      <x:c r="C1446" s="50" t="n">
        <x:v>3028</x:v>
      </x:c>
      <x:c r="D1446" s="50" t="n">
        <x:v>258</x:v>
      </x:c>
      <x:c r="E1446" s="50" t="n">
        <x:v>13</x:v>
      </x:c>
      <x:c r="F1446" s="37" t="n">
        <x:v>0.08520475561426684</x:v>
      </x:c>
      <x:c r="G1446" s="37" t="n">
        <x:v>0.0042932628797886395</x:v>
      </x:c>
      <x:c r="H1446" s="56" t="n">
        <x:v>3119.6</x:v>
      </x:c>
      <x:c r="I1446" s="56" t="n">
        <x:v>1.067</x:v>
      </x:c>
      <x:c r="J1446" s="56" t="n">
        <x:v>20.460620603355512</x:v>
      </x:c>
      <x:c r="K1446" s="56" t="n">
        <x:v>60.69093090503327</x:v>
      </x:c>
      <x:c r="L1446" s="56" t="n">
        <x:v>88.84418700719038</x:v>
      </x:c>
    </x:row>
    <x:row r="1447" ht="32.400001525878906" hidden="0" customHeight="1">
      <x:c r="A1447" s="29" t="str">
        <x:v>Miami-Dade County, Florida</x:v>
      </x:c>
      <x:c r="B1447" s="29" t="str">
        <x:v>12086007708</x:v>
      </x:c>
      <x:c r="C1447" s="51" t="n">
        <x:v>2502</x:v>
      </x:c>
      <x:c r="D1447" s="51" t="n">
        <x:v>475</x:v>
      </x:c>
      <x:c r="E1447" s="51" t="n">
        <x:v>116</x:v>
      </x:c>
      <x:c r="F1447" s="38" t="n">
        <x:v>0.18984812150279776</x:v>
      </x:c>
      <x:c r="G1447" s="38" t="n">
        <x:v>0.04636290967226219</x:v>
      </x:c>
      <x:c r="H1447" s="57" t="n">
        <x:v>2679.85</x:v>
      </x:c>
      <x:c r="I1447" s="57" t="n">
        <x:v>0.528</x:v>
      </x:c>
      <x:c r="J1447" s="57" t="n">
        <x:v>19.17807830740031</x:v>
      </x:c>
      <x:c r="K1447" s="57" t="n">
        <x:v>58.76711746110046</x:v>
      </x:c>
      <x:c r="L1447" s="57" t="n">
        <x:v>86.09588208728638</x:v>
      </x:c>
    </x:row>
    <x:row r="1448" ht="32.400001525878906" hidden="0" customHeight="1">
      <x:c r="A1448" s="27" t="str">
        <x:v>Miami-Dade County, Florida</x:v>
      </x:c>
      <x:c r="B1448" s="27" t="str">
        <x:v>12086007709</x:v>
      </x:c>
      <x:c r="C1448" s="50" t="n">
        <x:v>2549</x:v>
      </x:c>
      <x:c r="D1448" s="50" t="n">
        <x:v>117</x:v>
      </x:c>
      <x:c r="E1448" s="50" t="n">
        <x:v>54</x:v>
      </x:c>
      <x:c r="F1448" s="37" t="n">
        <x:v>0.04590035307963907</x:v>
      </x:c>
      <x:c r="G1448" s="37" t="n">
        <x:v>0.021184778344448804</x:v>
      </x:c>
      <x:c r="H1448" s="56" t="n">
        <x:v>2595.3500000000004</x:v>
      </x:c>
      <x:c r="I1448" s="56" t="n">
        <x:v>0.507</x:v>
      </x:c>
      <x:c r="J1448" s="56" t="n">
        <x:v>20.22958431657775</x:v>
      </x:c>
      <x:c r="K1448" s="56" t="n">
        <x:v>60.34437647486662</x:v>
      </x:c>
      <x:c r="L1448" s="56" t="n">
        <x:v>88.34910924980946</x:v>
      </x:c>
    </x:row>
    <x:row r="1449" ht="32.400001525878906" hidden="0" customHeight="1">
      <x:c r="A1449" s="29" t="str">
        <x:v>Miami-Dade County, Florida</x:v>
      </x:c>
      <x:c r="B1449" s="29" t="str">
        <x:v>12086007801</x:v>
      </x:c>
      <x:c r="C1449" s="51" t="n">
        <x:v>572</x:v>
      </x:c>
      <x:c r="D1449" s="51" t="n">
        <x:v>12</x:v>
      </x:c>
      <x:c r="E1449" s="51" t="n">
        <x:v>0</x:v>
      </x:c>
      <x:c r="F1449" s="38" t="n">
        <x:v>0.02097902097902098</x:v>
      </x:c>
      <x:c r="G1449" s="38" t="n">
        <x:v>0</x:v>
      </x:c>
      <x:c r="H1449" s="57" t="n">
        <x:v>576.2</x:v>
      </x:c>
      <x:c r="I1449" s="57" t="n">
        <x:v>0.874</x:v>
      </x:c>
      <x:c r="J1449" s="57" t="n">
        <x:v>19.75614289756501</x:v>
      </x:c>
      <x:c r="K1449" s="57" t="n">
        <x:v>59.63421434634752</x:v>
      </x:c>
      <x:c r="L1449" s="57" t="n">
        <x:v>87.3345919233536</x:v>
      </x:c>
    </x:row>
    <x:row r="1450" ht="32.400001525878906" hidden="0" customHeight="1">
      <x:c r="A1450" s="27" t="str">
        <x:v>Miami-Dade County, Florida</x:v>
      </x:c>
      <x:c r="B1450" s="27" t="str">
        <x:v>12086007805</x:v>
      </x:c>
      <x:c r="C1450" s="50" t="n">
        <x:v>4613</x:v>
      </x:c>
      <x:c r="D1450" s="50" t="n">
        <x:v>338</x:v>
      </x:c>
      <x:c r="E1450" s="50" t="n">
        <x:v>22</x:v>
      </x:c>
      <x:c r="F1450" s="37" t="n">
        <x:v>0.07327119011489269</x:v>
      </x:c>
      <x:c r="G1450" s="37" t="n">
        <x:v>0.004769130717537394</x:v>
      </x:c>
      <x:c r="H1450" s="56" t="n">
        <x:v>4733.499999999999</x:v>
      </x:c>
      <x:c r="I1450" s="56" t="n">
        <x:v>1.341</x:v>
      </x:c>
      <x:c r="J1450" s="56" t="n">
        <x:v>21.61983174996768</x:v>
      </x:c>
      <x:c r="K1450" s="56" t="n">
        <x:v>62.429747624951524</x:v>
      </x:c>
      <x:c r="L1450" s="56" t="n">
        <x:v>91.3282108927879</x:v>
      </x:c>
    </x:row>
    <x:row r="1451" ht="32.400001525878906" hidden="0" customHeight="1">
      <x:c r="A1451" s="29" t="str">
        <x:v>Miami-Dade County, Florida</x:v>
      </x:c>
      <x:c r="B1451" s="29" t="str">
        <x:v>12086007806</x:v>
      </x:c>
      <x:c r="C1451" s="51" t="n">
        <x:v>3923</x:v>
      </x:c>
      <x:c r="D1451" s="51" t="n">
        <x:v>151</x:v>
      </x:c>
      <x:c r="E1451" s="51" t="n">
        <x:v>52</x:v>
      </x:c>
      <x:c r="F1451" s="38" t="n">
        <x:v>0.03849095080295692</x:v>
      </x:c>
      <x:c r="G1451" s="38" t="n">
        <x:v>0.01325516186591894</x:v>
      </x:c>
      <x:c r="H1451" s="57" t="n">
        <x:v>3981.0499999999997</x:v>
      </x:c>
      <x:c r="I1451" s="57" t="n">
        <x:v>2.313</x:v>
      </x:c>
      <x:c r="J1451" s="57" t="n">
        <x:v>21.66335404824157</x:v>
      </x:c>
      <x:c r="K1451" s="57" t="n">
        <x:v>62.49503107236235</x:v>
      </x:c>
      <x:c r="L1451" s="57" t="n">
        <x:v>91.42147296051765</x:v>
      </x:c>
    </x:row>
    <x:row r="1452" ht="32.400001525878906" hidden="0" customHeight="1">
      <x:c r="A1452" s="27" t="str">
        <x:v>Miami-Dade County, Florida</x:v>
      </x:c>
      <x:c r="B1452" s="27" t="str">
        <x:v>12086007807</x:v>
      </x:c>
      <x:c r="C1452" s="50" t="n">
        <x:v>5068</x:v>
      </x:c>
      <x:c r="D1452" s="50" t="n">
        <x:v>239</x:v>
      </x:c>
      <x:c r="E1452" s="50" t="n">
        <x:v>54</x:v>
      </x:c>
      <x:c r="F1452" s="37" t="n">
        <x:v>0.047158642462509864</x:v>
      </x:c>
      <x:c r="G1452" s="37" t="n">
        <x:v>0.010655090765588003</x:v>
      </x:c>
      <x:c r="H1452" s="56" t="n">
        <x:v>5157.049999999999</x:v>
      </x:c>
      <x:c r="I1452" s="56" t="n">
        <x:v>1.368</x:v>
      </x:c>
      <x:c r="J1452" s="56" t="n">
        <x:v>22.273202385835994</x:v>
      </x:c>
      <x:c r="K1452" s="56" t="n">
        <x:v>63.409803578753994</x:v>
      </x:c>
      <x:c r="L1452" s="56" t="n">
        <x:v>92.72829082679141</x:v>
      </x:c>
    </x:row>
    <x:row r="1453" ht="32.400001525878906" hidden="0" customHeight="1">
      <x:c r="A1453" s="29" t="str">
        <x:v>Miami-Dade County, Florida</x:v>
      </x:c>
      <x:c r="B1453" s="29" t="str">
        <x:v>12086007808</x:v>
      </x:c>
      <x:c r="C1453" s="51" t="n">
        <x:v>4415</x:v>
      </x:c>
      <x:c r="D1453" s="51" t="n">
        <x:v>397</x:v>
      </x:c>
      <x:c r="E1453" s="51" t="n">
        <x:v>584</x:v>
      </x:c>
      <x:c r="F1453" s="38" t="n">
        <x:v>0.089920724801812</x:v>
      </x:c>
      <x:c r="G1453" s="38" t="n">
        <x:v>0.13227633069082673</x:v>
      </x:c>
      <x:c r="H1453" s="57" t="n">
        <x:v>4612.349999999999</x:v>
      </x:c>
      <x:c r="I1453" s="57" t="n">
        <x:v>0.325</x:v>
      </x:c>
      <x:c r="J1453" s="57" t="n">
        <x:v>21.728937479125904</x:v>
      </x:c>
      <x:c r="K1453" s="57" t="n">
        <x:v>62.593406218688855</x:v>
      </x:c>
      <x:c r="L1453" s="57" t="n">
        <x:v>91.56200888384123</x:v>
      </x:c>
    </x:row>
    <x:row r="1454" ht="32.400001525878906" hidden="0" customHeight="1">
      <x:c r="A1454" s="27" t="str">
        <x:v>Miami-Dade County, Florida</x:v>
      </x:c>
      <x:c r="B1454" s="27" t="str">
        <x:v>12086007809</x:v>
      </x:c>
      <x:c r="C1454" s="50" t="n">
        <x:v>4199</x:v>
      </x:c>
      <x:c r="D1454" s="50" t="n">
        <x:v>316</x:v>
      </x:c>
      <x:c r="E1454" s="50" t="n">
        <x:v>217.5</x:v>
      </x:c>
      <x:c r="F1454" s="37" t="n">
        <x:v>0.07525601333650869</x:v>
      </x:c>
      <x:c r="G1454" s="37" t="n">
        <x:v>0.05179804715408431</x:v>
      </x:c>
      <x:c r="H1454" s="56" t="n">
        <x:v>4331.349999999999</x:v>
      </x:c>
      <x:c r="I1454" s="56" t="n">
        <x:v>0.381</x:v>
      </x:c>
      <x:c r="J1454" s="56" t="n">
        <x:v>22.502137576074475</x:v>
      </x:c>
      <x:c r="K1454" s="56" t="n">
        <x:v>63.75320636411171</x:v>
      </x:c>
      <x:c r="L1454" s="56" t="n">
        <x:v>93.2188662344453</x:v>
      </x:c>
    </x:row>
    <x:row r="1455" ht="32.400001525878906" hidden="0" customHeight="1">
      <x:c r="A1455" s="29" t="str">
        <x:v>Miami-Dade County, Florida</x:v>
      </x:c>
      <x:c r="B1455" s="29" t="str">
        <x:v>12086007901</x:v>
      </x:c>
      <x:c r="C1455" s="51" t="n">
        <x:v>3851</x:v>
      </x:c>
      <x:c r="D1455" s="51" t="n">
        <x:v>373</x:v>
      </x:c>
      <x:c r="E1455" s="51" t="n">
        <x:v>390</x:v>
      </x:c>
      <x:c r="F1455" s="38" t="n">
        <x:v>0.09685795897169566</x:v>
      </x:c>
      <x:c r="G1455" s="38" t="n">
        <x:v>0.10127239678005713</x:v>
      </x:c>
      <x:c r="H1455" s="57" t="n">
        <x:v>4020.5499999999993</x:v>
      </x:c>
      <x:c r="I1455" s="57" t="n">
        <x:v>0.885</x:v>
      </x:c>
      <x:c r="J1455" s="57" t="n">
        <x:v>15.80337605330865</x:v>
      </x:c>
      <x:c r="K1455" s="57" t="n">
        <x:v>53.70506407996297</x:v>
      </x:c>
      <x:c r="L1455" s="57" t="n">
        <x:v>78.86437725708996</x:v>
      </x:c>
    </x:row>
    <x:row r="1456" ht="32.400001525878906" hidden="0" customHeight="1">
      <x:c r="A1456" s="27" t="str">
        <x:v>Miami-Dade County, Florida</x:v>
      </x:c>
      <x:c r="B1456" s="27" t="str">
        <x:v>12086007902</x:v>
      </x:c>
      <x:c r="C1456" s="50" t="n">
        <x:v>3139</x:v>
      </x:c>
      <x:c r="D1456" s="50" t="n">
        <x:v>276</x:v>
      </x:c>
      <x:c r="E1456" s="50" t="n">
        <x:v>7</x:v>
      </x:c>
      <x:c r="F1456" s="37" t="n">
        <x:v>0.08792609111181905</x:v>
      </x:c>
      <x:c r="G1456" s="37" t="n">
        <x:v>0.0022300095571838167</x:v>
      </x:c>
      <x:c r="H1456" s="56" t="n">
        <x:v>3236.3</x:v>
      </x:c>
      <x:c r="I1456" s="56" t="n">
        <x:v>1.053</x:v>
      </x:c>
      <x:c r="J1456" s="56" t="n">
        <x:v>17.602423867503347</x:v>
      </x:c>
      <x:c r="K1456" s="56" t="n">
        <x:v>56.40363580125502</x:v>
      </x:c>
      <x:c r="L1456" s="56" t="n">
        <x:v>82.7194797160786</x:v>
      </x:c>
    </x:row>
    <x:row r="1457" ht="32.400001525878906" hidden="0" customHeight="1">
      <x:c r="A1457" s="29" t="str">
        <x:v>Miami-Dade County, Florida</x:v>
      </x:c>
      <x:c r="B1457" s="29" t="str">
        <x:v>12086008000</x:v>
      </x:c>
      <x:c r="C1457" s="51" t="n">
        <x:v>4695</x:v>
      </x:c>
      <x:c r="D1457" s="51" t="n">
        <x:v>293</x:v>
      </x:c>
      <x:c r="E1457" s="51" t="n">
        <x:v>193</x:v>
      </x:c>
      <x:c r="F1457" s="38" t="n">
        <x:v>0.062406815761448346</x:v>
      </x:c>
      <x:c r="G1457" s="38" t="n">
        <x:v>0.04110756123535676</x:v>
      </x:c>
      <x:c r="H1457" s="57" t="n">
        <x:v>4816.849999999999</x:v>
      </x:c>
      <x:c r="I1457" s="57" t="n">
        <x:v>4.384</x:v>
      </x:c>
      <x:c r="J1457" s="57" t="n">
        <x:v>19.386110395466407</x:v>
      </x:c>
      <x:c r="K1457" s="57" t="n">
        <x:v>59.07916559319961</x:v>
      </x:c>
      <x:c r="L1457" s="57" t="n">
        <x:v>86.5416651331423</x:v>
      </x:c>
    </x:row>
    <x:row r="1458" ht="32.400001525878906" hidden="0" customHeight="1">
      <x:c r="A1458" s="27" t="str">
        <x:v>Miami-Dade County, Florida</x:v>
      </x:c>
      <x:c r="B1458" s="27" t="str">
        <x:v>12086008101</x:v>
      </x:c>
      <x:c r="C1458" s="50" t="n">
        <x:v>3655</x:v>
      </x:c>
      <x:c r="D1458" s="50" t="n">
        <x:v>262</x:v>
      </x:c>
      <x:c r="E1458" s="50" t="n">
        <x:v>117</x:v>
      </x:c>
      <x:c r="F1458" s="37" t="n">
        <x:v>0.07168262653898769</x:v>
      </x:c>
      <x:c r="G1458" s="37" t="n">
        <x:v>0.0320109439124487</x:v>
      </x:c>
      <x:c r="H1458" s="56" t="n">
        <x:v>3758.3999999999996</x:v>
      </x:c>
      <x:c r="I1458" s="56" t="n">
        <x:v>1.728</x:v>
      </x:c>
      <x:c r="J1458" s="56" t="n">
        <x:v>20.46488538748054</x:v>
      </x:c>
      <x:c r="K1458" s="56" t="n">
        <x:v>60.69732808122081</x:v>
      </x:c>
      <x:c r="L1458" s="56" t="n">
        <x:v>88.85332583031544</x:v>
      </x:c>
    </x:row>
    <x:row r="1459" ht="32.400001525878906" hidden="0" customHeight="1">
      <x:c r="A1459" s="29" t="str">
        <x:v>Miami-Dade County, Florida</x:v>
      </x:c>
      <x:c r="B1459" s="29" t="str">
        <x:v>12086008102</x:v>
      </x:c>
      <x:c r="C1459" s="51" t="n">
        <x:v>4265</x:v>
      </x:c>
      <x:c r="D1459" s="51" t="n">
        <x:v>227</x:v>
      </x:c>
      <x:c r="E1459" s="51" t="n">
        <x:v>0</x:v>
      </x:c>
      <x:c r="F1459" s="38" t="n">
        <x:v>0.05322391559202814</x:v>
      </x:c>
      <x:c r="G1459" s="38" t="n">
        <x:v>0</x:v>
      </x:c>
      <x:c r="H1459" s="57" t="n">
        <x:v>4344.45</x:v>
      </x:c>
      <x:c r="I1459" s="57" t="n">
        <x:v>1.795</x:v>
      </x:c>
      <x:c r="J1459" s="57" t="n">
        <x:v>18.968181092860938</x:v>
      </x:c>
      <x:c r="K1459" s="57" t="n">
        <x:v>58.4522716392914</x:v>
      </x:c>
      <x:c r="L1459" s="57" t="n">
        <x:v>85.64610234184487</x:v>
      </x:c>
    </x:row>
    <x:row r="1460" ht="32.400001525878906" hidden="0" customHeight="1">
      <x:c r="A1460" s="27" t="str">
        <x:v>Miami-Dade County, Florida</x:v>
      </x:c>
      <x:c r="B1460" s="27" t="str">
        <x:v>12086008202</x:v>
      </x:c>
      <x:c r="C1460" s="50" t="n">
        <x:v>4352</x:v>
      </x:c>
      <x:c r="D1460" s="50" t="n">
        <x:v>394</x:v>
      </x:c>
      <x:c r="E1460" s="50" t="n">
        <x:v>34</x:v>
      </x:c>
      <x:c r="F1460" s="37" t="n">
        <x:v>0.09053308823529412</x:v>
      </x:c>
      <x:c r="G1460" s="37" t="n">
        <x:v>0.0078125</x:v>
      </x:c>
      <x:c r="H1460" s="56" t="n">
        <x:v>4493.3</x:v>
      </x:c>
      <x:c r="I1460" s="56" t="n">
        <x:v>0.962</x:v>
      </x:c>
      <x:c r="J1460" s="56" t="n">
        <x:v>13.762702704867852</x:v>
      </x:c>
      <x:c r="K1460" s="56" t="n">
        <x:v>50.64405405730178</x:v>
      </x:c>
      <x:c r="L1460" s="56" t="n">
        <x:v>74.49150579614539</x:v>
      </x:c>
    </x:row>
    <x:row r="1461" ht="32.400001525878906" hidden="0" customHeight="1">
      <x:c r="A1461" s="29" t="str">
        <x:v>Miami-Dade County, Florida</x:v>
      </x:c>
      <x:c r="B1461" s="29" t="str">
        <x:v>12086008205</x:v>
      </x:c>
      <x:c r="C1461" s="51" t="n">
        <x:v>3973</x:v>
      </x:c>
      <x:c r="D1461" s="51" t="n">
        <x:v>224</x:v>
      </x:c>
      <x:c r="E1461" s="51" t="n">
        <x:v>29</x:v>
      </x:c>
      <x:c r="F1461" s="38" t="n">
        <x:v>0.05638056883966776</x:v>
      </x:c>
      <x:c r="G1461" s="38" t="n">
        <x:v>0.0072992700729927005</x:v>
      </x:c>
      <x:c r="H1461" s="57" t="n">
        <x:v>4054.2999999999997</x:v>
      </x:c>
      <x:c r="I1461" s="57" t="n">
        <x:v>2.079</x:v>
      </x:c>
      <x:c r="J1461" s="57" t="n">
        <x:v>18.33372675173491</x:v>
      </x:c>
      <x:c r="K1461" s="57" t="n">
        <x:v>57.500590127602365</x:v>
      </x:c>
      <x:c r="L1461" s="57" t="n">
        <x:v>84.28655732514625</x:v>
      </x:c>
    </x:row>
    <x:row r="1462" ht="32.400001525878906" hidden="0" customHeight="1">
      <x:c r="A1462" s="27" t="str">
        <x:v>Miami-Dade County, Florida</x:v>
      </x:c>
      <x:c r="B1462" s="27" t="str">
        <x:v>12086008206</x:v>
      </x:c>
      <x:c r="C1462" s="50" t="n">
        <x:v>3770</x:v>
      </x:c>
      <x:c r="D1462" s="50" t="n">
        <x:v>458</x:v>
      </x:c>
      <x:c r="E1462" s="50" t="n">
        <x:v>59</x:v>
      </x:c>
      <x:c r="F1462" s="37" t="n">
        <x:v>0.12148541114058356</x:v>
      </x:c>
      <x:c r="G1462" s="37" t="n">
        <x:v>0.015649867374005304</x:v>
      </x:c>
      <x:c r="H1462" s="56" t="n">
        <x:v>3936.2</x:v>
      </x:c>
      <x:c r="I1462" s="56" t="n">
        <x:v>1.128</x:v>
      </x:c>
      <x:c r="J1462" s="56" t="n">
        <x:v>15.999785210386346</x:v>
      </x:c>
      <x:c r="K1462" s="56" t="n">
        <x:v>53.99967781557952</x:v>
      </x:c>
      <x:c r="L1462" s="56" t="n">
        <x:v>79.28525402225645</x:v>
      </x:c>
    </x:row>
    <x:row r="1463" ht="32.400001525878906" hidden="0" customHeight="1">
      <x:c r="A1463" s="29" t="str">
        <x:v>Miami-Dade County, Florida</x:v>
      </x:c>
      <x:c r="B1463" s="29" t="str">
        <x:v>12086008207</x:v>
      </x:c>
      <x:c r="C1463" s="51" t="n">
        <x:v>4823</x:v>
      </x:c>
      <x:c r="D1463" s="51" t="n">
        <x:v>449</x:v>
      </x:c>
      <x:c r="E1463" s="51" t="n">
        <x:v>40.5</x:v>
      </x:c>
      <x:c r="F1463" s="38" t="n">
        <x:v>0.09309558366162139</x:v>
      </x:c>
      <x:c r="G1463" s="38" t="n">
        <x:v>0.008397263114244246</x:v>
      </x:c>
      <x:c r="H1463" s="57" t="n">
        <x:v>4984.2</x:v>
      </x:c>
      <x:c r="I1463" s="57" t="n">
        <x:v>1.955</x:v>
      </x:c>
      <x:c r="J1463" s="57" t="n">
        <x:v>16.032736924109948</x:v>
      </x:c>
      <x:c r="K1463" s="57" t="n">
        <x:v>54.049105386164925</x:v>
      </x:c>
      <x:c r="L1463" s="57" t="n">
        <x:v>79.35586483737846</x:v>
      </x:c>
    </x:row>
    <x:row r="1464" ht="32.400001525878906" hidden="0" customHeight="1">
      <x:c r="A1464" s="27" t="str">
        <x:v>Miami-Dade County, Florida</x:v>
      </x:c>
      <x:c r="B1464" s="27" t="str">
        <x:v>12086008208</x:v>
      </x:c>
      <x:c r="C1464" s="50" t="n">
        <x:v>5083</x:v>
      </x:c>
      <x:c r="D1464" s="50" t="n">
        <x:v>669</x:v>
      </x:c>
      <x:c r="E1464" s="50" t="n">
        <x:v>719</x:v>
      </x:c>
      <x:c r="F1464" s="37" t="n">
        <x:v>0.13161518788117255</x:v>
      </x:c>
      <x:c r="G1464" s="37" t="n">
        <x:v>0.14145189848514655</x:v>
      </x:c>
      <x:c r="H1464" s="56" t="n">
        <x:v>5389.05</x:v>
      </x:c>
      <x:c r="I1464" s="56" t="n">
        <x:v>1.099</x:v>
      </x:c>
      <x:c r="J1464" s="56" t="n">
        <x:v>11.021968881731748</x:v>
      </x:c>
      <x:c r="K1464" s="56" t="n">
        <x:v>46.53295332259762</x:v>
      </x:c>
      <x:c r="L1464" s="56" t="n">
        <x:v>68.61850474656804</x:v>
      </x:c>
    </x:row>
    <x:row r="1465" ht="32.400001525878906" hidden="0" customHeight="1">
      <x:c r="A1465" s="29" t="str">
        <x:v>Miami-Dade County, Florida</x:v>
      </x:c>
      <x:c r="B1465" s="29" t="str">
        <x:v>12086008209</x:v>
      </x:c>
      <x:c r="C1465" s="51" t="n">
        <x:v>4236</x:v>
      </x:c>
      <x:c r="D1465" s="51" t="n">
        <x:v>387</x:v>
      </x:c>
      <x:c r="E1465" s="51" t="n">
        <x:v>114</x:v>
      </x:c>
      <x:c r="F1465" s="38" t="n">
        <x:v>0.09135977337110482</x:v>
      </x:c>
      <x:c r="G1465" s="38" t="n">
        <x:v>0.026912181303116147</x:v>
      </x:c>
      <x:c r="H1465" s="57" t="n">
        <x:v>4382.849999999999</x:v>
      </x:c>
      <x:c r="I1465" s="57" t="n">
        <x:v>1.686</x:v>
      </x:c>
      <x:c r="J1465" s="57" t="n">
        <x:v>12.624911969874498</x:v>
      </x:c>
      <x:c r="K1465" s="57" t="n">
        <x:v>48.93736795481175</x:v>
      </x:c>
      <x:c r="L1465" s="57" t="n">
        <x:v>72.05338279258821</x:v>
      </x:c>
    </x:row>
    <x:row r="1466" ht="32.400001525878906" hidden="0" customHeight="1">
      <x:c r="A1466" s="27" t="str">
        <x:v>Miami-Dade County, Florida</x:v>
      </x:c>
      <x:c r="B1466" s="27" t="str">
        <x:v>12086008305</x:v>
      </x:c>
      <x:c r="C1466" s="50" t="n">
        <x:v>5645</x:v>
      </x:c>
      <x:c r="D1466" s="50" t="n">
        <x:v>443</x:v>
      </x:c>
      <x:c r="E1466" s="50" t="n">
        <x:v>94</x:v>
      </x:c>
      <x:c r="F1466" s="37" t="n">
        <x:v>0.07847652790079716</x:v>
      </x:c>
      <x:c r="G1466" s="37" t="n">
        <x:v>0.016651904340124004</x:v>
      </x:c>
      <x:c r="H1466" s="56" t="n">
        <x:v>5809.45</x:v>
      </x:c>
      <x:c r="I1466" s="56" t="n">
        <x:v>1.324</x:v>
      </x:c>
      <x:c r="J1466" s="56" t="n">
        <x:v>14.804545253121342</x:v>
      </x:c>
      <x:c r="K1466" s="56" t="n">
        <x:v>52.20681787968201</x:v>
      </x:c>
      <x:c r="L1466" s="56" t="n">
        <x:v>76.72402554240287</x:v>
      </x:c>
    </x:row>
    <x:row r="1467" ht="32.400001525878906" hidden="0" customHeight="1">
      <x:c r="A1467" s="29" t="str">
        <x:v>Miami-Dade County, Florida</x:v>
      </x:c>
      <x:c r="B1467" s="29" t="str">
        <x:v>12086008308</x:v>
      </x:c>
      <x:c r="C1467" s="51" t="n">
        <x:v>6080</x:v>
      </x:c>
      <x:c r="D1467" s="51" t="n">
        <x:v>586</x:v>
      </x:c>
      <x:c r="E1467" s="51" t="n">
        <x:v>238.5</x:v>
      </x:c>
      <x:c r="F1467" s="38" t="n">
        <x:v>0.09638157894736842</x:v>
      </x:c>
      <x:c r="G1467" s="38" t="n">
        <x:v>0.03922697368421053</x:v>
      </x:c>
      <x:c r="H1467" s="57" t="n">
        <x:v>6308.95</x:v>
      </x:c>
      <x:c r="I1467" s="57" t="n">
        <x:v>0.805</x:v>
      </x:c>
      <x:c r="J1467" s="57" t="n">
        <x:v>9.37200244860136</x:v>
      </x:c>
      <x:c r="K1467" s="57" t="n">
        <x:v>44.05800367290204</x:v>
      </x:c>
      <x:c r="L1467" s="57" t="n">
        <x:v>65.08286238986005</x:v>
      </x:c>
    </x:row>
    <x:row r="1468" ht="32.400001525878906" hidden="0" customHeight="1">
      <x:c r="A1468" s="27" t="str">
        <x:v>Miami-Dade County, Florida</x:v>
      </x:c>
      <x:c r="B1468" s="27" t="str">
        <x:v>12086008309</x:v>
      </x:c>
      <x:c r="C1468" s="50" t="n">
        <x:v>5049</x:v>
      </x:c>
      <x:c r="D1468" s="50" t="n">
        <x:v>773</x:v>
      </x:c>
      <x:c r="E1468" s="50" t="n">
        <x:v>168</x:v>
      </x:c>
      <x:c r="F1468" s="37" t="n">
        <x:v>0.15309962368785898</x:v>
      </x:c>
      <x:c r="G1468" s="37" t="n">
        <x:v>0.033273915626856804</x:v>
      </x:c>
      <x:c r="H1468" s="56" t="n">
        <x:v>5336.35</x:v>
      </x:c>
      <x:c r="I1468" s="56" t="n">
        <x:v>0.948</x:v>
      </x:c>
      <x:c r="J1468" s="56" t="n">
        <x:v>10.118745093187956</x:v>
      </x:c>
      <x:c r="K1468" s="56" t="n">
        <x:v>45.17811763978193</x:v>
      </x:c>
      <x:c r="L1468" s="56" t="n">
        <x:v>66.68302519968847</x:v>
      </x:c>
    </x:row>
    <x:row r="1469" ht="32.400001525878906" hidden="0" customHeight="1">
      <x:c r="A1469" s="29" t="str">
        <x:v>Miami-Dade County, Florida</x:v>
      </x:c>
      <x:c r="B1469" s="29" t="str">
        <x:v>12086008310</x:v>
      </x:c>
      <x:c r="C1469" s="51" t="n">
        <x:v>4165</x:v>
      </x:c>
      <x:c r="D1469" s="51" t="n">
        <x:v>778</x:v>
      </x:c>
      <x:c r="E1469" s="51" t="n">
        <x:v>139</x:v>
      </x:c>
      <x:c r="F1469" s="38" t="n">
        <x:v>0.18679471788715485</x:v>
      </x:c>
      <x:c r="G1469" s="38" t="n">
        <x:v>0.033373349339735896</x:v>
      </x:c>
      <x:c r="H1469" s="57" t="n">
        <x:v>4451.200000000001</x:v>
      </x:c>
      <x:c r="I1469" s="57" t="n">
        <x:v>0.635</x:v>
      </x:c>
      <x:c r="J1469" s="57" t="n">
        <x:v>12.981387990345493</x:v>
      </x:c>
      <x:c r="K1469" s="57" t="n">
        <x:v>49.47208198551824</x:v>
      </x:c>
      <x:c r="L1469" s="57" t="n">
        <x:v>72.81725997931177</x:v>
      </x:c>
    </x:row>
    <x:row r="1470" ht="32.400001525878906" hidden="0" customHeight="1">
      <x:c r="A1470" s="27" t="str">
        <x:v>Miami-Dade County, Florida</x:v>
      </x:c>
      <x:c r="B1470" s="27" t="str">
        <x:v>12086008311</x:v>
      </x:c>
      <x:c r="C1470" s="50" t="n">
        <x:v>4412</x:v>
      </x:c>
      <x:c r="D1470" s="50" t="n">
        <x:v>615</x:v>
      </x:c>
      <x:c r="E1470" s="50" t="n">
        <x:v>333.5</x:v>
      </x:c>
      <x:c r="F1470" s="37" t="n">
        <x:v>0.13939256572982775</x:v>
      </x:c>
      <x:c r="G1470" s="37" t="n">
        <x:v>0.07558930190389845</x:v>
      </x:c>
      <x:c r="H1470" s="56" t="n">
        <x:v>4660.599999999999</x:v>
      </x:c>
      <x:c r="I1470" s="56" t="n">
        <x:v>0.595</x:v>
      </x:c>
      <x:c r="J1470" s="56" t="n">
        <x:v>11.672003273282344</x:v>
      </x:c>
      <x:c r="K1470" s="56" t="n">
        <x:v>47.508004909923514</x:v>
      </x:c>
      <x:c r="L1470" s="56" t="n">
        <x:v>70.01143558560503</x:v>
      </x:c>
    </x:row>
    <x:row r="1471" ht="32.400001525878906" hidden="0" customHeight="1">
      <x:c r="A1471" s="29" t="str">
        <x:v>Miami-Dade County, Florida</x:v>
      </x:c>
      <x:c r="B1471" s="29" t="str">
        <x:v>12086008312</x:v>
      </x:c>
      <x:c r="C1471" s="51" t="n">
        <x:v>3442</x:v>
      </x:c>
      <x:c r="D1471" s="51" t="n">
        <x:v>481</x:v>
      </x:c>
      <x:c r="E1471" s="51" t="n">
        <x:v>132</x:v>
      </x:c>
      <x:c r="F1471" s="38" t="n">
        <x:v>0.13974433468913422</x:v>
      </x:c>
      <x:c r="G1471" s="38" t="n">
        <x:v>0.03834979662986636</x:v>
      </x:c>
      <x:c r="H1471" s="57" t="n">
        <x:v>3623.55</x:v>
      </x:c>
      <x:c r="I1471" s="57" t="n">
        <x:v>0.66</x:v>
      </x:c>
      <x:c r="J1471" s="57" t="n">
        <x:v>13.50979637062282</x:v>
      </x:c>
      <x:c r="K1471" s="57" t="n">
        <x:v>50.26469455593423</x:v>
      </x:c>
      <x:c r="L1471" s="57" t="n">
        <x:v>73.94956365133461</x:v>
      </x:c>
    </x:row>
    <x:row r="1472" ht="32.400001525878906" hidden="0" customHeight="1">
      <x:c r="A1472" s="27" t="str">
        <x:v>Miami-Dade County, Florida</x:v>
      </x:c>
      <x:c r="B1472" s="27" t="str">
        <x:v>12086008313</x:v>
      </x:c>
      <x:c r="C1472" s="50" t="n">
        <x:v>5266</x:v>
      </x:c>
      <x:c r="D1472" s="50" t="n">
        <x:v>697</x:v>
      </x:c>
      <x:c r="E1472" s="50" t="n">
        <x:v>132</x:v>
      </x:c>
      <x:c r="F1472" s="37" t="n">
        <x:v>0.1323585263957463</x:v>
      </x:c>
      <x:c r="G1472" s="37" t="n">
        <x:v>0.025066464109380935</x:v>
      </x:c>
      <x:c r="H1472" s="56" t="n">
        <x:v>5523.15</x:v>
      </x:c>
      <x:c r="I1472" s="56" t="n">
        <x:v>0.806</x:v>
      </x:c>
      <x:c r="J1472" s="56" t="n">
        <x:v>13.458527568689641</x:v>
      </x:c>
      <x:c r="K1472" s="56" t="n">
        <x:v>50.18779135303446</x:v>
      </x:c>
      <x:c r="L1472" s="56" t="n">
        <x:v>73.83970193290637</x:v>
      </x:c>
    </x:row>
    <x:row r="1473" ht="32.400001525878906" hidden="0" customHeight="1">
      <x:c r="A1473" s="29" t="str">
        <x:v>Miami-Dade County, Florida</x:v>
      </x:c>
      <x:c r="B1473" s="29" t="str">
        <x:v>12086008314</x:v>
      </x:c>
      <x:c r="C1473" s="51" t="n">
        <x:v>2716</x:v>
      </x:c>
      <x:c r="D1473" s="51" t="n">
        <x:v>189</x:v>
      </x:c>
      <x:c r="E1473" s="51" t="n">
        <x:v>0</x:v>
      </x:c>
      <x:c r="F1473" s="38" t="n">
        <x:v>0.06958762886597938</x:v>
      </x:c>
      <x:c r="G1473" s="38" t="n">
        <x:v>0</x:v>
      </x:c>
      <x:c r="H1473" s="57" t="n">
        <x:v>2782.1499999999996</x:v>
      </x:c>
      <x:c r="I1473" s="57" t="n">
        <x:v>0.429</x:v>
      </x:c>
      <x:c r="J1473" s="57" t="n">
        <x:v>11.570565425169628</x:v>
      </x:c>
      <x:c r="K1473" s="57" t="n">
        <x:v>47.35584813775444</x:v>
      </x:c>
      <x:c r="L1473" s="57" t="n">
        <x:v>69.79406876822063</x:v>
      </x:c>
    </x:row>
    <x:row r="1474" ht="32.400001525878906" hidden="0" customHeight="1">
      <x:c r="A1474" s="27" t="str">
        <x:v>Miami-Dade County, Florida</x:v>
      </x:c>
      <x:c r="B1474" s="27" t="str">
        <x:v>12086008315</x:v>
      </x:c>
      <x:c r="C1474" s="50" t="n">
        <x:v>4822</x:v>
      </x:c>
      <x:c r="D1474" s="50" t="n">
        <x:v>296</x:v>
      </x:c>
      <x:c r="E1474" s="50" t="n">
        <x:v>78</x:v>
      </x:c>
      <x:c r="F1474" s="37" t="n">
        <x:v>0.061385317295727916</x:v>
      </x:c>
      <x:c r="G1474" s="37" t="n">
        <x:v>0.016175860638739114</x:v>
      </x:c>
      <x:c r="H1474" s="56" t="n">
        <x:v>4933.4</x:v>
      </x:c>
      <x:c r="I1474" s="56" t="n">
        <x:v>0.5</x:v>
      </x:c>
      <x:c r="J1474" s="56" t="n">
        <x:v>11.874268557510627</x:v>
      </x:c>
      <x:c r="K1474" s="56" t="n">
        <x:v>47.81140283626594</x:v>
      </x:c>
      <x:c r="L1474" s="56" t="n">
        <x:v>70.44486119466563</x:v>
      </x:c>
    </x:row>
    <x:row r="1475" ht="32.400001525878906" hidden="0" customHeight="1">
      <x:c r="A1475" s="29" t="str">
        <x:v>Miami-Dade County, Florida</x:v>
      </x:c>
      <x:c r="B1475" s="29" t="str">
        <x:v>12086008409</x:v>
      </x:c>
      <x:c r="C1475" s="51" t="n">
        <x:v>5039</x:v>
      </x:c>
      <x:c r="D1475" s="51" t="n">
        <x:v>475</x:v>
      </x:c>
      <x:c r="E1475" s="51" t="n">
        <x:v>102</x:v>
      </x:c>
      <x:c r="F1475" s="38" t="n">
        <x:v>0.09426473506648145</x:v>
      </x:c>
      <x:c r="G1475" s="38" t="n">
        <x:v>0.020242111530065488</x:v>
      </x:c>
      <x:c r="H1475" s="57" t="n">
        <x:v>5215.45</x:v>
      </x:c>
      <x:c r="I1475" s="57" t="n">
        <x:v>2.092</x:v>
      </x:c>
      <x:c r="J1475" s="57" t="n">
        <x:v>18.00457729696343</x:v>
      </x:c>
      <x:c r="K1475" s="57" t="n">
        <x:v>57.00686594544514</x:v>
      </x:c>
      <x:c r="L1475" s="57" t="n">
        <x:v>83.58123706492164</x:v>
      </x:c>
    </x:row>
    <x:row r="1476" ht="32.400001525878906" hidden="0" customHeight="1">
      <x:c r="A1476" s="27" t="str">
        <x:v>Miami-Dade County, Florida</x:v>
      </x:c>
      <x:c r="B1476" s="27" t="str">
        <x:v>12086008415</x:v>
      </x:c>
      <x:c r="C1476" s="50" t="n">
        <x:v>4371</x:v>
      </x:c>
      <x:c r="D1476" s="50" t="n">
        <x:v>375</x:v>
      </x:c>
      <x:c r="E1476" s="50" t="n">
        <x:v>12</x:v>
      </x:c>
      <x:c r="F1476" s="37" t="n">
        <x:v>0.08579272477693892</x:v>
      </x:c>
      <x:c r="G1476" s="37" t="n">
        <x:v>0.002745367192862045</x:v>
      </x:c>
      <x:c r="H1476" s="56" t="n">
        <x:v>4503.450000000001</x:v>
      </x:c>
      <x:c r="I1476" s="56" t="n">
        <x:v>1.57</x:v>
      </x:c>
      <x:c r="J1476" s="56" t="n">
        <x:v>16.979323696327572</x:v>
      </x:c>
      <x:c r="K1476" s="56" t="n">
        <x:v>55.46898554449136</x:v>
      </x:c>
      <x:c r="L1476" s="56" t="n">
        <x:v>81.38426506355908</x:v>
      </x:c>
    </x:row>
    <x:row r="1477" ht="32.400001525878906" hidden="0" customHeight="1">
      <x:c r="A1477" s="29" t="str">
        <x:v>Miami-Dade County, Florida</x:v>
      </x:c>
      <x:c r="B1477" s="29" t="str">
        <x:v>12086008416</x:v>
      </x:c>
      <x:c r="C1477" s="51" t="n">
        <x:v>3306</x:v>
      </x:c>
      <x:c r="D1477" s="51" t="n">
        <x:v>286</x:v>
      </x:c>
      <x:c r="E1477" s="51" t="n">
        <x:v>26</x:v>
      </x:c>
      <x:c r="F1477" s="38" t="n">
        <x:v>0.08650937689050212</x:v>
      </x:c>
      <x:c r="G1477" s="38" t="n">
        <x:v>0.007864488808227465</x:v>
      </x:c>
      <x:c r="H1477" s="57" t="n">
        <x:v>3408.7</x:v>
      </x:c>
      <x:c r="I1477" s="57" t="n">
        <x:v>0.539</x:v>
      </x:c>
      <x:c r="J1477" s="57" t="n">
        <x:v>20.76351716846709</x:v>
      </x:c>
      <x:c r="K1477" s="57" t="n">
        <x:v>61.145275752700634</x:v>
      </x:c>
      <x:c r="L1477" s="57" t="n">
        <x:v>89.49325107528662</x:v>
      </x:c>
    </x:row>
    <x:row r="1478" ht="32.400001525878906" hidden="0" customHeight="1">
      <x:c r="A1478" s="27" t="str">
        <x:v>Miami-Dade County, Florida</x:v>
      </x:c>
      <x:c r="B1478" s="27" t="str">
        <x:v>12086008418</x:v>
      </x:c>
      <x:c r="C1478" s="50" t="n">
        <x:v>2698</x:v>
      </x:c>
      <x:c r="D1478" s="50" t="n">
        <x:v>405</x:v>
      </x:c>
      <x:c r="E1478" s="50" t="n">
        <x:v>45</x:v>
      </x:c>
      <x:c r="F1478" s="37" t="n">
        <x:v>0.15011119347664936</x:v>
      </x:c>
      <x:c r="G1478" s="37" t="n">
        <x:v>0.016679021497405487</x:v>
      </x:c>
      <x:c r="H1478" s="56" t="n">
        <x:v>2844.2499999999995</x:v>
      </x:c>
      <x:c r="I1478" s="56" t="n">
        <x:v>0.239</x:v>
      </x:c>
      <x:c r="J1478" s="56" t="n">
        <x:v>23.172139740452362</x:v>
      </x:c>
      <x:c r="K1478" s="56" t="n">
        <x:v>64.75820961067855</x:v>
      </x:c>
      <x:c r="L1478" s="56" t="n">
        <x:v>94.65458515811221</x:v>
      </x:c>
    </x:row>
    <x:row r="1479" ht="32.400001525878906" hidden="0" customHeight="1">
      <x:c r="A1479" s="29" t="str">
        <x:v>Miami-Dade County, Florida</x:v>
      </x:c>
      <x:c r="B1479" s="29" t="str">
        <x:v>12086008419</x:v>
      </x:c>
      <x:c r="C1479" s="51" t="n">
        <x:v>5224</x:v>
      </x:c>
      <x:c r="D1479" s="51" t="n">
        <x:v>574</x:v>
      </x:c>
      <x:c r="E1479" s="51" t="n">
        <x:v>364</x:v>
      </x:c>
      <x:c r="F1479" s="38" t="n">
        <x:v>0.10987748851454823</x:v>
      </x:c>
      <x:c r="G1479" s="38" t="n">
        <x:v>0.06967840735068913</x:v>
      </x:c>
      <x:c r="H1479" s="57" t="n">
        <x:v>5461.3</x:v>
      </x:c>
      <x:c r="I1479" s="57" t="n">
        <x:v>0.325</x:v>
      </x:c>
      <x:c r="J1479" s="57" t="n">
        <x:v>23.00428778583038</x:v>
      </x:c>
      <x:c r="K1479" s="57" t="n">
        <x:v>64.50643167874557</x:v>
      </x:c>
      <x:c r="L1479" s="57" t="n">
        <x:v>94.29490239820795</x:v>
      </x:c>
    </x:row>
    <x:row r="1480" ht="32.400001525878906" hidden="0" customHeight="1">
      <x:c r="A1480" s="27" t="str">
        <x:v>Miami-Dade County, Florida</x:v>
      </x:c>
      <x:c r="B1480" s="27" t="str">
        <x:v>12086008420</x:v>
      </x:c>
      <x:c r="C1480" s="50" t="n">
        <x:v>1655</x:v>
      </x:c>
      <x:c r="D1480" s="50" t="n">
        <x:v>140</x:v>
      </x:c>
      <x:c r="E1480" s="50" t="n">
        <x:v>59</x:v>
      </x:c>
      <x:c r="F1480" s="37" t="n">
        <x:v>0.08459214501510574</x:v>
      </x:c>
      <x:c r="G1480" s="37" t="n">
        <x:v>0.03564954682779456</x:v>
      </x:c>
      <x:c r="H1480" s="56" t="n">
        <x:v>1709.8999999999999</x:v>
      </x:c>
      <x:c r="I1480" s="56" t="n">
        <x:v>0.272</x:v>
      </x:c>
      <x:c r="J1480" s="56" t="n">
        <x:v>18.48897168773364</x:v>
      </x:c>
      <x:c r="K1480" s="56" t="n">
        <x:v>57.73345753160046</x:v>
      </x:c>
      <x:c r="L1480" s="56" t="n">
        <x:v>84.61922504514351</x:v>
      </x:c>
    </x:row>
    <x:row r="1481" ht="32.400001525878906" hidden="0" customHeight="1">
      <x:c r="A1481" s="29" t="str">
        <x:v>Miami-Dade County, Florida</x:v>
      </x:c>
      <x:c r="B1481" s="29" t="str">
        <x:v>12086008421</x:v>
      </x:c>
      <x:c r="C1481" s="51" t="n">
        <x:v>4195</x:v>
      </x:c>
      <x:c r="D1481" s="51" t="n">
        <x:v>396</x:v>
      </x:c>
      <x:c r="E1481" s="51" t="n">
        <x:v>112.5</x:v>
      </x:c>
      <x:c r="F1481" s="38" t="n">
        <x:v>0.09439809296781883</x:v>
      </x:c>
      <x:c r="G1481" s="38" t="n">
        <x:v>0.026817640047675805</x:v>
      </x:c>
      <x:c r="H1481" s="57" t="n">
        <x:v>4344.85</x:v>
      </x:c>
      <x:c r="I1481" s="57" t="n">
        <x:v>0.733</x:v>
      </x:c>
      <x:c r="J1481" s="57" t="n">
        <x:v>19.67413643724385</x:v>
      </x:c>
      <x:c r="K1481" s="57" t="n">
        <x:v>59.51120465586577</x:v>
      </x:c>
      <x:c r="L1481" s="57" t="n">
        <x:v>87.15886379409396</x:v>
      </x:c>
    </x:row>
    <x:row r="1482" ht="32.400001525878906" hidden="0" customHeight="1">
      <x:c r="A1482" s="27" t="str">
        <x:v>Miami-Dade County, Florida</x:v>
      </x:c>
      <x:c r="B1482" s="27" t="str">
        <x:v>12086008422</x:v>
      </x:c>
      <x:c r="C1482" s="50" t="n">
        <x:v>2250</x:v>
      </x:c>
      <x:c r="D1482" s="50" t="n">
        <x:v>222</x:v>
      </x:c>
      <x:c r="E1482" s="50" t="n">
        <x:v>109</x:v>
      </x:c>
      <x:c r="F1482" s="37" t="n">
        <x:v>0.09866666666666667</x:v>
      </x:c>
      <x:c r="G1482" s="37" t="n">
        <x:v>0.04844444444444444</x:v>
      </x:c>
      <x:c r="H1482" s="56" t="n">
        <x:v>2338.6</x:v>
      </x:c>
      <x:c r="I1482" s="56" t="n">
        <x:v>0.559</x:v>
      </x:c>
      <x:c r="J1482" s="56" t="n">
        <x:v>23.838513031499904</x:v>
      </x:c>
      <x:c r="K1482" s="56" t="n">
        <x:v>65.75776954724985</x:v>
      </x:c>
      <x:c r="L1482" s="56" t="n">
        <x:v>96.08252792464265</x:v>
      </x:c>
    </x:row>
    <x:row r="1483" ht="32.400001525878906" hidden="0" customHeight="1">
      <x:c r="A1483" s="29" t="str">
        <x:v>Miami-Dade County, Florida</x:v>
      </x:c>
      <x:c r="B1483" s="29" t="str">
        <x:v>12086008423</x:v>
      </x:c>
      <x:c r="C1483" s="51" t="n">
        <x:v>4991</x:v>
      </x:c>
      <x:c r="D1483" s="51" t="n">
        <x:v>330</x:v>
      </x:c>
      <x:c r="E1483" s="51" t="n">
        <x:v>26</x:v>
      </x:c>
      <x:c r="F1483" s="38" t="n">
        <x:v>0.0661190142256061</x:v>
      </x:c>
      <x:c r="G1483" s="38" t="n">
        <x:v>0.005209376878381086</x:v>
      </x:c>
      <x:c r="H1483" s="57" t="n">
        <x:v>5109.099999999999</x:v>
      </x:c>
      <x:c r="I1483" s="57" t="n">
        <x:v>0.983</x:v>
      </x:c>
      <x:c r="J1483" s="57" t="n">
        <x:v>22.873979700273388</x:v>
      </x:c>
      <x:c r="K1483" s="57" t="n">
        <x:v>64.31096955041008</x:v>
      </x:c>
      <x:c r="L1483" s="57" t="n">
        <x:v>94.01567078630012</x:v>
      </x:c>
    </x:row>
    <x:row r="1484" ht="32.400001525878906" hidden="0" customHeight="1">
      <x:c r="A1484" s="27" t="str">
        <x:v>Miami-Dade County, Florida</x:v>
      </x:c>
      <x:c r="B1484" s="27" t="str">
        <x:v>12086008424</x:v>
      </x:c>
      <x:c r="C1484" s="50" t="n">
        <x:v>3451</x:v>
      </x:c>
      <x:c r="D1484" s="50" t="n">
        <x:v>745</x:v>
      </x:c>
      <x:c r="E1484" s="50" t="n">
        <x:v>466</x:v>
      </x:c>
      <x:c r="F1484" s="37" t="n">
        <x:v>0.215879455230368</x:v>
      </x:c>
      <x:c r="G1484" s="37" t="n">
        <x:v>0.1350333236742973</x:v>
      </x:c>
      <x:c r="H1484" s="56" t="n">
        <x:v>3758.35</x:v>
      </x:c>
      <x:c r="I1484" s="56" t="n">
        <x:v>0.209</x:v>
      </x:c>
      <x:c r="J1484" s="56" t="n">
        <x:v>18.69418908667778</x:v>
      </x:c>
      <x:c r="K1484" s="56" t="n">
        <x:v>58.04128363001667</x:v>
      </x:c>
      <x:c r="L1484" s="56" t="n">
        <x:v>85.05897661430953</x:v>
      </x:c>
    </x:row>
    <x:row r="1485" ht="32.400001525878906" hidden="0" customHeight="1">
      <x:c r="A1485" s="29" t="str">
        <x:v>Miami-Dade County, Florida</x:v>
      </x:c>
      <x:c r="B1485" s="29" t="str">
        <x:v>12086008425</x:v>
      </x:c>
      <x:c r="C1485" s="51" t="n">
        <x:v>2234</x:v>
      </x:c>
      <x:c r="D1485" s="51" t="n">
        <x:v>239</x:v>
      </x:c>
      <x:c r="E1485" s="51" t="n">
        <x:v>43</x:v>
      </x:c>
      <x:c r="F1485" s="38" t="n">
        <x:v>0.10698299015219337</x:v>
      </x:c>
      <x:c r="G1485" s="38" t="n">
        <x:v>0.019247985675917637</x:v>
      </x:c>
      <x:c r="H1485" s="57" t="n">
        <x:v>2321.9500000000003</x:v>
      </x:c>
      <x:c r="I1485" s="57" t="n">
        <x:v>0.592</x:v>
      </x:c>
      <x:c r="J1485" s="57" t="n">
        <x:v>20.227994752018173</x:v>
      </x:c>
      <x:c r="K1485" s="57" t="n">
        <x:v>60.34199212802726</x:v>
      </x:c>
      <x:c r="L1485" s="57" t="n">
        <x:v>88.34570304003894</x:v>
      </x:c>
    </x:row>
    <x:row r="1486" ht="32.400001525878906" hidden="0" customHeight="1">
      <x:c r="A1486" s="27" t="str">
        <x:v>Miami-Dade County, Florida</x:v>
      </x:c>
      <x:c r="B1486" s="27" t="str">
        <x:v>12086008426</x:v>
      </x:c>
      <x:c r="C1486" s="50" t="n">
        <x:v>4148</x:v>
      </x:c>
      <x:c r="D1486" s="50" t="n">
        <x:v>195</x:v>
      </x:c>
      <x:c r="E1486" s="50" t="n">
        <x:v>168</x:v>
      </x:c>
      <x:c r="F1486" s="37" t="n">
        <x:v>0.0470106075216972</x:v>
      </x:c>
      <x:c r="G1486" s="37" t="n">
        <x:v>0.040501446480231434</x:v>
      </x:c>
      <x:c r="H1486" s="56" t="n">
        <x:v>4233.050000000001</x:v>
      </x:c>
      <x:c r="I1486" s="56" t="n">
        <x:v>1.239</x:v>
      </x:c>
      <x:c r="J1486" s="56" t="n">
        <x:v>16.17900429147613</x:v>
      </x:c>
      <x:c r="K1486" s="56" t="n">
        <x:v>54.26850643721419</x:v>
      </x:c>
      <x:c r="L1486" s="56" t="n">
        <x:v>79.669294910306</x:v>
      </x:c>
    </x:row>
    <x:row r="1487" ht="32.400001525878906" hidden="0" customHeight="1">
      <x:c r="A1487" s="29" t="str">
        <x:v>Miami-Dade County, Florida</x:v>
      </x:c>
      <x:c r="B1487" s="29" t="str">
        <x:v>12086008427</x:v>
      </x:c>
      <x:c r="C1487" s="51" t="n">
        <x:v>1975</x:v>
      </x:c>
      <x:c r="D1487" s="51" t="n">
        <x:v>228</x:v>
      </x:c>
      <x:c r="E1487" s="51" t="n">
        <x:v>5</x:v>
      </x:c>
      <x:c r="F1487" s="38" t="n">
        <x:v>0.11544303797468354</x:v>
      </x:c>
      <x:c r="G1487" s="38" t="n">
        <x:v>0.002531645569620253</x:v>
      </x:c>
      <x:c r="H1487" s="57" t="n">
        <x:v>2055.3</x:v>
      </x:c>
      <x:c r="I1487" s="57" t="n">
        <x:v>0.525</x:v>
      </x:c>
      <x:c r="J1487" s="57" t="n">
        <x:v>17.4893135967563</x:v>
      </x:c>
      <x:c r="K1487" s="57" t="n">
        <x:v>56.23397039513445</x:v>
      </x:c>
      <x:c r="L1487" s="57" t="n">
        <x:v>82.47710056447778</x:v>
      </x:c>
    </x:row>
    <x:row r="1488" ht="32.400001525878906" hidden="0" customHeight="1">
      <x:c r="A1488" s="27" t="str">
        <x:v>Miami-Dade County, Florida</x:v>
      </x:c>
      <x:c r="B1488" s="27" t="str">
        <x:v>12086008428</x:v>
      </x:c>
      <x:c r="C1488" s="50" t="n">
        <x:v>2422</x:v>
      </x:c>
      <x:c r="D1488" s="50" t="n">
        <x:v>125</x:v>
      </x:c>
      <x:c r="E1488" s="50" t="n">
        <x:v>52</x:v>
      </x:c>
      <x:c r="F1488" s="37" t="n">
        <x:v>0.051610239471511145</x:v>
      </x:c>
      <x:c r="G1488" s="37" t="n">
        <x:v>0.021469859620148638</x:v>
      </x:c>
      <x:c r="H1488" s="56" t="n">
        <x:v>2470.9500000000003</x:v>
      </x:c>
      <x:c r="I1488" s="56" t="n">
        <x:v>0.987</x:v>
      </x:c>
      <x:c r="J1488" s="56" t="n">
        <x:v>19.5692058007435</x:v>
      </x:c>
      <x:c r="K1488" s="56" t="n">
        <x:v>59.353808701115256</x:v>
      </x:c>
      <x:c r="L1488" s="56" t="n">
        <x:v>86.93401243016464</x:v>
      </x:c>
    </x:row>
    <x:row r="1489" ht="32.400001525878906" hidden="0" customHeight="1">
      <x:c r="A1489" s="29" t="str">
        <x:v>Miami-Dade County, Florida</x:v>
      </x:c>
      <x:c r="B1489" s="29" t="str">
        <x:v>12086008429</x:v>
      </x:c>
      <x:c r="C1489" s="51" t="n">
        <x:v>4354</x:v>
      </x:c>
      <x:c r="D1489" s="51" t="n">
        <x:v>601</x:v>
      </x:c>
      <x:c r="E1489" s="51" t="n">
        <x:v>27</x:v>
      </x:c>
      <x:c r="F1489" s="38" t="n">
        <x:v>0.13803399173174094</x:v>
      </x:c>
      <x:c r="G1489" s="38" t="n">
        <x:v>0.006201194304088195</x:v>
      </x:c>
      <x:c r="H1489" s="57" t="n">
        <x:v>4567.05</x:v>
      </x:c>
      <x:c r="I1489" s="57" t="n">
        <x:v>1.5</x:v>
      </x:c>
      <x:c r="J1489" s="57" t="n">
        <x:v>20.66402124934109</x:v>
      </x:c>
      <x:c r="K1489" s="57" t="n">
        <x:v>60.996031874011635</x:v>
      </x:c>
      <x:c r="L1489" s="57" t="n">
        <x:v>89.28004553430233</x:v>
      </x:c>
    </x:row>
    <x:row r="1490" ht="32.400001525878906" hidden="0" customHeight="1">
      <x:c r="A1490" s="27" t="str">
        <x:v>Miami-Dade County, Florida</x:v>
      </x:c>
      <x:c r="B1490" s="27" t="str">
        <x:v>12086008430</x:v>
      </x:c>
      <x:c r="C1490" s="50" t="n">
        <x:v>5637</x:v>
      </x:c>
      <x:c r="D1490" s="50" t="n">
        <x:v>519</x:v>
      </x:c>
      <x:c r="E1490" s="50" t="n">
        <x:v>342.5</x:v>
      </x:c>
      <x:c r="F1490" s="37" t="n">
        <x:v>0.0920702501330495</x:v>
      </x:c>
      <x:c r="G1490" s="37" t="n">
        <x:v>0.060759269114777366</x:v>
      </x:c>
      <x:c r="H1490" s="56" t="n">
        <x:v>5852.9</x:v>
      </x:c>
      <x:c r="I1490" s="56" t="n">
        <x:v>0.264</x:v>
      </x:c>
      <x:c r="J1490" s="56" t="n">
        <x:v>21.56560262165581</x:v>
      </x:c>
      <x:c r="K1490" s="56" t="n">
        <x:v>62.34840393248372</x:v>
      </x:c>
      <x:c r="L1490" s="56" t="n">
        <x:v>91.21200561783388</x:v>
      </x:c>
    </x:row>
    <x:row r="1491" ht="32.400001525878906" hidden="0" customHeight="1">
      <x:c r="A1491" s="29" t="str">
        <x:v>Miami-Dade County, Florida</x:v>
      </x:c>
      <x:c r="B1491" s="29" t="str">
        <x:v>12086008431</x:v>
      </x:c>
      <x:c r="C1491" s="51" t="n">
        <x:v>2442</x:v>
      </x:c>
      <x:c r="D1491" s="51" t="n">
        <x:v>1085</x:v>
      </x:c>
      <x:c r="E1491" s="51" t="n">
        <x:v>99.5</x:v>
      </x:c>
      <x:c r="F1491" s="38" t="n">
        <x:v>0.4443079443079443</x:v>
      </x:c>
      <x:c r="G1491" s="38" t="n">
        <x:v>0.04074529074529074</x:v>
      </x:c>
      <x:c r="H1491" s="57" t="n">
        <x:v>2831.7</x:v>
      </x:c>
      <x:c r="I1491" s="57" t="n">
        <x:v>0.791</x:v>
      </x:c>
      <x:c r="J1491" s="57" t="n">
        <x:v>22.24944600458236</x:v>
      </x:c>
      <x:c r="K1491" s="57" t="n">
        <x:v>63.374169006873544</x:v>
      </x:c>
      <x:c r="L1491" s="57" t="n">
        <x:v>92.67738429553363</x:v>
      </x:c>
    </x:row>
    <x:row r="1492" ht="32.400001525878906" hidden="0" customHeight="1">
      <x:c r="A1492" s="27" t="str">
        <x:v>Miami-Dade County, Florida</x:v>
      </x:c>
      <x:c r="B1492" s="27" t="str">
        <x:v>12086008502</x:v>
      </x:c>
      <x:c r="C1492" s="50" t="n">
        <x:v>4231</x:v>
      </x:c>
      <x:c r="D1492" s="50" t="n">
        <x:v>420</x:v>
      </x:c>
      <x:c r="E1492" s="50" t="n">
        <x:v>193</x:v>
      </x:c>
      <x:c r="F1492" s="37" t="n">
        <x:v>0.09926731269203498</x:v>
      </x:c>
      <x:c r="G1492" s="37" t="n">
        <x:v>0.04561569368943512</x:v>
      </x:c>
      <x:c r="H1492" s="56" t="n">
        <x:v>4397.3</x:v>
      </x:c>
      <x:c r="I1492" s="56" t="n">
        <x:v>0.97</x:v>
      </x:c>
      <x:c r="J1492" s="56" t="n">
        <x:v>23.10199797158813</x:v>
      </x:c>
      <x:c r="K1492" s="56" t="n">
        <x:v>64.6529969573822</x:v>
      </x:c>
      <x:c r="L1492" s="56" t="n">
        <x:v>94.50428136768886</x:v>
      </x:c>
    </x:row>
    <x:row r="1493" ht="32.400001525878906" hidden="0" customHeight="1">
      <x:c r="A1493" s="29" t="str">
        <x:v>Miami-Dade County, Florida</x:v>
      </x:c>
      <x:c r="B1493" s="29" t="str">
        <x:v>12086008503</x:v>
      </x:c>
      <x:c r="C1493" s="51" t="n">
        <x:v>2896</x:v>
      </x:c>
      <x:c r="D1493" s="51" t="n">
        <x:v>521</x:v>
      </x:c>
      <x:c r="E1493" s="51" t="n">
        <x:v>115</x:v>
      </x:c>
      <x:c r="F1493" s="38" t="n">
        <x:v>0.17990331491712708</x:v>
      </x:c>
      <x:c r="G1493" s="38" t="n">
        <x:v>0.03970994475138122</x:v>
      </x:c>
      <x:c r="H1493" s="57" t="n">
        <x:v>3089.85</x:v>
      </x:c>
      <x:c r="I1493" s="57" t="n">
        <x:v>0.571</x:v>
      </x:c>
      <x:c r="J1493" s="57" t="n">
        <x:v>22.503194575640975</x:v>
      </x:c>
      <x:c r="K1493" s="57" t="n">
        <x:v>63.75479186346146</x:v>
      </x:c>
      <x:c r="L1493" s="57" t="n">
        <x:v>93.22113123351637</x:v>
      </x:c>
    </x:row>
    <x:row r="1494" ht="32.400001525878906" hidden="0" customHeight="1">
      <x:c r="A1494" s="27" t="str">
        <x:v>Miami-Dade County, Florida</x:v>
      </x:c>
      <x:c r="B1494" s="27" t="str">
        <x:v>12086008504</x:v>
      </x:c>
      <x:c r="C1494" s="50" t="n">
        <x:v>2828</x:v>
      </x:c>
      <x:c r="D1494" s="50" t="n">
        <x:v>308</x:v>
      </x:c>
      <x:c r="E1494" s="50" t="n">
        <x:v>4</x:v>
      </x:c>
      <x:c r="F1494" s="37" t="n">
        <x:v>0.10891089108910891</x:v>
      </x:c>
      <x:c r="G1494" s="37" t="n">
        <x:v>0.0014144271570014145</x:v>
      </x:c>
      <x:c r="H1494" s="56" t="n">
        <x:v>2936.2</x:v>
      </x:c>
      <x:c r="I1494" s="56" t="n">
        <x:v>0.495</x:v>
      </x:c>
      <x:c r="J1494" s="56" t="n">
        <x:v>22.872831460293366</x:v>
      </x:c>
      <x:c r="K1494" s="56" t="n">
        <x:v>64.30924719044005</x:v>
      </x:c>
      <x:c r="L1494" s="56" t="n">
        <x:v>94.01321027205722</x:v>
      </x:c>
    </x:row>
    <x:row r="1495" ht="32.400001525878906" hidden="0" customHeight="1">
      <x:c r="A1495" s="29" t="str">
        <x:v>Miami-Dade County, Florida</x:v>
      </x:c>
      <x:c r="B1495" s="29" t="str">
        <x:v>12086008601</x:v>
      </x:c>
      <x:c r="C1495" s="51" t="n">
        <x:v>4047</x:v>
      </x:c>
      <x:c r="D1495" s="51" t="n">
        <x:v>476</x:v>
      </x:c>
      <x:c r="E1495" s="51" t="n">
        <x:v>134.5</x:v>
      </x:c>
      <x:c r="F1495" s="38" t="n">
        <x:v>0.11761798863355571</x:v>
      </x:c>
      <x:c r="G1495" s="38" t="n">
        <x:v>0.03323449468742278</x:v>
      </x:c>
      <x:c r="H1495" s="57" t="n">
        <x:v>4227.049999999999</x:v>
      </x:c>
      <x:c r="I1495" s="57" t="n">
        <x:v>1.071</x:v>
      </x:c>
      <x:c r="J1495" s="57" t="n">
        <x:v>24.466756114440745</x:v>
      </x:c>
      <x:c r="K1495" s="57" t="n">
        <x:v>66.70013417166112</x:v>
      </x:c>
      <x:c r="L1495" s="57" t="n">
        <x:v>97.42876310237303</x:v>
      </x:c>
    </x:row>
    <x:row r="1496" ht="32.400001525878906" hidden="0" customHeight="1">
      <x:c r="A1496" s="27" t="str">
        <x:v>Miami-Dade County, Florida</x:v>
      </x:c>
      <x:c r="B1496" s="27" t="str">
        <x:v>12086008603</x:v>
      </x:c>
      <x:c r="C1496" s="50" t="n">
        <x:v>4014</x:v>
      </x:c>
      <x:c r="D1496" s="50" t="n">
        <x:v>375</x:v>
      </x:c>
      <x:c r="E1496" s="50" t="n">
        <x:v>13</x:v>
      </x:c>
      <x:c r="F1496" s="37" t="n">
        <x:v>0.09342301943198804</x:v>
      </x:c>
      <x:c r="G1496" s="37" t="n">
        <x:v>0.0032386646736422523</x:v>
      </x:c>
      <x:c r="H1496" s="56" t="n">
        <x:v>4146.55</x:v>
      </x:c>
      <x:c r="I1496" s="56" t="n">
        <x:v>0.596</x:v>
      </x:c>
      <x:c r="J1496" s="56" t="n">
        <x:v>24.89870726703832</x:v>
      </x:c>
      <x:c r="K1496" s="56" t="n">
        <x:v>67.34806090055747</x:v>
      </x:c>
      <x:c r="L1496" s="56" t="n">
        <x:v>98.3543727150821</x:v>
      </x:c>
    </x:row>
    <x:row r="1497" ht="32.400001525878906" hidden="0" customHeight="1">
      <x:c r="A1497" s="29" t="str">
        <x:v>Miami-Dade County, Florida</x:v>
      </x:c>
      <x:c r="B1497" s="29" t="str">
        <x:v>12086008604</x:v>
      </x:c>
      <x:c r="C1497" s="51" t="n">
        <x:v>1250</x:v>
      </x:c>
      <x:c r="D1497" s="51" t="n">
        <x:v>102</x:v>
      </x:c>
      <x:c r="E1497" s="51" t="n">
        <x:v>48</x:v>
      </x:c>
      <x:c r="F1497" s="38" t="n">
        <x:v>0.0816</x:v>
      </x:c>
      <x:c r="G1497" s="38" t="n">
        <x:v>0.0384</x:v>
      </x:c>
      <x:c r="H1497" s="57" t="n">
        <x:v>1290.5</x:v>
      </x:c>
      <x:c r="I1497" s="57" t="n">
        <x:v>0.492</x:v>
      </x:c>
      <x:c r="J1497" s="57" t="n">
        <x:v>24.753157930891447</x:v>
      </x:c>
      <x:c r="K1497" s="57" t="n">
        <x:v>67.12973689633716</x:v>
      </x:c>
      <x:c r="L1497" s="57" t="n">
        <x:v>98.04248128048167</x:v>
      </x:c>
    </x:row>
    <x:row r="1498" ht="32.400001525878906" hidden="0" customHeight="1">
      <x:c r="A1498" s="27" t="str">
        <x:v>Miami-Dade County, Florida</x:v>
      </x:c>
      <x:c r="B1498" s="27" t="str">
        <x:v>12086008702</x:v>
      </x:c>
      <x:c r="C1498" s="50" t="n">
        <x:v>5476</x:v>
      </x:c>
      <x:c r="D1498" s="50" t="n">
        <x:v>934</x:v>
      </x:c>
      <x:c r="E1498" s="50" t="n">
        <x:v>337</x:v>
      </x:c>
      <x:c r="F1498" s="37" t="n">
        <x:v>0.17056245434623812</x:v>
      </x:c>
      <x:c r="G1498" s="37" t="n">
        <x:v>0.06154127100073046</x:v>
      </x:c>
      <x:c r="H1498" s="56" t="n">
        <x:v>5836.6</x:v>
      </x:c>
      <x:c r="I1498" s="56" t="n">
        <x:v>0.827</x:v>
      </x:c>
      <x:c r="J1498" s="56" t="n">
        <x:v>25.29193474640045</x:v>
      </x:c>
      <x:c r="K1498" s="56" t="n">
        <x:v>67.93790211960068</x:v>
      </x:c>
      <x:c r="L1498" s="56" t="n">
        <x:v>99.19700302800096</x:v>
      </x:c>
    </x:row>
    <x:row r="1499" ht="32.400001525878906" hidden="0" customHeight="1">
      <x:c r="A1499" s="29" t="str">
        <x:v>Miami-Dade County, Florida</x:v>
      </x:c>
      <x:c r="B1499" s="29" t="str">
        <x:v>12086008703</x:v>
      </x:c>
      <x:c r="C1499" s="51" t="n">
        <x:v>2279</x:v>
      </x:c>
      <x:c r="D1499" s="51" t="n">
        <x:v>177</x:v>
      </x:c>
      <x:c r="E1499" s="51" t="n">
        <x:v>26</x:v>
      </x:c>
      <x:c r="F1499" s="38" t="n">
        <x:v>0.0776656428258008</x:v>
      </x:c>
      <x:c r="G1499" s="38" t="n">
        <x:v>0.011408512505484861</x:v>
      </x:c>
      <x:c r="H1499" s="57" t="n">
        <x:v>2343.5499999999997</x:v>
      </x:c>
      <x:c r="I1499" s="57" t="n">
        <x:v>0.331</x:v>
      </x:c>
      <x:c r="J1499" s="57" t="n">
        <x:v>26.957470339257043</x:v>
      </x:c>
      <x:c r="K1499" s="57" t="n">
        <x:v>70.43620550888556</x:v>
      </x:c>
      <x:c r="L1499" s="57" t="n">
        <x:v>102.76600786983653</x:v>
      </x:c>
    </x:row>
    <x:row r="1500" ht="32.400001525878906" hidden="0" customHeight="1">
      <x:c r="A1500" s="27" t="str">
        <x:v>Miami-Dade County, Florida</x:v>
      </x:c>
      <x:c r="B1500" s="27" t="str">
        <x:v>12086008704</x:v>
      </x:c>
      <x:c r="C1500" s="50" t="n">
        <x:v>2788</x:v>
      </x:c>
      <x:c r="D1500" s="50" t="n">
        <x:v>260</x:v>
      </x:c>
      <x:c r="E1500" s="50" t="n">
        <x:v>68</x:v>
      </x:c>
      <x:c r="F1500" s="37" t="n">
        <x:v>0.09325681492109039</x:v>
      </x:c>
      <x:c r="G1500" s="37" t="n">
        <x:v>0.024390243902439025</x:v>
      </x:c>
      <x:c r="H1500" s="56" t="n">
        <x:v>2885.8</x:v>
      </x:c>
      <x:c r="I1500" s="56" t="n">
        <x:v>0.5</x:v>
      </x:c>
      <x:c r="J1500" s="56" t="n">
        <x:v>26.1247252786158</x:v>
      </x:c>
      <x:c r="K1500" s="56" t="n">
        <x:v>69.18708791792369</x:v>
      </x:c>
      <x:c r="L1500" s="56" t="n">
        <x:v>100.98155416846242</x:v>
      </x:c>
    </x:row>
    <x:row r="1501" ht="32.400001525878906" hidden="0" customHeight="1">
      <x:c r="A1501" s="29" t="str">
        <x:v>Miami-Dade County, Florida</x:v>
      </x:c>
      <x:c r="B1501" s="29" t="str">
        <x:v>12086008805</x:v>
      </x:c>
      <x:c r="C1501" s="51" t="n">
        <x:v>3715</x:v>
      </x:c>
      <x:c r="D1501" s="51" t="n">
        <x:v>371</x:v>
      </x:c>
      <x:c r="E1501" s="51" t="n">
        <x:v>117</x:v>
      </x:c>
      <x:c r="F1501" s="38" t="n">
        <x:v>0.09986541049798116</x:v>
      </x:c>
      <x:c r="G1501" s="38" t="n">
        <x:v>0.03149394347240915</x:v>
      </x:c>
      <x:c r="H1501" s="57" t="n">
        <x:v>3856.5499999999997</x:v>
      </x:c>
      <x:c r="I1501" s="57" t="n">
        <x:v>0.497</x:v>
      </x:c>
      <x:c r="J1501" s="57" t="n">
        <x:v>21.263705205143964</x:v>
      </x:c>
      <x:c r="K1501" s="57" t="n">
        <x:v>61.895557807715946</x:v>
      </x:c>
      <x:c r="L1501" s="57" t="n">
        <x:v>90.56508258245134</x:v>
      </x:c>
    </x:row>
    <x:row r="1502" ht="32.400001525878906" hidden="0" customHeight="1">
      <x:c r="A1502" s="27" t="str">
        <x:v>Miami-Dade County, Florida</x:v>
      </x:c>
      <x:c r="B1502" s="27" t="str">
        <x:v>12086008806</x:v>
      </x:c>
      <x:c r="C1502" s="50" t="n">
        <x:v>4510</x:v>
      </x:c>
      <x:c r="D1502" s="50" t="n">
        <x:v>475</x:v>
      </x:c>
      <x:c r="E1502" s="50" t="n">
        <x:v>109.5</x:v>
      </x:c>
      <x:c r="F1502" s="37" t="n">
        <x:v>0.10532150776053215</x:v>
      </x:c>
      <x:c r="G1502" s="37" t="n">
        <x:v>0.02427937915742794</x:v>
      </x:c>
      <x:c r="H1502" s="56" t="n">
        <x:v>4687.2</x:v>
      </x:c>
      <x:c r="I1502" s="56" t="n">
        <x:v>0.497</x:v>
      </x:c>
      <x:c r="J1502" s="56" t="n">
        <x:v>22.298886599937262</x:v>
      </x:c>
      <x:c r="K1502" s="56" t="n">
        <x:v>63.44832989990589</x:v>
      </x:c>
      <x:c r="L1502" s="56" t="n">
        <x:v>92.78332842843699</x:v>
      </x:c>
    </x:row>
    <x:row r="1503" ht="32.400001525878906" hidden="0" customHeight="1">
      <x:c r="A1503" s="29" t="str">
        <x:v>Miami-Dade County, Florida</x:v>
      </x:c>
      <x:c r="B1503" s="29" t="str">
        <x:v>12086008807</x:v>
      </x:c>
      <x:c r="C1503" s="51" t="n">
        <x:v>3895</x:v>
      </x:c>
      <x:c r="D1503" s="51" t="n">
        <x:v>283</x:v>
      </x:c>
      <x:c r="E1503" s="51" t="n">
        <x:v>82</x:v>
      </x:c>
      <x:c r="F1503" s="38" t="n">
        <x:v>0.07265725288831835</x:v>
      </x:c>
      <x:c r="G1503" s="38" t="n">
        <x:v>0.021052631578947368</x:v>
      </x:c>
      <x:c r="H1503" s="57" t="n">
        <x:v>4002.2500000000005</x:v>
      </x:c>
      <x:c r="I1503" s="57" t="n">
        <x:v>0.497</x:v>
      </x:c>
      <x:c r="J1503" s="57" t="n">
        <x:v>23.709189583571302</x:v>
      </x:c>
      <x:c r="K1503" s="57" t="n">
        <x:v>65.56378437535696</x:v>
      </x:c>
      <x:c r="L1503" s="57" t="n">
        <x:v>95.80540625050993</x:v>
      </x:c>
    </x:row>
    <x:row r="1504" ht="32.400001525878906" hidden="0" customHeight="1">
      <x:c r="A1504" s="27" t="str">
        <x:v>Miami-Dade County, Florida</x:v>
      </x:c>
      <x:c r="B1504" s="27" t="str">
        <x:v>12086008808</x:v>
      </x:c>
      <x:c r="C1504" s="50" t="n">
        <x:v>2730</x:v>
      </x:c>
      <x:c r="D1504" s="50" t="n">
        <x:v>334</x:v>
      </x:c>
      <x:c r="E1504" s="50" t="n">
        <x:v>41</x:v>
      </x:c>
      <x:c r="F1504" s="37" t="n">
        <x:v>0.12234432234432234</x:v>
      </x:c>
      <x:c r="G1504" s="37" t="n">
        <x:v>0.015018315018315019</x:v>
      </x:c>
      <x:c r="H1504" s="56" t="n">
        <x:v>2851</x:v>
      </x:c>
      <x:c r="I1504" s="56" t="n">
        <x:v>0.5</x:v>
      </x:c>
      <x:c r="J1504" s="56" t="n">
        <x:v>24.028007558173712</x:v>
      </x:c>
      <x:c r="K1504" s="56" t="n">
        <x:v>66.04201133726056</x:v>
      </x:c>
      <x:c r="L1504" s="56" t="n">
        <x:v>96.48858762465795</x:v>
      </x:c>
    </x:row>
    <x:row r="1505" ht="32.400001525878906" hidden="0" customHeight="1">
      <x:c r="A1505" s="29" t="str">
        <x:v>Miami-Dade County, Florida</x:v>
      </x:c>
      <x:c r="B1505" s="29" t="str">
        <x:v>12086008809</x:v>
      </x:c>
      <x:c r="C1505" s="51" t="n">
        <x:v>1949</x:v>
      </x:c>
      <x:c r="D1505" s="51" t="n">
        <x:v>204</x:v>
      </x:c>
      <x:c r="E1505" s="51" t="n">
        <x:v>6</x:v>
      </x:c>
      <x:c r="F1505" s="38" t="n">
        <x:v>0.10466906105695228</x:v>
      </x:c>
      <x:c r="G1505" s="38" t="n">
        <x:v>0.0030785017957927143</x:v>
      </x:c>
      <x:c r="H1505" s="57" t="n">
        <x:v>2020.9999999999998</x:v>
      </x:c>
      <x:c r="I1505" s="57" t="n">
        <x:v>0.519</x:v>
      </x:c>
      <x:c r="J1505" s="57" t="n">
        <x:v>25.983540659168884</x:v>
      </x:c>
      <x:c r="K1505" s="57" t="n">
        <x:v>68.97531098875332</x:v>
      </x:c>
      <x:c r="L1505" s="57" t="n">
        <x:v>100.67901569821903</x:v>
      </x:c>
    </x:row>
    <x:row r="1506" ht="32.400001525878906" hidden="0" customHeight="1">
      <x:c r="A1506" s="27" t="str">
        <x:v>Miami-Dade County, Florida</x:v>
      </x:c>
      <x:c r="B1506" s="27" t="str">
        <x:v>12086008810</x:v>
      </x:c>
      <x:c r="C1506" s="50" t="n">
        <x:v>4037</x:v>
      </x:c>
      <x:c r="D1506" s="50" t="n">
        <x:v>476</x:v>
      </x:c>
      <x:c r="E1506" s="50" t="n">
        <x:v>405.5</x:v>
      </x:c>
      <x:c r="F1506" s="37" t="n">
        <x:v>0.11790933861778548</x:v>
      </x:c>
      <x:c r="G1506" s="37" t="n">
        <x:v>0.10044587565023533</x:v>
      </x:c>
      <x:c r="H1506" s="56" t="n">
        <x:v>4244.15</x:v>
      </x:c>
      <x:c r="I1506" s="56" t="n">
        <x:v>0.513</x:v>
      </x:c>
      <x:c r="J1506" s="56" t="n">
        <x:v>26.30758880346139</x:v>
      </x:c>
      <x:c r="K1506" s="56" t="n">
        <x:v>69.46138320519208</x:v>
      </x:c>
      <x:c r="L1506" s="56" t="n">
        <x:v>101.37340457884584</x:v>
      </x:c>
    </x:row>
    <x:row r="1507" ht="32.400001525878906" hidden="0" customHeight="1">
      <x:c r="A1507" s="29" t="str">
        <x:v>Miami-Dade County, Florida</x:v>
      </x:c>
      <x:c r="B1507" s="29" t="str">
        <x:v>12086008904</x:v>
      </x:c>
      <x:c r="C1507" s="51" t="n">
        <x:v>3585</x:v>
      </x:c>
      <x:c r="D1507" s="51" t="n">
        <x:v>439</x:v>
      </x:c>
      <x:c r="E1507" s="51" t="n">
        <x:v>4</x:v>
      </x:c>
      <x:c r="F1507" s="38" t="n">
        <x:v>0.12245467224546723</x:v>
      </x:c>
      <x:c r="G1507" s="38" t="n">
        <x:v>0.0011157601115760112</x:v>
      </x:c>
      <x:c r="H1507" s="57" t="n">
        <x:v>3739.05</x:v>
      </x:c>
      <x:c r="I1507" s="57" t="n">
        <x:v>1.041</x:v>
      </x:c>
      <x:c r="J1507" s="57" t="n">
        <x:v>24.219985442033778</x:v>
      </x:c>
      <x:c r="K1507" s="57" t="n">
        <x:v>66.32997816305067</x:v>
      </x:c>
      <x:c r="L1507" s="57" t="n">
        <x:v>96.8999688043581</x:v>
      </x:c>
    </x:row>
    <x:row r="1508" ht="32.400001525878906" hidden="0" customHeight="1">
      <x:c r="A1508" s="27" t="str">
        <x:v>Miami-Dade County, Florida</x:v>
      </x:c>
      <x:c r="B1508" s="27" t="str">
        <x:v>12086008906</x:v>
      </x:c>
      <x:c r="C1508" s="50" t="n">
        <x:v>4772</x:v>
      </x:c>
      <x:c r="D1508" s="50" t="n">
        <x:v>537</x:v>
      </x:c>
      <x:c r="E1508" s="50" t="n">
        <x:v>167</x:v>
      </x:c>
      <x:c r="F1508" s="37" t="n">
        <x:v>0.1125314333612741</x:v>
      </x:c>
      <x:c r="G1508" s="37" t="n">
        <x:v>0.03499580888516345</x:v>
      </x:c>
      <x:c r="H1508" s="56" t="n">
        <x:v>4976.650000000001</x:v>
      </x:c>
      <x:c r="I1508" s="56" t="n">
        <x:v>0.478</x:v>
      </x:c>
      <x:c r="J1508" s="56" t="n">
        <x:v>23.656826564285755</x:v>
      </x:c>
      <x:c r="K1508" s="56" t="n">
        <x:v>65.48523984642863</x:v>
      </x:c>
      <x:c r="L1508" s="56" t="n">
        <x:v>95.69319978061233</x:v>
      </x:c>
    </x:row>
    <x:row r="1509" ht="32.400001525878906" hidden="0" customHeight="1">
      <x:c r="A1509" s="29" t="str">
        <x:v>Miami-Dade County, Florida</x:v>
      </x:c>
      <x:c r="B1509" s="29" t="str">
        <x:v>12086008907</x:v>
      </x:c>
      <x:c r="C1509" s="51" t="n">
        <x:v>4433</x:v>
      </x:c>
      <x:c r="D1509" s="51" t="n">
        <x:v>364</x:v>
      </x:c>
      <x:c r="E1509" s="51" t="n">
        <x:v>132</x:v>
      </x:c>
      <x:c r="F1509" s="38" t="n">
        <x:v>0.08211143695014662</x:v>
      </x:c>
      <x:c r="G1509" s="38" t="n">
        <x:v>0.02977667493796526</x:v>
      </x:c>
      <x:c r="H1509" s="57" t="n">
        <x:v>4573.6</x:v>
      </x:c>
      <x:c r="I1509" s="57" t="n">
        <x:v>0.444</x:v>
      </x:c>
      <x:c r="J1509" s="57" t="n">
        <x:v>23.2191327214426</x:v>
      </x:c>
      <x:c r="K1509" s="57" t="n">
        <x:v>64.82869908216391</x:v>
      </x:c>
      <x:c r="L1509" s="57" t="n">
        <x:v>94.7552844030913</x:v>
      </x:c>
    </x:row>
    <x:row r="1510" ht="32.400001525878906" hidden="0" customHeight="1">
      <x:c r="A1510" s="27" t="str">
        <x:v>Miami-Dade County, Florida</x:v>
      </x:c>
      <x:c r="B1510" s="27" t="str">
        <x:v>12086008908</x:v>
      </x:c>
      <x:c r="C1510" s="50" t="n">
        <x:v>3368</x:v>
      </x:c>
      <x:c r="D1510" s="50" t="n">
        <x:v>437</x:v>
      </x:c>
      <x:c r="E1510" s="50" t="n">
        <x:v>113</x:v>
      </x:c>
      <x:c r="F1510" s="37" t="n">
        <x:v>0.12975059382422802</x:v>
      </x:c>
      <x:c r="G1510" s="37" t="n">
        <x:v>0.03355106888361045</x:v>
      </x:c>
      <x:c r="H1510" s="56" t="n">
        <x:v>3532.25</x:v>
      </x:c>
      <x:c r="I1510" s="56" t="n">
        <x:v>0.48</x:v>
      </x:c>
      <x:c r="J1510" s="56" t="n">
        <x:v>21.345063475230678</x:v>
      </x:c>
      <x:c r="K1510" s="56" t="n">
        <x:v>62.01759521284602</x:v>
      </x:c>
      <x:c r="L1510" s="56" t="n">
        <x:v>90.73942173263717</x:v>
      </x:c>
    </x:row>
    <x:row r="1511" ht="32.400001525878906" hidden="0" customHeight="1">
      <x:c r="A1511" s="29" t="str">
        <x:v>Miami-Dade County, Florida</x:v>
      </x:c>
      <x:c r="B1511" s="29" t="str">
        <x:v>12086008909</x:v>
      </x:c>
      <x:c r="C1511" s="51" t="n">
        <x:v>3449</x:v>
      </x:c>
      <x:c r="D1511" s="51" t="n">
        <x:v>586</x:v>
      </x:c>
      <x:c r="E1511" s="51" t="n">
        <x:v>501.5</x:v>
      </x:c>
      <x:c r="F1511" s="38" t="n">
        <x:v>0.1699043200927805</x:v>
      </x:c>
      <x:c r="G1511" s="38" t="n">
        <x:v>0.1454044650623369</x:v>
      </x:c>
      <x:c r="H1511" s="57" t="n">
        <x:v>3704.25</x:v>
      </x:c>
      <x:c r="I1511" s="57" t="n">
        <x:v>0.498</x:v>
      </x:c>
      <x:c r="J1511" s="57" t="n">
        <x:v>21.337668529090063</x:v>
      </x:c>
      <x:c r="K1511" s="57" t="n">
        <x:v>62.00650279363509</x:v>
      </x:c>
      <x:c r="L1511" s="57" t="n">
        <x:v>90.7235754194787</x:v>
      </x:c>
    </x:row>
    <x:row r="1512" ht="32.400001525878906" hidden="0" customHeight="1">
      <x:c r="A1512" s="27" t="str">
        <x:v>Miami-Dade County, Florida</x:v>
      </x:c>
      <x:c r="B1512" s="27" t="str">
        <x:v>12086008910</x:v>
      </x:c>
      <x:c r="C1512" s="50" t="n">
        <x:v>3171</x:v>
      </x:c>
      <x:c r="D1512" s="50" t="n">
        <x:v>343</x:v>
      </x:c>
      <x:c r="E1512" s="50" t="n">
        <x:v>60</x:v>
      </x:c>
      <x:c r="F1512" s="37" t="n">
        <x:v>0.10816777041942605</x:v>
      </x:c>
      <x:c r="G1512" s="37" t="n">
        <x:v>0.01892147587511826</x:v>
      </x:c>
      <x:c r="H1512" s="56" t="n">
        <x:v>3297.05</x:v>
      </x:c>
      <x:c r="I1512" s="56" t="n">
        <x:v>0.459</x:v>
      </x:c>
      <x:c r="J1512" s="56" t="n">
        <x:v>19.16148233128508</x:v>
      </x:c>
      <x:c r="K1512" s="56" t="n">
        <x:v>58.74222349692762</x:v>
      </x:c>
      <x:c r="L1512" s="56" t="n">
        <x:v>86.06031928132518</x:v>
      </x:c>
    </x:row>
    <x:row r="1513" ht="32.400001525878906" hidden="0" customHeight="1">
      <x:c r="A1513" s="29" t="str">
        <x:v>Miami-Dade County, Florida</x:v>
      </x:c>
      <x:c r="B1513" s="29" t="str">
        <x:v>12086008911</x:v>
      </x:c>
      <x:c r="C1513" s="51" t="n">
        <x:v>3172</x:v>
      </x:c>
      <x:c r="D1513" s="51" t="n">
        <x:v>322</x:v>
      </x:c>
      <x:c r="E1513" s="51" t="n">
        <x:v>71</x:v>
      </x:c>
      <x:c r="F1513" s="38" t="n">
        <x:v>0.10151324085750316</x:v>
      </x:c>
      <x:c r="G1513" s="38" t="n">
        <x:v>0.022383354350567465</x:v>
      </x:c>
      <x:c r="H1513" s="57" t="n">
        <x:v>3291.8</x:v>
      </x:c>
      <x:c r="I1513" s="57" t="n">
        <x:v>0.498</x:v>
      </x:c>
      <x:c r="J1513" s="57" t="n">
        <x:v>19.338056410829765</x:v>
      </x:c>
      <x:c r="K1513" s="57" t="n">
        <x:v>59.00708461624465</x:v>
      </x:c>
      <x:c r="L1513" s="57" t="n">
        <x:v>86.43869230892092</x:v>
      </x:c>
    </x:row>
    <x:row r="1514" ht="32.400001525878906" hidden="0" customHeight="1">
      <x:c r="A1514" s="27" t="str">
        <x:v>Miami-Dade County, Florida</x:v>
      </x:c>
      <x:c r="B1514" s="27" t="str">
        <x:v>12086009010</x:v>
      </x:c>
      <x:c r="C1514" s="50" t="n">
        <x:v>7327</x:v>
      </x:c>
      <x:c r="D1514" s="50" t="n">
        <x:v>665</x:v>
      </x:c>
      <x:c r="E1514" s="50" t="n">
        <x:v>100</x:v>
      </x:c>
      <x:c r="F1514" s="37" t="n">
        <x:v>0.09076020199263</x:v>
      </x:c>
      <x:c r="G1514" s="37" t="n">
        <x:v>0.013648150675583458</x:v>
      </x:c>
      <x:c r="H1514" s="56" t="n">
        <x:v>7569.75</x:v>
      </x:c>
      <x:c r="I1514" s="56" t="n">
        <x:v>7.805</x:v>
      </x:c>
      <x:c r="J1514" s="56" t="n">
        <x:v>18.32261410788955</x:v>
      </x:c>
      <x:c r="K1514" s="56" t="n">
        <x:v>57.483921161834324</x:v>
      </x:c>
      <x:c r="L1514" s="56" t="n">
        <x:v>84.26274451690618</x:v>
      </x:c>
    </x:row>
    <x:row r="1515" ht="32.400001525878906" hidden="0" customHeight="1">
      <x:c r="A1515" s="29" t="str">
        <x:v>Miami-Dade County, Florida</x:v>
      </x:c>
      <x:c r="B1515" s="29" t="str">
        <x:v>12086009014</x:v>
      </x:c>
      <x:c r="C1515" s="51" t="n">
        <x:v>4374</x:v>
      </x:c>
      <x:c r="D1515" s="51" t="n">
        <x:v>188</x:v>
      </x:c>
      <x:c r="E1515" s="51" t="n">
        <x:v>15</x:v>
      </x:c>
      <x:c r="F1515" s="38" t="n">
        <x:v>0.04298125285779607</x:v>
      </x:c>
      <x:c r="G1515" s="38" t="n">
        <x:v>0.003429355281207133</x:v>
      </x:c>
      <x:c r="H1515" s="57" t="n">
        <x:v>4441.300000000001</x:v>
      </x:c>
      <x:c r="I1515" s="57" t="n">
        <x:v>0.462</x:v>
      </x:c>
      <x:c r="J1515" s="57" t="n">
        <x:v>18.65204675956531</x:v>
      </x:c>
      <x:c r="K1515" s="57" t="n">
        <x:v>57.97807013934796</x:v>
      </x:c>
      <x:c r="L1515" s="57" t="n">
        <x:v>84.96867162763994</x:v>
      </x:c>
    </x:row>
    <x:row r="1516" ht="32.400001525878906" hidden="0" customHeight="1">
      <x:c r="A1516" s="27" t="str">
        <x:v>Miami-Dade County, Florida</x:v>
      </x:c>
      <x:c r="B1516" s="27" t="str">
        <x:v>12086009015</x:v>
      </x:c>
      <x:c r="C1516" s="50" t="n">
        <x:v>5500</x:v>
      </x:c>
      <x:c r="D1516" s="50" t="n">
        <x:v>586</x:v>
      </x:c>
      <x:c r="E1516" s="50" t="n">
        <x:v>335</x:v>
      </x:c>
      <x:c r="F1516" s="37" t="n">
        <x:v>0.10654545454545454</x:v>
      </x:c>
      <x:c r="G1516" s="37" t="n">
        <x:v>0.060909090909090906</x:v>
      </x:c>
      <x:c r="H1516" s="56" t="n">
        <x:v>5738.6</x:v>
      </x:c>
      <x:c r="I1516" s="56" t="n">
        <x:v>0.297</x:v>
      </x:c>
      <x:c r="J1516" s="56" t="n">
        <x:v>21.137758586367934</x:v>
      </x:c>
      <x:c r="K1516" s="56" t="n">
        <x:v>61.706637879551906</x:v>
      </x:c>
      <x:c r="L1516" s="56" t="n">
        <x:v>90.29519697078842</x:v>
      </x:c>
    </x:row>
    <x:row r="1517" ht="32.400001525878906" hidden="0" customHeight="1">
      <x:c r="A1517" s="29" t="str">
        <x:v>Miami-Dade County, Florida</x:v>
      </x:c>
      <x:c r="B1517" s="29" t="str">
        <x:v>12086009020</x:v>
      </x:c>
      <x:c r="C1517" s="51" t="n">
        <x:v>3273</x:v>
      </x:c>
      <x:c r="D1517" s="51" t="n">
        <x:v>226</x:v>
      </x:c>
      <x:c r="E1517" s="51" t="n">
        <x:v>167</x:v>
      </x:c>
      <x:c r="F1517" s="38" t="n">
        <x:v>0.06904980140543844</x:v>
      </x:c>
      <x:c r="G1517" s="38" t="n">
        <x:v>0.051023525817293004</x:v>
      </x:c>
      <x:c r="H1517" s="57" t="n">
        <x:v>3368.8</x:v>
      </x:c>
      <x:c r="I1517" s="57" t="n">
        <x:v>0.121</x:v>
      </x:c>
      <x:c r="J1517" s="57" t="n">
        <x:v>22.62080091318122</x:v>
      </x:c>
      <x:c r="K1517" s="57" t="n">
        <x:v>63.931201369771834</x:v>
      </x:c>
      <x:c r="L1517" s="57" t="n">
        <x:v>93.47314481395976</x:v>
      </x:c>
    </x:row>
    <x:row r="1518" ht="32.400001525878906" hidden="0" customHeight="1">
      <x:c r="A1518" s="27" t="str">
        <x:v>Miami-Dade County, Florida</x:v>
      </x:c>
      <x:c r="B1518" s="27" t="str">
        <x:v>12086009021</x:v>
      </x:c>
      <x:c r="C1518" s="50" t="n">
        <x:v>4471</x:v>
      </x:c>
      <x:c r="D1518" s="50" t="n">
        <x:v>276</x:v>
      </x:c>
      <x:c r="E1518" s="50" t="n">
        <x:v>48</x:v>
      </x:c>
      <x:c r="F1518" s="37" t="n">
        <x:v>0.06173115634086334</x:v>
      </x:c>
      <x:c r="G1518" s="37" t="n">
        <x:v>0.010735853276671885</x:v>
      </x:c>
      <x:c r="H1518" s="56" t="n">
        <x:v>4572.4</x:v>
      </x:c>
      <x:c r="I1518" s="56" t="n">
        <x:v>0.244</x:v>
      </x:c>
      <x:c r="J1518" s="56" t="n">
        <x:v>22.577656704862004</x:v>
      </x:c>
      <x:c r="K1518" s="56" t="n">
        <x:v>63.866485057293005</x:v>
      </x:c>
      <x:c r="L1518" s="56" t="n">
        <x:v>93.38069293899001</x:v>
      </x:c>
    </x:row>
    <x:row r="1519" ht="32.400001525878906" hidden="0" customHeight="1">
      <x:c r="A1519" s="29" t="str">
        <x:v>Miami-Dade County, Florida</x:v>
      </x:c>
      <x:c r="B1519" s="29" t="str">
        <x:v>12086009022</x:v>
      </x:c>
      <x:c r="C1519" s="51" t="n">
        <x:v>2570</x:v>
      </x:c>
      <x:c r="D1519" s="51" t="n">
        <x:v>253</x:v>
      </x:c>
      <x:c r="E1519" s="51" t="n">
        <x:v>58</x:v>
      </x:c>
      <x:c r="F1519" s="38" t="n">
        <x:v>0.09844357976653696</x:v>
      </x:c>
      <x:c r="G1519" s="38" t="n">
        <x:v>0.022568093385214007</x:v>
      </x:c>
      <x:c r="H1519" s="57" t="n">
        <x:v>2664.35</x:v>
      </x:c>
      <x:c r="I1519" s="57" t="n">
        <x:v>0.144</x:v>
      </x:c>
      <x:c r="J1519" s="57" t="n">
        <x:v>22.752895423218117</x:v>
      </x:c>
      <x:c r="K1519" s="57" t="n">
        <x:v>64.12934313482718</x:v>
      </x:c>
      <x:c r="L1519" s="57" t="n">
        <x:v>93.75620447832455</x:v>
      </x:c>
    </x:row>
    <x:row r="1520" ht="32.400001525878906" hidden="0" customHeight="1">
      <x:c r="A1520" s="27" t="str">
        <x:v>Miami-Dade County, Florida</x:v>
      </x:c>
      <x:c r="B1520" s="27" t="str">
        <x:v>12086009024</x:v>
      </x:c>
      <x:c r="C1520" s="50" t="n">
        <x:v>5629</x:v>
      </x:c>
      <x:c r="D1520" s="50" t="n">
        <x:v>288</x:v>
      </x:c>
      <x:c r="E1520" s="50" t="n">
        <x:v>694.5</x:v>
      </x:c>
      <x:c r="F1520" s="37" t="n">
        <x:v>0.05116361698347842</x:v>
      </x:c>
      <x:c r="G1520" s="37" t="n">
        <x:v>0.12337893053828389</x:v>
      </x:c>
      <x:c r="H1520" s="56" t="n">
        <x:v>5799.250000000001</x:v>
      </x:c>
      <x:c r="I1520" s="56" t="n">
        <x:v>0.255</x:v>
      </x:c>
      <x:c r="J1520" s="56" t="n">
        <x:v>20.520526012331274</x:v>
      </x:c>
      <x:c r="K1520" s="56" t="n">
        <x:v>60.78078901849691</x:v>
      </x:c>
      <x:c r="L1520" s="56" t="n">
        <x:v>88.97255574070988</x:v>
      </x:c>
    </x:row>
    <x:row r="1521" ht="32.400001525878906" hidden="0" customHeight="1">
      <x:c r="A1521" s="29" t="str">
        <x:v>Miami-Dade County, Florida</x:v>
      </x:c>
      <x:c r="B1521" s="29" t="str">
        <x:v>12086009026</x:v>
      </x:c>
      <x:c r="C1521" s="51" t="n">
        <x:v>2083</x:v>
      </x:c>
      <x:c r="D1521" s="51" t="n">
        <x:v>196</x:v>
      </x:c>
      <x:c r="E1521" s="51" t="n">
        <x:v>121</x:v>
      </x:c>
      <x:c r="F1521" s="38" t="n">
        <x:v>0.09409505520883342</x:v>
      </x:c>
      <x:c r="G1521" s="38" t="n">
        <x:v>0.05808929428708593</x:v>
      </x:c>
      <x:c r="H1521" s="57" t="n">
        <x:v>2163.7000000000003</x:v>
      </x:c>
      <x:c r="I1521" s="57" t="n">
        <x:v>0.084</x:v>
      </x:c>
      <x:c r="J1521" s="57" t="n">
        <x:v>19.900730821979593</x:v>
      </x:c>
      <x:c r="K1521" s="57" t="n">
        <x:v>59.85109623296939</x:v>
      </x:c>
      <x:c r="L1521" s="57" t="n">
        <x:v>87.64442318995627</x:v>
      </x:c>
    </x:row>
    <x:row r="1522" ht="32.400001525878906" hidden="0" customHeight="1">
      <x:c r="A1522" s="27" t="str">
        <x:v>Miami-Dade County, Florida</x:v>
      </x:c>
      <x:c r="B1522" s="27" t="str">
        <x:v>12086009027</x:v>
      </x:c>
      <x:c r="C1522" s="50" t="n">
        <x:v>3710</x:v>
      </x:c>
      <x:c r="D1522" s="50" t="n">
        <x:v>178</x:v>
      </x:c>
      <x:c r="E1522" s="50" t="n">
        <x:v>125</x:v>
      </x:c>
      <x:c r="F1522" s="37" t="n">
        <x:v>0.04797843665768194</x:v>
      </x:c>
      <x:c r="G1522" s="37" t="n">
        <x:v>0.03369272237196765</x:v>
      </x:c>
      <x:c r="H1522" s="56" t="n">
        <x:v>3784.7999999999997</x:v>
      </x:c>
      <x:c r="I1522" s="56" t="n">
        <x:v>0.189</x:v>
      </x:c>
      <x:c r="J1522" s="56" t="n">
        <x:v>20.671348989689896</x:v>
      </x:c>
      <x:c r="K1522" s="56" t="n">
        <x:v>61.00702348453485</x:v>
      </x:c>
      <x:c r="L1522" s="56" t="n">
        <x:v>89.29574783504978</x:v>
      </x:c>
    </x:row>
    <x:row r="1523" ht="32.400001525878906" hidden="0" customHeight="1">
      <x:c r="A1523" s="29" t="str">
        <x:v>Miami-Dade County, Florida</x:v>
      </x:c>
      <x:c r="B1523" s="29" t="str">
        <x:v>12086009028</x:v>
      </x:c>
      <x:c r="C1523" s="51" t="n">
        <x:v>5344</x:v>
      </x:c>
      <x:c r="D1523" s="51" t="n">
        <x:v>215</x:v>
      </x:c>
      <x:c r="E1523" s="51" t="n">
        <x:v>100</x:v>
      </x:c>
      <x:c r="F1523" s="38" t="n">
        <x:v>0.040232035928143714</x:v>
      </x:c>
      <x:c r="G1523" s="38" t="n">
        <x:v>0.0187125748502994</x:v>
      </x:c>
      <x:c r="H1523" s="57" t="n">
        <x:v>5429.25</x:v>
      </x:c>
      <x:c r="I1523" s="57" t="n">
        <x:v>0.391</x:v>
      </x:c>
      <x:c r="J1523" s="57" t="n">
        <x:v>20.480111717618982</x:v>
      </x:c>
      <x:c r="K1523" s="57" t="n">
        <x:v>60.72016757642847</x:v>
      </x:c>
      <x:c r="L1523" s="57" t="n">
        <x:v>88.8859536806121</x:v>
      </x:c>
    </x:row>
    <x:row r="1524" ht="32.400001525878906" hidden="0" customHeight="1">
      <x:c r="A1524" s="27" t="str">
        <x:v>Miami-Dade County, Florida</x:v>
      </x:c>
      <x:c r="B1524" s="27" t="str">
        <x:v>12086009029</x:v>
      </x:c>
      <x:c r="C1524" s="50" t="n">
        <x:v>3868</x:v>
      </x:c>
      <x:c r="D1524" s="50" t="n">
        <x:v>323</x:v>
      </x:c>
      <x:c r="E1524" s="50" t="n">
        <x:v>129</x:v>
      </x:c>
      <x:c r="F1524" s="37" t="n">
        <x:v>0.08350568769389866</x:v>
      </x:c>
      <x:c r="G1524" s="37" t="n">
        <x:v>0.03335056876938987</x:v>
      </x:c>
      <x:c r="H1524" s="56" t="n">
        <x:v>3993.9500000000003</x:v>
      </x:c>
      <x:c r="I1524" s="56" t="n">
        <x:v>0.434</x:v>
      </x:c>
      <x:c r="J1524" s="56" t="n">
        <x:v>21.428841633642595</x:v>
      </x:c>
      <x:c r="K1524" s="56" t="n">
        <x:v>62.143262450463894</x:v>
      </x:c>
      <x:c r="L1524" s="56" t="n">
        <x:v>90.91894635780557</x:v>
      </x:c>
    </x:row>
    <x:row r="1525" ht="32.400001525878906" hidden="0" customHeight="1">
      <x:c r="A1525" s="29" t="str">
        <x:v>Miami-Dade County, Florida</x:v>
      </x:c>
      <x:c r="B1525" s="29" t="str">
        <x:v>12086009030</x:v>
      </x:c>
      <x:c r="C1525" s="51" t="n">
        <x:v>4289</x:v>
      </x:c>
      <x:c r="D1525" s="51" t="n">
        <x:v>466</x:v>
      </x:c>
      <x:c r="E1525" s="51" t="n">
        <x:v>157</x:v>
      </x:c>
      <x:c r="F1525" s="38" t="n">
        <x:v>0.10865003497318722</x:v>
      </x:c>
      <x:c r="G1525" s="38" t="n">
        <x:v>0.03660526929354162</x:v>
      </x:c>
      <x:c r="H1525" s="57" t="n">
        <x:v>4467.8</x:v>
      </x:c>
      <x:c r="I1525" s="57" t="n">
        <x:v>0.199</x:v>
      </x:c>
      <x:c r="J1525" s="57" t="n">
        <x:v>18.850185313844673</x:v>
      </x:c>
      <x:c r="K1525" s="57" t="n">
        <x:v>58.27527797076701</x:v>
      </x:c>
      <x:c r="L1525" s="57" t="n">
        <x:v>85.39325424395287</x:v>
      </x:c>
    </x:row>
    <x:row r="1526" ht="32.400001525878906" hidden="0" customHeight="1">
      <x:c r="A1526" s="27" t="str">
        <x:v>Miami-Dade County, Florida</x:v>
      </x:c>
      <x:c r="B1526" s="27" t="str">
        <x:v>12086009031</x:v>
      </x:c>
      <x:c r="C1526" s="50" t="n">
        <x:v>4516</x:v>
      </x:c>
      <x:c r="D1526" s="50" t="n">
        <x:v>343</x:v>
      </x:c>
      <x:c r="E1526" s="50" t="n">
        <x:v>228</x:v>
      </x:c>
      <x:c r="F1526" s="37" t="n">
        <x:v>0.07595217006200178</x:v>
      </x:c>
      <x:c r="G1526" s="37" t="n">
        <x:v>0.050487156775907885</x:v>
      </x:c>
      <x:c r="H1526" s="56" t="n">
        <x:v>4658.849999999999</x:v>
      </x:c>
      <x:c r="I1526" s="56" t="n">
        <x:v>0.113</x:v>
      </x:c>
      <x:c r="J1526" s="56" t="n">
        <x:v>18.580273319992013</x:v>
      </x:c>
      <x:c r="K1526" s="56" t="n">
        <x:v>57.870409979988025</x:v>
      </x:c>
      <x:c r="L1526" s="56" t="n">
        <x:v>84.81487139998289</x:v>
      </x:c>
    </x:row>
    <x:row r="1527" ht="32.400001525878906" hidden="0" customHeight="1">
      <x:c r="A1527" s="29" t="str">
        <x:v>Miami-Dade County, Florida</x:v>
      </x:c>
      <x:c r="B1527" s="29" t="str">
        <x:v>12086009039</x:v>
      </x:c>
      <x:c r="C1527" s="51" t="n">
        <x:v>7763</x:v>
      </x:c>
      <x:c r="D1527" s="51" t="n">
        <x:v>624</x:v>
      </x:c>
      <x:c r="E1527" s="51" t="n">
        <x:v>183</x:v>
      </x:c>
      <x:c r="F1527" s="38" t="n">
        <x:v>0.08038129589076388</x:v>
      </x:c>
      <x:c r="G1527" s="38" t="n">
        <x:v>0.023573360814118254</x:v>
      </x:c>
      <x:c r="H1527" s="57" t="n">
        <x:v>7999.7</x:v>
      </x:c>
      <x:c r="I1527" s="57" t="n">
        <x:v>0.493</x:v>
      </x:c>
      <x:c r="J1527" s="57" t="n">
        <x:v>15.195601936198461</x:v>
      </x:c>
      <x:c r="K1527" s="57" t="n">
        <x:v>52.79340290429769</x:v>
      </x:c>
      <x:c r="L1527" s="57" t="n">
        <x:v>77.56200414899669</x:v>
      </x:c>
    </x:row>
    <x:row r="1528" ht="32.400001525878906" hidden="0" customHeight="1">
      <x:c r="A1528" s="27" t="str">
        <x:v>Miami-Dade County, Florida</x:v>
      </x:c>
      <x:c r="B1528" s="27" t="str">
        <x:v>12086009040</x:v>
      </x:c>
      <x:c r="C1528" s="50" t="n">
        <x:v>8436</x:v>
      </x:c>
      <x:c r="D1528" s="50" t="n">
        <x:v>264</x:v>
      </x:c>
      <x:c r="E1528" s="50" t="n">
        <x:v>315</x:v>
      </x:c>
      <x:c r="F1528" s="37" t="n">
        <x:v>0.031294452347083924</x:v>
      </x:c>
      <x:c r="G1528" s="37" t="n">
        <x:v>0.03733997155049787</x:v>
      </x:c>
      <x:c r="H1528" s="56" t="n">
        <x:v>8559.900000000001</x:v>
      </x:c>
      <x:c r="I1528" s="56" t="n">
        <x:v>4.372</x:v>
      </x:c>
      <x:c r="J1528" s="56" t="n">
        <x:v>8.79432262556731</x:v>
      </x:c>
      <x:c r="K1528" s="56" t="n">
        <x:v>43.19148393835096</x:v>
      </x:c>
      <x:c r="L1528" s="56" t="n">
        <x:v>63.844977054787094</x:v>
      </x:c>
    </x:row>
    <x:row r="1529" ht="32.400001525878906" hidden="0" customHeight="1">
      <x:c r="A1529" s="29" t="str">
        <x:v>Miami-Dade County, Florida</x:v>
      </x:c>
      <x:c r="B1529" s="29" t="str">
        <x:v>12086009043</x:v>
      </x:c>
      <x:c r="C1529" s="51" t="n">
        <x:v>5265</x:v>
      </x:c>
      <x:c r="D1529" s="51" t="n">
        <x:v>323</x:v>
      </x:c>
      <x:c r="E1529" s="51" t="n">
        <x:v>4.5</x:v>
      </x:c>
      <x:c r="F1529" s="38" t="n">
        <x:v>0.061348528015194685</x:v>
      </x:c>
      <x:c r="G1529" s="38" t="n">
        <x:v>0.0008547008547008547</x:v>
      </x:c>
      <x:c r="H1529" s="57" t="n">
        <x:v>5378.5</x:v>
      </x:c>
      <x:c r="I1529" s="57" t="n">
        <x:v>0.525</x:v>
      </x:c>
      <x:c r="J1529" s="57" t="n">
        <x:v>10.947060928820237</x:v>
      </x:c>
      <x:c r="K1529" s="57" t="n">
        <x:v>46.42059139323035</x:v>
      </x:c>
      <x:c r="L1529" s="57" t="n">
        <x:v>68.4579877046148</x:v>
      </x:c>
    </x:row>
    <x:row r="1530" ht="32.400001525878906" hidden="0" customHeight="1">
      <x:c r="A1530" s="27" t="str">
        <x:v>Miami-Dade County, Florida</x:v>
      </x:c>
      <x:c r="B1530" s="27" t="str">
        <x:v>12086009044</x:v>
      </x:c>
      <x:c r="C1530" s="50" t="n">
        <x:v>3187</x:v>
      </x:c>
      <x:c r="D1530" s="50" t="n">
        <x:v>71</x:v>
      </x:c>
      <x:c r="E1530" s="50" t="n">
        <x:v>151.5</x:v>
      </x:c>
      <x:c r="F1530" s="37" t="n">
        <x:v>0.022278004392845937</x:v>
      </x:c>
      <x:c r="G1530" s="37" t="n">
        <x:v>0.047536868528396614</x:v>
      </x:c>
      <x:c r="H1530" s="56" t="n">
        <x:v>3227.0000000000005</x:v>
      </x:c>
      <x:c r="I1530" s="56" t="n">
        <x:v>0.264</x:v>
      </x:c>
      <x:c r="J1530" s="56" t="n">
        <x:v>9.9525686679144</x:v>
      </x:c>
      <x:c r="K1530" s="56" t="n">
        <x:v>44.9288530018716</x:v>
      </x:c>
      <x:c r="L1530" s="56" t="n">
        <x:v>66.32693285981657</x:v>
      </x:c>
    </x:row>
    <x:row r="1531" ht="32.400001525878906" hidden="0" customHeight="1">
      <x:c r="A1531" s="29" t="str">
        <x:v>Miami-Dade County, Florida</x:v>
      </x:c>
      <x:c r="B1531" s="29" t="str">
        <x:v>12086009048</x:v>
      </x:c>
      <x:c r="C1531" s="51" t="n">
        <x:v>3073</x:v>
      </x:c>
      <x:c r="D1531" s="51" t="n">
        <x:v>183</x:v>
      </x:c>
      <x:c r="E1531" s="51" t="n">
        <x:v>48</x:v>
      </x:c>
      <x:c r="F1531" s="38" t="n">
        <x:v>0.059550927432476405</x:v>
      </x:c>
      <x:c r="G1531" s="38" t="n">
        <x:v>0.015619915392124959</x:v>
      </x:c>
      <x:c r="H1531" s="57" t="n">
        <x:v>3141.85</x:v>
      </x:c>
      <x:c r="I1531" s="57" t="n">
        <x:v>0.375</x:v>
      </x:c>
      <x:c r="J1531" s="57" t="n">
        <x:v>12.17496414928275</x:v>
      </x:c>
      <x:c r="K1531" s="57" t="n">
        <x:v>48.26244622392413</x:v>
      </x:c>
      <x:c r="L1531" s="57" t="n">
        <x:v>71.08920889132018</x:v>
      </x:c>
    </x:row>
    <x:row r="1532" ht="32.400001525878906" hidden="0" customHeight="1">
      <x:c r="A1532" s="27" t="str">
        <x:v>Miami-Dade County, Florida</x:v>
      </x:c>
      <x:c r="B1532" s="27" t="str">
        <x:v>12086009049</x:v>
      </x:c>
      <x:c r="C1532" s="50" t="n">
        <x:v>4681</x:v>
      </x:c>
      <x:c r="D1532" s="50" t="n">
        <x:v>161</x:v>
      </x:c>
      <x:c r="E1532" s="50" t="n">
        <x:v>67.5</x:v>
      </x:c>
      <x:c r="F1532" s="37" t="n">
        <x:v>0.03439436017944884</x:v>
      </x:c>
      <x:c r="G1532" s="37" t="n">
        <x:v>0.014419995727408673</x:v>
      </x:c>
      <x:c r="H1532" s="56" t="n">
        <x:v>4744.099999999999</x:v>
      </x:c>
      <x:c r="I1532" s="56" t="n">
        <x:v>0.487</x:v>
      </x:c>
      <x:c r="J1532" s="56" t="n">
        <x:v>12.615295576077457</x:v>
      </x:c>
      <x:c r="K1532" s="56" t="n">
        <x:v>48.922943364116186</x:v>
      </x:c>
      <x:c r="L1532" s="56" t="n">
        <x:v>72.03277623445169</x:v>
      </x:c>
    </x:row>
    <x:row r="1533" ht="32.400001525878906" hidden="0" customHeight="1">
      <x:c r="A1533" s="29" t="str">
        <x:v>Miami-Dade County, Florida</x:v>
      </x:c>
      <x:c r="B1533" s="29" t="str">
        <x:v>12086009050</x:v>
      </x:c>
      <x:c r="C1533" s="51" t="n">
        <x:v>5543</x:v>
      </x:c>
      <x:c r="D1533" s="51" t="n">
        <x:v>153</x:v>
      </x:c>
      <x:c r="E1533" s="51" t="n">
        <x:v>40</x:v>
      </x:c>
      <x:c r="F1533" s="38" t="n">
        <x:v>0.027602381381923145</x:v>
      </x:c>
      <x:c r="G1533" s="38" t="n">
        <x:v>0.007216308858019123</x:v>
      </x:c>
      <x:c r="H1533" s="57" t="n">
        <x:v>5600.550000000001</x:v>
      </x:c>
      <x:c r="I1533" s="57" t="n">
        <x:v>0.256</x:v>
      </x:c>
      <x:c r="J1533" s="57" t="n">
        <x:v>9.708478771991562</x:v>
      </x:c>
      <x:c r="K1533" s="57" t="n">
        <x:v>44.56271815798734</x:v>
      </x:c>
      <x:c r="L1533" s="57" t="n">
        <x:v>65.80388308283906</x:v>
      </x:c>
    </x:row>
    <x:row r="1534" ht="32.400001525878906" hidden="0" customHeight="1">
      <x:c r="A1534" s="27" t="str">
        <x:v>Miami-Dade County, Florida</x:v>
      </x:c>
      <x:c r="B1534" s="27" t="str">
        <x:v>12086009051</x:v>
      </x:c>
      <x:c r="C1534" s="50" t="n">
        <x:v>1977</x:v>
      </x:c>
      <x:c r="D1534" s="50" t="n">
        <x:v>243</x:v>
      </x:c>
      <x:c r="E1534" s="50" t="n">
        <x:v>103</x:v>
      </x:c>
      <x:c r="F1534" s="37" t="n">
        <x:v>0.12291350531107739</x:v>
      </x:c>
      <x:c r="G1534" s="37" t="n">
        <x:v>0.05209914011127972</x:v>
      </x:c>
      <x:c r="H1534" s="56" t="n">
        <x:v>2072.35</x:v>
      </x:c>
      <x:c r="I1534" s="56" t="n">
        <x:v>0.501</x:v>
      </x:c>
      <x:c r="J1534" s="56" t="n">
        <x:v>19.10984669972631</x:v>
      </x:c>
      <x:c r="K1534" s="56" t="n">
        <x:v>58.66477004958947</x:v>
      </x:c>
      <x:c r="L1534" s="56" t="n">
        <x:v>85.94967149941353</x:v>
      </x:c>
    </x:row>
    <x:row r="1535" ht="32.400001525878906" hidden="0" customHeight="1">
      <x:c r="A1535" s="29" t="str">
        <x:v>Miami-Dade County, Florida</x:v>
      </x:c>
      <x:c r="B1535" s="29" t="str">
        <x:v>12086009052</x:v>
      </x:c>
      <x:c r="C1535" s="51" t="n">
        <x:v>3228</x:v>
      </x:c>
      <x:c r="D1535" s="51" t="n">
        <x:v>595</x:v>
      </x:c>
      <x:c r="E1535" s="51" t="n">
        <x:v>383</x:v>
      </x:c>
      <x:c r="F1535" s="38" t="n">
        <x:v>0.18432465923172242</x:v>
      </x:c>
      <x:c r="G1535" s="38" t="n">
        <x:v>0.11864931846344486</x:v>
      </x:c>
      <x:c r="H1535" s="57" t="n">
        <x:v>3474.55</x:v>
      </x:c>
      <x:c r="I1535" s="57" t="n">
        <x:v>0.261</x:v>
      </x:c>
      <x:c r="J1535" s="57" t="n">
        <x:v>21.634218392666146</x:v>
      </x:c>
      <x:c r="K1535" s="57" t="n">
        <x:v>62.45132758899922</x:v>
      </x:c>
      <x:c r="L1535" s="57" t="n">
        <x:v>91.35903941285602</x:v>
      </x:c>
    </x:row>
    <x:row r="1536" ht="32.400001525878906" hidden="0" customHeight="1">
      <x:c r="A1536" s="27" t="str">
        <x:v>Miami-Dade County, Florida</x:v>
      </x:c>
      <x:c r="B1536" s="27" t="str">
        <x:v>12086009053</x:v>
      </x:c>
      <x:c r="C1536" s="50" t="n">
        <x:v>4978</x:v>
      </x:c>
      <x:c r="D1536" s="50" t="n">
        <x:v>335</x:v>
      </x:c>
      <x:c r="E1536" s="50" t="n">
        <x:v>70</x:v>
      </x:c>
      <x:c r="F1536" s="37" t="n">
        <x:v>0.06729610285255122</x:v>
      </x:c>
      <x:c r="G1536" s="37" t="n">
        <x:v>0.014061872237846525</x:v>
      </x:c>
      <x:c r="H1536" s="56" t="n">
        <x:v>5102.250000000001</x:v>
      </x:c>
      <x:c r="I1536" s="56" t="n">
        <x:v>0.255</x:v>
      </x:c>
      <x:c r="J1536" s="56" t="n">
        <x:v>20.441047290246413</x:v>
      </x:c>
      <x:c r="K1536" s="56" t="n">
        <x:v>60.661570935369625</x:v>
      </x:c>
      <x:c r="L1536" s="56" t="n">
        <x:v>88.80224419338518</x:v>
      </x:c>
    </x:row>
    <x:row r="1537" ht="32.400001525878906" hidden="0" customHeight="1">
      <x:c r="A1537" s="29" t="str">
        <x:v>Miami-Dade County, Florida</x:v>
      </x:c>
      <x:c r="B1537" s="29" t="str">
        <x:v>12086009054</x:v>
      </x:c>
      <x:c r="C1537" s="51" t="n">
        <x:v>2017</x:v>
      </x:c>
      <x:c r="D1537" s="51" t="n">
        <x:v>214</x:v>
      </x:c>
      <x:c r="E1537" s="51" t="n">
        <x:v>22</x:v>
      </x:c>
      <x:c r="F1537" s="38" t="n">
        <x:v>0.10609816559246406</x:v>
      </x:c>
      <x:c r="G1537" s="38" t="n">
        <x:v>0.010907288051561725</x:v>
      </x:c>
      <x:c r="H1537" s="57" t="n">
        <x:v>2094.1000000000004</x:v>
      </x:c>
      <x:c r="I1537" s="57" t="n">
        <x:v>0.243</x:v>
      </x:c>
      <x:c r="J1537" s="57" t="n">
        <x:v>22.46013965075753</x:v>
      </x:c>
      <x:c r="K1537" s="57" t="n">
        <x:v>63.690209476136296</x:v>
      </x:c>
      <x:c r="L1537" s="57" t="n">
        <x:v>93.12887068019471</x:v>
      </x:c>
    </x:row>
    <x:row r="1538" ht="32.400001525878906" hidden="0" customHeight="1">
      <x:c r="A1538" s="27" t="str">
        <x:v>Miami-Dade County, Florida</x:v>
      </x:c>
      <x:c r="B1538" s="27" t="str">
        <x:v>12086009055</x:v>
      </x:c>
      <x:c r="C1538" s="50" t="n">
        <x:v>1809</x:v>
      </x:c>
      <x:c r="D1538" s="50" t="n">
        <x:v>160</x:v>
      </x:c>
      <x:c r="E1538" s="50" t="n">
        <x:v>6</x:v>
      </x:c>
      <x:c r="F1538" s="37" t="n">
        <x:v>0.08844665561083472</x:v>
      </x:c>
      <x:c r="G1538" s="37" t="n">
        <x:v>0.003316749585406302</x:v>
      </x:c>
      <x:c r="H1538" s="56" t="n">
        <x:v>1865.6000000000004</x:v>
      </x:c>
      <x:c r="I1538" s="56" t="n">
        <x:v>0.241</x:v>
      </x:c>
      <x:c r="J1538" s="56" t="n">
        <x:v>22.706688210365126</x:v>
      </x:c>
      <x:c r="K1538" s="56" t="n">
        <x:v>64.06003231554769</x:v>
      </x:c>
      <x:c r="L1538" s="56" t="n">
        <x:v>93.65718902221099</x:v>
      </x:c>
    </x:row>
    <x:row r="1539" ht="32.400001525878906" hidden="0" customHeight="1">
      <x:c r="A1539" s="29" t="str">
        <x:v>Miami-Dade County, Florida</x:v>
      </x:c>
      <x:c r="B1539" s="29" t="str">
        <x:v>12086009056</x:v>
      </x:c>
      <x:c r="C1539" s="51" t="n">
        <x:v>3037</x:v>
      </x:c>
      <x:c r="D1539" s="51" t="n">
        <x:v>419</x:v>
      </x:c>
      <x:c r="E1539" s="51" t="n">
        <x:v>438</x:v>
      </x:c>
      <x:c r="F1539" s="38" t="n">
        <x:v>0.13796509713533092</x:v>
      </x:c>
      <x:c r="G1539" s="38" t="n">
        <x:v>0.14422127099110965</x:v>
      </x:c>
      <x:c r="H1539" s="57" t="n">
        <x:v>3227.4500000000003</x:v>
      </x:c>
      <x:c r="I1539" s="57" t="n">
        <x:v>0.48</x:v>
      </x:c>
      <x:c r="J1539" s="57" t="n">
        <x:v>14.361822642609422</x:v>
      </x:c>
      <x:c r="K1539" s="57" t="n">
        <x:v>51.54273396391413</x:v>
      </x:c>
      <x:c r="L1539" s="57" t="n">
        <x:v>75.77533423416304</x:v>
      </x:c>
    </x:row>
    <x:row r="1540" ht="32.400001525878906" hidden="0" customHeight="1">
      <x:c r="A1540" s="27" t="str">
        <x:v>Miami-Dade County, Florida</x:v>
      </x:c>
      <x:c r="B1540" s="27" t="str">
        <x:v>12086009057</x:v>
      </x:c>
      <x:c r="C1540" s="50" t="n">
        <x:v>6523</x:v>
      </x:c>
      <x:c r="D1540" s="50" t="n">
        <x:v>86</x:v>
      </x:c>
      <x:c r="E1540" s="50" t="n">
        <x:v>0</x:v>
      </x:c>
      <x:c r="F1540" s="37" t="n">
        <x:v>0.013184117737237468</x:v>
      </x:c>
      <x:c r="G1540" s="37" t="n">
        <x:v>0</x:v>
      </x:c>
      <x:c r="H1540" s="56" t="n">
        <x:v>6553.1</x:v>
      </x:c>
      <x:c r="I1540" s="56" t="n">
        <x:v>0.973</x:v>
      </x:c>
      <x:c r="J1540" s="56" t="n">
        <x:v>11.725570954619274</x:v>
      </x:c>
      <x:c r="K1540" s="56" t="n">
        <x:v>47.58835643192891</x:v>
      </x:c>
      <x:c r="L1540" s="56" t="n">
        <x:v>70.12622347418416</x:v>
      </x:c>
    </x:row>
    <x:row r="1541" ht="32.400001525878906" hidden="0" customHeight="1">
      <x:c r="A1541" s="29" t="str">
        <x:v>Miami-Dade County, Florida</x:v>
      </x:c>
      <x:c r="B1541" s="29" t="str">
        <x:v>12086009058</x:v>
      </x:c>
      <x:c r="C1541" s="51" t="n">
        <x:v>3907</x:v>
      </x:c>
      <x:c r="D1541" s="51" t="n">
        <x:v>311</x:v>
      </x:c>
      <x:c r="E1541" s="51" t="n">
        <x:v>133</x:v>
      </x:c>
      <x:c r="F1541" s="38" t="n">
        <x:v>0.07960071666240082</x:v>
      </x:c>
      <x:c r="G1541" s="38" t="n">
        <x:v>0.03404146403890453</x:v>
      </x:c>
      <x:c r="H1541" s="57" t="n">
        <x:v>4029.15</x:v>
      </x:c>
      <x:c r="I1541" s="57" t="n">
        <x:v>0.409</x:v>
      </x:c>
      <x:c r="J1541" s="57" t="n">
        <x:v>14.874578863177351</x:v>
      </x:c>
      <x:c r="K1541" s="57" t="n">
        <x:v>52.31186829476603</x:v>
      </x:c>
      <x:c r="L1541" s="57" t="n">
        <x:v>76.87409756395147</x:v>
      </x:c>
    </x:row>
    <x:row r="1542" ht="32.400001525878906" hidden="0" customHeight="1">
      <x:c r="A1542" s="27" t="str">
        <x:v>Miami-Dade County, Florida</x:v>
      </x:c>
      <x:c r="B1542" s="27" t="str">
        <x:v>12086009059</x:v>
      </x:c>
      <x:c r="C1542" s="50" t="n">
        <x:v>3209</x:v>
      </x:c>
      <x:c r="D1542" s="50" t="n">
        <x:v>222</x:v>
      </x:c>
      <x:c r="E1542" s="50" t="n">
        <x:v>31.5</x:v>
      </x:c>
      <x:c r="F1542" s="37" t="n">
        <x:v>0.06918043004051107</x:v>
      </x:c>
      <x:c r="G1542" s="37" t="n">
        <x:v>0.009816142100342786</x:v>
      </x:c>
      <x:c r="H1542" s="56" t="n">
        <x:v>3289.8500000000004</x:v>
      </x:c>
      <x:c r="I1542" s="56" t="n">
        <x:v>0.235</x:v>
      </x:c>
      <x:c r="J1542" s="56" t="n">
        <x:v>13.956362364785512</x:v>
      </x:c>
      <x:c r="K1542" s="56" t="n">
        <x:v>50.934543547178265</x:v>
      </x:c>
      <x:c r="L1542" s="56" t="n">
        <x:v>74.90649078168323</x:v>
      </x:c>
    </x:row>
    <x:row r="1543" ht="32.400001525878906" hidden="0" customHeight="1">
      <x:c r="A1543" s="29" t="str">
        <x:v>Miami-Dade County, Florida</x:v>
      </x:c>
      <x:c r="B1543" s="29" t="str">
        <x:v>12086009060</x:v>
      </x:c>
      <x:c r="C1543" s="51" t="n">
        <x:v>4990</x:v>
      </x:c>
      <x:c r="D1543" s="51" t="n">
        <x:v>203</x:v>
      </x:c>
      <x:c r="E1543" s="51" t="n">
        <x:v>224.5</x:v>
      </x:c>
      <x:c r="F1543" s="38" t="n">
        <x:v>0.0406813627254509</x:v>
      </x:c>
      <x:c r="G1543" s="38" t="n">
        <x:v>0.04498997995991984</x:v>
      </x:c>
      <x:c r="H1543" s="57" t="n">
        <x:v>5083.5</x:v>
      </x:c>
      <x:c r="I1543" s="57" t="n">
        <x:v>0.26</x:v>
      </x:c>
      <x:c r="J1543" s="57" t="n">
        <x:v>14.454463027352261</x:v>
      </x:c>
      <x:c r="K1543" s="57" t="n">
        <x:v>51.68169454102839</x:v>
      </x:c>
      <x:c r="L1543" s="57" t="n">
        <x:v>75.97384934432628</x:v>
      </x:c>
    </x:row>
    <x:row r="1544" ht="32.400001525878906" hidden="0" customHeight="1">
      <x:c r="A1544" s="27" t="str">
        <x:v>Miami-Dade County, Florida</x:v>
      </x:c>
      <x:c r="B1544" s="27" t="str">
        <x:v>12086009061</x:v>
      </x:c>
      <x:c r="C1544" s="50" t="n">
        <x:v>3166</x:v>
      </x:c>
      <x:c r="D1544" s="50" t="n">
        <x:v>283</x:v>
      </x:c>
      <x:c r="E1544" s="50" t="n">
        <x:v>140</x:v>
      </x:c>
      <x:c r="F1544" s="37" t="n">
        <x:v>0.08938723941882501</x:v>
      </x:c>
      <x:c r="G1544" s="37" t="n">
        <x:v>0.04421983575489577</x:v>
      </x:c>
      <x:c r="H1544" s="56" t="n">
        <x:v>3279.0499999999997</x:v>
      </x:c>
      <x:c r="I1544" s="56" t="n">
        <x:v>0.184</x:v>
      </x:c>
      <x:c r="J1544" s="56" t="n">
        <x:v>21.60623895542159</x:v>
      </x:c>
      <x:c r="K1544" s="56" t="n">
        <x:v>62.40935843313238</x:v>
      </x:c>
      <x:c r="L1544" s="56" t="n">
        <x:v>91.2990834759034</x:v>
      </x:c>
    </x:row>
    <x:row r="1545" ht="32.400001525878906" hidden="0" customHeight="1">
      <x:c r="A1545" s="29" t="str">
        <x:v>Miami-Dade County, Florida</x:v>
      </x:c>
      <x:c r="B1545" s="29" t="str">
        <x:v>12086009062</x:v>
      </x:c>
      <x:c r="C1545" s="51" t="n">
        <x:v>2972</x:v>
      </x:c>
      <x:c r="D1545" s="51" t="n">
        <x:v>262</x:v>
      </x:c>
      <x:c r="E1545" s="51" t="n">
        <x:v>90</x:v>
      </x:c>
      <x:c r="F1545" s="38" t="n">
        <x:v>0.08815612382234186</x:v>
      </x:c>
      <x:c r="G1545" s="38" t="n">
        <x:v>0.03028263795423957</x:v>
      </x:c>
      <x:c r="H1545" s="57" t="n">
        <x:v>3072.7</x:v>
      </x:c>
      <x:c r="I1545" s="57" t="n">
        <x:v>0.155</x:v>
      </x:c>
      <x:c r="J1545" s="57" t="n">
        <x:v>21.378022806394643</x:v>
      </x:c>
      <x:c r="K1545" s="57" t="n">
        <x:v>62.06703420959197</x:v>
      </x:c>
      <x:c r="L1545" s="57" t="n">
        <x:v>90.81004887084566</x:v>
      </x:c>
    </x:row>
    <x:row r="1546" ht="32.400001525878906" hidden="0" customHeight="1">
      <x:c r="A1546" s="27" t="str">
        <x:v>Miami-Dade County, Florida</x:v>
      </x:c>
      <x:c r="B1546" s="27" t="str">
        <x:v>12086009063</x:v>
      </x:c>
      <x:c r="C1546" s="50" t="n">
        <x:v>2682</x:v>
      </x:c>
      <x:c r="D1546" s="50" t="n">
        <x:v>281</x:v>
      </x:c>
      <x:c r="E1546" s="50" t="n">
        <x:v>215</x:v>
      </x:c>
      <x:c r="F1546" s="37" t="n">
        <x:v>0.10477255779269203</x:v>
      </x:c>
      <x:c r="G1546" s="37" t="n">
        <x:v>0.08016405667412378</x:v>
      </x:c>
      <x:c r="H1546" s="56" t="n">
        <x:v>2801.8500000000004</x:v>
      </x:c>
      <x:c r="I1546" s="56" t="n">
        <x:v>0.135</x:v>
      </x:c>
      <x:c r="J1546" s="56" t="n">
        <x:v>21.748138711598155</x:v>
      </x:c>
      <x:c r="K1546" s="56" t="n">
        <x:v>62.62220806739724</x:v>
      </x:c>
      <x:c r="L1546" s="56" t="n">
        <x:v>91.60315438199605</x:v>
      </x:c>
    </x:row>
    <x:row r="1547" ht="32.400001525878906" hidden="0" customHeight="1">
      <x:c r="A1547" s="29" t="str">
        <x:v>Miami-Dade County, Florida</x:v>
      </x:c>
      <x:c r="B1547" s="29" t="str">
        <x:v>12086009064</x:v>
      </x:c>
      <x:c r="C1547" s="51" t="n">
        <x:v>2964</x:v>
      </x:c>
      <x:c r="D1547" s="51" t="n">
        <x:v>107</x:v>
      </x:c>
      <x:c r="E1547" s="51" t="n">
        <x:v>16</x:v>
      </x:c>
      <x:c r="F1547" s="38" t="n">
        <x:v>0.03609986504723347</x:v>
      </x:c>
      <x:c r="G1547" s="38" t="n">
        <x:v>0.005398110661268556</x:v>
      </x:c>
      <x:c r="H1547" s="57" t="n">
        <x:v>3003.0499999999997</x:v>
      </x:c>
      <x:c r="I1547" s="57" t="n">
        <x:v>0.228</x:v>
      </x:c>
      <x:c r="J1547" s="57" t="n">
        <x:v>20.858639402509507</x:v>
      </x:c>
      <x:c r="K1547" s="57" t="n">
        <x:v>61.287959103764265</x:v>
      </x:c>
      <x:c r="L1547" s="57" t="n">
        <x:v>89.69708443394894</x:v>
      </x:c>
    </x:row>
    <x:row r="1548" ht="32.400001525878906" hidden="0" customHeight="1">
      <x:c r="A1548" s="27" t="str">
        <x:v>Miami-Dade County, Florida</x:v>
      </x:c>
      <x:c r="B1548" s="27" t="str">
        <x:v>12086009065</x:v>
      </x:c>
      <x:c r="C1548" s="50" t="n">
        <x:v>5000</x:v>
      </x:c>
      <x:c r="D1548" s="50" t="n">
        <x:v>84</x:v>
      </x:c>
      <x:c r="E1548" s="50" t="n">
        <x:v>205</x:v>
      </x:c>
      <x:c r="F1548" s="37" t="n">
        <x:v>0.0168</x:v>
      </x:c>
      <x:c r="G1548" s="37" t="n">
        <x:v>0.041</x:v>
      </x:c>
      <x:c r="H1548" s="56" t="n">
        <x:v>5049.900000000001</x:v>
      </x:c>
      <x:c r="I1548" s="56" t="n">
        <x:v>0.473</x:v>
      </x:c>
      <x:c r="J1548" s="56" t="n">
        <x:v>15.586477094755393</x:v>
      </x:c>
      <x:c r="K1548" s="56" t="n">
        <x:v>53.37971564213309</x:v>
      </x:c>
      <x:c r="L1548" s="56" t="n">
        <x:v>78.39959377447585</x:v>
      </x:c>
    </x:row>
    <x:row r="1549" ht="32.400001525878906" hidden="0" customHeight="1">
      <x:c r="A1549" s="29" t="str">
        <x:v>Miami-Dade County, Florida</x:v>
      </x:c>
      <x:c r="B1549" s="29" t="str">
        <x:v>12086009066</x:v>
      </x:c>
      <x:c r="C1549" s="51" t="n">
        <x:v>7151</x:v>
      </x:c>
      <x:c r="D1549" s="51" t="n">
        <x:v>357</x:v>
      </x:c>
      <x:c r="E1549" s="51" t="n">
        <x:v>360.5</x:v>
      </x:c>
      <x:c r="F1549" s="38" t="n">
        <x:v>0.04992308768004475</x:v>
      </x:c>
      <x:c r="G1549" s="38" t="n">
        <x:v>0.050412529716123616</x:v>
      </x:c>
      <x:c r="H1549" s="57" t="n">
        <x:v>7312</x:v>
      </x:c>
      <x:c r="I1549" s="57" t="n">
        <x:v>3.508</x:v>
      </x:c>
      <x:c r="J1549" s="57" t="n">
        <x:v>13.462476550868745</x:v>
      </x:c>
      <x:c r="K1549" s="57" t="n">
        <x:v>50.193714826303115</x:v>
      </x:c>
      <x:c r="L1549" s="57" t="n">
        <x:v>73.84816403757588</x:v>
      </x:c>
    </x:row>
    <x:row r="1550" ht="32.400001525878906" hidden="0" customHeight="1">
      <x:c r="A1550" s="27" t="str">
        <x:v>Miami-Dade County, Florida</x:v>
      </x:c>
      <x:c r="B1550" s="27" t="str">
        <x:v>12086009101</x:v>
      </x:c>
      <x:c r="C1550" s="50" t="n">
        <x:v>2787</x:v>
      </x:c>
      <x:c r="D1550" s="50" t="n">
        <x:v>292</x:v>
      </x:c>
      <x:c r="E1550" s="50" t="n">
        <x:v>22</x:v>
      </x:c>
      <x:c r="F1550" s="37" t="n">
        <x:v>0.10477215644061715</x:v>
      </x:c>
      <x:c r="G1550" s="37" t="n">
        <x:v>0.007893792608539648</x:v>
      </x:c>
      <x:c r="H1550" s="56" t="n">
        <x:v>2891.3999999999996</x:v>
      </x:c>
      <x:c r="I1550" s="56" t="n">
        <x:v>0.357</x:v>
      </x:c>
      <x:c r="J1550" s="56" t="n">
        <x:v>17.20215975839704</x:v>
      </x:c>
      <x:c r="K1550" s="56" t="n">
        <x:v>55.80323963759556</x:v>
      </x:c>
      <x:c r="L1550" s="56" t="n">
        <x:v>81.8617709108508</x:v>
      </x:c>
    </x:row>
    <x:row r="1551" ht="32.400001525878906" hidden="0" customHeight="1">
      <x:c r="A1551" s="29" t="str">
        <x:v>Miami-Dade County, Florida</x:v>
      </x:c>
      <x:c r="B1551" s="29" t="str">
        <x:v>12086009102</x:v>
      </x:c>
      <x:c r="C1551" s="51" t="n">
        <x:v>2346</x:v>
      </x:c>
      <x:c r="D1551" s="51" t="n">
        <x:v>392</x:v>
      </x:c>
      <x:c r="E1551" s="51" t="n">
        <x:v>130</x:v>
      </x:c>
      <x:c r="F1551" s="38" t="n">
        <x:v>0.16709292412617222</x:v>
      </x:c>
      <x:c r="G1551" s="38" t="n">
        <x:v>0.05541346973572037</x:v>
      </x:c>
      <x:c r="H1551" s="57" t="n">
        <x:v>2496.2</x:v>
      </x:c>
      <x:c r="I1551" s="57" t="n">
        <x:v>3.667</x:v>
      </x:c>
      <x:c r="J1551" s="57" t="n">
        <x:v>16.438709510179542</x:v>
      </x:c>
      <x:c r="K1551" s="57" t="n">
        <x:v>54.65806426526932</x:v>
      </x:c>
      <x:c r="L1551" s="57" t="n">
        <x:v>80.22580609324189</x:v>
      </x:c>
    </x:row>
    <x:row r="1552" ht="32.400001525878906" hidden="0" customHeight="1">
      <x:c r="A1552" s="27" t="str">
        <x:v>Miami-Dade County, Florida</x:v>
      </x:c>
      <x:c r="B1552" s="27" t="str">
        <x:v>12086009200</x:v>
      </x:c>
      <x:c r="C1552" s="50" t="n">
        <x:v>3387</x:v>
      </x:c>
      <x:c r="D1552" s="50" t="n">
        <x:v>490</x:v>
      </x:c>
      <x:c r="E1552" s="50" t="n">
        <x:v>94</x:v>
      </x:c>
      <x:c r="F1552" s="37" t="n">
        <x:v>0.1446708001180986</x:v>
      </x:c>
      <x:c r="G1552" s="37" t="n">
        <x:v>0.027753173900206672</x:v>
      </x:c>
      <x:c r="H1552" s="56" t="n">
        <x:v>3567.9</x:v>
      </x:c>
      <x:c r="I1552" s="56" t="n">
        <x:v>0.45</x:v>
      </x:c>
      <x:c r="J1552" s="56" t="n">
        <x:v>10.47603633537876</x:v>
      </x:c>
      <x:c r="K1552" s="56" t="n">
        <x:v>45.71405450306814</x:v>
      </x:c>
      <x:c r="L1552" s="56" t="n">
        <x:v>67.44864929009734</x:v>
      </x:c>
    </x:row>
    <x:row r="1553" ht="32.400001525878906" hidden="0" customHeight="1">
      <x:c r="A1553" s="29" t="str">
        <x:v>Miami-Dade County, Florida</x:v>
      </x:c>
      <x:c r="B1553" s="29" t="str">
        <x:v>12086009305</x:v>
      </x:c>
      <x:c r="C1553" s="51" t="n">
        <x:v>4852</x:v>
      </x:c>
      <x:c r="D1553" s="51" t="n">
        <x:v>613</x:v>
      </x:c>
      <x:c r="E1553" s="51" t="n">
        <x:v>140</x:v>
      </x:c>
      <x:c r="F1553" s="38" t="n">
        <x:v>0.1263396537510305</x:v>
      </x:c>
      <x:c r="G1553" s="38" t="n">
        <x:v>0.028854080791426217</x:v>
      </x:c>
      <x:c r="H1553" s="57" t="n">
        <x:v>5080.55</x:v>
      </x:c>
      <x:c r="I1553" s="57" t="n">
        <x:v>1.365</x:v>
      </x:c>
      <x:c r="J1553" s="57" t="n">
        <x:v>7.1279091477886825</x:v>
      </x:c>
      <x:c r="K1553" s="57" t="n">
        <x:v>40.69186372168302</x:v>
      </x:c>
      <x:c r="L1553" s="57" t="n">
        <x:v>60.27409103097575</x:v>
      </x:c>
    </x:row>
    <x:row r="1554" ht="32.400001525878906" hidden="0" customHeight="1">
      <x:c r="A1554" s="27" t="str">
        <x:v>Miami-Dade County, Florida</x:v>
      </x:c>
      <x:c r="B1554" s="27" t="str">
        <x:v>12086009312</x:v>
      </x:c>
      <x:c r="C1554" s="50" t="n">
        <x:v>6324</x:v>
      </x:c>
      <x:c r="D1554" s="50" t="n">
        <x:v>638</x:v>
      </x:c>
      <x:c r="E1554" s="50" t="n">
        <x:v>199</x:v>
      </x:c>
      <x:c r="F1554" s="37" t="n">
        <x:v>0.1008855154965212</x:v>
      </x:c>
      <x:c r="G1554" s="37" t="n">
        <x:v>0.031467425679949396</x:v>
      </x:c>
      <x:c r="H1554" s="56" t="n">
        <x:v>6567.200000000001</x:v>
      </x:c>
      <x:c r="I1554" s="56" t="n">
        <x:v>1.233</x:v>
      </x:c>
      <x:c r="J1554" s="56" t="n">
        <x:v>8.101577963960144</x:v>
      </x:c>
      <x:c r="K1554" s="56" t="n">
        <x:v>42.152366945940216</x:v>
      </x:c>
      <x:c r="L1554" s="56" t="n">
        <x:v>62.36052420848603</x:v>
      </x:c>
    </x:row>
    <x:row r="1555" ht="32.400001525878906" hidden="0" customHeight="1">
      <x:c r="A1555" s="29" t="str">
        <x:v>Miami-Dade County, Florida</x:v>
      </x:c>
      <x:c r="B1555" s="29" t="str">
        <x:v>12086009314</x:v>
      </x:c>
      <x:c r="C1555" s="51" t="n">
        <x:v>3819</x:v>
      </x:c>
      <x:c r="D1555" s="51" t="n">
        <x:v>400</x:v>
      </x:c>
      <x:c r="E1555" s="51" t="n">
        <x:v>302</x:v>
      </x:c>
      <x:c r="F1555" s="38" t="n">
        <x:v>0.10473946059177795</x:v>
      </x:c>
      <x:c r="G1555" s="38" t="n">
        <x:v>0.07907829274679236</x:v>
      </x:c>
      <x:c r="H1555" s="57" t="n">
        <x:v>3989.2</x:v>
      </x:c>
      <x:c r="I1555" s="57" t="n">
        <x:v>0.155</x:v>
      </x:c>
      <x:c r="J1555" s="57" t="n">
        <x:v>8.405965389165516</x:v>
      </x:c>
      <x:c r="K1555" s="57" t="n">
        <x:v>42.608948083748274</x:v>
      </x:c>
      <x:c r="L1555" s="57" t="n">
        <x:v>63.01278297678325</x:v>
      </x:c>
    </x:row>
    <x:row r="1556" ht="32.400001525878906" hidden="0" customHeight="1">
      <x:c r="A1556" s="27" t="str">
        <x:v>Miami-Dade County, Florida</x:v>
      </x:c>
      <x:c r="B1556" s="27" t="str">
        <x:v>12086009315</x:v>
      </x:c>
      <x:c r="C1556" s="50" t="n">
        <x:v>2604</x:v>
      </x:c>
      <x:c r="D1556" s="50" t="n">
        <x:v>566</x:v>
      </x:c>
      <x:c r="E1556" s="50" t="n">
        <x:v>332</x:v>
      </x:c>
      <x:c r="F1556" s="37" t="n">
        <x:v>0.217357910906298</x:v>
      </x:c>
      <x:c r="G1556" s="37" t="n">
        <x:v>0.12749615975422426</x:v>
      </x:c>
      <x:c r="H1556" s="56" t="n">
        <x:v>2835.3</x:v>
      </x:c>
      <x:c r="I1556" s="56" t="n">
        <x:v>0.097</x:v>
      </x:c>
      <x:c r="J1556" s="56" t="n">
        <x:v>8.47286369451853</x:v>
      </x:c>
      <x:c r="K1556" s="56" t="n">
        <x:v>42.70929554177779</x:v>
      </x:c>
      <x:c r="L1556" s="56" t="n">
        <x:v>63.15613648825399</x:v>
      </x:c>
    </x:row>
    <x:row r="1557" ht="32.400001525878906" hidden="0" customHeight="1">
      <x:c r="A1557" s="29" t="str">
        <x:v>Miami-Dade County, Florida</x:v>
      </x:c>
      <x:c r="B1557" s="29" t="str">
        <x:v>12086009316</x:v>
      </x:c>
      <x:c r="C1557" s="51" t="n">
        <x:v>2391</x:v>
      </x:c>
      <x:c r="D1557" s="51" t="n">
        <x:v>275</x:v>
      </x:c>
      <x:c r="E1557" s="51" t="n">
        <x:v>20</x:v>
      </x:c>
      <x:c r="F1557" s="38" t="n">
        <x:v>0.1150146382266834</x:v>
      </x:c>
      <x:c r="G1557" s="38" t="n">
        <x:v>0.008364700961940611</x:v>
      </x:c>
      <x:c r="H1557" s="57" t="n">
        <x:v>2489.2499999999995</x:v>
      </x:c>
      <x:c r="I1557" s="57" t="n">
        <x:v>0.39</x:v>
      </x:c>
      <x:c r="J1557" s="57" t="n">
        <x:v>6.597362249334581</x:v>
      </x:c>
      <x:c r="K1557" s="57" t="n">
        <x:v>39.89604337400187</x:v>
      </x:c>
      <x:c r="L1557" s="57" t="n">
        <x:v>59.13720482000267</x:v>
      </x:c>
    </x:row>
    <x:row r="1558" ht="32.400001525878906" hidden="0" customHeight="1">
      <x:c r="A1558" s="27" t="str">
        <x:v>Miami-Dade County, Florida</x:v>
      </x:c>
      <x:c r="B1558" s="27" t="str">
        <x:v>12086009317</x:v>
      </x:c>
      <x:c r="C1558" s="50" t="n">
        <x:v>4885</x:v>
      </x:c>
      <x:c r="D1558" s="50" t="n">
        <x:v>617</x:v>
      </x:c>
      <x:c r="E1558" s="50" t="n">
        <x:v>204.5</x:v>
      </x:c>
      <x:c r="F1558" s="37" t="n">
        <x:v>0.1263050153531218</x:v>
      </x:c>
      <x:c r="G1558" s="37" t="n">
        <x:v>0.041862845445240535</x:v>
      </x:c>
      <x:c r="H1558" s="56" t="n">
        <x:v>5121.399999999999</x:v>
      </x:c>
      <x:c r="I1558" s="56" t="n">
        <x:v>0.431</x:v>
      </x:c>
      <x:c r="J1558" s="56" t="n">
        <x:v>7.9906762876147726</x:v>
      </x:c>
      <x:c r="K1558" s="56" t="n">
        <x:v>41.98601443142216</x:v>
      </x:c>
      <x:c r="L1558" s="56" t="n">
        <x:v>62.122877759174514</x:v>
      </x:c>
    </x:row>
    <x:row r="1559" ht="32.400001525878906" hidden="0" customHeight="1">
      <x:c r="A1559" s="29" t="str">
        <x:v>Miami-Dade County, Florida</x:v>
      </x:c>
      <x:c r="B1559" s="29" t="str">
        <x:v>12086009318</x:v>
      </x:c>
      <x:c r="C1559" s="51" t="n">
        <x:v>1784</x:v>
      </x:c>
      <x:c r="D1559" s="51" t="n">
        <x:v>238</x:v>
      </x:c>
      <x:c r="E1559" s="51" t="n">
        <x:v>72.5</x:v>
      </x:c>
      <x:c r="F1559" s="38" t="n">
        <x:v>0.13340807174887892</x:v>
      </x:c>
      <x:c r="G1559" s="38" t="n">
        <x:v>0.0406390134529148</x:v>
      </x:c>
      <x:c r="H1559" s="57" t="n">
        <x:v>1874.5500000000002</x:v>
      </x:c>
      <x:c r="I1559" s="57" t="n">
        <x:v>0.228</x:v>
      </x:c>
      <x:c r="J1559" s="57" t="n">
        <x:v>6.084294793284144</x:v>
      </x:c>
      <x:c r="K1559" s="57" t="n">
        <x:v>39.126442189926216</x:v>
      </x:c>
      <x:c r="L1559" s="57" t="n">
        <x:v>58.03777455703745</x:v>
      </x:c>
    </x:row>
    <x:row r="1560" ht="32.400001525878906" hidden="0" customHeight="1">
      <x:c r="A1560" s="27" t="str">
        <x:v>Miami-Dade County, Florida</x:v>
      </x:c>
      <x:c r="B1560" s="27" t="str">
        <x:v>12086009319</x:v>
      </x:c>
      <x:c r="C1560" s="50" t="n">
        <x:v>4692</x:v>
      </x:c>
      <x:c r="D1560" s="50" t="n">
        <x:v>259</x:v>
      </x:c>
      <x:c r="E1560" s="50" t="n">
        <x:v>47</x:v>
      </x:c>
      <x:c r="F1560" s="37" t="n">
        <x:v>0.0552003410059676</x:v>
      </x:c>
      <x:c r="G1560" s="37" t="n">
        <x:v>0.010017050298380221</x:v>
      </x:c>
      <x:c r="H1560" s="56" t="n">
        <x:v>4787.35</x:v>
      </x:c>
      <x:c r="I1560" s="56" t="n">
        <x:v>0.676</x:v>
      </x:c>
      <x:c r="J1560" s="56" t="n">
        <x:v>6.106097586944218</x:v>
      </x:c>
      <x:c r="K1560" s="56" t="n">
        <x:v>39.15914638041633</x:v>
      </x:c>
      <x:c r="L1560" s="56" t="n">
        <x:v>58.08449482916618</x:v>
      </x:c>
    </x:row>
    <x:row r="1561" ht="32.400001525878906" hidden="0" customHeight="1">
      <x:c r="A1561" s="29" t="str">
        <x:v>Miami-Dade County, Florida</x:v>
      </x:c>
      <x:c r="B1561" s="29" t="str">
        <x:v>12086009320</x:v>
      </x:c>
      <x:c r="C1561" s="51" t="n">
        <x:v>4701</x:v>
      </x:c>
      <x:c r="D1561" s="51" t="n">
        <x:v>389</x:v>
      </x:c>
      <x:c r="E1561" s="51" t="n">
        <x:v>113.5</x:v>
      </x:c>
      <x:c r="F1561" s="38" t="n">
        <x:v>0.08274835141459264</x:v>
      </x:c>
      <x:c r="G1561" s="38" t="n">
        <x:v>0.024143799191661347</x:v>
      </x:c>
      <x:c r="H1561" s="57" t="n">
        <x:v>4848.5</x:v>
      </x:c>
      <x:c r="I1561" s="57" t="n">
        <x:v>0.215</x:v>
      </x:c>
      <x:c r="J1561" s="57" t="n">
        <x:v>8.800924263340104</x:v>
      </x:c>
      <x:c r="K1561" s="57" t="n">
        <x:v>43.201386395010154</x:v>
      </x:c>
      <x:c r="L1561" s="57" t="n">
        <x:v>63.85912342144308</x:v>
      </x:c>
    </x:row>
    <x:row r="1562" ht="32.400001525878906" hidden="0" customHeight="1">
      <x:c r="A1562" s="27" t="str">
        <x:v>Miami-Dade County, Florida</x:v>
      </x:c>
      <x:c r="B1562" s="27" t="str">
        <x:v>12086009321</x:v>
      </x:c>
      <x:c r="C1562" s="50" t="n">
        <x:v>2920</x:v>
      </x:c>
      <x:c r="D1562" s="50" t="n">
        <x:v>413</x:v>
      </x:c>
      <x:c r="E1562" s="50" t="n">
        <x:v>256</x:v>
      </x:c>
      <x:c r="F1562" s="37" t="n">
        <x:v>0.14143835616438355</x:v>
      </x:c>
      <x:c r="G1562" s="37" t="n">
        <x:v>0.08767123287671233</x:v>
      </x:c>
      <x:c r="H1562" s="56" t="n">
        <x:v>3090.15</x:v>
      </x:c>
      <x:c r="I1562" s="56" t="n">
        <x:v>0.253</x:v>
      </x:c>
      <x:c r="J1562" s="56" t="n">
        <x:v>9.845027724839444</x:v>
      </x:c>
      <x:c r="K1562" s="56" t="n">
        <x:v>44.76754158725917</x:v>
      </x:c>
      <x:c r="L1562" s="56" t="n">
        <x:v>66.09648798179882</x:v>
      </x:c>
    </x:row>
    <x:row r="1563" ht="32.400001525878906" hidden="0" customHeight="1">
      <x:c r="A1563" s="29" t="str">
        <x:v>Miami-Dade County, Florida</x:v>
      </x:c>
      <x:c r="B1563" s="29" t="str">
        <x:v>12086009322</x:v>
      </x:c>
      <x:c r="C1563" s="51" t="n">
        <x:v>4032</x:v>
      </x:c>
      <x:c r="D1563" s="51" t="n">
        <x:v>342</x:v>
      </x:c>
      <x:c r="E1563" s="51" t="n">
        <x:v>196</x:v>
      </x:c>
      <x:c r="F1563" s="38" t="n">
        <x:v>0.08482142857142858</x:v>
      </x:c>
      <x:c r="G1563" s="38" t="n">
        <x:v>0.04861111111111111</x:v>
      </x:c>
      <x:c r="H1563" s="57" t="n">
        <x:v>4171.300000000001</x:v>
      </x:c>
      <x:c r="I1563" s="57" t="n">
        <x:v>0.094</x:v>
      </x:c>
      <x:c r="J1563" s="57" t="n">
        <x:v>7.801289003272303</x:v>
      </x:c>
      <x:c r="K1563" s="57" t="n">
        <x:v>41.70193350490845</x:v>
      </x:c>
      <x:c r="L1563" s="57" t="n">
        <x:v>61.717047864154935</x:v>
      </x:c>
    </x:row>
    <x:row r="1564" ht="32.400001525878906" hidden="0" customHeight="1">
      <x:c r="A1564" s="27" t="str">
        <x:v>Miami-Dade County, Florida</x:v>
      </x:c>
      <x:c r="B1564" s="27" t="str">
        <x:v>12086009323</x:v>
      </x:c>
      <x:c r="C1564" s="50" t="n">
        <x:v>2410</x:v>
      </x:c>
      <x:c r="D1564" s="50" t="n">
        <x:v>388</x:v>
      </x:c>
      <x:c r="E1564" s="50" t="n">
        <x:v>59</x:v>
      </x:c>
      <x:c r="F1564" s="37" t="n">
        <x:v>0.16099585062240665</x:v>
      </x:c>
      <x:c r="G1564" s="37" t="n">
        <x:v>0.024481327800829875</x:v>
      </x:c>
      <x:c r="H1564" s="56" t="n">
        <x:v>2551.7</x:v>
      </x:c>
      <x:c r="I1564" s="56" t="n">
        <x:v>0.343</x:v>
      </x:c>
      <x:c r="J1564" s="56" t="n">
        <x:v>7.618969008676875</x:v>
      </x:c>
      <x:c r="K1564" s="56" t="n">
        <x:v>41.42845351301531</x:v>
      </x:c>
      <x:c r="L1564" s="56" t="n">
        <x:v>61.32636216145045</x:v>
      </x:c>
    </x:row>
    <x:row r="1565" ht="32.400001525878906" hidden="0" customHeight="1">
      <x:c r="A1565" s="29" t="str">
        <x:v>Miami-Dade County, Florida</x:v>
      </x:c>
      <x:c r="B1565" s="29" t="str">
        <x:v>12086009324</x:v>
      </x:c>
      <x:c r="C1565" s="51" t="n">
        <x:v>3946</x:v>
      </x:c>
      <x:c r="D1565" s="51" t="n">
        <x:v>621</x:v>
      </x:c>
      <x:c r="E1565" s="51" t="n">
        <x:v>529</x:v>
      </x:c>
      <x:c r="F1565" s="38" t="n">
        <x:v>0.15737455651292448</x:v>
      </x:c>
      <x:c r="G1565" s="38" t="n">
        <x:v>0.13405980739989865</x:v>
      </x:c>
      <x:c r="H1565" s="57" t="n">
        <x:v>4216.249999999999</x:v>
      </x:c>
      <x:c r="I1565" s="57" t="n">
        <x:v>0.253</x:v>
      </x:c>
      <x:c r="J1565" s="57" t="n">
        <x:v>8.548536195397778</x:v>
      </x:c>
      <x:c r="K1565" s="57" t="n">
        <x:v>42.82280429309667</x:v>
      </x:c>
      <x:c r="L1565" s="57" t="n">
        <x:v>63.31829184728095</x:v>
      </x:c>
    </x:row>
    <x:row r="1566" ht="32.400001525878906" hidden="0" customHeight="1">
      <x:c r="A1566" s="27" t="str">
        <x:v>Miami-Dade County, Florida</x:v>
      </x:c>
      <x:c r="B1566" s="27" t="str">
        <x:v>12086009325</x:v>
      </x:c>
      <x:c r="C1566" s="50" t="n">
        <x:v>2568</x:v>
      </x:c>
      <x:c r="D1566" s="50" t="n">
        <x:v>88</x:v>
      </x:c>
      <x:c r="E1566" s="50" t="n">
        <x:v>8</x:v>
      </x:c>
      <x:c r="F1566" s="37" t="n">
        <x:v>0.03426791277258567</x:v>
      </x:c>
      <x:c r="G1566" s="37" t="n">
        <x:v>0.003115264797507788</x:v>
      </x:c>
      <x:c r="H1566" s="56" t="n">
        <x:v>2599.6000000000004</x:v>
      </x:c>
      <x:c r="I1566" s="56" t="n">
        <x:v>0.237</x:v>
      </x:c>
      <x:c r="J1566" s="56" t="n">
        <x:v>9.637777455874762</x:v>
      </x:c>
      <x:c r="K1566" s="56" t="n">
        <x:v>44.456666183812146</x:v>
      </x:c>
      <x:c r="L1566" s="56" t="n">
        <x:v>65.65238026258878</x:v>
      </x:c>
    </x:row>
    <x:row r="1567" ht="32.400001525878906" hidden="0" customHeight="1">
      <x:c r="A1567" s="29" t="str">
        <x:v>Miami-Dade County, Florida</x:v>
      </x:c>
      <x:c r="B1567" s="29" t="str">
        <x:v>12086009326</x:v>
      </x:c>
      <x:c r="C1567" s="51" t="n">
        <x:v>3046</x:v>
      </x:c>
      <x:c r="D1567" s="51" t="n">
        <x:v>612</x:v>
      </x:c>
      <x:c r="E1567" s="51" t="n">
        <x:v>332</x:v>
      </x:c>
      <x:c r="F1567" s="38" t="n">
        <x:v>0.20091923834537098</x:v>
      </x:c>
      <x:c r="G1567" s="38" t="n">
        <x:v>0.10899540380827315</x:v>
      </x:c>
      <x:c r="H1567" s="57" t="n">
        <x:v>3293.4000000000005</x:v>
      </x:c>
      <x:c r="I1567" s="57" t="n">
        <x:v>0.254</x:v>
      </x:c>
      <x:c r="J1567" s="57" t="n">
        <x:v>9.328057192028448</x:v>
      </x:c>
      <x:c r="K1567" s="57" t="n">
        <x:v>43.99208578804267</x:v>
      </x:c>
      <x:c r="L1567" s="57" t="n">
        <x:v>64.98869398291811</x:v>
      </x:c>
    </x:row>
    <x:row r="1568" ht="32.400001525878906" hidden="0" customHeight="1">
      <x:c r="A1568" s="27" t="str">
        <x:v>Miami-Dade County, Florida</x:v>
      </x:c>
      <x:c r="B1568" s="27" t="str">
        <x:v>12086009327</x:v>
      </x:c>
      <x:c r="C1568" s="50" t="n">
        <x:v>3524</x:v>
      </x:c>
      <x:c r="D1568" s="50" t="n">
        <x:v>340</x:v>
      </x:c>
      <x:c r="E1568" s="50" t="n">
        <x:v>55</x:v>
      </x:c>
      <x:c r="F1568" s="37" t="n">
        <x:v>0.09648127128263337</x:v>
      </x:c>
      <x:c r="G1568" s="37" t="n">
        <x:v>0.015607264472190692</x:v>
      </x:c>
      <x:c r="H1568" s="56" t="n">
        <x:v>3648.5</x:v>
      </x:c>
      <x:c r="I1568" s="56" t="n">
        <x:v>0.428</x:v>
      </x:c>
      <x:c r="J1568" s="56" t="n">
        <x:v>10.029289123755502</x:v>
      </x:c>
      <x:c r="K1568" s="56" t="n">
        <x:v>45.043933685633256</x:v>
      </x:c>
      <x:c r="L1568" s="56" t="n">
        <x:v>66.49133383661894</x:v>
      </x:c>
    </x:row>
    <x:row r="1569" ht="32.400001525878906" hidden="0" customHeight="1">
      <x:c r="A1569" s="29" t="str">
        <x:v>Miami-Dade County, Florida</x:v>
      </x:c>
      <x:c r="B1569" s="29" t="str">
        <x:v>12086009401</x:v>
      </x:c>
      <x:c r="C1569" s="51" t="n">
        <x:v>2582</x:v>
      </x:c>
      <x:c r="D1569" s="51" t="n">
        <x:v>462</x:v>
      </x:c>
      <x:c r="E1569" s="51" t="n">
        <x:v>45</x:v>
      </x:c>
      <x:c r="F1569" s="38" t="n">
        <x:v>0.17893106119287375</x:v>
      </x:c>
      <x:c r="G1569" s="38" t="n">
        <x:v>0.017428350116189</x:v>
      </x:c>
      <x:c r="H1569" s="57" t="n">
        <x:v>2748.2000000000003</x:v>
      </x:c>
      <x:c r="I1569" s="57" t="n">
        <x:v>0.484</x:v>
      </x:c>
      <x:c r="J1569" s="57" t="n">
        <x:v>15.559749119342172</x:v>
      </x:c>
      <x:c r="K1569" s="57" t="n">
        <x:v>53.33962367901326</x:v>
      </x:c>
      <x:c r="L1569" s="57" t="n">
        <x:v>78.34231954144751</x:v>
      </x:c>
    </x:row>
    <x:row r="1570" ht="32.400001525878906" hidden="0" customHeight="1">
      <x:c r="A1570" s="27" t="str">
        <x:v>Miami-Dade County, Florida</x:v>
      </x:c>
      <x:c r="B1570" s="27" t="str">
        <x:v>12086009402</x:v>
      </x:c>
      <x:c r="C1570" s="50" t="n">
        <x:v>3849</x:v>
      </x:c>
      <x:c r="D1570" s="50" t="n">
        <x:v>444</x:v>
      </x:c>
      <x:c r="E1570" s="50" t="n">
        <x:v>156.5</x:v>
      </x:c>
      <x:c r="F1570" s="37" t="n">
        <x:v>0.11535463756819954</x:v>
      </x:c>
      <x:c r="G1570" s="37" t="n">
        <x:v>0.04065991166536763</x:v>
      </x:c>
      <x:c r="H1570" s="56" t="n">
        <x:v>4020.0500000000006</x:v>
      </x:c>
      <x:c r="I1570" s="56" t="n">
        <x:v>0.501</x:v>
      </x:c>
      <x:c r="J1570" s="56" t="n">
        <x:v>14.204536717550553</x:v>
      </x:c>
      <x:c r="K1570" s="56" t="n">
        <x:v>51.30680507632583</x:v>
      </x:c>
      <x:c r="L1570" s="56" t="n">
        <x:v>75.43829296617976</x:v>
      </x:c>
    </x:row>
    <x:row r="1571" ht="32.400001525878906" hidden="0" customHeight="1">
      <x:c r="A1571" s="29" t="str">
        <x:v>Miami-Dade County, Florida</x:v>
      </x:c>
      <x:c r="B1571" s="29" t="str">
        <x:v>12086009503</x:v>
      </x:c>
      <x:c r="C1571" s="51" t="n">
        <x:v>5316</x:v>
      </x:c>
      <x:c r="D1571" s="51" t="n">
        <x:v>414</x:v>
      </x:c>
      <x:c r="E1571" s="51" t="n">
        <x:v>293</x:v>
      </x:c>
      <x:c r="F1571" s="38" t="n">
        <x:v>0.07787810383747178</x:v>
      </x:c>
      <x:c r="G1571" s="38" t="n">
        <x:v>0.05511662904439428</x:v>
      </x:c>
      <x:c r="H1571" s="57" t="n">
        <x:v>5490.200000000001</x:v>
      </x:c>
      <x:c r="I1571" s="57" t="n">
        <x:v>0.993</x:v>
      </x:c>
      <x:c r="J1571" s="57" t="n">
        <x:v>17.171024576716775</x:v>
      </x:c>
      <x:c r="K1571" s="57" t="n">
        <x:v>55.75653686507516</x:v>
      </x:c>
      <x:c r="L1571" s="57" t="n">
        <x:v>81.7950526643931</x:v>
      </x:c>
    </x:row>
    <x:row r="1572" ht="32.400001525878906" hidden="0" customHeight="1">
      <x:c r="A1572" s="27" t="str">
        <x:v>Miami-Dade County, Florida</x:v>
      </x:c>
      <x:c r="B1572" s="27" t="str">
        <x:v>12086009504</x:v>
      </x:c>
      <x:c r="C1572" s="50" t="n">
        <x:v>4510</x:v>
      </x:c>
      <x:c r="D1572" s="50" t="n">
        <x:v>469</x:v>
      </x:c>
      <x:c r="E1572" s="50" t="n">
        <x:v>20</x:v>
      </x:c>
      <x:c r="F1572" s="37" t="n">
        <x:v>0.10399113082039911</x:v>
      </x:c>
      <x:c r="G1572" s="37" t="n">
        <x:v>0.004434589800443459</x:v>
      </x:c>
      <x:c r="H1572" s="56" t="n">
        <x:v>4676.150000000001</x:v>
      </x:c>
      <x:c r="I1572" s="56" t="n">
        <x:v>0.784</x:v>
      </x:c>
      <x:c r="J1572" s="56" t="n">
        <x:v>18.82839227399344</x:v>
      </x:c>
      <x:c r="K1572" s="56" t="n">
        <x:v>58.242588410990166</x:v>
      </x:c>
      <x:c r="L1572" s="56" t="n">
        <x:v>85.34655487284309</x:v>
      </x:c>
    </x:row>
    <x:row r="1573" ht="32.400001525878906" hidden="0" customHeight="1">
      <x:c r="A1573" s="29" t="str">
        <x:v>Miami-Dade County, Florida</x:v>
      </x:c>
      <x:c r="B1573" s="29" t="str">
        <x:v>12086009505</x:v>
      </x:c>
      <x:c r="C1573" s="51" t="n">
        <x:v>1643</x:v>
      </x:c>
      <x:c r="D1573" s="51" t="n">
        <x:v>78</x:v>
      </x:c>
      <x:c r="E1573" s="51" t="n">
        <x:v>188</x:v>
      </x:c>
      <x:c r="F1573" s="38" t="n">
        <x:v>0.04747413268411443</x:v>
      </x:c>
      <x:c r="G1573" s="38" t="n">
        <x:v>0.11442483262325015</x:v>
      </x:c>
      <x:c r="H1573" s="57" t="n">
        <x:v>1689.1</x:v>
      </x:c>
      <x:c r="I1573" s="57" t="n">
        <x:v>0.186</x:v>
      </x:c>
      <x:c r="J1573" s="57" t="n">
        <x:v>20.655181578164225</x:v>
      </x:c>
      <x:c r="K1573" s="57" t="n">
        <x:v>60.98277236724634</x:v>
      </x:c>
      <x:c r="L1573" s="57" t="n">
        <x:v>89.26110338178049</x:v>
      </x:c>
    </x:row>
    <x:row r="1574" ht="32.400001525878906" hidden="0" customHeight="1">
      <x:c r="A1574" s="27" t="str">
        <x:v>Miami-Dade County, Florida</x:v>
      </x:c>
      <x:c r="B1574" s="27" t="str">
        <x:v>12086009506</x:v>
      </x:c>
      <x:c r="C1574" s="50" t="n">
        <x:v>4457</x:v>
      </x:c>
      <x:c r="D1574" s="50" t="n">
        <x:v>473</x:v>
      </x:c>
      <x:c r="E1574" s="50" t="n">
        <x:v>315.5</x:v>
      </x:c>
      <x:c r="F1574" s="37" t="n">
        <x:v>0.10612519632039488</x:v>
      </x:c>
      <x:c r="G1574" s="37" t="n">
        <x:v>0.07078752524119362</x:v>
      </x:c>
      <x:c r="H1574" s="56" t="n">
        <x:v>4654.1</x:v>
      </x:c>
      <x:c r="I1574" s="56" t="n">
        <x:v>0.379</x:v>
      </x:c>
      <x:c r="J1574" s="56" t="n">
        <x:v>20.364462107884204</x:v>
      </x:c>
      <x:c r="K1574" s="56" t="n">
        <x:v>60.546693161826305</x:v>
      </x:c>
      <x:c r="L1574" s="56" t="n">
        <x:v>88.63813308832329</x:v>
      </x:c>
    </x:row>
    <x:row r="1575" ht="32.400001525878906" hidden="0" customHeight="1">
      <x:c r="A1575" s="29" t="str">
        <x:v>Miami-Dade County, Florida</x:v>
      </x:c>
      <x:c r="B1575" s="29" t="str">
        <x:v>12086009601</x:v>
      </x:c>
      <x:c r="C1575" s="51" t="n">
        <x:v>2881</x:v>
      </x:c>
      <x:c r="D1575" s="51" t="n">
        <x:v>309</x:v>
      </x:c>
      <x:c r="E1575" s="51" t="n">
        <x:v>91</x:v>
      </x:c>
      <x:c r="F1575" s="38" t="n">
        <x:v>0.10725442554668518</x:v>
      </x:c>
      <x:c r="G1575" s="38" t="n">
        <x:v>0.031586254772648384</x:v>
      </x:c>
      <x:c r="H1575" s="57" t="n">
        <x:v>2998.25</x:v>
      </x:c>
      <x:c r="I1575" s="57" t="n">
        <x:v>0.358</x:v>
      </x:c>
      <x:c r="J1575" s="57" t="n">
        <x:v>22.45585591518929</x:v>
      </x:c>
      <x:c r="K1575" s="57" t="n">
        <x:v>63.683783872783934</x:v>
      </x:c>
      <x:c r="L1575" s="57" t="n">
        <x:v>93.11969124683418</x:v>
      </x:c>
    </x:row>
    <x:row r="1576" ht="32.400001525878906" hidden="0" customHeight="1">
      <x:c r="A1576" s="27" t="str">
        <x:v>Miami-Dade County, Florida</x:v>
      </x:c>
      <x:c r="B1576" s="27" t="str">
        <x:v>12086009602</x:v>
      </x:c>
      <x:c r="C1576" s="50" t="n">
        <x:v>3569</x:v>
      </x:c>
      <x:c r="D1576" s="50" t="n">
        <x:v>326</x:v>
      </x:c>
      <x:c r="E1576" s="50" t="n">
        <x:v>82</x:v>
      </x:c>
      <x:c r="F1576" s="37" t="n">
        <x:v>0.09134211263659288</x:v>
      </x:c>
      <x:c r="G1576" s="37" t="n">
        <x:v>0.02297562342392827</x:v>
      </x:c>
      <x:c r="H1576" s="56" t="n">
        <x:v>3691.3</x:v>
      </x:c>
      <x:c r="I1576" s="56" t="n">
        <x:v>0.518</x:v>
      </x:c>
      <x:c r="J1576" s="56" t="n">
        <x:v>23.164388322647568</x:v>
      </x:c>
      <x:c r="K1576" s="56" t="n">
        <x:v>64.74658248397135</x:v>
      </x:c>
      <x:c r="L1576" s="56" t="n">
        <x:v>94.63797497710192</x:v>
      </x:c>
    </x:row>
    <x:row r="1577" ht="32.400001525878906" hidden="0" customHeight="1">
      <x:c r="A1577" s="29" t="str">
        <x:v>Miami-Dade County, Florida</x:v>
      </x:c>
      <x:c r="B1577" s="29" t="str">
        <x:v>12086009703</x:v>
      </x:c>
      <x:c r="C1577" s="51" t="n">
        <x:v>3447</x:v>
      </x:c>
      <x:c r="D1577" s="51" t="n">
        <x:v>338</x:v>
      </x:c>
      <x:c r="E1577" s="51" t="n">
        <x:v>180</x:v>
      </x:c>
      <x:c r="F1577" s="38" t="n">
        <x:v>0.09805628082390484</x:v>
      </x:c>
      <x:c r="G1577" s="38" t="n">
        <x:v>0.05221932114882506</x:v>
      </x:c>
      <x:c r="H1577" s="57" t="n">
        <x:v>3583.3</x:v>
      </x:c>
      <x:c r="I1577" s="57" t="n">
        <x:v>0.735</x:v>
      </x:c>
      <x:c r="J1577" s="57" t="n">
        <x:v>27.537514624866837</x:v>
      </x:c>
      <x:c r="K1577" s="57" t="n">
        <x:v>71.30627193730025</x:v>
      </x:c>
      <x:c r="L1577" s="57" t="n">
        <x:v>104.00895991042893</x:v>
      </x:c>
    </x:row>
    <x:row r="1578" ht="32.400001525878906" hidden="0" customHeight="1">
      <x:c r="A1578" s="27" t="str">
        <x:v>Miami-Dade County, Florida</x:v>
      </x:c>
      <x:c r="B1578" s="27" t="str">
        <x:v>12086009704</x:v>
      </x:c>
      <x:c r="C1578" s="50" t="n">
        <x:v>5618</x:v>
      </x:c>
      <x:c r="D1578" s="50" t="n">
        <x:v>335</x:v>
      </x:c>
      <x:c r="E1578" s="50" t="n">
        <x:v>202.5</x:v>
      </x:c>
      <x:c r="F1578" s="37" t="n">
        <x:v>0.05962976148095408</x:v>
      </x:c>
      <x:c r="G1578" s="37" t="n">
        <x:v>0.03604485582057672</x:v>
      </x:c>
      <x:c r="H1578" s="56" t="n">
        <x:v>5755.5</x:v>
      </x:c>
      <x:c r="I1578" s="56" t="n">
        <x:v>1.148</x:v>
      </x:c>
      <x:c r="J1578" s="56" t="n">
        <x:v>26.09519280122214</x:v>
      </x:c>
      <x:c r="K1578" s="56" t="n">
        <x:v>69.14278920183321</x:v>
      </x:c>
      <x:c r="L1578" s="56" t="n">
        <x:v>100.91827028833316</x:v>
      </x:c>
    </x:row>
    <x:row r="1579" ht="32.400001525878906" hidden="0" customHeight="1">
      <x:c r="A1579" s="29" t="str">
        <x:v>Miami-Dade County, Florida</x:v>
      </x:c>
      <x:c r="B1579" s="29" t="str">
        <x:v>12086009705</x:v>
      </x:c>
      <x:c r="C1579" s="51" t="n">
        <x:v>4981</x:v>
      </x:c>
      <x:c r="D1579" s="51" t="n">
        <x:v>486</x:v>
      </x:c>
      <x:c r="E1579" s="51" t="n">
        <x:v>317</x:v>
      </x:c>
      <x:c r="F1579" s="38" t="n">
        <x:v>0.09757076892190324</x:v>
      </x:c>
      <x:c r="G1579" s="38" t="n">
        <x:v>0.063641838988155</x:v>
      </x:c>
      <x:c r="H1579" s="57" t="n">
        <x:v>5182.8</x:v>
      </x:c>
      <x:c r="I1579" s="57" t="n">
        <x:v>0.149</x:v>
      </x:c>
      <x:c r="J1579" s="57" t="n">
        <x:v>24.794961744168816</x:v>
      </x:c>
      <x:c r="K1579" s="57" t="n">
        <x:v>67.19244261625323</x:v>
      </x:c>
      <x:c r="L1579" s="57" t="n">
        <x:v>98.13206088036175</x:v>
      </x:c>
    </x:row>
    <x:row r="1580" ht="32.400001525878906" hidden="0" customHeight="1">
      <x:c r="A1580" s="27" t="str">
        <x:v>Miami-Dade County, Florida</x:v>
      </x:c>
      <x:c r="B1580" s="27" t="str">
        <x:v>12086009706</x:v>
      </x:c>
      <x:c r="C1580" s="50" t="n">
        <x:v>4130</x:v>
      </x:c>
      <x:c r="D1580" s="50" t="n">
        <x:v>412</x:v>
      </x:c>
      <x:c r="E1580" s="50" t="n">
        <x:v>211</x:v>
      </x:c>
      <x:c r="F1580" s="37" t="n">
        <x:v>0.09975786924939467</x:v>
      </x:c>
      <x:c r="G1580" s="37" t="n">
        <x:v>0.05108958837772397</x:v>
      </x:c>
      <x:c r="H1580" s="56" t="n">
        <x:v>4295.3</x:v>
      </x:c>
      <x:c r="I1580" s="56" t="n">
        <x:v>0.382</x:v>
      </x:c>
      <x:c r="J1580" s="56" t="n">
        <x:v>25.106464856170977</x:v>
      </x:c>
      <x:c r="K1580" s="56" t="n">
        <x:v>67.65969728425647</x:v>
      </x:c>
      <x:c r="L1580" s="56" t="n">
        <x:v>98.7995675489378</x:v>
      </x:c>
    </x:row>
    <x:row r="1581" ht="32.400001525878906" hidden="0" customHeight="1">
      <x:c r="A1581" s="29" t="str">
        <x:v>Miami-Dade County, Florida</x:v>
      </x:c>
      <x:c r="B1581" s="29" t="str">
        <x:v>12086009803</x:v>
      </x:c>
      <x:c r="C1581" s="51" t="n">
        <x:v>8505</x:v>
      </x:c>
      <x:c r="D1581" s="51" t="n">
        <x:v>495</x:v>
      </x:c>
      <x:c r="E1581" s="51" t="n">
        <x:v>213</x:v>
      </x:c>
      <x:c r="F1581" s="38" t="n">
        <x:v>0.0582010582010582</x:v>
      </x:c>
      <x:c r="G1581" s="38" t="n">
        <x:v>0.025044091710758377</x:v>
      </x:c>
      <x:c r="H1581" s="57" t="n">
        <x:v>8699.55</x:v>
      </x:c>
      <x:c r="I1581" s="57" t="n">
        <x:v>1.019</x:v>
      </x:c>
      <x:c r="J1581" s="57" t="n">
        <x:v>25.920546287873773</x:v>
      </x:c>
      <x:c r="K1581" s="57" t="n">
        <x:v>68.88081943181066</x:v>
      </x:c>
      <x:c r="L1581" s="57" t="n">
        <x:v>100.54402775972952</x:v>
      </x:c>
    </x:row>
    <x:row r="1582" ht="32.400001525878906" hidden="0" customHeight="1">
      <x:c r="A1582" s="27" t="str">
        <x:v>Miami-Dade County, Florida</x:v>
      </x:c>
      <x:c r="B1582" s="27" t="str">
        <x:v>12086009804</x:v>
      </x:c>
      <x:c r="C1582" s="50" t="n">
        <x:v>3077</x:v>
      </x:c>
      <x:c r="D1582" s="50" t="n">
        <x:v>558</x:v>
      </x:c>
      <x:c r="E1582" s="50" t="n">
        <x:v>111</x:v>
      </x:c>
      <x:c r="F1582" s="37" t="n">
        <x:v>0.18134546636334092</x:v>
      </x:c>
      <x:c r="G1582" s="37" t="n">
        <x:v>0.036074098147546314</x:v>
      </x:c>
      <x:c r="H1582" s="56" t="n">
        <x:v>3283.4000000000005</x:v>
      </x:c>
      <x:c r="I1582" s="56" t="n">
        <x:v>0.554</x:v>
      </x:c>
      <x:c r="J1582" s="56" t="n">
        <x:v>25.94352426357709</x:v>
      </x:c>
      <x:c r="K1582" s="56" t="n">
        <x:v>68.91528639536563</x:v>
      </x:c>
      <x:c r="L1582" s="56" t="n">
        <x:v>100.59326627909377</x:v>
      </x:c>
    </x:row>
    <x:row r="1583" ht="32.400001525878906" hidden="0" customHeight="1">
      <x:c r="A1583" s="29" t="str">
        <x:v>Miami-Dade County, Florida</x:v>
      </x:c>
      <x:c r="B1583" s="29" t="str">
        <x:v>12086009806</x:v>
      </x:c>
      <x:c r="C1583" s="51" t="n">
        <x:v>3676</x:v>
      </x:c>
      <x:c r="D1583" s="51" t="n">
        <x:v>374</x:v>
      </x:c>
      <x:c r="E1583" s="51" t="n">
        <x:v>160</x:v>
      </x:c>
      <x:c r="F1583" s="38" t="n">
        <x:v>0.10174102285092491</x:v>
      </x:c>
      <x:c r="G1583" s="38" t="n">
        <x:v>0.04352557127312296</x:v>
      </x:c>
      <x:c r="H1583" s="57" t="n">
        <x:v>3822.9</x:v>
      </x:c>
      <x:c r="I1583" s="57" t="n">
        <x:v>0.19</x:v>
      </x:c>
      <x:c r="J1583" s="57" t="n">
        <x:v>24.481379553100794</x:v>
      </x:c>
      <x:c r="K1583" s="57" t="n">
        <x:v>66.72206932965119</x:v>
      </x:c>
      <x:c r="L1583" s="57" t="n">
        <x:v>97.46009904235885</x:v>
      </x:c>
    </x:row>
    <x:row r="1584" ht="32.400001525878906" hidden="0" customHeight="1">
      <x:c r="A1584" s="27" t="str">
        <x:v>Miami-Dade County, Florida</x:v>
      </x:c>
      <x:c r="B1584" s="27" t="str">
        <x:v>12086009809</x:v>
      </x:c>
      <x:c r="C1584" s="50" t="n">
        <x:v>4181</x:v>
      </x:c>
      <x:c r="D1584" s="50" t="n">
        <x:v>355</x:v>
      </x:c>
      <x:c r="E1584" s="50" t="n">
        <x:v>141.5</x:v>
      </x:c>
      <x:c r="F1584" s="37" t="n">
        <x:v>0.08490791676632385</x:v>
      </x:c>
      <x:c r="G1584" s="37" t="n">
        <x:v>0.0338435780913657</x:v>
      </x:c>
      <x:c r="H1584" s="56" t="n">
        <x:v>4319.4</x:v>
      </x:c>
      <x:c r="I1584" s="56" t="n">
        <x:v>0.355</x:v>
      </x:c>
      <x:c r="J1584" s="56" t="n">
        <x:v>23.189215743835124</x:v>
      </x:c>
      <x:c r="K1584" s="56" t="n">
        <x:v>64.78382361575268</x:v>
      </x:c>
      <x:c r="L1584" s="56" t="n">
        <x:v>94.69117659393241</x:v>
      </x:c>
    </x:row>
    <x:row r="1585" ht="32.400001525878906" hidden="0" customHeight="1">
      <x:c r="A1585" s="29" t="str">
        <x:v>Miami-Dade County, Florida</x:v>
      </x:c>
      <x:c r="B1585" s="29" t="str">
        <x:v>12086009810</x:v>
      </x:c>
      <x:c r="C1585" s="51" t="n">
        <x:v>4538</x:v>
      </x:c>
      <x:c r="D1585" s="51" t="n">
        <x:v>301</x:v>
      </x:c>
      <x:c r="E1585" s="51" t="n">
        <x:v>94</x:v>
      </x:c>
      <x:c r="F1585" s="38" t="n">
        <x:v>0.06632877919788453</x:v>
      </x:c>
      <x:c r="G1585" s="38" t="n">
        <x:v>0.020713970912296167</x:v>
      </x:c>
      <x:c r="H1585" s="57" t="n">
        <x:v>4652.749999999999</x:v>
      </x:c>
      <x:c r="I1585" s="57" t="n">
        <x:v>0.217</x:v>
      </x:c>
      <x:c r="J1585" s="57" t="n">
        <x:v>23.730493724614774</x:v>
      </x:c>
      <x:c r="K1585" s="57" t="n">
        <x:v>65.59574058692216</x:v>
      </x:c>
      <x:c r="L1585" s="57" t="n">
        <x:v>95.85105798131737</x:v>
      </x:c>
    </x:row>
    <x:row r="1586" ht="32.400001525878906" hidden="0" customHeight="1">
      <x:c r="A1586" s="27" t="str">
        <x:v>Miami-Dade County, Florida</x:v>
      </x:c>
      <x:c r="B1586" s="27" t="str">
        <x:v>12086009811</x:v>
      </x:c>
      <x:c r="C1586" s="50" t="n">
        <x:v>1695</x:v>
      </x:c>
      <x:c r="D1586" s="50" t="n">
        <x:v>360</x:v>
      </x:c>
      <x:c r="E1586" s="50" t="n">
        <x:v>186</x:v>
      </x:c>
      <x:c r="F1586" s="37" t="n">
        <x:v>0.21238938053097345</x:v>
      </x:c>
      <x:c r="G1586" s="37" t="n">
        <x:v>0.10973451327433628</x:v>
      </x:c>
      <x:c r="H1586" s="56" t="n">
        <x:v>1839.6</x:v>
      </x:c>
      <x:c r="I1586" s="56" t="n">
        <x:v>0.184</x:v>
      </x:c>
      <x:c r="J1586" s="56" t="n">
        <x:v>22.56345055474448</x:v>
      </x:c>
      <x:c r="K1586" s="56" t="n">
        <x:v>63.84517583211672</x:v>
      </x:c>
      <x:c r="L1586" s="56" t="n">
        <x:v>93.35025118873818</x:v>
      </x:c>
    </x:row>
    <x:row r="1587" ht="32.400001525878906" hidden="0" customHeight="1">
      <x:c r="A1587" s="29" t="str">
        <x:v>Miami-Dade County, Florida</x:v>
      </x:c>
      <x:c r="B1587" s="29" t="str">
        <x:v>12086009812</x:v>
      </x:c>
      <x:c r="C1587" s="51" t="n">
        <x:v>5958</x:v>
      </x:c>
      <x:c r="D1587" s="51" t="n">
        <x:v>657</x:v>
      </x:c>
      <x:c r="E1587" s="51" t="n">
        <x:v>246</x:v>
      </x:c>
      <x:c r="F1587" s="38" t="n">
        <x:v>0.11027190332326284</x:v>
      </x:c>
      <x:c r="G1587" s="38" t="n">
        <x:v>0.041289023162134945</x:v>
      </x:c>
      <x:c r="H1587" s="57" t="n">
        <x:v>6212.55</x:v>
      </x:c>
      <x:c r="I1587" s="57" t="n">
        <x:v>0.442</x:v>
      </x:c>
      <x:c r="J1587" s="57" t="n">
        <x:v>24.16833053908968</x:v>
      </x:c>
      <x:c r="K1587" s="57" t="n">
        <x:v>66.25249580863452</x:v>
      </x:c>
      <x:c r="L1587" s="57" t="n">
        <x:v>96.78927972662075</x:v>
      </x:c>
    </x:row>
    <x:row r="1588" ht="32.400001525878906" hidden="0" customHeight="1">
      <x:c r="A1588" s="27" t="str">
        <x:v>Miami-Dade County, Florida</x:v>
      </x:c>
      <x:c r="B1588" s="27" t="str">
        <x:v>12086009903</x:v>
      </x:c>
      <x:c r="C1588" s="50" t="n">
        <x:v>5468</x:v>
      </x:c>
      <x:c r="D1588" s="50" t="n">
        <x:v>729</x:v>
      </x:c>
      <x:c r="E1588" s="50" t="n">
        <x:v>70</x:v>
      </x:c>
      <x:c r="F1588" s="37" t="n">
        <x:v>0.13332114118507682</x:v>
      </x:c>
      <x:c r="G1588" s="37" t="n">
        <x:v>0.012801755669348939</x:v>
      </x:c>
      <x:c r="H1588" s="56" t="n">
        <x:v>5730.15</x:v>
      </x:c>
      <x:c r="I1588" s="56" t="n">
        <x:v>1.527</x:v>
      </x:c>
      <x:c r="J1588" s="56" t="n">
        <x:v>17.701225083206054</x:v>
      </x:c>
      <x:c r="K1588" s="56" t="n">
        <x:v>56.55183762480908</x:v>
      </x:c>
      <x:c r="L1588" s="56" t="n">
        <x:v>82.93119660687012</x:v>
      </x:c>
    </x:row>
    <x:row r="1589" ht="32.400001525878906" hidden="0" customHeight="1">
      <x:c r="A1589" s="29" t="str">
        <x:v>Miami-Dade County, Florida</x:v>
      </x:c>
      <x:c r="B1589" s="29" t="str">
        <x:v>12086009904</x:v>
      </x:c>
      <x:c r="C1589" s="51" t="n">
        <x:v>4505</x:v>
      </x:c>
      <x:c r="D1589" s="51" t="n">
        <x:v>801</x:v>
      </x:c>
      <x:c r="E1589" s="51" t="n">
        <x:v>442</x:v>
      </x:c>
      <x:c r="F1589" s="38" t="n">
        <x:v>0.17780244173140955</x:v>
      </x:c>
      <x:c r="G1589" s="38" t="n">
        <x:v>0.09811320754716982</x:v>
      </x:c>
      <x:c r="H1589" s="57" t="n">
        <x:v>4829.55</x:v>
      </x:c>
      <x:c r="I1589" s="57" t="n">
        <x:v>0.735</x:v>
      </x:c>
      <x:c r="J1589" s="57" t="n">
        <x:v>18.63032592075666</x:v>
      </x:c>
      <x:c r="K1589" s="57" t="n">
        <x:v>57.94548888113499</x:v>
      </x:c>
      <x:c r="L1589" s="57" t="n">
        <x:v>84.92212697304998</x:v>
      </x:c>
    </x:row>
    <x:row r="1590" ht="32.400001525878906" hidden="0" customHeight="1">
      <x:c r="A1590" s="27" t="str">
        <x:v>Miami-Dade County, Florida</x:v>
      </x:c>
      <x:c r="B1590" s="27" t="str">
        <x:v>12086009905</x:v>
      </x:c>
      <x:c r="C1590" s="50" t="n">
        <x:v>6296</x:v>
      </x:c>
      <x:c r="D1590" s="50" t="n">
        <x:v>517</x:v>
      </x:c>
      <x:c r="E1590" s="50" t="n">
        <x:v>82</x:v>
      </x:c>
      <x:c r="F1590" s="37" t="n">
        <x:v>0.0821156289707751</x:v>
      </x:c>
      <x:c r="G1590" s="37" t="n">
        <x:v>0.013024142312579416</x:v>
      </x:c>
      <x:c r="H1590" s="56" t="n">
        <x:v>6485.15</x:v>
      </x:c>
      <x:c r="I1590" s="56" t="n">
        <x:v>0.836</x:v>
      </x:c>
      <x:c r="J1590" s="56" t="n">
        <x:v>19.72307065710466</x:v>
      </x:c>
      <x:c r="K1590" s="56" t="n">
        <x:v>59.58460598565699</x:v>
      </x:c>
      <x:c r="L1590" s="56" t="n">
        <x:v>87.26372283665285</x:v>
      </x:c>
    </x:row>
    <x:row r="1591" ht="32.400001525878906" hidden="0" customHeight="1">
      <x:c r="A1591" s="29" t="str">
        <x:v>Miami-Dade County, Florida</x:v>
      </x:c>
      <x:c r="B1591" s="29" t="str">
        <x:v>12086009906</x:v>
      </x:c>
      <x:c r="C1591" s="51" t="n">
        <x:v>5275</x:v>
      </x:c>
      <x:c r="D1591" s="51" t="n">
        <x:v>497</x:v>
      </x:c>
      <x:c r="E1591" s="51" t="n">
        <x:v>319</x:v>
      </x:c>
      <x:c r="F1591" s="38" t="n">
        <x:v>0.09421800947867298</x:v>
      </x:c>
      <x:c r="G1591" s="38" t="n">
        <x:v>0.0604739336492891</x:v>
      </x:c>
      <x:c r="H1591" s="57" t="n">
        <x:v>5480.850000000001</x:v>
      </x:c>
      <x:c r="I1591" s="57" t="n">
        <x:v>0.841</x:v>
      </x:c>
      <x:c r="J1591" s="57" t="n">
        <x:v>20.846343905072317</x:v>
      </x:c>
      <x:c r="K1591" s="57" t="n">
        <x:v>61.269515857608475</x:v>
      </x:c>
      <x:c r="L1591" s="57" t="n">
        <x:v>89.67073693944067</x:v>
      </x:c>
    </x:row>
    <x:row r="1592" ht="32.400001525878906" hidden="0" customHeight="1">
      <x:c r="A1592" s="27" t="str">
        <x:v>Miami-Dade County, Florida</x:v>
      </x:c>
      <x:c r="B1592" s="27" t="str">
        <x:v>12086009907</x:v>
      </x:c>
      <x:c r="C1592" s="50" t="n">
        <x:v>4420</x:v>
      </x:c>
      <x:c r="D1592" s="50" t="n">
        <x:v>338</x:v>
      </x:c>
      <x:c r="E1592" s="50" t="n">
        <x:v>180</x:v>
      </x:c>
      <x:c r="F1592" s="37" t="n">
        <x:v>0.07647058823529412</x:v>
      </x:c>
      <x:c r="G1592" s="37" t="n">
        <x:v>0.04072398190045249</x:v>
      </x:c>
      <x:c r="H1592" s="56" t="n">
        <x:v>4556.3</x:v>
      </x:c>
      <x:c r="I1592" s="56" t="n">
        <x:v>0.484</x:v>
      </x:c>
      <x:c r="J1592" s="56" t="n">
        <x:v>20.646626129894862</x:v>
      </x:c>
      <x:c r="K1592" s="56" t="n">
        <x:v>60.9699391948423</x:v>
      </x:c>
      <x:c r="L1592" s="56" t="n">
        <x:v>89.24277027834614</x:v>
      </x:c>
    </x:row>
    <x:row r="1593" ht="32.400001525878906" hidden="0" customHeight="1">
      <x:c r="A1593" s="29" t="str">
        <x:v>Miami-Dade County, Florida</x:v>
      </x:c>
      <x:c r="B1593" s="29" t="str">
        <x:v>12086009908</x:v>
      </x:c>
      <x:c r="C1593" s="51" t="n">
        <x:v>4101</x:v>
      </x:c>
      <x:c r="D1593" s="51" t="n">
        <x:v>426</x:v>
      </x:c>
      <x:c r="E1593" s="51" t="n">
        <x:v>137</x:v>
      </x:c>
      <x:c r="F1593" s="38" t="n">
        <x:v>0.10387710314557425</x:v>
      </x:c>
      <x:c r="G1593" s="38" t="n">
        <x:v>0.03340648622287247</x:v>
      </x:c>
      <x:c r="H1593" s="57" t="n">
        <x:v>4263.8</x:v>
      </x:c>
      <x:c r="I1593" s="57" t="n">
        <x:v>0.363</x:v>
      </x:c>
      <x:c r="J1593" s="57" t="n">
        <x:v>21.960811651486786</x:v>
      </x:c>
      <x:c r="K1593" s="57" t="n">
        <x:v>62.94121747723018</x:v>
      </x:c>
      <x:c r="L1593" s="57" t="n">
        <x:v>92.05888211032882</x:v>
      </x:c>
    </x:row>
    <x:row r="1594" ht="32.400001525878906" hidden="0" customHeight="1">
      <x:c r="A1594" s="27" t="str">
        <x:v>Miami-Dade County, Florida</x:v>
      </x:c>
      <x:c r="B1594" s="27" t="str">
        <x:v>12086009909</x:v>
      </x:c>
      <x:c r="C1594" s="50" t="n">
        <x:v>3308</x:v>
      </x:c>
      <x:c r="D1594" s="50" t="n">
        <x:v>265</x:v>
      </x:c>
      <x:c r="E1594" s="50" t="n">
        <x:v>85</x:v>
      </x:c>
      <x:c r="F1594" s="37" t="n">
        <x:v>0.08010882708585249</x:v>
      </x:c>
      <x:c r="G1594" s="37" t="n">
        <x:v>0.025695284159613058</x:v>
      </x:c>
      <x:c r="H1594" s="56" t="n">
        <x:v>3409.2499999999995</x:v>
      </x:c>
      <x:c r="I1594" s="56" t="n">
        <x:v>0.253</x:v>
      </x:c>
      <x:c r="J1594" s="56" t="n">
        <x:v>20.007753581054743</x:v>
      </x:c>
      <x:c r="K1594" s="56" t="n">
        <x:v>60.011630371582115</x:v>
      </x:c>
      <x:c r="L1594" s="56" t="n">
        <x:v>87.87375767368873</x:v>
      </x:c>
    </x:row>
    <x:row r="1595" ht="32.400001525878906" hidden="0" customHeight="1">
      <x:c r="A1595" s="29" t="str">
        <x:v>Miami-Dade County, Florida</x:v>
      </x:c>
      <x:c r="B1595" s="29" t="str">
        <x:v>12086010010</x:v>
      </x:c>
      <x:c r="C1595" s="51" t="n">
        <x:v>3509</x:v>
      </x:c>
      <x:c r="D1595" s="51" t="n">
        <x:v>326</x:v>
      </x:c>
      <x:c r="E1595" s="51" t="n">
        <x:v>280</x:v>
      </x:c>
      <x:c r="F1595" s="38" t="n">
        <x:v>0.09290396124251923</x:v>
      </x:c>
      <x:c r="G1595" s="38" t="n">
        <x:v>0.07979481333713309</x:v>
      </x:c>
      <x:c r="H1595" s="57" t="n">
        <x:v>3651.0999999999995</x:v>
      </x:c>
      <x:c r="I1595" s="57" t="n">
        <x:v>0.492</x:v>
      </x:c>
      <x:c r="J1595" s="57" t="n">
        <x:v>12.975072789336341</x:v>
      </x:c>
      <x:c r="K1595" s="57" t="n">
        <x:v>49.46260918400451</x:v>
      </x:c>
      <x:c r="L1595" s="57" t="n">
        <x:v>72.80372740572074</x:v>
      </x:c>
    </x:row>
    <x:row r="1596" ht="32.400001525878906" hidden="0" customHeight="1">
      <x:c r="A1596" s="27" t="str">
        <x:v>Miami-Dade County, Florida</x:v>
      </x:c>
      <x:c r="B1596" s="27" t="str">
        <x:v>12086010012</x:v>
      </x:c>
      <x:c r="C1596" s="50" t="n">
        <x:v>6602</x:v>
      </x:c>
      <x:c r="D1596" s="50" t="n">
        <x:v>1051</x:v>
      </x:c>
      <x:c r="E1596" s="50" t="n">
        <x:v>133.5</x:v>
      </x:c>
      <x:c r="F1596" s="37" t="n">
        <x:v>0.15919418358073312</x:v>
      </x:c>
      <x:c r="G1596" s="37" t="n">
        <x:v>0.020221145107543168</x:v>
      </x:c>
      <x:c r="H1596" s="56" t="n">
        <x:v>6983.200000000001</x:v>
      </x:c>
      <x:c r="I1596" s="56" t="n">
        <x:v>0.593</x:v>
      </x:c>
      <x:c r="J1596" s="56" t="n">
        <x:v>15.565708086315668</x:v>
      </x:c>
      <x:c r="K1596" s="56" t="n">
        <x:v>53.3485621294735</x:v>
      </x:c>
      <x:c r="L1596" s="56" t="n">
        <x:v>78.35508875639071</x:v>
      </x:c>
    </x:row>
    <x:row r="1597" ht="32.400001525878906" hidden="0" customHeight="1">
      <x:c r="A1597" s="29" t="str">
        <x:v>Miami-Dade County, Florida</x:v>
      </x:c>
      <x:c r="B1597" s="29" t="str">
        <x:v>12086010013</x:v>
      </x:c>
      <x:c r="C1597" s="51" t="n">
        <x:v>3833</x:v>
      </x:c>
      <x:c r="D1597" s="51" t="n">
        <x:v>714</x:v>
      </x:c>
      <x:c r="E1597" s="51" t="n">
        <x:v>65</x:v>
      </x:c>
      <x:c r="F1597" s="38" t="n">
        <x:v>0.18627706757109314</x:v>
      </x:c>
      <x:c r="G1597" s="38" t="n">
        <x:v>0.01695799634750848</x:v>
      </x:c>
      <x:c r="H1597" s="57" t="n">
        <x:v>4089.3999999999996</x:v>
      </x:c>
      <x:c r="I1597" s="57" t="n">
        <x:v>0.494</x:v>
      </x:c>
      <x:c r="J1597" s="57" t="n">
        <x:v>11.25981825318902</x:v>
      </x:c>
      <x:c r="K1597" s="57" t="n">
        <x:v>46.88972737978353</x:v>
      </x:c>
      <x:c r="L1597" s="57" t="n">
        <x:v>69.12818197111932</x:v>
      </x:c>
    </x:row>
    <x:row r="1598" ht="32.400001525878906" hidden="0" customHeight="1">
      <x:c r="A1598" s="27" t="str">
        <x:v>Miami-Dade County, Florida</x:v>
      </x:c>
      <x:c r="B1598" s="27" t="str">
        <x:v>12086010015</x:v>
      </x:c>
      <x:c r="C1598" s="50" t="n">
        <x:v>3549</x:v>
      </x:c>
      <x:c r="D1598" s="50" t="n">
        <x:v>477</x:v>
      </x:c>
      <x:c r="E1598" s="50" t="n">
        <x:v>152</x:v>
      </x:c>
      <x:c r="F1598" s="37" t="n">
        <x:v>0.13440405748098055</x:v>
      </x:c>
      <x:c r="G1598" s="37" t="n">
        <x:v>0.042828965905888985</x:v>
      </x:c>
      <x:c r="H1598" s="56" t="n">
        <x:v>3731.15</x:v>
      </x:c>
      <x:c r="I1598" s="56" t="n">
        <x:v>0.672</x:v>
      </x:c>
      <x:c r="J1598" s="56" t="n">
        <x:v>12.052497243304122</x:v>
      </x:c>
      <x:c r="K1598" s="56" t="n">
        <x:v>48.07874586495618</x:v>
      </x:c>
      <x:c r="L1598" s="56" t="n">
        <x:v>70.82677980708027</x:v>
      </x:c>
    </x:row>
    <x:row r="1599" ht="32.400001525878906" hidden="0" customHeight="1">
      <x:c r="A1599" s="29" t="str">
        <x:v>Miami-Dade County, Florida</x:v>
      </x:c>
      <x:c r="B1599" s="29" t="str">
        <x:v>12086010016</x:v>
      </x:c>
      <x:c r="C1599" s="51" t="n">
        <x:v>4378</x:v>
      </x:c>
      <x:c r="D1599" s="51" t="n">
        <x:v>847</x:v>
      </x:c>
      <x:c r="E1599" s="51" t="n">
        <x:v>0</x:v>
      </x:c>
      <x:c r="F1599" s="38" t="n">
        <x:v>0.1934673366834171</x:v>
      </x:c>
      <x:c r="G1599" s="38" t="n">
        <x:v>0</x:v>
      </x:c>
      <x:c r="H1599" s="57" t="n">
        <x:v>4674.45</x:v>
      </x:c>
      <x:c r="I1599" s="57" t="n">
        <x:v>0.454</x:v>
      </x:c>
      <x:c r="J1599" s="57" t="n">
        <x:v>11.439810664849945</x:v>
      </x:c>
      <x:c r="K1599" s="57" t="n">
        <x:v>47.159715997274915</x:v>
      </x:c>
      <x:c r="L1599" s="57" t="n">
        <x:v>69.51387999610702</x:v>
      </x:c>
    </x:row>
    <x:row r="1600" ht="32.400001525878906" hidden="0" customHeight="1">
      <x:c r="A1600" s="27" t="str">
        <x:v>Miami-Dade County, Florida</x:v>
      </x:c>
      <x:c r="B1600" s="27" t="str">
        <x:v>12086010017</x:v>
      </x:c>
      <x:c r="C1600" s="50" t="n">
        <x:v>3430</x:v>
      </x:c>
      <x:c r="D1600" s="50" t="n">
        <x:v>296</x:v>
      </x:c>
      <x:c r="E1600" s="50" t="n">
        <x:v>44</x:v>
      </x:c>
      <x:c r="F1600" s="37" t="n">
        <x:v>0.08629737609329446</x:v>
      </x:c>
      <x:c r="G1600" s="37" t="n">
        <x:v>0.01282798833819242</x:v>
      </x:c>
      <x:c r="H1600" s="56" t="n">
        <x:v>3538</x:v>
      </x:c>
      <x:c r="I1600" s="56" t="n">
        <x:v>0.534</x:v>
      </x:c>
      <x:c r="J1600" s="56" t="n">
        <x:v>10.657549212116125</x:v>
      </x:c>
      <x:c r="K1600" s="56" t="n">
        <x:v>45.986323818174185</x:v>
      </x:c>
      <x:c r="L1600" s="56" t="n">
        <x:v>67.83760545453455</x:v>
      </x:c>
    </x:row>
    <x:row r="1601" ht="32.400001525878906" hidden="0" customHeight="1">
      <x:c r="A1601" s="29" t="str">
        <x:v>Miami-Dade County, Florida</x:v>
      </x:c>
      <x:c r="B1601" s="29" t="str">
        <x:v>12086010018</x:v>
      </x:c>
      <x:c r="C1601" s="51" t="n">
        <x:v>2142</x:v>
      </x:c>
      <x:c r="D1601" s="51" t="n">
        <x:v>359</x:v>
      </x:c>
      <x:c r="E1601" s="51" t="n">
        <x:v>116</x:v>
      </x:c>
      <x:c r="F1601" s="38" t="n">
        <x:v>0.1676003734827264</x:v>
      </x:c>
      <x:c r="G1601" s="38" t="n">
        <x:v>0.05415499533146592</x:v>
      </x:c>
      <x:c r="H1601" s="57" t="n">
        <x:v>2279.25</x:v>
      </x:c>
      <x:c r="I1601" s="57" t="n">
        <x:v>0.409</x:v>
      </x:c>
      <x:c r="J1601" s="57" t="n">
        <x:v>10.175150611503673</x:v>
      </x:c>
      <x:c r="K1601" s="57" t="n">
        <x:v>45.26272591725551</x:v>
      </x:c>
      <x:c r="L1601" s="57" t="n">
        <x:v>66.80389416750788</x:v>
      </x:c>
    </x:row>
    <x:row r="1602" ht="32.400001525878906" hidden="0" customHeight="1">
      <x:c r="A1602" s="27" t="str">
        <x:v>Miami-Dade County, Florida</x:v>
      </x:c>
      <x:c r="B1602" s="27" t="str">
        <x:v>12086010019</x:v>
      </x:c>
      <x:c r="C1602" s="50" t="n">
        <x:v>3514</x:v>
      </x:c>
      <x:c r="D1602" s="50" t="n">
        <x:v>765</x:v>
      </x:c>
      <x:c r="E1602" s="50" t="n">
        <x:v>210</x:v>
      </x:c>
      <x:c r="F1602" s="37" t="n">
        <x:v>0.21770062606715992</x:v>
      </x:c>
      <x:c r="G1602" s="37" t="n">
        <x:v>0.05976095617529881</x:v>
      </x:c>
      <x:c r="H1602" s="56" t="n">
        <x:v>3802.75</x:v>
      </x:c>
      <x:c r="I1602" s="56" t="n">
        <x:v>0.487</x:v>
      </x:c>
      <x:c r="J1602" s="56" t="n">
        <x:v>13.335985241256173</x:v>
      </x:c>
      <x:c r="K1602" s="56" t="n">
        <x:v>50.00397786188426</x:v>
      </x:c>
      <x:c r="L1602" s="56" t="n">
        <x:v>73.57711123126323</x:v>
      </x:c>
    </x:row>
    <x:row r="1603" ht="32.400001525878906" hidden="0" customHeight="1">
      <x:c r="A1603" s="29" t="str">
        <x:v>Miami-Dade County, Florida</x:v>
      </x:c>
      <x:c r="B1603" s="29" t="str">
        <x:v>12086010020</x:v>
      </x:c>
      <x:c r="C1603" s="51" t="n">
        <x:v>3610</x:v>
      </x:c>
      <x:c r="D1603" s="51" t="n">
        <x:v>724</x:v>
      </x:c>
      <x:c r="E1603" s="51" t="n">
        <x:v>288</x:v>
      </x:c>
      <x:c r="F1603" s="38" t="n">
        <x:v>0.20055401662049863</x:v>
      </x:c>
      <x:c r="G1603" s="38" t="n">
        <x:v>0.07977839335180055</x:v>
      </x:c>
      <x:c r="H1603" s="57" t="n">
        <x:v>3892.2000000000003</x:v>
      </x:c>
      <x:c r="I1603" s="57" t="n">
        <x:v>0.52</x:v>
      </x:c>
      <x:c r="J1603" s="57" t="n">
        <x:v>13.7919533688896</x:v>
      </x:c>
      <x:c r="K1603" s="57" t="n">
        <x:v>50.6879300533344</x:v>
      </x:c>
      <x:c r="L1603" s="57" t="n">
        <x:v>74.5541857904777</x:v>
      </x:c>
    </x:row>
    <x:row r="1604" ht="32.400001525878906" hidden="0" customHeight="1">
      <x:c r="A1604" s="27" t="str">
        <x:v>Miami-Dade County, Florida</x:v>
      </x:c>
      <x:c r="B1604" s="27" t="str">
        <x:v>12086010021</x:v>
      </x:c>
      <x:c r="C1604" s="50" t="n">
        <x:v>3919</x:v>
      </x:c>
      <x:c r="D1604" s="50" t="n">
        <x:v>337</x:v>
      </x:c>
      <x:c r="E1604" s="50" t="n">
        <x:v>75</x:v>
      </x:c>
      <x:c r="F1604" s="37" t="n">
        <x:v>0.08599132431742791</x:v>
      </x:c>
      <x:c r="G1604" s="37" t="n">
        <x:v>0.01913753508548099</x:v>
      </x:c>
      <x:c r="H1604" s="56" t="n">
        <x:v>4044.4499999999994</x:v>
      </x:c>
      <x:c r="I1604" s="56" t="n">
        <x:v>0.494</x:v>
      </x:c>
      <x:c r="J1604" s="56" t="n">
        <x:v>13.08441221456461</x:v>
      </x:c>
      <x:c r="K1604" s="56" t="n">
        <x:v>49.62661832184691</x:v>
      </x:c>
      <x:c r="L1604" s="56" t="n">
        <x:v>73.03802617406703</x:v>
      </x:c>
    </x:row>
    <x:row r="1605" ht="32.400001525878906" hidden="0" customHeight="1">
      <x:c r="A1605" s="29" t="str">
        <x:v>Miami-Dade County, Florida</x:v>
      </x:c>
      <x:c r="B1605" s="29" t="str">
        <x:v>12086010022</x:v>
      </x:c>
      <x:c r="C1605" s="51" t="n">
        <x:v>4096</x:v>
      </x:c>
      <x:c r="D1605" s="51" t="n">
        <x:v>741</x:v>
      </x:c>
      <x:c r="E1605" s="51" t="n">
        <x:v>90.5</x:v>
      </x:c>
      <x:c r="F1605" s="38" t="n">
        <x:v>0.180908203125</x:v>
      </x:c>
      <x:c r="G1605" s="38" t="n">
        <x:v>0.0220947265625</x:v>
      </x:c>
      <x:c r="H1605" s="57" t="n">
        <x:v>4364.400000000001</x:v>
      </x:c>
      <x:c r="I1605" s="57" t="n">
        <x:v>0.492</x:v>
      </x:c>
      <x:c r="J1605" s="57" t="n">
        <x:v>11.982559711666894</x:v>
      </x:c>
      <x:c r="K1605" s="57" t="n">
        <x:v>47.97383956750034</x:v>
      </x:c>
      <x:c r="L1605" s="57" t="n">
        <x:v>70.67691366785763</x:v>
      </x:c>
    </x:row>
    <x:row r="1606" ht="32.400001525878906" hidden="0" customHeight="1">
      <x:c r="A1606" s="27" t="str">
        <x:v>Miami-Dade County, Florida</x:v>
      </x:c>
      <x:c r="B1606" s="27" t="str">
        <x:v>12086010023</x:v>
      </x:c>
      <x:c r="C1606" s="50" t="n">
        <x:v>2042</x:v>
      </x:c>
      <x:c r="D1606" s="50" t="n">
        <x:v>279</x:v>
      </x:c>
      <x:c r="E1606" s="50" t="n">
        <x:v>159</x:v>
      </x:c>
      <x:c r="F1606" s="37" t="n">
        <x:v>0.1366307541625857</x:v>
      </x:c>
      <x:c r="G1606" s="37" t="n">
        <x:v>0.07786483839373164</x:v>
      </x:c>
      <x:c r="H1606" s="56" t="n">
        <x:v>2155.5499999999997</x:v>
      </x:c>
      <x:c r="I1606" s="56" t="n">
        <x:v>0.254</x:v>
      </x:c>
      <x:c r="J1606" s="56" t="n">
        <x:v>15.784328036468317</x:v>
      </x:c>
      <x:c r="K1606" s="56" t="n">
        <x:v>53.67649205470248</x:v>
      </x:c>
      <x:c r="L1606" s="56" t="n">
        <x:v>78.82356007814639</x:v>
      </x:c>
    </x:row>
    <x:row r="1607" ht="32.400001525878906" hidden="0" customHeight="1">
      <x:c r="A1607" s="29" t="str">
        <x:v>Miami-Dade County, Florida</x:v>
      </x:c>
      <x:c r="B1607" s="29" t="str">
        <x:v>12086010024</x:v>
      </x:c>
      <x:c r="C1607" s="51" t="n">
        <x:v>3983</x:v>
      </x:c>
      <x:c r="D1607" s="51" t="n">
        <x:v>686</x:v>
      </x:c>
      <x:c r="E1607" s="51" t="n">
        <x:v>377</x:v>
      </x:c>
      <x:c r="F1607" s="38" t="n">
        <x:v>0.17223198594024605</x:v>
      </x:c>
      <x:c r="G1607" s="38" t="n">
        <x:v>0.09465227215666583</x:v>
      </x:c>
      <x:c r="H1607" s="57" t="n">
        <x:v>4260.799999999999</x:v>
      </x:c>
      <x:c r="I1607" s="57" t="n">
        <x:v>0.492</x:v>
      </x:c>
      <x:c r="J1607" s="57" t="n">
        <x:v>14.76555470036273</x:v>
      </x:c>
      <x:c r="K1607" s="57" t="n">
        <x:v>52.14833205054409</x:v>
      </x:c>
      <x:c r="L1607" s="57" t="n">
        <x:v>76.64047435792014</x:v>
      </x:c>
    </x:row>
    <x:row r="1608" ht="32.400001525878906" hidden="0" customHeight="1">
      <x:c r="A1608" s="27" t="str">
        <x:v>Miami-Dade County, Florida</x:v>
      </x:c>
      <x:c r="B1608" s="27" t="str">
        <x:v>12086010025</x:v>
      </x:c>
      <x:c r="C1608" s="50" t="n">
        <x:v>3733</x:v>
      </x:c>
      <x:c r="D1608" s="50" t="n">
        <x:v>538</x:v>
      </x:c>
      <x:c r="E1608" s="50" t="n">
        <x:v>8</x:v>
      </x:c>
      <x:c r="F1608" s="37" t="n">
        <x:v>0.14412001071524244</x:v>
      </x:c>
      <x:c r="G1608" s="37" t="n">
        <x:v>0.0021430484864720066</x:v>
      </x:c>
      <x:c r="H1608" s="56" t="n">
        <x:v>3922.0999999999995</x:v>
      </x:c>
      <x:c r="I1608" s="56" t="n">
        <x:v>0.655</x:v>
      </x:c>
      <x:c r="J1608" s="56" t="n">
        <x:v>16.30890537729487</x:v>
      </x:c>
      <x:c r="K1608" s="56" t="n">
        <x:v>54.4633580659423</x:v>
      </x:c>
      <x:c r="L1608" s="56" t="n">
        <x:v>79.94765437991758</x:v>
      </x:c>
    </x:row>
    <x:row r="1609" ht="32.400001525878906" hidden="0" customHeight="1">
      <x:c r="A1609" s="29" t="str">
        <x:v>Miami-Dade County, Florida</x:v>
      </x:c>
      <x:c r="B1609" s="29" t="str">
        <x:v>12086010026</x:v>
      </x:c>
      <x:c r="C1609" s="51" t="n">
        <x:v>1964</x:v>
      </x:c>
      <x:c r="D1609" s="51" t="n">
        <x:v>180</x:v>
      </x:c>
      <x:c r="E1609" s="51" t="n">
        <x:v>76</x:v>
      </x:c>
      <x:c r="F1609" s="38" t="n">
        <x:v>0.09164969450101833</x:v>
      </x:c>
      <x:c r="G1609" s="38" t="n">
        <x:v>0.038696537678207736</x:v>
      </x:c>
      <x:c r="H1609" s="57" t="n">
        <x:v>2034.5999999999997</x:v>
      </x:c>
      <x:c r="I1609" s="57" t="n">
        <x:v>1.013</x:v>
      </x:c>
      <x:c r="J1609" s="57" t="n">
        <x:v>14.257978160211907</x:v>
      </x:c>
      <x:c r="K1609" s="57" t="n">
        <x:v>51.38696724031786</x:v>
      </x:c>
      <x:c r="L1609" s="57" t="n">
        <x:v>75.55281034331122</x:v>
      </x:c>
    </x:row>
    <x:row r="1610" ht="32.400001525878906" hidden="0" customHeight="1">
      <x:c r="A1610" s="27" t="str">
        <x:v>Miami-Dade County, Florida</x:v>
      </x:c>
      <x:c r="B1610" s="27" t="str">
        <x:v>12086010193</x:v>
      </x:c>
      <x:c r="C1610" s="50" t="n">
        <x:v>5070</x:v>
      </x:c>
      <x:c r="D1610" s="50" t="n">
        <x:v>383</x:v>
      </x:c>
      <x:c r="E1610" s="50" t="n">
        <x:v>14</x:v>
      </x:c>
      <x:c r="F1610" s="37" t="n">
        <x:v>0.07554240631163708</x:v>
      </x:c>
      <x:c r="G1610" s="37" t="n">
        <x:v>0.0027613412228796844</x:v>
      </x:c>
      <x:c r="H1610" s="56" t="n">
        <x:v>5205.45</x:v>
      </x:c>
      <x:c r="I1610" s="56" t="n">
        <x:v>0.45</x:v>
      </x:c>
      <x:c r="J1610" s="56" t="n">
        <x:v>18.447172899039575</x:v>
      </x:c>
      <x:c r="K1610" s="56" t="n">
        <x:v>57.670759348559365</x:v>
      </x:c>
      <x:c r="L1610" s="56" t="n">
        <x:v>84.52965621222766</x:v>
      </x:c>
    </x:row>
    <x:row r="1611" ht="32.400001525878906" hidden="0" customHeight="1">
      <x:c r="A1611" s="29" t="str">
        <x:v>Miami-Dade County, Florida</x:v>
      </x:c>
      <x:c r="B1611" s="29" t="str">
        <x:v>12086010198</x:v>
      </x:c>
      <x:c r="C1611" s="51" t="n">
        <x:v>4172</x:v>
      </x:c>
      <x:c r="D1611" s="51" t="n">
        <x:v>247</x:v>
      </x:c>
      <x:c r="E1611" s="51" t="n">
        <x:v>0</x:v>
      </x:c>
      <x:c r="F1611" s="38" t="n">
        <x:v>0.05920421860019175</x:v>
      </x:c>
      <x:c r="G1611" s="38" t="n">
        <x:v>0</x:v>
      </x:c>
      <x:c r="H1611" s="57" t="n">
        <x:v>4258.45</x:v>
      </x:c>
      <x:c r="I1611" s="57" t="n">
        <x:v>0.426</x:v>
      </x:c>
      <x:c r="J1611" s="57" t="n">
        <x:v>14.651499251529572</x:v>
      </x:c>
      <x:c r="K1611" s="57" t="n">
        <x:v>51.97724887729436</x:v>
      </x:c>
      <x:c r="L1611" s="57" t="n">
        <x:v>76.39606982470622</x:v>
      </x:c>
    </x:row>
    <x:row r="1612" ht="32.400001525878906" hidden="0" customHeight="1">
      <x:c r="A1612" s="27" t="str">
        <x:v>Miami-Dade County, Florida</x:v>
      </x:c>
      <x:c r="B1612" s="27" t="str">
        <x:v>12086010201</x:v>
      </x:c>
      <x:c r="C1612" s="50" t="n">
        <x:v>4373</x:v>
      </x:c>
      <x:c r="D1612" s="50" t="n">
        <x:v>668</x:v>
      </x:c>
      <x:c r="E1612" s="50" t="n">
        <x:v>95</x:v>
      </x:c>
      <x:c r="F1612" s="37" t="n">
        <x:v>0.15275554539217928</x:v>
      </x:c>
      <x:c r="G1612" s="37" t="n">
        <x:v>0.021724216784815915</x:v>
      </x:c>
      <x:c r="H1612" s="56" t="n">
        <x:v>4616.299999999999</x:v>
      </x:c>
      <x:c r="I1612" s="56" t="n">
        <x:v>9.481</x:v>
      </x:c>
      <x:c r="J1612" s="56" t="n">
        <x:v>8.147860906420608</x:v>
      </x:c>
      <x:c r="K1612" s="56" t="n">
        <x:v>42.22179135963091</x:v>
      </x:c>
      <x:c r="L1612" s="56" t="n">
        <x:v>62.45970194232987</x:v>
      </x:c>
    </x:row>
    <x:row r="1613" ht="32.400001525878906" hidden="0" customHeight="1">
      <x:c r="A1613" s="29" t="str">
        <x:v>Miami-Dade County, Florida</x:v>
      </x:c>
      <x:c r="B1613" s="29" t="str">
        <x:v>12086010205</x:v>
      </x:c>
      <x:c r="C1613" s="51" t="n">
        <x:v>4282</x:v>
      </x:c>
      <x:c r="D1613" s="51" t="n">
        <x:v>731</x:v>
      </x:c>
      <x:c r="E1613" s="51" t="n">
        <x:v>115</x:v>
      </x:c>
      <x:c r="F1613" s="38" t="n">
        <x:v>0.17071461933675852</x:v>
      </x:c>
      <x:c r="G1613" s="38" t="n">
        <x:v>0.02685660906118636</x:v>
      </x:c>
      <x:c r="H1613" s="57" t="n">
        <x:v>4549.35</x:v>
      </x:c>
      <x:c r="I1613" s="57" t="n">
        <x:v>0.59</x:v>
      </x:c>
      <x:c r="J1613" s="57" t="n">
        <x:v>6.672073305374033</x:v>
      </x:c>
      <x:c r="K1613" s="57" t="n">
        <x:v>40.00810995806105</x:v>
      </x:c>
      <x:c r="L1613" s="57" t="n">
        <x:v>59.297299940087214</x:v>
      </x:c>
    </x:row>
    <x:row r="1614" ht="32.400001525878906" hidden="0" customHeight="1">
      <x:c r="A1614" s="27" t="str">
        <x:v>Miami-Dade County, Florida</x:v>
      </x:c>
      <x:c r="B1614" s="27" t="str">
        <x:v>12086010207</x:v>
      </x:c>
      <x:c r="C1614" s="50" t="n">
        <x:v>4533</x:v>
      </x:c>
      <x:c r="D1614" s="50" t="n">
        <x:v>869</x:v>
      </x:c>
      <x:c r="E1614" s="50" t="n">
        <x:v>420</x:v>
      </x:c>
      <x:c r="F1614" s="37" t="n">
        <x:v>0.19170527244650343</x:v>
      </x:c>
      <x:c r="G1614" s="37" t="n">
        <x:v>0.09265387160820648</x:v>
      </x:c>
      <x:c r="H1614" s="56" t="n">
        <x:v>4879.15</x:v>
      </x:c>
      <x:c r="I1614" s="56" t="n">
        <x:v>0.987</x:v>
      </x:c>
      <x:c r="J1614" s="56" t="n">
        <x:v>7.459643373469503</x:v>
      </x:c>
      <x:c r="K1614" s="56" t="n">
        <x:v>41.189465060204256</x:v>
      </x:c>
      <x:c r="L1614" s="56" t="n">
        <x:v>60.98495008600608</x:v>
      </x:c>
    </x:row>
    <x:row r="1615" ht="32.400001525878906" hidden="0" customHeight="1">
      <x:c r="A1615" s="29" t="str">
        <x:v>Miami-Dade County, Florida</x:v>
      </x:c>
      <x:c r="B1615" s="29" t="str">
        <x:v>12086010208</x:v>
      </x:c>
      <x:c r="C1615" s="51" t="n">
        <x:v>4844</x:v>
      </x:c>
      <x:c r="D1615" s="51" t="n">
        <x:v>596</x:v>
      </x:c>
      <x:c r="E1615" s="51" t="n">
        <x:v>407</x:v>
      </x:c>
      <x:c r="F1615" s="38" t="n">
        <x:v>0.12303881090008258</x:v>
      </x:c>
      <x:c r="G1615" s="38" t="n">
        <x:v>0.08402146985962015</x:v>
      </x:c>
      <x:c r="H1615" s="57" t="n">
        <x:v>5093.3</x:v>
      </x:c>
      <x:c r="I1615" s="57" t="n">
        <x:v>0.415</x:v>
      </x:c>
      <x:c r="J1615" s="57" t="n">
        <x:v>6.941086031800572</x:v>
      </x:c>
      <x:c r="K1615" s="57" t="n">
        <x:v>40.411629047700856</x:v>
      </x:c>
      <x:c r="L1615" s="57" t="n">
        <x:v>59.8737557824298</x:v>
      </x:c>
    </x:row>
    <x:row r="1616" ht="32.400001525878906" hidden="0" customHeight="1">
      <x:c r="A1616" s="27" t="str">
        <x:v>Miami-Dade County, Florida</x:v>
      </x:c>
      <x:c r="B1616" s="27" t="str">
        <x:v>12086010209</x:v>
      </x:c>
      <x:c r="C1616" s="50" t="n">
        <x:v>6718</x:v>
      </x:c>
      <x:c r="D1616" s="50" t="n">
        <x:v>710</x:v>
      </x:c>
      <x:c r="E1616" s="50" t="n">
        <x:v>307</x:v>
      </x:c>
      <x:c r="F1616" s="37" t="n">
        <x:v>0.10568621613575468</x:v>
      </x:c>
      <x:c r="G1616" s="37" t="n">
        <x:v>0.04569812444179815</x:v>
      </x:c>
      <x:c r="H1616" s="56" t="n">
        <x:v>6997.2</x:v>
      </x:c>
      <x:c r="I1616" s="56" t="n">
        <x:v>0.609</x:v>
      </x:c>
      <x:c r="J1616" s="56" t="n">
        <x:v>4.4082990161647055</x:v>
      </x:c>
      <x:c r="K1616" s="56" t="n">
        <x:v>36.61244852424706</x:v>
      </x:c>
      <x:c r="L1616" s="56" t="n">
        <x:v>54.44635503463866</x:v>
      </x:c>
    </x:row>
    <x:row r="1617" ht="32.400001525878906" hidden="0" customHeight="1">
      <x:c r="A1617" s="29" t="str">
        <x:v>Miami-Dade County, Florida</x:v>
      </x:c>
      <x:c r="B1617" s="29" t="str">
        <x:v>12086010211</x:v>
      </x:c>
      <x:c r="C1617" s="51" t="n">
        <x:v>4274</x:v>
      </x:c>
      <x:c r="D1617" s="51" t="n">
        <x:v>463</x:v>
      </x:c>
      <x:c r="E1617" s="51" t="n">
        <x:v>35</x:v>
      </x:c>
      <x:c r="F1617" s="38" t="n">
        <x:v>0.10832943378568086</x:v>
      </x:c>
      <x:c r="G1617" s="38" t="n">
        <x:v>0.008189050070191857</x:v>
      </x:c>
      <x:c r="H1617" s="57" t="n">
        <x:v>4439.549999999999</x:v>
      </x:c>
      <x:c r="I1617" s="57" t="n">
        <x:v>0.552</x:v>
      </x:c>
      <x:c r="J1617" s="57" t="n">
        <x:v>6.558286231180251</x:v>
      </x:c>
      <x:c r="K1617" s="57" t="n">
        <x:v>39.83742934677038</x:v>
      </x:c>
      <x:c r="L1617" s="57" t="n">
        <x:v>59.05347049538625</x:v>
      </x:c>
    </x:row>
    <x:row r="1618" ht="32.400001525878906" hidden="0" customHeight="1">
      <x:c r="A1618" s="27" t="str">
        <x:v>Miami-Dade County, Florida</x:v>
      </x:c>
      <x:c r="B1618" s="27" t="str">
        <x:v>12086010212</x:v>
      </x:c>
      <x:c r="C1618" s="50" t="n">
        <x:v>3382</x:v>
      </x:c>
      <x:c r="D1618" s="50" t="n">
        <x:v>244</x:v>
      </x:c>
      <x:c r="E1618" s="50" t="n">
        <x:v>19</x:v>
      </x:c>
      <x:c r="F1618" s="37" t="n">
        <x:v>0.07214665878178593</x:v>
      </x:c>
      <x:c r="G1618" s="37" t="n">
        <x:v>0.0056179775280898875</x:v>
      </x:c>
      <x:c r="H1618" s="56" t="n">
        <x:v>3469.2999999999997</x:v>
      </x:c>
      <x:c r="I1618" s="56" t="n">
        <x:v>0.824</x:v>
      </x:c>
      <x:c r="J1618" s="56" t="n">
        <x:v>6.914803139948632</x:v>
      </x:c>
      <x:c r="K1618" s="56" t="n">
        <x:v>40.37220470992295</x:v>
      </x:c>
      <x:c r="L1618" s="56" t="n">
        <x:v>59.81743529988992</x:v>
      </x:c>
    </x:row>
    <x:row r="1619" ht="32.400001525878906" hidden="0" customHeight="1">
      <x:c r="A1619" s="29" t="str">
        <x:v>Miami-Dade County, Florida</x:v>
      </x:c>
      <x:c r="B1619" s="29" t="str">
        <x:v>12086010213</x:v>
      </x:c>
      <x:c r="C1619" s="51" t="n">
        <x:v>5188</x:v>
      </x:c>
      <x:c r="D1619" s="51" t="n">
        <x:v>737</x:v>
      </x:c>
      <x:c r="E1619" s="51" t="n">
        <x:v>340</x:v>
      </x:c>
      <x:c r="F1619" s="38" t="n">
        <x:v>0.14205859676175792</x:v>
      </x:c>
      <x:c r="G1619" s="38" t="n">
        <x:v>0.06553585196607556</x:v>
      </x:c>
      <x:c r="H1619" s="57" t="n">
        <x:v>5479.950000000001</x:v>
      </x:c>
      <x:c r="I1619" s="57" t="n">
        <x:v>0.579</x:v>
      </x:c>
      <x:c r="J1619" s="57" t="n">
        <x:v>4.113099204400425</x:v>
      </x:c>
      <x:c r="K1619" s="57" t="n">
        <x:v>36.169648806600634</x:v>
      </x:c>
      <x:c r="L1619" s="57" t="n">
        <x:v>53.81378400942948</x:v>
      </x:c>
    </x:row>
    <x:row r="1620" ht="32.400001525878906" hidden="0" customHeight="1">
      <x:c r="A1620" s="27" t="str">
        <x:v>Miami-Dade County, Florida</x:v>
      </x:c>
      <x:c r="B1620" s="27" t="str">
        <x:v>12086010214</x:v>
      </x:c>
      <x:c r="C1620" s="50" t="n">
        <x:v>2266</x:v>
      </x:c>
      <x:c r="D1620" s="50" t="n">
        <x:v>150</x:v>
      </x:c>
      <x:c r="E1620" s="50" t="n">
        <x:v>50</x:v>
      </x:c>
      <x:c r="F1620" s="37" t="n">
        <x:v>0.06619593998234775</x:v>
      </x:c>
      <x:c r="G1620" s="37" t="n">
        <x:v>0.02206531332744925</x:v>
      </x:c>
      <x:c r="H1620" s="56" t="n">
        <x:v>2323.4999999999995</x:v>
      </x:c>
      <x:c r="I1620" s="56" t="n">
        <x:v>0.293</x:v>
      </x:c>
      <x:c r="J1620" s="56" t="n">
        <x:v>5.160140832293168</x:v>
      </x:c>
      <x:c r="K1620" s="56" t="n">
        <x:v>37.74021124843975</x:v>
      </x:c>
      <x:c r="L1620" s="56" t="n">
        <x:v>56.05744464062822</x:v>
      </x:c>
    </x:row>
    <x:row r="1621" ht="32.400001525878906" hidden="0" customHeight="1">
      <x:c r="A1621" s="29" t="str">
        <x:v>Miami-Dade County, Florida</x:v>
      </x:c>
      <x:c r="B1621" s="29" t="str">
        <x:v>12086010301</x:v>
      </x:c>
      <x:c r="C1621" s="51" t="n">
        <x:v>3541</x:v>
      </x:c>
      <x:c r="D1621" s="51" t="n">
        <x:v>325</x:v>
      </x:c>
      <x:c r="E1621" s="51" t="n">
        <x:v>12</x:v>
      </x:c>
      <x:c r="F1621" s="38" t="n">
        <x:v>0.0917819824908218</x:v>
      </x:c>
      <x:c r="G1621" s="38" t="n">
        <x:v>0.003388873199661113</x:v>
      </x:c>
      <x:c r="H1621" s="57" t="n">
        <x:v>3655.9500000000003</x:v>
      </x:c>
      <x:c r="I1621" s="57" t="n">
        <x:v>7.179</x:v>
      </x:c>
      <x:c r="J1621" s="57" t="n">
        <x:v>8.10590223649688</x:v>
      </x:c>
      <x:c r="K1621" s="57" t="n">
        <x:v>42.15885335474532</x:v>
      </x:c>
      <x:c r="L1621" s="57" t="n">
        <x:v>62.369790506779026</x:v>
      </x:c>
    </x:row>
    <x:row r="1622" ht="32.400001525878906" hidden="0" customHeight="1">
      <x:c r="A1622" s="27" t="str">
        <x:v>Miami-Dade County, Florida</x:v>
      </x:c>
      <x:c r="B1622" s="27" t="str">
        <x:v>12086010302</x:v>
      </x:c>
      <x:c r="C1622" s="50" t="n">
        <x:v>2787</x:v>
      </x:c>
      <x:c r="D1622" s="50" t="n">
        <x:v>293</x:v>
      </x:c>
      <x:c r="E1622" s="50" t="n">
        <x:v>7</x:v>
      </x:c>
      <x:c r="F1622" s="37" t="n">
        <x:v>0.10513096519555078</x:v>
      </x:c>
      <x:c r="G1622" s="37" t="n">
        <x:v>0.002511661284535343</x:v>
      </x:c>
      <x:c r="H1622" s="56" t="n">
        <x:v>2890.2499999999995</x:v>
      </x:c>
      <x:c r="I1622" s="56" t="n">
        <x:v>5.709</x:v>
      </x:c>
      <x:c r="J1622" s="56" t="n">
        <x:v>15.20523780500001</x:v>
      </x:c>
      <x:c r="K1622" s="56" t="n">
        <x:v>52.807856707500015</x:v>
      </x:c>
      <x:c r="L1622" s="56" t="n">
        <x:v>77.58265243928574</x:v>
      </x:c>
    </x:row>
    <x:row r="1623" ht="32.400001525878906" hidden="0" customHeight="1">
      <x:c r="A1623" s="29" t="str">
        <x:v>Miami-Dade County, Florida</x:v>
      </x:c>
      <x:c r="B1623" s="29" t="str">
        <x:v>12086010303</x:v>
      </x:c>
      <x:c r="C1623" s="51" t="n">
        <x:v>3690</x:v>
      </x:c>
      <x:c r="D1623" s="51" t="n">
        <x:v>370</x:v>
      </x:c>
      <x:c r="E1623" s="51" t="n">
        <x:v>0</x:v>
      </x:c>
      <x:c r="F1623" s="38" t="n">
        <x:v>0.1002710027100271</x:v>
      </x:c>
      <x:c r="G1623" s="38" t="n">
        <x:v>0</x:v>
      </x:c>
      <x:c r="H1623" s="57" t="n">
        <x:v>3819.4999999999995</x:v>
      </x:c>
      <x:c r="I1623" s="57" t="n">
        <x:v>10.52</x:v>
      </x:c>
      <x:c r="J1623" s="57" t="n">
        <x:v>12.91881543419331</x:v>
      </x:c>
      <x:c r="K1623" s="57" t="n">
        <x:v>49.378223151289966</x:v>
      </x:c>
      <x:c r="L1623" s="57" t="n">
        <x:v>72.68317593041424</x:v>
      </x:c>
    </x:row>
    <x:row r="1624" ht="32.400001525878906" hidden="0" customHeight="1">
      <x:c r="A1624" s="27" t="str">
        <x:v>Miami-Dade County, Florida</x:v>
      </x:c>
      <x:c r="B1624" s="27" t="str">
        <x:v>12086010400</x:v>
      </x:c>
      <x:c r="C1624" s="50" t="n">
        <x:v>6472</x:v>
      </x:c>
      <x:c r="D1624" s="50" t="n">
        <x:v>636</x:v>
      </x:c>
      <x:c r="E1624" s="50" t="n">
        <x:v>98</x:v>
      </x:c>
      <x:c r="F1624" s="37" t="n">
        <x:v>0.09826946847960445</x:v>
      </x:c>
      <x:c r="G1624" s="37" t="n">
        <x:v>0.015142150803461063</x:v>
      </x:c>
      <x:c r="H1624" s="56" t="n">
        <x:v>6704.400000000001</x:v>
      </x:c>
      <x:c r="I1624" s="56" t="n">
        <x:v>4.786</x:v>
      </x:c>
      <x:c r="J1624" s="56" t="n">
        <x:v>3.8188439706169017</x:v>
      </x:c>
      <x:c r="K1624" s="56" t="n">
        <x:v>35.72826595592535</x:v>
      </x:c>
      <x:c r="L1624" s="56" t="n">
        <x:v>53.18323707989336</x:v>
      </x:c>
    </x:row>
    <x:row r="1625" ht="32.400001525878906" hidden="0" customHeight="1">
      <x:c r="A1625" s="29" t="str">
        <x:v>Miami-Dade County, Florida</x:v>
      </x:c>
      <x:c r="B1625" s="29" t="str">
        <x:v>12086010501</x:v>
      </x:c>
      <x:c r="C1625" s="51" t="n">
        <x:v>6951</x:v>
      </x:c>
      <x:c r="D1625" s="51" t="n">
        <x:v>882</x:v>
      </x:c>
      <x:c r="E1625" s="51" t="n">
        <x:v>610.5</x:v>
      </x:c>
      <x:c r="F1625" s="38" t="n">
        <x:v>0.1268882175226586</x:v>
      </x:c>
      <x:c r="G1625" s="38" t="n">
        <x:v>0.08782908933966335</x:v>
      </x:c>
      <x:c r="H1625" s="57" t="n">
        <x:v>7320.75</x:v>
      </x:c>
      <x:c r="I1625" s="57" t="n">
        <x:v>1.228</x:v>
      </x:c>
      <x:c r="J1625" s="57" t="n">
        <x:v>2.650293664750709</x:v>
      </x:c>
      <x:c r="K1625" s="57" t="n">
        <x:v>33.975440497126066</x:v>
      </x:c>
      <x:c r="L1625" s="57" t="n">
        <x:v>50.67920071018009</x:v>
      </x:c>
    </x:row>
    <x:row r="1626" ht="32.400001525878906" hidden="0" customHeight="1">
      <x:c r="A1626" s="27" t="str">
        <x:v>Miami-Dade County, Florida</x:v>
      </x:c>
      <x:c r="B1626" s="27" t="str">
        <x:v>12086010502</x:v>
      </x:c>
      <x:c r="C1626" s="50" t="n">
        <x:v>13172</x:v>
      </x:c>
      <x:c r="D1626" s="50" t="n">
        <x:v>521</x:v>
      </x:c>
      <x:c r="E1626" s="50" t="n">
        <x:v>101.5</x:v>
      </x:c>
      <x:c r="F1626" s="37" t="n">
        <x:v>0.03955359854236259</x:v>
      </x:c>
      <x:c r="G1626" s="37" t="n">
        <x:v>0.007705739447312481</x:v>
      </x:c>
      <x:c r="H1626" s="56" t="n">
        <x:v>13364.5</x:v>
      </x:c>
      <x:c r="I1626" s="56" t="n">
        <x:v>2.015</x:v>
      </x:c>
      <x:c r="J1626" s="56" t="n">
        <x:v>0</x:v>
      </x:c>
      <x:c r="K1626" s="56" t="n">
        <x:v>30</x:v>
      </x:c>
      <x:c r="L1626" s="56" t="n">
        <x:v>45</x:v>
      </x:c>
    </x:row>
    <x:row r="1627" ht="32.400001525878906" hidden="0" customHeight="1">
      <x:c r="A1627" s="29" t="str">
        <x:v>Miami-Dade County, Florida</x:v>
      </x:c>
      <x:c r="B1627" s="29" t="str">
        <x:v>12086010604</x:v>
      </x:c>
      <x:c r="C1627" s="51" t="n">
        <x:v>4635</x:v>
      </x:c>
      <x:c r="D1627" s="51" t="n">
        <x:v>454</x:v>
      </x:c>
      <x:c r="E1627" s="51" t="n">
        <x:v>141</x:v>
      </x:c>
      <x:c r="F1627" s="38" t="n">
        <x:v>0.09795037756202805</x:v>
      </x:c>
      <x:c r="G1627" s="38" t="n">
        <x:v>0.030420711974110032</x:v>
      </x:c>
      <x:c r="H1627" s="57" t="n">
        <x:v>4808</x:v>
      </x:c>
      <x:c r="I1627" s="57" t="n">
        <x:v>0.972</x:v>
      </x:c>
      <x:c r="J1627" s="57" t="n">
        <x:v>9.636166416567516</x:v>
      </x:c>
      <x:c r="K1627" s="57" t="n">
        <x:v>44.45424962485127</x:v>
      </x:c>
      <x:c r="L1627" s="57" t="n">
        <x:v>65.64892803550183</x:v>
      </x:c>
    </x:row>
    <x:row r="1628" ht="32.400001525878906" hidden="0" customHeight="1">
      <x:c r="A1628" s="27" t="str">
        <x:v>Miami-Dade County, Florida</x:v>
      </x:c>
      <x:c r="B1628" s="27" t="str">
        <x:v>12086010608</x:v>
      </x:c>
      <x:c r="C1628" s="50" t="n">
        <x:v>5766</x:v>
      </x:c>
      <x:c r="D1628" s="50" t="n">
        <x:v>557</x:v>
      </x:c>
      <x:c r="E1628" s="50" t="n">
        <x:v>124.5</x:v>
      </x:c>
      <x:c r="F1628" s="37" t="n">
        <x:v>0.0966007630939993</x:v>
      </x:c>
      <x:c r="G1628" s="37" t="n">
        <x:v>0.021592091571279916</x:v>
      </x:c>
      <x:c r="H1628" s="56" t="n">
        <x:v>5973.400000000001</x:v>
      </x:c>
      <x:c r="I1628" s="56" t="n">
        <x:v>0.737</x:v>
      </x:c>
      <x:c r="J1628" s="56" t="n">
        <x:v>7.3924535137685154</x:v>
      </x:c>
      <x:c r="K1628" s="56" t="n">
        <x:v>41.08868027065277</x:v>
      </x:c>
      <x:c r="L1628" s="56" t="n">
        <x:v>60.840971815218246</x:v>
      </x:c>
    </x:row>
    <x:row r="1629" ht="32.400001525878906" hidden="0" customHeight="1">
      <x:c r="A1629" s="29" t="str">
        <x:v>Miami-Dade County, Florida</x:v>
      </x:c>
      <x:c r="B1629" s="29" t="str">
        <x:v>12086010609</x:v>
      </x:c>
      <x:c r="C1629" s="51" t="n">
        <x:v>6265</x:v>
      </x:c>
      <x:c r="D1629" s="51" t="n">
        <x:v>563</x:v>
      </x:c>
      <x:c r="E1629" s="51" t="n">
        <x:v>344</x:v>
      </x:c>
      <x:c r="F1629" s="38" t="n">
        <x:v>0.08986432561851557</x:v>
      </x:c>
      <x:c r="G1629" s="38" t="n">
        <x:v>0.054908220271348764</x:v>
      </x:c>
      <x:c r="H1629" s="57" t="n">
        <x:v>6496.45</x:v>
      </x:c>
      <x:c r="I1629" s="57" t="n">
        <x:v>0.84</x:v>
      </x:c>
      <x:c r="J1629" s="57" t="n">
        <x:v>5.339160347591823</x:v>
      </x:c>
      <x:c r="K1629" s="57" t="n">
        <x:v>38.008740521387736</x:v>
      </x:c>
      <x:c r="L1629" s="57" t="n">
        <x:v>56.44105788769676</x:v>
      </x:c>
    </x:row>
    <x:row r="1630" ht="32.400001525878906" hidden="0" customHeight="1">
      <x:c r="A1630" s="27" t="str">
        <x:v>Miami-Dade County, Florida</x:v>
      </x:c>
      <x:c r="B1630" s="27" t="str">
        <x:v>12086010610</x:v>
      </x:c>
      <x:c r="C1630" s="50" t="n">
        <x:v>3947</x:v>
      </x:c>
      <x:c r="D1630" s="50" t="n">
        <x:v>575</x:v>
      </x:c>
      <x:c r="E1630" s="50" t="n">
        <x:v>162</x:v>
      </x:c>
      <x:c r="F1630" s="37" t="n">
        <x:v>0.14568026349125918</x:v>
      </x:c>
      <x:c r="G1630" s="37" t="n">
        <x:v>0.04104383075753737</x:v>
      </x:c>
      <x:c r="H1630" s="56" t="n">
        <x:v>4164.45</x:v>
      </x:c>
      <x:c r="I1630" s="56" t="n">
        <x:v>1.184</x:v>
      </x:c>
      <x:c r="J1630" s="56" t="n">
        <x:v>10.78610757353329</x:v>
      </x:c>
      <x:c r="K1630" s="56" t="n">
        <x:v>46.179161360299936</x:v>
      </x:c>
      <x:c r="L1630" s="56" t="n">
        <x:v>68.11308765757133</x:v>
      </x:c>
    </x:row>
    <x:row r="1631" ht="32.400001525878906" hidden="0" customHeight="1">
      <x:c r="A1631" s="29" t="str">
        <x:v>Miami-Dade County, Florida</x:v>
      </x:c>
      <x:c r="B1631" s="29" t="str">
        <x:v>12086010613</x:v>
      </x:c>
      <x:c r="C1631" s="51" t="n">
        <x:v>6087</x:v>
      </x:c>
      <x:c r="D1631" s="51" t="n">
        <x:v>531</x:v>
      </x:c>
      <x:c r="E1631" s="51" t="n">
        <x:v>124</x:v>
      </x:c>
      <x:c r="F1631" s="38" t="n">
        <x:v>0.08723509117792015</x:v>
      </x:c>
      <x:c r="G1631" s="38" t="n">
        <x:v>0.02037128306226384</x:v>
      </x:c>
      <x:c r="H1631" s="57" t="n">
        <x:v>6285.249999999999</x:v>
      </x:c>
      <x:c r="I1631" s="57" t="n">
        <x:v>3.039</x:v>
      </x:c>
      <x:c r="J1631" s="57" t="n">
        <x:v>11.484914191432148</x:v>
      </x:c>
      <x:c r="K1631" s="57" t="n">
        <x:v>47.22737128714822</x:v>
      </x:c>
      <x:c r="L1631" s="57" t="n">
        <x:v>69.61053041021174</x:v>
      </x:c>
    </x:row>
    <x:row r="1632" ht="32.400001525878906" hidden="0" customHeight="1">
      <x:c r="A1632" s="27" t="str">
        <x:v>Miami-Dade County, Florida</x:v>
      </x:c>
      <x:c r="B1632" s="27" t="str">
        <x:v>12086010618</x:v>
      </x:c>
      <x:c r="C1632" s="50" t="n">
        <x:v>4543</x:v>
      </x:c>
      <x:c r="D1632" s="50" t="n">
        <x:v>282</x:v>
      </x:c>
      <x:c r="E1632" s="50" t="n">
        <x:v>135</x:v>
      </x:c>
      <x:c r="F1632" s="37" t="n">
        <x:v>0.06207351970063835</x:v>
      </x:c>
      <x:c r="G1632" s="37" t="n">
        <x:v>0.029716046665199208</x:v>
      </x:c>
      <x:c r="H1632" s="56" t="n">
        <x:v>4655.200000000001</x:v>
      </x:c>
      <x:c r="I1632" s="56" t="n">
        <x:v>0.489</x:v>
      </x:c>
      <x:c r="J1632" s="56" t="n">
        <x:v>6.617618638242144</x:v>
      </x:c>
      <x:c r="K1632" s="56" t="n">
        <x:v>39.92642795736322</x:v>
      </x:c>
      <x:c r="L1632" s="56" t="n">
        <x:v>59.18061136766174</x:v>
      </x:c>
    </x:row>
    <x:row r="1633" ht="32.400001525878906" hidden="0" customHeight="1">
      <x:c r="A1633" s="29" t="str">
        <x:v>Miami-Dade County, Florida</x:v>
      </x:c>
      <x:c r="B1633" s="29" t="str">
        <x:v>12086010619</x:v>
      </x:c>
      <x:c r="C1633" s="51" t="n">
        <x:v>2461</x:v>
      </x:c>
      <x:c r="D1633" s="51" t="n">
        <x:v>209</x:v>
      </x:c>
      <x:c r="E1633" s="51" t="n">
        <x:v>45</x:v>
      </x:c>
      <x:c r="F1633" s="38" t="n">
        <x:v>0.08492482730597319</x:v>
      </x:c>
      <x:c r="G1633" s="38" t="n">
        <x:v>0.01828524989841528</x:v>
      </x:c>
      <x:c r="H1633" s="57" t="n">
        <x:v>2538.65</x:v>
      </x:c>
      <x:c r="I1633" s="57" t="n">
        <x:v>0.401</x:v>
      </x:c>
      <x:c r="J1633" s="57" t="n">
        <x:v>7.978794275224277</x:v>
      </x:c>
      <x:c r="K1633" s="57" t="n">
        <x:v>41.96819141283642</x:v>
      </x:c>
      <x:c r="L1633" s="57" t="n">
        <x:v>62.09741630405202</x:v>
      </x:c>
    </x:row>
    <x:row r="1634" ht="32.400001525878906" hidden="0" customHeight="1">
      <x:c r="A1634" s="27" t="str">
        <x:v>Miami-Dade County, Florida</x:v>
      </x:c>
      <x:c r="B1634" s="27" t="str">
        <x:v>12086010620</x:v>
      </x:c>
      <x:c r="C1634" s="50" t="n">
        <x:v>3153</x:v>
      </x:c>
      <x:c r="D1634" s="50" t="n">
        <x:v>293</x:v>
      </x:c>
      <x:c r="E1634" s="50" t="n">
        <x:v>18</x:v>
      </x:c>
      <x:c r="F1634" s="37" t="n">
        <x:v>0.09292737075800825</x:v>
      </x:c>
      <x:c r="G1634" s="37" t="n">
        <x:v>0.005708848715509039</x:v>
      </x:c>
      <x:c r="H1634" s="56" t="n">
        <x:v>3257.35</x:v>
      </x:c>
      <x:c r="I1634" s="56" t="n">
        <x:v>0.356</x:v>
      </x:c>
      <x:c r="J1634" s="56" t="n">
        <x:v>7.508995904542113</x:v>
      </x:c>
      <x:c r="K1634" s="56" t="n">
        <x:v>41.26349385681317</x:v>
      </x:c>
      <x:c r="L1634" s="56" t="n">
        <x:v>61.0907055097331</x:v>
      </x:c>
    </x:row>
    <x:row r="1635" ht="32.400001525878906" hidden="0" customHeight="1">
      <x:c r="A1635" s="29" t="str">
        <x:v>Miami-Dade County, Florida</x:v>
      </x:c>
      <x:c r="B1635" s="29" t="str">
        <x:v>12086010621</x:v>
      </x:c>
      <x:c r="C1635" s="51" t="n">
        <x:v>5182</x:v>
      </x:c>
      <x:c r="D1635" s="51" t="n">
        <x:v>495</x:v>
      </x:c>
      <x:c r="E1635" s="51" t="n">
        <x:v>0</x:v>
      </x:c>
      <x:c r="F1635" s="38" t="n">
        <x:v>0.09552296410652258</x:v>
      </x:c>
      <x:c r="G1635" s="38" t="n">
        <x:v>0</x:v>
      </x:c>
      <x:c r="H1635" s="57" t="n">
        <x:v>5355.25</x:v>
      </x:c>
      <x:c r="I1635" s="57" t="n">
        <x:v>0.552</x:v>
      </x:c>
      <x:c r="J1635" s="57" t="n">
        <x:v>2.8912338403901523</x:v>
      </x:c>
      <x:c r="K1635" s="57" t="n">
        <x:v>34.33685076058523</x:v>
      </x:c>
      <x:c r="L1635" s="57" t="n">
        <x:v>51.19550108655033</x:v>
      </x:c>
    </x:row>
    <x:row r="1636" ht="32.400001525878906" hidden="0" customHeight="1">
      <x:c r="A1636" s="27" t="str">
        <x:v>Miami-Dade County, Florida</x:v>
      </x:c>
      <x:c r="B1636" s="27" t="str">
        <x:v>12086010622</x:v>
      </x:c>
      <x:c r="C1636" s="50" t="n">
        <x:v>4591</x:v>
      </x:c>
      <x:c r="D1636" s="50" t="n">
        <x:v>604</x:v>
      </x:c>
      <x:c r="E1636" s="50" t="n">
        <x:v>388.5</x:v>
      </x:c>
      <x:c r="F1636" s="37" t="n">
        <x:v>0.13156175125245045</x:v>
      </x:c>
      <x:c r="G1636" s="37" t="n">
        <x:v>0.08462208669135264</x:v>
      </x:c>
      <x:c r="H1636" s="56" t="n">
        <x:v>4841.25</x:v>
      </x:c>
      <x:c r="I1636" s="56" t="n">
        <x:v>0.7</x:v>
      </x:c>
      <x:c r="J1636" s="56" t="n">
        <x:v>3.789339580724459</x:v>
      </x:c>
      <x:c r="K1636" s="56" t="n">
        <x:v>35.68400937108669</x:v>
      </x:c>
      <x:c r="L1636" s="56" t="n">
        <x:v>53.120013387266695</x:v>
      </x:c>
    </x:row>
    <x:row r="1637" ht="32.400001525878906" hidden="0" customHeight="1">
      <x:c r="A1637" s="29" t="str">
        <x:v>Miami-Dade County, Florida</x:v>
      </x:c>
      <x:c r="B1637" s="29" t="str">
        <x:v>12086010623</x:v>
      </x:c>
      <x:c r="C1637" s="51" t="n">
        <x:v>3161</x:v>
      </x:c>
      <x:c r="D1637" s="51" t="n">
        <x:v>481</x:v>
      </x:c>
      <x:c r="E1637" s="51" t="n">
        <x:v>139</x:v>
      </x:c>
      <x:c r="F1637" s="38" t="n">
        <x:v>0.15216703574818097</x:v>
      </x:c>
      <x:c r="G1637" s="38" t="n">
        <x:v>0.04397342613097121</x:v>
      </x:c>
      <x:c r="H1637" s="57" t="n">
        <x:v>3343.25</x:v>
      </x:c>
      <x:c r="I1637" s="57" t="n">
        <x:v>0.67</x:v>
      </x:c>
      <x:c r="J1637" s="57" t="n">
        <x:v>7.2766503787391255</x:v>
      </x:c>
      <x:c r="K1637" s="57" t="n">
        <x:v>40.91497556810869</x:v>
      </x:c>
      <x:c r="L1637" s="57" t="n">
        <x:v>60.59282224015527</x:v>
      </x:c>
    </x:row>
    <x:row r="1638" ht="32.400001525878906" hidden="0" customHeight="1">
      <x:c r="A1638" s="27" t="str">
        <x:v>Miami-Dade County, Florida</x:v>
      </x:c>
      <x:c r="B1638" s="27" t="str">
        <x:v>12086010624</x:v>
      </x:c>
      <x:c r="C1638" s="50" t="n">
        <x:v>3276</x:v>
      </x:c>
      <x:c r="D1638" s="50" t="n">
        <x:v>546</x:v>
      </x:c>
      <x:c r="E1638" s="50" t="n">
        <x:v>167</x:v>
      </x:c>
      <x:c r="F1638" s="37" t="n">
        <x:v>0.16666666666666666</x:v>
      </x:c>
      <x:c r="G1638" s="37" t="n">
        <x:v>0.050976800976800976</x:v>
      </x:c>
      <x:c r="H1638" s="56" t="n">
        <x:v>3483.8</x:v>
      </x:c>
      <x:c r="I1638" s="56" t="n">
        <x:v>0.653</x:v>
      </x:c>
      <x:c r="J1638" s="56" t="n">
        <x:v>7.790696095398713</x:v>
      </x:c>
      <x:c r="K1638" s="56" t="n">
        <x:v>41.68604414309807</x:v>
      </x:c>
      <x:c r="L1638" s="56" t="n">
        <x:v>61.69434877585439</x:v>
      </x:c>
    </x:row>
    <x:row r="1639" ht="32.400001525878906" hidden="0" customHeight="1">
      <x:c r="A1639" s="29" t="str">
        <x:v>Miami-Dade County, Florida</x:v>
      </x:c>
      <x:c r="B1639" s="29" t="str">
        <x:v>12086010625</x:v>
      </x:c>
      <x:c r="C1639" s="51" t="n">
        <x:v>5640</x:v>
      </x:c>
      <x:c r="D1639" s="51" t="n">
        <x:v>238</x:v>
      </x:c>
      <x:c r="E1639" s="51" t="n">
        <x:v>72</x:v>
      </x:c>
      <x:c r="F1639" s="38" t="n">
        <x:v>0.042198581560283686</x:v>
      </x:c>
      <x:c r="G1639" s="38" t="n">
        <x:v>0.01276595744680851</x:v>
      </x:c>
      <x:c r="H1639" s="57" t="n">
        <x:v>5730.499999999999</x:v>
      </x:c>
      <x:c r="I1639" s="57" t="n">
        <x:v>0.905</x:v>
      </x:c>
      <x:c r="J1639" s="57" t="n">
        <x:v>6.808387542928665</x:v>
      </x:c>
      <x:c r="K1639" s="57" t="n">
        <x:v>40.212581314393</x:v>
      </x:c>
      <x:c r="L1639" s="57" t="n">
        <x:v>59.58940187770428</x:v>
      </x:c>
    </x:row>
    <x:row r="1640" ht="32.400001525878906" hidden="0" customHeight="1">
      <x:c r="A1640" s="27" t="str">
        <x:v>Miami-Dade County, Florida</x:v>
      </x:c>
      <x:c r="B1640" s="27" t="str">
        <x:v>12086010626</x:v>
      </x:c>
      <x:c r="C1640" s="50" t="n">
        <x:v>4309</x:v>
      </x:c>
      <x:c r="D1640" s="50" t="n">
        <x:v>389</x:v>
      </x:c>
      <x:c r="E1640" s="50" t="n">
        <x:v>134</x:v>
      </x:c>
      <x:c r="F1640" s="37" t="n">
        <x:v>0.09027616616384312</x:v>
      </x:c>
      <x:c r="G1640" s="37" t="n">
        <x:v>0.03109770248317475</x:v>
      </x:c>
      <x:c r="H1640" s="56" t="n">
        <x:v>4458.549999999999</x:v>
      </x:c>
      <x:c r="I1640" s="56" t="n">
        <x:v>1.409</x:v>
      </x:c>
      <x:c r="J1640" s="56" t="n">
        <x:v>4.830891870035873</x:v>
      </x:c>
      <x:c r="K1640" s="56" t="n">
        <x:v>37.24633780505381</x:v>
      </x:c>
      <x:c r="L1640" s="56" t="n">
        <x:v>55.35191115007687</x:v>
      </x:c>
    </x:row>
    <x:row r="1641" ht="32.400001525878906" hidden="0" customHeight="1">
      <x:c r="A1641" s="29" t="str">
        <x:v>Miami-Dade County, Florida</x:v>
      </x:c>
      <x:c r="B1641" s="29" t="str">
        <x:v>12086010705</x:v>
      </x:c>
      <x:c r="C1641" s="51" t="n">
        <x:v>5745</x:v>
      </x:c>
      <x:c r="D1641" s="51" t="n">
        <x:v>451</x:v>
      </x:c>
      <x:c r="E1641" s="51" t="n">
        <x:v>8</x:v>
      </x:c>
      <x:c r="F1641" s="38" t="n">
        <x:v>0.07850304612706702</x:v>
      </x:c>
      <x:c r="G1641" s="38" t="n">
        <x:v>0.001392515230635335</x:v>
      </x:c>
      <x:c r="H1641" s="57" t="n">
        <x:v>5903.650000000001</x:v>
      </x:c>
      <x:c r="I1641" s="57" t="n">
        <x:v>1.129</x:v>
      </x:c>
      <x:c r="J1641" s="57" t="n">
        <x:v>6.357055815348159</x:v>
      </x:c>
      <x:c r="K1641" s="57" t="n">
        <x:v>39.53558372302224</x:v>
      </x:c>
      <x:c r="L1641" s="57" t="n">
        <x:v>58.62226246146034</x:v>
      </x:c>
    </x:row>
    <x:row r="1642" ht="32.400001525878906" hidden="0" customHeight="1">
      <x:c r="A1642" s="27" t="str">
        <x:v>Miami-Dade County, Florida</x:v>
      </x:c>
      <x:c r="B1642" s="27" t="str">
        <x:v>12086010706</x:v>
      </x:c>
      <x:c r="C1642" s="50" t="n">
        <x:v>3963</x:v>
      </x:c>
      <x:c r="D1642" s="50" t="n">
        <x:v>368</x:v>
      </x:c>
      <x:c r="E1642" s="50" t="n">
        <x:v>263</x:v>
      </x:c>
      <x:c r="F1642" s="37" t="n">
        <x:v>0.0928589452435024</x:v>
      </x:c>
      <x:c r="G1642" s="37" t="n">
        <x:v>0.06636386575826395</x:v>
      </x:c>
      <x:c r="H1642" s="56" t="n">
        <x:v>4118.099999999999</x:v>
      </x:c>
      <x:c r="I1642" s="56" t="n">
        <x:v>15.338</x:v>
      </x:c>
      <x:c r="J1642" s="56" t="n">
        <x:v>8.31837145146116</x:v>
      </x:c>
      <x:c r="K1642" s="56" t="n">
        <x:v>42.47755717719174</x:v>
      </x:c>
      <x:c r="L1642" s="56" t="n">
        <x:v>62.825081681702486</x:v>
      </x:c>
    </x:row>
    <x:row r="1643" ht="32.400001525878906" hidden="0" customHeight="1">
      <x:c r="A1643" s="29" t="str">
        <x:v>Miami-Dade County, Florida</x:v>
      </x:c>
      <x:c r="B1643" s="29" t="str">
        <x:v>12086010707</x:v>
      </x:c>
      <x:c r="C1643" s="51" t="n">
        <x:v>4381</x:v>
      </x:c>
      <x:c r="D1643" s="51" t="n">
        <x:v>417</x:v>
      </x:c>
      <x:c r="E1643" s="51" t="n">
        <x:v>121.5</x:v>
      </x:c>
      <x:c r="F1643" s="38" t="n">
        <x:v>0.0951837480027391</x:v>
      </x:c>
      <x:c r="G1643" s="38" t="n">
        <x:v>0.027733394202236934</x:v>
      </x:c>
      <x:c r="H1643" s="57" t="n">
        <x:v>4539.099999999999</x:v>
      </x:c>
      <x:c r="I1643" s="57" t="n">
        <x:v>0.65</x:v>
      </x:c>
      <x:c r="J1643" s="57" t="n">
        <x:v>3.6823686134199964</x:v>
      </x:c>
      <x:c r="K1643" s="57" t="n">
        <x:v>35.523552920129994</x:v>
      </x:c>
      <x:c r="L1643" s="57" t="n">
        <x:v>52.89078988589999</x:v>
      </x:c>
    </x:row>
    <x:row r="1644" ht="32.400001525878906" hidden="0" customHeight="1">
      <x:c r="A1644" s="27" t="str">
        <x:v>Miami-Dade County, Florida</x:v>
      </x:c>
      <x:c r="B1644" s="27" t="str">
        <x:v>12086010708</x:v>
      </x:c>
      <x:c r="C1644" s="50" t="n">
        <x:v>5653</x:v>
      </x:c>
      <x:c r="D1644" s="50" t="n">
        <x:v>597</x:v>
      </x:c>
      <x:c r="E1644" s="50" t="n">
        <x:v>311.5</x:v>
      </x:c>
      <x:c r="F1644" s="37" t="n">
        <x:v>0.10560764196002123</x:v>
      </x:c>
      <x:c r="G1644" s="37" t="n">
        <x:v>0.055103484875287455</x:v>
      </x:c>
      <x:c r="H1644" s="56" t="n">
        <x:v>5893.1</x:v>
      </x:c>
      <x:c r="I1644" s="56" t="n">
        <x:v>0.8</x:v>
      </x:c>
      <x:c r="J1644" s="56" t="n">
        <x:v>3.902142548327246</x:v>
      </x:c>
      <x:c r="K1644" s="56" t="n">
        <x:v>35.85321382249087</x:v>
      </x:c>
      <x:c r="L1644" s="56" t="n">
        <x:v>53.36173403212981</x:v>
      </x:c>
    </x:row>
    <x:row r="1645" ht="32.400001525878906" hidden="0" customHeight="1">
      <x:c r="A1645" s="29" t="str">
        <x:v>Miami-Dade County, Florida</x:v>
      </x:c>
      <x:c r="B1645" s="29" t="str">
        <x:v>12086010709</x:v>
      </x:c>
      <x:c r="C1645" s="51" t="n">
        <x:v>5974</x:v>
      </x:c>
      <x:c r="D1645" s="51" t="n">
        <x:v>437</x:v>
      </x:c>
      <x:c r="E1645" s="51" t="n">
        <x:v>54</x:v>
      </x:c>
      <x:c r="F1645" s="38" t="n">
        <x:v>0.07315031804486107</x:v>
      </x:c>
      <x:c r="G1645" s="38" t="n">
        <x:v>0.009039169735520589</x:v>
      </x:c>
      <x:c r="H1645" s="57" t="n">
        <x:v>6132.349999999999</x:v>
      </x:c>
      <x:c r="I1645" s="57" t="n">
        <x:v>0.522</x:v>
      </x:c>
      <x:c r="J1645" s="57" t="n">
        <x:v>2.0440522789431297</x:v>
      </x:c>
      <x:c r="K1645" s="57" t="n">
        <x:v>33.0660784184147</x:v>
      </x:c>
      <x:c r="L1645" s="57" t="n">
        <x:v>49.380112026306705</x:v>
      </x:c>
    </x:row>
    <x:row r="1646" ht="32.400001525878906" hidden="0" customHeight="1">
      <x:c r="A1646" s="27" t="str">
        <x:v>Miami-Dade County, Florida</x:v>
      </x:c>
      <x:c r="B1646" s="27" t="str">
        <x:v>12086010710</x:v>
      </x:c>
      <x:c r="C1646" s="50" t="n">
        <x:v>6482</x:v>
      </x:c>
      <x:c r="D1646" s="50" t="n">
        <x:v>570</x:v>
      </x:c>
      <x:c r="E1646" s="50" t="n">
        <x:v>153</x:v>
      </x:c>
      <x:c r="F1646" s="37" t="n">
        <x:v>0.08793582227707497</x:v>
      </x:c>
      <x:c r="G1646" s="37" t="n">
        <x:v>0.023603825979635916</x:v>
      </x:c>
      <x:c r="H1646" s="56" t="n">
        <x:v>6696.800000000001</x:v>
      </x:c>
      <x:c r="I1646" s="56" t="n">
        <x:v>0.735</x:v>
      </x:c>
      <x:c r="J1646" s="56" t="n">
        <x:v>2.468406954273961</x:v>
      </x:c>
      <x:c r="K1646" s="56" t="n">
        <x:v>33.70261043141094</x:v>
      </x:c>
      <x:c r="L1646" s="56" t="n">
        <x:v>50.2894434734442</x:v>
      </x:c>
    </x:row>
    <x:row r="1647" ht="32.400001525878906" hidden="0" customHeight="1">
      <x:c r="A1647" s="29" t="str">
        <x:v>Miami-Dade County, Florida</x:v>
      </x:c>
      <x:c r="B1647" s="29" t="str">
        <x:v>12086010803</x:v>
      </x:c>
      <x:c r="C1647" s="51" t="n">
        <x:v>4830</x:v>
      </x:c>
      <x:c r="D1647" s="51" t="n">
        <x:v>273</x:v>
      </x:c>
      <x:c r="E1647" s="51" t="n">
        <x:v>391</x:v>
      </x:c>
      <x:c r="F1647" s="38" t="n">
        <x:v>0.05652173913043478</x:v>
      </x:c>
      <x:c r="G1647" s="38" t="n">
        <x:v>0.08095238095238096</x:v>
      </x:c>
      <x:c r="H1647" s="57" t="n">
        <x:v>4964.65</x:v>
      </x:c>
      <x:c r="I1647" s="57" t="n">
        <x:v>0.38</x:v>
      </x:c>
      <x:c r="J1647" s="57" t="n">
        <x:v>4.760037429124954</x:v>
      </x:c>
      <x:c r="K1647" s="57" t="n">
        <x:v>37.14005614368743</x:v>
      </x:c>
      <x:c r="L1647" s="57" t="n">
        <x:v>55.20008020526776</x:v>
      </x:c>
    </x:row>
    <x:row r="1648" ht="32.400001525878906" hidden="0" customHeight="1">
      <x:c r="A1648" s="27" t="str">
        <x:v>Miami-Dade County, Florida</x:v>
      </x:c>
      <x:c r="B1648" s="27" t="str">
        <x:v>12086010804</x:v>
      </x:c>
      <x:c r="C1648" s="50" t="n">
        <x:v>8132</x:v>
      </x:c>
      <x:c r="D1648" s="50" t="n">
        <x:v>615</x:v>
      </x:c>
      <x:c r="E1648" s="50" t="n">
        <x:v>643</x:v>
      </x:c>
      <x:c r="F1648" s="37" t="n">
        <x:v>0.07562715199212985</x:v>
      </x:c>
      <x:c r="G1648" s="37" t="n">
        <x:v>0.07907033939990163</x:v>
      </x:c>
      <x:c r="H1648" s="56" t="n">
        <x:v>8411.550000000001</x:v>
      </x:c>
      <x:c r="I1648" s="56" t="n">
        <x:v>0.968</x:v>
      </x:c>
      <x:c r="J1648" s="56" t="n">
        <x:v>6.814164274306244</x:v>
      </x:c>
      <x:c r="K1648" s="56" t="n">
        <x:v>40.22124641145936</x:v>
      </x:c>
      <x:c r="L1648" s="56" t="n">
        <x:v>59.6017805877991</x:v>
      </x:c>
    </x:row>
    <x:row r="1649" ht="32.400001525878906" hidden="0" customHeight="1">
      <x:c r="A1649" s="29" t="str">
        <x:v>Miami-Dade County, Florida</x:v>
      </x:c>
      <x:c r="B1649" s="29" t="str">
        <x:v>12086010805</x:v>
      </x:c>
      <x:c r="C1649" s="51" t="n">
        <x:v>6193</x:v>
      </x:c>
      <x:c r="D1649" s="51" t="n">
        <x:v>583</x:v>
      </x:c>
      <x:c r="E1649" s="51" t="n">
        <x:v>246</x:v>
      </x:c>
      <x:c r="F1649" s="38" t="n">
        <x:v>0.0941385435168739</x:v>
      </x:c>
      <x:c r="G1649" s="38" t="n">
        <x:v>0.03972226707573066</x:v>
      </x:c>
      <x:c r="H1649" s="57" t="n">
        <x:v>6421.65</x:v>
      </x:c>
      <x:c r="I1649" s="57" t="n">
        <x:v>0.531</x:v>
      </x:c>
      <x:c r="J1649" s="57" t="n">
        <x:v>8.283485254077172</x:v>
      </x:c>
      <x:c r="K1649" s="57" t="n">
        <x:v>42.42522788111576</x:v>
      </x:c>
      <x:c r="L1649" s="57" t="n">
        <x:v>62.75032554445109</x:v>
      </x:c>
    </x:row>
    <x:row r="1650" ht="32.400001525878906" hidden="0" customHeight="1">
      <x:c r="A1650" s="27" t="str">
        <x:v>Miami-Dade County, Florida</x:v>
      </x:c>
      <x:c r="B1650" s="27" t="str">
        <x:v>12086010806</x:v>
      </x:c>
      <x:c r="C1650" s="50" t="n">
        <x:v>4519</x:v>
      </x:c>
      <x:c r="D1650" s="50" t="n">
        <x:v>410</x:v>
      </x:c>
      <x:c r="E1650" s="50" t="n">
        <x:v>276.5</x:v>
      </x:c>
      <x:c r="F1650" s="37" t="n">
        <x:v>0.09072803717636645</x:v>
      </x:c>
      <x:c r="G1650" s="37" t="n">
        <x:v>0.061186103120159326</x:v>
      </x:c>
      <x:c r="H1650" s="56" t="n">
        <x:v>4690.15</x:v>
      </x:c>
      <x:c r="I1650" s="56" t="n">
        <x:v>0.414</x:v>
      </x:c>
      <x:c r="J1650" s="56" t="n">
        <x:v>6.775966702252806</x:v>
      </x:c>
      <x:c r="K1650" s="56" t="n">
        <x:v>40.16395005337921</x:v>
      </x:c>
      <x:c r="L1650" s="56" t="n">
        <x:v>59.51992864768458</x:v>
      </x:c>
    </x:row>
    <x:row r="1651" ht="32.400001525878906" hidden="0" customHeight="1">
      <x:c r="A1651" s="29" t="str">
        <x:v>Miami-Dade County, Florida</x:v>
      </x:c>
      <x:c r="B1651" s="29" t="str">
        <x:v>12086010900</x:v>
      </x:c>
      <x:c r="C1651" s="51" t="n">
        <x:v>6730</x:v>
      </x:c>
      <x:c r="D1651" s="51" t="n">
        <x:v>1026</x:v>
      </x:c>
      <x:c r="E1651" s="51" t="n">
        <x:v>190</x:v>
      </x:c>
      <x:c r="F1651" s="38" t="n">
        <x:v>0.1524517087667162</x:v>
      </x:c>
      <x:c r="G1651" s="38" t="n">
        <x:v>0.02823179791976226</x:v>
      </x:c>
      <x:c r="H1651" s="57" t="n">
        <x:v>7108.099999999999</x:v>
      </x:c>
      <x:c r="I1651" s="57" t="n">
        <x:v>0.833</x:v>
      </x:c>
      <x:c r="J1651" s="57" t="n">
        <x:v>9.94137205543461</x:v>
      </x:c>
      <x:c r="K1651" s="57" t="n">
        <x:v>44.91205808315191</x:v>
      </x:c>
      <x:c r="L1651" s="57" t="n">
        <x:v>66.30294011878846</x:v>
      </x:c>
    </x:row>
    <x:row r="1652" ht="32.400001525878906" hidden="0" customHeight="1">
      <x:c r="A1652" s="27" t="str">
        <x:v>Miami-Dade County, Florida</x:v>
      </x:c>
      <x:c r="B1652" s="27" t="str">
        <x:v>12086011003</x:v>
      </x:c>
      <x:c r="C1652" s="50" t="n">
        <x:v>5058</x:v>
      </x:c>
      <x:c r="D1652" s="50" t="n">
        <x:v>314</x:v>
      </x:c>
      <x:c r="E1652" s="50" t="n">
        <x:v>42.5</x:v>
      </x:c>
      <x:c r="F1652" s="37" t="n">
        <x:v>0.06207987346777382</x:v>
      </x:c>
      <x:c r="G1652" s="37" t="n">
        <x:v>0.008402530644523527</x:v>
      </x:c>
      <x:c r="H1652" s="56" t="n">
        <x:v>5172.150000000001</x:v>
      </x:c>
      <x:c r="I1652" s="56" t="n">
        <x:v>0.71</x:v>
      </x:c>
      <x:c r="J1652" s="56" t="n">
        <x:v>11.505676819917968</x:v>
      </x:c>
      <x:c r="K1652" s="56" t="n">
        <x:v>47.25851522987695</x:v>
      </x:c>
      <x:c r="L1652" s="56" t="n">
        <x:v>69.65502175696707</x:v>
      </x:c>
    </x:row>
    <x:row r="1653" ht="32.400001525878906" hidden="0" customHeight="1">
      <x:c r="A1653" s="29" t="str">
        <x:v>Miami-Dade County, Florida</x:v>
      </x:c>
      <x:c r="B1653" s="29" t="str">
        <x:v>12086011008</x:v>
      </x:c>
      <x:c r="C1653" s="51" t="n">
        <x:v>5153</x:v>
      </x:c>
      <x:c r="D1653" s="51" t="n">
        <x:v>776</x:v>
      </x:c>
      <x:c r="E1653" s="51" t="n">
        <x:v>7</x:v>
      </x:c>
      <x:c r="F1653" s="38" t="n">
        <x:v>0.1505918882204541</x:v>
      </x:c>
      <x:c r="G1653" s="38" t="n">
        <x:v>0.0013584319813700757</x:v>
      </x:c>
      <x:c r="H1653" s="57" t="n">
        <x:v>5425.300000000001</x:v>
      </x:c>
      <x:c r="I1653" s="57" t="n">
        <x:v>0.457</x:v>
      </x:c>
      <x:c r="J1653" s="57" t="n">
        <x:v>9.207770858840798</x:v>
      </x:c>
      <x:c r="K1653" s="57" t="n">
        <x:v>43.8116562882612</x:v>
      </x:c>
      <x:c r="L1653" s="57" t="n">
        <x:v>64.73093755465885</x:v>
      </x:c>
    </x:row>
    <x:row r="1654" ht="32.400001525878906" hidden="0" customHeight="1">
      <x:c r="A1654" s="27" t="str">
        <x:v>Miami-Dade County, Florida</x:v>
      </x:c>
      <x:c r="B1654" s="27" t="str">
        <x:v>12086011009</x:v>
      </x:c>
      <x:c r="C1654" s="50" t="n">
        <x:v>7824</x:v>
      </x:c>
      <x:c r="D1654" s="50" t="n">
        <x:v>794</x:v>
      </x:c>
      <x:c r="E1654" s="50" t="n">
        <x:v>278</x:v>
      </x:c>
      <x:c r="F1654" s="37" t="n">
        <x:v>0.10148261758691207</x:v>
      </x:c>
      <x:c r="G1654" s="37" t="n">
        <x:v>0.03553169734151329</x:v>
      </x:c>
      <x:c r="H1654" s="56" t="n">
        <x:v>8129.7</x:v>
      </x:c>
      <x:c r="I1654" s="56" t="n">
        <x:v>0.716</x:v>
      </x:c>
      <x:c r="J1654" s="56" t="n">
        <x:v>10.254218650377256</x:v>
      </x:c>
      <x:c r="K1654" s="56" t="n">
        <x:v>45.38132797556588</x:v>
      </x:c>
      <x:c r="L1654" s="56" t="n">
        <x:v>66.97332567937983</x:v>
      </x:c>
    </x:row>
    <x:row r="1655" ht="32.400001525878906" hidden="0" customHeight="1">
      <x:c r="A1655" s="29" t="str">
        <x:v>Miami-Dade County, Florida</x:v>
      </x:c>
      <x:c r="B1655" s="29" t="str">
        <x:v>12086011010</x:v>
      </x:c>
      <x:c r="C1655" s="51" t="n">
        <x:v>4772</x:v>
      </x:c>
      <x:c r="D1655" s="51" t="n">
        <x:v>580</x:v>
      </x:c>
      <x:c r="E1655" s="51" t="n">
        <x:v>674</x:v>
      </x:c>
      <x:c r="F1655" s="38" t="n">
        <x:v>0.12154233025984912</x:v>
      </x:c>
      <x:c r="G1655" s="38" t="n">
        <x:v>0.14124056999161777</x:v>
      </x:c>
      <x:c r="H1655" s="57" t="n">
        <x:v>5042.4</x:v>
      </x:c>
      <x:c r="I1655" s="57" t="n">
        <x:v>0.616</x:v>
      </x:c>
      <x:c r="J1655" s="57" t="n">
        <x:v>14.290500112056156</x:v>
      </x:c>
      <x:c r="K1655" s="57" t="n">
        <x:v>51.43575016808423</x:v>
      </x:c>
      <x:c r="L1655" s="57" t="n">
        <x:v>75.62250024012033</x:v>
      </x:c>
    </x:row>
    <x:row r="1656" ht="32.400001525878906" hidden="0" customHeight="1">
      <x:c r="A1656" s="27" t="str">
        <x:v>Miami-Dade County, Florida</x:v>
      </x:c>
      <x:c r="B1656" s="27" t="str">
        <x:v>12086011011</x:v>
      </x:c>
      <x:c r="C1656" s="50" t="n">
        <x:v>3956</x:v>
      </x:c>
      <x:c r="D1656" s="50" t="n">
        <x:v>354</x:v>
      </x:c>
      <x:c r="E1656" s="50" t="n">
        <x:v>145.5</x:v>
      </x:c>
      <x:c r="F1656" s="37" t="n">
        <x:v>0.08948432760364004</x:v>
      </x:c>
      <x:c r="G1656" s="37" t="n">
        <x:v>0.03677957532861476</x:v>
      </x:c>
      <x:c r="H1656" s="56" t="n">
        <x:v>4094.4499999999994</x:v>
      </x:c>
      <x:c r="I1656" s="56" t="n">
        <x:v>0.822</x:v>
      </x:c>
      <x:c r="J1656" s="56" t="n">
        <x:v>13.083220969994265</x:v>
      </x:c>
      <x:c r="K1656" s="56" t="n">
        <x:v>49.624831454991394</x:v>
      </x:c>
      <x:c r="L1656" s="56" t="n">
        <x:v>73.03547350713058</x:v>
      </x:c>
    </x:row>
    <x:row r="1657" ht="32.400001525878906" hidden="0" customHeight="1">
      <x:c r="A1657" s="29" t="str">
        <x:v>Miami-Dade County, Florida</x:v>
      </x:c>
      <x:c r="B1657" s="29" t="str">
        <x:v>12086011012</x:v>
      </x:c>
      <x:c r="C1657" s="51" t="n">
        <x:v>2362</x:v>
      </x:c>
      <x:c r="D1657" s="51" t="n">
        <x:v>412</x:v>
      </x:c>
      <x:c r="E1657" s="51" t="n">
        <x:v>48</x:v>
      </x:c>
      <x:c r="F1657" s="38" t="n">
        <x:v>0.17442845046570704</x:v>
      </x:c>
      <x:c r="G1657" s="38" t="n">
        <x:v>0.02032176121930567</x:v>
      </x:c>
      <x:c r="H1657" s="57" t="n">
        <x:v>2511</x:v>
      </x:c>
      <x:c r="I1657" s="57" t="n">
        <x:v>0.387</x:v>
      </x:c>
      <x:c r="J1657" s="57" t="n">
        <x:v>10.82015674779279</x:v>
      </x:c>
      <x:c r="K1657" s="57" t="n">
        <x:v>46.230235121689184</x:v>
      </x:c>
      <x:c r="L1657" s="57" t="n">
        <x:v>68.18605017384169</x:v>
      </x:c>
    </x:row>
    <x:row r="1658" ht="32.400001525878906" hidden="0" customHeight="1">
      <x:c r="A1658" s="27" t="str">
        <x:v>Miami-Dade County, Florida</x:v>
      </x:c>
      <x:c r="B1658" s="27" t="str">
        <x:v>12086011013</x:v>
      </x:c>
      <x:c r="C1658" s="50" t="n">
        <x:v>3562</x:v>
      </x:c>
      <x:c r="D1658" s="50" t="n">
        <x:v>255</x:v>
      </x:c>
      <x:c r="E1658" s="50" t="n">
        <x:v>68</x:v>
      </x:c>
      <x:c r="F1658" s="37" t="n">
        <x:v>0.07158899494665918</x:v>
      </x:c>
      <x:c r="G1658" s="37" t="n">
        <x:v>0.01909039865244245</x:v>
      </x:c>
      <x:c r="H1658" s="56" t="n">
        <x:v>3658.0499999999997</x:v>
      </x:c>
      <x:c r="I1658" s="56" t="n">
        <x:v>0.471</x:v>
      </x:c>
      <x:c r="J1658" s="56" t="n">
        <x:v>8.294420793098206</x:v>
      </x:c>
      <x:c r="K1658" s="56" t="n">
        <x:v>42.44163118964731</x:v>
      </x:c>
      <x:c r="L1658" s="56" t="n">
        <x:v>62.7737588423533</x:v>
      </x:c>
    </x:row>
    <x:row r="1659" ht="32.400001525878906" hidden="0" customHeight="1">
      <x:c r="A1659" s="29" t="str">
        <x:v>Miami-Dade County, Florida</x:v>
      </x:c>
      <x:c r="B1659" s="29" t="str">
        <x:v>12086011014</x:v>
      </x:c>
      <x:c r="C1659" s="51" t="n">
        <x:v>4965</x:v>
      </x:c>
      <x:c r="D1659" s="51" t="n">
        <x:v>472</x:v>
      </x:c>
      <x:c r="E1659" s="51" t="n">
        <x:v>123</x:v>
      </x:c>
      <x:c r="F1659" s="38" t="n">
        <x:v>0.09506545820745217</x:v>
      </x:c>
      <x:c r="G1659" s="38" t="n">
        <x:v>0.024773413897280966</x:v>
      </x:c>
      <x:c r="H1659" s="57" t="n">
        <x:v>5142.499999999999</x:v>
      </x:c>
      <x:c r="I1659" s="57" t="n">
        <x:v>0.881</x:v>
      </x:c>
      <x:c r="J1659" s="57" t="n">
        <x:v>13.974184221366391</x:v>
      </x:c>
      <x:c r="K1659" s="57" t="n">
        <x:v>50.961276332049586</x:v>
      </x:c>
      <x:c r="L1659" s="57" t="n">
        <x:v>74.94468047435655</x:v>
      </x:c>
    </x:row>
    <x:row r="1660" ht="32.400001525878906" hidden="0" customHeight="1">
      <x:c r="A1660" s="27" t="str">
        <x:v>Miami-Dade County, Florida</x:v>
      </x:c>
      <x:c r="B1660" s="27" t="str">
        <x:v>12086011015</x:v>
      </x:c>
      <x:c r="C1660" s="50" t="n">
        <x:v>9854</x:v>
      </x:c>
      <x:c r="D1660" s="50" t="n">
        <x:v>484</x:v>
      </x:c>
      <x:c r="E1660" s="50" t="n">
        <x:v>0</x:v>
      </x:c>
      <x:c r="F1660" s="37" t="n">
        <x:v>0.049117109803125635</x:v>
      </x:c>
      <x:c r="G1660" s="37" t="n">
        <x:v>0</x:v>
      </x:c>
      <x:c r="H1660" s="56" t="n">
        <x:v>10023.4</x:v>
      </x:c>
      <x:c r="I1660" s="56" t="n">
        <x:v>1.524</x:v>
      </x:c>
      <x:c r="J1660" s="56" t="n">
        <x:v>12.556005904969645</x:v>
      </x:c>
      <x:c r="K1660" s="56" t="n">
        <x:v>48.834008857454464</x:v>
      </x:c>
      <x:c r="L1660" s="56" t="n">
        <x:v>71.90572693922067</x:v>
      </x:c>
    </x:row>
    <x:row r="1661" ht="32.400001525878906" hidden="0" customHeight="1">
      <x:c r="A1661" s="29" t="str">
        <x:v>Miami-Dade County, Florida</x:v>
      </x:c>
      <x:c r="B1661" s="29" t="str">
        <x:v>12086011103</x:v>
      </x:c>
      <x:c r="C1661" s="51" t="n">
        <x:v>3449</x:v>
      </x:c>
      <x:c r="D1661" s="51" t="n">
        <x:v>145</x:v>
      </x:c>
      <x:c r="E1661" s="51" t="n">
        <x:v>0</x:v>
      </x:c>
      <x:c r="F1661" s="38" t="n">
        <x:v>0.04204117135401566</x:v>
      </x:c>
      <x:c r="G1661" s="38" t="n">
        <x:v>0</x:v>
      </x:c>
      <x:c r="H1661" s="57" t="n">
        <x:v>3499.7499999999995</x:v>
      </x:c>
      <x:c r="I1661" s="57" t="n">
        <x:v>0.495</x:v>
      </x:c>
      <x:c r="J1661" s="57" t="n">
        <x:v>15.691534258666001</x:v>
      </x:c>
      <x:c r="K1661" s="57" t="n">
        <x:v>53.537301387999</x:v>
      </x:c>
      <x:c r="L1661" s="57" t="n">
        <x:v>78.62471626857001</x:v>
      </x:c>
    </x:row>
    <x:row r="1662" ht="32.400001525878906" hidden="0" customHeight="1">
      <x:c r="A1662" s="27" t="str">
        <x:v>Miami-Dade County, Florida</x:v>
      </x:c>
      <x:c r="B1662" s="27" t="str">
        <x:v>12086011104</x:v>
      </x:c>
      <x:c r="C1662" s="50" t="n">
        <x:v>5500</x:v>
      </x:c>
      <x:c r="D1662" s="50" t="n">
        <x:v>670</x:v>
      </x:c>
      <x:c r="E1662" s="50" t="n">
        <x:v>686</x:v>
      </x:c>
      <x:c r="F1662" s="37" t="n">
        <x:v>0.12181818181818181</x:v>
      </x:c>
      <x:c r="G1662" s="37" t="n">
        <x:v>0.12472727272727273</x:v>
      </x:c>
      <x:c r="H1662" s="56" t="n">
        <x:v>5803.099999999999</x:v>
      </x:c>
      <x:c r="I1662" s="56" t="n">
        <x:v>0.89</x:v>
      </x:c>
      <x:c r="J1662" s="56" t="n">
        <x:v>15.501760758384876</x:v>
      </x:c>
      <x:c r="K1662" s="56" t="n">
        <x:v>53.252641137577314</x:v>
      </x:c>
      <x:c r="L1662" s="56" t="n">
        <x:v>78.21805876796759</x:v>
      </x:c>
    </x:row>
    <x:row r="1663" ht="32.400001525878906" hidden="0" customHeight="1">
      <x:c r="A1663" s="29" t="str">
        <x:v>Miami-Dade County, Florida</x:v>
      </x:c>
      <x:c r="B1663" s="29" t="str">
        <x:v>12086011105</x:v>
      </x:c>
      <x:c r="C1663" s="51" t="n">
        <x:v>4345</x:v>
      </x:c>
      <x:c r="D1663" s="51" t="n">
        <x:v>306</x:v>
      </x:c>
      <x:c r="E1663" s="51" t="n">
        <x:v>69</x:v>
      </x:c>
      <x:c r="F1663" s="38" t="n">
        <x:v>0.07042577675489067</x:v>
      </x:c>
      <x:c r="G1663" s="38" t="n">
        <x:v>0.015880322209436134</x:v>
      </x:c>
      <x:c r="H1663" s="57" t="n">
        <x:v>4459</x:v>
      </x:c>
      <x:c r="I1663" s="57" t="n">
        <x:v>1.865</x:v>
      </x:c>
      <x:c r="J1663" s="57" t="n">
        <x:v>10.326930303751826</x:v>
      </x:c>
      <x:c r="K1663" s="57" t="n">
        <x:v>45.49039545562774</x:v>
      </x:c>
      <x:c r="L1663" s="57" t="n">
        <x:v>67.12913636518249</x:v>
      </x:c>
    </x:row>
    <x:row r="1664" ht="32.400001525878906" hidden="0" customHeight="1">
      <x:c r="A1664" s="27" t="str">
        <x:v>Miami-Dade County, Florida</x:v>
      </x:c>
      <x:c r="B1664" s="27" t="str">
        <x:v>12086011106</x:v>
      </x:c>
      <x:c r="C1664" s="50" t="n">
        <x:v>4306</x:v>
      </x:c>
      <x:c r="D1664" s="50" t="n">
        <x:v>343</x:v>
      </x:c>
      <x:c r="E1664" s="50" t="n">
        <x:v>236</x:v>
      </x:c>
      <x:c r="F1664" s="37" t="n">
        <x:v>0.07965629354389224</x:v>
      </x:c>
      <x:c r="G1664" s="37" t="n">
        <x:v>0.0548072457036693</x:v>
      </x:c>
      <x:c r="H1664" s="56" t="n">
        <x:v>4449.650000000001</x:v>
      </x:c>
      <x:c r="I1664" s="56" t="n">
        <x:v>2.006</x:v>
      </x:c>
      <x:c r="J1664" s="56" t="n">
        <x:v>12.947335914287274</x:v>
      </x:c>
      <x:c r="K1664" s="56" t="n">
        <x:v>49.42100387143091</x:v>
      </x:c>
      <x:c r="L1664" s="56" t="n">
        <x:v>72.7442912449013</x:v>
      </x:c>
    </x:row>
    <x:row r="1665" ht="32.400001525878906" hidden="0" customHeight="1">
      <x:c r="A1665" s="29" t="str">
        <x:v>Miami-Dade County, Florida</x:v>
      </x:c>
      <x:c r="B1665" s="29" t="str">
        <x:v>12086011203</x:v>
      </x:c>
      <x:c r="C1665" s="51" t="n">
        <x:v>6544</x:v>
      </x:c>
      <x:c r="D1665" s="51" t="n">
        <x:v>709</x:v>
      </x:c>
      <x:c r="E1665" s="51" t="n">
        <x:v>369</x:v>
      </x:c>
      <x:c r="F1665" s="38" t="n">
        <x:v>0.10834352078239609</x:v>
      </x:c>
      <x:c r="G1665" s="38" t="n">
        <x:v>0.05638753056234719</x:v>
      </x:c>
      <x:c r="H1665" s="57" t="n">
        <x:v>6829.049999999999</x:v>
      </x:c>
      <x:c r="I1665" s="57" t="n">
        <x:v>0.593</x:v>
      </x:c>
      <x:c r="J1665" s="57" t="n">
        <x:v>16.280609853091487</x:v>
      </x:c>
      <x:c r="K1665" s="57" t="n">
        <x:v>54.42091477963723</x:v>
      </x:c>
      <x:c r="L1665" s="57" t="n">
        <x:v>79.88702111376747</x:v>
      </x:c>
    </x:row>
    <x:row r="1666" ht="32.400001525878906" hidden="0" customHeight="1">
      <x:c r="A1666" s="27" t="str">
        <x:v>Miami-Dade County, Florida</x:v>
      </x:c>
      <x:c r="B1666" s="27" t="str">
        <x:v>12086011204</x:v>
      </x:c>
      <x:c r="C1666" s="50" t="n">
        <x:v>2097</x:v>
      </x:c>
      <x:c r="D1666" s="50" t="n">
        <x:v>164</x:v>
      </x:c>
      <x:c r="E1666" s="50" t="n">
        <x:v>20</x:v>
      </x:c>
      <x:c r="F1666" s="37" t="n">
        <x:v>0.078206962327134</x:v>
      </x:c>
      <x:c r="G1666" s="37" t="n">
        <x:v>0.009537434430138292</x:v>
      </x:c>
      <x:c r="H1666" s="56" t="n">
        <x:v>2156.4</x:v>
      </x:c>
      <x:c r="I1666" s="56" t="n">
        <x:v>0.766</x:v>
      </x:c>
      <x:c r="J1666" s="56" t="n">
        <x:v>15.503341915534511</x:v>
      </x:c>
      <x:c r="K1666" s="56" t="n">
        <x:v>53.255012873301766</x:v>
      </x:c>
      <x:c r="L1666" s="56" t="n">
        <x:v>78.22144696185967</x:v>
      </x:c>
    </x:row>
    <x:row r="1667" ht="32.400001525878906" hidden="0" customHeight="1">
      <x:c r="A1667" s="29" t="str">
        <x:v>Miami-Dade County, Florida</x:v>
      </x:c>
      <x:c r="B1667" s="29" t="str">
        <x:v>12086011205</x:v>
      </x:c>
      <x:c r="C1667" s="51" t="n">
        <x:v>4100</x:v>
      </x:c>
      <x:c r="D1667" s="51" t="n">
        <x:v>540</x:v>
      </x:c>
      <x:c r="E1667" s="51" t="n">
        <x:v>195.5</x:v>
      </x:c>
      <x:c r="F1667" s="38" t="n">
        <x:v>0.13170731707317074</x:v>
      </x:c>
      <x:c r="G1667" s="38" t="n">
        <x:v>0.04768292682926829</x:v>
      </x:c>
      <x:c r="H1667" s="57" t="n">
        <x:v>4308.55</x:v>
      </x:c>
      <x:c r="I1667" s="57" t="n">
        <x:v>0.763</x:v>
      </x:c>
      <x:c r="J1667" s="57" t="n">
        <x:v>18.755302735766367</x:v>
      </x:c>
      <x:c r="K1667" s="57" t="n">
        <x:v>58.13295410364955</x:v>
      </x:c>
      <x:c r="L1667" s="57" t="n">
        <x:v>85.18993443378508</x:v>
      </x:c>
    </x:row>
    <x:row r="1668" ht="32.400001525878906" hidden="0" customHeight="1">
      <x:c r="A1668" s="27" t="str">
        <x:v>Miami-Dade County, Florida</x:v>
      </x:c>
      <x:c r="B1668" s="27" t="str">
        <x:v>12086011206</x:v>
      </x:c>
      <x:c r="C1668" s="50" t="n">
        <x:v>3407</x:v>
      </x:c>
      <x:c r="D1668" s="50" t="n">
        <x:v>150</x:v>
      </x:c>
      <x:c r="E1668" s="50" t="n">
        <x:v>35</x:v>
      </x:c>
      <x:c r="F1668" s="37" t="n">
        <x:v>0.0440270032286469</x:v>
      </x:c>
      <x:c r="G1668" s="37" t="n">
        <x:v>0.01027296742001761</x:v>
      </x:c>
      <x:c r="H1668" s="56" t="n">
        <x:v>3463</x:v>
      </x:c>
      <x:c r="I1668" s="56" t="n">
        <x:v>3.811</x:v>
      </x:c>
      <x:c r="J1668" s="56" t="n">
        <x:v>16.213496686667117</x:v>
      </x:c>
      <x:c r="K1668" s="56" t="n">
        <x:v>54.32024503000068</x:v>
      </x:c>
      <x:c r="L1668" s="56" t="n">
        <x:v>79.74320718571525</x:v>
      </x:c>
    </x:row>
    <x:row r="1669" ht="32.400001525878906" hidden="0" customHeight="1">
      <x:c r="A1669" s="29" t="str">
        <x:v>Miami-Dade County, Florida</x:v>
      </x:c>
      <x:c r="B1669" s="29" t="str">
        <x:v>12086011301</x:v>
      </x:c>
      <x:c r="C1669" s="51" t="n">
        <x:v>4562</x:v>
      </x:c>
      <x:c r="D1669" s="51" t="n">
        <x:v>901</x:v>
      </x:c>
      <x:c r="E1669" s="51" t="n">
        <x:v>394</x:v>
      </x:c>
      <x:c r="F1669" s="38" t="n">
        <x:v>0.1975010960105217</x:v>
      </x:c>
      <x:c r="G1669" s="38" t="n">
        <x:v>0.08636562911003946</x:v>
      </x:c>
      <x:c r="H1669" s="57" t="n">
        <x:v>4916.75</x:v>
      </x:c>
      <x:c r="I1669" s="57" t="n">
        <x:v>0.575</x:v>
      </x:c>
      <x:c r="J1669" s="57" t="n">
        <x:v>17.530386814793477</x:v>
      </x:c>
      <x:c r="K1669" s="57" t="n">
        <x:v>56.29558022219022</x:v>
      </x:c>
      <x:c r="L1669" s="57" t="n">
        <x:v>82.56511460312888</x:v>
      </x:c>
    </x:row>
    <x:row r="1670" ht="32.400001525878906" hidden="0" customHeight="1">
      <x:c r="A1670" s="27" t="str">
        <x:v>Miami-Dade County, Florida</x:v>
      </x:c>
      <x:c r="B1670" s="27" t="str">
        <x:v>12086011302</x:v>
      </x:c>
      <x:c r="C1670" s="50" t="n">
        <x:v>5775</x:v>
      </x:c>
      <x:c r="D1670" s="50" t="n">
        <x:v>698</x:v>
      </x:c>
      <x:c r="E1670" s="50" t="n">
        <x:v>1164.5</x:v>
      </x:c>
      <x:c r="F1670" s="37" t="n">
        <x:v>0.12086580086580087</x:v>
      </x:c>
      <x:c r="G1670" s="37" t="n">
        <x:v>0.20164502164502165</x:v>
      </x:c>
      <x:c r="H1670" s="56" t="n">
        <x:v>6135.750000000001</x:v>
      </x:c>
      <x:c r="I1670" s="56" t="n">
        <x:v>0.878</x:v>
      </x:c>
      <x:c r="J1670" s="56" t="n">
        <x:v>17.86462391978496</x:v>
      </x:c>
      <x:c r="K1670" s="56" t="n">
        <x:v>56.79693587967744</x:v>
      </x:c>
      <x:c r="L1670" s="56" t="n">
        <x:v>83.28133697096777</x:v>
      </x:c>
    </x:row>
    <x:row r="1671" ht="32.400001525878906" hidden="0" customHeight="1">
      <x:c r="A1671" s="29" t="str">
        <x:v>Miami-Dade County, Florida</x:v>
      </x:c>
      <x:c r="B1671" s="29" t="str">
        <x:v>12086011405</x:v>
      </x:c>
      <x:c r="C1671" s="51" t="n">
        <x:v>3593</x:v>
      </x:c>
      <x:c r="D1671" s="51" t="n">
        <x:v>523</x:v>
      </x:c>
      <x:c r="E1671" s="51" t="n">
        <x:v>164</x:v>
      </x:c>
      <x:c r="F1671" s="38" t="n">
        <x:v>0.14556081269134427</x:v>
      </x:c>
      <x:c r="G1671" s="38" t="n">
        <x:v>0.0456443083774005</x:v>
      </x:c>
      <x:c r="H1671" s="57" t="n">
        <x:v>3792.45</x:v>
      </x:c>
      <x:c r="I1671" s="57" t="n">
        <x:v>0.971</x:v>
      </x:c>
      <x:c r="J1671" s="57" t="n">
        <x:v>19.5263265682877</x:v>
      </x:c>
      <x:c r="K1671" s="57" t="n">
        <x:v>59.28948985243155</x:v>
      </x:c>
      <x:c r="L1671" s="57" t="n">
        <x:v>86.8421283606165</x:v>
      </x:c>
    </x:row>
    <x:row r="1672" ht="32.400001525878906" hidden="0" customHeight="1">
      <x:c r="A1672" s="27" t="str">
        <x:v>Miami-Dade County, Florida</x:v>
      </x:c>
      <x:c r="B1672" s="27" t="str">
        <x:v>12086011406</x:v>
      </x:c>
      <x:c r="C1672" s="50" t="n">
        <x:v>3333</x:v>
      </x:c>
      <x:c r="D1672" s="50" t="n">
        <x:v>502</x:v>
      </x:c>
      <x:c r="E1672" s="50" t="n">
        <x:v>155</x:v>
      </x:c>
      <x:c r="F1672" s="37" t="n">
        <x:v>0.15061506150615062</x:v>
      </x:c>
      <x:c r="G1672" s="37" t="n">
        <x:v>0.0465046504650465</x:v>
      </x:c>
      <x:c r="H1672" s="56" t="n">
        <x:v>3524.2</x:v>
      </x:c>
      <x:c r="I1672" s="56" t="n">
        <x:v>0.988</x:v>
      </x:c>
      <x:c r="J1672" s="56" t="n">
        <x:v>20.61220647888505</x:v>
      </x:c>
      <x:c r="K1672" s="56" t="n">
        <x:v>60.91830971832757</x:v>
      </x:c>
      <x:c r="L1672" s="56" t="n">
        <x:v>89.1690138833251</x:v>
      </x:c>
    </x:row>
    <x:row r="1673" ht="32.400001525878906" hidden="0" customHeight="1">
      <x:c r="A1673" s="29" t="str">
        <x:v>Miami-Dade County, Florida</x:v>
      </x:c>
      <x:c r="B1673" s="29" t="str">
        <x:v>12086011407</x:v>
      </x:c>
      <x:c r="C1673" s="51" t="n">
        <x:v>3999</x:v>
      </x:c>
      <x:c r="D1673" s="51" t="n">
        <x:v>601</x:v>
      </x:c>
      <x:c r="E1673" s="51" t="n">
        <x:v>21</x:v>
      </x:c>
      <x:c r="F1673" s="38" t="n">
        <x:v>0.15028757189297323</x:v>
      </x:c>
      <x:c r="G1673" s="38" t="n">
        <x:v>0.005251312828207052</x:v>
      </x:c>
      <x:c r="H1673" s="57" t="n">
        <x:v>4211.45</x:v>
      </x:c>
      <x:c r="I1673" s="57" t="n">
        <x:v>0.586</x:v>
      </x:c>
      <x:c r="J1673" s="57" t="n">
        <x:v>20.77814412398347</x:v>
      </x:c>
      <x:c r="K1673" s="57" t="n">
        <x:v>61.16721618597521</x:v>
      </x:c>
      <x:c r="L1673" s="57" t="n">
        <x:v>89.52459455139315</x:v>
      </x:c>
    </x:row>
    <x:row r="1674" ht="32.400001525878906" hidden="0" customHeight="1">
      <x:c r="A1674" s="27" t="str">
        <x:v>Miami-Dade County, Florida</x:v>
      </x:c>
      <x:c r="B1674" s="27" t="str">
        <x:v>12086011408</x:v>
      </x:c>
      <x:c r="C1674" s="50" t="n">
        <x:v>3365</x:v>
      </x:c>
      <x:c r="D1674" s="50" t="n">
        <x:v>394</x:v>
      </x:c>
      <x:c r="E1674" s="50" t="n">
        <x:v>0</x:v>
      </x:c>
      <x:c r="F1674" s="37" t="n">
        <x:v>0.11708766716196137</x:v>
      </x:c>
      <x:c r="G1674" s="37" t="n">
        <x:v>0</x:v>
      </x:c>
      <x:c r="H1674" s="56" t="n">
        <x:v>3502.8999999999996</x:v>
      </x:c>
      <x:c r="I1674" s="56" t="n">
        <x:v>333.815</x:v>
      </x:c>
      <x:c r="J1674" s="56" t="n">
        <x:v>56.512533061630066</x:v>
      </x:c>
      <x:c r="K1674" s="56" t="n">
        <x:v>114.7687995924451</x:v>
      </x:c>
      <x:c r="L1674" s="56" t="n">
        <x:v>166.09828513206443</x:v>
      </x:c>
    </x:row>
    <x:row r="1675" ht="32.400001525878906" hidden="0" customHeight="1">
      <x:c r="A1675" s="29" t="str">
        <x:v>Miami-Dade County, Florida</x:v>
      </x:c>
      <x:c r="B1675" s="29" t="str">
        <x:v>12086011409</x:v>
      </x:c>
      <x:c r="C1675" s="51" t="n">
        <x:v>6890</x:v>
      </x:c>
      <x:c r="D1675" s="51" t="n">
        <x:v>775</x:v>
      </x:c>
      <x:c r="E1675" s="51" t="n">
        <x:v>135</x:v>
      </x:c>
      <x:c r="F1675" s="38" t="n">
        <x:v>0.11248185776487664</x:v>
      </x:c>
      <x:c r="G1675" s="38" t="n">
        <x:v>0.019593613933236574</x:v>
      </x:c>
      <x:c r="H1675" s="57" t="n">
        <x:v>7174.750000000001</x:v>
      </x:c>
      <x:c r="I1675" s="57" t="n">
        <x:v>1.594</x:v>
      </x:c>
      <x:c r="J1675" s="57" t="n">
        <x:v>17.336970354931612</x:v>
      </x:c>
      <x:c r="K1675" s="57" t="n">
        <x:v>56.00545553239742</x:v>
      </x:c>
      <x:c r="L1675" s="57" t="n">
        <x:v>82.15065076056774</x:v>
      </x:c>
    </x:row>
    <x:row r="1676" ht="32.400001525878906" hidden="0" customHeight="1">
      <x:c r="A1676" s="27" t="str">
        <x:v>Miami-Dade County, Florida</x:v>
      </x:c>
      <x:c r="B1676" s="27" t="str">
        <x:v>12086011410</x:v>
      </x:c>
      <x:c r="C1676" s="50" t="n">
        <x:v>5237</x:v>
      </x:c>
      <x:c r="D1676" s="50" t="n">
        <x:v>376</x:v>
      </x:c>
      <x:c r="E1676" s="50" t="n">
        <x:v>171</x:v>
      </x:c>
      <x:c r="F1676" s="37" t="n">
        <x:v>0.07179683024632423</x:v>
      </x:c>
      <x:c r="G1676" s="37" t="n">
        <x:v>0.03265228184074852</x:v>
      </x:c>
      <x:c r="H1676" s="56" t="n">
        <x:v>5385.7</x:v>
      </x:c>
      <x:c r="I1676" s="56" t="n">
        <x:v>6.636</x:v>
      </x:c>
      <x:c r="J1676" s="56" t="n">
        <x:v>14.006772874231746</x:v>
      </x:c>
      <x:c r="K1676" s="56" t="n">
        <x:v>51.01015931134762</x:v>
      </x:c>
      <x:c r="L1676" s="56" t="n">
        <x:v>75.01451330192518</x:v>
      </x:c>
    </x:row>
    <x:row r="1677" ht="32.400001525878906" hidden="0" customHeight="1">
      <x:c r="A1677" s="29" t="str">
        <x:v>Miami-Dade County, Florida</x:v>
      </x:c>
      <x:c r="B1677" s="29" t="str">
        <x:v>12086011411</x:v>
      </x:c>
      <x:c r="C1677" s="51" t="n">
        <x:v>2247</x:v>
      </x:c>
      <x:c r="D1677" s="51" t="n">
        <x:v>344</x:v>
      </x:c>
      <x:c r="E1677" s="51" t="n">
        <x:v>0</x:v>
      </x:c>
      <x:c r="F1677" s="38" t="n">
        <x:v>0.15309301290609703</x:v>
      </x:c>
      <x:c r="G1677" s="38" t="n">
        <x:v>0</x:v>
      </x:c>
      <x:c r="H1677" s="57" t="n">
        <x:v>2367.4</x:v>
      </x:c>
      <x:c r="I1677" s="57" t="n">
        <x:v>0.504</x:v>
      </x:c>
      <x:c r="J1677" s="57" t="n">
        <x:v>15.736430641161446</x:v>
      </x:c>
      <x:c r="K1677" s="57" t="n">
        <x:v>53.60464596174217</x:v>
      </x:c>
      <x:c r="L1677" s="57" t="n">
        <x:v>78.72092280248881</x:v>
      </x:c>
    </x:row>
    <x:row r="1678" ht="32.400001525878906" hidden="0" customHeight="1">
      <x:c r="A1678" s="27" t="str">
        <x:v>Miami-Dade County, Florida</x:v>
      </x:c>
      <x:c r="B1678" s="27" t="str">
        <x:v>12086011412</x:v>
      </x:c>
      <x:c r="C1678" s="50" t="n">
        <x:v>6467</x:v>
      </x:c>
      <x:c r="D1678" s="50" t="n">
        <x:v>328</x:v>
      </x:c>
      <x:c r="E1678" s="50" t="n">
        <x:v>32</x:v>
      </x:c>
      <x:c r="F1678" s="37" t="n">
        <x:v>0.050719035101283436</x:v>
      </x:c>
      <x:c r="G1678" s="37" t="n">
        <x:v>0.004948198546466677</x:v>
      </x:c>
      <x:c r="H1678" s="56" t="n">
        <x:v>6585</x:v>
      </x:c>
      <x:c r="I1678" s="56" t="n">
        <x:v>70.783</x:v>
      </x:c>
      <x:c r="J1678" s="56" t="n">
        <x:v>27.792460788789494</x:v>
      </x:c>
      <x:c r="K1678" s="56" t="n">
        <x:v>71.68869118318425</x:v>
      </x:c>
      <x:c r="L1678" s="56" t="n">
        <x:v>104.55527311883463</x:v>
      </x:c>
    </x:row>
    <x:row r="1679" ht="32.400001525878906" hidden="0" customHeight="1">
      <x:c r="A1679" s="29" t="str">
        <x:v>Miami-Dade County, Florida</x:v>
      </x:c>
      <x:c r="B1679" s="29" t="str">
        <x:v>12086011500</x:v>
      </x:c>
      <x:c r="C1679" s="51" t="n">
        <x:v>5483</x:v>
      </x:c>
      <x:c r="D1679" s="51" t="n">
        <x:v>327</x:v>
      </x:c>
      <x:c r="E1679" s="51" t="n">
        <x:v>18</x:v>
      </x:c>
      <x:c r="F1679" s="38" t="n">
        <x:v>0.05963888382272479</x:v>
      </x:c>
      <x:c r="G1679" s="38" t="n">
        <x:v>0.0032828743388655843</x:v>
      </x:c>
      <x:c r="H1679" s="57" t="n">
        <x:v>5599.249999999999</x:v>
      </x:c>
      <x:c r="I1679" s="57" t="n">
        <x:v>930.339</x:v>
      </x:c>
      <x:c r="J1679" s="57" t="n">
        <x:v>0</x:v>
      </x:c>
      <x:c r="K1679" s="57" t="n">
        <x:v>30</x:v>
      </x:c>
      <x:c r="L1679" s="57" t="n">
        <x:v>45</x:v>
      </x:c>
    </x:row>
    <x:row r="1680" ht="32.400001525878906" hidden="0" customHeight="1">
      <x:c r="A1680" s="27" t="str">
        <x:v>Miami-Dade County, Florida</x:v>
      </x:c>
      <x:c r="B1680" s="27" t="str">
        <x:v>12086011601</x:v>
      </x:c>
      <x:c r="C1680" s="50" t="n">
        <x:v>3560</x:v>
      </x:c>
      <x:c r="D1680" s="50" t="n">
        <x:v>306</x:v>
      </x:c>
      <x:c r="E1680" s="50" t="n">
        <x:v>150</x:v>
      </x:c>
      <x:c r="F1680" s="37" t="n">
        <x:v>0.08595505617977528</x:v>
      </x:c>
      <x:c r="G1680" s="37" t="n">
        <x:v>0.042134831460674156</x:v>
      </x:c>
      <x:c r="H1680" s="56" t="n">
        <x:v>3682.1</x:v>
      </x:c>
      <x:c r="I1680" s="56" t="n">
        <x:v>0.32</x:v>
      </x:c>
      <x:c r="J1680" s="56" t="n">
        <x:v>8.092951411768091</x:v>
      </x:c>
      <x:c r="K1680" s="56" t="n">
        <x:v>42.13942711765213</x:v>
      </x:c>
      <x:c r="L1680" s="56" t="n">
        <x:v>62.34203873950305</x:v>
      </x:c>
    </x:row>
    <x:row r="1681" ht="32.400001525878906" hidden="0" customHeight="1">
      <x:c r="A1681" s="29" t="str">
        <x:v>Miami-Dade County, Florida</x:v>
      </x:c>
      <x:c r="B1681" s="29" t="str">
        <x:v>12086011602</x:v>
      </x:c>
      <x:c r="C1681" s="51" t="n">
        <x:v>4410</x:v>
      </x:c>
      <x:c r="D1681" s="51" t="n">
        <x:v>305</x:v>
      </x:c>
      <x:c r="E1681" s="51" t="n">
        <x:v>186</x:v>
      </x:c>
      <x:c r="F1681" s="38" t="n">
        <x:v>0.0691609977324263</x:v>
      </x:c>
      <x:c r="G1681" s="38" t="n">
        <x:v>0.04217687074829932</x:v>
      </x:c>
      <x:c r="H1681" s="57" t="n">
        <x:v>4535.349999999999</x:v>
      </x:c>
      <x:c r="I1681" s="57" t="n">
        <x:v>0.436</x:v>
      </x:c>
      <x:c r="J1681" s="57" t="n">
        <x:v>8.802911858795728</x:v>
      </x:c>
      <x:c r="K1681" s="57" t="n">
        <x:v>43.20436778819359</x:v>
      </x:c>
      <x:c r="L1681" s="57" t="n">
        <x:v>63.86338255456227</x:v>
      </x:c>
    </x:row>
    <x:row r="1682" ht="32.400001525878906" hidden="0" customHeight="1">
      <x:c r="A1682" s="27" t="str">
        <x:v>Miami-Dade County, Florida</x:v>
      </x:c>
      <x:c r="B1682" s="27" t="str">
        <x:v>12086011701</x:v>
      </x:c>
      <x:c r="C1682" s="50" t="n">
        <x:v>2000</x:v>
      </x:c>
      <x:c r="D1682" s="50" t="n">
        <x:v>256</x:v>
      </x:c>
      <x:c r="E1682" s="50" t="n">
        <x:v>33</x:v>
      </x:c>
      <x:c r="F1682" s="37" t="n">
        <x:v>0.128</x:v>
      </x:c>
      <x:c r="G1682" s="37" t="n">
        <x:v>0.0165</x:v>
      </x:c>
      <x:c r="H1682" s="56" t="n">
        <x:v>2092.8999999999996</x:v>
      </x:c>
      <x:c r="I1682" s="56" t="n">
        <x:v>0.21</x:v>
      </x:c>
      <x:c r="J1682" s="56" t="n">
        <x:v>10.065336557343851</x:v>
      </x:c>
      <x:c r="K1682" s="56" t="n">
        <x:v>45.098004836015775</x:v>
      </x:c>
      <x:c r="L1682" s="56" t="n">
        <x:v>66.5685783371654</x:v>
      </x:c>
    </x:row>
    <x:row r="1683" ht="32.400001525878906" hidden="0" customHeight="1">
      <x:c r="A1683" s="29" t="str">
        <x:v>Miami-Dade County, Florida</x:v>
      </x:c>
      <x:c r="B1683" s="29" t="str">
        <x:v>12086011702</x:v>
      </x:c>
      <x:c r="C1683" s="51" t="n">
        <x:v>4483</x:v>
      </x:c>
      <x:c r="D1683" s="51" t="n">
        <x:v>468</x:v>
      </x:c>
      <x:c r="E1683" s="51" t="n">
        <x:v>379</x:v>
      </x:c>
      <x:c r="F1683" s="38" t="n">
        <x:v>0.10439437876422039</x:v>
      </x:c>
      <x:c r="G1683" s="38" t="n">
        <x:v>0.08454160160606737</x:v>
      </x:c>
      <x:c r="H1683" s="57" t="n">
        <x:v>4684.7</x:v>
      </x:c>
      <x:c r="I1683" s="57" t="n">
        <x:v>0.26</x:v>
      </x:c>
      <x:c r="J1683" s="57" t="n">
        <x:v>9.466231122937604</x:v>
      </x:c>
      <x:c r="K1683" s="57" t="n">
        <x:v>44.19934668440641</x:v>
      </x:c>
      <x:c r="L1683" s="57" t="n">
        <x:v>65.28478097772344</x:v>
      </x:c>
    </x:row>
    <x:row r="1684" ht="32.400001525878906" hidden="0" customHeight="1">
      <x:c r="A1684" s="27" t="str">
        <x:v>Miami-Dade County, Florida</x:v>
      </x:c>
      <x:c r="B1684" s="27" t="str">
        <x:v>12086011800</x:v>
      </x:c>
      <x:c r="C1684" s="50" t="n">
        <x:v>3592</x:v>
      </x:c>
      <x:c r="D1684" s="50" t="n">
        <x:v>475</x:v>
      </x:c>
      <x:c r="E1684" s="50" t="n">
        <x:v>0</x:v>
      </x:c>
      <x:c r="F1684" s="37" t="n">
        <x:v>0.13223830734966593</x:v>
      </x:c>
      <x:c r="G1684" s="37" t="n">
        <x:v>0</x:v>
      </x:c>
      <x:c r="H1684" s="56" t="n">
        <x:v>3758.25</x:v>
      </x:c>
      <x:c r="I1684" s="56" t="n">
        <x:v>0.414</x:v>
      </x:c>
      <x:c r="J1684" s="56" t="n">
        <x:v>9.778074903364029</x:v>
      </x:c>
      <x:c r="K1684" s="56" t="n">
        <x:v>44.667112355046044</x:v>
      </x:c>
      <x:c r="L1684" s="56" t="n">
        <x:v>65.95301765006577</x:v>
      </x:c>
    </x:row>
    <x:row r="1685" ht="32.400001525878906" hidden="0" customHeight="1">
      <x:c r="A1685" s="29" t="str">
        <x:v>Miami-Dade County, Florida</x:v>
      </x:c>
      <x:c r="B1685" s="29" t="str">
        <x:v>12086011900</x:v>
      </x:c>
      <x:c r="C1685" s="51" t="n">
        <x:v>6212</x:v>
      </x:c>
      <x:c r="D1685" s="51" t="n">
        <x:v>639</x:v>
      </x:c>
      <x:c r="E1685" s="51" t="n">
        <x:v>180</x:v>
      </x:c>
      <x:c r="F1685" s="38" t="n">
        <x:v>0.10286542176432711</x:v>
      </x:c>
      <x:c r="G1685" s="38" t="n">
        <x:v>0.028976175144880875</x:v>
      </x:c>
      <x:c r="H1685" s="57" t="n">
        <x:v>6453.65</x:v>
      </x:c>
      <x:c r="I1685" s="57" t="n">
        <x:v>1.076</x:v>
      </x:c>
      <x:c r="J1685" s="57" t="n">
        <x:v>7.7375073439688435</x:v>
      </x:c>
      <x:c r="K1685" s="57" t="n">
        <x:v>41.606261015953265</x:v>
      </x:c>
      <x:c r="L1685" s="57" t="n">
        <x:v>61.580372879933236</x:v>
      </x:c>
    </x:row>
    <x:row r="1686" ht="32.400001525878906" hidden="0" customHeight="1">
      <x:c r="A1686" s="27" t="str">
        <x:v>Miami-Dade County, Florida</x:v>
      </x:c>
      <x:c r="B1686" s="27" t="str">
        <x:v>12086012001</x:v>
      </x:c>
      <x:c r="C1686" s="50" t="n">
        <x:v>3413</x:v>
      </x:c>
      <x:c r="D1686" s="50" t="n">
        <x:v>508</x:v>
      </x:c>
      <x:c r="E1686" s="50" t="n">
        <x:v>32</x:v>
      </x:c>
      <x:c r="F1686" s="37" t="n">
        <x:v>0.14884266041605626</x:v>
      </x:c>
      <x:c r="G1686" s="37" t="n">
        <x:v>0.00937591561675945</x:v>
      </x:c>
      <x:c r="H1686" s="56" t="n">
        <x:v>3594</x:v>
      </x:c>
      <x:c r="I1686" s="56" t="n">
        <x:v>0.161</x:v>
      </x:c>
      <x:c r="J1686" s="56" t="n">
        <x:v>7.822990243579113</x:v>
      </x:c>
      <x:c r="K1686" s="56" t="n">
        <x:v>41.73448536536867</x:v>
      </x:c>
      <x:c r="L1686" s="56" t="n">
        <x:v>61.76355052195524</x:v>
      </x:c>
    </x:row>
    <x:row r="1687" ht="32.400001525878906" hidden="0" customHeight="1">
      <x:c r="A1687" s="29" t="str">
        <x:v>Miami-Dade County, Florida</x:v>
      </x:c>
      <x:c r="B1687" s="29" t="str">
        <x:v>12086012002</x:v>
      </x:c>
      <x:c r="C1687" s="51" t="n">
        <x:v>5512</x:v>
      </x:c>
      <x:c r="D1687" s="51" t="n">
        <x:v>728</x:v>
      </x:c>
      <x:c r="E1687" s="51" t="n">
        <x:v>422</x:v>
      </x:c>
      <x:c r="F1687" s="38" t="n">
        <x:v>0.1320754716981132</x:v>
      </x:c>
      <x:c r="G1687" s="38" t="n">
        <x:v>0.07656023222060958</x:v>
      </x:c>
      <x:c r="H1687" s="57" t="n">
        <x:v>5809.000000000001</x:v>
      </x:c>
      <x:c r="I1687" s="57" t="n">
        <x:v>0.18</x:v>
      </x:c>
      <x:c r="J1687" s="57" t="n">
        <x:v>6.93735848414972</x:v>
      </x:c>
      <x:c r="K1687" s="57" t="n">
        <x:v>40.40603772622458</x:v>
      </x:c>
      <x:c r="L1687" s="57" t="n">
        <x:v>59.86576818032083</x:v>
      </x:c>
    </x:row>
    <x:row r="1688" ht="32.400001525878906" hidden="0" customHeight="1">
      <x:c r="A1688" s="27" t="str">
        <x:v>Miami-Dade County, Florida</x:v>
      </x:c>
      <x:c r="B1688" s="27" t="str">
        <x:v>12086012101</x:v>
      </x:c>
      <x:c r="C1688" s="50" t="n">
        <x:v>2809</x:v>
      </x:c>
      <x:c r="D1688" s="50" t="n">
        <x:v>259</x:v>
      </x:c>
      <x:c r="E1688" s="50" t="n">
        <x:v>54</x:v>
      </x:c>
      <x:c r="F1688" s="37" t="n">
        <x:v>0.09220363118547525</x:v>
      </x:c>
      <x:c r="G1688" s="37" t="n">
        <x:v>0.019223923104307584</x:v>
      </x:c>
      <x:c r="H1688" s="56" t="n">
        <x:v>2905.05</x:v>
      </x:c>
      <x:c r="I1688" s="56" t="n">
        <x:v>0.227</x:v>
      </x:c>
      <x:c r="J1688" s="56" t="n">
        <x:v>5.97344478766491</x:v>
      </x:c>
      <x:c r="K1688" s="56" t="n">
        <x:v>38.96016718149737</x:v>
      </x:c>
      <x:c r="L1688" s="56" t="n">
        <x:v>57.800238830710526</x:v>
      </x:c>
    </x:row>
    <x:row r="1689" ht="32.400001525878906" hidden="0" customHeight="1">
      <x:c r="A1689" s="29" t="str">
        <x:v>Miami-Dade County, Florida</x:v>
      </x:c>
      <x:c r="B1689" s="29" t="str">
        <x:v>12086012102</x:v>
      </x:c>
      <x:c r="C1689" s="51" t="n">
        <x:v>5242</x:v>
      </x:c>
      <x:c r="D1689" s="51" t="n">
        <x:v>425</x:v>
      </x:c>
      <x:c r="E1689" s="51" t="n">
        <x:v>112</x:v>
      </x:c>
      <x:c r="F1689" s="38" t="n">
        <x:v>0.08107592521938191</x:v>
      </x:c>
      <x:c r="G1689" s="38" t="n">
        <x:v>0.021365890881343</x:v>
      </x:c>
      <x:c r="H1689" s="57" t="n">
        <x:v>5401.95</x:v>
      </x:c>
      <x:c r="I1689" s="57" t="n">
        <x:v>0.15</x:v>
      </x:c>
      <x:c r="J1689" s="57" t="n">
        <x:v>7.035046760164281</x:v>
      </x:c>
      <x:c r="K1689" s="57" t="n">
        <x:v>40.552570140246424</x:v>
      </x:c>
      <x:c r="L1689" s="57" t="n">
        <x:v>60.07510020035203</x:v>
      </x:c>
    </x:row>
    <x:row r="1690" ht="32.400001525878906" hidden="0" customHeight="1">
      <x:c r="A1690" s="27" t="str">
        <x:v>Miami-Dade County, Florida</x:v>
      </x:c>
      <x:c r="B1690" s="27" t="str">
        <x:v>12086012103</x:v>
      </x:c>
      <x:c r="C1690" s="50" t="n">
        <x:v>3374</x:v>
      </x:c>
      <x:c r="D1690" s="50" t="n">
        <x:v>255</x:v>
      </x:c>
      <x:c r="E1690" s="50" t="n">
        <x:v>0</x:v>
      </x:c>
      <x:c r="F1690" s="37" t="n">
        <x:v>0.07557794902193242</x:v>
      </x:c>
      <x:c r="G1690" s="37" t="n">
        <x:v>0</x:v>
      </x:c>
      <x:c r="H1690" s="56" t="n">
        <x:v>3463.2499999999995</x:v>
      </x:c>
      <x:c r="I1690" s="56" t="n">
        <x:v>0.096</x:v>
      </x:c>
      <x:c r="J1690" s="56" t="n">
        <x:v>6.594921091336191</x:v>
      </x:c>
      <x:c r="K1690" s="56" t="n">
        <x:v>39.89238163700429</x:v>
      </x:c>
      <x:c r="L1690" s="56" t="n">
        <x:v>59.13197376714898</x:v>
      </x:c>
    </x:row>
    <x:row r="1691" ht="32.400001525878906" hidden="0" customHeight="1">
      <x:c r="A1691" s="29" t="str">
        <x:v>Miami-Dade County, Florida</x:v>
      </x:c>
      <x:c r="B1691" s="29" t="str">
        <x:v>12086012104</x:v>
      </x:c>
      <x:c r="C1691" s="51" t="n">
        <x:v>2009</x:v>
      </x:c>
      <x:c r="D1691" s="51" t="n">
        <x:v>59</x:v>
      </x:c>
      <x:c r="E1691" s="51" t="n">
        <x:v>10</x:v>
      </x:c>
      <x:c r="F1691" s="38" t="n">
        <x:v>0.02936784469885515</x:v>
      </x:c>
      <x:c r="G1691" s="38" t="n">
        <x:v>0.004977600796416127</x:v>
      </x:c>
      <x:c r="H1691" s="57" t="n">
        <x:v>2030.6500000000003</x:v>
      </x:c>
      <x:c r="I1691" s="57" t="n">
        <x:v>0.065</x:v>
      </x:c>
      <x:c r="J1691" s="57" t="n">
        <x:v>6.49795931287124</x:v>
      </x:c>
      <x:c r="K1691" s="57" t="n">
        <x:v>39.74693896930686</x:v>
      </x:c>
      <x:c r="L1691" s="57" t="n">
        <x:v>58.924198527581225</x:v>
      </x:c>
    </x:row>
    <x:row r="1692" ht="32.400001525878906" hidden="0" customHeight="1">
      <x:c r="A1692" s="27" t="str">
        <x:v>Miami-Dade County, Florida</x:v>
      </x:c>
      <x:c r="B1692" s="27" t="str">
        <x:v>12086012105</x:v>
      </x:c>
      <x:c r="C1692" s="50" t="n">
        <x:v>2696</x:v>
      </x:c>
      <x:c r="D1692" s="50" t="n">
        <x:v>262</x:v>
      </x:c>
      <x:c r="E1692" s="50" t="n">
        <x:v>185</x:v>
      </x:c>
      <x:c r="F1692" s="37" t="n">
        <x:v>0.09718100890207715</x:v>
      </x:c>
      <x:c r="G1692" s="37" t="n">
        <x:v>0.06862017804154302</x:v>
      </x:c>
      <x:c r="H1692" s="56" t="n">
        <x:v>2806.2</x:v>
      </x:c>
      <x:c r="I1692" s="56" t="n">
        <x:v>0.147</x:v>
      </x:c>
      <x:c r="J1692" s="56" t="n">
        <x:v>6.078088298436985</x:v>
      </x:c>
      <x:c r="K1692" s="56" t="n">
        <x:v>39.11713244765548</x:v>
      </x:c>
      <x:c r="L1692" s="56" t="n">
        <x:v>58.02447492522211</x:v>
      </x:c>
    </x:row>
    <x:row r="1693" ht="32.400001525878906" hidden="0" customHeight="1">
      <x:c r="A1693" s="29" t="str">
        <x:v>Miami-Dade County, Florida</x:v>
      </x:c>
      <x:c r="B1693" s="29" t="str">
        <x:v>12086012200</x:v>
      </x:c>
      <x:c r="C1693" s="51" t="n">
        <x:v>5410</x:v>
      </x:c>
      <x:c r="D1693" s="51" t="n">
        <x:v>525</x:v>
      </x:c>
      <x:c r="E1693" s="51" t="n">
        <x:v>72</x:v>
      </x:c>
      <x:c r="F1693" s="38" t="n">
        <x:v>0.09704251386321626</x:v>
      </x:c>
      <x:c r="G1693" s="38" t="n">
        <x:v>0.013308687615526803</x:v>
      </x:c>
      <x:c r="H1693" s="57" t="n">
        <x:v>5600.950000000001</x:v>
      </x:c>
      <x:c r="I1693" s="57" t="n">
        <x:v>0.795</x:v>
      </x:c>
      <x:c r="J1693" s="57" t="n">
        <x:v>4.990068842688502</x:v>
      </x:c>
      <x:c r="K1693" s="57" t="n">
        <x:v>37.48510326403275</x:v>
      </x:c>
      <x:c r="L1693" s="57" t="n">
        <x:v>55.69300466290393</x:v>
      </x:c>
    </x:row>
    <x:row r="1694" ht="32.400001525878906" hidden="0" customHeight="1">
      <x:c r="A1694" s="27" t="str">
        <x:v>Miami-Dade County, Florida</x:v>
      </x:c>
      <x:c r="B1694" s="27" t="str">
        <x:v>12086012301</x:v>
      </x:c>
      <x:c r="C1694" s="50" t="n">
        <x:v>2537</x:v>
      </x:c>
      <x:c r="D1694" s="50" t="n">
        <x:v>289</x:v>
      </x:c>
      <x:c r="E1694" s="50" t="n">
        <x:v>0</x:v>
      </x:c>
      <x:c r="F1694" s="37" t="n">
        <x:v>0.11391407173827355</x:v>
      </x:c>
      <x:c r="G1694" s="37" t="n">
        <x:v>0</x:v>
      </x:c>
      <x:c r="H1694" s="56" t="n">
        <x:v>2638.15</x:v>
      </x:c>
      <x:c r="I1694" s="56" t="n">
        <x:v>0.216</x:v>
      </x:c>
      <x:c r="J1694" s="56" t="n">
        <x:v>6.352090600196374</x:v>
      </x:c>
      <x:c r="K1694" s="56" t="n">
        <x:v>39.52813590029456</x:v>
      </x:c>
      <x:c r="L1694" s="56" t="n">
        <x:v>58.61162271470651</x:v>
      </x:c>
    </x:row>
    <x:row r="1695" ht="32.400001525878906" hidden="0" customHeight="1">
      <x:c r="A1695" s="29" t="str">
        <x:v>Miami-Dade County, Florida</x:v>
      </x:c>
      <x:c r="B1695" s="29" t="str">
        <x:v>12086012302</x:v>
      </x:c>
      <x:c r="C1695" s="51" t="n">
        <x:v>4471</x:v>
      </x:c>
      <x:c r="D1695" s="51" t="n">
        <x:v>458</x:v>
      </x:c>
      <x:c r="E1695" s="51" t="n">
        <x:v>199.5</x:v>
      </x:c>
      <x:c r="F1695" s="38" t="n">
        <x:v>0.10243793334824423</x:v>
      </x:c>
      <x:c r="G1695" s="38" t="n">
        <x:v>0.04462089018116752</x:v>
      </x:c>
      <x:c r="H1695" s="57" t="n">
        <x:v>4651.250000000001</x:v>
      </x:c>
      <x:c r="I1695" s="57" t="n">
        <x:v>0.333</x:v>
      </x:c>
      <x:c r="J1695" s="57" t="n">
        <x:v>7.232548734374221</x:v>
      </x:c>
      <x:c r="K1695" s="57" t="n">
        <x:v>40.84882310156134</x:v>
      </x:c>
      <x:c r="L1695" s="57" t="n">
        <x:v>60.49831871651619</x:v>
      </x:c>
    </x:row>
    <x:row r="1696" ht="32.400001525878906" hidden="0" customHeight="1">
      <x:c r="A1696" s="27" t="str">
        <x:v>Miami-Dade County, Florida</x:v>
      </x:c>
      <x:c r="B1696" s="27" t="str">
        <x:v>12086012401</x:v>
      </x:c>
      <x:c r="C1696" s="50" t="n">
        <x:v>5177</x:v>
      </x:c>
      <x:c r="D1696" s="50" t="n">
        <x:v>660</x:v>
      </x:c>
      <x:c r="E1696" s="50" t="n">
        <x:v>0</x:v>
      </x:c>
      <x:c r="F1696" s="37" t="n">
        <x:v>0.12748696156074946</x:v>
      </x:c>
      <x:c r="G1696" s="37" t="n">
        <x:v>0</x:v>
      </x:c>
      <x:c r="H1696" s="56" t="n">
        <x:v>5408</x:v>
      </x:c>
      <x:c r="I1696" s="56" t="n">
        <x:v>0.346</x:v>
      </x:c>
      <x:c r="J1696" s="56" t="n">
        <x:v>5.394972171432721</x:v>
      </x:c>
      <x:c r="K1696" s="56" t="n">
        <x:v>38.092458257149076</x:v>
      </x:c>
      <x:c r="L1696" s="56" t="n">
        <x:v>56.56065465307012</x:v>
      </x:c>
    </x:row>
    <x:row r="1697" ht="32.400001525878906" hidden="0" customHeight="1">
      <x:c r="A1697" s="29" t="str">
        <x:v>Miami-Dade County, Florida</x:v>
      </x:c>
      <x:c r="B1697" s="29" t="str">
        <x:v>12086012402</x:v>
      </x:c>
      <x:c r="C1697" s="51" t="n">
        <x:v>3199</x:v>
      </x:c>
      <x:c r="D1697" s="51" t="n">
        <x:v>207</x:v>
      </x:c>
      <x:c r="E1697" s="51" t="n">
        <x:v>32</x:v>
      </x:c>
      <x:c r="F1697" s="38" t="n">
        <x:v>0.0647077211628634</x:v>
      </x:c>
      <x:c r="G1697" s="38" t="n">
        <x:v>0.01000312597686777</x:v>
      </x:c>
      <x:c r="H1697" s="57" t="n">
        <x:v>3274.65</x:v>
      </x:c>
      <x:c r="I1697" s="57" t="n">
        <x:v>0.514</x:v>
      </x:c>
      <x:c r="J1697" s="57" t="n">
        <x:v>3.6043452365498116</x:v>
      </x:c>
      <x:c r="K1697" s="57" t="n">
        <x:v>35.40651785482472</x:v>
      </x:c>
      <x:c r="L1697" s="57" t="n">
        <x:v>52.72359693546388</x:v>
      </x:c>
    </x:row>
    <x:row r="1698" ht="32.400001525878906" hidden="0" customHeight="1">
      <x:c r="A1698" s="27" t="str">
        <x:v>Miami-Dade County, Florida</x:v>
      </x:c>
      <x:c r="B1698" s="27" t="str">
        <x:v>12086012403</x:v>
      </x:c>
      <x:c r="C1698" s="50" t="n">
        <x:v>1792</x:v>
      </x:c>
      <x:c r="D1698" s="50" t="n">
        <x:v>242</x:v>
      </x:c>
      <x:c r="E1698" s="50" t="n">
        <x:v>65</x:v>
      </x:c>
      <x:c r="F1698" s="37" t="n">
        <x:v>0.13504464285714285</x:v>
      </x:c>
      <x:c r="G1698" s="37" t="n">
        <x:v>0.03627232142857143</x:v>
      </x:c>
      <x:c r="H1698" s="56" t="n">
        <x:v>1883.2000000000003</x:v>
      </x:c>
      <x:c r="I1698" s="56" t="n">
        <x:v>9.701</x:v>
      </x:c>
      <x:c r="J1698" s="56" t="n">
        <x:v>6.304496783552686</x:v>
      </x:c>
      <x:c r="K1698" s="56" t="n">
        <x:v>39.45674517532903</x:v>
      </x:c>
      <x:c r="L1698" s="56" t="n">
        <x:v>58.50963596475576</x:v>
      </x:c>
    </x:row>
    <x:row r="1699" ht="32.400001525878906" hidden="0" customHeight="1">
      <x:c r="A1699" s="29" t="str">
        <x:v>Miami-Dade County, Florida</x:v>
      </x:c>
      <x:c r="B1699" s="29" t="str">
        <x:v>12086012501</x:v>
      </x:c>
      <x:c r="C1699" s="51" t="n">
        <x:v>1698</x:v>
      </x:c>
      <x:c r="D1699" s="51" t="n">
        <x:v>306</x:v>
      </x:c>
      <x:c r="E1699" s="51" t="n">
        <x:v>48</x:v>
      </x:c>
      <x:c r="F1699" s="38" t="n">
        <x:v>0.18021201413427562</x:v>
      </x:c>
      <x:c r="G1699" s="38" t="n">
        <x:v>0.028268551236749116</x:v>
      </x:c>
      <x:c r="H1699" s="57" t="n">
        <x:v>1809.9000000000003</x:v>
      </x:c>
      <x:c r="I1699" s="57" t="n">
        <x:v>4.023</x:v>
      </x:c>
      <x:c r="J1699" s="57" t="n">
        <x:v>3.172946187012376</x:v>
      </x:c>
      <x:c r="K1699" s="57" t="n">
        <x:v>34.759419280518564</x:v>
      </x:c>
      <x:c r="L1699" s="57" t="n">
        <x:v>51.799170400740806</x:v>
      </x:c>
    </x:row>
    <x:row r="1700" ht="32.400001525878906" hidden="0" customHeight="1">
      <x:c r="A1700" s="27" t="str">
        <x:v>Miami-Dade County, Florida</x:v>
      </x:c>
      <x:c r="B1700" s="27" t="str">
        <x:v>12086012502</x:v>
      </x:c>
      <x:c r="C1700" s="50" t="n">
        <x:v>4215</x:v>
      </x:c>
      <x:c r="D1700" s="50" t="n">
        <x:v>566</x:v>
      </x:c>
      <x:c r="E1700" s="50" t="n">
        <x:v>90</x:v>
      </x:c>
      <x:c r="F1700" s="37" t="n">
        <x:v>0.13428232502965598</x:v>
      </x:c>
      <x:c r="G1700" s="37" t="n">
        <x:v>0.021352313167259787</x:v>
      </x:c>
      <x:c r="H1700" s="56" t="n">
        <x:v>4422.1</x:v>
      </x:c>
      <x:c r="I1700" s="56" t="n">
        <x:v>0.347</x:v>
      </x:c>
      <x:c r="J1700" s="56" t="n">
        <x:v>4.392574798448944</x:v>
      </x:c>
      <x:c r="K1700" s="56" t="n">
        <x:v>36.588862197673414</x:v>
      </x:c>
      <x:c r="L1700" s="56" t="n">
        <x:v>54.41266028239059</x:v>
      </x:c>
    </x:row>
    <x:row r="1701" ht="32.400001525878906" hidden="0" customHeight="1">
      <x:c r="A1701" s="29" t="str">
        <x:v>Miami-Dade County, Florida</x:v>
      </x:c>
      <x:c r="B1701" s="29" t="str">
        <x:v>12086012601</x:v>
      </x:c>
      <x:c r="C1701" s="51" t="n">
        <x:v>3326</x:v>
      </x:c>
      <x:c r="D1701" s="51" t="n">
        <x:v>297</x:v>
      </x:c>
      <x:c r="E1701" s="51" t="n">
        <x:v>20</x:v>
      </x:c>
      <x:c r="F1701" s="38" t="n">
        <x:v>0.08929645219482862</x:v>
      </x:c>
      <x:c r="G1701" s="38" t="n">
        <x:v>0.006013229104028864</x:v>
      </x:c>
      <x:c r="H1701" s="57" t="n">
        <x:v>3431.9500000000003</x:v>
      </x:c>
      <x:c r="I1701" s="57" t="n">
        <x:v>0.152</x:v>
      </x:c>
      <x:c r="J1701" s="57" t="n">
        <x:v>3.1513338705394003</x:v>
      </x:c>
      <x:c r="K1701" s="57" t="n">
        <x:v>34.7270008058091</x:v>
      </x:c>
      <x:c r="L1701" s="57" t="n">
        <x:v>51.752858294013</x:v>
      </x:c>
    </x:row>
    <x:row r="1702" ht="32.400001525878906" hidden="0" customHeight="1">
      <x:c r="A1702" s="27" t="str">
        <x:v>Miami-Dade County, Florida</x:v>
      </x:c>
      <x:c r="B1702" s="27" t="str">
        <x:v>12086012602</x:v>
      </x:c>
      <x:c r="C1702" s="50" t="n">
        <x:v>3781</x:v>
      </x:c>
      <x:c r="D1702" s="50" t="n">
        <x:v>419</x:v>
      </x:c>
      <x:c r="E1702" s="50" t="n">
        <x:v>44</x:v>
      </x:c>
      <x:c r="F1702" s="37" t="n">
        <x:v>0.1108172441153134</x:v>
      </x:c>
      <x:c r="G1702" s="37" t="n">
        <x:v>0.011637133033588997</x:v>
      </x:c>
      <x:c r="H1702" s="56" t="n">
        <x:v>3932.05</x:v>
      </x:c>
      <x:c r="I1702" s="56" t="n">
        <x:v>0.148</x:v>
      </x:c>
      <x:c r="J1702" s="56" t="n">
        <x:v>4.086811032322956</x:v>
      </x:c>
      <x:c r="K1702" s="56" t="n">
        <x:v>36.130216548484434</x:v>
      </x:c>
      <x:c r="L1702" s="56" t="n">
        <x:v>53.75745221212062</x:v>
      </x:c>
    </x:row>
    <x:row r="1703" ht="32.400001525878906" hidden="0" customHeight="1">
      <x:c r="A1703" s="29" t="str">
        <x:v>Miami-Dade County, Florida</x:v>
      </x:c>
      <x:c r="B1703" s="29" t="str">
        <x:v>12086012701</x:v>
      </x:c>
      <x:c r="C1703" s="51" t="n">
        <x:v>14387</x:v>
      </x:c>
      <x:c r="D1703" s="51" t="n">
        <x:v>1042</x:v>
      </x:c>
      <x:c r="E1703" s="51" t="n">
        <x:v>213</x:v>
      </x:c>
      <x:c r="F1703" s="38" t="n">
        <x:v>0.07242649614235074</x:v>
      </x:c>
      <x:c r="G1703" s="38" t="n">
        <x:v>0.014805032320845207</x:v>
      </x:c>
      <x:c r="H1703" s="57" t="n">
        <x:v>14773</x:v>
      </x:c>
      <x:c r="I1703" s="57" t="n">
        <x:v>2.811</x:v>
      </x:c>
      <x:c r="J1703" s="57" t="n">
        <x:v>0</x:v>
      </x:c>
      <x:c r="K1703" s="57" t="n">
        <x:v>30</x:v>
      </x:c>
      <x:c r="L1703" s="57" t="n">
        <x:v>45</x:v>
      </x:c>
    </x:row>
    <x:row r="1704" ht="32.400001525878906" hidden="0" customHeight="1">
      <x:c r="A1704" s="27" t="str">
        <x:v>Miami-Dade County, Florida</x:v>
      </x:c>
      <x:c r="B1704" s="27" t="str">
        <x:v>12086012702</x:v>
      </x:c>
      <x:c r="C1704" s="50" t="n">
        <x:v>4419</x:v>
      </x:c>
      <x:c r="D1704" s="50" t="n">
        <x:v>466</x:v>
      </x:c>
      <x:c r="E1704" s="50" t="n">
        <x:v>98</x:v>
      </x:c>
      <x:c r="F1704" s="37" t="n">
        <x:v>0.10545372256166553</x:v>
      </x:c>
      <x:c r="G1704" s="37" t="n">
        <x:v>0.022176963113826657</x:v>
      </x:c>
      <x:c r="H1704" s="56" t="n">
        <x:v>4591.900000000001</x:v>
      </x:c>
      <x:c r="I1704" s="56" t="n">
        <x:v>0.913</x:v>
      </x:c>
      <x:c r="J1704" s="56" t="n">
        <x:v>4.256754837671461</x:v>
      </x:c>
      <x:c r="K1704" s="56" t="n">
        <x:v>36.38513225650719</x:v>
      </x:c>
      <x:c r="L1704" s="56" t="n">
        <x:v>54.12161750929599</x:v>
      </x:c>
    </x:row>
    <x:row r="1705" ht="32.400001525878906" hidden="0" customHeight="1">
      <x:c r="A1705" s="29" t="str">
        <x:v>Miami-Dade County, Florida</x:v>
      </x:c>
      <x:c r="B1705" s="29" t="str">
        <x:v>12086012801</x:v>
      </x:c>
      <x:c r="C1705" s="51" t="n">
        <x:v>4324</x:v>
      </x:c>
      <x:c r="D1705" s="51" t="n">
        <x:v>419</x:v>
      </x:c>
      <x:c r="E1705" s="51" t="n">
        <x:v>0</x:v>
      </x:c>
      <x:c r="F1705" s="38" t="n">
        <x:v>0.09690101757631822</x:v>
      </x:c>
      <x:c r="G1705" s="38" t="n">
        <x:v>0</x:v>
      </x:c>
      <x:c r="H1705" s="57" t="n">
        <x:v>4470.65</x:v>
      </x:c>
      <x:c r="I1705" s="57" t="n">
        <x:v>0.607</x:v>
      </x:c>
      <x:c r="J1705" s="57" t="n">
        <x:v>2.4690072172974253</x:v>
      </x:c>
      <x:c r="K1705" s="57" t="n">
        <x:v>33.70351082594614</x:v>
      </x:c>
      <x:c r="L1705" s="57" t="n">
        <x:v>50.29072975135163</x:v>
      </x:c>
    </x:row>
    <x:row r="1706" ht="32.400001525878906" hidden="0" customHeight="1">
      <x:c r="A1706" s="27" t="str">
        <x:v>Miami-Dade County, Florida</x:v>
      </x:c>
      <x:c r="B1706" s="27" t="str">
        <x:v>12086012802</x:v>
      </x:c>
      <x:c r="C1706" s="50" t="n">
        <x:v>3461</x:v>
      </x:c>
      <x:c r="D1706" s="50" t="n">
        <x:v>190</x:v>
      </x:c>
      <x:c r="E1706" s="50" t="n">
        <x:v>6</x:v>
      </x:c>
      <x:c r="F1706" s="37" t="n">
        <x:v>0.05489742848887605</x:v>
      </x:c>
      <x:c r="G1706" s="37" t="n">
        <x:v>0.0017336030049118752</x:v>
      </x:c>
      <x:c r="H1706" s="56" t="n">
        <x:v>3528.1</x:v>
      </x:c>
      <x:c r="I1706" s="56" t="n">
        <x:v>0.839</x:v>
      </x:c>
      <x:c r="J1706" s="56" t="n">
        <x:v>3.871814978447027</x:v>
      </x:c>
      <x:c r="K1706" s="56" t="n">
        <x:v>35.807722467670544</x:v>
      </x:c>
      <x:c r="L1706" s="56" t="n">
        <x:v>53.29674638238649</x:v>
      </x:c>
    </x:row>
    <x:row r="1707" ht="32.400001525878906" hidden="0" customHeight="1">
      <x:c r="A1707" s="29" t="str">
        <x:v>Miami-Dade County, Florida</x:v>
      </x:c>
      <x:c r="B1707" s="29" t="str">
        <x:v>12086012900</x:v>
      </x:c>
      <x:c r="C1707" s="51" t="n">
        <x:v>4149</x:v>
      </x:c>
      <x:c r="D1707" s="51" t="n">
        <x:v>390</x:v>
      </x:c>
      <x:c r="E1707" s="51" t="n">
        <x:v>77.5</x:v>
      </x:c>
      <x:c r="F1707" s="38" t="n">
        <x:v>0.09399855386840203</x:v>
      </x:c>
      <x:c r="G1707" s="38" t="n">
        <x:v>0.018679199807182453</x:v>
      </x:c>
      <x:c r="H1707" s="57" t="n">
        <x:v>4293.25</x:v>
      </x:c>
      <x:c r="I1707" s="57" t="n">
        <x:v>0.737</x:v>
      </x:c>
      <x:c r="J1707" s="57" t="n">
        <x:v>5.352827923871832</x:v>
      </x:c>
      <x:c r="K1707" s="57" t="n">
        <x:v>38.02924188580775</x:v>
      </x:c>
      <x:c r="L1707" s="57" t="n">
        <x:v>56.470345551153926</x:v>
      </x:c>
    </x:row>
    <x:row r="1708" ht="32.400001525878906" hidden="0" customHeight="1">
      <x:c r="A1708" s="27" t="str">
        <x:v>Miami-Dade County, Florida</x:v>
      </x:c>
      <x:c r="B1708" s="27" t="str">
        <x:v>12086013000</x:v>
      </x:c>
      <x:c r="C1708" s="50" t="n">
        <x:v>4388</x:v>
      </x:c>
      <x:c r="D1708" s="50" t="n">
        <x:v>503</x:v>
      </x:c>
      <x:c r="E1708" s="50" t="n">
        <x:v>70</x:v>
      </x:c>
      <x:c r="F1708" s="37" t="n">
        <x:v>0.11463081130355515</x:v>
      </x:c>
      <x:c r="G1708" s="37" t="n">
        <x:v>0.015952597994530537</x:v>
      </x:c>
      <x:c r="H1708" s="56" t="n">
        <x:v>4571.05</x:v>
      </x:c>
      <x:c r="I1708" s="56" t="n">
        <x:v>0.249</x:v>
      </x:c>
      <x:c r="J1708" s="56" t="n">
        <x:v>5.327149048678311</x:v>
      </x:c>
      <x:c r="K1708" s="56" t="n">
        <x:v>37.99072357301747</x:v>
      </x:c>
      <x:c r="L1708" s="56" t="n">
        <x:v>56.41531939002495</x:v>
      </x:c>
    </x:row>
    <x:row r="1709" ht="32.400001525878906" hidden="0" customHeight="1">
      <x:c r="A1709" s="29" t="str">
        <x:v>Miami-Dade County, Florida</x:v>
      </x:c>
      <x:c r="B1709" s="29" t="str">
        <x:v>12086013100</x:v>
      </x:c>
      <x:c r="C1709" s="51" t="n">
        <x:v>4975</x:v>
      </x:c>
      <x:c r="D1709" s="51" t="n">
        <x:v>654</x:v>
      </x:c>
      <x:c r="E1709" s="51" t="n">
        <x:v>81</x:v>
      </x:c>
      <x:c r="F1709" s="38" t="n">
        <x:v>0.1314572864321608</x:v>
      </x:c>
      <x:c r="G1709" s="38" t="n">
        <x:v>0.01628140703517588</x:v>
      </x:c>
      <x:c r="H1709" s="57" t="n">
        <x:v>5212.000000000001</x:v>
      </x:c>
      <x:c r="I1709" s="57" t="n">
        <x:v>0.315</x:v>
      </x:c>
      <x:c r="J1709" s="57" t="n">
        <x:v>3.885974437828884</x:v>
      </x:c>
      <x:c r="K1709" s="57" t="n">
        <x:v>35.828961656743324</x:v>
      </x:c>
      <x:c r="L1709" s="57" t="n">
        <x:v>53.327088081061895</x:v>
      </x:c>
    </x:row>
    <x:row r="1710" ht="32.400001525878906" hidden="0" customHeight="1">
      <x:c r="A1710" s="27" t="str">
        <x:v>Miami-Dade County, Florida</x:v>
      </x:c>
      <x:c r="B1710" s="27" t="str">
        <x:v>12086013201</x:v>
      </x:c>
      <x:c r="C1710" s="50" t="n">
        <x:v>2190</x:v>
      </x:c>
      <x:c r="D1710" s="50" t="n">
        <x:v>268</x:v>
      </x:c>
      <x:c r="E1710" s="50" t="n">
        <x:v>16</x:v>
      </x:c>
      <x:c r="F1710" s="37" t="n">
        <x:v>0.1223744292237443</x:v>
      </x:c>
      <x:c r="G1710" s="37" t="n">
        <x:v>0.0073059360730593605</x:v>
      </x:c>
      <x:c r="H1710" s="56" t="n">
        <x:v>2285.3999999999996</x:v>
      </x:c>
      <x:c r="I1710" s="56" t="n">
        <x:v>0.127</x:v>
      </x:c>
      <x:c r="J1710" s="56" t="n">
        <x:v>4.953027254454892</x:v>
      </x:c>
      <x:c r="K1710" s="56" t="n">
        <x:v>37.429540881682335</x:v>
      </x:c>
      <x:c r="L1710" s="56" t="n">
        <x:v>55.61362983097477</x:v>
      </x:c>
    </x:row>
    <x:row r="1711" ht="32.400001525878906" hidden="0" customHeight="1">
      <x:c r="A1711" s="29" t="str">
        <x:v>Miami-Dade County, Florida</x:v>
      </x:c>
      <x:c r="B1711" s="29" t="str">
        <x:v>12086013202</x:v>
      </x:c>
      <x:c r="C1711" s="51" t="n">
        <x:v>3251</x:v>
      </x:c>
      <x:c r="D1711" s="51" t="n">
        <x:v>475</x:v>
      </x:c>
      <x:c r="E1711" s="51" t="n">
        <x:v>34</x:v>
      </x:c>
      <x:c r="F1711" s="38" t="n">
        <x:v>0.14610888957243925</x:v>
      </x:c>
      <x:c r="G1711" s="38" t="n">
        <x:v>0.010458320516764073</x:v>
      </x:c>
      <x:c r="H1711" s="57" t="n">
        <x:v>3420.65</x:v>
      </x:c>
      <x:c r="I1711" s="57" t="n">
        <x:v>0.226</x:v>
      </x:c>
      <x:c r="J1711" s="57" t="n">
        <x:v>4.5396347019536565</x:v>
      </x:c>
      <x:c r="K1711" s="57" t="n">
        <x:v>36.80945205293048</x:v>
      </x:c>
      <x:c r="L1711" s="57" t="n">
        <x:v>54.72778864704355</x:v>
      </x:c>
    </x:row>
    <x:row r="1712" ht="32.400001525878906" hidden="0" customHeight="1">
      <x:c r="A1712" s="27" t="str">
        <x:v>Miami-Dade County, Florida</x:v>
      </x:c>
      <x:c r="B1712" s="27" t="str">
        <x:v>12086013301</x:v>
      </x:c>
      <x:c r="C1712" s="50" t="n">
        <x:v>2827</x:v>
      </x:c>
      <x:c r="D1712" s="50" t="n">
        <x:v>268</x:v>
      </x:c>
      <x:c r="E1712" s="50" t="n">
        <x:v>34</x:v>
      </x:c>
      <x:c r="F1712" s="37" t="n">
        <x:v>0.0948001414927485</x:v>
      </x:c>
      <x:c r="G1712" s="37" t="n">
        <x:v>0.012026883622214362</x:v>
      </x:c>
      <x:c r="H1712" s="56" t="n">
        <x:v>2924.2</x:v>
      </x:c>
      <x:c r="I1712" s="56" t="n">
        <x:v>0.184</x:v>
      </x:c>
      <x:c r="J1712" s="56" t="n">
        <x:v>5.653331273450031</x:v>
      </x:c>
      <x:c r="K1712" s="56" t="n">
        <x:v>38.479996910175046</x:v>
      </x:c>
      <x:c r="L1712" s="56" t="n">
        <x:v>57.11428130025007</x:v>
      </x:c>
    </x:row>
    <x:row r="1713" ht="32.400001525878906" hidden="0" customHeight="1">
      <x:c r="A1713" s="29" t="str">
        <x:v>Miami-Dade County, Florida</x:v>
      </x:c>
      <x:c r="B1713" s="29" t="str">
        <x:v>12086013302</x:v>
      </x:c>
      <x:c r="C1713" s="51" t="n">
        <x:v>3776</x:v>
      </x:c>
      <x:c r="D1713" s="51" t="n">
        <x:v>294</x:v>
      </x:c>
      <x:c r="E1713" s="51" t="n">
        <x:v>80</x:v>
      </x:c>
      <x:c r="F1713" s="38" t="n">
        <x:v>0.07786016949152542</x:v>
      </x:c>
      <x:c r="G1713" s="38" t="n">
        <x:v>0.0211864406779661</x:v>
      </x:c>
      <x:c r="H1713" s="57" t="n">
        <x:v>3886.9</x:v>
      </x:c>
      <x:c r="I1713" s="57" t="n">
        <x:v>0.32</x:v>
      </x:c>
      <x:c r="J1713" s="57" t="n">
        <x:v>5.441466820472569</x:v>
      </x:c>
      <x:c r="K1713" s="57" t="n">
        <x:v>38.162200230708855</x:v>
      </x:c>
      <x:c r="L1713" s="57" t="n">
        <x:v>56.66028604386979</x:v>
      </x:c>
    </x:row>
    <x:row r="1714" ht="32.400001525878906" hidden="0" customHeight="1">
      <x:c r="A1714" s="27" t="str">
        <x:v>Miami-Dade County, Florida</x:v>
      </x:c>
      <x:c r="B1714" s="27" t="str">
        <x:v>12086013400</x:v>
      </x:c>
      <x:c r="C1714" s="50" t="n">
        <x:v>4886</x:v>
      </x:c>
      <x:c r="D1714" s="50" t="n">
        <x:v>610</x:v>
      </x:c>
      <x:c r="E1714" s="50" t="n">
        <x:v>282</x:v>
      </x:c>
      <x:c r="F1714" s="37" t="n">
        <x:v>0.1248465002046664</x:v>
      </x:c>
      <x:c r="G1714" s="37" t="n">
        <x:v>0.05771592304543594</x:v>
      </x:c>
      <x:c r="H1714" s="56" t="n">
        <x:v>5127.7</x:v>
      </x:c>
      <x:c r="I1714" s="56" t="n">
        <x:v>0.177</x:v>
      </x:c>
      <x:c r="J1714" s="56" t="n">
        <x:v>6.226543214857896</x:v>
      </x:c>
      <x:c r="K1714" s="56" t="n">
        <x:v>39.33981482228684</x:v>
      </x:c>
      <x:c r="L1714" s="56" t="n">
        <x:v>58.34259260326692</x:v>
      </x:c>
    </x:row>
    <x:row r="1715" ht="32.400001525878906" hidden="0" customHeight="1">
      <x:c r="A1715" s="29" t="str">
        <x:v>Miami-Dade County, Florida</x:v>
      </x:c>
      <x:c r="B1715" s="29" t="str">
        <x:v>12086013500</x:v>
      </x:c>
      <x:c r="C1715" s="51" t="n">
        <x:v>5384</x:v>
      </x:c>
      <x:c r="D1715" s="51" t="n">
        <x:v>717</x:v>
      </x:c>
      <x:c r="E1715" s="51" t="n">
        <x:v>439.5</x:v>
      </x:c>
      <x:c r="F1715" s="38" t="n">
        <x:v>0.13317236255572065</x:v>
      </x:c>
      <x:c r="G1715" s="38" t="n">
        <x:v>0.08163075780089153</x:v>
      </x:c>
      <x:c r="H1715" s="57" t="n">
        <x:v>5678.900000000001</x:v>
      </x:c>
      <x:c r="I1715" s="57" t="n">
        <x:v>0.242</x:v>
      </x:c>
      <x:c r="J1715" s="57" t="n">
        <x:v>7.062317843713748</x:v>
      </x:c>
      <x:c r="K1715" s="57" t="n">
        <x:v>40.59347676557062</x:v>
      </x:c>
      <x:c r="L1715" s="57" t="n">
        <x:v>60.13353823652946</x:v>
      </x:c>
    </x:row>
    <x:row r="1716" ht="32.400001525878906" hidden="0" customHeight="1">
      <x:c r="A1716" s="27" t="str">
        <x:v>Miami-Dade County, Florida</x:v>
      </x:c>
      <x:c r="B1716" s="27" t="str">
        <x:v>12086013600</x:v>
      </x:c>
      <x:c r="C1716" s="50" t="n">
        <x:v>6027</x:v>
      </x:c>
      <x:c r="D1716" s="50" t="n">
        <x:v>801</x:v>
      </x:c>
      <x:c r="E1716" s="50" t="n">
        <x:v>260</x:v>
      </x:c>
      <x:c r="F1716" s="37" t="n">
        <x:v>0.1329019412643106</x:v>
      </x:c>
      <x:c r="G1716" s="37" t="n">
        <x:v>0.0431392069022731</x:v>
      </x:c>
      <x:c r="H1716" s="56" t="n">
        <x:v>6333.350000000001</x:v>
      </x:c>
      <x:c r="I1716" s="56" t="n">
        <x:v>0.302</x:v>
      </x:c>
      <x:c r="J1716" s="56" t="n">
        <x:v>8.063589248301989</x:v>
      </x:c>
      <x:c r="K1716" s="56" t="n">
        <x:v>42.095383872452985</x:v>
      </x:c>
      <x:c r="L1716" s="56" t="n">
        <x:v>62.279119817789976</x:v>
      </x:c>
    </x:row>
    <x:row r="1717" ht="32.400001525878906" hidden="0" customHeight="1">
      <x:c r="A1717" s="29" t="str">
        <x:v>Miami-Dade County, Florida</x:v>
      </x:c>
      <x:c r="B1717" s="29" t="str">
        <x:v>12086013700</x:v>
      </x:c>
      <x:c r="C1717" s="51" t="n">
        <x:v>6034</x:v>
      </x:c>
      <x:c r="D1717" s="51" t="n">
        <x:v>932</x:v>
      </x:c>
      <x:c r="E1717" s="51" t="n">
        <x:v>381</x:v>
      </x:c>
      <x:c r="F1717" s="38" t="n">
        <x:v>0.1544580709313888</x:v>
      </x:c>
      <x:c r="G1717" s="38" t="n">
        <x:v>0.06314219423268147</x:v>
      </x:c>
      <x:c r="H1717" s="57" t="n">
        <x:v>6398.3</x:v>
      </x:c>
      <x:c r="I1717" s="57" t="n">
        <x:v>0.529</x:v>
      </x:c>
      <x:c r="J1717" s="57" t="n">
        <x:v>8.877165417314693</x:v>
      </x:c>
      <x:c r="K1717" s="57" t="n">
        <x:v>43.315748125972036</x:v>
      </x:c>
      <x:c r="L1717" s="57" t="n">
        <x:v>64.0224973228172</x:v>
      </x:c>
    </x:row>
    <x:row r="1718" ht="32.400001525878906" hidden="0" customHeight="1">
      <x:c r="A1718" s="27" t="str">
        <x:v>Miami-Dade County, Florida</x:v>
      </x:c>
      <x:c r="B1718" s="27" t="str">
        <x:v>12086013801</x:v>
      </x:c>
      <x:c r="C1718" s="50" t="n">
        <x:v>1987</x:v>
      </x:c>
      <x:c r="D1718" s="50" t="n">
        <x:v>139</x:v>
      </x:c>
      <x:c r="E1718" s="50" t="n">
        <x:v>56</x:v>
      </x:c>
      <x:c r="F1718" s="37" t="n">
        <x:v>0.06995470558631102</x:v>
      </x:c>
      <x:c r="G1718" s="37" t="n">
        <x:v>0.028183190739808756</x:v>
      </x:c>
      <x:c r="H1718" s="56" t="n">
        <x:v>2041.2499999999998</x:v>
      </x:c>
      <x:c r="I1718" s="56" t="n">
        <x:v>0.076</x:v>
      </x:c>
      <x:c r="J1718" s="56" t="n">
        <x:v>7.065567553392708</x:v>
      </x:c>
      <x:c r="K1718" s="56" t="n">
        <x:v>40.59835133008906</x:v>
      </x:c>
      <x:c r="L1718" s="56" t="n">
        <x:v>60.140501900127234</x:v>
      </x:c>
    </x:row>
    <x:row r="1719" ht="32.400001525878906" hidden="0" customHeight="1">
      <x:c r="A1719" s="29" t="str">
        <x:v>Miami-Dade County, Florida</x:v>
      </x:c>
      <x:c r="B1719" s="29" t="str">
        <x:v>12086013802</x:v>
      </x:c>
      <x:c r="C1719" s="51" t="n">
        <x:v>4506</x:v>
      </x:c>
      <x:c r="D1719" s="51" t="n">
        <x:v>1004</x:v>
      </x:c>
      <x:c r="E1719" s="51" t="n">
        <x:v>110</x:v>
      </x:c>
      <x:c r="F1719" s="38" t="n">
        <x:v>0.2228140257434532</x:v>
      </x:c>
      <x:c r="G1719" s="38" t="n">
        <x:v>0.024411895250776743</x:v>
      </x:c>
      <x:c r="H1719" s="57" t="n">
        <x:v>4868.400000000001</x:v>
      </x:c>
      <x:c r="I1719" s="57" t="n">
        <x:v>0.13</x:v>
      </x:c>
      <x:c r="J1719" s="57" t="n">
        <x:v>7.388543608999658</x:v>
      </x:c>
      <x:c r="K1719" s="57" t="n">
        <x:v>41.08281541349949</x:v>
      </x:c>
      <x:c r="L1719" s="57" t="n">
        <x:v>60.83259344785641</x:v>
      </x:c>
    </x:row>
    <x:row r="1720" ht="32.400001525878906" hidden="0" customHeight="1">
      <x:c r="A1720" s="27" t="str">
        <x:v>Miami-Dade County, Florida</x:v>
      </x:c>
      <x:c r="B1720" s="27" t="str">
        <x:v>12086013900</x:v>
      </x:c>
      <x:c r="C1720" s="50" t="n">
        <x:v>4115</x:v>
      </x:c>
      <x:c r="D1720" s="50" t="n">
        <x:v>301</x:v>
      </x:c>
      <x:c r="E1720" s="50" t="n">
        <x:v>12</x:v>
      </x:c>
      <x:c r="F1720" s="37" t="n">
        <x:v>0.07314702308626975</x:v>
      </x:c>
      <x:c r="G1720" s="37" t="n">
        <x:v>0.0029161603888213854</x:v>
      </x:c>
      <x:c r="H1720" s="56" t="n">
        <x:v>4221.55</x:v>
      </x:c>
      <x:c r="I1720" s="56" t="n">
        <x:v>0.338</x:v>
      </x:c>
      <x:c r="J1720" s="56" t="n">
        <x:v>6.7511039563501205</x:v>
      </x:c>
      <x:c r="K1720" s="56" t="n">
        <x:v>40.12665593452518</x:v>
      </x:c>
      <x:c r="L1720" s="56" t="n">
        <x:v>59.466651335035976</x:v>
      </x:c>
    </x:row>
    <x:row r="1721" ht="32.400001525878906" hidden="0" customHeight="1">
      <x:c r="A1721" s="29" t="str">
        <x:v>Miami-Dade County, Florida</x:v>
      </x:c>
      <x:c r="B1721" s="29" t="str">
        <x:v>12086014100</x:v>
      </x:c>
      <x:c r="C1721" s="51" t="n">
        <x:v>46</x:v>
      </x:c>
      <x:c r="D1721" s="51" t="n">
        <x:v>22</x:v>
      </x:c>
      <x:c r="E1721" s="51" t="n">
        <x:v>0</x:v>
      </x:c>
      <x:c r="F1721" s="38" t="n">
        <x:v>0.4782608695652174</x:v>
      </x:c>
      <x:c r="G1721" s="38" t="n">
        <x:v>0</x:v>
      </x:c>
      <x:c r="H1721" s="57" t="n">
        <x:v>53.7</x:v>
      </x:c>
      <x:c r="I1721" s="57" t="n">
        <x:v>13.547</x:v>
      </x:c>
      <x:c r="J1721" s="57" t="n">
        <x:v>21.555911664667036</x:v>
      </x:c>
      <x:c r="K1721" s="57" t="n">
        <x:v>62.333867497000554</x:v>
      </x:c>
      <x:c r="L1721" s="57" t="n">
        <x:v>91.19123928142936</x:v>
      </x:c>
    </x:row>
    <x:row r="1722" ht="32.400001525878906" hidden="0" customHeight="1">
      <x:c r="A1722" s="27" t="str">
        <x:v>Miami-Dade County, Florida</x:v>
      </x:c>
      <x:c r="B1722" s="27" t="str">
        <x:v>12086014200</x:v>
      </x:c>
      <x:c r="C1722" s="50" t="n">
        <x:v>4285</x:v>
      </x:c>
      <x:c r="D1722" s="50" t="n">
        <x:v>577</x:v>
      </x:c>
      <x:c r="E1722" s="50" t="n">
        <x:v>36</x:v>
      </x:c>
      <x:c r="F1722" s="37" t="n">
        <x:v>0.13465577596266046</x:v>
      </x:c>
      <x:c r="G1722" s="37" t="n">
        <x:v>0.00840140023337223</x:v>
      </x:c>
      <x:c r="H1722" s="56" t="n">
        <x:v>4490.55</x:v>
      </x:c>
      <x:c r="I1722" s="56" t="n">
        <x:v>0.497</x:v>
      </x:c>
      <x:c r="J1722" s="56" t="n">
        <x:v>21.78884594658585</x:v>
      </x:c>
      <x:c r="K1722" s="56" t="n">
        <x:v>62.68326891987878</x:v>
      </x:c>
      <x:c r="L1722" s="56" t="n">
        <x:v>91.6903841712554</x:v>
      </x:c>
    </x:row>
    <x:row r="1723" ht="32.400001525878906" hidden="0" customHeight="1">
      <x:c r="A1723" s="29" t="str">
        <x:v>Miami-Dade County, Florida</x:v>
      </x:c>
      <x:c r="B1723" s="29" t="str">
        <x:v>12086014300</x:v>
      </x:c>
      <x:c r="C1723" s="51" t="n">
        <x:v>3535</x:v>
      </x:c>
      <x:c r="D1723" s="51" t="n">
        <x:v>220</x:v>
      </x:c>
      <x:c r="E1723" s="51" t="n">
        <x:v>30</x:v>
      </x:c>
      <x:c r="F1723" s="38" t="n">
        <x:v>0.06223479490806223</x:v>
      </x:c>
      <x:c r="G1723" s="38" t="n">
        <x:v>0.008486562942008486</x:v>
      </x:c>
      <x:c r="H1723" s="57" t="n">
        <x:v>3615.0000000000005</x:v>
      </x:c>
      <x:c r="I1723" s="57" t="n">
        <x:v>0.435</x:v>
      </x:c>
      <x:c r="J1723" s="57" t="n">
        <x:v>21.705318185229967</x:v>
      </x:c>
      <x:c r="K1723" s="57" t="n">
        <x:v>62.557977277844955</x:v>
      </x:c>
      <x:c r="L1723" s="57" t="n">
        <x:v>91.51139611120708</x:v>
      </x:c>
    </x:row>
    <x:row r="1724" ht="32.400001525878906" hidden="0" customHeight="1">
      <x:c r="A1724" s="27" t="str">
        <x:v>Miami-Dade County, Florida</x:v>
      </x:c>
      <x:c r="B1724" s="27" t="str">
        <x:v>12086014400</x:v>
      </x:c>
      <x:c r="C1724" s="50" t="n">
        <x:v>4342</x:v>
      </x:c>
      <x:c r="D1724" s="50" t="n">
        <x:v>177</x:v>
      </x:c>
      <x:c r="E1724" s="50" t="n">
        <x:v>12</x:v>
      </x:c>
      <x:c r="F1724" s="37" t="n">
        <x:v>0.040764624596959925</x:v>
      </x:c>
      <x:c r="G1724" s="37" t="n">
        <x:v>0.0027637033625057578</x:v>
      </x:c>
      <x:c r="H1724" s="56" t="n">
        <x:v>4405.15</x:v>
      </x:c>
      <x:c r="I1724" s="56" t="n">
        <x:v>0.722</x:v>
      </x:c>
      <x:c r="J1724" s="56" t="n">
        <x:v>21.27527841083071</x:v>
      </x:c>
      <x:c r="K1724" s="56" t="n">
        <x:v>61.91291761624606</x:v>
      </x:c>
      <x:c r="L1724" s="56" t="n">
        <x:v>90.58988230892294</x:v>
      </x:c>
    </x:row>
    <x:row r="1725" ht="32.400001525878906" hidden="0" customHeight="1">
      <x:c r="A1725" s="29" t="str">
        <x:v>Miami-Dade County, Florida</x:v>
      </x:c>
      <x:c r="B1725" s="29" t="str">
        <x:v>12086014500</x:v>
      </x:c>
      <x:c r="C1725" s="51" t="n">
        <x:v>4142</x:v>
      </x:c>
      <x:c r="D1725" s="51" t="n">
        <x:v>432</x:v>
      </x:c>
      <x:c r="E1725" s="51" t="n">
        <x:v>52</x:v>
      </x:c>
      <x:c r="F1725" s="38" t="n">
        <x:v>0.104297440849831</x:v>
      </x:c>
      <x:c r="G1725" s="38" t="n">
        <x:v>0.012554321583775953</x:v>
      </x:c>
      <x:c r="H1725" s="57" t="n">
        <x:v>4298.4</x:v>
      </x:c>
      <x:c r="I1725" s="57" t="n">
        <x:v>1.105</x:v>
      </x:c>
      <x:c r="J1725" s="57" t="n">
        <x:v>23.328294392407354</x:v>
      </x:c>
      <x:c r="K1725" s="57" t="n">
        <x:v>64.99244158861103</x:v>
      </x:c>
      <x:c r="L1725" s="57" t="n">
        <x:v>94.98920226944432</x:v>
      </x:c>
    </x:row>
    <x:row r="1726" ht="32.400001525878906" hidden="0" customHeight="1">
      <x:c r="A1726" s="27" t="str">
        <x:v>Miami-Dade County, Florida</x:v>
      </x:c>
      <x:c r="B1726" s="27" t="str">
        <x:v>12086014601</x:v>
      </x:c>
      <x:c r="C1726" s="50" t="n">
        <x:v>2728</x:v>
      </x:c>
      <x:c r="D1726" s="50" t="n">
        <x:v>380</x:v>
      </x:c>
      <x:c r="E1726" s="50" t="n">
        <x:v>108</x:v>
      </x:c>
      <x:c r="F1726" s="37" t="n">
        <x:v>0.13929618768328444</x:v>
      </x:c>
      <x:c r="G1726" s="37" t="n">
        <x:v>0.039589442815249266</x:v>
      </x:c>
      <x:c r="H1726" s="56" t="n">
        <x:v>2871.8</x:v>
      </x:c>
      <x:c r="I1726" s="56" t="n">
        <x:v>0.151</x:v>
      </x:c>
      <x:c r="J1726" s="56" t="n">
        <x:v>25.26379086517739</x:v>
      </x:c>
      <x:c r="K1726" s="56" t="n">
        <x:v>67.89568629776609</x:v>
      </x:c>
      <x:c r="L1726" s="56" t="n">
        <x:v>99.1366947110944</x:v>
      </x:c>
    </x:row>
    <x:row r="1727" ht="32.400001525878906" hidden="0" customHeight="1">
      <x:c r="A1727" s="29" t="str">
        <x:v>Miami-Dade County, Florida</x:v>
      </x:c>
      <x:c r="B1727" s="29" t="str">
        <x:v>12086014602</x:v>
      </x:c>
      <x:c r="C1727" s="51" t="n">
        <x:v>3454</x:v>
      </x:c>
      <x:c r="D1727" s="51" t="n">
        <x:v>484</x:v>
      </x:c>
      <x:c r="E1727" s="51" t="n">
        <x:v>80</x:v>
      </x:c>
      <x:c r="F1727" s="38" t="n">
        <x:v>0.14012738853503184</x:v>
      </x:c>
      <x:c r="G1727" s="38" t="n">
        <x:v>0.023161551823972205</x:v>
      </x:c>
      <x:c r="H1727" s="57" t="n">
        <x:v>3631.4</x:v>
      </x:c>
      <x:c r="I1727" s="57" t="n">
        <x:v>0.248</x:v>
      </x:c>
      <x:c r="J1727" s="57" t="n">
        <x:v>23.994949896106064</x:v>
      </x:c>
      <x:c r="K1727" s="57" t="n">
        <x:v>65.9924248441591</x:v>
      </x:c>
      <x:c r="L1727" s="57" t="n">
        <x:v>96.41774977737015</x:v>
      </x:c>
    </x:row>
    <x:row r="1728" ht="32.400001525878906" hidden="0" customHeight="1">
      <x:c r="A1728" s="27" t="str">
        <x:v>Miami-Dade County, Florida</x:v>
      </x:c>
      <x:c r="B1728" s="27" t="str">
        <x:v>12086014701</x:v>
      </x:c>
      <x:c r="C1728" s="50" t="n">
        <x:v>2264</x:v>
      </x:c>
      <x:c r="D1728" s="50" t="n">
        <x:v>174</x:v>
      </x:c>
      <x:c r="E1728" s="50" t="n">
        <x:v>223</x:v>
      </x:c>
      <x:c r="F1728" s="37" t="n">
        <x:v>0.07685512367491167</x:v>
      </x:c>
      <x:c r="G1728" s="37" t="n">
        <x:v>0.09849823321554771</x:v>
      </x:c>
      <x:c r="H1728" s="56" t="n">
        <x:v>2347.2</x:v>
      </x:c>
      <x:c r="I1728" s="56" t="n">
        <x:v>0.071</x:v>
      </x:c>
      <x:c r="J1728" s="56" t="n">
        <x:v>24.338741772120134</x:v>
      </x:c>
      <x:c r="K1728" s="56" t="n">
        <x:v>66.5081126581802</x:v>
      </x:c>
      <x:c r="L1728" s="56" t="n">
        <x:v>97.15444665454314</x:v>
      </x:c>
    </x:row>
    <x:row r="1729" ht="32.400001525878906" hidden="0" customHeight="1">
      <x:c r="A1729" s="29" t="str">
        <x:v>Miami-Dade County, Florida</x:v>
      </x:c>
      <x:c r="B1729" s="29" t="str">
        <x:v>12086014702</x:v>
      </x:c>
      <x:c r="C1729" s="51" t="n">
        <x:v>4207</x:v>
      </x:c>
      <x:c r="D1729" s="51" t="n">
        <x:v>439</x:v>
      </x:c>
      <x:c r="E1729" s="51" t="n">
        <x:v>99</x:v>
      </x:c>
      <x:c r="F1729" s="38" t="n">
        <x:v>0.10434989303541717</x:v>
      </x:c>
      <x:c r="G1729" s="38" t="n">
        <x:v>0.023532208224387924</x:v>
      </x:c>
      <x:c r="H1729" s="57" t="n">
        <x:v>4370.55</x:v>
      </x:c>
      <x:c r="I1729" s="57" t="n">
        <x:v>0.533</x:v>
      </x:c>
      <x:c r="J1729" s="57" t="n">
        <x:v>24.913790624622926</x:v>
      </x:c>
      <x:c r="K1729" s="57" t="n">
        <x:v>67.3706859369344</x:v>
      </x:c>
      <x:c r="L1729" s="57" t="n">
        <x:v>98.38669419562055</x:v>
      </x:c>
    </x:row>
    <x:row r="1730" ht="32.400001525878906" hidden="0" customHeight="1">
      <x:c r="A1730" s="27" t="str">
        <x:v>Miami-Dade County, Florida</x:v>
      </x:c>
      <x:c r="B1730" s="27" t="str">
        <x:v>12086014800</x:v>
      </x:c>
      <x:c r="C1730" s="50" t="n">
        <x:v>5029</x:v>
      </x:c>
      <x:c r="D1730" s="50" t="n">
        <x:v>443</x:v>
      </x:c>
      <x:c r="E1730" s="50" t="n">
        <x:v>146</x:v>
      </x:c>
      <x:c r="F1730" s="37" t="n">
        <x:v>0.08808908331676278</x:v>
      </x:c>
      <x:c r="G1730" s="37" t="n">
        <x:v>0.029031616623583216</x:v>
      </x:c>
      <x:c r="H1730" s="56" t="n">
        <x:v>5198.650000000001</x:v>
      </x:c>
      <x:c r="I1730" s="56" t="n">
        <x:v>0.527</x:v>
      </x:c>
      <x:c r="J1730" s="56" t="n">
        <x:v>24.84629651449534</x:v>
      </x:c>
      <x:c r="K1730" s="56" t="n">
        <x:v>67.26944477174301</x:v>
      </x:c>
      <x:c r="L1730" s="56" t="n">
        <x:v>98.24206395963287</x:v>
      </x:c>
    </x:row>
    <x:row r="1731" ht="32.400001525878906" hidden="0" customHeight="1">
      <x:c r="A1731" s="29" t="str">
        <x:v>Miami-Dade County, Florida</x:v>
      </x:c>
      <x:c r="B1731" s="29" t="str">
        <x:v>12086014900</x:v>
      </x:c>
      <x:c r="C1731" s="51" t="n">
        <x:v>5280</x:v>
      </x:c>
      <x:c r="D1731" s="51" t="n">
        <x:v>635</x:v>
      </x:c>
      <x:c r="E1731" s="51" t="n">
        <x:v>31</x:v>
      </x:c>
      <x:c r="F1731" s="38" t="n">
        <x:v>0.12026515151515152</x:v>
      </x:c>
      <x:c r="G1731" s="38" t="n">
        <x:v>0.005871212121212121</x:v>
      </x:c>
      <x:c r="H1731" s="57" t="n">
        <x:v>5505.349999999999</x:v>
      </x:c>
      <x:c r="I1731" s="57" t="n">
        <x:v>0.537</x:v>
      </x:c>
      <x:c r="J1731" s="57" t="n">
        <x:v>24.994932268345934</x:v>
      </x:c>
      <x:c r="K1731" s="57" t="n">
        <x:v>67.4923984025189</x:v>
      </x:c>
      <x:c r="L1731" s="57" t="n">
        <x:v>98.56056914645558</x:v>
      </x:c>
    </x:row>
    <x:row r="1732" ht="32.400001525878906" hidden="0" customHeight="1">
      <x:c r="A1732" s="27" t="str">
        <x:v>Miami-Dade County, Florida</x:v>
      </x:c>
      <x:c r="B1732" s="27" t="str">
        <x:v>12086015001</x:v>
      </x:c>
      <x:c r="C1732" s="50" t="n">
        <x:v>4335</x:v>
      </x:c>
      <x:c r="D1732" s="50" t="n">
        <x:v>604</x:v>
      </x:c>
      <x:c r="E1732" s="50" t="n">
        <x:v>96</x:v>
      </x:c>
      <x:c r="F1732" s="37" t="n">
        <x:v>0.13933102652825835</x:v>
      </x:c>
      <x:c r="G1732" s="37" t="n">
        <x:v>0.022145328719723183</x:v>
      </x:c>
      <x:c r="H1732" s="56" t="n">
        <x:v>4556</x:v>
      </x:c>
      <x:c r="I1732" s="56" t="n">
        <x:v>0.6</x:v>
      </x:c>
      <x:c r="J1732" s="56" t="n">
        <x:v>25.730401482336468</x:v>
      </x:c>
      <x:c r="K1732" s="56" t="n">
        <x:v>68.5956022235047</x:v>
      </x:c>
      <x:c r="L1732" s="56" t="n">
        <x:v>100.13657460500673</x:v>
      </x:c>
    </x:row>
    <x:row r="1733" ht="32.400001525878906" hidden="0" customHeight="1">
      <x:c r="A1733" s="29" t="str">
        <x:v>Miami-Dade County, Florida</x:v>
      </x:c>
      <x:c r="B1733" s="29" t="str">
        <x:v>12086015002</x:v>
      </x:c>
      <x:c r="C1733" s="51" t="n">
        <x:v>4883</x:v>
      </x:c>
      <x:c r="D1733" s="51" t="n">
        <x:v>763</x:v>
      </x:c>
      <x:c r="E1733" s="51" t="n">
        <x:v>44</x:v>
      </x:c>
      <x:c r="F1733" s="38" t="n">
        <x:v>0.15625639975424943</x:v>
      </x:c>
      <x:c r="G1733" s="38" t="n">
        <x:v>0.009010853983207045</x:v>
      </x:c>
      <x:c r="H1733" s="57" t="n">
        <x:v>5154.450000000001</x:v>
      </x:c>
      <x:c r="I1733" s="57" t="n">
        <x:v>0.601</x:v>
      </x:c>
      <x:c r="J1733" s="57" t="n">
        <x:v>26.1907988815843</x:v>
      </x:c>
      <x:c r="K1733" s="57" t="n">
        <x:v>69.28619832237645</x:v>
      </x:c>
      <x:c r="L1733" s="57" t="n">
        <x:v>101.12314046053778</x:v>
      </x:c>
    </x:row>
    <x:row r="1734" ht="32.400001525878906" hidden="0" customHeight="1">
      <x:c r="A1734" s="27" t="str">
        <x:v>Miami-Dade County, Florida</x:v>
      </x:c>
      <x:c r="B1734" s="27" t="str">
        <x:v>12086015101</x:v>
      </x:c>
      <x:c r="C1734" s="50" t="n">
        <x:v>4263</x:v>
      </x:c>
      <x:c r="D1734" s="50" t="n">
        <x:v>355</x:v>
      </x:c>
      <x:c r="E1734" s="50" t="n">
        <x:v>76.5</x:v>
      </x:c>
      <x:c r="F1734" s="37" t="n">
        <x:v>0.08327468918601924</x:v>
      </x:c>
      <x:c r="G1734" s="37" t="n">
        <x:v>0.017945109078114006</x:v>
      </x:c>
      <x:c r="H1734" s="56" t="n">
        <x:v>4394.900000000001</x:v>
      </x:c>
      <x:c r="I1734" s="56" t="n">
        <x:v>0.624</x:v>
      </x:c>
      <x:c r="J1734" s="56" t="n">
        <x:v>26.517917068201402</x:v>
      </x:c>
      <x:c r="K1734" s="56" t="n">
        <x:v>69.7768756023021</x:v>
      </x:c>
      <x:c r="L1734" s="56" t="n">
        <x:v>101.82410800328871</x:v>
      </x:c>
    </x:row>
    <x:row r="1735" ht="32.400001525878906" hidden="0" customHeight="1">
      <x:c r="A1735" s="29" t="str">
        <x:v>Miami-Dade County, Florida</x:v>
      </x:c>
      <x:c r="B1735" s="29" t="str">
        <x:v>12086015102</x:v>
      </x:c>
      <x:c r="C1735" s="51" t="n">
        <x:v>2790</x:v>
      </x:c>
      <x:c r="D1735" s="51" t="n">
        <x:v>223</x:v>
      </x:c>
      <x:c r="E1735" s="51" t="n">
        <x:v>0</x:v>
      </x:c>
      <x:c r="F1735" s="38" t="n">
        <x:v>0.07992831541218638</x:v>
      </x:c>
      <x:c r="G1735" s="38" t="n">
        <x:v>0</x:v>
      </x:c>
      <x:c r="H1735" s="57" t="n">
        <x:v>2868.05</x:v>
      </x:c>
      <x:c r="I1735" s="57" t="n">
        <x:v>0.888</x:v>
      </x:c>
      <x:c r="J1735" s="57" t="n">
        <x:v>27.41458496027692</x:v>
      </x:c>
      <x:c r="K1735" s="57" t="n">
        <x:v>71.12187744041537</x:v>
      </x:c>
      <x:c r="L1735" s="57" t="n">
        <x:v>103.7455392005934</x:v>
      </x:c>
    </x:row>
    <x:row r="1736" ht="32.400001525878906" hidden="0" customHeight="1">
      <x:c r="A1736" s="27" t="str">
        <x:v>Miami-Dade County, Florida</x:v>
      </x:c>
      <x:c r="B1736" s="27" t="str">
        <x:v>12086015103</x:v>
      </x:c>
      <x:c r="C1736" s="50" t="n">
        <x:v>3308</x:v>
      </x:c>
      <x:c r="D1736" s="50" t="n">
        <x:v>184</x:v>
      </x:c>
      <x:c r="E1736" s="50" t="n">
        <x:v>85.5</x:v>
      </x:c>
      <x:c r="F1736" s="37" t="n">
        <x:v>0.05562273276904474</x:v>
      </x:c>
      <x:c r="G1736" s="37" t="n">
        <x:v>0.025846432889963723</x:v>
      </x:c>
      <x:c r="H1736" s="56" t="n">
        <x:v>3380.95</x:v>
      </x:c>
      <x:c r="I1736" s="56" t="n">
        <x:v>1.538</x:v>
      </x:c>
      <x:c r="J1736" s="56" t="n">
        <x:v>28.004290989472448</x:v>
      </x:c>
      <x:c r="K1736" s="56" t="n">
        <x:v>72.00643648420868</x:v>
      </x:c>
      <x:c r="L1736" s="56" t="n">
        <x:v>105.00919497744096</x:v>
      </x:c>
    </x:row>
    <x:row r="1737" ht="32.400001525878906" hidden="0" customHeight="1">
      <x:c r="A1737" s="29" t="str">
        <x:v>Miami-Dade County, Florida</x:v>
      </x:c>
      <x:c r="B1737" s="29" t="str">
        <x:v>12086015201</x:v>
      </x:c>
      <x:c r="C1737" s="51" t="n">
        <x:v>3227</x:v>
      </x:c>
      <x:c r="D1737" s="51" t="n">
        <x:v>382</x:v>
      </x:c>
      <x:c r="E1737" s="51" t="n">
        <x:v>0</x:v>
      </x:c>
      <x:c r="F1737" s="38" t="n">
        <x:v>0.1183762008057019</x:v>
      </x:c>
      <x:c r="G1737" s="38" t="n">
        <x:v>0</x:v>
      </x:c>
      <x:c r="H1737" s="57" t="n">
        <x:v>3360.7000000000003</x:v>
      </x:c>
      <x:c r="I1737" s="57" t="n">
        <x:v>2.598</x:v>
      </x:c>
      <x:c r="J1737" s="57" t="n">
        <x:v>30.429503442082172</x:v>
      </x:c>
      <x:c r="K1737" s="57" t="n">
        <x:v>75.64425516312326</x:v>
      </x:c>
      <x:c r="L1737" s="57" t="n">
        <x:v>110.2060788044618</x:v>
      </x:c>
    </x:row>
    <x:row r="1738" ht="32.400001525878906" hidden="0" customHeight="1">
      <x:c r="A1738" s="27" t="str">
        <x:v>Miami-Dade County, Florida</x:v>
      </x:c>
      <x:c r="B1738" s="27" t="str">
        <x:v>12086015202</x:v>
      </x:c>
      <x:c r="C1738" s="50" t="n">
        <x:v>3936</x:v>
      </x:c>
      <x:c r="D1738" s="50" t="n">
        <x:v>83</x:v>
      </x:c>
      <x:c r="E1738" s="50" t="n">
        <x:v>146</x:v>
      </x:c>
      <x:c r="F1738" s="37" t="n">
        <x:v>0.02108739837398374</x:v>
      </x:c>
      <x:c r="G1738" s="37" t="n">
        <x:v>0.03709349593495935</x:v>
      </x:c>
      <x:c r="H1738" s="56" t="n">
        <x:v>3979.6499999999996</x:v>
      </x:c>
      <x:c r="I1738" s="56" t="n">
        <x:v>0.375</x:v>
      </x:c>
      <x:c r="J1738" s="56" t="n">
        <x:v>28.681625920944132</x:v>
      </x:c>
      <x:c r="K1738" s="56" t="n">
        <x:v>73.02243888141619</x:v>
      </x:c>
      <x:c r="L1738" s="56" t="n">
        <x:v>106.46062697345171</x:v>
      </x:c>
    </x:row>
    <x:row r="1739" ht="32.400001525878906" hidden="0" customHeight="1">
      <x:c r="A1739" s="29" t="str">
        <x:v>Miami-Dade County, Florida</x:v>
      </x:c>
      <x:c r="B1739" s="29" t="str">
        <x:v>12086015300</x:v>
      </x:c>
      <x:c r="C1739" s="51" t="n">
        <x:v>6204</x:v>
      </x:c>
      <x:c r="D1739" s="51" t="n">
        <x:v>405</x:v>
      </x:c>
      <x:c r="E1739" s="51" t="n">
        <x:v>114.5</x:v>
      </x:c>
      <x:c r="F1739" s="38" t="n">
        <x:v>0.06528046421663443</x:v>
      </x:c>
      <x:c r="G1739" s="38" t="n">
        <x:v>0.018455834945196647</x:v>
      </x:c>
      <x:c r="H1739" s="57" t="n">
        <x:v>6357.200000000001</x:v>
      </x:c>
      <x:c r="I1739" s="57" t="n">
        <x:v>0.975</x:v>
      </x:c>
      <x:c r="J1739" s="57" t="n">
        <x:v>28.221421532227644</x:v>
      </x:c>
      <x:c r="K1739" s="57" t="n">
        <x:v>72.33213229834146</x:v>
      </x:c>
      <x:c r="L1739" s="57" t="n">
        <x:v>105.47447471191639</x:v>
      </x:c>
    </x:row>
    <x:row r="1740" ht="32.400001525878906" hidden="0" customHeight="1">
      <x:c r="A1740" s="27" t="str">
        <x:v>Miami-Dade County, Florida</x:v>
      </x:c>
      <x:c r="B1740" s="27" t="str">
        <x:v>12086015400</x:v>
      </x:c>
      <x:c r="C1740" s="50" t="n">
        <x:v>5358</x:v>
      </x:c>
      <x:c r="D1740" s="50" t="n">
        <x:v>422</x:v>
      </x:c>
      <x:c r="E1740" s="50" t="n">
        <x:v>79</x:v>
      </x:c>
      <x:c r="F1740" s="37" t="n">
        <x:v>0.07876073161627473</x:v>
      </x:c>
      <x:c r="G1740" s="37" t="n">
        <x:v>0.014744307577454274</x:v>
      </x:c>
      <x:c r="H1740" s="56" t="n">
        <x:v>5513.6</x:v>
      </x:c>
      <x:c r="I1740" s="56" t="n">
        <x:v>1.231</x:v>
      </x:c>
      <x:c r="J1740" s="56" t="n">
        <x:v>27.519974418068823</x:v>
      </x:c>
      <x:c r="K1740" s="56" t="n">
        <x:v>71.27996162710323</x:v>
      </x:c>
      <x:c r="L1740" s="56" t="n">
        <x:v>103.97137375300463</x:v>
      </x:c>
    </x:row>
    <x:row r="1741" ht="32.400001525878906" hidden="0" customHeight="1">
      <x:c r="A1741" s="29" t="str">
        <x:v>Miami-Dade County, Florida</x:v>
      </x:c>
      <x:c r="B1741" s="29" t="str">
        <x:v>12086015501</x:v>
      </x:c>
      <x:c r="C1741" s="51" t="n">
        <x:v>2507</x:v>
      </x:c>
      <x:c r="D1741" s="51" t="n">
        <x:v>292</x:v>
      </x:c>
      <x:c r="E1741" s="51" t="n">
        <x:v>63</x:v>
      </x:c>
      <x:c r="F1741" s="38" t="n">
        <x:v>0.11647387315516554</x:v>
      </x:c>
      <x:c r="G1741" s="38" t="n">
        <x:v>0.02512963701635421</x:v>
      </x:c>
      <x:c r="H1741" s="57" t="n">
        <x:v>2615.5000000000005</x:v>
      </x:c>
      <x:c r="I1741" s="57" t="n">
        <x:v>0.476</x:v>
      </x:c>
      <x:c r="J1741" s="57" t="n">
        <x:v>26.82393808641418</x:v>
      </x:c>
      <x:c r="K1741" s="57" t="n">
        <x:v>70.23590712962127</x:v>
      </x:c>
      <x:c r="L1741" s="57" t="n">
        <x:v>102.4798673280304</x:v>
      </x:c>
    </x:row>
    <x:row r="1742" ht="32.400001525878906" hidden="0" customHeight="1">
      <x:c r="A1742" s="27" t="str">
        <x:v>Miami-Dade County, Florida</x:v>
      </x:c>
      <x:c r="B1742" s="27" t="str">
        <x:v>12086015502</x:v>
      </x:c>
      <x:c r="C1742" s="50" t="n">
        <x:v>2498</x:v>
      </x:c>
      <x:c r="D1742" s="50" t="n">
        <x:v>220</x:v>
      </x:c>
      <x:c r="E1742" s="50" t="n">
        <x:v>51</x:v>
      </x:c>
      <x:c r="F1742" s="37" t="n">
        <x:v>0.08807045636509207</x:v>
      </x:c>
      <x:c r="G1742" s="37" t="n">
        <x:v>0.020416333066453164</x:v>
      </x:c>
      <x:c r="H1742" s="56" t="n">
        <x:v>2580.1</x:v>
      </x:c>
      <x:c r="I1742" s="56" t="n">
        <x:v>0.459</x:v>
      </x:c>
      <x:c r="J1742" s="56" t="n">
        <x:v>26.85881547287603</x:v>
      </x:c>
      <x:c r="K1742" s="56" t="n">
        <x:v>70.28822320931405</x:v>
      </x:c>
      <x:c r="L1742" s="56" t="n">
        <x:v>102.55460458473436</x:v>
      </x:c>
    </x:row>
    <x:row r="1743" ht="32.400001525878906" hidden="0" customHeight="1">
      <x:c r="A1743" s="29" t="str">
        <x:v>Miami-Dade County, Florida</x:v>
      </x:c>
      <x:c r="B1743" s="29" t="str">
        <x:v>12086015600</x:v>
      </x:c>
      <x:c r="C1743" s="51" t="n">
        <x:v>4509</x:v>
      </x:c>
      <x:c r="D1743" s="51" t="n">
        <x:v>209</x:v>
      </x:c>
      <x:c r="E1743" s="51" t="n">
        <x:v>51</x:v>
      </x:c>
      <x:c r="F1743" s="38" t="n">
        <x:v>0.04635174096251941</x:v>
      </x:c>
      <x:c r="G1743" s="38" t="n">
        <x:v>0.011310711909514305</x:v>
      </x:c>
      <x:c r="H1743" s="57" t="n">
        <x:v>4587.25</x:v>
      </x:c>
      <x:c r="I1743" s="57" t="n">
        <x:v>0.392</x:v>
      </x:c>
      <x:c r="J1743" s="57" t="n">
        <x:v>23.87899799585103</x:v>
      </x:c>
      <x:c r="K1743" s="57" t="n">
        <x:v>65.81849699377655</x:v>
      </x:c>
      <x:c r="L1743" s="57" t="n">
        <x:v>96.16928141968077</x:v>
      </x:c>
    </x:row>
    <x:row r="1744" ht="32.400001525878906" hidden="0" customHeight="1">
      <x:c r="A1744" s="27" t="str">
        <x:v>Miami-Dade County, Florida</x:v>
      </x:c>
      <x:c r="B1744" s="27" t="str">
        <x:v>12086015700</x:v>
      </x:c>
      <x:c r="C1744" s="50" t="n">
        <x:v>2344</x:v>
      </x:c>
      <x:c r="D1744" s="50" t="n">
        <x:v>253</x:v>
      </x:c>
      <x:c r="E1744" s="50" t="n">
        <x:v>9</x:v>
      </x:c>
      <x:c r="F1744" s="37" t="n">
        <x:v>0.10793515358361774</x:v>
      </x:c>
      <x:c r="G1744" s="37" t="n">
        <x:v>0.0038395904436860067</x:v>
      </x:c>
      <x:c r="H1744" s="56" t="n">
        <x:v>2433.45</x:v>
      </x:c>
      <x:c r="I1744" s="56" t="n">
        <x:v>2.701</x:v>
      </x:c>
      <x:c r="J1744" s="56" t="n">
        <x:v>24.68130971312933</x:v>
      </x:c>
      <x:c r="K1744" s="56" t="n">
        <x:v>67.02196456969399</x:v>
      </x:c>
      <x:c r="L1744" s="56" t="n">
        <x:v>97.88852081384857</x:v>
      </x:c>
    </x:row>
    <x:row r="1745" ht="32.400001525878906" hidden="0" customHeight="1">
      <x:c r="A1745" s="29" t="str">
        <x:v>Miami-Dade County, Florida</x:v>
      </x:c>
      <x:c r="B1745" s="29" t="str">
        <x:v>12086015800</x:v>
      </x:c>
      <x:c r="C1745" s="51" t="n">
        <x:v>4444</x:v>
      </x:c>
      <x:c r="D1745" s="51" t="n">
        <x:v>469</x:v>
      </x:c>
      <x:c r="E1745" s="51" t="n">
        <x:v>34</x:v>
      </x:c>
      <x:c r="F1745" s="38" t="n">
        <x:v>0.10553555355535553</x:v>
      </x:c>
      <x:c r="G1745" s="38" t="n">
        <x:v>0.00765076507650765</x:v>
      </x:c>
      <x:c r="H1745" s="57" t="n">
        <x:v>4611.549999999999</x:v>
      </x:c>
      <x:c r="I1745" s="57" t="n">
        <x:v>0.452</x:v>
      </x:c>
      <x:c r="J1745" s="57" t="n">
        <x:v>27.094855702056954</x:v>
      </x:c>
      <x:c r="K1745" s="57" t="n">
        <x:v>70.64228355308543</x:v>
      </x:c>
      <x:c r="L1745" s="57" t="n">
        <x:v>103.06040507583633</x:v>
      </x:c>
    </x:row>
    <x:row r="1746" ht="32.400001525878906" hidden="0" customHeight="1">
      <x:c r="A1746" s="27" t="str">
        <x:v>Miami-Dade County, Florida</x:v>
      </x:c>
      <x:c r="B1746" s="27" t="str">
        <x:v>12086015900</x:v>
      </x:c>
      <x:c r="C1746" s="50" t="n">
        <x:v>2949</x:v>
      </x:c>
      <x:c r="D1746" s="50" t="n">
        <x:v>251</x:v>
      </x:c>
      <x:c r="E1746" s="50" t="n">
        <x:v>30</x:v>
      </x:c>
      <x:c r="F1746" s="37" t="n">
        <x:v>0.0851135978297728</x:v>
      </x:c>
      <x:c r="G1746" s="37" t="n">
        <x:v>0.01017293997965412</x:v>
      </x:c>
      <x:c r="H1746" s="56" t="n">
        <x:v>3039.8499999999995</x:v>
      </x:c>
      <x:c r="I1746" s="56" t="n">
        <x:v>0.486</x:v>
      </x:c>
      <x:c r="J1746" s="56" t="n">
        <x:v>26.686807058625742</x:v>
      </x:c>
      <x:c r="K1746" s="56" t="n">
        <x:v>70.03021058793861</x:v>
      </x:c>
      <x:c r="L1746" s="56" t="n">
        <x:v>102.1860151256266</x:v>
      </x:c>
    </x:row>
    <x:row r="1747" ht="32.400001525878906" hidden="0" customHeight="1">
      <x:c r="A1747" s="29" t="str">
        <x:v>Miami-Dade County, Florida</x:v>
      </x:c>
      <x:c r="B1747" s="29" t="str">
        <x:v>12086016000</x:v>
      </x:c>
      <x:c r="C1747" s="51" t="n">
        <x:v>4349</x:v>
      </x:c>
      <x:c r="D1747" s="51" t="n">
        <x:v>450</x:v>
      </x:c>
      <x:c r="E1747" s="51" t="n">
        <x:v>51</x:v>
      </x:c>
      <x:c r="F1747" s="38" t="n">
        <x:v>0.10347206254311336</x:v>
      </x:c>
      <x:c r="G1747" s="38" t="n">
        <x:v>0.01172683375488618</x:v>
      </x:c>
      <x:c r="H1747" s="57" t="n">
        <x:v>4511.6</x:v>
      </x:c>
      <x:c r="I1747" s="57" t="n">
        <x:v>0.466</x:v>
      </x:c>
      <x:c r="J1747" s="57" t="n">
        <x:v>26.85505995405251</x:v>
      </x:c>
      <x:c r="K1747" s="57" t="n">
        <x:v>70.28258993107876</x:v>
      </x:c>
      <x:c r="L1747" s="57" t="n">
        <x:v>102.54655704439824</x:v>
      </x:c>
    </x:row>
    <x:row r="1748" ht="32.400001525878906" hidden="0" customHeight="1">
      <x:c r="A1748" s="27" t="str">
        <x:v>Miami-Dade County, Florida</x:v>
      </x:c>
      <x:c r="B1748" s="27" t="str">
        <x:v>12086016100</x:v>
      </x:c>
      <x:c r="C1748" s="50" t="n">
        <x:v>4689</x:v>
      </x:c>
      <x:c r="D1748" s="50" t="n">
        <x:v>348</x:v>
      </x:c>
      <x:c r="E1748" s="50" t="n">
        <x:v>50</x:v>
      </x:c>
      <x:c r="F1748" s="37" t="n">
        <x:v>0.07421625079974409</x:v>
      </x:c>
      <x:c r="G1748" s="37" t="n">
        <x:v>0.010663254425250587</x:v>
      </x:c>
      <x:c r="H1748" s="56" t="n">
        <x:v>4815.8</x:v>
      </x:c>
      <x:c r="I1748" s="56" t="n">
        <x:v>0.459</x:v>
      </x:c>
      <x:c r="J1748" s="56" t="n">
        <x:v>26.953145847419062</x:v>
      </x:c>
      <x:c r="K1748" s="56" t="n">
        <x:v>70.42971877112859</x:v>
      </x:c>
      <x:c r="L1748" s="56" t="n">
        <x:v>102.75674110161228</x:v>
      </x:c>
    </x:row>
    <x:row r="1749" ht="32.400001525878906" hidden="0" customHeight="1">
      <x:c r="A1749" s="29" t="str">
        <x:v>Miami-Dade County, Florida</x:v>
      </x:c>
      <x:c r="B1749" s="29" t="str">
        <x:v>12086016200</x:v>
      </x:c>
      <x:c r="C1749" s="51" t="n">
        <x:v>3127</x:v>
      </x:c>
      <x:c r="D1749" s="51" t="n">
        <x:v>313</x:v>
      </x:c>
      <x:c r="E1749" s="51" t="n">
        <x:v>129</x:v>
      </x:c>
      <x:c r="F1749" s="38" t="n">
        <x:v>0.10009593859929646</x:v>
      </x:c>
      <x:c r="G1749" s="38" t="n">
        <x:v>0.04125359769747362</x:v>
      </x:c>
      <x:c r="H1749" s="57" t="n">
        <x:v>3249.45</x:v>
      </x:c>
      <x:c r="I1749" s="57" t="n">
        <x:v>0.385</x:v>
      </x:c>
      <x:c r="J1749" s="57" t="n">
        <x:v>27.35111553845452</x:v>
      </x:c>
      <x:c r="K1749" s="57" t="n">
        <x:v>71.02667330768178</x:v>
      </x:c>
      <x:c r="L1749" s="57" t="n">
        <x:v>103.60953329668826</x:v>
      </x:c>
    </x:row>
    <x:row r="1750" ht="32.400001525878906" hidden="0" customHeight="1">
      <x:c r="A1750" s="27" t="str">
        <x:v>Miami-Dade County, Florida</x:v>
      </x:c>
      <x:c r="B1750" s="27" t="str">
        <x:v>12086016300</x:v>
      </x:c>
      <x:c r="C1750" s="50" t="n">
        <x:v>4405</x:v>
      </x:c>
      <x:c r="D1750" s="50" t="n">
        <x:v>606</x:v>
      </x:c>
      <x:c r="E1750" s="50" t="n">
        <x:v>12</x:v>
      </x:c>
      <x:c r="F1750" s="37" t="n">
        <x:v>0.13757094211123724</x:v>
      </x:c>
      <x:c r="G1750" s="37" t="n">
        <x:v>0.002724177071509648</x:v>
      </x:c>
      <x:c r="H1750" s="56" t="n">
        <x:v>4618.3</x:v>
      </x:c>
      <x:c r="I1750" s="56" t="n">
        <x:v>0.742</x:v>
      </x:c>
      <x:c r="J1750" s="56" t="n">
        <x:v>26.84450335081302</x:v>
      </x:c>
      <x:c r="K1750" s="56" t="n">
        <x:v>70.26675502621953</x:v>
      </x:c>
      <x:c r="L1750" s="56" t="n">
        <x:v>102.52393575174219</x:v>
      </x:c>
    </x:row>
    <x:row r="1751" ht="32.400001525878906" hidden="0" customHeight="1">
      <x:c r="A1751" s="29" t="str">
        <x:v>Miami-Dade County, Florida</x:v>
      </x:c>
      <x:c r="B1751" s="29" t="str">
        <x:v>12086016401</x:v>
      </x:c>
      <x:c r="C1751" s="51" t="n">
        <x:v>4738</x:v>
      </x:c>
      <x:c r="D1751" s="51" t="n">
        <x:v>343</x:v>
      </x:c>
      <x:c r="E1751" s="51" t="n">
        <x:v>0</x:v>
      </x:c>
      <x:c r="F1751" s="38" t="n">
        <x:v>0.07239341494301393</x:v>
      </x:c>
      <x:c r="G1751" s="38" t="n">
        <x:v>0</x:v>
      </x:c>
      <x:c r="H1751" s="57" t="n">
        <x:v>4858.049999999999</x:v>
      </x:c>
      <x:c r="I1751" s="57" t="n">
        <x:v>0.479</x:v>
      </x:c>
      <x:c r="J1751" s="57" t="n">
        <x:v>28.06529168103229</x:v>
      </x:c>
      <x:c r="K1751" s="57" t="n">
        <x:v>72.09793752154843</x:v>
      </x:c>
      <x:c r="L1751" s="57" t="n">
        <x:v>105.13991074506919</x:v>
      </x:c>
    </x:row>
    <x:row r="1752" ht="32.400001525878906" hidden="0" customHeight="1">
      <x:c r="A1752" s="27" t="str">
        <x:v>Miami-Dade County, Florida</x:v>
      </x:c>
      <x:c r="B1752" s="27" t="str">
        <x:v>12086016402</x:v>
      </x:c>
      <x:c r="C1752" s="50" t="n">
        <x:v>2110</x:v>
      </x:c>
      <x:c r="D1752" s="50" t="n">
        <x:v>119</x:v>
      </x:c>
      <x:c r="E1752" s="50" t="n">
        <x:v>58</x:v>
      </x:c>
      <x:c r="F1752" s="37" t="n">
        <x:v>0.05639810426540284</x:v>
      </x:c>
      <x:c r="G1752" s="37" t="n">
        <x:v>0.027488151658767772</x:v>
      </x:c>
      <x:c r="H1752" s="56" t="n">
        <x:v>2157.4500000000003</x:v>
      </x:c>
      <x:c r="I1752" s="56" t="n">
        <x:v>1.261</x:v>
      </x:c>
      <x:c r="J1752" s="56" t="n">
        <x:v>28.473691461577076</x:v>
      </x:c>
      <x:c r="K1752" s="56" t="n">
        <x:v>72.71053719236562</x:v>
      </x:c>
      <x:c r="L1752" s="56" t="n">
        <x:v>106.01505313195088</x:v>
      </x:c>
    </x:row>
    <x:row r="1753" ht="32.400001525878906" hidden="0" customHeight="1">
      <x:c r="A1753" s="29" t="str">
        <x:v>Miami-Dade County, Florida</x:v>
      </x:c>
      <x:c r="B1753" s="29" t="str">
        <x:v>12086016501</x:v>
      </x:c>
      <x:c r="C1753" s="51" t="n">
        <x:v>3586</x:v>
      </x:c>
      <x:c r="D1753" s="51" t="n">
        <x:v>275</x:v>
      </x:c>
      <x:c r="E1753" s="51" t="n">
        <x:v>233</x:v>
      </x:c>
      <x:c r="F1753" s="38" t="n">
        <x:v>0.07668711656441718</x:v>
      </x:c>
      <x:c r="G1753" s="38" t="n">
        <x:v>0.06497490239821528</x:v>
      </x:c>
      <x:c r="H1753" s="57" t="n">
        <x:v>3705.5499999999997</x:v>
      </x:c>
      <x:c r="I1753" s="57" t="n">
        <x:v>0.469</x:v>
      </x:c>
      <x:c r="J1753" s="57" t="n">
        <x:v>25.46225762461821</x:v>
      </x:c>
      <x:c r="K1753" s="57" t="n">
        <x:v>68.19338643692731</x:v>
      </x:c>
      <x:c r="L1753" s="57" t="n">
        <x:v>99.56198062418188</x:v>
      </x:c>
    </x:row>
    <x:row r="1754" ht="32.400001525878906" hidden="0" customHeight="1">
      <x:c r="A1754" s="27" t="str">
        <x:v>Miami-Dade County, Florida</x:v>
      </x:c>
      <x:c r="B1754" s="27" t="str">
        <x:v>12086016502</x:v>
      </x:c>
      <x:c r="C1754" s="50" t="n">
        <x:v>4978</x:v>
      </x:c>
      <x:c r="D1754" s="50" t="n">
        <x:v>361</x:v>
      </x:c>
      <x:c r="E1754" s="50" t="n">
        <x:v>76</x:v>
      </x:c>
      <x:c r="F1754" s="37" t="n">
        <x:v>0.07251908396946564</x:v>
      </x:c>
      <x:c r="G1754" s="37" t="n">
        <x:v>0.015267175572519083</x:v>
      </x:c>
      <x:c r="H1754" s="56" t="n">
        <x:v>5111.95</x:v>
      </x:c>
      <x:c r="I1754" s="56" t="n">
        <x:v>1.518</x:v>
      </x:c>
      <x:c r="J1754" s="56" t="n">
        <x:v>26.45600053317996</x:v>
      </x:c>
      <x:c r="K1754" s="56" t="n">
        <x:v>69.68400079976993</x:v>
      </x:c>
      <x:c r="L1754" s="56" t="n">
        <x:v>101.69142971395706</x:v>
      </x:c>
    </x:row>
    <x:row r="1755" ht="32.400001525878906" hidden="0" customHeight="1">
      <x:c r="A1755" s="29" t="str">
        <x:v>Miami-Dade County, Florida</x:v>
      </x:c>
      <x:c r="B1755" s="29" t="str">
        <x:v>12086016600</x:v>
      </x:c>
      <x:c r="C1755" s="51" t="n">
        <x:v>3473</x:v>
      </x:c>
      <x:c r="D1755" s="51" t="n">
        <x:v>359</x:v>
      </x:c>
      <x:c r="E1755" s="51" t="n">
        <x:v>84</x:v>
      </x:c>
      <x:c r="F1755" s="38" t="n">
        <x:v>0.10336884537863518</x:v>
      </x:c>
      <x:c r="G1755" s="38" t="n">
        <x:v>0.02418658220558595</x:v>
      </x:c>
      <x:c r="H1755" s="57" t="n">
        <x:v>3607.0499999999997</x:v>
      </x:c>
      <x:c r="I1755" s="57" t="n">
        <x:v>0.367</x:v>
      </x:c>
      <x:c r="J1755" s="57" t="n">
        <x:v>25.52066067249524</x:v>
      </x:c>
      <x:c r="K1755" s="57" t="n">
        <x:v>68.28099100874286</x:v>
      </x:c>
      <x:c r="L1755" s="57" t="n">
        <x:v>99.6871300124898</x:v>
      </x:c>
    </x:row>
    <x:row r="1756" ht="32.400001525878906" hidden="0" customHeight="1">
      <x:c r="A1756" s="27" t="str">
        <x:v>Miami-Dade County, Florida</x:v>
      </x:c>
      <x:c r="B1756" s="27" t="str">
        <x:v>12086016700</x:v>
      </x:c>
      <x:c r="C1756" s="50" t="n">
        <x:v>4837</x:v>
      </x:c>
      <x:c r="D1756" s="50" t="n">
        <x:v>523</x:v>
      </x:c>
      <x:c r="E1756" s="50" t="n">
        <x:v>32</x:v>
      </x:c>
      <x:c r="F1756" s="37" t="n">
        <x:v>0.10812487078767831</x:v>
      </x:c>
      <x:c r="G1756" s="37" t="n">
        <x:v>0.006615670870374199</x:v>
      </x:c>
      <x:c r="H1756" s="56" t="n">
        <x:v>5023.25</x:v>
      </x:c>
      <x:c r="I1756" s="56" t="n">
        <x:v>0.562</x:v>
      </x:c>
      <x:c r="J1756" s="56" t="n">
        <x:v>25.002923550635217</x:v>
      </x:c>
      <x:c r="K1756" s="56" t="n">
        <x:v>67.50438532595282</x:v>
      </x:c>
      <x:c r="L1756" s="56" t="n">
        <x:v>98.57769332278974</x:v>
      </x:c>
    </x:row>
    <x:row r="1757" ht="32.400001525878906" hidden="0" customHeight="1">
      <x:c r="A1757" s="29" t="str">
        <x:v>Miami-Dade County, Florida</x:v>
      </x:c>
      <x:c r="B1757" s="29" t="str">
        <x:v>12086016800</x:v>
      </x:c>
      <x:c r="C1757" s="51" t="n">
        <x:v>3619</x:v>
      </x:c>
      <x:c r="D1757" s="51" t="n">
        <x:v>384</x:v>
      </x:c>
      <x:c r="E1757" s="51" t="n">
        <x:v>55</x:v>
      </x:c>
      <x:c r="F1757" s="38" t="n">
        <x:v>0.10610665929814866</x:v>
      </x:c>
      <x:c r="G1757" s="38" t="n">
        <x:v>0.015197568389057751</x:v>
      </x:c>
      <x:c r="H1757" s="57" t="n">
        <x:v>3758.9000000000005</x:v>
      </x:c>
      <x:c r="I1757" s="57" t="n">
        <x:v>0.7</x:v>
      </x:c>
      <x:c r="J1757" s="57" t="n">
        <x:v>25.202768978637916</x:v>
      </x:c>
      <x:c r="K1757" s="57" t="n">
        <x:v>67.80415346795688</x:v>
      </x:c>
      <x:c r="L1757" s="57" t="n">
        <x:v>99.00593352565268</x:v>
      </x:c>
    </x:row>
    <x:row r="1758" ht="32.400001525878906" hidden="0" customHeight="1">
      <x:c r="A1758" s="27" t="str">
        <x:v>Miami-Dade County, Florida</x:v>
      </x:c>
      <x:c r="B1758" s="27" t="str">
        <x:v>12086016900</x:v>
      </x:c>
      <x:c r="C1758" s="50" t="n">
        <x:v>4806</x:v>
      </x:c>
      <x:c r="D1758" s="50" t="n">
        <x:v>439</x:v>
      </x:c>
      <x:c r="E1758" s="50" t="n">
        <x:v>28</x:v>
      </x:c>
      <x:c r="F1758" s="37" t="n">
        <x:v>0.09134415314190596</x:v>
      </x:c>
      <x:c r="G1758" s="37" t="n">
        <x:v>0.005826050769870994</x:v>
      </x:c>
      <x:c r="H1758" s="56" t="n">
        <x:v>4962.449999999999</x:v>
      </x:c>
      <x:c r="I1758" s="56" t="n">
        <x:v>0.169</x:v>
      </x:c>
      <x:c r="J1758" s="56" t="n">
        <x:v>24.715505455252174</x:v>
      </x:c>
      <x:c r="K1758" s="56" t="n">
        <x:v>67.07325818287826</x:v>
      </x:c>
      <x:c r="L1758" s="56" t="n">
        <x:v>97.96179740411179</x:v>
      </x:c>
    </x:row>
    <x:row r="1759" ht="32.400001525878906" hidden="0" customHeight="1">
      <x:c r="A1759" s="29" t="str">
        <x:v>Miami-Dade County, Florida</x:v>
      </x:c>
      <x:c r="B1759" s="29" t="str">
        <x:v>12086017000</x:v>
      </x:c>
      <x:c r="C1759" s="51" t="n">
        <x:v>4700</x:v>
      </x:c>
      <x:c r="D1759" s="51" t="n">
        <x:v>322</x:v>
      </x:c>
      <x:c r="E1759" s="51" t="n">
        <x:v>157.5</x:v>
      </x:c>
      <x:c r="F1759" s="38" t="n">
        <x:v>0.06851063829787234</x:v>
      </x:c>
      <x:c r="G1759" s="38" t="n">
        <x:v>0.03351063829787234</x:v>
      </x:c>
      <x:c r="H1759" s="57" t="n">
        <x:v>4828.45</x:v>
      </x:c>
      <x:c r="I1759" s="57" t="n">
        <x:v>0.478</x:v>
      </x:c>
      <x:c r="J1759" s="57" t="n">
        <x:v>24.452247374443328</x:v>
      </x:c>
      <x:c r="K1759" s="57" t="n">
        <x:v>66.67837106166499</x:v>
      </x:c>
      <x:c r="L1759" s="57" t="n">
        <x:v>97.3976729452357</x:v>
      </x:c>
    </x:row>
    <x:row r="1760" ht="32.400001525878906" hidden="0" customHeight="1">
      <x:c r="A1760" s="27" t="str">
        <x:v>Miami-Dade County, Florida</x:v>
      </x:c>
      <x:c r="B1760" s="27" t="str">
        <x:v>12086017101</x:v>
      </x:c>
      <x:c r="C1760" s="50" t="n">
        <x:v>3730</x:v>
      </x:c>
      <x:c r="D1760" s="50" t="n">
        <x:v>316</x:v>
      </x:c>
      <x:c r="E1760" s="50" t="n">
        <x:v>106</x:v>
      </x:c>
      <x:c r="F1760" s="37" t="n">
        <x:v>0.08471849865951743</x:v>
      </x:c>
      <x:c r="G1760" s="37" t="n">
        <x:v>0.028418230563002682</x:v>
      </x:c>
      <x:c r="H1760" s="56" t="n">
        <x:v>3851.2000000000003</x:v>
      </x:c>
      <x:c r="I1760" s="56" t="n">
        <x:v>0.232</x:v>
      </x:c>
      <x:c r="J1760" s="56" t="n">
        <x:v>24.713980927071965</x:v>
      </x:c>
      <x:c r="K1760" s="56" t="n">
        <x:v>67.07097139060795</x:v>
      </x:c>
      <x:c r="L1760" s="56" t="n">
        <x:v>97.95853055801135</x:v>
      </x:c>
    </x:row>
    <x:row r="1761" ht="32.400001525878906" hidden="0" customHeight="1">
      <x:c r="A1761" s="29" t="str">
        <x:v>Miami-Dade County, Florida</x:v>
      </x:c>
      <x:c r="B1761" s="29" t="str">
        <x:v>12086017102</x:v>
      </x:c>
      <x:c r="C1761" s="51" t="n">
        <x:v>2804</x:v>
      </x:c>
      <x:c r="D1761" s="51" t="n">
        <x:v>209</x:v>
      </x:c>
      <x:c r="E1761" s="51" t="n">
        <x:v>39.5</x:v>
      </x:c>
      <x:c r="F1761" s="38" t="n">
        <x:v>0.07453637660485021</x:v>
      </x:c>
      <x:c r="G1761" s="38" t="n">
        <x:v>0.014087018544935806</x:v>
      </x:c>
      <x:c r="H1761" s="57" t="n">
        <x:v>2881.1</x:v>
      </x:c>
      <x:c r="I1761" s="57" t="n">
        <x:v>0.22</x:v>
      </x:c>
      <x:c r="J1761" s="57" t="n">
        <x:v>23.677646928604585</x:v>
      </x:c>
      <x:c r="K1761" s="57" t="n">
        <x:v>65.51647039290688</x:v>
      </x:c>
      <x:c r="L1761" s="57" t="n">
        <x:v>95.73781484700982</x:v>
      </x:c>
    </x:row>
    <x:row r="1762" ht="32.400001525878906" hidden="0" customHeight="1">
      <x:c r="A1762" s="27" t="str">
        <x:v>Miami-Dade County, Florida</x:v>
      </x:c>
      <x:c r="B1762" s="27" t="str">
        <x:v>12086017200</x:v>
      </x:c>
      <x:c r="C1762" s="50" t="n">
        <x:v>3816</x:v>
      </x:c>
      <x:c r="D1762" s="50" t="n">
        <x:v>424</x:v>
      </x:c>
      <x:c r="E1762" s="50" t="n">
        <x:v>165.5</x:v>
      </x:c>
      <x:c r="F1762" s="37" t="n">
        <x:v>0.1111111111111111</x:v>
      </x:c>
      <x:c r="G1762" s="37" t="n">
        <x:v>0.04337002096436059</x:v>
      </x:c>
      <x:c r="H1762" s="56" t="n">
        <x:v>3980.95</x:v>
      </x:c>
      <x:c r="I1762" s="56" t="n">
        <x:v>0.546</x:v>
      </x:c>
      <x:c r="J1762" s="56" t="n">
        <x:v>22.811415598047887</x:v>
      </x:c>
      <x:c r="K1762" s="56" t="n">
        <x:v>64.21712339707183</x:v>
      </x:c>
      <x:c r="L1762" s="56" t="n">
        <x:v>93.88160485295975</x:v>
      </x:c>
    </x:row>
    <x:row r="1763" ht="32.400001525878906" hidden="0" customHeight="1">
      <x:c r="A1763" s="29" t="str">
        <x:v>Miami-Dade County, Florida</x:v>
      </x:c>
      <x:c r="B1763" s="29" t="str">
        <x:v>12086017300</x:v>
      </x:c>
      <x:c r="C1763" s="51" t="n">
        <x:v>4022</x:v>
      </x:c>
      <x:c r="D1763" s="51" t="n">
        <x:v>504</x:v>
      </x:c>
      <x:c r="E1763" s="51" t="n">
        <x:v>126</x:v>
      </x:c>
      <x:c r="F1763" s="38" t="n">
        <x:v>0.1253107906514172</x:v>
      </x:c>
      <x:c r="G1763" s="38" t="n">
        <x:v>0.0313276976628543</x:v>
      </x:c>
      <x:c r="H1763" s="57" t="n">
        <x:v>4211.000000000001</x:v>
      </x:c>
      <x:c r="I1763" s="57" t="n">
        <x:v>0.364</x:v>
      </x:c>
      <x:c r="J1763" s="57" t="n">
        <x:v>21.93065947908363</x:v>
      </x:c>
      <x:c r="K1763" s="57" t="n">
        <x:v>62.895989218625445</x:v>
      </x:c>
      <x:c r="L1763" s="57" t="n">
        <x:v>91.99427031232207</x:v>
      </x:c>
    </x:row>
    <x:row r="1764" ht="32.400001525878906" hidden="0" customHeight="1">
      <x:c r="A1764" s="27" t="str">
        <x:v>Miami-Dade County, Florida</x:v>
      </x:c>
      <x:c r="B1764" s="27" t="str">
        <x:v>12086017401</x:v>
      </x:c>
      <x:c r="C1764" s="50" t="n">
        <x:v>1468</x:v>
      </x:c>
      <x:c r="D1764" s="50" t="n">
        <x:v>108</x:v>
      </x:c>
      <x:c r="E1764" s="50" t="n">
        <x:v>5</x:v>
      </x:c>
      <x:c r="F1764" s="37" t="n">
        <x:v>0.07356948228882834</x:v>
      </x:c>
      <x:c r="G1764" s="37" t="n">
        <x:v>0.0034059945504087193</x:v>
      </x:c>
      <x:c r="H1764" s="56" t="n">
        <x:v>1506.3000000000002</x:v>
      </x:c>
      <x:c r="I1764" s="56" t="n">
        <x:v>0.268</x:v>
      </x:c>
      <x:c r="J1764" s="56" t="n">
        <x:v>22.841730295936088</x:v>
      </x:c>
      <x:c r="K1764" s="56" t="n">
        <x:v>64.26259544390413</x:v>
      </x:c>
      <x:c r="L1764" s="56" t="n">
        <x:v>93.94656491986305</x:v>
      </x:c>
    </x:row>
    <x:row r="1765" ht="32.400001525878906" hidden="0" customHeight="1">
      <x:c r="A1765" s="29" t="str">
        <x:v>Miami-Dade County, Florida</x:v>
      </x:c>
      <x:c r="B1765" s="29" t="str">
        <x:v>12086017402</x:v>
      </x:c>
      <x:c r="C1765" s="51" t="n">
        <x:v>4823</x:v>
      </x:c>
      <x:c r="D1765" s="51" t="n">
        <x:v>937</x:v>
      </x:c>
      <x:c r="E1765" s="51" t="n">
        <x:v>118</x:v>
      </x:c>
      <x:c r="F1765" s="38" t="n">
        <x:v>0.19427742069251502</x:v>
      </x:c>
      <x:c r="G1765" s="38" t="n">
        <x:v>0.024466099937798053</x:v>
      </x:c>
      <x:c r="H1765" s="57" t="n">
        <x:v>5162.75</x:v>
      </x:c>
      <x:c r="I1765" s="57" t="n">
        <x:v>0.536</x:v>
      </x:c>
      <x:c r="J1765" s="57" t="n">
        <x:v>21.893220185236412</x:v>
      </x:c>
      <x:c r="K1765" s="57" t="n">
        <x:v>62.83983027785462</x:v>
      </x:c>
      <x:c r="L1765" s="57" t="n">
        <x:v>91.91404325407802</x:v>
      </x:c>
    </x:row>
    <x:row r="1766" ht="32.400001525878906" hidden="0" customHeight="1">
      <x:c r="A1766" s="27" t="str">
        <x:v>Miami-Dade County, Florida</x:v>
      </x:c>
      <x:c r="B1766" s="27" t="str">
        <x:v>12086017500</x:v>
      </x:c>
      <x:c r="C1766" s="50" t="n">
        <x:v>3678</x:v>
      </x:c>
      <x:c r="D1766" s="50" t="n">
        <x:v>302</x:v>
      </x:c>
      <x:c r="E1766" s="50" t="n">
        <x:v>371</x:v>
      </x:c>
      <x:c r="F1766" s="37" t="n">
        <x:v>0.08210984230560087</x:v>
      </x:c>
      <x:c r="G1766" s="37" t="n">
        <x:v>0.10087003806416531</x:v>
      </x:c>
      <x:c r="H1766" s="56" t="n">
        <x:v>3820.7999999999997</x:v>
      </x:c>
      <x:c r="I1766" s="56" t="n">
        <x:v>0.217</x:v>
      </x:c>
      <x:c r="J1766" s="56" t="n">
        <x:v>23.545085899178094</x:v>
      </x:c>
      <x:c r="K1766" s="56" t="n">
        <x:v>65.31762884876714</x:v>
      </x:c>
      <x:c r="L1766" s="56" t="n">
        <x:v>95.45375549823876</x:v>
      </x:c>
    </x:row>
    <x:row r="1767" ht="32.400001525878906" hidden="0" customHeight="1">
      <x:c r="A1767" s="29" t="str">
        <x:v>Miami-Dade County, Florida</x:v>
      </x:c>
      <x:c r="B1767" s="29" t="str">
        <x:v>12086017600</x:v>
      </x:c>
      <x:c r="C1767" s="51" t="n">
        <x:v>6991</x:v>
      </x:c>
      <x:c r="D1767" s="51" t="n">
        <x:v>664</x:v>
      </x:c>
      <x:c r="E1767" s="51" t="n">
        <x:v>198</x:v>
      </x:c>
      <x:c r="F1767" s="38" t="n">
        <x:v>0.0949792590473466</x:v>
      </x:c>
      <x:c r="G1767" s="38" t="n">
        <x:v>0.0283221284508654</x:v>
      </x:c>
      <x:c r="H1767" s="57" t="n">
        <x:v>7243.200000000001</x:v>
      </x:c>
      <x:c r="I1767" s="57" t="n">
        <x:v>0.298</x:v>
      </x:c>
      <x:c r="J1767" s="57" t="n">
        <x:v>22.65987395144541</x:v>
      </x:c>
      <x:c r="K1767" s="57" t="n">
        <x:v>63.98981092716811</x:v>
      </x:c>
      <x:c r="L1767" s="57" t="n">
        <x:v>93.55687275309731</x:v>
      </x:c>
    </x:row>
    <x:row r="1768" ht="32.400001525878906" hidden="0" customHeight="1">
      <x:c r="A1768" s="27" t="str">
        <x:v>Miami-Dade County, Florida</x:v>
      </x:c>
      <x:c r="B1768" s="27" t="str">
        <x:v>12086017700</x:v>
      </x:c>
      <x:c r="C1768" s="50" t="n">
        <x:v>4776</x:v>
      </x:c>
      <x:c r="D1768" s="50" t="n">
        <x:v>392</x:v>
      </x:c>
      <x:c r="E1768" s="50" t="n">
        <x:v>212.5</x:v>
      </x:c>
      <x:c r="F1768" s="37" t="n">
        <x:v>0.08207705192629816</x:v>
      </x:c>
      <x:c r="G1768" s="37" t="n">
        <x:v>0.044493299832495815</x:v>
      </x:c>
      <x:c r="H1768" s="56" t="n">
        <x:v>4934.45</x:v>
      </x:c>
      <x:c r="I1768" s="56" t="n">
        <x:v>0.193</x:v>
      </x:c>
      <x:c r="J1768" s="56" t="n">
        <x:v>22.746889833813245</x:v>
      </x:c>
      <x:c r="K1768" s="56" t="n">
        <x:v>64.12033475071986</x:v>
      </x:c>
      <x:c r="L1768" s="56" t="n">
        <x:v>93.74333535817124</x:v>
      </x:c>
    </x:row>
    <x:row r="1769" ht="32.400001525878906" hidden="0" customHeight="1">
      <x:c r="A1769" s="29" t="str">
        <x:v>Miami-Dade County, Florida</x:v>
      </x:c>
      <x:c r="B1769" s="29" t="str">
        <x:v>12086017800</x:v>
      </x:c>
      <x:c r="C1769" s="51" t="n">
        <x:v>6025</x:v>
      </x:c>
      <x:c r="D1769" s="51" t="n">
        <x:v>434</x:v>
      </x:c>
      <x:c r="E1769" s="51" t="n">
        <x:v>383</x:v>
      </x:c>
      <x:c r="F1769" s="38" t="n">
        <x:v>0.07203319502074688</x:v>
      </x:c>
      <x:c r="G1769" s="38" t="n">
        <x:v>0.06356846473029046</x:v>
      </x:c>
      <x:c r="H1769" s="57" t="n">
        <x:v>6215.200000000001</x:v>
      </x:c>
      <x:c r="I1769" s="57" t="n">
        <x:v>0.207</x:v>
      </x:c>
      <x:c r="J1769" s="57" t="n">
        <x:v>23.889356664194096</x:v>
      </x:c>
      <x:c r="K1769" s="57" t="n">
        <x:v>65.83403499629114</x:v>
      </x:c>
      <x:c r="L1769" s="57" t="n">
        <x:v>96.1914785661302</x:v>
      </x:c>
    </x:row>
    <x:row r="1770" ht="32.400001525878906" hidden="0" customHeight="1">
      <x:c r="A1770" s="27" t="str">
        <x:v>Miami-Dade County, Florida</x:v>
      </x:c>
      <x:c r="B1770" s="27" t="str">
        <x:v>12086017901</x:v>
      </x:c>
      <x:c r="C1770" s="50" t="n">
        <x:v>4073</x:v>
      </x:c>
      <x:c r="D1770" s="50" t="n">
        <x:v>239</x:v>
      </x:c>
      <x:c r="E1770" s="50" t="n">
        <x:v>0</x:v>
      </x:c>
      <x:c r="F1770" s="37" t="n">
        <x:v>0.058679106309845325</x:v>
      </x:c>
      <x:c r="G1770" s="37" t="n">
        <x:v>0</x:v>
      </x:c>
      <x:c r="H1770" s="56" t="n">
        <x:v>4156.650000000001</x:v>
      </x:c>
      <x:c r="I1770" s="56" t="n">
        <x:v>1.31</x:v>
      </x:c>
      <x:c r="J1770" s="56" t="n">
        <x:v>24.150261221898877</x:v>
      </x:c>
      <x:c r="K1770" s="56" t="n">
        <x:v>66.22539183284832</x:v>
      </x:c>
      <x:c r="L1770" s="56" t="n">
        <x:v>96.75055976121189</x:v>
      </x:c>
    </x:row>
    <x:row r="1771" ht="32.400001525878906" hidden="0" customHeight="1">
      <x:c r="A1771" s="29" t="str">
        <x:v>Miami-Dade County, Florida</x:v>
      </x:c>
      <x:c r="B1771" s="29" t="str">
        <x:v>12086017902</x:v>
      </x:c>
      <x:c r="C1771" s="51" t="n">
        <x:v>4606</x:v>
      </x:c>
      <x:c r="D1771" s="51" t="n">
        <x:v>280</x:v>
      </x:c>
      <x:c r="E1771" s="51" t="n">
        <x:v>9</x:v>
      </x:c>
      <x:c r="F1771" s="38" t="n">
        <x:v>0.060790273556231005</x:v>
      </x:c>
      <x:c r="G1771" s="38" t="n">
        <x:v>0.0019539730785931393</x:v>
      </x:c>
      <x:c r="H1771" s="57" t="n">
        <x:v>4704.9</x:v>
      </x:c>
      <x:c r="I1771" s="57" t="n">
        <x:v>0.482</x:v>
      </x:c>
      <x:c r="J1771" s="57" t="n">
        <x:v>23.15784655111555</x:v>
      </x:c>
      <x:c r="K1771" s="57" t="n">
        <x:v>64.73676982667332</x:v>
      </x:c>
      <x:c r="L1771" s="57" t="n">
        <x:v>94.6239568952476</x:v>
      </x:c>
    </x:row>
    <x:row r="1772" ht="32.400001525878906" hidden="0" customHeight="1">
      <x:c r="A1772" s="27" t="str">
        <x:v>Miami-Dade County, Florida</x:v>
      </x:c>
      <x:c r="B1772" s="27" t="str">
        <x:v>12086018001</x:v>
      </x:c>
      <x:c r="C1772" s="50" t="n">
        <x:v>1687</x:v>
      </x:c>
      <x:c r="D1772" s="50" t="n">
        <x:v>105</x:v>
      </x:c>
      <x:c r="E1772" s="50" t="n">
        <x:v>27</x:v>
      </x:c>
      <x:c r="F1772" s="37" t="n">
        <x:v>0.06224066390041494</x:v>
      </x:c>
      <x:c r="G1772" s="37" t="n">
        <x:v>0.016004742145820983</x:v>
      </x:c>
      <x:c r="H1772" s="56" t="n">
        <x:v>1726.4499999999998</x:v>
      </x:c>
      <x:c r="I1772" s="56" t="n">
        <x:v>0.258</x:v>
      </x:c>
      <x:c r="J1772" s="56" t="n">
        <x:v>21.08469518171377</x:v>
      </x:c>
      <x:c r="K1772" s="56" t="n">
        <x:v>61.627042772570654</x:v>
      </x:c>
      <x:c r="L1772" s="56" t="n">
        <x:v>90.18148967510093</x:v>
      </x:c>
    </x:row>
    <x:row r="1773" ht="32.400001525878906" hidden="0" customHeight="1">
      <x:c r="A1773" s="29" t="str">
        <x:v>Miami-Dade County, Florida</x:v>
      </x:c>
      <x:c r="B1773" s="29" t="str">
        <x:v>12086018002</x:v>
      </x:c>
      <x:c r="C1773" s="51" t="n">
        <x:v>2378</x:v>
      </x:c>
      <x:c r="D1773" s="51" t="n">
        <x:v>245</x:v>
      </x:c>
      <x:c r="E1773" s="51" t="n">
        <x:v>30</x:v>
      </x:c>
      <x:c r="F1773" s="38" t="n">
        <x:v>0.1030277544154752</x:v>
      </x:c>
      <x:c r="G1773" s="38" t="n">
        <x:v>0.012615643397813289</x:v>
      </x:c>
      <x:c r="H1773" s="57" t="n">
        <x:v>2466.75</x:v>
      </x:c>
      <x:c r="I1773" s="57" t="n">
        <x:v>0.237</x:v>
      </x:c>
      <x:c r="J1773" s="57" t="n">
        <x:v>21.526731990135747</x:v>
      </x:c>
      <x:c r="K1773" s="57" t="n">
        <x:v>62.290097985203616</x:v>
      </x:c>
      <x:c r="L1773" s="57" t="n">
        <x:v>91.12871140743374</x:v>
      </x:c>
    </x:row>
    <x:row r="1774" ht="32.400001525878906" hidden="0" customHeight="1">
      <x:c r="A1774" s="27" t="str">
        <x:v>Miami-Dade County, Florida</x:v>
      </x:c>
      <x:c r="B1774" s="27" t="str">
        <x:v>12086018003</x:v>
      </x:c>
      <x:c r="C1774" s="50" t="n">
        <x:v>7549</x:v>
      </x:c>
      <x:c r="D1774" s="50" t="n">
        <x:v>518</x:v>
      </x:c>
      <x:c r="E1774" s="50" t="n">
        <x:v>172.5</x:v>
      </x:c>
      <x:c r="F1774" s="37" t="n">
        <x:v>0.06861836004768844</x:v>
      </x:c>
      <x:c r="G1774" s="37" t="n">
        <x:v>0.02285070870313949</x:v>
      </x:c>
      <x:c r="H1774" s="56" t="n">
        <x:v>7747.549999999999</x:v>
      </x:c>
      <x:c r="I1774" s="56" t="n">
        <x:v>2.575</x:v>
      </x:c>
      <x:c r="J1774" s="56" t="n">
        <x:v>23.706247652957796</x:v>
      </x:c>
      <x:c r="K1774" s="56" t="n">
        <x:v>65.55937147943669</x:v>
      </x:c>
      <x:c r="L1774" s="56" t="n">
        <x:v>95.79910211348098</x:v>
      </x:c>
    </x:row>
    <x:row r="1775" ht="32.400001525878906" hidden="0" customHeight="1">
      <x:c r="A1775" s="29" t="str">
        <x:v>Miami-Dade County, Florida</x:v>
      </x:c>
      <x:c r="B1775" s="29" t="str">
        <x:v>12086018100</x:v>
      </x:c>
      <x:c r="C1775" s="51" t="n">
        <x:v>5280</x:v>
      </x:c>
      <x:c r="D1775" s="51" t="n">
        <x:v>600</x:v>
      </x:c>
      <x:c r="E1775" s="51" t="n">
        <x:v>40</x:v>
      </x:c>
      <x:c r="F1775" s="38" t="n">
        <x:v>0.11363636363636363</x:v>
      </x:c>
      <x:c r="G1775" s="38" t="n">
        <x:v>0.007575757575757576</x:v>
      </x:c>
      <x:c r="H1775" s="57" t="n">
        <x:v>5494</x:v>
      </x:c>
      <x:c r="I1775" s="57" t="n">
        <x:v>0.531</x:v>
      </x:c>
      <x:c r="J1775" s="57" t="n">
        <x:v>21.324895017468947</x:v>
      </x:c>
      <x:c r="K1775" s="57" t="n">
        <x:v>61.98734252620342</x:v>
      </x:c>
      <x:c r="L1775" s="57" t="n">
        <x:v>90.69620360886202</x:v>
      </x:c>
    </x:row>
    <x:row r="1776" ht="32.400001525878906" hidden="0" customHeight="1">
      <x:c r="A1776" s="27" t="str">
        <x:v>Miami-Dade County, Florida</x:v>
      </x:c>
      <x:c r="B1776" s="27" t="str">
        <x:v>12086018200</x:v>
      </x:c>
      <x:c r="C1776" s="50" t="n">
        <x:v>2688</x:v>
      </x:c>
      <x:c r="D1776" s="50" t="n">
        <x:v>297</x:v>
      </x:c>
      <x:c r="E1776" s="50" t="n">
        <x:v>30</x:v>
      </x:c>
      <x:c r="F1776" s="37" t="n">
        <x:v>0.11049107142857142</x:v>
      </x:c>
      <x:c r="G1776" s="37" t="n">
        <x:v>0.011160714285714286</x:v>
      </x:c>
      <x:c r="H1776" s="56" t="n">
        <x:v>2794.95</x:v>
      </x:c>
      <x:c r="I1776" s="56" t="n">
        <x:v>1.695</x:v>
      </x:c>
      <x:c r="J1776" s="56" t="n">
        <x:v>20.94688228942009</x:v>
      </x:c>
      <x:c r="K1776" s="56" t="n">
        <x:v>61.42032343413013</x:v>
      </x:c>
      <x:c r="L1776" s="56" t="n">
        <x:v>89.88617633447161</x:v>
      </x:c>
    </x:row>
    <x:row r="1777" ht="32.400001525878906" hidden="0" customHeight="1">
      <x:c r="A1777" s="29" t="str">
        <x:v>Miami-Dade County, Florida</x:v>
      </x:c>
      <x:c r="B1777" s="29" t="str">
        <x:v>12086018300</x:v>
      </x:c>
      <x:c r="C1777" s="51" t="n">
        <x:v>4394</x:v>
      </x:c>
      <x:c r="D1777" s="51" t="n">
        <x:v>255</x:v>
      </x:c>
      <x:c r="E1777" s="51" t="n">
        <x:v>30</x:v>
      </x:c>
      <x:c r="F1777" s="38" t="n">
        <x:v>0.058033682294037325</x:v>
      </x:c>
      <x:c r="G1777" s="38" t="n">
        <x:v>0.006827492034592627</x:v>
      </x:c>
      <x:c r="H1777" s="57" t="n">
        <x:v>4486.25</x:v>
      </x:c>
      <x:c r="I1777" s="57" t="n">
        <x:v>0.446</x:v>
      </x:c>
      <x:c r="J1777" s="57" t="n">
        <x:v>21.459318561252648</x:v>
      </x:c>
      <x:c r="K1777" s="57" t="n">
        <x:v>62.18897784187897</x:v>
      </x:c>
      <x:c r="L1777" s="57" t="n">
        <x:v>90.9842540598271</x:v>
      </x:c>
    </x:row>
    <x:row r="1778" ht="32.400001525878906" hidden="0" customHeight="1">
      <x:c r="A1778" s="27" t="str">
        <x:v>Miami-Dade County, Florida</x:v>
      </x:c>
      <x:c r="B1778" s="27" t="str">
        <x:v>12086018400</x:v>
      </x:c>
      <x:c r="C1778" s="50" t="n">
        <x:v>3963</x:v>
      </x:c>
      <x:c r="D1778" s="50" t="n">
        <x:v>413</x:v>
      </x:c>
      <x:c r="E1778" s="50" t="n">
        <x:v>151</x:v>
      </x:c>
      <x:c r="F1778" s="37" t="n">
        <x:v>0.1042139793086046</x:v>
      </x:c>
      <x:c r="G1778" s="37" t="n">
        <x:v>0.03810244764067625</x:v>
      </x:c>
      <x:c r="H1778" s="56" t="n">
        <x:v>4122.65</x:v>
      </x:c>
      <x:c r="I1778" s="56" t="n">
        <x:v>0.201</x:v>
      </x:c>
      <x:c r="J1778" s="56" t="n">
        <x:v>19.86916516090546</x:v>
      </x:c>
      <x:c r="K1778" s="56" t="n">
        <x:v>59.80374774135819</x:v>
      </x:c>
      <x:c r="L1778" s="56" t="n">
        <x:v>87.57678248765455</x:v>
      </x:c>
    </x:row>
    <x:row r="1779" ht="32.400001525878906" hidden="0" customHeight="1">
      <x:c r="A1779" s="29" t="str">
        <x:v>Miami-Dade County, Florida</x:v>
      </x:c>
      <x:c r="B1779" s="29" t="str">
        <x:v>12086018500</x:v>
      </x:c>
      <x:c r="C1779" s="51" t="n">
        <x:v>5122</x:v>
      </x:c>
      <x:c r="D1779" s="51" t="n">
        <x:v>331</x:v>
      </x:c>
      <x:c r="E1779" s="51" t="n">
        <x:v>470.5</x:v>
      </x:c>
      <x:c r="F1779" s="38" t="n">
        <x:v>0.06462319406481844</x:v>
      </x:c>
      <x:c r="G1779" s="38" t="n">
        <x:v>0.09185864896524795</x:v>
      </x:c>
      <x:c r="H1779" s="57" t="n">
        <x:v>5284.900000000001</x:v>
      </x:c>
      <x:c r="I1779" s="57" t="n">
        <x:v>0.349</x:v>
      </x:c>
      <x:c r="J1779" s="57" t="n">
        <x:v>19.009343221830097</x:v>
      </x:c>
      <x:c r="K1779" s="57" t="n">
        <x:v>58.51401483274515</x:v>
      </x:c>
      <x:c r="L1779" s="57" t="n">
        <x:v>85.73430690392163</x:v>
      </x:c>
    </x:row>
    <x:row r="1780" ht="32.400001525878906" hidden="0" customHeight="1">
      <x:c r="A1780" s="27" t="str">
        <x:v>Miami-Dade County, Florida</x:v>
      </x:c>
      <x:c r="B1780" s="27" t="str">
        <x:v>12086018601</x:v>
      </x:c>
      <x:c r="C1780" s="50" t="n">
        <x:v>4309</x:v>
      </x:c>
      <x:c r="D1780" s="50" t="n">
        <x:v>105</x:v>
      </x:c>
      <x:c r="E1780" s="50" t="n">
        <x:v>56</x:v>
      </x:c>
      <x:c r="F1780" s="37" t="n">
        <x:v>0.024367602692039917</x:v>
      </x:c>
      <x:c r="G1780" s="37" t="n">
        <x:v>0.012996054769087955</x:v>
      </x:c>
      <x:c r="H1780" s="56" t="n">
        <x:v>4351.349999999999</x:v>
      </x:c>
      <x:c r="I1780" s="56" t="n">
        <x:v>0.33</x:v>
      </x:c>
      <x:c r="J1780" s="56" t="n">
        <x:v>20.211987838972604</x:v>
      </x:c>
      <x:c r="K1780" s="56" t="n">
        <x:v>60.317981758458906</x:v>
      </x:c>
      <x:c r="L1780" s="56" t="n">
        <x:v>88.31140251208416</x:v>
      </x:c>
    </x:row>
    <x:row r="1781" ht="32.400001525878906" hidden="0" customHeight="1">
      <x:c r="A1781" s="29" t="str">
        <x:v>Miami-Dade County, Florida</x:v>
      </x:c>
      <x:c r="B1781" s="29" t="str">
        <x:v>12086018602</x:v>
      </x:c>
      <x:c r="C1781" s="51" t="n">
        <x:v>3877</x:v>
      </x:c>
      <x:c r="D1781" s="51" t="n">
        <x:v>277</x:v>
      </x:c>
      <x:c r="E1781" s="51" t="n">
        <x:v>175.5</x:v>
      </x:c>
      <x:c r="F1781" s="38" t="n">
        <x:v>0.07144699509930358</x:v>
      </x:c>
      <x:c r="G1781" s="38" t="n">
        <x:v>0.04526695898890895</x:v>
      </x:c>
      <x:c r="H1781" s="57" t="n">
        <x:v>3991.5000000000005</x:v>
      </x:c>
      <x:c r="I1781" s="57" t="n">
        <x:v>0.294</x:v>
      </x:c>
      <x:c r="J1781" s="57" t="n">
        <x:v>20.990579051311414</x:v>
      </x:c>
      <x:c r="K1781" s="57" t="n">
        <x:v>61.48586857696712</x:v>
      </x:c>
      <x:c r="L1781" s="57" t="n">
        <x:v>89.97981225281018</x:v>
      </x:c>
    </x:row>
    <x:row r="1782" ht="32.400001525878906" hidden="0" customHeight="1">
      <x:c r="A1782" s="27" t="str">
        <x:v>Miami-Dade County, Florida</x:v>
      </x:c>
      <x:c r="B1782" s="27" t="str">
        <x:v>12086018700</x:v>
      </x:c>
      <x:c r="C1782" s="50" t="n">
        <x:v>4070</x:v>
      </x:c>
      <x:c r="D1782" s="50" t="n">
        <x:v>265</x:v>
      </x:c>
      <x:c r="E1782" s="50" t="n">
        <x:v>41</x:v>
      </x:c>
      <x:c r="F1782" s="37" t="n">
        <x:v>0.06511056511056511</x:v>
      </x:c>
      <x:c r="G1782" s="37" t="n">
        <x:v>0.010073710073710074</x:v>
      </x:c>
      <x:c r="H1782" s="56" t="n">
        <x:v>4166.849999999999</x:v>
      </x:c>
      <x:c r="I1782" s="56" t="n">
        <x:v>0.517</x:v>
      </x:c>
      <x:c r="J1782" s="56" t="n">
        <x:v>18.447542952131947</x:v>
      </x:c>
      <x:c r="K1782" s="56" t="n">
        <x:v>57.671314428197924</x:v>
      </x:c>
      <x:c r="L1782" s="56" t="n">
        <x:v>84.5304491831399</x:v>
      </x:c>
    </x:row>
    <x:row r="1783" ht="32.400001525878906" hidden="0" customHeight="1">
      <x:c r="A1783" s="29" t="str">
        <x:v>Miami-Dade County, Florida</x:v>
      </x:c>
      <x:c r="B1783" s="29" t="str">
        <x:v>12086018801</x:v>
      </x:c>
      <x:c r="C1783" s="51" t="n">
        <x:v>2727</x:v>
      </x:c>
      <x:c r="D1783" s="51" t="n">
        <x:v>218</x:v>
      </x:c>
      <x:c r="E1783" s="51" t="n">
        <x:v>54</x:v>
      </x:c>
      <x:c r="F1783" s="38" t="n">
        <x:v>0.07994132746607994</x:v>
      </x:c>
      <x:c r="G1783" s="38" t="n">
        <x:v>0.019801980198019802</x:v>
      </x:c>
      <x:c r="H1783" s="57" t="n">
        <x:v>2808.7</x:v>
      </x:c>
      <x:c r="I1783" s="57" t="n">
        <x:v>0.51</x:v>
      </x:c>
      <x:c r="J1783" s="57" t="n">
        <x:v>18.21349511146009</x:v>
      </x:c>
      <x:c r="K1783" s="57" t="n">
        <x:v>57.320242667190136</x:v>
      </x:c>
      <x:c r="L1783" s="57" t="n">
        <x:v>84.02891809598592</x:v>
      </x:c>
    </x:row>
    <x:row r="1784" ht="32.400001525878906" hidden="0" customHeight="1">
      <x:c r="A1784" s="27" t="str">
        <x:v>Miami-Dade County, Florida</x:v>
      </x:c>
      <x:c r="B1784" s="27" t="str">
        <x:v>12086018802</x:v>
      </x:c>
      <x:c r="C1784" s="50" t="n">
        <x:v>2234</x:v>
      </x:c>
      <x:c r="D1784" s="50" t="n">
        <x:v>285</x:v>
      </x:c>
      <x:c r="E1784" s="50" t="n">
        <x:v>128</x:v>
      </x:c>
      <x:c r="F1784" s="37" t="n">
        <x:v>0.12757385854968667</x:v>
      </x:c>
      <x:c r="G1784" s="37" t="n">
        <x:v>0.05729632945389436</x:v>
      </x:c>
      <x:c r="H1784" s="56" t="n">
        <x:v>2346.55</x:v>
      </x:c>
      <x:c r="I1784" s="56" t="n">
        <x:v>0.182</x:v>
      </x:c>
      <x:c r="J1784" s="56" t="n">
        <x:v>20.900736629742898</x:v>
      </x:c>
      <x:c r="K1784" s="56" t="n">
        <x:v>61.35110494461435</x:v>
      </x:c>
      <x:c r="L1784" s="56" t="n">
        <x:v>89.7872927780205</x:v>
      </x:c>
    </x:row>
    <x:row r="1785" ht="32.400001525878906" hidden="0" customHeight="1">
      <x:c r="A1785" s="29" t="str">
        <x:v>Miami-Dade County, Florida</x:v>
      </x:c>
      <x:c r="B1785" s="29" t="str">
        <x:v>12086018803</x:v>
      </x:c>
      <x:c r="C1785" s="51" t="n">
        <x:v>3332</x:v>
      </x:c>
      <x:c r="D1785" s="51" t="n">
        <x:v>231</x:v>
      </x:c>
      <x:c r="E1785" s="51" t="n">
        <x:v>22</x:v>
      </x:c>
      <x:c r="F1785" s="38" t="n">
        <x:v>0.06932773109243698</x:v>
      </x:c>
      <x:c r="G1785" s="38" t="n">
        <x:v>0.006602641056422569</x:v>
      </x:c>
      <x:c r="H1785" s="57" t="n">
        <x:v>3415.05</x:v>
      </x:c>
      <x:c r="I1785" s="57" t="n">
        <x:v>0.19</x:v>
      </x:c>
      <x:c r="J1785" s="57" t="n">
        <x:v>19.746287657211813</x:v>
      </x:c>
      <x:c r="K1785" s="57" t="n">
        <x:v>59.619431485817714</x:v>
      </x:c>
      <x:c r="L1785" s="57" t="n">
        <x:v>87.31347355116816</x:v>
      </x:c>
    </x:row>
    <x:row r="1786" ht="32.400001525878906" hidden="0" customHeight="1">
      <x:c r="A1786" s="27" t="str">
        <x:v>Miami-Dade County, Florida</x:v>
      </x:c>
      <x:c r="B1786" s="27" t="str">
        <x:v>12086018901</x:v>
      </x:c>
      <x:c r="C1786" s="50" t="n">
        <x:v>2881</x:v>
      </x:c>
      <x:c r="D1786" s="50" t="n">
        <x:v>229</x:v>
      </x:c>
      <x:c r="E1786" s="50" t="n">
        <x:v>115</x:v>
      </x:c>
      <x:c r="F1786" s="37" t="n">
        <x:v>0.07948628948281847</x:v>
      </x:c>
      <x:c r="G1786" s="37" t="n">
        <x:v>0.0399166955918084</x:v>
      </x:c>
      <x:c r="H1786" s="56" t="n">
        <x:v>2972.65</x:v>
      </x:c>
      <x:c r="I1786" s="56" t="n">
        <x:v>0.43</x:v>
      </x:c>
      <x:c r="J1786" s="56" t="n">
        <x:v>17.872542950914116</x:v>
      </x:c>
      <x:c r="K1786" s="56" t="n">
        <x:v>56.80881442637117</x:v>
      </x:c>
      <x:c r="L1786" s="56" t="n">
        <x:v>83.2983063233874</x:v>
      </x:c>
    </x:row>
    <x:row r="1787" ht="32.400001525878906" hidden="0" customHeight="1">
      <x:c r="A1787" s="29" t="str">
        <x:v>Miami-Dade County, Florida</x:v>
      </x:c>
      <x:c r="B1787" s="29" t="str">
        <x:v>12086018902</x:v>
      </x:c>
      <x:c r="C1787" s="51" t="n">
        <x:v>3511</x:v>
      </x:c>
      <x:c r="D1787" s="51" t="n">
        <x:v>223</x:v>
      </x:c>
      <x:c r="E1787" s="51" t="n">
        <x:v>0</x:v>
      </x:c>
      <x:c r="F1787" s="38" t="n">
        <x:v>0.06351466818570208</x:v>
      </x:c>
      <x:c r="G1787" s="38" t="n">
        <x:v>0</x:v>
      </x:c>
      <x:c r="H1787" s="57" t="n">
        <x:v>3589.05</x:v>
      </x:c>
      <x:c r="I1787" s="57" t="n">
        <x:v>0.531</x:v>
      </x:c>
      <x:c r="J1787" s="57" t="n">
        <x:v>18.052254001864487</x:v>
      </x:c>
      <x:c r="K1787" s="57" t="n">
        <x:v>57.07838100279673</x:v>
      </x:c>
      <x:c r="L1787" s="57" t="n">
        <x:v>83.68340143256677</x:v>
      </x:c>
    </x:row>
    <x:row r="1788" ht="32.400001525878906" hidden="0" customHeight="1">
      <x:c r="A1788" s="27" t="str">
        <x:v>Miami-Dade County, Florida</x:v>
      </x:c>
      <x:c r="B1788" s="27" t="str">
        <x:v>12086019000</x:v>
      </x:c>
      <x:c r="C1788" s="50" t="n">
        <x:v>5865</x:v>
      </x:c>
      <x:c r="D1788" s="50" t="n">
        <x:v>575</x:v>
      </x:c>
      <x:c r="E1788" s="50" t="n">
        <x:v>144</x:v>
      </x:c>
      <x:c r="F1788" s="37" t="n">
        <x:v>0.09803921568627451</x:v>
      </x:c>
      <x:c r="G1788" s="37" t="n">
        <x:v>0.024552429667519183</x:v>
      </x:c>
      <x:c r="H1788" s="56" t="n">
        <x:v>6080.650000000001</x:v>
      </x:c>
      <x:c r="I1788" s="56" t="n">
        <x:v>0.962</x:v>
      </x:c>
      <x:c r="J1788" s="56" t="n">
        <x:v>20.144522686264484</x:v>
      </x:c>
      <x:c r="K1788" s="56" t="n">
        <x:v>60.21678402939672</x:v>
      </x:c>
      <x:c r="L1788" s="56" t="n">
        <x:v>88.16683432770961</x:v>
      </x:c>
    </x:row>
    <x:row r="1789" ht="32.400001525878906" hidden="0" customHeight="1">
      <x:c r="A1789" s="29" t="str">
        <x:v>Miami-Dade County, Florida</x:v>
      </x:c>
      <x:c r="B1789" s="29" t="str">
        <x:v>12086019100</x:v>
      </x:c>
      <x:c r="C1789" s="51" t="n">
        <x:v>5336</x:v>
      </x:c>
      <x:c r="D1789" s="51" t="n">
        <x:v>630</x:v>
      </x:c>
      <x:c r="E1789" s="51" t="n">
        <x:v>364.5</x:v>
      </x:c>
      <x:c r="F1789" s="38" t="n">
        <x:v>0.11806596701649176</x:v>
      </x:c>
      <x:c r="G1789" s="38" t="n">
        <x:v>0.0683095952023988</x:v>
      </x:c>
      <x:c r="H1789" s="57" t="n">
        <x:v>5592.949999999999</x:v>
      </x:c>
      <x:c r="I1789" s="57" t="n">
        <x:v>0.722</x:v>
      </x:c>
      <x:c r="J1789" s="57" t="n">
        <x:v>19.99681943721531</x:v>
      </x:c>
      <x:c r="K1789" s="57" t="n">
        <x:v>59.99522915582297</x:v>
      </x:c>
      <x:c r="L1789" s="57" t="n">
        <x:v>87.85032736546138</x:v>
      </x:c>
    </x:row>
    <x:row r="1790" ht="32.400001525878906" hidden="0" customHeight="1">
      <x:c r="A1790" s="27" t="str">
        <x:v>Miami-Dade County, Florida</x:v>
      </x:c>
      <x:c r="B1790" s="27" t="str">
        <x:v>12086019200</x:v>
      </x:c>
      <x:c r="C1790" s="50" t="n">
        <x:v>5323</x:v>
      </x:c>
      <x:c r="D1790" s="50" t="n">
        <x:v>431</x:v>
      </x:c>
      <x:c r="E1790" s="50" t="n">
        <x:v>131.5</x:v>
      </x:c>
      <x:c r="F1790" s="37" t="n">
        <x:v>0.08096937817020478</x:v>
      </x:c>
      <x:c r="G1790" s="37" t="n">
        <x:v>0.024704114221303777</x:v>
      </x:c>
      <x:c r="H1790" s="56" t="n">
        <x:v>5486.999999999999</x:v>
      </x:c>
      <x:c r="I1790" s="56" t="n">
        <x:v>0.793</x:v>
      </x:c>
      <x:c r="J1790" s="56" t="n">
        <x:v>18.60536849464577</x:v>
      </x:c>
      <x:c r="K1790" s="56" t="n">
        <x:v>57.90805274196866</x:v>
      </x:c>
      <x:c r="L1790" s="56" t="n">
        <x:v>84.86864677424094</x:v>
      </x:c>
    </x:row>
    <x:row r="1791" ht="32.400001525878906" hidden="0" customHeight="1">
      <x:c r="A1791" s="29" t="str">
        <x:v>Miami-Dade County, Florida</x:v>
      </x:c>
      <x:c r="B1791" s="29" t="str">
        <x:v>12086019301</x:v>
      </x:c>
      <x:c r="C1791" s="51" t="n">
        <x:v>2881</x:v>
      </x:c>
      <x:c r="D1791" s="51" t="n">
        <x:v>216</x:v>
      </x:c>
      <x:c r="E1791" s="51" t="n">
        <x:v>190.5</x:v>
      </x:c>
      <x:c r="F1791" s="38" t="n">
        <x:v>0.07497396737244012</x:v>
      </x:c>
      <x:c r="G1791" s="38" t="n">
        <x:v>0.06612287400208261</x:v>
      </x:c>
      <x:c r="H1791" s="57" t="n">
        <x:v>2975.65</x:v>
      </x:c>
      <x:c r="I1791" s="57" t="n">
        <x:v>0.373</x:v>
      </x:c>
      <x:c r="J1791" s="57" t="n">
        <x:v>13.89840603742517</x:v>
      </x:c>
      <x:c r="K1791" s="57" t="n">
        <x:v>50.847609056137756</x:v>
      </x:c>
      <x:c r="L1791" s="57" t="n">
        <x:v>74.78229865162537</x:v>
      </x:c>
    </x:row>
    <x:row r="1792" ht="32.400001525878906" hidden="0" customHeight="1">
      <x:c r="A1792" s="27" t="str">
        <x:v>Miami-Dade County, Florida</x:v>
      </x:c>
      <x:c r="B1792" s="27" t="str">
        <x:v>12086019302</x:v>
      </x:c>
      <x:c r="C1792" s="50" t="n">
        <x:v>5057</x:v>
      </x:c>
      <x:c r="D1792" s="50" t="n">
        <x:v>406</x:v>
      </x:c>
      <x:c r="E1792" s="50" t="n">
        <x:v>78</x:v>
      </x:c>
      <x:c r="F1792" s="37" t="n">
        <x:v>0.0802847538066047</x:v>
      </x:c>
      <x:c r="G1792" s="37" t="n">
        <x:v>0.015424164524421594</x:v>
      </x:c>
      <x:c r="H1792" s="56" t="n">
        <x:v>5206.900000000001</x:v>
      </x:c>
      <x:c r="I1792" s="56" t="n">
        <x:v>0.626</x:v>
      </x:c>
      <x:c r="J1792" s="56" t="n">
        <x:v>12.765729707319569</x:v>
      </x:c>
      <x:c r="K1792" s="56" t="n">
        <x:v>49.148594560979355</x:v>
      </x:c>
      <x:c r="L1792" s="56" t="n">
        <x:v>72.35513508711335</x:v>
      </x:c>
    </x:row>
    <x:row r="1793" ht="32.400001525878906" hidden="0" customHeight="1">
      <x:c r="A1793" s="29" t="str">
        <x:v>Miami-Dade County, Florida</x:v>
      </x:c>
      <x:c r="B1793" s="29" t="str">
        <x:v>12086019401</x:v>
      </x:c>
      <x:c r="C1793" s="51" t="n">
        <x:v>2942</x:v>
      </x:c>
      <x:c r="D1793" s="51" t="n">
        <x:v>77</x:v>
      </x:c>
      <x:c r="E1793" s="51" t="n">
        <x:v>0</x:v>
      </x:c>
      <x:c r="F1793" s="38" t="n">
        <x:v>0.026172671651937457</x:v>
      </x:c>
      <x:c r="G1793" s="38" t="n">
        <x:v>0</x:v>
      </x:c>
      <x:c r="H1793" s="57" t="n">
        <x:v>2968.9500000000003</x:v>
      </x:c>
      <x:c r="I1793" s="57" t="n">
        <x:v>0.401</x:v>
      </x:c>
      <x:c r="J1793" s="57" t="n">
        <x:v>13.659899475849253</x:v>
      </x:c>
      <x:c r="K1793" s="57" t="n">
        <x:v>50.48984921377388</x:v>
      </x:c>
      <x:c r="L1793" s="57" t="n">
        <x:v>74.27121316253411</x:v>
      </x:c>
    </x:row>
    <x:row r="1794" ht="32.400001525878906" hidden="0" customHeight="1">
      <x:c r="A1794" s="27" t="str">
        <x:v>Miami-Dade County, Florida</x:v>
      </x:c>
      <x:c r="B1794" s="27" t="str">
        <x:v>12086019402</x:v>
      </x:c>
      <x:c r="C1794" s="50" t="n">
        <x:v>6005</x:v>
      </x:c>
      <x:c r="D1794" s="50" t="n">
        <x:v>203</x:v>
      </x:c>
      <x:c r="E1794" s="50" t="n">
        <x:v>0</x:v>
      </x:c>
      <x:c r="F1794" s="37" t="n">
        <x:v>0.033805162364696086</x:v>
      </x:c>
      <x:c r="G1794" s="37" t="n">
        <x:v>0</x:v>
      </x:c>
      <x:c r="H1794" s="56" t="n">
        <x:v>6076.05</x:v>
      </x:c>
      <x:c r="I1794" s="56" t="n">
        <x:v>1.841</x:v>
      </x:c>
      <x:c r="J1794" s="56" t="n">
        <x:v>15.97928736536949</x:v>
      </x:c>
      <x:c r="K1794" s="56" t="n">
        <x:v>53.96893104805424</x:v>
      </x:c>
      <x:c r="L1794" s="56" t="n">
        <x:v>79.2413300686489</x:v>
      </x:c>
    </x:row>
    <x:row r="1795" ht="32.400001525878906" hidden="0" customHeight="1">
      <x:c r="A1795" s="29" t="str">
        <x:v>Miami-Dade County, Florida</x:v>
      </x:c>
      <x:c r="B1795" s="29" t="str">
        <x:v>12086019501</x:v>
      </x:c>
      <x:c r="C1795" s="51" t="n">
        <x:v>4110</x:v>
      </x:c>
      <x:c r="D1795" s="51" t="n">
        <x:v>346</x:v>
      </x:c>
      <x:c r="E1795" s="51" t="n">
        <x:v>45</x:v>
      </x:c>
      <x:c r="F1795" s="38" t="n">
        <x:v>0.08418491484184915</x:v>
      </x:c>
      <x:c r="G1795" s="38" t="n">
        <x:v>0.010948905109489052</x:v>
      </x:c>
      <x:c r="H1795" s="57" t="n">
        <x:v>4235.6</x:v>
      </x:c>
      <x:c r="I1795" s="57" t="n">
        <x:v>0.589</x:v>
      </x:c>
      <x:c r="J1795" s="57" t="n">
        <x:v>13.482855980672944</x:v>
      </x:c>
      <x:c r="K1795" s="57" t="n">
        <x:v>50.22428397100941</x:v>
      </x:c>
      <x:c r="L1795" s="57" t="n">
        <x:v>73.89183424429916</x:v>
      </x:c>
    </x:row>
    <x:row r="1796" ht="32.400001525878906" hidden="0" customHeight="1">
      <x:c r="A1796" s="27" t="str">
        <x:v>Miami-Dade County, Florida</x:v>
      </x:c>
      <x:c r="B1796" s="27" t="str">
        <x:v>12086019502</x:v>
      </x:c>
      <x:c r="C1796" s="50" t="n">
        <x:v>4607</x:v>
      </x:c>
      <x:c r="D1796" s="50" t="n">
        <x:v>169</x:v>
      </x:c>
      <x:c r="E1796" s="50" t="n">
        <x:v>297</x:v>
      </x:c>
      <x:c r="F1796" s="37" t="n">
        <x:v>0.036683308009550684</x:v>
      </x:c>
      <x:c r="G1796" s="37" t="n">
        <x:v>0.06446711525938789</x:v>
      </x:c>
      <x:c r="H1796" s="56" t="n">
        <x:v>4695.849999999999</x:v>
      </x:c>
      <x:c r="I1796" s="56" t="n">
        <x:v>0.925</x:v>
      </x:c>
      <x:c r="J1796" s="56" t="n">
        <x:v>14.9694723582315</x:v>
      </x:c>
      <x:c r="K1796" s="56" t="n">
        <x:v>52.45420853734725</x:v>
      </x:c>
      <x:c r="L1796" s="56" t="n">
        <x:v>77.07744076763893</x:v>
      </x:c>
    </x:row>
    <x:row r="1797" ht="32.400001525878906" hidden="0" customHeight="1">
      <x:c r="A1797" s="29" t="str">
        <x:v>Miami-Dade County, Florida</x:v>
      </x:c>
      <x:c r="B1797" s="29" t="str">
        <x:v>12086019600</x:v>
      </x:c>
      <x:c r="C1797" s="51" t="n">
        <x:v>6425</x:v>
      </x:c>
      <x:c r="D1797" s="51" t="n">
        <x:v>475</x:v>
      </x:c>
      <x:c r="E1797" s="51" t="n">
        <x:v>47</x:v>
      </x:c>
      <x:c r="F1797" s="38" t="n">
        <x:v>0.07392996108949416</x:v>
      </x:c>
      <x:c r="G1797" s="38" t="n">
        <x:v>0.0073151750972762645</x:v>
      </x:c>
      <x:c r="H1797" s="57" t="n">
        <x:v>6595.949999999999</x:v>
      </x:c>
      <x:c r="I1797" s="57" t="n">
        <x:v>9.502</x:v>
      </x:c>
      <x:c r="J1797" s="57" t="n">
        <x:v>18.12945459042556</x:v>
      </x:c>
      <x:c r="K1797" s="57" t="n">
        <x:v>57.19418188563834</x:v>
      </x:c>
      <x:c r="L1797" s="57" t="n">
        <x:v>83.84883126519763</x:v>
      </x:c>
    </x:row>
    <x:row r="1798" ht="32.400001525878906" hidden="0" customHeight="1">
      <x:c r="A1798" s="27" t="str">
        <x:v>Miami-Dade County, Florida</x:v>
      </x:c>
      <x:c r="B1798" s="27" t="str">
        <x:v>12086019700</x:v>
      </x:c>
      <x:c r="C1798" s="50" t="n">
        <x:v>3580</x:v>
      </x:c>
      <x:c r="D1798" s="50" t="n">
        <x:v>182</x:v>
      </x:c>
      <x:c r="E1798" s="50" t="n">
        <x:v>89</x:v>
      </x:c>
      <x:c r="F1798" s="37" t="n">
        <x:v>0.050837988826815644</x:v>
      </x:c>
      <x:c r="G1798" s="37" t="n">
        <x:v>0.024860335195530728</x:v>
      </x:c>
      <x:c r="H1798" s="56" t="n">
        <x:v>3652.6</x:v>
      </x:c>
      <x:c r="I1798" s="56" t="n">
        <x:v>3.097</x:v>
      </x:c>
      <x:c r="J1798" s="56" t="n">
        <x:v>14.04137760177486</x:v>
      </x:c>
      <x:c r="K1798" s="56" t="n">
        <x:v>51.06206640266229</x:v>
      </x:c>
      <x:c r="L1798" s="56" t="n">
        <x:v>75.08866628951756</x:v>
      </x:c>
    </x:row>
    <x:row r="1799" ht="32.400001525878906" hidden="0" customHeight="1">
      <x:c r="A1799" s="29" t="str">
        <x:v>Miami-Dade County, Florida</x:v>
      </x:c>
      <x:c r="B1799" s="29" t="str">
        <x:v>12086019801</x:v>
      </x:c>
      <x:c r="C1799" s="51" t="n">
        <x:v>4848</x:v>
      </x:c>
      <x:c r="D1799" s="51" t="n">
        <x:v>632</x:v>
      </x:c>
      <x:c r="E1799" s="51" t="n">
        <x:v>0</x:v>
      </x:c>
      <x:c r="F1799" s="38" t="n">
        <x:v>0.13036303630363036</x:v>
      </x:c>
      <x:c r="G1799" s="38" t="n">
        <x:v>0</x:v>
      </x:c>
      <x:c r="H1799" s="57" t="n">
        <x:v>5069.200000000001</x:v>
      </x:c>
      <x:c r="I1799" s="57" t="n">
        <x:v>2.674</x:v>
      </x:c>
      <x:c r="J1799" s="57" t="n">
        <x:v>12.718367205056966</x:v>
      </x:c>
      <x:c r="K1799" s="57" t="n">
        <x:v>49.077550807585446</x:v>
      </x:c>
      <x:c r="L1799" s="57" t="n">
        <x:v>72.25364401083635</x:v>
      </x:c>
    </x:row>
    <x:row r="1800" ht="32.400001525878906" hidden="0" customHeight="1">
      <x:c r="A1800" s="27" t="str">
        <x:v>Miami-Dade County, Florida</x:v>
      </x:c>
      <x:c r="B1800" s="27" t="str">
        <x:v>12086019802</x:v>
      </x:c>
      <x:c r="C1800" s="50" t="n">
        <x:v>5332</x:v>
      </x:c>
      <x:c r="D1800" s="50" t="n">
        <x:v>591</x:v>
      </x:c>
      <x:c r="E1800" s="50" t="n">
        <x:v>72</x:v>
      </x:c>
      <x:c r="F1800" s="37" t="n">
        <x:v>0.11084021005251313</x:v>
      </x:c>
      <x:c r="G1800" s="37" t="n">
        <x:v>0.01350337584396099</x:v>
      </x:c>
      <x:c r="H1800" s="56" t="n">
        <x:v>5546.05</x:v>
      </x:c>
      <x:c r="I1800" s="56" t="n">
        <x:v>0.53</x:v>
      </x:c>
      <x:c r="J1800" s="56" t="n">
        <x:v>10.619323162905312</x:v>
      </x:c>
      <x:c r="K1800" s="56" t="n">
        <x:v>45.92898474435797</x:v>
      </x:c>
      <x:c r="L1800" s="56" t="n">
        <x:v>67.75569249193995</x:v>
      </x:c>
    </x:row>
    <x:row r="1801" ht="32.400001525878906" hidden="0" customHeight="1">
      <x:c r="A1801" s="29" t="str">
        <x:v>Miami-Dade County, Florida</x:v>
      </x:c>
      <x:c r="B1801" s="29" t="str">
        <x:v>12086019901</x:v>
      </x:c>
      <x:c r="C1801" s="51" t="n">
        <x:v>4236</x:v>
      </x:c>
      <x:c r="D1801" s="51" t="n">
        <x:v>406</x:v>
      </x:c>
      <x:c r="E1801" s="51" t="n">
        <x:v>15</x:v>
      </x:c>
      <x:c r="F1801" s="38" t="n">
        <x:v>0.09584513692162418</x:v>
      </x:c>
      <x:c r="G1801" s="38" t="n">
        <x:v>0.0035410764872521247</x:v>
      </x:c>
      <x:c r="H1801" s="57" t="n">
        <x:v>4379.599999999999</x:v>
      </x:c>
      <x:c r="I1801" s="57" t="n">
        <x:v>0.401</x:v>
      </x:c>
      <x:c r="J1801" s="57" t="n">
        <x:v>9.03296800594574</x:v>
      </x:c>
      <x:c r="K1801" s="57" t="n">
        <x:v>43.54945200891861</x:v>
      </x:c>
      <x:c r="L1801" s="57" t="n">
        <x:v>64.35636001274088</x:v>
      </x:c>
    </x:row>
    <x:row r="1802" ht="32.400001525878906" hidden="0" customHeight="1">
      <x:c r="A1802" s="27" t="str">
        <x:v>Miami-Dade County, Florida</x:v>
      </x:c>
      <x:c r="B1802" s="27" t="str">
        <x:v>12086019902</x:v>
      </x:c>
      <x:c r="C1802" s="50" t="n">
        <x:v>7112</x:v>
      </x:c>
      <x:c r="D1802" s="50" t="n">
        <x:v>997</x:v>
      </x:c>
      <x:c r="E1802" s="50" t="n">
        <x:v>184</x:v>
      </x:c>
      <x:c r="F1802" s="37" t="n">
        <x:v>0.14018560179977502</x:v>
      </x:c>
      <x:c r="G1802" s="37" t="n">
        <x:v>0.025871766029246346</x:v>
      </x:c>
      <x:c r="H1802" s="56" t="n">
        <x:v>7479.349999999999</x:v>
      </x:c>
      <x:c r="I1802" s="56" t="n">
        <x:v>0.55</x:v>
      </x:c>
      <x:c r="J1802" s="56" t="n">
        <x:v>9.549514437220646</x:v>
      </x:c>
      <x:c r="K1802" s="56" t="n">
        <x:v>44.32427165583097</x:v>
      </x:c>
      <x:c r="L1802" s="56" t="n">
        <x:v>65.46324522261567</x:v>
      </x:c>
    </x:row>
    <x:row r="1803" ht="32.400001525878906" hidden="0" customHeight="1">
      <x:c r="A1803" s="29" t="str">
        <x:v>Miami-Dade County, Florida</x:v>
      </x:c>
      <x:c r="B1803" s="29" t="str">
        <x:v>12086020001</x:v>
      </x:c>
      <x:c r="C1803" s="51" t="n">
        <x:v>2098</x:v>
      </x:c>
      <x:c r="D1803" s="51" t="n">
        <x:v>167</x:v>
      </x:c>
      <x:c r="E1803" s="51" t="n">
        <x:v>110.5</x:v>
      </x:c>
      <x:c r="F1803" s="38" t="n">
        <x:v>0.07959961868446139</x:v>
      </x:c>
      <x:c r="G1803" s="38" t="n">
        <x:v>0.05266920877025739</x:v>
      </x:c>
      <x:c r="H1803" s="57" t="n">
        <x:v>2167.5</x:v>
      </x:c>
      <x:c r="I1803" s="57" t="n">
        <x:v>0.221</x:v>
      </x:c>
      <x:c r="J1803" s="57" t="n">
        <x:v>10.649069697685276</x:v>
      </x:c>
      <x:c r="K1803" s="57" t="n">
        <x:v>45.973604546527916</x:v>
      </x:c>
      <x:c r="L1803" s="57" t="n">
        <x:v>67.81943506646846</x:v>
      </x:c>
    </x:row>
    <x:row r="1804" ht="32.400001525878906" hidden="0" customHeight="1">
      <x:c r="A1804" s="27" t="str">
        <x:v>Miami-Dade County, Florida</x:v>
      </x:c>
      <x:c r="B1804" s="27" t="str">
        <x:v>12086020002</x:v>
      </x:c>
      <x:c r="C1804" s="50" t="n">
        <x:v>4666</x:v>
      </x:c>
      <x:c r="D1804" s="50" t="n">
        <x:v>652</x:v>
      </x:c>
      <x:c r="E1804" s="50" t="n">
        <x:v>284.5</x:v>
      </x:c>
      <x:c r="F1804" s="37" t="n">
        <x:v>0.13973424774967852</x:v>
      </x:c>
      <x:c r="G1804" s="37" t="n">
        <x:v>0.060972996142306043</x:v>
      </x:c>
      <x:c r="H1804" s="56" t="n">
        <x:v>4922.65</x:v>
      </x:c>
      <x:c r="I1804" s="56" t="n">
        <x:v>0.494</x:v>
      </x:c>
      <x:c r="J1804" s="56" t="n">
        <x:v>11.870082730525066</x:v>
      </x:c>
      <x:c r="K1804" s="56" t="n">
        <x:v>47.8051240957876</x:v>
      </x:c>
      <x:c r="L1804" s="56" t="n">
        <x:v>70.43589156541086</x:v>
      </x:c>
    </x:row>
    <x:row r="1805" ht="32.400001525878906" hidden="0" customHeight="1">
      <x:c r="A1805" s="29" t="str">
        <x:v>Miami-Dade County, Florida</x:v>
      </x:c>
      <x:c r="B1805" s="29" t="str">
        <x:v>12086020100</x:v>
      </x:c>
      <x:c r="C1805" s="51" t="n">
        <x:v>4264</x:v>
      </x:c>
      <x:c r="D1805" s="51" t="n">
        <x:v>558</x:v>
      </x:c>
      <x:c r="E1805" s="51" t="n">
        <x:v>129.5</x:v>
      </x:c>
      <x:c r="F1805" s="38" t="n">
        <x:v>0.13086303939962476</x:v>
      </x:c>
      <x:c r="G1805" s="38" t="n">
        <x:v>0.030370544090056285</x:v>
      </x:c>
      <x:c r="H1805" s="57" t="n">
        <x:v>4472.25</x:v>
      </x:c>
      <x:c r="I1805" s="57" t="n">
        <x:v>0.405</x:v>
      </x:c>
      <x:c r="J1805" s="57" t="n">
        <x:v>12.230169240098585</x:v>
      </x:c>
      <x:c r="K1805" s="57" t="n">
        <x:v>48.34525386014788</x:v>
      </x:c>
      <x:c r="L1805" s="57" t="n">
        <x:v>71.20750551449697</x:v>
      </x:c>
    </x:row>
    <x:row r="1806" ht="32.400001525878906" hidden="0" customHeight="1">
      <x:c r="A1806" s="27" t="str">
        <x:v>Miami-Dade County, Florida</x:v>
      </x:c>
      <x:c r="B1806" s="27" t="str">
        <x:v>12086020200</x:v>
      </x:c>
      <x:c r="C1806" s="50" t="n">
        <x:v>5408</x:v>
      </x:c>
      <x:c r="D1806" s="50" t="n">
        <x:v>654</x:v>
      </x:c>
      <x:c r="E1806" s="50" t="n">
        <x:v>0</x:v>
      </x:c>
      <x:c r="F1806" s="37" t="n">
        <x:v>0.12093195266272189</x:v>
      </x:c>
      <x:c r="G1806" s="37" t="n">
        <x:v>0</x:v>
      </x:c>
      <x:c r="H1806" s="56" t="n">
        <x:v>5636.9</x:v>
      </x:c>
      <x:c r="I1806" s="56" t="n">
        <x:v>3.841</x:v>
      </x:c>
      <x:c r="J1806" s="56" t="n">
        <x:v>9.643591889412246</x:v>
      </x:c>
      <x:c r="K1806" s="56" t="n">
        <x:v>44.46538783411837</x:v>
      </x:c>
      <x:c r="L1806" s="56" t="n">
        <x:v>65.66483976302624</x:v>
      </x:c>
    </x:row>
    <x:row r="1807" ht="32.400001525878906" hidden="0" customHeight="1">
      <x:c r="A1807" s="29" t="str">
        <x:v>Miami-Dade County, Florida</x:v>
      </x:c>
      <x:c r="B1807" s="29" t="str">
        <x:v>12086020300</x:v>
      </x:c>
      <x:c r="C1807" s="51" t="n">
        <x:v>3178</x:v>
      </x:c>
      <x:c r="D1807" s="51" t="n">
        <x:v>279</x:v>
      </x:c>
      <x:c r="E1807" s="51" t="n">
        <x:v>39.5</x:v>
      </x:c>
      <x:c r="F1807" s="38" t="n">
        <x:v>0.08779106356198867</x:v>
      </x:c>
      <x:c r="G1807" s="38" t="n">
        <x:v>0.012429200755191945</x:v>
      </x:c>
      <x:c r="H1807" s="57" t="n">
        <x:v>3279.6000000000004</x:v>
      </x:c>
      <x:c r="I1807" s="57" t="n">
        <x:v>0.489</x:v>
      </x:c>
      <x:c r="J1807" s="57" t="n">
        <x:v>9.167772265897467</x:v>
      </x:c>
      <x:c r="K1807" s="57" t="n">
        <x:v>43.7516583988462</x:v>
      </x:c>
      <x:c r="L1807" s="57" t="n">
        <x:v>64.645226284066</x:v>
      </x:c>
    </x:row>
    <x:row r="1808" ht="32.400001525878906" hidden="0" customHeight="1">
      <x:c r="A1808" s="27" t="str">
        <x:v>Miami-Dade County, Florida</x:v>
      </x:c>
      <x:c r="B1808" s="27" t="str">
        <x:v>12086490100</x:v>
      </x:c>
      <x:c r="C1808" s="50" t="n">
        <x:v>1307</x:v>
      </x:c>
      <x:c r="D1808" s="50" t="n">
        <x:v>107</x:v>
      </x:c>
      <x:c r="E1808" s="50" t="n">
        <x:v>28</x:v>
      </x:c>
      <x:c r="F1808" s="37" t="n">
        <x:v>0.08186687069625095</x:v>
      </x:c>
      <x:c r="G1808" s="37" t="n">
        <x:v>0.02142310635042081</x:v>
      </x:c>
      <x:c r="H1808" s="56" t="n">
        <x:v>1347.25</x:v>
      </x:c>
      <x:c r="I1808" s="56" t="n">
        <x:v>0.245</x:v>
      </x:c>
      <x:c r="J1808" s="56" t="n">
        <x:v>9.12011306692968</x:v>
      </x:c>
      <x:c r="K1808" s="56" t="n">
        <x:v>43.68016960039452</x:v>
      </x:c>
      <x:c r="L1808" s="56" t="n">
        <x:v>64.54309942913503</x:v>
      </x:c>
    </x:row>
    <x:row r="1809" ht="32.400001525878906" hidden="0" customHeight="1">
      <x:c r="A1809" s="29" t="str">
        <x:v>Miami-Dade County, Florida</x:v>
      </x:c>
      <x:c r="B1809" s="29" t="str">
        <x:v>12086980300</x:v>
      </x:c>
      <x:c r="C1809" s="51" t="n">
        <x:v>5763</x:v>
      </x:c>
      <x:c r="D1809" s="51" t="n">
        <x:v>429</x:v>
      </x:c>
      <x:c r="E1809" s="51" t="n">
        <x:v>0</x:v>
      </x:c>
      <x:c r="F1809" s="38" t="n">
        <x:v>0.07444039562727746</x:v>
      </x:c>
      <x:c r="G1809" s="38" t="n">
        <x:v>0</x:v>
      </x:c>
      <x:c r="H1809" s="57" t="n">
        <x:v>5913.150000000001</x:v>
      </x:c>
      <x:c r="I1809" s="57" t="n">
        <x:v>0.498</x:v>
      </x:c>
      <x:c r="J1809" s="57" t="n">
        <x:v>15.630757853394053</x:v>
      </x:c>
      <x:c r="K1809" s="57" t="n">
        <x:v>53.44613678009108</x:v>
      </x:c>
      <x:c r="L1809" s="57" t="n">
        <x:v>78.49448111441583</x:v>
      </x:c>
    </x:row>
    <x:row r="1810" ht="32.400001525878906" hidden="0" customHeight="1">
      <x:c r="A1810" s="27" t="str">
        <x:v>Miami-Dade County, Florida</x:v>
      </x:c>
      <x:c r="B1810" s="27" t="str">
        <x:v>12086980500</x:v>
      </x:c>
      <x:c r="C1810" s="50" t="n">
        <x:v>575</x:v>
      </x:c>
      <x:c r="D1810" s="50" t="n">
        <x:v>18</x:v>
      </x:c>
      <x:c r="E1810" s="50" t="n">
        <x:v>0</x:v>
      </x:c>
      <x:c r="F1810" s="37" t="n">
        <x:v>0.03130434782608696</x:v>
      </x:c>
      <x:c r="G1810" s="37" t="n">
        <x:v>0</x:v>
      </x:c>
      <x:c r="H1810" s="56" t="n">
        <x:v>581.3000000000001</x:v>
      </x:c>
      <x:c r="I1810" s="56" t="n">
        <x:v>6.024</x:v>
      </x:c>
      <x:c r="J1810" s="56" t="n">
        <x:v>13.30606850259489</x:v>
      </x:c>
      <x:c r="K1810" s="56" t="n">
        <x:v>49.95910275389234</x:v>
      </x:c>
      <x:c r="L1810" s="56" t="n">
        <x:v>73.51300393413192</x:v>
      </x:c>
    </x:row>
    <x:row r="1811" ht="32.400001525878906" hidden="0" customHeight="1">
      <x:c r="A1811" s="29" t="str">
        <x:v>Miami-Dade County, Florida</x:v>
      </x:c>
      <x:c r="B1811" s="29" t="str">
        <x:v>12086980700</x:v>
      </x:c>
      <x:c r="C1811" s="51" t="n">
        <x:v>1120</x:v>
      </x:c>
      <x:c r="D1811" s="51" t="n">
        <x:v>149</x:v>
      </x:c>
      <x:c r="E1811" s="51" t="n">
        <x:v>427</x:v>
      </x:c>
      <x:c r="F1811" s="38" t="n">
        <x:v>0.13303571428571428</x:v>
      </x:c>
      <x:c r="G1811" s="38" t="n">
        <x:v>0.38125</x:v>
      </x:c>
      <x:c r="H1811" s="57" t="n">
        <x:v>1214.8500000000001</x:v>
      </x:c>
      <x:c r="I1811" s="57" t="n">
        <x:v>4.243</x:v>
      </x:c>
      <x:c r="J1811" s="57" t="n">
        <x:v>7.813199714310119</x:v>
      </x:c>
      <x:c r="K1811" s="57" t="n">
        <x:v>41.719799571465174</x:v>
      </x:c>
      <x:c r="L1811" s="57" t="n">
        <x:v>61.74257081637883</x:v>
      </x:c>
    </x:row>
    <x:row r="1812" ht="32.400001525878906" hidden="0" customHeight="1">
      <x:c r="A1812" s="27" t="str">
        <x:v>Miami-Dade County, Florida</x:v>
      </x:c>
      <x:c r="B1812" s="27" t="str">
        <x:v>12086981100</x:v>
      </x:c>
      <x:c r="C1812" s="50" t="n">
        <x:v>28</x:v>
      </x:c>
      <x:c r="D1812" s="50" t="n">
        <x:v>1</x:v>
      </x:c>
      <x:c r="E1812" s="50" t="n">
        <x:v>0</x:v>
      </x:c>
      <x:c r="F1812" s="37" t="n">
        <x:v>0.03571428571428571</x:v>
      </x:c>
      <x:c r="G1812" s="37" t="n">
        <x:v>0</x:v>
      </x:c>
      <x:c r="H1812" s="56" t="n">
        <x:v>28.349999999999998</x:v>
      </x:c>
      <x:c r="I1812" s="56" t="n">
        <x:v>45.588</x:v>
      </x:c>
      <x:c r="J1812" s="56" t="n">
        <x:v>11.946924029699487</x:v>
      </x:c>
      <x:c r="K1812" s="56" t="n">
        <x:v>47.92038604454923</x:v>
      </x:c>
      <x:c r="L1812" s="56" t="n">
        <x:v>70.60055149221319</x:v>
      </x:c>
    </x:row>
    <x:row r="1813" ht="32.400001525878906" hidden="0" customHeight="1">
      <x:c r="A1813" s="29" t="str">
        <x:v>Miami-Dade County, Florida</x:v>
      </x:c>
      <x:c r="B1813" s="29" t="str">
        <x:v>12086981300</x:v>
      </x:c>
      <x:c r="C1813" s="51" t="n">
        <x:v>256</x:v>
      </x:c>
      <x:c r="D1813" s="51" t="n">
        <x:v>6</x:v>
      </x:c>
      <x:c r="E1813" s="51" t="n">
        <x:v>0</x:v>
      </x:c>
      <x:c r="F1813" s="38" t="n">
        <x:v>0.0234375</x:v>
      </x:c>
      <x:c r="G1813" s="38" t="n">
        <x:v>0</x:v>
      </x:c>
      <x:c r="H1813" s="57" t="n">
        <x:v>258.1</x:v>
      </x:c>
      <x:c r="I1813" s="57" t="n">
        <x:v>2.69</x:v>
      </x:c>
      <x:c r="J1813" s="57" t="n">
        <x:v>31.36823658716479</x:v>
      </x:c>
      <x:c r="K1813" s="57" t="n">
        <x:v>77.05235488074719</x:v>
      </x:c>
      <x:c r="L1813" s="57" t="n">
        <x:v>112.21764982963883</x:v>
      </x:c>
    </x:row>
    <x:row r="1814" ht="21.600000381469727" hidden="0" customHeight="1">
      <x:c r="A1814" s="27" t="str">
        <x:v>King County, Washington</x:v>
      </x:c>
      <x:c r="B1814" s="27" t="str">
        <x:v>53033000101</x:v>
      </x:c>
      <x:c r="C1814" s="50" t="n">
        <x:v>3412</x:v>
      </x:c>
      <x:c r="D1814" s="50" t="n">
        <x:v>532</x:v>
      </x:c>
      <x:c r="E1814" s="50" t="n">
        <x:v>373</x:v>
      </x:c>
      <x:c r="F1814" s="37" t="n">
        <x:v>0.1559202813599062</x:v>
      </x:c>
      <x:c r="G1814" s="37" t="n">
        <x:v>0.1093200468933177</x:v>
      </x:c>
      <x:c r="H1814" s="56" t="n">
        <x:v>3635.5</x:v>
      </x:c>
      <x:c r="I1814" s="56" t="n">
        <x:v>0.16</x:v>
      </x:c>
      <x:c r="J1814" s="56" t="n">
        <x:v>4.446794923060748</x:v>
      </x:c>
      <x:c r="K1814" s="56" t="n">
        <x:v>36.670192384591125</x:v>
      </x:c>
      <x:c r="L1814" s="56" t="n">
        <x:v>54.5288462637016</x:v>
      </x:c>
    </x:row>
    <x:row r="1815" ht="21.600000381469727" hidden="0" customHeight="1">
      <x:c r="A1815" s="29" t="str">
        <x:v>King County, Washington</x:v>
      </x:c>
      <x:c r="B1815" s="29" t="str">
        <x:v>53033000102</x:v>
      </x:c>
      <x:c r="C1815" s="51" t="n">
        <x:v>4321</x:v>
      </x:c>
      <x:c r="D1815" s="51" t="n">
        <x:v>744</x:v>
      </x:c>
      <x:c r="E1815" s="51" t="n">
        <x:v>522</x:v>
      </x:c>
      <x:c r="F1815" s="38" t="n">
        <x:v>0.17218236519324231</x:v>
      </x:c>
      <x:c r="G1815" s="38" t="n">
        <x:v>0.12080536912751678</x:v>
      </x:c>
      <x:c r="H1815" s="57" t="n">
        <x:v>4633.6</x:v>
      </x:c>
      <x:c r="I1815" s="57" t="n">
        <x:v>0.577</x:v>
      </x:c>
      <x:c r="J1815" s="57" t="n">
        <x:v>5.576889429159126</x:v>
      </x:c>
      <x:c r="K1815" s="57" t="n">
        <x:v>38.36533414373869</x:v>
      </x:c>
      <x:c r="L1815" s="57" t="n">
        <x:v>56.95047734819813</x:v>
      </x:c>
    </x:row>
    <x:row r="1816" ht="21.600000381469727" hidden="0" customHeight="1">
      <x:c r="A1816" s="27" t="str">
        <x:v>King County, Washington</x:v>
      </x:c>
      <x:c r="B1816" s="27" t="str">
        <x:v>53033000201</x:v>
      </x:c>
      <x:c r="C1816" s="50" t="n">
        <x:v>4951</x:v>
      </x:c>
      <x:c r="D1816" s="50" t="n">
        <x:v>1004</x:v>
      </x:c>
      <x:c r="E1816" s="50" t="n">
        <x:v>367</x:v>
      </x:c>
      <x:c r="F1816" s="37" t="n">
        <x:v>0.20278731569379924</x:v>
      </x:c>
      <x:c r="G1816" s="37" t="n">
        <x:v>0.07412643910321147</x:v>
      </x:c>
      <x:c r="H1816" s="56" t="n">
        <x:v>5339.099999999999</x:v>
      </x:c>
      <x:c r="I1816" s="56" t="n">
        <x:v>0.698</x:v>
      </x:c>
      <x:c r="J1816" s="56" t="n">
        <x:v>4.491057195220736</x:v>
      </x:c>
      <x:c r="K1816" s="56" t="n">
        <x:v>36.73658579283111</x:v>
      </x:c>
      <x:c r="L1816" s="56" t="n">
        <x:v>54.62369398975872</x:v>
      </x:c>
    </x:row>
    <x:row r="1817" ht="21.600000381469727" hidden="0" customHeight="1">
      <x:c r="A1817" s="29" t="str">
        <x:v>King County, Washington</x:v>
      </x:c>
      <x:c r="B1817" s="29" t="str">
        <x:v>53033000202</x:v>
      </x:c>
      <x:c r="C1817" s="51" t="n">
        <x:v>4404</x:v>
      </x:c>
      <x:c r="D1817" s="51" t="n">
        <x:v>356</x:v>
      </x:c>
      <x:c r="E1817" s="51" t="n">
        <x:v>103</x:v>
      </x:c>
      <x:c r="F1817" s="38" t="n">
        <x:v>0.08083560399636694</x:v>
      </x:c>
      <x:c r="G1817" s="38" t="n">
        <x:v>0.02338782924613987</x:v>
      </x:c>
      <x:c r="H1817" s="57" t="n">
        <x:v>4538.9</x:v>
      </x:c>
      <x:c r="I1817" s="57" t="n">
        <x:v>0.571</x:v>
      </x:c>
      <x:c r="J1817" s="57" t="n">
        <x:v>4.539375157629006</x:v>
      </x:c>
      <x:c r="K1817" s="57" t="n">
        <x:v>36.80906273644351</x:v>
      </x:c>
      <x:c r="L1817" s="57" t="n">
        <x:v>54.72723248063358</x:v>
      </x:c>
    </x:row>
    <x:row r="1818" ht="21.600000381469727" hidden="0" customHeight="1">
      <x:c r="A1818" s="27" t="str">
        <x:v>King County, Washington</x:v>
      </x:c>
      <x:c r="B1818" s="27" t="str">
        <x:v>53033000300</x:v>
      </x:c>
      <x:c r="C1818" s="50" t="n">
        <x:v>2921</x:v>
      </x:c>
      <x:c r="D1818" s="50" t="n">
        <x:v>249</x:v>
      </x:c>
      <x:c r="E1818" s="50" t="n">
        <x:v>217.5</x:v>
      </x:c>
      <x:c r="F1818" s="37" t="n">
        <x:v>0.08524477918521055</x:v>
      </x:c>
      <x:c r="G1818" s="37" t="n">
        <x:v>0.07446080109551523</x:v>
      </x:c>
      <x:c r="H1818" s="56" t="n">
        <x:v>3029.9</x:v>
      </x:c>
      <x:c r="I1818" s="56" t="n">
        <x:v>0.468</x:v>
      </x:c>
      <x:c r="J1818" s="56" t="n">
        <x:v>4.317415681995137</x:v>
      </x:c>
      <x:c r="K1818" s="56" t="n">
        <x:v>36.47612352299271</x:v>
      </x:c>
      <x:c r="L1818" s="56" t="n">
        <x:v>54.251605032846726</x:v>
      </x:c>
    </x:row>
    <x:row r="1819" ht="21.600000381469727" hidden="0" customHeight="1">
      <x:c r="A1819" s="29" t="str">
        <x:v>King County, Washington</x:v>
      </x:c>
      <x:c r="B1819" s="29" t="str">
        <x:v>53033000402</x:v>
      </x:c>
      <x:c r="C1819" s="51" t="n">
        <x:v>5146</x:v>
      </x:c>
      <x:c r="D1819" s="51" t="n">
        <x:v>1017</x:v>
      </x:c>
      <x:c r="E1819" s="51" t="n">
        <x:v>463</x:v>
      </x:c>
      <x:c r="F1819" s="38" t="n">
        <x:v>0.19762922658375437</x:v>
      </x:c>
      <x:c r="G1819" s="38" t="n">
        <x:v>0.08997279440342013</x:v>
      </x:c>
      <x:c r="H1819" s="57" t="n">
        <x:v>5548.25</x:v>
      </x:c>
      <x:c r="I1819" s="57" t="n">
        <x:v>0.695</x:v>
      </x:c>
      <x:c r="J1819" s="57" t="n">
        <x:v>7.079929851944898</x:v>
      </x:c>
      <x:c r="K1819" s="57" t="n">
        <x:v>40.619894777917345</x:v>
      </x:c>
      <x:c r="L1819" s="57" t="n">
        <x:v>60.17127825416764</x:v>
      </x:c>
    </x:row>
    <x:row r="1820" ht="21.600000381469727" hidden="0" customHeight="1">
      <x:c r="A1820" s="27" t="str">
        <x:v>King County, Washington</x:v>
      </x:c>
      <x:c r="B1820" s="27" t="str">
        <x:v>53033000403</x:v>
      </x:c>
      <x:c r="C1820" s="50" t="n">
        <x:v>3225</x:v>
      </x:c>
      <x:c r="D1820" s="50" t="n">
        <x:v>535</x:v>
      </x:c>
      <x:c r="E1820" s="50" t="n">
        <x:v>436</x:v>
      </x:c>
      <x:c r="F1820" s="37" t="n">
        <x:v>0.16589147286821707</x:v>
      </x:c>
      <x:c r="G1820" s="37" t="n">
        <x:v>0.1351937984496124</x:v>
      </x:c>
      <x:c r="H1820" s="56" t="n">
        <x:v>3455.8500000000004</x:v>
      </x:c>
      <x:c r="I1820" s="56" t="n">
        <x:v>0.258</x:v>
      </x:c>
      <x:c r="J1820" s="56" t="n">
        <x:v>5.846711350633297</x:v>
      </x:c>
      <x:c r="K1820" s="56" t="n">
        <x:v>38.77006702594994</x:v>
      </x:c>
      <x:c r="L1820" s="56" t="n">
        <x:v>57.52866717992849</x:v>
      </x:c>
    </x:row>
    <x:row r="1821" ht="21.600000381469727" hidden="0" customHeight="1">
      <x:c r="A1821" s="29" t="str">
        <x:v>King County, Washington</x:v>
      </x:c>
      <x:c r="B1821" s="29" t="str">
        <x:v>53033000404</x:v>
      </x:c>
      <x:c r="C1821" s="51" t="n">
        <x:v>3668</x:v>
      </x:c>
      <x:c r="D1821" s="51" t="n">
        <x:v>619</x:v>
      </x:c>
      <x:c r="E1821" s="51" t="n">
        <x:v>616</x:v>
      </x:c>
      <x:c r="F1821" s="38" t="n">
        <x:v>0.16875681570338058</x:v>
      </x:c>
      <x:c r="G1821" s="38" t="n">
        <x:v>0.16793893129770993</x:v>
      </x:c>
      <x:c r="H1821" s="57" t="n">
        <x:v>3946.2500000000005</x:v>
      </x:c>
      <x:c r="I1821" s="57" t="n">
        <x:v>0.238</x:v>
      </x:c>
      <x:c r="J1821" s="57" t="n">
        <x:v>5.400147541618823</x:v>
      </x:c>
      <x:c r="K1821" s="57" t="n">
        <x:v>38.10022131242823</x:v>
      </x:c>
      <x:c r="L1821" s="57" t="n">
        <x:v>56.57174473204034</x:v>
      </x:c>
    </x:row>
    <x:row r="1822" ht="21.600000381469727" hidden="0" customHeight="1">
      <x:c r="A1822" s="27" t="str">
        <x:v>King County, Washington</x:v>
      </x:c>
      <x:c r="B1822" s="27" t="str">
        <x:v>53033000500</x:v>
      </x:c>
      <x:c r="C1822" s="50" t="n">
        <x:v>3381</x:v>
      </x:c>
      <x:c r="D1822" s="50" t="n">
        <x:v>280</x:v>
      </x:c>
      <x:c r="E1822" s="50" t="n">
        <x:v>37</x:v>
      </x:c>
      <x:c r="F1822" s="37" t="n">
        <x:v>0.08281573498964803</x:v>
      </x:c>
      <x:c r="G1822" s="37" t="n">
        <x:v>0.010943507837917775</x:v>
      </x:c>
      <x:c r="H1822" s="56" t="n">
        <x:v>3482.6999999999994</x:v>
      </x:c>
      <x:c r="I1822" s="56" t="n">
        <x:v>1.119</x:v>
      </x:c>
      <x:c r="J1822" s="56" t="n">
        <x:v>7.694911737617386</x:v>
      </x:c>
      <x:c r="K1822" s="56" t="n">
        <x:v>41.54236760642608</x:v>
      </x:c>
      <x:c r="L1822" s="56" t="n">
        <x:v>61.48909658060869</x:v>
      </x:c>
    </x:row>
    <x:row r="1823" ht="21.600000381469727" hidden="0" customHeight="1">
      <x:c r="A1823" s="29" t="str">
        <x:v>King County, Washington</x:v>
      </x:c>
      <x:c r="B1823" s="29" t="str">
        <x:v>53033000601</x:v>
      </x:c>
      <x:c r="C1823" s="51" t="n">
        <x:v>4655</x:v>
      </x:c>
      <x:c r="D1823" s="51" t="n">
        <x:v>486</x:v>
      </x:c>
      <x:c r="E1823" s="51" t="n">
        <x:v>473</x:v>
      </x:c>
      <x:c r="F1823" s="38" t="n">
        <x:v>0.10440386680988185</x:v>
      </x:c>
      <x:c r="G1823" s="38" t="n">
        <x:v>0.10161117078410312</x:v>
      </x:c>
      <x:c r="H1823" s="57" t="n">
        <x:v>4872.400000000001</x:v>
      </x:c>
      <x:c r="I1823" s="57" t="n">
        <x:v>0.553</x:v>
      </x:c>
      <x:c r="J1823" s="57" t="n">
        <x:v>6.0128530068869726</x:v>
      </x:c>
      <x:c r="K1823" s="57" t="n">
        <x:v>39.01927951033046</x:v>
      </x:c>
      <x:c r="L1823" s="57" t="n">
        <x:v>57.8846850147578</x:v>
      </x:c>
    </x:row>
    <x:row r="1824" ht="21.600000381469727" hidden="0" customHeight="1">
      <x:c r="A1824" s="27" t="str">
        <x:v>King County, Washington</x:v>
      </x:c>
      <x:c r="B1824" s="27" t="str">
        <x:v>53033000602</x:v>
      </x:c>
      <x:c r="C1824" s="50" t="n">
        <x:v>3433</x:v>
      </x:c>
      <x:c r="D1824" s="50" t="n">
        <x:v>562</x:v>
      </x:c>
      <x:c r="E1824" s="50" t="n">
        <x:v>265</x:v>
      </x:c>
      <x:c r="F1824" s="37" t="n">
        <x:v>0.16370521409845615</x:v>
      </x:c>
      <x:c r="G1824" s="37" t="n">
        <x:v>0.07719196038450335</x:v>
      </x:c>
      <x:c r="H1824" s="56" t="n">
        <x:v>3656.2000000000003</x:v>
      </x:c>
      <x:c r="I1824" s="56" t="n">
        <x:v>0.909</x:v>
      </x:c>
      <x:c r="J1824" s="56" t="n">
        <x:v>6.064582793092289</x:v>
      </x:c>
      <x:c r="K1824" s="56" t="n">
        <x:v>39.096874189638434</x:v>
      </x:c>
      <x:c r="L1824" s="56" t="n">
        <x:v>57.99553455662634</x:v>
      </x:c>
    </x:row>
    <x:row r="1825" ht="21.600000381469727" hidden="0" customHeight="1">
      <x:c r="A1825" s="29" t="str">
        <x:v>King County, Washington</x:v>
      </x:c>
      <x:c r="B1825" s="29" t="str">
        <x:v>53033000700</x:v>
      </x:c>
      <x:c r="C1825" s="51" t="n">
        <x:v>4857</x:v>
      </x:c>
      <x:c r="D1825" s="51" t="n">
        <x:v>475</x:v>
      </x:c>
      <x:c r="E1825" s="51" t="n">
        <x:v>614.5</x:v>
      </x:c>
      <x:c r="F1825" s="38" t="n">
        <x:v>0.09779699402923615</x:v>
      </x:c>
      <x:c r="G1825" s="38" t="n">
        <x:v>0.1265184270125592</x:v>
      </x:c>
      <x:c r="H1825" s="57" t="n">
        <x:v>5084.7</x:v>
      </x:c>
      <x:c r="I1825" s="57" t="n">
        <x:v>0.5</x:v>
      </x:c>
      <x:c r="J1825" s="57" t="n">
        <x:v>6.207282510078512</x:v>
      </x:c>
      <x:c r="K1825" s="57" t="n">
        <x:v>39.310923765117764</x:v>
      </x:c>
      <x:c r="L1825" s="57" t="n">
        <x:v>58.301319664453956</x:v>
      </x:c>
    </x:row>
    <x:row r="1826" ht="21.600000381469727" hidden="0" customHeight="1">
      <x:c r="A1826" s="27" t="str">
        <x:v>King County, Washington</x:v>
      </x:c>
      <x:c r="B1826" s="27" t="str">
        <x:v>53033000800</x:v>
      </x:c>
      <x:c r="C1826" s="50" t="n">
        <x:v>2602</x:v>
      </x:c>
      <x:c r="D1826" s="50" t="n">
        <x:v>205</x:v>
      </x:c>
      <x:c r="E1826" s="50" t="n">
        <x:v>23</x:v>
      </x:c>
      <x:c r="F1826" s="37" t="n">
        <x:v>0.07878554957724827</x:v>
      </x:c>
      <x:c r="G1826" s="37" t="n">
        <x:v>0.008839354342813221</x:v>
      </x:c>
      <x:c r="H1826" s="56" t="n">
        <x:v>2676.0499999999997</x:v>
      </x:c>
      <x:c r="I1826" s="56" t="n">
        <x:v>0.441</x:v>
      </x:c>
      <x:c r="J1826" s="56" t="n">
        <x:v>7.31215862423506</x:v>
      </x:c>
      <x:c r="K1826" s="56" t="n">
        <x:v>40.968237936352594</x:v>
      </x:c>
      <x:c r="L1826" s="56" t="n">
        <x:v>60.66891133764656</x:v>
      </x:c>
    </x:row>
    <x:row r="1827" ht="21.600000381469727" hidden="0" customHeight="1">
      <x:c r="A1827" s="29" t="str">
        <x:v>King County, Washington</x:v>
      </x:c>
      <x:c r="B1827" s="29" t="str">
        <x:v>53033000900</x:v>
      </x:c>
      <x:c r="C1827" s="51" t="n">
        <x:v>1985</x:v>
      </x:c>
      <x:c r="D1827" s="51" t="n">
        <x:v>192</x:v>
      </x:c>
      <x:c r="E1827" s="51" t="n">
        <x:v>66</x:v>
      </x:c>
      <x:c r="F1827" s="38" t="n">
        <x:v>0.09672544080604534</x:v>
      </x:c>
      <x:c r="G1827" s="38" t="n">
        <x:v>0.03324937027707808</x:v>
      </x:c>
      <x:c r="H1827" s="57" t="n">
        <x:v>2058.7999999999997</x:v>
      </x:c>
      <x:c r="I1827" s="57" t="n">
        <x:v>0.388</x:v>
      </x:c>
      <x:c r="J1827" s="57" t="n">
        <x:v>8.23962001633715</x:v>
      </x:c>
      <x:c r="K1827" s="57" t="n">
        <x:v>42.35943002450573</x:v>
      </x:c>
      <x:c r="L1827" s="57" t="n">
        <x:v>62.65632860643675</x:v>
      </x:c>
    </x:row>
    <x:row r="1828" ht="21.600000381469727" hidden="0" customHeight="1">
      <x:c r="A1828" s="27" t="str">
        <x:v>King County, Washington</x:v>
      </x:c>
      <x:c r="B1828" s="27" t="str">
        <x:v>53033001000</x:v>
      </x:c>
      <x:c r="C1828" s="50" t="n">
        <x:v>2150</x:v>
      </x:c>
      <x:c r="D1828" s="50" t="n">
        <x:v>266</x:v>
      </x:c>
      <x:c r="E1828" s="50" t="n">
        <x:v>35</x:v>
      </x:c>
      <x:c r="F1828" s="37" t="n">
        <x:v>0.12372093023255815</x:v>
      </x:c>
      <x:c r="G1828" s="37" t="n">
        <x:v>0.01627906976744186</x:v>
      </x:c>
      <x:c r="H1828" s="56" t="n">
        <x:v>2246.6</x:v>
      </x:c>
      <x:c r="I1828" s="56" t="n">
        <x:v>0.368</x:v>
      </x:c>
      <x:c r="J1828" s="56" t="n">
        <x:v>7.693874560377408</x:v>
      </x:c>
      <x:c r="K1828" s="56" t="n">
        <x:v>41.54081184056611</x:v>
      </x:c>
      <x:c r="L1828" s="56" t="n">
        <x:v>61.48687405795159</x:v>
      </x:c>
    </x:row>
    <x:row r="1829" ht="21.600000381469727" hidden="0" customHeight="1">
      <x:c r="A1829" s="29" t="str">
        <x:v>King County, Washington</x:v>
      </x:c>
      <x:c r="B1829" s="29" t="str">
        <x:v>53033001100</x:v>
      </x:c>
      <x:c r="C1829" s="51" t="n">
        <x:v>2438</x:v>
      </x:c>
      <x:c r="D1829" s="51" t="n">
        <x:v>322</x:v>
      </x:c>
      <x:c r="E1829" s="51" t="n">
        <x:v>45</x:v>
      </x:c>
      <x:c r="F1829" s="38" t="n">
        <x:v>0.1320754716981132</x:v>
      </x:c>
      <x:c r="G1829" s="38" t="n">
        <x:v>0.018457752255947497</x:v>
      </x:c>
      <x:c r="H1829" s="57" t="n">
        <x:v>2555.2</x:v>
      </x:c>
      <x:c r="I1829" s="57" t="n">
        <x:v>0.41</x:v>
      </x:c>
      <x:c r="J1829" s="57" t="n">
        <x:v>7.494915402915015</x:v>
      </x:c>
      <x:c r="K1829" s="57" t="n">
        <x:v>41.24237310437252</x:v>
      </x:c>
      <x:c r="L1829" s="57" t="n">
        <x:v>61.06053300624646</x:v>
      </x:c>
    </x:row>
    <x:row r="1830" ht="21.600000381469727" hidden="0" customHeight="1">
      <x:c r="A1830" s="27" t="str">
        <x:v>King County, Washington</x:v>
      </x:c>
      <x:c r="B1830" s="27" t="str">
        <x:v>53033001201</x:v>
      </x:c>
      <x:c r="C1830" s="50" t="n">
        <x:v>4333</x:v>
      </x:c>
      <x:c r="D1830" s="50" t="n">
        <x:v>605</x:v>
      </x:c>
      <x:c r="E1830" s="50" t="n">
        <x:v>1142</x:v>
      </x:c>
      <x:c r="F1830" s="37" t="n">
        <x:v>0.13962612508654512</x:v>
      </x:c>
      <x:c r="G1830" s="37" t="n">
        <x:v>0.2635587352873298</x:v>
      </x:c>
      <x:c r="H1830" s="56" t="n">
        <x:v>4658.950000000001</x:v>
      </x:c>
      <x:c r="I1830" s="56" t="n">
        <x:v>0.389</x:v>
      </x:c>
      <x:c r="J1830" s="56" t="n">
        <x:v>7.372109101876996</x:v>
      </x:c>
      <x:c r="K1830" s="56" t="n">
        <x:v>41.058163652815495</x:v>
      </x:c>
      <x:c r="L1830" s="56" t="n">
        <x:v>60.79737664687927</x:v>
      </x:c>
    </x:row>
    <x:row r="1831" ht="21.600000381469727" hidden="0" customHeight="1">
      <x:c r="A1831" s="29" t="str">
        <x:v>King County, Washington</x:v>
      </x:c>
      <x:c r="B1831" s="29" t="str">
        <x:v>53033001202</x:v>
      </x:c>
      <x:c r="C1831" s="51" t="n">
        <x:v>3932</x:v>
      </x:c>
      <x:c r="D1831" s="51" t="n">
        <x:v>515</x:v>
      </x:c>
      <x:c r="E1831" s="51" t="n">
        <x:v>316</x:v>
      </x:c>
      <x:c r="F1831" s="38" t="n">
        <x:v>0.1309766022380468</x:v>
      </x:c>
      <x:c r="G1831" s="38" t="n">
        <x:v>0.08036622583926754</x:v>
      </x:c>
      <x:c r="H1831" s="57" t="n">
        <x:v>4143.849999999999</x:v>
      </x:c>
      <x:c r="I1831" s="57" t="n">
        <x:v>0.317</x:v>
      </x:c>
      <x:c r="J1831" s="57" t="n">
        <x:v>7.548342742920468</x:v>
      </x:c>
      <x:c r="K1831" s="57" t="n">
        <x:v>41.3225141143807</x:v>
      </x:c>
      <x:c r="L1831" s="57" t="n">
        <x:v>61.175020163401</x:v>
      </x:c>
    </x:row>
    <x:row r="1832" ht="21.600000381469727" hidden="0" customHeight="1">
      <x:c r="A1832" s="27" t="str">
        <x:v>King County, Washington</x:v>
      </x:c>
      <x:c r="B1832" s="27" t="str">
        <x:v>53033001300</x:v>
      </x:c>
      <x:c r="C1832" s="50" t="n">
        <x:v>5552</x:v>
      </x:c>
      <x:c r="D1832" s="50" t="n">
        <x:v>597</x:v>
      </x:c>
      <x:c r="E1832" s="50" t="n">
        <x:v>825</x:v>
      </x:c>
      <x:c r="F1832" s="37" t="n">
        <x:v>0.10752881844380403</x:v>
      </x:c>
      <x:c r="G1832" s="37" t="n">
        <x:v>0.14859510086455333</x:v>
      </x:c>
      <x:c r="H1832" s="56" t="n">
        <x:v>5843.45</x:v>
      </x:c>
      <x:c r="I1832" s="56" t="n">
        <x:v>0.456</x:v>
      </x:c>
      <x:c r="J1832" s="56" t="n">
        <x:v>8.591958034470133</x:v>
      </x:c>
      <x:c r="K1832" s="56" t="n">
        <x:v>42.8879370517052</x:v>
      </x:c>
      <x:c r="L1832" s="56" t="n">
        <x:v>63.41133864529314</x:v>
      </x:c>
    </x:row>
    <x:row r="1833" ht="21.600000381469727" hidden="0" customHeight="1">
      <x:c r="A1833" s="29" t="str">
        <x:v>King County, Washington</x:v>
      </x:c>
      <x:c r="B1833" s="29" t="str">
        <x:v>53033001400</x:v>
      </x:c>
      <x:c r="C1833" s="51" t="n">
        <x:v>5214</x:v>
      </x:c>
      <x:c r="D1833" s="51" t="n">
        <x:v>317</x:v>
      </x:c>
      <x:c r="E1833" s="51" t="n">
        <x:v>176</x:v>
      </x:c>
      <x:c r="F1833" s="38" t="n">
        <x:v>0.060797851937092445</x:v>
      </x:c>
      <x:c r="G1833" s="38" t="n">
        <x:v>0.03375527426160337</x:v>
      </x:c>
      <x:c r="H1833" s="57" t="n">
        <x:v>5342.550000000001</x:v>
      </x:c>
      <x:c r="I1833" s="57" t="n">
        <x:v>0.831</x:v>
      </x:c>
      <x:c r="J1833" s="57" t="n">
        <x:v>9.056429884757996</x:v>
      </x:c>
      <x:c r="K1833" s="57" t="n">
        <x:v>43.584644827137</x:v>
      </x:c>
      <x:c r="L1833" s="57" t="n">
        <x:v>64.40663546733856</x:v>
      </x:c>
    </x:row>
    <x:row r="1834" ht="21.600000381469727" hidden="0" customHeight="1">
      <x:c r="A1834" s="27" t="str">
        <x:v>King County, Washington</x:v>
      </x:c>
      <x:c r="B1834" s="27" t="str">
        <x:v>53033001500</x:v>
      </x:c>
      <x:c r="C1834" s="50" t="n">
        <x:v>2739</x:v>
      </x:c>
      <x:c r="D1834" s="50" t="n">
        <x:v>271</x:v>
      </x:c>
      <x:c r="E1834" s="50" t="n">
        <x:v>37</x:v>
      </x:c>
      <x:c r="F1834" s="37" t="n">
        <x:v>0.09894121942314714</x:v>
      </x:c>
      <x:c r="G1834" s="37" t="n">
        <x:v>0.013508579773640015</x:v>
      </x:c>
      <x:c r="H1834" s="56" t="n">
        <x:v>2837.55</x:v>
      </x:c>
      <x:c r="I1834" s="56" t="n">
        <x:v>0.451</x:v>
      </x:c>
      <x:c r="J1834" s="56" t="n">
        <x:v>12.008605410931223</x:v>
      </x:c>
      <x:c r="K1834" s="56" t="n">
        <x:v>48.01290811639684</x:v>
      </x:c>
      <x:c r="L1834" s="56" t="n">
        <x:v>70.7327258805669</x:v>
      </x:c>
    </x:row>
    <x:row r="1835" ht="21.600000381469727" hidden="0" customHeight="1">
      <x:c r="A1835" s="29" t="str">
        <x:v>King County, Washington</x:v>
      </x:c>
      <x:c r="B1835" s="29" t="str">
        <x:v>53033001600</x:v>
      </x:c>
      <x:c r="C1835" s="51" t="n">
        <x:v>4902</x:v>
      </x:c>
      <x:c r="D1835" s="51" t="n">
        <x:v>629</x:v>
      </x:c>
      <x:c r="E1835" s="51" t="n">
        <x:v>146.5</x:v>
      </x:c>
      <x:c r="F1835" s="38" t="n">
        <x:v>0.12831497348021215</x:v>
      </x:c>
      <x:c r="G1835" s="38" t="n">
        <x:v>0.02988576091391269</x:v>
      </x:c>
      <x:c r="H1835" s="57" t="n">
        <x:v>5136.799999999999</x:v>
      </x:c>
      <x:c r="I1835" s="57" t="n">
        <x:v>0.78</x:v>
      </x:c>
      <x:c r="J1835" s="57" t="n">
        <x:v>10.706530710242097</x:v>
      </x:c>
      <x:c r="K1835" s="57" t="n">
        <x:v>46.059796065363145</x:v>
      </x:c>
      <x:c r="L1835" s="57" t="n">
        <x:v>67.94256580766164</x:v>
      </x:c>
    </x:row>
    <x:row r="1836" ht="21.600000381469727" hidden="0" customHeight="1">
      <x:c r="A1836" s="27" t="str">
        <x:v>King County, Washington</x:v>
      </x:c>
      <x:c r="B1836" s="27" t="str">
        <x:v>53033001701</x:v>
      </x:c>
      <x:c r="C1836" s="50" t="n">
        <x:v>4414</x:v>
      </x:c>
      <x:c r="D1836" s="50" t="n">
        <x:v>300</x:v>
      </x:c>
      <x:c r="E1836" s="50" t="n">
        <x:v>322.5</x:v>
      </x:c>
      <x:c r="F1836" s="37" t="n">
        <x:v>0.06796556411418214</x:v>
      </x:c>
      <x:c r="G1836" s="37" t="n">
        <x:v>0.07306298142274581</x:v>
      </x:c>
      <x:c r="H1836" s="56" t="n">
        <x:v>4551.250000000001</x:v>
      </x:c>
      <x:c r="I1836" s="56" t="n">
        <x:v>0.345</x:v>
      </x:c>
      <x:c r="J1836" s="56" t="n">
        <x:v>9.884285571753631</x:v>
      </x:c>
      <x:c r="K1836" s="56" t="n">
        <x:v>44.82642835763045</x:v>
      </x:c>
      <x:c r="L1836" s="56" t="n">
        <x:v>66.18061193947207</x:v>
      </x:c>
    </x:row>
    <x:row r="1837" ht="21.600000381469727" hidden="0" customHeight="1">
      <x:c r="A1837" s="29" t="str">
        <x:v>King County, Washington</x:v>
      </x:c>
      <x:c r="B1837" s="29" t="str">
        <x:v>53033001702</x:v>
      </x:c>
      <x:c r="C1837" s="51" t="n">
        <x:v>5727</x:v>
      </x:c>
      <x:c r="D1837" s="51" t="n">
        <x:v>618</x:v>
      </x:c>
      <x:c r="E1837" s="51" t="n">
        <x:v>570</x:v>
      </x:c>
      <x:c r="F1837" s="38" t="n">
        <x:v>0.10790990047145102</x:v>
      </x:c>
      <x:c r="G1837" s="38" t="n">
        <x:v>0.09952854897852279</x:v>
      </x:c>
      <x:c r="H1837" s="57" t="n">
        <x:v>6000.3</x:v>
      </x:c>
      <x:c r="I1837" s="57" t="n">
        <x:v>0.494</x:v>
      </x:c>
      <x:c r="J1837" s="57" t="n">
        <x:v>10.297306414159836</x:v>
      </x:c>
      <x:c r="K1837" s="57" t="n">
        <x:v>45.44595962123975</x:v>
      </x:c>
      <x:c r="L1837" s="57" t="n">
        <x:v>67.06565660177108</x:v>
      </x:c>
    </x:row>
    <x:row r="1838" ht="21.600000381469727" hidden="0" customHeight="1">
      <x:c r="A1838" s="27" t="str">
        <x:v>King County, Washington</x:v>
      </x:c>
      <x:c r="B1838" s="27" t="str">
        <x:v>53033001800</x:v>
      </x:c>
      <x:c r="C1838" s="50" t="n">
        <x:v>4996</x:v>
      </x:c>
      <x:c r="D1838" s="50" t="n">
        <x:v>272</x:v>
      </x:c>
      <x:c r="E1838" s="50" t="n">
        <x:v>539</x:v>
      </x:c>
      <x:c r="F1838" s="37" t="n">
        <x:v>0.0544435548438751</x:v>
      </x:c>
      <x:c r="G1838" s="37" t="n">
        <x:v>0.1078863090472378</x:v>
      </x:c>
      <x:c r="H1838" s="56" t="n">
        <x:v>5145.099999999999</x:v>
      </x:c>
      <x:c r="I1838" s="56" t="n">
        <x:v>0.365</x:v>
      </x:c>
      <x:c r="J1838" s="56" t="n">
        <x:v>9.759892876902795</x:v>
      </x:c>
      <x:c r="K1838" s="56" t="n">
        <x:v>44.639839315354195</x:v>
      </x:c>
      <x:c r="L1838" s="56" t="n">
        <x:v>65.9140561647917</x:v>
      </x:c>
    </x:row>
    <x:row r="1839" ht="21.600000381469727" hidden="0" customHeight="1">
      <x:c r="A1839" s="29" t="str">
        <x:v>King County, Washington</x:v>
      </x:c>
      <x:c r="B1839" s="29" t="str">
        <x:v>53033001900</x:v>
      </x:c>
      <x:c r="C1839" s="51" t="n">
        <x:v>5242</x:v>
      </x:c>
      <x:c r="D1839" s="51" t="n">
        <x:v>727</x:v>
      </x:c>
      <x:c r="E1839" s="51" t="n">
        <x:v>171</x:v>
      </x:c>
      <x:c r="F1839" s="38" t="n">
        <x:v>0.13868752384586036</x:v>
      </x:c>
      <x:c r="G1839" s="38" t="n">
        <x:v>0.0326211369706219</x:v>
      </x:c>
      <x:c r="H1839" s="57" t="n">
        <x:v>5513.55</x:v>
      </x:c>
      <x:c r="I1839" s="57" t="n">
        <x:v>0.644</x:v>
      </x:c>
      <x:c r="J1839" s="57" t="n">
        <x:v>9.05343778416205</x:v>
      </x:c>
      <x:c r="K1839" s="57" t="n">
        <x:v>43.58015667624308</x:v>
      </x:c>
      <x:c r="L1839" s="57" t="n">
        <x:v>64.40022382320439</x:v>
      </x:c>
    </x:row>
    <x:row r="1840" ht="21.600000381469727" hidden="0" customHeight="1">
      <x:c r="A1840" s="27" t="str">
        <x:v>King County, Washington</x:v>
      </x:c>
      <x:c r="B1840" s="27" t="str">
        <x:v>53033002000</x:v>
      </x:c>
      <x:c r="C1840" s="50" t="n">
        <x:v>3930</x:v>
      </x:c>
      <x:c r="D1840" s="50" t="n">
        <x:v>644</x:v>
      </x:c>
      <x:c r="E1840" s="50" t="n">
        <x:v>191</x:v>
      </x:c>
      <x:c r="F1840" s="37" t="n">
        <x:v>0.1638676844783715</x:v>
      </x:c>
      <x:c r="G1840" s="37" t="n">
        <x:v>0.048600508905852415</x:v>
      </x:c>
      <x:c r="H1840" s="56" t="n">
        <x:v>4174.5</x:v>
      </x:c>
      <x:c r="I1840" s="56" t="n">
        <x:v>0.437</x:v>
      </x:c>
      <x:c r="J1840" s="56" t="n">
        <x:v>9.126070424461526</x:v>
      </x:c>
      <x:c r="K1840" s="56" t="n">
        <x:v>43.68910563669229</x:v>
      </x:c>
      <x:c r="L1840" s="56" t="n">
        <x:v>64.55586519527469</x:v>
      </x:c>
    </x:row>
    <x:row r="1841" ht="21.600000381469727" hidden="0" customHeight="1">
      <x:c r="A1841" s="29" t="str">
        <x:v>King County, Washington</x:v>
      </x:c>
      <x:c r="B1841" s="29" t="str">
        <x:v>53033002100</x:v>
      </x:c>
      <x:c r="C1841" s="51" t="n">
        <x:v>4964</x:v>
      </x:c>
      <x:c r="D1841" s="51" t="n">
        <x:v>453</x:v>
      </x:c>
      <x:c r="E1841" s="51" t="n">
        <x:v>260</x:v>
      </x:c>
      <x:c r="F1841" s="38" t="n">
        <x:v>0.09125705076551169</x:v>
      </x:c>
      <x:c r="G1841" s="38" t="n">
        <x:v>0.052377115229653506</x:v>
      </x:c>
      <x:c r="H1841" s="57" t="n">
        <x:v>5148.55</x:v>
      </x:c>
      <x:c r="I1841" s="57" t="n">
        <x:v>0.527</x:v>
      </x:c>
      <x:c r="J1841" s="57" t="n">
        <x:v>9.277189266660207</x:v>
      </x:c>
      <x:c r="K1841" s="57" t="n">
        <x:v>43.91578389999031</x:v>
      </x:c>
      <x:c r="L1841" s="57" t="n">
        <x:v>64.87969128570045</x:v>
      </x:c>
    </x:row>
    <x:row r="1842" ht="21.600000381469727" hidden="0" customHeight="1">
      <x:c r="A1842" s="27" t="str">
        <x:v>King County, Washington</x:v>
      </x:c>
      <x:c r="B1842" s="27" t="str">
        <x:v>53033002200</x:v>
      </x:c>
      <x:c r="C1842" s="50" t="n">
        <x:v>6361</x:v>
      </x:c>
      <x:c r="D1842" s="50" t="n">
        <x:v>400</x:v>
      </x:c>
      <x:c r="E1842" s="50" t="n">
        <x:v>231</x:v>
      </x:c>
      <x:c r="F1842" s="37" t="n">
        <x:v>0.0628831944662789</x:v>
      </x:c>
      <x:c r="G1842" s="37" t="n">
        <x:v>0.03631504480427606</x:v>
      </x:c>
      <x:c r="H1842" s="56" t="n">
        <x:v>6524.1</x:v>
      </x:c>
      <x:c r="I1842" s="56" t="n">
        <x:v>1.083</x:v>
      </x:c>
      <x:c r="J1842" s="56" t="n">
        <x:v>10.099404747301637</x:v>
      </x:c>
      <x:c r="K1842" s="56" t="n">
        <x:v>45.14910712095246</x:v>
      </x:c>
      <x:c r="L1842" s="56" t="n">
        <x:v>66.64158160136066</x:v>
      </x:c>
    </x:row>
    <x:row r="1843" ht="21.600000381469727" hidden="0" customHeight="1">
      <x:c r="A1843" s="29" t="str">
        <x:v>King County, Washington</x:v>
      </x:c>
      <x:c r="B1843" s="29" t="str">
        <x:v>53033002400</x:v>
      </x:c>
      <x:c r="C1843" s="51" t="n">
        <x:v>2923</x:v>
      </x:c>
      <x:c r="D1843" s="51" t="n">
        <x:v>235</x:v>
      </x:c>
      <x:c r="E1843" s="51" t="n">
        <x:v>90</x:v>
      </x:c>
      <x:c r="F1843" s="38" t="n">
        <x:v>0.08039685254875129</x:v>
      </x:c>
      <x:c r="G1843" s="38" t="n">
        <x:v>0.030790283954840916</x:v>
      </x:c>
      <x:c r="H1843" s="57" t="n">
        <x:v>3014.25</x:v>
      </x:c>
      <x:c r="I1843" s="57" t="n">
        <x:v>0.372</x:v>
      </x:c>
      <x:c r="J1843" s="57" t="n">
        <x:v>10.774905581987424</x:v>
      </x:c>
      <x:c r="K1843" s="57" t="n">
        <x:v>46.16235837298114</x:v>
      </x:c>
      <x:c r="L1843" s="57" t="n">
        <x:v>68.08908338997306</x:v>
      </x:c>
    </x:row>
    <x:row r="1844" ht="21.600000381469727" hidden="0" customHeight="1">
      <x:c r="A1844" s="27" t="str">
        <x:v>King County, Washington</x:v>
      </x:c>
      <x:c r="B1844" s="27" t="str">
        <x:v>53033002500</x:v>
      </x:c>
      <x:c r="C1844" s="50" t="n">
        <x:v>3295</x:v>
      </x:c>
      <x:c r="D1844" s="50" t="n">
        <x:v>253</x:v>
      </x:c>
      <x:c r="E1844" s="50" t="n">
        <x:v>89</x:v>
      </x:c>
      <x:c r="F1844" s="37" t="n">
        <x:v>0.07678300455235205</x:v>
      </x:c>
      <x:c r="G1844" s="37" t="n">
        <x:v>0.027010622154779968</x:v>
      </x:c>
      <x:c r="H1844" s="56" t="n">
        <x:v>3392.45</x:v>
      </x:c>
      <x:c r="I1844" s="56" t="n">
        <x:v>0.38</x:v>
      </x:c>
      <x:c r="J1844" s="56" t="n">
        <x:v>10.923724881407695</x:v>
      </x:c>
      <x:c r="K1844" s="56" t="n">
        <x:v>46.38558732211154</x:v>
      </x:c>
      <x:c r="L1844" s="56" t="n">
        <x:v>68.40798188873077</x:v>
      </x:c>
    </x:row>
    <x:row r="1845" ht="21.600000381469727" hidden="0" customHeight="1">
      <x:c r="A1845" s="29" t="str">
        <x:v>King County, Washington</x:v>
      </x:c>
      <x:c r="B1845" s="29" t="str">
        <x:v>53033002600</x:v>
      </x:c>
      <x:c r="C1845" s="51" t="n">
        <x:v>5654</x:v>
      </x:c>
      <x:c r="D1845" s="51" t="n">
        <x:v>513</x:v>
      </x:c>
      <x:c r="E1845" s="51" t="n">
        <x:v>327</x:v>
      </x:c>
      <x:c r="F1845" s="38" t="n">
        <x:v>0.09073222497347011</x:v>
      </x:c>
      <x:c r="G1845" s="38" t="n">
        <x:v>0.05783516094800142</x:v>
      </x:c>
      <x:c r="H1845" s="57" t="n">
        <x:v>5866.25</x:v>
      </x:c>
      <x:c r="I1845" s="57" t="n">
        <x:v>0.47</x:v>
      </x:c>
      <x:c r="J1845" s="57" t="n">
        <x:v>11.118445407353516</x:v>
      </x:c>
      <x:c r="K1845" s="57" t="n">
        <x:v>46.67766811103027</x:v>
      </x:c>
      <x:c r="L1845" s="57" t="n">
        <x:v>68.82524015861468</x:v>
      </x:c>
    </x:row>
    <x:row r="1846" ht="21.600000381469727" hidden="0" customHeight="1">
      <x:c r="A1846" s="27" t="str">
        <x:v>King County, Washington</x:v>
      </x:c>
      <x:c r="B1846" s="27" t="str">
        <x:v>53033002700</x:v>
      </x:c>
      <x:c r="C1846" s="50" t="n">
        <x:v>6008</x:v>
      </x:c>
      <x:c r="D1846" s="50" t="n">
        <x:v>244</x:v>
      </x:c>
      <x:c r="E1846" s="50" t="n">
        <x:v>17</x:v>
      </x:c>
      <x:c r="F1846" s="37" t="n">
        <x:v>0.04061251664447404</x:v>
      </x:c>
      <x:c r="G1846" s="37" t="n">
        <x:v>0.002829560585885486</x:v>
      </x:c>
      <x:c r="H1846" s="56" t="n">
        <x:v>6095.1</x:v>
      </x:c>
      <x:c r="I1846" s="56" t="n">
        <x:v>0.612</x:v>
      </x:c>
      <x:c r="J1846" s="56" t="n">
        <x:v>10.562360577327699</x:v>
      </x:c>
      <x:c r="K1846" s="56" t="n">
        <x:v>45.84354086599155</x:v>
      </x:c>
      <x:c r="L1846" s="56" t="n">
        <x:v>67.63362980855936</x:v>
      </x:c>
    </x:row>
    <x:row r="1847" ht="21.600000381469727" hidden="0" customHeight="1">
      <x:c r="A1847" s="29" t="str">
        <x:v>King County, Washington</x:v>
      </x:c>
      <x:c r="B1847" s="29" t="str">
        <x:v>53033002800</x:v>
      </x:c>
      <x:c r="C1847" s="51" t="n">
        <x:v>5004</x:v>
      </x:c>
      <x:c r="D1847" s="51" t="n">
        <x:v>203</x:v>
      </x:c>
      <x:c r="E1847" s="51" t="n">
        <x:v>42</x:v>
      </x:c>
      <x:c r="F1847" s="38" t="n">
        <x:v>0.040567545963229416</x:v>
      </x:c>
      <x:c r="G1847" s="38" t="n">
        <x:v>0.008393285371702638</x:v>
      </x:c>
      <x:c r="H1847" s="57" t="n">
        <x:v>5079.249999999999</x:v>
      </x:c>
      <x:c r="I1847" s="57" t="n">
        <x:v>0.382</x:v>
      </x:c>
      <x:c r="J1847" s="57" t="n">
        <x:v>11.282081926461494</x:v>
      </x:c>
      <x:c r="K1847" s="57" t="n">
        <x:v>46.92312288969224</x:v>
      </x:c>
      <x:c r="L1847" s="57" t="n">
        <x:v>69.17588984241749</x:v>
      </x:c>
    </x:row>
    <x:row r="1848" ht="21.600000381469727" hidden="0" customHeight="1">
      <x:c r="A1848" s="27" t="str">
        <x:v>King County, Washington</x:v>
      </x:c>
      <x:c r="B1848" s="27" t="str">
        <x:v>53033002900</x:v>
      </x:c>
      <x:c r="C1848" s="50" t="n">
        <x:v>4631</x:v>
      </x:c>
      <x:c r="D1848" s="50" t="n">
        <x:v>208</x:v>
      </x:c>
      <x:c r="E1848" s="50" t="n">
        <x:v>264</x:v>
      </x:c>
      <x:c r="F1848" s="37" t="n">
        <x:v>0.04491470524724681</x:v>
      </x:c>
      <x:c r="G1848" s="37" t="n">
        <x:v>0.057007125890736345</x:v>
      </x:c>
      <x:c r="H1848" s="56" t="n">
        <x:v>4730.2</x:v>
      </x:c>
      <x:c r="I1848" s="56" t="n">
        <x:v>0.381</x:v>
      </x:c>
      <x:c r="J1848" s="56" t="n">
        <x:v>11.683306314868117</x:v>
      </x:c>
      <x:c r="K1848" s="56" t="n">
        <x:v>47.52495947230218</x:v>
      </x:c>
      <x:c r="L1848" s="56" t="n">
        <x:v>70.03565638900311</x:v>
      </x:c>
    </x:row>
    <x:row r="1849" ht="21.600000381469727" hidden="0" customHeight="1">
      <x:c r="A1849" s="29" t="str">
        <x:v>King County, Washington</x:v>
      </x:c>
      <x:c r="B1849" s="29" t="str">
        <x:v>53033003000</x:v>
      </x:c>
      <x:c r="C1849" s="51" t="n">
        <x:v>6588</x:v>
      </x:c>
      <x:c r="D1849" s="51" t="n">
        <x:v>443</x:v>
      </x:c>
      <x:c r="E1849" s="51" t="n">
        <x:v>42</x:v>
      </x:c>
      <x:c r="F1849" s="38" t="n">
        <x:v>0.0672434729811779</x:v>
      </x:c>
      <x:c r="G1849" s="38" t="n">
        <x:v>0.006375227686703097</x:v>
      </x:c>
      <x:c r="H1849" s="57" t="n">
        <x:v>6747.250000000001</x:v>
      </x:c>
      <x:c r="I1849" s="57" t="n">
        <x:v>0.577</x:v>
      </x:c>
      <x:c r="J1849" s="57" t="n">
        <x:v>12.292407206807601</x:v>
      </x:c>
      <x:c r="K1849" s="57" t="n">
        <x:v>48.4386108102114</x:v>
      </x:c>
      <x:c r="L1849" s="57" t="n">
        <x:v>71.34087258601629</x:v>
      </x:c>
    </x:row>
    <x:row r="1850" ht="21.600000381469727" hidden="0" customHeight="1">
      <x:c r="A1850" s="27" t="str">
        <x:v>King County, Washington</x:v>
      </x:c>
      <x:c r="B1850" s="27" t="str">
        <x:v>53033003100</x:v>
      </x:c>
      <x:c r="C1850" s="50" t="n">
        <x:v>6734</x:v>
      </x:c>
      <x:c r="D1850" s="50" t="n">
        <x:v>697</x:v>
      </x:c>
      <x:c r="E1850" s="50" t="n">
        <x:v>326</x:v>
      </x:c>
      <x:c r="F1850" s="37" t="n">
        <x:v>0.1035046035046035</x:v>
      </x:c>
      <x:c r="G1850" s="37" t="n">
        <x:v>0.04841104841104841</x:v>
      </x:c>
      <x:c r="H1850" s="56" t="n">
        <x:v>7010.549999999999</x:v>
      </x:c>
      <x:c r="I1850" s="56" t="n">
        <x:v>0.849</x:v>
      </x:c>
      <x:c r="J1850" s="56" t="n">
        <x:v>13.241642241165843</x:v>
      </x:c>
      <x:c r="K1850" s="56" t="n">
        <x:v>49.862463361748766</x:v>
      </x:c>
      <x:c r="L1850" s="56" t="n">
        <x:v>73.3749476596411</x:v>
      </x:c>
    </x:row>
    <x:row r="1851" ht="21.600000381469727" hidden="0" customHeight="1">
      <x:c r="A1851" s="29" t="str">
        <x:v>King County, Washington</x:v>
      </x:c>
      <x:c r="B1851" s="29" t="str">
        <x:v>53033003201</x:v>
      </x:c>
      <x:c r="C1851" s="51" t="n">
        <x:v>4683</x:v>
      </x:c>
      <x:c r="D1851" s="51" t="n">
        <x:v>289</x:v>
      </x:c>
      <x:c r="E1851" s="51" t="n">
        <x:v>398</x:v>
      </x:c>
      <x:c r="F1851" s="38" t="n">
        <x:v>0.06171257740764467</x:v>
      </x:c>
      <x:c r="G1851" s="38" t="n">
        <x:v>0.08498825539184283</x:v>
      </x:c>
      <x:c r="H1851" s="57" t="n">
        <x:v>4823.950000000001</x:v>
      </x:c>
      <x:c r="I1851" s="57" t="n">
        <x:v>0.562</x:v>
      </x:c>
      <x:c r="J1851" s="57" t="n">
        <x:v>15.198734428788146</x:v>
      </x:c>
      <x:c r="K1851" s="57" t="n">
        <x:v>52.79810164318222</x:v>
      </x:c>
      <x:c r="L1851" s="57" t="n">
        <x:v>77.56871663311745</x:v>
      </x:c>
    </x:row>
    <x:row r="1852" ht="21.600000381469727" hidden="0" customHeight="1">
      <x:c r="A1852" s="27" t="str">
        <x:v>King County, Washington</x:v>
      </x:c>
      <x:c r="B1852" s="27" t="str">
        <x:v>53033003202</x:v>
      </x:c>
      <x:c r="C1852" s="50" t="n">
        <x:v>4809</x:v>
      </x:c>
      <x:c r="D1852" s="50" t="n">
        <x:v>464</x:v>
      </x:c>
      <x:c r="E1852" s="50" t="n">
        <x:v>377</x:v>
      </x:c>
      <x:c r="F1852" s="37" t="n">
        <x:v>0.09648575587440217</x:v>
      </x:c>
      <x:c r="G1852" s="37" t="n">
        <x:v>0.07839467664795176</x:v>
      </x:c>
      <x:c r="H1852" s="56" t="n">
        <x:v>5009.1</x:v>
      </x:c>
      <x:c r="I1852" s="56" t="n">
        <x:v>0.369</x:v>
      </x:c>
      <x:c r="J1852" s="56" t="n">
        <x:v>14.627030708438278</x:v>
      </x:c>
      <x:c r="K1852" s="56" t="n">
        <x:v>51.94054606265742</x:v>
      </x:c>
      <x:c r="L1852" s="56" t="n">
        <x:v>76.34363723236774</x:v>
      </x:c>
    </x:row>
    <x:row r="1853" ht="21.600000381469727" hidden="0" customHeight="1">
      <x:c r="A1853" s="29" t="str">
        <x:v>King County, Washington</x:v>
      </x:c>
      <x:c r="B1853" s="29" t="str">
        <x:v>53033003301</x:v>
      </x:c>
      <x:c r="C1853" s="51" t="n">
        <x:v>4157</x:v>
      </x:c>
      <x:c r="D1853" s="51" t="n">
        <x:v>402</x:v>
      </x:c>
      <x:c r="E1853" s="51" t="n">
        <x:v>536</x:v>
      </x:c>
      <x:c r="F1853" s="38" t="n">
        <x:v>0.09670435410151551</x:v>
      </x:c>
      <x:c r="G1853" s="38" t="n">
        <x:v>0.12893913880202068</x:v>
      </x:c>
      <x:c r="H1853" s="57" t="n">
        <x:v>4351.299999999999</x:v>
      </x:c>
      <x:c r="I1853" s="57" t="n">
        <x:v>0.258</x:v>
      </x:c>
      <x:c r="J1853" s="57" t="n">
        <x:v>13.885785705357767</x:v>
      </x:c>
      <x:c r="K1853" s="57" t="n">
        <x:v>50.82867855803665</x:v>
      </x:c>
      <x:c r="L1853" s="57" t="n">
        <x:v>74.7552550829095</x:v>
      </x:c>
    </x:row>
    <x:row r="1854" ht="21.600000381469727" hidden="0" customHeight="1">
      <x:c r="A1854" s="27" t="str">
        <x:v>King County, Washington</x:v>
      </x:c>
      <x:c r="B1854" s="27" t="str">
        <x:v>53033003302</x:v>
      </x:c>
      <x:c r="C1854" s="50" t="n">
        <x:v>3826</x:v>
      </x:c>
      <x:c r="D1854" s="50" t="n">
        <x:v>432</x:v>
      </x:c>
      <x:c r="E1854" s="50" t="n">
        <x:v>112</x:v>
      </x:c>
      <x:c r="F1854" s="37" t="n">
        <x:v>0.11291165708311553</x:v>
      </x:c>
      <x:c r="G1854" s="37" t="n">
        <x:v>0.029273392577104027</x:v>
      </x:c>
      <x:c r="H1854" s="56" t="n">
        <x:v>3988.4</x:v>
      </x:c>
      <x:c r="I1854" s="56" t="n">
        <x:v>0.242</x:v>
      </x:c>
      <x:c r="J1854" s="56" t="n">
        <x:v>13.370484859169917</x:v>
      </x:c>
      <x:c r="K1854" s="56" t="n">
        <x:v>50.05572728875487</x:v>
      </x:c>
      <x:c r="L1854" s="56" t="n">
        <x:v>73.65103898393554</x:v>
      </x:c>
    </x:row>
    <x:row r="1855" ht="21.600000381469727" hidden="0" customHeight="1">
      <x:c r="A1855" s="29" t="str">
        <x:v>King County, Washington</x:v>
      </x:c>
      <x:c r="B1855" s="29" t="str">
        <x:v>53033003400</x:v>
      </x:c>
      <x:c r="C1855" s="51" t="n">
        <x:v>3580</x:v>
      </x:c>
      <x:c r="D1855" s="51" t="n">
        <x:v>230</x:v>
      </x:c>
      <x:c r="E1855" s="51" t="n">
        <x:v>87</x:v>
      </x:c>
      <x:c r="F1855" s="38" t="n">
        <x:v>0.06424581005586592</x:v>
      </x:c>
      <x:c r="G1855" s="38" t="n">
        <x:v>0.02430167597765363</x:v>
      </x:c>
      <x:c r="H1855" s="57" t="n">
        <x:v>3669.2000000000003</x:v>
      </x:c>
      <x:c r="I1855" s="57" t="n">
        <x:v>0.304</x:v>
      </x:c>
      <x:c r="J1855" s="57" t="n">
        <x:v>13.25359832596391</x:v>
      </x:c>
      <x:c r="K1855" s="57" t="n">
        <x:v>49.88039748894587</x:v>
      </x:c>
      <x:c r="L1855" s="57" t="n">
        <x:v>73.40056784135123</x:v>
      </x:c>
    </x:row>
    <x:row r="1856" ht="21.600000381469727" hidden="0" customHeight="1">
      <x:c r="A1856" s="27" t="str">
        <x:v>King County, Washington</x:v>
      </x:c>
      <x:c r="B1856" s="27" t="str">
        <x:v>53033003500</x:v>
      </x:c>
      <x:c r="C1856" s="50" t="n">
        <x:v>4006</x:v>
      </x:c>
      <x:c r="D1856" s="50" t="n">
        <x:v>400</x:v>
      </x:c>
      <x:c r="E1856" s="50" t="n">
        <x:v>180.5</x:v>
      </x:c>
      <x:c r="F1856" s="37" t="n">
        <x:v>0.09985022466300549</x:v>
      </x:c>
      <x:c r="G1856" s="37" t="n">
        <x:v>0.045057413879181225</x:v>
      </x:c>
      <x:c r="H1856" s="56" t="n">
        <x:v>4164.05</x:v>
      </x:c>
      <x:c r="I1856" s="56" t="n">
        <x:v>0.496</x:v>
      </x:c>
      <x:c r="J1856" s="56" t="n">
        <x:v>13.14679515156799</x:v>
      </x:c>
      <x:c r="K1856" s="56" t="n">
        <x:v>49.720192727351986</x:v>
      </x:c>
      <x:c r="L1856" s="56" t="n">
        <x:v>73.17170389621711</x:v>
      </x:c>
    </x:row>
    <x:row r="1857" ht="21.600000381469727" hidden="0" customHeight="1">
      <x:c r="A1857" s="29" t="str">
        <x:v>King County, Washington</x:v>
      </x:c>
      <x:c r="B1857" s="29" t="str">
        <x:v>53033003601</x:v>
      </x:c>
      <x:c r="C1857" s="51" t="n">
        <x:v>3452</x:v>
      </x:c>
      <x:c r="D1857" s="51" t="n">
        <x:v>382</x:v>
      </x:c>
      <x:c r="E1857" s="51" t="n">
        <x:v>395</x:v>
      </x:c>
      <x:c r="F1857" s="38" t="n">
        <x:v>0.11066048667439166</x:v>
      </x:c>
      <x:c r="G1857" s="38" t="n">
        <x:v>0.11442641946697567</x:v>
      </x:c>
      <x:c r="H1857" s="57" t="n">
        <x:v>3625.2</x:v>
      </x:c>
      <x:c r="I1857" s="57" t="n">
        <x:v>0.26</x:v>
      </x:c>
      <x:c r="J1857" s="57" t="n">
        <x:v>12.273076353989746</x:v>
      </x:c>
      <x:c r="K1857" s="57" t="n">
        <x:v>48.40961453098462</x:v>
      </x:c>
      <x:c r="L1857" s="57" t="n">
        <x:v>71.29944932997802</x:v>
      </x:c>
    </x:row>
    <x:row r="1858" ht="21.600000381469727" hidden="0" customHeight="1">
      <x:c r="A1858" s="27" t="str">
        <x:v>King County, Washington</x:v>
      </x:c>
      <x:c r="B1858" s="27" t="str">
        <x:v>53033003602</x:v>
      </x:c>
      <x:c r="C1858" s="50" t="n">
        <x:v>4493</x:v>
      </x:c>
      <x:c r="D1858" s="50" t="n">
        <x:v>461</x:v>
      </x:c>
      <x:c r="E1858" s="50" t="n">
        <x:v>843</x:v>
      </x:c>
      <x:c r="F1858" s="37" t="n">
        <x:v>0.10260405074560427</x:v>
      </x:c>
      <x:c r="G1858" s="37" t="n">
        <x:v>0.18762519474738482</x:v>
      </x:c>
      <x:c r="H1858" s="56" t="n">
        <x:v>4738.65</x:v>
      </x:c>
      <x:c r="I1858" s="56" t="n">
        <x:v>0.202</x:v>
      </x:c>
      <x:c r="J1858" s="56" t="n">
        <x:v>11.454786926469168</x:v>
      </x:c>
      <x:c r="K1858" s="56" t="n">
        <x:v>47.18218038970375</x:v>
      </x:c>
      <x:c r="L1858" s="56" t="n">
        <x:v>69.54597198529108</x:v>
      </x:c>
    </x:row>
    <x:row r="1859" ht="21.600000381469727" hidden="0" customHeight="1">
      <x:c r="A1859" s="29" t="str">
        <x:v>King County, Washington</x:v>
      </x:c>
      <x:c r="B1859" s="29" t="str">
        <x:v>53033003800</x:v>
      </x:c>
      <x:c r="C1859" s="51" t="n">
        <x:v>2322</x:v>
      </x:c>
      <x:c r="D1859" s="51" t="n">
        <x:v>184</x:v>
      </x:c>
      <x:c r="E1859" s="51" t="n">
        <x:v>36</x:v>
      </x:c>
      <x:c r="F1859" s="38" t="n">
        <x:v>0.07924203273040482</x:v>
      </x:c>
      <x:c r="G1859" s="38" t="n">
        <x:v>0.015503875968992248</x:v>
      </x:c>
      <x:c r="H1859" s="57" t="n">
        <x:v>2390</x:v>
      </x:c>
      <x:c r="I1859" s="57" t="n">
        <x:v>0.241</x:v>
      </x:c>
      <x:c r="J1859" s="57" t="n">
        <x:v>11.681921589040433</x:v>
      </x:c>
      <x:c r="K1859" s="57" t="n">
        <x:v>47.52288238356065</x:v>
      </x:c>
      <x:c r="L1859" s="57" t="n">
        <x:v>70.03268911937235</x:v>
      </x:c>
    </x:row>
    <x:row r="1860" ht="21.600000381469727" hidden="0" customHeight="1">
      <x:c r="A1860" s="27" t="str">
        <x:v>King County, Washington</x:v>
      </x:c>
      <x:c r="B1860" s="27" t="str">
        <x:v>53033003900</x:v>
      </x:c>
      <x:c r="C1860" s="50" t="n">
        <x:v>3349</x:v>
      </x:c>
      <x:c r="D1860" s="50" t="n">
        <x:v>198</x:v>
      </x:c>
      <x:c r="E1860" s="50" t="n">
        <x:v>66</x:v>
      </x:c>
      <x:c r="F1860" s="37" t="n">
        <x:v>0.05912212600776351</x:v>
      </x:c>
      <x:c r="G1860" s="37" t="n">
        <x:v>0.019707375335921172</x:v>
      </x:c>
      <x:c r="H1860" s="56" t="n">
        <x:v>3424.9</x:v>
      </x:c>
      <x:c r="I1860" s="56" t="n">
        <x:v>0.376</x:v>
      </x:c>
      <x:c r="J1860" s="56" t="n">
        <x:v>11.964515539178873</x:v>
      </x:c>
      <x:c r="K1860" s="56" t="n">
        <x:v>47.94677330876831</x:v>
      </x:c>
      <x:c r="L1860" s="56" t="n">
        <x:v>70.63824758395472</x:v>
      </x:c>
    </x:row>
    <x:row r="1861" ht="21.600000381469727" hidden="0" customHeight="1">
      <x:c r="A1861" s="29" t="str">
        <x:v>King County, Washington</x:v>
      </x:c>
      <x:c r="B1861" s="29" t="str">
        <x:v>53033004000</x:v>
      </x:c>
      <x:c r="C1861" s="51" t="n">
        <x:v>3061</x:v>
      </x:c>
      <x:c r="D1861" s="51" t="n">
        <x:v>433</x:v>
      </x:c>
      <x:c r="E1861" s="51" t="n">
        <x:v>372.5</x:v>
      </x:c>
      <x:c r="F1861" s="38" t="n">
        <x:v>0.14145704018294675</x:v>
      </x:c>
      <x:c r="G1861" s="38" t="n">
        <x:v>0.1216922574322117</x:v>
      </x:c>
      <x:c r="H1861" s="57" t="n">
        <x:v>3249.7999999999997</x:v>
      </x:c>
      <x:c r="I1861" s="57" t="n">
        <x:v>0.98</x:v>
      </x:c>
      <x:c r="J1861" s="57" t="n">
        <x:v>13.033969736597012</x:v>
      </x:c>
      <x:c r="K1861" s="57" t="n">
        <x:v>49.550954604895516</x:v>
      </x:c>
      <x:c r="L1861" s="57" t="n">
        <x:v>72.92993514985073</x:v>
      </x:c>
    </x:row>
    <x:row r="1862" ht="21.600000381469727" hidden="0" customHeight="1">
      <x:c r="A1862" s="27" t="str">
        <x:v>King County, Washington</x:v>
      </x:c>
      <x:c r="B1862" s="27" t="str">
        <x:v>53033004101</x:v>
      </x:c>
      <x:c r="C1862" s="50" t="n">
        <x:v>3999</x:v>
      </x:c>
      <x:c r="D1862" s="50" t="n">
        <x:v>377</x:v>
      </x:c>
      <x:c r="E1862" s="50" t="n">
        <x:v>80</x:v>
      </x:c>
      <x:c r="F1862" s="37" t="n">
        <x:v>0.09427356839209802</x:v>
      </x:c>
      <x:c r="G1862" s="37" t="n">
        <x:v>0.020005001250312578</x:v>
      </x:c>
      <x:c r="H1862" s="56" t="n">
        <x:v>4138.95</x:v>
      </x:c>
      <x:c r="I1862" s="56" t="n">
        <x:v>0.619</x:v>
      </x:c>
      <x:c r="J1862" s="56" t="n">
        <x:v>15.036232808285456</x:v>
      </x:c>
      <x:c r="K1862" s="56" t="n">
        <x:v>52.554349212428185</x:v>
      </x:c>
      <x:c r="L1862" s="56" t="n">
        <x:v>77.2204988748974</x:v>
      </x:c>
    </x:row>
    <x:row r="1863" ht="21.600000381469727" hidden="0" customHeight="1">
      <x:c r="A1863" s="29" t="str">
        <x:v>King County, Washington</x:v>
      </x:c>
      <x:c r="B1863" s="29" t="str">
        <x:v>53033004102</x:v>
      </x:c>
      <x:c r="C1863" s="51" t="n">
        <x:v>4243</x:v>
      </x:c>
      <x:c r="D1863" s="51" t="n">
        <x:v>269</x:v>
      </x:c>
      <x:c r="E1863" s="51" t="n">
        <x:v>141</x:v>
      </x:c>
      <x:c r="F1863" s="38" t="n">
        <x:v>0.06339853876973839</x:v>
      </x:c>
      <x:c r="G1863" s="38" t="n">
        <x:v>0.033231204336554326</x:v>
      </x:c>
      <x:c r="H1863" s="57" t="n">
        <x:v>4351.25</x:v>
      </x:c>
      <x:c r="I1863" s="57" t="n">
        <x:v>0.652</x:v>
      </x:c>
      <x:c r="J1863" s="57" t="n">
        <x:v>13.880796488631315</x:v>
      </x:c>
      <x:c r="K1863" s="57" t="n">
        <x:v>50.82119473294697</x:v>
      </x:c>
      <x:c r="L1863" s="57" t="n">
        <x:v>74.74456390420997</x:v>
      </x:c>
    </x:row>
    <x:row r="1864" ht="21.600000381469727" hidden="0" customHeight="1">
      <x:c r="A1864" s="27" t="str">
        <x:v>King County, Washington</x:v>
      </x:c>
      <x:c r="B1864" s="27" t="str">
        <x:v>53033004201</x:v>
      </x:c>
      <x:c r="C1864" s="50" t="n">
        <x:v>3838</x:v>
      </x:c>
      <x:c r="D1864" s="50" t="n">
        <x:v>252</x:v>
      </x:c>
      <x:c r="E1864" s="50" t="n">
        <x:v>57</x:v>
      </x:c>
      <x:c r="F1864" s="37" t="n">
        <x:v>0.06565919749869724</x:v>
      </x:c>
      <x:c r="G1864" s="37" t="n">
        <x:v>0.01485148514851485</x:v>
      </x:c>
      <x:c r="H1864" s="56" t="n">
        <x:v>3931.9000000000005</x:v>
      </x:c>
      <x:c r="I1864" s="56" t="n">
        <x:v>0.48</x:v>
      </x:c>
      <x:c r="J1864" s="56" t="n">
        <x:v>13.219717520470887</x:v>
      </x:c>
      <x:c r="K1864" s="56" t="n">
        <x:v>49.829576280706334</x:v>
      </x:c>
      <x:c r="L1864" s="56" t="n">
        <x:v>73.32796611529476</x:v>
      </x:c>
    </x:row>
    <x:row r="1865" ht="21.600000381469727" hidden="0" customHeight="1">
      <x:c r="A1865" s="29" t="str">
        <x:v>King County, Washington</x:v>
      </x:c>
      <x:c r="B1865" s="29" t="str">
        <x:v>53033004202</x:v>
      </x:c>
      <x:c r="C1865" s="51" t="n">
        <x:v>4705</x:v>
      </x:c>
      <x:c r="D1865" s="51" t="n">
        <x:v>155</x:v>
      </x:c>
      <x:c r="E1865" s="51" t="n">
        <x:v>37</x:v>
      </x:c>
      <x:c r="F1865" s="38" t="n">
        <x:v>0.03294367693942614</x:v>
      </x:c>
      <x:c r="G1865" s="38" t="n">
        <x:v>0.007863974495217854</x:v>
      </x:c>
      <x:c r="H1865" s="57" t="n">
        <x:v>4762.95</x:v>
      </x:c>
      <x:c r="I1865" s="57" t="n">
        <x:v>0.471</x:v>
      </x:c>
      <x:c r="J1865" s="57" t="n">
        <x:v>13.340210095789795</x:v>
      </x:c>
      <x:c r="K1865" s="57" t="n">
        <x:v>50.01031514368469</x:v>
      </x:c>
      <x:c r="L1865" s="57" t="n">
        <x:v>73.58616449097813</x:v>
      </x:c>
    </x:row>
    <x:row r="1866" ht="21.600000381469727" hidden="0" customHeight="1">
      <x:c r="A1866" s="27" t="str">
        <x:v>King County, Washington</x:v>
      </x:c>
      <x:c r="B1866" s="27" t="str">
        <x:v>53033004301</x:v>
      </x:c>
      <x:c r="C1866" s="50" t="n">
        <x:v>3479</x:v>
      </x:c>
      <x:c r="D1866" s="50" t="n">
        <x:v>290</x:v>
      </x:c>
      <x:c r="E1866" s="50" t="n">
        <x:v>289</x:v>
      </x:c>
      <x:c r="F1866" s="37" t="n">
        <x:v>0.08335728657660248</x:v>
      </x:c>
      <x:c r="G1866" s="37" t="n">
        <x:v>0.08306984765737281</x:v>
      </x:c>
      <x:c r="H1866" s="56" t="n">
        <x:v>3609.4</x:v>
      </x:c>
      <x:c r="I1866" s="56" t="n">
        <x:v>0.378</x:v>
      </x:c>
      <x:c r="J1866" s="56" t="n">
        <x:v>13.10941706014471</x:v>
      </x:c>
      <x:c r="K1866" s="56" t="n">
        <x:v>49.66412559021706</x:v>
      </x:c>
      <x:c r="L1866" s="56" t="n">
        <x:v>73.09160798602437</x:v>
      </x:c>
    </x:row>
    <x:row r="1867" ht="21.600000381469727" hidden="0" customHeight="1">
      <x:c r="A1867" s="29" t="str">
        <x:v>King County, Washington</x:v>
      </x:c>
      <x:c r="B1867" s="29" t="str">
        <x:v>53033004302</x:v>
      </x:c>
      <x:c r="C1867" s="51" t="n">
        <x:v>4549</x:v>
      </x:c>
      <x:c r="D1867" s="51" t="n">
        <x:v>512</x:v>
      </x:c>
      <x:c r="E1867" s="51" t="n">
        <x:v>1039.5</x:v>
      </x:c>
      <x:c r="F1867" s="38" t="n">
        <x:v>0.11255220927676413</x:v>
      </x:c>
      <x:c r="G1867" s="38" t="n">
        <x:v>0.22851176082655528</x:v>
      </x:c>
      <x:c r="H1867" s="57" t="n">
        <x:v>4832.15</x:v>
      </x:c>
      <x:c r="I1867" s="57" t="n">
        <x:v>0.128</x:v>
      </x:c>
      <x:c r="J1867" s="57" t="n">
        <x:v>13.77607938209678</x:v>
      </x:c>
      <x:c r="K1867" s="57" t="n">
        <x:v>50.66411907314517</x:v>
      </x:c>
      <x:c r="L1867" s="57" t="n">
        <x:v>74.5201701044931</x:v>
      </x:c>
    </x:row>
    <x:row r="1868" ht="21.600000381469727" hidden="0" customHeight="1">
      <x:c r="A1868" s="27" t="str">
        <x:v>King County, Washington</x:v>
      </x:c>
      <x:c r="B1868" s="27" t="str">
        <x:v>53033004401</x:v>
      </x:c>
      <x:c r="C1868" s="50" t="n">
        <x:v>3842</x:v>
      </x:c>
      <x:c r="D1868" s="50" t="n">
        <x:v>418</x:v>
      </x:c>
      <x:c r="E1868" s="50" t="n">
        <x:v>289</x:v>
      </x:c>
      <x:c r="F1868" s="37" t="n">
        <x:v>0.10879750130140552</x:v>
      </x:c>
      <x:c r="G1868" s="37" t="n">
        <x:v>0.0752212389380531</x:v>
      </x:c>
      <x:c r="H1868" s="56" t="n">
        <x:v>4017.2</x:v>
      </x:c>
      <x:c r="I1868" s="56" t="n">
        <x:v>0.268</x:v>
      </x:c>
      <x:c r="J1868" s="56" t="n">
        <x:v>12.76058743869287</x:v>
      </x:c>
      <x:c r="K1868" s="56" t="n">
        <x:v>49.140881158039306</x:v>
      </x:c>
      <x:c r="L1868" s="56" t="n">
        <x:v>72.34411594005616</x:v>
      </x:c>
    </x:row>
    <x:row r="1869" ht="21.600000381469727" hidden="0" customHeight="1">
      <x:c r="A1869" s="29" t="str">
        <x:v>King County, Washington</x:v>
      </x:c>
      <x:c r="B1869" s="29" t="str">
        <x:v>53033004402</x:v>
      </x:c>
      <x:c r="C1869" s="51" t="n">
        <x:v>3511</x:v>
      </x:c>
      <x:c r="D1869" s="51" t="n">
        <x:v>231</x:v>
      </x:c>
      <x:c r="E1869" s="51" t="n">
        <x:v>925.5</x:v>
      </x:c>
      <x:c r="F1869" s="38" t="n">
        <x:v>0.06579322130447166</x:v>
      </x:c>
      <x:c r="G1869" s="38" t="n">
        <x:v>0.2636001139276559</x:v>
      </x:c>
      <x:c r="H1869" s="57" t="n">
        <x:v>3684.3999999999996</x:v>
      </x:c>
      <x:c r="I1869" s="57" t="n">
        <x:v>0.114</x:v>
      </x:c>
      <x:c r="J1869" s="57" t="n">
        <x:v>13.22566056708737</x:v>
      </x:c>
      <x:c r="K1869" s="57" t="n">
        <x:v>49.838490850631054</x:v>
      </x:c>
      <x:c r="L1869" s="57" t="n">
        <x:v>73.34070121518722</x:v>
      </x:c>
    </x:row>
    <x:row r="1870" ht="21.600000381469727" hidden="0" customHeight="1">
      <x:c r="A1870" s="27" t="str">
        <x:v>King County, Washington</x:v>
      </x:c>
      <x:c r="B1870" s="27" t="str">
        <x:v>53033004500</x:v>
      </x:c>
      <x:c r="C1870" s="50" t="n">
        <x:v>3475</x:v>
      </x:c>
      <x:c r="D1870" s="50" t="n">
        <x:v>213</x:v>
      </x:c>
      <x:c r="E1870" s="50" t="n">
        <x:v>92</x:v>
      </x:c>
      <x:c r="F1870" s="37" t="n">
        <x:v>0.06129496402877698</x:v>
      </x:c>
      <x:c r="G1870" s="37" t="n">
        <x:v>0.026474820143884893</x:v>
      </x:c>
      <x:c r="H1870" s="56" t="n">
        <x:v>3558.75</x:v>
      </x:c>
      <x:c r="I1870" s="56" t="n">
        <x:v>0.259</x:v>
      </x:c>
      <x:c r="J1870" s="56" t="n">
        <x:v>13.19253376824981</x:v>
      </x:c>
      <x:c r="K1870" s="56" t="n">
        <x:v>49.78880065237472</x:v>
      </x:c>
      <x:c r="L1870" s="56" t="n">
        <x:v>73.26971521767817</x:v>
      </x:c>
    </x:row>
    <x:row r="1871" ht="21.600000381469727" hidden="0" customHeight="1">
      <x:c r="A1871" s="29" t="str">
        <x:v>King County, Washington</x:v>
      </x:c>
      <x:c r="B1871" s="29" t="str">
        <x:v>53033004600</x:v>
      </x:c>
      <x:c r="C1871" s="51" t="n">
        <x:v>3642</x:v>
      </x:c>
      <x:c r="D1871" s="51" t="n">
        <x:v>188</x:v>
      </x:c>
      <x:c r="E1871" s="51" t="n">
        <x:v>34</x:v>
      </x:c>
      <x:c r="F1871" s="38" t="n">
        <x:v>0.05161998901702362</x:v>
      </x:c>
      <x:c r="G1871" s="38" t="n">
        <x:v>0.009335529928610654</x:v>
      </x:c>
      <x:c r="H1871" s="57" t="n">
        <x:v>3711.2000000000003</x:v>
      </x:c>
      <x:c r="I1871" s="57" t="n">
        <x:v>0.606</x:v>
      </x:c>
      <x:c r="J1871" s="57" t="n">
        <x:v>12.54506775551074</x:v>
      </x:c>
      <x:c r="K1871" s="57" t="n">
        <x:v>48.81760163326611</x:v>
      </x:c>
      <x:c r="L1871" s="57" t="n">
        <x:v>71.88228804752302</x:v>
      </x:c>
    </x:row>
    <x:row r="1872" ht="21.600000381469727" hidden="0" customHeight="1">
      <x:c r="A1872" s="27" t="str">
        <x:v>King County, Washington</x:v>
      </x:c>
      <x:c r="B1872" s="27" t="str">
        <x:v>53033004701</x:v>
      </x:c>
      <x:c r="C1872" s="50" t="n">
        <x:v>3446</x:v>
      </x:c>
      <x:c r="D1872" s="50" t="n">
        <x:v>470</x:v>
      </x:c>
      <x:c r="E1872" s="50" t="n">
        <x:v>470</x:v>
      </x:c>
      <x:c r="F1872" s="37" t="n">
        <x:v>0.1363900174114916</x:v>
      </x:c>
      <x:c r="G1872" s="37" t="n">
        <x:v>0.1363900174114916</x:v>
      </x:c>
      <x:c r="H1872" s="56" t="n">
        <x:v>3657.5</x:v>
      </x:c>
      <x:c r="I1872" s="56" t="n">
        <x:v>0.221</x:v>
      </x:c>
      <x:c r="J1872" s="56" t="n">
        <x:v>15.30921837890445</x:v>
      </x:c>
      <x:c r="K1872" s="56" t="n">
        <x:v>52.96382756835668</x:v>
      </x:c>
      <x:c r="L1872" s="56" t="n">
        <x:v>77.80546795479525</x:v>
      </x:c>
    </x:row>
    <x:row r="1873" ht="21.600000381469727" hidden="0" customHeight="1">
      <x:c r="A1873" s="29" t="str">
        <x:v>King County, Washington</x:v>
      </x:c>
      <x:c r="B1873" s="29" t="str">
        <x:v>53033004702</x:v>
      </x:c>
      <x:c r="C1873" s="51" t="n">
        <x:v>3697</x:v>
      </x:c>
      <x:c r="D1873" s="51" t="n">
        <x:v>430</x:v>
      </x:c>
      <x:c r="E1873" s="51" t="n">
        <x:v>705</x:v>
      </x:c>
      <x:c r="F1873" s="38" t="n">
        <x:v>0.11631052204490128</x:v>
      </x:c>
      <x:c r="G1873" s="38" t="n">
        <x:v>0.1906951582364079</x:v>
      </x:c>
      <x:c r="H1873" s="57" t="n">
        <x:v>3918</x:v>
      </x:c>
      <x:c r="I1873" s="57" t="n">
        <x:v>0.103</x:v>
      </x:c>
      <x:c r="J1873" s="57" t="n">
        <x:v>14.402692452196835</x:v>
      </x:c>
      <x:c r="K1873" s="57" t="n">
        <x:v>51.604038678295254</x:v>
      </x:c>
      <x:c r="L1873" s="57" t="n">
        <x:v>75.86291239756464</x:v>
      </x:c>
    </x:row>
    <x:row r="1874" ht="21.600000381469727" hidden="0" customHeight="1">
      <x:c r="A1874" s="27" t="str">
        <x:v>King County, Washington</x:v>
      </x:c>
      <x:c r="B1874" s="27" t="str">
        <x:v>53033004703</x:v>
      </x:c>
      <x:c r="C1874" s="50" t="n">
        <x:v>4173</x:v>
      </x:c>
      <x:c r="D1874" s="50" t="n">
        <x:v>197</x:v>
      </x:c>
      <x:c r="E1874" s="50" t="n">
        <x:v>238</x:v>
      </x:c>
      <x:c r="F1874" s="37" t="n">
        <x:v>0.04720824346992571</x:v>
      </x:c>
      <x:c r="G1874" s="37" t="n">
        <x:v>0.057033309369757965</x:v>
      </x:c>
      <x:c r="H1874" s="56" t="n">
        <x:v>4265.750000000001</x:v>
      </x:c>
      <x:c r="I1874" s="56" t="n">
        <x:v>0.468</x:v>
      </x:c>
      <x:c r="J1874" s="56" t="n">
        <x:v>15.001595402621165</x:v>
      </x:c>
      <x:c r="K1874" s="56" t="n">
        <x:v>52.502393103931745</x:v>
      </x:c>
      <x:c r="L1874" s="56" t="n">
        <x:v>77.14627586275964</x:v>
      </x:c>
    </x:row>
    <x:row r="1875" ht="21.600000381469727" hidden="0" customHeight="1">
      <x:c r="A1875" s="29" t="str">
        <x:v>King County, Washington</x:v>
      </x:c>
      <x:c r="B1875" s="29" t="str">
        <x:v>53033004800</x:v>
      </x:c>
      <x:c r="C1875" s="51" t="n">
        <x:v>5181</x:v>
      </x:c>
      <x:c r="D1875" s="51" t="n">
        <x:v>419</x:v>
      </x:c>
      <x:c r="E1875" s="51" t="n">
        <x:v>84</x:v>
      </x:c>
      <x:c r="F1875" s="38" t="n">
        <x:v>0.08087241845203628</x:v>
      </x:c>
      <x:c r="G1875" s="38" t="n">
        <x:v>0.016213086276780544</x:v>
      </x:c>
      <x:c r="H1875" s="57" t="n">
        <x:v>5336.05</x:v>
      </x:c>
      <x:c r="I1875" s="57" t="n">
        <x:v>0.494</x:v>
      </x:c>
      <x:c r="J1875" s="57" t="n">
        <x:v>15.068363167460646</x:v>
      </x:c>
      <x:c r="K1875" s="57" t="n">
        <x:v>52.60254475119097</x:v>
      </x:c>
      <x:c r="L1875" s="57" t="n">
        <x:v>77.28934964455853</x:v>
      </x:c>
    </x:row>
    <x:row r="1876" ht="21.600000381469727" hidden="0" customHeight="1">
      <x:c r="A1876" s="27" t="str">
        <x:v>King County, Washington</x:v>
      </x:c>
      <x:c r="B1876" s="27" t="str">
        <x:v>53033004901</x:v>
      </x:c>
      <x:c r="C1876" s="50" t="n">
        <x:v>3605</x:v>
      </x:c>
      <x:c r="D1876" s="50" t="n">
        <x:v>245</x:v>
      </x:c>
      <x:c r="E1876" s="50" t="n">
        <x:v>382</x:v>
      </x:c>
      <x:c r="F1876" s="37" t="n">
        <x:v>0.06796116504854369</x:v>
      </x:c>
      <x:c r="G1876" s="37" t="n">
        <x:v>0.10596393897364771</x:v>
      </x:c>
      <x:c r="H1876" s="56" t="n">
        <x:v>3728.95</x:v>
      </x:c>
      <x:c r="I1876" s="56" t="n">
        <x:v>0.192</x:v>
      </x:c>
      <x:c r="J1876" s="56" t="n">
        <x:v>14.737920707957606</x:v>
      </x:c>
      <x:c r="K1876" s="56" t="n">
        <x:v>52.106881061936406</x:v>
      </x:c>
      <x:c r="L1876" s="56" t="n">
        <x:v>76.58125865990915</x:v>
      </x:c>
    </x:row>
    <x:row r="1877" ht="21.600000381469727" hidden="0" customHeight="1">
      <x:c r="A1877" s="29" t="str">
        <x:v>King County, Washington</x:v>
      </x:c>
      <x:c r="B1877" s="29" t="str">
        <x:v>53033004902</x:v>
      </x:c>
      <x:c r="C1877" s="51" t="n">
        <x:v>3271</x:v>
      </x:c>
      <x:c r="D1877" s="51" t="n">
        <x:v>106</x:v>
      </x:c>
      <x:c r="E1877" s="51" t="n">
        <x:v>413</x:v>
      </x:c>
      <x:c r="F1877" s="38" t="n">
        <x:v>0.03240599205136044</x:v>
      </x:c>
      <x:c r="G1877" s="38" t="n">
        <x:v>0.12626108223784777</x:v>
      </x:c>
      <x:c r="H1877" s="57" t="n">
        <x:v>3349.4</x:v>
      </x:c>
      <x:c r="I1877" s="57" t="n">
        <x:v>0.23</x:v>
      </x:c>
      <x:c r="J1877" s="57" t="n">
        <x:v>15.970718887530337</x:v>
      </x:c>
      <x:c r="K1877" s="57" t="n">
        <x:v>53.95607833129551</x:v>
      </x:c>
      <x:c r="L1877" s="57" t="n">
        <x:v>79.22296904470787</x:v>
      </x:c>
    </x:row>
    <x:row r="1878" ht="21.600000381469727" hidden="0" customHeight="1">
      <x:c r="A1878" s="27" t="str">
        <x:v>King County, Washington</x:v>
      </x:c>
      <x:c r="B1878" s="27" t="str">
        <x:v>53033005000</x:v>
      </x:c>
      <x:c r="C1878" s="50" t="n">
        <x:v>4778</x:v>
      </x:c>
      <x:c r="D1878" s="50" t="n">
        <x:v>343</x:v>
      </x:c>
      <x:c r="E1878" s="50" t="n">
        <x:v>470</x:v>
      </x:c>
      <x:c r="F1878" s="37" t="n">
        <x:v>0.07178735872750104</x:v>
      </x:c>
      <x:c r="G1878" s="37" t="n">
        <x:v>0.09836751778987024</x:v>
      </x:c>
      <x:c r="H1878" s="56" t="n">
        <x:v>4945.05</x:v>
      </x:c>
      <x:c r="I1878" s="56" t="n">
        <x:v>0.292</x:v>
      </x:c>
      <x:c r="J1878" s="56" t="n">
        <x:v>14.594940038383216</x:v>
      </x:c>
      <x:c r="K1878" s="56" t="n">
        <x:v>51.89241005757482</x:v>
      </x:c>
      <x:c r="L1878" s="56" t="n">
        <x:v>76.27487151082119</x:v>
      </x:c>
    </x:row>
    <x:row r="1879" ht="21.600000381469727" hidden="0" customHeight="1">
      <x:c r="A1879" s="29" t="str">
        <x:v>King County, Washington</x:v>
      </x:c>
      <x:c r="B1879" s="29" t="str">
        <x:v>53033005100</x:v>
      </x:c>
      <x:c r="C1879" s="51" t="n">
        <x:v>3809</x:v>
      </x:c>
      <x:c r="D1879" s="51" t="n">
        <x:v>194</x:v>
      </x:c>
      <x:c r="E1879" s="51" t="n">
        <x:v>67</x:v>
      </x:c>
      <x:c r="F1879" s="38" t="n">
        <x:v>0.05093200315043318</x:v>
      </x:c>
      <x:c r="G1879" s="38" t="n">
        <x:v>0.0175899186138094</x:v>
      </x:c>
      <x:c r="H1879" s="57" t="n">
        <x:v>3883.6</x:v>
      </x:c>
      <x:c r="I1879" s="57" t="n">
        <x:v>0.34</x:v>
      </x:c>
      <x:c r="J1879" s="57" t="n">
        <x:v>14.78899688379425</x:v>
      </x:c>
      <x:c r="K1879" s="57" t="n">
        <x:v>52.183495325691375</x:v>
      </x:c>
      <x:c r="L1879" s="57" t="n">
        <x:v>76.69070760813054</x:v>
      </x:c>
    </x:row>
    <x:row r="1880" ht="21.600000381469727" hidden="0" customHeight="1">
      <x:c r="A1880" s="27" t="str">
        <x:v>King County, Washington</x:v>
      </x:c>
      <x:c r="B1880" s="27" t="str">
        <x:v>53033005201</x:v>
      </x:c>
      <x:c r="C1880" s="50" t="n">
        <x:v>3798</x:v>
      </x:c>
      <x:c r="D1880" s="50" t="n">
        <x:v>251</x:v>
      </x:c>
      <x:c r="E1880" s="50" t="n">
        <x:v>391</x:v>
      </x:c>
      <x:c r="F1880" s="37" t="n">
        <x:v>0.06608741442864666</x:v>
      </x:c>
      <x:c r="G1880" s="37" t="n">
        <x:v>0.10294892048446551</x:v>
      </x:c>
      <x:c r="H1880" s="56" t="n">
        <x:v>3924.9499999999994</x:v>
      </x:c>
      <x:c r="I1880" s="56" t="n">
        <x:v>0.27</x:v>
      </x:c>
      <x:c r="J1880" s="56" t="n">
        <x:v>14.553571725025638</x:v>
      </x:c>
      <x:c r="K1880" s="56" t="n">
        <x:v>51.83035758753846</x:v>
      </x:c>
      <x:c r="L1880" s="56" t="n">
        <x:v>76.18622512505493</x:v>
      </x:c>
    </x:row>
    <x:row r="1881" ht="21.600000381469727" hidden="0" customHeight="1">
      <x:c r="A1881" s="29" t="str">
        <x:v>King County, Washington</x:v>
      </x:c>
      <x:c r="B1881" s="29" t="str">
        <x:v>53033005202</x:v>
      </x:c>
      <x:c r="C1881" s="51" t="n">
        <x:v>2853</x:v>
      </x:c>
      <x:c r="D1881" s="51" t="n">
        <x:v>359</x:v>
      </x:c>
      <x:c r="E1881" s="51" t="n">
        <x:v>1169</x:v>
      </x:c>
      <x:c r="F1881" s="38" t="n">
        <x:v>0.125832457062741</x:v>
      </x:c>
      <x:c r="G1881" s="38" t="n">
        <x:v>0.4097441289870312</x:v>
      </x:c>
      <x:c r="H1881" s="57" t="n">
        <x:v>3095.5499999999997</x:v>
      </x:c>
      <x:c r="I1881" s="57" t="n">
        <x:v>0.104</x:v>
      </x:c>
      <x:c r="J1881" s="57" t="n">
        <x:v>14.9584316467814</x:v>
      </x:c>
      <x:c r="K1881" s="57" t="n">
        <x:v>52.437647470172095</x:v>
      </x:c>
      <x:c r="L1881" s="57" t="n">
        <x:v>77.05378210024585</x:v>
      </x:c>
    </x:row>
    <x:row r="1882" ht="21.600000381469727" hidden="0" customHeight="1">
      <x:c r="A1882" s="27" t="str">
        <x:v>King County, Washington</x:v>
      </x:c>
      <x:c r="B1882" s="27" t="str">
        <x:v>53033005303</x:v>
      </x:c>
      <x:c r="C1882" s="50" t="n">
        <x:v>4203</x:v>
      </x:c>
      <x:c r="D1882" s="50" t="n">
        <x:v>324</x:v>
      </x:c>
      <x:c r="E1882" s="50" t="n">
        <x:v>72.5</x:v>
      </x:c>
      <x:c r="F1882" s="37" t="n">
        <x:v>0.07708779443254818</x:v>
      </x:c>
      <x:c r="G1882" s="37" t="n">
        <x:v>0.01724958363073995</x:v>
      </x:c>
      <x:c r="H1882" s="56" t="n">
        <x:v>4323.650000000001</x:v>
      </x:c>
      <x:c r="I1882" s="56" t="n">
        <x:v>0.939</x:v>
      </x:c>
      <x:c r="J1882" s="56" t="n">
        <x:v>15.395759415734396</x:v>
      </x:c>
      <x:c r="K1882" s="56" t="n">
        <x:v>53.09363912360159</x:v>
      </x:c>
      <x:c r="L1882" s="56" t="n">
        <x:v>77.99091303371657</x:v>
      </x:c>
    </x:row>
    <x:row r="1883" ht="21.600000381469727" hidden="0" customHeight="1">
      <x:c r="A1883" s="29" t="str">
        <x:v>King County, Washington</x:v>
      </x:c>
      <x:c r="B1883" s="29" t="str">
        <x:v>53033005304</x:v>
      </x:c>
      <x:c r="C1883" s="51" t="n">
        <x:v>3425</x:v>
      </x:c>
      <x:c r="D1883" s="51" t="n">
        <x:v>255</x:v>
      </x:c>
      <x:c r="E1883" s="51" t="n">
        <x:v>103</x:v>
      </x:c>
      <x:c r="F1883" s="38" t="n">
        <x:v>0.07445255474452554</x:v>
      </x:c>
      <x:c r="G1883" s="38" t="n">
        <x:v>0.03007299270072993</x:v>
      </x:c>
      <x:c r="H1883" s="57" t="n">
        <x:v>3524.5499999999997</x:v>
      </x:c>
      <x:c r="I1883" s="57" t="n">
        <x:v>0.028</x:v>
      </x:c>
      <x:c r="J1883" s="57" t="n">
        <x:v>15.034703286100072</x:v>
      </x:c>
      <x:c r="K1883" s="57" t="n">
        <x:v>52.55205492915011</x:v>
      </x:c>
      <x:c r="L1883" s="57" t="n">
        <x:v>77.2172213273573</x:v>
      </x:c>
    </x:row>
    <x:row r="1884" ht="21.600000381469727" hidden="0" customHeight="1">
      <x:c r="A1884" s="27" t="str">
        <x:v>King County, Washington</x:v>
      </x:c>
      <x:c r="B1884" s="27" t="str">
        <x:v>53033005305</x:v>
      </x:c>
      <x:c r="C1884" s="50" t="n">
        <x:v>2275</x:v>
      </x:c>
      <x:c r="D1884" s="50" t="n">
        <x:v>377</x:v>
      </x:c>
      <x:c r="E1884" s="50" t="n">
        <x:v>1156.5</x:v>
      </x:c>
      <x:c r="F1884" s="37" t="n">
        <x:v>0.1657142857142857</x:v>
      </x:c>
      <x:c r="G1884" s="37" t="n">
        <x:v>0.5083516483516484</x:v>
      </x:c>
      <x:c r="H1884" s="56" t="n">
        <x:v>2522.6</x:v>
      </x:c>
      <x:c r="I1884" s="56" t="n">
        <x:v>0.082</x:v>
      </x:c>
      <x:c r="J1884" s="56" t="n">
        <x:v>14.589619456352159</x:v>
      </x:c>
      <x:c r="K1884" s="56" t="n">
        <x:v>51.88442918452824</x:v>
      </x:c>
      <x:c r="L1884" s="56" t="n">
        <x:v>76.26347026361177</x:v>
      </x:c>
    </x:row>
    <x:row r="1885" ht="21.600000381469727" hidden="0" customHeight="1">
      <x:c r="A1885" s="29" t="str">
        <x:v>King County, Washington</x:v>
      </x:c>
      <x:c r="B1885" s="29" t="str">
        <x:v>53033005306</x:v>
      </x:c>
      <x:c r="C1885" s="51" t="n">
        <x:v>3632</x:v>
      </x:c>
      <x:c r="D1885" s="51" t="n">
        <x:v>601</x:v>
      </x:c>
      <x:c r="E1885" s="51" t="n">
        <x:v>1785</x:v>
      </x:c>
      <x:c r="F1885" s="38" t="n">
        <x:v>0.16547356828193832</x:v>
      </x:c>
      <x:c r="G1885" s="38" t="n">
        <x:v>0.4914647577092511</x:v>
      </x:c>
      <x:c r="H1885" s="57" t="n">
        <x:v>4020.8499999999995</x:v>
      </x:c>
      <x:c r="I1885" s="57" t="n">
        <x:v>0.077</x:v>
      </x:c>
      <x:c r="J1885" s="57" t="n">
        <x:v>13.985096017796566</x:v>
      </x:c>
      <x:c r="K1885" s="57" t="n">
        <x:v>50.97764402669485</x:v>
      </x:c>
      <x:c r="L1885" s="57" t="n">
        <x:v>74.96806289527836</x:v>
      </x:c>
    </x:row>
    <x:row r="1886" ht="21.600000381469727" hidden="0" customHeight="1">
      <x:c r="A1886" s="27" t="str">
        <x:v>King County, Washington</x:v>
      </x:c>
      <x:c r="B1886" s="27" t="str">
        <x:v>53033005307</x:v>
      </x:c>
      <x:c r="C1886" s="50" t="n">
        <x:v>3068</x:v>
      </x:c>
      <x:c r="D1886" s="50" t="n">
        <x:v>214</x:v>
      </x:c>
      <x:c r="E1886" s="50" t="n">
        <x:v>397</x:v>
      </x:c>
      <x:c r="F1886" s="37" t="n">
        <x:v>0.0697522816166884</x:v>
      </x:c>
      <x:c r="G1886" s="37" t="n">
        <x:v>0.12940026075619296</x:v>
      </x:c>
      <x:c r="H1886" s="56" t="n">
        <x:v>3182.6000000000004</x:v>
      </x:c>
      <x:c r="I1886" s="56" t="n">
        <x:v>0.05</x:v>
      </x:c>
      <x:c r="J1886" s="56" t="n">
        <x:v>13.999010587069462</x:v>
      </x:c>
      <x:c r="K1886" s="56" t="n">
        <x:v>50.998515880604195</x:v>
      </x:c>
      <x:c r="L1886" s="56" t="n">
        <x:v>74.99787982943457</x:v>
      </x:c>
    </x:row>
    <x:row r="1887" ht="21.600000381469727" hidden="0" customHeight="1">
      <x:c r="A1887" s="29" t="str">
        <x:v>King County, Washington</x:v>
      </x:c>
      <x:c r="B1887" s="29" t="str">
        <x:v>53033005401</x:v>
      </x:c>
      <x:c r="C1887" s="51" t="n">
        <x:v>3599</x:v>
      </x:c>
      <x:c r="D1887" s="51" t="n">
        <x:v>141</x:v>
      </x:c>
      <x:c r="E1887" s="51" t="n">
        <x:v>388</x:v>
      </x:c>
      <x:c r="F1887" s="38" t="n">
        <x:v>0.03917754931925535</x:v>
      </x:c>
      <x:c r="G1887" s="38" t="n">
        <x:v>0.10780772436787997</x:v>
      </x:c>
      <x:c r="H1887" s="57" t="n">
        <x:v>3687.1500000000005</x:v>
      </x:c>
      <x:c r="I1887" s="57" t="n">
        <x:v>0.292</x:v>
      </x:c>
      <x:c r="J1887" s="57" t="n">
        <x:v>16.50442851868959</x:v>
      </x:c>
      <x:c r="K1887" s="57" t="n">
        <x:v>54.75664277803438</x:v>
      </x:c>
      <x:c r="L1887" s="57" t="n">
        <x:v>80.36663254004912</x:v>
      </x:c>
    </x:row>
    <x:row r="1888" ht="21.600000381469727" hidden="0" customHeight="1">
      <x:c r="A1888" s="27" t="str">
        <x:v>King County, Washington</x:v>
      </x:c>
      <x:c r="B1888" s="27" t="str">
        <x:v>53033005402</x:v>
      </x:c>
      <x:c r="C1888" s="50" t="n">
        <x:v>2998</x:v>
      </x:c>
      <x:c r="D1888" s="50" t="n">
        <x:v>79</x:v>
      </x:c>
      <x:c r="E1888" s="50" t="n">
        <x:v>217</x:v>
      </x:c>
      <x:c r="F1888" s="37" t="n">
        <x:v>0.026350900600400268</x:v>
      </x:c>
      <x:c r="G1888" s="37" t="n">
        <x:v>0.0723815877251501</x:v>
      </x:c>
      <x:c r="H1888" s="56" t="n">
        <x:v>3047.35</x:v>
      </x:c>
      <x:c r="I1888" s="56" t="n">
        <x:v>0.179</x:v>
      </x:c>
      <x:c r="J1888" s="56" t="n">
        <x:v>15.580253085440091</x:v>
      </x:c>
      <x:c r="K1888" s="56" t="n">
        <x:v>53.37037962816014</x:v>
      </x:c>
      <x:c r="L1888" s="56" t="n">
        <x:v>78.38625661165733</x:v>
      </x:c>
    </x:row>
    <x:row r="1889" ht="21.600000381469727" hidden="0" customHeight="1">
      <x:c r="A1889" s="29" t="str">
        <x:v>King County, Washington</x:v>
      </x:c>
      <x:c r="B1889" s="29" t="str">
        <x:v>53033005600</x:v>
      </x:c>
      <x:c r="C1889" s="51" t="n">
        <x:v>6989</x:v>
      </x:c>
      <x:c r="D1889" s="51" t="n">
        <x:v>439</x:v>
      </x:c>
      <x:c r="E1889" s="51" t="n">
        <x:v>112</x:v>
      </x:c>
      <x:c r="F1889" s="38" t="n">
        <x:v>0.0628129918443268</x:v>
      </x:c>
      <x:c r="G1889" s="38" t="n">
        <x:v>0.01602518242953212</x:v>
      </x:c>
      <x:c r="H1889" s="57" t="n">
        <x:v>7153.850000000001</x:v>
      </x:c>
      <x:c r="I1889" s="57" t="n">
        <x:v>1.167</x:v>
      </x:c>
      <x:c r="J1889" s="57" t="n">
        <x:v>19.76191546568482</x:v>
      </x:c>
      <x:c r="K1889" s="57" t="n">
        <x:v>59.64287319852723</x:v>
      </x:c>
      <x:c r="L1889" s="57" t="n">
        <x:v>87.34696171218175</x:v>
      </x:c>
    </x:row>
    <x:row r="1890" ht="21.600000381469727" hidden="0" customHeight="1">
      <x:c r="A1890" s="27" t="str">
        <x:v>King County, Washington</x:v>
      </x:c>
      <x:c r="B1890" s="27" t="str">
        <x:v>53033005700</x:v>
      </x:c>
      <x:c r="C1890" s="50" t="n">
        <x:v>6834</x:v>
      </x:c>
      <x:c r="D1890" s="50" t="n">
        <x:v>569</x:v>
      </x:c>
      <x:c r="E1890" s="50" t="n">
        <x:v>260</x:v>
      </x:c>
      <x:c r="F1890" s="37" t="n">
        <x:v>0.0832601697395376</x:v>
      </x:c>
      <x:c r="G1890" s="37" t="n">
        <x:v>0.03804506877377817</x:v>
      </x:c>
      <x:c r="H1890" s="56" t="n">
        <x:v>7059.15</x:v>
      </x:c>
      <x:c r="I1890" s="56" t="n">
        <x:v>1.964</x:v>
      </x:c>
      <x:c r="J1890" s="56" t="n">
        <x:v>17.861981166742797</x:v>
      </x:c>
      <x:c r="K1890" s="56" t="n">
        <x:v>56.7929717501142</x:v>
      </x:c>
      <x:c r="L1890" s="56" t="n">
        <x:v>83.27567392873456</x:v>
      </x:c>
    </x:row>
    <x:row r="1891" ht="21.600000381469727" hidden="0" customHeight="1">
      <x:c r="A1891" s="29" t="str">
        <x:v>King County, Washington</x:v>
      </x:c>
      <x:c r="B1891" s="29" t="str">
        <x:v>53033005801</x:v>
      </x:c>
      <x:c r="C1891" s="51" t="n">
        <x:v>6295</x:v>
      </x:c>
      <x:c r="D1891" s="51" t="n">
        <x:v>445</x:v>
      </x:c>
      <x:c r="E1891" s="51" t="n">
        <x:v>351</x:v>
      </x:c>
      <x:c r="F1891" s="38" t="n">
        <x:v>0.07069102462271644</x:v>
      </x:c>
      <x:c r="G1891" s="38" t="n">
        <x:v>0.05575853852263701</x:v>
      </x:c>
      <x:c r="H1891" s="57" t="n">
        <x:v>6485.849999999999</x:v>
      </x:c>
      <x:c r="I1891" s="57" t="n">
        <x:v>0.704</x:v>
      </x:c>
      <x:c r="J1891" s="57" t="n">
        <x:v>16.831151687394218</x:v>
      </x:c>
      <x:c r="K1891" s="57" t="n">
        <x:v>55.246727531091324</x:v>
      </x:c>
      <x:c r="L1891" s="57" t="n">
        <x:v>81.06675361584476</x:v>
      </x:c>
    </x:row>
    <x:row r="1892" ht="21.600000381469727" hidden="0" customHeight="1">
      <x:c r="A1892" s="27" t="str">
        <x:v>King County, Washington</x:v>
      </x:c>
      <x:c r="B1892" s="27" t="str">
        <x:v>53033005803</x:v>
      </x:c>
      <x:c r="C1892" s="50" t="n">
        <x:v>3235</x:v>
      </x:c>
      <x:c r="D1892" s="50" t="n">
        <x:v>256</x:v>
      </x:c>
      <x:c r="E1892" s="50" t="n">
        <x:v>243</x:v>
      </x:c>
      <x:c r="F1892" s="37" t="n">
        <x:v>0.07913446676970634</x:v>
      </x:c>
      <x:c r="G1892" s="37" t="n">
        <x:v>0.07511591962905718</x:v>
      </x:c>
      <x:c r="H1892" s="56" t="n">
        <x:v>3348.8999999999996</x:v>
      </x:c>
      <x:c r="I1892" s="56" t="n">
        <x:v>0.321</x:v>
      </x:c>
      <x:c r="J1892" s="56" t="n">
        <x:v>18.64826036239362</x:v>
      </x:c>
      <x:c r="K1892" s="56" t="n">
        <x:v>57.972390543590436</x:v>
      </x:c>
      <x:c r="L1892" s="56" t="n">
        <x:v>84.9605579194149</x:v>
      </x:c>
    </x:row>
    <x:row r="1893" ht="21.600000381469727" hidden="0" customHeight="1">
      <x:c r="A1893" s="29" t="str">
        <x:v>King County, Washington</x:v>
      </x:c>
      <x:c r="B1893" s="29" t="str">
        <x:v>53033005804</x:v>
      </x:c>
      <x:c r="C1893" s="51" t="n">
        <x:v>2563</x:v>
      </x:c>
      <x:c r="D1893" s="51" t="n">
        <x:v>319</x:v>
      </x:c>
      <x:c r="E1893" s="51" t="n">
        <x:v>423</x:v>
      </x:c>
      <x:c r="F1893" s="38" t="n">
        <x:v>0.12446351931330472</x:v>
      </x:c>
      <x:c r="G1893" s="38" t="n">
        <x:v>0.16504096761607492</x:v>
      </x:c>
      <x:c r="H1893" s="57" t="n">
        <x:v>2716.95</x:v>
      </x:c>
      <x:c r="I1893" s="57" t="n">
        <x:v>0.908</x:v>
      </x:c>
      <x:c r="J1893" s="57" t="n">
        <x:v>19.739473394442307</x:v>
      </x:c>
      <x:c r="K1893" s="57" t="n">
        <x:v>59.609210091663456</x:v>
      </x:c>
      <x:c r="L1893" s="57" t="n">
        <x:v>87.29887155951923</x:v>
      </x:c>
    </x:row>
    <x:row r="1894" ht="21.600000381469727" hidden="0" customHeight="1">
      <x:c r="A1894" s="27" t="str">
        <x:v>King County, Washington</x:v>
      </x:c>
      <x:c r="B1894" s="27" t="str">
        <x:v>53033005901</x:v>
      </x:c>
      <x:c r="C1894" s="50" t="n">
        <x:v>3568</x:v>
      </x:c>
      <x:c r="D1894" s="50" t="n">
        <x:v>336</x:v>
      </x:c>
      <x:c r="E1894" s="50" t="n">
        <x:v>406</x:v>
      </x:c>
      <x:c r="F1894" s="37" t="n">
        <x:v>0.09417040358744394</x:v>
      </x:c>
      <x:c r="G1894" s="37" t="n">
        <x:v>0.11378923766816143</x:v>
      </x:c>
      <x:c r="H1894" s="56" t="n">
        <x:v>3726.2</x:v>
      </x:c>
      <x:c r="I1894" s="56" t="n">
        <x:v>0.312</x:v>
      </x:c>
      <x:c r="J1894" s="56" t="n">
        <x:v>16.483715306956096</x:v>
      </x:c>
      <x:c r="K1894" s="56" t="n">
        <x:v>54.72557296043414</x:v>
      </x:c>
      <x:c r="L1894" s="56" t="n">
        <x:v>80.3222470863345</x:v>
      </x:c>
    </x:row>
    <x:row r="1895" ht="21.600000381469727" hidden="0" customHeight="1">
      <x:c r="A1895" s="29" t="str">
        <x:v>King County, Washington</x:v>
      </x:c>
      <x:c r="B1895" s="29" t="str">
        <x:v>53033005902</x:v>
      </x:c>
      <x:c r="C1895" s="51" t="n">
        <x:v>4132</x:v>
      </x:c>
      <x:c r="D1895" s="51" t="n">
        <x:v>347</x:v>
      </x:c>
      <x:c r="E1895" s="51" t="n">
        <x:v>342</x:v>
      </x:c>
      <x:c r="F1895" s="38" t="n">
        <x:v>0.08397870280735721</x:v>
      </x:c>
      <x:c r="G1895" s="38" t="n">
        <x:v>0.08276863504356244</x:v>
      </x:c>
      <x:c r="H1895" s="57" t="n">
        <x:v>4287.65</x:v>
      </x:c>
      <x:c r="I1895" s="57" t="n">
        <x:v>0.395</x:v>
      </x:c>
      <x:c r="J1895" s="57" t="n">
        <x:v>17.668458926684416</x:v>
      </x:c>
      <x:c r="K1895" s="57" t="n">
        <x:v>56.50268839002662</x:v>
      </x:c>
      <x:c r="L1895" s="57" t="n">
        <x:v>82.86098341432375</x:v>
      </x:c>
    </x:row>
    <x:row r="1896" ht="21.600000381469727" hidden="0" customHeight="1">
      <x:c r="A1896" s="27" t="str">
        <x:v>King County, Washington</x:v>
      </x:c>
      <x:c r="B1896" s="27" t="str">
        <x:v>53033006000</x:v>
      </x:c>
      <x:c r="C1896" s="50" t="n">
        <x:v>6161</x:v>
      </x:c>
      <x:c r="D1896" s="50" t="n">
        <x:v>260</x:v>
      </x:c>
      <x:c r="E1896" s="50" t="n">
        <x:v>587</x:v>
      </x:c>
      <x:c r="F1896" s="37" t="n">
        <x:v>0.04220094140561597</x:v>
      </x:c>
      <x:c r="G1896" s="37" t="n">
        <x:v>0.09527674078883298</x:v>
      </x:c>
      <x:c r="H1896" s="56" t="n">
        <x:v>6310.7</x:v>
      </x:c>
      <x:c r="I1896" s="56" t="n">
        <x:v>0.518</x:v>
      </x:c>
      <x:c r="J1896" s="56" t="n">
        <x:v>17.417211223434197</x:v>
      </x:c>
      <x:c r="K1896" s="56" t="n">
        <x:v>56.1258168351513</x:v>
      </x:c>
      <x:c r="L1896" s="56" t="n">
        <x:v>82.32259547878756</x:v>
      </x:c>
    </x:row>
    <x:row r="1897" ht="21.600000381469727" hidden="0" customHeight="1">
      <x:c r="A1897" s="29" t="str">
        <x:v>King County, Washington</x:v>
      </x:c>
      <x:c r="B1897" s="29" t="str">
        <x:v>53033006100</x:v>
      </x:c>
      <x:c r="C1897" s="51" t="n">
        <x:v>6360</x:v>
      </x:c>
      <x:c r="D1897" s="51" t="n">
        <x:v>645</x:v>
      </x:c>
      <x:c r="E1897" s="51" t="n">
        <x:v>425</x:v>
      </x:c>
      <x:c r="F1897" s="38" t="n">
        <x:v>0.10141509433962265</x:v>
      </x:c>
      <x:c r="G1897" s="38" t="n">
        <x:v>0.06682389937106918</x:v>
      </x:c>
      <x:c r="H1897" s="57" t="n">
        <x:v>6628.25</x:v>
      </x:c>
      <x:c r="I1897" s="57" t="n">
        <x:v>0.474</x:v>
      </x:c>
      <x:c r="J1897" s="57" t="n">
        <x:v>16.806231720054644</x:v>
      </x:c>
      <x:c r="K1897" s="57" t="n">
        <x:v>55.20934758008197</x:v>
      </x:c>
      <x:c r="L1897" s="57" t="n">
        <x:v>81.01335368583138</x:v>
      </x:c>
    </x:row>
    <x:row r="1898" ht="21.600000381469727" hidden="0" customHeight="1">
      <x:c r="A1898" s="27" t="str">
        <x:v>King County, Washington</x:v>
      </x:c>
      <x:c r="B1898" s="27" t="str">
        <x:v>53033006200</x:v>
      </x:c>
      <x:c r="C1898" s="50" t="n">
        <x:v>4188</x:v>
      </x:c>
      <x:c r="D1898" s="50" t="n">
        <x:v>215</x:v>
      </x:c>
      <x:c r="E1898" s="50" t="n">
        <x:v>127</x:v>
      </x:c>
      <x:c r="F1898" s="37" t="n">
        <x:v>0.05133715377268386</x:v>
      </x:c>
      <x:c r="G1898" s="37" t="n">
        <x:v>0.030324737344794652</x:v>
      </x:c>
      <x:c r="H1898" s="56" t="n">
        <x:v>4275.95</x:v>
      </x:c>
      <x:c r="I1898" s="56" t="n">
        <x:v>0.941</x:v>
      </x:c>
      <x:c r="J1898" s="56" t="n">
        <x:v>17.62727266991705</x:v>
      </x:c>
      <x:c r="K1898" s="56" t="n">
        <x:v>56.44090900487558</x:v>
      </x:c>
      <x:c r="L1898" s="56" t="n">
        <x:v>82.77272714982226</x:v>
      </x:c>
    </x:row>
    <x:row r="1899" ht="21.600000381469727" hidden="0" customHeight="1">
      <x:c r="A1899" s="29" t="str">
        <x:v>King County, Washington</x:v>
      </x:c>
      <x:c r="B1899" s="29" t="str">
        <x:v>53033006300</x:v>
      </x:c>
      <x:c r="C1899" s="51" t="n">
        <x:v>5893</x:v>
      </x:c>
      <x:c r="D1899" s="51" t="n">
        <x:v>368</x:v>
      </x:c>
      <x:c r="E1899" s="51" t="n">
        <x:v>53</x:v>
      </x:c>
      <x:c r="F1899" s="38" t="n">
        <x:v>0.06244697098252164</x:v>
      </x:c>
      <x:c r="G1899" s="38" t="n">
        <x:v>0.008993721364330562</x:v>
      </x:c>
      <x:c r="H1899" s="57" t="n">
        <x:v>6027.099999999999</x:v>
      </x:c>
      <x:c r="I1899" s="57" t="n">
        <x:v>1.008</x:v>
      </x:c>
      <x:c r="J1899" s="57" t="n">
        <x:v>18.57969667236588</x:v>
      </x:c>
      <x:c r="K1899" s="57" t="n">
        <x:v>57.869545008548826</x:v>
      </x:c>
      <x:c r="L1899" s="57" t="n">
        <x:v>84.81363572649832</x:v>
      </x:c>
    </x:row>
    <x:row r="1900" ht="21.600000381469727" hidden="0" customHeight="1">
      <x:c r="A1900" s="27" t="str">
        <x:v>King County, Washington</x:v>
      </x:c>
      <x:c r="B1900" s="27" t="str">
        <x:v>53033006400</x:v>
      </x:c>
      <x:c r="C1900" s="50" t="n">
        <x:v>3631</x:v>
      </x:c>
      <x:c r="D1900" s="50" t="n">
        <x:v>215</x:v>
      </x:c>
      <x:c r="E1900" s="50" t="n">
        <x:v>141</x:v>
      </x:c>
      <x:c r="F1900" s="37" t="n">
        <x:v>0.05921233819884329</x:v>
      </x:c>
      <x:c r="G1900" s="37" t="n">
        <x:v>0.03883227760947398</x:v>
      </x:c>
      <x:c r="H1900" s="56" t="n">
        <x:v>3720.3499999999995</x:v>
      </x:c>
      <x:c r="I1900" s="56" t="n">
        <x:v>0.349</x:v>
      </x:c>
      <x:c r="J1900" s="56" t="n">
        <x:v>19.19282718610593</x:v>
      </x:c>
      <x:c r="K1900" s="56" t="n">
        <x:v>58.789240779158895</x:v>
      </x:c>
      <x:c r="L1900" s="56" t="n">
        <x:v>86.12748682736985</x:v>
      </x:c>
    </x:row>
    <x:row r="1901" ht="21.600000381469727" hidden="0" customHeight="1">
      <x:c r="A1901" s="29" t="str">
        <x:v>King County, Washington</x:v>
      </x:c>
      <x:c r="B1901" s="29" t="str">
        <x:v>53033006500</x:v>
      </x:c>
      <x:c r="C1901" s="51" t="n">
        <x:v>5052</x:v>
      </x:c>
      <x:c r="D1901" s="51" t="n">
        <x:v>373</x:v>
      </x:c>
      <x:c r="E1901" s="51" t="n">
        <x:v>868</x:v>
      </x:c>
      <x:c r="F1901" s="38" t="n">
        <x:v>0.07383214568487728</x:v>
      </x:c>
      <x:c r="G1901" s="38" t="n">
        <x:v>0.17181314330958036</x:v>
      </x:c>
      <x:c r="H1901" s="57" t="n">
        <x:v>5269.349999999999</x:v>
      </x:c>
      <x:c r="I1901" s="57" t="n">
        <x:v>0.443</x:v>
      </x:c>
      <x:c r="J1901" s="57" t="n">
        <x:v>18.811806497756855</x:v>
      </x:c>
      <x:c r="K1901" s="57" t="n">
        <x:v>58.217709746635286</x:v>
      </x:c>
      <x:c r="L1901" s="57" t="n">
        <x:v>85.31101392376469</x:v>
      </x:c>
    </x:row>
    <x:row r="1902" ht="21.600000381469727" hidden="0" customHeight="1">
      <x:c r="A1902" s="27" t="str">
        <x:v>King County, Washington</x:v>
      </x:c>
      <x:c r="B1902" s="27" t="str">
        <x:v>53033006600</x:v>
      </x:c>
      <x:c r="C1902" s="50" t="n">
        <x:v>4257</x:v>
      </x:c>
      <x:c r="D1902" s="50" t="n">
        <x:v>358</x:v>
      </x:c>
      <x:c r="E1902" s="50" t="n">
        <x:v>465</x:v>
      </x:c>
      <x:c r="F1902" s="37" t="n">
        <x:v>0.08409678177120038</x:v>
      </x:c>
      <x:c r="G1902" s="37" t="n">
        <x:v>0.10923185341789993</x:v>
      </x:c>
      <x:c r="H1902" s="56" t="n">
        <x:v>4428.8</x:v>
      </x:c>
      <x:c r="I1902" s="56" t="n">
        <x:v>0.431</x:v>
      </x:c>
      <x:c r="J1902" s="56" t="n">
        <x:v>19.31983944042575</x:v>
      </x:c>
      <x:c r="K1902" s="56" t="n">
        <x:v>58.97975916063862</x:v>
      </x:c>
      <x:c r="L1902" s="56" t="n">
        <x:v>86.39965594376946</x:v>
      </x:c>
    </x:row>
    <x:row r="1903" ht="21.600000381469727" hidden="0" customHeight="1">
      <x:c r="A1903" s="29" t="str">
        <x:v>King County, Washington</x:v>
      </x:c>
      <x:c r="B1903" s="29" t="str">
        <x:v>53033006701</x:v>
      </x:c>
      <x:c r="C1903" s="51" t="n">
        <x:v>3790</x:v>
      </x:c>
      <x:c r="D1903" s="51" t="n">
        <x:v>450</x:v>
      </x:c>
      <x:c r="E1903" s="51" t="n">
        <x:v>998</x:v>
      </x:c>
      <x:c r="F1903" s="38" t="n">
        <x:v>0.11873350923482849</x:v>
      </x:c>
      <x:c r="G1903" s="38" t="n">
        <x:v>0.2633245382585752</x:v>
      </x:c>
      <x:c r="H1903" s="57" t="n">
        <x:v>4047.3000000000006</x:v>
      </x:c>
      <x:c r="I1903" s="57" t="n">
        <x:v>0.147</x:v>
      </x:c>
      <x:c r="J1903" s="57" t="n">
        <x:v>18.785265826430404</x:v>
      </x:c>
      <x:c r="K1903" s="57" t="n">
        <x:v>58.177898739645606</x:v>
      </x:c>
      <x:c r="L1903" s="57" t="n">
        <x:v>85.25414105663657</x:v>
      </x:c>
    </x:row>
    <x:row r="1904" ht="21.600000381469727" hidden="0" customHeight="1">
      <x:c r="A1904" s="27" t="str">
        <x:v>King County, Washington</x:v>
      </x:c>
      <x:c r="B1904" s="27" t="str">
        <x:v>53033006702</x:v>
      </x:c>
      <x:c r="C1904" s="50" t="n">
        <x:v>2903</x:v>
      </x:c>
      <x:c r="D1904" s="50" t="n">
        <x:v>299</x:v>
      </x:c>
      <x:c r="E1904" s="50" t="n">
        <x:v>466</x:v>
      </x:c>
      <x:c r="F1904" s="37" t="n">
        <x:v>0.10299689975887014</x:v>
      </x:c>
      <x:c r="G1904" s="37" t="n">
        <x:v>0.16052359627971063</x:v>
      </x:c>
      <x:c r="H1904" s="56" t="n">
        <x:v>3054.25</x:v>
      </x:c>
      <x:c r="I1904" s="56" t="n">
        <x:v>0.118</x:v>
      </x:c>
      <x:c r="J1904" s="56" t="n">
        <x:v>19.622537287794305</x:v>
      </x:c>
      <x:c r="K1904" s="56" t="n">
        <x:v>59.43380593169145</x:v>
      </x:c>
      <x:c r="L1904" s="56" t="n">
        <x:v>87.04829418813065</x:v>
      </x:c>
    </x:row>
    <x:row r="1905" ht="21.600000381469727" hidden="0" customHeight="1">
      <x:c r="A1905" s="29" t="str">
        <x:v>King County, Washington</x:v>
      </x:c>
      <x:c r="B1905" s="29" t="str">
        <x:v>53033006703</x:v>
      </x:c>
      <x:c r="C1905" s="51" t="n">
        <x:v>3103</x:v>
      </x:c>
      <x:c r="D1905" s="51" t="n">
        <x:v>309</x:v>
      </x:c>
      <x:c r="E1905" s="51" t="n">
        <x:v>192</x:v>
      </x:c>
      <x:c r="F1905" s="38" t="n">
        <x:v>0.09958105059619723</x:v>
      </x:c>
      <x:c r="G1905" s="38" t="n">
        <x:v>0.061875604253947794</x:v>
      </x:c>
      <x:c r="H1905" s="57" t="n">
        <x:v>3230.35</x:v>
      </x:c>
      <x:c r="I1905" s="57" t="n">
        <x:v>0.231</x:v>
      </x:c>
      <x:c r="J1905" s="57" t="n">
        <x:v>18.58790410361987</x:v>
      </x:c>
      <x:c r="K1905" s="57" t="n">
        <x:v>57.88185615542981</x:v>
      </x:c>
      <x:c r="L1905" s="57" t="n">
        <x:v>84.83122307918543</x:v>
      </x:c>
    </x:row>
    <x:row r="1906" ht="21.600000381469727" hidden="0" customHeight="1">
      <x:c r="A1906" s="27" t="str">
        <x:v>King County, Washington</x:v>
      </x:c>
      <x:c r="B1906" s="27" t="str">
        <x:v>53033006800</x:v>
      </x:c>
      <x:c r="C1906" s="50" t="n">
        <x:v>3321</x:v>
      </x:c>
      <x:c r="D1906" s="50" t="n">
        <x:v>348</x:v>
      </x:c>
      <x:c r="E1906" s="50" t="n">
        <x:v>252</x:v>
      </x:c>
      <x:c r="F1906" s="37" t="n">
        <x:v>0.10478771454381211</x:v>
      </x:c>
      <x:c r="G1906" s="37" t="n">
        <x:v>0.07588075880758807</x:v>
      </x:c>
      <x:c r="H1906" s="56" t="n">
        <x:v>3467.9999999999995</x:v>
      </x:c>
      <x:c r="I1906" s="56" t="n">
        <x:v>0.277</x:v>
      </x:c>
      <x:c r="J1906" s="56" t="n">
        <x:v>18.554455239497273</x:v>
      </x:c>
      <x:c r="K1906" s="56" t="n">
        <x:v>57.83168285924591</x:v>
      </x:c>
      <x:c r="L1906" s="56" t="n">
        <x:v>84.75954694177987</x:v>
      </x:c>
    </x:row>
    <x:row r="1907" ht="21.600000381469727" hidden="0" customHeight="1">
      <x:c r="A1907" s="29" t="str">
        <x:v>King County, Washington</x:v>
      </x:c>
      <x:c r="B1907" s="29" t="str">
        <x:v>53033006900</x:v>
      </x:c>
      <x:c r="C1907" s="51" t="n">
        <x:v>4926</x:v>
      </x:c>
      <x:c r="D1907" s="51" t="n">
        <x:v>324</x:v>
      </x:c>
      <x:c r="E1907" s="51" t="n">
        <x:v>172</x:v>
      </x:c>
      <x:c r="F1907" s="38" t="n">
        <x:v>0.06577344701583435</x:v>
      </x:c>
      <x:c r="G1907" s="38" t="n">
        <x:v>0.034916768168899714</x:v>
      </x:c>
      <x:c r="H1907" s="57" t="n">
        <x:v>5056.6</x:v>
      </x:c>
      <x:c r="I1907" s="57" t="n">
        <x:v>0.349</x:v>
      </x:c>
      <x:c r="J1907" s="57" t="n">
        <x:v>19.067360455720177</x:v>
      </x:c>
      <x:c r="K1907" s="57" t="n">
        <x:v>58.601040683580266</x:v>
      </x:c>
      <x:c r="L1907" s="57" t="n">
        <x:v>85.85862954797182</x:v>
      </x:c>
    </x:row>
    <x:row r="1908" ht="21.600000381469727" hidden="0" customHeight="1">
      <x:c r="A1908" s="27" t="str">
        <x:v>King County, Washington</x:v>
      </x:c>
      <x:c r="B1908" s="27" t="str">
        <x:v>53033007001</x:v>
      </x:c>
      <x:c r="C1908" s="50" t="n">
        <x:v>4004</x:v>
      </x:c>
      <x:c r="D1908" s="50" t="n">
        <x:v>685</x:v>
      </x:c>
      <x:c r="E1908" s="50" t="n">
        <x:v>1123</x:v>
      </x:c>
      <x:c r="F1908" s="37" t="n">
        <x:v>0.1710789210789211</x:v>
      </x:c>
      <x:c r="G1908" s="37" t="n">
        <x:v>0.2804695304695305</x:v>
      </x:c>
      <x:c r="H1908" s="56" t="n">
        <x:v>4356.05</x:v>
      </x:c>
      <x:c r="I1908" s="56" t="n">
        <x:v>0.138</x:v>
      </x:c>
      <x:c r="J1908" s="56" t="n">
        <x:v>19.836751136496297</x:v>
      </x:c>
      <x:c r="K1908" s="56" t="n">
        <x:v>59.75512670474445</x:v>
      </x:c>
      <x:c r="L1908" s="56" t="n">
        <x:v>87.50732386392065</x:v>
      </x:c>
    </x:row>
    <x:row r="1909" ht="21.600000381469727" hidden="0" customHeight="1">
      <x:c r="A1909" s="29" t="str">
        <x:v>King County, Washington</x:v>
      </x:c>
      <x:c r="B1909" s="29" t="str">
        <x:v>53033007002</x:v>
      </x:c>
      <x:c r="C1909" s="51" t="n">
        <x:v>4136</x:v>
      </x:c>
      <x:c r="D1909" s="51" t="n">
        <x:v>395</x:v>
      </x:c>
      <x:c r="E1909" s="51" t="n">
        <x:v>586</x:v>
      </x:c>
      <x:c r="F1909" s="38" t="n">
        <x:v>0.09550290135396518</x:v>
      </x:c>
      <x:c r="G1909" s="38" t="n">
        <x:v>0.14168278529980657</x:v>
      </x:c>
      <x:c r="H1909" s="57" t="n">
        <x:v>4332.85</x:v>
      </x:c>
      <x:c r="I1909" s="57" t="n">
        <x:v>0.17</x:v>
      </x:c>
      <x:c r="J1909" s="57" t="n">
        <x:v>19.601444389023793</x:v>
      </x:c>
      <x:c r="K1909" s="57" t="n">
        <x:v>59.40216658353569</x:v>
      </x:c>
      <x:c r="L1909" s="57" t="n">
        <x:v>87.0030951193367</x:v>
      </x:c>
    </x:row>
    <x:row r="1910" ht="21.600000381469727" hidden="0" customHeight="1">
      <x:c r="A1910" s="27" t="str">
        <x:v>King County, Washington</x:v>
      </x:c>
      <x:c r="B1910" s="27" t="str">
        <x:v>53033007101</x:v>
      </x:c>
      <x:c r="C1910" s="50" t="n">
        <x:v>3101</x:v>
      </x:c>
      <x:c r="D1910" s="50" t="n">
        <x:v>446</x:v>
      </x:c>
      <x:c r="E1910" s="50" t="n">
        <x:v>863</x:v>
      </x:c>
      <x:c r="F1910" s="37" t="n">
        <x:v>0.1438245727184779</x:v>
      </x:c>
      <x:c r="G1910" s="37" t="n">
        <x:v>0.2782973234440503</x:v>
      </x:c>
      <x:c r="H1910" s="56" t="n">
        <x:v>3343.3999999999996</x:v>
      </x:c>
      <x:c r="I1910" s="56" t="n">
        <x:v>0.191</x:v>
      </x:c>
      <x:c r="J1910" s="56" t="n">
        <x:v>20.583861821273295</x:v>
      </x:c>
      <x:c r="K1910" s="56" t="n">
        <x:v>60.87579273190995</x:v>
      </x:c>
      <x:c r="L1910" s="56" t="n">
        <x:v>89.10827533129992</x:v>
      </x:c>
    </x:row>
    <x:row r="1911" ht="21.600000381469727" hidden="0" customHeight="1">
      <x:c r="A1911" s="29" t="str">
        <x:v>King County, Washington</x:v>
      </x:c>
      <x:c r="B1911" s="29" t="str">
        <x:v>53033007102</x:v>
      </x:c>
      <x:c r="C1911" s="51" t="n">
        <x:v>2696</x:v>
      </x:c>
      <x:c r="D1911" s="51" t="n">
        <x:v>268</x:v>
      </x:c>
      <x:c r="E1911" s="51" t="n">
        <x:v>678</x:v>
      </x:c>
      <x:c r="F1911" s="38" t="n">
        <x:v>0.09940652818991098</x:v>
      </x:c>
      <x:c r="G1911" s="38" t="n">
        <x:v>0.25148367952522255</x:v>
      </x:c>
      <x:c r="H1911" s="57" t="n">
        <x:v>2857.5999999999995</x:v>
      </x:c>
      <x:c r="I1911" s="57" t="n">
        <x:v>0.13</x:v>
      </x:c>
      <x:c r="J1911" s="57" t="n">
        <x:v>20.576533284145185</x:v>
      </x:c>
      <x:c r="K1911" s="57" t="n">
        <x:v>60.86479992621778</x:v>
      </x:c>
      <x:c r="L1911" s="57" t="n">
        <x:v>89.09257132316826</x:v>
      </x:c>
    </x:row>
    <x:row r="1912" ht="21.600000381469727" hidden="0" customHeight="1">
      <x:c r="A1912" s="27" t="str">
        <x:v>King County, Washington</x:v>
      </x:c>
      <x:c r="B1912" s="27" t="str">
        <x:v>53033007201</x:v>
      </x:c>
      <x:c r="C1912" s="50" t="n">
        <x:v>5055</x:v>
      </x:c>
      <x:c r="D1912" s="50" t="n">
        <x:v>454</x:v>
      </x:c>
      <x:c r="E1912" s="50" t="n">
        <x:v>1917</x:v>
      </x:c>
      <x:c r="F1912" s="37" t="n">
        <x:v>0.08981206726013848</x:v>
      </x:c>
      <x:c r="G1912" s="37" t="n">
        <x:v>0.3792284866468843</x:v>
      </x:c>
      <x:c r="H1912" s="56" t="n">
        <x:v>5405.600000000001</x:v>
      </x:c>
      <x:c r="I1912" s="56" t="n">
        <x:v>0.058</x:v>
      </x:c>
      <x:c r="J1912" s="56" t="n">
        <x:v>21.136217618857557</x:v>
      </x:c>
      <x:c r="K1912" s="56" t="n">
        <x:v>61.704326428286336</x:v>
      </x:c>
      <x:c r="L1912" s="56" t="n">
        <x:v>90.29189489755191</x:v>
      </x:c>
    </x:row>
    <x:row r="1913" ht="21.600000381469727" hidden="0" customHeight="1">
      <x:c r="A1913" s="29" t="str">
        <x:v>King County, Washington</x:v>
      </x:c>
      <x:c r="B1913" s="29" t="str">
        <x:v>53033007202</x:v>
      </x:c>
      <x:c r="C1913" s="51" t="n">
        <x:v>3899</x:v>
      </x:c>
      <x:c r="D1913" s="51" t="n">
        <x:v>300</x:v>
      </x:c>
      <x:c r="E1913" s="51" t="n">
        <x:v>1844</x:v>
      </x:c>
      <x:c r="F1913" s="38" t="n">
        <x:v>0.07694280584765324</x:v>
      </x:c>
      <x:c r="G1913" s="38" t="n">
        <x:v>0.4729417799435753</x:v>
      </x:c>
      <x:c r="H1913" s="57" t="n">
        <x:v>4188.4</x:v>
      </x:c>
      <x:c r="I1913" s="57" t="n">
        <x:v>0.108</x:v>
      </x:c>
      <x:c r="J1913" s="57" t="n">
        <x:v>21.322172470319114</x:v>
      </x:c>
      <x:c r="K1913" s="57" t="n">
        <x:v>61.98325870547867</x:v>
      </x:c>
      <x:c r="L1913" s="57" t="n">
        <x:v>90.69036957925525</x:v>
      </x:c>
    </x:row>
    <x:row r="1914" ht="21.600000381469727" hidden="0" customHeight="1">
      <x:c r="A1914" s="27" t="str">
        <x:v>King County, Washington</x:v>
      </x:c>
      <x:c r="B1914" s="27" t="str">
        <x:v>53033007203</x:v>
      </x:c>
      <x:c r="C1914" s="50" t="n">
        <x:v>3591</x:v>
      </x:c>
      <x:c r="D1914" s="50" t="n">
        <x:v>321</x:v>
      </x:c>
      <x:c r="E1914" s="50" t="n">
        <x:v>1193</x:v>
      </x:c>
      <x:c r="F1914" s="37" t="n">
        <x:v>0.08939014202172096</x:v>
      </x:c>
      <x:c r="G1914" s="37" t="n">
        <x:v>0.33221943748259536</x:v>
      </x:c>
      <x:c r="H1914" s="56" t="n">
        <x:v>3822.6499999999996</x:v>
      </x:c>
      <x:c r="I1914" s="56" t="n">
        <x:v>0.224</x:v>
      </x:c>
      <x:c r="J1914" s="56" t="n">
        <x:v>20.37195577425174</x:v>
      </x:c>
      <x:c r="K1914" s="56" t="n">
        <x:v>60.55793366137762</x:v>
      </x:c>
      <x:c r="L1914" s="56" t="n">
        <x:v>88.65419094482516</x:v>
      </x:c>
    </x:row>
    <x:row r="1915" ht="21.600000381469727" hidden="0" customHeight="1">
      <x:c r="A1915" s="29" t="str">
        <x:v>King County, Washington</x:v>
      </x:c>
      <x:c r="B1915" s="29" t="str">
        <x:v>53033007301</x:v>
      </x:c>
      <x:c r="C1915" s="51" t="n">
        <x:v>3682</x:v>
      </x:c>
      <x:c r="D1915" s="51" t="n">
        <x:v>223</x:v>
      </x:c>
      <x:c r="E1915" s="51" t="n">
        <x:v>1900</x:v>
      </x:c>
      <x:c r="F1915" s="38" t="n">
        <x:v>0.060564910374796305</x:v>
      </x:c>
      <x:c r="G1915" s="38" t="n">
        <x:v>0.5160239000543183</x:v>
      </x:c>
      <x:c r="H1915" s="57" t="n">
        <x:v>3950.05</x:v>
      </x:c>
      <x:c r="I1915" s="57" t="n">
        <x:v>0.097</x:v>
      </x:c>
      <x:c r="J1915" s="57" t="n">
        <x:v>20.2377056419056</x:v>
      </x:c>
      <x:c r="K1915" s="57" t="n">
        <x:v>60.356558462858395</x:v>
      </x:c>
      <x:c r="L1915" s="57" t="n">
        <x:v>88.36651208979771</x:v>
      </x:c>
    </x:row>
    <x:row r="1916" ht="21.600000381469727" hidden="0" customHeight="1">
      <x:c r="A1916" s="27" t="str">
        <x:v>King County, Washington</x:v>
      </x:c>
      <x:c r="B1916" s="27" t="str">
        <x:v>53033007302</x:v>
      </x:c>
      <x:c r="C1916" s="50" t="n">
        <x:v>5207</x:v>
      </x:c>
      <x:c r="D1916" s="50" t="n">
        <x:v>422</x:v>
      </x:c>
      <x:c r="E1916" s="50" t="n">
        <x:v>2183</x:v>
      </x:c>
      <x:c r="F1916" s="37" t="n">
        <x:v>0.08104474745534856</x:v>
      </x:c>
      <x:c r="G1916" s="37" t="n">
        <x:v>0.4192433262915306</x:v>
      </x:c>
      <x:c r="H1916" s="56" t="n">
        <x:v>5572.999999999999</x:v>
      </x:c>
      <x:c r="I1916" s="56" t="n">
        <x:v>0.121</x:v>
      </x:c>
      <x:c r="J1916" s="56" t="n">
        <x:v>21.09698246433837</x:v>
      </x:c>
      <x:c r="K1916" s="56" t="n">
        <x:v>61.64547369650755</x:v>
      </x:c>
      <x:c r="L1916" s="56" t="n">
        <x:v>90.20781956643935</x:v>
      </x:c>
    </x:row>
    <x:row r="1917" ht="21.600000381469727" hidden="0" customHeight="1">
      <x:c r="A1917" s="29" t="str">
        <x:v>King County, Washington</x:v>
      </x:c>
      <x:c r="B1917" s="29" t="str">
        <x:v>53033007303</x:v>
      </x:c>
      <x:c r="C1917" s="51" t="n">
        <x:v>3778</x:v>
      </x:c>
      <x:c r="D1917" s="51" t="n">
        <x:v>312</x:v>
      </x:c>
      <x:c r="E1917" s="51" t="n">
        <x:v>1589</x:v>
      </x:c>
      <x:c r="F1917" s="38" t="n">
        <x:v>0.08258337744838538</x:v>
      </x:c>
      <x:c r="G1917" s="38" t="n">
        <x:v>0.4205929062996294</x:v>
      </x:c>
      <x:c r="H1917" s="57" t="n">
        <x:v>4046.1000000000004</x:v>
      </x:c>
      <x:c r="I1917" s="57" t="n">
        <x:v>0.121</x:v>
      </x:c>
      <x:c r="J1917" s="57" t="n">
        <x:v>20.278761483019192</x:v>
      </x:c>
      <x:c r="K1917" s="57" t="n">
        <x:v>60.418142224528786</x:v>
      </x:c>
      <x:c r="L1917" s="57" t="n">
        <x:v>88.45448889218397</x:v>
      </x:c>
    </x:row>
    <x:row r="1918" ht="21.600000381469727" hidden="0" customHeight="1">
      <x:c r="A1918" s="27" t="str">
        <x:v>King County, Washington</x:v>
      </x:c>
      <x:c r="B1918" s="27" t="str">
        <x:v>53033007403</x:v>
      </x:c>
      <x:c r="C1918" s="50" t="n">
        <x:v>2946</x:v>
      </x:c>
      <x:c r="D1918" s="50" t="n">
        <x:v>275</x:v>
      </x:c>
      <x:c r="E1918" s="50" t="n">
        <x:v>906</x:v>
      </x:c>
      <x:c r="F1918" s="37" t="n">
        <x:v>0.09334691106585201</x:v>
      </x:c>
      <x:c r="G1918" s="37" t="n">
        <x:v>0.3075356415478615</x:v>
      </x:c>
      <x:c r="H1918" s="56" t="n">
        <x:v>3132.85</x:v>
      </x:c>
      <x:c r="I1918" s="56" t="n">
        <x:v>0.046</x:v>
      </x:c>
      <x:c r="J1918" s="56" t="n">
        <x:v>20.03895101734085</x:v>
      </x:c>
      <x:c r="K1918" s="56" t="n">
        <x:v>60.058426526011274</x:v>
      </x:c>
      <x:c r="L1918" s="56" t="n">
        <x:v>87.94060932287324</x:v>
      </x:c>
    </x:row>
    <x:row r="1919" ht="21.600000381469727" hidden="0" customHeight="1">
      <x:c r="A1919" s="29" t="str">
        <x:v>King County, Washington</x:v>
      </x:c>
      <x:c r="B1919" s="29" t="str">
        <x:v>53033007404</x:v>
      </x:c>
      <x:c r="C1919" s="51" t="n">
        <x:v>2645</x:v>
      </x:c>
      <x:c r="D1919" s="51" t="n">
        <x:v>413</x:v>
      </x:c>
      <x:c r="E1919" s="51" t="n">
        <x:v>638</x:v>
      </x:c>
      <x:c r="F1919" s="38" t="n">
        <x:v>0.1561436672967864</x:v>
      </x:c>
      <x:c r="G1919" s="38" t="n">
        <x:v>0.24120982986767486</x:v>
      </x:c>
      <x:c r="H1919" s="57" t="n">
        <x:v>2853.3499999999995</x:v>
      </x:c>
      <x:c r="I1919" s="57" t="n">
        <x:v>0.059</x:v>
      </x:c>
      <x:c r="J1919" s="57" t="n">
        <x:v>20.0294702639297</x:v>
      </x:c>
      <x:c r="K1919" s="57" t="n">
        <x:v>60.04420539589455</x:v>
      </x:c>
      <x:c r="L1919" s="57" t="n">
        <x:v>87.9202934227065</x:v>
      </x:c>
    </x:row>
    <x:row r="1920" ht="21.600000381469727" hidden="0" customHeight="1">
      <x:c r="A1920" s="27" t="str">
        <x:v>King County, Washington</x:v>
      </x:c>
      <x:c r="B1920" s="27" t="str">
        <x:v>53033007405</x:v>
      </x:c>
      <x:c r="C1920" s="50" t="n">
        <x:v>2429</x:v>
      </x:c>
      <x:c r="D1920" s="50" t="n">
        <x:v>629</x:v>
      </x:c>
      <x:c r="E1920" s="50" t="n">
        <x:v>872</x:v>
      </x:c>
      <x:c r="F1920" s="37" t="n">
        <x:v>0.2589543021819679</x:v>
      </x:c>
      <x:c r="G1920" s="37" t="n">
        <x:v>0.35899547138740223</x:v>
      </x:c>
      <x:c r="H1920" s="56" t="n">
        <x:v>2736.35</x:v>
      </x:c>
      <x:c r="I1920" s="56" t="n">
        <x:v>0.051</x:v>
      </x:c>
      <x:c r="J1920" s="56" t="n">
        <x:v>20.772712444303895</x:v>
      </x:c>
      <x:c r="K1920" s="56" t="n">
        <x:v>61.15906866645584</x:v>
      </x:c>
      <x:c r="L1920" s="56" t="n">
        <x:v>89.51295523779406</x:v>
      </x:c>
    </x:row>
    <x:row r="1921" ht="21.600000381469727" hidden="0" customHeight="1">
      <x:c r="A1921" s="29" t="str">
        <x:v>King County, Washington</x:v>
      </x:c>
      <x:c r="B1921" s="29" t="str">
        <x:v>53033007406</x:v>
      </x:c>
      <x:c r="C1921" s="51" t="n">
        <x:v>2749</x:v>
      </x:c>
      <x:c r="D1921" s="51" t="n">
        <x:v>386</x:v>
      </x:c>
      <x:c r="E1921" s="51" t="n">
        <x:v>1185</x:v>
      </x:c>
      <x:c r="F1921" s="38" t="n">
        <x:v>0.14041469625318298</x:v>
      </x:c>
      <x:c r="G1921" s="38" t="n">
        <x:v>0.43106584212440885</x:v>
      </x:c>
      <x:c r="H1921" s="57" t="n">
        <x:v>3002.6000000000004</x:v>
      </x:c>
      <x:c r="I1921" s="57" t="n">
        <x:v>0.058</x:v>
      </x:c>
      <x:c r="J1921" s="57" t="n">
        <x:v>20.592277489600534</x:v>
      </x:c>
      <x:c r="K1921" s="57" t="n">
        <x:v>60.8884162344008</x:v>
      </x:c>
      <x:c r="L1921" s="57" t="n">
        <x:v>89.12630890628685</x:v>
      </x:c>
    </x:row>
    <x:row r="1922" ht="21.600000381469727" hidden="0" customHeight="1">
      <x:c r="A1922" s="27" t="str">
        <x:v>King County, Washington</x:v>
      </x:c>
      <x:c r="B1922" s="27" t="str">
        <x:v>53033007501</x:v>
      </x:c>
      <x:c r="C1922" s="50" t="n">
        <x:v>4413</x:v>
      </x:c>
      <x:c r="D1922" s="50" t="n">
        <x:v>793</x:v>
      </x:c>
      <x:c r="E1922" s="50" t="n">
        <x:v>1272</x:v>
      </x:c>
      <x:c r="F1922" s="37" t="n">
        <x:v>0.17969635168819398</x:v>
      </x:c>
      <x:c r="G1922" s="37" t="n">
        <x:v>0.2882392929979606</x:v>
      </x:c>
      <x:c r="H1922" s="56" t="n">
        <x:v>4817.75</x:v>
      </x:c>
      <x:c r="I1922" s="56" t="n">
        <x:v>0.115</x:v>
      </x:c>
      <x:c r="J1922" s="56" t="n">
        <x:v>20.139491774655568</x:v>
      </x:c>
      <x:c r="K1922" s="56" t="n">
        <x:v>60.20923766198335</x:v>
      </x:c>
      <x:c r="L1922" s="56" t="n">
        <x:v>88.15605380283336</x:v>
      </x:c>
    </x:row>
    <x:row r="1923" ht="21.600000381469727" hidden="0" customHeight="1">
      <x:c r="A1923" s="29" t="str">
        <x:v>King County, Washington</x:v>
      </x:c>
      <x:c r="B1923" s="29" t="str">
        <x:v>53033007502</x:v>
      </x:c>
      <x:c r="C1923" s="51" t="n">
        <x:v>3688</x:v>
      </x:c>
      <x:c r="D1923" s="51" t="n">
        <x:v>456</x:v>
      </x:c>
      <x:c r="E1923" s="51" t="n">
        <x:v>1152</x:v>
      </x:c>
      <x:c r="F1923" s="38" t="n">
        <x:v>0.12364425162689804</x:v>
      </x:c>
      <x:c r="G1923" s="38" t="n">
        <x:v>0.3123644251626898</x:v>
      </x:c>
      <x:c r="H1923" s="57" t="n">
        <x:v>3962.8</x:v>
      </x:c>
      <x:c r="I1923" s="57" t="n">
        <x:v>0.122</x:v>
      </x:c>
      <x:c r="J1923" s="57" t="n">
        <x:v>20.815076024499184</x:v>
      </x:c>
      <x:c r="K1923" s="57" t="n">
        <x:v>61.22261403674877</x:v>
      </x:c>
      <x:c r="L1923" s="57" t="n">
        <x:v>89.60373433821253</x:v>
      </x:c>
    </x:row>
    <x:row r="1924" ht="21.600000381469727" hidden="0" customHeight="1">
      <x:c r="A1924" s="27" t="str">
        <x:v>King County, Washington</x:v>
      </x:c>
      <x:c r="B1924" s="27" t="str">
        <x:v>53033007503</x:v>
      </x:c>
      <x:c r="C1924" s="50" t="n">
        <x:v>2236</x:v>
      </x:c>
      <x:c r="D1924" s="50" t="n">
        <x:v>162</x:v>
      </x:c>
      <x:c r="E1924" s="50" t="n">
        <x:v>796</x:v>
      </x:c>
      <x:c r="F1924" s="37" t="n">
        <x:v>0.07245080500894455</x:v>
      </x:c>
      <x:c r="G1924" s="37" t="n">
        <x:v>0.3559928443649374</x:v>
      </x:c>
      <x:c r="H1924" s="56" t="n">
        <x:v>2372.2999999999997</x:v>
      </x:c>
      <x:c r="I1924" s="56" t="n">
        <x:v>0.072</x:v>
      </x:c>
      <x:c r="J1924" s="56" t="n">
        <x:v>21.386152741586315</x:v>
      </x:c>
      <x:c r="K1924" s="56" t="n">
        <x:v>62.07922911237947</x:v>
      </x:c>
      <x:c r="L1924" s="56" t="n">
        <x:v>90.8274701605421</x:v>
      </x:c>
    </x:row>
    <x:row r="1925" ht="21.600000381469727" hidden="0" customHeight="1">
      <x:c r="A1925" s="29" t="str">
        <x:v>King County, Washington</x:v>
      </x:c>
      <x:c r="B1925" s="29" t="str">
        <x:v>53033007600</x:v>
      </x:c>
      <x:c r="C1925" s="51" t="n">
        <x:v>4594</x:v>
      </x:c>
      <x:c r="D1925" s="51" t="n">
        <x:v>475</x:v>
      </x:c>
      <x:c r="E1925" s="51" t="n">
        <x:v>788</x:v>
      </x:c>
      <x:c r="F1925" s="38" t="n">
        <x:v>0.10339573356552025</x:v>
      </x:c>
      <x:c r="G1925" s="38" t="n">
        <x:v>0.17152808010448412</x:v>
      </x:c>
      <x:c r="H1925" s="57" t="n">
        <x:v>4839.05</x:v>
      </x:c>
      <x:c r="I1925" s="57" t="n">
        <x:v>0.221</x:v>
      </x:c>
      <x:c r="J1925" s="57" t="n">
        <x:v>20.182712398807844</x:v>
      </x:c>
      <x:c r="K1925" s="57" t="n">
        <x:v>60.27406859821177</x:v>
      </x:c>
      <x:c r="L1925" s="57" t="n">
        <x:v>88.24866942601682</x:v>
      </x:c>
    </x:row>
    <x:row r="1926" ht="21.600000381469727" hidden="0" customHeight="1">
      <x:c r="A1926" s="27" t="str">
        <x:v>King County, Washington</x:v>
      </x:c>
      <x:c r="B1926" s="27" t="str">
        <x:v>53033007700</x:v>
      </x:c>
      <x:c r="C1926" s="50" t="n">
        <x:v>5674</x:v>
      </x:c>
      <x:c r="D1926" s="50" t="n">
        <x:v>332</x:v>
      </x:c>
      <x:c r="E1926" s="50" t="n">
        <x:v>300</x:v>
      </x:c>
      <x:c r="F1926" s="37" t="n">
        <x:v>0.05851251321818823</x:v>
      </x:c>
      <x:c r="G1926" s="37" t="n">
        <x:v>0.05287275290800141</x:v>
      </x:c>
      <x:c r="H1926" s="56" t="n">
        <x:v>5820.2</x:v>
      </x:c>
      <x:c r="I1926" s="56" t="n">
        <x:v>0.409</x:v>
      </x:c>
      <x:c r="J1926" s="56" t="n">
        <x:v>20.652401342598544</x:v>
      </x:c>
      <x:c r="K1926" s="56" t="n">
        <x:v>60.97860201389782</x:v>
      </x:c>
      <x:c r="L1926" s="56" t="n">
        <x:v>89.25514573413975</x:v>
      </x:c>
    </x:row>
    <x:row r="1927" ht="21.600000381469727" hidden="0" customHeight="1">
      <x:c r="A1927" s="29" t="str">
        <x:v>King County, Washington</x:v>
      </x:c>
      <x:c r="B1927" s="29" t="str">
        <x:v>53033007800</x:v>
      </x:c>
      <x:c r="C1927" s="51" t="n">
        <x:v>5506</x:v>
      </x:c>
      <x:c r="D1927" s="51" t="n">
        <x:v>446</x:v>
      </x:c>
      <x:c r="E1927" s="51" t="n">
        <x:v>53</x:v>
      </x:c>
      <x:c r="F1927" s="38" t="n">
        <x:v>0.08100254268071196</x:v>
      </x:c>
      <x:c r="G1927" s="38" t="n">
        <x:v>0.009625862695241554</x:v>
      </x:c>
      <x:c r="H1927" s="57" t="n">
        <x:v>5667.400000000001</x:v>
      </x:c>
      <x:c r="I1927" s="57" t="n">
        <x:v>0.81</x:v>
      </x:c>
      <x:c r="J1927" s="57" t="n">
        <x:v>21.58520554221575</x:v>
      </x:c>
      <x:c r="K1927" s="57" t="n">
        <x:v>62.37780831332363</x:v>
      </x:c>
      <x:c r="L1927" s="57" t="n">
        <x:v>91.2540118761766</x:v>
      </x:c>
    </x:row>
    <x:row r="1928" ht="21.600000381469727" hidden="0" customHeight="1">
      <x:c r="A1928" s="27" t="str">
        <x:v>King County, Washington</x:v>
      </x:c>
      <x:c r="B1928" s="27" t="str">
        <x:v>53033007901</x:v>
      </x:c>
      <x:c r="C1928" s="50" t="n">
        <x:v>2972</x:v>
      </x:c>
      <x:c r="D1928" s="50" t="n">
        <x:v>608</x:v>
      </x:c>
      <x:c r="E1928" s="50" t="n">
        <x:v>817</x:v>
      </x:c>
      <x:c r="F1928" s="37" t="n">
        <x:v>0.20457604306864063</x:v>
      </x:c>
      <x:c r="G1928" s="37" t="n">
        <x:v>0.27489905787348584</x:v>
      </x:c>
      <x:c r="H1928" s="56" t="n">
        <x:v>3266.5</x:v>
      </x:c>
      <x:c r="I1928" s="56" t="n">
        <x:v>0.103</x:v>
      </x:c>
      <x:c r="J1928" s="56" t="n">
        <x:v>21.29084555656712</x:v>
      </x:c>
      <x:c r="K1928" s="56" t="n">
        <x:v>61.93626833485068</x:v>
      </x:c>
      <x:c r="L1928" s="56" t="n">
        <x:v>90.62324047835813</x:v>
      </x:c>
    </x:row>
    <x:row r="1929" ht="21.600000381469727" hidden="0" customHeight="1">
      <x:c r="A1929" s="29" t="str">
        <x:v>King County, Washington</x:v>
      </x:c>
      <x:c r="B1929" s="29" t="str">
        <x:v>53033007902</x:v>
      </x:c>
      <x:c r="C1929" s="51" t="n">
        <x:v>3648</x:v>
      </x:c>
      <x:c r="D1929" s="51" t="n">
        <x:v>301</x:v>
      </x:c>
      <x:c r="E1929" s="51" t="n">
        <x:v>558.5</x:v>
      </x:c>
      <x:c r="F1929" s="38" t="n">
        <x:v>0.0825109649122807</x:v>
      </x:c>
      <x:c r="G1929" s="38" t="n">
        <x:v>0.15309758771929824</x:v>
      </x:c>
      <x:c r="H1929" s="57" t="n">
        <x:v>3809.2</x:v>
      </x:c>
      <x:c r="I1929" s="57" t="n">
        <x:v>0.167</x:v>
      </x:c>
      <x:c r="J1929" s="57" t="n">
        <x:v>21.31612039973156</x:v>
      </x:c>
      <x:c r="K1929" s="57" t="n">
        <x:v>61.97418059959734</x:v>
      </x:c>
      <x:c r="L1929" s="57" t="n">
        <x:v>90.67740085656763</x:v>
      </x:c>
    </x:row>
    <x:row r="1930" ht="21.600000381469727" hidden="0" customHeight="1">
      <x:c r="A1930" s="27" t="str">
        <x:v>King County, Washington</x:v>
      </x:c>
      <x:c r="B1930" s="27" t="str">
        <x:v>53033008002</x:v>
      </x:c>
      <x:c r="C1930" s="50" t="n">
        <x:v>4415</x:v>
      </x:c>
      <x:c r="D1930" s="50" t="n">
        <x:v>654</x:v>
      </x:c>
      <x:c r="E1930" s="50" t="n">
        <x:v>1706</x:v>
      </x:c>
      <x:c r="F1930" s="37" t="n">
        <x:v>0.14813137032842583</x:v>
      </x:c>
      <x:c r="G1930" s="37" t="n">
        <x:v>0.38640996602491506</x:v>
      </x:c>
      <x:c r="H1930" s="56" t="n">
        <x:v>4814.5</x:v>
      </x:c>
      <x:c r="I1930" s="56" t="n">
        <x:v>0.09</x:v>
      </x:c>
      <x:c r="J1930" s="56" t="n">
        <x:v>21.874439976567558</x:v>
      </x:c>
      <x:c r="K1930" s="56" t="n">
        <x:v>62.81165996485134</x:v>
      </x:c>
      <x:c r="L1930" s="56" t="n">
        <x:v>91.87379994978762</x:v>
      </x:c>
    </x:row>
    <x:row r="1931" ht="21.600000381469727" hidden="0" customHeight="1">
      <x:c r="A1931" s="29" t="str">
        <x:v>King County, Washington</x:v>
      </x:c>
      <x:c r="B1931" s="29" t="str">
        <x:v>53033008003</x:v>
      </x:c>
      <x:c r="C1931" s="51" t="n">
        <x:v>3912</x:v>
      </x:c>
      <x:c r="D1931" s="51" t="n">
        <x:v>375</x:v>
      </x:c>
      <x:c r="E1931" s="51" t="n">
        <x:v>1349</x:v>
      </x:c>
      <x:c r="F1931" s="38" t="n">
        <x:v>0.09585889570552147</x:v>
      </x:c>
      <x:c r="G1931" s="38" t="n">
        <x:v>0.34483640081799594</x:v>
      </x:c>
      <x:c r="H1931" s="57" t="n">
        <x:v>4178.150000000001</x:v>
      </x:c>
      <x:c r="I1931" s="57" t="n">
        <x:v>0.076</x:v>
      </x:c>
      <x:c r="J1931" s="57" t="n">
        <x:v>21.34261494845367</x:v>
      </x:c>
      <x:c r="K1931" s="57" t="n">
        <x:v>62.0139224226805</x:v>
      </x:c>
      <x:c r="L1931" s="57" t="n">
        <x:v>90.73417488954357</x:v>
      </x:c>
    </x:row>
    <x:row r="1932" ht="21.600000381469727" hidden="0" customHeight="1">
      <x:c r="A1932" s="27" t="str">
        <x:v>King County, Washington</x:v>
      </x:c>
      <x:c r="B1932" s="27" t="str">
        <x:v>53033008004</x:v>
      </x:c>
      <x:c r="C1932" s="50" t="n">
        <x:v>3173</x:v>
      </x:c>
      <x:c r="D1932" s="50" t="n">
        <x:v>198</x:v>
      </x:c>
      <x:c r="E1932" s="50" t="n">
        <x:v>826</x:v>
      </x:c>
      <x:c r="F1932" s="37" t="n">
        <x:v>0.062401512763945795</x:v>
      </x:c>
      <x:c r="G1932" s="37" t="n">
        <x:v>0.2603214623384809</x:v>
      </x:c>
      <x:c r="H1932" s="56" t="n">
        <x:v>3324.9000000000005</x:v>
      </x:c>
      <x:c r="I1932" s="56" t="n">
        <x:v>0.11</x:v>
      </x:c>
      <x:c r="J1932" s="56" t="n">
        <x:v>21.602022505916683</x:v>
      </x:c>
      <x:c r="K1932" s="56" t="n">
        <x:v>62.403033758875026</x:v>
      </x:c>
      <x:c r="L1932" s="56" t="n">
        <x:v>91.29004822696432</x:v>
      </x:c>
    </x:row>
    <x:row r="1933" ht="21.600000381469727" hidden="0" customHeight="1">
      <x:c r="A1933" s="29" t="str">
        <x:v>King County, Washington</x:v>
      </x:c>
      <x:c r="B1933" s="29" t="str">
        <x:v>53033008101</x:v>
      </x:c>
      <x:c r="C1933" s="51" t="n">
        <x:v>2854</x:v>
      </x:c>
      <x:c r="D1933" s="51" t="n">
        <x:v>364</x:v>
      </x:c>
      <x:c r="E1933" s="51" t="n">
        <x:v>1070</x:v>
      </x:c>
      <x:c r="F1933" s="38" t="n">
        <x:v>0.12754029432375613</x:v>
      </x:c>
      <x:c r="G1933" s="38" t="n">
        <x:v>0.3749124036440084</x:v>
      </x:c>
      <x:c r="H1933" s="57" t="n">
        <x:v>3088.3999999999996</x:v>
      </x:c>
      <x:c r="I1933" s="57" t="n">
        <x:v>0.104</x:v>
      </x:c>
      <x:c r="J1933" s="57" t="n">
        <x:v>22.525334746268268</x:v>
      </x:c>
      <x:c r="K1933" s="57" t="n">
        <x:v>63.78800211940241</x:v>
      </x:c>
      <x:c r="L1933" s="57" t="n">
        <x:v>93.26857445628914</x:v>
      </x:c>
    </x:row>
    <x:row r="1934" ht="21.600000381469727" hidden="0" customHeight="1">
      <x:c r="A1934" s="27" t="str">
        <x:v>King County, Washington</x:v>
      </x:c>
      <x:c r="B1934" s="27" t="str">
        <x:v>53033008102</x:v>
      </x:c>
      <x:c r="C1934" s="50" t="n">
        <x:v>3553</x:v>
      </x:c>
      <x:c r="D1934" s="50" t="n">
        <x:v>721</x:v>
      </x:c>
      <x:c r="E1934" s="50" t="n">
        <x:v>1444.5</x:v>
      </x:c>
      <x:c r="F1934" s="37" t="n">
        <x:v>0.20292710385589643</x:v>
      </x:c>
      <x:c r="G1934" s="37" t="n">
        <x:v>0.4065578384463833</x:v>
      </x:c>
      <x:c r="H1934" s="56" t="n">
        <x:v>3949.8</x:v>
      </x:c>
      <x:c r="I1934" s="56" t="n">
        <x:v>0.215</x:v>
      </x:c>
      <x:c r="J1934" s="56" t="n">
        <x:v>22.77352854818925</x:v>
      </x:c>
      <x:c r="K1934" s="56" t="n">
        <x:v>64.16029282228388</x:v>
      </x:c>
      <x:c r="L1934" s="56" t="n">
        <x:v>93.8004183175484</x:v>
      </x:c>
    </x:row>
    <x:row r="1935" ht="21.600000381469727" hidden="0" customHeight="1">
      <x:c r="A1935" s="29" t="str">
        <x:v>King County, Washington</x:v>
      </x:c>
      <x:c r="B1935" s="29" t="str">
        <x:v>53033008200</x:v>
      </x:c>
      <x:c r="C1935" s="51" t="n">
        <x:v>4788</x:v>
      </x:c>
      <x:c r="D1935" s="51" t="n">
        <x:v>797</x:v>
      </x:c>
      <x:c r="E1935" s="51" t="n">
        <x:v>1907</x:v>
      </x:c>
      <x:c r="F1935" s="38" t="n">
        <x:v>0.1664578111946533</x:v>
      </x:c>
      <x:c r="G1935" s="38" t="n">
        <x:v>0.3982873851294904</x:v>
      </x:c>
      <x:c r="H1935" s="57" t="n">
        <x:v>5257.65</x:v>
      </x:c>
      <x:c r="I1935" s="57" t="n">
        <x:v>0.145</x:v>
      </x:c>
      <x:c r="J1935" s="57" t="n">
        <x:v>21.9871862133589</x:v>
      </x:c>
      <x:c r="K1935" s="57" t="n">
        <x:v>62.98077932003835</x:v>
      </x:c>
      <x:c r="L1935" s="57" t="n">
        <x:v>92.11539902862621</x:v>
      </x:c>
    </x:row>
    <x:row r="1936" ht="21.600000381469727" hidden="0" customHeight="1">
      <x:c r="A1936" s="27" t="str">
        <x:v>King County, Washington</x:v>
      </x:c>
      <x:c r="B1936" s="27" t="str">
        <x:v>53033008300</x:v>
      </x:c>
      <x:c r="C1936" s="50" t="n">
        <x:v>3575</x:v>
      </x:c>
      <x:c r="D1936" s="50" t="n">
        <x:v>464</x:v>
      </x:c>
      <x:c r="E1936" s="50" t="n">
        <x:v>939</x:v>
      </x:c>
      <x:c r="F1936" s="37" t="n">
        <x:v>0.1297902097902098</x:v>
      </x:c>
      <x:c r="G1936" s="37" t="n">
        <x:v>0.26265734265734264</x:v>
      </x:c>
      <x:c r="H1936" s="56" t="n">
        <x:v>3831.3</x:v>
      </x:c>
      <x:c r="I1936" s="56" t="n">
        <x:v>0.092</x:v>
      </x:c>
      <x:c r="J1936" s="56" t="n">
        <x:v>21.728961111356522</x:v>
      </x:c>
      <x:c r="K1936" s="56" t="n">
        <x:v>62.59344166703478</x:v>
      </x:c>
      <x:c r="L1936" s="56" t="n">
        <x:v>91.56205952433541</x:v>
      </x:c>
    </x:row>
    <x:row r="1937" ht="21.600000381469727" hidden="0" customHeight="1">
      <x:c r="A1937" s="29" t="str">
        <x:v>King County, Washington</x:v>
      </x:c>
      <x:c r="B1937" s="29" t="str">
        <x:v>53033008401</x:v>
      </x:c>
      <x:c r="C1937" s="51" t="n">
        <x:v>3661</x:v>
      </x:c>
      <x:c r="D1937" s="51" t="n">
        <x:v>532</x:v>
      </x:c>
      <x:c r="E1937" s="51" t="n">
        <x:v>1449</x:v>
      </x:c>
      <x:c r="F1937" s="38" t="n">
        <x:v>0.14531548757170173</x:v>
      </x:c>
      <x:c r="G1937" s="38" t="n">
        <x:v>0.39579349904397704</x:v>
      </x:c>
      <x:c r="H1937" s="57" t="n">
        <x:v>3992.1</x:v>
      </x:c>
      <x:c r="I1937" s="57" t="n">
        <x:v>0.097</x:v>
      </x:c>
      <x:c r="J1937" s="57" t="n">
        <x:v>21.616576128809488</x:v>
      </x:c>
      <x:c r="K1937" s="57" t="n">
        <x:v>62.42486419321423</x:v>
      </x:c>
      <x:c r="L1937" s="57" t="n">
        <x:v>91.32123456173463</x:v>
      </x:c>
    </x:row>
    <x:row r="1938" ht="21.600000381469727" hidden="0" customHeight="1">
      <x:c r="A1938" s="27" t="str">
        <x:v>King County, Washington</x:v>
      </x:c>
      <x:c r="B1938" s="27" t="str">
        <x:v>53033008402</x:v>
      </x:c>
      <x:c r="C1938" s="50" t="n">
        <x:v>3150</x:v>
      </x:c>
      <x:c r="D1938" s="50" t="n">
        <x:v>238</x:v>
      </x:c>
      <x:c r="E1938" s="50" t="n">
        <x:v>1520</x:v>
      </x:c>
      <x:c r="F1938" s="37" t="n">
        <x:v>0.07555555555555556</x:v>
      </x:c>
      <x:c r="G1938" s="37" t="n">
        <x:v>0.48253968253968255</x:v>
      </x:c>
      <x:c r="H1938" s="56" t="n">
        <x:v>3385.3</x:v>
      </x:c>
      <x:c r="I1938" s="56" t="n">
        <x:v>0.056</x:v>
      </x:c>
      <x:c r="J1938" s="56" t="n">
        <x:v>21.259796896442833</x:v>
      </x:c>
      <x:c r="K1938" s="56" t="n">
        <x:v>61.88969534466425</x:v>
      </x:c>
      <x:c r="L1938" s="56" t="n">
        <x:v>90.55670763523464</x:v>
      </x:c>
    </x:row>
    <x:row r="1939" ht="21.600000381469727" hidden="0" customHeight="1">
      <x:c r="A1939" s="29" t="str">
        <x:v>King County, Washington</x:v>
      </x:c>
      <x:c r="B1939" s="29" t="str">
        <x:v>53033008500</x:v>
      </x:c>
      <x:c r="C1939" s="51" t="n">
        <x:v>3521</x:v>
      </x:c>
      <x:c r="D1939" s="51" t="n">
        <x:v>745</x:v>
      </x:c>
      <x:c r="E1939" s="51" t="n">
        <x:v>1452.5</x:v>
      </x:c>
      <x:c r="F1939" s="38" t="n">
        <x:v>0.21158761715421756</x:v>
      </x:c>
      <x:c r="G1939" s="38" t="n">
        <x:v>0.4125248508946322</x:v>
      </x:c>
      <x:c r="H1939" s="57" t="n">
        <x:v>3926.9999999999995</x:v>
      </x:c>
      <x:c r="I1939" s="57" t="n">
        <x:v>0.174</x:v>
      </x:c>
      <x:c r="J1939" s="57" t="n">
        <x:v>22.737194857794442</x:v>
      </x:c>
      <x:c r="K1939" s="57" t="n">
        <x:v>64.10579228669167</x:v>
      </x:c>
      <x:c r="L1939" s="57" t="n">
        <x:v>93.72256040955952</x:v>
      </x:c>
    </x:row>
    <x:row r="1940" ht="21.600000381469727" hidden="0" customHeight="1">
      <x:c r="A1940" s="27" t="str">
        <x:v>King County, Washington</x:v>
      </x:c>
      <x:c r="B1940" s="27" t="str">
        <x:v>53033008600</x:v>
      </x:c>
      <x:c r="C1940" s="50" t="n">
        <x:v>7108</x:v>
      </x:c>
      <x:c r="D1940" s="50" t="n">
        <x:v>604</x:v>
      </x:c>
      <x:c r="E1940" s="50" t="n">
        <x:v>1562</x:v>
      </x:c>
      <x:c r="F1940" s="37" t="n">
        <x:v>0.08497467642093416</x:v>
      </x:c>
      <x:c r="G1940" s="37" t="n">
        <x:v>0.2197523916713562</x:v>
      </x:c>
      <x:c r="H1940" s="56" t="n">
        <x:v>7475.600000000001</x:v>
      </x:c>
      <x:c r="I1940" s="56" t="n">
        <x:v>0.275</x:v>
      </x:c>
      <x:c r="J1940" s="56" t="n">
        <x:v>22.391469332878966</x:v>
      </x:c>
      <x:c r="K1940" s="56" t="n">
        <x:v>63.58720399931845</x:v>
      </x:c>
      <x:c r="L1940" s="56" t="n">
        <x:v>92.98171999902635</x:v>
      </x:c>
    </x:row>
    <x:row r="1941" ht="21.600000381469727" hidden="0" customHeight="1">
      <x:c r="A1941" s="29" t="str">
        <x:v>King County, Washington</x:v>
      </x:c>
      <x:c r="B1941" s="29" t="str">
        <x:v>53033008700</x:v>
      </x:c>
      <x:c r="C1941" s="51" t="n">
        <x:v>4866</x:v>
      </x:c>
      <x:c r="D1941" s="51" t="n">
        <x:v>391</x:v>
      </x:c>
      <x:c r="E1941" s="51" t="n">
        <x:v>306</x:v>
      </x:c>
      <x:c r="F1941" s="38" t="n">
        <x:v>0.0803534730785039</x:v>
      </x:c>
      <x:c r="G1941" s="38" t="n">
        <x:v>0.06288532675709001</x:v>
      </x:c>
      <x:c r="H1941" s="57" t="n">
        <x:v>5033.449999999999</x:v>
      </x:c>
      <x:c r="I1941" s="57" t="n">
        <x:v>0.283</x:v>
      </x:c>
      <x:c r="J1941" s="57" t="n">
        <x:v>22.574547003229565</x:v>
      </x:c>
      <x:c r="K1941" s="57" t="n">
        <x:v>63.861820504844346</x:v>
      </x:c>
      <x:c r="L1941" s="57" t="n">
        <x:v>93.37402929263479</x:v>
      </x:c>
    </x:row>
    <x:row r="1942" ht="21.600000381469727" hidden="0" customHeight="1">
      <x:c r="A1942" s="27" t="str">
        <x:v>King County, Washington</x:v>
      </x:c>
      <x:c r="B1942" s="27" t="str">
        <x:v>53033008800</x:v>
      </x:c>
      <x:c r="C1942" s="50" t="n">
        <x:v>4519</x:v>
      </x:c>
      <x:c r="D1942" s="50" t="n">
        <x:v>546</x:v>
      </x:c>
      <x:c r="E1942" s="50" t="n">
        <x:v>173</x:v>
      </x:c>
      <x:c r="F1942" s="37" t="n">
        <x:v>0.12082319097145386</x:v>
      </x:c>
      <x:c r="G1942" s="37" t="n">
        <x:v>0.0382828059305156</x:v>
      </x:c>
      <x:c r="H1942" s="56" t="n">
        <x:v>4727.400000000001</x:v>
      </x:c>
      <x:c r="I1942" s="56" t="n">
        <x:v>0.366</x:v>
      </x:c>
      <x:c r="J1942" s="56" t="n">
        <x:v>22.4149320202427</x:v>
      </x:c>
      <x:c r="K1942" s="56" t="n">
        <x:v>63.622398030364046</x:v>
      </x:c>
      <x:c r="L1942" s="56" t="n">
        <x:v>93.03199718623435</x:v>
      </x:c>
    </x:row>
    <x:row r="1943" ht="21.600000381469727" hidden="0" customHeight="1">
      <x:c r="A1943" s="29" t="str">
        <x:v>King County, Washington</x:v>
      </x:c>
      <x:c r="B1943" s="29" t="str">
        <x:v>53033008900</x:v>
      </x:c>
      <x:c r="C1943" s="51" t="n">
        <x:v>6383</x:v>
      </x:c>
      <x:c r="D1943" s="51" t="n">
        <x:v>890</x:v>
      </x:c>
      <x:c r="E1943" s="51" t="n">
        <x:v>673.5</x:v>
      </x:c>
      <x:c r="F1943" s="38" t="n">
        <x:v>0.13943286855710482</x:v>
      </x:c>
      <x:c r="G1943" s="38" t="n">
        <x:v>0.10551464828450571</x:v>
      </x:c>
      <x:c r="H1943" s="57" t="n">
        <x:v>6761.85</x:v>
      </x:c>
      <x:c r="I1943" s="57" t="n">
        <x:v>0.49</x:v>
      </x:c>
      <x:c r="J1943" s="57" t="n">
        <x:v>23.479410307195998</x:v>
      </x:c>
      <x:c r="K1943" s="57" t="n">
        <x:v>65.219115460794</x:v>
      </x:c>
      <x:c r="L1943" s="57" t="n">
        <x:v>95.31302208684856</x:v>
      </x:c>
    </x:row>
    <x:row r="1944" ht="21.600000381469727" hidden="0" customHeight="1">
      <x:c r="A1944" s="27" t="str">
        <x:v>King County, Washington</x:v>
      </x:c>
      <x:c r="B1944" s="27" t="str">
        <x:v>53033009000</x:v>
      </x:c>
      <x:c r="C1944" s="50" t="n">
        <x:v>4363</x:v>
      </x:c>
      <x:c r="D1944" s="50" t="n">
        <x:v>708</x:v>
      </x:c>
      <x:c r="E1944" s="50" t="n">
        <x:v>1156</x:v>
      </x:c>
      <x:c r="F1944" s="37" t="n">
        <x:v>0.16227366490946596</x:v>
      </x:c>
      <x:c r="G1944" s="37" t="n">
        <x:v>0.2649553059821224</x:v>
      </x:c>
      <x:c r="H1944" s="56" t="n">
        <x:v>4726.4</x:v>
      </x:c>
      <x:c r="I1944" s="56" t="n">
        <x:v>0.33</x:v>
      </x:c>
      <x:c r="J1944" s="56" t="n">
        <x:v>23.75685671376945</x:v>
      </x:c>
      <x:c r="K1944" s="56" t="n">
        <x:v>65.63528507065418</x:v>
      </x:c>
      <x:c r="L1944" s="56" t="n">
        <x:v>95.90755010093454</x:v>
      </x:c>
    </x:row>
    <x:row r="1945" ht="21.600000381469727" hidden="0" customHeight="1">
      <x:c r="A1945" s="29" t="str">
        <x:v>King County, Washington</x:v>
      </x:c>
      <x:c r="B1945" s="29" t="str">
        <x:v>53033009100</x:v>
      </x:c>
      <x:c r="C1945" s="51" t="n">
        <x:v>3464</x:v>
      </x:c>
      <x:c r="D1945" s="51" t="n">
        <x:v>761</x:v>
      </x:c>
      <x:c r="E1945" s="51" t="n">
        <x:v>1838</x:v>
      </x:c>
      <x:c r="F1945" s="38" t="n">
        <x:v>0.21968822170900693</x:v>
      </x:c>
      <x:c r="G1945" s="38" t="n">
        <x:v>0.5306004618937644</x:v>
      </x:c>
      <x:c r="H1945" s="57" t="n">
        <x:v>3914.15</x:v>
      </x:c>
      <x:c r="I1945" s="57" t="n">
        <x:v>0.159</x:v>
      </x:c>
      <x:c r="J1945" s="57" t="n">
        <x:v>23.71159793779129</x:v>
      </x:c>
      <x:c r="K1945" s="57" t="n">
        <x:v>65.56739690668694</x:v>
      </x:c>
      <x:c r="L1945" s="57" t="n">
        <x:v>95.81056700955276</x:v>
      </x:c>
    </x:row>
    <x:row r="1946" ht="21.600000381469727" hidden="0" customHeight="1">
      <x:c r="A1946" s="27" t="str">
        <x:v>King County, Washington</x:v>
      </x:c>
      <x:c r="B1946" s="27" t="str">
        <x:v>53033009200</x:v>
      </x:c>
      <x:c r="C1946" s="50" t="n">
        <x:v>3191</x:v>
      </x:c>
      <x:c r="D1946" s="50" t="n">
        <x:v>1180</x:v>
      </x:c>
      <x:c r="E1946" s="50" t="n">
        <x:v>1805</x:v>
      </x:c>
      <x:c r="F1946" s="37" t="n">
        <x:v>0.36979003447195236</x:v>
      </x:c>
      <x:c r="G1946" s="37" t="n">
        <x:v>0.5656534001880288</x:v>
      </x:c>
      <x:c r="H1946" s="56" t="n">
        <x:v>3784.5</x:v>
      </x:c>
      <x:c r="I1946" s="56" t="n">
        <x:v>0.131</x:v>
      </x:c>
      <x:c r="J1946" s="56" t="n">
        <x:v>23.471218993010538</x:v>
      </x:c>
      <x:c r="K1946" s="56" t="n">
        <x:v>65.2068284895158</x:v>
      </x:c>
      <x:c r="L1946" s="56" t="n">
        <x:v>95.29546927073687</x:v>
      </x:c>
    </x:row>
    <x:row r="1947" ht="21.600000381469727" hidden="0" customHeight="1">
      <x:c r="A1947" s="29" t="str">
        <x:v>King County, Washington</x:v>
      </x:c>
      <x:c r="B1947" s="29" t="str">
        <x:v>53033009300</x:v>
      </x:c>
      <x:c r="C1947" s="51" t="n">
        <x:v>2997</x:v>
      </x:c>
      <x:c r="D1947" s="51" t="n">
        <x:v>325</x:v>
      </x:c>
      <x:c r="E1947" s="51" t="n">
        <x:v>566</x:v>
      </x:c>
      <x:c r="F1947" s="38" t="n">
        <x:v>0.10844177510844177</x:v>
      </x:c>
      <x:c r="G1947" s="38" t="n">
        <x:v>0.1888555221888555</x:v>
      </x:c>
      <x:c r="H1947" s="57" t="n">
        <x:v>3167.3500000000004</x:v>
      </x:c>
      <x:c r="I1947" s="57" t="n">
        <x:v>3.654</x:v>
      </x:c>
      <x:c r="J1947" s="57" t="n">
        <x:v>26.945077274472894</x:v>
      </x:c>
      <x:c r="K1947" s="57" t="n">
        <x:v>70.41761591170933</x:v>
      </x:c>
      <x:c r="L1947" s="57" t="n">
        <x:v>102.73945130244192</x:v>
      </x:c>
    </x:row>
    <x:row r="1948" ht="21.600000381469727" hidden="0" customHeight="1">
      <x:c r="A1948" s="27" t="str">
        <x:v>King County, Washington</x:v>
      </x:c>
      <x:c r="B1948" s="27" t="str">
        <x:v>53033009400</x:v>
      </x:c>
      <x:c r="C1948" s="50" t="n">
        <x:v>6654</x:v>
      </x:c>
      <x:c r="D1948" s="50" t="n">
        <x:v>1270</x:v>
      </x:c>
      <x:c r="E1948" s="50" t="n">
        <x:v>1159</x:v>
      </x:c>
      <x:c r="F1948" s="37" t="n">
        <x:v>0.19086263901412684</x:v>
      </x:c>
      <x:c r="G1948" s="37" t="n">
        <x:v>0.1741809437932071</x:v>
      </x:c>
      <x:c r="H1948" s="56" t="n">
        <x:v>7214.400000000001</x:v>
      </x:c>
      <x:c r="I1948" s="56" t="n">
        <x:v>0.651</x:v>
      </x:c>
      <x:c r="J1948" s="56" t="n">
        <x:v>25.24507882049703</x:v>
      </x:c>
      <x:c r="K1948" s="56" t="n">
        <x:v>67.86761823074555</x:v>
      </x:c>
      <x:c r="L1948" s="56" t="n">
        <x:v>99.09659747249364</x:v>
      </x:c>
    </x:row>
    <x:row r="1949" ht="21.600000381469727" hidden="0" customHeight="1">
      <x:c r="A1949" s="29" t="str">
        <x:v>King County, Washington</x:v>
      </x:c>
      <x:c r="B1949" s="29" t="str">
        <x:v>53033009500</x:v>
      </x:c>
      <x:c r="C1949" s="51" t="n">
        <x:v>7105</x:v>
      </x:c>
      <x:c r="D1949" s="51" t="n">
        <x:v>711</x:v>
      </x:c>
      <x:c r="E1949" s="51" t="n">
        <x:v>746</x:v>
      </x:c>
      <x:c r="F1949" s="38" t="n">
        <x:v>0.10007037297677691</x:v>
      </x:c>
      <x:c r="G1949" s="38" t="n">
        <x:v>0.10499648135116116</x:v>
      </x:c>
      <x:c r="H1949" s="57" t="n">
        <x:v>7428.45</x:v>
      </x:c>
      <x:c r="I1949" s="57" t="n">
        <x:v>1</x:v>
      </x:c>
      <x:c r="J1949" s="57" t="n">
        <x:v>26.885325226229355</x:v>
      </x:c>
      <x:c r="K1949" s="57" t="n">
        <x:v>70.32798783934403</x:v>
      </x:c>
      <x:c r="L1949" s="57" t="n">
        <x:v>102.6114111990629</x:v>
      </x:c>
    </x:row>
    <x:row r="1950" ht="21.600000381469727" hidden="0" customHeight="1">
      <x:c r="A1950" s="27" t="str">
        <x:v>King County, Washington</x:v>
      </x:c>
      <x:c r="B1950" s="27" t="str">
        <x:v>53033009600</x:v>
      </x:c>
      <x:c r="C1950" s="50" t="n">
        <x:v>5901</x:v>
      </x:c>
      <x:c r="D1950" s="50" t="n">
        <x:v>533</x:v>
      </x:c>
      <x:c r="E1950" s="50" t="n">
        <x:v>273</x:v>
      </x:c>
      <x:c r="F1950" s="37" t="n">
        <x:v>0.09032367395356719</x:v>
      </x:c>
      <x:c r="G1950" s="37" t="n">
        <x:v>0.046263345195729534</x:v>
      </x:c>
      <x:c r="H1950" s="56" t="n">
        <x:v>6114.85</x:v>
      </x:c>
      <x:c r="I1950" s="56" t="n">
        <x:v>0.735</x:v>
      </x:c>
      <x:c r="J1950" s="56" t="n">
        <x:v>26.067491097027304</x:v>
      </x:c>
      <x:c r="K1950" s="56" t="n">
        <x:v>69.10123664554095</x:v>
      </x:c>
      <x:c r="L1950" s="56" t="n">
        <x:v>100.85890949362994</x:v>
      </x:c>
    </x:row>
    <x:row r="1951" ht="21.600000381469727" hidden="0" customHeight="1">
      <x:c r="A1951" s="29" t="str">
        <x:v>King County, Washington</x:v>
      </x:c>
      <x:c r="B1951" s="29" t="str">
        <x:v>53033009701</x:v>
      </x:c>
      <x:c r="C1951" s="51" t="n">
        <x:v>6387</x:v>
      </x:c>
      <x:c r="D1951" s="51" t="n">
        <x:v>782</x:v>
      </x:c>
      <x:c r="E1951" s="51" t="n">
        <x:v>195</x:v>
      </x:c>
      <x:c r="F1951" s="38" t="n">
        <x:v>0.12243619852826053</x:v>
      </x:c>
      <x:c r="G1951" s="38" t="n">
        <x:v>0.030530765617660875</x:v>
      </x:c>
      <x:c r="H1951" s="57" t="n">
        <x:v>6680.2</x:v>
      </x:c>
      <x:c r="I1951" s="57" t="n">
        <x:v>0.719</x:v>
      </x:c>
      <x:c r="J1951" s="57" t="n">
        <x:v>29.155608280382857</x:v>
      </x:c>
      <x:c r="K1951" s="57" t="n">
        <x:v>73.73341242057428</x:v>
      </x:c>
      <x:c r="L1951" s="57" t="n">
        <x:v>107.47630345796327</x:v>
      </x:c>
    </x:row>
    <x:row r="1952" ht="21.600000381469727" hidden="0" customHeight="1">
      <x:c r="A1952" s="27" t="str">
        <x:v>King County, Washington</x:v>
      </x:c>
      <x:c r="B1952" s="27" t="str">
        <x:v>53033009702</x:v>
      </x:c>
      <x:c r="C1952" s="50" t="n">
        <x:v>5886</x:v>
      </x:c>
      <x:c r="D1952" s="50" t="n">
        <x:v>523</x:v>
      </x:c>
      <x:c r="E1952" s="50" t="n">
        <x:v>192</x:v>
      </x:c>
      <x:c r="F1952" s="37" t="n">
        <x:v>0.08885490995582739</x:v>
      </x:c>
      <x:c r="G1952" s="37" t="n">
        <x:v>0.0326197757390418</x:v>
      </x:c>
      <x:c r="H1952" s="56" t="n">
        <x:v>6088.25</x:v>
      </x:c>
      <x:c r="I1952" s="56" t="n">
        <x:v>0.857</x:v>
      </x:c>
      <x:c r="J1952" s="56" t="n">
        <x:v>28.889865604050215</x:v>
      </x:c>
      <x:c r="K1952" s="56" t="n">
        <x:v>73.33479840607532</x:v>
      </x:c>
      <x:c r="L1952" s="56" t="n">
        <x:v>106.90685486582188</x:v>
      </x:c>
    </x:row>
    <x:row r="1953" ht="21.600000381469727" hidden="0" customHeight="1">
      <x:c r="A1953" s="29" t="str">
        <x:v>King County, Washington</x:v>
      </x:c>
      <x:c r="B1953" s="29" t="str">
        <x:v>53033009801</x:v>
      </x:c>
      <x:c r="C1953" s="51" t="n">
        <x:v>3637</x:v>
      </x:c>
      <x:c r="D1953" s="51" t="n">
        <x:v>465</x:v>
      </x:c>
      <x:c r="E1953" s="51" t="n">
        <x:v>127</x:v>
      </x:c>
      <x:c r="F1953" s="38" t="n">
        <x:v>0.12785262579048667</x:v>
      </x:c>
      <x:c r="G1953" s="38" t="n">
        <x:v>0.034918889194390984</x:v>
      </x:c>
      <x:c r="H1953" s="57" t="n">
        <x:v>3812.45</x:v>
      </x:c>
      <x:c r="I1953" s="57" t="n">
        <x:v>0.388</x:v>
      </x:c>
      <x:c r="J1953" s="57" t="n">
        <x:v>27.91434686587123</x:v>
      </x:c>
      <x:c r="K1953" s="57" t="n">
        <x:v>71.87152029880684</x:v>
      </x:c>
      <x:c r="L1953" s="57" t="n">
        <x:v>104.81645756972407</x:v>
      </x:c>
    </x:row>
    <x:row r="1954" ht="21.600000381469727" hidden="0" customHeight="1">
      <x:c r="A1954" s="27" t="str">
        <x:v>King County, Washington</x:v>
      </x:c>
      <x:c r="B1954" s="27" t="str">
        <x:v>53033009802</x:v>
      </x:c>
      <x:c r="C1954" s="50" t="n">
        <x:v>4362</x:v>
      </x:c>
      <x:c r="D1954" s="50" t="n">
        <x:v>194</x:v>
      </x:c>
      <x:c r="E1954" s="50" t="n">
        <x:v>109</x:v>
      </x:c>
      <x:c r="F1954" s="37" t="n">
        <x:v>0.044475011462631824</x:v>
      </x:c>
      <x:c r="G1954" s="37" t="n">
        <x:v>0.024988537368179735</x:v>
      </x:c>
      <x:c r="H1954" s="56" t="n">
        <x:v>4440.800000000001</x:v>
      </x:c>
      <x:c r="I1954" s="56" t="n">
        <x:v>0.356</x:v>
      </x:c>
      <x:c r="J1954" s="56" t="n">
        <x:v>29.22520561435119</x:v>
      </x:c>
      <x:c r="K1954" s="56" t="n">
        <x:v>73.83780842152679</x:v>
      </x:c>
      <x:c r="L1954" s="56" t="n">
        <x:v>107.62544060218113</x:v>
      </x:c>
    </x:row>
    <x:row r="1955" ht="21.600000381469727" hidden="0" customHeight="1">
      <x:c r="A1955" s="29" t="str">
        <x:v>King County, Washington</x:v>
      </x:c>
      <x:c r="B1955" s="29" t="str">
        <x:v>53033009900</x:v>
      </x:c>
      <x:c r="C1955" s="51" t="n">
        <x:v>6358</x:v>
      </x:c>
      <x:c r="D1955" s="51" t="n">
        <x:v>541</x:v>
      </x:c>
      <x:c r="E1955" s="51" t="n">
        <x:v>511.5</x:v>
      </x:c>
      <x:c r="F1955" s="38" t="n">
        <x:v>0.08508965083359547</x:v>
      </x:c>
      <x:c r="G1955" s="38" t="n">
        <x:v>0.08044982698961937</x:v>
      </x:c>
      <x:c r="H1955" s="57" t="n">
        <x:v>6598.5</x:v>
      </x:c>
      <x:c r="I1955" s="57" t="n">
        <x:v>2.524</x:v>
      </x:c>
      <x:c r="J1955" s="57" t="n">
        <x:v>26.865097464289853</x:v>
      </x:c>
      <x:c r="K1955" s="57" t="n">
        <x:v>70.29764619643478</x:v>
      </x:c>
      <x:c r="L1955" s="57" t="n">
        <x:v>102.56806599490682</x:v>
      </x:c>
    </x:row>
    <x:row r="1956" ht="21.600000381469727" hidden="0" customHeight="1">
      <x:c r="A1956" s="27" t="str">
        <x:v>King County, Washington</x:v>
      </x:c>
      <x:c r="B1956" s="27" t="str">
        <x:v>53033010001</x:v>
      </x:c>
      <x:c r="C1956" s="50" t="n">
        <x:v>4374</x:v>
      </x:c>
      <x:c r="D1956" s="50" t="n">
        <x:v>473</x:v>
      </x:c>
      <x:c r="E1956" s="50" t="n">
        <x:v>355</x:v>
      </x:c>
      <x:c r="F1956" s="37" t="n">
        <x:v>0.1081390032007316</x:v>
      </x:c>
      <x:c r="G1956" s="37" t="n">
        <x:v>0.08116140832190215</x:v>
      </x:c>
      <x:c r="H1956" s="56" t="n">
        <x:v>4575.049999999999</x:v>
      </x:c>
      <x:c r="I1956" s="56" t="n">
        <x:v>0.898</x:v>
      </x:c>
      <x:c r="J1956" s="56" t="n">
        <x:v>28.27451391560312</x:v>
      </x:c>
      <x:c r="K1956" s="56" t="n">
        <x:v>72.41177087340468</x:v>
      </x:c>
      <x:c r="L1956" s="56" t="n">
        <x:v>105.58824410486383</x:v>
      </x:c>
    </x:row>
    <x:row r="1957" ht="21.600000381469727" hidden="0" customHeight="1">
      <x:c r="A1957" s="29" t="str">
        <x:v>King County, Washington</x:v>
      </x:c>
      <x:c r="B1957" s="29" t="str">
        <x:v>53033010002</x:v>
      </x:c>
      <x:c r="C1957" s="51" t="n">
        <x:v>4801</x:v>
      </x:c>
      <x:c r="D1957" s="51" t="n">
        <x:v>465</x:v>
      </x:c>
      <x:c r="E1957" s="51" t="n">
        <x:v>210</x:v>
      </x:c>
      <x:c r="F1957" s="38" t="n">
        <x:v>0.09685482191210165</x:v>
      </x:c>
      <x:c r="G1957" s="38" t="n">
        <x:v>0.04374088731514268</x:v>
      </x:c>
      <x:c r="H1957" s="57" t="n">
        <x:v>4984.75</x:v>
      </x:c>
      <x:c r="I1957" s="57" t="n">
        <x:v>0.366</x:v>
      </x:c>
      <x:c r="J1957" s="57" t="n">
        <x:v>26.973648051128706</x:v>
      </x:c>
      <x:c r="K1957" s="57" t="n">
        <x:v>70.46047207669307</x:v>
      </x:c>
      <x:c r="L1957" s="57" t="n">
        <x:v>102.80067439527579</x:v>
      </x:c>
    </x:row>
    <x:row r="1958" ht="21.600000381469727" hidden="0" customHeight="1">
      <x:c r="A1958" s="27" t="str">
        <x:v>King County, Washington</x:v>
      </x:c>
      <x:c r="B1958" s="27" t="str">
        <x:v>53033010101</x:v>
      </x:c>
      <x:c r="C1958" s="50" t="n">
        <x:v>4328</x:v>
      </x:c>
      <x:c r="D1958" s="50" t="n">
        <x:v>430</x:v>
      </x:c>
      <x:c r="E1958" s="50" t="n">
        <x:v>426</x:v>
      </x:c>
      <x:c r="F1958" s="37" t="n">
        <x:v>0.09935304990757855</x:v>
      </x:c>
      <x:c r="G1958" s="37" t="n">
        <x:v>0.09842883548983364</x:v>
      </x:c>
      <x:c r="H1958" s="56" t="n">
        <x:v>4521.1</x:v>
      </x:c>
      <x:c r="I1958" s="56" t="n">
        <x:v>0.337</x:v>
      </x:c>
      <x:c r="J1958" s="56" t="n">
        <x:v>28.051178816303658</x:v>
      </x:c>
      <x:c r="K1958" s="56" t="n">
        <x:v>72.07676822445549</x:v>
      </x:c>
      <x:c r="L1958" s="56" t="n">
        <x:v>105.10966889207927</x:v>
      </x:c>
    </x:row>
    <x:row r="1959" ht="21.600000381469727" hidden="0" customHeight="1">
      <x:c r="A1959" s="29" t="str">
        <x:v>King County, Washington</x:v>
      </x:c>
      <x:c r="B1959" s="29" t="str">
        <x:v>53033010102</x:v>
      </x:c>
      <x:c r="C1959" s="51" t="n">
        <x:v>4978</x:v>
      </x:c>
      <x:c r="D1959" s="51" t="n">
        <x:v>490</x:v>
      </x:c>
      <x:c r="E1959" s="51" t="n">
        <x:v>476</x:v>
      </x:c>
      <x:c r="F1959" s="38" t="n">
        <x:v>0.09843310566492568</x:v>
      </x:c>
      <x:c r="G1959" s="38" t="n">
        <x:v>0.09562073121735637</x:v>
      </x:c>
      <x:c r="H1959" s="57" t="n">
        <x:v>5197.1</x:v>
      </x:c>
      <x:c r="I1959" s="57" t="n">
        <x:v>0.627</x:v>
      </x:c>
      <x:c r="J1959" s="57" t="n">
        <x:v>25.855869537631914</x:v>
      </x:c>
      <x:c r="K1959" s="57" t="n">
        <x:v>68.78380430644788</x:v>
      </x:c>
      <x:c r="L1959" s="57" t="n">
        <x:v>100.40543472349697</x:v>
      </x:c>
    </x:row>
    <x:row r="1960" ht="21.600000381469727" hidden="0" customHeight="1">
      <x:c r="A1960" s="27" t="str">
        <x:v>King County, Washington</x:v>
      </x:c>
      <x:c r="B1960" s="27" t="str">
        <x:v>53033010200</x:v>
      </x:c>
      <x:c r="C1960" s="50" t="n">
        <x:v>5610</x:v>
      </x:c>
      <x:c r="D1960" s="50" t="n">
        <x:v>490</x:v>
      </x:c>
      <x:c r="E1960" s="50" t="n">
        <x:v>146.5</x:v>
      </x:c>
      <x:c r="F1960" s="37" t="n">
        <x:v>0.0873440285204991</x:v>
      </x:c>
      <x:c r="G1960" s="37" t="n">
        <x:v>0.02611408199643494</x:v>
      </x:c>
      <x:c r="H1960" s="56" t="n">
        <x:v>5796.150000000001</x:v>
      </x:c>
      <x:c r="I1960" s="56" t="n">
        <x:v>1.079</x:v>
      </x:c>
      <x:c r="J1960" s="56" t="n">
        <x:v>24.003773185096783</x:v>
      </x:c>
      <x:c r="K1960" s="56" t="n">
        <x:v>66.00565977764518</x:v>
      </x:c>
      <x:c r="L1960" s="56" t="n">
        <x:v>96.4366568252074</x:v>
      </x:c>
    </x:row>
    <x:row r="1961" ht="21.600000381469727" hidden="0" customHeight="1">
      <x:c r="A1961" s="29" t="str">
        <x:v>King County, Washington</x:v>
      </x:c>
      <x:c r="B1961" s="29" t="str">
        <x:v>53033010301</x:v>
      </x:c>
      <x:c r="C1961" s="51" t="n">
        <x:v>4276</x:v>
      </x:c>
      <x:c r="D1961" s="51" t="n">
        <x:v>371</x:v>
      </x:c>
      <x:c r="E1961" s="51" t="n">
        <x:v>272.5</x:v>
      </x:c>
      <x:c r="F1961" s="38" t="n">
        <x:v>0.08676333021515435</x:v>
      </x:c>
      <x:c r="G1961" s="38" t="n">
        <x:v>0.06372778297474276</x:v>
      </x:c>
      <x:c r="H1961" s="57" t="n">
        <x:v>4433.099999999999</x:v>
      </x:c>
      <x:c r="I1961" s="57" t="n">
        <x:v>0.387</x:v>
      </x:c>
      <x:c r="J1961" s="57" t="n">
        <x:v>26.89829174664814</x:v>
      </x:c>
      <x:c r="K1961" s="57" t="n">
        <x:v>70.34743761997221</x:v>
      </x:c>
      <x:c r="L1961" s="57" t="n">
        <x:v>102.6391965999603</x:v>
      </x:c>
    </x:row>
    <x:row r="1962" ht="21.600000381469727" hidden="0" customHeight="1">
      <x:c r="A1962" s="27" t="str">
        <x:v>King County, Washington</x:v>
      </x:c>
      <x:c r="B1962" s="27" t="str">
        <x:v>53033010302</x:v>
      </x:c>
      <x:c r="C1962" s="50" t="n">
        <x:v>3461</x:v>
      </x:c>
      <x:c r="D1962" s="50" t="n">
        <x:v>253</x:v>
      </x:c>
      <x:c r="E1962" s="50" t="n">
        <x:v>636</x:v>
      </x:c>
      <x:c r="F1962" s="37" t="n">
        <x:v>0.07310026004045074</x:v>
      </x:c>
      <x:c r="G1962" s="37" t="n">
        <x:v>0.18376191852065876</x:v>
      </x:c>
      <x:c r="H1962" s="56" t="n">
        <x:v>3613.15</x:v>
      </x:c>
      <x:c r="I1962" s="56" t="n">
        <x:v>0.244</x:v>
      </x:c>
      <x:c r="J1962" s="56" t="n">
        <x:v>27.467289937917812</x:v>
      </x:c>
      <x:c r="K1962" s="56" t="n">
        <x:v>71.20093490687671</x:v>
      </x:c>
      <x:c r="L1962" s="56" t="n">
        <x:v>103.85847843839531</x:v>
      </x:c>
    </x:row>
    <x:row r="1963" ht="21.600000381469727" hidden="0" customHeight="1">
      <x:c r="A1963" s="29" t="str">
        <x:v>King County, Washington</x:v>
      </x:c>
      <x:c r="B1963" s="29" t="str">
        <x:v>53033010401</x:v>
      </x:c>
      <x:c r="C1963" s="51" t="n">
        <x:v>4496</x:v>
      </x:c>
      <x:c r="D1963" s="51" t="n">
        <x:v>599</x:v>
      </x:c>
      <x:c r="E1963" s="51" t="n">
        <x:v>305</x:v>
      </x:c>
      <x:c r="F1963" s="38" t="n">
        <x:v>0.13322953736654805</x:v>
      </x:c>
      <x:c r="G1963" s="38" t="n">
        <x:v>0.06783807829181494</x:v>
      </x:c>
      <x:c r="H1963" s="57" t="n">
        <x:v>4736.15</x:v>
      </x:c>
      <x:c r="I1963" s="57" t="n">
        <x:v>0.63</x:v>
      </x:c>
      <x:c r="J1963" s="57" t="n">
        <x:v>28.422413574015003</x:v>
      </x:c>
      <x:c r="K1963" s="57" t="n">
        <x:v>72.63362036102251</x:v>
      </x:c>
      <x:c r="L1963" s="57" t="n">
        <x:v>105.90517194431786</x:v>
      </x:c>
    </x:row>
    <x:row r="1964" ht="21.600000381469727" hidden="0" customHeight="1">
      <x:c r="A1964" s="27" t="str">
        <x:v>King County, Washington</x:v>
      </x:c>
      <x:c r="B1964" s="27" t="str">
        <x:v>53033010402</x:v>
      </x:c>
      <x:c r="C1964" s="50" t="n">
        <x:v>4993</x:v>
      </x:c>
      <x:c r="D1964" s="50" t="n">
        <x:v>337</x:v>
      </x:c>
      <x:c r="E1964" s="50" t="n">
        <x:v>116</x:v>
      </x:c>
      <x:c r="F1964" s="37" t="n">
        <x:v>0.06749449228920489</x:v>
      </x:c>
      <x:c r="G1964" s="37" t="n">
        <x:v>0.02323252553575005</x:v>
      </x:c>
      <x:c r="H1964" s="56" t="n">
        <x:v>5122.549999999999</x:v>
      </x:c>
      <x:c r="I1964" s="56" t="n">
        <x:v>0.673</x:v>
      </x:c>
      <x:c r="J1964" s="56" t="n">
        <x:v>29.900413156919928</x:v>
      </x:c>
      <x:c r="K1964" s="56" t="n">
        <x:v>74.8506197353799</x:v>
      </x:c>
      <x:c r="L1964" s="56" t="n">
        <x:v>109.07231390768557</x:v>
      </x:c>
    </x:row>
    <x:row r="1965" ht="21.600000381469727" hidden="0" customHeight="1">
      <x:c r="A1965" s="29" t="str">
        <x:v>King County, Washington</x:v>
      </x:c>
      <x:c r="B1965" s="29" t="str">
        <x:v>53033010501</x:v>
      </x:c>
      <x:c r="C1965" s="51" t="n">
        <x:v>4061</x:v>
      </x:c>
      <x:c r="D1965" s="51" t="n">
        <x:v>280</x:v>
      </x:c>
      <x:c r="E1965" s="51" t="n">
        <x:v>388</x:v>
      </x:c>
      <x:c r="F1965" s="38" t="n">
        <x:v>0.06894853484363457</x:v>
      </x:c>
      <x:c r="G1965" s="38" t="n">
        <x:v>0.09554296971189362</x:v>
      </x:c>
      <x:c r="H1965" s="57" t="n">
        <x:v>4197.799999999999</x:v>
      </x:c>
      <x:c r="I1965" s="57" t="n">
        <x:v>0.286</x:v>
      </x:c>
      <x:c r="J1965" s="57" t="n">
        <x:v>30.56126232597587</x:v>
      </x:c>
      <x:c r="K1965" s="57" t="n">
        <x:v>75.8418934889638</x:v>
      </x:c>
      <x:c r="L1965" s="57" t="n">
        <x:v>110.4884192699483</x:v>
      </x:c>
    </x:row>
    <x:row r="1966" ht="21.600000381469727" hidden="0" customHeight="1">
      <x:c r="A1966" s="27" t="str">
        <x:v>King County, Washington</x:v>
      </x:c>
      <x:c r="B1966" s="27" t="str">
        <x:v>53033010502</x:v>
      </x:c>
      <x:c r="C1966" s="50" t="n">
        <x:v>5790</x:v>
      </x:c>
      <x:c r="D1966" s="50" t="n">
        <x:v>777</x:v>
      </x:c>
      <x:c r="E1966" s="50" t="n">
        <x:v>543</x:v>
      </x:c>
      <x:c r="F1966" s="37" t="n">
        <x:v>0.13419689119170986</x:v>
      </x:c>
      <x:c r="G1966" s="37" t="n">
        <x:v>0.09378238341968911</x:v>
      </x:c>
      <x:c r="H1966" s="56" t="n">
        <x:v>6116.25</x:v>
      </x:c>
      <x:c r="I1966" s="56" t="n">
        <x:v>0.377</x:v>
      </x:c>
      <x:c r="J1966" s="56" t="n">
        <x:v>30.83494414514692</x:v>
      </x:c>
      <x:c r="K1966" s="56" t="n">
        <x:v>76.25241621772038</x:v>
      </x:c>
      <x:c r="L1966" s="56" t="n">
        <x:v>111.07488031102912</x:v>
      </x:c>
    </x:row>
    <x:row r="1967" ht="21.600000381469727" hidden="0" customHeight="1">
      <x:c r="A1967" s="29" t="str">
        <x:v>King County, Washington</x:v>
      </x:c>
      <x:c r="B1967" s="29" t="str">
        <x:v>53033010601</x:v>
      </x:c>
      <x:c r="C1967" s="51" t="n">
        <x:v>4288</x:v>
      </x:c>
      <x:c r="D1967" s="51" t="n">
        <x:v>381</x:v>
      </x:c>
      <x:c r="E1967" s="51" t="n">
        <x:v>177</x:v>
      </x:c>
      <x:c r="F1967" s="38" t="n">
        <x:v>0.0888526119402985</x:v>
      </x:c>
      <x:c r="G1967" s="38" t="n">
        <x:v>0.04127798507462686</x:v>
      </x:c>
      <x:c r="H1967" s="57" t="n">
        <x:v>4439.049999999999</x:v>
      </x:c>
      <x:c r="I1967" s="57" t="n">
        <x:v>0.421</x:v>
      </x:c>
      <x:c r="J1967" s="57" t="n">
        <x:v>32.3025905649231</x:v>
      </x:c>
      <x:c r="K1967" s="57" t="n">
        <x:v>78.45388584738465</x:v>
      </x:c>
      <x:c r="L1967" s="57" t="n">
        <x:v>114.21983692483522</x:v>
      </x:c>
    </x:row>
    <x:row r="1968" ht="21.600000381469727" hidden="0" customHeight="1">
      <x:c r="A1968" s="27" t="str">
        <x:v>King County, Washington</x:v>
      </x:c>
      <x:c r="B1968" s="27" t="str">
        <x:v>53033010602</x:v>
      </x:c>
      <x:c r="C1968" s="50" t="n">
        <x:v>4035</x:v>
      </x:c>
      <x:c r="D1968" s="50" t="n">
        <x:v>383</x:v>
      </x:c>
      <x:c r="E1968" s="50" t="n">
        <x:v>191</x:v>
      </x:c>
      <x:c r="F1968" s="37" t="n">
        <x:v>0.09491945477075589</x:v>
      </x:c>
      <x:c r="G1968" s="37" t="n">
        <x:v>0.047335811648079304</x:v>
      </x:c>
      <x:c r="H1968" s="56" t="n">
        <x:v>4188.15</x:v>
      </x:c>
      <x:c r="I1968" s="56" t="n">
        <x:v>0.581</x:v>
      </x:c>
      <x:c r="J1968" s="56" t="n">
        <x:v>32.41147021419768</x:v>
      </x:c>
      <x:c r="K1968" s="56" t="n">
        <x:v>78.61720532129652</x:v>
      </x:c>
      <x:c r="L1968" s="56" t="n">
        <x:v>114.45315045899503</x:v>
      </x:c>
    </x:row>
    <x:row r="1969" ht="21.600000381469727" hidden="0" customHeight="1">
      <x:c r="A1969" s="29" t="str">
        <x:v>King County, Washington</x:v>
      </x:c>
      <x:c r="B1969" s="29" t="str">
        <x:v>53033010701</x:v>
      </x:c>
      <x:c r="C1969" s="51" t="n">
        <x:v>4365</x:v>
      </x:c>
      <x:c r="D1969" s="51" t="n">
        <x:v>516</x:v>
      </x:c>
      <x:c r="E1969" s="51" t="n">
        <x:v>424.5</x:v>
      </x:c>
      <x:c r="F1969" s="38" t="n">
        <x:v>0.11821305841924398</x:v>
      </x:c>
      <x:c r="G1969" s="38" t="n">
        <x:v>0.09725085910652921</x:v>
      </x:c>
      <x:c r="H1969" s="57" t="n">
        <x:v>4588.05</x:v>
      </x:c>
      <x:c r="I1969" s="57" t="n">
        <x:v>0.563</x:v>
      </x:c>
      <x:c r="J1969" s="57" t="n">
        <x:v>32.15275224489008</x:v>
      </x:c>
      <x:c r="K1969" s="57" t="n">
        <x:v>78.22912836733512</x:v>
      </x:c>
      <x:c r="L1969" s="57" t="n">
        <x:v>113.89875481047875</x:v>
      </x:c>
    </x:row>
    <x:row r="1970" ht="21.600000381469727" hidden="0" customHeight="1">
      <x:c r="A1970" s="27" t="str">
        <x:v>King County, Washington</x:v>
      </x:c>
      <x:c r="B1970" s="27" t="str">
        <x:v>53033010702</x:v>
      </x:c>
      <x:c r="C1970" s="50" t="n">
        <x:v>4939</x:v>
      </x:c>
      <x:c r="D1970" s="50" t="n">
        <x:v>534</x:v>
      </x:c>
      <x:c r="E1970" s="50" t="n">
        <x:v>403</x:v>
      </x:c>
      <x:c r="F1970" s="37" t="n">
        <x:v>0.10811905243976513</x:v>
      </x:c>
      <x:c r="G1970" s="37" t="n">
        <x:v>0.08159546466896132</x:v>
      </x:c>
      <x:c r="H1970" s="56" t="n">
        <x:v>5166.2</x:v>
      </x:c>
      <x:c r="I1970" s="56" t="n">
        <x:v>0.301</x:v>
      </x:c>
      <x:c r="J1970" s="56" t="n">
        <x:v>32.00749125584774</x:v>
      </x:c>
      <x:c r="K1970" s="56" t="n">
        <x:v>78.0112368837716</x:v>
      </x:c>
      <x:c r="L1970" s="56" t="n">
        <x:v>113.58748126253087</x:v>
      </x:c>
    </x:row>
    <x:row r="1971" ht="21.600000381469727" hidden="0" customHeight="1">
      <x:c r="A1971" s="29" t="str">
        <x:v>King County, Washington</x:v>
      </x:c>
      <x:c r="B1971" s="29" t="str">
        <x:v>53033010800</x:v>
      </x:c>
      <x:c r="C1971" s="51" t="n">
        <x:v>5098</x:v>
      </x:c>
      <x:c r="D1971" s="51" t="n">
        <x:v>397</x:v>
      </x:c>
      <x:c r="E1971" s="51" t="n">
        <x:v>118</x:v>
      </x:c>
      <x:c r="F1971" s="38" t="n">
        <x:v>0.07787367595135347</x:v>
      </x:c>
      <x:c r="G1971" s="38" t="n">
        <x:v>0.02314633189486073</x:v>
      </x:c>
      <x:c r="H1971" s="57" t="n">
        <x:v>5248.75</x:v>
      </x:c>
      <x:c r="I1971" s="57" t="n">
        <x:v>1.599</x:v>
      </x:c>
      <x:c r="J1971" s="57" t="n">
        <x:v>32.06491102021352</x:v>
      </x:c>
      <x:c r="K1971" s="57" t="n">
        <x:v>78.09736653032029</x:v>
      </x:c>
      <x:c r="L1971" s="57" t="n">
        <x:v>113.71052361474327</x:v>
      </x:c>
    </x:row>
    <x:row r="1972" ht="21.600000381469727" hidden="0" customHeight="1">
      <x:c r="A1972" s="27" t="str">
        <x:v>King County, Washington</x:v>
      </x:c>
      <x:c r="B1972" s="27" t="str">
        <x:v>53033010900</x:v>
      </x:c>
      <x:c r="C1972" s="50" t="n">
        <x:v>1295</x:v>
      </x:c>
      <x:c r="D1972" s="50" t="n">
        <x:v>210</x:v>
      </x:c>
      <x:c r="E1972" s="50" t="n">
        <x:v>153.5</x:v>
      </x:c>
      <x:c r="F1972" s="37" t="n">
        <x:v>0.16216216216216217</x:v>
      </x:c>
      <x:c r="G1972" s="37" t="n">
        <x:v>0.11853281853281854</x:v>
      </x:c>
      <x:c r="H1972" s="56" t="n">
        <x:v>1383.8500000000001</x:v>
      </x:c>
      <x:c r="I1972" s="56" t="n">
        <x:v>2.081</x:v>
      </x:c>
      <x:c r="J1972" s="56" t="n">
        <x:v>30.648875713858512</x:v>
      </x:c>
      <x:c r="K1972" s="56" t="n">
        <x:v>75.97331357078777</x:v>
      </x:c>
      <x:c r="L1972" s="56" t="n">
        <x:v>110.67616224398253</x:v>
      </x:c>
    </x:row>
    <x:row r="1973" ht="21.600000381469727" hidden="0" customHeight="1">
      <x:c r="A1973" s="29" t="str">
        <x:v>King County, Washington</x:v>
      </x:c>
      <x:c r="B1973" s="29" t="str">
        <x:v>53033011001</x:v>
      </x:c>
      <x:c r="C1973" s="51" t="n">
        <x:v>5216</x:v>
      </x:c>
      <x:c r="D1973" s="51" t="n">
        <x:v>1234</x:v>
      </x:c>
      <x:c r="E1973" s="51" t="n">
        <x:v>1000.5</x:v>
      </x:c>
      <x:c r="F1973" s="38" t="n">
        <x:v>0.236579754601227</x:v>
      </x:c>
      <x:c r="G1973" s="38" t="n">
        <x:v>0.19181365030674846</x:v>
      </x:c>
      <x:c r="H1973" s="57" t="n">
        <x:v>5747.95</x:v>
      </x:c>
      <x:c r="I1973" s="57" t="n">
        <x:v>0.417</x:v>
      </x:c>
      <x:c r="J1973" s="57" t="n">
        <x:v>27.48502671439589</x:v>
      </x:c>
      <x:c r="K1973" s="57" t="n">
        <x:v>71.22754007159384</x:v>
      </x:c>
      <x:c r="L1973" s="57" t="n">
        <x:v>103.89648581656263</x:v>
      </x:c>
    </x:row>
    <x:row r="1974" ht="21.600000381469727" hidden="0" customHeight="1">
      <x:c r="A1974" s="27" t="str">
        <x:v>King County, Washington</x:v>
      </x:c>
      <x:c r="B1974" s="27" t="str">
        <x:v>53033011002</x:v>
      </x:c>
      <x:c r="C1974" s="50" t="n">
        <x:v>4921</x:v>
      </x:c>
      <x:c r="D1974" s="50" t="n">
        <x:v>483</x:v>
      </x:c>
      <x:c r="E1974" s="50" t="n">
        <x:v>163.5</x:v>
      </x:c>
      <x:c r="F1974" s="37" t="n">
        <x:v>0.09815078236130868</x:v>
      </x:c>
      <x:c r="G1974" s="37" t="n">
        <x:v>0.03322495427758586</x:v>
      </x:c>
      <x:c r="H1974" s="56" t="n">
        <x:v>5106.4</x:v>
      </x:c>
      <x:c r="I1974" s="56" t="n">
        <x:v>0.664</x:v>
      </x:c>
      <x:c r="J1974" s="56" t="n">
        <x:v>28.790841017177435</x:v>
      </x:c>
      <x:c r="K1974" s="56" t="n">
        <x:v>73.18626152576616</x:v>
      </x:c>
      <x:c r="L1974" s="56" t="n">
        <x:v>106.69465932252308</x:v>
      </x:c>
    </x:row>
    <x:row r="1975" ht="21.600000381469727" hidden="0" customHeight="1">
      <x:c r="A1975" s="29" t="str">
        <x:v>King County, Washington</x:v>
      </x:c>
      <x:c r="B1975" s="29" t="str">
        <x:v>53033011101</x:v>
      </x:c>
      <x:c r="C1975" s="51" t="n">
        <x:v>4762</x:v>
      </x:c>
      <x:c r="D1975" s="51" t="n">
        <x:v>778</x:v>
      </x:c>
      <x:c r="E1975" s="51" t="n">
        <x:v>582</x:v>
      </x:c>
      <x:c r="F1975" s="38" t="n">
        <x:v>0.1633767324653507</x:v>
      </x:c>
      <x:c r="G1975" s="38" t="n">
        <x:v>0.12221755564888702</x:v>
      </x:c>
      <x:c r="H1975" s="57" t="n">
        <x:v>5092.5</x:v>
      </x:c>
      <x:c r="I1975" s="57" t="n">
        <x:v>0.439</x:v>
      </x:c>
      <x:c r="J1975" s="57" t="n">
        <x:v>26.58067073836941</x:v>
      </x:c>
      <x:c r="K1975" s="57" t="n">
        <x:v>69.87100610755411</x:v>
      </x:c>
      <x:c r="L1975" s="57" t="n">
        <x:v>101.95858015364874</x:v>
      </x:c>
    </x:row>
    <x:row r="1976" ht="21.600000381469727" hidden="0" customHeight="1">
      <x:c r="A1976" s="27" t="str">
        <x:v>King County, Washington</x:v>
      </x:c>
      <x:c r="B1976" s="27" t="str">
        <x:v>53033011102</x:v>
      </x:c>
      <x:c r="C1976" s="50" t="n">
        <x:v>5306</x:v>
      </x:c>
      <x:c r="D1976" s="50" t="n">
        <x:v>512</x:v>
      </x:c>
      <x:c r="E1976" s="50" t="n">
        <x:v>334</x:v>
      </x:c>
      <x:c r="F1976" s="37" t="n">
        <x:v>0.09649453448925745</x:v>
      </x:c>
      <x:c r="G1976" s="37" t="n">
        <x:v>0.06294760648322653</x:v>
      </x:c>
      <x:c r="H1976" s="56" t="n">
        <x:v>5518.599999999999</x:v>
      </x:c>
      <x:c r="I1976" s="56" t="n">
        <x:v>0.503</x:v>
      </x:c>
      <x:c r="J1976" s="56" t="n">
        <x:v>24.856333736282117</x:v>
      </x:c>
      <x:c r="K1976" s="56" t="n">
        <x:v>67.28450060442317</x:v>
      </x:c>
      <x:c r="L1976" s="56" t="n">
        <x:v>98.2635722920331</x:v>
      </x:c>
    </x:row>
    <x:row r="1977" ht="21.600000381469727" hidden="0" customHeight="1">
      <x:c r="A1977" s="29" t="str">
        <x:v>King County, Washington</x:v>
      </x:c>
      <x:c r="B1977" s="29" t="str">
        <x:v>53033011200</x:v>
      </x:c>
      <x:c r="C1977" s="51" t="n">
        <x:v>4002</x:v>
      </x:c>
      <x:c r="D1977" s="51" t="n">
        <x:v>479</x:v>
      </x:c>
      <x:c r="E1977" s="51" t="n">
        <x:v>184</x:v>
      </x:c>
      <x:c r="F1977" s="38" t="n">
        <x:v>0.11969015492253873</x:v>
      </x:c>
      <x:c r="G1977" s="38" t="n">
        <x:v>0.04597701149425287</x:v>
      </x:c>
      <x:c r="H1977" s="57" t="n">
        <x:v>4188.05</x:v>
      </x:c>
      <x:c r="I1977" s="57" t="n">
        <x:v>0.959</x:v>
      </x:c>
      <x:c r="J1977" s="57" t="n">
        <x:v>31.624007703032596</x:v>
      </x:c>
      <x:c r="K1977" s="57" t="n">
        <x:v>77.4360115545489</x:v>
      </x:c>
      <x:c r="L1977" s="57" t="n">
        <x:v>112.76573079221271</x:v>
      </x:c>
    </x:row>
    <x:row r="1978" ht="21.600000381469727" hidden="0" customHeight="1">
      <x:c r="A1978" s="27" t="str">
        <x:v>King County, Washington</x:v>
      </x:c>
      <x:c r="B1978" s="27" t="str">
        <x:v>53033011300</x:v>
      </x:c>
      <x:c r="C1978" s="50" t="n">
        <x:v>6261</x:v>
      </x:c>
      <x:c r="D1978" s="50" t="n">
        <x:v>970</x:v>
      </x:c>
      <x:c r="E1978" s="50" t="n">
        <x:v>520</x:v>
      </x:c>
      <x:c r="F1978" s="37" t="n">
        <x:v>0.1549273279028909</x:v>
      </x:c>
      <x:c r="G1978" s="37" t="n">
        <x:v>0.08305382526752915</x:v>
      </x:c>
      <x:c r="H1978" s="56" t="n">
        <x:v>6652.5</x:v>
      </x:c>
      <x:c r="I1978" s="56" t="n">
        <x:v>1.32</x:v>
      </x:c>
      <x:c r="J1978" s="56" t="n">
        <x:v>33.40388381523833</x:v>
      </x:c>
      <x:c r="K1978" s="56" t="n">
        <x:v>80.1058257228575</x:v>
      </x:c>
      <x:c r="L1978" s="56" t="n">
        <x:v>116.57975103265356</x:v>
      </x:c>
    </x:row>
    <x:row r="1979" ht="21.600000381469727" hidden="0" customHeight="1">
      <x:c r="A1979" s="29" t="str">
        <x:v>King County, Washington</x:v>
      </x:c>
      <x:c r="B1979" s="29" t="str">
        <x:v>53033011401</x:v>
      </x:c>
      <x:c r="C1979" s="51" t="n">
        <x:v>5029</x:v>
      </x:c>
      <x:c r="D1979" s="51" t="n">
        <x:v>711</x:v>
      </x:c>
      <x:c r="E1979" s="51" t="n">
        <x:v>214</x:v>
      </x:c>
      <x:c r="F1979" s="38" t="n">
        <x:v>0.14137999602306622</x:v>
      </x:c>
      <x:c r="G1979" s="38" t="n">
        <x:v>0.0425531914893617</x:v>
      </x:c>
      <x:c r="H1979" s="57" t="n">
        <x:v>5299.249999999999</x:v>
      </x:c>
      <x:c r="I1979" s="57" t="n">
        <x:v>0.476</x:v>
      </x:c>
      <x:c r="J1979" s="57" t="n">
        <x:v>34.3555663255847</x:v>
      </x:c>
      <x:c r="K1979" s="57" t="n">
        <x:v>81.53334948837704</x:v>
      </x:c>
      <x:c r="L1979" s="57" t="n">
        <x:v>118.6190706976815</x:v>
      </x:c>
    </x:row>
    <x:row r="1980" ht="21.600000381469727" hidden="0" customHeight="1">
      <x:c r="A1980" s="27" t="str">
        <x:v>King County, Washington</x:v>
      </x:c>
      <x:c r="B1980" s="27" t="str">
        <x:v>53033011402</x:v>
      </x:c>
      <x:c r="C1980" s="50" t="n">
        <x:v>4490</x:v>
      </x:c>
      <x:c r="D1980" s="50" t="n">
        <x:v>485</x:v>
      </x:c>
      <x:c r="E1980" s="50" t="n">
        <x:v>345.5</x:v>
      </x:c>
      <x:c r="F1980" s="37" t="n">
        <x:v>0.10801781737193764</x:v>
      </x:c>
      <x:c r="G1980" s="37" t="n">
        <x:v>0.07694877505567929</x:v>
      </x:c>
      <x:c r="H1980" s="56" t="n">
        <x:v>4694.299999999999</x:v>
      </x:c>
      <x:c r="I1980" s="56" t="n">
        <x:v>0.458</x:v>
      </x:c>
      <x:c r="J1980" s="56" t="n">
        <x:v>34.64376863547148</x:v>
      </x:c>
      <x:c r="K1980" s="56" t="n">
        <x:v>81.96565295320723</x:v>
      </x:c>
      <x:c r="L1980" s="56" t="n">
        <x:v>119.23664707601031</x:v>
      </x:c>
    </x:row>
    <x:row r="1981" ht="21.600000381469727" hidden="0" customHeight="1">
      <x:c r="A1981" s="29" t="str">
        <x:v>King County, Washington</x:v>
      </x:c>
      <x:c r="B1981" s="29" t="str">
        <x:v>53033011500</x:v>
      </x:c>
      <x:c r="C1981" s="51" t="n">
        <x:v>4449</x:v>
      </x:c>
      <x:c r="D1981" s="51" t="n">
        <x:v>399</x:v>
      </x:c>
      <x:c r="E1981" s="51" t="n">
        <x:v>112</x:v>
      </x:c>
      <x:c r="F1981" s="38" t="n">
        <x:v>0.08968307484828052</x:v>
      </x:c>
      <x:c r="G1981" s="38" t="n">
        <x:v>0.025174196448640145</x:v>
      </x:c>
      <x:c r="H1981" s="57" t="n">
        <x:v>4599.85</x:v>
      </x:c>
      <x:c r="I1981" s="57" t="n">
        <x:v>0.594</x:v>
      </x:c>
      <x:c r="J1981" s="57" t="n">
        <x:v>34.505451274134465</x:v>
      </x:c>
      <x:c r="K1981" s="57" t="n">
        <x:v>81.7581769112017</x:v>
      </x:c>
      <x:c r="L1981" s="57" t="n">
        <x:v>118.94025273028815</x:v>
      </x:c>
    </x:row>
    <x:row r="1982" ht="21.600000381469727" hidden="0" customHeight="1">
      <x:c r="A1982" s="27" t="str">
        <x:v>King County, Washington</x:v>
      </x:c>
      <x:c r="B1982" s="27" t="str">
        <x:v>53033011601</x:v>
      </x:c>
      <x:c r="C1982" s="50" t="n">
        <x:v>3440</x:v>
      </x:c>
      <x:c r="D1982" s="50" t="n">
        <x:v>331</x:v>
      </x:c>
      <x:c r="E1982" s="50" t="n">
        <x:v>82</x:v>
      </x:c>
      <x:c r="F1982" s="37" t="n">
        <x:v>0.09622093023255814</x:v>
      </x:c>
      <x:c r="G1982" s="37" t="n">
        <x:v>0.023837209302325583</x:v>
      </x:c>
      <x:c r="H1982" s="56" t="n">
        <x:v>3564.05</x:v>
      </x:c>
      <x:c r="I1982" s="56" t="n">
        <x:v>0.6</x:v>
      </x:c>
      <x:c r="J1982" s="56" t="n">
        <x:v>35.27180016003186</x:v>
      </x:c>
      <x:c r="K1982" s="56" t="n">
        <x:v>82.90770024004779</x:v>
      </x:c>
      <x:c r="L1982" s="56" t="n">
        <x:v>120.58242891435398</x:v>
      </x:c>
    </x:row>
    <x:row r="1983" ht="21.600000381469727" hidden="0" customHeight="1">
      <x:c r="A1983" s="29" t="str">
        <x:v>King County, Washington</x:v>
      </x:c>
      <x:c r="B1983" s="29" t="str">
        <x:v>53033011602</x:v>
      </x:c>
      <x:c r="C1983" s="51" t="n">
        <x:v>3584</x:v>
      </x:c>
      <x:c r="D1983" s="51" t="n">
        <x:v>261</x:v>
      </x:c>
      <x:c r="E1983" s="51" t="n">
        <x:v>106</x:v>
      </x:c>
      <x:c r="F1983" s="38" t="n">
        <x:v>0.07282366071428571</x:v>
      </x:c>
      <x:c r="G1983" s="38" t="n">
        <x:v>0.029575892857142856</x:v>
      </x:c>
      <x:c r="H1983" s="57" t="n">
        <x:v>3685.95</x:v>
      </x:c>
      <x:c r="I1983" s="57" t="n">
        <x:v>0.605</x:v>
      </x:c>
      <x:c r="J1983" s="57" t="n">
        <x:v>34.38874338904877</x:v>
      </x:c>
      <x:c r="K1983" s="57" t="n">
        <x:v>81.58311508357316</x:v>
      </x:c>
      <x:c r="L1983" s="57" t="n">
        <x:v>118.69016440510451</x:v>
      </x:c>
    </x:row>
    <x:row r="1984" ht="21.600000381469727" hidden="0" customHeight="1">
      <x:c r="A1984" s="27" t="str">
        <x:v>King County, Washington</x:v>
      </x:c>
      <x:c r="B1984" s="27" t="str">
        <x:v>53033011700</x:v>
      </x:c>
      <x:c r="C1984" s="50" t="n">
        <x:v>5904</x:v>
      </x:c>
      <x:c r="D1984" s="50" t="n">
        <x:v>576</x:v>
      </x:c>
      <x:c r="E1984" s="50" t="n">
        <x:v>200</x:v>
      </x:c>
      <x:c r="F1984" s="37" t="n">
        <x:v>0.0975609756097561</x:v>
      </x:c>
      <x:c r="G1984" s="37" t="n">
        <x:v>0.03387533875338753</x:v>
      </x:c>
      <x:c r="H1984" s="56" t="n">
        <x:v>6125.6</x:v>
      </x:c>
      <x:c r="I1984" s="56" t="n">
        <x:v>1.357</x:v>
      </x:c>
      <x:c r="J1984" s="56" t="n">
        <x:v>27.41923185502715</x:v>
      </x:c>
      <x:c r="K1984" s="56" t="n">
        <x:v>71.12884778254073</x:v>
      </x:c>
      <x:c r="L1984" s="56" t="n">
        <x:v>103.75549683220103</x:v>
      </x:c>
    </x:row>
    <x:row r="1985" ht="21.600000381469727" hidden="0" customHeight="1">
      <x:c r="A1985" s="29" t="str">
        <x:v>King County, Washington</x:v>
      </x:c>
      <x:c r="B1985" s="29" t="str">
        <x:v>53033011801</x:v>
      </x:c>
      <x:c r="C1985" s="51" t="n">
        <x:v>3465</x:v>
      </x:c>
      <x:c r="D1985" s="51" t="n">
        <x:v>379</x:v>
      </x:c>
      <x:c r="E1985" s="51" t="n">
        <x:v>153</x:v>
      </x:c>
      <x:c r="F1985" s="38" t="n">
        <x:v>0.10937950937950938</x:v>
      </x:c>
      <x:c r="G1985" s="38" t="n">
        <x:v>0.04415584415584416</x:v>
      </x:c>
      <x:c r="H1985" s="57" t="n">
        <x:v>3612.95</x:v>
      </x:c>
      <x:c r="I1985" s="57" t="n">
        <x:v>0.448</x:v>
      </x:c>
      <x:c r="J1985" s="57" t="n">
        <x:v>25.531476958748776</x:v>
      </x:c>
      <x:c r="K1985" s="57" t="n">
        <x:v>68.29721543812316</x:v>
      </x:c>
      <x:c r="L1985" s="57" t="n">
        <x:v>99.71030776874738</x:v>
      </x:c>
    </x:row>
    <x:row r="1986" ht="21.600000381469727" hidden="0" customHeight="1">
      <x:c r="A1986" s="27" t="str">
        <x:v>King County, Washington</x:v>
      </x:c>
      <x:c r="B1986" s="27" t="str">
        <x:v>53033011802</x:v>
      </x:c>
      <x:c r="C1986" s="50" t="n">
        <x:v>5152</x:v>
      </x:c>
      <x:c r="D1986" s="50" t="n">
        <x:v>556</x:v>
      </x:c>
      <x:c r="E1986" s="50" t="n">
        <x:v>605.5</x:v>
      </x:c>
      <x:c r="F1986" s="37" t="n">
        <x:v>0.10791925465838509</x:v>
      </x:c>
      <x:c r="G1986" s="37" t="n">
        <x:v>0.11752717391304347</x:v>
      </x:c>
      <x:c r="H1986" s="56" t="n">
        <x:v>5407.150000000001</x:v>
      </x:c>
      <x:c r="I1986" s="56" t="n">
        <x:v>0.44</x:v>
      </x:c>
      <x:c r="J1986" s="56" t="n">
        <x:v>25.029636570813782</x:v>
      </x:c>
      <x:c r="K1986" s="56" t="n">
        <x:v>67.54445485622067</x:v>
      </x:c>
      <x:c r="L1986" s="56" t="n">
        <x:v>98.63493550888667</x:v>
      </x:c>
    </x:row>
    <x:row r="1987" ht="21.600000381469727" hidden="0" customHeight="1">
      <x:c r="A1987" s="29" t="str">
        <x:v>King County, Washington</x:v>
      </x:c>
      <x:c r="B1987" s="29" t="str">
        <x:v>53033011901</x:v>
      </x:c>
      <x:c r="C1987" s="51" t="n">
        <x:v>4925</x:v>
      </x:c>
      <x:c r="D1987" s="51" t="n">
        <x:v>756</x:v>
      </x:c>
      <x:c r="E1987" s="51" t="n">
        <x:v>114</x:v>
      </x:c>
      <x:c r="F1987" s="38" t="n">
        <x:v>0.15350253807106598</x:v>
      </x:c>
      <x:c r="G1987" s="38" t="n">
        <x:v>0.02314720812182741</x:v>
      </x:c>
      <x:c r="H1987" s="57" t="n">
        <x:v>5201</x:v>
      </x:c>
      <x:c r="I1987" s="57" t="n">
        <x:v>0.65</x:v>
      </x:c>
      <x:c r="J1987" s="57" t="n">
        <x:v>26.086828093825098</x:v>
      </x:c>
      <x:c r="K1987" s="57" t="n">
        <x:v>69.13024214073765</x:v>
      </x:c>
      <x:c r="L1987" s="57" t="n">
        <x:v>100.9003459153395</x:v>
      </x:c>
    </x:row>
    <x:row r="1988" ht="21.600000381469727" hidden="0" customHeight="1">
      <x:c r="A1988" s="27" t="str">
        <x:v>King County, Washington</x:v>
      </x:c>
      <x:c r="B1988" s="27" t="str">
        <x:v>53033011902</x:v>
      </x:c>
      <x:c r="C1988" s="50" t="n">
        <x:v>3140</x:v>
      </x:c>
      <x:c r="D1988" s="50" t="n">
        <x:v>223</x:v>
      </x:c>
      <x:c r="E1988" s="50" t="n">
        <x:v>49</x:v>
      </x:c>
      <x:c r="F1988" s="37" t="n">
        <x:v>0.07101910828025478</x:v>
      </x:c>
      <x:c r="G1988" s="37" t="n">
        <x:v>0.015605095541401274</x:v>
      </x:c>
      <x:c r="H1988" s="56" t="n">
        <x:v>3222.9500000000003</x:v>
      </x:c>
      <x:c r="I1988" s="56" t="n">
        <x:v>0.61</x:v>
      </x:c>
      <x:c r="J1988" s="56" t="n">
        <x:v>23.862118425823102</x:v>
      </x:c>
      <x:c r="K1988" s="56" t="n">
        <x:v>65.79317763873465</x:v>
      </x:c>
      <x:c r="L1988" s="56" t="n">
        <x:v>96.13311091247807</x:v>
      </x:c>
    </x:row>
    <x:row r="1989" ht="21.600000381469727" hidden="0" customHeight="1">
      <x:c r="A1989" s="29" t="str">
        <x:v>King County, Washington</x:v>
      </x:c>
      <x:c r="B1989" s="29" t="str">
        <x:v>53033012000</x:v>
      </x:c>
      <x:c r="C1989" s="51" t="n">
        <x:v>3340</x:v>
      </x:c>
      <x:c r="D1989" s="51" t="n">
        <x:v>220</x:v>
      </x:c>
      <x:c r="E1989" s="51" t="n">
        <x:v>0</x:v>
      </x:c>
      <x:c r="F1989" s="38" t="n">
        <x:v>0.0658682634730539</x:v>
      </x:c>
      <x:c r="G1989" s="38" t="n">
        <x:v>0</x:v>
      </x:c>
      <x:c r="H1989" s="57" t="n">
        <x:v>3417.0000000000005</x:v>
      </x:c>
      <x:c r="I1989" s="57" t="n">
        <x:v>0.555</x:v>
      </x:c>
      <x:c r="J1989" s="57" t="n">
        <x:v>33.591487654519455</x:v>
      </x:c>
      <x:c r="K1989" s="57" t="n">
        <x:v>80.38723148177918</x:v>
      </x:c>
      <x:c r="L1989" s="57" t="n">
        <x:v>116.98175925968454</x:v>
      </x:c>
    </x:row>
    <x:row r="1990" ht="21.600000381469727" hidden="0" customHeight="1">
      <x:c r="A1990" s="27" t="str">
        <x:v>King County, Washington</x:v>
      </x:c>
      <x:c r="B1990" s="27" t="str">
        <x:v>53033012100</x:v>
      </x:c>
      <x:c r="C1990" s="50" t="n">
        <x:v>2783</x:v>
      </x:c>
      <x:c r="D1990" s="50" t="n">
        <x:v>281</x:v>
      </x:c>
      <x:c r="E1990" s="50" t="n">
        <x:v>0</x:v>
      </x:c>
      <x:c r="F1990" s="37" t="n">
        <x:v>0.1009701760689903</x:v>
      </x:c>
      <x:c r="G1990" s="37" t="n">
        <x:v>0</x:v>
      </x:c>
      <x:c r="H1990" s="56" t="n">
        <x:v>2881.35</x:v>
      </x:c>
      <x:c r="I1990" s="56" t="n">
        <x:v>0.672</x:v>
      </x:c>
      <x:c r="J1990" s="56" t="n">
        <x:v>32.87303811821396</x:v>
      </x:c>
      <x:c r="K1990" s="56" t="n">
        <x:v>79.30955717732094</x:v>
      </x:c>
      <x:c r="L1990" s="56" t="n">
        <x:v>115.44222453902992</x:v>
      </x:c>
    </x:row>
    <x:row r="1991" ht="21.600000381469727" hidden="0" customHeight="1">
      <x:c r="A1991" s="29" t="str">
        <x:v>King County, Washington</x:v>
      </x:c>
      <x:c r="B1991" s="29" t="str">
        <x:v>53033020100</x:v>
      </x:c>
      <x:c r="C1991" s="51" t="n">
        <x:v>3443</x:v>
      </x:c>
      <x:c r="D1991" s="51" t="n">
        <x:v>374</x:v>
      </x:c>
      <x:c r="E1991" s="51" t="n">
        <x:v>81</x:v>
      </x:c>
      <x:c r="F1991" s="38" t="n">
        <x:v>0.10862619808306709</x:v>
      </x:c>
      <x:c r="G1991" s="38" t="n">
        <x:v>0.023525994772001162</x:v>
      </x:c>
      <x:c r="H1991" s="57" t="n">
        <x:v>3581.9999999999995</x:v>
      </x:c>
      <x:c r="I1991" s="57" t="n">
        <x:v>0.682</x:v>
      </x:c>
      <x:c r="J1991" s="57" t="n">
        <x:v>7.732945938871521</x:v>
      </x:c>
      <x:c r="K1991" s="57" t="n">
        <x:v>41.599418908307285</x:v>
      </x:c>
      <x:c r="L1991" s="57" t="n">
        <x:v>61.57059844043897</x:v>
      </x:c>
    </x:row>
    <x:row r="1992" ht="21.600000381469727" hidden="0" customHeight="1">
      <x:c r="A1992" s="27" t="str">
        <x:v>King County, Washington</x:v>
      </x:c>
      <x:c r="B1992" s="27" t="str">
        <x:v>53033020200</x:v>
      </x:c>
      <x:c r="C1992" s="50" t="n">
        <x:v>5799</x:v>
      </x:c>
      <x:c r="D1992" s="50" t="n">
        <x:v>875</x:v>
      </x:c>
      <x:c r="E1992" s="50" t="n">
        <x:v>218</x:v>
      </x:c>
      <x:c r="F1992" s="37" t="n">
        <x:v>0.15088808415244007</x:v>
      </x:c>
      <x:c r="G1992" s="37" t="n">
        <x:v>0.03759268839455079</x:v>
      </x:c>
      <x:c r="H1992" s="56" t="n">
        <x:v>6127.049999999999</x:v>
      </x:c>
      <x:c r="I1992" s="56" t="n">
        <x:v>1.001</x:v>
      </x:c>
      <x:c r="J1992" s="56" t="n">
        <x:v>5.509483210507103</x:v>
      </x:c>
      <x:c r="K1992" s="56" t="n">
        <x:v>38.264224815760656</x:v>
      </x:c>
      <x:c r="L1992" s="56" t="n">
        <x:v>56.80603545108665</x:v>
      </x:c>
    </x:row>
    <x:row r="1993" ht="21.600000381469727" hidden="0" customHeight="1">
      <x:c r="A1993" s="29" t="str">
        <x:v>King County, Washington</x:v>
      </x:c>
      <x:c r="B1993" s="29" t="str">
        <x:v>53033020301</x:v>
      </x:c>
      <x:c r="C1993" s="51" t="n">
        <x:v>3421</x:v>
      </x:c>
      <x:c r="D1993" s="51" t="n">
        <x:v>559</x:v>
      </x:c>
      <x:c r="E1993" s="51" t="n">
        <x:v>337</x:v>
      </x:c>
      <x:c r="F1993" s="38" t="n">
        <x:v>0.163402513884829</x:v>
      </x:c>
      <x:c r="G1993" s="38" t="n">
        <x:v>0.09850920783396667</x:v>
      </x:c>
      <x:c r="H1993" s="57" t="n">
        <x:v>3650.35</x:v>
      </x:c>
      <x:c r="I1993" s="57" t="n">
        <x:v>0.487</x:v>
      </x:c>
      <x:c r="J1993" s="57" t="n">
        <x:v>3.620419235086449</x:v>
      </x:c>
      <x:c r="K1993" s="57" t="n">
        <x:v>35.430628852629674</x:v>
      </x:c>
      <x:c r="L1993" s="57" t="n">
        <x:v>52.75804121804239</x:v>
      </x:c>
    </x:row>
    <x:row r="1994" ht="21.600000381469727" hidden="0" customHeight="1">
      <x:c r="A1994" s="27" t="str">
        <x:v>King County, Washington</x:v>
      </x:c>
      <x:c r="B1994" s="27" t="str">
        <x:v>53033020302</x:v>
      </x:c>
      <x:c r="C1994" s="50" t="n">
        <x:v>4150</x:v>
      </x:c>
      <x:c r="D1994" s="50" t="n">
        <x:v>764</x:v>
      </x:c>
      <x:c r="E1994" s="50" t="n">
        <x:v>219</x:v>
      </x:c>
      <x:c r="F1994" s="37" t="n">
        <x:v>0.18409638554216867</x:v>
      </x:c>
      <x:c r="G1994" s="37" t="n">
        <x:v>0.052771084337349394</x:v>
      </x:c>
      <x:c r="H1994" s="56" t="n">
        <x:v>4439.299999999999</x:v>
      </x:c>
      <x:c r="I1994" s="56" t="n">
        <x:v>0.5</x:v>
      </x:c>
      <x:c r="J1994" s="56" t="n">
        <x:v>3.060820462341392</x:v>
      </x:c>
      <x:c r="K1994" s="56" t="n">
        <x:v>34.59123069351209</x:v>
      </x:c>
      <x:c r="L1994" s="56" t="n">
        <x:v>51.55890099073155</x:v>
      </x:c>
    </x:row>
    <x:row r="1995" ht="21.600000381469727" hidden="0" customHeight="1">
      <x:c r="A1995" s="29" t="str">
        <x:v>King County, Washington</x:v>
      </x:c>
      <x:c r="B1995" s="29" t="str">
        <x:v>53033020401</x:v>
      </x:c>
      <x:c r="C1995" s="51" t="n">
        <x:v>4611</x:v>
      </x:c>
      <x:c r="D1995" s="51" t="n">
        <x:v>583</x:v>
      </x:c>
      <x:c r="E1995" s="51" t="n">
        <x:v>10</x:v>
      </x:c>
      <x:c r="F1995" s="38" t="n">
        <x:v>0.12643678160919541</x:v>
      </x:c>
      <x:c r="G1995" s="38" t="n">
        <x:v>0.002168726957276079</x:v>
      </x:c>
      <x:c r="H1995" s="57" t="n">
        <x:v>4816.05</x:v>
      </x:c>
      <x:c r="I1995" s="57" t="n">
        <x:v>0.893</x:v>
      </x:c>
      <x:c r="J1995" s="57" t="n">
        <x:v>2.2621467728467275</x:v>
      </x:c>
      <x:c r="K1995" s="57" t="n">
        <x:v>33.39322015927009</x:v>
      </x:c>
      <x:c r="L1995" s="57" t="n">
        <x:v>49.84745737038585</x:v>
      </x:c>
    </x:row>
    <x:row r="1996" ht="21.600000381469727" hidden="0" customHeight="1">
      <x:c r="A1996" s="27" t="str">
        <x:v>King County, Washington</x:v>
      </x:c>
      <x:c r="B1996" s="27" t="str">
        <x:v>53033020402</x:v>
      </x:c>
      <x:c r="C1996" s="50" t="n">
        <x:v>5595</x:v>
      </x:c>
      <x:c r="D1996" s="50" t="n">
        <x:v>449</x:v>
      </x:c>
      <x:c r="E1996" s="50" t="n">
        <x:v>17</x:v>
      </x:c>
      <x:c r="F1996" s="37" t="n">
        <x:v>0.08025022341376228</x:v>
      </x:c>
      <x:c r="G1996" s="37" t="n">
        <x:v>0.0030384271671134943</x:v>
      </x:c>
      <x:c r="H1996" s="56" t="n">
        <x:v>5753.849999999999</x:v>
      </x:c>
      <x:c r="I1996" s="56" t="n">
        <x:v>1.077</x:v>
      </x:c>
      <x:c r="J1996" s="56" t="n">
        <x:v>2.6116934760632073</x:v>
      </x:c>
      <x:c r="K1996" s="56" t="n">
        <x:v>33.917540214094814</x:v>
      </x:c>
      <x:c r="L1996" s="56" t="n">
        <x:v>50.596486020135444</x:v>
      </x:c>
    </x:row>
    <x:row r="1997" ht="21.600000381469727" hidden="0" customHeight="1">
      <x:c r="A1997" s="29" t="str">
        <x:v>King County, Washington</x:v>
      </x:c>
      <x:c r="B1997" s="29" t="str">
        <x:v>53033020500</x:v>
      </x:c>
      <x:c r="C1997" s="51" t="n">
        <x:v>7753</x:v>
      </x:c>
      <x:c r="D1997" s="51" t="n">
        <x:v>1169</x:v>
      </x:c>
      <x:c r="E1997" s="51" t="n">
        <x:v>261.5</x:v>
      </x:c>
      <x:c r="F1997" s="38" t="n">
        <x:v>0.15078034309299626</x:v>
      </x:c>
      <x:c r="G1997" s="38" t="n">
        <x:v>0.033728879143557336</x:v>
      </x:c>
      <x:c r="H1997" s="57" t="n">
        <x:v>8188.3</x:v>
      </x:c>
      <x:c r="I1997" s="57" t="n">
        <x:v>1.051</x:v>
      </x:c>
      <x:c r="J1997" s="57" t="n">
        <x:v>0</x:v>
      </x:c>
      <x:c r="K1997" s="57" t="n">
        <x:v>30</x:v>
      </x:c>
      <x:c r="L1997" s="57" t="n">
        <x:v>45</x:v>
      </x:c>
    </x:row>
    <x:row r="1998" ht="21.600000381469727" hidden="0" customHeight="1">
      <x:c r="A1998" s="27" t="str">
        <x:v>King County, Washington</x:v>
      </x:c>
      <x:c r="B1998" s="27" t="str">
        <x:v>53033020600</x:v>
      </x:c>
      <x:c r="C1998" s="50" t="n">
        <x:v>4008</x:v>
      </x:c>
      <x:c r="D1998" s="50" t="n">
        <x:v>322</x:v>
      </x:c>
      <x:c r="E1998" s="50" t="n">
        <x:v>78</x:v>
      </x:c>
      <x:c r="F1998" s="37" t="n">
        <x:v>0.08033932135728543</x:v>
      </x:c>
      <x:c r="G1998" s="37" t="n">
        <x:v>0.019461077844311378</x:v>
      </x:c>
      <x:c r="H1998" s="56" t="n">
        <x:v>4128.5</x:v>
      </x:c>
      <x:c r="I1998" s="56" t="n">
        <x:v>0.765</x:v>
      </x:c>
      <x:c r="J1998" s="56" t="n">
        <x:v>1.8465995529229868</x:v>
      </x:c>
      <x:c r="K1998" s="56" t="n">
        <x:v>32.76989932938448</x:v>
      </x:c>
      <x:c r="L1998" s="56" t="n">
        <x:v>48.95699904197783</x:v>
      </x:c>
    </x:row>
    <x:row r="1999" ht="21.600000381469727" hidden="0" customHeight="1">
      <x:c r="A1999" s="29" t="str">
        <x:v>King County, Washington</x:v>
      </x:c>
      <x:c r="B1999" s="29" t="str">
        <x:v>53033020700</x:v>
      </x:c>
      <x:c r="C1999" s="51" t="n">
        <x:v>4334</x:v>
      </x:c>
      <x:c r="D1999" s="51" t="n">
        <x:v>771</x:v>
      </x:c>
      <x:c r="E1999" s="51" t="n">
        <x:v>348.5</x:v>
      </x:c>
      <x:c r="F1999" s="38" t="n">
        <x:v>0.17789570835256113</x:v>
      </x:c>
      <x:c r="G1999" s="38" t="n">
        <x:v>0.08041070604522381</x:v>
      </x:c>
      <x:c r="H1999" s="57" t="n">
        <x:v>4638.700000000001</x:v>
      </x:c>
      <x:c r="I1999" s="57" t="n">
        <x:v>0.661</x:v>
      </x:c>
      <x:c r="J1999" s="57" t="n">
        <x:v>3.3825349834901717</x:v>
      </x:c>
      <x:c r="K1999" s="57" t="n">
        <x:v>35.073802475235254</x:v>
      </x:c>
      <x:c r="L1999" s="57" t="n">
        <x:v>52.24828925033608</x:v>
      </x:c>
    </x:row>
    <x:row r="2000" ht="21.600000381469727" hidden="0" customHeight="1">
      <x:c r="A2000" s="27" t="str">
        <x:v>King County, Washington</x:v>
      </x:c>
      <x:c r="B2000" s="27" t="str">
        <x:v>53033020800</x:v>
      </x:c>
      <x:c r="C2000" s="50" t="n">
        <x:v>4878</x:v>
      </x:c>
      <x:c r="D2000" s="50" t="n">
        <x:v>707</x:v>
      </x:c>
      <x:c r="E2000" s="50" t="n">
        <x:v>180</x:v>
      </x:c>
      <x:c r="F2000" s="37" t="n">
        <x:v>0.14493644936449365</x:v>
      </x:c>
      <x:c r="G2000" s="37" t="n">
        <x:v>0.03690036900369004</x:v>
      </x:c>
      <x:c r="H2000" s="56" t="n">
        <x:v>5143.45</x:v>
      </x:c>
      <x:c r="I2000" s="56" t="n">
        <x:v>1.274</x:v>
      </x:c>
      <x:c r="J2000" s="56" t="n">
        <x:v>5.835318969948679</x:v>
      </x:c>
      <x:c r="K2000" s="56" t="n">
        <x:v>38.75297845492302</x:v>
      </x:c>
      <x:c r="L2000" s="56" t="n">
        <x:v>57.50425493560431</x:v>
      </x:c>
    </x:row>
    <x:row r="2001" ht="21.600000381469727" hidden="0" customHeight="1">
      <x:c r="A2001" s="29" t="str">
        <x:v>King County, Washington</x:v>
      </x:c>
      <x:c r="B2001" s="29" t="str">
        <x:v>53033020900</x:v>
      </x:c>
      <x:c r="C2001" s="51" t="n">
        <x:v>4223</x:v>
      </x:c>
      <x:c r="D2001" s="51" t="n">
        <x:v>730</x:v>
      </x:c>
      <x:c r="E2001" s="51" t="n">
        <x:v>276</x:v>
      </x:c>
      <x:c r="F2001" s="38" t="n">
        <x:v>0.17286289367748045</x:v>
      </x:c>
      <x:c r="G2001" s="38" t="n">
        <x:v>0.065356381719157</x:v>
      </x:c>
      <x:c r="H2001" s="57" t="n">
        <x:v>4506.099999999999</x:v>
      </x:c>
      <x:c r="I2001" s="57" t="n">
        <x:v>1.753</x:v>
      </x:c>
      <x:c r="J2001" s="57" t="n">
        <x:v>5.418528838995194</x:v>
      </x:c>
      <x:c r="K2001" s="57" t="n">
        <x:v>38.12779325849279</x:v>
      </x:c>
      <x:c r="L2001" s="57" t="n">
        <x:v>56.611133226418275</x:v>
      </x:c>
    </x:row>
    <x:row r="2002" ht="21.600000381469727" hidden="0" customHeight="1">
      <x:c r="A2002" s="27" t="str">
        <x:v>King County, Washington</x:v>
      </x:c>
      <x:c r="B2002" s="27" t="str">
        <x:v>53033021000</x:v>
      </x:c>
      <x:c r="C2002" s="50" t="n">
        <x:v>5930</x:v>
      </x:c>
      <x:c r="D2002" s="50" t="n">
        <x:v>839</x:v>
      </x:c>
      <x:c r="E2002" s="50" t="n">
        <x:v>147</x:v>
      </x:c>
      <x:c r="F2002" s="37" t="n">
        <x:v>0.1414839797639123</x:v>
      </x:c>
      <x:c r="G2002" s="37" t="n">
        <x:v>0.02478920741989882</x:v>
      </x:c>
      <x:c r="H2002" s="56" t="n">
        <x:v>6238.350000000001</x:v>
      </x:c>
      <x:c r="I2002" s="56" t="n">
        <x:v>1.015</x:v>
      </x:c>
      <x:c r="J2002" s="56" t="n">
        <x:v>3.3421191494812152</x:v>
      </x:c>
      <x:c r="K2002" s="56" t="n">
        <x:v>35.013178724221824</x:v>
      </x:c>
      <x:c r="L2002" s="56" t="n">
        <x:v>52.16168389174546</x:v>
      </x:c>
    </x:row>
    <x:row r="2003" ht="21.600000381469727" hidden="0" customHeight="1">
      <x:c r="A2003" s="29" t="str">
        <x:v>King County, Washington</x:v>
      </x:c>
      <x:c r="B2003" s="29" t="str">
        <x:v>53033021100</x:v>
      </x:c>
      <x:c r="C2003" s="51" t="n">
        <x:v>4021</x:v>
      </x:c>
      <x:c r="D2003" s="51" t="n">
        <x:v>477</x:v>
      </x:c>
      <x:c r="E2003" s="51" t="n">
        <x:v>112</x:v>
      </x:c>
      <x:c r="F2003" s="38" t="n">
        <x:v>0.11862720716239741</x:v>
      </x:c>
      <x:c r="G2003" s="38" t="n">
        <x:v>0.027853767719472768</x:v>
      </x:c>
      <x:c r="H2003" s="57" t="n">
        <x:v>4199.15</x:v>
      </x:c>
      <x:c r="I2003" s="57" t="n">
        <x:v>1.011</x:v>
      </x:c>
      <x:c r="J2003" s="57" t="n">
        <x:v>2.2606648897051733</x:v>
      </x:c>
      <x:c r="K2003" s="57" t="n">
        <x:v>33.39099733455776</x:v>
      </x:c>
      <x:c r="L2003" s="57" t="n">
        <x:v>49.844281906511085</x:v>
      </x:c>
    </x:row>
    <x:row r="2004" ht="21.600000381469727" hidden="0" customHeight="1">
      <x:c r="A2004" s="27" t="str">
        <x:v>King County, Washington</x:v>
      </x:c>
      <x:c r="B2004" s="27" t="str">
        <x:v>53033021300</x:v>
      </x:c>
      <x:c r="C2004" s="50" t="n">
        <x:v>4284</x:v>
      </x:c>
      <x:c r="D2004" s="50" t="n">
        <x:v>592</x:v>
      </x:c>
      <x:c r="E2004" s="50" t="n">
        <x:v>117</x:v>
      </x:c>
      <x:c r="F2004" s="37" t="n">
        <x:v>0.13818860877684408</x:v>
      </x:c>
      <x:c r="G2004" s="37" t="n">
        <x:v>0.0273109243697479</x:v>
      </x:c>
      <x:c r="H2004" s="56" t="n">
        <x:v>4502.900000000001</x:v>
      </x:c>
      <x:c r="I2004" s="56" t="n">
        <x:v>0.689</x:v>
      </x:c>
      <x:c r="J2004" s="56" t="n">
        <x:v>3.617079799517111</x:v>
      </x:c>
      <x:c r="K2004" s="56" t="n">
        <x:v>35.425619699275664</x:v>
      </x:c>
      <x:c r="L2004" s="56" t="n">
        <x:v>52.750885284679526</x:v>
      </x:c>
    </x:row>
    <x:row r="2005" ht="21.600000381469727" hidden="0" customHeight="1">
      <x:c r="A2005" s="29" t="str">
        <x:v>King County, Washington</x:v>
      </x:c>
      <x:c r="B2005" s="29" t="str">
        <x:v>53033021400</x:v>
      </x:c>
      <x:c r="C2005" s="51" t="n">
        <x:v>3763</x:v>
      </x:c>
      <x:c r="D2005" s="51" t="n">
        <x:v>320</x:v>
      </x:c>
      <x:c r="E2005" s="51" t="n">
        <x:v>60.5</x:v>
      </x:c>
      <x:c r="F2005" s="38" t="n">
        <x:v>0.08503853308530428</x:v>
      </x:c>
      <x:c r="G2005" s="38" t="n">
        <x:v>0.01607759766144034</x:v>
      </x:c>
      <x:c r="H2005" s="57" t="n">
        <x:v>3881.05</x:v>
      </x:c>
      <x:c r="I2005" s="57" t="n">
        <x:v>1.211</x:v>
      </x:c>
      <x:c r="J2005" s="57" t="n">
        <x:v>2.3073791933706396</x:v>
      </x:c>
      <x:c r="K2005" s="57" t="n">
        <x:v>33.46106879005596</x:v>
      </x:c>
      <x:c r="L2005" s="57" t="n">
        <x:v>49.944383985794225</x:v>
      </x:c>
    </x:row>
    <x:row r="2006" ht="21.600000381469727" hidden="0" customHeight="1">
      <x:c r="A2006" s="27" t="str">
        <x:v>King County, Washington</x:v>
      </x:c>
      <x:c r="B2006" s="27" t="str">
        <x:v>53033021500</x:v>
      </x:c>
      <x:c r="C2006" s="50" t="n">
        <x:v>4612</x:v>
      </x:c>
      <x:c r="D2006" s="50" t="n">
        <x:v>247</x:v>
      </x:c>
      <x:c r="E2006" s="50" t="n">
        <x:v>58.5</x:v>
      </x:c>
      <x:c r="F2006" s="37" t="n">
        <x:v>0.053555941023417174</x:v>
      </x:c>
      <x:c r="G2006" s="37" t="n">
        <x:v>0.012684301821335646</x:v>
      </x:c>
      <x:c r="H2006" s="56" t="n">
        <x:v>4704.299999999999</x:v>
      </x:c>
      <x:c r="I2006" s="56" t="n">
        <x:v>1.335</x:v>
      </x:c>
      <x:c r="J2006" s="56" t="n">
        <x:v>4.218890477731462</x:v>
      </x:c>
      <x:c r="K2006" s="56" t="n">
        <x:v>36.328335716597195</x:v>
      </x:c>
      <x:c r="L2006" s="56" t="n">
        <x:v>54.04047959513885</x:v>
      </x:c>
    </x:row>
    <x:row r="2007" ht="21.600000381469727" hidden="0" customHeight="1">
      <x:c r="A2007" s="29" t="str">
        <x:v>King County, Washington</x:v>
      </x:c>
      <x:c r="B2007" s="29" t="str">
        <x:v>53033021600</x:v>
      </x:c>
      <x:c r="C2007" s="51" t="n">
        <x:v>5774</x:v>
      </x:c>
      <x:c r="D2007" s="51" t="n">
        <x:v>511</x:v>
      </x:c>
      <x:c r="E2007" s="51" t="n">
        <x:v>267</x:v>
      </x:c>
      <x:c r="F2007" s="38" t="n">
        <x:v>0.0885001731901628</x:v>
      </x:c>
      <x:c r="G2007" s="38" t="n">
        <x:v>0.04624177346726706</x:v>
      </x:c>
      <x:c r="H2007" s="57" t="n">
        <x:v>5979.55</x:v>
      </x:c>
      <x:c r="I2007" s="57" t="n">
        <x:v>1.106</x:v>
      </x:c>
      <x:c r="J2007" s="57" t="n">
        <x:v>5.832097126530248</x:v>
      </x:c>
      <x:c r="K2007" s="57" t="n">
        <x:v>38.74814568979537</x:v>
      </x:c>
      <x:c r="L2007" s="57" t="n">
        <x:v>57.49735098542196</x:v>
      </x:c>
    </x:row>
    <x:row r="2008" ht="21.600000381469727" hidden="0" customHeight="1">
      <x:c r="A2008" s="27" t="str">
        <x:v>King County, Washington</x:v>
      </x:c>
      <x:c r="B2008" s="27" t="str">
        <x:v>53033021701</x:v>
      </x:c>
      <x:c r="C2008" s="50" t="n">
        <x:v>4818</x:v>
      </x:c>
      <x:c r="D2008" s="50" t="n">
        <x:v>365</x:v>
      </x:c>
      <x:c r="E2008" s="50" t="n">
        <x:v>288</x:v>
      </x:c>
      <x:c r="F2008" s="37" t="n">
        <x:v>0.07575757575757576</x:v>
      </x:c>
      <x:c r="G2008" s="37" t="n">
        <x:v>0.05977584059775841</x:v>
      </x:c>
      <x:c r="H2008" s="56" t="n">
        <x:v>4974.55</x:v>
      </x:c>
      <x:c r="I2008" s="56" t="n">
        <x:v>0.993</x:v>
      </x:c>
      <x:c r="J2008" s="56" t="n">
        <x:v>8.00210831949265</x:v>
      </x:c>
      <x:c r="K2008" s="56" t="n">
        <x:v>42.00316247923898</x:v>
      </x:c>
      <x:c r="L2008" s="56" t="n">
        <x:v>62.147374970341396</x:v>
      </x:c>
    </x:row>
    <x:row r="2009" ht="21.600000381469727" hidden="0" customHeight="1">
      <x:c r="A2009" s="29" t="str">
        <x:v>King County, Washington</x:v>
      </x:c>
      <x:c r="B2009" s="29" t="str">
        <x:v>53033021702</x:v>
      </x:c>
      <x:c r="C2009" s="51" t="n">
        <x:v>4876</x:v>
      </x:c>
      <x:c r="D2009" s="51" t="n">
        <x:v>1222</x:v>
      </x:c>
      <x:c r="E2009" s="51" t="n">
        <x:v>487</x:v>
      </x:c>
      <x:c r="F2009" s="38" t="n">
        <x:v>0.2506152584085316</x:v>
      </x:c>
      <x:c r="G2009" s="38" t="n">
        <x:v>0.09987694831829369</x:v>
      </x:c>
      <x:c r="H2009" s="57" t="n">
        <x:v>5352.4</x:v>
      </x:c>
      <x:c r="I2009" s="57" t="n">
        <x:v>1.177</x:v>
      </x:c>
      <x:c r="J2009" s="57" t="n">
        <x:v>8.11477728496401</x:v>
      </x:c>
      <x:c r="K2009" s="57" t="n">
        <x:v>42.17216592744602</x:v>
      </x:c>
      <x:c r="L2009" s="57" t="n">
        <x:v>62.388808467780024</x:v>
      </x:c>
    </x:row>
    <x:row r="2010" ht="21.600000381469727" hidden="0" customHeight="1">
      <x:c r="A2010" s="27" t="str">
        <x:v>King County, Washington</x:v>
      </x:c>
      <x:c r="B2010" s="27" t="str">
        <x:v>53033021802</x:v>
      </x:c>
      <x:c r="C2010" s="50" t="n">
        <x:v>6117</x:v>
      </x:c>
      <x:c r="D2010" s="50" t="n">
        <x:v>592</x:v>
      </x:c>
      <x:c r="E2010" s="50" t="n">
        <x:v>121.5</x:v>
      </x:c>
      <x:c r="F2010" s="37" t="n">
        <x:v>0.09677946705901586</x:v>
      </x:c>
      <x:c r="G2010" s="37" t="n">
        <x:v>0.019862677783227072</x:v>
      </x:c>
      <x:c r="H2010" s="56" t="n">
        <x:v>6336.35</x:v>
      </x:c>
      <x:c r="I2010" s="56" t="n">
        <x:v>1.889</x:v>
      </x:c>
      <x:c r="J2010" s="56" t="n">
        <x:v>14.345726879633268</x:v>
      </x:c>
      <x:c r="K2010" s="56" t="n">
        <x:v>51.5185903194499</x:v>
      </x:c>
      <x:c r="L2010" s="56" t="n">
        <x:v>75.74084331349985</x:v>
      </x:c>
    </x:row>
    <x:row r="2011" ht="21.600000381469727" hidden="0" customHeight="1">
      <x:c r="A2011" s="29" t="str">
        <x:v>King County, Washington</x:v>
      </x:c>
      <x:c r="B2011" s="29" t="str">
        <x:v>53033021803</x:v>
      </x:c>
      <x:c r="C2011" s="51" t="n">
        <x:v>7097</x:v>
      </x:c>
      <x:c r="D2011" s="51" t="n">
        <x:v>824</x:v>
      </x:c>
      <x:c r="E2011" s="51" t="n">
        <x:v>386</x:v>
      </x:c>
      <x:c r="F2011" s="38" t="n">
        <x:v>0.11610539664647034</x:v>
      </x:c>
      <x:c r="G2011" s="38" t="n">
        <x:v>0.0543891785261378</x:v>
      </x:c>
      <x:c r="H2011" s="57" t="n">
        <x:v>7424</x:v>
      </x:c>
      <x:c r="I2011" s="57" t="n">
        <x:v>1.264</x:v>
      </x:c>
      <x:c r="J2011" s="57" t="n">
        <x:v>10.095221043398311</x:v>
      </x:c>
      <x:c r="K2011" s="57" t="n">
        <x:v>45.14283156509747</x:v>
      </x:c>
      <x:c r="L2011" s="57" t="n">
        <x:v>66.63261652156781</x:v>
      </x:c>
    </x:row>
    <x:row r="2012" ht="21.600000381469727" hidden="0" customHeight="1">
      <x:c r="A2012" s="27" t="str">
        <x:v>King County, Washington</x:v>
      </x:c>
      <x:c r="B2012" s="27" t="str">
        <x:v>53033021804</x:v>
      </x:c>
      <x:c r="C2012" s="50" t="n">
        <x:v>5589</x:v>
      </x:c>
      <x:c r="D2012" s="50" t="n">
        <x:v>430</x:v>
      </x:c>
      <x:c r="E2012" s="50" t="n">
        <x:v>25</x:v>
      </x:c>
      <x:c r="F2012" s="37" t="n">
        <x:v>0.07693684022186438</x:v>
      </x:c>
      <x:c r="G2012" s="37" t="n">
        <x:v>0.004473072105922347</x:v>
      </x:c>
      <x:c r="H2012" s="56" t="n">
        <x:v>5741.999999999999</x:v>
      </x:c>
      <x:c r="I2012" s="56" t="n">
        <x:v>1.197</x:v>
      </x:c>
      <x:c r="J2012" s="56" t="n">
        <x:v>11.941637793121288</x:v>
      </x:c>
      <x:c r="K2012" s="56" t="n">
        <x:v>47.91245668968193</x:v>
      </x:c>
      <x:c r="L2012" s="56" t="n">
        <x:v>70.58922384240276</x:v>
      </x:c>
    </x:row>
    <x:row r="2013" ht="21.600000381469727" hidden="0" customHeight="1">
      <x:c r="A2013" s="29" t="str">
        <x:v>King County, Washington</x:v>
      </x:c>
      <x:c r="B2013" s="29" t="str">
        <x:v>53033021903</x:v>
      </x:c>
      <x:c r="C2013" s="51" t="n">
        <x:v>6929</x:v>
      </x:c>
      <x:c r="D2013" s="51" t="n">
        <x:v>716</x:v>
      </x:c>
      <x:c r="E2013" s="51" t="n">
        <x:v>440</x:v>
      </x:c>
      <x:c r="F2013" s="38" t="n">
        <x:v>0.10333381440323279</x:v>
      </x:c>
      <x:c r="G2013" s="38" t="n">
        <x:v>0.06350122672824361</x:v>
      </x:c>
      <x:c r="H2013" s="57" t="n">
        <x:v>7223.6</x:v>
      </x:c>
      <x:c r="I2013" s="57" t="n">
        <x:v>1.226</x:v>
      </x:c>
      <x:c r="J2013" s="57" t="n">
        <x:v>14.80469271958713</x:v>
      </x:c>
      <x:c r="K2013" s="57" t="n">
        <x:v>52.20703907938069</x:v>
      </x:c>
      <x:c r="L2013" s="57" t="n">
        <x:v>76.72434154197242</x:v>
      </x:c>
    </x:row>
    <x:row r="2014" ht="21.600000381469727" hidden="0" customHeight="1">
      <x:c r="A2014" s="27" t="str">
        <x:v>King County, Washington</x:v>
      </x:c>
      <x:c r="B2014" s="27" t="str">
        <x:v>53033021904</x:v>
      </x:c>
      <x:c r="C2014" s="50" t="n">
        <x:v>5643</x:v>
      </x:c>
      <x:c r="D2014" s="50" t="n">
        <x:v>644</x:v>
      </x:c>
      <x:c r="E2014" s="50" t="n">
        <x:v>54</x:v>
      </x:c>
      <x:c r="F2014" s="37" t="n">
        <x:v>0.11412369307106149</x:v>
      </x:c>
      <x:c r="G2014" s="37" t="n">
        <x:v>0.009569377990430622</x:v>
      </x:c>
      <x:c r="H2014" s="56" t="n">
        <x:v>5873.8</x:v>
      </x:c>
      <x:c r="I2014" s="56" t="n">
        <x:v>1.32</x:v>
      </x:c>
      <x:c r="J2014" s="56" t="n">
        <x:v>16.162306329598895</x:v>
      </x:c>
      <x:c r="K2014" s="56" t="n">
        <x:v>54.243459494398344</x:v>
      </x:c>
      <x:c r="L2014" s="56" t="n">
        <x:v>79.6335135634262</x:v>
      </x:c>
    </x:row>
    <x:row r="2015" ht="21.600000381469727" hidden="0" customHeight="1">
      <x:c r="A2015" s="29" t="str">
        <x:v>King County, Washington</x:v>
      </x:c>
      <x:c r="B2015" s="29" t="str">
        <x:v>53033021905</x:v>
      </x:c>
      <x:c r="C2015" s="51" t="n">
        <x:v>5742</x:v>
      </x:c>
      <x:c r="D2015" s="51" t="n">
        <x:v>585</x:v>
      </x:c>
      <x:c r="E2015" s="51" t="n">
        <x:v>247.5</x:v>
      </x:c>
      <x:c r="F2015" s="38" t="n">
        <x:v>0.10188087774294671</x:v>
      </x:c>
      <x:c r="G2015" s="38" t="n">
        <x:v>0.04310344827586207</x:v>
      </x:c>
      <x:c r="H2015" s="57" t="n">
        <x:v>5971.500000000001</x:v>
      </x:c>
      <x:c r="I2015" s="57" t="n">
        <x:v>1.036</x:v>
      </x:c>
      <x:c r="J2015" s="57" t="n">
        <x:v>13.50774062168229</x:v>
      </x:c>
      <x:c r="K2015" s="57" t="n">
        <x:v>50.26161093252343</x:v>
      </x:c>
      <x:c r="L2015" s="57" t="n">
        <x:v>73.94515847503348</x:v>
      </x:c>
    </x:row>
    <x:row r="2016" ht="21.600000381469727" hidden="0" customHeight="1">
      <x:c r="A2016" s="27" t="str">
        <x:v>King County, Washington</x:v>
      </x:c>
      <x:c r="B2016" s="27" t="str">
        <x:v>53033021906</x:v>
      </x:c>
      <x:c r="C2016" s="50" t="n">
        <x:v>4565</x:v>
      </x:c>
      <x:c r="D2016" s="50" t="n">
        <x:v>266</x:v>
      </x:c>
      <x:c r="E2016" s="50" t="n">
        <x:v>142.5</x:v>
      </x:c>
      <x:c r="F2016" s="37" t="n">
        <x:v>0.058269441401971524</x:v>
      </x:c>
      <x:c r="G2016" s="37" t="n">
        <x:v>0.0312157721796276</x:v>
      </x:c>
      <x:c r="H2016" s="56" t="n">
        <x:v>4672.349999999999</x:v>
      </x:c>
      <x:c r="I2016" s="56" t="n">
        <x:v>1.461</x:v>
      </x:c>
      <x:c r="J2016" s="56" t="n">
        <x:v>15.215667896531297</x:v>
      </x:c>
      <x:c r="K2016" s="56" t="n">
        <x:v>52.823501844796944</x:v>
      </x:c>
      <x:c r="L2016" s="56" t="n">
        <x:v>77.6050026354242</x:v>
      </x:c>
    </x:row>
    <x:row r="2017" ht="21.600000381469727" hidden="0" customHeight="1">
      <x:c r="A2017" s="29" t="str">
        <x:v>King County, Washington</x:v>
      </x:c>
      <x:c r="B2017" s="29" t="str">
        <x:v>53033022001</x:v>
      </x:c>
      <x:c r="C2017" s="51" t="n">
        <x:v>5107</x:v>
      </x:c>
      <x:c r="D2017" s="51" t="n">
        <x:v>710</x:v>
      </x:c>
      <x:c r="E2017" s="51" t="n">
        <x:v>297</x:v>
      </x:c>
      <x:c r="F2017" s="38" t="n">
        <x:v>0.13902486782847073</x:v>
      </x:c>
      <x:c r="G2017" s="38" t="n">
        <x:v>0.05815547288036029</x:v>
      </x:c>
      <x:c r="H2017" s="57" t="n">
        <x:v>5385.200000000001</x:v>
      </x:c>
      <x:c r="I2017" s="57" t="n">
        <x:v>1.729</x:v>
      </x:c>
      <x:c r="J2017" s="57" t="n">
        <x:v>11.713736262133935</x:v>
      </x:c>
      <x:c r="K2017" s="57" t="n">
        <x:v>47.5706043932009</x:v>
      </x:c>
      <x:c r="L2017" s="57" t="n">
        <x:v>70.10086341885844</x:v>
      </x:c>
    </x:row>
    <x:row r="2018" ht="21.600000381469727" hidden="0" customHeight="1">
      <x:c r="A2018" s="27" t="str">
        <x:v>King County, Washington</x:v>
      </x:c>
      <x:c r="B2018" s="27" t="str">
        <x:v>53033022003</x:v>
      </x:c>
      <x:c r="C2018" s="50" t="n">
        <x:v>5310</x:v>
      </x:c>
      <x:c r="D2018" s="50" t="n">
        <x:v>420</x:v>
      </x:c>
      <x:c r="E2018" s="50" t="n">
        <x:v>109</x:v>
      </x:c>
      <x:c r="F2018" s="37" t="n">
        <x:v>0.07909604519774012</x:v>
      </x:c>
      <x:c r="G2018" s="37" t="n">
        <x:v>0.020527306967984934</x:v>
      </x:c>
      <x:c r="H2018" s="56" t="n">
        <x:v>5467.900000000001</x:v>
      </x:c>
      <x:c r="I2018" s="56" t="n">
        <x:v>0.871</x:v>
      </x:c>
      <x:c r="J2018" s="56" t="n">
        <x:v>12.507483944665335</x:v>
      </x:c>
      <x:c r="K2018" s="56" t="n">
        <x:v>48.761225916998</x:v>
      </x:c>
      <x:c r="L2018" s="56" t="n">
        <x:v>71.80175130999714</x:v>
      </x:c>
    </x:row>
    <x:row r="2019" ht="21.600000381469727" hidden="0" customHeight="1">
      <x:c r="A2019" s="29" t="str">
        <x:v>King County, Washington</x:v>
      </x:c>
      <x:c r="B2019" s="29" t="str">
        <x:v>53033022005</x:v>
      </x:c>
      <x:c r="C2019" s="51" t="n">
        <x:v>4551</x:v>
      </x:c>
      <x:c r="D2019" s="51" t="n">
        <x:v>435</x:v>
      </x:c>
      <x:c r="E2019" s="51" t="n">
        <x:v>93</x:v>
      </x:c>
      <x:c r="F2019" s="38" t="n">
        <x:v>0.0955833882663151</x:v>
      </x:c>
      <x:c r="G2019" s="38" t="n">
        <x:v>0.02043506921555702</x:v>
      </x:c>
      <x:c r="H2019" s="57" t="n">
        <x:v>4712.549999999999</x:v>
      </x:c>
      <x:c r="I2019" s="57" t="n">
        <x:v>0.935</x:v>
      </x:c>
      <x:c r="J2019" s="57" t="n">
        <x:v>13.836979613415537</x:v>
      </x:c>
      <x:c r="K2019" s="57" t="n">
        <x:v>50.755469420123305</x:v>
      </x:c>
      <x:c r="L2019" s="57" t="n">
        <x:v>74.65067060017614</x:v>
      </x:c>
    </x:row>
    <x:row r="2020" ht="21.600000381469727" hidden="0" customHeight="1">
      <x:c r="A2020" s="27" t="str">
        <x:v>King County, Washington</x:v>
      </x:c>
      <x:c r="B2020" s="27" t="str">
        <x:v>53033022006</x:v>
      </x:c>
      <x:c r="C2020" s="50" t="n">
        <x:v>4430</x:v>
      </x:c>
      <x:c r="D2020" s="50" t="n">
        <x:v>455</x:v>
      </x:c>
      <x:c r="E2020" s="50" t="n">
        <x:v>180</x:v>
      </x:c>
      <x:c r="F2020" s="37" t="n">
        <x:v>0.10270880361173815</x:v>
      </x:c>
      <x:c r="G2020" s="37" t="n">
        <x:v>0.040632054176072234</x:v>
      </x:c>
      <x:c r="H2020" s="56" t="n">
        <x:v>4607.250000000001</x:v>
      </x:c>
      <x:c r="I2020" s="56" t="n">
        <x:v>0.544</x:v>
      </x:c>
      <x:c r="J2020" s="56" t="n">
        <x:v>13.945206069800614</x:v>
      </x:c>
      <x:c r="K2020" s="56" t="n">
        <x:v>50.91780910470092</x:v>
      </x:c>
      <x:c r="L2020" s="56" t="n">
        <x:v>74.88258443528703</x:v>
      </x:c>
    </x:row>
    <x:row r="2021" ht="21.600000381469727" hidden="0" customHeight="1">
      <x:c r="A2021" s="29" t="str">
        <x:v>King County, Washington</x:v>
      </x:c>
      <x:c r="B2021" s="29" t="str">
        <x:v>53033022101</x:v>
      </x:c>
      <x:c r="C2021" s="51" t="n">
        <x:v>5061</x:v>
      </x:c>
      <x:c r="D2021" s="51" t="n">
        <x:v>410</x:v>
      </x:c>
      <x:c r="E2021" s="51" t="n">
        <x:v>168</x:v>
      </x:c>
      <x:c r="F2021" s="38" t="n">
        <x:v>0.08101165777514326</x:v>
      </x:c>
      <x:c r="G2021" s="38" t="n">
        <x:v>0.03319502074688797</x:v>
      </x:c>
      <x:c r="H2021" s="57" t="n">
        <x:v>5221.299999999999</x:v>
      </x:c>
      <x:c r="I2021" s="57" t="n">
        <x:v>1.388</x:v>
      </x:c>
      <x:c r="J2021" s="57" t="n">
        <x:v>6.228600692050889</x:v>
      </x:c>
      <x:c r="K2021" s="57" t="n">
        <x:v>39.342901038076334</x:v>
      </x:c>
      <x:c r="L2021" s="57" t="n">
        <x:v>58.34700148296619</x:v>
      </x:c>
    </x:row>
    <x:row r="2022" ht="21.600000381469727" hidden="0" customHeight="1">
      <x:c r="A2022" s="27" t="str">
        <x:v>King County, Washington</x:v>
      </x:c>
      <x:c r="B2022" s="27" t="str">
        <x:v>53033022102</x:v>
      </x:c>
      <x:c r="C2022" s="50" t="n">
        <x:v>6624</x:v>
      </x:c>
      <x:c r="D2022" s="50" t="n">
        <x:v>618</x:v>
      </x:c>
      <x:c r="E2022" s="50" t="n">
        <x:v>199</x:v>
      </x:c>
      <x:c r="F2022" s="37" t="n">
        <x:v>0.09329710144927536</x:v>
      </x:c>
      <x:c r="G2022" s="37" t="n">
        <x:v>0.030042270531400968</x:v>
      </x:c>
      <x:c r="H2022" s="56" t="n">
        <x:v>6860.199999999999</x:v>
      </x:c>
      <x:c r="I2022" s="56" t="n">
        <x:v>1.807</x:v>
      </x:c>
      <x:c r="J2022" s="56" t="n">
        <x:v>9.107903590908707</x:v>
      </x:c>
      <x:c r="K2022" s="56" t="n">
        <x:v>43.66185538636306</x:v>
      </x:c>
      <x:c r="L2022" s="56" t="n">
        <x:v>64.51693626623295</x:v>
      </x:c>
    </x:row>
    <x:row r="2023" ht="21.600000381469727" hidden="0" customHeight="1">
      <x:c r="A2023" s="29" t="str">
        <x:v>King County, Washington</x:v>
      </x:c>
      <x:c r="B2023" s="29" t="str">
        <x:v>53033022201</x:v>
      </x:c>
      <x:c r="C2023" s="51" t="n">
        <x:v>4366</x:v>
      </x:c>
      <x:c r="D2023" s="51" t="n">
        <x:v>371</x:v>
      </x:c>
      <x:c r="E2023" s="51" t="n">
        <x:v>78</x:v>
      </x:c>
      <x:c r="F2023" s="38" t="n">
        <x:v>0.08497480531378837</x:v>
      </x:c>
      <x:c r="G2023" s="38" t="n">
        <x:v>0.017865322950068714</x:v>
      </x:c>
      <x:c r="H2023" s="57" t="n">
        <x:v>4503.65</x:v>
      </x:c>
      <x:c r="I2023" s="57" t="n">
        <x:v>0.884</x:v>
      </x:c>
      <x:c r="J2023" s="57" t="n">
        <x:v>9.395787848712262</x:v>
      </x:c>
      <x:c r="K2023" s="57" t="n">
        <x:v>44.09368177306839</x:v>
      </x:c>
      <x:c r="L2023" s="57" t="n">
        <x:v>65.13383110438342</x:v>
      </x:c>
    </x:row>
    <x:row r="2024" ht="21.600000381469727" hidden="0" customHeight="1">
      <x:c r="A2024" s="27" t="str">
        <x:v>King County, Washington</x:v>
      </x:c>
      <x:c r="B2024" s="27" t="str">
        <x:v>53033022203</x:v>
      </x:c>
      <x:c r="C2024" s="50" t="n">
        <x:v>5665</x:v>
      </x:c>
      <x:c r="D2024" s="50" t="n">
        <x:v>487</x:v>
      </x:c>
      <x:c r="E2024" s="50" t="n">
        <x:v>40</x:v>
      </x:c>
      <x:c r="F2024" s="37" t="n">
        <x:v>0.08596646072374228</x:v>
      </x:c>
      <x:c r="G2024" s="37" t="n">
        <x:v>0.00706090026478376</x:v>
      </x:c>
      <x:c r="H2024" s="56" t="n">
        <x:v>5839.45</x:v>
      </x:c>
      <x:c r="I2024" s="56" t="n">
        <x:v>1.21</x:v>
      </x:c>
      <x:c r="J2024" s="56" t="n">
        <x:v>11.556012990380527</x:v>
      </x:c>
      <x:c r="K2024" s="56" t="n">
        <x:v>47.33401948557079</x:v>
      </x:c>
      <x:c r="L2024" s="56" t="n">
        <x:v>69.76288497938684</x:v>
      </x:c>
    </x:row>
    <x:row r="2025" ht="21.600000381469727" hidden="0" customHeight="1">
      <x:c r="A2025" s="29" t="str">
        <x:v>King County, Washington</x:v>
      </x:c>
      <x:c r="B2025" s="29" t="str">
        <x:v>53033022204</x:v>
      </x:c>
      <x:c r="C2025" s="51" t="n">
        <x:v>3247</x:v>
      </x:c>
      <x:c r="D2025" s="51" t="n">
        <x:v>184</x:v>
      </x:c>
      <x:c r="E2025" s="51" t="n">
        <x:v>11</x:v>
      </x:c>
      <x:c r="F2025" s="38" t="n">
        <x:v>0.056667693255312596</x:v>
      </x:c>
      <x:c r="G2025" s="38" t="n">
        <x:v>0.0033877425315676007</x:v>
      </x:c>
      <x:c r="H2025" s="57" t="n">
        <x:v>3312.5000000000005</x:v>
      </x:c>
      <x:c r="I2025" s="57" t="n">
        <x:v>0.619</x:v>
      </x:c>
      <x:c r="J2025" s="57" t="n">
        <x:v>10.961862023769935</x:v>
      </x:c>
      <x:c r="K2025" s="57" t="n">
        <x:v>46.4427930356549</x:v>
      </x:c>
      <x:c r="L2025" s="57" t="n">
        <x:v>68.48970433664987</x:v>
      </x:c>
    </x:row>
    <x:row r="2026" ht="21.600000381469727" hidden="0" customHeight="1">
      <x:c r="A2026" s="27" t="str">
        <x:v>King County, Washington</x:v>
      </x:c>
      <x:c r="B2026" s="27" t="str">
        <x:v>53033022205</x:v>
      </x:c>
      <x:c r="C2026" s="50" t="n">
        <x:v>4201</x:v>
      </x:c>
      <x:c r="D2026" s="50" t="n">
        <x:v>473</x:v>
      </x:c>
      <x:c r="E2026" s="50" t="n">
        <x:v>115</x:v>
      </x:c>
      <x:c r="F2026" s="37" t="n">
        <x:v>0.11259223994287075</x:v>
      </x:c>
      <x:c r="G2026" s="37" t="n">
        <x:v>0.027374434658414663</x:v>
      </x:c>
      <x:c r="H2026" s="56" t="n">
        <x:v>4378.05</x:v>
      </x:c>
      <x:c r="I2026" s="56" t="n">
        <x:v>0.39</x:v>
      </x:c>
      <x:c r="J2026" s="56" t="n">
        <x:v>12.101372243233772</x:v>
      </x:c>
      <x:c r="K2026" s="56" t="n">
        <x:v>48.15205836485066</x:v>
      </x:c>
      <x:c r="L2026" s="56" t="n">
        <x:v>70.93151194978665</x:v>
      </x:c>
    </x:row>
    <x:row r="2027" ht="21.600000381469727" hidden="0" customHeight="1">
      <x:c r="A2027" s="29" t="str">
        <x:v>King County, Washington</x:v>
      </x:c>
      <x:c r="B2027" s="29" t="str">
        <x:v>53033022300</x:v>
      </x:c>
      <x:c r="C2027" s="51" t="n">
        <x:v>2699</x:v>
      </x:c>
      <x:c r="D2027" s="51" t="n">
        <x:v>143</x:v>
      </x:c>
      <x:c r="E2027" s="51" t="n">
        <x:v>41.5</x:v>
      </x:c>
      <x:c r="F2027" s="38" t="n">
        <x:v>0.05298258614301593</x:v>
      </x:c>
      <x:c r="G2027" s="38" t="n">
        <x:v>0.015376065209336792</x:v>
      </x:c>
      <x:c r="H2027" s="57" t="n">
        <x:v>2753.2</x:v>
      </x:c>
      <x:c r="I2027" s="57" t="n">
        <x:v>1.964</x:v>
      </x:c>
      <x:c r="J2027" s="57" t="n">
        <x:v>9.092616751121039</x:v>
      </x:c>
      <x:c r="K2027" s="57" t="n">
        <x:v>43.638925126681556</x:v>
      </x:c>
      <x:c r="L2027" s="57" t="n">
        <x:v>64.48417875240223</x:v>
      </x:c>
    </x:row>
    <x:row r="2028" ht="21.600000381469727" hidden="0" customHeight="1">
      <x:c r="A2028" s="27" t="str">
        <x:v>King County, Washington</x:v>
      </x:c>
      <x:c r="B2028" s="27" t="str">
        <x:v>53033022401</x:v>
      </x:c>
      <x:c r="C2028" s="50" t="n">
        <x:v>3570</x:v>
      </x:c>
      <x:c r="D2028" s="50" t="n">
        <x:v>201</x:v>
      </x:c>
      <x:c r="E2028" s="50" t="n">
        <x:v>36</x:v>
      </x:c>
      <x:c r="F2028" s="37" t="n">
        <x:v>0.05630252100840336</x:v>
      </x:c>
      <x:c r="G2028" s="37" t="n">
        <x:v>0.010084033613445379</x:v>
      </x:c>
      <x:c r="H2028" s="56" t="n">
        <x:v>3643.95</x:v>
      </x:c>
      <x:c r="I2028" s="56" t="n">
        <x:v>0.928</x:v>
      </x:c>
      <x:c r="J2028" s="56" t="n">
        <x:v>14.84493125927829</x:v>
      </x:c>
      <x:c r="K2028" s="56" t="n">
        <x:v>52.26739688891743</x:v>
      </x:c>
      <x:c r="L2028" s="56" t="n">
        <x:v>76.81056698416776</x:v>
      </x:c>
    </x:row>
    <x:row r="2029" ht="21.600000381469727" hidden="0" customHeight="1">
      <x:c r="A2029" s="29" t="str">
        <x:v>King County, Washington</x:v>
      </x:c>
      <x:c r="B2029" s="29" t="str">
        <x:v>53033022402</x:v>
      </x:c>
      <x:c r="C2029" s="51" t="n">
        <x:v>5964</x:v>
      </x:c>
      <x:c r="D2029" s="51" t="n">
        <x:v>608</x:v>
      </x:c>
      <x:c r="E2029" s="51" t="n">
        <x:v>276</x:v>
      </x:c>
      <x:c r="F2029" s="38" t="n">
        <x:v>0.10194500335345406</x:v>
      </x:c>
      <x:c r="G2029" s="38" t="n">
        <x:v>0.04627766599597585</x:v>
      </x:c>
      <x:c r="H2029" s="57" t="n">
        <x:v>6204.4</x:v>
      </x:c>
      <x:c r="I2029" s="57" t="n">
        <x:v>0.857</x:v>
      </x:c>
      <x:c r="J2029" s="57" t="n">
        <x:v>14.69172938152151</x:v>
      </x:c>
      <x:c r="K2029" s="57" t="n">
        <x:v>52.03759407228227</x:v>
      </x:c>
      <x:c r="L2029" s="57" t="n">
        <x:v>76.48227724611752</x:v>
      </x:c>
    </x:row>
    <x:row r="2030" ht="21.600000381469727" hidden="0" customHeight="1">
      <x:c r="A2030" s="27" t="str">
        <x:v>King County, Washington</x:v>
      </x:c>
      <x:c r="B2030" s="27" t="str">
        <x:v>53033022501</x:v>
      </x:c>
      <x:c r="C2030" s="50" t="n">
        <x:v>4475</x:v>
      </x:c>
      <x:c r="D2030" s="50" t="n">
        <x:v>276</x:v>
      </x:c>
      <x:c r="E2030" s="50" t="n">
        <x:v>158.5</x:v>
      </x:c>
      <x:c r="F2030" s="37" t="n">
        <x:v>0.06167597765363129</x:v>
      </x:c>
      <x:c r="G2030" s="37" t="n">
        <x:v>0.035418994413407824</x:v>
      </x:c>
      <x:c r="H2030" s="56" t="n">
        <x:v>4587.45</x:v>
      </x:c>
      <x:c r="I2030" s="56" t="n">
        <x:v>0.955</x:v>
      </x:c>
      <x:c r="J2030" s="56" t="n">
        <x:v>16.66359292635762</x:v>
      </x:c>
      <x:c r="K2030" s="56" t="n">
        <x:v>54.99538938953643</x:v>
      </x:c>
      <x:c r="L2030" s="56" t="n">
        <x:v>80.7076991279092</x:v>
      </x:c>
    </x:row>
    <x:row r="2031" ht="21.600000381469727" hidden="0" customHeight="1">
      <x:c r="A2031" s="29" t="str">
        <x:v>King County, Washington</x:v>
      </x:c>
      <x:c r="B2031" s="29" t="str">
        <x:v>53033022502</x:v>
      </x:c>
      <x:c r="C2031" s="51" t="n">
        <x:v>4429</x:v>
      </x:c>
      <x:c r="D2031" s="51" t="n">
        <x:v>300</x:v>
      </x:c>
      <x:c r="E2031" s="51" t="n">
        <x:v>309</x:v>
      </x:c>
      <x:c r="F2031" s="38" t="n">
        <x:v>0.06773538044705352</x:v>
      </x:c>
      <x:c r="G2031" s="38" t="n">
        <x:v>0.06976744186046512</x:v>
      </x:c>
      <x:c r="H2031" s="57" t="n">
        <x:v>4564.9</x:v>
      </x:c>
      <x:c r="I2031" s="57" t="n">
        <x:v>0.488</x:v>
      </x:c>
      <x:c r="J2031" s="57" t="n">
        <x:v>16.892073517831417</x:v>
      </x:c>
      <x:c r="K2031" s="57" t="n">
        <x:v>55.33811027674712</x:v>
      </x:c>
      <x:c r="L2031" s="57" t="n">
        <x:v>81.19730039535304</x:v>
      </x:c>
    </x:row>
    <x:row r="2032" ht="21.600000381469727" hidden="0" customHeight="1">
      <x:c r="A2032" s="27" t="str">
        <x:v>King County, Washington</x:v>
      </x:c>
      <x:c r="B2032" s="27" t="str">
        <x:v>53033022603</x:v>
      </x:c>
      <x:c r="C2032" s="50" t="n">
        <x:v>5978</x:v>
      </x:c>
      <x:c r="D2032" s="50" t="n">
        <x:v>488</x:v>
      </x:c>
      <x:c r="E2032" s="50" t="n">
        <x:v>341</x:v>
      </x:c>
      <x:c r="F2032" s="37" t="n">
        <x:v>0.08163265306122448</x:v>
      </x:c>
      <x:c r="G2032" s="37" t="n">
        <x:v>0.05704248912679826</x:v>
      </x:c>
      <x:c r="H2032" s="56" t="n">
        <x:v>6182.899999999999</x:v>
      </x:c>
      <x:c r="I2032" s="56" t="n">
        <x:v>1.115</x:v>
      </x:c>
      <x:c r="J2032" s="56" t="n">
        <x:v>17.06351344762986</x:v>
      </x:c>
      <x:c r="K2032" s="56" t="n">
        <x:v>55.59527017144479</x:v>
      </x:c>
      <x:c r="L2032" s="56" t="n">
        <x:v>81.56467167349255</x:v>
      </x:c>
    </x:row>
    <x:row r="2033" ht="21.600000381469727" hidden="0" customHeight="1">
      <x:c r="A2033" s="29" t="str">
        <x:v>King County, Washington</x:v>
      </x:c>
      <x:c r="B2033" s="29" t="str">
        <x:v>53033022604</x:v>
      </x:c>
      <x:c r="C2033" s="51" t="n">
        <x:v>5142</x:v>
      </x:c>
      <x:c r="D2033" s="51" t="n">
        <x:v>360</x:v>
      </x:c>
      <x:c r="E2033" s="51" t="n">
        <x:v>88</x:v>
      </x:c>
      <x:c r="F2033" s="38" t="n">
        <x:v>0.07001166861143523</x:v>
      </x:c>
      <x:c r="G2033" s="38" t="n">
        <x:v>0.017113963438350838</x:v>
      </x:c>
      <x:c r="H2033" s="57" t="n">
        <x:v>5276.8</x:v>
      </x:c>
      <x:c r="I2033" s="57" t="n">
        <x:v>1.14</x:v>
      </x:c>
      <x:c r="J2033" s="57" t="n">
        <x:v>18.53981104117509</x:v>
      </x:c>
      <x:c r="K2033" s="57" t="n">
        <x:v>57.809716561762635</x:v>
      </x:c>
      <x:c r="L2033" s="57" t="n">
        <x:v>84.72816651680375</x:v>
      </x:c>
    </x:row>
    <x:row r="2034" ht="21.600000381469727" hidden="0" customHeight="1">
      <x:c r="A2034" s="27" t="str">
        <x:v>King County, Washington</x:v>
      </x:c>
      <x:c r="B2034" s="27" t="str">
        <x:v>53033022605</x:v>
      </x:c>
      <x:c r="C2034" s="50" t="n">
        <x:v>7324</x:v>
      </x:c>
      <x:c r="D2034" s="50" t="n">
        <x:v>542</x:v>
      </x:c>
      <x:c r="E2034" s="50" t="n">
        <x:v>197</x:v>
      </x:c>
      <x:c r="F2034" s="37" t="n">
        <x:v>0.07400327689787002</x:v>
      </x:c>
      <x:c r="G2034" s="37" t="n">
        <x:v>0.02689787001638449</x:v>
      </x:c>
      <x:c r="H2034" s="56" t="n">
        <x:v>7533.4</x:v>
      </x:c>
      <x:c r="I2034" s="56" t="n">
        <x:v>1.825</x:v>
      </x:c>
      <x:c r="J2034" s="56" t="n">
        <x:v>18.691127300667222</x:v>
      </x:c>
      <x:c r="K2034" s="56" t="n">
        <x:v>58.036690951000836</x:v>
      </x:c>
      <x:c r="L2034" s="56" t="n">
        <x:v>85.0524156442869</x:v>
      </x:c>
    </x:row>
    <x:row r="2035" ht="21.600000381469727" hidden="0" customHeight="1">
      <x:c r="A2035" s="29" t="str">
        <x:v>King County, Washington</x:v>
      </x:c>
      <x:c r="B2035" s="29" t="str">
        <x:v>53033022606</x:v>
      </x:c>
      <x:c r="C2035" s="51" t="n">
        <x:v>6056</x:v>
      </x:c>
      <x:c r="D2035" s="51" t="n">
        <x:v>463</x:v>
      </x:c>
      <x:c r="E2035" s="51" t="n">
        <x:v>71</x:v>
      </x:c>
      <x:c r="F2035" s="38" t="n">
        <x:v>0.07645310435931307</x:v>
      </x:c>
      <x:c r="G2035" s="38" t="n">
        <x:v>0.011723910171730516</x:v>
      </x:c>
      <x:c r="H2035" s="57" t="n">
        <x:v>6225.15</x:v>
      </x:c>
      <x:c r="I2035" s="57" t="n">
        <x:v>1.065</x:v>
      </x:c>
      <x:c r="J2035" s="57" t="n">
        <x:v>20.732270660299296</x:v>
      </x:c>
      <x:c r="K2035" s="57" t="n">
        <x:v>61.09840599044894</x:v>
      </x:c>
      <x:c r="L2035" s="57" t="n">
        <x:v>89.42629427206992</x:v>
      </x:c>
    </x:row>
    <x:row r="2036" ht="21.600000381469727" hidden="0" customHeight="1">
      <x:c r="A2036" s="27" t="str">
        <x:v>King County, Washington</x:v>
      </x:c>
      <x:c r="B2036" s="27" t="str">
        <x:v>53033022701</x:v>
      </x:c>
      <x:c r="C2036" s="50" t="n">
        <x:v>3025</x:v>
      </x:c>
      <x:c r="D2036" s="50" t="n">
        <x:v>230</x:v>
      </x:c>
      <x:c r="E2036" s="50" t="n">
        <x:v>163</x:v>
      </x:c>
      <x:c r="F2036" s="37" t="n">
        <x:v>0.07603305785123966</x:v>
      </x:c>
      <x:c r="G2036" s="37" t="n">
        <x:v>0.05388429752066116</x:v>
      </x:c>
      <x:c r="H2036" s="56" t="n">
        <x:v>3121.8</x:v>
      </x:c>
      <x:c r="I2036" s="56" t="n">
        <x:v>0.621</x:v>
      </x:c>
      <x:c r="J2036" s="56" t="n">
        <x:v>18.73018634087144</x:v>
      </x:c>
      <x:c r="K2036" s="56" t="n">
        <x:v>58.09527951130716</x:v>
      </x:c>
      <x:c r="L2036" s="56" t="n">
        <x:v>85.13611358758166</x:v>
      </x:c>
    </x:row>
    <x:row r="2037" ht="21.600000381469727" hidden="0" customHeight="1">
      <x:c r="A2037" s="29" t="str">
        <x:v>King County, Washington</x:v>
      </x:c>
      <x:c r="B2037" s="29" t="str">
        <x:v>53033022702</x:v>
      </x:c>
      <x:c r="C2037" s="51" t="n">
        <x:v>4194</x:v>
      </x:c>
      <x:c r="D2037" s="51" t="n">
        <x:v>258</x:v>
      </x:c>
      <x:c r="E2037" s="51" t="n">
        <x:v>22</x:v>
      </x:c>
      <x:c r="F2037" s="38" t="n">
        <x:v>0.06151645207439199</x:v>
      </x:c>
      <x:c r="G2037" s="38" t="n">
        <x:v>0.005245588936576061</x:v>
      </x:c>
      <x:c r="H2037" s="57" t="n">
        <x:v>4286.499999999999</x:v>
      </x:c>
      <x:c r="I2037" s="57" t="n">
        <x:v>0.949</x:v>
      </x:c>
      <x:c r="J2037" s="57" t="n">
        <x:v>19.196334618074786</x:v>
      </x:c>
      <x:c r="K2037" s="57" t="n">
        <x:v>58.79450192711218</x:v>
      </x:c>
      <x:c r="L2037" s="57" t="n">
        <x:v>86.1350027530174</x:v>
      </x:c>
    </x:row>
    <x:row r="2038" ht="21.600000381469727" hidden="0" customHeight="1">
      <x:c r="A2038" s="27" t="str">
        <x:v>King County, Washington</x:v>
      </x:c>
      <x:c r="B2038" s="27" t="str">
        <x:v>53033022703</x:v>
      </x:c>
      <x:c r="C2038" s="50" t="n">
        <x:v>2982</x:v>
      </x:c>
      <x:c r="D2038" s="50" t="n">
        <x:v>252</x:v>
      </x:c>
      <x:c r="E2038" s="50" t="n">
        <x:v>42</x:v>
      </x:c>
      <x:c r="F2038" s="37" t="n">
        <x:v>0.08450704225352113</x:v>
      </x:c>
      <x:c r="G2038" s="37" t="n">
        <x:v>0.014084507042253521</x:v>
      </x:c>
      <x:c r="H2038" s="56" t="n">
        <x:v>3074.4</x:v>
      </x:c>
      <x:c r="I2038" s="56" t="n">
        <x:v>1.618</x:v>
      </x:c>
      <x:c r="J2038" s="56" t="n">
        <x:v>20.36800498156024</x:v>
      </x:c>
      <x:c r="K2038" s="56" t="n">
        <x:v>60.55200747234036</x:v>
      </x:c>
      <x:c r="L2038" s="56" t="n">
        <x:v>88.64572496048623</x:v>
      </x:c>
    </x:row>
    <x:row r="2039" ht="21.600000381469727" hidden="0" customHeight="1">
      <x:c r="A2039" s="29" t="str">
        <x:v>King County, Washington</x:v>
      </x:c>
      <x:c r="B2039" s="29" t="str">
        <x:v>53033022802</x:v>
      </x:c>
      <x:c r="C2039" s="51" t="n">
        <x:v>6651</x:v>
      </x:c>
      <x:c r="D2039" s="51" t="n">
        <x:v>572</x:v>
      </x:c>
      <x:c r="E2039" s="51" t="n">
        <x:v>116</x:v>
      </x:c>
      <x:c r="F2039" s="38" t="n">
        <x:v>0.08600210494662457</x:v>
      </x:c>
      <x:c r="G2039" s="38" t="n">
        <x:v>0.017440986317846942</x:v>
      </x:c>
      <x:c r="H2039" s="57" t="n">
        <x:v>6862.8</x:v>
      </x:c>
      <x:c r="I2039" s="57" t="n">
        <x:v>1.027</x:v>
      </x:c>
      <x:c r="J2039" s="57" t="n">
        <x:v>21.2887634558531</x:v>
      </x:c>
      <x:c r="K2039" s="57" t="n">
        <x:v>61.93314518377965</x:v>
      </x:c>
      <x:c r="L2039" s="57" t="n">
        <x:v>90.61877883397094</x:v>
      </x:c>
    </x:row>
    <x:row r="2040" ht="21.600000381469727" hidden="0" customHeight="1">
      <x:c r="A2040" s="27" t="str">
        <x:v>King County, Washington</x:v>
      </x:c>
      <x:c r="B2040" s="27" t="str">
        <x:v>53033022803</x:v>
      </x:c>
      <x:c r="C2040" s="50" t="n">
        <x:v>8501</x:v>
      </x:c>
      <x:c r="D2040" s="50" t="n">
        <x:v>445</x:v>
      </x:c>
      <x:c r="E2040" s="50" t="n">
        <x:v>1006</x:v>
      </x:c>
      <x:c r="F2040" s="37" t="n">
        <x:v>0.05234678273144336</x:v>
      </x:c>
      <x:c r="G2040" s="37" t="n">
        <x:v>0.11833901893894835</x:v>
      </x:c>
      <x:c r="H2040" s="56" t="n">
        <x:v>8757.35</x:v>
      </x:c>
      <x:c r="I2040" s="56" t="n">
        <x:v>1.843</x:v>
      </x:c>
      <x:c r="J2040" s="56" t="n">
        <x:v>18.721182701445557</x:v>
      </x:c>
      <x:c r="K2040" s="56" t="n">
        <x:v>58.081774052168335</x:v>
      </x:c>
      <x:c r="L2040" s="56" t="n">
        <x:v>85.11682007452619</x:v>
      </x:c>
    </x:row>
    <x:row r="2041" ht="21.600000381469727" hidden="0" customHeight="1">
      <x:c r="A2041" s="29" t="str">
        <x:v>King County, Washington</x:v>
      </x:c>
      <x:c r="B2041" s="29" t="str">
        <x:v>53033022804</x:v>
      </x:c>
      <x:c r="C2041" s="51" t="n">
        <x:v>4625</x:v>
      </x:c>
      <x:c r="D2041" s="51" t="n">
        <x:v>596</x:v>
      </x:c>
      <x:c r="E2041" s="51" t="n">
        <x:v>306</x:v>
      </x:c>
      <x:c r="F2041" s="38" t="n">
        <x:v>0.12886486486486487</x:v>
      </x:c>
      <x:c r="G2041" s="38" t="n">
        <x:v>0.06616216216216216</x:v>
      </x:c>
      <x:c r="H2041" s="57" t="n">
        <x:v>4864.2</x:v>
      </x:c>
      <x:c r="I2041" s="57" t="n">
        <x:v>0.394</x:v>
      </x:c>
      <x:c r="J2041" s="57" t="n">
        <x:v>19.143584896884427</x:v>
      </x:c>
      <x:c r="K2041" s="57" t="n">
        <x:v>58.715377345326644</x:v>
      </x:c>
      <x:c r="L2041" s="57" t="n">
        <x:v>86.02196763618092</x:v>
      </x:c>
    </x:row>
    <x:row r="2042" ht="21.600000381469727" hidden="0" customHeight="1">
      <x:c r="A2042" s="27" t="str">
        <x:v>King County, Washington</x:v>
      </x:c>
      <x:c r="B2042" s="27" t="str">
        <x:v>53033022805</x:v>
      </x:c>
      <x:c r="C2042" s="50" t="n">
        <x:v>3430</x:v>
      </x:c>
      <x:c r="D2042" s="50" t="n">
        <x:v>165</x:v>
      </x:c>
      <x:c r="E2042" s="50" t="n">
        <x:v>328</x:v>
      </x:c>
      <x:c r="F2042" s="37" t="n">
        <x:v>0.048104956268221574</x:v>
      </x:c>
      <x:c r="G2042" s="37" t="n">
        <x:v>0.0956268221574344</x:v>
      </x:c>
      <x:c r="H2042" s="56" t="n">
        <x:v>3520.55</x:v>
      </x:c>
      <x:c r="I2042" s="56" t="n">
        <x:v>1.484</x:v>
      </x:c>
      <x:c r="J2042" s="56" t="n">
        <x:v>20.81362144514107</x:v>
      </x:c>
      <x:c r="K2042" s="56" t="n">
        <x:v>61.22043216771161</x:v>
      </x:c>
      <x:c r="L2042" s="56" t="n">
        <x:v>89.60061738244515</x:v>
      </x:c>
    </x:row>
    <x:row r="2043" ht="21.600000381469727" hidden="0" customHeight="1">
      <x:c r="A2043" s="29" t="str">
        <x:v>King County, Washington</x:v>
      </x:c>
      <x:c r="B2043" s="29" t="str">
        <x:v>53033022901</x:v>
      </x:c>
      <x:c r="C2043" s="51" t="n">
        <x:v>3123</x:v>
      </x:c>
      <x:c r="D2043" s="51" t="n">
        <x:v>222</x:v>
      </x:c>
      <x:c r="E2043" s="51" t="n">
        <x:v>48</x:v>
      </x:c>
      <x:c r="F2043" s="38" t="n">
        <x:v>0.07108549471661864</x:v>
      </x:c>
      <x:c r="G2043" s="38" t="n">
        <x:v>0.01536983669548511</x:v>
      </x:c>
      <x:c r="H2043" s="57" t="n">
        <x:v>3205.5</x:v>
      </x:c>
      <x:c r="I2043" s="57" t="n">
        <x:v>0.573</x:v>
      </x:c>
      <x:c r="J2043" s="57" t="n">
        <x:v>17.04982877241649</x:v>
      </x:c>
      <x:c r="K2043" s="57" t="n">
        <x:v>55.574743158624734</x:v>
      </x:c>
      <x:c r="L2043" s="57" t="n">
        <x:v>81.5353473694639</x:v>
      </x:c>
    </x:row>
    <x:row r="2044" ht="21.600000381469727" hidden="0" customHeight="1">
      <x:c r="A2044" s="27" t="str">
        <x:v>King County, Washington</x:v>
      </x:c>
      <x:c r="B2044" s="27" t="str">
        <x:v>53033022902</x:v>
      </x:c>
      <x:c r="C2044" s="50" t="n">
        <x:v>6756</x:v>
      </x:c>
      <x:c r="D2044" s="50" t="n">
        <x:v>518</x:v>
      </x:c>
      <x:c r="E2044" s="50" t="n">
        <x:v>147</x:v>
      </x:c>
      <x:c r="F2044" s="37" t="n">
        <x:v>0.07667258732978094</x:v>
      </x:c>
      <x:c r="G2044" s="37" t="n">
        <x:v>0.021758436944937832</x:v>
      </x:c>
      <x:c r="H2044" s="56" t="n">
        <x:v>6952.000000000001</x:v>
      </x:c>
      <x:c r="I2044" s="56" t="n">
        <x:v>1.366</x:v>
      </x:c>
      <x:c r="J2044" s="56" t="n">
        <x:v>16.581102340528233</x:v>
      </x:c>
      <x:c r="K2044" s="56" t="n">
        <x:v>54.87165351079235</x:v>
      </x:c>
      <x:c r="L2044" s="56" t="n">
        <x:v>80.53093358684622</x:v>
      </x:c>
    </x:row>
    <x:row r="2045" ht="21.600000381469727" hidden="0" customHeight="1">
      <x:c r="A2045" s="29" t="str">
        <x:v>King County, Washington</x:v>
      </x:c>
      <x:c r="B2045" s="29" t="str">
        <x:v>53033023000</x:v>
      </x:c>
      <x:c r="C2045" s="51" t="n">
        <x:v>7396</x:v>
      </x:c>
      <x:c r="D2045" s="51" t="n">
        <x:v>574</x:v>
      </x:c>
      <x:c r="E2045" s="51" t="n">
        <x:v>340</x:v>
      </x:c>
      <x:c r="F2045" s="38" t="n">
        <x:v>0.07760951865873444</x:v>
      </x:c>
      <x:c r="G2045" s="38" t="n">
        <x:v>0.04597079502433748</x:v>
      </x:c>
      <x:c r="H2045" s="57" t="n">
        <x:v>7630.9</x:v>
      </x:c>
      <x:c r="I2045" s="57" t="n">
        <x:v>1.285</x:v>
      </x:c>
      <x:c r="J2045" s="57" t="n">
        <x:v>14.333009537047543</x:v>
      </x:c>
      <x:c r="K2045" s="57" t="n">
        <x:v>51.49951430557132</x:v>
      </x:c>
      <x:c r="L2045" s="57" t="n">
        <x:v>75.71359186510188</x:v>
      </x:c>
    </x:row>
    <x:row r="2046" ht="21.600000381469727" hidden="0" customHeight="1">
      <x:c r="A2046" s="27" t="str">
        <x:v>King County, Washington</x:v>
      </x:c>
      <x:c r="B2046" s="27" t="str">
        <x:v>53033023100</x:v>
      </x:c>
      <x:c r="C2046" s="50" t="n">
        <x:v>4030</x:v>
      </x:c>
      <x:c r="D2046" s="50" t="n">
        <x:v>424</x:v>
      </x:c>
      <x:c r="E2046" s="50" t="n">
        <x:v>38</x:v>
      </x:c>
      <x:c r="F2046" s="37" t="n">
        <x:v>0.10521091811414392</x:v>
      </x:c>
      <x:c r="G2046" s="37" t="n">
        <x:v>0.009429280397022333</x:v>
      </x:c>
      <x:c r="H2046" s="56" t="n">
        <x:v>4182.2</x:v>
      </x:c>
      <x:c r="I2046" s="56" t="n">
        <x:v>0.977</x:v>
      </x:c>
      <x:c r="J2046" s="56" t="n">
        <x:v>12.262547693331928</x:v>
      </x:c>
      <x:c r="K2046" s="56" t="n">
        <x:v>48.393821539997894</x:v>
      </x:c>
      <x:c r="L2046" s="56" t="n">
        <x:v>71.2768879142827</x:v>
      </x:c>
    </x:row>
    <x:row r="2047" ht="21.600000381469727" hidden="0" customHeight="1">
      <x:c r="A2047" s="29" t="str">
        <x:v>King County, Washington</x:v>
      </x:c>
      <x:c r="B2047" s="29" t="str">
        <x:v>53033023201</x:v>
      </x:c>
      <x:c r="C2047" s="51" t="n">
        <x:v>6256</x:v>
      </x:c>
      <x:c r="D2047" s="51" t="n">
        <x:v>520</x:v>
      </x:c>
      <x:c r="E2047" s="51" t="n">
        <x:v>683</x:v>
      </x:c>
      <x:c r="F2047" s="38" t="n">
        <x:v>0.08312020460358056</x:v>
      </x:c>
      <x:c r="G2047" s="38" t="n">
        <x:v>0.10917519181585678</x:v>
      </x:c>
      <x:c r="H2047" s="57" t="n">
        <x:v>6506.300000000001</x:v>
      </x:c>
      <x:c r="I2047" s="57" t="n">
        <x:v>0.606</x:v>
      </x:c>
      <x:c r="J2047" s="57" t="n">
        <x:v>16.429945026882297</x:v>
      </x:c>
      <x:c r="K2047" s="57" t="n">
        <x:v>54.64491754032345</x:v>
      </x:c>
      <x:c r="L2047" s="57" t="n">
        <x:v>80.20702505760492</x:v>
      </x:c>
    </x:row>
    <x:row r="2048" ht="21.600000381469727" hidden="0" customHeight="1">
      <x:c r="A2048" s="27" t="str">
        <x:v>King County, Washington</x:v>
      </x:c>
      <x:c r="B2048" s="27" t="str">
        <x:v>53033023202</x:v>
      </x:c>
      <x:c r="C2048" s="50" t="n">
        <x:v>5552</x:v>
      </x:c>
      <x:c r="D2048" s="50" t="n">
        <x:v>605</x:v>
      </x:c>
      <x:c r="E2048" s="50" t="n">
        <x:v>200.5</x:v>
      </x:c>
      <x:c r="F2048" s="37" t="n">
        <x:v>0.10896974063400576</x:v>
      </x:c>
      <x:c r="G2048" s="37" t="n">
        <x:v>0.03611311239193084</x:v>
      </x:c>
      <x:c r="H2048" s="56" t="n">
        <x:v>5783.8</x:v>
      </x:c>
      <x:c r="I2048" s="56" t="n">
        <x:v>0.576</x:v>
      </x:c>
      <x:c r="J2048" s="56" t="n">
        <x:v>15.562363461768607</x:v>
      </x:c>
      <x:c r="K2048" s="56" t="n">
        <x:v>53.34354519265291</x:v>
      </x:c>
      <x:c r="L2048" s="56" t="n">
        <x:v>78.34792170378986</x:v>
      </x:c>
    </x:row>
    <x:row r="2049" ht="21.600000381469727" hidden="0" customHeight="1">
      <x:c r="A2049" s="29" t="str">
        <x:v>King County, Washington</x:v>
      </x:c>
      <x:c r="B2049" s="29" t="str">
        <x:v>53033023300</x:v>
      </x:c>
      <x:c r="C2049" s="51" t="n">
        <x:v>7379</x:v>
      </x:c>
      <x:c r="D2049" s="51" t="n">
        <x:v>1074</x:v>
      </x:c>
      <x:c r="E2049" s="51" t="n">
        <x:v>52</x:v>
      </x:c>
      <x:c r="F2049" s="38" t="n">
        <x:v>0.1455481772597913</x:v>
      </x:c>
      <x:c r="G2049" s="38" t="n">
        <x:v>0.007047025342187288</x:v>
      </x:c>
      <x:c r="H2049" s="57" t="n">
        <x:v>7760.100000000001</x:v>
      </x:c>
      <x:c r="I2049" s="57" t="n">
        <x:v>1.386</x:v>
      </x:c>
      <x:c r="J2049" s="57" t="n">
        <x:v>14.043339550456658</x:v>
      </x:c>
      <x:c r="K2049" s="57" t="n">
        <x:v>51.06500932568498</x:v>
      </x:c>
      <x:c r="L2049" s="57" t="n">
        <x:v>75.09287046526427</x:v>
      </x:c>
    </x:row>
    <x:row r="2050" ht="21.600000381469727" hidden="0" customHeight="1">
      <x:c r="A2050" s="27" t="str">
        <x:v>King County, Washington</x:v>
      </x:c>
      <x:c r="B2050" s="27" t="str">
        <x:v>53033023401</x:v>
      </x:c>
      <x:c r="C2050" s="50" t="n">
        <x:v>4480</x:v>
      </x:c>
      <x:c r="D2050" s="50" t="n">
        <x:v>331</x:v>
      </x:c>
      <x:c r="E2050" s="50" t="n">
        <x:v>240</x:v>
      </x:c>
      <x:c r="F2050" s="37" t="n">
        <x:v>0.07388392857142857</x:v>
      </x:c>
      <x:c r="G2050" s="37" t="n">
        <x:v>0.05357142857142857</x:v>
      </x:c>
      <x:c r="H2050" s="56" t="n">
        <x:v>4619.85</x:v>
      </x:c>
      <x:c r="I2050" s="56" t="n">
        <x:v>1.431</x:v>
      </x:c>
      <x:c r="J2050" s="56" t="n">
        <x:v>14.61837385278949</x:v>
      </x:c>
      <x:c r="K2050" s="56" t="n">
        <x:v>51.92756077918423</x:v>
      </x:c>
      <x:c r="L2050" s="56" t="n">
        <x:v>76.32508682740605</x:v>
      </x:c>
    </x:row>
    <x:row r="2051" ht="21.600000381469727" hidden="0" customHeight="1">
      <x:c r="A2051" s="29" t="str">
        <x:v>King County, Washington</x:v>
      </x:c>
      <x:c r="B2051" s="29" t="str">
        <x:v>53033023403</x:v>
      </x:c>
      <x:c r="C2051" s="51" t="n">
        <x:v>4062</x:v>
      </x:c>
      <x:c r="D2051" s="51" t="n">
        <x:v>525</x:v>
      </x:c>
      <x:c r="E2051" s="51" t="n">
        <x:v>24</x:v>
      </x:c>
      <x:c r="F2051" s="38" t="n">
        <x:v>0.1292466765140325</x:v>
      </x:c>
      <x:c r="G2051" s="38" t="n">
        <x:v>0.005908419497784343</x:v>
      </x:c>
      <x:c r="H2051" s="57" t="n">
        <x:v>4248.15</x:v>
      </x:c>
      <x:c r="I2051" s="57" t="n">
        <x:v>1.295</x:v>
      </x:c>
      <x:c r="J2051" s="57" t="n">
        <x:v>11.230342128963896</x:v>
      </x:c>
      <x:c r="K2051" s="57" t="n">
        <x:v>46.845513193445846</x:v>
      </x:c>
      <x:c r="L2051" s="57" t="n">
        <x:v>69.06501884777978</x:v>
      </x:c>
    </x:row>
    <x:row r="2052" ht="21.600000381469727" hidden="0" customHeight="1">
      <x:c r="A2052" s="27" t="str">
        <x:v>King County, Washington</x:v>
      </x:c>
      <x:c r="B2052" s="27" t="str">
        <x:v>53033023404</x:v>
      </x:c>
      <x:c r="C2052" s="50" t="n">
        <x:v>3575</x:v>
      </x:c>
      <x:c r="D2052" s="50" t="n">
        <x:v>207</x:v>
      </x:c>
      <x:c r="E2052" s="50" t="n">
        <x:v>37</x:v>
      </x:c>
      <x:c r="F2052" s="37" t="n">
        <x:v>0.0579020979020979</x:v>
      </x:c>
      <x:c r="G2052" s="37" t="n">
        <x:v>0.01034965034965035</x:v>
      </x:c>
      <x:c r="H2052" s="56" t="n">
        <x:v>3651.1499999999996</x:v>
      </x:c>
      <x:c r="I2052" s="56" t="n">
        <x:v>0.71</x:v>
      </x:c>
      <x:c r="J2052" s="56" t="n">
        <x:v>7.710196863673098</x:v>
      </x:c>
      <x:c r="K2052" s="56" t="n">
        <x:v>41.56529529550964</x:v>
      </x:c>
      <x:c r="L2052" s="56" t="n">
        <x:v>61.52185042215664</x:v>
      </x:c>
    </x:row>
    <x:row r="2053" ht="21.600000381469727" hidden="0" customHeight="1">
      <x:c r="A2053" s="29" t="str">
        <x:v>King County, Washington</x:v>
      </x:c>
      <x:c r="B2053" s="29" t="str">
        <x:v>53033023500</x:v>
      </x:c>
      <x:c r="C2053" s="51" t="n">
        <x:v>4016</x:v>
      </x:c>
      <x:c r="D2053" s="51" t="n">
        <x:v>223</x:v>
      </x:c>
      <x:c r="E2053" s="51" t="n">
        <x:v>147</x:v>
      </x:c>
      <x:c r="F2053" s="38" t="n">
        <x:v>0.05552788844621514</x:v>
      </x:c>
      <x:c r="G2053" s="38" t="n">
        <x:v>0.03660358565737052</x:v>
      </x:c>
      <x:c r="H2053" s="57" t="n">
        <x:v>4108.75</x:v>
      </x:c>
      <x:c r="I2053" s="57" t="n">
        <x:v>0.944</x:v>
      </x:c>
      <x:c r="J2053" s="57" t="n">
        <x:v>17.38748126924787</x:v>
      </x:c>
      <x:c r="K2053" s="57" t="n">
        <x:v>56.08122190387181</x:v>
      </x:c>
      <x:c r="L2053" s="57" t="n">
        <x:v>82.25888843410257</x:v>
      </x:c>
    </x:row>
    <x:row r="2054" ht="21.600000381469727" hidden="0" customHeight="1">
      <x:c r="A2054" s="27" t="str">
        <x:v>King County, Washington</x:v>
      </x:c>
      <x:c r="B2054" s="27" t="str">
        <x:v>53033023601</x:v>
      </x:c>
      <x:c r="C2054" s="50" t="n">
        <x:v>4782</x:v>
      </x:c>
      <x:c r="D2054" s="50" t="n">
        <x:v>639</x:v>
      </x:c>
      <x:c r="E2054" s="50" t="n">
        <x:v>144</x:v>
      </x:c>
      <x:c r="F2054" s="37" t="n">
        <x:v>0.13362609786700125</x:v>
      </x:c>
      <x:c r="G2054" s="37" t="n">
        <x:v>0.030112923462986198</x:v>
      </x:c>
      <x:c r="H2054" s="56" t="n">
        <x:v>5020.05</x:v>
      </x:c>
      <x:c r="I2054" s="56" t="n">
        <x:v>1.787</x:v>
      </x:c>
      <x:c r="J2054" s="56" t="n">
        <x:v>18.502767428005214</x:v>
      </x:c>
      <x:c r="K2054" s="56" t="n">
        <x:v>57.75415114200782</x:v>
      </x:c>
      <x:c r="L2054" s="56" t="n">
        <x:v>84.64878734572545</x:v>
      </x:c>
    </x:row>
    <x:row r="2055" ht="21.600000381469727" hidden="0" customHeight="1">
      <x:c r="A2055" s="29" t="str">
        <x:v>King County, Washington</x:v>
      </x:c>
      <x:c r="B2055" s="29" t="str">
        <x:v>53033023603</x:v>
      </x:c>
      <x:c r="C2055" s="51" t="n">
        <x:v>6176</x:v>
      </x:c>
      <x:c r="D2055" s="51" t="n">
        <x:v>259</x:v>
      </x:c>
      <x:c r="E2055" s="51" t="n">
        <x:v>423.5</x:v>
      </x:c>
      <x:c r="F2055" s="38" t="n">
        <x:v>0.04193652849740933</x:v>
      </x:c>
      <x:c r="G2055" s="38" t="n">
        <x:v>0.06857189119170984</x:v>
      </x:c>
      <x:c r="H2055" s="57" t="n">
        <x:v>6309</x:v>
      </x:c>
      <x:c r="I2055" s="57" t="n">
        <x:v>0.779</x:v>
      </x:c>
      <x:c r="J2055" s="57" t="n">
        <x:v>17.336193050982672</x:v>
      </x:c>
      <x:c r="K2055" s="57" t="n">
        <x:v>56.00428957647401</x:v>
      </x:c>
      <x:c r="L2055" s="57" t="n">
        <x:v>82.14898510924858</x:v>
      </x:c>
    </x:row>
    <x:row r="2056" ht="21.600000381469727" hidden="0" customHeight="1">
      <x:c r="A2056" s="27" t="str">
        <x:v>King County, Washington</x:v>
      </x:c>
      <x:c r="B2056" s="27" t="str">
        <x:v>53033023604</x:v>
      </x:c>
      <x:c r="C2056" s="50" t="n">
        <x:v>6594</x:v>
      </x:c>
      <x:c r="D2056" s="50" t="n">
        <x:v>674</x:v>
      </x:c>
      <x:c r="E2056" s="50" t="n">
        <x:v>383.5</x:v>
      </x:c>
      <x:c r="F2056" s="37" t="n">
        <x:v>0.10221413406126782</x:v>
      </x:c>
      <x:c r="G2056" s="37" t="n">
        <x:v>0.05815893236275402</x:v>
      </x:c>
      <x:c r="H2056" s="56" t="n">
        <x:v>6868.249999999999</x:v>
      </x:c>
      <x:c r="I2056" s="56" t="n">
        <x:v>1.121</x:v>
      </x:c>
      <x:c r="J2056" s="56" t="n">
        <x:v>16.105699159167685</x:v>
      </x:c>
      <x:c r="K2056" s="56" t="n">
        <x:v>54.15854873875153</x:v>
      </x:c>
      <x:c r="L2056" s="56" t="n">
        <x:v>79.51221248393075</x:v>
      </x:c>
    </x:row>
    <x:row r="2057" ht="21.600000381469727" hidden="0" customHeight="1">
      <x:c r="A2057" s="29" t="str">
        <x:v>King County, Washington</x:v>
      </x:c>
      <x:c r="B2057" s="29" t="str">
        <x:v>53033023701</x:v>
      </x:c>
      <x:c r="C2057" s="51" t="n">
        <x:v>4308</x:v>
      </x:c>
      <x:c r="D2057" s="51" t="n">
        <x:v>264</x:v>
      </x:c>
      <x:c r="E2057" s="51" t="n">
        <x:v>65</x:v>
      </x:c>
      <x:c r="F2057" s="38" t="n">
        <x:v>0.06128133704735376</x:v>
      </x:c>
      <x:c r="G2057" s="38" t="n">
        <x:v>0.015088207985143919</x:v>
      </x:c>
      <x:c r="H2057" s="57" t="n">
        <x:v>4406.9</x:v>
      </x:c>
      <x:c r="I2057" s="57" t="n">
        <x:v>1.619</x:v>
      </x:c>
      <x:c r="J2057" s="57" t="n">
        <x:v>21.397030382068834</x:v>
      </x:c>
      <x:c r="K2057" s="57" t="n">
        <x:v>62.09554557310325</x:v>
      </x:c>
      <x:c r="L2057" s="57" t="n">
        <x:v>90.85077939014751</x:v>
      </x:c>
    </x:row>
    <x:row r="2058" ht="21.600000381469727" hidden="0" customHeight="1">
      <x:c r="A2058" s="27" t="str">
        <x:v>King County, Washington</x:v>
      </x:c>
      <x:c r="B2058" s="27" t="str">
        <x:v>53033023702</x:v>
      </x:c>
      <x:c r="C2058" s="50" t="n">
        <x:v>1404</x:v>
      </x:c>
      <x:c r="D2058" s="50" t="n">
        <x:v>109</x:v>
      </x:c>
      <x:c r="E2058" s="50" t="n">
        <x:v>189</x:v>
      </x:c>
      <x:c r="F2058" s="37" t="n">
        <x:v>0.07763532763532764</x:v>
      </x:c>
      <x:c r="G2058" s="37" t="n">
        <x:v>0.1346153846153846</x:v>
      </x:c>
      <x:c r="H2058" s="56" t="n">
        <x:v>1461.05</x:v>
      </x:c>
      <x:c r="I2058" s="56" t="n">
        <x:v>1.351</x:v>
      </x:c>
      <x:c r="J2058" s="56" t="n">
        <x:v>19.57483582076892</x:v>
      </x:c>
      <x:c r="K2058" s="56" t="n">
        <x:v>59.36225373115339</x:v>
      </x:c>
      <x:c r="L2058" s="56" t="n">
        <x:v>86.94607675879055</x:v>
      </x:c>
    </x:row>
    <x:row r="2059" ht="21.600000381469727" hidden="0" customHeight="1">
      <x:c r="A2059" s="29" t="str">
        <x:v>King County, Washington</x:v>
      </x:c>
      <x:c r="B2059" s="29" t="str">
        <x:v>53033023801</x:v>
      </x:c>
      <x:c r="C2059" s="51" t="n">
        <x:v>3307</x:v>
      </x:c>
      <x:c r="D2059" s="51" t="n">
        <x:v>122</x:v>
      </x:c>
      <x:c r="E2059" s="51" t="n">
        <x:v>222</x:v>
      </x:c>
      <x:c r="F2059" s="38" t="n">
        <x:v>0.036891442394919864</x:v>
      </x:c>
      <x:c r="G2059" s="38" t="n">
        <x:v>0.06713032960387058</x:v>
      </x:c>
      <x:c r="H2059" s="57" t="n">
        <x:v>3371.8999999999996</x:v>
      </x:c>
      <x:c r="I2059" s="57" t="n">
        <x:v>1.398</x:v>
      </x:c>
      <x:c r="J2059" s="57" t="n">
        <x:v>19.0763018845742</x:v>
      </x:c>
      <x:c r="K2059" s="57" t="n">
        <x:v>58.614452826861296</x:v>
      </x:c>
      <x:c r="L2059" s="57" t="n">
        <x:v>85.877789752659</x:v>
      </x:c>
    </x:row>
    <x:row r="2060" ht="21.600000381469727" hidden="0" customHeight="1">
      <x:c r="A2060" s="27" t="str">
        <x:v>King County, Washington</x:v>
      </x:c>
      <x:c r="B2060" s="27" t="str">
        <x:v>53033023805</x:v>
      </x:c>
      <x:c r="C2060" s="50" t="n">
        <x:v>3871</x:v>
      </x:c>
      <x:c r="D2060" s="50" t="n">
        <x:v>484</x:v>
      </x:c>
      <x:c r="E2060" s="50" t="n">
        <x:v>748.5</x:v>
      </x:c>
      <x:c r="F2060" s="37" t="n">
        <x:v>0.1250322913975717</x:v>
      </x:c>
      <x:c r="G2060" s="37" t="n">
        <x:v>0.19336088865926118</x:v>
      </x:c>
      <x:c r="H2060" s="56" t="n">
        <x:v>4115.25</x:v>
      </x:c>
      <x:c r="I2060" s="56" t="n">
        <x:v>0.127</x:v>
      </x:c>
      <x:c r="J2060" s="56" t="n">
        <x:v>21.784559538477886</x:v>
      </x:c>
      <x:c r="K2060" s="56" t="n">
        <x:v>62.67683930771683</x:v>
      </x:c>
      <x:c r="L2060" s="56" t="n">
        <x:v>91.68119901102403</x:v>
      </x:c>
    </x:row>
    <x:row r="2061" ht="21.600000381469727" hidden="0" customHeight="1">
      <x:c r="A2061" s="29" t="str">
        <x:v>King County, Washington</x:v>
      </x:c>
      <x:c r="B2061" s="29" t="str">
        <x:v>53033023806</x:v>
      </x:c>
      <x:c r="C2061" s="51" t="n">
        <x:v>3905</x:v>
      </x:c>
      <x:c r="D2061" s="51" t="n">
        <x:v>367</x:v>
      </x:c>
      <x:c r="E2061" s="51" t="n">
        <x:v>1345</x:v>
      </x:c>
      <x:c r="F2061" s="38" t="n">
        <x:v>0.0939820742637644</x:v>
      </x:c>
      <x:c r="G2061" s="38" t="n">
        <x:v>0.3444302176696543</x:v>
      </x:c>
      <x:c r="H2061" s="57" t="n">
        <x:v>4167.949999999999</x:v>
      </x:c>
      <x:c r="I2061" s="57" t="n">
        <x:v>0.091</x:v>
      </x:c>
      <x:c r="J2061" s="57" t="n">
        <x:v>20.988125348436746</x:v>
      </x:c>
      <x:c r="K2061" s="57" t="n">
        <x:v>61.482188022655116</x:v>
      </x:c>
      <x:c r="L2061" s="57" t="n">
        <x:v>89.97455431807873</x:v>
      </x:c>
    </x:row>
    <x:row r="2062" ht="21.600000381469727" hidden="0" customHeight="1">
      <x:c r="A2062" s="27" t="str">
        <x:v>King County, Washington</x:v>
      </x:c>
      <x:c r="B2062" s="27" t="str">
        <x:v>53033023807</x:v>
      </x:c>
      <x:c r="C2062" s="50" t="n">
        <x:v>5905</x:v>
      </x:c>
      <x:c r="D2062" s="50" t="n">
        <x:v>553</x:v>
      </x:c>
      <x:c r="E2062" s="50" t="n">
        <x:v>654</x:v>
      </x:c>
      <x:c r="F2062" s="37" t="n">
        <x:v>0.09364944961896697</x:v>
      </x:c>
      <x:c r="G2062" s="37" t="n">
        <x:v>0.11075359864521592</x:v>
      </x:c>
      <x:c r="H2062" s="56" t="n">
        <x:v>6163.950000000001</x:v>
      </x:c>
      <x:c r="I2062" s="56" t="n">
        <x:v>0.342</x:v>
      </x:c>
      <x:c r="J2062" s="56" t="n">
        <x:v>21.241433107234844</x:v>
      </x:c>
      <x:c r="K2062" s="56" t="n">
        <x:v>61.86214966085227</x:v>
      </x:c>
      <x:c r="L2062" s="56" t="n">
        <x:v>90.51735665836037</x:v>
      </x:c>
    </x:row>
    <x:row r="2063" ht="21.600000381469727" hidden="0" customHeight="1">
      <x:c r="A2063" s="29" t="str">
        <x:v>King County, Washington</x:v>
      </x:c>
      <x:c r="B2063" s="29" t="str">
        <x:v>53033023808</x:v>
      </x:c>
      <x:c r="C2063" s="51" t="n">
        <x:v>2372</x:v>
      </x:c>
      <x:c r="D2063" s="51" t="n">
        <x:v>322</x:v>
      </x:c>
      <x:c r="E2063" s="51" t="n">
        <x:v>713</x:v>
      </x:c>
      <x:c r="F2063" s="38" t="n">
        <x:v>0.1357504215851602</x:v>
      </x:c>
      <x:c r="G2063" s="38" t="n">
        <x:v>0.3005902192242833</x:v>
      </x:c>
      <x:c r="H2063" s="57" t="n">
        <x:v>2556</x:v>
      </x:c>
      <x:c r="I2063" s="57" t="n">
        <x:v>0.119</x:v>
      </x:c>
      <x:c r="J2063" s="57" t="n">
        <x:v>20.556357209334454</x:v>
      </x:c>
      <x:c r="K2063" s="57" t="n">
        <x:v>60.83453581400168</x:v>
      </x:c>
      <x:c r="L2063" s="57" t="n">
        <x:v>89.04933687714527</x:v>
      </x:c>
    </x:row>
    <x:row r="2064" ht="21.600000381469727" hidden="0" customHeight="1">
      <x:c r="A2064" s="27" t="str">
        <x:v>King County, Washington</x:v>
      </x:c>
      <x:c r="B2064" s="27" t="str">
        <x:v>53033023901</x:v>
      </x:c>
      <x:c r="C2064" s="50" t="n">
        <x:v>4678</x:v>
      </x:c>
      <x:c r="D2064" s="50" t="n">
        <x:v>387</x:v>
      </x:c>
      <x:c r="E2064" s="50" t="n">
        <x:v>187</x:v>
      </x:c>
      <x:c r="F2064" s="37" t="n">
        <x:v>0.08272766139375802</x:v>
      </x:c>
      <x:c r="G2064" s="37" t="n">
        <x:v>0.03997434801197093</x:v>
      </x:c>
      <x:c r="H2064" s="56" t="n">
        <x:v>4832.15</x:v>
      </x:c>
      <x:c r="I2064" s="56" t="n">
        <x:v>0.947</x:v>
      </x:c>
      <x:c r="J2064" s="56" t="n">
        <x:v>20.877122841196684</x:v>
      </x:c>
      <x:c r="K2064" s="56" t="n">
        <x:v>61.31568426179503</x:v>
      </x:c>
      <x:c r="L2064" s="56" t="n">
        <x:v>89.73669180256432</x:v>
      </x:c>
    </x:row>
    <x:row r="2065" ht="21.600000381469727" hidden="0" customHeight="1">
      <x:c r="A2065" s="29" t="str">
        <x:v>King County, Washington</x:v>
      </x:c>
      <x:c r="B2065" s="29" t="str">
        <x:v>53033023902</x:v>
      </x:c>
      <x:c r="C2065" s="51" t="n">
        <x:v>2709</x:v>
      </x:c>
      <x:c r="D2065" s="51" t="n">
        <x:v>110</x:v>
      </x:c>
      <x:c r="E2065" s="51" t="n">
        <x:v>24</x:v>
      </x:c>
      <x:c r="F2065" s="38" t="n">
        <x:v>0.04060538944259875</x:v>
      </x:c>
      <x:c r="G2065" s="38" t="n">
        <x:v>0.008859357696566999</x:v>
      </x:c>
      <x:c r="H2065" s="57" t="n">
        <x:v>2749.9</x:v>
      </x:c>
      <x:c r="I2065" s="57" t="n">
        <x:v>0.96</x:v>
      </x:c>
      <x:c r="J2065" s="57" t="n">
        <x:v>17.894177303823223</x:v>
      </x:c>
      <x:c r="K2065" s="57" t="n">
        <x:v>56.84126595573484</x:v>
      </x:c>
      <x:c r="L2065" s="57" t="n">
        <x:v>83.34466565104977</x:v>
      </x:c>
    </x:row>
    <x:row r="2066" ht="21.600000381469727" hidden="0" customHeight="1">
      <x:c r="A2066" s="27" t="str">
        <x:v>King County, Washington</x:v>
      </x:c>
      <x:c r="B2066" s="27" t="str">
        <x:v>53033024001</x:v>
      </x:c>
      <x:c r="C2066" s="50" t="n">
        <x:v>4566</x:v>
      </x:c>
      <x:c r="D2066" s="50" t="n">
        <x:v>430</x:v>
      </x:c>
      <x:c r="E2066" s="50" t="n">
        <x:v>129</x:v>
      </x:c>
      <x:c r="F2066" s="37" t="n">
        <x:v>0.09417433201927289</x:v>
      </x:c>
      <x:c r="G2066" s="37" t="n">
        <x:v>0.028252299605781867</x:v>
      </x:c>
      <x:c r="H2066" s="56" t="n">
        <x:v>4729.400000000001</x:v>
      </x:c>
      <x:c r="I2066" s="56" t="n">
        <x:v>1.085</x:v>
      </x:c>
      <x:c r="J2066" s="56" t="n">
        <x:v>21.950484654385292</x:v>
      </x:c>
      <x:c r="K2066" s="56" t="n">
        <x:v>62.92572698157794</x:v>
      </x:c>
      <x:c r="L2066" s="56" t="n">
        <x:v>92.03675283082563</x:v>
      </x:c>
    </x:row>
    <x:row r="2067" ht="21.600000381469727" hidden="0" customHeight="1">
      <x:c r="A2067" s="29" t="str">
        <x:v>King County, Washington</x:v>
      </x:c>
      <x:c r="B2067" s="29" t="str">
        <x:v>53033024002</x:v>
      </x:c>
      <x:c r="C2067" s="51" t="n">
        <x:v>4110</x:v>
      </x:c>
      <x:c r="D2067" s="51" t="n">
        <x:v>254</x:v>
      </x:c>
      <x:c r="E2067" s="51" t="n">
        <x:v>177</x:v>
      </x:c>
      <x:c r="F2067" s="38" t="n">
        <x:v>0.061800486618004864</x:v>
      </x:c>
      <x:c r="G2067" s="38" t="n">
        <x:v>0.043065693430656936</x:v>
      </x:c>
      <x:c r="H2067" s="57" t="n">
        <x:v>4216.6</x:v>
      </x:c>
      <x:c r="I2067" s="57" t="n">
        <x:v>0.627</x:v>
      </x:c>
      <x:c r="J2067" s="57" t="n">
        <x:v>22.644093263668026</x:v>
      </x:c>
      <x:c r="K2067" s="57" t="n">
        <x:v>63.96613989550204</x:v>
      </x:c>
      <x:c r="L2067" s="57" t="n">
        <x:v>93.52305699357434</x:v>
      </x:c>
    </x:row>
    <x:row r="2068" ht="21.600000381469727" hidden="0" customHeight="1">
      <x:c r="A2068" s="27" t="str">
        <x:v>King County, Washington</x:v>
      </x:c>
      <x:c r="B2068" s="27" t="str">
        <x:v>53033024100</x:v>
      </x:c>
      <x:c r="C2068" s="50" t="n">
        <x:v>4606</x:v>
      </x:c>
      <x:c r="D2068" s="50" t="n">
        <x:v>319</x:v>
      </x:c>
      <x:c r="E2068" s="50" t="n">
        <x:v>40</x:v>
      </x:c>
      <x:c r="F2068" s="37" t="n">
        <x:v>0.06925749023013461</x:v>
      </x:c>
      <x:c r="G2068" s="37" t="n">
        <x:v>0.008684324793747287</x:v>
      </x:c>
      <x:c r="H2068" s="56" t="n">
        <x:v>4721.65</x:v>
      </x:c>
      <x:c r="I2068" s="56" t="n">
        <x:v>1.726</x:v>
      </x:c>
      <x:c r="J2068" s="56" t="n">
        <x:v>19.257774776856085</x:v>
      </x:c>
      <x:c r="K2068" s="56" t="n">
        <x:v>58.88666216528413</x:v>
      </x:c>
      <x:c r="L2068" s="56" t="n">
        <x:v>86.26666023612017</x:v>
      </x:c>
    </x:row>
    <x:row r="2069" ht="21.600000381469727" hidden="0" customHeight="1">
      <x:c r="A2069" s="29" t="str">
        <x:v>King County, Washington</x:v>
      </x:c>
      <x:c r="B2069" s="29" t="str">
        <x:v>53033024200</x:v>
      </x:c>
      <x:c r="C2069" s="51" t="n">
        <x:v>2928</x:v>
      </x:c>
      <x:c r="D2069" s="51" t="n">
        <x:v>237</x:v>
      </x:c>
      <x:c r="E2069" s="51" t="n">
        <x:v>83</x:v>
      </x:c>
      <x:c r="F2069" s="38" t="n">
        <x:v>0.08094262295081968</x:v>
      </x:c>
      <x:c r="G2069" s="38" t="n">
        <x:v>0.028346994535519126</x:v>
      </x:c>
      <x:c r="H2069" s="57" t="n">
        <x:v>3019.2500000000005</x:v>
      </x:c>
      <x:c r="I2069" s="57" t="n">
        <x:v>1.43</x:v>
      </x:c>
      <x:c r="J2069" s="57" t="n">
        <x:v>19.678284032417004</x:v>
      </x:c>
      <x:c r="K2069" s="57" t="n">
        <x:v>59.5174260486255</x:v>
      </x:c>
      <x:c r="L2069" s="57" t="n">
        <x:v>87.16775149803644</x:v>
      </x:c>
    </x:row>
    <x:row r="2070" ht="21.600000381469727" hidden="0" customHeight="1">
      <x:c r="A2070" s="27" t="str">
        <x:v>King County, Washington</x:v>
      </x:c>
      <x:c r="B2070" s="27" t="str">
        <x:v>53033024301</x:v>
      </x:c>
      <x:c r="C2070" s="50" t="n">
        <x:v>4995</x:v>
      </x:c>
      <x:c r="D2070" s="50" t="n">
        <x:v>672</x:v>
      </x:c>
      <x:c r="E2070" s="50" t="n">
        <x:v>489</x:v>
      </x:c>
      <x:c r="F2070" s="37" t="n">
        <x:v>0.13453453453453454</x:v>
      </x:c>
      <x:c r="G2070" s="37" t="n">
        <x:v>0.09789789789789789</x:v>
      </x:c>
      <x:c r="H2070" s="56" t="n">
        <x:v>5279.1</x:v>
      </x:c>
      <x:c r="I2070" s="56" t="n">
        <x:v>0.534</x:v>
      </x:c>
      <x:c r="J2070" s="56" t="n">
        <x:v>22.73719407545051</x:v>
      </x:c>
      <x:c r="K2070" s="56" t="n">
        <x:v>64.10579111317577</x:v>
      </x:c>
      <x:c r="L2070" s="56" t="n">
        <x:v>93.72255873310823</x:v>
      </x:c>
    </x:row>
    <x:row r="2071" ht="21.600000381469727" hidden="0" customHeight="1">
      <x:c r="A2071" s="29" t="str">
        <x:v>King County, Washington</x:v>
      </x:c>
      <x:c r="B2071" s="29" t="str">
        <x:v>53033024302</x:v>
      </x:c>
      <x:c r="C2071" s="51" t="n">
        <x:v>3744</x:v>
      </x:c>
      <x:c r="D2071" s="51" t="n">
        <x:v>301</x:v>
      </x:c>
      <x:c r="E2071" s="51" t="n">
        <x:v>4.5</x:v>
      </x:c>
      <x:c r="F2071" s="38" t="n">
        <x:v>0.08039529914529915</x:v>
      </x:c>
      <x:c r="G2071" s="38" t="n">
        <x:v>0.001201923076923077</x:v>
      </x:c>
      <x:c r="H2071" s="57" t="n">
        <x:v>3849.8</x:v>
      </x:c>
      <x:c r="I2071" s="57" t="n">
        <x:v>1.072</x:v>
      </x:c>
      <x:c r="J2071" s="57" t="n">
        <x:v>24.26452185840412</x:v>
      </x:c>
      <x:c r="K2071" s="57" t="n">
        <x:v>66.39678278760618</x:v>
      </x:c>
      <x:c r="L2071" s="57" t="n">
        <x:v>96.99540398229453</x:v>
      </x:c>
    </x:row>
    <x:row r="2072" ht="21.600000381469727" hidden="0" customHeight="1">
      <x:c r="A2072" s="27" t="str">
        <x:v>King County, Washington</x:v>
      </x:c>
      <x:c r="B2072" s="27" t="str">
        <x:v>53033024400</x:v>
      </x:c>
      <x:c r="C2072" s="50" t="n">
        <x:v>3219</x:v>
      </x:c>
      <x:c r="D2072" s="50" t="n">
        <x:v>322</x:v>
      </x:c>
      <x:c r="E2072" s="50" t="n">
        <x:v>209.5</x:v>
      </x:c>
      <x:c r="F2072" s="37" t="n">
        <x:v>0.10003106554830693</x:v>
      </x:c>
      <x:c r="G2072" s="37" t="n">
        <x:v>0.06508232370301335</x:v>
      </x:c>
      <x:c r="H2072" s="56" t="n">
        <x:v>3352.65</x:v>
      </x:c>
      <x:c r="I2072" s="56" t="n">
        <x:v>0.645</x:v>
      </x:c>
      <x:c r="J2072" s="56" t="n">
        <x:v>20.616791230515954</x:v>
      </x:c>
      <x:c r="K2072" s="56" t="n">
        <x:v>60.92518684577393</x:v>
      </x:c>
      <x:c r="L2072" s="56" t="n">
        <x:v>89.17883835110561</x:v>
      </x:c>
    </x:row>
    <x:row r="2073" ht="21.600000381469727" hidden="0" customHeight="1">
      <x:c r="A2073" s="29" t="str">
        <x:v>King County, Washington</x:v>
      </x:c>
      <x:c r="B2073" s="29" t="str">
        <x:v>53033024500</x:v>
      </x:c>
      <x:c r="C2073" s="51" t="n">
        <x:v>4961</x:v>
      </x:c>
      <x:c r="D2073" s="51" t="n">
        <x:v>410</x:v>
      </x:c>
      <x:c r="E2073" s="51" t="n">
        <x:v>36</x:v>
      </x:c>
      <x:c r="F2073" s="38" t="n">
        <x:v>0.08264462809917356</x:v>
      </x:c>
      <x:c r="G2073" s="38" t="n">
        <x:v>0.007256601491634751</x:v>
      </x:c>
      <x:c r="H2073" s="57" t="n">
        <x:v>5108.099999999999</x:v>
      </x:c>
      <x:c r="I2073" s="57" t="n">
        <x:v>1.482</x:v>
      </x:c>
      <x:c r="J2073" s="57" t="n">
        <x:v>20.65608011493222</x:v>
      </x:c>
      <x:c r="K2073" s="57" t="n">
        <x:v>60.984120172398335</x:v>
      </x:c>
      <x:c r="L2073" s="57" t="n">
        <x:v>89.2630288177119</x:v>
      </x:c>
    </x:row>
    <x:row r="2074" ht="21.600000381469727" hidden="0" customHeight="1">
      <x:c r="A2074" s="27" t="str">
        <x:v>King County, Washington</x:v>
      </x:c>
      <x:c r="B2074" s="27" t="str">
        <x:v>53033024601</x:v>
      </x:c>
      <x:c r="C2074" s="50" t="n">
        <x:v>4772</x:v>
      </x:c>
      <x:c r="D2074" s="50" t="n">
        <x:v>332</x:v>
      </x:c>
      <x:c r="E2074" s="50" t="n">
        <x:v>0</x:v>
      </x:c>
      <x:c r="F2074" s="37" t="n">
        <x:v>0.06957250628667226</x:v>
      </x:c>
      <x:c r="G2074" s="37" t="n">
        <x:v>0</x:v>
      </x:c>
      <x:c r="H2074" s="56" t="n">
        <x:v>4888.2</x:v>
      </x:c>
      <x:c r="I2074" s="56" t="n">
        <x:v>1.532</x:v>
      </x:c>
      <x:c r="J2074" s="56" t="n">
        <x:v>21.127847678839068</x:v>
      </x:c>
      <x:c r="K2074" s="56" t="n">
        <x:v>61.6917715182586</x:v>
      </x:c>
      <x:c r="L2074" s="56" t="n">
        <x:v>90.273959311798</x:v>
      </x:c>
    </x:row>
    <x:row r="2075" ht="21.600000381469727" hidden="0" customHeight="1">
      <x:c r="A2075" s="29" t="str">
        <x:v>King County, Washington</x:v>
      </x:c>
      <x:c r="B2075" s="29" t="str">
        <x:v>53033024602</x:v>
      </x:c>
      <x:c r="C2075" s="51" t="n">
        <x:v>3485</x:v>
      </x:c>
      <x:c r="D2075" s="51" t="n">
        <x:v>267</x:v>
      </x:c>
      <x:c r="E2075" s="51" t="n">
        <x:v>18</x:v>
      </x:c>
      <x:c r="F2075" s="38" t="n">
        <x:v>0.07661406025824964</x:v>
      </x:c>
      <x:c r="G2075" s="38" t="n">
        <x:v>0.005164992826398852</x:v>
      </x:c>
      <x:c r="H2075" s="57" t="n">
        <x:v>3580.25</x:v>
      </x:c>
      <x:c r="I2075" s="57" t="n">
        <x:v>1.117</x:v>
      </x:c>
      <x:c r="J2075" s="57" t="n">
        <x:v>22.276929447817977</x:v>
      </x:c>
      <x:c r="K2075" s="57" t="n">
        <x:v>63.415394171726966</x:v>
      </x:c>
      <x:c r="L2075" s="57" t="n">
        <x:v>92.73627738818138</x:v>
      </x:c>
    </x:row>
    <x:row r="2076" ht="21.600000381469727" hidden="0" customHeight="1">
      <x:c r="A2076" s="27" t="str">
        <x:v>King County, Washington</x:v>
      </x:c>
      <x:c r="B2076" s="27" t="str">
        <x:v>53033024701</x:v>
      </x:c>
      <x:c r="C2076" s="50" t="n">
        <x:v>3721</x:v>
      </x:c>
      <x:c r="D2076" s="50" t="n">
        <x:v>379</x:v>
      </x:c>
      <x:c r="E2076" s="50" t="n">
        <x:v>96</x:v>
      </x:c>
      <x:c r="F2076" s="37" t="n">
        <x:v>0.10185434023112067</x:v>
      </x:c>
      <x:c r="G2076" s="37" t="n">
        <x:v>0.025799516259070142</x:v>
      </x:c>
      <x:c r="H2076" s="56" t="n">
        <x:v>3863.2500000000005</x:v>
      </x:c>
      <x:c r="I2076" s="56" t="n">
        <x:v>1.018</x:v>
      </x:c>
      <x:c r="J2076" s="56" t="n">
        <x:v>16.906181785620635</x:v>
      </x:c>
      <x:c r="K2076" s="56" t="n">
        <x:v>55.359272678430955</x:v>
      </x:c>
      <x:c r="L2076" s="56" t="n">
        <x:v>81.2275323977585</x:v>
      </x:c>
    </x:row>
    <x:row r="2077" ht="21.600000381469727" hidden="0" customHeight="1">
      <x:c r="A2077" s="29" t="str">
        <x:v>King County, Washington</x:v>
      </x:c>
      <x:c r="B2077" s="29" t="str">
        <x:v>53033024703</x:v>
      </x:c>
      <x:c r="C2077" s="51" t="n">
        <x:v>4065</x:v>
      </x:c>
      <x:c r="D2077" s="51" t="n">
        <x:v>281</x:v>
      </x:c>
      <x:c r="E2077" s="51" t="n">
        <x:v>72.5</x:v>
      </x:c>
      <x:c r="F2077" s="38" t="n">
        <x:v>0.06912669126691266</x:v>
      </x:c>
      <x:c r="G2077" s="38" t="n">
        <x:v>0.01783517835178352</x:v>
      </x:c>
      <x:c r="H2077" s="57" t="n">
        <x:v>4170.6</x:v>
      </x:c>
      <x:c r="I2077" s="57" t="n">
        <x:v>1.448</x:v>
      </x:c>
      <x:c r="J2077" s="57" t="n">
        <x:v>17.449642718006956</x:v>
      </x:c>
      <x:c r="K2077" s="57" t="n">
        <x:v>56.174464077010434</x:v>
      </x:c>
      <x:c r="L2077" s="57" t="n">
        <x:v>82.39209153858633</x:v>
      </x:c>
    </x:row>
    <x:row r="2078" ht="21.600000381469727" hidden="0" customHeight="1">
      <x:c r="A2078" s="27" t="str">
        <x:v>King County, Washington</x:v>
      </x:c>
      <x:c r="B2078" s="27" t="str">
        <x:v>53033024704</x:v>
      </x:c>
      <x:c r="C2078" s="50" t="n">
        <x:v>4211</x:v>
      </x:c>
      <x:c r="D2078" s="50" t="n">
        <x:v>433</x:v>
      </x:c>
      <x:c r="E2078" s="50" t="n">
        <x:v>0</x:v>
      </x:c>
      <x:c r="F2078" s="37" t="n">
        <x:v>0.10282593208264071</x:v>
      </x:c>
      <x:c r="G2078" s="37" t="n">
        <x:v>0</x:v>
      </x:c>
      <x:c r="H2078" s="56" t="n">
        <x:v>4362.55</x:v>
      </x:c>
      <x:c r="I2078" s="56" t="n">
        <x:v>1.023</x:v>
      </x:c>
      <x:c r="J2078" s="56" t="n">
        <x:v>17.73170166583334</x:v>
      </x:c>
      <x:c r="K2078" s="56" t="n">
        <x:v>56.59755249875001</x:v>
      </x:c>
      <x:c r="L2078" s="56" t="n">
        <x:v>82.99650356964287</x:v>
      </x:c>
    </x:row>
    <x:row r="2079" ht="21.600000381469727" hidden="0" customHeight="1">
      <x:c r="A2079" s="29" t="str">
        <x:v>King County, Washington</x:v>
      </x:c>
      <x:c r="B2079" s="29" t="str">
        <x:v>53033024800</x:v>
      </x:c>
      <x:c r="C2079" s="51" t="n">
        <x:v>6443</x:v>
      </x:c>
      <x:c r="D2079" s="51" t="n">
        <x:v>505</x:v>
      </x:c>
      <x:c r="E2079" s="51" t="n">
        <x:v>403</x:v>
      </x:c>
      <x:c r="F2079" s="38" t="n">
        <x:v>0.07837963681514823</x:v>
      </x:c>
      <x:c r="G2079" s="38" t="n">
        <x:v>0.06254850225050443</x:v>
      </x:c>
      <x:c r="H2079" s="57" t="n">
        <x:v>6660.05</x:v>
      </x:c>
      <x:c r="I2079" s="57" t="n">
        <x:v>1.456</x:v>
      </x:c>
      <x:c r="J2079" s="57" t="n">
        <x:v>14.466439693471276</x:v>
      </x:c>
      <x:c r="K2079" s="57" t="n">
        <x:v>51.699659540206916</x:v>
      </x:c>
      <x:c r="L2079" s="57" t="n">
        <x:v>75.99951362886702</x:v>
      </x:c>
    </x:row>
    <x:row r="2080" ht="21.600000381469727" hidden="0" customHeight="1">
      <x:c r="A2080" s="27" t="str">
        <x:v>King County, Washington</x:v>
      </x:c>
      <x:c r="B2080" s="27" t="str">
        <x:v>53033024901</x:v>
      </x:c>
      <x:c r="C2080" s="50" t="n">
        <x:v>4845</x:v>
      </x:c>
      <x:c r="D2080" s="50" t="n">
        <x:v>385</x:v>
      </x:c>
      <x:c r="E2080" s="50" t="n">
        <x:v>61</x:v>
      </x:c>
      <x:c r="F2080" s="37" t="n">
        <x:v>0.07946336429308566</x:v>
      </x:c>
      <x:c r="G2080" s="37" t="n">
        <x:v>0.01259029927760578</x:v>
      </x:c>
      <x:c r="H2080" s="56" t="n">
        <x:v>4985.849999999999</x:v>
      </x:c>
      <x:c r="I2080" s="56" t="n">
        <x:v>1.168</x:v>
      </x:c>
      <x:c r="J2080" s="56" t="n">
        <x:v>14.561249166954571</x:v>
      </x:c>
      <x:c r="K2080" s="56" t="n">
        <x:v>51.84187375043186</x:v>
      </x:c>
      <x:c r="L2080" s="56" t="n">
        <x:v>76.20267678633122</x:v>
      </x:c>
    </x:row>
    <x:row r="2081" ht="21.600000381469727" hidden="0" customHeight="1">
      <x:c r="A2081" s="29" t="str">
        <x:v>King County, Washington</x:v>
      </x:c>
      <x:c r="B2081" s="29" t="str">
        <x:v>53033024902</x:v>
      </x:c>
      <x:c r="C2081" s="51" t="n">
        <x:v>4349</x:v>
      </x:c>
      <x:c r="D2081" s="51" t="n">
        <x:v>325</x:v>
      </x:c>
      <x:c r="E2081" s="51" t="n">
        <x:v>28</x:v>
      </x:c>
      <x:c r="F2081" s="38" t="n">
        <x:v>0.07472982294780409</x:v>
      </x:c>
      <x:c r="G2081" s="38" t="n">
        <x:v>0.0064382616693492755</x:v>
      </x:c>
      <x:c r="H2081" s="57" t="n">
        <x:v>4465.550000000001</x:v>
      </x:c>
      <x:c r="I2081" s="57" t="n">
        <x:v>0.784</x:v>
      </x:c>
      <x:c r="J2081" s="57" t="n">
        <x:v>12.322840298154855</x:v>
      </x:c>
      <x:c r="K2081" s="57" t="n">
        <x:v>48.48426044723228</x:v>
      </x:c>
      <x:c r="L2081" s="57" t="n">
        <x:v>71.40608635318898</x:v>
      </x:c>
    </x:row>
    <x:row r="2082" ht="21.600000381469727" hidden="0" customHeight="1">
      <x:c r="A2082" s="27" t="str">
        <x:v>King County, Washington</x:v>
      </x:c>
      <x:c r="B2082" s="27" t="str">
        <x:v>53033024904</x:v>
      </x:c>
      <x:c r="C2082" s="50" t="n">
        <x:v>2909</x:v>
      </x:c>
      <x:c r="D2082" s="50" t="n">
        <x:v>64</x:v>
      </x:c>
      <x:c r="E2082" s="50" t="n">
        <x:v>67</x:v>
      </x:c>
      <x:c r="F2082" s="37" t="n">
        <x:v>0.022000687521485048</x:v>
      </x:c>
      <x:c r="G2082" s="37" t="n">
        <x:v>0.023031969749054658</x:v>
      </x:c>
      <x:c r="H2082" s="56" t="n">
        <x:v>2938.1</x:v>
      </x:c>
      <x:c r="I2082" s="56" t="n">
        <x:v>0.804</x:v>
      </x:c>
      <x:c r="J2082" s="56" t="n">
        <x:v>13.28899226185524</x:v>
      </x:c>
      <x:c r="K2082" s="56" t="n">
        <x:v>49.93348839278286</x:v>
      </x:c>
      <x:c r="L2082" s="56" t="n">
        <x:v>73.47641198968981</x:v>
      </x:c>
    </x:row>
    <x:row r="2083" ht="21.600000381469727" hidden="0" customHeight="1">
      <x:c r="A2083" s="29" t="str">
        <x:v>King County, Washington</x:v>
      </x:c>
      <x:c r="B2083" s="29" t="str">
        <x:v>53033024905</x:v>
      </x:c>
      <x:c r="C2083" s="51" t="n">
        <x:v>3796</x:v>
      </x:c>
      <x:c r="D2083" s="51" t="n">
        <x:v>104</x:v>
      </x:c>
      <x:c r="E2083" s="51" t="n">
        <x:v>45</x:v>
      </x:c>
      <x:c r="F2083" s="38" t="n">
        <x:v>0.0273972602739726</x:v>
      </x:c>
      <x:c r="G2083" s="38" t="n">
        <x:v>0.01185458377239199</x:v>
      </x:c>
      <x:c r="H2083" s="57" t="n">
        <x:v>3836.9</x:v>
      </x:c>
      <x:c r="I2083" s="57" t="n">
        <x:v>1.112</x:v>
      </x:c>
      <x:c r="J2083" s="57" t="n">
        <x:v>12.444713678150068</x:v>
      </x:c>
      <x:c r="K2083" s="57" t="n">
        <x:v>48.6670705172251</x:v>
      </x:c>
      <x:c r="L2083" s="57" t="n">
        <x:v>71.66724359603586</x:v>
      </x:c>
    </x:row>
    <x:row r="2084" ht="21.600000381469727" hidden="0" customHeight="1">
      <x:c r="A2084" s="27" t="str">
        <x:v>King County, Washington</x:v>
      </x:c>
      <x:c r="B2084" s="27" t="str">
        <x:v>53033025001</x:v>
      </x:c>
      <x:c r="C2084" s="50" t="n">
        <x:v>5599</x:v>
      </x:c>
      <x:c r="D2084" s="50" t="n">
        <x:v>367</x:v>
      </x:c>
      <x:c r="E2084" s="50" t="n">
        <x:v>401.5</x:v>
      </x:c>
      <x:c r="F2084" s="37" t="n">
        <x:v>0.06554741918199679</x:v>
      </x:c>
      <x:c r="G2084" s="37" t="n">
        <x:v>0.07170923379174853</x:v>
      </x:c>
      <x:c r="H2084" s="56" t="n">
        <x:v>5767.599999999999</x:v>
      </x:c>
      <x:c r="I2084" s="56" t="n">
        <x:v>1.414</x:v>
      </x:c>
      <x:c r="J2084" s="56" t="n">
        <x:v>15.634297265962498</x:v>
      </x:c>
      <x:c r="K2084" s="56" t="n">
        <x:v>53.451445898943746</x:v>
      </x:c>
      <x:c r="L2084" s="56" t="n">
        <x:v>78.50206556991964</x:v>
      </x:c>
    </x:row>
    <x:row r="2085" ht="21.600000381469727" hidden="0" customHeight="1">
      <x:c r="A2085" s="29" t="str">
        <x:v>King County, Washington</x:v>
      </x:c>
      <x:c r="B2085" s="29" t="str">
        <x:v>53033025005</x:v>
      </x:c>
      <x:c r="C2085" s="51" t="n">
        <x:v>6352</x:v>
      </x:c>
      <x:c r="D2085" s="51" t="n">
        <x:v>517</x:v>
      </x:c>
      <x:c r="E2085" s="51" t="n">
        <x:v>565</x:v>
      </x:c>
      <x:c r="F2085" s="38" t="n">
        <x:v>0.08139168765743073</x:v>
      </x:c>
      <x:c r="G2085" s="38" t="n">
        <x:v>0.08894836272040302</x:v>
      </x:c>
      <x:c r="H2085" s="57" t="n">
        <x:v>6589.449999999999</x:v>
      </x:c>
      <x:c r="I2085" s="57" t="n">
        <x:v>2.967</x:v>
      </x:c>
      <x:c r="J2085" s="57" t="n">
        <x:v>13.541404355878075</x:v>
      </x:c>
      <x:c r="K2085" s="57" t="n">
        <x:v>50.312106533817115</x:v>
      </x:c>
      <x:c r="L2085" s="57" t="n">
        <x:v>74.01729504831016</x:v>
      </x:c>
    </x:row>
    <x:row r="2086" ht="21.600000381469727" hidden="0" customHeight="1">
      <x:c r="A2086" s="27" t="str">
        <x:v>King County, Washington</x:v>
      </x:c>
      <x:c r="B2086" s="27" t="str">
        <x:v>53033025006</x:v>
      </x:c>
      <x:c r="C2086" s="50" t="n">
        <x:v>6699</x:v>
      </x:c>
      <x:c r="D2086" s="50" t="n">
        <x:v>605</x:v>
      </x:c>
      <x:c r="E2086" s="50" t="n">
        <x:v>241.5</x:v>
      </x:c>
      <x:c r="F2086" s="37" t="n">
        <x:v>0.090311986863711</x:v>
      </x:c>
      <x:c r="G2086" s="37" t="n">
        <x:v>0.03605015673981191</x:v>
      </x:c>
      <x:c r="H2086" s="56" t="n">
        <x:v>6934.899999999999</x:v>
      </x:c>
      <x:c r="I2086" s="56" t="n">
        <x:v>8.652</x:v>
      </x:c>
      <x:c r="J2086" s="56" t="n">
        <x:v>8.968470679356368</x:v>
      </x:c>
      <x:c r="K2086" s="56" t="n">
        <x:v>43.45270601903455</x:v>
      </x:c>
      <x:c r="L2086" s="56" t="n">
        <x:v>64.21815145576365</x:v>
      </x:c>
    </x:row>
    <x:row r="2087" ht="21.600000381469727" hidden="0" customHeight="1">
      <x:c r="A2087" s="29" t="str">
        <x:v>King County, Washington</x:v>
      </x:c>
      <x:c r="B2087" s="29" t="str">
        <x:v>53033025007</x:v>
      </x:c>
      <x:c r="C2087" s="51" t="n">
        <x:v>4791</x:v>
      </x:c>
      <x:c r="D2087" s="51" t="n">
        <x:v>256</x:v>
      </x:c>
      <x:c r="E2087" s="51" t="n">
        <x:v>200</x:v>
      </x:c>
      <x:c r="F2087" s="38" t="n">
        <x:v>0.05343352118555625</x:v>
      </x:c>
      <x:c r="G2087" s="38" t="n">
        <x:v>0.04174493842621582</x:v>
      </x:c>
      <x:c r="H2087" s="57" t="n">
        <x:v>4900.6</x:v>
      </x:c>
      <x:c r="I2087" s="57" t="n">
        <x:v>1.613</x:v>
      </x:c>
      <x:c r="J2087" s="57" t="n">
        <x:v>9.184122303382564</x:v>
      </x:c>
      <x:c r="K2087" s="57" t="n">
        <x:v>43.77618345507385</x:v>
      </x:c>
      <x:c r="L2087" s="57" t="n">
        <x:v>64.68026207867692</x:v>
      </x:c>
    </x:row>
    <x:row r="2088" ht="21.600000381469727" hidden="0" customHeight="1">
      <x:c r="A2088" s="27" t="str">
        <x:v>King County, Washington</x:v>
      </x:c>
      <x:c r="B2088" s="27" t="str">
        <x:v>53033025008</x:v>
      </x:c>
      <x:c r="C2088" s="50" t="n">
        <x:v>2533</x:v>
      </x:c>
      <x:c r="D2088" s="50" t="n">
        <x:v>309</x:v>
      </x:c>
      <x:c r="E2088" s="50" t="n">
        <x:v>38.5</x:v>
      </x:c>
      <x:c r="F2088" s="37" t="n">
        <x:v>0.12198973549151204</x:v>
      </x:c>
      <x:c r="G2088" s="37" t="n">
        <x:v>0.015199368337939202</x:v>
      </x:c>
      <x:c r="H2088" s="56" t="n">
        <x:v>2645</x:v>
      </x:c>
      <x:c r="I2088" s="56" t="n">
        <x:v>0.873</x:v>
      </x:c>
      <x:c r="J2088" s="56" t="n">
        <x:v>10.155467952553492</x:v>
      </x:c>
      <x:c r="K2088" s="56" t="n">
        <x:v>45.23320192883024</x:v>
      </x:c>
      <x:c r="L2088" s="56" t="n">
        <x:v>66.76171704118605</x:v>
      </x:c>
    </x:row>
    <x:row r="2089" ht="21.600000381469727" hidden="0" customHeight="1">
      <x:c r="A2089" s="29" t="str">
        <x:v>King County, Washington</x:v>
      </x:c>
      <x:c r="B2089" s="29" t="str">
        <x:v>53033025101</x:v>
      </x:c>
      <x:c r="C2089" s="51" t="n">
        <x:v>6208</x:v>
      </x:c>
      <x:c r="D2089" s="51" t="n">
        <x:v>248</x:v>
      </x:c>
      <x:c r="E2089" s="51" t="n">
        <x:v>147.5</x:v>
      </x:c>
      <x:c r="F2089" s="38" t="n">
        <x:v>0.03994845360824742</x:v>
      </x:c>
      <x:c r="G2089" s="38" t="n">
        <x:v>0.023759664948453607</x:v>
      </x:c>
      <x:c r="H2089" s="57" t="n">
        <x:v>6309.55</x:v>
      </x:c>
      <x:c r="I2089" s="57" t="n">
        <x:v>1.133</x:v>
      </x:c>
      <x:c r="J2089" s="57" t="n">
        <x:v>15.241559734476406</x:v>
      </x:c>
      <x:c r="K2089" s="57" t="n">
        <x:v>52.86233960171461</x:v>
      </x:c>
      <x:c r="L2089" s="57" t="n">
        <x:v>77.66048514530658</x:v>
      </x:c>
    </x:row>
    <x:row r="2090" ht="21.600000381469727" hidden="0" customHeight="1">
      <x:c r="A2090" s="27" t="str">
        <x:v>King County, Washington</x:v>
      </x:c>
      <x:c r="B2090" s="27" t="str">
        <x:v>53033025103</x:v>
      </x:c>
      <x:c r="C2090" s="50" t="n">
        <x:v>4243</x:v>
      </x:c>
      <x:c r="D2090" s="50" t="n">
        <x:v>341</x:v>
      </x:c>
      <x:c r="E2090" s="50" t="n">
        <x:v>135</x:v>
      </x:c>
      <x:c r="F2090" s="37" t="n">
        <x:v>0.08036766438840443</x:v>
      </x:c>
      <x:c r="G2090" s="37" t="n">
        <x:v>0.03181711053499882</x:v>
      </x:c>
      <x:c r="H2090" s="56" t="n">
        <x:v>4375.85</x:v>
      </x:c>
      <x:c r="I2090" s="56" t="n">
        <x:v>0.617</x:v>
      </x:c>
      <x:c r="J2090" s="56" t="n">
        <x:v>16.254079542012967</x:v>
      </x:c>
      <x:c r="K2090" s="56" t="n">
        <x:v>54.381119313019454</x:v>
      </x:c>
      <x:c r="L2090" s="56" t="n">
        <x:v>79.83017044717064</x:v>
      </x:c>
    </x:row>
    <x:row r="2091" ht="21.600000381469727" hidden="0" customHeight="1">
      <x:c r="A2091" s="29" t="str">
        <x:v>King County, Washington</x:v>
      </x:c>
      <x:c r="B2091" s="29" t="str">
        <x:v>53033025104</x:v>
      </x:c>
      <x:c r="C2091" s="51" t="n">
        <x:v>4358</x:v>
      </x:c>
      <x:c r="D2091" s="51" t="n">
        <x:v>408</x:v>
      </x:c>
      <x:c r="E2091" s="51" t="n">
        <x:v>103.5</x:v>
      </x:c>
      <x:c r="F2091" s="38" t="n">
        <x:v>0.09362092703074805</x:v>
      </x:c>
      <x:c r="G2091" s="38" t="n">
        <x:v>0.02374942634235888</x:v>
      </x:c>
      <x:c r="H2091" s="57" t="n">
        <x:v>4511.15</x:v>
      </x:c>
      <x:c r="I2091" s="57" t="n">
        <x:v>1.789</x:v>
      </x:c>
      <x:c r="J2091" s="57" t="n">
        <x:v>14.13239912634785</x:v>
      </x:c>
      <x:c r="K2091" s="57" t="n">
        <x:v>51.19859868952177</x:v>
      </x:c>
      <x:c r="L2091" s="57" t="n">
        <x:v>75.28371241360253</x:v>
      </x:c>
    </x:row>
    <x:row r="2092" ht="21.600000381469727" hidden="0" customHeight="1">
      <x:c r="A2092" s="27" t="str">
        <x:v>King County, Washington</x:v>
      </x:c>
      <x:c r="B2092" s="27" t="str">
        <x:v>53033025201</x:v>
      </x:c>
      <x:c r="C2092" s="50" t="n">
        <x:v>3807</x:v>
      </x:c>
      <x:c r="D2092" s="50" t="n">
        <x:v>657</x:v>
      </x:c>
      <x:c r="E2092" s="50" t="n">
        <x:v>77</x:v>
      </x:c>
      <x:c r="F2092" s="37" t="n">
        <x:v>0.17257683215130024</x:v>
      </x:c>
      <x:c r="G2092" s="37" t="n">
        <x:v>0.020225899658523772</x:v>
      </x:c>
      <x:c r="H2092" s="56" t="n">
        <x:v>4044.65</x:v>
      </x:c>
      <x:c r="I2092" s="56" t="n">
        <x:v>0.656</x:v>
      </x:c>
      <x:c r="J2092" s="56" t="n">
        <x:v>18.87943678455453</x:v>
      </x:c>
      <x:c r="K2092" s="56" t="n">
        <x:v>58.3191551768318</x:v>
      </x:c>
      <x:c r="L2092" s="56" t="n">
        <x:v>85.45593596690257</x:v>
      </x:c>
    </x:row>
    <x:row r="2093" ht="21.600000381469727" hidden="0" customHeight="1">
      <x:c r="A2093" s="29" t="str">
        <x:v>King County, Washington</x:v>
      </x:c>
      <x:c r="B2093" s="29" t="str">
        <x:v>53033025202</x:v>
      </x:c>
      <x:c r="C2093" s="51" t="n">
        <x:v>4584</x:v>
      </x:c>
      <x:c r="D2093" s="51" t="n">
        <x:v>628</x:v>
      </x:c>
      <x:c r="E2093" s="51" t="n">
        <x:v>405</x:v>
      </x:c>
      <x:c r="F2093" s="38" t="n">
        <x:v>0.13699825479930192</x:v>
      </x:c>
      <x:c r="G2093" s="38" t="n">
        <x:v>0.08835078534031414</x:v>
      </x:c>
      <x:c r="H2093" s="57" t="n">
        <x:v>4844.3</x:v>
      </x:c>
      <x:c r="I2093" s="57" t="n">
        <x:v>1.068</x:v>
      </x:c>
      <x:c r="J2093" s="57" t="n">
        <x:v>17.151755556516942</x:v>
      </x:c>
      <x:c r="K2093" s="57" t="n">
        <x:v>55.72763333477541</x:v>
      </x:c>
      <x:c r="L2093" s="57" t="n">
        <x:v>81.75376190682202</x:v>
      </x:c>
    </x:row>
    <x:row r="2094" ht="21.600000381469727" hidden="0" customHeight="1">
      <x:c r="A2094" s="27" t="str">
        <x:v>King County, Washington</x:v>
      </x:c>
      <x:c r="B2094" s="27" t="str">
        <x:v>53033025302</x:v>
      </x:c>
      <x:c r="C2094" s="50" t="n">
        <x:v>4894</x:v>
      </x:c>
      <x:c r="D2094" s="50" t="n">
        <x:v>1436</x:v>
      </x:c>
      <x:c r="E2094" s="50" t="n">
        <x:v>1144</x:v>
      </x:c>
      <x:c r="F2094" s="37" t="n">
        <x:v>0.29342051491622395</x:v>
      </x:c>
      <x:c r="G2094" s="37" t="n">
        <x:v>0.23375561912545975</x:v>
      </x:c>
      <x:c r="H2094" s="56" t="n">
        <x:v>5511</x:v>
      </x:c>
      <x:c r="I2094" s="56" t="n">
        <x:v>1.554</x:v>
      </x:c>
      <x:c r="J2094" s="56" t="n">
        <x:v>21.894347834096372</x:v>
      </x:c>
      <x:c r="K2094" s="56" t="n">
        <x:v>62.841521751144555</x:v>
      </x:c>
      <x:c r="L2094" s="56" t="n">
        <x:v>91.91645964449222</x:v>
      </x:c>
    </x:row>
    <x:row r="2095" ht="21.600000381469727" hidden="0" customHeight="1">
      <x:c r="A2095" s="29" t="str">
        <x:v>King County, Washington</x:v>
      </x:c>
      <x:c r="B2095" s="29" t="str">
        <x:v>53033025303</x:v>
      </x:c>
      <x:c r="C2095" s="51" t="n">
        <x:v>2521</x:v>
      </x:c>
      <x:c r="D2095" s="51" t="n">
        <x:v>247</x:v>
      </x:c>
      <x:c r="E2095" s="51" t="n">
        <x:v>163</x:v>
      </x:c>
      <x:c r="F2095" s="38" t="n">
        <x:v>0.09797699325664419</x:v>
      </x:c>
      <x:c r="G2095" s="38" t="n">
        <x:v>0.0646568821896073</x:v>
      </x:c>
      <x:c r="H2095" s="57" t="n">
        <x:v>2623.75</x:v>
      </x:c>
      <x:c r="I2095" s="57" t="n">
        <x:v>0.729</x:v>
      </x:c>
      <x:c r="J2095" s="57" t="n">
        <x:v>20.485476841092744</x:v>
      </x:c>
      <x:c r="K2095" s="57" t="n">
        <x:v>60.728215261639114</x:v>
      </x:c>
      <x:c r="L2095" s="57" t="n">
        <x:v>88.89745037377017</x:v>
      </x:c>
    </x:row>
    <x:row r="2096" ht="21.600000381469727" hidden="0" customHeight="1">
      <x:c r="A2096" s="27" t="str">
        <x:v>King County, Washington</x:v>
      </x:c>
      <x:c r="B2096" s="27" t="str">
        <x:v>53033025304</x:v>
      </x:c>
      <x:c r="C2096" s="50" t="n">
        <x:v>4132</x:v>
      </x:c>
      <x:c r="D2096" s="50" t="n">
        <x:v>240</x:v>
      </x:c>
      <x:c r="E2096" s="50" t="n">
        <x:v>484</x:v>
      </x:c>
      <x:c r="F2096" s="37" t="n">
        <x:v>0.05808325266214908</x:v>
      </x:c>
      <x:c r="G2096" s="37" t="n">
        <x:v>0.11713455953533398</x:v>
      </x:c>
      <x:c r="H2096" s="56" t="n">
        <x:v>4264.4</x:v>
      </x:c>
      <x:c r="I2096" s="56" t="n">
        <x:v>0.716</x:v>
      </x:c>
      <x:c r="J2096" s="56" t="n">
        <x:v>20.005165124287807</x:v>
      </x:c>
      <x:c r="K2096" s="56" t="n">
        <x:v>60.007747686431706</x:v>
      </x:c>
      <x:c r="L2096" s="56" t="n">
        <x:v>87.86821098061672</x:v>
      </x:c>
    </x:row>
    <x:row r="2097" ht="21.600000381469727" hidden="0" customHeight="1">
      <x:c r="A2097" s="29" t="str">
        <x:v>King County, Washington</x:v>
      </x:c>
      <x:c r="B2097" s="29" t="str">
        <x:v>53033025401</x:v>
      </x:c>
      <x:c r="C2097" s="51" t="n">
        <x:v>3764</x:v>
      </x:c>
      <x:c r="D2097" s="51" t="n">
        <x:v>593</x:v>
      </x:c>
      <x:c r="E2097" s="51" t="n">
        <x:v>305</x:v>
      </x:c>
      <x:c r="F2097" s="38" t="n">
        <x:v>0.1575451647183847</x:v>
      </x:c>
      <x:c r="G2097" s="38" t="n">
        <x:v>0.0810308182784272</x:v>
      </x:c>
      <x:c r="H2097" s="57" t="n">
        <x:v>4002.0499999999997</x:v>
      </x:c>
      <x:c r="I2097" s="57" t="n">
        <x:v>0.463</x:v>
      </x:c>
      <x:c r="J2097" s="57" t="n">
        <x:v>18.38001881303438</x:v>
      </x:c>
      <x:c r="K2097" s="57" t="n">
        <x:v>57.57002821955157</x:v>
      </x:c>
      <x:c r="L2097" s="57" t="n">
        <x:v>84.38575459935939</x:v>
      </x:c>
    </x:row>
    <x:row r="2098" ht="21.600000381469727" hidden="0" customHeight="1">
      <x:c r="A2098" s="27" t="str">
        <x:v>King County, Washington</x:v>
      </x:c>
      <x:c r="B2098" s="27" t="str">
        <x:v>53033025402</x:v>
      </x:c>
      <x:c r="C2098" s="50" t="n">
        <x:v>3481</x:v>
      </x:c>
      <x:c r="D2098" s="50" t="n">
        <x:v>647</x:v>
      </x:c>
      <x:c r="E2098" s="50" t="n">
        <x:v>128</x:v>
      </x:c>
      <x:c r="F2098" s="37" t="n">
        <x:v>0.18586613042229244</x:v>
      </x:c>
      <x:c r="G2098" s="37" t="n">
        <x:v>0.036771042803792016</x:v>
      </x:c>
      <x:c r="H2098" s="56" t="n">
        <x:v>3720.2499999999995</x:v>
      </x:c>
      <x:c r="I2098" s="56" t="n">
        <x:v>0.425</x:v>
      </x:c>
      <x:c r="J2098" s="56" t="n">
        <x:v>19.29752154753247</x:v>
      </x:c>
      <x:c r="K2098" s="56" t="n">
        <x:v>58.9462823212987</x:v>
      </x:c>
      <x:c r="L2098" s="56" t="n">
        <x:v>86.35183188756957</x:v>
      </x:c>
    </x:row>
    <x:row r="2099" ht="21.600000381469727" hidden="0" customHeight="1">
      <x:c r="A2099" s="29" t="str">
        <x:v>King County, Washington</x:v>
      </x:c>
      <x:c r="B2099" s="29" t="str">
        <x:v>53033025500</x:v>
      </x:c>
      <x:c r="C2099" s="51" t="n">
        <x:v>5467</x:v>
      </x:c>
      <x:c r="D2099" s="51" t="n">
        <x:v>718</x:v>
      </x:c>
      <x:c r="E2099" s="51" t="n">
        <x:v>271</x:v>
      </x:c>
      <x:c r="F2099" s="38" t="n">
        <x:v>0.13133345527711726</x:v>
      </x:c>
      <x:c r="G2099" s="38" t="n">
        <x:v>0.049570148161697455</x:v>
      </x:c>
      <x:c r="H2099" s="57" t="n">
        <x:v>5745.400000000001</x:v>
      </x:c>
      <x:c r="I2099" s="57" t="n">
        <x:v>0.589</x:v>
      </x:c>
      <x:c r="J2099" s="57" t="n">
        <x:v>17.373165975828524</x:v>
      </x:c>
      <x:c r="K2099" s="57" t="n">
        <x:v>56.05974896374279</x:v>
      </x:c>
      <x:c r="L2099" s="57" t="n">
        <x:v>82.22821280534684</x:v>
      </x:c>
    </x:row>
    <x:row r="2100" ht="21.600000381469727" hidden="0" customHeight="1">
      <x:c r="A2100" s="27" t="str">
        <x:v>King County, Washington</x:v>
      </x:c>
      <x:c r="B2100" s="27" t="str">
        <x:v>53033025601</x:v>
      </x:c>
      <x:c r="C2100" s="50" t="n">
        <x:v>5425</x:v>
      </x:c>
      <x:c r="D2100" s="50" t="n">
        <x:v>628</x:v>
      </x:c>
      <x:c r="E2100" s="50" t="n">
        <x:v>224</x:v>
      </x:c>
      <x:c r="F2100" s="37" t="n">
        <x:v>0.11576036866359447</x:v>
      </x:c>
      <x:c r="G2100" s="37" t="n">
        <x:v>0.04129032258064516</x:v>
      </x:c>
      <x:c r="H2100" s="56" t="n">
        <x:v>5667.2</x:v>
      </x:c>
      <x:c r="I2100" s="56" t="n">
        <x:v>1.085</x:v>
      </x:c>
      <x:c r="J2100" s="56" t="n">
        <x:v>18.832537416984504</x:v>
      </x:c>
      <x:c r="K2100" s="56" t="n">
        <x:v>58.248806125476754</x:v>
      </x:c>
      <x:c r="L2100" s="56" t="n">
        <x:v>85.35543732210965</x:v>
      </x:c>
    </x:row>
    <x:row r="2101" ht="21.600000381469727" hidden="0" customHeight="1">
      <x:c r="A2101" s="29" t="str">
        <x:v>King County, Washington</x:v>
      </x:c>
      <x:c r="B2101" s="29" t="str">
        <x:v>53033025602</x:v>
      </x:c>
      <x:c r="C2101" s="51" t="n">
        <x:v>6738</x:v>
      </x:c>
      <x:c r="D2101" s="51" t="n">
        <x:v>487</x:v>
      </x:c>
      <x:c r="E2101" s="51" t="n">
        <x:v>63</x:v>
      </x:c>
      <x:c r="F2101" s="38" t="n">
        <x:v>0.07227663995250816</x:v>
      </x:c>
      <x:c r="G2101" s="38" t="n">
        <x:v>0.009349955476402494</x:v>
      </x:c>
      <x:c r="H2101" s="57" t="n">
        <x:v>6914.750000000001</x:v>
      </x:c>
      <x:c r="I2101" s="57" t="n">
        <x:v>2.035</x:v>
      </x:c>
      <x:c r="J2101" s="57" t="n">
        <x:v>17.08733922540152</x:v>
      </x:c>
      <x:c r="K2101" s="57" t="n">
        <x:v>55.63100883810228</x:v>
      </x:c>
      <x:c r="L2101" s="57" t="n">
        <x:v>81.61572691157468</x:v>
      </x:c>
    </x:row>
    <x:row r="2102" ht="21.600000381469727" hidden="0" customHeight="1">
      <x:c r="A2102" s="27" t="str">
        <x:v>King County, Washington</x:v>
      </x:c>
      <x:c r="B2102" s="27" t="str">
        <x:v>53033025702</x:v>
      </x:c>
      <x:c r="C2102" s="50" t="n">
        <x:v>3436</x:v>
      </x:c>
      <x:c r="D2102" s="50" t="n">
        <x:v>257</x:v>
      </x:c>
      <x:c r="E2102" s="50" t="n">
        <x:v>11</x:v>
      </x:c>
      <x:c r="F2102" s="37" t="n">
        <x:v>0.07479627473806752</x:v>
      </x:c>
      <x:c r="G2102" s="37" t="n">
        <x:v>0.0032013969732246797</x:v>
      </x:c>
      <x:c r="H2102" s="56" t="n">
        <x:v>3527.05</x:v>
      </x:c>
      <x:c r="I2102" s="56" t="n">
        <x:v>1.074</x:v>
      </x:c>
      <x:c r="J2102" s="56" t="n">
        <x:v>19.615143273297008</x:v>
      </x:c>
      <x:c r="K2102" s="56" t="n">
        <x:v>59.42271490994551</x:v>
      </x:c>
      <x:c r="L2102" s="56" t="n">
        <x:v>87.03244987135074</x:v>
      </x:c>
    </x:row>
    <x:row r="2103" ht="21.600000381469727" hidden="0" customHeight="1">
      <x:c r="A2103" s="29" t="str">
        <x:v>King County, Washington</x:v>
      </x:c>
      <x:c r="B2103" s="29" t="str">
        <x:v>53033025703</x:v>
      </x:c>
      <x:c r="C2103" s="51" t="n">
        <x:v>3272</x:v>
      </x:c>
      <x:c r="D2103" s="51" t="n">
        <x:v>363</x:v>
      </x:c>
      <x:c r="E2103" s="51" t="n">
        <x:v>432</x:v>
      </x:c>
      <x:c r="F2103" s="38" t="n">
        <x:v>0.11094132029339854</x:v>
      </x:c>
      <x:c r="G2103" s="38" t="n">
        <x:v>0.13202933985330073</x:v>
      </x:c>
      <x:c r="H2103" s="57" t="n">
        <x:v>3442.25</x:v>
      </x:c>
      <x:c r="I2103" s="57" t="n">
        <x:v>0.365</x:v>
      </x:c>
      <x:c r="J2103" s="57" t="n">
        <x:v>22.223643451277937</x:v>
      </x:c>
      <x:c r="K2103" s="57" t="n">
        <x:v>63.335465176916905</x:v>
      </x:c>
      <x:c r="L2103" s="57" t="n">
        <x:v>92.62209310988129</x:v>
      </x:c>
    </x:row>
    <x:row r="2104" ht="21.600000381469727" hidden="0" customHeight="1">
      <x:c r="A2104" s="27" t="str">
        <x:v>King County, Washington</x:v>
      </x:c>
      <x:c r="B2104" s="27" t="str">
        <x:v>53033025704</x:v>
      </x:c>
      <x:c r="C2104" s="50" t="n">
        <x:v>3999</x:v>
      </x:c>
      <x:c r="D2104" s="50" t="n">
        <x:v>329</x:v>
      </x:c>
      <x:c r="E2104" s="50" t="n">
        <x:v>848</x:v>
      </x:c>
      <x:c r="F2104" s="37" t="n">
        <x:v>0.08227056764191047</x:v>
      </x:c>
      <x:c r="G2104" s="37" t="n">
        <x:v>0.21205301325331333</x:v>
      </x:c>
      <x:c r="H2104" s="56" t="n">
        <x:v>4198.95</x:v>
      </x:c>
      <x:c r="I2104" s="56" t="n">
        <x:v>1.129</x:v>
      </x:c>
      <x:c r="J2104" s="56" t="n">
        <x:v>20.729366009265537</x:v>
      </x:c>
      <x:c r="K2104" s="56" t="n">
        <x:v>61.0940490138983</x:v>
      </x:c>
      <x:c r="L2104" s="56" t="n">
        <x:v>89.42007001985472</x:v>
      </x:c>
    </x:row>
    <x:row r="2105" ht="21.600000381469727" hidden="0" customHeight="1">
      <x:c r="A2105" s="29" t="str">
        <x:v>King County, Washington</x:v>
      </x:c>
      <x:c r="B2105" s="29" t="str">
        <x:v>53033025803</x:v>
      </x:c>
      <x:c r="C2105" s="51" t="n">
        <x:v>5153</x:v>
      </x:c>
      <x:c r="D2105" s="51" t="n">
        <x:v>638</x:v>
      </x:c>
      <x:c r="E2105" s="51" t="n">
        <x:v>278.5</x:v>
      </x:c>
      <x:c r="F2105" s="38" t="n">
        <x:v>0.12381137201630119</x:v>
      </x:c>
      <x:c r="G2105" s="38" t="n">
        <x:v>0.05404618668736658</x:v>
      </x:c>
      <x:c r="H2105" s="57" t="n">
        <x:v>5404.15</x:v>
      </x:c>
      <x:c r="I2105" s="57" t="n">
        <x:v>0.519</x:v>
      </x:c>
      <x:c r="J2105" s="57" t="n">
        <x:v>21.992082915338365</x:v>
      </x:c>
      <x:c r="K2105" s="57" t="n">
        <x:v>62.98812437300755</x:v>
      </x:c>
      <x:c r="L2105" s="57" t="n">
        <x:v>92.12589196143935</x:v>
      </x:c>
    </x:row>
    <x:row r="2106" ht="21.600000381469727" hidden="0" customHeight="1">
      <x:c r="A2106" s="27" t="str">
        <x:v>King County, Washington</x:v>
      </x:c>
      <x:c r="B2106" s="27" t="str">
        <x:v>53033025804</x:v>
      </x:c>
      <x:c r="C2106" s="50" t="n">
        <x:v>3753</x:v>
      </x:c>
      <x:c r="D2106" s="50" t="n">
        <x:v>422</x:v>
      </x:c>
      <x:c r="E2106" s="50" t="n">
        <x:v>77</x:v>
      </x:c>
      <x:c r="F2106" s="37" t="n">
        <x:v>0.11244337863042898</x:v>
      </x:c>
      <x:c r="G2106" s="37" t="n">
        <x:v>0.02051691979749534</x:v>
      </x:c>
      <x:c r="H2106" s="56" t="n">
        <x:v>3908.4</x:v>
      </x:c>
      <x:c r="I2106" s="56" t="n">
        <x:v>0.913</x:v>
      </x:c>
      <x:c r="J2106" s="56" t="n">
        <x:v>20.84931105887624</x:v>
      </x:c>
      <x:c r="K2106" s="56" t="n">
        <x:v>61.27396658831436</x:v>
      </x:c>
      <x:c r="L2106" s="56" t="n">
        <x:v>89.67709512616337</x:v>
      </x:c>
    </x:row>
    <x:row r="2107" ht="21.600000381469727" hidden="0" customHeight="1">
      <x:c r="A2107" s="29" t="str">
        <x:v>King County, Washington</x:v>
      </x:c>
      <x:c r="B2107" s="29" t="str">
        <x:v>53033025805</x:v>
      </x:c>
      <x:c r="C2107" s="51" t="n">
        <x:v>5121</x:v>
      </x:c>
      <x:c r="D2107" s="51" t="n">
        <x:v>466</x:v>
      </x:c>
      <x:c r="E2107" s="51" t="n">
        <x:v>153</x:v>
      </x:c>
      <x:c r="F2107" s="38" t="n">
        <x:v>0.09099785198203476</x:v>
      </x:c>
      <x:c r="G2107" s="38" t="n">
        <x:v>0.029876977152899824</x:v>
      </x:c>
      <x:c r="H2107" s="57" t="n">
        <x:v>5299.400000000001</x:v>
      </x:c>
      <x:c r="I2107" s="57" t="n">
        <x:v>0.937</x:v>
      </x:c>
      <x:c r="J2107" s="57" t="n">
        <x:v>22.788102555872683</x:v>
      </x:c>
      <x:c r="K2107" s="57" t="n">
        <x:v>64.18215383380902</x:v>
      </x:c>
      <x:c r="L2107" s="57" t="n">
        <x:v>93.8316483340129</x:v>
      </x:c>
    </x:row>
    <x:row r="2108" ht="21.600000381469727" hidden="0" customHeight="1">
      <x:c r="A2108" s="27" t="str">
        <x:v>King County, Washington</x:v>
      </x:c>
      <x:c r="B2108" s="27" t="str">
        <x:v>53033025806</x:v>
      </x:c>
      <x:c r="C2108" s="50" t="n">
        <x:v>5037</x:v>
      </x:c>
      <x:c r="D2108" s="50" t="n">
        <x:v>690</x:v>
      </x:c>
      <x:c r="E2108" s="50" t="n">
        <x:v>101</x:v>
      </x:c>
      <x:c r="F2108" s="37" t="n">
        <x:v>0.136986301369863</x:v>
      </x:c>
      <x:c r="G2108" s="37" t="n">
        <x:v>0.020051618026603137</x:v>
      </x:c>
      <x:c r="H2108" s="56" t="n">
        <x:v>5288.6</x:v>
      </x:c>
      <x:c r="I2108" s="56" t="n">
        <x:v>1.134</x:v>
      </x:c>
      <x:c r="J2108" s="56" t="n">
        <x:v>24.148631499616585</x:v>
      </x:c>
      <x:c r="K2108" s="56" t="n">
        <x:v>66.22294724942488</x:v>
      </x:c>
      <x:c r="L2108" s="56" t="n">
        <x:v>96.7470674991784</x:v>
      </x:c>
    </x:row>
    <x:row r="2109" ht="21.600000381469727" hidden="0" customHeight="1">
      <x:c r="A2109" s="29" t="str">
        <x:v>King County, Washington</x:v>
      </x:c>
      <x:c r="B2109" s="29" t="str">
        <x:v>53033026001</x:v>
      </x:c>
      <x:c r="C2109" s="51" t="n">
        <x:v>5946</x:v>
      </x:c>
      <x:c r="D2109" s="51" t="n">
        <x:v>538</x:v>
      </x:c>
      <x:c r="E2109" s="51" t="n">
        <x:v>0</x:v>
      </x:c>
      <x:c r="F2109" s="38" t="n">
        <x:v>0.09048099562731247</x:v>
      </x:c>
      <x:c r="G2109" s="38" t="n">
        <x:v>0</x:v>
      </x:c>
      <x:c r="H2109" s="57" t="n">
        <x:v>6134.3</x:v>
      </x:c>
      <x:c r="I2109" s="57" t="n">
        <x:v>1.027</x:v>
      </x:c>
      <x:c r="J2109" s="57" t="n">
        <x:v>23.49991717984627</x:v>
      </x:c>
      <x:c r="K2109" s="57" t="n">
        <x:v>65.2498757697694</x:v>
      </x:c>
      <x:c r="L2109" s="57" t="n">
        <x:v>95.35696538538487</x:v>
      </x:c>
    </x:row>
    <x:row r="2110" ht="21.600000381469727" hidden="0" customHeight="1">
      <x:c r="A2110" s="27" t="str">
        <x:v>King County, Washington</x:v>
      </x:c>
      <x:c r="B2110" s="27" t="str">
        <x:v>53033026003</x:v>
      </x:c>
      <x:c r="C2110" s="50" t="n">
        <x:v>4290</x:v>
      </x:c>
      <x:c r="D2110" s="50" t="n">
        <x:v>642</x:v>
      </x:c>
      <x:c r="E2110" s="50" t="n">
        <x:v>726</x:v>
      </x:c>
      <x:c r="F2110" s="37" t="n">
        <x:v>0.14965034965034965</x:v>
      </x:c>
      <x:c r="G2110" s="37" t="n">
        <x:v>0.16923076923076924</x:v>
      </x:c>
      <x:c r="H2110" s="56" t="n">
        <x:v>4587.3</x:v>
      </x:c>
      <x:c r="I2110" s="56" t="n">
        <x:v>0.438</x:v>
      </x:c>
      <x:c r="J2110" s="56" t="n">
        <x:v>25.177397120542764</x:v>
      </x:c>
      <x:c r="K2110" s="56" t="n">
        <x:v>67.76609568081415</x:v>
      </x:c>
      <x:c r="L2110" s="56" t="n">
        <x:v>98.95156525830592</x:v>
      </x:c>
    </x:row>
    <x:row r="2111" ht="21.600000381469727" hidden="0" customHeight="1">
      <x:c r="A2111" s="29" t="str">
        <x:v>King County, Washington</x:v>
      </x:c>
      <x:c r="B2111" s="29" t="str">
        <x:v>53033026004</x:v>
      </x:c>
      <x:c r="C2111" s="51" t="n">
        <x:v>4221</x:v>
      </x:c>
      <x:c r="D2111" s="51" t="n">
        <x:v>817</x:v>
      </x:c>
      <x:c r="E2111" s="51" t="n">
        <x:v>129.5</x:v>
      </x:c>
      <x:c r="F2111" s="38" t="n">
        <x:v>0.1935560293769249</x:v>
      </x:c>
      <x:c r="G2111" s="38" t="n">
        <x:v>0.03067993366500829</x:v>
      </x:c>
      <x:c r="H2111" s="57" t="n">
        <x:v>4519.9</x:v>
      </x:c>
      <x:c r="I2111" s="57" t="n">
        <x:v>0.631</x:v>
      </x:c>
      <x:c r="J2111" s="57" t="n">
        <x:v>22.69934696001137</x:v>
      </x:c>
      <x:c r="K2111" s="57" t="n">
        <x:v>64.04902044001705</x:v>
      </x:c>
      <x:c r="L2111" s="57" t="n">
        <x:v>93.64145777145293</x:v>
      </x:c>
    </x:row>
    <x:row r="2112" ht="21.600000381469727" hidden="0" customHeight="1">
      <x:c r="A2112" s="27" t="str">
        <x:v>King County, Washington</x:v>
      </x:c>
      <x:c r="B2112" s="27" t="str">
        <x:v>53033026101</x:v>
      </x:c>
      <x:c r="C2112" s="50" t="n">
        <x:v>3726</x:v>
      </x:c>
      <x:c r="D2112" s="50" t="n">
        <x:v>457</x:v>
      </x:c>
      <x:c r="E2112" s="50" t="n">
        <x:v>357</x:v>
      </x:c>
      <x:c r="F2112" s="37" t="n">
        <x:v>0.12265163714439077</x:v>
      </x:c>
      <x:c r="G2112" s="37" t="n">
        <x:v>0.09581320450885668</x:v>
      </x:c>
      <x:c r="H2112" s="56" t="n">
        <x:v>3921.65</x:v>
      </x:c>
      <x:c r="I2112" s="56" t="n">
        <x:v>1.045</x:v>
      </x:c>
      <x:c r="J2112" s="56" t="n">
        <x:v>25.56424936808609</x:v>
      </x:c>
      <x:c r="K2112" s="56" t="n">
        <x:v>68.34637405212914</x:v>
      </x:c>
      <x:c r="L2112" s="56" t="n">
        <x:v>99.78053436018448</x:v>
      </x:c>
    </x:row>
    <x:row r="2113" ht="21.600000381469727" hidden="0" customHeight="1">
      <x:c r="A2113" s="29" t="str">
        <x:v>King County, Washington</x:v>
      </x:c>
      <x:c r="B2113" s="29" t="str">
        <x:v>53033026102</x:v>
      </x:c>
      <x:c r="C2113" s="51" t="n">
        <x:v>4016</x:v>
      </x:c>
      <x:c r="D2113" s="51" t="n">
        <x:v>573</x:v>
      </x:c>
      <x:c r="E2113" s="51" t="n">
        <x:v>558.5</x:v>
      </x:c>
      <x:c r="F2113" s="38" t="n">
        <x:v>0.1426792828685259</x:v>
      </x:c>
      <x:c r="G2113" s="38" t="n">
        <x:v>0.13906872509960158</x:v>
      </x:c>
      <x:c r="H2113" s="57" t="n">
        <x:v>4272.400000000001</x:v>
      </x:c>
      <x:c r="I2113" s="57" t="n">
        <x:v>0.609</x:v>
      </x:c>
      <x:c r="J2113" s="57" t="n">
        <x:v>25.027875340695882</x:v>
      </x:c>
      <x:c r="K2113" s="57" t="n">
        <x:v>67.54181301104383</x:v>
      </x:c>
      <x:c r="L2113" s="57" t="n">
        <x:v>98.63116144434832</x:v>
      </x:c>
    </x:row>
    <x:row r="2114" ht="21.600000381469727" hidden="0" customHeight="1">
      <x:c r="A2114" s="27" t="str">
        <x:v>King County, Washington</x:v>
      </x:c>
      <x:c r="B2114" s="27" t="str">
        <x:v>53033026200</x:v>
      </x:c>
      <x:c r="C2114" s="50" t="n">
        <x:v>5618</x:v>
      </x:c>
      <x:c r="D2114" s="50" t="n">
        <x:v>483</x:v>
      </x:c>
      <x:c r="E2114" s="50" t="n">
        <x:v>119</x:v>
      </x:c>
      <x:c r="F2114" s="37" t="n">
        <x:v>0.08597365610537558</x:v>
      </x:c>
      <x:c r="G2114" s="37" t="n">
        <x:v>0.02118191527233891</x:v>
      </x:c>
      <x:c r="H2114" s="56" t="n">
        <x:v>5798.95</x:v>
      </x:c>
      <x:c r="I2114" s="56" t="n">
        <x:v>5.977</x:v>
      </x:c>
      <x:c r="J2114" s="56" t="n">
        <x:v>26.638018437950667</x:v>
      </x:c>
      <x:c r="K2114" s="56" t="n">
        <x:v>69.957027656926</x:v>
      </x:c>
      <x:c r="L2114" s="56" t="n">
        <x:v>102.08146808132285</x:v>
      </x:c>
    </x:row>
    <x:row r="2115" ht="21.600000381469727" hidden="0" customHeight="1">
      <x:c r="A2115" s="29" t="str">
        <x:v>King County, Washington</x:v>
      </x:c>
      <x:c r="B2115" s="29" t="str">
        <x:v>53033026300</x:v>
      </x:c>
      <x:c r="C2115" s="51" t="n">
        <x:v>1674</x:v>
      </x:c>
      <x:c r="D2115" s="51" t="n">
        <x:v>138</x:v>
      </x:c>
      <x:c r="E2115" s="51" t="n">
        <x:v>31.5</x:v>
      </x:c>
      <x:c r="F2115" s="38" t="n">
        <x:v>0.08243727598566308</x:v>
      </x:c>
      <x:c r="G2115" s="38" t="n">
        <x:v>0.01881720430107527</x:v>
      </x:c>
      <x:c r="H2115" s="57" t="n">
        <x:v>1725.4500000000003</x:v>
      </x:c>
      <x:c r="I2115" s="57" t="n">
        <x:v>1.631</x:v>
      </x:c>
      <x:c r="J2115" s="57" t="n">
        <x:v>28.073394523664767</x:v>
      </x:c>
      <x:c r="K2115" s="57" t="n">
        <x:v>72.11009178549715</x:v>
      </x:c>
      <x:c r="L2115" s="57" t="n">
        <x:v>105.15727397928164</x:v>
      </x:c>
    </x:row>
    <x:row r="2116" ht="21.600000381469727" hidden="0" customHeight="1">
      <x:c r="A2116" s="27" t="str">
        <x:v>King County, Washington</x:v>
      </x:c>
      <x:c r="B2116" s="27" t="str">
        <x:v>53033026400</x:v>
      </x:c>
      <x:c r="C2116" s="50" t="n">
        <x:v>5839</x:v>
      </x:c>
      <x:c r="D2116" s="50" t="n">
        <x:v>514</x:v>
      </x:c>
      <x:c r="E2116" s="50" t="n">
        <x:v>580</x:v>
      </x:c>
      <x:c r="F2116" s="37" t="n">
        <x:v>0.08802877205000856</x:v>
      </x:c>
      <x:c r="G2116" s="37" t="n">
        <x:v>0.0993320774105155</x:v>
      </x:c>
      <x:c r="H2116" s="56" t="n">
        <x:v>6076.899999999999</x:v>
      </x:c>
      <x:c r="I2116" s="56" t="n">
        <x:v>1.824</x:v>
      </x:c>
      <x:c r="J2116" s="56" t="n">
        <x:v>30.53112403892356</x:v>
      </x:c>
      <x:c r="K2116" s="56" t="n">
        <x:v>75.79668605838535</x:v>
      </x:c>
      <x:c r="L2116" s="56" t="n">
        <x:v>110.42383722626478</x:v>
      </x:c>
    </x:row>
    <x:row r="2117" ht="21.600000381469727" hidden="0" customHeight="1">
      <x:c r="A2117" s="29" t="str">
        <x:v>King County, Washington</x:v>
      </x:c>
      <x:c r="B2117" s="29" t="str">
        <x:v>53033026500</x:v>
      </x:c>
      <x:c r="C2117" s="51" t="n">
        <x:v>4282</x:v>
      </x:c>
      <x:c r="D2117" s="51" t="n">
        <x:v>548</x:v>
      </x:c>
      <x:c r="E2117" s="51" t="n">
        <x:v>292.5</x:v>
      </x:c>
      <x:c r="F2117" s="38" t="n">
        <x:v>0.1279775805698272</x:v>
      </x:c>
      <x:c r="G2117" s="38" t="n">
        <x:v>0.06830920130780009</x:v>
      </x:c>
      <x:c r="H2117" s="57" t="n">
        <x:v>4503.049999999999</x:v>
      </x:c>
      <x:c r="I2117" s="57" t="n">
        <x:v>0.79</x:v>
      </x:c>
      <x:c r="J2117" s="57" t="n">
        <x:v>33.13036551946223</x:v>
      </x:c>
      <x:c r="K2117" s="57" t="n">
        <x:v>79.69554827919335</x:v>
      </x:c>
      <x:c r="L2117" s="57" t="n">
        <x:v>115.99364039884765</x:v>
      </x:c>
    </x:row>
    <x:row r="2118" ht="21.600000381469727" hidden="0" customHeight="1">
      <x:c r="A2118" s="27" t="str">
        <x:v>King County, Washington</x:v>
      </x:c>
      <x:c r="B2118" s="27" t="str">
        <x:v>53033026600</x:v>
      </x:c>
      <x:c r="C2118" s="50" t="n">
        <x:v>2201</x:v>
      </x:c>
      <x:c r="D2118" s="50" t="n">
        <x:v>226</x:v>
      </x:c>
      <x:c r="E2118" s="50" t="n">
        <x:v>38</x:v>
      </x:c>
      <x:c r="F2118" s="37" t="n">
        <x:v>0.10268059972739664</x:v>
      </x:c>
      <x:c r="G2118" s="37" t="n">
        <x:v>0.017264879600181735</x:v>
      </x:c>
      <x:c r="H2118" s="56" t="n">
        <x:v>2283.8999999999996</x:v>
      </x:c>
      <x:c r="I2118" s="56" t="n">
        <x:v>0.448</x:v>
      </x:c>
      <x:c r="J2118" s="56" t="n">
        <x:v>33.465149225745655</x:v>
      </x:c>
      <x:c r="K2118" s="56" t="n">
        <x:v>80.19772383861849</x:v>
      </x:c>
      <x:c r="L2118" s="56" t="n">
        <x:v>116.71103405516926</x:v>
      </x:c>
    </x:row>
    <x:row r="2119" ht="21.600000381469727" hidden="0" customHeight="1">
      <x:c r="A2119" s="29" t="str">
        <x:v>King County, Washington</x:v>
      </x:c>
      <x:c r="B2119" s="29" t="str">
        <x:v>53033026700</x:v>
      </x:c>
      <x:c r="C2119" s="51" t="n">
        <x:v>6239</x:v>
      </x:c>
      <x:c r="D2119" s="51" t="n">
        <x:v>581</x:v>
      </x:c>
      <x:c r="E2119" s="51" t="n">
        <x:v>469.5</x:v>
      </x:c>
      <x:c r="F2119" s="38" t="n">
        <x:v>0.09312389806058663</x:v>
      </x:c>
      <x:c r="G2119" s="38" t="n">
        <x:v>0.07525244430197146</x:v>
      </x:c>
      <x:c r="H2119" s="57" t="n">
        <x:v>6489.3</x:v>
      </x:c>
      <x:c r="I2119" s="57" t="n">
        <x:v>1.191</x:v>
      </x:c>
      <x:c r="J2119" s="57" t="n">
        <x:v>30.973826237428245</x:v>
      </x:c>
      <x:c r="K2119" s="57" t="n">
        <x:v>76.46073935614237</x:v>
      </x:c>
      <x:c r="L2119" s="57" t="n">
        <x:v>111.3724847944891</x:v>
      </x:c>
    </x:row>
    <x:row r="2120" ht="21.600000381469727" hidden="0" customHeight="1">
      <x:c r="A2120" s="27" t="str">
        <x:v>King County, Washington</x:v>
      </x:c>
      <x:c r="B2120" s="27" t="str">
        <x:v>53033026801</x:v>
      </x:c>
      <x:c r="C2120" s="50" t="n">
        <x:v>5997</x:v>
      </x:c>
      <x:c r="D2120" s="50" t="n">
        <x:v>739</x:v>
      </x:c>
      <x:c r="E2120" s="50" t="n">
        <x:v>926</x:v>
      </x:c>
      <x:c r="F2120" s="37" t="n">
        <x:v>0.1232282808070702</x:v>
      </x:c>
      <x:c r="G2120" s="37" t="n">
        <x:v>0.15441053860263465</x:v>
      </x:c>
      <x:c r="H2120" s="56" t="n">
        <x:v>6348.25</x:v>
      </x:c>
      <x:c r="I2120" s="56" t="n">
        <x:v>0.595</x:v>
      </x:c>
      <x:c r="J2120" s="56" t="n">
        <x:v>32.66001868496856</x:v>
      </x:c>
      <x:c r="K2120" s="56" t="n">
        <x:v>78.99002802745284</x:v>
      </x:c>
      <x:c r="L2120" s="56" t="n">
        <x:v>114.98575432493263</x:v>
      </x:c>
    </x:row>
    <x:row r="2121" ht="21.600000381469727" hidden="0" customHeight="1">
      <x:c r="A2121" s="29" t="str">
        <x:v>King County, Washington</x:v>
      </x:c>
      <x:c r="B2121" s="29" t="str">
        <x:v>53033026802</x:v>
      </x:c>
      <x:c r="C2121" s="51" t="n">
        <x:v>6279</x:v>
      </x:c>
      <x:c r="D2121" s="51" t="n">
        <x:v>857</x:v>
      </x:c>
      <x:c r="E2121" s="51" t="n">
        <x:v>115.5</x:v>
      </x:c>
      <x:c r="F2121" s="38" t="n">
        <x:v>0.13648670170409302</x:v>
      </x:c>
      <x:c r="G2121" s="38" t="n">
        <x:v>0.01839464882943144</x:v>
      </x:c>
      <x:c r="H2121" s="57" t="n">
        <x:v>6590.5</x:v>
      </x:c>
      <x:c r="I2121" s="57" t="n">
        <x:v>0.789</x:v>
      </x:c>
      <x:c r="J2121" s="57" t="n">
        <x:v>31.193365457328277</x:v>
      </x:c>
      <x:c r="K2121" s="57" t="n">
        <x:v>76.79004818599242</x:v>
      </x:c>
      <x:c r="L2121" s="57" t="n">
        <x:v>111.84292597998916</x:v>
      </x:c>
    </x:row>
    <x:row r="2122" ht="21.600000381469727" hidden="0" customHeight="1">
      <x:c r="A2122" s="27" t="str">
        <x:v>King County, Washington</x:v>
      </x:c>
      <x:c r="B2122" s="27" t="str">
        <x:v>53033027000</x:v>
      </x:c>
      <x:c r="C2122" s="50" t="n">
        <x:v>3293</x:v>
      </x:c>
      <x:c r="D2122" s="50" t="n">
        <x:v>364</x:v>
      </x:c>
      <x:c r="E2122" s="50" t="n">
        <x:v>99</x:v>
      </x:c>
      <x:c r="F2122" s="37" t="n">
        <x:v>0.11053750379593076</x:v>
      </x:c>
      <x:c r="G2122" s="37" t="n">
        <x:v>0.030063771636805344</x:v>
      </x:c>
      <x:c r="H2122" s="56" t="n">
        <x:v>3430.2999999999997</x:v>
      </x:c>
      <x:c r="I2122" s="56" t="n">
        <x:v>0.764</x:v>
      </x:c>
      <x:c r="J2122" s="56" t="n">
        <x:v>31.286724111880364</x:v>
      </x:c>
      <x:c r="K2122" s="56" t="n">
        <x:v>76.93008616782055</x:v>
      </x:c>
      <x:c r="L2122" s="56" t="n">
        <x:v>112.04298023974364</x:v>
      </x:c>
    </x:row>
    <x:row r="2123" ht="21.600000381469727" hidden="0" customHeight="1">
      <x:c r="A2123" s="29" t="str">
        <x:v>King County, Washington</x:v>
      </x:c>
      <x:c r="B2123" s="29" t="str">
        <x:v>53033027100</x:v>
      </x:c>
      <x:c r="C2123" s="51" t="n">
        <x:v>4166</x:v>
      </x:c>
      <x:c r="D2123" s="51" t="n">
        <x:v>602</x:v>
      </x:c>
      <x:c r="E2123" s="51" t="n">
        <x:v>346</x:v>
      </x:c>
      <x:c r="F2123" s="38" t="n">
        <x:v>0.14450312049927988</x:v>
      </x:c>
      <x:c r="G2123" s="38" t="n">
        <x:v>0.08305328852616418</x:v>
      </x:c>
      <x:c r="H2123" s="57" t="n">
        <x:v>4411.3</x:v>
      </x:c>
      <x:c r="I2123" s="57" t="n">
        <x:v>0.605</x:v>
      </x:c>
      <x:c r="J2123" s="57" t="n">
        <x:v>30.0034662262405</x:v>
      </x:c>
      <x:c r="K2123" s="57" t="n">
        <x:v>75.00519933936076</x:v>
      </x:c>
      <x:c r="L2123" s="57" t="n">
        <x:v>109.29314191337251</x:v>
      </x:c>
    </x:row>
    <x:row r="2124" ht="21.600000381469727" hidden="0" customHeight="1">
      <x:c r="A2124" s="27" t="str">
        <x:v>King County, Washington</x:v>
      </x:c>
      <x:c r="B2124" s="27" t="str">
        <x:v>53033027200</x:v>
      </x:c>
      <x:c r="C2124" s="50" t="n">
        <x:v>3021</x:v>
      </x:c>
      <x:c r="D2124" s="50" t="n">
        <x:v>357</x:v>
      </x:c>
      <x:c r="E2124" s="50" t="n">
        <x:v>224</x:v>
      </x:c>
      <x:c r="F2124" s="37" t="n">
        <x:v>0.11817279046673287</x:v>
      </x:c>
      <x:c r="G2124" s="37" t="n">
        <x:v>0.07414763323402847</x:v>
      </x:c>
      <x:c r="H2124" s="56" t="n">
        <x:v>3168.3499999999995</x:v>
      </x:c>
      <x:c r="I2124" s="56" t="n">
        <x:v>1.253</x:v>
      </x:c>
      <x:c r="J2124" s="56" t="n">
        <x:v>28.44317794014272</x:v>
      </x:c>
      <x:c r="K2124" s="56" t="n">
        <x:v>72.66476691021408</x:v>
      </x:c>
      <x:c r="L2124" s="56" t="n">
        <x:v>105.94966701459154</x:v>
      </x:c>
    </x:row>
    <x:row r="2125" ht="21.600000381469727" hidden="0" customHeight="1">
      <x:c r="A2125" s="29" t="str">
        <x:v>King County, Washington</x:v>
      </x:c>
      <x:c r="B2125" s="29" t="str">
        <x:v>53033027300</x:v>
      </x:c>
      <x:c r="C2125" s="51" t="n">
        <x:v>7194</x:v>
      </x:c>
      <x:c r="D2125" s="51" t="n">
        <x:v>826</x:v>
      </x:c>
      <x:c r="E2125" s="51" t="n">
        <x:v>505</x:v>
      </x:c>
      <x:c r="F2125" s="38" t="n">
        <x:v>0.1148179038087295</x:v>
      </x:c>
      <x:c r="G2125" s="38" t="n">
        <x:v>0.07019738671114818</x:v>
      </x:c>
      <x:c r="H2125" s="57" t="n">
        <x:v>7533.599999999999</x:v>
      </x:c>
      <x:c r="I2125" s="57" t="n">
        <x:v>1.371</x:v>
      </x:c>
      <x:c r="J2125" s="57" t="n">
        <x:v>29.062404000587154</x:v>
      </x:c>
      <x:c r="K2125" s="57" t="n">
        <x:v>73.59360600088073</x:v>
      </x:c>
      <x:c r="L2125" s="57" t="n">
        <x:v>107.2765800012582</x:v>
      </x:c>
    </x:row>
    <x:row r="2126" ht="21.600000381469727" hidden="0" customHeight="1">
      <x:c r="A2126" s="27" t="str">
        <x:v>King County, Washington</x:v>
      </x:c>
      <x:c r="B2126" s="27" t="str">
        <x:v>53033027400</x:v>
      </x:c>
      <x:c r="C2126" s="50" t="n">
        <x:v>5314</x:v>
      </x:c>
      <x:c r="D2126" s="50" t="n">
        <x:v>667</x:v>
      </x:c>
      <x:c r="E2126" s="50" t="n">
        <x:v>170</x:v>
      </x:c>
      <x:c r="F2126" s="37" t="n">
        <x:v>0.1255175009409108</x:v>
      </x:c>
      <x:c r="G2126" s="37" t="n">
        <x:v>0.031990967256304105</x:v>
      </x:c>
      <x:c r="H2126" s="56" t="n">
        <x:v>5564.45</x:v>
      </x:c>
      <x:c r="I2126" s="56" t="n">
        <x:v>1.284</x:v>
      </x:c>
      <x:c r="J2126" s="56" t="n">
        <x:v>29.0361974913293</x:v>
      </x:c>
      <x:c r="K2126" s="56" t="n">
        <x:v>73.55429623699395</x:v>
      </x:c>
      <x:c r="L2126" s="56" t="n">
        <x:v>107.22042319570565</x:v>
      </x:c>
    </x:row>
    <x:row r="2127" ht="21.600000381469727" hidden="0" customHeight="1">
      <x:c r="A2127" s="29" t="str">
        <x:v>King County, Washington</x:v>
      </x:c>
      <x:c r="B2127" s="29" t="str">
        <x:v>53033027500</x:v>
      </x:c>
      <x:c r="C2127" s="51" t="n">
        <x:v>4844</x:v>
      </x:c>
      <x:c r="D2127" s="51" t="n">
        <x:v>786</x:v>
      </x:c>
      <x:c r="E2127" s="51" t="n">
        <x:v>307</x:v>
      </x:c>
      <x:c r="F2127" s="38" t="n">
        <x:v>0.16226259289843104</x:v>
      </x:c>
      <x:c r="G2127" s="38" t="n">
        <x:v>0.0633773740710157</x:v>
      </x:c>
      <x:c r="H2127" s="57" t="n">
        <x:v>5149.800000000001</x:v>
      </x:c>
      <x:c r="I2127" s="57" t="n">
        <x:v>0.861</x:v>
      </x:c>
      <x:c r="J2127" s="57" t="n">
        <x:v>28.763949329002738</x:v>
      </x:c>
      <x:c r="K2127" s="57" t="n">
        <x:v>73.14592399350411</x:v>
      </x:c>
      <x:c r="L2127" s="57" t="n">
        <x:v>106.63703427643443</x:v>
      </x:c>
    </x:row>
    <x:row r="2128" ht="21.600000381469727" hidden="0" customHeight="1">
      <x:c r="A2128" s="27" t="str">
        <x:v>King County, Washington</x:v>
      </x:c>
      <x:c r="B2128" s="27" t="str">
        <x:v>53033027600</x:v>
      </x:c>
      <x:c r="C2128" s="50" t="n">
        <x:v>4230</x:v>
      </x:c>
      <x:c r="D2128" s="50" t="n">
        <x:v>581</x:v>
      </x:c>
      <x:c r="E2128" s="50" t="n">
        <x:v>327</x:v>
      </x:c>
      <x:c r="F2128" s="37" t="n">
        <x:v>0.13735224586288416</x:v>
      </x:c>
      <x:c r="G2128" s="37" t="n">
        <x:v>0.07730496453900709</x:v>
      </x:c>
      <x:c r="H2128" s="56" t="n">
        <x:v>4466.05</x:v>
      </x:c>
      <x:c r="I2128" s="56" t="n">
        <x:v>1.102</x:v>
      </x:c>
      <x:c r="J2128" s="56" t="n">
        <x:v>27.87027001731001</x:v>
      </x:c>
      <x:c r="K2128" s="56" t="n">
        <x:v>71.80540502596502</x:v>
      </x:c>
      <x:c r="L2128" s="56" t="n">
        <x:v>104.72200717995003</x:v>
      </x:c>
    </x:row>
    <x:row r="2129" ht="21.600000381469727" hidden="0" customHeight="1">
      <x:c r="A2129" s="29" t="str">
        <x:v>King County, Washington</x:v>
      </x:c>
      <x:c r="B2129" s="29" t="str">
        <x:v>53033027701</x:v>
      </x:c>
      <x:c r="C2129" s="51" t="n">
        <x:v>5114</x:v>
      </x:c>
      <x:c r="D2129" s="51" t="n">
        <x:v>611</x:v>
      </x:c>
      <x:c r="E2129" s="51" t="n">
        <x:v>69</x:v>
      </x:c>
      <x:c r="F2129" s="38" t="n">
        <x:v>0.1194759483770043</x:v>
      </x:c>
      <x:c r="G2129" s="38" t="n">
        <x:v>0.01349237387563551</x:v>
      </x:c>
      <x:c r="H2129" s="57" t="n">
        <x:v>5334.750000000001</x:v>
      </x:c>
      <x:c r="I2129" s="57" t="n">
        <x:v>17.054</x:v>
      </x:c>
      <x:c r="J2129" s="57" t="n">
        <x:v>27.376822906239585</x:v>
      </x:c>
      <x:c r="K2129" s="57" t="n">
        <x:v>71.06523435935938</x:v>
      </x:c>
      <x:c r="L2129" s="57" t="n">
        <x:v>103.66462051337055</x:v>
      </x:c>
    </x:row>
    <x:row r="2130" ht="21.600000381469727" hidden="0" customHeight="1">
      <x:c r="A2130" s="27" t="str">
        <x:v>King County, Washington</x:v>
      </x:c>
      <x:c r="B2130" s="27" t="str">
        <x:v>53033027702</x:v>
      </x:c>
      <x:c r="C2130" s="50" t="n">
        <x:v>4754</x:v>
      </x:c>
      <x:c r="D2130" s="50" t="n">
        <x:v>500</x:v>
      </x:c>
      <x:c r="E2130" s="50" t="n">
        <x:v>106</x:v>
      </x:c>
      <x:c r="F2130" s="37" t="n">
        <x:v>0.1051745898190997</x:v>
      </x:c>
      <x:c r="G2130" s="37" t="n">
        <x:v>0.022297013041649136</x:v>
      </x:c>
      <x:c r="H2130" s="56" t="n">
        <x:v>4939.6</x:v>
      </x:c>
      <x:c r="I2130" s="56" t="n">
        <x:v>19.908</x:v>
      </x:c>
      <x:c r="J2130" s="56" t="n">
        <x:v>15.616318674454782</x:v>
      </x:c>
      <x:c r="K2130" s="56" t="n">
        <x:v>53.42447801168217</x:v>
      </x:c>
      <x:c r="L2130" s="56" t="n">
        <x:v>78.46354001668882</x:v>
      </x:c>
    </x:row>
    <x:row r="2131" ht="21.600000381469727" hidden="0" customHeight="1">
      <x:c r="A2131" s="29" t="str">
        <x:v>King County, Washington</x:v>
      </x:c>
      <x:c r="B2131" s="29" t="str">
        <x:v>53033027800</x:v>
      </x:c>
      <x:c r="C2131" s="51" t="n">
        <x:v>3384</x:v>
      </x:c>
      <x:c r="D2131" s="51" t="n">
        <x:v>387</x:v>
      </x:c>
      <x:c r="E2131" s="51" t="n">
        <x:v>93</x:v>
      </x:c>
      <x:c r="F2131" s="38" t="n">
        <x:v>0.11436170212765957</x:v>
      </x:c>
      <x:c r="G2131" s="38" t="n">
        <x:v>0.0274822695035461</x:v>
      </x:c>
      <x:c r="H2131" s="57" t="n">
        <x:v>3528.75</x:v>
      </x:c>
      <x:c r="I2131" s="57" t="n">
        <x:v>0.997</x:v>
      </x:c>
      <x:c r="J2131" s="57" t="n">
        <x:v>24.300405495966512</x:v>
      </x:c>
      <x:c r="K2131" s="57" t="n">
        <x:v>66.45060824394977</x:v>
      </x:c>
      <x:c r="L2131" s="57" t="n">
        <x:v>97.0722974913568</x:v>
      </x:c>
    </x:row>
    <x:row r="2132" ht="21.600000381469727" hidden="0" customHeight="1">
      <x:c r="A2132" s="27" t="str">
        <x:v>King County, Washington</x:v>
      </x:c>
      <x:c r="B2132" s="27" t="str">
        <x:v>53033027901</x:v>
      </x:c>
      <x:c r="C2132" s="50" t="n">
        <x:v>4248</x:v>
      </x:c>
      <x:c r="D2132" s="50" t="n">
        <x:v>664</x:v>
      </x:c>
      <x:c r="E2132" s="50" t="n">
        <x:v>152</x:v>
      </x:c>
      <x:c r="F2132" s="37" t="n">
        <x:v>0.15630885122410546</x:v>
      </x:c>
      <x:c r="G2132" s="37" t="n">
        <x:v>0.035781544256120526</x:v>
      </x:c>
      <x:c r="H2132" s="56" t="n">
        <x:v>4495.6</x:v>
      </x:c>
      <x:c r="I2132" s="56" t="n">
        <x:v>0.721</x:v>
      </x:c>
      <x:c r="J2132" s="56" t="n">
        <x:v>25.950344789677416</x:v>
      </x:c>
      <x:c r="K2132" s="56" t="n">
        <x:v>68.92551718451612</x:v>
      </x:c>
      <x:c r="L2132" s="56" t="n">
        <x:v>100.6078816921659</x:v>
      </x:c>
    </x:row>
    <x:row r="2133" ht="21.600000381469727" hidden="0" customHeight="1">
      <x:c r="A2133" s="29" t="str">
        <x:v>King County, Washington</x:v>
      </x:c>
      <x:c r="B2133" s="29" t="str">
        <x:v>53033027902</x:v>
      </x:c>
      <x:c r="C2133" s="51" t="n">
        <x:v>3234</x:v>
      </x:c>
      <x:c r="D2133" s="51" t="n">
        <x:v>750</x:v>
      </x:c>
      <x:c r="E2133" s="51" t="n">
        <x:v>306</x:v>
      </x:c>
      <x:c r="F2133" s="38" t="n">
        <x:v>0.23191094619666047</x:v>
      </x:c>
      <x:c r="G2133" s="38" t="n">
        <x:v>0.09461966604823747</x:v>
      </x:c>
      <x:c r="H2133" s="57" t="n">
        <x:v>3527.1</x:v>
      </x:c>
      <x:c r="I2133" s="57" t="n">
        <x:v>0.575</x:v>
      </x:c>
      <x:c r="J2133" s="57" t="n">
        <x:v>26.54520566997338</x:v>
      </x:c>
      <x:c r="K2133" s="57" t="n">
        <x:v>69.81780850496007</x:v>
      </x:c>
      <x:c r="L2133" s="57" t="n">
        <x:v>101.88258357851439</x:v>
      </x:c>
    </x:row>
    <x:row r="2134" ht="21.600000381469727" hidden="0" customHeight="1">
      <x:c r="A2134" s="27" t="str">
        <x:v>King County, Washington</x:v>
      </x:c>
      <x:c r="B2134" s="27" t="str">
        <x:v>53033028000</x:v>
      </x:c>
      <x:c r="C2134" s="50" t="n">
        <x:v>3538</x:v>
      </x:c>
      <x:c r="D2134" s="50" t="n">
        <x:v>575</x:v>
      </x:c>
      <x:c r="E2134" s="50" t="n">
        <x:v>385.5</x:v>
      </x:c>
      <x:c r="F2134" s="37" t="n">
        <x:v>0.16252119841718485</x:v>
      </x:c>
      <x:c r="G2134" s="37" t="n">
        <x:v>0.10895986433013001</x:v>
      </x:c>
      <x:c r="H2134" s="56" t="n">
        <x:v>3777.7999999999997</x:v>
      </x:c>
      <x:c r="I2134" s="56" t="n">
        <x:v>0.753</x:v>
      </x:c>
      <x:c r="J2134" s="56" t="n">
        <x:v>26.6342951335909</x:v>
      </x:c>
      <x:c r="K2134" s="56" t="n">
        <x:v>69.95144270038635</x:v>
      </x:c>
      <x:c r="L2134" s="56" t="n">
        <x:v>102.0734895719805</x:v>
      </x:c>
    </x:row>
    <x:row r="2135" ht="21.600000381469727" hidden="0" customHeight="1">
      <x:c r="A2135" s="29" t="str">
        <x:v>King County, Washington</x:v>
      </x:c>
      <x:c r="B2135" s="29" t="str">
        <x:v>53033028100</x:v>
      </x:c>
      <x:c r="C2135" s="51" t="n">
        <x:v>3043</x:v>
      </x:c>
      <x:c r="D2135" s="51" t="n">
        <x:v>413</x:v>
      </x:c>
      <x:c r="E2135" s="51" t="n">
        <x:v>146</x:v>
      </x:c>
      <x:c r="F2135" s="38" t="n">
        <x:v>0.13572132763720013</x:v>
      </x:c>
      <x:c r="G2135" s="38" t="n">
        <x:v>0.047978968123562275</x:v>
      </x:c>
      <x:c r="H2135" s="57" t="n">
        <x:v>3202.15</x:v>
      </x:c>
      <x:c r="I2135" s="57" t="n">
        <x:v>0.614</x:v>
      </x:c>
      <x:c r="J2135" s="57" t="n">
        <x:v>27.30550502385964</x:v>
      </x:c>
      <x:c r="K2135" s="57" t="n">
        <x:v>70.95825753578946</x:v>
      </x:c>
      <x:c r="L2135" s="57" t="n">
        <x:v>103.51179647969923</x:v>
      </x:c>
    </x:row>
    <x:row r="2136" ht="21.600000381469727" hidden="0" customHeight="1">
      <x:c r="A2136" s="27" t="str">
        <x:v>King County, Washington</x:v>
      </x:c>
      <x:c r="B2136" s="27" t="str">
        <x:v>53033028200</x:v>
      </x:c>
      <x:c r="C2136" s="50" t="n">
        <x:v>5049</x:v>
      </x:c>
      <x:c r="D2136" s="50" t="n">
        <x:v>529</x:v>
      </x:c>
      <x:c r="E2136" s="50" t="n">
        <x:v>256.5</x:v>
      </x:c>
      <x:c r="F2136" s="37" t="n">
        <x:v>0.10477322242028124</x:v>
      </x:c>
      <x:c r="G2136" s="37" t="n">
        <x:v>0.05080213903743316</x:v>
      </x:c>
      <x:c r="H2136" s="56" t="n">
        <x:v>5259.8</x:v>
      </x:c>
      <x:c r="I2136" s="56" t="n">
        <x:v>1.027</x:v>
      </x:c>
      <x:c r="J2136" s="56" t="n">
        <x:v>27.4022083194396</x:v>
      </x:c>
      <x:c r="K2136" s="56" t="n">
        <x:v>71.1033124791594</x:v>
      </x:c>
      <x:c r="L2136" s="56" t="n">
        <x:v>103.71901782737058</x:v>
      </x:c>
    </x:row>
    <x:row r="2137" ht="21.600000381469727" hidden="0" customHeight="1">
      <x:c r="A2137" s="29" t="str">
        <x:v>King County, Washington</x:v>
      </x:c>
      <x:c r="B2137" s="29" t="str">
        <x:v>53033028300</x:v>
      </x:c>
      <x:c r="C2137" s="51" t="n">
        <x:v>5902</x:v>
      </x:c>
      <x:c r="D2137" s="51" t="n">
        <x:v>534</x:v>
      </x:c>
      <x:c r="E2137" s="51" t="n">
        <x:v>210</x:v>
      </x:c>
      <x:c r="F2137" s="38" t="n">
        <x:v>0.0904778041341918</x:v>
      </x:c>
      <x:c r="G2137" s="38" t="n">
        <x:v>0.03558115892917655</x:v>
      </x:c>
      <x:c r="H2137" s="57" t="n">
        <x:v>6109.9</x:v>
      </x:c>
      <x:c r="I2137" s="57" t="n">
        <x:v>3.148</x:v>
      </x:c>
      <x:c r="J2137" s="57" t="n">
        <x:v>22.743586665728134</x:v>
      </x:c>
      <x:c r="K2137" s="57" t="n">
        <x:v>64.1153799985922</x:v>
      </x:c>
      <x:c r="L2137" s="57" t="n">
        <x:v>93.736257140846</x:v>
      </x:c>
    </x:row>
    <x:row r="2138" ht="21.600000381469727" hidden="0" customHeight="1">
      <x:c r="A2138" s="27" t="str">
        <x:v>King County, Washington</x:v>
      </x:c>
      <x:c r="B2138" s="27" t="str">
        <x:v>53033028402</x:v>
      </x:c>
      <x:c r="C2138" s="50" t="n">
        <x:v>6156</x:v>
      </x:c>
      <x:c r="D2138" s="50" t="n">
        <x:v>606</x:v>
      </x:c>
      <x:c r="E2138" s="50" t="n">
        <x:v>825.5</x:v>
      </x:c>
      <x:c r="F2138" s="37" t="n">
        <x:v>0.09844054580896686</x:v>
      </x:c>
      <x:c r="G2138" s="37" t="n">
        <x:v>0.13409681611435997</x:v>
      </x:c>
      <x:c r="H2138" s="56" t="n">
        <x:v>6450.65</x:v>
      </x:c>
      <x:c r="I2138" s="56" t="n">
        <x:v>3.289</x:v>
      </x:c>
      <x:c r="J2138" s="56" t="n">
        <x:v>24.528615093406934</x:v>
      </x:c>
      <x:c r="K2138" s="56" t="n">
        <x:v>66.7929226401104</x:v>
      </x:c>
      <x:c r="L2138" s="56" t="n">
        <x:v>97.56131805730058</x:v>
      </x:c>
    </x:row>
    <x:row r="2139" ht="21.600000381469727" hidden="0" customHeight="1">
      <x:c r="A2139" s="29" t="str">
        <x:v>King County, Washington</x:v>
      </x:c>
      <x:c r="B2139" s="29" t="str">
        <x:v>53033028403</x:v>
      </x:c>
      <x:c r="C2139" s="51" t="n">
        <x:v>6220</x:v>
      </x:c>
      <x:c r="D2139" s="51" t="n">
        <x:v>926</x:v>
      </x:c>
      <x:c r="E2139" s="51" t="n">
        <x:v>455</x:v>
      </x:c>
      <x:c r="F2139" s="38" t="n">
        <x:v>0.14887459807073955</x:v>
      </x:c>
      <x:c r="G2139" s="38" t="n">
        <x:v>0.07315112540192927</x:v>
      </x:c>
      <x:c r="H2139" s="57" t="n">
        <x:v>6589.599999999999</x:v>
      </x:c>
      <x:c r="I2139" s="57" t="n">
        <x:v>0.801</x:v>
      </x:c>
      <x:c r="J2139" s="57" t="n">
        <x:v>23.315232464969537</x:v>
      </x:c>
      <x:c r="K2139" s="57" t="n">
        <x:v>64.97284869745431</x:v>
      </x:c>
      <x:c r="L2139" s="57" t="n">
        <x:v>94.96121242493473</x:v>
      </x:c>
    </x:row>
    <x:row r="2140" ht="21.600000381469727" hidden="0" customHeight="1">
      <x:c r="A2140" s="27" t="str">
        <x:v>King County, Washington</x:v>
      </x:c>
      <x:c r="B2140" s="27" t="str">
        <x:v>53033028500</x:v>
      </x:c>
      <x:c r="C2140" s="50" t="n">
        <x:v>4309</x:v>
      </x:c>
      <x:c r="D2140" s="50" t="n">
        <x:v>421</x:v>
      </x:c>
      <x:c r="E2140" s="50" t="n">
        <x:v>476</x:v>
      </x:c>
      <x:c r="F2140" s="37" t="n">
        <x:v>0.09770248317475053</x:v>
      </x:c>
      <x:c r="G2140" s="37" t="n">
        <x:v>0.11046646553724762</x:v>
      </x:c>
      <x:c r="H2140" s="56" t="n">
        <x:v>4503.949999999999</x:v>
      </x:c>
      <x:c r="I2140" s="56" t="n">
        <x:v>1.355</x:v>
      </x:c>
      <x:c r="J2140" s="56" t="n">
        <x:v>23.448763013385054</x:v>
      </x:c>
      <x:c r="K2140" s="56" t="n">
        <x:v>65.17314452007759</x:v>
      </x:c>
      <x:c r="L2140" s="56" t="n">
        <x:v>95.24734931439654</x:v>
      </x:c>
    </x:row>
    <x:row r="2141" ht="21.600000381469727" hidden="0" customHeight="1">
      <x:c r="A2141" s="29" t="str">
        <x:v>King County, Washington</x:v>
      </x:c>
      <x:c r="B2141" s="29" t="str">
        <x:v>53033028600</x:v>
      </x:c>
      <x:c r="C2141" s="51" t="n">
        <x:v>6575</x:v>
      </x:c>
      <x:c r="D2141" s="51" t="n">
        <x:v>651</x:v>
      </x:c>
      <x:c r="E2141" s="51" t="n">
        <x:v>237.5</x:v>
      </x:c>
      <x:c r="F2141" s="38" t="n">
        <x:v>0.09901140684410646</x:v>
      </x:c>
      <x:c r="G2141" s="38" t="n">
        <x:v>0.03612167300380228</x:v>
      </x:c>
      <x:c r="H2141" s="57" t="n">
        <x:v>6826.599999999999</x:v>
      </x:c>
      <x:c r="I2141" s="57" t="n">
        <x:v>2.463</x:v>
      </x:c>
      <x:c r="J2141" s="57" t="n">
        <x:v>21.452372562669225</x:v>
      </x:c>
      <x:c r="K2141" s="57" t="n">
        <x:v>62.17855884400384</x:v>
      </x:c>
      <x:c r="L2141" s="57" t="n">
        <x:v>90.96936977714834</x:v>
      </x:c>
    </x:row>
    <x:row r="2142" ht="21.600000381469727" hidden="0" customHeight="1">
      <x:c r="A2142" s="27" t="str">
        <x:v>King County, Washington</x:v>
      </x:c>
      <x:c r="B2142" s="27" t="str">
        <x:v>53033028700</x:v>
      </x:c>
      <x:c r="C2142" s="50" t="n">
        <x:v>4964</x:v>
      </x:c>
      <x:c r="D2142" s="50" t="n">
        <x:v>616</x:v>
      </x:c>
      <x:c r="E2142" s="50" t="n">
        <x:v>93</x:v>
      </x:c>
      <x:c r="F2142" s="37" t="n">
        <x:v>0.12409347300564061</x:v>
      </x:c>
      <x:c r="G2142" s="37" t="n">
        <x:v>0.018734891216760675</x:v>
      </x:c>
      <x:c r="H2142" s="56" t="n">
        <x:v>5188.900000000001</x:v>
      </x:c>
      <x:c r="I2142" s="56" t="n">
        <x:v>1.033</x:v>
      </x:c>
      <x:c r="J2142" s="56" t="n">
        <x:v>19.809268221960384</x:v>
      </x:c>
      <x:c r="K2142" s="56" t="n">
        <x:v>59.71390233294058</x:v>
      </x:c>
      <x:c r="L2142" s="56" t="n">
        <x:v>87.44843190420082</x:v>
      </x:c>
    </x:row>
    <x:row r="2143" ht="21.600000381469727" hidden="0" customHeight="1">
      <x:c r="A2143" s="29" t="str">
        <x:v>King County, Washington</x:v>
      </x:c>
      <x:c r="B2143" s="29" t="str">
        <x:v>53033028801</x:v>
      </x:c>
      <x:c r="C2143" s="51" t="n">
        <x:v>2367</x:v>
      </x:c>
      <x:c r="D2143" s="51" t="n">
        <x:v>555</x:v>
      </x:c>
      <x:c r="E2143" s="51" t="n">
        <x:v>226</x:v>
      </x:c>
      <x:c r="F2143" s="38" t="n">
        <x:v>0.23447401774397972</x:v>
      </x:c>
      <x:c r="G2143" s="38" t="n">
        <x:v>0.09547950992817913</x:v>
      </x:c>
      <x:c r="H2143" s="57" t="n">
        <x:v>2583.8500000000004</x:v>
      </x:c>
      <x:c r="I2143" s="57" t="n">
        <x:v>2.016</x:v>
      </x:c>
      <x:c r="J2143" s="57" t="n">
        <x:v>20.04493586990532</x:v>
      </x:c>
      <x:c r="K2143" s="57" t="n">
        <x:v>60.06740380485798</x:v>
      </x:c>
      <x:c r="L2143" s="57" t="n">
        <x:v>87.95343400693997</x:v>
      </x:c>
    </x:row>
    <x:row r="2144" ht="21.600000381469727" hidden="0" customHeight="1">
      <x:c r="A2144" s="27" t="str">
        <x:v>King County, Washington</x:v>
      </x:c>
      <x:c r="B2144" s="27" t="str">
        <x:v>53033028802</x:v>
      </x:c>
      <x:c r="C2144" s="50" t="n">
        <x:v>7351</x:v>
      </x:c>
      <x:c r="D2144" s="50" t="n">
        <x:v>1112</x:v>
      </x:c>
      <x:c r="E2144" s="50" t="n">
        <x:v>433</x:v>
      </x:c>
      <x:c r="F2144" s="37" t="n">
        <x:v>0.15127193579104883</x:v>
      </x:c>
      <x:c r="G2144" s="37" t="n">
        <x:v>0.05890355053734186</x:v>
      </x:c>
      <x:c r="H2144" s="56" t="n">
        <x:v>7783.499999999999</x:v>
      </x:c>
      <x:c r="I2144" s="56" t="n">
        <x:v>0.926</x:v>
      </x:c>
      <x:c r="J2144" s="56" t="n">
        <x:v>21.176368269542014</x:v>
      </x:c>
      <x:c r="K2144" s="56" t="n">
        <x:v>61.76455240431302</x:v>
      </x:c>
      <x:c r="L2144" s="56" t="n">
        <x:v>90.37793200616146</x:v>
      </x:c>
    </x:row>
    <x:row r="2145" ht="21.600000381469727" hidden="0" customHeight="1">
      <x:c r="A2145" s="29" t="str">
        <x:v>King County, Washington</x:v>
      </x:c>
      <x:c r="B2145" s="29" t="str">
        <x:v>53033028901</x:v>
      </x:c>
      <x:c r="C2145" s="51" t="n">
        <x:v>3684</x:v>
      </x:c>
      <x:c r="D2145" s="51" t="n">
        <x:v>511</x:v>
      </x:c>
      <x:c r="E2145" s="51" t="n">
        <x:v>108</x:v>
      </x:c>
      <x:c r="F2145" s="38" t="n">
        <x:v>0.13870792616720956</x:v>
      </x:c>
      <x:c r="G2145" s="38" t="n">
        <x:v>0.029315960912052116</x:v>
      </x:c>
      <x:c r="H2145" s="57" t="n">
        <x:v>3873.6500000000005</x:v>
      </x:c>
      <x:c r="I2145" s="57" t="n">
        <x:v>0.884</x:v>
      </x:c>
      <x:c r="J2145" s="57" t="n">
        <x:v>17.151288196726334</x:v>
      </x:c>
      <x:c r="K2145" s="57" t="n">
        <x:v>55.7269322950895</x:v>
      </x:c>
      <x:c r="L2145" s="57" t="n">
        <x:v>81.75276042155643</x:v>
      </x:c>
    </x:row>
    <x:row r="2146" ht="21.600000381469727" hidden="0" customHeight="1">
      <x:c r="A2146" s="27" t="str">
        <x:v>King County, Washington</x:v>
      </x:c>
      <x:c r="B2146" s="27" t="str">
        <x:v>53033028902</x:v>
      </x:c>
      <x:c r="C2146" s="50" t="n">
        <x:v>7369</x:v>
      </x:c>
      <x:c r="D2146" s="50" t="n">
        <x:v>858</x:v>
      </x:c>
      <x:c r="E2146" s="50" t="n">
        <x:v>606.5</x:v>
      </x:c>
      <x:c r="F2146" s="37" t="n">
        <x:v>0.11643370878002443</x:v>
      </x:c>
      <x:c r="G2146" s="37" t="n">
        <x:v>0.08230424752340887</x:v>
      </x:c>
      <x:c r="H2146" s="56" t="n">
        <x:v>7729.95</x:v>
      </x:c>
      <x:c r="I2146" s="56" t="n">
        <x:v>0.797</x:v>
      </x:c>
      <x:c r="J2146" s="56" t="n">
        <x:v>17.112837931046418</x:v>
      </x:c>
      <x:c r="K2146" s="56" t="n">
        <x:v>55.66925689656962</x:v>
      </x:c>
      <x:c r="L2146" s="56" t="n">
        <x:v>81.67036699509947</x:v>
      </x:c>
    </x:row>
    <x:row r="2147" ht="21.600000381469727" hidden="0" customHeight="1">
      <x:c r="A2147" s="29" t="str">
        <x:v>King County, Washington</x:v>
      </x:c>
      <x:c r="B2147" s="29" t="str">
        <x:v>53033029001</x:v>
      </x:c>
      <x:c r="C2147" s="51" t="n">
        <x:v>3760</x:v>
      </x:c>
      <x:c r="D2147" s="51" t="n">
        <x:v>792</x:v>
      </x:c>
      <x:c r="E2147" s="51" t="n">
        <x:v>160</x:v>
      </x:c>
      <x:c r="F2147" s="38" t="n">
        <x:v>0.21063829787234042</x:v>
      </x:c>
      <x:c r="G2147" s="38" t="n">
        <x:v>0.0425531914893617</x:v>
      </x:c>
      <x:c r="H2147" s="57" t="n">
        <x:v>4053.2</x:v>
      </x:c>
      <x:c r="I2147" s="57" t="n">
        <x:v>0.995</x:v>
      </x:c>
      <x:c r="J2147" s="57" t="n">
        <x:v>14.371074591595034</x:v>
      </x:c>
      <x:c r="K2147" s="57" t="n">
        <x:v>51.55661188739255</x:v>
      </x:c>
      <x:c r="L2147" s="57" t="n">
        <x:v>75.79515983913222</x:v>
      </x:c>
    </x:row>
    <x:row r="2148" ht="21.600000381469727" hidden="0" customHeight="1">
      <x:c r="A2148" s="27" t="str">
        <x:v>King County, Washington</x:v>
      </x:c>
      <x:c r="B2148" s="27" t="str">
        <x:v>53033029003</x:v>
      </x:c>
      <x:c r="C2148" s="50" t="n">
        <x:v>6190</x:v>
      </x:c>
      <x:c r="D2148" s="50" t="n">
        <x:v>657</x:v>
      </x:c>
      <x:c r="E2148" s="50" t="n">
        <x:v>277</x:v>
      </x:c>
      <x:c r="F2148" s="37" t="n">
        <x:v>0.1061389337641357</x:v>
      </x:c>
      <x:c r="G2148" s="37" t="n">
        <x:v>0.04474959612277868</x:v>
      </x:c>
      <x:c r="H2148" s="56" t="n">
        <x:v>6447.650000000001</x:v>
      </x:c>
      <x:c r="I2148" s="56" t="n">
        <x:v>0.992</x:v>
      </x:c>
      <x:c r="J2148" s="56" t="n">
        <x:v>14.57172245560745</x:v>
      </x:c>
      <x:c r="K2148" s="56" t="n">
        <x:v>51.85758368341118</x:v>
      </x:c>
      <x:c r="L2148" s="56" t="n">
        <x:v>76.22511954773026</x:v>
      </x:c>
    </x:row>
    <x:row r="2149" ht="21.600000381469727" hidden="0" customHeight="1">
      <x:c r="A2149" s="29" t="str">
        <x:v>King County, Washington</x:v>
      </x:c>
      <x:c r="B2149" s="29" t="str">
        <x:v>53033029004</x:v>
      </x:c>
      <x:c r="C2149" s="51" t="n">
        <x:v>4604</x:v>
      </x:c>
      <x:c r="D2149" s="51" t="n">
        <x:v>295</x:v>
      </x:c>
      <x:c r="E2149" s="51" t="n">
        <x:v>210.5</x:v>
      </x:c>
      <x:c r="F2149" s="38" t="n">
        <x:v>0.06407471763683753</x:v>
      </x:c>
      <x:c r="G2149" s="38" t="n">
        <x:v>0.04572111207645525</x:v>
      </x:c>
      <x:c r="H2149" s="57" t="n">
        <x:v>4728.3</x:v>
      </x:c>
      <x:c r="I2149" s="57" t="n">
        <x:v>0.706</x:v>
      </x:c>
      <x:c r="J2149" s="57" t="n">
        <x:v>14.500511812361031</x:v>
      </x:c>
      <x:c r="K2149" s="57" t="n">
        <x:v>51.750767718541546</x:v>
      </x:c>
      <x:c r="L2149" s="57" t="n">
        <x:v>76.0725253122022</x:v>
      </x:c>
    </x:row>
    <x:row r="2150" ht="21.600000381469727" hidden="0" customHeight="1">
      <x:c r="A2150" s="27" t="str">
        <x:v>King County, Washington</x:v>
      </x:c>
      <x:c r="B2150" s="27" t="str">
        <x:v>53033029101</x:v>
      </x:c>
      <x:c r="C2150" s="50" t="n">
        <x:v>4528</x:v>
      </x:c>
      <x:c r="D2150" s="50" t="n">
        <x:v>348</x:v>
      </x:c>
      <x:c r="E2150" s="50" t="n">
        <x:v>330</x:v>
      </x:c>
      <x:c r="F2150" s="37" t="n">
        <x:v>0.07685512367491167</x:v>
      </x:c>
      <x:c r="G2150" s="37" t="n">
        <x:v>0.07287985865724382</x:v>
      </x:c>
      <x:c r="H2150" s="56" t="n">
        <x:v>4682.8</x:v>
      </x:c>
      <x:c r="I2150" s="56" t="n">
        <x:v>1.318</x:v>
      </x:c>
      <x:c r="J2150" s="56" t="n">
        <x:v>17.71200457734018</x:v>
      </x:c>
      <x:c r="K2150" s="56" t="n">
        <x:v>56.56800686601027</x:v>
      </x:c>
      <x:c r="L2150" s="56" t="n">
        <x:v>82.95429552287182</x:v>
      </x:c>
    </x:row>
    <x:row r="2151" ht="21.600000381469727" hidden="0" customHeight="1">
      <x:c r="A2151" s="29" t="str">
        <x:v>King County, Washington</x:v>
      </x:c>
      <x:c r="B2151" s="29" t="str">
        <x:v>53033029102</x:v>
      </x:c>
      <x:c r="C2151" s="51" t="n">
        <x:v>5542</x:v>
      </x:c>
      <x:c r="D2151" s="51" t="n">
        <x:v>623</x:v>
      </x:c>
      <x:c r="E2151" s="51" t="n">
        <x:v>26</x:v>
      </x:c>
      <x:c r="F2151" s="38" t="n">
        <x:v>0.11241429086972213</x:v>
      </x:c>
      <x:c r="G2151" s="38" t="n">
        <x:v>0.004691447130999639</x:v>
      </x:c>
      <x:c r="H2151" s="57" t="n">
        <x:v>5762.650000000001</x:v>
      </x:c>
      <x:c r="I2151" s="57" t="n">
        <x:v>0.991</x:v>
      </x:c>
      <x:c r="J2151" s="57" t="n">
        <x:v>15.032805370053286</x:v>
      </x:c>
      <x:c r="K2151" s="57" t="n">
        <x:v>52.54920805507993</x:v>
      </x:c>
      <x:c r="L2151" s="57" t="n">
        <x:v>77.2131543643999</x:v>
      </x:c>
    </x:row>
    <x:row r="2152" ht="21.600000381469727" hidden="0" customHeight="1">
      <x:c r="A2152" s="27" t="str">
        <x:v>King County, Washington</x:v>
      </x:c>
      <x:c r="B2152" s="27" t="str">
        <x:v>53033029203</x:v>
      </x:c>
      <x:c r="C2152" s="50" t="n">
        <x:v>3803</x:v>
      </x:c>
      <x:c r="D2152" s="50" t="n">
        <x:v>652</x:v>
      </x:c>
      <x:c r="E2152" s="50" t="n">
        <x:v>417.5</x:v>
      </x:c>
      <x:c r="F2152" s="37" t="n">
        <x:v>0.17144359716013674</x:v>
      </x:c>
      <x:c r="G2152" s="37" t="n">
        <x:v>0.10978175124901393</x:v>
      </x:c>
      <x:c r="H2152" s="56" t="n">
        <x:v>4072.95</x:v>
      </x:c>
      <x:c r="I2152" s="56" t="n">
        <x:v>0.776</x:v>
      </x:c>
      <x:c r="J2152" s="56" t="n">
        <x:v>18.789348756149785</x:v>
      </x:c>
      <x:c r="K2152" s="56" t="n">
        <x:v>58.18402313422468</x:v>
      </x:c>
      <x:c r="L2152" s="56" t="n">
        <x:v>85.26289019174953</x:v>
      </x:c>
    </x:row>
    <x:row r="2153" ht="21.600000381469727" hidden="0" customHeight="1">
      <x:c r="A2153" s="29" t="str">
        <x:v>King County, Washington</x:v>
      </x:c>
      <x:c r="B2153" s="29" t="str">
        <x:v>53033029205</x:v>
      </x:c>
      <x:c r="C2153" s="51" t="n">
        <x:v>4812</x:v>
      </x:c>
      <x:c r="D2153" s="51" t="n">
        <x:v>565</x:v>
      </x:c>
      <x:c r="E2153" s="51" t="n">
        <x:v>395</x:v>
      </x:c>
      <x:c r="F2153" s="38" t="n">
        <x:v>0.11741479634247715</x:v>
      </x:c>
      <x:c r="G2153" s="38" t="n">
        <x:v>0.08208645054031588</x:v>
      </x:c>
      <x:c r="H2153" s="57" t="n">
        <x:v>5049.25</x:v>
      </x:c>
      <x:c r="I2153" s="57" t="n">
        <x:v>0.722</x:v>
      </x:c>
      <x:c r="J2153" s="57" t="n">
        <x:v>17.06382189771991</x:v>
      </x:c>
      <x:c r="K2153" s="57" t="n">
        <x:v>55.595732846579864</x:v>
      </x:c>
      <x:c r="L2153" s="57" t="n">
        <x:v>81.56533263797124</x:v>
      </x:c>
    </x:row>
    <x:row r="2154" ht="21.600000381469727" hidden="0" customHeight="1">
      <x:c r="A2154" s="27" t="str">
        <x:v>King County, Washington</x:v>
      </x:c>
      <x:c r="B2154" s="27" t="str">
        <x:v>53033029206</x:v>
      </x:c>
      <x:c r="C2154" s="50" t="n">
        <x:v>5060</x:v>
      </x:c>
      <x:c r="D2154" s="50" t="n">
        <x:v>1038</x:v>
      </x:c>
      <x:c r="E2154" s="50" t="n">
        <x:v>846</x:v>
      </x:c>
      <x:c r="F2154" s="37" t="n">
        <x:v>0.20513833992094863</x:v>
      </x:c>
      <x:c r="G2154" s="37" t="n">
        <x:v>0.16719367588932807</x:v>
      </x:c>
      <x:c r="H2154" s="56" t="n">
        <x:v>5507.9</x:v>
      </x:c>
      <x:c r="I2154" s="56" t="n">
        <x:v>6.73</x:v>
      </x:c>
      <x:c r="J2154" s="56" t="n">
        <x:v>21.56540884301319</x:v>
      </x:c>
      <x:c r="K2154" s="56" t="n">
        <x:v>62.34811326451979</x:v>
      </x:c>
      <x:c r="L2154" s="56" t="n">
        <x:v>91.21159037788541</x:v>
      </x:c>
    </x:row>
    <x:row r="2155" ht="21.600000381469727" hidden="0" customHeight="1">
      <x:c r="A2155" s="29" t="str">
        <x:v>King County, Washington</x:v>
      </x:c>
      <x:c r="B2155" s="29" t="str">
        <x:v>53033029207</x:v>
      </x:c>
      <x:c r="C2155" s="51" t="n">
        <x:v>2701</x:v>
      </x:c>
      <x:c r="D2155" s="51" t="n">
        <x:v>163</x:v>
      </x:c>
      <x:c r="E2155" s="51" t="n">
        <x:v>103.5</x:v>
      </x:c>
      <x:c r="F2155" s="38" t="n">
        <x:v>0.06034801925212884</x:v>
      </x:c>
      <x:c r="G2155" s="38" t="n">
        <x:v>0.038319141058867086</x:v>
      </x:c>
      <x:c r="H2155" s="57" t="n">
        <x:v>2768.3999999999996</x:v>
      </x:c>
      <x:c r="I2155" s="57" t="n">
        <x:v>0.871</x:v>
      </x:c>
      <x:c r="J2155" s="57" t="n">
        <x:v>22.207191634619143</x:v>
      </x:c>
      <x:c r="K2155" s="57" t="n">
        <x:v>63.31078745192871</x:v>
      </x:c>
      <x:c r="L2155" s="57" t="n">
        <x:v>92.58683921704102</x:v>
      </x:c>
    </x:row>
    <x:row r="2156" ht="21.600000381469727" hidden="0" customHeight="1">
      <x:c r="A2156" s="27" t="str">
        <x:v>King County, Washington</x:v>
      </x:c>
      <x:c r="B2156" s="27" t="str">
        <x:v>53033029208</x:v>
      </x:c>
      <x:c r="C2156" s="50" t="n">
        <x:v>4313</x:v>
      </x:c>
      <x:c r="D2156" s="50" t="n">
        <x:v>469</x:v>
      </x:c>
      <x:c r="E2156" s="50" t="n">
        <x:v>597.5</x:v>
      </x:c>
      <x:c r="F2156" s="37" t="n">
        <x:v>0.10874101553443079</x:v>
      </x:c>
      <x:c r="G2156" s="37" t="n">
        <x:v>0.13853466264780895</x:v>
      </x:c>
      <x:c r="H2156" s="56" t="n">
        <x:v>4536.9</x:v>
      </x:c>
      <x:c r="I2156" s="56" t="n">
        <x:v>0.764</x:v>
      </x:c>
      <x:c r="J2156" s="56" t="n">
        <x:v>20.533805857291963</x:v>
      </x:c>
      <x:c r="K2156" s="56" t="n">
        <x:v>60.80070878593794</x:v>
      </x:c>
      <x:c r="L2156" s="56" t="n">
        <x:v>89.00101255133993</x:v>
      </x:c>
    </x:row>
    <x:row r="2157" ht="21.600000381469727" hidden="0" customHeight="1">
      <x:c r="A2157" s="29" t="str">
        <x:v>King County, Washington</x:v>
      </x:c>
      <x:c r="B2157" s="29" t="str">
        <x:v>53033029304</x:v>
      </x:c>
      <x:c r="C2157" s="51" t="n">
        <x:v>5227</x:v>
      </x:c>
      <x:c r="D2157" s="51" t="n">
        <x:v>496</x:v>
      </x:c>
      <x:c r="E2157" s="51" t="n">
        <x:v>132.5</x:v>
      </x:c>
      <x:c r="F2157" s="38" t="n">
        <x:v>0.09489190740386455</x:v>
      </x:c>
      <x:c r="G2157" s="38" t="n">
        <x:v>0.02534914865123398</x:v>
      </x:c>
      <x:c r="H2157" s="57" t="n">
        <x:v>5413.85</x:v>
      </x:c>
      <x:c r="I2157" s="57" t="n">
        <x:v>1.607</x:v>
      </x:c>
      <x:c r="J2157" s="57" t="n">
        <x:v>22.53599829602327</x:v>
      </x:c>
      <x:c r="K2157" s="57" t="n">
        <x:v>63.803997444034906</x:v>
      </x:c>
      <x:c r="L2157" s="57" t="n">
        <x:v>93.29142492004986</x:v>
      </x:c>
    </x:row>
    <x:row r="2158" ht="21.600000381469727" hidden="0" customHeight="1">
      <x:c r="A2158" s="27" t="str">
        <x:v>King County, Washington</x:v>
      </x:c>
      <x:c r="B2158" s="27" t="str">
        <x:v>53033029305</x:v>
      </x:c>
      <x:c r="C2158" s="50" t="n">
        <x:v>4873</x:v>
      </x:c>
      <x:c r="D2158" s="50" t="n">
        <x:v>581</x:v>
      </x:c>
      <x:c r="E2158" s="50" t="n">
        <x:v>110.5</x:v>
      </x:c>
      <x:c r="F2158" s="37" t="n">
        <x:v>0.11922840139544429</x:v>
      </x:c>
      <x:c r="G2158" s="37" t="n">
        <x:v>0.022675969628565565</x:v>
      </x:c>
      <x:c r="H2158" s="56" t="n">
        <x:v>5087.4</x:v>
      </x:c>
      <x:c r="I2158" s="56" t="n">
        <x:v>1.119</x:v>
      </x:c>
      <x:c r="J2158" s="56" t="n">
        <x:v>24.266562897526324</x:v>
      </x:c>
      <x:c r="K2158" s="56" t="n">
        <x:v>66.39984434628948</x:v>
      </x:c>
      <x:c r="L2158" s="56" t="n">
        <x:v>96.9997776375564</x:v>
      </x:c>
    </x:row>
    <x:row r="2159" ht="21.600000381469727" hidden="0" customHeight="1">
      <x:c r="A2159" s="29" t="str">
        <x:v>King County, Washington</x:v>
      </x:c>
      <x:c r="B2159" s="29" t="str">
        <x:v>53033029306</x:v>
      </x:c>
      <x:c r="C2159" s="51" t="n">
        <x:v>3640</x:v>
      </x:c>
      <x:c r="D2159" s="51" t="n">
        <x:v>537</x:v>
      </x:c>
      <x:c r="E2159" s="51" t="n">
        <x:v>152</x:v>
      </x:c>
      <x:c r="F2159" s="38" t="n">
        <x:v>0.14752747252747253</x:v>
      </x:c>
      <x:c r="G2159" s="38" t="n">
        <x:v>0.041758241758241756</x:v>
      </x:c>
      <x:c r="H2159" s="57" t="n">
        <x:v>3843.1499999999996</x:v>
      </x:c>
      <x:c r="I2159" s="57" t="n">
        <x:v>0.916</x:v>
      </x:c>
      <x:c r="J2159" s="57" t="n">
        <x:v>25.182986602115594</x:v>
      </x:c>
      <x:c r="K2159" s="57" t="n">
        <x:v>67.77447990317339</x:v>
      </x:c>
      <x:c r="L2159" s="57" t="n">
        <x:v>98.96354271881913</x:v>
      </x:c>
    </x:row>
    <x:row r="2160" ht="21.600000381469727" hidden="0" customHeight="1">
      <x:c r="A2160" s="27" t="str">
        <x:v>King County, Washington</x:v>
      </x:c>
      <x:c r="B2160" s="27" t="str">
        <x:v>53033029307</x:v>
      </x:c>
      <x:c r="C2160" s="50" t="n">
        <x:v>4024</x:v>
      </x:c>
      <x:c r="D2160" s="50" t="n">
        <x:v>407</x:v>
      </x:c>
      <x:c r="E2160" s="50" t="n">
        <x:v>72</x:v>
      </x:c>
      <x:c r="F2160" s="37" t="n">
        <x:v>0.10114314115308151</x:v>
      </x:c>
      <x:c r="G2160" s="37" t="n">
        <x:v>0.017892644135188866</x:v>
      </x:c>
      <x:c r="H2160" s="56" t="n">
        <x:v>4173.650000000001</x:v>
      </x:c>
      <x:c r="I2160" s="56" t="n">
        <x:v>1.479</x:v>
      </x:c>
      <x:c r="J2160" s="56" t="n">
        <x:v>23.795099538527346</x:v>
      </x:c>
      <x:c r="K2160" s="56" t="n">
        <x:v>65.69264930779102</x:v>
      </x:c>
      <x:c r="L2160" s="56" t="n">
        <x:v>95.98949901113002</x:v>
      </x:c>
    </x:row>
    <x:row r="2161" ht="21.600000381469727" hidden="0" customHeight="1">
      <x:c r="A2161" s="29" t="str">
        <x:v>King County, Washington</x:v>
      </x:c>
      <x:c r="B2161" s="29" t="str">
        <x:v>53033029308</x:v>
      </x:c>
      <x:c r="C2161" s="51" t="n">
        <x:v>3522</x:v>
      </x:c>
      <x:c r="D2161" s="51" t="n">
        <x:v>297</x:v>
      </x:c>
      <x:c r="E2161" s="51" t="n">
        <x:v>72</x:v>
      </x:c>
      <x:c r="F2161" s="38" t="n">
        <x:v>0.08432708688245315</x:v>
      </x:c>
      <x:c r="G2161" s="38" t="n">
        <x:v>0.020442930153321975</x:v>
      </x:c>
      <x:c r="H2161" s="57" t="n">
        <x:v>3633.1499999999996</x:v>
      </x:c>
      <x:c r="I2161" s="57" t="n">
        <x:v>0.52</x:v>
      </x:c>
      <x:c r="J2161" s="57" t="n">
        <x:v>24.25787620250956</x:v>
      </x:c>
      <x:c r="K2161" s="57" t="n">
        <x:v>66.38681430376434</x:v>
      </x:c>
      <x:c r="L2161" s="57" t="n">
        <x:v>96.98116329109192</x:v>
      </x:c>
    </x:row>
    <x:row r="2162" ht="21.600000381469727" hidden="0" customHeight="1">
      <x:c r="A2162" s="27" t="str">
        <x:v>King County, Washington</x:v>
      </x:c>
      <x:c r="B2162" s="27" t="str">
        <x:v>53033029309</x:v>
      </x:c>
      <x:c r="C2162" s="50" t="n">
        <x:v>5306</x:v>
      </x:c>
      <x:c r="D2162" s="50" t="n">
        <x:v>593</x:v>
      </x:c>
      <x:c r="E2162" s="50" t="n">
        <x:v>77</x:v>
      </x:c>
      <x:c r="F2162" s="37" t="n">
        <x:v>0.11176027139087825</x:v>
      </x:c>
      <x:c r="G2162" s="37" t="n">
        <x:v>0.014511873350923483</x:v>
      </x:c>
      <x:c r="H2162" s="56" t="n">
        <x:v>5521.250000000001</x:v>
      </x:c>
      <x:c r="I2162" s="56" t="n">
        <x:v>0.873</x:v>
      </x:c>
      <x:c r="J2162" s="56" t="n">
        <x:v>25.576899836324507</x:v>
      </x:c>
      <x:c r="K2162" s="56" t="n">
        <x:v>68.36534975448676</x:v>
      </x:c>
      <x:c r="L2162" s="56" t="n">
        <x:v>99.80764250640965</x:v>
      </x:c>
    </x:row>
    <x:row r="2163" ht="21.600000381469727" hidden="0" customHeight="1">
      <x:c r="A2163" s="29" t="str">
        <x:v>King County, Washington</x:v>
      </x:c>
      <x:c r="B2163" s="29" t="str">
        <x:v>53033029403</x:v>
      </x:c>
      <x:c r="C2163" s="51" t="n">
        <x:v>5709</x:v>
      </x:c>
      <x:c r="D2163" s="51" t="n">
        <x:v>816</x:v>
      </x:c>
      <x:c r="E2163" s="51" t="n">
        <x:v>31</x:v>
      </x:c>
      <x:c r="F2163" s="38" t="n">
        <x:v>0.14293221229637415</x:v>
      </x:c>
      <x:c r="G2163" s="38" t="n">
        <x:v>0.005430022771063234</x:v>
      </x:c>
      <x:c r="H2163" s="57" t="n">
        <x:v>5997.7</x:v>
      </x:c>
      <x:c r="I2163" s="57" t="n">
        <x:v>0.929</x:v>
      </x:c>
      <x:c r="J2163" s="57" t="n">
        <x:v>23.482561205095006</x:v>
      </x:c>
      <x:c r="K2163" s="57" t="n">
        <x:v>65.22384180764251</x:v>
      </x:c>
      <x:c r="L2163" s="57" t="n">
        <x:v>95.31977401091787</x:v>
      </x:c>
    </x:row>
    <x:row r="2164" ht="21.600000381469727" hidden="0" customHeight="1">
      <x:c r="A2164" s="27" t="str">
        <x:v>King County, Washington</x:v>
      </x:c>
      <x:c r="B2164" s="27" t="str">
        <x:v>53033029405</x:v>
      </x:c>
      <x:c r="C2164" s="50" t="n">
        <x:v>5564</x:v>
      </x:c>
      <x:c r="D2164" s="50" t="n">
        <x:v>624</x:v>
      </x:c>
      <x:c r="E2164" s="50" t="n">
        <x:v>36</x:v>
      </x:c>
      <x:c r="F2164" s="37" t="n">
        <x:v>0.11214953271028037</x:v>
      </x:c>
      <x:c r="G2164" s="37" t="n">
        <x:v>0.006470165348670022</x:v>
      </x:c>
      <x:c r="H2164" s="56" t="n">
        <x:v>5786.000000000001</x:v>
      </x:c>
      <x:c r="I2164" s="56" t="n">
        <x:v>0.962</x:v>
      </x:c>
      <x:c r="J2164" s="56" t="n">
        <x:v>25.101912860086234</x:v>
      </x:c>
      <x:c r="K2164" s="56" t="n">
        <x:v>67.65286929012935</x:v>
      </x:c>
      <x:c r="L2164" s="56" t="n">
        <x:v>98.78981327161335</x:v>
      </x:c>
    </x:row>
    <x:row r="2165" ht="21.600000381469727" hidden="0" customHeight="1">
      <x:c r="A2165" s="29" t="str">
        <x:v>King County, Washington</x:v>
      </x:c>
      <x:c r="B2165" s="29" t="str">
        <x:v>53033029406</x:v>
      </x:c>
      <x:c r="C2165" s="51" t="n">
        <x:v>4668</x:v>
      </x:c>
      <x:c r="D2165" s="51" t="n">
        <x:v>487</x:v>
      </x:c>
      <x:c r="E2165" s="51" t="n">
        <x:v>275</x:v>
      </x:c>
      <x:c r="F2165" s="38" t="n">
        <x:v>0.10432733504712939</x:v>
      </x:c>
      <x:c r="G2165" s="38" t="n">
        <x:v>0.05891173950299914</x:v>
      </x:c>
      <x:c r="H2165" s="57" t="n">
        <x:v>4865.95</x:v>
      </x:c>
      <x:c r="I2165" s="57" t="n">
        <x:v>1.012</x:v>
      </x:c>
      <x:c r="J2165" s="57" t="n">
        <x:v>23.701461308853727</x:v>
      </x:c>
      <x:c r="K2165" s="57" t="n">
        <x:v>65.55219196328059</x:v>
      </x:c>
      <x:c r="L2165" s="57" t="n">
        <x:v>95.78884566182941</x:v>
      </x:c>
    </x:row>
    <x:row r="2166" ht="21.600000381469727" hidden="0" customHeight="1">
      <x:c r="A2166" s="27" t="str">
        <x:v>King County, Washington</x:v>
      </x:c>
      <x:c r="B2166" s="27" t="str">
        <x:v>53033029407</x:v>
      </x:c>
      <x:c r="C2166" s="50" t="n">
        <x:v>4954</x:v>
      </x:c>
      <x:c r="D2166" s="50" t="n">
        <x:v>409</x:v>
      </x:c>
      <x:c r="E2166" s="50" t="n">
        <x:v>381.5</x:v>
      </x:c>
      <x:c r="F2166" s="37" t="n">
        <x:v>0.08255954784012919</x:v>
      </x:c>
      <x:c r="G2166" s="37" t="n">
        <x:v>0.07700847799757772</x:v>
      </x:c>
      <x:c r="H2166" s="56" t="n">
        <x:v>5135.3</x:v>
      </x:c>
      <x:c r="I2166" s="56" t="n">
        <x:v>0.515</x:v>
      </x:c>
      <x:c r="J2166" s="56" t="n">
        <x:v>21.6720891300085</x:v>
      </x:c>
      <x:c r="K2166" s="56" t="n">
        <x:v>62.50813369501275</x:v>
      </x:c>
      <x:c r="L2166" s="56" t="n">
        <x:v>91.44019099287536</x:v>
      </x:c>
    </x:row>
    <x:row r="2167" ht="21.600000381469727" hidden="0" customHeight="1">
      <x:c r="A2167" s="29" t="str">
        <x:v>King County, Washington</x:v>
      </x:c>
      <x:c r="B2167" s="29" t="str">
        <x:v>53033029408</x:v>
      </x:c>
      <x:c r="C2167" s="51" t="n">
        <x:v>4633</x:v>
      </x:c>
      <x:c r="D2167" s="51" t="n">
        <x:v>536</x:v>
      </x:c>
      <x:c r="E2167" s="51" t="n">
        <x:v>266</x:v>
      </x:c>
      <x:c r="F2167" s="38" t="n">
        <x:v>0.11569177638679042</x:v>
      </x:c>
      <x:c r="G2167" s="38" t="n">
        <x:v>0.057414202460608674</x:v>
      </x:c>
      <x:c r="H2167" s="57" t="n">
        <x:v>4847.2</x:v>
      </x:c>
      <x:c r="I2167" s="57" t="n">
        <x:v>0.488</x:v>
      </x:c>
      <x:c r="J2167" s="57" t="n">
        <x:v>22.464960964440934</x:v>
      </x:c>
      <x:c r="K2167" s="57" t="n">
        <x:v>63.6974414466614</x:v>
      </x:c>
      <x:c r="L2167" s="57" t="n">
        <x:v>93.13920206665915</x:v>
      </x:c>
    </x:row>
    <x:row r="2168" ht="21.600000381469727" hidden="0" customHeight="1">
      <x:c r="A2168" s="27" t="str">
        <x:v>King County, Washington</x:v>
      </x:c>
      <x:c r="B2168" s="27" t="str">
        <x:v>53033029504</x:v>
      </x:c>
      <x:c r="C2168" s="50" t="n">
        <x:v>6629</x:v>
      </x:c>
      <x:c r="D2168" s="50" t="n">
        <x:v>821</x:v>
      </x:c>
      <x:c r="E2168" s="50" t="n">
        <x:v>583</x:v>
      </x:c>
      <x:c r="F2168" s="37" t="n">
        <x:v>0.1238497510936793</x:v>
      </x:c>
      <x:c r="G2168" s="37" t="n">
        <x:v>0.08794689998491477</x:v>
      </x:c>
      <x:c r="H2168" s="56" t="n">
        <x:v>6974.65</x:v>
      </x:c>
      <x:c r="I2168" s="56" t="n">
        <x:v>0.727</x:v>
      </x:c>
      <x:c r="J2168" s="56" t="n">
        <x:v>20.730610855811687</x:v>
      </x:c>
      <x:c r="K2168" s="56" t="n">
        <x:v>61.09591628371753</x:v>
      </x:c>
      <x:c r="L2168" s="56" t="n">
        <x:v>89.4227375481679</x:v>
      </x:c>
    </x:row>
    <x:row r="2169" ht="21.600000381469727" hidden="0" customHeight="1">
      <x:c r="A2169" s="29" t="str">
        <x:v>King County, Washington</x:v>
      </x:c>
      <x:c r="B2169" s="29" t="str">
        <x:v>53033029505</x:v>
      </x:c>
      <x:c r="C2169" s="51" t="n">
        <x:v>4348</x:v>
      </x:c>
      <x:c r="D2169" s="51" t="n">
        <x:v>342</x:v>
      </x:c>
      <x:c r="E2169" s="51" t="n">
        <x:v>178</x:v>
      </x:c>
      <x:c r="F2169" s="38" t="n">
        <x:v>0.07865685372585096</x:v>
      </x:c>
      <x:c r="G2169" s="38" t="n">
        <x:v>0.04093836246550138</x:v>
      </x:c>
      <x:c r="H2169" s="57" t="n">
        <x:v>4485.5</x:v>
      </x:c>
      <x:c r="I2169" s="57" t="n">
        <x:v>0.544</x:v>
      </x:c>
      <x:c r="J2169" s="57" t="n">
        <x:v>19.750004391965025</x:v>
      </x:c>
      <x:c r="K2169" s="57" t="n">
        <x:v>59.62500658794754</x:v>
      </x:c>
      <x:c r="L2169" s="57" t="n">
        <x:v>87.32143798278219</x:v>
      </x:c>
    </x:row>
    <x:row r="2170" ht="21.600000381469727" hidden="0" customHeight="1">
      <x:c r="A2170" s="27" t="str">
        <x:v>King County, Washington</x:v>
      </x:c>
      <x:c r="B2170" s="27" t="str">
        <x:v>53033029506</x:v>
      </x:c>
      <x:c r="C2170" s="50" t="n">
        <x:v>4461</x:v>
      </x:c>
      <x:c r="D2170" s="50" t="n">
        <x:v>399</x:v>
      </x:c>
      <x:c r="E2170" s="50" t="n">
        <x:v>147</x:v>
      </x:c>
      <x:c r="F2170" s="37" t="n">
        <x:v>0.0894418291862811</x:v>
      </x:c>
      <x:c r="G2170" s="37" t="n">
        <x:v>0.03295225285810356</x:v>
      </x:c>
      <x:c r="H2170" s="56" t="n">
        <x:v>4615.349999999999</x:v>
      </x:c>
      <x:c r="I2170" s="56" t="n">
        <x:v>0.368</x:v>
      </x:c>
      <x:c r="J2170" s="56" t="n">
        <x:v>19.458181127036106</x:v>
      </x:c>
      <x:c r="K2170" s="56" t="n">
        <x:v>59.18727169055416</x:v>
      </x:c>
      <x:c r="L2170" s="56" t="n">
        <x:v>86.69610241507738</x:v>
      </x:c>
    </x:row>
    <x:row r="2171" ht="21.600000381469727" hidden="0" customHeight="1">
      <x:c r="A2171" s="29" t="str">
        <x:v>King County, Washington</x:v>
      </x:c>
      <x:c r="B2171" s="29" t="str">
        <x:v>53033029507</x:v>
      </x:c>
      <x:c r="C2171" s="51" t="n">
        <x:v>3052</x:v>
      </x:c>
      <x:c r="D2171" s="51" t="n">
        <x:v>320</x:v>
      </x:c>
      <x:c r="E2171" s="51" t="n">
        <x:v>15</x:v>
      </x:c>
      <x:c r="F2171" s="38" t="n">
        <x:v>0.10484927916120576</x:v>
      </x:c>
      <x:c r="G2171" s="38" t="n">
        <x:v>0.0049148099606815205</x:v>
      </x:c>
      <x:c r="H2171" s="57" t="n">
        <x:v>3165.5</x:v>
      </x:c>
      <x:c r="I2171" s="57" t="n">
        <x:v>0.675</x:v>
      </x:c>
      <x:c r="J2171" s="57" t="n">
        <x:v>21.252086904137514</x:v>
      </x:c>
      <x:c r="K2171" s="57" t="n">
        <x:v>61.87813035620627</x:v>
      </x:c>
      <x:c r="L2171" s="57" t="n">
        <x:v>90.5401862231518</x:v>
      </x:c>
    </x:row>
    <x:row r="2172" ht="21.600000381469727" hidden="0" customHeight="1">
      <x:c r="A2172" s="27" t="str">
        <x:v>King County, Washington</x:v>
      </x:c>
      <x:c r="B2172" s="27" t="str">
        <x:v>53033029508</x:v>
      </x:c>
      <x:c r="C2172" s="50" t="n">
        <x:v>4298</x:v>
      </x:c>
      <x:c r="D2172" s="50" t="n">
        <x:v>279</x:v>
      </x:c>
      <x:c r="E2172" s="50" t="n">
        <x:v>135</x:v>
      </x:c>
      <x:c r="F2172" s="37" t="n">
        <x:v>0.0649139134481154</x:v>
      </x:c>
      <x:c r="G2172" s="37" t="n">
        <x:v>0.03140995812005584</x:v>
      </x:c>
      <x:c r="H2172" s="56" t="n">
        <x:v>4409.150000000001</x:v>
      </x:c>
      <x:c r="I2172" s="56" t="n">
        <x:v>0.989</x:v>
      </x:c>
      <x:c r="J2172" s="56" t="n">
        <x:v>22.478798930611614</x:v>
      </x:c>
      <x:c r="K2172" s="56" t="n">
        <x:v>63.71819839591742</x:v>
      </x:c>
      <x:c r="L2172" s="56" t="n">
        <x:v>93.1688548513106</x:v>
      </x:c>
    </x:row>
    <x:row r="2173" ht="21.600000381469727" hidden="0" customHeight="1">
      <x:c r="A2173" s="29" t="str">
        <x:v>King County, Washington</x:v>
      </x:c>
      <x:c r="B2173" s="29" t="str">
        <x:v>53033029602</x:v>
      </x:c>
      <x:c r="C2173" s="51" t="n">
        <x:v>7599</x:v>
      </x:c>
      <x:c r="D2173" s="51" t="n">
        <x:v>607</x:v>
      </x:c>
      <x:c r="E2173" s="51" t="n">
        <x:v>0</x:v>
      </x:c>
      <x:c r="F2173" s="38" t="n">
        <x:v>0.07987893143834715</x:v>
      </x:c>
      <x:c r="G2173" s="38" t="n">
        <x:v>0</x:v>
      </x:c>
      <x:c r="H2173" s="57" t="n">
        <x:v>7811.450000000001</x:v>
      </x:c>
      <x:c r="I2173" s="57" t="n">
        <x:v>2.574</x:v>
      </x:c>
      <x:c r="J2173" s="57" t="n">
        <x:v>17.95359236983878</x:v>
      </x:c>
      <x:c r="K2173" s="57" t="n">
        <x:v>56.930388554758174</x:v>
      </x:c>
      <x:c r="L2173" s="57" t="n">
        <x:v>83.47198364965453</x:v>
      </x:c>
    </x:row>
    <x:row r="2174" ht="21.600000381469727" hidden="0" customHeight="1">
      <x:c r="A2174" s="27" t="str">
        <x:v>King County, Washington</x:v>
      </x:c>
      <x:c r="B2174" s="27" t="str">
        <x:v>53033029603</x:v>
      </x:c>
      <x:c r="C2174" s="50" t="n">
        <x:v>4124</x:v>
      </x:c>
      <x:c r="D2174" s="50" t="n">
        <x:v>345</x:v>
      </x:c>
      <x:c r="E2174" s="50" t="n">
        <x:v>215</x:v>
      </x:c>
      <x:c r="F2174" s="37" t="n">
        <x:v>0.08365664403491756</x:v>
      </x:c>
      <x:c r="G2174" s="37" t="n">
        <x:v>0.05213385063045587</x:v>
      </x:c>
      <x:c r="H2174" s="56" t="n">
        <x:v>4266.25</x:v>
      </x:c>
      <x:c r="I2174" s="56" t="n">
        <x:v>0.596</x:v>
      </x:c>
      <x:c r="J2174" s="56" t="n">
        <x:v>19.626117616544384</x:v>
      </x:c>
      <x:c r="K2174" s="56" t="n">
        <x:v>59.43917642481658</x:v>
      </x:c>
      <x:c r="L2174" s="56" t="n">
        <x:v>87.05596632116654</x:v>
      </x:c>
    </x:row>
    <x:row r="2175" ht="21.600000381469727" hidden="0" customHeight="1">
      <x:c r="A2175" s="29" t="str">
        <x:v>King County, Washington</x:v>
      </x:c>
      <x:c r="B2175" s="29" t="str">
        <x:v>53033029604</x:v>
      </x:c>
      <x:c r="C2175" s="51" t="n">
        <x:v>3653</x:v>
      </x:c>
      <x:c r="D2175" s="51" t="n">
        <x:v>564</x:v>
      </x:c>
      <x:c r="E2175" s="51" t="n">
        <x:v>120</x:v>
      </x:c>
      <x:c r="F2175" s="38" t="n">
        <x:v>0.15439364905557076</x:v>
      </x:c>
      <x:c r="G2175" s="38" t="n">
        <x:v>0.03284971256501506</x:v>
      </x:c>
      <x:c r="H2175" s="57" t="n">
        <x:v>3862.4</x:v>
      </x:c>
      <x:c r="I2175" s="57" t="n">
        <x:v>0.93</x:v>
      </x:c>
      <x:c r="J2175" s="57" t="n">
        <x:v>19.50532832155535</x:v>
      </x:c>
      <x:c r="K2175" s="57" t="n">
        <x:v>59.25799248233302</x:v>
      </x:c>
      <x:c r="L2175" s="57" t="n">
        <x:v>86.79713211761862</x:v>
      </x:c>
    </x:row>
    <x:row r="2176" ht="21.600000381469727" hidden="0" customHeight="1">
      <x:c r="A2176" s="27" t="str">
        <x:v>King County, Washington</x:v>
      </x:c>
      <x:c r="B2176" s="27" t="str">
        <x:v>53033029701</x:v>
      </x:c>
      <x:c r="C2176" s="50" t="n">
        <x:v>4913</x:v>
      </x:c>
      <x:c r="D2176" s="50" t="n">
        <x:v>606</x:v>
      </x:c>
      <x:c r="E2176" s="50" t="n">
        <x:v>317</x:v>
      </x:c>
      <x:c r="F2176" s="37" t="n">
        <x:v>0.12334622430286994</x:v>
      </x:c>
      <x:c r="G2176" s="37" t="n">
        <x:v>0.06452269489110524</x:v>
      </x:c>
      <x:c r="H2176" s="56" t="n">
        <x:v>5156.8</x:v>
      </x:c>
      <x:c r="I2176" s="56" t="n">
        <x:v>1.321</x:v>
      </x:c>
      <x:c r="J2176" s="56" t="n">
        <x:v>17.803602867968234</x:v>
      </x:c>
      <x:c r="K2176" s="56" t="n">
        <x:v>56.705404301952356</x:v>
      </x:c>
      <x:c r="L2176" s="56" t="n">
        <x:v>83.15057757421765</x:v>
      </x:c>
    </x:row>
    <x:row r="2177" ht="21.600000381469727" hidden="0" customHeight="1">
      <x:c r="A2177" s="29" t="str">
        <x:v>King County, Washington</x:v>
      </x:c>
      <x:c r="B2177" s="29" t="str">
        <x:v>53033029702</x:v>
      </x:c>
      <x:c r="C2177" s="51" t="n">
        <x:v>3319</x:v>
      </x:c>
      <x:c r="D2177" s="51" t="n">
        <x:v>360</x:v>
      </x:c>
      <x:c r="E2177" s="51" t="n">
        <x:v>213.5</x:v>
      </x:c>
      <x:c r="F2177" s="38" t="n">
        <x:v>0.1084664055438385</x:v>
      </x:c>
      <x:c r="G2177" s="38" t="n">
        <x:v>0.06432660439891534</x:v>
      </x:c>
      <x:c r="H2177" s="57" t="n">
        <x:v>3466.35</x:v>
      </x:c>
      <x:c r="I2177" s="57" t="n">
        <x:v>2.995</x:v>
      </x:c>
      <x:c r="J2177" s="57" t="n">
        <x:v>16.551303464928953</x:v>
      </x:c>
      <x:c r="K2177" s="57" t="n">
        <x:v>54.82695519739343</x:v>
      </x:c>
      <x:c r="L2177" s="57" t="n">
        <x:v>80.46707885341918</x:v>
      </x:c>
    </x:row>
    <x:row r="2178" ht="21.600000381469727" hidden="0" customHeight="1">
      <x:c r="A2178" s="27" t="str">
        <x:v>King County, Washington</x:v>
      </x:c>
      <x:c r="B2178" s="27" t="str">
        <x:v>53033029803</x:v>
      </x:c>
      <x:c r="C2178" s="50" t="n">
        <x:v>4550</x:v>
      </x:c>
      <x:c r="D2178" s="50" t="n">
        <x:v>568</x:v>
      </x:c>
      <x:c r="E2178" s="50" t="n">
        <x:v>427.5</x:v>
      </x:c>
      <x:c r="F2178" s="37" t="n">
        <x:v>0.12483516483516484</x:v>
      </x:c>
      <x:c r="G2178" s="37" t="n">
        <x:v>0.09395604395604396</x:v>
      </x:c>
      <x:c r="H2178" s="56" t="n">
        <x:v>4791.55</x:v>
      </x:c>
      <x:c r="I2178" s="56" t="n">
        <x:v>2.085</x:v>
      </x:c>
      <x:c r="J2178" s="56" t="n">
        <x:v>14.208486418240778</x:v>
      </x:c>
      <x:c r="K2178" s="56" t="n">
        <x:v>51.312729627361165</x:v>
      </x:c>
      <x:c r="L2178" s="56" t="n">
        <x:v>75.44675661051596</x:v>
      </x:c>
    </x:row>
    <x:row r="2179" ht="21.600000381469727" hidden="0" customHeight="1">
      <x:c r="A2179" s="29" t="str">
        <x:v>King County, Washington</x:v>
      </x:c>
      <x:c r="B2179" s="29" t="str">
        <x:v>53033029804</x:v>
      </x:c>
      <x:c r="C2179" s="51" t="n">
        <x:v>4556</x:v>
      </x:c>
      <x:c r="D2179" s="51" t="n">
        <x:v>464</x:v>
      </x:c>
      <x:c r="E2179" s="51" t="n">
        <x:v>0</x:v>
      </x:c>
      <x:c r="F2179" s="38" t="n">
        <x:v>0.10184372256365233</x:v>
      </x:c>
      <x:c r="G2179" s="38" t="n">
        <x:v>0</x:v>
      </x:c>
      <x:c r="H2179" s="57" t="n">
        <x:v>4718.4</x:v>
      </x:c>
      <x:c r="I2179" s="57" t="n">
        <x:v>0.968</x:v>
      </x:c>
      <x:c r="J2179" s="57" t="n">
        <x:v>12.701091705489283</x:v>
      </x:c>
      <x:c r="K2179" s="57" t="n">
        <x:v>49.05163755823392</x:v>
      </x:c>
      <x:c r="L2179" s="57" t="n">
        <x:v>72.21662508319132</x:v>
      </x:c>
    </x:row>
    <x:row r="2180" ht="21.600000381469727" hidden="0" customHeight="1">
      <x:c r="A2180" s="27" t="str">
        <x:v>King County, Washington</x:v>
      </x:c>
      <x:c r="B2180" s="27" t="str">
        <x:v>53033029805</x:v>
      </x:c>
      <x:c r="C2180" s="50" t="n">
        <x:v>5275</x:v>
      </x:c>
      <x:c r="D2180" s="50" t="n">
        <x:v>976</x:v>
      </x:c>
      <x:c r="E2180" s="50" t="n">
        <x:v>179.5</x:v>
      </x:c>
      <x:c r="F2180" s="37" t="n">
        <x:v>0.18502369668246446</x:v>
      </x:c>
      <x:c r="G2180" s="37" t="n">
        <x:v>0.034028436018957345</x:v>
      </x:c>
      <x:c r="H2180" s="56" t="n">
        <x:v>5634.55</x:v>
      </x:c>
      <x:c r="I2180" s="56" t="n">
        <x:v>1.223</x:v>
      </x:c>
      <x:c r="J2180" s="56" t="n">
        <x:v>10.90275141233312</x:v>
      </x:c>
      <x:c r="K2180" s="56" t="n">
        <x:v>46.35412711849968</x:v>
      </x:c>
      <x:c r="L2180" s="56" t="n">
        <x:v>68.36303874071383</x:v>
      </x:c>
    </x:row>
    <x:row r="2181" ht="21.600000381469727" hidden="0" customHeight="1">
      <x:c r="A2181" s="29" t="str">
        <x:v>King County, Washington</x:v>
      </x:c>
      <x:c r="B2181" s="29" t="str">
        <x:v>53033029806</x:v>
      </x:c>
      <x:c r="C2181" s="51" t="n">
        <x:v>5647</x:v>
      </x:c>
      <x:c r="D2181" s="51" t="n">
        <x:v>763</x:v>
      </x:c>
      <x:c r="E2181" s="51" t="n">
        <x:v>179</x:v>
      </x:c>
      <x:c r="F2181" s="38" t="n">
        <x:v>0.13511599079157074</x:v>
      </x:c>
      <x:c r="G2181" s="38" t="n">
        <x:v>0.03169824685673809</x:v>
      </x:c>
      <x:c r="H2181" s="57" t="n">
        <x:v>5931.95</x:v>
      </x:c>
      <x:c r="I2181" s="57" t="n">
        <x:v>1.425</x:v>
      </x:c>
      <x:c r="J2181" s="57" t="n">
        <x:v>11.622283402537493</x:v>
      </x:c>
      <x:c r="K2181" s="57" t="n">
        <x:v>47.433425103806236</x:v>
      </x:c>
      <x:c r="L2181" s="57" t="n">
        <x:v>69.90489300543749</x:v>
      </x:c>
    </x:row>
    <x:row r="2182" ht="21.600000381469727" hidden="0" customHeight="1">
      <x:c r="A2182" s="27" t="str">
        <x:v>King County, Washington</x:v>
      </x:c>
      <x:c r="B2182" s="27" t="str">
        <x:v>53033029901</x:v>
      </x:c>
      <x:c r="C2182" s="50" t="n">
        <x:v>5520</x:v>
      </x:c>
      <x:c r="D2182" s="50" t="n">
        <x:v>940</x:v>
      </x:c>
      <x:c r="E2182" s="50" t="n">
        <x:v>245</x:v>
      </x:c>
      <x:c r="F2182" s="37" t="n">
        <x:v>0.17028985507246377</x:v>
      </x:c>
      <x:c r="G2182" s="37" t="n">
        <x:v>0.044384057971014496</x:v>
      </x:c>
      <x:c r="H2182" s="56" t="n">
        <x:v>5873.499999999999</x:v>
      </x:c>
      <x:c r="I2182" s="56" t="n">
        <x:v>1.529</x:v>
      </x:c>
      <x:c r="J2182" s="56" t="n">
        <x:v>8.5349015858406</x:v>
      </x:c>
      <x:c r="K2182" s="56" t="n">
        <x:v>42.8023523787609</x:v>
      </x:c>
      <x:c r="L2182" s="56" t="n">
        <x:v>63.28907482680128</x:v>
      </x:c>
    </x:row>
    <x:row r="2183" ht="21.600000381469727" hidden="0" customHeight="1">
      <x:c r="A2183" s="29" t="str">
        <x:v>King County, Washington</x:v>
      </x:c>
      <x:c r="B2183" s="29" t="str">
        <x:v>53033029902</x:v>
      </x:c>
      <x:c r="C2183" s="51" t="n">
        <x:v>5469</x:v>
      </x:c>
      <x:c r="D2183" s="51" t="n">
        <x:v>634</x:v>
      </x:c>
      <x:c r="E2183" s="51" t="n">
        <x:v>25</x:v>
      </x:c>
      <x:c r="F2183" s="38" t="n">
        <x:v>0.11592612909124154</x:v>
      </x:c>
      <x:c r="G2183" s="38" t="n">
        <x:v>0.00457121960138965</x:v>
      </x:c>
      <x:c r="H2183" s="57" t="n">
        <x:v>5693.400000000001</x:v>
      </x:c>
      <x:c r="I2183" s="57" t="n">
        <x:v>2.411</x:v>
      </x:c>
      <x:c r="J2183" s="57" t="n">
        <x:v>10.048090112050994</x:v>
      </x:c>
      <x:c r="K2183" s="57" t="n">
        <x:v>45.07213516807649</x:v>
      </x:c>
      <x:c r="L2183" s="57" t="n">
        <x:v>66.5316216686807</x:v>
      </x:c>
    </x:row>
    <x:row r="2184" ht="21.600000381469727" hidden="0" customHeight="1">
      <x:c r="A2184" s="27" t="str">
        <x:v>King County, Washington</x:v>
      </x:c>
      <x:c r="B2184" s="27" t="str">
        <x:v>53033030003</x:v>
      </x:c>
      <x:c r="C2184" s="50" t="n">
        <x:v>7445</x:v>
      </x:c>
      <x:c r="D2184" s="50" t="n">
        <x:v>730</x:v>
      </x:c>
      <x:c r="E2184" s="50" t="n">
        <x:v>133</x:v>
      </x:c>
      <x:c r="F2184" s="37" t="n">
        <x:v>0.09805238415043653</x:v>
      </x:c>
      <x:c r="G2184" s="37" t="n">
        <x:v>0.01786433848220282</x:v>
      </x:c>
      <x:c r="H2184" s="56" t="n">
        <x:v>7713.8</x:v>
      </x:c>
      <x:c r="I2184" s="56" t="n">
        <x:v>1.778</x:v>
      </x:c>
      <x:c r="J2184" s="56" t="n">
        <x:v>10.895100933771532</x:v>
      </x:c>
      <x:c r="K2184" s="56" t="n">
        <x:v>46.342651400657296</x:v>
      </x:c>
      <x:c r="L2184" s="56" t="n">
        <x:v>68.34664485808185</x:v>
      </x:c>
    </x:row>
    <x:row r="2185" ht="21.600000381469727" hidden="0" customHeight="1">
      <x:c r="A2185" s="29" t="str">
        <x:v>King County, Washington</x:v>
      </x:c>
      <x:c r="B2185" s="29" t="str">
        <x:v>53033030005</x:v>
      </x:c>
      <x:c r="C2185" s="51" t="n">
        <x:v>6369</x:v>
      </x:c>
      <x:c r="D2185" s="51" t="n">
        <x:v>551</x:v>
      </x:c>
      <x:c r="E2185" s="51" t="n">
        <x:v>24</x:v>
      </x:c>
      <x:c r="F2185" s="38" t="n">
        <x:v>0.08651279635735594</x:v>
      </x:c>
      <x:c r="G2185" s="38" t="n">
        <x:v>0.0037682524729156855</x:v>
      </x:c>
      <x:c r="H2185" s="57" t="n">
        <x:v>6564.25</x:v>
      </x:c>
      <x:c r="I2185" s="57" t="n">
        <x:v>0.835</x:v>
      </x:c>
      <x:c r="J2185" s="57" t="n">
        <x:v>8.44632727862211</x:v>
      </x:c>
      <x:c r="K2185" s="57" t="n">
        <x:v>42.66949091793317</x:v>
      </x:c>
      <x:c r="L2185" s="57" t="n">
        <x:v>63.09927273990452</x:v>
      </x:c>
    </x:row>
    <x:row r="2186" ht="21.600000381469727" hidden="0" customHeight="1">
      <x:c r="A2186" s="27" t="str">
        <x:v>King County, Washington</x:v>
      </x:c>
      <x:c r="B2186" s="27" t="str">
        <x:v>53033030006</x:v>
      </x:c>
      <x:c r="C2186" s="50" t="n">
        <x:v>4779</x:v>
      </x:c>
      <x:c r="D2186" s="50" t="n">
        <x:v>764</x:v>
      </x:c>
      <x:c r="E2186" s="50" t="n">
        <x:v>744.5</x:v>
      </x:c>
      <x:c r="F2186" s="37" t="n">
        <x:v>0.15986608077003558</x:v>
      </x:c>
      <x:c r="G2186" s="37" t="n">
        <x:v>0.1557857292320569</x:v>
      </x:c>
      <x:c r="H2186" s="56" t="n">
        <x:v>5120.849999999999</x:v>
      </x:c>
      <x:c r="I2186" s="56" t="n">
        <x:v>0.77</x:v>
      </x:c>
      <x:c r="J2186" s="56" t="n">
        <x:v>6.881508052860077</x:v>
      </x:c>
      <x:c r="K2186" s="56" t="n">
        <x:v>40.32226207929011</x:v>
      </x:c>
      <x:c r="L2186" s="56" t="n">
        <x:v>59.74608868470017</x:v>
      </x:c>
    </x:row>
    <x:row r="2187" ht="21.600000381469727" hidden="0" customHeight="1">
      <x:c r="A2187" s="29" t="str">
        <x:v>King County, Washington</x:v>
      </x:c>
      <x:c r="B2187" s="29" t="str">
        <x:v>53033030007</x:v>
      </x:c>
      <x:c r="C2187" s="51" t="n">
        <x:v>3680</x:v>
      </x:c>
      <x:c r="D2187" s="51" t="n">
        <x:v>344</x:v>
      </x:c>
      <x:c r="E2187" s="51" t="n">
        <x:v>166</x:v>
      </x:c>
      <x:c r="F2187" s="38" t="n">
        <x:v>0.09347826086956522</x:v>
      </x:c>
      <x:c r="G2187" s="38" t="n">
        <x:v>0.045108695652173916</x:v>
      </x:c>
      <x:c r="H2187" s="57" t="n">
        <x:v>3817.0000000000005</x:v>
      </x:c>
      <x:c r="I2187" s="57" t="n">
        <x:v>0.248</x:v>
      </x:c>
      <x:c r="J2187" s="57" t="n">
        <x:v>10.382316598295011</x:v>
      </x:c>
      <x:c r="K2187" s="57" t="n">
        <x:v>45.573474897442516</x:v>
      </x:c>
      <x:c r="L2187" s="57" t="n">
        <x:v>67.24782128206074</x:v>
      </x:c>
    </x:row>
    <x:row r="2188" ht="21.600000381469727" hidden="0" customHeight="1">
      <x:c r="A2188" s="27" t="str">
        <x:v>King County, Washington</x:v>
      </x:c>
      <x:c r="B2188" s="27" t="str">
        <x:v>53033030008</x:v>
      </x:c>
      <x:c r="C2188" s="50" t="n">
        <x:v>4388</x:v>
      </x:c>
      <x:c r="D2188" s="50" t="n">
        <x:v>656</x:v>
      </x:c>
      <x:c r="E2188" s="50" t="n">
        <x:v>121</x:v>
      </x:c>
      <x:c r="F2188" s="37" t="n">
        <x:v>0.14949863263445762</x:v>
      </x:c>
      <x:c r="G2188" s="37" t="n">
        <x:v>0.027575205104831357</x:v>
      </x:c>
      <x:c r="H2188" s="56" t="n">
        <x:v>4629.7</x:v>
      </x:c>
      <x:c r="I2188" s="56" t="n">
        <x:v>0.543</x:v>
      </x:c>
      <x:c r="J2188" s="56" t="n">
        <x:v>10.067299747325876</x:v>
      </x:c>
      <x:c r="K2188" s="56" t="n">
        <x:v>45.100949620988814</x:v>
      </x:c>
      <x:c r="L2188" s="56" t="n">
        <x:v>66.57278517284117</x:v>
      </x:c>
    </x:row>
    <x:row r="2189" ht="21.600000381469727" hidden="0" customHeight="1">
      <x:c r="A2189" s="29" t="str">
        <x:v>King County, Washington</x:v>
      </x:c>
      <x:c r="B2189" s="29" t="str">
        <x:v>53033030101</x:v>
      </x:c>
      <x:c r="C2189" s="51" t="n">
        <x:v>3874</x:v>
      </x:c>
      <x:c r="D2189" s="51" t="n">
        <x:v>597</x:v>
      </x:c>
      <x:c r="E2189" s="51" t="n">
        <x:v>44</x:v>
      </x:c>
      <x:c r="F2189" s="38" t="n">
        <x:v>0.1541042849767682</x:v>
      </x:c>
      <x:c r="G2189" s="38" t="n">
        <x:v>0.011357769747031492</x:v>
      </x:c>
      <x:c r="H2189" s="57" t="n">
        <x:v>4087.3500000000004</x:v>
      </x:c>
      <x:c r="I2189" s="57" t="n">
        <x:v>1.281</x:v>
      </x:c>
      <x:c r="J2189" s="57" t="n">
        <x:v>6.52546170766632</x:v>
      </x:c>
      <x:c r="K2189" s="57" t="n">
        <x:v>39.78819256149948</x:v>
      </x:c>
      <x:c r="L2189" s="57" t="n">
        <x:v>58.983132230713544</x:v>
      </x:c>
    </x:row>
    <x:row r="2190" ht="21.600000381469727" hidden="0" customHeight="1">
      <x:c r="A2190" s="27" t="str">
        <x:v>King County, Washington</x:v>
      </x:c>
      <x:c r="B2190" s="27" t="str">
        <x:v>53033030102</x:v>
      </x:c>
      <x:c r="C2190" s="50" t="n">
        <x:v>3336</x:v>
      </x:c>
      <x:c r="D2190" s="50" t="n">
        <x:v>413</x:v>
      </x:c>
      <x:c r="E2190" s="50" t="n">
        <x:v>0</x:v>
      </x:c>
      <x:c r="F2190" s="37" t="n">
        <x:v>0.1238009592326139</x:v>
      </x:c>
      <x:c r="G2190" s="37" t="n">
        <x:v>0</x:v>
      </x:c>
      <x:c r="H2190" s="56" t="n">
        <x:v>3480.5499999999997</x:v>
      </x:c>
      <x:c r="I2190" s="56" t="n">
        <x:v>0.999</x:v>
      </x:c>
      <x:c r="J2190" s="56" t="n">
        <x:v>7.526477707875411</x:v>
      </x:c>
      <x:c r="K2190" s="56" t="n">
        <x:v>41.289716561813115</x:v>
      </x:c>
      <x:c r="L2190" s="56" t="n">
        <x:v>61.12816651687588</x:v>
      </x:c>
    </x:row>
    <x:row r="2191" ht="21.600000381469727" hidden="0" customHeight="1">
      <x:c r="A2191" s="29" t="str">
        <x:v>King County, Washington</x:v>
      </x:c>
      <x:c r="B2191" s="29" t="str">
        <x:v>53033030201</x:v>
      </x:c>
      <x:c r="C2191" s="51" t="n">
        <x:v>5838</x:v>
      </x:c>
      <x:c r="D2191" s="51" t="n">
        <x:v>743</x:v>
      </x:c>
      <x:c r="E2191" s="51" t="n">
        <x:v>352</x:v>
      </x:c>
      <x:c r="F2191" s="38" t="n">
        <x:v>0.12726961288112368</x:v>
      </x:c>
      <x:c r="G2191" s="38" t="n">
        <x:v>0.06029462144570058</x:v>
      </x:c>
      <x:c r="H2191" s="57" t="n">
        <x:v>6133.25</x:v>
      </x:c>
      <x:c r="I2191" s="57" t="n">
        <x:v>1.084</x:v>
      </x:c>
      <x:c r="J2191" s="57" t="n">
        <x:v>4.592865787278454</x:v>
      </x:c>
      <x:c r="K2191" s="57" t="n">
        <x:v>36.88929868091768</x:v>
      </x:c>
      <x:c r="L2191" s="57" t="n">
        <x:v>54.84185525845383</x:v>
      </x:c>
    </x:row>
    <x:row r="2192" ht="21.600000381469727" hidden="0" customHeight="1">
      <x:c r="A2192" s="27" t="str">
        <x:v>King County, Washington</x:v>
      </x:c>
      <x:c r="B2192" s="27" t="str">
        <x:v>53033030203</x:v>
      </x:c>
      <x:c r="C2192" s="50" t="n">
        <x:v>4577</x:v>
      </x:c>
      <x:c r="D2192" s="50" t="n">
        <x:v>760</x:v>
      </x:c>
      <x:c r="E2192" s="50" t="n">
        <x:v>449</x:v>
      </x:c>
      <x:c r="F2192" s="37" t="n">
        <x:v>0.16604762945160587</x:v>
      </x:c>
      <x:c r="G2192" s="37" t="n">
        <x:v>0.09809919161022504</x:v>
      </x:c>
      <x:c r="H2192" s="56" t="n">
        <x:v>4887.900000000001</x:v>
      </x:c>
      <x:c r="I2192" s="56" t="n">
        <x:v>0.575</x:v>
      </x:c>
      <x:c r="J2192" s="56" t="n">
        <x:v>5.070655113090728</x:v>
      </x:c>
      <x:c r="K2192" s="56" t="n">
        <x:v>37.60598266963609</x:v>
      </x:c>
      <x:c r="L2192" s="56" t="n">
        <x:v>55.86568952805156</x:v>
      </x:c>
    </x:row>
    <x:row r="2193" ht="21.600000381469727" hidden="0" customHeight="1">
      <x:c r="A2193" s="29" t="str">
        <x:v>King County, Washington</x:v>
      </x:c>
      <x:c r="B2193" s="29" t="str">
        <x:v>53033030204</x:v>
      </x:c>
      <x:c r="C2193" s="51" t="n">
        <x:v>3983</x:v>
      </x:c>
      <x:c r="D2193" s="51" t="n">
        <x:v>792</x:v>
      </x:c>
      <x:c r="E2193" s="51" t="n">
        <x:v>279</x:v>
      </x:c>
      <x:c r="F2193" s="38" t="n">
        <x:v>0.19884509163946773</x:v>
      </x:c>
      <x:c r="G2193" s="38" t="n">
        <x:v>0.07004770273663068</x:v>
      </x:c>
      <x:c r="H2193" s="57" t="n">
        <x:v>4288.1</x:v>
      </x:c>
      <x:c r="I2193" s="57" t="n">
        <x:v>0.691</x:v>
      </x:c>
      <x:c r="J2193" s="57" t="n">
        <x:v>6.426502656591293</x:v>
      </x:c>
      <x:c r="K2193" s="57" t="n">
        <x:v>39.63975398488694</x:v>
      </x:c>
      <x:c r="L2193" s="57" t="n">
        <x:v>58.771077121267055</x:v>
      </x:c>
    </x:row>
    <x:row r="2194" ht="21.600000381469727" hidden="0" customHeight="1">
      <x:c r="A2194" s="27" t="str">
        <x:v>King County, Washington</x:v>
      </x:c>
      <x:c r="B2194" s="27" t="str">
        <x:v>53033030304</x:v>
      </x:c>
      <x:c r="C2194" s="50" t="n">
        <x:v>4390</x:v>
      </x:c>
      <x:c r="D2194" s="50" t="n">
        <x:v>419</x:v>
      </x:c>
      <x:c r="E2194" s="50" t="n">
        <x:v>81</x:v>
      </x:c>
      <x:c r="F2194" s="37" t="n">
        <x:v>0.09544419134396355</x:v>
      </x:c>
      <x:c r="G2194" s="37" t="n">
        <x:v>0.01845102505694761</x:v>
      </x:c>
      <x:c r="H2194" s="56" t="n">
        <x:v>4544.749999999999</x:v>
      </x:c>
      <x:c r="I2194" s="56" t="n">
        <x:v>2.909</x:v>
      </x:c>
      <x:c r="J2194" s="56" t="n">
        <x:v>2.8261943521006794</x:v>
      </x:c>
      <x:c r="K2194" s="56" t="n">
        <x:v>34.23929152815102</x:v>
      </x:c>
      <x:c r="L2194" s="56" t="n">
        <x:v>51.05613075450145</x:v>
      </x:c>
    </x:row>
    <x:row r="2195" ht="21.600000381469727" hidden="0" customHeight="1">
      <x:c r="A2195" s="29" t="str">
        <x:v>King County, Washington</x:v>
      </x:c>
      <x:c r="B2195" s="29" t="str">
        <x:v>53033030305</x:v>
      </x:c>
      <x:c r="C2195" s="51" t="n">
        <x:v>5314</x:v>
      </x:c>
      <x:c r="D2195" s="51" t="n">
        <x:v>660</x:v>
      </x:c>
      <x:c r="E2195" s="51" t="n">
        <x:v>28</x:v>
      </x:c>
      <x:c r="F2195" s="38" t="n">
        <x:v>0.1242002258185924</x:v>
      </x:c>
      <x:c r="G2195" s="38" t="n">
        <x:v>0.005269100489273617</x:v>
      </x:c>
      <x:c r="H2195" s="57" t="n">
        <x:v>5547.799999999999</x:v>
      </x:c>
      <x:c r="I2195" s="57" t="n">
        <x:v>1.475</x:v>
      </x:c>
      <x:c r="J2195" s="57" t="n">
        <x:v>5.8974745530151</x:v>
      </x:c>
      <x:c r="K2195" s="57" t="n">
        <x:v>38.84621182952265</x:v>
      </x:c>
      <x:c r="L2195" s="57" t="n">
        <x:v>57.63744547074664</x:v>
      </x:c>
    </x:row>
    <x:row r="2196" ht="21.600000381469727" hidden="0" customHeight="1">
      <x:c r="A2196" s="27" t="str">
        <x:v>King County, Washington</x:v>
      </x:c>
      <x:c r="B2196" s="27" t="str">
        <x:v>53033030306</x:v>
      </x:c>
      <x:c r="C2196" s="50" t="n">
        <x:v>5310</x:v>
      </x:c>
      <x:c r="D2196" s="50" t="n">
        <x:v>498</x:v>
      </x:c>
      <x:c r="E2196" s="50" t="n">
        <x:v>33</x:v>
      </x:c>
      <x:c r="F2196" s="37" t="n">
        <x:v>0.09378531073446328</x:v>
      </x:c>
      <x:c r="G2196" s="37" t="n">
        <x:v>0.0062146892655367235</x:v>
      </x:c>
      <x:c r="H2196" s="56" t="n">
        <x:v>5487.599999999999</x:v>
      </x:c>
      <x:c r="I2196" s="56" t="n">
        <x:v>1.421</x:v>
      </x:c>
      <x:c r="J2196" s="56" t="n">
        <x:v>6.147216822411984</x:v>
      </x:c>
      <x:c r="K2196" s="56" t="n">
        <x:v>39.22082523361797</x:v>
      </x:c>
      <x:c r="L2196" s="56" t="n">
        <x:v>58.17260747659711</x:v>
      </x:c>
    </x:row>
    <x:row r="2197" ht="21.600000381469727" hidden="0" customHeight="1">
      <x:c r="A2197" s="29" t="str">
        <x:v>King County, Washington</x:v>
      </x:c>
      <x:c r="B2197" s="29" t="str">
        <x:v>53033030308</x:v>
      </x:c>
      <x:c r="C2197" s="51" t="n">
        <x:v>5619</x:v>
      </x:c>
      <x:c r="D2197" s="51" t="n">
        <x:v>1235</x:v>
      </x:c>
      <x:c r="E2197" s="51" t="n">
        <x:v>144</x:v>
      </x:c>
      <x:c r="F2197" s="38" t="n">
        <x:v>0.2197899982203239</x:v>
      </x:c>
      <x:c r="G2197" s="38" t="n">
        <x:v>0.02562733582487987</x:v>
      </x:c>
      <x:c r="H2197" s="57" t="n">
        <x:v>6065.65</x:v>
      </x:c>
      <x:c r="I2197" s="57" t="n">
        <x:v>0.832</x:v>
      </x:c>
      <x:c r="J2197" s="57" t="n">
        <x:v>2.7449113880641387</x:v>
      </x:c>
      <x:c r="K2197" s="57" t="n">
        <x:v>34.11736708209621</x:v>
      </x:c>
      <x:c r="L2197" s="57" t="n">
        <x:v>50.88195297442316</x:v>
      </x:c>
    </x:row>
    <x:row r="2198" ht="21.600000381469727" hidden="0" customHeight="1">
      <x:c r="A2198" s="27" t="str">
        <x:v>King County, Washington</x:v>
      </x:c>
      <x:c r="B2198" s="27" t="str">
        <x:v>53033030309</x:v>
      </x:c>
      <x:c r="C2198" s="50" t="n">
        <x:v>5727</x:v>
      </x:c>
      <x:c r="D2198" s="50" t="n">
        <x:v>677</x:v>
      </x:c>
      <x:c r="E2198" s="50" t="n">
        <x:v>190.5</x:v>
      </x:c>
      <x:c r="F2198" s="37" t="n">
        <x:v>0.1182119783481753</x:v>
      </x:c>
      <x:c r="G2198" s="37" t="n">
        <x:v>0.03326348873755893</x:v>
      </x:c>
      <x:c r="H2198" s="56" t="n">
        <x:v>5983</x:v>
      </x:c>
      <x:c r="I2198" s="56" t="n">
        <x:v>0.847</x:v>
      </x:c>
      <x:c r="J2198" s="56" t="n">
        <x:v>2.3678757219249067</x:v>
      </x:c>
      <x:c r="K2198" s="56" t="n">
        <x:v>33.55181358288736</x:v>
      </x:c>
      <x:c r="L2198" s="56" t="n">
        <x:v>50.0740194041248</x:v>
      </x:c>
    </x:row>
    <x:row r="2199" ht="21.600000381469727" hidden="0" customHeight="1">
      <x:c r="A2199" s="29" t="str">
        <x:v>King County, Washington</x:v>
      </x:c>
      <x:c r="B2199" s="29" t="str">
        <x:v>53033030310</x:v>
      </x:c>
      <x:c r="C2199" s="51" t="n">
        <x:v>6723</x:v>
      </x:c>
      <x:c r="D2199" s="51" t="n">
        <x:v>909</x:v>
      </x:c>
      <x:c r="E2199" s="51" t="n">
        <x:v>330</x:v>
      </x:c>
      <x:c r="F2199" s="38" t="n">
        <x:v>0.13520749665327977</x:v>
      </x:c>
      <x:c r="G2199" s="38" t="n">
        <x:v>0.049085229808121376</x:v>
      </x:c>
      <x:c r="H2199" s="57" t="n">
        <x:v>7074.15</x:v>
      </x:c>
      <x:c r="I2199" s="57" t="n">
        <x:v>1.238</x:v>
      </x:c>
      <x:c r="J2199" s="57" t="n">
        <x:v>0</x:v>
      </x:c>
      <x:c r="K2199" s="57" t="n">
        <x:v>30</x:v>
      </x:c>
      <x:c r="L2199" s="57" t="n">
        <x:v>45</x:v>
      </x:c>
    </x:row>
    <x:row r="2200" ht="21.600000381469727" hidden="0" customHeight="1">
      <x:c r="A2200" s="27" t="str">
        <x:v>King County, Washington</x:v>
      </x:c>
      <x:c r="B2200" s="27" t="str">
        <x:v>53033030311</x:v>
      </x:c>
      <x:c r="C2200" s="50" t="n">
        <x:v>5529</x:v>
      </x:c>
      <x:c r="D2200" s="50" t="n">
        <x:v>632</x:v>
      </x:c>
      <x:c r="E2200" s="50" t="n">
        <x:v>213.5</x:v>
      </x:c>
      <x:c r="F2200" s="37" t="n">
        <x:v>0.11430638451799602</x:v>
      </x:c>
      <x:c r="G2200" s="37" t="n">
        <x:v>0.038614577681316695</x:v>
      </x:c>
      <x:c r="H2200" s="56" t="n">
        <x:v>5771.55</x:v>
      </x:c>
      <x:c r="I2200" s="56" t="n">
        <x:v>0.734</x:v>
      </x:c>
      <x:c r="J2200" s="56" t="n">
        <x:v>3.2944168648679955</x:v>
      </x:c>
      <x:c r="K2200" s="56" t="n">
        <x:v>34.941625297302</x:v>
      </x:c>
      <x:c r="L2200" s="56" t="n">
        <x:v>52.05946471043142</x:v>
      </x:c>
    </x:row>
    <x:row r="2201" ht="21.600000381469727" hidden="0" customHeight="1">
      <x:c r="A2201" s="29" t="str">
        <x:v>King County, Washington</x:v>
      </x:c>
      <x:c r="B2201" s="29" t="str">
        <x:v>53033030312</x:v>
      </x:c>
      <x:c r="C2201" s="51" t="n">
        <x:v>5164</x:v>
      </x:c>
      <x:c r="D2201" s="51" t="n">
        <x:v>512</x:v>
      </x:c>
      <x:c r="E2201" s="51" t="n">
        <x:v>273.5</x:v>
      </x:c>
      <x:c r="F2201" s="38" t="n">
        <x:v>0.09914794732765299</x:v>
      </x:c>
      <x:c r="G2201" s="38" t="n">
        <x:v>0.05296281951975213</x:v>
      </x:c>
      <x:c r="H2201" s="57" t="n">
        <x:v>5370.550000000001</x:v>
      </x:c>
      <x:c r="I2201" s="57" t="n">
        <x:v>0.711</x:v>
      </x:c>
      <x:c r="J2201" s="57" t="n">
        <x:v>1.9491969337963617</x:v>
      </x:c>
      <x:c r="K2201" s="57" t="n">
        <x:v>32.923795400694544</x:v>
      </x:c>
      <x:c r="L2201" s="57" t="n">
        <x:v>49.176850572420776</x:v>
      </x:c>
    </x:row>
    <x:row r="2202" ht="21.600000381469727" hidden="0" customHeight="1">
      <x:c r="A2202" s="27" t="str">
        <x:v>King County, Washington</x:v>
      </x:c>
      <x:c r="B2202" s="27" t="str">
        <x:v>53033030313</x:v>
      </x:c>
      <x:c r="C2202" s="50" t="n">
        <x:v>4962</x:v>
      </x:c>
      <x:c r="D2202" s="50" t="n">
        <x:v>834</x:v>
      </x:c>
      <x:c r="E2202" s="50" t="n">
        <x:v>196</x:v>
      </x:c>
      <x:c r="F2202" s="37" t="n">
        <x:v>0.16807738814993953</x:v>
      </x:c>
      <x:c r="G2202" s="37" t="n">
        <x:v>0.039500201531640466</x:v>
      </x:c>
      <x:c r="H2202" s="56" t="n">
        <x:v>5273.500000000001</x:v>
      </x:c>
      <x:c r="I2202" s="56" t="n">
        <x:v>1.568</x:v>
      </x:c>
      <x:c r="J2202" s="56" t="n">
        <x:v>3.9426920593719568</x:v>
      </x:c>
      <x:c r="K2202" s="56" t="n">
        <x:v>35.91403808905793</x:v>
      </x:c>
      <x:c r="L2202" s="56" t="n">
        <x:v>53.44862584151134</x:v>
      </x:c>
    </x:row>
    <x:row r="2203" ht="21.600000381469727" hidden="0" customHeight="1">
      <x:c r="A2203" s="29" t="str">
        <x:v>King County, Washington</x:v>
      </x:c>
      <x:c r="B2203" s="29" t="str">
        <x:v>53033030314</x:v>
      </x:c>
      <x:c r="C2203" s="51" t="n">
        <x:v>4454</x:v>
      </x:c>
      <x:c r="D2203" s="51" t="n">
        <x:v>687</x:v>
      </x:c>
      <x:c r="E2203" s="51" t="n">
        <x:v>283</x:v>
      </x:c>
      <x:c r="F2203" s="38" t="n">
        <x:v>0.154243376740009</x:v>
      </x:c>
      <x:c r="G2203" s="38" t="n">
        <x:v>0.06353839245621913</x:v>
      </x:c>
      <x:c r="H2203" s="57" t="n">
        <x:v>4722.75</x:v>
      </x:c>
      <x:c r="I2203" s="57" t="n">
        <x:v>0.962</x:v>
      </x:c>
      <x:c r="J2203" s="57" t="n">
        <x:v>3.7713907004638245</x:v>
      </x:c>
      <x:c r="K2203" s="57" t="n">
        <x:v>35.65708605069574</x:v>
      </x:c>
      <x:c r="L2203" s="57" t="n">
        <x:v>53.08155150099391</x:v>
      </x:c>
    </x:row>
    <x:row r="2204" ht="21.600000381469727" hidden="0" customHeight="1">
      <x:c r="A2204" s="27" t="str">
        <x:v>King County, Washington</x:v>
      </x:c>
      <x:c r="B2204" s="27" t="str">
        <x:v>53033030403</x:v>
      </x:c>
      <x:c r="C2204" s="50" t="n">
        <x:v>5020</x:v>
      </x:c>
      <x:c r="D2204" s="50" t="n">
        <x:v>610</x:v>
      </x:c>
      <x:c r="E2204" s="50" t="n">
        <x:v>82</x:v>
      </x:c>
      <x:c r="F2204" s="37" t="n">
        <x:v>0.12151394422310757</x:v>
      </x:c>
      <x:c r="G2204" s="37" t="n">
        <x:v>0.016334661354581673</x:v>
      </x:c>
      <x:c r="H2204" s="56" t="n">
        <x:v>5241.7</x:v>
      </x:c>
      <x:c r="I2204" s="56" t="n">
        <x:v>1.451</x:v>
      </x:c>
      <x:c r="J2204" s="56" t="n">
        <x:v>5.3066103300155225</x:v>
      </x:c>
      <x:c r="K2204" s="56" t="n">
        <x:v>37.95991549502328</x:v>
      </x:c>
      <x:c r="L2204" s="56" t="n">
        <x:v>56.37130785003326</x:v>
      </x:c>
    </x:row>
    <x:row r="2205" ht="21.600000381469727" hidden="0" customHeight="1">
      <x:c r="A2205" s="29" t="str">
        <x:v>King County, Washington</x:v>
      </x:c>
      <x:c r="B2205" s="29" t="str">
        <x:v>53033030404</x:v>
      </x:c>
      <x:c r="C2205" s="51" t="n">
        <x:v>4767</x:v>
      </x:c>
      <x:c r="D2205" s="51" t="n">
        <x:v>322</x:v>
      </x:c>
      <x:c r="E2205" s="51" t="n">
        <x:v>33</x:v>
      </x:c>
      <x:c r="F2205" s="38" t="n">
        <x:v>0.06754772393538913</x:v>
      </x:c>
      <x:c r="G2205" s="38" t="n">
        <x:v>0.006922592825676526</x:v>
      </x:c>
      <x:c r="H2205" s="57" t="n">
        <x:v>4882.999999999999</x:v>
      </x:c>
      <x:c r="I2205" s="57" t="n">
        <x:v>2.316</x:v>
      </x:c>
      <x:c r="J2205" s="57" t="n">
        <x:v>8.238382487620022</x:v>
      </x:c>
      <x:c r="K2205" s="57" t="n">
        <x:v>42.35757373143004</x:v>
      </x:c>
      <x:c r="L2205" s="57" t="n">
        <x:v>62.653676759185764</x:v>
      </x:c>
    </x:row>
    <x:row r="2206" ht="21.600000381469727" hidden="0" customHeight="1">
      <x:c r="A2206" s="27" t="str">
        <x:v>King County, Washington</x:v>
      </x:c>
      <x:c r="B2206" s="27" t="str">
        <x:v>53033030405</x:v>
      </x:c>
      <x:c r="C2206" s="50" t="n">
        <x:v>3884</x:v>
      </x:c>
      <x:c r="D2206" s="50" t="n">
        <x:v>368</x:v>
      </x:c>
      <x:c r="E2206" s="50" t="n">
        <x:v>12</x:v>
      </x:c>
      <x:c r="F2206" s="37" t="n">
        <x:v>0.09474768280123584</x:v>
      </x:c>
      <x:c r="G2206" s="37" t="n">
        <x:v>0.003089598352214212</x:v>
      </x:c>
      <x:c r="H2206" s="56" t="n">
        <x:v>4014</x:v>
      </x:c>
      <x:c r="I2206" s="56" t="n">
        <x:v>1.903</x:v>
      </x:c>
      <x:c r="J2206" s="56" t="n">
        <x:v>8.079181170117543</x:v>
      </x:c>
      <x:c r="K2206" s="56" t="n">
        <x:v>42.11877175517631</x:v>
      </x:c>
      <x:c r="L2206" s="56" t="n">
        <x:v>62.312531078823305</x:v>
      </x:c>
    </x:row>
    <x:row r="2207" ht="21.600000381469727" hidden="0" customHeight="1">
      <x:c r="A2207" s="29" t="str">
        <x:v>King County, Washington</x:v>
      </x:c>
      <x:c r="B2207" s="29" t="str">
        <x:v>53033030406</x:v>
      </x:c>
      <x:c r="C2207" s="51" t="n">
        <x:v>3095</x:v>
      </x:c>
      <x:c r="D2207" s="51" t="n">
        <x:v>223</x:v>
      </x:c>
      <x:c r="E2207" s="51" t="n">
        <x:v>92</x:v>
      </x:c>
      <x:c r="F2207" s="38" t="n">
        <x:v>0.07205169628432956</x:v>
      </x:c>
      <x:c r="G2207" s="38" t="n">
        <x:v>0.029725363489499192</x:v>
      </x:c>
      <x:c r="H2207" s="57" t="n">
        <x:v>3182.25</x:v>
      </x:c>
      <x:c r="I2207" s="57" t="n">
        <x:v>1.035</x:v>
      </x:c>
      <x:c r="J2207" s="57" t="n">
        <x:v>6.12661818068035</x:v>
      </x:c>
      <x:c r="K2207" s="57" t="n">
        <x:v>39.18992727102052</x:v>
      </x:c>
      <x:c r="L2207" s="57" t="n">
        <x:v>58.128467530029326</x:v>
      </x:c>
    </x:row>
    <x:row r="2208" ht="21.600000381469727" hidden="0" customHeight="1">
      <x:c r="A2208" s="27" t="str">
        <x:v>King County, Washington</x:v>
      </x:c>
      <x:c r="B2208" s="27" t="str">
        <x:v>53033030407</x:v>
      </x:c>
      <x:c r="C2208" s="50" t="n">
        <x:v>2599</x:v>
      </x:c>
      <x:c r="D2208" s="50" t="n">
        <x:v>417</x:v>
      </x:c>
      <x:c r="E2208" s="50" t="n">
        <x:v>42</x:v>
      </x:c>
      <x:c r="F2208" s="37" t="n">
        <x:v>0.16044632550981147</x:v>
      </x:c>
      <x:c r="G2208" s="37" t="n">
        <x:v>0.016160061562139283</x:v>
      </x:c>
      <x:c r="H2208" s="56" t="n">
        <x:v>2749.1499999999996</x:v>
      </x:c>
      <x:c r="I2208" s="56" t="n">
        <x:v>1.736</x:v>
      </x:c>
      <x:c r="J2208" s="56" t="n">
        <x:v>7.154514182018614</x:v>
      </x:c>
      <x:c r="K2208" s="56" t="n">
        <x:v>40.73177127302792</x:v>
      </x:c>
      <x:c r="L2208" s="56" t="n">
        <x:v>60.331101818611316</x:v>
      </x:c>
    </x:row>
    <x:row r="2209" ht="21.600000381469727" hidden="0" customHeight="1">
      <x:c r="A2209" s="29" t="str">
        <x:v>King County, Washington</x:v>
      </x:c>
      <x:c r="B2209" s="29" t="str">
        <x:v>53033030501</x:v>
      </x:c>
      <x:c r="C2209" s="51" t="n">
        <x:v>2835</x:v>
      </x:c>
      <x:c r="D2209" s="51" t="n">
        <x:v>790</x:v>
      </x:c>
      <x:c r="E2209" s="51" t="n">
        <x:v>654</x:v>
      </x:c>
      <x:c r="F2209" s="38" t="n">
        <x:v>0.2786596119929453</x:v>
      </x:c>
      <x:c r="G2209" s="38" t="n">
        <x:v>0.2306878306878307</x:v>
      </x:c>
      <x:c r="H2209" s="57" t="n">
        <x:v>3176.8999999999996</x:v>
      </x:c>
      <x:c r="I2209" s="57" t="n">
        <x:v>4.39</x:v>
      </x:c>
      <x:c r="J2209" s="57" t="n">
        <x:v>12.905823836960375</x:v>
      </x:c>
      <x:c r="K2209" s="57" t="n">
        <x:v>49.35873575544056</x:v>
      </x:c>
      <x:c r="L2209" s="57" t="n">
        <x:v>72.65533679348653</x:v>
      </x:c>
    </x:row>
    <x:row r="2210" ht="21.600000381469727" hidden="0" customHeight="1">
      <x:c r="A2210" s="27" t="str">
        <x:v>King County, Washington</x:v>
      </x:c>
      <x:c r="B2210" s="27" t="str">
        <x:v>53033030503</x:v>
      </x:c>
      <x:c r="C2210" s="50" t="n">
        <x:v>6596</x:v>
      </x:c>
      <x:c r="D2210" s="50" t="n">
        <x:v>1027</x:v>
      </x:c>
      <x:c r="E2210" s="50" t="n">
        <x:v>543.5</x:v>
      </x:c>
      <x:c r="F2210" s="37" t="n">
        <x:v>0.1557004244996968</x:v>
      </x:c>
      <x:c r="G2210" s="37" t="n">
        <x:v>0.08239842328684051</x:v>
      </x:c>
      <x:c r="H2210" s="56" t="n">
        <x:v>7009.8</x:v>
      </x:c>
      <x:c r="I2210" s="56" t="n">
        <x:v>1.205</x:v>
      </x:c>
      <x:c r="J2210" s="56" t="n">
        <x:v>15.981695435326259</x:v>
      </x:c>
      <x:c r="K2210" s="56" t="n">
        <x:v>53.97254315298939</x:v>
      </x:c>
      <x:c r="L2210" s="56" t="n">
        <x:v>79.24649021855626</x:v>
      </x:c>
    </x:row>
    <x:row r="2211" ht="21.600000381469727" hidden="0" customHeight="1">
      <x:c r="A2211" s="29" t="str">
        <x:v>King County, Washington</x:v>
      </x:c>
      <x:c r="B2211" s="29" t="str">
        <x:v>53033030504</x:v>
      </x:c>
      <x:c r="C2211" s="51" t="n">
        <x:v>5629</x:v>
      </x:c>
      <x:c r="D2211" s="51" t="n">
        <x:v>930</x:v>
      </x:c>
      <x:c r="E2211" s="51" t="n">
        <x:v>191</x:v>
      </x:c>
      <x:c r="F2211" s="38" t="n">
        <x:v>0.16521584650914906</x:v>
      </x:c>
      <x:c r="G2211" s="38" t="n">
        <x:v>0.03393142654112631</x:v>
      </x:c>
      <x:c r="H2211" s="57" t="n">
        <x:v>5973.600000000001</x:v>
      </x:c>
      <x:c r="I2211" s="57" t="n">
        <x:v>0.589</x:v>
      </x:c>
      <x:c r="J2211" s="57" t="n">
        <x:v>14.613694733857908</x:v>
      </x:c>
      <x:c r="K2211" s="57" t="n">
        <x:v>51.92054210078686</x:v>
      </x:c>
      <x:c r="L2211" s="57" t="n">
        <x:v>76.31506014398124</x:v>
      </x:c>
    </x:row>
    <x:row r="2212" ht="21.600000381469727" hidden="0" customHeight="1">
      <x:c r="A2212" s="27" t="str">
        <x:v>King County, Washington</x:v>
      </x:c>
      <x:c r="B2212" s="27" t="str">
        <x:v>53033030600</x:v>
      </x:c>
      <x:c r="C2212" s="50" t="n">
        <x:v>4900</x:v>
      </x:c>
      <x:c r="D2212" s="50" t="n">
        <x:v>603</x:v>
      </x:c>
      <x:c r="E2212" s="50" t="n">
        <x:v>38</x:v>
      </x:c>
      <x:c r="F2212" s="37" t="n">
        <x:v>0.12306122448979592</x:v>
      </x:c>
      <x:c r="G2212" s="37" t="n">
        <x:v>0.007755102040816327</x:v>
      </x:c>
      <x:c r="H2212" s="56" t="n">
        <x:v>5114.85</x:v>
      </x:c>
      <x:c r="I2212" s="56" t="n">
        <x:v>1.305</x:v>
      </x:c>
      <x:c r="J2212" s="56" t="n">
        <x:v>14.684372150010086</x:v>
      </x:c>
      <x:c r="K2212" s="56" t="n">
        <x:v>52.02655822501513</x:v>
      </x:c>
      <x:c r="L2212" s="56" t="n">
        <x:v>76.46651175002161</x:v>
      </x:c>
    </x:row>
    <x:row r="2213" ht="21.600000381469727" hidden="0" customHeight="1">
      <x:c r="A2213" s="29" t="str">
        <x:v>King County, Washington</x:v>
      </x:c>
      <x:c r="B2213" s="29" t="str">
        <x:v>53033030700</x:v>
      </x:c>
      <x:c r="C2213" s="51" t="n">
        <x:v>4143</x:v>
      </x:c>
      <x:c r="D2213" s="51" t="n">
        <x:v>802</x:v>
      </x:c>
      <x:c r="E2213" s="51" t="n">
        <x:v>218</x:v>
      </x:c>
      <x:c r="F2213" s="38" t="n">
        <x:v>0.1935795317402848</x:v>
      </x:c>
      <x:c r="G2213" s="38" t="n">
        <x:v>0.052618875211199616</x:v>
      </x:c>
      <x:c r="H2213" s="57" t="n">
        <x:v>4445.5</x:v>
      </x:c>
      <x:c r="I2213" s="57" t="n">
        <x:v>0.6</x:v>
      </x:c>
      <x:c r="J2213" s="57" t="n">
        <x:v>13.076382675148956</x:v>
      </x:c>
      <x:c r="K2213" s="57" t="n">
        <x:v>49.61457401272344</x:v>
      </x:c>
      <x:c r="L2213" s="57" t="n">
        <x:v>73.02082001817634</x:v>
      </x:c>
    </x:row>
    <x:row r="2214" ht="21.600000381469727" hidden="0" customHeight="1">
      <x:c r="A2214" s="27" t="str">
        <x:v>King County, Washington</x:v>
      </x:c>
      <x:c r="B2214" s="27" t="str">
        <x:v>53033030801</x:v>
      </x:c>
      <x:c r="C2214" s="50" t="n">
        <x:v>7210</x:v>
      </x:c>
      <x:c r="D2214" s="50" t="n">
        <x:v>931</x:v>
      </x:c>
      <x:c r="E2214" s="50" t="n">
        <x:v>19</x:v>
      </x:c>
      <x:c r="F2214" s="37" t="n">
        <x:v>0.129126213592233</x:v>
      </x:c>
      <x:c r="G2214" s="37" t="n">
        <x:v>0.002635228848821082</x:v>
      </x:c>
      <x:c r="H2214" s="56" t="n">
        <x:v>7537.75</x:v>
      </x:c>
      <x:c r="I2214" s="56" t="n">
        <x:v>2.686</x:v>
      </x:c>
      <x:c r="J2214" s="56" t="n">
        <x:v>11.547059199899428</x:v>
      </x:c>
      <x:c r="K2214" s="56" t="n">
        <x:v>47.32058879984914</x:v>
      </x:c>
      <x:c r="L2214" s="56" t="n">
        <x:v>69.74369828549877</x:v>
      </x:c>
    </x:row>
    <x:row r="2215" ht="21.600000381469727" hidden="0" customHeight="1">
      <x:c r="A2215" s="29" t="str">
        <x:v>King County, Washington</x:v>
      </x:c>
      <x:c r="B2215" s="29" t="str">
        <x:v>53033030802</x:v>
      </x:c>
      <x:c r="C2215" s="51" t="n">
        <x:v>4446</x:v>
      </x:c>
      <x:c r="D2215" s="51" t="n">
        <x:v>629</x:v>
      </x:c>
      <x:c r="E2215" s="51" t="n">
        <x:v>527.5</x:v>
      </x:c>
      <x:c r="F2215" s="38" t="n">
        <x:v>0.14147548358074674</x:v>
      </x:c>
      <x:c r="G2215" s="38" t="n">
        <x:v>0.1186459739091318</x:v>
      </x:c>
      <x:c r="H2215" s="57" t="n">
        <x:v>4718.900000000001</x:v>
      </x:c>
      <x:c r="I2215" s="57" t="n">
        <x:v>0.535</x:v>
      </x:c>
      <x:c r="J2215" s="57" t="n">
        <x:v>13.851533295007208</x:v>
      </x:c>
      <x:c r="K2215" s="57" t="n">
        <x:v>50.77729994251081</x:v>
      </x:c>
      <x:c r="L2215" s="57" t="n">
        <x:v>74.68185706072973</x:v>
      </x:c>
    </x:row>
    <x:row r="2216" ht="21.600000381469727" hidden="0" customHeight="1">
      <x:c r="A2216" s="27" t="str">
        <x:v>King County, Washington</x:v>
      </x:c>
      <x:c r="B2216" s="27" t="str">
        <x:v>53033030901</x:v>
      </x:c>
      <x:c r="C2216" s="50" t="n">
        <x:v>4143</x:v>
      </x:c>
      <x:c r="D2216" s="50" t="n">
        <x:v>549</x:v>
      </x:c>
      <x:c r="E2216" s="50" t="n">
        <x:v>297</x:v>
      </x:c>
      <x:c r="F2216" s="37" t="n">
        <x:v>0.1325126719768284</x:v>
      </x:c>
      <x:c r="G2216" s="37" t="n">
        <x:v>0.07168718320057929</x:v>
      </x:c>
      <x:c r="H2216" s="56" t="n">
        <x:v>4364.85</x:v>
      </x:c>
      <x:c r="I2216" s="56" t="n">
        <x:v>1.205</x:v>
      </x:c>
      <x:c r="J2216" s="56" t="n">
        <x:v>9.925269779791494</x:v>
      </x:c>
      <x:c r="K2216" s="56" t="n">
        <x:v>44.88790466968724</x:v>
      </x:c>
      <x:c r="L2216" s="56" t="n">
        <x:v>66.26843524241033</x:v>
      </x:c>
    </x:row>
    <x:row r="2217" ht="21.600000381469727" hidden="0" customHeight="1">
      <x:c r="A2217" s="29" t="str">
        <x:v>King County, Washington</x:v>
      </x:c>
      <x:c r="B2217" s="29" t="str">
        <x:v>53033030902</x:v>
      </x:c>
      <x:c r="C2217" s="51" t="n">
        <x:v>5918</x:v>
      </x:c>
      <x:c r="D2217" s="51" t="n">
        <x:v>868</x:v>
      </x:c>
      <x:c r="E2217" s="51" t="n">
        <x:v>66</x:v>
      </x:c>
      <x:c r="F2217" s="38" t="n">
        <x:v>0.14667117269347751</x:v>
      </x:c>
      <x:c r="G2217" s="38" t="n">
        <x:v>0.011152416356877323</x:v>
      </x:c>
      <x:c r="H2217" s="57" t="n">
        <x:v>6228.4</x:v>
      </x:c>
      <x:c r="I2217" s="57" t="n">
        <x:v>1.508</x:v>
      </x:c>
      <x:c r="J2217" s="57" t="n">
        <x:v>11.310668326263595</x:v>
      </x:c>
      <x:c r="K2217" s="57" t="n">
        <x:v>46.96600248939539</x:v>
      </x:c>
      <x:c r="L2217" s="57" t="n">
        <x:v>69.23714641342198</x:v>
      </x:c>
    </x:row>
    <x:row r="2218" ht="21.600000381469727" hidden="0" customHeight="1">
      <x:c r="A2218" s="27" t="str">
        <x:v>King County, Washington</x:v>
      </x:c>
      <x:c r="B2218" s="27" t="str">
        <x:v>53033031000</x:v>
      </x:c>
      <x:c r="C2218" s="50" t="n">
        <x:v>4872</x:v>
      </x:c>
      <x:c r="D2218" s="50" t="n">
        <x:v>283</x:v>
      </x:c>
      <x:c r="E2218" s="50" t="n">
        <x:v>70</x:v>
      </x:c>
      <x:c r="F2218" s="37" t="n">
        <x:v>0.05808702791461412</x:v>
      </x:c>
      <x:c r="G2218" s="37" t="n">
        <x:v>0.014367816091954023</x:v>
      </x:c>
      <x:c r="H2218" s="56" t="n">
        <x:v>4978.049999999999</x:v>
      </x:c>
      <x:c r="I2218" s="56" t="n">
        <x:v>4.797</x:v>
      </x:c>
      <x:c r="J2218" s="56" t="n">
        <x:v>16.939316885257107</x:v>
      </x:c>
      <x:c r="K2218" s="56" t="n">
        <x:v>55.408975327885656</x:v>
      </x:c>
      <x:c r="L2218" s="56" t="n">
        <x:v>81.2985361826938</x:v>
      </x:c>
    </x:row>
    <x:row r="2219" ht="21.600000381469727" hidden="0" customHeight="1">
      <x:c r="A2219" s="29" t="str">
        <x:v>King County, Washington</x:v>
      </x:c>
      <x:c r="B2219" s="29" t="str">
        <x:v>53033031101</x:v>
      </x:c>
      <x:c r="C2219" s="51" t="n">
        <x:v>4098</x:v>
      </x:c>
      <x:c r="D2219" s="51" t="n">
        <x:v>735</x:v>
      </x:c>
      <x:c r="E2219" s="51" t="n">
        <x:v>93</x:v>
      </x:c>
      <x:c r="F2219" s="38" t="n">
        <x:v>0.17935578330893118</x:v>
      </x:c>
      <x:c r="G2219" s="38" t="n">
        <x:v>0.022693997071742314</x:v>
      </x:c>
      <x:c r="H2219" s="57" t="n">
        <x:v>4364.55</x:v>
      </x:c>
      <x:c r="I2219" s="57" t="n">
        <x:v>1.926</x:v>
      </x:c>
      <x:c r="J2219" s="57" t="n">
        <x:v>16.486593933336042</x:v>
      </x:c>
      <x:c r="K2219" s="57" t="n">
        <x:v>54.729890900004065</x:v>
      </x:c>
      <x:c r="L2219" s="57" t="n">
        <x:v>80.32841557143438</x:v>
      </x:c>
    </x:row>
    <x:row r="2220" ht="21.600000381469727" hidden="0" customHeight="1">
      <x:c r="A2220" s="27" t="str">
        <x:v>King County, Washington</x:v>
      </x:c>
      <x:c r="B2220" s="27" t="str">
        <x:v>53033031102</x:v>
      </x:c>
      <x:c r="C2220" s="50" t="n">
        <x:v>3083</x:v>
      </x:c>
      <x:c r="D2220" s="50" t="n">
        <x:v>452</x:v>
      </x:c>
      <x:c r="E2220" s="50" t="n">
        <x:v>299</x:v>
      </x:c>
      <x:c r="F2220" s="37" t="n">
        <x:v>0.1466104443723646</x:v>
      </x:c>
      <x:c r="G2220" s="37" t="n">
        <x:v>0.09698345767109957</x:v>
      </x:c>
      <x:c r="H2220" s="56" t="n">
        <x:v>3271.1</x:v>
      </x:c>
      <x:c r="I2220" s="56" t="n">
        <x:v>0.895</x:v>
      </x:c>
      <x:c r="J2220" s="56" t="n">
        <x:v>15.76538508697791</x:v>
      </x:c>
      <x:c r="K2220" s="56" t="n">
        <x:v>53.648077630466865</x:v>
      </x:c>
      <x:c r="L2220" s="56" t="n">
        <x:v>78.7829680435241</x:v>
      </x:c>
    </x:row>
    <x:row r="2221" ht="21.600000381469727" hidden="0" customHeight="1">
      <x:c r="A2221" s="29" t="str">
        <x:v>King County, Washington</x:v>
      </x:c>
      <x:c r="B2221" s="29" t="str">
        <x:v>53033031202</x:v>
      </x:c>
      <x:c r="C2221" s="51" t="n">
        <x:v>5996</x:v>
      </x:c>
      <x:c r="D2221" s="51" t="n">
        <x:v>686</x:v>
      </x:c>
      <x:c r="E2221" s="51" t="n">
        <x:v>205.5</x:v>
      </x:c>
      <x:c r="F2221" s="38" t="n">
        <x:v>0.11440960640426952</x:v>
      </x:c>
      <x:c r="G2221" s="38" t="n">
        <x:v>0.03427284856571047</x:v>
      </x:c>
      <x:c r="H2221" s="57" t="n">
        <x:v>6256.650000000001</x:v>
      </x:c>
      <x:c r="I2221" s="57" t="n">
        <x:v>25.704</x:v>
      </x:c>
      <x:c r="J2221" s="57" t="n">
        <x:v>29.298020795363822</x:v>
      </x:c>
      <x:c r="K2221" s="57" t="n">
        <x:v>73.94703119304573</x:v>
      </x:c>
      <x:c r="L2221" s="57" t="n">
        <x:v>107.78147313292249</x:v>
      </x:c>
    </x:row>
    <x:row r="2222" ht="21.600000381469727" hidden="0" customHeight="1">
      <x:c r="A2222" s="27" t="str">
        <x:v>King County, Washington</x:v>
      </x:c>
      <x:c r="B2222" s="27" t="str">
        <x:v>53033031204</x:v>
      </x:c>
      <x:c r="C2222" s="50" t="n">
        <x:v>6109</x:v>
      </x:c>
      <x:c r="D2222" s="50" t="n">
        <x:v>807</x:v>
      </x:c>
      <x:c r="E2222" s="50" t="n">
        <x:v>166</x:v>
      </x:c>
      <x:c r="F2222" s="37" t="n">
        <x:v>0.1321001800622033</x:v>
      </x:c>
      <x:c r="G2222" s="37" t="n">
        <x:v>0.02717302340808643</x:v>
      </x:c>
      <x:c r="H2222" s="56" t="n">
        <x:v>6408.05</x:v>
      </x:c>
      <x:c r="I2222" s="56" t="n">
        <x:v>14.239</x:v>
      </x:c>
      <x:c r="J2222" s="56" t="n">
        <x:v>22.497768190051293</x:v>
      </x:c>
      <x:c r="K2222" s="56" t="n">
        <x:v>63.746652285076934</x:v>
      </x:c>
      <x:c r="L2222" s="56" t="n">
        <x:v>93.20950326439562</x:v>
      </x:c>
    </x:row>
    <x:row r="2223" ht="21.600000381469727" hidden="0" customHeight="1">
      <x:c r="A2223" s="29" t="str">
        <x:v>King County, Washington</x:v>
      </x:c>
      <x:c r="B2223" s="29" t="str">
        <x:v>53033031206</x:v>
      </x:c>
      <x:c r="C2223" s="51" t="n">
        <x:v>5514</x:v>
      </x:c>
      <x:c r="D2223" s="51" t="n">
        <x:v>770</x:v>
      </x:c>
      <x:c r="E2223" s="51" t="n">
        <x:v>248.5</x:v>
      </x:c>
      <x:c r="F2223" s="38" t="n">
        <x:v>0.13964454116793618</x:v>
      </x:c>
      <x:c r="G2223" s="38" t="n">
        <x:v>0.0450671019223794</x:v>
      </x:c>
      <x:c r="H2223" s="57" t="n">
        <x:v>5808.35</x:v>
      </x:c>
      <x:c r="I2223" s="57" t="n">
        <x:v>1.403</x:v>
      </x:c>
      <x:c r="J2223" s="57" t="n">
        <x:v>17.259212721032924</x:v>
      </x:c>
      <x:c r="K2223" s="57" t="n">
        <x:v>55.888819081549386</x:v>
      </x:c>
      <x:c r="L2223" s="57" t="n">
        <x:v>81.98402725935627</x:v>
      </x:c>
    </x:row>
    <x:row r="2224" ht="21.600000381469727" hidden="0" customHeight="1">
      <x:c r="A2224" s="27" t="str">
        <x:v>King County, Washington</x:v>
      </x:c>
      <x:c r="B2224" s="27" t="str">
        <x:v>53033031207</x:v>
      </x:c>
      <x:c r="C2224" s="50" t="n">
        <x:v>4650</x:v>
      </x:c>
      <x:c r="D2224" s="50" t="n">
        <x:v>533</x:v>
      </x:c>
      <x:c r="E2224" s="50" t="n">
        <x:v>286.5</x:v>
      </x:c>
      <x:c r="F2224" s="37" t="n">
        <x:v>0.1146236559139785</x:v>
      </x:c>
      <x:c r="G2224" s="37" t="n">
        <x:v>0.061612903225806454</x:v>
      </x:c>
      <x:c r="H2224" s="56" t="n">
        <x:v>4865.2</x:v>
      </x:c>
      <x:c r="I2224" s="56" t="n">
        <x:v>1.259</x:v>
      </x:c>
      <x:c r="J2224" s="56" t="n">
        <x:v>20.049005399596357</x:v>
      </x:c>
      <x:c r="K2224" s="56" t="n">
        <x:v>60.07350809939454</x:v>
      </x:c>
      <x:c r="L2224" s="56" t="n">
        <x:v>87.96215442770648</x:v>
      </x:c>
    </x:row>
    <x:row r="2225" ht="21.600000381469727" hidden="0" customHeight="1">
      <x:c r="A2225" s="29" t="str">
        <x:v>King County, Washington</x:v>
      </x:c>
      <x:c r="B2225" s="29" t="str">
        <x:v>53033031208</x:v>
      </x:c>
      <x:c r="C2225" s="51" t="n">
        <x:v>4365</x:v>
      </x:c>
      <x:c r="D2225" s="51" t="n">
        <x:v>382</x:v>
      </x:c>
      <x:c r="E2225" s="51" t="n">
        <x:v>8</x:v>
      </x:c>
      <x:c r="F2225" s="38" t="n">
        <x:v>0.08751431844215349</x:v>
      </x:c>
      <x:c r="G2225" s="38" t="n">
        <x:v>0.0018327605956471936</x:v>
      </x:c>
      <x:c r="H2225" s="57" t="n">
        <x:v>4499.500000000001</x:v>
      </x:c>
      <x:c r="I2225" s="57" t="n">
        <x:v>1.011</x:v>
      </x:c>
      <x:c r="J2225" s="57" t="n">
        <x:v>16.5874598489263</x:v>
      </x:c>
      <x:c r="K2225" s="57" t="n">
        <x:v>54.88118977338945</x:v>
      </x:c>
      <x:c r="L2225" s="57" t="n">
        <x:v>80.54455681912779</x:v>
      </x:c>
    </x:row>
    <x:row r="2226" ht="21.600000381469727" hidden="0" customHeight="1">
      <x:c r="A2226" s="27" t="str">
        <x:v>King County, Washington</x:v>
      </x:c>
      <x:c r="B2226" s="27" t="str">
        <x:v>53033031301</x:v>
      </x:c>
      <x:c r="C2226" s="50" t="n">
        <x:v>2041</x:v>
      </x:c>
      <x:c r="D2226" s="50" t="n">
        <x:v>365</x:v>
      </x:c>
      <x:c r="E2226" s="50" t="n">
        <x:v>38</x:v>
      </x:c>
      <x:c r="F2226" s="37" t="n">
        <x:v>0.17883390494855464</x:v>
      </x:c>
      <x:c r="G2226" s="37" t="n">
        <x:v>0.018618324350808426</x:v>
      </x:c>
      <x:c r="H2226" s="56" t="n">
        <x:v>2172.5499999999997</x:v>
      </x:c>
      <x:c r="I2226" s="56" t="n">
        <x:v>12.733</x:v>
      </x:c>
      <x:c r="J2226" s="56" t="n">
        <x:v>32.272567039713515</x:v>
      </x:c>
      <x:c r="K2226" s="56" t="n">
        <x:v>78.40885055957027</x:v>
      </x:c>
      <x:c r="L2226" s="56" t="n">
        <x:v>114.1555007993861</x:v>
      </x:c>
    </x:row>
    <x:row r="2227" ht="21.600000381469727" hidden="0" customHeight="1">
      <x:c r="A2227" s="29" t="str">
        <x:v>King County, Washington</x:v>
      </x:c>
      <x:c r="B2227" s="29" t="str">
        <x:v>53033031302</x:v>
      </x:c>
      <x:c r="C2227" s="51" t="n">
        <x:v>4529</x:v>
      </x:c>
      <x:c r="D2227" s="51" t="n">
        <x:v>559</x:v>
      </x:c>
      <x:c r="E2227" s="51" t="n">
        <x:v>66</x:v>
      </x:c>
      <x:c r="F2227" s="38" t="n">
        <x:v>0.12342680503422389</x:v>
      </x:c>
      <x:c r="G2227" s="38" t="n">
        <x:v>0.014572753367189224</x:v>
      </x:c>
      <x:c r="H2227" s="57" t="n">
        <x:v>4731.250000000001</x:v>
      </x:c>
      <x:c r="I2227" s="57" t="n">
        <x:v>4.185</x:v>
      </x:c>
      <x:c r="J2227" s="57" t="n">
        <x:v>37.801025912427605</x:v>
      </x:c>
      <x:c r="K2227" s="57" t="n">
        <x:v>86.7015388686414</x:v>
      </x:c>
      <x:c r="L2227" s="57" t="n">
        <x:v>126.00219838377345</x:v>
      </x:c>
    </x:row>
    <x:row r="2228" ht="21.600000381469727" hidden="0" customHeight="1">
      <x:c r="A2228" s="27" t="str">
        <x:v>King County, Washington</x:v>
      </x:c>
      <x:c r="B2228" s="27" t="str">
        <x:v>53033031400</x:v>
      </x:c>
      <x:c r="C2228" s="50" t="n">
        <x:v>5874</x:v>
      </x:c>
      <x:c r="D2228" s="50" t="n">
        <x:v>902</x:v>
      </x:c>
      <x:c r="E2228" s="50" t="n">
        <x:v>105</x:v>
      </x:c>
      <x:c r="F2228" s="37" t="n">
        <x:v>0.15355805243445692</x:v>
      </x:c>
      <x:c r="G2228" s="37" t="n">
        <x:v>0.01787538304392237</x:v>
      </x:c>
      <x:c r="H2228" s="56" t="n">
        <x:v>6200.2</x:v>
      </x:c>
      <x:c r="I2228" s="56" t="n">
        <x:v>2.457</x:v>
      </x:c>
      <x:c r="J2228" s="56" t="n">
        <x:v>36.48859799651928</x:v>
      </x:c>
      <x:c r="K2228" s="56" t="n">
        <x:v>84.73289699477893</x:v>
      </x:c>
      <x:c r="L2228" s="56" t="n">
        <x:v>123.18985284968417</x:v>
      </x:c>
    </x:row>
    <x:row r="2229" ht="21.600000381469727" hidden="0" customHeight="1">
      <x:c r="A2229" s="29" t="str">
        <x:v>King County, Washington</x:v>
      </x:c>
      <x:c r="B2229" s="29" t="str">
        <x:v>53033031501</x:v>
      </x:c>
      <x:c r="C2229" s="51" t="n">
        <x:v>4066</x:v>
      </x:c>
      <x:c r="D2229" s="51" t="n">
        <x:v>327</x:v>
      </x:c>
      <x:c r="E2229" s="51" t="n">
        <x:v>410.5</x:v>
      </x:c>
      <x:c r="F2229" s="38" t="n">
        <x:v>0.08042302016724052</x:v>
      </x:c>
      <x:c r="G2229" s="38" t="n">
        <x:v>0.10095917363502213</x:v>
      </x:c>
      <x:c r="H2229" s="57" t="n">
        <x:v>4221.5</x:v>
      </x:c>
      <x:c r="I2229" s="57" t="n">
        <x:v>62.353</x:v>
      </x:c>
      <x:c r="J2229" s="57" t="n">
        <x:v>27.66813678213154</x:v>
      </x:c>
      <x:c r="K2229" s="57" t="n">
        <x:v>71.50220517319731</x:v>
      </x:c>
      <x:c r="L2229" s="57" t="n">
        <x:v>104.28886453313902</x:v>
      </x:c>
    </x:row>
    <x:row r="2230" ht="21.600000381469727" hidden="0" customHeight="1">
      <x:c r="A2230" s="27" t="str">
        <x:v>King County, Washington</x:v>
      </x:c>
      <x:c r="B2230" s="27" t="str">
        <x:v>53033031502</x:v>
      </x:c>
      <x:c r="C2230" s="50" t="n">
        <x:v>5345</x:v>
      </x:c>
      <x:c r="D2230" s="50" t="n">
        <x:v>617</x:v>
      </x:c>
      <x:c r="E2230" s="50" t="n">
        <x:v>40</x:v>
      </x:c>
      <x:c r="F2230" s="37" t="n">
        <x:v>0.11543498596819457</x:v>
      </x:c>
      <x:c r="G2230" s="37" t="n">
        <x:v>0.007483629560336763</x:v>
      </x:c>
      <x:c r="H2230" s="56" t="n">
        <x:v>5564.95</x:v>
      </x:c>
      <x:c r="I2230" s="56" t="n">
        <x:v>396.11</x:v>
      </x:c>
      <x:c r="J2230" s="56" t="n">
        <x:v>0</x:v>
      </x:c>
      <x:c r="K2230" s="56" t="n">
        <x:v>30</x:v>
      </x:c>
      <x:c r="L2230" s="56" t="n">
        <x:v>45</x:v>
      </x:c>
    </x:row>
    <x:row r="2231" ht="21.600000381469727" hidden="0" customHeight="1">
      <x:c r="A2231" s="29" t="str">
        <x:v>King County, Washington</x:v>
      </x:c>
      <x:c r="B2231" s="29" t="str">
        <x:v>53033031601</x:v>
      </x:c>
      <x:c r="C2231" s="51" t="n">
        <x:v>5930</x:v>
      </x:c>
      <x:c r="D2231" s="51" t="n">
        <x:v>485</x:v>
      </x:c>
      <x:c r="E2231" s="51" t="n">
        <x:v>10</x:v>
      </x:c>
      <x:c r="F2231" s="38" t="n">
        <x:v>0.081787521079258</x:v>
      </x:c>
      <x:c r="G2231" s="38" t="n">
        <x:v>0.0016863406408094434</x:v>
      </x:c>
      <x:c r="H2231" s="57" t="n">
        <x:v>6100.75</x:v>
      </x:c>
      <x:c r="I2231" s="57" t="n">
        <x:v>5.664</x:v>
      </x:c>
      <x:c r="J2231" s="57" t="n">
        <x:v>27.534781087965705</x:v>
      </x:c>
      <x:c r="K2231" s="57" t="n">
        <x:v>71.30217163194855</x:v>
      </x:c>
      <x:c r="L2231" s="57" t="n">
        <x:v>104.00310233135508</x:v>
      </x:c>
    </x:row>
    <x:row r="2232" ht="21.600000381469727" hidden="0" customHeight="1">
      <x:c r="A2232" s="27" t="str">
        <x:v>King County, Washington</x:v>
      </x:c>
      <x:c r="B2232" s="27" t="str">
        <x:v>53033031603</x:v>
      </x:c>
      <x:c r="C2232" s="50" t="n">
        <x:v>7858</x:v>
      </x:c>
      <x:c r="D2232" s="50" t="n">
        <x:v>475</x:v>
      </x:c>
      <x:c r="E2232" s="50" t="n">
        <x:v>183</x:v>
      </x:c>
      <x:c r="F2232" s="37" t="n">
        <x:v>0.06044795113260371</x:v>
      </x:c>
      <x:c r="G2232" s="37" t="n">
        <x:v>0.023288368541613643</x:v>
      </x:c>
      <x:c r="H2232" s="56" t="n">
        <x:v>8042.549999999999</x:v>
      </x:c>
      <x:c r="I2232" s="56" t="n">
        <x:v>21.657</x:v>
      </x:c>
      <x:c r="J2232" s="56" t="n">
        <x:v>33.58573002473115</x:v>
      </x:c>
      <x:c r="K2232" s="56" t="n">
        <x:v>80.37859503709672</x:v>
      </x:c>
      <x:c r="L2232" s="56" t="n">
        <x:v>116.96942148156674</x:v>
      </x:c>
    </x:row>
    <x:row r="2233" ht="21.600000381469727" hidden="0" customHeight="1">
      <x:c r="A2233" s="29" t="str">
        <x:v>King County, Washington</x:v>
      </x:c>
      <x:c r="B2233" s="29" t="str">
        <x:v>53033031604</x:v>
      </x:c>
      <x:c r="C2233" s="51" t="n">
        <x:v>5824</x:v>
      </x:c>
      <x:c r="D2233" s="51" t="n">
        <x:v>332</x:v>
      </x:c>
      <x:c r="E2233" s="51" t="n">
        <x:v>26</x:v>
      </x:c>
      <x:c r="F2233" s="38" t="n">
        <x:v>0.057005494505494504</x:v>
      </x:c>
      <x:c r="G2233" s="38" t="n">
        <x:v>0.004464285714285714</x:v>
      </x:c>
      <x:c r="H2233" s="57" t="n">
        <x:v>5942.8</x:v>
      </x:c>
      <x:c r="I2233" s="57" t="n">
        <x:v>1.604</x:v>
      </x:c>
      <x:c r="J2233" s="57" t="n">
        <x:v>28.94274308750403</x:v>
      </x:c>
      <x:c r="K2233" s="57" t="n">
        <x:v>73.41411463125604</x:v>
      </x:c>
      <x:c r="L2233" s="57" t="n">
        <x:v>107.0201637589372</x:v>
      </x:c>
    </x:row>
    <x:row r="2234" ht="21.600000381469727" hidden="0" customHeight="1">
      <x:c r="A2234" s="27" t="str">
        <x:v>King County, Washington</x:v>
      </x:c>
      <x:c r="B2234" s="27" t="str">
        <x:v>53033031605</x:v>
      </x:c>
      <x:c r="C2234" s="50" t="n">
        <x:v>3973</x:v>
      </x:c>
      <x:c r="D2234" s="50" t="n">
        <x:v>400</x:v>
      </x:c>
      <x:c r="E2234" s="50" t="n">
        <x:v>0</x:v>
      </x:c>
      <x:c r="F2234" s="37" t="n">
        <x:v>0.10067958721369243</x:v>
      </x:c>
      <x:c r="G2234" s="37" t="n">
        <x:v>0</x:v>
      </x:c>
      <x:c r="H2234" s="56" t="n">
        <x:v>4113</x:v>
      </x:c>
      <x:c r="I2234" s="56" t="n">
        <x:v>5.942</x:v>
      </x:c>
      <x:c r="J2234" s="56" t="n">
        <x:v>31.241768369798066</x:v>
      </x:c>
      <x:c r="K2234" s="56" t="n">
        <x:v>76.86265255469709</x:v>
      </x:c>
      <x:c r="L2234" s="56" t="n">
        <x:v>111.94664650671014</x:v>
      </x:c>
    </x:row>
    <x:row r="2235" ht="21.600000381469727" hidden="0" customHeight="1">
      <x:c r="A2235" s="29" t="str">
        <x:v>King County, Washington</x:v>
      </x:c>
      <x:c r="B2235" s="29" t="str">
        <x:v>53033031704</x:v>
      </x:c>
      <x:c r="C2235" s="51" t="n">
        <x:v>6542</x:v>
      </x:c>
      <x:c r="D2235" s="51" t="n">
        <x:v>581</x:v>
      </x:c>
      <x:c r="E2235" s="51" t="n">
        <x:v>184.5</x:v>
      </x:c>
      <x:c r="F2235" s="38" t="n">
        <x:v>0.0888107612350963</x:v>
      </x:c>
      <x:c r="G2235" s="38" t="n">
        <x:v>0.02820238459186793</x:v>
      </x:c>
      <x:c r="H2235" s="57" t="n">
        <x:v>6763.8</x:v>
      </x:c>
      <x:c r="I2235" s="57" t="n">
        <x:v>2.208</x:v>
      </x:c>
      <x:c r="J2235" s="57" t="n">
        <x:v>22.57496526279234</x:v>
      </x:c>
      <x:c r="K2235" s="57" t="n">
        <x:v>63.86244789418851</x:v>
      </x:c>
      <x:c r="L2235" s="57" t="n">
        <x:v>93.37492556312645</x:v>
      </x:c>
    </x:row>
    <x:row r="2236" ht="21.600000381469727" hidden="0" customHeight="1">
      <x:c r="A2236" s="27" t="str">
        <x:v>King County, Washington</x:v>
      </x:c>
      <x:c r="B2236" s="27" t="str">
        <x:v>53033031705</x:v>
      </x:c>
      <x:c r="C2236" s="50" t="n">
        <x:v>4349</x:v>
      </x:c>
      <x:c r="D2236" s="50" t="n">
        <x:v>381</x:v>
      </x:c>
      <x:c r="E2236" s="50" t="n">
        <x:v>117</x:v>
      </x:c>
      <x:c r="F2236" s="37" t="n">
        <x:v>0.08760634628650264</x:v>
      </x:c>
      <x:c r="G2236" s="37" t="n">
        <x:v>0.026902736261209474</x:v>
      </x:c>
      <x:c r="H2236" s="56" t="n">
        <x:v>4494.049999999999</x:v>
      </x:c>
      <x:c r="I2236" s="56" t="n">
        <x:v>1.948</x:v>
      </x:c>
      <x:c r="J2236" s="56" t="n">
        <x:v>26.69739965553879</x:v>
      </x:c>
      <x:c r="K2236" s="56" t="n">
        <x:v>70.04609948330818</x:v>
      </x:c>
      <x:c r="L2236" s="56" t="n">
        <x:v>102.20871354758312</x:v>
      </x:c>
    </x:row>
    <x:row r="2237" ht="21.600000381469727" hidden="0" customHeight="1">
      <x:c r="A2237" s="29" t="str">
        <x:v>King County, Washington</x:v>
      </x:c>
      <x:c r="B2237" s="29" t="str">
        <x:v>53033031707</x:v>
      </x:c>
      <x:c r="C2237" s="51" t="n">
        <x:v>3193</x:v>
      </x:c>
      <x:c r="D2237" s="51" t="n">
        <x:v>394</x:v>
      </x:c>
      <x:c r="E2237" s="51" t="n">
        <x:v>279</x:v>
      </x:c>
      <x:c r="F2237" s="38" t="n">
        <x:v>0.12339492640150329</x:v>
      </x:c>
      <x:c r="G2237" s="38" t="n">
        <x:v>0.08737864077669903</x:v>
      </x:c>
      <x:c r="H2237" s="57" t="n">
        <x:v>3358.7999999999997</x:v>
      </x:c>
      <x:c r="I2237" s="57" t="n">
        <x:v>1.43</x:v>
      </x:c>
      <x:c r="J2237" s="57" t="n">
        <x:v>24.024026155805</x:v>
      </x:c>
      <x:c r="K2237" s="57" t="n">
        <x:v>66.0360392337075</x:v>
      </x:c>
      <x:c r="L2237" s="57" t="n">
        <x:v>96.48005604815357</x:v>
      </x:c>
    </x:row>
    <x:row r="2238" ht="21.600000381469727" hidden="0" customHeight="1">
      <x:c r="A2238" s="27" t="str">
        <x:v>King County, Washington</x:v>
      </x:c>
      <x:c r="B2238" s="27" t="str">
        <x:v>53033031708</x:v>
      </x:c>
      <x:c r="C2238" s="50" t="n">
        <x:v>4053</x:v>
      </x:c>
      <x:c r="D2238" s="50" t="n">
        <x:v>400</x:v>
      </x:c>
      <x:c r="E2238" s="50" t="n">
        <x:v>113</x:v>
      </x:c>
      <x:c r="F2238" s="37" t="n">
        <x:v>0.09869232667160129</x:v>
      </x:c>
      <x:c r="G2238" s="37" t="n">
        <x:v>0.02788058228472736</x:v>
      </x:c>
      <x:c r="H2238" s="56" t="n">
        <x:v>4204.3</x:v>
      </x:c>
      <x:c r="I2238" s="56" t="n">
        <x:v>1.327</x:v>
      </x:c>
      <x:c r="J2238" s="56" t="n">
        <x:v>23.360036280425824</x:v>
      </x:c>
      <x:c r="K2238" s="56" t="n">
        <x:v>65.04005442063874</x:v>
      </x:c>
      <x:c r="L2238" s="56" t="n">
        <x:v>95.05722060091247</x:v>
      </x:c>
    </x:row>
    <x:row r="2239" ht="21.600000381469727" hidden="0" customHeight="1">
      <x:c r="A2239" s="29" t="str">
        <x:v>King County, Washington</x:v>
      </x:c>
      <x:c r="B2239" s="29" t="str">
        <x:v>53033031709</x:v>
      </x:c>
      <x:c r="C2239" s="51" t="n">
        <x:v>3587</x:v>
      </x:c>
      <x:c r="D2239" s="51" t="n">
        <x:v>280</x:v>
      </x:c>
      <x:c r="E2239" s="51" t="n">
        <x:v>31.5</x:v>
      </x:c>
      <x:c r="F2239" s="38" t="n">
        <x:v>0.07805965988291051</x:v>
      </x:c>
      <x:c r="G2239" s="38" t="n">
        <x:v>0.008781711736827432</x:v>
      </x:c>
      <x:c r="H2239" s="57" t="n">
        <x:v>3688.1499999999996</x:v>
      </x:c>
      <x:c r="I2239" s="57" t="n">
        <x:v>0.828</x:v>
      </x:c>
      <x:c r="J2239" s="57" t="n">
        <x:v>25.91981099611115</x:v>
      </x:c>
      <x:c r="K2239" s="57" t="n">
        <x:v>68.87971649416673</x:v>
      </x:c>
      <x:c r="L2239" s="57" t="n">
        <x:v>100.5424521345239</x:v>
      </x:c>
    </x:row>
    <x:row r="2240" ht="21.600000381469727" hidden="0" customHeight="1">
      <x:c r="A2240" s="27" t="str">
        <x:v>King County, Washington</x:v>
      </x:c>
      <x:c r="B2240" s="27" t="str">
        <x:v>53033031710</x:v>
      </x:c>
      <x:c r="C2240" s="50" t="n">
        <x:v>4733</x:v>
      </x:c>
      <x:c r="D2240" s="50" t="n">
        <x:v>1061</x:v>
      </x:c>
      <x:c r="E2240" s="50" t="n">
        <x:v>326</x:v>
      </x:c>
      <x:c r="F2240" s="37" t="n">
        <x:v>0.22417071624762308</x:v>
      </x:c>
      <x:c r="G2240" s="37" t="n">
        <x:v>0.06887809000633847</x:v>
      </x:c>
      <x:c r="H2240" s="56" t="n">
        <x:v>5136.95</x:v>
      </x:c>
      <x:c r="I2240" s="56" t="n">
        <x:v>0.787</x:v>
      </x:c>
      <x:c r="J2240" s="56" t="n">
        <x:v>26.434537185144528</x:v>
      </x:c>
      <x:c r="K2240" s="56" t="n">
        <x:v>69.65180577771679</x:v>
      </x:c>
      <x:c r="L2240" s="56" t="n">
        <x:v>101.6454368253097</x:v>
      </x:c>
    </x:row>
    <x:row r="2241" ht="21.600000381469727" hidden="0" customHeight="1">
      <x:c r="A2241" s="29" t="str">
        <x:v>King County, Washington</x:v>
      </x:c>
      <x:c r="B2241" s="29" t="str">
        <x:v>53033031800</x:v>
      </x:c>
      <x:c r="C2241" s="51" t="n">
        <x:v>5190</x:v>
      </x:c>
      <x:c r="D2241" s="51" t="n">
        <x:v>497</x:v>
      </x:c>
      <x:c r="E2241" s="51" t="n">
        <x:v>36</x:v>
      </x:c>
      <x:c r="F2241" s="38" t="n">
        <x:v>0.09576107899807322</x:v>
      </x:c>
      <x:c r="G2241" s="38" t="n">
        <x:v>0.006936416184971098</x:v>
      </x:c>
      <x:c r="H2241" s="57" t="n">
        <x:v>5367.55</x:v>
      </x:c>
      <x:c r="I2241" s="57" t="n">
        <x:v>9.616</x:v>
      </x:c>
      <x:c r="J2241" s="57" t="n">
        <x:v>23.223714056905173</x:v>
      </x:c>
      <x:c r="K2241" s="57" t="n">
        <x:v>64.83557108535776</x:v>
      </x:c>
      <x:c r="L2241" s="57" t="n">
        <x:v>94.76510155051108</x:v>
      </x:c>
    </x:row>
    <x:row r="2242" ht="21.600000381469727" hidden="0" customHeight="1">
      <x:c r="A2242" s="27" t="str">
        <x:v>King County, Washington</x:v>
      </x:c>
      <x:c r="B2242" s="27" t="str">
        <x:v>53033031904</x:v>
      </x:c>
      <x:c r="C2242" s="50" t="n">
        <x:v>3524</x:v>
      </x:c>
      <x:c r="D2242" s="50" t="n">
        <x:v>365</x:v>
      </x:c>
      <x:c r="E2242" s="50" t="n">
        <x:v>31</x:v>
      </x:c>
      <x:c r="F2242" s="37" t="n">
        <x:v>0.10357548240635642</x:v>
      </x:c>
      <x:c r="G2242" s="37" t="n">
        <x:v>0.008796821793416572</x:v>
      </x:c>
      <x:c r="H2242" s="56" t="n">
        <x:v>3654.8500000000004</x:v>
      </x:c>
      <x:c r="I2242" s="56" t="n">
        <x:v>7.301</x:v>
      </x:c>
      <x:c r="J2242" s="56" t="n">
        <x:v>12.749652127701586</x:v>
      </x:c>
      <x:c r="K2242" s="56" t="n">
        <x:v>49.12447819155238</x:v>
      </x:c>
      <x:c r="L2242" s="56" t="n">
        <x:v>72.32068313078912</x:v>
      </x:c>
    </x:row>
    <x:row r="2243" ht="21.600000381469727" hidden="0" customHeight="1">
      <x:c r="A2243" s="29" t="str">
        <x:v>King County, Washington</x:v>
      </x:c>
      <x:c r="B2243" s="29" t="str">
        <x:v>53033031906</x:v>
      </x:c>
      <x:c r="C2243" s="51" t="n">
        <x:v>4159</x:v>
      </x:c>
      <x:c r="D2243" s="51" t="n">
        <x:v>221</x:v>
      </x:c>
      <x:c r="E2243" s="51" t="n">
        <x:v>0</x:v>
      </x:c>
      <x:c r="F2243" s="38" t="n">
        <x:v>0.05313777350324597</x:v>
      </x:c>
      <x:c r="G2243" s="38" t="n">
        <x:v>0</x:v>
      </x:c>
      <x:c r="H2243" s="57" t="n">
        <x:v>4236.35</x:v>
      </x:c>
      <x:c r="I2243" s="57" t="n">
        <x:v>4.079</x:v>
      </x:c>
      <x:c r="J2243" s="57" t="n">
        <x:v>18.290496485023308</x:v>
      </x:c>
      <x:c r="K2243" s="57" t="n">
        <x:v>57.43574472753496</x:v>
      </x:c>
      <x:c r="L2243" s="57" t="n">
        <x:v>84.19392103933566</x:v>
      </x:c>
    </x:row>
    <x:row r="2244" ht="21.600000381469727" hidden="0" customHeight="1">
      <x:c r="A2244" s="27" t="str">
        <x:v>King County, Washington</x:v>
      </x:c>
      <x:c r="B2244" s="27" t="str">
        <x:v>53033031908</x:v>
      </x:c>
      <x:c r="C2244" s="50" t="n">
        <x:v>4071</x:v>
      </x:c>
      <x:c r="D2244" s="50" t="n">
        <x:v>572</x:v>
      </x:c>
      <x:c r="E2244" s="50" t="n">
        <x:v>245</x:v>
      </x:c>
      <x:c r="F2244" s="37" t="n">
        <x:v>0.140506018177352</x:v>
      </x:c>
      <x:c r="G2244" s="37" t="n">
        <x:v>0.06018177352001965</x:v>
      </x:c>
      <x:c r="H2244" s="56" t="n">
        <x:v>4295.7</x:v>
      </x:c>
      <x:c r="I2244" s="56" t="n">
        <x:v>0.705</x:v>
      </x:c>
      <x:c r="J2244" s="56" t="n">
        <x:v>19.784362509631283</x:v>
      </x:c>
      <x:c r="K2244" s="56" t="n">
        <x:v>59.67654376444692</x:v>
      </x:c>
      <x:c r="L2244" s="56" t="n">
        <x:v>87.39506252063846</x:v>
      </x:c>
    </x:row>
    <x:row r="2245" ht="21.600000381469727" hidden="0" customHeight="1">
      <x:c r="A2245" s="29" t="str">
        <x:v>King County, Washington</x:v>
      </x:c>
      <x:c r="B2245" s="29" t="str">
        <x:v>53033031909</x:v>
      </x:c>
      <x:c r="C2245" s="51" t="n">
        <x:v>2691</x:v>
      </x:c>
      <x:c r="D2245" s="51" t="n">
        <x:v>320</x:v>
      </x:c>
      <x:c r="E2245" s="51" t="n">
        <x:v>87.5</x:v>
      </x:c>
      <x:c r="F2245" s="38" t="n">
        <x:v>0.11891490152359717</x:v>
      </x:c>
      <x:c r="G2245" s="38" t="n">
        <x:v>0.0325157933853586</x:v>
      </x:c>
      <x:c r="H2245" s="57" t="n">
        <x:v>2811.75</x:v>
      </x:c>
      <x:c r="I2245" s="57" t="n">
        <x:v>0.74</x:v>
      </x:c>
      <x:c r="J2245" s="57" t="n">
        <x:v>20.902583738742393</x:v>
      </x:c>
      <x:c r="K2245" s="57" t="n">
        <x:v>61.35387560811359</x:v>
      </x:c>
      <x:c r="L2245" s="57" t="n">
        <x:v>89.7912508687337</x:v>
      </x:c>
    </x:row>
    <x:row r="2246" ht="21.600000381469727" hidden="0" customHeight="1">
      <x:c r="A2246" s="27" t="str">
        <x:v>King County, Washington</x:v>
      </x:c>
      <x:c r="B2246" s="27" t="str">
        <x:v>53033031910</x:v>
      </x:c>
      <x:c r="C2246" s="50" t="n">
        <x:v>3875</x:v>
      </x:c>
      <x:c r="D2246" s="50" t="n">
        <x:v>307</x:v>
      </x:c>
      <x:c r="E2246" s="50" t="n">
        <x:v>24</x:v>
      </x:c>
      <x:c r="F2246" s="37" t="n">
        <x:v>0.07922580645161291</x:v>
      </x:c>
      <x:c r="G2246" s="37" t="n">
        <x:v>0.006193548387096774</x:v>
      </x:c>
      <x:c r="H2246" s="56" t="n">
        <x:v>3984.8500000000004</x:v>
      </x:c>
      <x:c r="I2246" s="56" t="n">
        <x:v>1.283</x:v>
      </x:c>
      <x:c r="J2246" s="56" t="n">
        <x:v>18.166371702726153</x:v>
      </x:c>
      <x:c r="K2246" s="56" t="n">
        <x:v>57.24955755408923</x:v>
      </x:c>
      <x:c r="L2246" s="56" t="n">
        <x:v>83.9279393629846</x:v>
      </x:c>
    </x:row>
    <x:row r="2247" ht="21.600000381469727" hidden="0" customHeight="1">
      <x:c r="A2247" s="29" t="str">
        <x:v>King County, Washington</x:v>
      </x:c>
      <x:c r="B2247" s="29" t="str">
        <x:v>53033031911</x:v>
      </x:c>
      <x:c r="C2247" s="51" t="n">
        <x:v>3470</x:v>
      </x:c>
      <x:c r="D2247" s="51" t="n">
        <x:v>144</x:v>
      </x:c>
      <x:c r="E2247" s="51" t="n">
        <x:v>28</x:v>
      </x:c>
      <x:c r="F2247" s="38" t="n">
        <x:v>0.0414985590778098</x:v>
      </x:c>
      <x:c r="G2247" s="38" t="n">
        <x:v>0.008069164265129682</x:v>
      </x:c>
      <x:c r="H2247" s="57" t="n">
        <x:v>3523.2000000000003</x:v>
      </x:c>
      <x:c r="I2247" s="57" t="n">
        <x:v>0.926</x:v>
      </x:c>
      <x:c r="J2247" s="57" t="n">
        <x:v>18.447627894594593</x:v>
      </x:c>
      <x:c r="K2247" s="57" t="n">
        <x:v>57.67144184189189</x:v>
      </x:c>
      <x:c r="L2247" s="57" t="n">
        <x:v>84.5306312027027</x:v>
      </x:c>
    </x:row>
    <x:row r="2248" ht="21.600000381469727" hidden="0" customHeight="1">
      <x:c r="A2248" s="27" t="str">
        <x:v>King County, Washington</x:v>
      </x:c>
      <x:c r="B2248" s="27" t="str">
        <x:v>53033031912</x:v>
      </x:c>
      <x:c r="C2248" s="50" t="n">
        <x:v>4104</x:v>
      </x:c>
      <x:c r="D2248" s="50" t="n">
        <x:v>696</x:v>
      </x:c>
      <x:c r="E2248" s="50" t="n">
        <x:v>73</x:v>
      </x:c>
      <x:c r="F2248" s="37" t="n">
        <x:v>0.1695906432748538</x:v>
      </x:c>
      <x:c r="G2248" s="37" t="n">
        <x:v>0.017787524366471734</x:v>
      </x:c>
      <x:c r="H2248" s="56" t="n">
        <x:v>4354.900000000001</x:v>
      </x:c>
      <x:c r="I2248" s="56" t="n">
        <x:v>2.963</x:v>
      </x:c>
      <x:c r="J2248" s="56" t="n">
        <x:v>12.703521347176569</x:v>
      </x:c>
      <x:c r="K2248" s="56" t="n">
        <x:v>49.05528202076485</x:v>
      </x:c>
      <x:c r="L2248" s="56" t="n">
        <x:v>72.2218314582355</x:v>
      </x:c>
    </x:row>
    <x:row r="2249" ht="21.600000381469727" hidden="0" customHeight="1">
      <x:c r="A2249" s="29" t="str">
        <x:v>King County, Washington</x:v>
      </x:c>
      <x:c r="B2249" s="29" t="str">
        <x:v>53033031913</x:v>
      </x:c>
      <x:c r="C2249" s="51" t="n">
        <x:v>3895</x:v>
      </x:c>
      <x:c r="D2249" s="51" t="n">
        <x:v>276</x:v>
      </x:c>
      <x:c r="E2249" s="51" t="n">
        <x:v>18</x:v>
      </x:c>
      <x:c r="F2249" s="38" t="n">
        <x:v>0.07086007702182286</x:v>
      </x:c>
      <x:c r="G2249" s="38" t="n">
        <x:v>0.004621309370988447</x:v>
      </x:c>
      <x:c r="H2249" s="57" t="n">
        <x:v>3993.4</x:v>
      </x:c>
      <x:c r="I2249" s="57" t="n">
        <x:v>1.572</x:v>
      </x:c>
      <x:c r="J2249" s="57" t="n">
        <x:v>15.646217160312908</x:v>
      </x:c>
      <x:c r="K2249" s="57" t="n">
        <x:v>53.46932574046936</x:v>
      </x:c>
      <x:c r="L2249" s="57" t="n">
        <x:v>78.52760820067051</x:v>
      </x:c>
    </x:row>
    <x:row r="2250" ht="21.600000381469727" hidden="0" customHeight="1">
      <x:c r="A2250" s="27" t="str">
        <x:v>King County, Washington</x:v>
      </x:c>
      <x:c r="B2250" s="27" t="str">
        <x:v>53033032002</x:v>
      </x:c>
      <x:c r="C2250" s="50" t="n">
        <x:v>2821</x:v>
      </x:c>
      <x:c r="D2250" s="50" t="n">
        <x:v>329</x:v>
      </x:c>
      <x:c r="E2250" s="50" t="n">
        <x:v>30</x:v>
      </x:c>
      <x:c r="F2250" s="37" t="n">
        <x:v>0.11662531017369727</x:v>
      </x:c>
      <x:c r="G2250" s="37" t="n">
        <x:v>0.010634526763559022</x:v>
      </x:c>
      <x:c r="H2250" s="56" t="n">
        <x:v>2939.15</x:v>
      </x:c>
      <x:c r="I2250" s="56" t="n">
        <x:v>10.643</x:v>
      </x:c>
      <x:c r="J2250" s="56" t="n">
        <x:v>19.206290310562288</x:v>
      </x:c>
      <x:c r="K2250" s="56" t="n">
        <x:v>58.809435465843436</x:v>
      </x:c>
      <x:c r="L2250" s="56" t="n">
        <x:v>86.15633637977633</x:v>
      </x:c>
    </x:row>
    <x:row r="2251" ht="21.600000381469727" hidden="0" customHeight="1">
      <x:c r="A2251" s="29" t="str">
        <x:v>King County, Washington</x:v>
      </x:c>
      <x:c r="B2251" s="29" t="str">
        <x:v>53033032003</x:v>
      </x:c>
      <x:c r="C2251" s="51" t="n">
        <x:v>5326</x:v>
      </x:c>
      <x:c r="D2251" s="51" t="n">
        <x:v>429</x:v>
      </x:c>
      <x:c r="E2251" s="51" t="n">
        <x:v>73</x:v>
      </x:c>
      <x:c r="F2251" s="38" t="n">
        <x:v>0.08054825384904243</x:v>
      </x:c>
      <x:c r="G2251" s="38" t="n">
        <x:v>0.013706346226060834</x:v>
      </x:c>
      <x:c r="H2251" s="57" t="n">
        <x:v>5483.45</x:v>
      </x:c>
      <x:c r="I2251" s="57" t="n">
        <x:v>46.978</x:v>
      </x:c>
      <x:c r="J2251" s="57" t="n">
        <x:v>18.29177676175219</x:v>
      </x:c>
      <x:c r="K2251" s="57" t="n">
        <x:v>57.43766514262828</x:v>
      </x:c>
      <x:c r="L2251" s="57" t="n">
        <x:v>84.19666448946897</x:v>
      </x:c>
    </x:row>
    <x:row r="2252" ht="21.600000381469727" hidden="0" customHeight="1">
      <x:c r="A2252" s="27" t="str">
        <x:v>King County, Washington</x:v>
      </x:c>
      <x:c r="B2252" s="27" t="str">
        <x:v>53033032005</x:v>
      </x:c>
      <x:c r="C2252" s="50" t="n">
        <x:v>7278</x:v>
      </x:c>
      <x:c r="D2252" s="50" t="n">
        <x:v>730</x:v>
      </x:c>
      <x:c r="E2252" s="50" t="n">
        <x:v>271</x:v>
      </x:c>
      <x:c r="F2252" s="37" t="n">
        <x:v>0.10030228084638637</x:v>
      </x:c>
      <x:c r="G2252" s="37" t="n">
        <x:v>0.037235504259411925</x:v>
      </x:c>
      <x:c r="H2252" s="56" t="n">
        <x:v>7560.6</x:v>
      </x:c>
      <x:c r="I2252" s="56" t="n">
        <x:v>2.416</x:v>
      </x:c>
      <x:c r="J2252" s="56" t="n">
        <x:v>26.988890319825355</x:v>
      </x:c>
      <x:c r="K2252" s="56" t="n">
        <x:v>70.48333547973803</x:v>
      </x:c>
      <x:c r="L2252" s="56" t="n">
        <x:v>102.83333639962575</x:v>
      </x:c>
    </x:row>
    <x:row r="2253" ht="21.600000381469727" hidden="0" customHeight="1">
      <x:c r="A2253" s="29" t="str">
        <x:v>King County, Washington</x:v>
      </x:c>
      <x:c r="B2253" s="29" t="str">
        <x:v>53033032006</x:v>
      </x:c>
      <x:c r="C2253" s="51" t="n">
        <x:v>5300</x:v>
      </x:c>
      <x:c r="D2253" s="51" t="n">
        <x:v>494</x:v>
      </x:c>
      <x:c r="E2253" s="51" t="n">
        <x:v>125</x:v>
      </x:c>
      <x:c r="F2253" s="38" t="n">
        <x:v>0.09320754716981132</x:v>
      </x:c>
      <x:c r="G2253" s="38" t="n">
        <x:v>0.02358490566037736</x:v>
      </x:c>
      <x:c r="H2253" s="57" t="n">
        <x:v>5485.4</x:v>
      </x:c>
      <x:c r="I2253" s="57" t="n">
        <x:v>2.94</x:v>
      </x:c>
      <x:c r="J2253" s="57" t="n">
        <x:v>28.832823977805408</x:v>
      </x:c>
      <x:c r="K2253" s="57" t="n">
        <x:v>73.24923596670811</x:v>
      </x:c>
      <x:c r="L2253" s="57" t="n">
        <x:v>106.78462280958303</x:v>
      </x:c>
    </x:row>
    <x:row r="2254" ht="21.600000381469727" hidden="0" customHeight="1">
      <x:c r="A2254" s="27" t="str">
        <x:v>King County, Washington</x:v>
      </x:c>
      <x:c r="B2254" s="27" t="str">
        <x:v>53033032007</x:v>
      </x:c>
      <x:c r="C2254" s="50" t="n">
        <x:v>4157</x:v>
      </x:c>
      <x:c r="D2254" s="50" t="n">
        <x:v>600</x:v>
      </x:c>
      <x:c r="E2254" s="50" t="n">
        <x:v>98</x:v>
      </x:c>
      <x:c r="F2254" s="37" t="n">
        <x:v>0.1443348568679336</x:v>
      </x:c>
      <x:c r="G2254" s="37" t="n">
        <x:v>0.023574693288429156</x:v>
      </x:c>
      <x:c r="H2254" s="56" t="n">
        <x:v>4376.8</x:v>
      </x:c>
      <x:c r="I2254" s="56" t="n">
        <x:v>4.495</x:v>
      </x:c>
      <x:c r="J2254" s="56" t="n">
        <x:v>24.108470626400972</x:v>
      </x:c>
      <x:c r="K2254" s="56" t="n">
        <x:v>66.16270593960147</x:v>
      </x:c>
      <x:c r="L2254" s="56" t="n">
        <x:v>96.66100848514495</x:v>
      </x:c>
    </x:row>
    <x:row r="2255" ht="21.600000381469727" hidden="0" customHeight="1">
      <x:c r="A2255" s="29" t="str">
        <x:v>King County, Washington</x:v>
      </x:c>
      <x:c r="B2255" s="29" t="str">
        <x:v>53033032008</x:v>
      </x:c>
      <x:c r="C2255" s="51" t="n">
        <x:v>4873</x:v>
      </x:c>
      <x:c r="D2255" s="51" t="n">
        <x:v>465</x:v>
      </x:c>
      <x:c r="E2255" s="51" t="n">
        <x:v>9</x:v>
      </x:c>
      <x:c r="F2255" s="38" t="n">
        <x:v>0.09542376359532116</x:v>
      </x:c>
      <x:c r="G2255" s="38" t="n">
        <x:v>0.001846911553457829</x:v>
      </x:c>
      <x:c r="H2255" s="57" t="n">
        <x:v>5036.650000000001</x:v>
      </x:c>
      <x:c r="I2255" s="57" t="n">
        <x:v>0.885</x:v>
      </x:c>
      <x:c r="J2255" s="57" t="n">
        <x:v>27.586384166140657</x:v>
      </x:c>
      <x:c r="K2255" s="57" t="n">
        <x:v>71.37957624921098</x:v>
      </x:c>
      <x:c r="L2255" s="57" t="n">
        <x:v>104.11368035601569</x:v>
      </x:c>
    </x:row>
    <x:row r="2256" ht="21.600000381469727" hidden="0" customHeight="1">
      <x:c r="A2256" s="27" t="str">
        <x:v>King County, Washington</x:v>
      </x:c>
      <x:c r="B2256" s="27" t="str">
        <x:v>53033032010</x:v>
      </x:c>
      <x:c r="C2256" s="50" t="n">
        <x:v>6626</x:v>
      </x:c>
      <x:c r="D2256" s="50" t="n">
        <x:v>544</x:v>
      </x:c>
      <x:c r="E2256" s="50" t="n">
        <x:v>104</x:v>
      </x:c>
      <x:c r="F2256" s="37" t="n">
        <x:v>0.08210081497132508</x:v>
      </x:c>
      <x:c r="G2256" s="37" t="n">
        <x:v>0.01569574403863568</x:v>
      </x:c>
      <x:c r="H2256" s="56" t="n">
        <x:v>6826.8</x:v>
      </x:c>
      <x:c r="I2256" s="56" t="n">
        <x:v>2.04</x:v>
      </x:c>
      <x:c r="J2256" s="56" t="n">
        <x:v>25.18331731733742</x:v>
      </x:c>
      <x:c r="K2256" s="56" t="n">
        <x:v>67.77497597600613</x:v>
      </x:c>
      <x:c r="L2256" s="56" t="n">
        <x:v>98.96425139429448</x:v>
      </x:c>
    </x:row>
    <x:row r="2257" ht="21.600000381469727" hidden="0" customHeight="1">
      <x:c r="A2257" s="29" t="str">
        <x:v>King County, Washington</x:v>
      </x:c>
      <x:c r="B2257" s="29" t="str">
        <x:v>53033032011</x:v>
      </x:c>
      <x:c r="C2257" s="51" t="n">
        <x:v>4717</x:v>
      </x:c>
      <x:c r="D2257" s="51" t="n">
        <x:v>245</x:v>
      </x:c>
      <x:c r="E2257" s="51" t="n">
        <x:v>78</x:v>
      </x:c>
      <x:c r="F2257" s="38" t="n">
        <x:v>0.051939792240831034</x:v>
      </x:c>
      <x:c r="G2257" s="38" t="n">
        <x:v>0.016535933856264576</x:v>
      </x:c>
      <x:c r="H2257" s="57" t="n">
        <x:v>4810.550000000001</x:v>
      </x:c>
      <x:c r="I2257" s="57" t="n">
        <x:v>1.282</x:v>
      </x:c>
      <x:c r="J2257" s="57" t="n">
        <x:v>27.02093692703196</x:v>
      </x:c>
      <x:c r="K2257" s="57" t="n">
        <x:v>70.53140539054795</x:v>
      </x:c>
      <x:c r="L2257" s="57" t="n">
        <x:v>102.90200770078278</x:v>
      </x:c>
    </x:row>
    <x:row r="2258" ht="21.600000381469727" hidden="0" customHeight="1">
      <x:c r="A2258" s="27" t="str">
        <x:v>King County, Washington</x:v>
      </x:c>
      <x:c r="B2258" s="27" t="str">
        <x:v>53033032102</x:v>
      </x:c>
      <x:c r="C2258" s="50" t="n">
        <x:v>4973</x:v>
      </x:c>
      <x:c r="D2258" s="50" t="n">
        <x:v>736</x:v>
      </x:c>
      <x:c r="E2258" s="50" t="n">
        <x:v>175.5</x:v>
      </x:c>
      <x:c r="F2258" s="37" t="n">
        <x:v>0.14799919565654535</x:v>
      </x:c>
      <x:c r="G2258" s="37" t="n">
        <x:v>0.03529056907299417</x:v>
      </x:c>
      <x:c r="H2258" s="56" t="n">
        <x:v>5248.150000000001</x:v>
      </x:c>
      <x:c r="I2258" s="56" t="n">
        <x:v>30.776</x:v>
      </x:c>
      <x:c r="J2258" s="56" t="n">
        <x:v>10.528586015729653</x:v>
      </x:c>
      <x:c r="K2258" s="56" t="n">
        <x:v>45.79287902359448</x:v>
      </x:c>
      <x:c r="L2258" s="56" t="n">
        <x:v>67.5612557479921</x:v>
      </x:c>
    </x:row>
    <x:row r="2259" ht="21.600000381469727" hidden="0" customHeight="1">
      <x:c r="A2259" s="29" t="str">
        <x:v>King County, Washington</x:v>
      </x:c>
      <x:c r="B2259" s="29" t="str">
        <x:v>53033032103</x:v>
      </x:c>
      <x:c r="C2259" s="51" t="n">
        <x:v>5836</x:v>
      </x:c>
      <x:c r="D2259" s="51" t="n">
        <x:v>397</x:v>
      </x:c>
      <x:c r="E2259" s="51" t="n">
        <x:v>275</x:v>
      </x:c>
      <x:c r="F2259" s="38" t="n">
        <x:v>0.06802604523646333</x:v>
      </x:c>
      <x:c r="G2259" s="38" t="n">
        <x:v>0.047121315969842356</x:v>
      </x:c>
      <x:c r="H2259" s="57" t="n">
        <x:v>6002.450000000001</x:v>
      </x:c>
      <x:c r="I2259" s="57" t="n">
        <x:v>1.54</x:v>
      </x:c>
      <x:c r="J2259" s="57" t="n">
        <x:v>3.5350198397143546</x:v>
      </x:c>
      <x:c r="K2259" s="57" t="n">
        <x:v>35.302529759571534</x:v>
      </x:c>
      <x:c r="L2259" s="57" t="n">
        <x:v>52.575042513673615</x:v>
      </x:c>
    </x:row>
    <x:row r="2260" ht="21.600000381469727" hidden="0" customHeight="1">
      <x:c r="A2260" s="27" t="str">
        <x:v>King County, Washington</x:v>
      </x:c>
      <x:c r="B2260" s="27" t="str">
        <x:v>53033032104</x:v>
      </x:c>
      <x:c r="C2260" s="50" t="n">
        <x:v>6161</x:v>
      </x:c>
      <x:c r="D2260" s="50" t="n">
        <x:v>745</x:v>
      </x:c>
      <x:c r="E2260" s="50" t="n">
        <x:v>251</x:v>
      </x:c>
      <x:c r="F2260" s="37" t="n">
        <x:v>0.1209219282583996</x:v>
      </x:c>
      <x:c r="G2260" s="37" t="n">
        <x:v>0.04074013958772926</x:v>
      </x:c>
      <x:c r="H2260" s="56" t="n">
        <x:v>6446.85</x:v>
      </x:c>
      <x:c r="I2260" s="56" t="n">
        <x:v>8.602</x:v>
      </x:c>
      <x:c r="J2260" s="56" t="n">
        <x:v>7.379199471285944</x:v>
      </x:c>
      <x:c r="K2260" s="56" t="n">
        <x:v>41.068799206928915</x:v>
      </x:c>
      <x:c r="L2260" s="56" t="n">
        <x:v>60.81257029561274</x:v>
      </x:c>
    </x:row>
    <x:row r="2261" ht="21.600000381469727" hidden="0" customHeight="1">
      <x:c r="A2261" s="29" t="str">
        <x:v>King County, Washington</x:v>
      </x:c>
      <x:c r="B2261" s="29" t="str">
        <x:v>53033032207</x:v>
      </x:c>
      <x:c r="C2261" s="51" t="n">
        <x:v>3723</x:v>
      </x:c>
      <x:c r="D2261" s="51" t="n">
        <x:v>200</x:v>
      </x:c>
      <x:c r="E2261" s="51" t="n">
        <x:v>38</x:v>
      </x:c>
      <x:c r="F2261" s="38" t="n">
        <x:v>0.05372011818426001</x:v>
      </x:c>
      <x:c r="G2261" s="38" t="n">
        <x:v>0.0102068224550094</x:v>
      </x:c>
      <x:c r="H2261" s="57" t="n">
        <x:v>3796.8</x:v>
      </x:c>
      <x:c r="I2261" s="57" t="n">
        <x:v>1.791</x:v>
      </x:c>
      <x:c r="J2261" s="57" t="n">
        <x:v>7.150128627229789</x:v>
      </x:c>
      <x:c r="K2261" s="57" t="n">
        <x:v>40.72519294084468</x:v>
      </x:c>
      <x:c r="L2261" s="57" t="n">
        <x:v>60.321704201206686</x:v>
      </x:c>
    </x:row>
    <x:row r="2262" ht="21.600000381469727" hidden="0" customHeight="1">
      <x:c r="A2262" s="27" t="str">
        <x:v>King County, Washington</x:v>
      </x:c>
      <x:c r="B2262" s="27" t="str">
        <x:v>53033032211</x:v>
      </x:c>
      <x:c r="C2262" s="50" t="n">
        <x:v>5227</x:v>
      </x:c>
      <x:c r="D2262" s="50" t="n">
        <x:v>245</x:v>
      </x:c>
      <x:c r="E2262" s="50" t="n">
        <x:v>208.5</x:v>
      </x:c>
      <x:c r="F2262" s="37" t="n">
        <x:v>0.04687201071360245</x:v>
      </x:c>
      <x:c r="G2262" s="37" t="n">
        <x:v>0.0398890376889229</x:v>
      </x:c>
      <x:c r="H2262" s="56" t="n">
        <x:v>5333.599999999999</x:v>
      </x:c>
      <x:c r="I2262" s="56" t="n">
        <x:v>1.149</x:v>
      </x:c>
      <x:c r="J2262" s="56" t="n">
        <x:v>4.970065743016133</x:v>
      </x:c>
      <x:c r="K2262" s="56" t="n">
        <x:v>37.455098614524196</x:v>
      </x:c>
      <x:c r="L2262" s="56" t="n">
        <x:v>55.650140877891715</x:v>
      </x:c>
    </x:row>
    <x:row r="2263" ht="21.600000381469727" hidden="0" customHeight="1">
      <x:c r="A2263" s="29" t="str">
        <x:v>King County, Washington</x:v>
      </x:c>
      <x:c r="B2263" s="29" t="str">
        <x:v>53033032213</x:v>
      </x:c>
      <x:c r="C2263" s="51" t="n">
        <x:v>4749</x:v>
      </x:c>
      <x:c r="D2263" s="51" t="n">
        <x:v>218</x:v>
      </x:c>
      <x:c r="E2263" s="51" t="n">
        <x:v>50.5</x:v>
      </x:c>
      <x:c r="F2263" s="38" t="n">
        <x:v>0.045904400926510845</x:v>
      </x:c>
      <x:c r="G2263" s="38" t="n">
        <x:v>0.010633817645820172</x:v>
      </x:c>
      <x:c r="H2263" s="57" t="n">
        <x:v>4830.349999999999</x:v>
      </x:c>
      <x:c r="I2263" s="57" t="n">
        <x:v>1.561</x:v>
      </x:c>
      <x:c r="J2263" s="57" t="n">
        <x:v>6.476010861686543</x:v>
      </x:c>
      <x:c r="K2263" s="57" t="n">
        <x:v>39.71401629252981</x:v>
      </x:c>
      <x:c r="L2263" s="57" t="n">
        <x:v>58.87716613218545</x:v>
      </x:c>
    </x:row>
    <x:row r="2264" ht="21.600000381469727" hidden="0" customHeight="1">
      <x:c r="A2264" s="27" t="str">
        <x:v>King County, Washington</x:v>
      </x:c>
      <x:c r="B2264" s="27" t="str">
        <x:v>53033032215</x:v>
      </x:c>
      <x:c r="C2264" s="50" t="n">
        <x:v>5922</x:v>
      </x:c>
      <x:c r="D2264" s="50" t="n">
        <x:v>188</x:v>
      </x:c>
      <x:c r="E2264" s="50" t="n">
        <x:v>0</x:v>
      </x:c>
      <x:c r="F2264" s="37" t="n">
        <x:v>0.031746031746031744</x:v>
      </x:c>
      <x:c r="G2264" s="37" t="n">
        <x:v>0</x:v>
      </x:c>
      <x:c r="H2264" s="56" t="n">
        <x:v>5987.8</x:v>
      </x:c>
      <x:c r="I2264" s="56" t="n">
        <x:v>6.159</x:v>
      </x:c>
      <x:c r="J2264" s="56" t="n">
        <x:v>9.430793827348127</x:v>
      </x:c>
      <x:c r="K2264" s="56" t="n">
        <x:v>44.14619074102219</x:v>
      </x:c>
      <x:c r="L2264" s="56" t="n">
        <x:v>65.20884391574599</x:v>
      </x:c>
    </x:row>
    <x:row r="2265" ht="21.600000381469727" hidden="0" customHeight="1">
      <x:c r="A2265" s="29" t="str">
        <x:v>King County, Washington</x:v>
      </x:c>
      <x:c r="B2265" s="29" t="str">
        <x:v>53033032216</x:v>
      </x:c>
      <x:c r="C2265" s="51" t="n">
        <x:v>5255</x:v>
      </x:c>
      <x:c r="D2265" s="51" t="n">
        <x:v>189</x:v>
      </x:c>
      <x:c r="E2265" s="51" t="n">
        <x:v>297</x:v>
      </x:c>
      <x:c r="F2265" s="38" t="n">
        <x:v>0.035965746907706944</x:v>
      </x:c>
      <x:c r="G2265" s="38" t="n">
        <x:v>0.056517602283539484</x:v>
      </x:c>
      <x:c r="H2265" s="57" t="n">
        <x:v>5350.85</x:v>
      </x:c>
      <x:c r="I2265" s="57" t="n">
        <x:v>1.67</x:v>
      </x:c>
      <x:c r="J2265" s="57" t="n">
        <x:v>9.107555885581586</x:v>
      </x:c>
      <x:c r="K2265" s="57" t="n">
        <x:v>43.66133382837238</x:v>
      </x:c>
      <x:c r="L2265" s="57" t="n">
        <x:v>64.51619118338911</x:v>
      </x:c>
    </x:row>
    <x:row r="2266" ht="21.600000381469727" hidden="0" customHeight="1">
      <x:c r="A2266" s="27" t="str">
        <x:v>King County, Washington</x:v>
      </x:c>
      <x:c r="B2266" s="27" t="str">
        <x:v>53033032217</x:v>
      </x:c>
      <x:c r="C2266" s="50" t="n">
        <x:v>4032</x:v>
      </x:c>
      <x:c r="D2266" s="50" t="n">
        <x:v>251</x:v>
      </x:c>
      <x:c r="E2266" s="50" t="n">
        <x:v>0</x:v>
      </x:c>
      <x:c r="F2266" s="37" t="n">
        <x:v>0.06225198412698413</x:v>
      </x:c>
      <x:c r="G2266" s="37" t="n">
        <x:v>0</x:v>
      </x:c>
      <x:c r="H2266" s="56" t="n">
        <x:v>4119.85</x:v>
      </x:c>
      <x:c r="I2266" s="56" t="n">
        <x:v>2.218</x:v>
      </x:c>
      <x:c r="J2266" s="56" t="n">
        <x:v>9.460245903753423</x:v>
      </x:c>
      <x:c r="K2266" s="56" t="n">
        <x:v>44.19036885563013</x:v>
      </x:c>
      <x:c r="L2266" s="56" t="n">
        <x:v>65.27195550804305</x:v>
      </x:c>
    </x:row>
    <x:row r="2267" ht="21.600000381469727" hidden="0" customHeight="1">
      <x:c r="A2267" s="29" t="str">
        <x:v>King County, Washington</x:v>
      </x:c>
      <x:c r="B2267" s="29" t="str">
        <x:v>53033032218</x:v>
      </x:c>
      <x:c r="C2267" s="51" t="n">
        <x:v>5906</x:v>
      </x:c>
      <x:c r="D2267" s="51" t="n">
        <x:v>667</x:v>
      </x:c>
      <x:c r="E2267" s="51" t="n">
        <x:v>331</x:v>
      </x:c>
      <x:c r="F2267" s="38" t="n">
        <x:v>0.11293599729089061</x:v>
      </x:c>
      <x:c r="G2267" s="38" t="n">
        <x:v>0.056044700304774805</x:v>
      </x:c>
      <x:c r="H2267" s="57" t="n">
        <x:v>6172.55</x:v>
      </x:c>
      <x:c r="I2267" s="57" t="n">
        <x:v>1.692</x:v>
      </x:c>
      <x:c r="J2267" s="57" t="n">
        <x:v>4.370402590383284</x:v>
      </x:c>
      <x:c r="K2267" s="57" t="n">
        <x:v>36.555603885574925</x:v>
      </x:c>
      <x:c r="L2267" s="57" t="n">
        <x:v>54.365148407964185</x:v>
      </x:c>
    </x:row>
    <x:row r="2268" ht="21.600000381469727" hidden="0" customHeight="1">
      <x:c r="A2268" s="27" t="str">
        <x:v>King County, Washington</x:v>
      </x:c>
      <x:c r="B2268" s="27" t="str">
        <x:v>53033032219</x:v>
      </x:c>
      <x:c r="C2268" s="50" t="n">
        <x:v>4240</x:v>
      </x:c>
      <x:c r="D2268" s="50" t="n">
        <x:v>437</x:v>
      </x:c>
      <x:c r="E2268" s="50" t="n">
        <x:v>167</x:v>
      </x:c>
      <x:c r="F2268" s="37" t="n">
        <x:v>0.10306603773584906</x:v>
      </x:c>
      <x:c r="G2268" s="37" t="n">
        <x:v>0.03938679245283019</x:v>
      </x:c>
      <x:c r="H2268" s="56" t="n">
        <x:v>4409.650000000001</x:v>
      </x:c>
      <x:c r="I2268" s="56" t="n">
        <x:v>2.519</x:v>
      </x:c>
      <x:c r="J2268" s="56" t="n">
        <x:v>3.738004663121136</x:v>
      </x:c>
      <x:c r="K2268" s="56" t="n">
        <x:v>35.607006994681704</x:v>
      </x:c>
      <x:c r="L2268" s="56" t="n">
        <x:v>53.01000999240243</x:v>
      </x:c>
    </x:row>
    <x:row r="2269" ht="21.600000381469727" hidden="0" customHeight="1">
      <x:c r="A2269" s="29" t="str">
        <x:v>King County, Washington</x:v>
      </x:c>
      <x:c r="B2269" s="29" t="str">
        <x:v>53033032220</x:v>
      </x:c>
      <x:c r="C2269" s="51" t="n">
        <x:v>8690</x:v>
      </x:c>
      <x:c r="D2269" s="51" t="n">
        <x:v>380</x:v>
      </x:c>
      <x:c r="E2269" s="51" t="n">
        <x:v>280</x:v>
      </x:c>
      <x:c r="F2269" s="38" t="n">
        <x:v>0.04372842347525892</x:v>
      </x:c>
      <x:c r="G2269" s="38" t="n">
        <x:v>0.03222094361334868</x:v>
      </x:c>
      <x:c r="H2269" s="57" t="n">
        <x:v>8850.999999999998</x:v>
      </x:c>
      <x:c r="I2269" s="57" t="n">
        <x:v>2.352</x:v>
      </x:c>
      <x:c r="J2269" s="57" t="n">
        <x:v>0</x:v>
      </x:c>
      <x:c r="K2269" s="57" t="n">
        <x:v>30</x:v>
      </x:c>
      <x:c r="L2269" s="57" t="n">
        <x:v>45</x:v>
      </x:c>
    </x:row>
    <x:row r="2270" ht="21.600000381469727" hidden="0" customHeight="1">
      <x:c r="A2270" s="27" t="str">
        <x:v>King County, Washington</x:v>
      </x:c>
      <x:c r="B2270" s="27" t="str">
        <x:v>53033032221</x:v>
      </x:c>
      <x:c r="C2270" s="50" t="n">
        <x:v>6173</x:v>
      </x:c>
      <x:c r="D2270" s="50" t="n">
        <x:v>267</x:v>
      </x:c>
      <x:c r="E2270" s="50" t="n">
        <x:v>2</x:v>
      </x:c>
      <x:c r="F2270" s="37" t="n">
        <x:v>0.043252875425238944</x:v>
      </x:c>
      <x:c r="G2270" s="37" t="n">
        <x:v>0.0003239915762190183</x:v>
      </x:c>
      <x:c r="H2270" s="56" t="n">
        <x:v>6266.65</x:v>
      </x:c>
      <x:c r="I2270" s="56" t="n">
        <x:v>13.735</x:v>
      </x:c>
      <x:c r="J2270" s="56" t="n">
        <x:v>6.123176403477044</x:v>
      </x:c>
      <x:c r="K2270" s="56" t="n">
        <x:v>39.18476460521556</x:v>
      </x:c>
      <x:c r="L2270" s="56" t="n">
        <x:v>58.12109229316509</x:v>
      </x:c>
    </x:row>
    <x:row r="2271" ht="21.600000381469727" hidden="0" customHeight="1">
      <x:c r="A2271" s="29" t="str">
        <x:v>King County, Washington</x:v>
      </x:c>
      <x:c r="B2271" s="29" t="str">
        <x:v>53033032222</x:v>
      </x:c>
      <x:c r="C2271" s="51" t="n">
        <x:v>4250</x:v>
      </x:c>
      <x:c r="D2271" s="51" t="n">
        <x:v>244</x:v>
      </x:c>
      <x:c r="E2271" s="51" t="n">
        <x:v>0</x:v>
      </x:c>
      <x:c r="F2271" s="38" t="n">
        <x:v>0.05741176470588235</x:v>
      </x:c>
      <x:c r="G2271" s="38" t="n">
        <x:v>0</x:v>
      </x:c>
      <x:c r="H2271" s="57" t="n">
        <x:v>4335.4</x:v>
      </x:c>
      <x:c r="I2271" s="57" t="n">
        <x:v>0.495</x:v>
      </x:c>
      <x:c r="J2271" s="57" t="n">
        <x:v>4.09203256325971</x:v>
      </x:c>
      <x:c r="K2271" s="57" t="n">
        <x:v>36.13804884488957</x:v>
      </x:c>
      <x:c r="L2271" s="57" t="n">
        <x:v>53.768641206985095</x:v>
      </x:c>
    </x:row>
    <x:row r="2272" ht="21.600000381469727" hidden="0" customHeight="1">
      <x:c r="A2272" s="27" t="str">
        <x:v>King County, Washington</x:v>
      </x:c>
      <x:c r="B2272" s="27" t="str">
        <x:v>53033032223</x:v>
      </x:c>
      <x:c r="C2272" s="50" t="n">
        <x:v>4353</x:v>
      </x:c>
      <x:c r="D2272" s="50" t="n">
        <x:v>201</x:v>
      </x:c>
      <x:c r="E2272" s="50" t="n">
        <x:v>16</x:v>
      </x:c>
      <x:c r="F2272" s="37" t="n">
        <x:v>0.0461750516884907</x:v>
      </x:c>
      <x:c r="G2272" s="37" t="n">
        <x:v>0.003675626005053986</x:v>
      </x:c>
      <x:c r="H2272" s="56" t="n">
        <x:v>4424.95</x:v>
      </x:c>
      <x:c r="I2272" s="56" t="n">
        <x:v>0.807</x:v>
      </x:c>
      <x:c r="J2272" s="56" t="n">
        <x:v>2.6559765258821653</x:v>
      </x:c>
      <x:c r="K2272" s="56" t="n">
        <x:v>33.98396478882325</x:v>
      </x:c>
      <x:c r="L2272" s="56" t="n">
        <x:v>50.691378269747496</x:v>
      </x:c>
    </x:row>
    <x:row r="2273" ht="21.600000381469727" hidden="0" customHeight="1">
      <x:c r="A2273" s="29" t="str">
        <x:v>King County, Washington</x:v>
      </x:c>
      <x:c r="B2273" s="29" t="str">
        <x:v>53033032224</x:v>
      </x:c>
      <x:c r="C2273" s="51" t="n">
        <x:v>2804</x:v>
      </x:c>
      <x:c r="D2273" s="51" t="n">
        <x:v>54</x:v>
      </x:c>
      <x:c r="E2273" s="51" t="n">
        <x:v>104</x:v>
      </x:c>
      <x:c r="F2273" s="38" t="n">
        <x:v>0.01925820256776034</x:v>
      </x:c>
      <x:c r="G2273" s="38" t="n">
        <x:v>0.037089871611982884</x:v>
      </x:c>
      <x:c r="H2273" s="57" t="n">
        <x:v>2833.3</x:v>
      </x:c>
      <x:c r="I2273" s="57" t="n">
        <x:v>1.166</x:v>
      </x:c>
      <x:c r="J2273" s="57" t="n">
        <x:v>7.244664689556854</x:v>
      </x:c>
      <x:c r="K2273" s="57" t="n">
        <x:v>40.866997034335284</x:v>
      </x:c>
      <x:c r="L2273" s="57" t="n">
        <x:v>60.52428147762183</x:v>
      </x:c>
    </x:row>
    <x:row r="2274" ht="21.600000381469727" hidden="0" customHeight="1">
      <x:c r="A2274" s="27" t="str">
        <x:v>King County, Washington</x:v>
      </x:c>
      <x:c r="B2274" s="27" t="str">
        <x:v>53033032225</x:v>
      </x:c>
      <x:c r="C2274" s="50" t="n">
        <x:v>3824</x:v>
      </x:c>
      <x:c r="D2274" s="50" t="n">
        <x:v>304</x:v>
      </x:c>
      <x:c r="E2274" s="50" t="n">
        <x:v>0</x:v>
      </x:c>
      <x:c r="F2274" s="37" t="n">
        <x:v>0.0794979079497908</x:v>
      </x:c>
      <x:c r="G2274" s="37" t="n">
        <x:v>0</x:v>
      </x:c>
      <x:c r="H2274" s="56" t="n">
        <x:v>3930.4</x:v>
      </x:c>
      <x:c r="I2274" s="56" t="n">
        <x:v>1.471</x:v>
      </x:c>
      <x:c r="J2274" s="56" t="n">
        <x:v>9.590486092704914</x:v>
      </x:c>
      <x:c r="K2274" s="56" t="n">
        <x:v>44.385729139057375</x:v>
      </x:c>
      <x:c r="L2274" s="56" t="n">
        <x:v>65.55104162722482</x:v>
      </x:c>
    </x:row>
    <x:row r="2275" ht="21.600000381469727" hidden="0" customHeight="1">
      <x:c r="A2275" s="29" t="str">
        <x:v>King County, Washington</x:v>
      </x:c>
      <x:c r="B2275" s="29" t="str">
        <x:v>53033032307</x:v>
      </x:c>
      <x:c r="C2275" s="51" t="n">
        <x:v>6396</x:v>
      </x:c>
      <x:c r="D2275" s="51" t="n">
        <x:v>502</x:v>
      </x:c>
      <x:c r="E2275" s="51" t="n">
        <x:v>0</x:v>
      </x:c>
      <x:c r="F2275" s="38" t="n">
        <x:v>0.0784865540963102</x:v>
      </x:c>
      <x:c r="G2275" s="38" t="n">
        <x:v>0</x:v>
      </x:c>
      <x:c r="H2275" s="57" t="n">
        <x:v>6571.7</x:v>
      </x:c>
      <x:c r="I2275" s="57" t="n">
        <x:v>4.475</x:v>
      </x:c>
      <x:c r="J2275" s="57" t="n">
        <x:v>21.38886884648547</x:v>
      </x:c>
      <x:c r="K2275" s="57" t="n">
        <x:v>62.083303269728205</x:v>
      </x:c>
      <x:c r="L2275" s="57" t="n">
        <x:v>90.833290385326</x:v>
      </x:c>
    </x:row>
    <x:row r="2276" ht="21.600000381469727" hidden="0" customHeight="1">
      <x:c r="A2276" s="27" t="str">
        <x:v>King County, Washington</x:v>
      </x:c>
      <x:c r="B2276" s="27" t="str">
        <x:v>53033032311</x:v>
      </x:c>
      <x:c r="C2276" s="50" t="n">
        <x:v>5925</x:v>
      </x:c>
      <x:c r="D2276" s="50" t="n">
        <x:v>490</x:v>
      </x:c>
      <x:c r="E2276" s="50" t="n">
        <x:v>6</x:v>
      </x:c>
      <x:c r="F2276" s="37" t="n">
        <x:v>0.08270042194092828</x:v>
      </x:c>
      <x:c r="G2276" s="37" t="n">
        <x:v>0.0010126582278481013</x:v>
      </x:c>
      <x:c r="H2276" s="56" t="n">
        <x:v>6097.1</x:v>
      </x:c>
      <x:c r="I2276" s="56" t="n">
        <x:v>9.155</x:v>
      </x:c>
      <x:c r="J2276" s="56" t="n">
        <x:v>27.768971313170695</x:v>
      </x:c>
      <x:c r="K2276" s="56" t="n">
        <x:v>71.65345696975604</x:v>
      </x:c>
      <x:c r="L2276" s="56" t="n">
        <x:v>104.50493852822291</x:v>
      </x:c>
    </x:row>
    <x:row r="2277" ht="21.600000381469727" hidden="0" customHeight="1">
      <x:c r="A2277" s="29" t="str">
        <x:v>King County, Washington</x:v>
      </x:c>
      <x:c r="B2277" s="29" t="str">
        <x:v>53033032313</x:v>
      </x:c>
      <x:c r="C2277" s="51" t="n">
        <x:v>7404</x:v>
      </x:c>
      <x:c r="D2277" s="51" t="n">
        <x:v>472</x:v>
      </x:c>
      <x:c r="E2277" s="51" t="n">
        <x:v>608</x:v>
      </x:c>
      <x:c r="F2277" s="38" t="n">
        <x:v>0.06374932468935711</x:v>
      </x:c>
      <x:c r="G2277" s="38" t="n">
        <x:v>0.08211777417612101</x:v>
      </x:c>
      <x:c r="H2277" s="57" t="n">
        <x:v>7629.999999999999</x:v>
      </x:c>
      <x:c r="I2277" s="57" t="n">
        <x:v>5.055</x:v>
      </x:c>
      <x:c r="J2277" s="57" t="n">
        <x:v>19.999591367902187</x:v>
      </x:c>
      <x:c r="K2277" s="57" t="n">
        <x:v>59.999387051853276</x:v>
      </x:c>
      <x:c r="L2277" s="57" t="n">
        <x:v>87.85626721693325</x:v>
      </x:c>
    </x:row>
    <x:row r="2278" ht="21.600000381469727" hidden="0" customHeight="1">
      <x:c r="A2278" s="27" t="str">
        <x:v>King County, Washington</x:v>
      </x:c>
      <x:c r="B2278" s="27" t="str">
        <x:v>53033032315</x:v>
      </x:c>
      <x:c r="C2278" s="50" t="n">
        <x:v>5558</x:v>
      </x:c>
      <x:c r="D2278" s="50" t="n">
        <x:v>586</x:v>
      </x:c>
      <x:c r="E2278" s="50" t="n">
        <x:v>163.5</x:v>
      </x:c>
      <x:c r="F2278" s="37" t="n">
        <x:v>0.10543360921194675</x:v>
      </x:c>
      <x:c r="G2278" s="37" t="n">
        <x:v>0.029417056495142136</x:v>
      </x:c>
      <x:c r="H2278" s="56" t="n">
        <x:v>5779.45</x:v>
      </x:c>
      <x:c r="I2278" s="56" t="n">
        <x:v>17.281</x:v>
      </x:c>
      <x:c r="J2278" s="56" t="n">
        <x:v>18.050755848590896</x:v>
      </x:c>
      <x:c r="K2278" s="56" t="n">
        <x:v>57.076133772886344</x:v>
      </x:c>
      <x:c r="L2278" s="56" t="n">
        <x:v>83.68019110412335</x:v>
      </x:c>
    </x:row>
    <x:row r="2279" ht="21.600000381469727" hidden="0" customHeight="1">
      <x:c r="A2279" s="29" t="str">
        <x:v>King County, Washington</x:v>
      </x:c>
      <x:c r="B2279" s="29" t="str">
        <x:v>53033032316</x:v>
      </x:c>
      <x:c r="C2279" s="51" t="n">
        <x:v>5546</x:v>
      </x:c>
      <x:c r="D2279" s="51" t="n">
        <x:v>186</x:v>
      </x:c>
      <x:c r="E2279" s="51" t="n">
        <x:v>0</x:v>
      </x:c>
      <x:c r="F2279" s="38" t="n">
        <x:v>0.03353768481788676</x:v>
      </x:c>
      <x:c r="G2279" s="38" t="n">
        <x:v>0</x:v>
      </x:c>
      <x:c r="H2279" s="57" t="n">
        <x:v>5611.099999999999</x:v>
      </x:c>
      <x:c r="I2279" s="57" t="n">
        <x:v>2.407</x:v>
      </x:c>
      <x:c r="J2279" s="57" t="n">
        <x:v>14.984056741200792</x:v>
      </x:c>
      <x:c r="K2279" s="57" t="n">
        <x:v>52.47608511180119</x:v>
      </x:c>
      <x:c r="L2279" s="57" t="n">
        <x:v>77.10869301685884</x:v>
      </x:c>
    </x:row>
    <x:row r="2280" ht="21.600000381469727" hidden="0" customHeight="1">
      <x:c r="A2280" s="27" t="str">
        <x:v>King County, Washington</x:v>
      </x:c>
      <x:c r="B2280" s="27" t="str">
        <x:v>53033032317</x:v>
      </x:c>
      <x:c r="C2280" s="50" t="n">
        <x:v>6859</x:v>
      </x:c>
      <x:c r="D2280" s="50" t="n">
        <x:v>558</x:v>
      </x:c>
      <x:c r="E2280" s="50" t="n">
        <x:v>96.5</x:v>
      </x:c>
      <x:c r="F2280" s="37" t="n">
        <x:v>0.08135296690479661</x:v>
      </x:c>
      <x:c r="G2280" s="37" t="n">
        <x:v>0.014069106283714827</x:v>
      </x:c>
      <x:c r="H2280" s="56" t="n">
        <x:v>7063.949999999999</x:v>
      </x:c>
      <x:c r="I2280" s="56" t="n">
        <x:v>1.696</x:v>
      </x:c>
      <x:c r="J2280" s="56" t="n">
        <x:v>12.572535104262176</x:v>
      </x:c>
      <x:c r="K2280" s="56" t="n">
        <x:v>48.858802656393266</x:v>
      </x:c>
      <x:c r="L2280" s="56" t="n">
        <x:v>71.94114665199038</x:v>
      </x:c>
    </x:row>
    <x:row r="2281" ht="21.600000381469727" hidden="0" customHeight="1">
      <x:c r="A2281" s="29" t="str">
        <x:v>King County, Washington</x:v>
      </x:c>
      <x:c r="B2281" s="29" t="str">
        <x:v>53033032318</x:v>
      </x:c>
      <x:c r="C2281" s="51" t="n">
        <x:v>6767</x:v>
      </x:c>
      <x:c r="D2281" s="51" t="n">
        <x:v>198</x:v>
      </x:c>
      <x:c r="E2281" s="51" t="n">
        <x:v>44</x:v>
      </x:c>
      <x:c r="F2281" s="38" t="n">
        <x:v>0.029259642382148662</x:v>
      </x:c>
      <x:c r="G2281" s="38" t="n">
        <x:v>0.0065021427515885915</x:v>
      </x:c>
      <x:c r="H2281" s="57" t="n">
        <x:v>6840.7</x:v>
      </x:c>
      <x:c r="I2281" s="57" t="n">
        <x:v>2.829</x:v>
      </x:c>
      <x:c r="J2281" s="57" t="n">
        <x:v>13.787753068973341</x:v>
      </x:c>
      <x:c r="K2281" s="57" t="n">
        <x:v>50.68162960346001</x:v>
      </x:c>
      <x:c r="L2281" s="57" t="n">
        <x:v>74.54518514780003</x:v>
      </x:c>
    </x:row>
    <x:row r="2282" ht="21.600000381469727" hidden="0" customHeight="1">
      <x:c r="A2282" s="27" t="str">
        <x:v>King County, Washington</x:v>
      </x:c>
      <x:c r="B2282" s="27" t="str">
        <x:v>53033032319</x:v>
      </x:c>
      <x:c r="C2282" s="50" t="n">
        <x:v>7011</x:v>
      </x:c>
      <x:c r="D2282" s="50" t="n">
        <x:v>604</x:v>
      </x:c>
      <x:c r="E2282" s="50" t="n">
        <x:v>327</x:v>
      </x:c>
      <x:c r="F2282" s="37" t="n">
        <x:v>0.0861503351875624</x:v>
      </x:c>
      <x:c r="G2282" s="37" t="n">
        <x:v>0.04664099272571673</x:v>
      </x:c>
      <x:c r="H2282" s="56" t="n">
        <x:v>7255.099999999999</x:v>
      </x:c>
      <x:c r="I2282" s="56" t="n">
        <x:v>2.652</x:v>
      </x:c>
      <x:c r="J2282" s="56" t="n">
        <x:v>16.779444325942507</x:v>
      </x:c>
      <x:c r="K2282" s="56" t="n">
        <x:v>55.16916648891376</x:v>
      </x:c>
      <x:c r="L2282" s="56" t="n">
        <x:v>80.95595212701966</x:v>
      </x:c>
    </x:row>
    <x:row r="2283" ht="21.600000381469727" hidden="0" customHeight="1">
      <x:c r="A2283" s="29" t="str">
        <x:v>King County, Washington</x:v>
      </x:c>
      <x:c r="B2283" s="29" t="str">
        <x:v>53033032320</x:v>
      </x:c>
      <x:c r="C2283" s="51" t="n">
        <x:v>4469</x:v>
      </x:c>
      <x:c r="D2283" s="51" t="n">
        <x:v>405</x:v>
      </x:c>
      <x:c r="E2283" s="51" t="n">
        <x:v>71</x:v>
      </x:c>
      <x:c r="F2283" s="38" t="n">
        <x:v>0.09062430073842023</x:v>
      </x:c>
      <x:c r="G2283" s="38" t="n">
        <x:v>0.015887223092414412</x:v>
      </x:c>
      <x:c r="H2283" s="57" t="n">
        <x:v>4617.849999999999</x:v>
      </x:c>
      <x:c r="I2283" s="57" t="n">
        <x:v>3.73</x:v>
      </x:c>
      <x:c r="J2283" s="57" t="n">
        <x:v>19.11007747345288</x:v>
      </x:c>
      <x:c r="K2283" s="57" t="n">
        <x:v>58.66511621017932</x:v>
      </x:c>
      <x:c r="L2283" s="57" t="n">
        <x:v>85.95016601454188</x:v>
      </x:c>
    </x:row>
    <x:row r="2284" ht="21.600000381469727" hidden="0" customHeight="1">
      <x:c r="A2284" s="27" t="str">
        <x:v>King County, Washington</x:v>
      </x:c>
      <x:c r="B2284" s="27" t="str">
        <x:v>53033032321</x:v>
      </x:c>
      <x:c r="C2284" s="50" t="n">
        <x:v>6913</x:v>
      </x:c>
      <x:c r="D2284" s="50" t="n">
        <x:v>299</x:v>
      </x:c>
      <x:c r="E2284" s="50" t="n">
        <x:v>167</x:v>
      </x:c>
      <x:c r="F2284" s="37" t="n">
        <x:v>0.043251844351222334</x:v>
      </x:c>
      <x:c r="G2284" s="37" t="n">
        <x:v>0.02415738463763923</x:v>
      </x:c>
      <x:c r="H2284" s="56" t="n">
        <x:v>7034.35</x:v>
      </x:c>
      <x:c r="I2284" s="56" t="n">
        <x:v>4.935</x:v>
      </x:c>
      <x:c r="J2284" s="56" t="n">
        <x:v>19.78671547118032</x:v>
      </x:c>
      <x:c r="K2284" s="56" t="n">
        <x:v>59.68007320677047</x:v>
      </x:c>
      <x:c r="L2284" s="56" t="n">
        <x:v>87.40010458110068</x:v>
      </x:c>
    </x:row>
    <x:row r="2285" ht="21.600000381469727" hidden="0" customHeight="1">
      <x:c r="A2285" s="29" t="str">
        <x:v>King County, Washington</x:v>
      </x:c>
      <x:c r="B2285" s="29" t="str">
        <x:v>53033032322</x:v>
      </x:c>
      <x:c r="C2285" s="51" t="n">
        <x:v>2980</x:v>
      </x:c>
      <x:c r="D2285" s="51" t="n">
        <x:v>201</x:v>
      </x:c>
      <x:c r="E2285" s="51" t="n">
        <x:v>14</x:v>
      </x:c>
      <x:c r="F2285" s="38" t="n">
        <x:v>0.0674496644295302</x:v>
      </x:c>
      <x:c r="G2285" s="38" t="n">
        <x:v>0.004697986577181208</x:v>
      </x:c>
      <x:c r="H2285" s="57" t="n">
        <x:v>3051.7499999999995</x:v>
      </x:c>
      <x:c r="I2285" s="57" t="n">
        <x:v>1.787</x:v>
      </x:c>
      <x:c r="J2285" s="57" t="n">
        <x:v>22.27595993191654</x:v>
      </x:c>
      <x:c r="K2285" s="57" t="n">
        <x:v>63.41393989787481</x:v>
      </x:c>
      <x:c r="L2285" s="57" t="n">
        <x:v>92.73419985410686</x:v>
      </x:c>
    </x:row>
    <x:row r="2286" ht="21.600000381469727" hidden="0" customHeight="1">
      <x:c r="A2286" s="27" t="str">
        <x:v>King County, Washington</x:v>
      </x:c>
      <x:c r="B2286" s="27" t="str">
        <x:v>53033032323</x:v>
      </x:c>
      <x:c r="C2286" s="50" t="n">
        <x:v>6904</x:v>
      </x:c>
      <x:c r="D2286" s="50" t="n">
        <x:v>527</x:v>
      </x:c>
      <x:c r="E2286" s="50" t="n">
        <x:v>125</x:v>
      </x:c>
      <x:c r="F2286" s="37" t="n">
        <x:v>0.07633256083429896</x:v>
      </x:c>
      <x:c r="G2286" s="37" t="n">
        <x:v>0.018105446118192352</x:v>
      </x:c>
      <x:c r="H2286" s="56" t="n">
        <x:v>7100.950000000001</x:v>
      </x:c>
      <x:c r="I2286" s="56" t="n">
        <x:v>1.271</x:v>
      </x:c>
      <x:c r="J2286" s="56" t="n">
        <x:v>22.16054569496139</x:v>
      </x:c>
      <x:c r="K2286" s="56" t="n">
        <x:v>63.240818542442085</x:v>
      </x:c>
      <x:c r="L2286" s="56" t="n">
        <x:v>92.48688363206011</x:v>
      </x:c>
    </x:row>
    <x:row r="2287" ht="21.600000381469727" hidden="0" customHeight="1">
      <x:c r="A2287" s="29" t="str">
        <x:v>King County, Washington</x:v>
      </x:c>
      <x:c r="B2287" s="29" t="str">
        <x:v>53033032324</x:v>
      </x:c>
      <x:c r="C2287" s="51" t="n">
        <x:v>6425</x:v>
      </x:c>
      <x:c r="D2287" s="51" t="n">
        <x:v>469</x:v>
      </x:c>
      <x:c r="E2287" s="51" t="n">
        <x:v>224</x:v>
      </x:c>
      <x:c r="F2287" s="38" t="n">
        <x:v>0.07299610894941634</x:v>
      </x:c>
      <x:c r="G2287" s="38" t="n">
        <x:v>0.03486381322957199</x:v>
      </x:c>
      <x:c r="H2287" s="57" t="n">
        <x:v>6611.55</x:v>
      </x:c>
      <x:c r="I2287" s="57" t="n">
        <x:v>0.791</x:v>
      </x:c>
      <x:c r="J2287" s="57" t="n">
        <x:v>22.267535521377372</x:v>
      </x:c>
      <x:c r="K2287" s="57" t="n">
        <x:v>63.40130328206605</x:v>
      </x:c>
      <x:c r="L2287" s="57" t="n">
        <x:v>92.71614754580865</x:v>
      </x:c>
    </x:row>
    <x:row r="2288" ht="21.600000381469727" hidden="0" customHeight="1">
      <x:c r="A2288" s="27" t="str">
        <x:v>King County, Washington</x:v>
      </x:c>
      <x:c r="B2288" s="27" t="str">
        <x:v>53033032325</x:v>
      </x:c>
      <x:c r="C2288" s="50" t="n">
        <x:v>6439</x:v>
      </x:c>
      <x:c r="D2288" s="50" t="n">
        <x:v>690</x:v>
      </x:c>
      <x:c r="E2288" s="50" t="n">
        <x:v>41</x:v>
      </x:c>
      <x:c r="F2288" s="37" t="n">
        <x:v>0.10715949681627582</x:v>
      </x:c>
      <x:c r="G2288" s="37" t="n">
        <x:v>0.006367448361546824</x:v>
      </x:c>
      <x:c r="H2288" s="56" t="n">
        <x:v>6684.599999999999</x:v>
      </x:c>
      <x:c r="I2288" s="56" t="n">
        <x:v>0.854</x:v>
      </x:c>
      <x:c r="J2288" s="56" t="n">
        <x:v>22.84555399774813</x:v>
      </x:c>
      <x:c r="K2288" s="56" t="n">
        <x:v>64.2683309966222</x:v>
      </x:c>
      <x:c r="L2288" s="56" t="n">
        <x:v>93.95475856660313</x:v>
      </x:c>
    </x:row>
    <x:row r="2289" ht="21.600000381469727" hidden="0" customHeight="1">
      <x:c r="A2289" s="29" t="str">
        <x:v>King County, Washington</x:v>
      </x:c>
      <x:c r="B2289" s="29" t="str">
        <x:v>53033032326</x:v>
      </x:c>
      <x:c r="C2289" s="51" t="n">
        <x:v>4080</x:v>
      </x:c>
      <x:c r="D2289" s="51" t="n">
        <x:v>281</x:v>
      </x:c>
      <x:c r="E2289" s="51" t="n">
        <x:v>75</x:v>
      </x:c>
      <x:c r="F2289" s="38" t="n">
        <x:v>0.06887254901960785</x:v>
      </x:c>
      <x:c r="G2289" s="38" t="n">
        <x:v>0.01838235294117647</x:v>
      </x:c>
      <x:c r="H2289" s="57" t="n">
        <x:v>4185.85</x:v>
      </x:c>
      <x:c r="I2289" s="57" t="n">
        <x:v>3.972</x:v>
      </x:c>
      <x:c r="J2289" s="57" t="n">
        <x:v>24.226622228634042</x:v>
      </x:c>
      <x:c r="K2289" s="57" t="n">
        <x:v>66.33993334295107</x:v>
      </x:c>
      <x:c r="L2289" s="57" t="n">
        <x:v>96.91419048993009</x:v>
      </x:c>
    </x:row>
    <x:row r="2290" ht="21.600000381469727" hidden="0" customHeight="1">
      <x:c r="A2290" s="27" t="str">
        <x:v>King County, Washington</x:v>
      </x:c>
      <x:c r="B2290" s="27" t="str">
        <x:v>53033032327</x:v>
      </x:c>
      <x:c r="C2290" s="50" t="n">
        <x:v>4036</x:v>
      </x:c>
      <x:c r="D2290" s="50" t="n">
        <x:v>577</x:v>
      </x:c>
      <x:c r="E2290" s="50" t="n">
        <x:v>128</x:v>
      </x:c>
      <x:c r="F2290" s="37" t="n">
        <x:v>0.1429633300297324</x:v>
      </x:c>
      <x:c r="G2290" s="37" t="n">
        <x:v>0.031714568880079286</x:v>
      </x:c>
      <x:c r="H2290" s="56" t="n">
        <x:v>4250.75</x:v>
      </x:c>
      <x:c r="I2290" s="56" t="n">
        <x:v>6.242</x:v>
      </x:c>
      <x:c r="J2290" s="56" t="n">
        <x:v>24.566037844836483</x:v>
      </x:c>
      <x:c r="K2290" s="56" t="n">
        <x:v>66.84905676725472</x:v>
      </x:c>
      <x:c r="L2290" s="56" t="n">
        <x:v>97.64150966750674</x:v>
      </x:c>
    </x:row>
    <x:row r="2291" ht="21.600000381469727" hidden="0" customHeight="1">
      <x:c r="A2291" s="29" t="str">
        <x:v>King County, Washington</x:v>
      </x:c>
      <x:c r="B2291" s="29" t="str">
        <x:v>53033032328</x:v>
      </x:c>
      <x:c r="C2291" s="51" t="n">
        <x:v>3140</x:v>
      </x:c>
      <x:c r="D2291" s="51" t="n">
        <x:v>142</x:v>
      </x:c>
      <x:c r="E2291" s="51" t="n">
        <x:v>56</x:v>
      </x:c>
      <x:c r="F2291" s="38" t="n">
        <x:v>0.04522292993630573</x:v>
      </x:c>
      <x:c r="G2291" s="38" t="n">
        <x:v>0.017834394904458598</x:v>
      </x:c>
      <x:c r="H2291" s="57" t="n">
        <x:v>3195.3</x:v>
      </x:c>
      <x:c r="I2291" s="57" t="n">
        <x:v>3.284</x:v>
      </x:c>
      <x:c r="J2291" s="57" t="n">
        <x:v>17.888897926757902</x:v>
      </x:c>
      <x:c r="K2291" s="57" t="n">
        <x:v>56.83334689013685</x:v>
      </x:c>
      <x:c r="L2291" s="57" t="n">
        <x:v>83.3333527001955</x:v>
      </x:c>
    </x:row>
    <x:row r="2292" ht="21.600000381469727" hidden="0" customHeight="1">
      <x:c r="A2292" s="27" t="str">
        <x:v>King County, Washington</x:v>
      </x:c>
      <x:c r="B2292" s="27" t="str">
        <x:v>53033032330</x:v>
      </x:c>
      <x:c r="C2292" s="50" t="n">
        <x:v>5878</x:v>
      </x:c>
      <x:c r="D2292" s="50" t="n">
        <x:v>386</x:v>
      </x:c>
      <x:c r="E2292" s="50" t="n">
        <x:v>451</x:v>
      </x:c>
      <x:c r="F2292" s="37" t="n">
        <x:v>0.06566859476012249</x:v>
      </x:c>
      <x:c r="G2292" s="37" t="n">
        <x:v>0.07672677781558353</x:v>
      </x:c>
      <x:c r="H2292" s="56" t="n">
        <x:v>6058.2</x:v>
      </x:c>
      <x:c r="I2292" s="56" t="n">
        <x:v>1.795</x:v>
      </x:c>
      <x:c r="J2292" s="56" t="n">
        <x:v>20.344706768004535</x:v>
      </x:c>
      <x:c r="K2292" s="56" t="n">
        <x:v>60.517060152006806</x:v>
      </x:c>
      <x:c r="L2292" s="56" t="n">
        <x:v>88.59580021715257</x:v>
      </x:c>
    </x:row>
    <x:row r="2293" ht="21.600000381469727" hidden="0" customHeight="1">
      <x:c r="A2293" s="29" t="str">
        <x:v>King County, Washington</x:v>
      </x:c>
      <x:c r="B2293" s="29" t="str">
        <x:v>53033032331</x:v>
      </x:c>
      <x:c r="C2293" s="51" t="n">
        <x:v>6712</x:v>
      </x:c>
      <x:c r="D2293" s="51" t="n">
        <x:v>391</x:v>
      </x:c>
      <x:c r="E2293" s="51" t="n">
        <x:v>824.5</x:v>
      </x:c>
      <x:c r="F2293" s="38" t="n">
        <x:v>0.058253873659118</x:v>
      </x:c>
      <x:c r="G2293" s="38" t="n">
        <x:v>0.12283969010727055</x:v>
      </x:c>
      <x:c r="H2293" s="57" t="n">
        <x:v>6931.299999999999</x:v>
      </x:c>
      <x:c r="I2293" s="57" t="n">
        <x:v>0.556</x:v>
      </x:c>
      <x:c r="J2293" s="57" t="n">
        <x:v>21.68118462693991</x:v>
      </x:c>
      <x:c r="K2293" s="57" t="n">
        <x:v>62.521776940409865</x:v>
      </x:c>
      <x:c r="L2293" s="57" t="n">
        <x:v>91.45968134344267</x:v>
      </x:c>
    </x:row>
    <x:row r="2294" ht="21.600000381469727" hidden="0" customHeight="1">
      <x:c r="A2294" s="27" t="str">
        <x:v>King County, Washington</x:v>
      </x:c>
      <x:c r="B2294" s="27" t="str">
        <x:v>53033032332</x:v>
      </x:c>
      <x:c r="C2294" s="50" t="n">
        <x:v>6183</x:v>
      </x:c>
      <x:c r="D2294" s="50" t="n">
        <x:v>152</x:v>
      </x:c>
      <x:c r="E2294" s="50" t="n">
        <x:v>631.5</x:v>
      </x:c>
      <x:c r="F2294" s="37" t="n">
        <x:v>0.024583535500566068</x:v>
      </x:c>
      <x:c r="G2294" s="37" t="n">
        <x:v>0.10213488597768074</x:v>
      </x:c>
      <x:c r="H2294" s="56" t="n">
        <x:v>6299.35</x:v>
      </x:c>
      <x:c r="I2294" s="56" t="n">
        <x:v>1.843</x:v>
      </x:c>
      <x:c r="J2294" s="56" t="n">
        <x:v>20.050616174043444</x:v>
      </x:c>
      <x:c r="K2294" s="56" t="n">
        <x:v>60.07592426106517</x:v>
      </x:c>
      <x:c r="L2294" s="56" t="n">
        <x:v>87.96560608723595</x:v>
      </x:c>
    </x:row>
    <x:row r="2295" ht="21.600000381469727" hidden="0" customHeight="1">
      <x:c r="A2295" s="29" t="str">
        <x:v>King County, Washington</x:v>
      </x:c>
      <x:c r="B2295" s="29" t="str">
        <x:v>53033032333</x:v>
      </x:c>
      <x:c r="C2295" s="51" t="n">
        <x:v>3722</x:v>
      </x:c>
      <x:c r="D2295" s="51" t="n">
        <x:v>269</x:v>
      </x:c>
      <x:c r="E2295" s="51" t="n">
        <x:v>107</x:v>
      </x:c>
      <x:c r="F2295" s="38" t="n">
        <x:v>0.0722729715206878</x:v>
      </x:c>
      <x:c r="G2295" s="38" t="n">
        <x:v>0.02874798495432563</x:v>
      </x:c>
      <x:c r="H2295" s="57" t="n">
        <x:v>3826.85</x:v>
      </x:c>
      <x:c r="I2295" s="57" t="n">
        <x:v>1.883</x:v>
      </x:c>
      <x:c r="J2295" s="57" t="n">
        <x:v>21.16010080228216</x:v>
      </x:c>
      <x:c r="K2295" s="57" t="n">
        <x:v>61.74015120342324</x:v>
      </x:c>
      <x:c r="L2295" s="57" t="n">
        <x:v>90.34307314774748</x:v>
      </x:c>
    </x:row>
    <x:row r="2296" ht="21.600000381469727" hidden="0" customHeight="1">
      <x:c r="A2296" s="27" t="str">
        <x:v>King County, Washington</x:v>
      </x:c>
      <x:c r="B2296" s="27" t="str">
        <x:v>53033032401</x:v>
      </x:c>
      <x:c r="C2296" s="50" t="n">
        <x:v>6223</x:v>
      </x:c>
      <x:c r="D2296" s="50" t="n">
        <x:v>288</x:v>
      </x:c>
      <x:c r="E2296" s="50" t="n">
        <x:v>113</x:v>
      </x:c>
      <x:c r="F2296" s="37" t="n">
        <x:v>0.04627992929455247</x:v>
      </x:c>
      <x:c r="G2296" s="37" t="n">
        <x:v>0.018158444480154266</x:v>
      </x:c>
      <x:c r="H2296" s="56" t="n">
        <x:v>6335.1</x:v>
      </x:c>
      <x:c r="I2296" s="56" t="n">
        <x:v>21.748</x:v>
      </x:c>
      <x:c r="J2296" s="56" t="n">
        <x:v>30.710357113704053</x:v>
      </x:c>
      <x:c r="K2296" s="56" t="n">
        <x:v>76.06553567055607</x:v>
      </x:c>
      <x:c r="L2296" s="56" t="n">
        <x:v>110.80790810079439</x:v>
      </x:c>
    </x:row>
    <x:row r="2297" ht="21.600000381469727" hidden="0" customHeight="1">
      <x:c r="A2297" s="29" t="str">
        <x:v>King County, Washington</x:v>
      </x:c>
      <x:c r="B2297" s="29" t="str">
        <x:v>53033032402</x:v>
      </x:c>
      <x:c r="C2297" s="51" t="n">
        <x:v>7762</x:v>
      </x:c>
      <x:c r="D2297" s="51" t="n">
        <x:v>359</x:v>
      </x:c>
      <x:c r="E2297" s="51" t="n">
        <x:v>237</x:v>
      </x:c>
      <x:c r="F2297" s="38" t="n">
        <x:v>0.04625096624581294</x:v>
      </x:c>
      <x:c r="G2297" s="38" t="n">
        <x:v>0.030533367688740015</x:v>
      </x:c>
      <x:c r="H2297" s="57" t="n">
        <x:v>7911.35</x:v>
      </x:c>
      <x:c r="I2297" s="57" t="n">
        <x:v>9.708</x:v>
      </x:c>
      <x:c r="J2297" s="57" t="n">
        <x:v>24.7592787119532</x:v>
      </x:c>
      <x:c r="K2297" s="57" t="n">
        <x:v>67.13891806792981</x:v>
      </x:c>
      <x:c r="L2297" s="57" t="n">
        <x:v>98.05559723989973</x:v>
      </x:c>
    </x:row>
    <x:row r="2298" ht="21.600000381469727" hidden="0" customHeight="1">
      <x:c r="A2298" s="27" t="str">
        <x:v>King County, Washington</x:v>
      </x:c>
      <x:c r="B2298" s="27" t="str">
        <x:v>53033032500</x:v>
      </x:c>
      <x:c r="C2298" s="50" t="n">
        <x:v>6160</x:v>
      </x:c>
      <x:c r="D2298" s="50" t="n">
        <x:v>617</x:v>
      </x:c>
      <x:c r="E2298" s="50" t="n">
        <x:v>71</x:v>
      </x:c>
      <x:c r="F2298" s="37" t="n">
        <x:v>0.10016233766233766</x:v>
      </x:c>
      <x:c r="G2298" s="37" t="n">
        <x:v>0.011525974025974026</x:v>
      </x:c>
      <x:c r="H2298" s="56" t="n">
        <x:v>6383.050000000001</x:v>
      </x:c>
      <x:c r="I2298" s="56" t="n">
        <x:v>82.525</x:v>
      </x:c>
      <x:c r="J2298" s="56" t="n">
        <x:v>30.046432529371337</x:v>
      </x:c>
      <x:c r="K2298" s="56" t="n">
        <x:v>75.069648794057</x:v>
      </x:c>
      <x:c r="L2298" s="56" t="n">
        <x:v>109.38521256293858</x:v>
      </x:c>
    </x:row>
    <x:row r="2299" ht="21.600000381469727" hidden="0" customHeight="1">
      <x:c r="A2299" s="29" t="str">
        <x:v>King County, Washington</x:v>
      </x:c>
      <x:c r="B2299" s="29" t="str">
        <x:v>53033032601</x:v>
      </x:c>
      <x:c r="C2299" s="51" t="n">
        <x:v>2266</x:v>
      </x:c>
      <x:c r="D2299" s="51" t="n">
        <x:v>318</x:v>
      </x:c>
      <x:c r="E2299" s="51" t="n">
        <x:v>36</x:v>
      </x:c>
      <x:c r="F2299" s="38" t="n">
        <x:v>0.14033539276257723</x:v>
      </x:c>
      <x:c r="G2299" s="38" t="n">
        <x:v>0.01588702559576346</x:v>
      </x:c>
      <x:c r="H2299" s="57" t="n">
        <x:v>2380.9</x:v>
      </x:c>
      <x:c r="I2299" s="57" t="n">
        <x:v>23.64</x:v>
      </x:c>
      <x:c r="J2299" s="57" t="n">
        <x:v>15.671621854248004</x:v>
      </x:c>
      <x:c r="K2299" s="57" t="n">
        <x:v>53.507432781372</x:v>
      </x:c>
      <x:c r="L2299" s="57" t="n">
        <x:v>78.58204683053144</x:v>
      </x:c>
    </x:row>
    <x:row r="2300" ht="21.600000381469727" hidden="0" customHeight="1">
      <x:c r="A2300" s="27" t="str">
        <x:v>King County, Washington</x:v>
      </x:c>
      <x:c r="B2300" s="27" t="str">
        <x:v>53033032603</x:v>
      </x:c>
      <x:c r="C2300" s="50" t="n">
        <x:v>4171</x:v>
      </x:c>
      <x:c r="D2300" s="50" t="n">
        <x:v>141</x:v>
      </x:c>
      <x:c r="E2300" s="50" t="n">
        <x:v>49.5</x:v>
      </x:c>
      <x:c r="F2300" s="37" t="n">
        <x:v>0.03380484296331815</x:v>
      </x:c>
      <x:c r="G2300" s="37" t="n">
        <x:v>0.0118676576360585</x:v>
      </x:c>
      <x:c r="H2300" s="56" t="n">
        <x:v>4225.299999999999</x:v>
      </x:c>
      <x:c r="I2300" s="56" t="n">
        <x:v>4.782</x:v>
      </x:c>
      <x:c r="J2300" s="56" t="n">
        <x:v>14.949347124554533</x:v>
      </x:c>
      <x:c r="K2300" s="56" t="n">
        <x:v>52.4240206868318</x:v>
      </x:c>
      <x:c r="L2300" s="56" t="n">
        <x:v>77.03431526690258</x:v>
      </x:c>
    </x:row>
    <x:row r="2301" ht="21.600000381469727" hidden="0" customHeight="1">
      <x:c r="A2301" s="29" t="str">
        <x:v>King County, Washington</x:v>
      </x:c>
      <x:c r="B2301" s="29" t="str">
        <x:v>53033032604</x:v>
      </x:c>
      <x:c r="C2301" s="51" t="n">
        <x:v>5498</x:v>
      </x:c>
      <x:c r="D2301" s="51" t="n">
        <x:v>366</x:v>
      </x:c>
      <x:c r="E2301" s="51" t="n">
        <x:v>73.5</x:v>
      </x:c>
      <x:c r="F2301" s="38" t="n">
        <x:v>0.06656966169516187</x:v>
      </x:c>
      <x:c r="G2301" s="38" t="n">
        <x:v>0.01336849763550382</x:v>
      </x:c>
      <x:c r="H2301" s="57" t="n">
        <x:v>5633.450000000001</x:v>
      </x:c>
      <x:c r="I2301" s="57" t="n">
        <x:v>5.008</x:v>
      </x:c>
      <x:c r="J2301" s="57" t="n">
        <x:v>14.060384937042627</x:v>
      </x:c>
      <x:c r="K2301" s="57" t="n">
        <x:v>51.09057740556394</x:v>
      </x:c>
      <x:c r="L2301" s="57" t="n">
        <x:v>75.12939629366278</x:v>
      </x:c>
    </x:row>
    <x:row r="2302" ht="21.600000381469727" hidden="0" customHeight="1">
      <x:c r="A2302" s="27" t="str">
        <x:v>King County, Washington</x:v>
      </x:c>
      <x:c r="B2302" s="27" t="str">
        <x:v>53033032605</x:v>
      </x:c>
      <x:c r="C2302" s="50" t="n">
        <x:v>4308</x:v>
      </x:c>
      <x:c r="D2302" s="50" t="n">
        <x:v>45</x:v>
      </x:c>
      <x:c r="E2302" s="50" t="n">
        <x:v>26</x:v>
      </x:c>
      <x:c r="F2302" s="37" t="n">
        <x:v>0.010445682451253482</x:v>
      </x:c>
      <x:c r="G2302" s="37" t="n">
        <x:v>0.0060352831940575676</x:v>
      </x:c>
      <x:c r="H2302" s="56" t="n">
        <x:v>4326.349999999999</x:v>
      </x:c>
      <x:c r="I2302" s="56" t="n">
        <x:v>1.749</x:v>
      </x:c>
      <x:c r="J2302" s="56" t="n">
        <x:v>11.693949158551469</x:v>
      </x:c>
      <x:c r="K2302" s="56" t="n">
        <x:v>47.5409237378272</x:v>
      </x:c>
      <x:c r="L2302" s="56" t="n">
        <x:v>70.05846248261028</x:v>
      </x:c>
    </x:row>
    <x:row r="2303" ht="21.600000381469727" hidden="0" customHeight="1">
      <x:c r="A2303" s="29" t="str">
        <x:v>King County, Washington</x:v>
      </x:c>
      <x:c r="B2303" s="29" t="str">
        <x:v>53033032703</x:v>
      </x:c>
      <x:c r="C2303" s="51" t="n">
        <x:v>1821</x:v>
      </x:c>
      <x:c r="D2303" s="51" t="n">
        <x:v>96</x:v>
      </x:c>
      <x:c r="E2303" s="51" t="n">
        <x:v>21</x:v>
      </x:c>
      <x:c r="F2303" s="38" t="n">
        <x:v>0.05271828665568369</x:v>
      </x:c>
      <x:c r="G2303" s="38" t="n">
        <x:v>0.011532125205930808</x:v>
      </x:c>
      <x:c r="H2303" s="57" t="n">
        <x:v>1856.7</x:v>
      </x:c>
      <x:c r="I2303" s="57" t="n">
        <x:v>3.834</x:v>
      </x:c>
      <x:c r="J2303" s="57" t="n">
        <x:v>20.584892665537733</x:v>
      </x:c>
      <x:c r="K2303" s="57" t="n">
        <x:v>60.8773389983066</x:v>
      </x:c>
      <x:c r="L2303" s="57" t="n">
        <x:v>89.11048428329514</x:v>
      </x:c>
    </x:row>
    <x:row r="2304" ht="21.600000381469727" hidden="0" customHeight="1">
      <x:c r="A2304" s="27" t="str">
        <x:v>King County, Washington</x:v>
      </x:c>
      <x:c r="B2304" s="27" t="str">
        <x:v>53033032704</x:v>
      </x:c>
      <x:c r="C2304" s="50" t="n">
        <x:v>7938</x:v>
      </x:c>
      <x:c r="D2304" s="50" t="n">
        <x:v>485</x:v>
      </x:c>
      <x:c r="E2304" s="50" t="n">
        <x:v>61</x:v>
      </x:c>
      <x:c r="F2304" s="37" t="n">
        <x:v>0.06109851347946586</x:v>
      </x:c>
      <x:c r="G2304" s="37" t="n">
        <x:v>0.007684555303602922</x:v>
      </x:c>
      <x:c r="H2304" s="56" t="n">
        <x:v>8113.849999999999</x:v>
      </x:c>
      <x:c r="I2304" s="56" t="n">
        <x:v>6.477</x:v>
      </x:c>
      <x:c r="J2304" s="56" t="n">
        <x:v>25.923592414337282</x:v>
      </x:c>
      <x:c r="K2304" s="56" t="n">
        <x:v>68.88538862150592</x:v>
      </x:c>
      <x:c r="L2304" s="56" t="n">
        <x:v>100.55055517357988</x:v>
      </x:c>
    </x:row>
    <x:row r="2305" ht="21.600000381469727" hidden="0" customHeight="1">
      <x:c r="A2305" s="29" t="str">
        <x:v>King County, Washington</x:v>
      </x:c>
      <x:c r="B2305" s="29" t="str">
        <x:v>53033032705</x:v>
      </x:c>
      <x:c r="C2305" s="51" t="n">
        <x:v>3520</x:v>
      </x:c>
      <x:c r="D2305" s="51" t="n">
        <x:v>333</x:v>
      </x:c>
      <x:c r="E2305" s="51" t="n">
        <x:v>22</x:v>
      </x:c>
      <x:c r="F2305" s="38" t="n">
        <x:v>0.09460227272727273</x:v>
      </x:c>
      <x:c r="G2305" s="38" t="n">
        <x:v>0.00625</x:v>
      </x:c>
      <x:c r="H2305" s="57" t="n">
        <x:v>3638.7500000000005</x:v>
      </x:c>
      <x:c r="I2305" s="57" t="n">
        <x:v>20.316</x:v>
      </x:c>
      <x:c r="J2305" s="57" t="n">
        <x:v>24.480094171305836</x:v>
      </x:c>
      <x:c r="K2305" s="57" t="n">
        <x:v>66.72014125695875</x:v>
      </x:c>
      <x:c r="L2305" s="57" t="n">
        <x:v>97.45734465279821</x:v>
      </x:c>
    </x:row>
    <x:row r="2306" ht="21.600000381469727" hidden="0" customHeight="1">
      <x:c r="A2306" s="27" t="str">
        <x:v>King County, Washington</x:v>
      </x:c>
      <x:c r="B2306" s="27" t="str">
        <x:v>53033032706</x:v>
      </x:c>
      <x:c r="C2306" s="50" t="n">
        <x:v>2627</x:v>
      </x:c>
      <x:c r="D2306" s="50" t="n">
        <x:v>310</x:v>
      </x:c>
      <x:c r="E2306" s="50" t="n">
        <x:v>46.5</x:v>
      </x:c>
      <x:c r="F2306" s="37" t="n">
        <x:v>0.1180053292729349</x:v>
      </x:c>
      <x:c r="G2306" s="37" t="n">
        <x:v>0.017700799390940235</x:v>
      </x:c>
      <x:c r="H2306" s="56" t="n">
        <x:v>2740.15</x:v>
      </x:c>
      <x:c r="I2306" s="56" t="n">
        <x:v>177.142</x:v>
      </x:c>
      <x:c r="J2306" s="56" t="n">
        <x:v>36.1852885688779</x:v>
      </x:c>
      <x:c r="K2306" s="56" t="n">
        <x:v>84.27793285331686</x:v>
      </x:c>
      <x:c r="L2306" s="56" t="n">
        <x:v>122.53990407616693</x:v>
      </x:c>
    </x:row>
    <x:row r="2307" ht="21.600000381469727" hidden="0" customHeight="1">
      <x:c r="A2307" s="29" t="str">
        <x:v>King County, Washington</x:v>
      </x:c>
      <x:c r="B2307" s="29" t="str">
        <x:v>53033032800</x:v>
      </x:c>
      <x:c r="C2307" s="51" t="n">
        <x:v>2365</x:v>
      </x:c>
      <x:c r="D2307" s="51" t="n">
        <x:v>310</x:v>
      </x:c>
      <x:c r="E2307" s="51" t="n">
        <x:v>59</x:v>
      </x:c>
      <x:c r="F2307" s="38" t="n">
        <x:v>0.13107822410147993</x:v>
      </x:c>
      <x:c r="G2307" s="38" t="n">
        <x:v>0.024947145877378434</x:v>
      </x:c>
      <x:c r="H2307" s="57" t="n">
        <x:v>2479.4</x:v>
      </x:c>
      <x:c r="I2307" s="57" t="n">
        <x:v>536.939</x:v>
      </x:c>
      <x:c r="J2307" s="57" t="n">
        <x:v>61.22161249784687</x:v>
      </x:c>
      <x:c r="K2307" s="57" t="n">
        <x:v>121.8324187467703</x:v>
      </x:c>
      <x:c r="L2307" s="57" t="n">
        <x:v>176.1891696382433</x:v>
      </x:c>
    </x:row>
    <x:row r="2308" ht="32.400001525878906" hidden="0" customHeight="1">
      <x:c r="A2308" s="27" t="str">
        <x:v>San Juan Municipio, Puerto Rico</x:v>
      </x:c>
      <x:c r="B2308" s="27" t="str">
        <x:v>72127000400</x:v>
      </x:c>
      <x:c r="C2308" s="50" t="n">
        <x:v>1002</x:v>
      </x:c>
      <x:c r="D2308" s="50" t="n">
        <x:v>302</x:v>
      </x:c>
      <x:c r="E2308" s="50" t="n">
        <x:v>426</x:v>
      </x:c>
      <x:c r="F2308" s="37" t="n">
        <x:v>0.3013972055888224</x:v>
      </x:c>
      <x:c r="G2308" s="37" t="n">
        <x:v>0.4251497005988024</x:v>
      </x:c>
      <x:c r="H2308" s="56" t="n">
        <x:v>1150.3</x:v>
      </x:c>
      <x:c r="I2308" s="56" t="n">
        <x:v>0.045</x:v>
      </x:c>
      <x:c r="J2308" s="56" t="n">
        <x:v>22.69936606261039</x:v>
      </x:c>
      <x:c r="K2308" s="56" t="n">
        <x:v>64.04904909391558</x:v>
      </x:c>
      <x:c r="L2308" s="56" t="n">
        <x:v>93.64149870559369</x:v>
      </x:c>
    </x:row>
    <x:row r="2309" ht="32.400001525878906" hidden="0" customHeight="1">
      <x:c r="A2309" s="29" t="str">
        <x:v>San Juan Municipio, Puerto Rico</x:v>
      </x:c>
      <x:c r="B2309" s="29" t="str">
        <x:v>72127000506</x:v>
      </x:c>
      <x:c r="C2309" s="51" t="n">
        <x:v>1851</x:v>
      </x:c>
      <x:c r="D2309" s="51" t="n">
        <x:v>261</x:v>
      </x:c>
      <x:c r="E2309" s="51" t="n">
        <x:v>397.5</x:v>
      </x:c>
      <x:c r="F2309" s="38" t="n">
        <x:v>0.14100486223662884</x:v>
      </x:c>
      <x:c r="G2309" s="38" t="n">
        <x:v>0.21474878444084278</x:v>
      </x:c>
      <x:c r="H2309" s="57" t="n">
        <x:v>1982.1</x:v>
      </x:c>
      <x:c r="I2309" s="57" t="n">
        <x:v>0.151</x:v>
      </x:c>
      <x:c r="J2309" s="57" t="n">
        <x:v>22.342510064591963</x:v>
      </x:c>
      <x:c r="K2309" s="57" t="n">
        <x:v>63.513765096887944</x:v>
      </x:c>
      <x:c r="L2309" s="57" t="n">
        <x:v>92.8768072812685</x:v>
      </x:c>
    </x:row>
    <x:row r="2310" ht="32.400001525878906" hidden="0" customHeight="1">
      <x:c r="A2310" s="27" t="str">
        <x:v>San Juan Municipio, Puerto Rico</x:v>
      </x:c>
      <x:c r="B2310" s="27" t="str">
        <x:v>72127000600</x:v>
      </x:c>
      <x:c r="C2310" s="50" t="n">
        <x:v>1832</x:v>
      </x:c>
      <x:c r="D2310" s="50" t="n">
        <x:v>381</x:v>
      </x:c>
      <x:c r="E2310" s="50" t="n">
        <x:v>272</x:v>
      </x:c>
      <x:c r="F2310" s="37" t="n">
        <x:v>0.20796943231441048</x:v>
      </x:c>
      <x:c r="G2310" s="37" t="n">
        <x:v>0.14847161572052403</x:v>
      </x:c>
      <x:c r="H2310" s="56" t="n">
        <x:v>1992.55</x:v>
      </x:c>
      <x:c r="I2310" s="56" t="n">
        <x:v>0.268</x:v>
      </x:c>
      <x:c r="J2310" s="56" t="n">
        <x:v>21.757905592311882</x:v>
      </x:c>
      <x:c r="K2310" s="56" t="n">
        <x:v>62.63685838846782</x:v>
      </x:c>
      <x:c r="L2310" s="56" t="n">
        <x:v>91.6240834120969</x:v>
      </x:c>
    </x:row>
    <x:row r="2311" ht="32.400001525878906" hidden="0" customHeight="1">
      <x:c r="A2311" s="29" t="str">
        <x:v>San Juan Municipio, Puerto Rico</x:v>
      </x:c>
      <x:c r="B2311" s="29" t="str">
        <x:v>72127000700</x:v>
      </x:c>
      <x:c r="C2311" s="51" t="n">
        <x:v>1610</x:v>
      </x:c>
      <x:c r="D2311" s="51" t="n">
        <x:v>487</x:v>
      </x:c>
      <x:c r="E2311" s="51" t="n">
        <x:v>396.5</x:v>
      </x:c>
      <x:c r="F2311" s="38" t="n">
        <x:v>0.3024844720496894</x:v>
      </x:c>
      <x:c r="G2311" s="38" t="n">
        <x:v>0.24627329192546585</x:v>
      </x:c>
      <x:c r="H2311" s="57" t="n">
        <x:v>1820.1</x:v>
      </x:c>
      <x:c r="I2311" s="57" t="n">
        <x:v>0.322</x:v>
      </x:c>
      <x:c r="J2311" s="57" t="n">
        <x:v>21.462528389023472</x:v>
      </x:c>
      <x:c r="K2311" s="57" t="n">
        <x:v>62.193792583535206</x:v>
      </x:c>
      <x:c r="L2311" s="57" t="n">
        <x:v>90.99113226219316</x:v>
      </x:c>
    </x:row>
    <x:row r="2312" ht="32.400001525878906" hidden="0" customHeight="1">
      <x:c r="A2312" s="27" t="str">
        <x:v>San Juan Municipio, Puerto Rico</x:v>
      </x:c>
      <x:c r="B2312" s="27" t="str">
        <x:v>72127000900</x:v>
      </x:c>
      <x:c r="C2312" s="50" t="n">
        <x:v>2824</x:v>
      </x:c>
      <x:c r="D2312" s="50" t="n">
        <x:v>387</x:v>
      </x:c>
      <x:c r="E2312" s="50" t="n">
        <x:v>257</x:v>
      </x:c>
      <x:c r="F2312" s="37" t="n">
        <x:v>0.13703966005665721</x:v>
      </x:c>
      <x:c r="G2312" s="37" t="n">
        <x:v>0.0910056657223796</x:v>
      </x:c>
      <x:c r="H2312" s="56" t="n">
        <x:v>2985.1499999999996</x:v>
      </x:c>
      <x:c r="I2312" s="56" t="n">
        <x:v>0.193</x:v>
      </x:c>
      <x:c r="J2312" s="56" t="n">
        <x:v>20.165944288999732</x:v>
      </x:c>
      <x:c r="K2312" s="56" t="n">
        <x:v>60.248916433499595</x:v>
      </x:c>
      <x:c r="L2312" s="56" t="n">
        <x:v>88.21273776214228</x:v>
      </x:c>
    </x:row>
    <x:row r="2313" ht="32.400001525878906" hidden="0" customHeight="1">
      <x:c r="A2313" s="29" t="str">
        <x:v>San Juan Municipio, Puerto Rico</x:v>
      </x:c>
      <x:c r="B2313" s="29" t="str">
        <x:v>72127001001</x:v>
      </x:c>
      <x:c r="C2313" s="51" t="n">
        <x:v>2611</x:v>
      </x:c>
      <x:c r="D2313" s="51" t="n">
        <x:v>516</x:v>
      </x:c>
      <x:c r="E2313" s="51" t="n">
        <x:v>284</x:v>
      </x:c>
      <x:c r="F2313" s="38" t="n">
        <x:v>0.1976254308693987</x:v>
      </x:c>
      <x:c r="G2313" s="38" t="n">
        <x:v>0.10877058598238223</x:v>
      </x:c>
      <x:c r="H2313" s="57" t="n">
        <x:v>2820</x:v>
      </x:c>
      <x:c r="I2313" s="57" t="n">
        <x:v>0.145</x:v>
      </x:c>
      <x:c r="J2313" s="57" t="n">
        <x:v>19.62133661092388</x:v>
      </x:c>
      <x:c r="K2313" s="57" t="n">
        <x:v>59.43200491638582</x:v>
      </x:c>
      <x:c r="L2313" s="57" t="n">
        <x:v>87.0457213091226</x:v>
      </x:c>
    </x:row>
    <x:row r="2314" ht="32.400001525878906" hidden="0" customHeight="1">
      <x:c r="A2314" s="27" t="str">
        <x:v>San Juan Municipio, Puerto Rico</x:v>
      </x:c>
      <x:c r="B2314" s="27" t="str">
        <x:v>72127001002</x:v>
      </x:c>
      <x:c r="C2314" s="50" t="n">
        <x:v>1818</x:v>
      </x:c>
      <x:c r="D2314" s="50" t="n">
        <x:v>111</x:v>
      </x:c>
      <x:c r="E2314" s="50" t="n">
        <x:v>105</x:v>
      </x:c>
      <x:c r="F2314" s="37" t="n">
        <x:v>0.06105610561056106</x:v>
      </x:c>
      <x:c r="G2314" s="37" t="n">
        <x:v>0.057755775577557754</x:v>
      </x:c>
      <x:c r="H2314" s="56" t="n">
        <x:v>1867.35</x:v>
      </x:c>
      <x:c r="I2314" s="56" t="n">
        <x:v>0.077</x:v>
      </x:c>
      <x:c r="J2314" s="56" t="n">
        <x:v>19.22160024333068</x:v>
      </x:c>
      <x:c r="K2314" s="56" t="n">
        <x:v>58.83240036499602</x:v>
      </x:c>
      <x:c r="L2314" s="56" t="n">
        <x:v>86.18914337856575</x:v>
      </x:c>
    </x:row>
    <x:row r="2315" ht="32.400001525878906" hidden="0" customHeight="1">
      <x:c r="A2315" s="29" t="str">
        <x:v>San Juan Municipio, Puerto Rico</x:v>
      </x:c>
      <x:c r="B2315" s="29" t="str">
        <x:v>72127001100</x:v>
      </x:c>
      <x:c r="C2315" s="51" t="n">
        <x:v>1839</x:v>
      </x:c>
      <x:c r="D2315" s="51" t="n">
        <x:v>379</x:v>
      </x:c>
      <x:c r="E2315" s="51" t="n">
        <x:v>52</x:v>
      </x:c>
      <x:c r="F2315" s="38" t="n">
        <x:v>0.20609026644915715</x:v>
      </x:c>
      <x:c r="G2315" s="38" t="n">
        <x:v>0.028276237085372486</x:v>
      </x:c>
      <x:c r="H2315" s="57" t="n">
        <x:v>1976.85</x:v>
      </x:c>
      <x:c r="I2315" s="57" t="n">
        <x:v>0.126</x:v>
      </x:c>
      <x:c r="J2315" s="57" t="n">
        <x:v>19.4029504427599</x:v>
      </x:c>
      <x:c r="K2315" s="57" t="n">
        <x:v>59.104425664139846</x:v>
      </x:c>
      <x:c r="L2315" s="57" t="n">
        <x:v>86.57775094877121</x:v>
      </x:c>
    </x:row>
    <x:row r="2316" ht="32.400001525878906" hidden="0" customHeight="1">
      <x:c r="A2316" s="27" t="str">
        <x:v>San Juan Municipio, Puerto Rico</x:v>
      </x:c>
      <x:c r="B2316" s="27" t="str">
        <x:v>72127001200</x:v>
      </x:c>
      <x:c r="C2316" s="50" t="n">
        <x:v>2040</x:v>
      </x:c>
      <x:c r="D2316" s="50" t="n">
        <x:v>403</x:v>
      </x:c>
      <x:c r="E2316" s="50" t="n">
        <x:v>136</x:v>
      </x:c>
      <x:c r="F2316" s="37" t="n">
        <x:v>0.19754901960784313</x:v>
      </x:c>
      <x:c r="G2316" s="37" t="n">
        <x:v>0.06666666666666667</x:v>
      </x:c>
      <x:c r="H2316" s="56" t="n">
        <x:v>2194.6499999999996</x:v>
      </x:c>
      <x:c r="I2316" s="56" t="n">
        <x:v>0.257</x:v>
      </x:c>
      <x:c r="J2316" s="56" t="n">
        <x:v>21.099381569499943</x:v>
      </x:c>
      <x:c r="K2316" s="56" t="n">
        <x:v>61.64907235424992</x:v>
      </x:c>
      <x:c r="L2316" s="56" t="n">
        <x:v>90.21296050607131</x:v>
      </x:c>
    </x:row>
    <x:row r="2317" ht="32.400001525878906" hidden="0" customHeight="1">
      <x:c r="A2317" s="29" t="str">
        <x:v>San Juan Municipio, Puerto Rico</x:v>
      </x:c>
      <x:c r="B2317" s="29" t="str">
        <x:v>72127001301</x:v>
      </x:c>
      <x:c r="C2317" s="51" t="n">
        <x:v>1499</x:v>
      </x:c>
      <x:c r="D2317" s="51" t="n">
        <x:v>322</x:v>
      </x:c>
      <x:c r="E2317" s="51" t="n">
        <x:v>776</x:v>
      </x:c>
      <x:c r="F2317" s="38" t="n">
        <x:v>0.21480987324883255</x:v>
      </x:c>
      <x:c r="G2317" s="38" t="n">
        <x:v>0.5176784523015343</x:v>
      </x:c>
      <x:c r="H2317" s="57" t="n">
        <x:v>1689.3000000000002</x:v>
      </x:c>
      <x:c r="I2317" s="57" t="n">
        <x:v>0.076</x:v>
      </x:c>
      <x:c r="J2317" s="57" t="n">
        <x:v>18.59753903289546</x:v>
      </x:c>
      <x:c r="K2317" s="57" t="n">
        <x:v>57.896308549343196</x:v>
      </x:c>
      <x:c r="L2317" s="57" t="n">
        <x:v>84.85186935620456</x:v>
      </x:c>
    </x:row>
    <x:row r="2318" ht="32.400001525878906" hidden="0" customHeight="1">
      <x:c r="A2318" s="27" t="str">
        <x:v>San Juan Municipio, Puerto Rico</x:v>
      </x:c>
      <x:c r="B2318" s="27" t="str">
        <x:v>72127001302</x:v>
      </x:c>
      <x:c r="C2318" s="50" t="n">
        <x:v>3777</x:v>
      </x:c>
      <x:c r="D2318" s="50" t="n">
        <x:v>436</x:v>
      </x:c>
      <x:c r="E2318" s="50" t="n">
        <x:v>2148.5</x:v>
      </x:c>
      <x:c r="F2318" s="37" t="n">
        <x:v>0.11543553084458565</x:v>
      </x:c>
      <x:c r="G2318" s="37" t="n">
        <x:v>0.5688377018797988</x:v>
      </x:c>
      <x:c r="H2318" s="56" t="n">
        <x:v>4144.45</x:v>
      </x:c>
      <x:c r="I2318" s="56" t="n">
        <x:v>0.105</x:v>
      </x:c>
      <x:c r="J2318" s="56" t="n">
        <x:v>18.754778678604648</x:v>
      </x:c>
      <x:c r="K2318" s="56" t="n">
        <x:v>58.13216801790698</x:v>
      </x:c>
      <x:c r="L2318" s="56" t="n">
        <x:v>85.18881145415281</x:v>
      </x:c>
    </x:row>
    <x:row r="2319" ht="32.400001525878906" hidden="0" customHeight="1">
      <x:c r="A2319" s="29" t="str">
        <x:v>San Juan Municipio, Puerto Rico</x:v>
      </x:c>
      <x:c r="B2319" s="29" t="str">
        <x:v>72127001400</x:v>
      </x:c>
      <x:c r="C2319" s="51" t="n">
        <x:v>1027</x:v>
      </x:c>
      <x:c r="D2319" s="51" t="n">
        <x:v>241</x:v>
      </x:c>
      <x:c r="E2319" s="51" t="n">
        <x:v>121</x:v>
      </x:c>
      <x:c r="F2319" s="38" t="n">
        <x:v>0.23466407010710807</x:v>
      </x:c>
      <x:c r="G2319" s="38" t="n">
        <x:v>0.11781888997078871</x:v>
      </x:c>
      <x:c r="H2319" s="57" t="n">
        <x:v>1123.45</x:v>
      </x:c>
      <x:c r="I2319" s="57" t="n">
        <x:v>0.061</x:v>
      </x:c>
      <x:c r="J2319" s="57" t="n">
        <x:v>18.63425512805439</x:v>
      </x:c>
      <x:c r="K2319" s="57" t="n">
        <x:v>57.95138269208159</x:v>
      </x:c>
      <x:c r="L2319" s="57" t="n">
        <x:v>84.93054670297369</x:v>
      </x:c>
    </x:row>
    <x:row r="2320" ht="32.400001525878906" hidden="0" customHeight="1">
      <x:c r="A2320" s="27" t="str">
        <x:v>San Juan Municipio, Puerto Rico</x:v>
      </x:c>
      <x:c r="B2320" s="27" t="str">
        <x:v>72127001500</x:v>
      </x:c>
      <x:c r="C2320" s="50" t="n">
        <x:v>1797</x:v>
      </x:c>
      <x:c r="D2320" s="50" t="n">
        <x:v>654</x:v>
      </x:c>
      <x:c r="E2320" s="50" t="n">
        <x:v>641</x:v>
      </x:c>
      <x:c r="F2320" s="37" t="n">
        <x:v>0.3639398998330551</x:v>
      </x:c>
      <x:c r="G2320" s="37" t="n">
        <x:v>0.3567056204785754</x:v>
      </x:c>
      <x:c r="H2320" s="56" t="n">
        <x:v>2090</x:v>
      </x:c>
      <x:c r="I2320" s="56" t="n">
        <x:v>0.102</x:v>
      </x:c>
      <x:c r="J2320" s="56" t="n">
        <x:v>18.698083562718924</x:v>
      </x:c>
      <x:c r="K2320" s="56" t="n">
        <x:v>58.04712534407839</x:v>
      </x:c>
      <x:c r="L2320" s="56" t="n">
        <x:v>85.06732192011198</x:v>
      </x:c>
    </x:row>
    <x:row r="2321" ht="32.400001525878906" hidden="0" customHeight="1">
      <x:c r="A2321" s="29" t="str">
        <x:v>San Juan Municipio, Puerto Rico</x:v>
      </x:c>
      <x:c r="B2321" s="29" t="str">
        <x:v>72127001600</x:v>
      </x:c>
      <x:c r="C2321" s="51" t="n">
        <x:v>3104</x:v>
      </x:c>
      <x:c r="D2321" s="51" t="n">
        <x:v>489</x:v>
      </x:c>
      <x:c r="E2321" s="51" t="n">
        <x:v>336</x:v>
      </x:c>
      <x:c r="F2321" s="38" t="n">
        <x:v>0.15753865979381443</x:v>
      </x:c>
      <x:c r="G2321" s="38" t="n">
        <x:v>0.10824742268041238</x:v>
      </x:c>
      <x:c r="H2321" s="57" t="n">
        <x:v>3308.7499999999995</x:v>
      </x:c>
      <x:c r="I2321" s="57" t="n">
        <x:v>0.13</x:v>
      </x:c>
      <x:c r="J2321" s="57" t="n">
        <x:v>18.311542157660867</x:v>
      </x:c>
      <x:c r="K2321" s="57" t="n">
        <x:v>57.4673132364913</x:v>
      </x:c>
      <x:c r="L2321" s="57" t="n">
        <x:v>84.23901890927328</x:v>
      </x:c>
    </x:row>
    <x:row r="2322" ht="32.400001525878906" hidden="0" customHeight="1">
      <x:c r="A2322" s="27" t="str">
        <x:v>San Juan Municipio, Puerto Rico</x:v>
      </x:c>
      <x:c r="B2322" s="27" t="str">
        <x:v>72127001800</x:v>
      </x:c>
      <x:c r="C2322" s="50" t="n">
        <x:v>2114</x:v>
      </x:c>
      <x:c r="D2322" s="50" t="n">
        <x:v>249</x:v>
      </x:c>
      <x:c r="E2322" s="50" t="n">
        <x:v>346.5</x:v>
      </x:c>
      <x:c r="F2322" s="37" t="n">
        <x:v>0.11778618732261116</x:v>
      </x:c>
      <x:c r="G2322" s="37" t="n">
        <x:v>0.16390728476821192</x:v>
      </x:c>
      <x:c r="H2322" s="56" t="n">
        <x:v>2235.8</x:v>
      </x:c>
      <x:c r="I2322" s="56" t="n">
        <x:v>0.175</x:v>
      </x:c>
      <x:c r="J2322" s="56" t="n">
        <x:v>18.82558772678313</x:v>
      </x:c>
      <x:c r="K2322" s="56" t="n">
        <x:v>58.2383815901747</x:v>
      </x:c>
      <x:c r="L2322" s="56" t="n">
        <x:v>85.34054512882099</x:v>
      </x:c>
    </x:row>
    <x:row r="2323" ht="32.400001525878906" hidden="0" customHeight="1">
      <x:c r="A2323" s="29" t="str">
        <x:v>San Juan Municipio, Puerto Rico</x:v>
      </x:c>
      <x:c r="B2323" s="29" t="str">
        <x:v>72127001900</x:v>
      </x:c>
      <x:c r="C2323" s="51" t="n">
        <x:v>3792</x:v>
      </x:c>
      <x:c r="D2323" s="51" t="n">
        <x:v>486</x:v>
      </x:c>
      <x:c r="E2323" s="51" t="n">
        <x:v>313</x:v>
      </x:c>
      <x:c r="F2323" s="38" t="n">
        <x:v>0.1281645569620253</x:v>
      </x:c>
      <x:c r="G2323" s="38" t="n">
        <x:v>0.08254219409282701</x:v>
      </x:c>
      <x:c r="H2323" s="57" t="n">
        <x:v>3993.4000000000005</x:v>
      </x:c>
      <x:c r="I2323" s="57" t="n">
        <x:v>0.193</x:v>
      </x:c>
      <x:c r="J2323" s="57" t="n">
        <x:v>19.55174108398036</x:v>
      </x:c>
      <x:c r="K2323" s="57" t="n">
        <x:v>59.32761162597054</x:v>
      </x:c>
      <x:c r="L2323" s="57" t="n">
        <x:v>86.89658803710077</x:v>
      </x:c>
    </x:row>
    <x:row r="2324" ht="32.400001525878906" hidden="0" customHeight="1">
      <x:c r="A2324" s="27" t="str">
        <x:v>San Juan Municipio, Puerto Rico</x:v>
      </x:c>
      <x:c r="B2324" s="27" t="str">
        <x:v>72127002002</x:v>
      </x:c>
      <x:c r="C2324" s="50" t="n">
        <x:v>1178</x:v>
      </x:c>
      <x:c r="D2324" s="50" t="n">
        <x:v>129</x:v>
      </x:c>
      <x:c r="E2324" s="50" t="n">
        <x:v>206</x:v>
      </x:c>
      <x:c r="F2324" s="37" t="n">
        <x:v>0.10950764006791172</x:v>
      </x:c>
      <x:c r="G2324" s="37" t="n">
        <x:v>0.17487266553480477</x:v>
      </x:c>
      <x:c r="H2324" s="56" t="n">
        <x:v>1243.7499999999998</x:v>
      </x:c>
      <x:c r="I2324" s="56" t="n">
        <x:v>0.053</x:v>
      </x:c>
      <x:c r="J2324" s="56" t="n">
        <x:v>18.81530329936894</x:v>
      </x:c>
      <x:c r="K2324" s="56" t="n">
        <x:v>58.2229549490534</x:v>
      </x:c>
      <x:c r="L2324" s="56" t="n">
        <x:v>85.3185070700763</x:v>
      </x:c>
    </x:row>
    <x:row r="2325" ht="32.400001525878906" hidden="0" customHeight="1">
      <x:c r="A2325" s="29" t="str">
        <x:v>San Juan Municipio, Puerto Rico</x:v>
      </x:c>
      <x:c r="B2325" s="29" t="str">
        <x:v>72127002100</x:v>
      </x:c>
      <x:c r="C2325" s="51" t="n">
        <x:v>802</x:v>
      </x:c>
      <x:c r="D2325" s="51" t="n">
        <x:v>197</x:v>
      </x:c>
      <x:c r="E2325" s="51" t="n">
        <x:v>277</x:v>
      </x:c>
      <x:c r="F2325" s="38" t="n">
        <x:v>0.2456359102244389</x:v>
      </x:c>
      <x:c r="G2325" s="38" t="n">
        <x:v>0.34538653366583544</x:v>
      </x:c>
      <x:c r="H2325" s="57" t="n">
        <x:v>898.6499999999999</x:v>
      </x:c>
      <x:c r="I2325" s="57" t="n">
        <x:v>0.19</x:v>
      </x:c>
      <x:c r="J2325" s="57" t="n">
        <x:v>18.660268048615755</x:v>
      </x:c>
      <x:c r="K2325" s="57" t="n">
        <x:v>57.99040207292363</x:v>
      </x:c>
      <x:c r="L2325" s="57" t="n">
        <x:v>84.98628867560518</x:v>
      </x:c>
    </x:row>
    <x:row r="2326" ht="32.400001525878906" hidden="0" customHeight="1">
      <x:c r="A2326" s="27" t="str">
        <x:v>San Juan Municipio, Puerto Rico</x:v>
      </x:c>
      <x:c r="B2326" s="27" t="str">
        <x:v>72127002200</x:v>
      </x:c>
      <x:c r="C2326" s="50" t="n">
        <x:v>1188</x:v>
      </x:c>
      <x:c r="D2326" s="50" t="n">
        <x:v>314</x:v>
      </x:c>
      <x:c r="E2326" s="50" t="n">
        <x:v>190</x:v>
      </x:c>
      <x:c r="F2326" s="37" t="n">
        <x:v>0.26430976430976433</x:v>
      </x:c>
      <x:c r="G2326" s="37" t="n">
        <x:v>0.15993265993265993</x:v>
      </x:c>
      <x:c r="H2326" s="56" t="n">
        <x:v>1316.8999999999999</x:v>
      </x:c>
      <x:c r="I2326" s="56" t="n">
        <x:v>0.095</x:v>
      </x:c>
      <x:c r="J2326" s="56" t="n">
        <x:v>17.874066939050184</x:v>
      </x:c>
      <x:c r="K2326" s="56" t="n">
        <x:v>56.81110040857528</x:v>
      </x:c>
      <x:c r="L2326" s="56" t="n">
        <x:v>83.3015720122504</x:v>
      </x:c>
    </x:row>
    <x:row r="2327" ht="32.400001525878906" hidden="0" customHeight="1">
      <x:c r="A2327" s="29" t="str">
        <x:v>San Juan Municipio, Puerto Rico</x:v>
      </x:c>
      <x:c r="B2327" s="29" t="str">
        <x:v>72127002300</x:v>
      </x:c>
      <x:c r="C2327" s="51" t="n">
        <x:v>1164</x:v>
      </x:c>
      <x:c r="D2327" s="51" t="n">
        <x:v>116</x:v>
      </x:c>
      <x:c r="E2327" s="51" t="n">
        <x:v>224</x:v>
      </x:c>
      <x:c r="F2327" s="38" t="n">
        <x:v>0.09965635738831616</x:v>
      </x:c>
      <x:c r="G2327" s="38" t="n">
        <x:v>0.19243986254295534</x:v>
      </x:c>
      <x:c r="H2327" s="57" t="n">
        <x:v>1227</x:v>
      </x:c>
      <x:c r="I2327" s="57" t="n">
        <x:v>0.143</x:v>
      </x:c>
      <x:c r="J2327" s="57" t="n">
        <x:v>17.607465516159625</x:v>
      </x:c>
      <x:c r="K2327" s="57" t="n">
        <x:v>56.41119827423944</x:v>
      </x:c>
      <x:c r="L2327" s="57" t="n">
        <x:v>82.73028324891348</x:v>
      </x:c>
    </x:row>
    <x:row r="2328" ht="32.400001525878906" hidden="0" customHeight="1">
      <x:c r="A2328" s="27" t="str">
        <x:v>San Juan Municipio, Puerto Rico</x:v>
      </x:c>
      <x:c r="B2328" s="27" t="str">
        <x:v>72127002400</x:v>
      </x:c>
      <x:c r="C2328" s="50" t="n">
        <x:v>2362</x:v>
      </x:c>
      <x:c r="D2328" s="50" t="n">
        <x:v>451</x:v>
      </x:c>
      <x:c r="E2328" s="50" t="n">
        <x:v>353.5</x:v>
      </x:c>
      <x:c r="F2328" s="37" t="n">
        <x:v>0.19093988145639287</x:v>
      </x:c>
      <x:c r="G2328" s="37" t="n">
        <x:v>0.14966130397967825</x:v>
      </x:c>
      <x:c r="H2328" s="56" t="n">
        <x:v>2555.2</x:v>
      </x:c>
      <x:c r="I2328" s="56" t="n">
        <x:v>0.176</x:v>
      </x:c>
      <x:c r="J2328" s="56" t="n">
        <x:v>17.458088912049757</x:v>
      </x:c>
      <x:c r="K2328" s="56" t="n">
        <x:v>56.18713336807464</x:v>
      </x:c>
      <x:c r="L2328" s="56" t="n">
        <x:v>82.41019052582091</x:v>
      </x:c>
    </x:row>
    <x:row r="2329" ht="32.400001525878906" hidden="0" customHeight="1">
      <x:c r="A2329" s="29" t="str">
        <x:v>San Juan Municipio, Puerto Rico</x:v>
      </x:c>
      <x:c r="B2329" s="29" t="str">
        <x:v>72127002500</x:v>
      </x:c>
      <x:c r="C2329" s="51" t="n">
        <x:v>1174</x:v>
      </x:c>
      <x:c r="D2329" s="51" t="n">
        <x:v>224</x:v>
      </x:c>
      <x:c r="E2329" s="51" t="n">
        <x:v>158</x:v>
      </x:c>
      <x:c r="F2329" s="38" t="n">
        <x:v>0.19080068143100512</x:v>
      </x:c>
      <x:c r="G2329" s="38" t="n">
        <x:v>0.13458262350936967</x:v>
      </x:c>
      <x:c r="H2329" s="57" t="n">
        <x:v>1268.2</x:v>
      </x:c>
      <x:c r="I2329" s="57" t="n">
        <x:v>0.081</x:v>
      </x:c>
      <x:c r="J2329" s="57" t="n">
        <x:v>18.1547633945494</x:v>
      </x:c>
      <x:c r="K2329" s="57" t="n">
        <x:v>57.2321450918241</x:v>
      </x:c>
      <x:c r="L2329" s="57" t="n">
        <x:v>83.90306441689157</x:v>
      </x:c>
    </x:row>
    <x:row r="2330" ht="32.400001525878906" hidden="0" customHeight="1">
      <x:c r="A2330" s="27" t="str">
        <x:v>San Juan Municipio, Puerto Rico</x:v>
      </x:c>
      <x:c r="B2330" s="27" t="str">
        <x:v>72127002600</x:v>
      </x:c>
      <x:c r="C2330" s="50" t="n">
        <x:v>1750</x:v>
      </x:c>
      <x:c r="D2330" s="50" t="n">
        <x:v>359</x:v>
      </x:c>
      <x:c r="E2330" s="50" t="n">
        <x:v>245</x:v>
      </x:c>
      <x:c r="F2330" s="37" t="n">
        <x:v>0.20514285714285715</x:v>
      </x:c>
      <x:c r="G2330" s="37" t="n">
        <x:v>0.14</x:v>
      </x:c>
      <x:c r="H2330" s="56" t="n">
        <x:v>1900.15</x:v>
      </x:c>
      <x:c r="I2330" s="56" t="n">
        <x:v>0.103</x:v>
      </x:c>
      <x:c r="J2330" s="56" t="n">
        <x:v>18.096825414697825</x:v>
      </x:c>
      <x:c r="K2330" s="56" t="n">
        <x:v>57.145238122046734</x:v>
      </x:c>
      <x:c r="L2330" s="56" t="n">
        <x:v>83.77891160292391</x:v>
      </x:c>
    </x:row>
    <x:row r="2331" ht="32.400001525878906" hidden="0" customHeight="1">
      <x:c r="A2331" s="29" t="str">
        <x:v>San Juan Municipio, Puerto Rico</x:v>
      </x:c>
      <x:c r="B2331" s="29" t="str">
        <x:v>72127002800</x:v>
      </x:c>
      <x:c r="C2331" s="51" t="n">
        <x:v>1623</x:v>
      </x:c>
      <x:c r="D2331" s="51" t="n">
        <x:v>482</x:v>
      </x:c>
      <x:c r="E2331" s="51" t="n">
        <x:v>345</x:v>
      </x:c>
      <x:c r="F2331" s="38" t="n">
        <x:v>0.29698089956869994</x:v>
      </x:c>
      <x:c r="G2331" s="38" t="n">
        <x:v>0.21256931608133087</x:v>
      </x:c>
      <x:c r="H2331" s="57" t="n">
        <x:v>1826.1999999999998</x:v>
      </x:c>
      <x:c r="I2331" s="57" t="n">
        <x:v>0.117</x:v>
      </x:c>
      <x:c r="J2331" s="57" t="n">
        <x:v>18.18376194098814</x:v>
      </x:c>
      <x:c r="K2331" s="57" t="n">
        <x:v>57.275642911482215</x:v>
      </x:c>
      <x:c r="L2331" s="57" t="n">
        <x:v>83.96520415926031</x:v>
      </x:c>
    </x:row>
    <x:row r="2332" ht="32.400001525878906" hidden="0" customHeight="1">
      <x:c r="A2332" s="27" t="str">
        <x:v>San Juan Municipio, Puerto Rico</x:v>
      </x:c>
      <x:c r="B2332" s="27" t="str">
        <x:v>72127002900</x:v>
      </x:c>
      <x:c r="C2332" s="50" t="n">
        <x:v>1070</x:v>
      </x:c>
      <x:c r="D2332" s="50" t="n">
        <x:v>228</x:v>
      </x:c>
      <x:c r="E2332" s="50" t="n">
        <x:v>268.5</x:v>
      </x:c>
      <x:c r="F2332" s="37" t="n">
        <x:v>0.2130841121495327</x:v>
      </x:c>
      <x:c r="G2332" s="37" t="n">
        <x:v>0.25093457943925235</x:v>
      </x:c>
      <x:c r="H2332" s="56" t="n">
        <x:v>1176.65</x:v>
      </x:c>
      <x:c r="I2332" s="56" t="n">
        <x:v>0.081</x:v>
      </x:c>
      <x:c r="J2332" s="56" t="n">
        <x:v>17.948171218345838</x:v>
      </x:c>
      <x:c r="K2332" s="56" t="n">
        <x:v>56.92225682751875</x:v>
      </x:c>
      <x:c r="L2332" s="56" t="n">
        <x:v>83.46036689645535</x:v>
      </x:c>
    </x:row>
    <x:row r="2333" ht="32.400001525878906" hidden="0" customHeight="1">
      <x:c r="A2333" s="29" t="str">
        <x:v>San Juan Municipio, Puerto Rico</x:v>
      </x:c>
      <x:c r="B2333" s="29" t="str">
        <x:v>72127003000</x:v>
      </x:c>
      <x:c r="C2333" s="51" t="n">
        <x:v>1120</x:v>
      </x:c>
      <x:c r="D2333" s="51" t="n">
        <x:v>180</x:v>
      </x:c>
      <x:c r="E2333" s="51" t="n">
        <x:v>176</x:v>
      </x:c>
      <x:c r="F2333" s="38" t="n">
        <x:v>0.16071428571428573</x:v>
      </x:c>
      <x:c r="G2333" s="38" t="n">
        <x:v>0.15714285714285714</x:v>
      </x:c>
      <x:c r="H2333" s="57" t="n">
        <x:v>1200.6</x:v>
      </x:c>
      <x:c r="I2333" s="57" t="n">
        <x:v>0.062</x:v>
      </x:c>
      <x:c r="J2333" s="57" t="n">
        <x:v>17.512926139302515</x:v>
      </x:c>
      <x:c r="K2333" s="57" t="n">
        <x:v>56.26938920895377</x:v>
      </x:c>
      <x:c r="L2333" s="57" t="n">
        <x:v>82.52769886993396</x:v>
      </x:c>
    </x:row>
    <x:row r="2334" ht="32.400001525878906" hidden="0" customHeight="1">
      <x:c r="A2334" s="27" t="str">
        <x:v>San Juan Municipio, Puerto Rico</x:v>
      </x:c>
      <x:c r="B2334" s="27" t="str">
        <x:v>72127003100</x:v>
      </x:c>
      <x:c r="C2334" s="50" t="n">
        <x:v>2030</x:v>
      </x:c>
      <x:c r="D2334" s="50" t="n">
        <x:v>415</x:v>
      </x:c>
      <x:c r="E2334" s="50" t="n">
        <x:v>671</x:v>
      </x:c>
      <x:c r="F2334" s="37" t="n">
        <x:v>0.2044334975369458</x:v>
      </x:c>
      <x:c r="G2334" s="37" t="n">
        <x:v>0.3305418719211823</x:v>
      </x:c>
      <x:c r="H2334" s="56" t="n">
        <x:v>2242.35</x:v>
      </x:c>
      <x:c r="I2334" s="56" t="n">
        <x:v>0.081</x:v>
      </x:c>
      <x:c r="J2334" s="56" t="n">
        <x:v>17.739738178566988</x:v>
      </x:c>
      <x:c r="K2334" s="56" t="n">
        <x:v>56.60960726785048</x:v>
      </x:c>
      <x:c r="L2334" s="56" t="n">
        <x:v>83.01372466835784</x:v>
      </x:c>
    </x:row>
    <x:row r="2335" ht="32.400001525878906" hidden="0" customHeight="1">
      <x:c r="A2335" s="29" t="str">
        <x:v>San Juan Municipio, Puerto Rico</x:v>
      </x:c>
      <x:c r="B2335" s="29" t="str">
        <x:v>72127003200</x:v>
      </x:c>
      <x:c r="C2335" s="51" t="n">
        <x:v>2196</x:v>
      </x:c>
      <x:c r="D2335" s="51" t="n">
        <x:v>162</x:v>
      </x:c>
      <x:c r="E2335" s="51" t="n">
        <x:v>511.5</x:v>
      </x:c>
      <x:c r="F2335" s="38" t="n">
        <x:v>0.07377049180327869</x:v>
      </x:c>
      <x:c r="G2335" s="38" t="n">
        <x:v>0.23292349726775957</x:v>
      </x:c>
      <x:c r="H2335" s="57" t="n">
        <x:v>2303.8499999999995</x:v>
      </x:c>
      <x:c r="I2335" s="57" t="n">
        <x:v>0.09</x:v>
      </x:c>
      <x:c r="J2335" s="57" t="n">
        <x:v>17.185305140153602</x:v>
      </x:c>
      <x:c r="K2335" s="57" t="n">
        <x:v>55.7779577102304</x:v>
      </x:c>
      <x:c r="L2335" s="57" t="n">
        <x:v>81.82565387175771</x:v>
      </x:c>
    </x:row>
    <x:row r="2336" ht="32.400001525878906" hidden="0" customHeight="1">
      <x:c r="A2336" s="27" t="str">
        <x:v>San Juan Municipio, Puerto Rico</x:v>
      </x:c>
      <x:c r="B2336" s="27" t="str">
        <x:v>72127003300</x:v>
      </x:c>
      <x:c r="C2336" s="50" t="n">
        <x:v>1136</x:v>
      </x:c>
      <x:c r="D2336" s="50" t="n">
        <x:v>209</x:v>
      </x:c>
      <x:c r="E2336" s="50" t="n">
        <x:v>309</x:v>
      </x:c>
      <x:c r="F2336" s="37" t="n">
        <x:v>0.18397887323943662</x:v>
      </x:c>
      <x:c r="G2336" s="37" t="n">
        <x:v>0.2720070422535211</x:v>
      </x:c>
      <x:c r="H2336" s="56" t="n">
        <x:v>1240.0500000000002</x:v>
      </x:c>
      <x:c r="I2336" s="56" t="n">
        <x:v>0.094</x:v>
      </x:c>
      <x:c r="J2336" s="56" t="n">
        <x:v>16.973935984667047</x:v>
      </x:c>
      <x:c r="K2336" s="56" t="n">
        <x:v>55.46090397700057</x:v>
      </x:c>
      <x:c r="L2336" s="56" t="n">
        <x:v>81.37271996714367</x:v>
      </x:c>
    </x:row>
    <x:row r="2337" ht="32.400001525878906" hidden="0" customHeight="1">
      <x:c r="A2337" s="29" t="str">
        <x:v>San Juan Municipio, Puerto Rico</x:v>
      </x:c>
      <x:c r="B2337" s="29" t="str">
        <x:v>72127003400</x:v>
      </x:c>
      <x:c r="C2337" s="51" t="n">
        <x:v>1957</x:v>
      </x:c>
      <x:c r="D2337" s="51" t="n">
        <x:v>503</x:v>
      </x:c>
      <x:c r="E2337" s="51" t="n">
        <x:v>757</x:v>
      </x:c>
      <x:c r="F2337" s="38" t="n">
        <x:v>0.257026060296372</x:v>
      </x:c>
      <x:c r="G2337" s="38" t="n">
        <x:v>0.38681655595298925</x:v>
      </x:c>
      <x:c r="H2337" s="57" t="n">
        <x:v>2208.75</x:v>
      </x:c>
      <x:c r="I2337" s="57" t="n">
        <x:v>0.087</x:v>
      </x:c>
      <x:c r="J2337" s="57" t="n">
        <x:v>17.126833750304705</x:v>
      </x:c>
      <x:c r="K2337" s="57" t="n">
        <x:v>55.69025062545706</x:v>
      </x:c>
      <x:c r="L2337" s="57" t="n">
        <x:v>81.70035803636722</x:v>
      </x:c>
    </x:row>
    <x:row r="2338" ht="32.400001525878906" hidden="0" customHeight="1">
      <x:c r="A2338" s="27" t="str">
        <x:v>San Juan Municipio, Puerto Rico</x:v>
      </x:c>
      <x:c r="B2338" s="27" t="str">
        <x:v>72127003501</x:v>
      </x:c>
      <x:c r="C2338" s="50" t="n">
        <x:v>4806</x:v>
      </x:c>
      <x:c r="D2338" s="50" t="n">
        <x:v>632</x:v>
      </x:c>
      <x:c r="E2338" s="50" t="n">
        <x:v>1525.5</x:v>
      </x:c>
      <x:c r="F2338" s="37" t="n">
        <x:v>0.1315022888056596</x:v>
      </x:c>
      <x:c r="G2338" s="37" t="n">
        <x:v>0.31741573033707865</x:v>
      </x:c>
      <x:c r="H2338" s="56" t="n">
        <x:v>5179.75</x:v>
      </x:c>
      <x:c r="I2338" s="56" t="n">
        <x:v>0.257</x:v>
      </x:c>
      <x:c r="J2338" s="56" t="n">
        <x:v>16.557430692763763</x:v>
      </x:c>
      <x:c r="K2338" s="56" t="n">
        <x:v>54.836146039145646</x:v>
      </x:c>
      <x:c r="L2338" s="56" t="n">
        <x:v>80.48020862735092</x:v>
      </x:c>
    </x:row>
    <x:row r="2339" ht="32.400001525878906" hidden="0" customHeight="1">
      <x:c r="A2339" s="29" t="str">
        <x:v>San Juan Municipio, Puerto Rico</x:v>
      </x:c>
      <x:c r="B2339" s="29" t="str">
        <x:v>72127003502</x:v>
      </x:c>
      <x:c r="C2339" s="51" t="n">
        <x:v>1047</x:v>
      </x:c>
      <x:c r="D2339" s="51" t="n">
        <x:v>247</x:v>
      </x:c>
      <x:c r="E2339" s="51" t="n">
        <x:v>262</x:v>
      </x:c>
      <x:c r="F2339" s="38" t="n">
        <x:v>0.23591212989493793</x:v>
      </x:c>
      <x:c r="G2339" s="38" t="n">
        <x:v>0.2502387774594078</x:v>
      </x:c>
      <x:c r="H2339" s="57" t="n">
        <x:v>1159.65</x:v>
      </x:c>
      <x:c r="I2339" s="57" t="n">
        <x:v>0.1</x:v>
      </x:c>
      <x:c r="J2339" s="57" t="n">
        <x:v>16.051279113685705</x:v>
      </x:c>
      <x:c r="K2339" s="57" t="n">
        <x:v>54.076918670528556</x:v>
      </x:c>
      <x:c r="L2339" s="57" t="n">
        <x:v>79.39559810075508</x:v>
      </x:c>
    </x:row>
    <x:row r="2340" ht="32.400001525878906" hidden="0" customHeight="1">
      <x:c r="A2340" s="27" t="str">
        <x:v>San Juan Municipio, Puerto Rico</x:v>
      </x:c>
      <x:c r="B2340" s="27" t="str">
        <x:v>72127003600</x:v>
      </x:c>
      <x:c r="C2340" s="50" t="n">
        <x:v>949</x:v>
      </x:c>
      <x:c r="D2340" s="50" t="n">
        <x:v>259</x:v>
      </x:c>
      <x:c r="E2340" s="50" t="n">
        <x:v>265</x:v>
      </x:c>
      <x:c r="F2340" s="37" t="n">
        <x:v>0.27291886195995785</x:v>
      </x:c>
      <x:c r="G2340" s="37" t="n">
        <x:v>0.2792413066385669</x:v>
      </x:c>
      <x:c r="H2340" s="56" t="n">
        <x:v>1066.1499999999999</x:v>
      </x:c>
      <x:c r="I2340" s="56" t="n">
        <x:v>0.076</x:v>
      </x:c>
      <x:c r="J2340" s="56" t="n">
        <x:v>16.52088871940111</x:v>
      </x:c>
      <x:c r="K2340" s="56" t="n">
        <x:v>54.781333079101664</x:v>
      </x:c>
      <x:c r="L2340" s="56" t="n">
        <x:v>80.40190439871667</x:v>
      </x:c>
    </x:row>
    <x:row r="2341" ht="32.400001525878906" hidden="0" customHeight="1">
      <x:c r="A2341" s="29" t="str">
        <x:v>San Juan Municipio, Puerto Rico</x:v>
      </x:c>
      <x:c r="B2341" s="29" t="str">
        <x:v>72127003701</x:v>
      </x:c>
      <x:c r="C2341" s="51" t="n">
        <x:v>1549</x:v>
      </x:c>
      <x:c r="D2341" s="51" t="n">
        <x:v>286</x:v>
      </x:c>
      <x:c r="E2341" s="51" t="n">
        <x:v>377</x:v>
      </x:c>
      <x:c r="F2341" s="38" t="n">
        <x:v>0.18463524854744998</x:v>
      </x:c>
      <x:c r="G2341" s="38" t="n">
        <x:v>0.2433828276307295</x:v>
      </x:c>
      <x:c r="H2341" s="57" t="n">
        <x:v>1686.8</x:v>
      </x:c>
      <x:c r="I2341" s="57" t="n">
        <x:v>0.071</x:v>
      </x:c>
      <x:c r="J2341" s="57" t="n">
        <x:v>16.390298674892893</x:v>
      </x:c>
      <x:c r="K2341" s="57" t="n">
        <x:v>54.58544801233934</x:v>
      </x:c>
      <x:c r="L2341" s="57" t="n">
        <x:v>80.1220685890562</x:v>
      </x:c>
    </x:row>
    <x:row r="2342" ht="32.400001525878906" hidden="0" customHeight="1">
      <x:c r="A2342" s="27" t="str">
        <x:v>San Juan Municipio, Puerto Rico</x:v>
      </x:c>
      <x:c r="B2342" s="27" t="str">
        <x:v>72127003702</x:v>
      </x:c>
      <x:c r="C2342" s="50" t="n">
        <x:v>1118</x:v>
      </x:c>
      <x:c r="D2342" s="50" t="n">
        <x:v>205</x:v>
      </x:c>
      <x:c r="E2342" s="50" t="n">
        <x:v>280.5</x:v>
      </x:c>
      <x:c r="F2342" s="37" t="n">
        <x:v>0.18336314847942756</x:v>
      </x:c>
      <x:c r="G2342" s="37" t="n">
        <x:v>0.2508944543828265</x:v>
      </x:c>
      <x:c r="H2342" s="56" t="n">
        <x:v>1217.8</x:v>
      </x:c>
      <x:c r="I2342" s="56" t="n">
        <x:v>0.088</x:v>
      </x:c>
      <x:c r="J2342" s="56" t="n">
        <x:v>16.26290532519745</x:v>
      </x:c>
      <x:c r="K2342" s="56" t="n">
        <x:v>54.39435798779618</x:v>
      </x:c>
      <x:c r="L2342" s="56" t="n">
        <x:v>79.84908283970883</x:v>
      </x:c>
    </x:row>
    <x:row r="2343" ht="32.400001525878906" hidden="0" customHeight="1">
      <x:c r="A2343" s="29" t="str">
        <x:v>San Juan Municipio, Puerto Rico</x:v>
      </x:c>
      <x:c r="B2343" s="29" t="str">
        <x:v>72127003800</x:v>
      </x:c>
      <x:c r="C2343" s="51" t="n">
        <x:v>2173</x:v>
      </x:c>
      <x:c r="D2343" s="51" t="n">
        <x:v>481</x:v>
      </x:c>
      <x:c r="E2343" s="51" t="n">
        <x:v>587</x:v>
      </x:c>
      <x:c r="F2343" s="38" t="n">
        <x:v>0.2213529682466636</x:v>
      </x:c>
      <x:c r="G2343" s="38" t="n">
        <x:v>0.27013345605154165</x:v>
      </x:c>
      <x:c r="H2343" s="57" t="n">
        <x:v>2400.05</x:v>
      </x:c>
      <x:c r="I2343" s="57" t="n">
        <x:v>0.078</x:v>
      </x:c>
      <x:c r="J2343" s="57" t="n">
        <x:v>16.70877988202261</x:v>
      </x:c>
      <x:c r="K2343" s="57" t="n">
        <x:v>55.06316982303392</x:v>
      </x:c>
      <x:c r="L2343" s="57" t="n">
        <x:v>80.80452831861987</x:v>
      </x:c>
    </x:row>
    <x:row r="2344" ht="32.400001525878906" hidden="0" customHeight="1">
      <x:c r="A2344" s="27" t="str">
        <x:v>San Juan Municipio, Puerto Rico</x:v>
      </x:c>
      <x:c r="B2344" s="27" t="str">
        <x:v>72127003902</x:v>
      </x:c>
      <x:c r="C2344" s="50" t="n">
        <x:v>3579</x:v>
      </x:c>
      <x:c r="D2344" s="50" t="n">
        <x:v>631</x:v>
      </x:c>
      <x:c r="E2344" s="50" t="n">
        <x:v>762</x:v>
      </x:c>
      <x:c r="F2344" s="37" t="n">
        <x:v>0.17630623079072366</x:v>
      </x:c>
      <x:c r="G2344" s="37" t="n">
        <x:v>0.2129086336965633</x:v>
      </x:c>
      <x:c r="H2344" s="56" t="n">
        <x:v>3876.0499999999997</x:v>
      </x:c>
      <x:c r="I2344" s="56" t="n">
        <x:v>0.439</x:v>
      </x:c>
      <x:c r="J2344" s="56" t="n">
        <x:v>16.721002906660793</x:v>
      </x:c>
      <x:c r="K2344" s="56" t="n">
        <x:v>55.081504359991186</x:v>
      </x:c>
      <x:c r="L2344" s="56" t="n">
        <x:v>80.83072051427312</x:v>
      </x:c>
    </x:row>
    <x:row r="2345" ht="32.400001525878906" hidden="0" customHeight="1">
      <x:c r="A2345" s="29" t="str">
        <x:v>San Juan Municipio, Puerto Rico</x:v>
      </x:c>
      <x:c r="B2345" s="29" t="str">
        <x:v>72127004200</x:v>
      </x:c>
      <x:c r="C2345" s="51" t="n">
        <x:v>1597</x:v>
      </x:c>
      <x:c r="D2345" s="51" t="n">
        <x:v>319</x:v>
      </x:c>
      <x:c r="E2345" s="51" t="n">
        <x:v>249</x:v>
      </x:c>
      <x:c r="F2345" s="38" t="n">
        <x:v>0.1997495303694427</x:v>
      </x:c>
      <x:c r="G2345" s="38" t="n">
        <x:v>0.1559173450219161</x:v>
      </x:c>
      <x:c r="H2345" s="57" t="n">
        <x:v>1733.5500000000002</x:v>
      </x:c>
      <x:c r="I2345" s="57" t="n">
        <x:v>0.681</x:v>
      </x:c>
      <x:c r="J2345" s="57" t="n">
        <x:v>19.806062536686856</x:v>
      </x:c>
      <x:c r="K2345" s="57" t="n">
        <x:v>59.709093805030285</x:v>
      </x:c>
      <x:c r="L2345" s="57" t="n">
        <x:v>87.4415625786147</x:v>
      </x:c>
    </x:row>
    <x:row r="2346" ht="32.400001525878906" hidden="0" customHeight="1">
      <x:c r="A2346" s="27" t="str">
        <x:v>San Juan Municipio, Puerto Rico</x:v>
      </x:c>
      <x:c r="B2346" s="27" t="str">
        <x:v>72127004306</x:v>
      </x:c>
      <x:c r="C2346" s="50" t="n">
        <x:v>1608</x:v>
      </x:c>
      <x:c r="D2346" s="50" t="n">
        <x:v>306</x:v>
      </x:c>
      <x:c r="E2346" s="50" t="n">
        <x:v>926.5</x:v>
      </x:c>
      <x:c r="F2346" s="37" t="n">
        <x:v>0.19029850746268656</x:v>
      </x:c>
      <x:c r="G2346" s="37" t="n">
        <x:v>0.576181592039801</x:v>
      </x:c>
      <x:c r="H2346" s="56" t="n">
        <x:v>1807.7500000000002</x:v>
      </x:c>
      <x:c r="I2346" s="56" t="n">
        <x:v>0.074</x:v>
      </x:c>
      <x:c r="J2346" s="56" t="n">
        <x:v>14.481501984334171</x:v>
      </x:c>
      <x:c r="K2346" s="56" t="n">
        <x:v>51.72225297650126</x:v>
      </x:c>
      <x:c r="L2346" s="56" t="n">
        <x:v>76.03178996643037</x:v>
      </x:c>
    </x:row>
    <x:row r="2347" ht="32.400001525878906" hidden="0" customHeight="1">
      <x:c r="A2347" s="29" t="str">
        <x:v>San Juan Municipio, Puerto Rico</x:v>
      </x:c>
      <x:c r="B2347" s="29" t="str">
        <x:v>72127004400</x:v>
      </x:c>
      <x:c r="C2347" s="51" t="n">
        <x:v>1645</x:v>
      </x:c>
      <x:c r="D2347" s="51" t="n">
        <x:v>452</x:v>
      </x:c>
      <x:c r="E2347" s="51" t="n">
        <x:v>334</x:v>
      </x:c>
      <x:c r="F2347" s="38" t="n">
        <x:v>0.27477203647416415</x:v>
      </x:c>
      <x:c r="G2347" s="38" t="n">
        <x:v>0.20303951367781156</x:v>
      </x:c>
      <x:c r="H2347" s="57" t="n">
        <x:v>1836.6</x:v>
      </x:c>
      <x:c r="I2347" s="57" t="n">
        <x:v>0.128</x:v>
      </x:c>
      <x:c r="J2347" s="57" t="n">
        <x:v>15.738712581485006</x:v>
      </x:c>
      <x:c r="K2347" s="57" t="n">
        <x:v>53.608068872227506</x:v>
      </x:c>
      <x:c r="L2347" s="57" t="n">
        <x:v>78.72581267461072</x:v>
      </x:c>
    </x:row>
    <x:row r="2348" ht="32.400001525878906" hidden="0" customHeight="1">
      <x:c r="A2348" s="27" t="str">
        <x:v>San Juan Municipio, Puerto Rico</x:v>
      </x:c>
      <x:c r="B2348" s="27" t="str">
        <x:v>72127004500</x:v>
      </x:c>
      <x:c r="C2348" s="50" t="n">
        <x:v>1301</x:v>
      </x:c>
      <x:c r="D2348" s="50" t="n">
        <x:v>235</x:v>
      </x:c>
      <x:c r="E2348" s="50" t="n">
        <x:v>260.5</x:v>
      </x:c>
      <x:c r="F2348" s="37" t="n">
        <x:v>0.180630284396618</x:v>
      </x:c>
      <x:c r="G2348" s="37" t="n">
        <x:v>0.2002305918524212</x:v>
      </x:c>
      <x:c r="H2348" s="56" t="n">
        <x:v>1409.3</x:v>
      </x:c>
      <x:c r="I2348" s="56" t="n">
        <x:v>0.088</x:v>
      </x:c>
      <x:c r="J2348" s="56" t="n">
        <x:v>15.72176649594491</x:v>
      </x:c>
      <x:c r="K2348" s="56" t="n">
        <x:v>53.582649743917365</x:v>
      </x:c>
      <x:c r="L2348" s="56" t="n">
        <x:v>78.68949963416767</x:v>
      </x:c>
    </x:row>
    <x:row r="2349" ht="32.400001525878906" hidden="0" customHeight="1">
      <x:c r="A2349" s="29" t="str">
        <x:v>San Juan Municipio, Puerto Rico</x:v>
      </x:c>
      <x:c r="B2349" s="29" t="str">
        <x:v>72127004600</x:v>
      </x:c>
      <x:c r="C2349" s="51" t="n">
        <x:v>2870</x:v>
      </x:c>
      <x:c r="D2349" s="51" t="n">
        <x:v>794</x:v>
      </x:c>
      <x:c r="E2349" s="51" t="n">
        <x:v>690</x:v>
      </x:c>
      <x:c r="F2349" s="38" t="n">
        <x:v>0.27665505226480835</x:v>
      </x:c>
      <x:c r="G2349" s="38" t="n">
        <x:v>0.24041811846689895</x:v>
      </x:c>
      <x:c r="H2349" s="57" t="n">
        <x:v>3216.9</x:v>
      </x:c>
      <x:c r="I2349" s="57" t="n">
        <x:v>0.159</x:v>
      </x:c>
      <x:c r="J2349" s="57" t="n">
        <x:v>15.418860881448747</x:v>
      </x:c>
      <x:c r="K2349" s="57" t="n">
        <x:v>53.12829132217312</x:v>
      </x:c>
      <x:c r="L2349" s="57" t="n">
        <x:v>78.04041617453302</x:v>
      </x:c>
    </x:row>
    <x:row r="2350" ht="32.400001525878906" hidden="0" customHeight="1">
      <x:c r="A2350" s="27" t="str">
        <x:v>San Juan Municipio, Puerto Rico</x:v>
      </x:c>
      <x:c r="B2350" s="27" t="str">
        <x:v>72127004700</x:v>
      </x:c>
      <x:c r="C2350" s="50" t="n">
        <x:v>4122</x:v>
      </x:c>
      <x:c r="D2350" s="50" t="n">
        <x:v>1243</x:v>
      </x:c>
      <x:c r="E2350" s="50" t="n">
        <x:v>702</x:v>
      </x:c>
      <x:c r="F2350" s="37" t="n">
        <x:v>0.3015526443474042</x:v>
      </x:c>
      <x:c r="G2350" s="37" t="n">
        <x:v>0.1703056768558952</x:v>
      </x:c>
      <x:c r="H2350" s="56" t="n">
        <x:v>4627.25</x:v>
      </x:c>
      <x:c r="I2350" s="56" t="n">
        <x:v>0.301</x:v>
      </x:c>
      <x:c r="J2350" s="56" t="n">
        <x:v>15.262789723366632</x:v>
      </x:c>
      <x:c r="K2350" s="56" t="n">
        <x:v>52.89418458504995</x:v>
      </x:c>
      <x:c r="L2350" s="56" t="n">
        <x:v>77.70597797864278</x:v>
      </x:c>
    </x:row>
    <x:row r="2351" ht="32.400001525878906" hidden="0" customHeight="1">
      <x:c r="A2351" s="29" t="str">
        <x:v>San Juan Municipio, Puerto Rico</x:v>
      </x:c>
      <x:c r="B2351" s="29" t="str">
        <x:v>72127004800</x:v>
      </x:c>
      <x:c r="C2351" s="51" t="n">
        <x:v>3458</x:v>
      </x:c>
      <x:c r="D2351" s="51" t="n">
        <x:v>768</x:v>
      </x:c>
      <x:c r="E2351" s="51" t="n">
        <x:v>1273</x:v>
      </x:c>
      <x:c r="F2351" s="38" t="n">
        <x:v>0.2220936957779063</x:v>
      </x:c>
      <x:c r="G2351" s="38" t="n">
        <x:v>0.36813186813186816</x:v>
      </x:c>
      <x:c r="H2351" s="57" t="n">
        <x:v>3854.1</x:v>
      </x:c>
      <x:c r="I2351" s="57" t="n">
        <x:v>0.075</x:v>
      </x:c>
      <x:c r="J2351" s="57" t="n">
        <x:v>14.216081318636844</x:v>
      </x:c>
      <x:c r="K2351" s="57" t="n">
        <x:v>51.324121977955265</x:v>
      </x:c>
      <x:c r="L2351" s="57" t="n">
        <x:v>75.46303139707895</x:v>
      </x:c>
    </x:row>
    <x:row r="2352" ht="32.400001525878906" hidden="0" customHeight="1">
      <x:c r="A2352" s="27" t="str">
        <x:v>San Juan Municipio, Puerto Rico</x:v>
      </x:c>
      <x:c r="B2352" s="27" t="str">
        <x:v>72127004900</x:v>
      </x:c>
      <x:c r="C2352" s="50" t="n">
        <x:v>3084</x:v>
      </x:c>
      <x:c r="D2352" s="50" t="n">
        <x:v>632</x:v>
      </x:c>
      <x:c r="E2352" s="50" t="n">
        <x:v>873</x:v>
      </x:c>
      <x:c r="F2352" s="37" t="n">
        <x:v>0.20492866407263294</x:v>
      </x:c>
      <x:c r="G2352" s="37" t="n">
        <x:v>0.2830739299610895</x:v>
      </x:c>
      <x:c r="H2352" s="56" t="n">
        <x:v>3392.4999999999995</x:v>
      </x:c>
      <x:c r="I2352" s="56" t="n">
        <x:v>0.255</x:v>
      </x:c>
      <x:c r="J2352" s="56" t="n">
        <x:v>13.956765123587557</x:v>
      </x:c>
      <x:c r="K2352" s="56" t="n">
        <x:v>50.93514768538134</x:v>
      </x:c>
      <x:c r="L2352" s="56" t="n">
        <x:v>74.90735383625905</x:v>
      </x:c>
    </x:row>
    <x:row r="2353" ht="32.400001525878906" hidden="0" customHeight="1">
      <x:c r="A2353" s="29" t="str">
        <x:v>San Juan Municipio, Puerto Rico</x:v>
      </x:c>
      <x:c r="B2353" s="29" t="str">
        <x:v>72127005000</x:v>
      </x:c>
      <x:c r="C2353" s="51" t="n">
        <x:v>3267</x:v>
      </x:c>
      <x:c r="D2353" s="51" t="n">
        <x:v>733</x:v>
      </x:c>
      <x:c r="E2353" s="51" t="n">
        <x:v>709</x:v>
      </x:c>
      <x:c r="F2353" s="38" t="n">
        <x:v>0.2243648607284971</x:v>
      </x:c>
      <x:c r="G2353" s="38" t="n">
        <x:v>0.2170186715641261</x:v>
      </x:c>
      <x:c r="H2353" s="57" t="n">
        <x:v>3594.45</x:v>
      </x:c>
      <x:c r="I2353" s="57" t="n">
        <x:v>0.368</x:v>
      </x:c>
      <x:c r="J2353" s="57" t="n">
        <x:v>14.163636530367416</x:v>
      </x:c>
      <x:c r="K2353" s="57" t="n">
        <x:v>51.245454795551126</x:v>
      </x:c>
      <x:c r="L2353" s="57" t="n">
        <x:v>75.35064970793017</x:v>
      </x:c>
    </x:row>
    <x:row r="2354" ht="32.400001525878906" hidden="0" customHeight="1">
      <x:c r="A2354" s="27" t="str">
        <x:v>San Juan Municipio, Puerto Rico</x:v>
      </x:c>
      <x:c r="B2354" s="27" t="str">
        <x:v>72127005101</x:v>
      </x:c>
      <x:c r="C2354" s="50" t="n">
        <x:v>1799</x:v>
      </x:c>
      <x:c r="D2354" s="50" t="n">
        <x:v>282</x:v>
      </x:c>
      <x:c r="E2354" s="50" t="n">
        <x:v>206</x:v>
      </x:c>
      <x:c r="F2354" s="37" t="n">
        <x:v>0.15675375208449138</x:v>
      </x:c>
      <x:c r="G2354" s="37" t="n">
        <x:v>0.11450806003335186</x:v>
      </x:c>
      <x:c r="H2354" s="56" t="n">
        <x:v>1918.3</x:v>
      </x:c>
      <x:c r="I2354" s="56" t="n">
        <x:v>0.228</x:v>
      </x:c>
      <x:c r="J2354" s="56" t="n">
        <x:v>14.33922402324905</x:v>
      </x:c>
      <x:c r="K2354" s="56" t="n">
        <x:v>51.508836034873575</x:v>
      </x:c>
      <x:c r="L2354" s="56" t="n">
        <x:v>75.72690862124796</x:v>
      </x:c>
    </x:row>
    <x:row r="2355" ht="32.400001525878906" hidden="0" customHeight="1">
      <x:c r="A2355" s="29" t="str">
        <x:v>San Juan Municipio, Puerto Rico</x:v>
      </x:c>
      <x:c r="B2355" s="29" t="str">
        <x:v>72127005102</x:v>
      </x:c>
      <x:c r="C2355" s="51" t="n">
        <x:v>1815</x:v>
      </x:c>
      <x:c r="D2355" s="51" t="n">
        <x:v>479</x:v>
      </x:c>
      <x:c r="E2355" s="51" t="n">
        <x:v>221.5</x:v>
      </x:c>
      <x:c r="F2355" s="38" t="n">
        <x:v>0.26391184573002757</x:v>
      </x:c>
      <x:c r="G2355" s="38" t="n">
        <x:v>0.12203856749311295</x:v>
      </x:c>
      <x:c r="H2355" s="57" t="n">
        <x:v>2004.7999999999997</x:v>
      </x:c>
      <x:c r="I2355" s="57" t="n">
        <x:v>0.24</x:v>
      </x:c>
      <x:c r="J2355" s="57" t="n">
        <x:v>13.293414716492496</x:v>
      </x:c>
      <x:c r="K2355" s="57" t="n">
        <x:v>49.940122074738746</x:v>
      </x:c>
      <x:c r="L2355" s="57" t="n">
        <x:v>73.48588867819821</x:v>
      </x:c>
    </x:row>
    <x:row r="2356" ht="32.400001525878906" hidden="0" customHeight="1">
      <x:c r="A2356" s="27" t="str">
        <x:v>San Juan Municipio, Puerto Rico</x:v>
      </x:c>
      <x:c r="B2356" s="27" t="str">
        <x:v>72127005103</x:v>
      </x:c>
      <x:c r="C2356" s="50" t="n">
        <x:v>3498</x:v>
      </x:c>
      <x:c r="D2356" s="50" t="n">
        <x:v>717</x:v>
      </x:c>
      <x:c r="E2356" s="50" t="n">
        <x:v>707.5</x:v>
      </x:c>
      <x:c r="F2356" s="37" t="n">
        <x:v>0.20497427101200685</x:v>
      </x:c>
      <x:c r="G2356" s="37" t="n">
        <x:v>0.20225843339050886</x:v>
      </x:c>
      <x:c r="H2356" s="56" t="n">
        <x:v>3819.7000000000007</x:v>
      </x:c>
      <x:c r="I2356" s="56" t="n">
        <x:v>0.273</x:v>
      </x:c>
      <x:c r="J2356" s="56" t="n">
        <x:v>12.777910960608855</x:v>
      </x:c>
      <x:c r="K2356" s="56" t="n">
        <x:v>49.16686644091328</x:v>
      </x:c>
      <x:c r="L2356" s="56" t="n">
        <x:v>72.38123777273326</x:v>
      </x:c>
    </x:row>
    <x:row r="2357" ht="32.400001525878906" hidden="0" customHeight="1">
      <x:c r="A2357" s="29" t="str">
        <x:v>San Juan Municipio, Puerto Rico</x:v>
      </x:c>
      <x:c r="B2357" s="29" t="str">
        <x:v>72127005201</x:v>
      </x:c>
      <x:c r="C2357" s="51" t="n">
        <x:v>2167</x:v>
      </x:c>
      <x:c r="D2357" s="51" t="n">
        <x:v>533</x:v>
      </x:c>
      <x:c r="E2357" s="51" t="n">
        <x:v>42</x:v>
      </x:c>
      <x:c r="F2357" s="38" t="n">
        <x:v>0.24596215966774343</x:v>
      </x:c>
      <x:c r="G2357" s="38" t="n">
        <x:v>0.019381633594831565</x:v>
      </x:c>
      <x:c r="H2357" s="57" t="n">
        <x:v>2357.7499999999995</x:v>
      </x:c>
      <x:c r="I2357" s="57" t="n">
        <x:v>0.187</x:v>
      </x:c>
      <x:c r="J2357" s="57" t="n">
        <x:v>15.241491566245216</x:v>
      </x:c>
      <x:c r="K2357" s="57" t="n">
        <x:v>52.862237349367824</x:v>
      </x:c>
      <x:c r="L2357" s="57" t="n">
        <x:v>77.66033907052547</x:v>
      </x:c>
    </x:row>
    <x:row r="2358" ht="32.400001525878906" hidden="0" customHeight="1">
      <x:c r="A2358" s="27" t="str">
        <x:v>San Juan Municipio, Puerto Rico</x:v>
      </x:c>
      <x:c r="B2358" s="27" t="str">
        <x:v>72127005202</x:v>
      </x:c>
      <x:c r="C2358" s="50" t="n">
        <x:v>3236</x:v>
      </x:c>
      <x:c r="D2358" s="50" t="n">
        <x:v>717</x:v>
      </x:c>
      <x:c r="E2358" s="50" t="n">
        <x:v>214</x:v>
      </x:c>
      <x:c r="F2358" s="37" t="n">
        <x:v>0.2215698393077874</x:v>
      </x:c>
      <x:c r="G2358" s="37" t="n">
        <x:v>0.06613102595797281</x:v>
      </x:c>
      <x:c r="H2358" s="56" t="n">
        <x:v>3508.3499999999995</x:v>
      </x:c>
      <x:c r="I2358" s="56" t="n">
        <x:v>0.211</x:v>
      </x:c>
      <x:c r="J2358" s="56" t="n">
        <x:v>15.168824456935695</x:v>
      </x:c>
      <x:c r="K2358" s="56" t="n">
        <x:v>52.75323668540354</x:v>
      </x:c>
      <x:c r="L2358" s="56" t="n">
        <x:v>77.50462383629078</x:v>
      </x:c>
    </x:row>
    <x:row r="2359" ht="32.400001525878906" hidden="0" customHeight="1">
      <x:c r="A2359" s="29" t="str">
        <x:v>San Juan Municipio, Puerto Rico</x:v>
      </x:c>
      <x:c r="B2359" s="29" t="str">
        <x:v>72127005204</x:v>
      </x:c>
      <x:c r="C2359" s="51" t="n">
        <x:v>1804</x:v>
      </x:c>
      <x:c r="D2359" s="51" t="n">
        <x:v>335</x:v>
      </x:c>
      <x:c r="E2359" s="51" t="n">
        <x:v>158.5</x:v>
      </x:c>
      <x:c r="F2359" s="38" t="n">
        <x:v>0.18569844789356985</x:v>
      </x:c>
      <x:c r="G2359" s="38" t="n">
        <x:v>0.08786031042128603</x:v>
      </x:c>
      <x:c r="H2359" s="57" t="n">
        <x:v>1937.1</x:v>
      </x:c>
      <x:c r="I2359" s="57" t="n">
        <x:v>0.264</x:v>
      </x:c>
      <x:c r="J2359" s="57" t="n">
        <x:v>14.353232339962341</x:v>
      </x:c>
      <x:c r="K2359" s="57" t="n">
        <x:v>51.52984850994351</x:v>
      </x:c>
      <x:c r="L2359" s="57" t="n">
        <x:v>75.75692644277645</x:v>
      </x:c>
    </x:row>
    <x:row r="2360" ht="32.400001525878906" hidden="0" customHeight="1">
      <x:c r="A2360" s="27" t="str">
        <x:v>San Juan Municipio, Puerto Rico</x:v>
      </x:c>
      <x:c r="B2360" s="27" t="str">
        <x:v>72127005214</x:v>
      </x:c>
      <x:c r="C2360" s="50" t="n">
        <x:v>4178</x:v>
      </x:c>
      <x:c r="D2360" s="50" t="n">
        <x:v>892</x:v>
      </x:c>
      <x:c r="E2360" s="50" t="n">
        <x:v>731</x:v>
      </x:c>
      <x:c r="F2360" s="37" t="n">
        <x:v>0.2134992819530876</x:v>
      </x:c>
      <x:c r="G2360" s="37" t="n">
        <x:v>0.1749640976543801</x:v>
      </x:c>
      <x:c r="H2360" s="56" t="n">
        <x:v>4563.3</x:v>
      </x:c>
      <x:c r="I2360" s="56" t="n">
        <x:v>0.254</x:v>
      </x:c>
      <x:c r="J2360" s="56" t="n">
        <x:v>13.75736121788949</x:v>
      </x:c>
      <x:c r="K2360" s="56" t="n">
        <x:v>50.63604182683424</x:v>
      </x:c>
      <x:c r="L2360" s="56" t="n">
        <x:v>74.48005975262033</x:v>
      </x:c>
    </x:row>
    <x:row r="2361" ht="32.400001525878906" hidden="0" customHeight="1">
      <x:c r="A2361" s="29" t="str">
        <x:v>San Juan Municipio, Puerto Rico</x:v>
      </x:c>
      <x:c r="B2361" s="29" t="str">
        <x:v>72127005215</x:v>
      </x:c>
      <x:c r="C2361" s="51" t="n">
        <x:v>2509</x:v>
      </x:c>
      <x:c r="D2361" s="51" t="n">
        <x:v>444</x:v>
      </x:c>
      <x:c r="E2361" s="51" t="n">
        <x:v>523.5</x:v>
      </x:c>
      <x:c r="F2361" s="38" t="n">
        <x:v>0.1769629334396174</x:v>
      </x:c>
      <x:c r="G2361" s="38" t="n">
        <x:v>0.2086488640892786</x:v>
      </x:c>
      <x:c r="H2361" s="57" t="n">
        <x:v>2716.75</x:v>
      </x:c>
      <x:c r="I2361" s="57" t="n">
        <x:v>0.324</x:v>
      </x:c>
      <x:c r="J2361" s="57" t="n">
        <x:v>14.801971184653928</x:v>
      </x:c>
      <x:c r="K2361" s="57" t="n">
        <x:v>52.20295677698089</x:v>
      </x:c>
      <x:c r="L2361" s="57" t="n">
        <x:v>76.71850968140127</x:v>
      </x:c>
    </x:row>
    <x:row r="2362" ht="32.400001525878906" hidden="0" customHeight="1">
      <x:c r="A2362" s="27" t="str">
        <x:v>San Juan Municipio, Puerto Rico</x:v>
      </x:c>
      <x:c r="B2362" s="27" t="str">
        <x:v>72127005300</x:v>
      </x:c>
      <x:c r="C2362" s="50" t="n">
        <x:v>2554</x:v>
      </x:c>
      <x:c r="D2362" s="50" t="n">
        <x:v>643</x:v>
      </x:c>
      <x:c r="E2362" s="50" t="n">
        <x:v>159</x:v>
      </x:c>
      <x:c r="F2362" s="37" t="n">
        <x:v>0.2517619420516836</x:v>
      </x:c>
      <x:c r="G2362" s="37" t="n">
        <x:v>0.06225528582615505</x:v>
      </x:c>
      <x:c r="H2362" s="56" t="n">
        <x:v>2794.9500000000003</x:v>
      </x:c>
      <x:c r="I2362" s="56" t="n">
        <x:v>0.202</x:v>
      </x:c>
      <x:c r="J2362" s="56" t="n">
        <x:v>15.39107172029541</x:v>
      </x:c>
      <x:c r="K2362" s="56" t="n">
        <x:v>53.086607580443115</x:v>
      </x:c>
      <x:c r="L2362" s="56" t="n">
        <x:v>77.98086797206159</x:v>
      </x:c>
    </x:row>
    <x:row r="2363" ht="32.400001525878906" hidden="0" customHeight="1">
      <x:c r="A2363" s="29" t="str">
        <x:v>San Juan Municipio, Puerto Rico</x:v>
      </x:c>
      <x:c r="B2363" s="29" t="str">
        <x:v>72127005402</x:v>
      </x:c>
      <x:c r="C2363" s="51" t="n">
        <x:v>941</x:v>
      </x:c>
      <x:c r="D2363" s="51" t="n">
        <x:v>233</x:v>
      </x:c>
      <x:c r="E2363" s="51" t="n">
        <x:v>351</x:v>
      </x:c>
      <x:c r="F2363" s="38" t="n">
        <x:v>0.24760892667375134</x:v>
      </x:c>
      <x:c r="G2363" s="38" t="n">
        <x:v>0.37300743889479276</x:v>
      </x:c>
      <x:c r="H2363" s="57" t="n">
        <x:v>1057.6499999999999</x:v>
      </x:c>
      <x:c r="I2363" s="57" t="n">
        <x:v>0.06</x:v>
      </x:c>
      <x:c r="J2363" s="57" t="n">
        <x:v>12.912470112202394</x:v>
      </x:c>
      <x:c r="K2363" s="57" t="n">
        <x:v>49.36870516830359</x:v>
      </x:c>
      <x:c r="L2363" s="57" t="n">
        <x:v>72.66957881186227</x:v>
      </x:c>
    </x:row>
    <x:row r="2364" ht="32.400001525878906" hidden="0" customHeight="1">
      <x:c r="A2364" s="27" t="str">
        <x:v>San Juan Municipio, Puerto Rico</x:v>
      </x:c>
      <x:c r="B2364" s="27" t="str">
        <x:v>72127005403</x:v>
      </x:c>
      <x:c r="C2364" s="50" t="n">
        <x:v>5602</x:v>
      </x:c>
      <x:c r="D2364" s="50" t="n">
        <x:v>707</x:v>
      </x:c>
      <x:c r="E2364" s="50" t="n">
        <x:v>677</x:v>
      </x:c>
      <x:c r="F2364" s="37" t="n">
        <x:v>0.1262049268118529</x:v>
      </x:c>
      <x:c r="G2364" s="37" t="n">
        <x:v>0.12084969653695109</x:v>
      </x:c>
      <x:c r="H2364" s="56" t="n">
        <x:v>5917.150000000001</x:v>
      </x:c>
      <x:c r="I2364" s="56" t="n">
        <x:v>0.729</x:v>
      </x:c>
      <x:c r="J2364" s="56" t="n">
        <x:v>11.03346642025002</x:v>
      </x:c>
      <x:c r="K2364" s="56" t="n">
        <x:v>46.55019963037503</x:v>
      </x:c>
      <x:c r="L2364" s="56" t="n">
        <x:v>68.64314232910718</x:v>
      </x:c>
    </x:row>
    <x:row r="2365" ht="32.400001525878906" hidden="0" customHeight="1">
      <x:c r="A2365" s="29" t="str">
        <x:v>San Juan Municipio, Puerto Rico</x:v>
      </x:c>
      <x:c r="B2365" s="29" t="str">
        <x:v>72127005404</x:v>
      </x:c>
      <x:c r="C2365" s="51" t="n">
        <x:v>1997</x:v>
      </x:c>
      <x:c r="D2365" s="51" t="n">
        <x:v>541</x:v>
      </x:c>
      <x:c r="E2365" s="51" t="n">
        <x:v>83</x:v>
      </x:c>
      <x:c r="F2365" s="38" t="n">
        <x:v>0.27090635953930897</x:v>
      </x:c>
      <x:c r="G2365" s="38" t="n">
        <x:v>0.04156234351527291</x:v>
      </x:c>
      <x:c r="H2365" s="57" t="n">
        <x:v>2194.65</x:v>
      </x:c>
      <x:c r="I2365" s="57" t="n">
        <x:v>0.358</x:v>
      </x:c>
      <x:c r="J2365" s="57" t="n">
        <x:v>12.527772847117577</x:v>
      </x:c>
      <x:c r="K2365" s="57" t="n">
        <x:v>48.79165927067636</x:v>
      </x:c>
      <x:c r="L2365" s="57" t="n">
        <x:v>71.84522752953767</x:v>
      </x:c>
    </x:row>
    <x:row r="2366" ht="32.400001525878906" hidden="0" customHeight="1">
      <x:c r="A2366" s="27" t="str">
        <x:v>San Juan Municipio, Puerto Rico</x:v>
      </x:c>
      <x:c r="B2366" s="27" t="str">
        <x:v>72127005405</x:v>
      </x:c>
      <x:c r="C2366" s="50" t="n">
        <x:v>5202</x:v>
      </x:c>
      <x:c r="D2366" s="50" t="n">
        <x:v>918</x:v>
      </x:c>
      <x:c r="E2366" s="50" t="n">
        <x:v>769.5</x:v>
      </x:c>
      <x:c r="F2366" s="37" t="n">
        <x:v>0.17647058823529413</x:v>
      </x:c>
      <x:c r="G2366" s="37" t="n">
        <x:v>0.14792387543252594</x:v>
      </x:c>
      <x:c r="H2366" s="56" t="n">
        <x:v>5600.25</x:v>
      </x:c>
      <x:c r="I2366" s="56" t="n">
        <x:v>0.53</x:v>
      </x:c>
      <x:c r="J2366" s="56" t="n">
        <x:v>12.297397953777425</x:v>
      </x:c>
      <x:c r="K2366" s="56" t="n">
        <x:v>48.44609693066614</x:v>
      </x:c>
      <x:c r="L2366" s="56" t="n">
        <x:v>71.35156704380877</x:v>
      </x:c>
    </x:row>
    <x:row r="2367" ht="32.400001525878906" hidden="0" customHeight="1">
      <x:c r="A2367" s="29" t="str">
        <x:v>San Juan Municipio, Puerto Rico</x:v>
      </x:c>
      <x:c r="B2367" s="29" t="str">
        <x:v>72127005500</x:v>
      </x:c>
      <x:c r="C2367" s="51" t="n">
        <x:v>4143</x:v>
      </x:c>
      <x:c r="D2367" s="51" t="n">
        <x:v>1271</x:v>
      </x:c>
      <x:c r="E2367" s="51" t="n">
        <x:v>590</x:v>
      </x:c>
      <x:c r="F2367" s="38" t="n">
        <x:v>0.3067825247405262</x:v>
      </x:c>
      <x:c r="G2367" s="38" t="n">
        <x:v>0.14240888245232922</x:v>
      </x:c>
      <x:c r="H2367" s="57" t="n">
        <x:v>4646.85</x:v>
      </x:c>
      <x:c r="I2367" s="57" t="n">
        <x:v>0.436</x:v>
      </x:c>
      <x:c r="J2367" s="57" t="n">
        <x:v>11.667340821334834</x:v>
      </x:c>
      <x:c r="K2367" s="57" t="n">
        <x:v>47.50101123200225</x:v>
      </x:c>
      <x:c r="L2367" s="57" t="n">
        <x:v>70.00144461714606</x:v>
      </x:c>
    </x:row>
    <x:row r="2368" ht="32.400001525878906" hidden="0" customHeight="1">
      <x:c r="A2368" s="27" t="str">
        <x:v>San Juan Municipio, Puerto Rico</x:v>
      </x:c>
      <x:c r="B2368" s="27" t="str">
        <x:v>72127005601</x:v>
      </x:c>
      <x:c r="C2368" s="50" t="n">
        <x:v>3078</x:v>
      </x:c>
      <x:c r="D2368" s="50" t="n">
        <x:v>728</x:v>
      </x:c>
      <x:c r="E2368" s="50" t="n">
        <x:v>195</x:v>
      </x:c>
      <x:c r="F2368" s="37" t="n">
        <x:v>0.2365172189733593</x:v>
      </x:c>
      <x:c r="G2368" s="37" t="n">
        <x:v>0.06335282651072124</x:v>
      </x:c>
      <x:c r="H2368" s="56" t="n">
        <x:v>3352.2999999999997</x:v>
      </x:c>
      <x:c r="I2368" s="56" t="n">
        <x:v>0.254</x:v>
      </x:c>
      <x:c r="J2368" s="56" t="n">
        <x:v>12.534964137718061</x:v>
      </x:c>
      <x:c r="K2368" s="56" t="n">
        <x:v>48.802446206577095</x:v>
      </x:c>
      <x:c r="L2368" s="56" t="n">
        <x:v>71.86063743796728</x:v>
      </x:c>
    </x:row>
    <x:row r="2369" ht="32.400001525878906" hidden="0" customHeight="1">
      <x:c r="A2369" s="29" t="str">
        <x:v>San Juan Municipio, Puerto Rico</x:v>
      </x:c>
      <x:c r="B2369" s="29" t="str">
        <x:v>72127005602</x:v>
      </x:c>
      <x:c r="C2369" s="51" t="n">
        <x:v>3325</x:v>
      </x:c>
      <x:c r="D2369" s="51" t="n">
        <x:v>721</x:v>
      </x:c>
      <x:c r="E2369" s="51" t="n">
        <x:v>639</x:v>
      </x:c>
      <x:c r="F2369" s="38" t="n">
        <x:v>0.2168421052631579</x:v>
      </x:c>
      <x:c r="G2369" s="38" t="n">
        <x:v>0.19218045112781956</x:v>
      </x:c>
      <x:c r="H2369" s="57" t="n">
        <x:v>3641.2499999999995</x:v>
      </x:c>
      <x:c r="I2369" s="57" t="n">
        <x:v>0.24</x:v>
      </x:c>
      <x:c r="J2369" s="57" t="n">
        <x:v>12.032781916797706</x:v>
      </x:c>
      <x:c r="K2369" s="57" t="n">
        <x:v>48.04917287519656</x:v>
      </x:c>
      <x:c r="L2369" s="57" t="n">
        <x:v>70.78453267885223</x:v>
      </x:c>
    </x:row>
    <x:row r="2370" ht="32.400001525878906" hidden="0" customHeight="1">
      <x:c r="A2370" s="27" t="str">
        <x:v>San Juan Municipio, Puerto Rico</x:v>
      </x:c>
      <x:c r="B2370" s="27" t="str">
        <x:v>72127005800</x:v>
      </x:c>
      <x:c r="C2370" s="50" t="n">
        <x:v>2518</x:v>
      </x:c>
      <x:c r="D2370" s="50" t="n">
        <x:v>440</x:v>
      </x:c>
      <x:c r="E2370" s="50" t="n">
        <x:v>166</x:v>
      </x:c>
      <x:c r="F2370" s="37" t="n">
        <x:v>0.17474185861795075</x:v>
      </x:c>
      <x:c r="G2370" s="37" t="n">
        <x:v>0.0659253375694996</x:v>
      </x:c>
      <x:c r="H2370" s="56" t="n">
        <x:v>2688.6</x:v>
      </x:c>
      <x:c r="I2370" s="56" t="n">
        <x:v>0.575</x:v>
      </x:c>
      <x:c r="J2370" s="56" t="n">
        <x:v>12.60769810545707</x:v>
      </x:c>
      <x:c r="K2370" s="56" t="n">
        <x:v>48.911547158185606</x:v>
      </x:c>
      <x:c r="L2370" s="56" t="n">
        <x:v>72.01649594026514</x:v>
      </x:c>
    </x:row>
    <x:row r="2371" ht="32.400001525878906" hidden="0" customHeight="1">
      <x:c r="A2371" s="29" t="str">
        <x:v>San Juan Municipio, Puerto Rico</x:v>
      </x:c>
      <x:c r="B2371" s="29" t="str">
        <x:v>72127005900</x:v>
      </x:c>
      <x:c r="C2371" s="51" t="n">
        <x:v>1831</x:v>
      </x:c>
      <x:c r="D2371" s="51" t="n">
        <x:v>355</x:v>
      </x:c>
      <x:c r="E2371" s="51" t="n">
        <x:v>255.5</x:v>
      </x:c>
      <x:c r="F2371" s="38" t="n">
        <x:v>0.1938831239759694</x:v>
      </x:c>
      <x:c r="G2371" s="38" t="n">
        <x:v>0.1395412342981977</x:v>
      </x:c>
      <x:c r="H2371" s="57" t="n">
        <x:v>1980.7999999999997</x:v>
      </x:c>
      <x:c r="I2371" s="57" t="n">
        <x:v>0.087</x:v>
      </x:c>
      <x:c r="J2371" s="57" t="n">
        <x:v>14.148425645421524</x:v>
      </x:c>
      <x:c r="K2371" s="57" t="n">
        <x:v>51.22263846813229</x:v>
      </x:c>
      <x:c r="L2371" s="57" t="n">
        <x:v>75.31805495447469</x:v>
      </x:c>
    </x:row>
    <x:row r="2372" ht="32.400001525878906" hidden="0" customHeight="1">
      <x:c r="A2372" s="27" t="str">
        <x:v>San Juan Municipio, Puerto Rico</x:v>
      </x:c>
      <x:c r="B2372" s="27" t="str">
        <x:v>72127006000</x:v>
      </x:c>
      <x:c r="C2372" s="50" t="n">
        <x:v>1637</x:v>
      </x:c>
      <x:c r="D2372" s="50" t="n">
        <x:v>383</x:v>
      </x:c>
      <x:c r="E2372" s="50" t="n">
        <x:v>473</x:v>
      </x:c>
      <x:c r="F2372" s="37" t="n">
        <x:v>0.23396456933414783</x:v>
      </x:c>
      <x:c r="G2372" s="37" t="n">
        <x:v>0.2889431887599267</x:v>
      </x:c>
      <x:c r="H2372" s="56" t="n">
        <x:v>1818.35</x:v>
      </x:c>
      <x:c r="I2372" s="56" t="n">
        <x:v>0.127</x:v>
      </x:c>
      <x:c r="J2372" s="56" t="n">
        <x:v>14.574887597205823</x:v>
      </x:c>
      <x:c r="K2372" s="56" t="n">
        <x:v>51.86233139580874</x:v>
      </x:c>
      <x:c r="L2372" s="56" t="n">
        <x:v>76.23190199401247</x:v>
      </x:c>
    </x:row>
    <x:row r="2373" ht="32.400001525878906" hidden="0" customHeight="1">
      <x:c r="A2373" s="29" t="str">
        <x:v>San Juan Municipio, Puerto Rico</x:v>
      </x:c>
      <x:c r="B2373" s="29" t="str">
        <x:v>72127006101</x:v>
      </x:c>
      <x:c r="C2373" s="51" t="n">
        <x:v>2569</x:v>
      </x:c>
      <x:c r="D2373" s="51" t="n">
        <x:v>810</x:v>
      </x:c>
      <x:c r="E2373" s="51" t="n">
        <x:v>995</x:v>
      </x:c>
      <x:c r="F2373" s="38" t="n">
        <x:v>0.31529778123783575</x:v>
      </x:c>
      <x:c r="G2373" s="38" t="n">
        <x:v>0.38731023744647725</x:v>
      </x:c>
      <x:c r="H2373" s="57" t="n">
        <x:v>2951.9999999999995</x:v>
      </x:c>
      <x:c r="I2373" s="57" t="n">
        <x:v>0.217</x:v>
      </x:c>
      <x:c r="J2373" s="57" t="n">
        <x:v>13.851590303547528</x:v>
      </x:c>
      <x:c r="K2373" s="57" t="n">
        <x:v>50.777385455321294</x:v>
      </x:c>
      <x:c r="L2373" s="57" t="n">
        <x:v>74.68197922188756</x:v>
      </x:c>
    </x:row>
    <x:row r="2374" ht="32.400001525878906" hidden="0" customHeight="1">
      <x:c r="A2374" s="27" t="str">
        <x:v>San Juan Municipio, Puerto Rico</x:v>
      </x:c>
      <x:c r="B2374" s="27" t="str">
        <x:v>72127006102</x:v>
      </x:c>
      <x:c r="C2374" s="50" t="n">
        <x:v>1023</x:v>
      </x:c>
      <x:c r="D2374" s="50" t="n">
        <x:v>241</x:v>
      </x:c>
      <x:c r="E2374" s="50" t="n">
        <x:v>148</x:v>
      </x:c>
      <x:c r="F2374" s="37" t="n">
        <x:v>0.23558162267839688</x:v>
      </x:c>
      <x:c r="G2374" s="37" t="n">
        <x:v>0.14467253176930597</x:v>
      </x:c>
      <x:c r="H2374" s="56" t="n">
        <x:v>1122.15</x:v>
      </x:c>
      <x:c r="I2374" s="56" t="n">
        <x:v>0.261</x:v>
      </x:c>
      <x:c r="J2374" s="56" t="n">
        <x:v>13.085149592374899</x:v>
      </x:c>
      <x:c r="K2374" s="56" t="n">
        <x:v>49.62772438856235</x:v>
      </x:c>
      <x:c r="L2374" s="56" t="n">
        <x:v>73.03960626937479</x:v>
      </x:c>
    </x:row>
    <x:row r="2375" ht="32.400001525878906" hidden="0" customHeight="1">
      <x:c r="A2375" s="29" t="str">
        <x:v>San Juan Municipio, Puerto Rico</x:v>
      </x:c>
      <x:c r="B2375" s="29" t="str">
        <x:v>72127006200</x:v>
      </x:c>
      <x:c r="C2375" s="51" t="n">
        <x:v>1612</x:v>
      </x:c>
      <x:c r="D2375" s="51" t="n">
        <x:v>459</x:v>
      </x:c>
      <x:c r="E2375" s="51" t="n">
        <x:v>546.5</x:v>
      </x:c>
      <x:c r="F2375" s="38" t="n">
        <x:v>0.2847394540942928</x:v>
      </x:c>
      <x:c r="G2375" s="38" t="n">
        <x:v>0.3390198511166253</x:v>
      </x:c>
      <x:c r="H2375" s="57" t="n">
        <x:v>1827.2999999999997</x:v>
      </x:c>
      <x:c r="I2375" s="57" t="n">
        <x:v>0.102</x:v>
      </x:c>
      <x:c r="J2375" s="57" t="n">
        <x:v>14.363434538123892</x:v>
      </x:c>
      <x:c r="K2375" s="57" t="n">
        <x:v>51.54515180718584</x:v>
      </x:c>
      <x:c r="L2375" s="57" t="n">
        <x:v>75.77878829597977</x:v>
      </x:c>
    </x:row>
    <x:row r="2376" ht="32.400001525878906" hidden="0" customHeight="1">
      <x:c r="A2376" s="27" t="str">
        <x:v>San Juan Municipio, Puerto Rico</x:v>
      </x:c>
      <x:c r="B2376" s="27" t="str">
        <x:v>72127006301</x:v>
      </x:c>
      <x:c r="C2376" s="50" t="n">
        <x:v>3101</x:v>
      </x:c>
      <x:c r="D2376" s="50" t="n">
        <x:v>636</x:v>
      </x:c>
      <x:c r="E2376" s="50" t="n">
        <x:v>203</x:v>
      </x:c>
      <x:c r="F2376" s="37" t="n">
        <x:v>0.20509513060303128</x:v>
      </x:c>
      <x:c r="G2376" s="37" t="n">
        <x:v>0.0654627539503386</x:v>
      </x:c>
      <x:c r="H2376" s="56" t="n">
        <x:v>3343.8999999999996</x:v>
      </x:c>
      <x:c r="I2376" s="56" t="n">
        <x:v>0.23</x:v>
      </x:c>
      <x:c r="J2376" s="56" t="n">
        <x:v>14.48640627578151</x:v>
      </x:c>
      <x:c r="K2376" s="56" t="n">
        <x:v>51.729609413672264</x:v>
      </x:c>
      <x:c r="L2376" s="56" t="n">
        <x:v>76.04229916238896</x:v>
      </x:c>
    </x:row>
    <x:row r="2377" ht="32.400001525878906" hidden="0" customHeight="1">
      <x:c r="A2377" s="29" t="str">
        <x:v>San Juan Municipio, Puerto Rico</x:v>
      </x:c>
      <x:c r="B2377" s="29" t="str">
        <x:v>72127006302</x:v>
      </x:c>
      <x:c r="C2377" s="51" t="n">
        <x:v>3122</x:v>
      </x:c>
      <x:c r="D2377" s="51" t="n">
        <x:v>597</x:v>
      </x:c>
      <x:c r="E2377" s="51" t="n">
        <x:v>337</x:v>
      </x:c>
      <x:c r="F2377" s="38" t="n">
        <x:v>0.19122357463164638</x:v>
      </x:c>
      <x:c r="G2377" s="38" t="n">
        <x:v>0.1079436258808456</x:v>
      </x:c>
      <x:c r="H2377" s="57" t="n">
        <x:v>3364.65</x:v>
      </x:c>
      <x:c r="I2377" s="57" t="n">
        <x:v>0.178</x:v>
      </x:c>
      <x:c r="J2377" s="57" t="n">
        <x:v>14.920533917805502</x:v>
      </x:c>
      <x:c r="K2377" s="57" t="n">
        <x:v>52.38080087670825</x:v>
      </x:c>
      <x:c r="L2377" s="57" t="n">
        <x:v>76.9725726810118</x:v>
      </x:c>
    </x:row>
    <x:row r="2378" ht="32.400001525878906" hidden="0" customHeight="1">
      <x:c r="A2378" s="27" t="str">
        <x:v>San Juan Municipio, Puerto Rico</x:v>
      </x:c>
      <x:c r="B2378" s="27" t="str">
        <x:v>72127006500</x:v>
      </x:c>
      <x:c r="C2378" s="50" t="n">
        <x:v>1469</x:v>
      </x:c>
      <x:c r="D2378" s="50" t="n">
        <x:v>232</x:v>
      </x:c>
      <x:c r="E2378" s="50" t="n">
        <x:v>122</x:v>
      </x:c>
      <x:c r="F2378" s="37" t="n">
        <x:v>0.15793056501021102</x:v>
      </x:c>
      <x:c r="G2378" s="37" t="n">
        <x:v>0.08304969366916269</x:v>
      </x:c>
      <x:c r="H2378" s="56" t="n">
        <x:v>1562.3999999999996</x:v>
      </x:c>
      <x:c r="I2378" s="56" t="n">
        <x:v>0.27</x:v>
      </x:c>
      <x:c r="J2378" s="56" t="n">
        <x:v>14.009487820152163</x:v>
      </x:c>
      <x:c r="K2378" s="56" t="n">
        <x:v>51.014231730228246</x:v>
      </x:c>
      <x:c r="L2378" s="56" t="n">
        <x:v>75.0203310431832</x:v>
      </x:c>
    </x:row>
    <x:row r="2379" ht="32.400001525878906" hidden="0" customHeight="1">
      <x:c r="A2379" s="29" t="str">
        <x:v>San Juan Municipio, Puerto Rico</x:v>
      </x:c>
      <x:c r="B2379" s="29" t="str">
        <x:v>72127006600</x:v>
      </x:c>
      <x:c r="C2379" s="51" t="n">
        <x:v>1814</x:v>
      </x:c>
      <x:c r="D2379" s="51" t="n">
        <x:v>354</x:v>
      </x:c>
      <x:c r="E2379" s="51" t="n">
        <x:v>333</x:v>
      </x:c>
      <x:c r="F2379" s="38" t="n">
        <x:v>0.19514884233737598</x:v>
      </x:c>
      <x:c r="G2379" s="38" t="n">
        <x:v>0.18357221609702315</x:v>
      </x:c>
      <x:c r="H2379" s="57" t="n">
        <x:v>1971.1999999999998</x:v>
      </x:c>
      <x:c r="I2379" s="57" t="n">
        <x:v>0.189</x:v>
      </x:c>
      <x:c r="J2379" s="57" t="n">
        <x:v>12.532092524655516</x:v>
      </x:c>
      <x:c r="K2379" s="57" t="n">
        <x:v>48.79813878698327</x:v>
      </x:c>
      <x:c r="L2379" s="57" t="n">
        <x:v>71.85448398140468</x:v>
      </x:c>
    </x:row>
    <x:row r="2380" ht="32.400001525878906" hidden="0" customHeight="1">
      <x:c r="A2380" s="27" t="str">
        <x:v>San Juan Municipio, Puerto Rico</x:v>
      </x:c>
      <x:c r="B2380" s="27" t="str">
        <x:v>72127006701</x:v>
      </x:c>
      <x:c r="C2380" s="50" t="n">
        <x:v>1895</x:v>
      </x:c>
      <x:c r="D2380" s="50" t="n">
        <x:v>356</x:v>
      </x:c>
      <x:c r="E2380" s="50" t="n">
        <x:v>98</x:v>
      </x:c>
      <x:c r="F2380" s="37" t="n">
        <x:v>0.18786279683377308</x:v>
      </x:c>
      <x:c r="G2380" s="37" t="n">
        <x:v>0.051715039577836415</x:v>
      </x:c>
      <x:c r="H2380" s="56" t="n">
        <x:v>2029.3999999999999</x:v>
      </x:c>
      <x:c r="I2380" s="56" t="n">
        <x:v>0.215</x:v>
      </x:c>
      <x:c r="J2380" s="56" t="n">
        <x:v>12.991575548520881</x:v>
      </x:c>
      <x:c r="K2380" s="56" t="n">
        <x:v>49.48736332278132</x:v>
      </x:c>
      <x:c r="L2380" s="56" t="n">
        <x:v>72.83909046111617</x:v>
      </x:c>
    </x:row>
    <x:row r="2381" ht="32.400001525878906" hidden="0" customHeight="1">
      <x:c r="A2381" s="29" t="str">
        <x:v>San Juan Municipio, Puerto Rico</x:v>
      </x:c>
      <x:c r="B2381" s="29" t="str">
        <x:v>72127006702</x:v>
      </x:c>
      <x:c r="C2381" s="51" t="n">
        <x:v>1763</x:v>
      </x:c>
      <x:c r="D2381" s="51" t="n">
        <x:v>348</x:v>
      </x:c>
      <x:c r="E2381" s="51" t="n">
        <x:v>271</x:v>
      </x:c>
      <x:c r="F2381" s="38" t="n">
        <x:v>0.1973908111174135</x:v>
      </x:c>
      <x:c r="G2381" s="38" t="n">
        <x:v>0.1537152580828134</x:v>
      </x:c>
      <x:c r="H2381" s="57" t="n">
        <x:v>1911.9</x:v>
      </x:c>
      <x:c r="I2381" s="57" t="n">
        <x:v>0.137</x:v>
      </x:c>
      <x:c r="J2381" s="57" t="n">
        <x:v>12.230488647171791</x:v>
      </x:c>
      <x:c r="K2381" s="57" t="n">
        <x:v>48.34573297075769</x:v>
      </x:c>
      <x:c r="L2381" s="57" t="n">
        <x:v>71.20818995822526</x:v>
      </x:c>
    </x:row>
    <x:row r="2382" ht="32.400001525878906" hidden="0" customHeight="1">
      <x:c r="A2382" s="27" t="str">
        <x:v>San Juan Municipio, Puerto Rico</x:v>
      </x:c>
      <x:c r="B2382" s="27" t="str">
        <x:v>72127006800</x:v>
      </x:c>
      <x:c r="C2382" s="50" t="n">
        <x:v>6161</x:v>
      </x:c>
      <x:c r="D2382" s="50" t="n">
        <x:v>1252</x:v>
      </x:c>
      <x:c r="E2382" s="50" t="n">
        <x:v>750</x:v>
      </x:c>
      <x:c r="F2382" s="37" t="n">
        <x:v>0.20321376399935076</x:v>
      </x:c>
      <x:c r="G2382" s="37" t="n">
        <x:v>0.12173348482389222</x:v>
      </x:c>
      <x:c r="H2382" s="56" t="n">
        <x:v>6674.199999999999</x:v>
      </x:c>
      <x:c r="I2382" s="56" t="n">
        <x:v>0.337</x:v>
      </x:c>
      <x:c r="J2382" s="56" t="n">
        <x:v>13.471293166097144</x:v>
      </x:c>
      <x:c r="K2382" s="56" t="n">
        <x:v>50.20693974914572</x:v>
      </x:c>
      <x:c r="L2382" s="56" t="n">
        <x:v>73.86705678449388</x:v>
      </x:c>
    </x:row>
    <x:row r="2383" ht="32.400001525878906" hidden="0" customHeight="1">
      <x:c r="A2383" s="29" t="str">
        <x:v>San Juan Municipio, Puerto Rico</x:v>
      </x:c>
      <x:c r="B2383" s="29" t="str">
        <x:v>72127006900</x:v>
      </x:c>
      <x:c r="C2383" s="51" t="n">
        <x:v>2061</x:v>
      </x:c>
      <x:c r="D2383" s="51" t="n">
        <x:v>667</x:v>
      </x:c>
      <x:c r="E2383" s="51" t="n">
        <x:v>182</x:v>
      </x:c>
      <x:c r="F2383" s="38" t="n">
        <x:v>0.32362930616205726</x:v>
      </x:c>
      <x:c r="G2383" s="38" t="n">
        <x:v>0.08830664725861233</x:v>
      </x:c>
      <x:c r="H2383" s="57" t="n">
        <x:v>2312.65</x:v>
      </x:c>
      <x:c r="I2383" s="57" t="n">
        <x:v>0.208</x:v>
      </x:c>
      <x:c r="J2383" s="57" t="n">
        <x:v>13.010159501209051</x:v>
      </x:c>
      <x:c r="K2383" s="57" t="n">
        <x:v>49.515239251813576</x:v>
      </x:c>
      <x:c r="L2383" s="57" t="n">
        <x:v>72.87891321687654</x:v>
      </x:c>
    </x:row>
    <x:row r="2384" ht="32.400001525878906" hidden="0" customHeight="1">
      <x:c r="A2384" s="27" t="str">
        <x:v>San Juan Municipio, Puerto Rico</x:v>
      </x:c>
      <x:c r="B2384" s="27" t="str">
        <x:v>72127007004</x:v>
      </x:c>
      <x:c r="C2384" s="50" t="n">
        <x:v>1983</x:v>
      </x:c>
      <x:c r="D2384" s="50" t="n">
        <x:v>757</x:v>
      </x:c>
      <x:c r="E2384" s="50" t="n">
        <x:v>309</x:v>
      </x:c>
      <x:c r="F2384" s="37" t="n">
        <x:v>0.3817448310640444</x:v>
      </x:c>
      <x:c r="G2384" s="37" t="n">
        <x:v>0.15582450832072617</x:v>
      </x:c>
      <x:c r="H2384" s="56" t="n">
        <x:v>2278.85</x:v>
      </x:c>
      <x:c r="I2384" s="56" t="n">
        <x:v>1.482</x:v>
      </x:c>
      <x:c r="J2384" s="56" t="n">
        <x:v>15.666143091985031</x:v>
      </x:c>
      <x:c r="K2384" s="56" t="n">
        <x:v>53.499214637977545</x:v>
      </x:c>
      <x:c r="L2384" s="56" t="n">
        <x:v>78.5703066256822</x:v>
      </x:c>
    </x:row>
    <x:row r="2385" ht="32.400001525878906" hidden="0" customHeight="1">
      <x:c r="A2385" s="29" t="str">
        <x:v>San Juan Municipio, Puerto Rico</x:v>
      </x:c>
      <x:c r="B2385" s="29" t="str">
        <x:v>72127007100</x:v>
      </x:c>
      <x:c r="C2385" s="51" t="n">
        <x:v>1950</x:v>
      </x:c>
      <x:c r="D2385" s="51" t="n">
        <x:v>328</x:v>
      </x:c>
      <x:c r="E2385" s="51" t="n">
        <x:v>162</x:v>
      </x:c>
      <x:c r="F2385" s="38" t="n">
        <x:v>0.1682051282051282</x:v>
      </x:c>
      <x:c r="G2385" s="38" t="n">
        <x:v>0.08307692307692308</x:v>
      </x:c>
      <x:c r="H2385" s="57" t="n">
        <x:v>2081</x:v>
      </x:c>
      <x:c r="I2385" s="57" t="n">
        <x:v>0.241</x:v>
      </x:c>
      <x:c r="J2385" s="57" t="n">
        <x:v>14.102204794008745</x:v>
      </x:c>
      <x:c r="K2385" s="57" t="n">
        <x:v>51.15330719101312</x:v>
      </x:c>
      <x:c r="L2385" s="57" t="n">
        <x:v>75.21901027287589</x:v>
      </x:c>
    </x:row>
    <x:row r="2386" ht="32.400001525878906" hidden="0" customHeight="1">
      <x:c r="A2386" s="27" t="str">
        <x:v>San Juan Municipio, Puerto Rico</x:v>
      </x:c>
      <x:c r="B2386" s="27" t="str">
        <x:v>72127007300</x:v>
      </x:c>
      <x:c r="C2386" s="50" t="n">
        <x:v>3792</x:v>
      </x:c>
      <x:c r="D2386" s="50" t="n">
        <x:v>894</x:v>
      </x:c>
      <x:c r="E2386" s="50" t="n">
        <x:v>396</x:v>
      </x:c>
      <x:c r="F2386" s="37" t="n">
        <x:v>0.23575949367088608</x:v>
      </x:c>
      <x:c r="G2386" s="37" t="n">
        <x:v>0.10443037974683544</x:v>
      </x:c>
      <x:c r="H2386" s="56" t="n">
        <x:v>4144.5</x:v>
      </x:c>
      <x:c r="I2386" s="56" t="n">
        <x:v>0.452</x:v>
      </x:c>
      <x:c r="J2386" s="56" t="n">
        <x:v>12.982282652198927</x:v>
      </x:c>
      <x:c r="K2386" s="56" t="n">
        <x:v>49.47342397829839</x:v>
      </x:c>
      <x:c r="L2386" s="56" t="n">
        <x:v>72.81917711185484</x:v>
      </x:c>
    </x:row>
    <x:row r="2387" ht="32.400001525878906" hidden="0" customHeight="1">
      <x:c r="A2387" s="29" t="str">
        <x:v>San Juan Municipio, Puerto Rico</x:v>
      </x:c>
      <x:c r="B2387" s="29" t="str">
        <x:v>72127007400</x:v>
      </x:c>
      <x:c r="C2387" s="51" t="n">
        <x:v>1504</x:v>
      </x:c>
      <x:c r="D2387" s="51" t="n">
        <x:v>352</x:v>
      </x:c>
      <x:c r="E2387" s="51" t="n">
        <x:v>149</x:v>
      </x:c>
      <x:c r="F2387" s="38" t="n">
        <x:v>0.23404255319148937</x:v>
      </x:c>
      <x:c r="G2387" s="38" t="n">
        <x:v>0.0990691489361702</x:v>
      </x:c>
      <x:c r="H2387" s="57" t="n">
        <x:v>1642.1000000000001</x:v>
      </x:c>
      <x:c r="I2387" s="57" t="n">
        <x:v>0.126</x:v>
      </x:c>
      <x:c r="J2387" s="57" t="n">
        <x:v>13.296835500398142</x:v>
      </x:c>
      <x:c r="K2387" s="57" t="n">
        <x:v>49.94525325059721</x:v>
      </x:c>
      <x:c r="L2387" s="57" t="n">
        <x:v>73.49321892942459</x:v>
      </x:c>
    </x:row>
    <x:row r="2388" ht="32.400001525878906" hidden="0" customHeight="1">
      <x:c r="A2388" s="27" t="str">
        <x:v>San Juan Municipio, Puerto Rico</x:v>
      </x:c>
      <x:c r="B2388" s="27" t="str">
        <x:v>72127007500</x:v>
      </x:c>
      <x:c r="C2388" s="50" t="n">
        <x:v>1928</x:v>
      </x:c>
      <x:c r="D2388" s="50" t="n">
        <x:v>461</x:v>
      </x:c>
      <x:c r="E2388" s="50" t="n">
        <x:v>181</x:v>
      </x:c>
      <x:c r="F2388" s="37" t="n">
        <x:v>0.2391078838174274</x:v>
      </x:c>
      <x:c r="G2388" s="37" t="n">
        <x:v>0.09387966804979253</x:v>
      </x:c>
      <x:c r="H2388" s="56" t="n">
        <x:v>2107.45</x:v>
      </x:c>
      <x:c r="I2388" s="56" t="n">
        <x:v>0.223</x:v>
      </x:c>
      <x:c r="J2388" s="56" t="n">
        <x:v>12.606341388000667</x:v>
      </x:c>
      <x:c r="K2388" s="56" t="n">
        <x:v>48.909512082001</x:v>
      </x:c>
      <x:c r="L2388" s="56" t="n">
        <x:v>72.01358868857287</x:v>
      </x:c>
    </x:row>
    <x:row r="2389" ht="32.400001525878906" hidden="0" customHeight="1">
      <x:c r="A2389" s="29" t="str">
        <x:v>San Juan Municipio, Puerto Rico</x:v>
      </x:c>
      <x:c r="B2389" s="29" t="str">
        <x:v>72127007600</x:v>
      </x:c>
      <x:c r="C2389" s="51" t="n">
        <x:v>2171</x:v>
      </x:c>
      <x:c r="D2389" s="51" t="n">
        <x:v>455</x:v>
      </x:c>
      <x:c r="E2389" s="51" t="n">
        <x:v>154</x:v>
      </x:c>
      <x:c r="F2389" s="38" t="n">
        <x:v>0.20958083832335328</x:v>
      </x:c>
      <x:c r="G2389" s="38" t="n">
        <x:v>0.07093505297098111</x:v>
      </x:c>
      <x:c r="H2389" s="57" t="n">
        <x:v>2345.6500000000005</x:v>
      </x:c>
      <x:c r="I2389" s="57" t="n">
        <x:v>0.164</x:v>
      </x:c>
      <x:c r="J2389" s="57" t="n">
        <x:v>11.893145763541268</x:v>
      </x:c>
      <x:c r="K2389" s="57" t="n">
        <x:v>47.839718645311905</x:v>
      </x:c>
      <x:c r="L2389" s="57" t="n">
        <x:v>70.48531235044558</x:v>
      </x:c>
    </x:row>
    <x:row r="2390" ht="32.400001525878906" hidden="0" customHeight="1">
      <x:c r="A2390" s="27" t="str">
        <x:v>San Juan Municipio, Puerto Rico</x:v>
      </x:c>
      <x:c r="B2390" s="27" t="str">
        <x:v>72127007700</x:v>
      </x:c>
      <x:c r="C2390" s="50" t="n">
        <x:v>2207</x:v>
      </x:c>
      <x:c r="D2390" s="50" t="n">
        <x:v>693</x:v>
      </x:c>
      <x:c r="E2390" s="50" t="n">
        <x:v>115</x:v>
      </x:c>
      <x:c r="F2390" s="37" t="n">
        <x:v>0.3140009062075215</x:v>
      </x:c>
      <x:c r="G2390" s="37" t="n">
        <x:v>0.05210693248753965</x:v>
      </x:c>
      <x:c r="H2390" s="56" t="n">
        <x:v>2461.0499999999997</x:v>
      </x:c>
      <x:c r="I2390" s="56" t="n">
        <x:v>0.185</x:v>
      </x:c>
      <x:c r="J2390" s="56" t="n">
        <x:v>11.863473083043923</x:v>
      </x:c>
      <x:c r="K2390" s="56" t="n">
        <x:v>47.795209624565885</x:v>
      </x:c>
      <x:c r="L2390" s="56" t="n">
        <x:v>70.42172803509412</x:v>
      </x:c>
    </x:row>
    <x:row r="2391" ht="32.400001525878906" hidden="0" customHeight="1">
      <x:c r="A2391" s="29" t="str">
        <x:v>San Juan Municipio, Puerto Rico</x:v>
      </x:c>
      <x:c r="B2391" s="29" t="str">
        <x:v>72127007800</x:v>
      </x:c>
      <x:c r="C2391" s="51" t="n">
        <x:v>5182</x:v>
      </x:c>
      <x:c r="D2391" s="51" t="n">
        <x:v>1222</x:v>
      </x:c>
      <x:c r="E2391" s="51" t="n">
        <x:v>512.5</x:v>
      </x:c>
      <x:c r="F2391" s="38" t="n">
        <x:v>0.23581628714781938</x:v>
      </x:c>
      <x:c r="G2391" s="38" t="n">
        <x:v>0.09890003859513702</x:v>
      </x:c>
      <x:c r="H2391" s="57" t="n">
        <x:v>5660.950000000001</x:v>
      </x:c>
      <x:c r="I2391" s="57" t="n">
        <x:v>0.38</x:v>
      </x:c>
      <x:c r="J2391" s="57" t="n">
        <x:v>11.185125239440437</x:v>
      </x:c>
      <x:c r="K2391" s="57" t="n">
        <x:v>46.77768785916066</x:v>
      </x:c>
      <x:c r="L2391" s="57" t="n">
        <x:v>68.96812551308665</x:v>
      </x:c>
    </x:row>
    <x:row r="2392" ht="32.400001525878906" hidden="0" customHeight="1">
      <x:c r="A2392" s="27" t="str">
        <x:v>San Juan Municipio, Puerto Rico</x:v>
      </x:c>
      <x:c r="B2392" s="27" t="str">
        <x:v>72127007900</x:v>
      </x:c>
      <x:c r="C2392" s="50" t="n">
        <x:v>2648</x:v>
      </x:c>
      <x:c r="D2392" s="50" t="n">
        <x:v>553</x:v>
      </x:c>
      <x:c r="E2392" s="50" t="n">
        <x:v>156.5</x:v>
      </x:c>
      <x:c r="F2392" s="37" t="n">
        <x:v>0.2088368580060423</x:v>
      </x:c>
      <x:c r="G2392" s="37" t="n">
        <x:v>0.0591012084592145</x:v>
      </x:c>
      <x:c r="H2392" s="56" t="n">
        <x:v>2857.2</x:v>
      </x:c>
      <x:c r="I2392" s="56" t="n">
        <x:v>0.427</x:v>
      </x:c>
      <x:c r="J2392" s="56" t="n">
        <x:v>11.98509145916371</x:v>
      </x:c>
      <x:c r="K2392" s="56" t="n">
        <x:v>47.97763718874557</x:v>
      </x:c>
      <x:c r="L2392" s="56" t="n">
        <x:v>70.6823388410651</x:v>
      </x:c>
    </x:row>
    <x:row r="2393" ht="32.400001525878906" hidden="0" customHeight="1">
      <x:c r="A2393" s="29" t="str">
        <x:v>San Juan Municipio, Puerto Rico</x:v>
      </x:c>
      <x:c r="B2393" s="29" t="str">
        <x:v>72127008001</x:v>
      </x:c>
      <x:c r="C2393" s="51" t="n">
        <x:v>3758</x:v>
      </x:c>
      <x:c r="D2393" s="51" t="n">
        <x:v>697</x:v>
      </x:c>
      <x:c r="E2393" s="51" t="n">
        <x:v>390.5</x:v>
      </x:c>
      <x:c r="F2393" s="38" t="n">
        <x:v>0.1854709952102182</x:v>
      </x:c>
      <x:c r="G2393" s="38" t="n">
        <x:v>0.10391165513571049</x:v>
      </x:c>
      <x:c r="H2393" s="57" t="n">
        <x:v>4041.0000000000005</x:v>
      </x:c>
      <x:c r="I2393" s="57" t="n">
        <x:v>0.279</x:v>
      </x:c>
      <x:c r="J2393" s="57" t="n">
        <x:v>10.439382672851929</x:v>
      </x:c>
      <x:c r="K2393" s="57" t="n">
        <x:v>45.659074009277894</x:v>
      </x:c>
      <x:c r="L2393" s="57" t="n">
        <x:v>67.37010572753985</x:v>
      </x:c>
    </x:row>
    <x:row r="2394" ht="32.400001525878906" hidden="0" customHeight="1">
      <x:c r="A2394" s="27" t="str">
        <x:v>San Juan Municipio, Puerto Rico</x:v>
      </x:c>
      <x:c r="B2394" s="27" t="str">
        <x:v>72127008002</x:v>
      </x:c>
      <x:c r="C2394" s="50" t="n">
        <x:v>4266</x:v>
      </x:c>
      <x:c r="D2394" s="50" t="n">
        <x:v>990</x:v>
      </x:c>
      <x:c r="E2394" s="50" t="n">
        <x:v>783</x:v>
      </x:c>
      <x:c r="F2394" s="37" t="n">
        <x:v>0.2320675105485232</x:v>
      </x:c>
      <x:c r="G2394" s="37" t="n">
        <x:v>0.18354430379746836</x:v>
      </x:c>
      <x:c r="H2394" s="56" t="n">
        <x:v>4690.800000000001</x:v>
      </x:c>
      <x:c r="I2394" s="56" t="n">
        <x:v>0.191</x:v>
      </x:c>
      <x:c r="J2394" s="56" t="n">
        <x:v>9.692903642310396</x:v>
      </x:c>
      <x:c r="K2394" s="56" t="n">
        <x:v>44.5393554634656</x:v>
      </x:c>
      <x:c r="L2394" s="56" t="n">
        <x:v>65.77050780495085</x:v>
      </x:c>
    </x:row>
    <x:row r="2395" ht="32.400001525878906" hidden="0" customHeight="1">
      <x:c r="A2395" s="29" t="str">
        <x:v>San Juan Municipio, Puerto Rico</x:v>
      </x:c>
      <x:c r="B2395" s="29" t="str">
        <x:v>72127008100</x:v>
      </x:c>
      <x:c r="C2395" s="51" t="n">
        <x:v>2360</x:v>
      </x:c>
      <x:c r="D2395" s="51" t="n">
        <x:v>441</x:v>
      </x:c>
      <x:c r="E2395" s="51" t="n">
        <x:v>68</x:v>
      </x:c>
      <x:c r="F2395" s="38" t="n">
        <x:v>0.186864406779661</x:v>
      </x:c>
      <x:c r="G2395" s="38" t="n">
        <x:v>0.0288135593220339</x:v>
      </x:c>
      <x:c r="H2395" s="57" t="n">
        <x:v>2521.15</x:v>
      </x:c>
      <x:c r="I2395" s="57" t="n">
        <x:v>0.281</x:v>
      </x:c>
      <x:c r="J2395" s="57" t="n">
        <x:v>9.209690931007326</x:v>
      </x:c>
      <x:c r="K2395" s="57" t="n">
        <x:v>43.81453639651099</x:v>
      </x:c>
      <x:c r="L2395" s="57" t="n">
        <x:v>64.73505199501571</x:v>
      </x:c>
    </x:row>
    <x:row r="2396" ht="32.400001525878906" hidden="0" customHeight="1">
      <x:c r="A2396" s="27" t="str">
        <x:v>San Juan Municipio, Puerto Rico</x:v>
      </x:c>
      <x:c r="B2396" s="27" t="str">
        <x:v>72127008201</x:v>
      </x:c>
      <x:c r="C2396" s="50" t="n">
        <x:v>2221</x:v>
      </x:c>
      <x:c r="D2396" s="50" t="n">
        <x:v>596</x:v>
      </x:c>
      <x:c r="E2396" s="50" t="n">
        <x:v>890</x:v>
      </x:c>
      <x:c r="F2396" s="37" t="n">
        <x:v>0.26834759117514634</x:v>
      </x:c>
      <x:c r="G2396" s="37" t="n">
        <x:v>0.4007203962179199</x:v>
      </x:c>
      <x:c r="H2396" s="56" t="n">
        <x:v>2518.6</x:v>
      </x:c>
      <x:c r="I2396" s="56" t="n">
        <x:v>0.1</x:v>
      </x:c>
      <x:c r="J2396" s="56" t="n">
        <x:v>10.583754379899279</x:v>
      </x:c>
      <x:c r="K2396" s="56" t="n">
        <x:v>45.87563156984892</x:v>
      </x:c>
      <x:c r="L2396" s="56" t="n">
        <x:v>67.67947367121275</x:v>
      </x:c>
    </x:row>
    <x:row r="2397" ht="32.400001525878906" hidden="0" customHeight="1">
      <x:c r="A2397" s="29" t="str">
        <x:v>San Juan Municipio, Puerto Rico</x:v>
      </x:c>
      <x:c r="B2397" s="29" t="str">
        <x:v>72127008202</x:v>
      </x:c>
      <x:c r="C2397" s="51" t="n">
        <x:v>2810</x:v>
      </x:c>
      <x:c r="D2397" s="51" t="n">
        <x:v>510</x:v>
      </x:c>
      <x:c r="E2397" s="51" t="n">
        <x:v>238</x:v>
      </x:c>
      <x:c r="F2397" s="38" t="n">
        <x:v>0.18149466192170818</x:v>
      </x:c>
      <x:c r="G2397" s="38" t="n">
        <x:v>0.08469750889679716</x:v>
      </x:c>
      <x:c r="H2397" s="57" t="n">
        <x:v>3012.2999999999997</x:v>
      </x:c>
      <x:c r="I2397" s="57" t="n">
        <x:v>0.3</x:v>
      </x:c>
      <x:c r="J2397" s="57" t="n">
        <x:v>9.858799357684667</x:v>
      </x:c>
      <x:c r="K2397" s="57" t="n">
        <x:v>44.788199036527004</x:v>
      </x:c>
      <x:c r="L2397" s="57" t="n">
        <x:v>66.12599862361</x:v>
      </x:c>
    </x:row>
    <x:row r="2398" ht="32.400001525878906" hidden="0" customHeight="1">
      <x:c r="A2398" s="27" t="str">
        <x:v>San Juan Municipio, Puerto Rico</x:v>
      </x:c>
      <x:c r="B2398" s="27" t="str">
        <x:v>72127008300</x:v>
      </x:c>
      <x:c r="C2398" s="50" t="n">
        <x:v>2537</x:v>
      </x:c>
      <x:c r="D2398" s="50" t="n">
        <x:v>601</x:v>
      </x:c>
      <x:c r="E2398" s="50" t="n">
        <x:v>224.5</x:v>
      </x:c>
      <x:c r="F2398" s="37" t="n">
        <x:v>0.23689396925502562</x:v>
      </x:c>
      <x:c r="G2398" s="37" t="n">
        <x:v>0.08849034292471424</x:v>
      </x:c>
      <x:c r="H2398" s="56" t="n">
        <x:v>2769.8</x:v>
      </x:c>
      <x:c r="I2398" s="56" t="n">
        <x:v>0.164</x:v>
      </x:c>
      <x:c r="J2398" s="56" t="n">
        <x:v>11.398339568700841</x:v>
      </x:c>
      <x:c r="K2398" s="56" t="n">
        <x:v>47.097509353051265</x:v>
      </x:c>
      <x:c r="L2398" s="56" t="n">
        <x:v>69.42501336150181</x:v>
      </x:c>
    </x:row>
    <x:row r="2399" ht="32.400001525878906" hidden="0" customHeight="1">
      <x:c r="A2399" s="29" t="str">
        <x:v>San Juan Municipio, Puerto Rico</x:v>
      </x:c>
      <x:c r="B2399" s="29" t="str">
        <x:v>72127008400</x:v>
      </x:c>
      <x:c r="C2399" s="51" t="n">
        <x:v>2633</x:v>
      </x:c>
      <x:c r="D2399" s="51" t="n">
        <x:v>620</x:v>
      </x:c>
      <x:c r="E2399" s="51" t="n">
        <x:v>195</x:v>
      </x:c>
      <x:c r="F2399" s="38" t="n">
        <x:v>0.2354728446638815</x:v>
      </x:c>
      <x:c r="G2399" s="38" t="n">
        <x:v>0.07406000759589822</x:v>
      </x:c>
      <x:c r="H2399" s="57" t="n">
        <x:v>2869.5</x:v>
      </x:c>
      <x:c r="I2399" s="57" t="n">
        <x:v>0.783</x:v>
      </x:c>
      <x:c r="J2399" s="57" t="n">
        <x:v>10.243471834580037</x:v>
      </x:c>
      <x:c r="K2399" s="57" t="n">
        <x:v>45.36520775187005</x:v>
      </x:c>
      <x:c r="L2399" s="57" t="n">
        <x:v>66.9502967883858</x:v>
      </x:c>
    </x:row>
    <x:row r="2400" ht="32.400001525878906" hidden="0" customHeight="1">
      <x:c r="A2400" s="27" t="str">
        <x:v>San Juan Municipio, Puerto Rico</x:v>
      </x:c>
      <x:c r="B2400" s="27" t="str">
        <x:v>72127008500</x:v>
      </x:c>
      <x:c r="C2400" s="50" t="n">
        <x:v>4389</x:v>
      </x:c>
      <x:c r="D2400" s="50" t="n">
        <x:v>1075</x:v>
      </x:c>
      <x:c r="E2400" s="50" t="n">
        <x:v>676.5</x:v>
      </x:c>
      <x:c r="F2400" s="37" t="n">
        <x:v>0.24493050808840283</x:v>
      </x:c>
      <x:c r="G2400" s="37" t="n">
        <x:v>0.15413533834586465</x:v>
      </x:c>
      <x:c r="H2400" s="56" t="n">
        <x:v>4832.9</x:v>
      </x:c>
      <x:c r="I2400" s="56" t="n">
        <x:v>0.298</x:v>
      </x:c>
      <x:c r="J2400" s="56" t="n">
        <x:v>11.675078447554164</x:v>
      </x:c>
      <x:c r="K2400" s="56" t="n">
        <x:v>47.51261767133124</x:v>
      </x:c>
      <x:c r="L2400" s="56" t="n">
        <x:v>70.01802524475892</x:v>
      </x:c>
    </x:row>
    <x:row r="2401" ht="32.400001525878906" hidden="0" customHeight="1">
      <x:c r="A2401" s="29" t="str">
        <x:v>San Juan Municipio, Puerto Rico</x:v>
      </x:c>
      <x:c r="B2401" s="29" t="str">
        <x:v>72127008601</x:v>
      </x:c>
      <x:c r="C2401" s="51" t="n">
        <x:v>2164</x:v>
      </x:c>
      <x:c r="D2401" s="51" t="n">
        <x:v>410</x:v>
      </x:c>
      <x:c r="E2401" s="51" t="n">
        <x:v>131</x:v>
      </x:c>
      <x:c r="F2401" s="38" t="n">
        <x:v>0.18946395563770796</x:v>
      </x:c>
      <x:c r="G2401" s="38" t="n">
        <x:v>0.060536044362292055</x:v>
      </x:c>
      <x:c r="H2401" s="57" t="n">
        <x:v>2320.6</x:v>
      </x:c>
      <x:c r="I2401" s="57" t="n">
        <x:v>0.289</x:v>
      </x:c>
      <x:c r="J2401" s="57" t="n">
        <x:v>11.558555527207375</x:v>
      </x:c>
      <x:c r="K2401" s="57" t="n">
        <x:v>47.33783329081106</x:v>
      </x:c>
      <x:c r="L2401" s="57" t="n">
        <x:v>69.76833327258723</x:v>
      </x:c>
    </x:row>
    <x:row r="2402" ht="32.400001525878906" hidden="0" customHeight="1">
      <x:c r="A2402" s="27" t="str">
        <x:v>San Juan Municipio, Puerto Rico</x:v>
      </x:c>
      <x:c r="B2402" s="27" t="str">
        <x:v>72127008602</x:v>
      </x:c>
      <x:c r="C2402" s="50" t="n">
        <x:v>3401</x:v>
      </x:c>
      <x:c r="D2402" s="50" t="n">
        <x:v>881</x:v>
      </x:c>
      <x:c r="E2402" s="50" t="n">
        <x:v>337</x:v>
      </x:c>
      <x:c r="F2402" s="37" t="n">
        <x:v>0.2590414583945898</x:v>
      </x:c>
      <x:c r="G2402" s="37" t="n">
        <x:v>0.09908850338135843</x:v>
      </x:c>
      <x:c r="H2402" s="56" t="n">
        <x:v>3743.0500000000006</x:v>
      </x:c>
      <x:c r="I2402" s="56" t="n">
        <x:v>0.46</x:v>
      </x:c>
      <x:c r="J2402" s="56" t="n">
        <x:v>10.509603108722919</x:v>
      </x:c>
      <x:c r="K2402" s="56" t="n">
        <x:v>45.76440466308438</x:v>
      </x:c>
      <x:c r="L2402" s="56" t="n">
        <x:v>67.52057809012054</x:v>
      </x:c>
    </x:row>
    <x:row r="2403" ht="32.400001525878906" hidden="0" customHeight="1">
      <x:c r="A2403" s="29" t="str">
        <x:v>San Juan Municipio, Puerto Rico</x:v>
      </x:c>
      <x:c r="B2403" s="29" t="str">
        <x:v>72127008603</x:v>
      </x:c>
      <x:c r="C2403" s="51" t="n">
        <x:v>1375</x:v>
      </x:c>
      <x:c r="D2403" s="51" t="n">
        <x:v>324</x:v>
      </x:c>
      <x:c r="E2403" s="51" t="n">
        <x:v>157</x:v>
      </x:c>
      <x:c r="F2403" s="38" t="n">
        <x:v>0.23563636363636364</x:v>
      </x:c>
      <x:c r="G2403" s="38" t="n">
        <x:v>0.11418181818181818</x:v>
      </x:c>
      <x:c r="H2403" s="57" t="n">
        <x:v>1504.1</x:v>
      </x:c>
      <x:c r="I2403" s="57" t="n">
        <x:v>0.145</x:v>
      </x:c>
      <x:c r="J2403" s="57" t="n">
        <x:v>10.796587630973107</x:v>
      </x:c>
      <x:c r="K2403" s="57" t="n">
        <x:v>46.19488144645966</x:v>
      </x:c>
      <x:c r="L2403" s="57" t="n">
        <x:v>68.1355449235138</x:v>
      </x:c>
    </x:row>
    <x:row r="2404" ht="32.400001525878906" hidden="0" customHeight="1">
      <x:c r="A2404" s="27" t="str">
        <x:v>San Juan Municipio, Puerto Rico</x:v>
      </x:c>
      <x:c r="B2404" s="27" t="str">
        <x:v>72127008700</x:v>
      </x:c>
      <x:c r="C2404" s="50" t="n">
        <x:v>1112</x:v>
      </x:c>
      <x:c r="D2404" s="50" t="n">
        <x:v>250</x:v>
      </x:c>
      <x:c r="E2404" s="50" t="n">
        <x:v>351</x:v>
      </x:c>
      <x:c r="F2404" s="37" t="n">
        <x:v>0.22482014388489208</x:v>
      </x:c>
      <x:c r="G2404" s="37" t="n">
        <x:v>0.31564748201438847</x:v>
      </x:c>
      <x:c r="H2404" s="56" t="n">
        <x:v>1234.6</x:v>
      </x:c>
      <x:c r="I2404" s="56" t="n">
        <x:v>0.101</x:v>
      </x:c>
      <x:c r="J2404" s="56" t="n">
        <x:v>11.347836308981003</x:v>
      </x:c>
      <x:c r="K2404" s="56" t="n">
        <x:v>47.0217544634715</x:v>
      </x:c>
      <x:c r="L2404" s="56" t="n">
        <x:v>69.31679209067357</x:v>
      </x:c>
    </x:row>
    <x:row r="2405" ht="32.400001525878906" hidden="0" customHeight="1">
      <x:c r="A2405" s="29" t="str">
        <x:v>San Juan Municipio, Puerto Rico</x:v>
      </x:c>
      <x:c r="B2405" s="29" t="str">
        <x:v>72127008900</x:v>
      </x:c>
      <x:c r="C2405" s="51" t="n">
        <x:v>1723</x:v>
      </x:c>
      <x:c r="D2405" s="51" t="n">
        <x:v>409</x:v>
      </x:c>
      <x:c r="E2405" s="51" t="n">
        <x:v>618</x:v>
      </x:c>
      <x:c r="F2405" s="38" t="n">
        <x:v>0.23737666860127685</x:v>
      </x:c>
      <x:c r="G2405" s="38" t="n">
        <x:v>0.3586767266395821</x:v>
      </x:c>
      <x:c r="H2405" s="57" t="n">
        <x:v>1927.95</x:v>
      </x:c>
      <x:c r="I2405" s="57" t="n">
        <x:v>0.211</x:v>
      </x:c>
      <x:c r="J2405" s="57" t="n">
        <x:v>11.34553556090876</x:v>
      </x:c>
      <x:c r="K2405" s="57" t="n">
        <x:v>47.018303341363136</x:v>
      </x:c>
      <x:c r="L2405" s="57" t="n">
        <x:v>69.31186191623306</x:v>
      </x:c>
    </x:row>
    <x:row r="2406" ht="32.400001525878906" hidden="0" customHeight="1">
      <x:c r="A2406" s="27" t="str">
        <x:v>San Juan Municipio, Puerto Rico</x:v>
      </x:c>
      <x:c r="B2406" s="27" t="str">
        <x:v>72127009000</x:v>
      </x:c>
      <x:c r="C2406" s="50" t="n">
        <x:v>1741</x:v>
      </x:c>
      <x:c r="D2406" s="50" t="n">
        <x:v>387</x:v>
      </x:c>
      <x:c r="E2406" s="50" t="n">
        <x:v>349.5</x:v>
      </x:c>
      <x:c r="F2406" s="37" t="n">
        <x:v>0.22228604250430786</x:v>
      </x:c>
      <x:c r="G2406" s="37" t="n">
        <x:v>0.20074669730040207</x:v>
      </x:c>
      <x:c r="H2406" s="56" t="n">
        <x:v>1911.4</x:v>
      </x:c>
      <x:c r="I2406" s="56" t="n">
        <x:v>0.139</x:v>
      </x:c>
      <x:c r="J2406" s="56" t="n">
        <x:v>11.896931372281667</x:v>
      </x:c>
      <x:c r="K2406" s="56" t="n">
        <x:v>47.8453970584225</x:v>
      </x:c>
      <x:c r="L2406" s="56" t="n">
        <x:v>70.493424369175</x:v>
      </x:c>
    </x:row>
    <x:row r="2407" ht="32.400001525878906" hidden="0" customHeight="1">
      <x:c r="A2407" s="29" t="str">
        <x:v>San Juan Municipio, Puerto Rico</x:v>
      </x:c>
      <x:c r="B2407" s="29" t="str">
        <x:v>72127009111</x:v>
      </x:c>
      <x:c r="C2407" s="51" t="n">
        <x:v>2499</x:v>
      </x:c>
      <x:c r="D2407" s="51" t="n">
        <x:v>603</x:v>
      </x:c>
      <x:c r="E2407" s="51" t="n">
        <x:v>434</x:v>
      </x:c>
      <x:c r="F2407" s="38" t="n">
        <x:v>0.24129651860744297</x:v>
      </x:c>
      <x:c r="G2407" s="38" t="n">
        <x:v>0.17366946778711484</x:v>
      </x:c>
      <x:c r="H2407" s="57" t="n">
        <x:v>2753.45</x:v>
      </x:c>
      <x:c r="I2407" s="57" t="n">
        <x:v>0.142</x:v>
      </x:c>
      <x:c r="J2407" s="57" t="n">
        <x:v>11.440727559278931</x:v>
      </x:c>
      <x:c r="K2407" s="57" t="n">
        <x:v>47.161091338918396</x:v>
      </x:c>
      <x:c r="L2407" s="57" t="n">
        <x:v>69.51584476988342</x:v>
      </x:c>
    </x:row>
    <x:row r="2408" ht="32.400001525878906" hidden="0" customHeight="1">
      <x:c r="A2408" s="27" t="str">
        <x:v>San Juan Municipio, Puerto Rico</x:v>
      </x:c>
      <x:c r="B2408" s="27" t="str">
        <x:v>72127009112</x:v>
      </x:c>
      <x:c r="C2408" s="50" t="n">
        <x:v>3816</x:v>
      </x:c>
      <x:c r="D2408" s="50" t="n">
        <x:v>1248</x:v>
      </x:c>
      <x:c r="E2408" s="50" t="n">
        <x:v>414</x:v>
      </x:c>
      <x:c r="F2408" s="37" t="n">
        <x:v>0.3270440251572327</x:v>
      </x:c>
      <x:c r="G2408" s="37" t="n">
        <x:v>0.10849056603773585</x:v>
      </x:c>
      <x:c r="H2408" s="56" t="n">
        <x:v>4294.2</x:v>
      </x:c>
      <x:c r="I2408" s="56" t="n">
        <x:v>0.214</x:v>
      </x:c>
      <x:c r="J2408" s="56" t="n">
        <x:v>10.110342416968143</x:v>
      </x:c>
      <x:c r="K2408" s="56" t="n">
        <x:v>45.16551362545221</x:v>
      </x:c>
      <x:c r="L2408" s="56" t="n">
        <x:v>66.66501946493173</x:v>
      </x:c>
    </x:row>
    <x:row r="2409" ht="32.400001525878906" hidden="0" customHeight="1">
      <x:c r="A2409" s="29" t="str">
        <x:v>San Juan Municipio, Puerto Rico</x:v>
      </x:c>
      <x:c r="B2409" s="29" t="str">
        <x:v>72127009121</x:v>
      </x:c>
      <x:c r="C2409" s="51" t="n">
        <x:v>3506</x:v>
      </x:c>
      <x:c r="D2409" s="51" t="n">
        <x:v>977</x:v>
      </x:c>
      <x:c r="E2409" s="51" t="n">
        <x:v>202</x:v>
      </x:c>
      <x:c r="F2409" s="38" t="n">
        <x:v>0.2786651454649173</x:v>
      </x:c>
      <x:c r="G2409" s="38" t="n">
        <x:v>0.057615516257843696</x:v>
      </x:c>
      <x:c r="H2409" s="57" t="n">
        <x:v>3868.1499999999996</x:v>
      </x:c>
      <x:c r="I2409" s="57" t="n">
        <x:v>0.448</x:v>
      </x:c>
      <x:c r="J2409" s="57" t="n">
        <x:v>10.615193559554717</x:v>
      </x:c>
      <x:c r="K2409" s="57" t="n">
        <x:v>45.922790339332074</x:v>
      </x:c>
      <x:c r="L2409" s="57" t="n">
        <x:v>67.74684334190297</x:v>
      </x:c>
    </x:row>
    <x:row r="2410" ht="32.400001525878906" hidden="0" customHeight="1">
      <x:c r="A2410" s="27" t="str">
        <x:v>San Juan Municipio, Puerto Rico</x:v>
      </x:c>
      <x:c r="B2410" s="27" t="str">
        <x:v>72127009122</x:v>
      </x:c>
      <x:c r="C2410" s="50" t="n">
        <x:v>5598</x:v>
      </x:c>
      <x:c r="D2410" s="50" t="n">
        <x:v>1011</x:v>
      </x:c>
      <x:c r="E2410" s="50" t="n">
        <x:v>564</x:v>
      </x:c>
      <x:c r="F2410" s="37" t="n">
        <x:v>0.18060021436227225</x:v>
      </x:c>
      <x:c r="G2410" s="37" t="n">
        <x:v>0.1007502679528403</x:v>
      </x:c>
      <x:c r="H2410" s="56" t="n">
        <x:v>6008.25</x:v>
      </x:c>
      <x:c r="I2410" s="56" t="n">
        <x:v>0.668</x:v>
      </x:c>
      <x:c r="J2410" s="56" t="n">
        <x:v>8.953243224795608</x:v>
      </x:c>
      <x:c r="K2410" s="56" t="n">
        <x:v>43.42986483719341</x:v>
      </x:c>
      <x:c r="L2410" s="56" t="n">
        <x:v>64.18552119599059</x:v>
      </x:c>
    </x:row>
    <x:row r="2411" ht="32.400001525878906" hidden="0" customHeight="1">
      <x:c r="A2411" s="29" t="str">
        <x:v>San Juan Municipio, Puerto Rico</x:v>
      </x:c>
      <x:c r="B2411" s="29" t="str">
        <x:v>72127009123</x:v>
      </x:c>
      <x:c r="C2411" s="51" t="n">
        <x:v>2360</x:v>
      </x:c>
      <x:c r="D2411" s="51" t="n">
        <x:v>578</x:v>
      </x:c>
      <x:c r="E2411" s="51" t="n">
        <x:v>128</x:v>
      </x:c>
      <x:c r="F2411" s="38" t="n">
        <x:v>0.24491525423728813</x:v>
      </x:c>
      <x:c r="G2411" s="38" t="n">
        <x:v>0.05423728813559322</x:v>
      </x:c>
      <x:c r="H2411" s="57" t="n">
        <x:v>2575.0999999999995</x:v>
      </x:c>
      <x:c r="I2411" s="57" t="n">
        <x:v>0.226</x:v>
      </x:c>
      <x:c r="J2411" s="57" t="n">
        <x:v>8.323476532210847</x:v>
      </x:c>
      <x:c r="K2411" s="57" t="n">
        <x:v>42.48521479831627</x:v>
      </x:c>
      <x:c r="L2411" s="57" t="n">
        <x:v>62.83602114045182</x:v>
      </x:c>
    </x:row>
    <x:row r="2412" ht="32.400001525878906" hidden="0" customHeight="1">
      <x:c r="A2412" s="27" t="str">
        <x:v>San Juan Municipio, Puerto Rico</x:v>
      </x:c>
      <x:c r="B2412" s="27" t="str">
        <x:v>72127009300</x:v>
      </x:c>
      <x:c r="C2412" s="50" t="n">
        <x:v>2299</x:v>
      </x:c>
      <x:c r="D2412" s="50" t="n">
        <x:v>558</x:v>
      </x:c>
      <x:c r="E2412" s="50" t="n">
        <x:v>543</x:v>
      </x:c>
      <x:c r="F2412" s="37" t="n">
        <x:v>0.2427142235754676</x:v>
      </x:c>
      <x:c r="G2412" s="37" t="n">
        <x:v>0.23618964767290127</x:v>
      </x:c>
      <x:c r="H2412" s="56" t="n">
        <x:v>2548.6</x:v>
      </x:c>
      <x:c r="I2412" s="56" t="n">
        <x:v>0.356</x:v>
      </x:c>
      <x:c r="J2412" s="56" t="n">
        <x:v>10.324420988274605</x:v>
      </x:c>
      <x:c r="K2412" s="56" t="n">
        <x:v>45.48663148241191</x:v>
      </x:c>
      <x:c r="L2412" s="56" t="n">
        <x:v>67.12375926058844</x:v>
      </x:c>
    </x:row>
    <x:row r="2413" ht="32.400001525878906" hidden="0" customHeight="1">
      <x:c r="A2413" s="29" t="str">
        <x:v>San Juan Municipio, Puerto Rico</x:v>
      </x:c>
      <x:c r="B2413" s="29" t="str">
        <x:v>72127009400</x:v>
      </x:c>
      <x:c r="C2413" s="51" t="n">
        <x:v>1501</x:v>
      </x:c>
      <x:c r="D2413" s="51" t="n">
        <x:v>268</x:v>
      </x:c>
      <x:c r="E2413" s="51" t="n">
        <x:v>225</x:v>
      </x:c>
      <x:c r="F2413" s="38" t="n">
        <x:v>0.17854763491005995</x:v>
      </x:c>
      <x:c r="G2413" s="38" t="n">
        <x:v>0.14990006662225183</x:v>
      </x:c>
      <x:c r="H2413" s="57" t="n">
        <x:v>1617.3</x:v>
      </x:c>
      <x:c r="I2413" s="57" t="n">
        <x:v>0.428</x:v>
      </x:c>
      <x:c r="J2413" s="57" t="n">
        <x:v>10.260122107314622</x:v>
      </x:c>
      <x:c r="K2413" s="57" t="n">
        <x:v>45.39018316097193</x:v>
      </x:c>
      <x:c r="L2413" s="57" t="n">
        <x:v>66.98597594424561</x:v>
      </x:c>
    </x:row>
    <x:row r="2414" ht="32.400001525878906" hidden="0" customHeight="1">
      <x:c r="A2414" s="27" t="str">
        <x:v>San Juan Municipio, Puerto Rico</x:v>
      </x:c>
      <x:c r="B2414" s="27" t="str">
        <x:v>72127009601</x:v>
      </x:c>
      <x:c r="C2414" s="50" t="n">
        <x:v>975</x:v>
      </x:c>
      <x:c r="D2414" s="50" t="n">
        <x:v>148</x:v>
      </x:c>
      <x:c r="E2414" s="50" t="n">
        <x:v>26</x:v>
      </x:c>
      <x:c r="F2414" s="37" t="n">
        <x:v>0.1517948717948718</x:v>
      </x:c>
      <x:c r="G2414" s="37" t="n">
        <x:v>0.02666666666666667</x:v>
      </x:c>
      <x:c r="H2414" s="56" t="n">
        <x:v>1029.3999999999999</x:v>
      </x:c>
      <x:c r="I2414" s="56" t="n">
        <x:v>0.45</x:v>
      </x:c>
      <x:c r="J2414" s="56" t="n">
        <x:v>9.031811628894575</x:v>
      </x:c>
      <x:c r="K2414" s="56" t="n">
        <x:v>43.54771744334186</x:v>
      </x:c>
      <x:c r="L2414" s="56" t="n">
        <x:v>64.35388206191695</x:v>
      </x:c>
    </x:row>
    <x:row r="2415" ht="32.400001525878906" hidden="0" customHeight="1">
      <x:c r="A2415" s="29" t="str">
        <x:v>San Juan Municipio, Puerto Rico</x:v>
      </x:c>
      <x:c r="B2415" s="29" t="str">
        <x:v>72127009602</x:v>
      </x:c>
      <x:c r="C2415" s="51" t="n">
        <x:v>1769</x:v>
      </x:c>
      <x:c r="D2415" s="51" t="n">
        <x:v>417</x:v>
      </x:c>
      <x:c r="E2415" s="51" t="n">
        <x:v>64</x:v>
      </x:c>
      <x:c r="F2415" s="38" t="n">
        <x:v>0.2357263990955342</x:v>
      </x:c>
      <x:c r="G2415" s="38" t="n">
        <x:v>0.03617863199547767</x:v>
      </x:c>
      <x:c r="H2415" s="57" t="n">
        <x:v>1921.3500000000001</x:v>
      </x:c>
      <x:c r="I2415" s="57" t="n">
        <x:v>0.495</x:v>
      </x:c>
      <x:c r="J2415" s="57" t="n">
        <x:v>7.480479974897324</x:v>
      </x:c>
      <x:c r="K2415" s="57" t="n">
        <x:v>41.22071996234598</x:v>
      </x:c>
      <x:c r="L2415" s="57" t="n">
        <x:v>61.02959994620855</x:v>
      </x:c>
    </x:row>
    <x:row r="2416" ht="32.400001525878906" hidden="0" customHeight="1">
      <x:c r="A2416" s="27" t="str">
        <x:v>San Juan Municipio, Puerto Rico</x:v>
      </x:c>
      <x:c r="B2416" s="27" t="str">
        <x:v>72127009603</x:v>
      </x:c>
      <x:c r="C2416" s="50" t="n">
        <x:v>1952</x:v>
      </x:c>
      <x:c r="D2416" s="50" t="n">
        <x:v>369</x:v>
      </x:c>
      <x:c r="E2416" s="50" t="n">
        <x:v>11</x:v>
      </x:c>
      <x:c r="F2416" s="37" t="n">
        <x:v>0.18903688524590165</x:v>
      </x:c>
      <x:c r="G2416" s="37" t="n">
        <x:v>0.0056352459016393444</x:v>
      </x:c>
      <x:c r="H2416" s="56" t="n">
        <x:v>2082.25</x:v>
      </x:c>
      <x:c r="I2416" s="56" t="n">
        <x:v>0.289</x:v>
      </x:c>
      <x:c r="J2416" s="56" t="n">
        <x:v>7.099369128986814</x:v>
      </x:c>
      <x:c r="K2416" s="56" t="n">
        <x:v>40.64905369348023</x:v>
      </x:c>
      <x:c r="L2416" s="56" t="n">
        <x:v>60.21293384782889</x:v>
      </x:c>
    </x:row>
    <x:row r="2417" ht="32.400001525878906" hidden="0" customHeight="1">
      <x:c r="A2417" s="29" t="str">
        <x:v>San Juan Municipio, Puerto Rico</x:v>
      </x:c>
      <x:c r="B2417" s="29" t="str">
        <x:v>72127009614</x:v>
      </x:c>
      <x:c r="C2417" s="51" t="n">
        <x:v>1696</x:v>
      </x:c>
      <x:c r="D2417" s="51" t="n">
        <x:v>246</x:v>
      </x:c>
      <x:c r="E2417" s="51" t="n">
        <x:v>85</x:v>
      </x:c>
      <x:c r="F2417" s="38" t="n">
        <x:v>0.14504716981132076</x:v>
      </x:c>
      <x:c r="G2417" s="38" t="n">
        <x:v>0.05011792452830189</x:v>
      </x:c>
      <x:c r="H2417" s="57" t="n">
        <x:v>1790.6</x:v>
      </x:c>
      <x:c r="I2417" s="57" t="n">
        <x:v>0.282</x:v>
      </x:c>
      <x:c r="J2417" s="57" t="n">
        <x:v>5.98252579040278</x:v>
      </x:c>
      <x:c r="K2417" s="57" t="n">
        <x:v>38.97378868560417</x:v>
      </x:c>
      <x:c r="L2417" s="57" t="n">
        <x:v>57.81969812229167</x:v>
      </x:c>
    </x:row>
    <x:row r="2418" ht="32.400001525878906" hidden="0" customHeight="1">
      <x:c r="A2418" s="27" t="str">
        <x:v>San Juan Municipio, Puerto Rico</x:v>
      </x:c>
      <x:c r="B2418" s="27" t="str">
        <x:v>72127009624</x:v>
      </x:c>
      <x:c r="C2418" s="50" t="n">
        <x:v>4128</x:v>
      </x:c>
      <x:c r="D2418" s="50" t="n">
        <x:v>619</x:v>
      </x:c>
      <x:c r="E2418" s="50" t="n">
        <x:v>490</x:v>
      </x:c>
      <x:c r="F2418" s="37" t="n">
        <x:v>0.1499515503875969</x:v>
      </x:c>
      <x:c r="G2418" s="37" t="n">
        <x:v>0.1187015503875969</x:v>
      </x:c>
      <x:c r="H2418" s="56" t="n">
        <x:v>4393.65</x:v>
      </x:c>
      <x:c r="I2418" s="56" t="n">
        <x:v>0.499</x:v>
      </x:c>
      <x:c r="J2418" s="56" t="n">
        <x:v>5.8789638987803015</x:v>
      </x:c>
      <x:c r="K2418" s="56" t="n">
        <x:v>38.818445848170455</x:v>
      </x:c>
      <x:c r="L2418" s="56" t="n">
        <x:v>57.59777978310065</x:v>
      </x:c>
    </x:row>
    <x:row r="2419" ht="32.400001525878906" hidden="0" customHeight="1">
      <x:c r="A2419" s="29" t="str">
        <x:v>San Juan Municipio, Puerto Rico</x:v>
      </x:c>
      <x:c r="B2419" s="29" t="str">
        <x:v>72127009800</x:v>
      </x:c>
      <x:c r="C2419" s="51" t="n">
        <x:v>5828</x:v>
      </x:c>
      <x:c r="D2419" s="51" t="n">
        <x:v>1227</x:v>
      </x:c>
      <x:c r="E2419" s="51" t="n">
        <x:v>245</x:v>
      </x:c>
      <x:c r="F2419" s="38" t="n">
        <x:v>0.2105353466026081</x:v>
      </x:c>
      <x:c r="G2419" s="38" t="n">
        <x:v>0.04203843514070007</x:v>
      </x:c>
      <x:c r="H2419" s="57" t="n">
        <x:v>6281.95</x:v>
      </x:c>
      <x:c r="I2419" s="57" t="n">
        <x:v>1.12</x:v>
      </x:c>
      <x:c r="J2419" s="57" t="n">
        <x:v>8.238288269623723</x:v>
      </x:c>
      <x:c r="K2419" s="57" t="n">
        <x:v>42.357432404435585</x:v>
      </x:c>
      <x:c r="L2419" s="57" t="n">
        <x:v>62.6534748634794</x:v>
      </x:c>
    </x:row>
    <x:row r="2420" ht="32.400001525878906" hidden="0" customHeight="1">
      <x:c r="A2420" s="27" t="str">
        <x:v>San Juan Municipio, Puerto Rico</x:v>
      </x:c>
      <x:c r="B2420" s="27" t="str">
        <x:v>72127009901</x:v>
      </x:c>
      <x:c r="C2420" s="50" t="n">
        <x:v>3442</x:v>
      </x:c>
      <x:c r="D2420" s="50" t="n">
        <x:v>902</x:v>
      </x:c>
      <x:c r="E2420" s="50" t="n">
        <x:v>353</x:v>
      </x:c>
      <x:c r="F2420" s="37" t="n">
        <x:v>0.2620569436374201</x:v>
      </x:c>
      <x:c r="G2420" s="37" t="n">
        <x:v>0.10255665310865776</x:v>
      </x:c>
      <x:c r="H2420" s="56" t="n">
        <x:v>3793.0000000000005</x:v>
      </x:c>
      <x:c r="I2420" s="56" t="n">
        <x:v>0.434</x:v>
      </x:c>
      <x:c r="J2420" s="56" t="n">
        <x:v>7.02335131872061</x:v>
      </x:c>
      <x:c r="K2420" s="56" t="n">
        <x:v>40.535026978080914</x:v>
      </x:c>
      <x:c r="L2420" s="56" t="n">
        <x:v>60.050038540115594</x:v>
      </x:c>
    </x:row>
    <x:row r="2421" ht="32.400001525878906" hidden="0" customHeight="1">
      <x:c r="A2421" s="29" t="str">
        <x:v>San Juan Municipio, Puerto Rico</x:v>
      </x:c>
      <x:c r="B2421" s="29" t="str">
        <x:v>72127009902</x:v>
      </x:c>
      <x:c r="C2421" s="51" t="n">
        <x:v>4588</x:v>
      </x:c>
      <x:c r="D2421" s="51" t="n">
        <x:v>1054</x:v>
      </x:c>
      <x:c r="E2421" s="51" t="n">
        <x:v>209</x:v>
      </x:c>
      <x:c r="F2421" s="38" t="n">
        <x:v>0.22972972972972974</x:v>
      </x:c>
      <x:c r="G2421" s="38" t="n">
        <x:v>0.0455536181342633</x:v>
      </x:c>
      <x:c r="H2421" s="57" t="n">
        <x:v>4977.8</x:v>
      </x:c>
      <x:c r="I2421" s="57" t="n">
        <x:v>0.821</x:v>
      </x:c>
      <x:c r="J2421" s="57" t="n">
        <x:v>4.416829978791374</x:v>
      </x:c>
      <x:c r="K2421" s="57" t="n">
        <x:v>36.62524496818706</x:v>
      </x:c>
      <x:c r="L2421" s="57" t="n">
        <x:v>54.46463566883866</x:v>
      </x:c>
    </x:row>
    <x:row r="2422" ht="32.400001525878906" hidden="0" customHeight="1">
      <x:c r="A2422" s="27" t="str">
        <x:v>San Juan Municipio, Puerto Rico</x:v>
      </x:c>
      <x:c r="B2422" s="27" t="str">
        <x:v>72127009903</x:v>
      </x:c>
      <x:c r="C2422" s="50" t="n">
        <x:v>4058</x:v>
      </x:c>
      <x:c r="D2422" s="50" t="n">
        <x:v>580</x:v>
      </x:c>
      <x:c r="E2422" s="50" t="n">
        <x:v>286.5</x:v>
      </x:c>
      <x:c r="F2422" s="37" t="n">
        <x:v>0.1429275505174963</x:v>
      </x:c>
      <x:c r="G2422" s="37" t="n">
        <x:v>0.07060128141941843</x:v>
      </x:c>
      <x:c r="H2422" s="56" t="n">
        <x:v>4289.65</x:v>
      </x:c>
      <x:c r="I2422" s="56" t="n">
        <x:v>0.909</x:v>
      </x:c>
      <x:c r="J2422" s="56" t="n">
        <x:v>4.612555575473854</x:v>
      </x:c>
      <x:c r="K2422" s="56" t="n">
        <x:v>36.91883336321078</x:v>
      </x:c>
      <x:c r="L2422" s="56" t="n">
        <x:v>54.88404766172969</x:v>
      </x:c>
    </x:row>
    <x:row r="2423" ht="32.400001525878906" hidden="0" customHeight="1">
      <x:c r="A2423" s="29" t="str">
        <x:v>San Juan Municipio, Puerto Rico</x:v>
      </x:c>
      <x:c r="B2423" s="29" t="str">
        <x:v>72127009904</x:v>
      </x:c>
      <x:c r="C2423" s="51" t="n">
        <x:v>2005</x:v>
      </x:c>
      <x:c r="D2423" s="51" t="n">
        <x:v>239</x:v>
      </x:c>
      <x:c r="E2423" s="51" t="n">
        <x:v>30</x:v>
      </x:c>
      <x:c r="F2423" s="38" t="n">
        <x:v>0.11920199501246882</x:v>
      </x:c>
      <x:c r="G2423" s="38" t="n">
        <x:v>0.014962593516209476</x:v>
      </x:c>
      <x:c r="H2423" s="57" t="n">
        <x:v>2091.65</x:v>
      </x:c>
      <x:c r="I2423" s="57" t="n">
        <x:v>0.226</x:v>
      </x:c>
      <x:c r="J2423" s="57" t="n">
        <x:v>4.111115324282543</x:v>
      </x:c>
      <x:c r="K2423" s="57" t="n">
        <x:v>36.16667298642381</x:v>
      </x:c>
      <x:c r="L2423" s="57" t="n">
        <x:v>53.80953283774831</x:v>
      </x:c>
    </x:row>
    <x:row r="2424" ht="32.400001525878906" hidden="0" customHeight="1">
      <x:c r="A2424" s="27" t="str">
        <x:v>San Juan Municipio, Puerto Rico</x:v>
      </x:c>
      <x:c r="B2424" s="27" t="str">
        <x:v>72127010002</x:v>
      </x:c>
      <x:c r="C2424" s="50" t="n">
        <x:v>4977</x:v>
      </x:c>
      <x:c r="D2424" s="50" t="n">
        <x:v>678</x:v>
      </x:c>
      <x:c r="E2424" s="50" t="n">
        <x:v>139</x:v>
      </x:c>
      <x:c r="F2424" s="37" t="n">
        <x:v>0.13622664255575648</x:v>
      </x:c>
      <x:c r="G2424" s="37" t="n">
        <x:v>0.02792847096644565</x:v>
      </x:c>
      <x:c r="H2424" s="56" t="n">
        <x:v>5228.2</x:v>
      </x:c>
      <x:c r="I2424" s="56" t="n">
        <x:v>0.868</x:v>
      </x:c>
      <x:c r="J2424" s="56" t="n">
        <x:v>4.2259130417367565</x:v>
      </x:c>
      <x:c r="K2424" s="56" t="n">
        <x:v>36.33886956260513</x:v>
      </x:c>
      <x:c r="L2424" s="56" t="n">
        <x:v>54.05552794657876</x:v>
      </x:c>
    </x:row>
    <x:row r="2425" ht="32.400001525878906" hidden="0" customHeight="1">
      <x:c r="A2425" s="29" t="str">
        <x:v>San Juan Municipio, Puerto Rico</x:v>
      </x:c>
      <x:c r="B2425" s="29" t="str">
        <x:v>72127010012</x:v>
      </x:c>
      <x:c r="C2425" s="51" t="n">
        <x:v>5513</x:v>
      </x:c>
      <x:c r="D2425" s="51" t="n">
        <x:v>1001</x:v>
      </x:c>
      <x:c r="E2425" s="51" t="n">
        <x:v>380</x:v>
      </x:c>
      <x:c r="F2425" s="38" t="n">
        <x:v>0.181570832577544</x:v>
      </x:c>
      <x:c r="G2425" s="38" t="n">
        <x:v>0.06892798839107564</x:v>
      </x:c>
      <x:c r="H2425" s="57" t="n">
        <x:v>5901.35</x:v>
      </x:c>
      <x:c r="I2425" s="57" t="n">
        <x:v>0.596</x:v>
      </x:c>
      <x:c r="J2425" s="57" t="n">
        <x:v>6.909647982031401</x:v>
      </x:c>
      <x:c r="K2425" s="57" t="n">
        <x:v>40.3644719730471</x:v>
      </x:c>
      <x:c r="L2425" s="57" t="n">
        <x:v>59.80638853292443</x:v>
      </x:c>
    </x:row>
    <x:row r="2426" ht="32.400001525878906" hidden="0" customHeight="1">
      <x:c r="A2426" s="27" t="str">
        <x:v>San Juan Municipio, Puerto Rico</x:v>
      </x:c>
      <x:c r="B2426" s="27" t="str">
        <x:v>72127010022</x:v>
      </x:c>
      <x:c r="C2426" s="50" t="n">
        <x:v>3145</x:v>
      </x:c>
      <x:c r="D2426" s="50" t="n">
        <x:v>563</x:v>
      </x:c>
      <x:c r="E2426" s="50" t="n">
        <x:v>91</x:v>
      </x:c>
      <x:c r="F2426" s="37" t="n">
        <x:v>0.17901430842607313</x:v>
      </x:c>
      <x:c r="G2426" s="37" t="n">
        <x:v>0.028934817170111288</x:v>
      </x:c>
      <x:c r="H2426" s="56" t="n">
        <x:v>3351.1500000000005</x:v>
      </x:c>
      <x:c r="I2426" s="56" t="n">
        <x:v>0.707</x:v>
      </x:c>
      <x:c r="J2426" s="56" t="n">
        <x:v>7.505671971277207</x:v>
      </x:c>
      <x:c r="K2426" s="56" t="n">
        <x:v>41.25850795691581</x:v>
      </x:c>
      <x:c r="L2426" s="56" t="n">
        <x:v>61.08358279559401</x:v>
      </x:c>
    </x:row>
    <x:row r="2427" ht="32.400001525878906" hidden="0" customHeight="1">
      <x:c r="A2427" s="29" t="str">
        <x:v>San Juan Municipio, Puerto Rico</x:v>
      </x:c>
      <x:c r="B2427" s="29" t="str">
        <x:v>72127010032</x:v>
      </x:c>
      <x:c r="C2427" s="51" t="n">
        <x:v>5364</x:v>
      </x:c>
      <x:c r="D2427" s="51" t="n">
        <x:v>1376</x:v>
      </x:c>
      <x:c r="E2427" s="51" t="n">
        <x:v>1210</x:v>
      </x:c>
      <x:c r="F2427" s="38" t="n">
        <x:v>0.25652498135719615</x:v>
      </x:c>
      <x:c r="G2427" s="38" t="n">
        <x:v>0.2255779269202088</x:v>
      </x:c>
      <x:c r="H2427" s="57" t="n">
        <x:v>5966.599999999999</x:v>
      </x:c>
      <x:c r="I2427" s="57" t="n">
        <x:v>0.463</x:v>
      </x:c>
      <x:c r="J2427" s="57" t="n">
        <x:v>5.648642374742299</x:v>
      </x:c>
      <x:c r="K2427" s="57" t="n">
        <x:v>38.47296356211345</x:v>
      </x:c>
      <x:c r="L2427" s="57" t="n">
        <x:v>57.104233660162066</x:v>
      </x:c>
    </x:row>
    <x:row r="2428" ht="32.400001525878906" hidden="0" customHeight="1">
      <x:c r="A2428" s="27" t="str">
        <x:v>San Juan Municipio, Puerto Rico</x:v>
      </x:c>
      <x:c r="B2428" s="27" t="str">
        <x:v>72127010043</x:v>
      </x:c>
      <x:c r="C2428" s="50" t="n">
        <x:v>1962</x:v>
      </x:c>
      <x:c r="D2428" s="50" t="n">
        <x:v>282</x:v>
      </x:c>
      <x:c r="E2428" s="50" t="n">
        <x:v>79</x:v>
      </x:c>
      <x:c r="F2428" s="37" t="n">
        <x:v>0.1437308868501529</x:v>
      </x:c>
      <x:c r="G2428" s="37" t="n">
        <x:v>0.040265035677879715</x:v>
      </x:c>
      <x:c r="H2428" s="56" t="n">
        <x:v>2068.6</x:v>
      </x:c>
      <x:c r="I2428" s="56" t="n">
        <x:v>0.288</x:v>
      </x:c>
      <x:c r="J2428" s="56" t="n">
        <x:v>7.61320517861953</x:v>
      </x:c>
      <x:c r="K2428" s="56" t="n">
        <x:v>41.4198077679293</x:v>
      </x:c>
      <x:c r="L2428" s="56" t="n">
        <x:v>61.31401109704185</x:v>
      </x:c>
    </x:row>
    <x:row r="2429" ht="32.400001525878906" hidden="0" customHeight="1">
      <x:c r="A2429" s="29" t="str">
        <x:v>San Juan Municipio, Puerto Rico</x:v>
      </x:c>
      <x:c r="B2429" s="29" t="str">
        <x:v>72127010044</x:v>
      </x:c>
      <x:c r="C2429" s="51" t="n">
        <x:v>3361</x:v>
      </x:c>
      <x:c r="D2429" s="51" t="n">
        <x:v>712</x:v>
      </x:c>
      <x:c r="E2429" s="51" t="n">
        <x:v>387</x:v>
      </x:c>
      <x:c r="F2429" s="38" t="n">
        <x:v>0.211841713775662</x:v>
      </x:c>
      <x:c r="G2429" s="38" t="n">
        <x:v>0.11514430229098482</x:v>
      </x:c>
      <x:c r="H2429" s="57" t="n">
        <x:v>3648.9000000000005</x:v>
      </x:c>
      <x:c r="I2429" s="57" t="n">
        <x:v>0.362</x:v>
      </x:c>
      <x:c r="J2429" s="57" t="n">
        <x:v>5.955764846980271</x:v>
      </x:c>
      <x:c r="K2429" s="57" t="n">
        <x:v>38.9336472704704</x:v>
      </x:c>
      <x:c r="L2429" s="57" t="n">
        <x:v>57.76235324352915</x:v>
      </x:c>
    </x:row>
    <x:row r="2430" ht="32.400001525878906" hidden="0" customHeight="1">
      <x:c r="A2430" s="27" t="str">
        <x:v>San Juan Municipio, Puerto Rico</x:v>
      </x:c>
      <x:c r="B2430" s="27" t="str">
        <x:v>72127010045</x:v>
      </x:c>
      <x:c r="C2430" s="50" t="n">
        <x:v>3166</x:v>
      </x:c>
      <x:c r="D2430" s="50" t="n">
        <x:v>939</x:v>
      </x:c>
      <x:c r="E2430" s="50" t="n">
        <x:v>205</x:v>
      </x:c>
      <x:c r="F2430" s="37" t="n">
        <x:v>0.2965887555274795</x:v>
      </x:c>
      <x:c r="G2430" s="37" t="n">
        <x:v>0.06475047378395452</x:v>
      </x:c>
      <x:c r="H2430" s="56" t="n">
        <x:v>3515.1499999999996</x:v>
      </x:c>
      <x:c r="I2430" s="56" t="n">
        <x:v>2.575</x:v>
      </x:c>
      <x:c r="J2430" s="56" t="n">
        <x:v>2.296223721393866</x:v>
      </x:c>
      <x:c r="K2430" s="56" t="n">
        <x:v>33.4443355820908</x:v>
      </x:c>
      <x:c r="L2430" s="56" t="n">
        <x:v>49.92047940298686</x:v>
      </x:c>
    </x:row>
    <x:row r="2431" ht="32.400001525878906" hidden="0" customHeight="1">
      <x:c r="A2431" s="29" t="str">
        <x:v>San Juan Municipio, Puerto Rico</x:v>
      </x:c>
      <x:c r="B2431" s="29" t="str">
        <x:v>72127010046</x:v>
      </x:c>
      <x:c r="C2431" s="51" t="n">
        <x:v>3961</x:v>
      </x:c>
      <x:c r="D2431" s="51" t="n">
        <x:v>1044</x:v>
      </x:c>
      <x:c r="E2431" s="51" t="n">
        <x:v>615.5</x:v>
      </x:c>
      <x:c r="F2431" s="38" t="n">
        <x:v>0.26356980560464527</x:v>
      </x:c>
      <x:c r="G2431" s="38" t="n">
        <x:v>0.15539005301691491</x:v>
      </x:c>
      <x:c r="H2431" s="57" t="n">
        <x:v>4387.95</x:v>
      </x:c>
      <x:c r="I2431" s="57" t="n">
        <x:v>1.549</x:v>
      </x:c>
      <x:c r="J2431" s="57" t="n">
        <x:v>4.066461309148512</x:v>
      </x:c>
      <x:c r="K2431" s="57" t="n">
        <x:v>36.09969196372277</x:v>
      </x:c>
      <x:c r="L2431" s="57" t="n">
        <x:v>53.7138456624611</x:v>
      </x:c>
    </x:row>
    <x:row r="2432" ht="32.400001525878906" hidden="0" customHeight="1">
      <x:c r="A2432" s="27" t="str">
        <x:v>San Juan Municipio, Puerto Rico</x:v>
      </x:c>
      <x:c r="B2432" s="27" t="str">
        <x:v>72127010100</x:v>
      </x:c>
      <x:c r="C2432" s="50" t="n">
        <x:v>6483</x:v>
      </x:c>
      <x:c r="D2432" s="50" t="n">
        <x:v>1211</x:v>
      </x:c>
      <x:c r="E2432" s="50" t="n">
        <x:v>384</x:v>
      </x:c>
      <x:c r="F2432" s="37" t="n">
        <x:v>0.18679623631035014</x:v>
      </x:c>
      <x:c r="G2432" s="37" t="n">
        <x:v>0.05923183711244794</x:v>
      </x:c>
      <x:c r="H2432" s="56" t="n">
        <x:v>6945.249999999999</x:v>
      </x:c>
      <x:c r="I2432" s="56" t="n">
        <x:v>3.286</x:v>
      </x:c>
      <x:c r="J2432" s="56" t="n">
        <x:v>0</x:v>
      </x:c>
      <x:c r="K2432" s="56" t="n">
        <x:v>30</x:v>
      </x:c>
      <x:c r="L2432" s="56" t="n">
        <x:v>45</x:v>
      </x:c>
    </x:row>
    <x:row r="2433" ht="32.400001525878906" hidden="0" customHeight="1">
      <x:c r="A2433" s="29" t="str">
        <x:v>San Juan Municipio, Puerto Rico</x:v>
      </x:c>
      <x:c r="B2433" s="29" t="str">
        <x:v>72127010200</x:v>
      </x:c>
      <x:c r="C2433" s="51" t="n">
        <x:v>5747</x:v>
      </x:c>
      <x:c r="D2433" s="51" t="n">
        <x:v>1654</x:v>
      </x:c>
      <x:c r="E2433" s="51" t="n">
        <x:v>593.5</x:v>
      </x:c>
      <x:c r="F2433" s="38" t="n">
        <x:v>0.2878023316512963</x:v>
      </x:c>
      <x:c r="G2433" s="38" t="n">
        <x:v>0.1032712719679833</x:v>
      </x:c>
      <x:c r="H2433" s="57" t="n">
        <x:v>6385.25</x:v>
      </x:c>
      <x:c r="I2433" s="57" t="n">
        <x:v>3.388</x:v>
      </x:c>
      <x:c r="J2433" s="57" t="n">
        <x:v>2.4373655333706745</x:v>
      </x:c>
      <x:c r="K2433" s="57" t="n">
        <x:v>33.656048300056014</x:v>
      </x:c>
      <x:c r="L2433" s="57" t="n">
        <x:v>50.22292614293716</x:v>
      </x:c>
    </x:row>
    <x:row r="2434" ht="32.400001525878906" hidden="0" customHeight="1">
      <x:c r="A2434" s="27" t="str">
        <x:v>San Juan Municipio, Puerto Rico</x:v>
      </x:c>
      <x:c r="B2434" s="27" t="str">
        <x:v>72127010500</x:v>
      </x:c>
      <x:c r="C2434" s="50" t="n">
        <x:v>4018</x:v>
      </x:c>
      <x:c r="D2434" s="50" t="n">
        <x:v>437</x:v>
      </x:c>
      <x:c r="E2434" s="50" t="n">
        <x:v>216</x:v>
      </x:c>
      <x:c r="F2434" s="37" t="n">
        <x:v>0.10876057740169238</x:v>
      </x:c>
      <x:c r="G2434" s="37" t="n">
        <x:v>0.05375808860129418</x:v>
      </x:c>
      <x:c r="H2434" s="56" t="n">
        <x:v>4192.55</x:v>
      </x:c>
      <x:c r="I2434" s="56" t="n">
        <x:v>1.085</x:v>
      </x:c>
      <x:c r="J2434" s="56" t="n">
        <x:v>15.802209397468213</x:v>
      </x:c>
      <x:c r="K2434" s="56" t="n">
        <x:v>53.70331409620232</x:v>
      </x:c>
      <x:c r="L2434" s="56" t="n">
        <x:v>78.86187728028904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7" hidden="0" customWidth="1"/>
    <x:col min="5" max="5" width="17" hidden="0" customWidth="1"/>
    <x:col min="6" max="6" width="43" hidden="0" customWidth="1"/>
    <x:col min="7" max="7" width="43" hidden="0" customWidth="1"/>
  </x:cols>
  <x:sheetData>
    <x:row r="1" ht="29" customHeight="1">
      <x:c r="A1" s="2" t="str">
        <x:v>Analytical collection-node candidates</x:v>
      </x:c>
      <x:c r="B1" s="2"/>
      <x:c r="C1" s="2"/>
      <x:c r="D1" s="2"/>
      <x:c r="E1" s="2"/>
      <x:c r="F1" s="2"/>
      <x:c r="G1" s="2"/>
    </x:row>
    <x:row r="2" ht="32" customHeight="1">
      <x:c r="A2" s="6" t="str">
        <x:v>Weighted farthest-first selection illuminates coverage geometry. It does not consider parcels, ownership, flood zones, road access, utilities, environmental justice or consent.</x:v>
      </x:c>
      <x:c r="B2" s="6"/>
      <x:c r="C2" s="6"/>
      <x:c r="D2" s="6"/>
      <x:c r="E2" s="6"/>
      <x:c r="F2" s="6"/>
      <x:c r="G2" s="6"/>
    </x:row>
    <x:row r="4" ht="32" customHeight="1">
      <x:c r="A4" s="18" t="str">
        <x:v>Pilot</x:v>
      </x:c>
      <x:c r="B4" s="19" t="str">
        <x:v>Node</x:v>
      </x:c>
      <x:c r="C4" s="19" t="str">
        <x:v>Source tract</x:v>
      </x:c>
      <x:c r="D4" s="19" t="str">
        <x:v>Latitude</x:v>
      </x:c>
      <x:c r="E4" s="19" t="str">
        <x:v>Longitude</x:v>
      </x:c>
      <x:c r="F4" s="19" t="str">
        <x:v>Status</x:v>
      </x:c>
      <x:c r="G4" s="20" t="str">
        <x:v>Next proof</x:v>
      </x:c>
    </x:row>
    <x:row r="5" ht="64.80000305175781" hidden="0" customHeight="1">
      <x:c r="A5" s="28" t="str">
        <x:v>Harris County, Texas</x:v>
      </x:c>
      <x:c r="B5" s="28" t="str">
        <x:v>N01</x:v>
      </x:c>
      <x:c r="C5" s="28" t="str">
        <x:v>48201542902</x:v>
      </x:c>
      <x:c r="D5" s="58" t="n">
        <x:v>29.8387065</x:v>
      </x:c>
      <x:c r="E5" s="58" t="n">
        <x:v>-95.800019</x:v>
      </x:c>
      <x:c r="F5" s="28" t="str">
        <x:v>analytical candidate only</x:v>
      </x:c>
      <x:c r="G5" s="28" t="str">
        <x:v>routable network optimization plus public siting process</x:v>
      </x:c>
    </x:row>
    <x:row r="6" ht="64.80000305175781" hidden="0" customHeight="1">
      <x:c r="A6" s="27" t="str">
        <x:v>Harris County, Texas</x:v>
      </x:c>
      <x:c r="B6" s="27" t="str">
        <x:v>N02</x:v>
      </x:c>
      <x:c r="C6" s="27" t="str">
        <x:v>48201250408</x:v>
      </x:c>
      <x:c r="D6" s="59" t="n">
        <x:v>29.9554647</x:v>
      </x:c>
      <x:c r="E6" s="59" t="n">
        <x:v>-95.194833</x:v>
      </x:c>
      <x:c r="F6" s="27" t="str">
        <x:v>analytical candidate only</x:v>
      </x:c>
      <x:c r="G6" s="27" t="str">
        <x:v>routable network optimization plus public siting process</x:v>
      </x:c>
    </x:row>
    <x:row r="7" ht="64.80000305175781" hidden="0" customHeight="1">
      <x:c r="A7" s="29" t="str">
        <x:v>Harris County, Texas</x:v>
      </x:c>
      <x:c r="B7" s="29" t="str">
        <x:v>N03</x:v>
      </x:c>
      <x:c r="C7" s="29" t="str">
        <x:v>48201555303</x:v>
      </x:c>
      <x:c r="D7" s="60" t="n">
        <x:v>30.1348325</x:v>
      </x:c>
      <x:c r="E7" s="60" t="n">
        <x:v>-95.5687953</x:v>
      </x:c>
      <x:c r="F7" s="29" t="str">
        <x:v>analytical candidate only</x:v>
      </x:c>
      <x:c r="G7" s="29" t="str">
        <x:v>routable network optimization plus public siting process</x:v>
      </x:c>
    </x:row>
    <x:row r="8" ht="64.80000305175781" hidden="0" customHeight="1">
      <x:c r="A8" s="27" t="str">
        <x:v>Harris County, Texas</x:v>
      </x:c>
      <x:c r="B8" s="27" t="str">
        <x:v>N04</x:v>
      </x:c>
      <x:c r="C8" s="27" t="str">
        <x:v>48201330802</x:v>
      </x:c>
      <x:c r="D8" s="59" t="n">
        <x:v>29.5951606</x:v>
      </x:c>
      <x:c r="E8" s="59" t="n">
        <x:v>-95.3870003</x:v>
      </x:c>
      <x:c r="F8" s="27" t="str">
        <x:v>analytical candidate only</x:v>
      </x:c>
      <x:c r="G8" s="27" t="str">
        <x:v>routable network optimization plus public siting process</x:v>
      </x:c>
    </x:row>
    <x:row r="9" ht="64.80000305175781" hidden="0" customHeight="1">
      <x:c r="A9" s="29" t="str">
        <x:v>Harris County, Texas</x:v>
      </x:c>
      <x:c r="B9" s="29" t="str">
        <x:v>N05</x:v>
      </x:c>
      <x:c r="C9" s="29" t="str">
        <x:v>48201556000</x:v>
      </x:c>
      <x:c r="D9" s="60" t="n">
        <x:v>30.0771931</x:v>
      </x:c>
      <x:c r="E9" s="60" t="n">
        <x:v>-95.8554199</x:v>
      </x:c>
      <x:c r="F9" s="29" t="str">
        <x:v>analytical candidate only</x:v>
      </x:c>
      <x:c r="G9" s="29" t="str">
        <x:v>routable network optimization plus public siting process</x:v>
      </x:c>
    </x:row>
    <x:row r="10" ht="64.80000305175781" hidden="0" customHeight="1">
      <x:c r="A10" s="27" t="str">
        <x:v>Harris County, Texas</x:v>
      </x:c>
      <x:c r="B10" s="27" t="str">
        <x:v>N06</x:v>
      </x:c>
      <x:c r="C10" s="27" t="str">
        <x:v>48201543007</x:v>
      </x:c>
      <x:c r="D10" s="59" t="n">
        <x:v>29.947897</x:v>
      </x:c>
      <x:c r="E10" s="59" t="n">
        <x:v>-95.7035418</x:v>
      </x:c>
      <x:c r="F10" s="27" t="str">
        <x:v>analytical candidate only</x:v>
      </x:c>
      <x:c r="G10" s="27" t="str">
        <x:v>routable network optimization plus public siting process</x:v>
      </x:c>
    </x:row>
    <x:row r="11" ht="64.80000305175781" hidden="0" customHeight="1">
      <x:c r="A11" s="29" t="str">
        <x:v>Harris County, Texas</x:v>
      </x:c>
      <x:c r="B11" s="29" t="str">
        <x:v>N07</x:v>
      </x:c>
      <x:c r="C11" s="29" t="str">
        <x:v>48201253800</x:v>
      </x:c>
      <x:c r="D11" s="60" t="n">
        <x:v>29.766428</x:v>
      </x:c>
      <x:c r="E11" s="60" t="n">
        <x:v>-94.9479552</x:v>
      </x:c>
      <x:c r="F11" s="29" t="str">
        <x:v>analytical candidate only</x:v>
      </x:c>
      <x:c r="G11" s="29" t="str">
        <x:v>routable network optimization plus public siting process</x:v>
      </x:c>
    </x:row>
    <x:row r="12" ht="64.80000305175781" hidden="0" customHeight="1">
      <x:c r="A12" s="27" t="str">
        <x:v>Miami-Dade County, Florida</x:v>
      </x:c>
      <x:c r="B12" s="27" t="str">
        <x:v>N01</x:v>
      </x:c>
      <x:c r="C12" s="27" t="str">
        <x:v>12086012701</x:v>
      </x:c>
      <x:c r="D12" s="59" t="n">
        <x:v>25.9149921</x:v>
      </x:c>
      <x:c r="E12" s="59" t="n">
        <x:v>-80.3611535</x:v>
      </x:c>
      <x:c r="F12" s="27" t="str">
        <x:v>analytical candidate only</x:v>
      </x:c>
      <x:c r="G12" s="27" t="str">
        <x:v>routable network optimization plus public siting process</x:v>
      </x:c>
    </x:row>
    <x:row r="13" ht="64.80000305175781" hidden="0" customHeight="1">
      <x:c r="A13" s="29" t="str">
        <x:v>Miami-Dade County, Florida</x:v>
      </x:c>
      <x:c r="B13" s="29" t="str">
        <x:v>N02</x:v>
      </x:c>
      <x:c r="C13" s="29" t="str">
        <x:v>12086010502</x:v>
      </x:c>
      <x:c r="D13" s="60" t="n">
        <x:v>25.5453193</x:v>
      </x:c>
      <x:c r="E13" s="60" t="n">
        <x:v>-80.3891204</x:v>
      </x:c>
      <x:c r="F13" s="29" t="str">
        <x:v>analytical candidate only</x:v>
      </x:c>
      <x:c r="G13" s="29" t="str">
        <x:v>routable network optimization plus public siting process</x:v>
      </x:c>
    </x:row>
    <x:row r="14" ht="64.80000305175781" hidden="0" customHeight="1">
      <x:c r="A14" s="27" t="str">
        <x:v>Miami-Dade County, Florida</x:v>
      </x:c>
      <x:c r="B14" s="27" t="str">
        <x:v>N03</x:v>
      </x:c>
      <x:c r="C14" s="27" t="str">
        <x:v>12086011500</x:v>
      </x:c>
      <x:c r="D14" s="59" t="n">
        <x:v>25.7136906</x:v>
      </x:c>
      <x:c r="E14" s="59" t="n">
        <x:v>-80.7200816</x:v>
      </x:c>
      <x:c r="F14" s="27" t="str">
        <x:v>analytical candidate only</x:v>
      </x:c>
      <x:c r="G14" s="27" t="str">
        <x:v>routable network optimization plus public siting process</x:v>
      </x:c>
    </x:row>
    <x:row r="15" ht="64.80000305175781" hidden="0" customHeight="1">
      <x:c r="A15" s="29" t="str">
        <x:v>Miami-Dade County, Florida</x:v>
      </x:c>
      <x:c r="B15" s="29" t="str">
        <x:v>N04</x:v>
      </x:c>
      <x:c r="C15" s="29" t="str">
        <x:v>12086003710</x:v>
      </x:c>
      <x:c r="D15" s="60" t="n">
        <x:v>25.7851139</x:v>
      </x:c>
      <x:c r="E15" s="60" t="n">
        <x:v>-80.1905229</x:v>
      </x:c>
      <x:c r="F15" s="29" t="str">
        <x:v>analytical candidate only</x:v>
      </x:c>
      <x:c r="G15" s="29" t="str">
        <x:v>routable network optimization plus public siting process</x:v>
      </x:c>
    </x:row>
    <x:row r="16" ht="64.80000305175781" hidden="0" customHeight="1">
      <x:c r="A16" s="27" t="str">
        <x:v>King County, Washington</x:v>
      </x:c>
      <x:c r="B16" s="27" t="str">
        <x:v>N01</x:v>
      </x:c>
      <x:c r="C16" s="27" t="str">
        <x:v>53033032220</x:v>
      </x:c>
      <x:c r="D16" s="59" t="n">
        <x:v>47.5468306</x:v>
      </x:c>
      <x:c r="E16" s="59" t="n">
        <x:v>-122.0152219</x:v>
      </x:c>
      <x:c r="F16" s="27" t="str">
        <x:v>analytical candidate only</x:v>
      </x:c>
      <x:c r="G16" s="27" t="str">
        <x:v>routable network optimization plus public siting process</x:v>
      </x:c>
    </x:row>
    <x:row r="17" ht="64.80000305175781" hidden="0" customHeight="1">
      <x:c r="A17" s="29" t="str">
        <x:v>King County, Washington</x:v>
      </x:c>
      <x:c r="B17" s="29" t="str">
        <x:v>N02</x:v>
      </x:c>
      <x:c r="C17" s="29" t="str">
        <x:v>53033030310</x:v>
      </x:c>
      <x:c r="D17" s="60" t="n">
        <x:v>47.2901057</x:v>
      </x:c>
      <x:c r="E17" s="60" t="n">
        <x:v>-122.3495936</x:v>
      </x:c>
      <x:c r="F17" s="29" t="str">
        <x:v>analytical candidate only</x:v>
      </x:c>
      <x:c r="G17" s="29" t="str">
        <x:v>routable network optimization plus public siting process</x:v>
      </x:c>
    </x:row>
    <x:row r="18" ht="64.80000305175781" hidden="0" customHeight="1">
      <x:c r="A18" s="27" t="str">
        <x:v>King County, Washington</x:v>
      </x:c>
      <x:c r="B18" s="27" t="str">
        <x:v>N03</x:v>
      </x:c>
      <x:c r="C18" s="27" t="str">
        <x:v>53033020500</x:v>
      </x:c>
      <x:c r="D18" s="59" t="n">
        <x:v>47.7562524</x:v>
      </x:c>
      <x:c r="E18" s="59" t="n">
        <x:v>-122.3138057</x:v>
      </x:c>
      <x:c r="F18" s="27" t="str">
        <x:v>analytical candidate only</x:v>
      </x:c>
      <x:c r="G18" s="27" t="str">
        <x:v>routable network optimization plus public siting process</x:v>
      </x:c>
    </x:row>
    <x:row r="19" ht="64.80000305175781" hidden="0" customHeight="1">
      <x:c r="A19" s="29" t="str">
        <x:v>King County, Washington</x:v>
      </x:c>
      <x:c r="B19" s="29" t="str">
        <x:v>N04</x:v>
      </x:c>
      <x:c r="C19" s="29" t="str">
        <x:v>53033031502</x:v>
      </x:c>
      <x:c r="D19" s="60" t="n">
        <x:v>47.2402889</x:v>
      </x:c>
      <x:c r="E19" s="60" t="n">
        <x:v>-121.6344475</x:v>
      </x:c>
      <x:c r="F19" s="29" t="str">
        <x:v>analytical candidate only</x:v>
      </x:c>
      <x:c r="G19" s="29" t="str">
        <x:v>routable network optimization plus public siting process</x:v>
      </x:c>
    </x:row>
    <x:row r="20" ht="64.80000305175781" hidden="0" customHeight="1">
      <x:c r="A20" s="27" t="str">
        <x:v>San Juan Municipio, Puerto Rico</x:v>
      </x:c>
      <x:c r="B20" s="27" t="str">
        <x:v>N01</x:v>
      </x:c>
      <x:c r="C20" s="27" t="str">
        <x:v>72127010100</x:v>
      </x:c>
      <x:c r="D20" s="59" t="n">
        <x:v>18.3254198</x:v>
      </x:c>
      <x:c r="E20" s="59" t="n">
        <x:v>-66.0650509</x:v>
      </x:c>
      <x:c r="F20" s="27" t="str">
        <x:v>analytical candidate only</x:v>
      </x:c>
      <x:c r="G20" s="27" t="str">
        <x:v>routable network optimization plus public siting process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9" customHeight="1">
      <x:c r="A1" s="2" t="str">
        <x:v>CTN-10 intake and queue configuration</x:v>
      </x:c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6" t="str">
        <x:v>A 10,000-person/day node is a synchronized service campus. Server counts hold each declared stage at or below 70% peak utilization before variability and outages.</x:v>
      </x:c>
      <x:c r="B2" s="6"/>
      <x:c r="C2" s="6"/>
      <x:c r="D2" s="6"/>
      <x:c r="E2" s="6"/>
      <x:c r="F2" s="6"/>
      <x:c r="G2" s="6"/>
      <x:c r="H2" s="6"/>
      <x:c r="I2" s="6"/>
    </x:row>
    <x:row r="4" ht="32" customHeight="1">
      <x:c r="A4" s="18" t="str">
        <x:v>Stage</x:v>
      </x:c>
      <x:c r="B4" s="19" t="str">
        <x:v>Flow share</x:v>
      </x:c>
      <x:c r="C4" s="19" t="str">
        <x:v>Service minutes</x:v>
      </x:c>
      <x:c r="D4" s="19" t="str">
        <x:v>Peak people/hour</x:v>
      </x:c>
      <x:c r="E4" s="19" t="str">
        <x:v>Offered erlangs</x:v>
      </x:c>
      <x:c r="F4" s="19" t="str">
        <x:v>Target utilization</x:v>
      </x:c>
      <x:c r="G4" s="19" t="str">
        <x:v>Servers</x:v>
      </x:c>
      <x:c r="H4" s="19" t="str">
        <x:v>Staff/server</x:v>
      </x:c>
      <x:c r="I4" s="20" t="str">
        <x:v>Staff on shift</x:v>
      </x:c>
    </x:row>
    <x:row r="5" ht="32.400001525878906" hidden="0" customHeight="1">
      <x:c r="A5" s="28" t="str">
        <x:v>arrival and accessible wayfinding</x:v>
      </x:c>
      <x:c r="B5" s="61" t="n">
        <x:v>1</x:v>
      </x:c>
      <x:c r="C5" s="63" t="n">
        <x:v>3</x:v>
      </x:c>
      <x:c r="D5" s="55" t="n">
        <x:f>10000/18*1.8</x:f>
        <x:v>1000</x:v>
      </x:c>
      <x:c r="E5" s="55" t="n">
        <x:v>50</x:v>
      </x:c>
      <x:c r="F5" s="63" t="n">
        <x:v>0.7</x:v>
      </x:c>
      <x:c r="G5" s="63" t="n">
        <x:v>72</x:v>
      </x:c>
      <x:c r="H5" s="63" t="n">
        <x:v>1.2</x:v>
      </x:c>
      <x:c r="I5" s="55" t="n">
        <x:v>87</x:v>
      </x:c>
    </x:row>
    <x:row r="6" ht="43.20000076293945" hidden="0" customHeight="1">
      <x:c r="A6" s="27" t="str">
        <x:v>identity, consent and household binding</x:v>
      </x:c>
      <x:c r="B6" s="62" t="n">
        <x:v>1</x:v>
      </x:c>
      <x:c r="C6" s="64" t="n">
        <x:v>5</x:v>
      </x:c>
      <x:c r="D6" s="56" t="n">
        <x:f>10000/18*1.8</x:f>
        <x:v>1000</x:v>
      </x:c>
      <x:c r="E6" s="56" t="n">
        <x:v>83.33333333333333</x:v>
      </x:c>
      <x:c r="F6" s="64" t="n">
        <x:v>0.7</x:v>
      </x:c>
      <x:c r="G6" s="64" t="n">
        <x:v>120</x:v>
      </x:c>
      <x:c r="H6" s="64" t="n">
        <x:v>1.2</x:v>
      </x:c>
      <x:c r="I6" s="56" t="n">
        <x:v>144</x:v>
      </x:c>
    </x:row>
    <x:row r="7" ht="21.600000381469727" hidden="0" customHeight="1">
      <x:c r="A7" s="29" t="str">
        <x:v>clinical regulation</x:v>
      </x:c>
      <x:c r="B7" s="62" t="n">
        <x:v>0.15</x:v>
      </x:c>
      <x:c r="C7" s="64" t="n">
        <x:v>10</x:v>
      </x:c>
      <x:c r="D7" s="57" t="n">
        <x:f>10000/18*1.8</x:f>
        <x:v>1000</x:v>
      </x:c>
      <x:c r="E7" s="57" t="n">
        <x:v>25</x:v>
      </x:c>
      <x:c r="F7" s="64" t="n">
        <x:v>0.7</x:v>
      </x:c>
      <x:c r="G7" s="64" t="n">
        <x:v>36</x:v>
      </x:c>
      <x:c r="H7" s="64" t="n">
        <x:v>2</x:v>
      </x:c>
      <x:c r="I7" s="57" t="n">
        <x:v>72</x:v>
      </x:c>
    </x:row>
    <x:row r="8" ht="32.400001525878906" hidden="0" customHeight="1">
      <x:c r="A8" s="27" t="str">
        <x:v>access and functional-needs fitting</x:v>
      </x:c>
      <x:c r="B8" s="62" t="n">
        <x:v>0.2</x:v>
      </x:c>
      <x:c r="C8" s="64" t="n">
        <x:v>8</x:v>
      </x:c>
      <x:c r="D8" s="56" t="n">
        <x:f>10000/18*1.8</x:f>
        <x:v>1000</x:v>
      </x:c>
      <x:c r="E8" s="56" t="n">
        <x:v>26.666666666666668</x:v>
      </x:c>
      <x:c r="F8" s="64" t="n">
        <x:v>0.7</x:v>
      </x:c>
      <x:c r="G8" s="64" t="n">
        <x:v>39</x:v>
      </x:c>
      <x:c r="H8" s="64" t="n">
        <x:v>1.8</x:v>
      </x:c>
      <x:c r="I8" s="56" t="n">
        <x:v>71</x:v>
      </x:c>
    </x:row>
    <x:row r="9" ht="21.600000381469727" hidden="0" customHeight="1">
      <x:c r="A9" s="29" t="str">
        <x:v>custody and safeguarding</x:v>
      </x:c>
      <x:c r="B9" s="62" t="n">
        <x:v>0.03</x:v>
      </x:c>
      <x:c r="C9" s="64" t="n">
        <x:v>12</x:v>
      </x:c>
      <x:c r="D9" s="57" t="n">
        <x:f>10000/18*1.8</x:f>
        <x:v>1000</x:v>
      </x:c>
      <x:c r="E9" s="57" t="n">
        <x:v>6</x:v>
      </x:c>
      <x:c r="F9" s="64" t="n">
        <x:v>0.7</x:v>
      </x:c>
      <x:c r="G9" s="64" t="n">
        <x:v>9</x:v>
      </x:c>
      <x:c r="H9" s="64" t="n">
        <x:v>2.5</x:v>
      </x:c>
      <x:c r="I9" s="57" t="n">
        <x:v>23</x:v>
      </x:c>
    </x:row>
    <x:row r="10" ht="32.400001525878906" hidden="0" customHeight="1">
      <x:c r="A10" s="27" t="str">
        <x:v>mode and destination assignment</x:v>
      </x:c>
      <x:c r="B10" s="62" t="n">
        <x:v>1</x:v>
      </x:c>
      <x:c r="C10" s="64" t="n">
        <x:v>4</x:v>
      </x:c>
      <x:c r="D10" s="56" t="n">
        <x:f>10000/18*1.8</x:f>
        <x:v>1000</x:v>
      </x:c>
      <x:c r="E10" s="56" t="n">
        <x:v>66.66666666666667</x:v>
      </x:c>
      <x:c r="F10" s="64" t="n">
        <x:v>0.7</x:v>
      </x:c>
      <x:c r="G10" s="64" t="n">
        <x:v>96</x:v>
      </x:c>
      <x:c r="H10" s="64" t="n">
        <x:v>1.2</x:v>
      </x:c>
      <x:c r="I10" s="56" t="n">
        <x:v>116</x:v>
      </x:c>
    </x:row>
    <x:row r="11" ht="21.600000381469727" hidden="0" customHeight="1">
      <x:c r="A11" s="29" t="str">
        <x:v>boarding release</x:v>
      </x:c>
      <x:c r="B11" s="62" t="n">
        <x:v>1</x:v>
      </x:c>
      <x:c r="C11" s="64" t="n">
        <x:v>3</x:v>
      </x:c>
      <x:c r="D11" s="57" t="n">
        <x:f>10000/18*1.8</x:f>
        <x:v>1000</x:v>
      </x:c>
      <x:c r="E11" s="57" t="n">
        <x:v>50</x:v>
      </x:c>
      <x:c r="F11" s="64" t="n">
        <x:v>0.7</x:v>
      </x:c>
      <x:c r="G11" s="64" t="n">
        <x:v>72</x:v>
      </x:c>
      <x:c r="H11" s="64" t="n">
        <x:v>1.4</x:v>
      </x:c>
      <x:c r="I11" s="57" t="n">
        <x:v>101</x:v>
      </x:c>
    </x:row>
    <x:row r="14" ht="23" customHeight="1">
      <x:c r="A14" s="67" t="str">
        <x:v>Formation staffing</x:v>
      </x:c>
      <x:c r="B14" s="67"/>
      <x:c r="C14" s="67"/>
      <x:c r="D14" s="67"/>
      <x:c r="E14" s="67"/>
      <x:c r="F14" s="67"/>
      <x:c r="G14" s="67"/>
      <x:c r="H14" s="67"/>
      <x:c r="I14" s="67"/>
    </x:row>
    <x:row r="15" ht="27" customHeight="1">
      <x:c r="A15" s="70" t="str">
        <x:v>Process staff/shift</x:v>
      </x:c>
      <x:c r="B15" s="71" t="n">
        <x:v>614</x:v>
      </x:c>
      <x:c r="C15" s="71" t="str">
        <x:v>Support/shift</x:v>
      </x:c>
      <x:c r="D15" s="71" t="n">
        <x:v>215</x:v>
      </x:c>
      <x:c r="E15" s="71" t="str">
        <x:v>Total/shift</x:v>
      </x:c>
      <x:c r="F15" s="71" t="n">
        <x:v>829</x:v>
      </x:c>
      <x:c r="G15" s="71" t="str">
        <x:v>Deployed formation</x:v>
      </x:c>
      <x:c r="H15" s="71" t="n">
        <x:v>2289</x:v>
      </x:c>
      <x:c r="I15" s="71" t="str">
        <x:v>Pass 33 crew</x:v>
      </x:c>
    </x:row>
    <x:row r="16" ht="27" customHeight="1">
      <x:c r="A16" s="70"/>
      <x:c r="B16" s="71"/>
      <x:c r="C16" s="71"/>
      <x:c r="D16" s="71"/>
      <x:c r="E16" s="71"/>
      <x:c r="F16" s="71"/>
      <x:c r="G16" s="71"/>
      <x:c r="H16" s="71"/>
      <x:c r="I16" s="71" t="n">
        <x:v>220</x:v>
      </x:c>
    </x:row>
    <x:row r="18" ht="42" customHeight="1">
      <x:c r="A18" s="45" t="str">
        <x:v>The configured formation requires 2,289 people—10.4 times the Pass 33 crew assumption—before an empirical queue trial. The earlier workforce account is therefore not closed.</x:v>
      </x:c>
      <x:c r="B18" s="45"/>
      <x:c r="C18" s="45"/>
      <x:c r="D18" s="45"/>
      <x:c r="E18" s="45"/>
      <x:c r="F18" s="45"/>
      <x:c r="G18" s="45"/>
      <x:c r="H18" s="45"/>
      <x:c r="I18" s="45"/>
    </x:row>
  </x:sheetData>
  <x:mergeCells>
    <x:mergeCell ref="A1:I1"/>
    <x:mergeCell ref="A2:I2"/>
    <x:mergeCell ref="A14:I14"/>
    <x:mergeCell ref="A18:I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22" topLeftCell="A23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48" hidden="0" customWidth="1"/>
    <x:col min="5" max="5" width="48" hidden="0" customWidth="1"/>
    <x:col min="6" max="6" width="48" hidden="0" customWidth="1"/>
  </x:cols>
  <x:sheetData>
    <x:row r="1" ht="29" customHeight="1">
      <x:c r="A1" s="2" t="str">
        <x:v>CTN-10 complete-system budget</x:v>
      </x:c>
      <x:c r="B1" s="2"/>
      <x:c r="C1" s="2"/>
      <x:c r="D1" s="2"/>
      <x:c r="E1" s="2"/>
      <x:c r="F1" s="2"/>
    </x:row>
    <x:row r="2" ht="32" customHeight="1">
      <x:c r="A2" s="6" t="str">
        <x:v>Area, energy, water, sanitation, mass and personnel are co-required. A node receives no throughput credit if any governing subsystem is absent.</x:v>
      </x:c>
      <x:c r="B2" s="6"/>
      <x:c r="C2" s="6"/>
      <x:c r="D2" s="6"/>
      <x:c r="E2" s="6"/>
      <x:c r="F2" s="6"/>
    </x:row>
    <x:row r="4" ht="32" customHeight="1">
      <x:c r="A4" s="18" t="str">
        <x:v>Quantity</x:v>
      </x:c>
      <x:c r="B4" s="19" t="str">
        <x:v>Value</x:v>
      </x:c>
      <x:c r="C4" s="19" t="str">
        <x:v>Unit</x:v>
      </x:c>
      <x:c r="D4" s="19" t="str">
        <x:v>Basis</x:v>
      </x:c>
      <x:c r="E4" s="19" t="str">
        <x:v>Status</x:v>
      </x:c>
      <x:c r="F4" s="20" t="str">
        <x:v>Failure if absent</x:v>
      </x:c>
    </x:row>
    <x:row r="5" ht="32.400001525878906" hidden="0" customHeight="1">
      <x:c r="A5" s="28" t="str">
        <x:v>Average hourly flow</x:v>
      </x:c>
      <x:c r="B5" s="55" t="n">
        <x:v>555.5555555555555</x:v>
      </x:c>
      <x:c r="C5" s="28" t="str">
        <x:v>people/h</x:v>
      </x:c>
      <x:c r="D5" s="28" t="str">
        <x:v>10,000 over 18 operating hours</x:v>
      </x:c>
      <x:c r="E5" s="28" t="str">
        <x:v>R2+</x:v>
      </x:c>
      <x:c r="F5" s="28" t="str">
        <x:v>daily promise cannot close</x:v>
      </x:c>
    </x:row>
    <x:row r="6" ht="43.20000076293945" hidden="0" customHeight="1">
      <x:c r="A6" s="27" t="str">
        <x:v>Peak hourly flow</x:v>
      </x:c>
      <x:c r="B6" s="56" t="n">
        <x:v>1000</x:v>
      </x:c>
      <x:c r="C6" s="27" t="str">
        <x:v>people/h</x:v>
      </x:c>
      <x:c r="D6" s="27" t="str">
        <x:v>1.8 peak factor</x:v>
      </x:c>
      <x:c r="E6" s="27" t="str">
        <x:v>R2+</x:v>
      </x:c>
      <x:c r="F6" s="27" t="str">
        <x:v>queues exceed service window</x:v>
      </x:c>
    </x:row>
    <x:row r="7" ht="32.400001525878906" hidden="0" customHeight="1">
      <x:c r="A7" s="29" t="str">
        <x:v>Peak holding</x:v>
      </x:c>
      <x:c r="B7" s="57" t="n">
        <x:v>3750</x:v>
      </x:c>
      <x:c r="C7" s="29" t="str">
        <x:v>people</x:v>
      </x:c>
      <x:c r="D7" s="29" t="str">
        <x:v>6h mean dwell × 1.5 peak</x:v>
      </x:c>
      <x:c r="E7" s="29" t="str">
        <x:v>R2+</x:v>
      </x:c>
      <x:c r="F7" s="29" t="str">
        <x:v>unsafe crowding</x:v>
      </x:c>
    </x:row>
    <x:row r="8" ht="43.20000076293945" hidden="0" customHeight="1">
      <x:c r="A8" s="27" t="str">
        <x:v>Occupied area</x:v>
      </x:c>
      <x:c r="B8" s="56" t="n">
        <x:v>20902.5</x:v>
      </x:c>
      <x:c r="C8" s="27" t="str">
        <x:v>m2</x:v>
      </x:c>
      <x:c r="D8" s="27" t="str">
        <x:v>60 ft2/person</x:v>
      </x:c>
      <x:c r="E8" s="27" t="str">
        <x:v>source-informed assumption</x:v>
      </x:c>
      <x:c r="F8" s="27" t="str">
        <x:v>access, cot spacing and circulation fail</x:v>
      </x:c>
    </x:row>
    <x:row r="9" ht="32.400001525878906" hidden="0" customHeight="1">
      <x:c r="A9" s="29" t="str">
        <x:v>Gross campus</x:v>
      </x:c>
      <x:c r="B9" s="57" t="n">
        <x:v>29263.499999999996</x:v>
      </x:c>
      <x:c r="C9" s="29" t="str">
        <x:v>m2</x:v>
      </x:c>
      <x:c r="D9" s="29" t="str">
        <x:v>occupied area + 40% service</x:v>
      </x:c>
      <x:c r="E9" s="29" t="str">
        <x:v>R2+</x:v>
      </x:c>
      <x:c r="F9" s="29" t="str">
        <x:v>utilities and processing displaced</x:v>
      </x:c>
    </x:row>
    <x:row r="10" ht="32.400001525878906" hidden="0" customHeight="1">
      <x:c r="A10" s="27" t="str">
        <x:v>Potable/service water</x:v>
      </x:c>
      <x:c r="B10" s="56" t="n">
        <x:v>550</x:v>
      </x:c>
      <x:c r="C10" s="27" t="str">
        <x:v>m3/day</x:v>
      </x:c>
      <x:c r="D10" s="27" t="str">
        <x:v>55 L/person-day</x:v>
      </x:c>
      <x:c r="E10" s="27" t="str">
        <x:v>assumption</x:v>
      </x:c>
      <x:c r="F10" s="27" t="str">
        <x:v>hygiene and sanitation fail</x:v>
      </x:c>
    </x:row>
    <x:row r="11" ht="32.400001525878906" hidden="0" customHeight="1">
      <x:c r="A11" s="29" t="str">
        <x:v>Toilets</x:v>
      </x:c>
      <x:c r="B11" s="57" t="n">
        <x:v>188</x:v>
      </x:c>
      <x:c r="C11" s="29" t="str">
        <x:v>fixtures</x:v>
      </x:c>
      <x:c r="D11" s="29" t="str">
        <x:v>1 per 20 peak occupants</x:v>
      </x:c>
      <x:c r="E11" s="29" t="str">
        <x:v>source-backed floor</x:v>
      </x:c>
      <x:c r="F11" s="29" t="str">
        <x:v>public health fails</x:v>
      </x:c>
    </x:row>
    <x:row r="12" ht="32.400001525878906" hidden="0" customHeight="1">
      <x:c r="A12" s="27" t="str">
        <x:v>Showers</x:v>
      </x:c>
      <x:c r="B12" s="56" t="n">
        <x:v>75</x:v>
      </x:c>
      <x:c r="C12" s="27" t="str">
        <x:v>fixtures</x:v>
      </x:c>
      <x:c r="D12" s="27" t="str">
        <x:v>1 per 50 peak occupants</x:v>
      </x:c>
      <x:c r="E12" s="27" t="str">
        <x:v>assumption</x:v>
      </x:c>
      <x:c r="F12" s="27" t="str">
        <x:v>hygiene fails</x:v>
      </x:c>
    </x:row>
    <x:row r="13" ht="32.400001525878906" hidden="0" customHeight="1">
      <x:c r="A13" s="29" t="str">
        <x:v>Average electric load</x:v>
      </x:c>
      <x:c r="B13" s="57" t="n">
        <x:v>2.8</x:v>
      </x:c>
      <x:c r="C13" s="29" t="str">
        <x:v>MW</x:v>
      </x:c>
      <x:c r="D13" s="29" t="str">
        <x:v>thermal + processing hypothesis</x:v>
      </x:c>
      <x:c r="E13" s="29" t="str">
        <x:v>R1/R2</x:v>
      </x:c>
      <x:c r="F13" s="29" t="str">
        <x:v>occupied environment fails</x:v>
      </x:c>
    </x:row>
    <x:row r="14" ht="32.400001525878906" hidden="0" customHeight="1">
      <x:c r="A14" s="27" t="str">
        <x:v>Peak electric load</x:v>
      </x:c>
      <x:c r="B14" s="56" t="n">
        <x:v>4.5</x:v>
      </x:c>
      <x:c r="C14" s="27" t="str">
        <x:v>MW</x:v>
      </x:c>
      <x:c r="D14" s="27" t="str">
        <x:v>sectionalized N+2 hypothesis</x:v>
      </x:c>
      <x:c r="E14" s="27" t="str">
        <x:v>R1/R2</x:v>
      </x:c>
      <x:c r="F14" s="27" t="str">
        <x:v>peak service fails</x:v>
      </x:c>
    </x:row>
    <x:row r="15" ht="32.400001525878906" hidden="0" customHeight="1">
      <x:c r="A15" s="29" t="str">
        <x:v>Energy</x:v>
      </x:c>
      <x:c r="B15" s="57" t="n">
        <x:v>67.19999999999999</x:v>
      </x:c>
      <x:c r="C15" s="29" t="str">
        <x:v>MWh/day</x:v>
      </x:c>
      <x:c r="D15" s="29" t="str">
        <x:v>average × 24h</x:v>
      </x:c>
      <x:c r="E15" s="29" t="str">
        <x:v>computed</x:v>
      </x:c>
      <x:c r="F15" s="29" t="str">
        <x:v>daily autonomy fails</x:v>
      </x:c>
    </x:row>
    <x:row r="16" ht="32.400001525878906" hidden="0" customHeight="1">
      <x:c r="A16" s="27" t="str">
        <x:v>Battery</x:v>
      </x:c>
      <x:c r="B16" s="56" t="n">
        <x:v>22.4</x:v>
      </x:c>
      <x:c r="C16" s="27" t="str">
        <x:v>MWh</x:v>
      </x:c>
      <x:c r="D16" s="27" t="str">
        <x:v>8h at average load</x:v>
      </x:c>
      <x:c r="E16" s="27" t="str">
        <x:v>R1/R2</x:v>
      </x:c>
      <x:c r="F16" s="27" t="str">
        <x:v>islanding transition fails</x:v>
      </x:c>
    </x:row>
    <x:row r="17" ht="43.20000076293945" hidden="0" customHeight="1">
      <x:c r="A17" s="29" t="str">
        <x:v>Deployable mass</x:v>
      </x:c>
      <x:c r="B17" s="57" t="n">
        <x:v>4513.3015</x:v>
      </x:c>
      <x:c r="C17" s="29" t="str">
        <x:v>t</x:v>
      </x:c>
      <x:c r="D17" s="29" t="str">
        <x:v>first-order subsystem ledger + 15% reserve</x:v>
      </x:c>
      <x:c r="E17" s="29" t="str">
        <x:v>R2+</x:v>
      </x:c>
      <x:c r="F17" s="29" t="str">
        <x:v>movement plan is fictitious</x:v>
      </x:c>
    </x:row>
    <x:row r="18" ht="32.400001525878906" hidden="0" customHeight="1">
      <x:c r="A18" s="27" t="str">
        <x:v>25t equivalent moves</x:v>
      </x:c>
      <x:c r="B18" s="56" t="n">
        <x:v>181</x:v>
      </x:c>
      <x:c r="C18" s="27" t="str">
        <x:v>moves</x:v>
      </x:c>
      <x:c r="D18" s="27" t="str">
        <x:v>mass / 25t</x:v>
      </x:c>
      <x:c r="E18" s="27" t="str">
        <x:v>computed</x:v>
      </x:c>
      <x:c r="F18" s="27" t="str">
        <x:v>setup clock unproved</x:v>
      </x:c>
    </x:row>
    <x:row r="21" ht="23" customHeight="1">
      <x:c r="A21" s="67" t="str">
        <x:v>Mass ledger</x:v>
      </x:c>
      <x:c r="B21" s="67"/>
      <x:c r="C21" s="67"/>
      <x:c r="D21" s="67"/>
      <x:c r="E21" s="67"/>
      <x:c r="F21" s="67"/>
    </x:row>
    <x:row r="22" ht="32" customHeight="1">
      <x:c r="A22" s="18" t="str">
        <x:v>System</x:v>
      </x:c>
      <x:c r="B22" s="19" t="str">
        <x:v>Mass t</x:v>
      </x:c>
      <x:c r="C22" s="19" t="str">
        <x:v>Basis</x:v>
      </x:c>
      <x:c r="D22" s="19" t="str">
        <x:v>Reserve class</x:v>
      </x:c>
      <x:c r="E22" s="19" t="str">
        <x:v>Evidence</x:v>
      </x:c>
      <x:c r="F22" s="20" t="str">
        <x:v>Disposition</x:v>
      </x:c>
    </x:row>
    <x:row r="23" ht="32.400001525878906" hidden="0" customHeight="1">
      <x:c r="A23" s="28" t="str">
        <x:v>weather envelope and occupied structures</x:v>
      </x:c>
      <x:c r="B23" s="55" t="n">
        <x:v>1755.8099999999997</x:v>
      </x:c>
      <x:c r="C23" s="28" t="str">
        <x:v>60 kg/m2 deployable-envelope hypothesis</x:v>
      </x:c>
      <x:c r="D23" s="28" t="str">
        <x:v>base mass</x:v>
      </x:c>
      <x:c r="E23" s="28" t="str">
        <x:v>analytical hypothesis</x:v>
      </x:c>
      <x:c r="F23" s="28" t="str">
        <x:v>OPEN</x:v>
      </x:c>
    </x:row>
    <x:row r="24" ht="32.400001525878906" hidden="0" customHeight="1">
      <x:c r="A24" s="27" t="str">
        <x:v>generation, switchgear and thermal plant</x:v>
      </x:c>
      <x:c r="B24" s="56" t="n">
        <x:v>300</x:v>
      </x:c>
      <x:c r="C24" s="27" t="str">
        <x:v>4.5 MW peak, N+2 sectionalized plant hypothesis</x:v>
      </x:c>
      <x:c r="D24" s="27" t="str">
        <x:v>base mass</x:v>
      </x:c>
      <x:c r="E24" s="27" t="str">
        <x:v>analytical hypothesis</x:v>
      </x:c>
      <x:c r="F24" s="27" t="str">
        <x:v>OPEN</x:v>
      </x:c>
    </x:row>
    <x:row r="25" ht="32.400001525878906" hidden="0" customHeight="1">
      <x:c r="A25" s="29" t="str">
        <x:v>battery and local distribution</x:v>
      </x:c>
      <x:c r="B25" s="57" t="n">
        <x:v>268.79999999999995</x:v>
      </x:c>
      <x:c r="C25" s="29" t="str">
        <x:v>12 t/MWh containerized-system hypothesis</x:v>
      </x:c>
      <x:c r="D25" s="29" t="str">
        <x:v>base mass</x:v>
      </x:c>
      <x:c r="E25" s="29" t="str">
        <x:v>analytical hypothesis</x:v>
      </x:c>
      <x:c r="F25" s="29" t="str">
        <x:v>OPEN</x:v>
      </x:c>
    </x:row>
    <x:row r="26" ht="21.600000381469727" hidden="0" customHeight="1">
      <x:c r="A26" s="27" t="str">
        <x:v>water treatment, storage and distribution</x:v>
      </x:c>
      <x:c r="B26" s="56" t="n">
        <x:v>300</x:v>
      </x:c>
      <x:c r="C26" s="27" t="str">
        <x:v>550 m3/day plus fire and reserve hypothesis</x:v>
      </x:c>
      <x:c r="D26" s="27" t="str">
        <x:v>base mass</x:v>
      </x:c>
      <x:c r="E26" s="27" t="str">
        <x:v>analytical hypothesis</x:v>
      </x:c>
      <x:c r="F26" s="27" t="str">
        <x:v>OPEN</x:v>
      </x:c>
    </x:row>
    <x:row r="27" ht="21.600000381469727" hidden="0" customHeight="1">
      <x:c r="A27" s="29" t="str">
        <x:v>toilets, showers and wastewater</x:v>
      </x:c>
      <x:c r="B27" s="57" t="n">
        <x:v>250</x:v>
      </x:c>
      <x:c r="C27" s="29" t="str">
        <x:v>188 toilets, 75 showers and treatment/storage hypothesis</x:v>
      </x:c>
      <x:c r="D27" s="29" t="str">
        <x:v>base mass</x:v>
      </x:c>
      <x:c r="E27" s="29" t="str">
        <x:v>analytical hypothesis</x:v>
      </x:c>
      <x:c r="F27" s="29" t="str">
        <x:v>OPEN</x:v>
      </x:c>
    </x:row>
    <x:row r="28" ht="21.600000381469727" hidden="0" customHeight="1">
      <x:c r="A28" s="27" t="str">
        <x:v>clinical and accessible-service equipment</x:v>
      </x:c>
      <x:c r="B28" s="56" t="n">
        <x:v>250</x:v>
      </x:c>
      <x:c r="C28" s="27" t="str">
        <x:v>triage, lift, device, pharmacy and isolation hypothesis</x:v>
      </x:c>
      <x:c r="D28" s="27" t="str">
        <x:v>base mass</x:v>
      </x:c>
      <x:c r="E28" s="27" t="str">
        <x:v>analytical hypothesis</x:v>
      </x:c>
      <x:c r="F28" s="27" t="str">
        <x:v>OPEN</x:v>
      </x:c>
    </x:row>
    <x:row r="29" ht="32.400001525878906" hidden="0" customHeight="1">
      <x:c r="A29" s="29" t="str">
        <x:v>identity, communications and safeguarding</x:v>
      </x:c>
      <x:c r="B29" s="57" t="n">
        <x:v>100</x:v>
      </x:c>
      <x:c r="C29" s="29" t="str">
        <x:v>disconnected redundant information-system hypothesis</x:v>
      </x:c>
      <x:c r="D29" s="29" t="str">
        <x:v>base mass</x:v>
      </x:c>
      <x:c r="E29" s="29" t="str">
        <x:v>analytical hypothesis</x:v>
      </x:c>
      <x:c r="F29" s="29" t="str">
        <x:v>OPEN</x:v>
      </x:c>
    </x:row>
    <x:row r="30" ht="21.600000381469727" hidden="0" customHeight="1">
      <x:c r="A30" s="27" t="str">
        <x:v>baggage, animal and material handling</x:v>
      </x:c>
      <x:c r="B30" s="56" t="n">
        <x:v>200</x:v>
      </x:c>
      <x:c r="C30" s="27" t="str">
        <x:v>household continuity and UCM handling hypothesis</x:v>
      </x:c>
      <x:c r="D30" s="27" t="str">
        <x:v>base mass</x:v>
      </x:c>
      <x:c r="E30" s="27" t="str">
        <x:v>analytical hypothesis</x:v>
      </x:c>
      <x:c r="F30" s="27" t="str">
        <x:v>OPEN</x:v>
      </x:c>
    </x:row>
    <x:row r="31" ht="21.600000381469727" hidden="0" customHeight="1">
      <x:c r="A31" s="29" t="str">
        <x:v>staff support, maintenance and spares</x:v>
      </x:c>
      <x:c r="B31" s="57" t="n">
        <x:v>500</x:v>
      </x:c>
      <x:c r="C31" s="29" t="str">
        <x:v>2,289-person deployed formation hypothesis</x:v>
      </x:c>
      <x:c r="D31" s="29" t="str">
        <x:v>base mass</x:v>
      </x:c>
      <x:c r="E31" s="29" t="str">
        <x:v>analytical hypothesis</x:v>
      </x:c>
      <x:c r="F31" s="29" t="str">
        <x:v>OPEN</x:v>
      </x:c>
    </x:row>
    <x:row r="32" ht="15" hidden="0" customHeight="1">
      <x:c r="A32" s="27" t="str">
        <x:v>configuration reserve</x:v>
      </x:c>
      <x:c r="B32" s="56" t="n">
        <x:v>588.6914999999999</x:v>
      </x:c>
      <x:c r="C32" s="27" t="str">
        <x:v>15% first-order mass reserve</x:v>
      </x:c>
      <x:c r="D32" s="27" t="str">
        <x:v>configuration reserve</x:v>
      </x:c>
      <x:c r="E32" s="27" t="str">
        <x:v>analytical hypothesis</x:v>
      </x:c>
      <x:c r="F32" s="27" t="str">
        <x:v>OPEN</x:v>
      </x:c>
    </x:row>
  </x:sheetData>
  <x:mergeCells>
    <x:mergeCell ref="A1:F1"/>
    <x:mergeCell ref="A2:F2"/>
    <x:mergeCell ref="A21:F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9" hidden="0" customWidth="1"/>
    <x:col min="5" max="5" width="49" hidden="0" customWidth="1"/>
    <x:col min="6" max="6" width="49" hidden="0" customWidth="1"/>
  </x:cols>
  <x:sheetData>
    <x:row r="1" ht="29" customHeight="1">
      <x:c r="A1" s="2" t="str">
        <x:v>Universal Continuity Module: first configuration</x:v>
      </x:c>
      <x:c r="B1" s="2"/>
      <x:c r="C1" s="2"/>
      <x:c r="D1" s="2"/>
      <x:c r="E1" s="2"/>
      <x:c r="F1" s="2"/>
    </x:row>
    <x:row r="2" ht="32" customHeight="1">
      <x:c r="A2" s="6" t="str">
        <x:v>The module is a protected cross-modal interface for accessible and clinical continuity—not a universal container for every traveler.</x:v>
      </x:c>
      <x:c r="B2" s="6"/>
      <x:c r="C2" s="6"/>
      <x:c r="D2" s="6"/>
      <x:c r="E2" s="6"/>
      <x:c r="F2" s="6"/>
    </x:row>
    <x:row r="4" ht="32" customHeight="1">
      <x:c r="A4" s="18" t="str">
        <x:v>Quantity</x:v>
      </x:c>
      <x:c r="B4" s="19" t="str">
        <x:v>Value</x:v>
      </x:c>
      <x:c r="C4" s="19" t="str">
        <x:v>Unit</x:v>
      </x:c>
      <x:c r="D4" s="19" t="str">
        <x:v>Requirement logic</x:v>
      </x:c>
      <x:c r="E4" s="19" t="str">
        <x:v>Failure boundary</x:v>
      </x:c>
      <x:c r="F4" s="20" t="str">
        <x:v>Maturity</x:v>
      </x:c>
    </x:row>
    <x:row r="5" ht="43.20000076293945" hidden="0" customHeight="1">
      <x:c r="A5" s="28" t="str">
        <x:v>Occupants</x:v>
      </x:c>
      <x:c r="B5" s="72" t="n">
        <x:v>8</x:v>
      </x:c>
      <x:c r="C5" s="28" t="str">
        <x:v>people</x:v>
      </x:c>
      <x:c r="D5" s="28" t="str">
        <x:v>mixed seated/device/litter configuration</x:v>
      </x:c>
      <x:c r="E5" s="28" t="str">
        <x:v>configuration matrix unbuilt</x:v>
      </x:c>
      <x:c r="F5" s="28" t="str">
        <x:v>R1/R2</x:v>
      </x:c>
    </x:row>
    <x:row r="6" ht="43.20000076293945" hidden="0" customHeight="1">
      <x:c r="A6" s="27" t="str">
        <x:v>External length</x:v>
      </x:c>
      <x:c r="B6" s="73" t="n">
        <x:v>6.06</x:v>
      </x:c>
      <x:c r="C6" s="27" t="str">
        <x:v>m</x:v>
      </x:c>
      <x:c r="D6" s="27" t="str">
        <x:v>20-ft intermodal envelope hypothesis</x:v>
      </x:c>
      <x:c r="E6" s="27" t="str">
        <x:v>air/rail/water handling not proven</x:v>
      </x:c>
      <x:c r="F6" s="27" t="str">
        <x:v>R1/R2</x:v>
      </x:c>
    </x:row>
    <x:row r="7" ht="32.400001525878906" hidden="0" customHeight="1">
      <x:c r="A7" s="29" t="str">
        <x:v>External width</x:v>
      </x:c>
      <x:c r="B7" s="74" t="n">
        <x:v>2.44</x:v>
      </x:c>
      <x:c r="C7" s="29" t="str">
        <x:v>m</x:v>
      </x:c>
      <x:c r="D7" s="29" t="str">
        <x:v>intermodal envelope hypothesis</x:v>
      </x:c>
      <x:c r="E7" s="29" t="str">
        <x:v>aisle and lift clearance open</x:v>
      </x:c>
      <x:c r="F7" s="29" t="str">
        <x:v>R1/R2</x:v>
      </x:c>
    </x:row>
    <x:row r="8" ht="43.20000076293945" hidden="0" customHeight="1">
      <x:c r="A8" s="27" t="str">
        <x:v>External height</x:v>
      </x:c>
      <x:c r="B8" s="73" t="n">
        <x:v>2.59</x:v>
      </x:c>
      <x:c r="C8" s="27" t="str">
        <x:v>m</x:v>
      </x:c>
      <x:c r="D8" s="27" t="str">
        <x:v>intermodal envelope hypothesis</x:v>
      </x:c>
      <x:c r="E8" s="27" t="str">
        <x:v>egress and aircraft envelope open</x:v>
      </x:c>
      <x:c r="F8" s="27" t="str">
        <x:v>R1/R2</x:v>
      </x:c>
    </x:row>
    <x:row r="9" ht="21.600000381469727" hidden="0" customHeight="1">
      <x:c r="A9" s="29" t="str">
        <x:v>Floor area</x:v>
      </x:c>
      <x:c r="B9" s="74" t="n">
        <x:v>14.786399999999999</x:v>
      </x:c>
      <x:c r="C9" s="29" t="str">
        <x:v>m2</x:v>
      </x:c>
      <x:c r="D9" s="29" t="str">
        <x:v>length × width</x:v>
      </x:c>
      <x:c r="E9" s="29" t="str">
        <x:v>usable clear area lower</x:v>
      </x:c>
      <x:c r="F9" s="29" t="str">
        <x:v>computed</x:v>
      </x:c>
    </x:row>
    <x:row r="10" ht="32.400001525878906" hidden="0" customHeight="1">
      <x:c r="A10" s="27" t="str">
        <x:v>Area per person</x:v>
      </x:c>
      <x:c r="B10" s="73" t="n">
        <x:v>1.8482999999999998</x:v>
      </x:c>
      <x:c r="C10" s="27" t="str">
        <x:v>m2/person</x:v>
      </x:c>
      <x:c r="D10" s="27" t="str">
        <x:v>gross module floor/8</x:v>
      </x:c>
      <x:c r="E10" s="27" t="str">
        <x:v>human-factors closure open</x:v>
      </x:c>
      <x:c r="F10" s="27" t="str">
        <x:v>computed</x:v>
      </x:c>
    </x:row>
    <x:row r="11" ht="32.400001525878906" hidden="0" customHeight="1">
      <x:c r="A11" s="29" t="str">
        <x:v>Tare mass</x:v>
      </x:c>
      <x:c r="B11" s="74" t="n">
        <x:v>3200</x:v>
      </x:c>
      <x:c r="C11" s="29" t="str">
        <x:v>kg</x:v>
      </x:c>
      <x:c r="D11" s="29" t="str">
        <x:v>structural target</x:v>
      </x:c>
      <x:c r="E11" s="29" t="str">
        <x:v>crash/fire/thermal mass unclosed</x:v>
      </x:c>
      <x:c r="F11" s="29" t="str">
        <x:v>R1/R2</x:v>
      </x:c>
    </x:row>
    <x:row r="12" ht="43.20000076293945" hidden="0" customHeight="1">
      <x:c r="A12" s="27" t="str">
        <x:v>People and devices</x:v>
      </x:c>
      <x:c r="B12" s="73" t="n">
        <x:v>1600</x:v>
      </x:c>
      <x:c r="C12" s="27" t="str">
        <x:v>kg</x:v>
      </x:c>
      <x:c r="D12" s="27" t="str">
        <x:v>200 kg/person planning load</x:v>
      </x:c>
      <x:c r="E12" s="27" t="str">
        <x:v>case mix unvalidated</x:v>
      </x:c>
      <x:c r="F12" s="27" t="str">
        <x:v>R1/R2</x:v>
      </x:c>
    </x:row>
    <x:row r="13" ht="32.400001525878906" hidden="0" customHeight="1">
      <x:c r="A13" s="29" t="str">
        <x:v>Consumables</x:v>
      </x:c>
      <x:c r="B13" s="74" t="n">
        <x:v>500</x:v>
      </x:c>
      <x:c r="C13" s="29" t="str">
        <x:v>kg</x:v>
      </x:c>
      <x:c r="D13" s="29" t="str">
        <x:v>12h continuity target</x:v>
      </x:c>
      <x:c r="E13" s="29" t="str">
        <x:v>clinical case mix open</x:v>
      </x:c>
      <x:c r="F13" s="29" t="str">
        <x:v>R1/R2</x:v>
      </x:c>
    </x:row>
    <x:row r="14" ht="43.20000076293945" hidden="0" customHeight="1">
      <x:c r="A14" s="27" t="str">
        <x:v>Gross mass</x:v>
      </x:c>
      <x:c r="B14" s="73" t="n">
        <x:v>5300</x:v>
      </x:c>
      <x:c r="C14" s="27" t="str">
        <x:v>kg</x:v>
      </x:c>
      <x:c r="D14" s="27" t="str">
        <x:v>sum of mass ledger</x:v>
      </x:c>
      <x:c r="E14" s="27" t="str">
        <x:v>five-point mass properties open</x:v>
      </x:c>
      <x:c r="F14" s="27" t="str">
        <x:v>R2+</x:v>
      </x:c>
    </x:row>
    <x:row r="15" ht="43.20000076293945" hidden="0" customHeight="1">
      <x:c r="A15" s="29" t="str">
        <x:v>Average power</x:v>
      </x:c>
      <x:c r="B15" s="74" t="n">
        <x:v>5</x:v>
      </x:c>
      <x:c r="C15" s="29" t="str">
        <x:v>kW</x:v>
      </x:c>
      <x:c r="D15" s="29" t="str">
        <x:v>occupied thermal/medical hypothesis</x:v>
      </x:c>
      <x:c r="E15" s="29" t="str">
        <x:v>climate cases open</x:v>
      </x:c>
      <x:c r="F15" s="29" t="str">
        <x:v>R1/R2</x:v>
      </x:c>
    </x:row>
    <x:row r="16" ht="32.400001525878906" hidden="0" customHeight="1">
      <x:c r="A16" s="27" t="str">
        <x:v>Peak power</x:v>
      </x:c>
      <x:c r="B16" s="73" t="n">
        <x:v>20</x:v>
      </x:c>
      <x:c r="C16" s="27" t="str">
        <x:v>kW</x:v>
      </x:c>
      <x:c r="D16" s="27" t="str">
        <x:v>interface and HVAC transient</x:v>
      </x:c>
      <x:c r="E16" s="27" t="str">
        <x:v>cross-modal power quality open</x:v>
      </x:c>
      <x:c r="F16" s="27" t="str">
        <x:v>R1/R2</x:v>
      </x:c>
    </x:row>
    <x:row r="17" ht="32.400001525878906" hidden="0" customHeight="1">
      <x:c r="A17" s="29" t="str">
        <x:v>Usable battery</x:v>
      </x:c>
      <x:c r="B17" s="74" t="n">
        <x:v>60</x:v>
      </x:c>
      <x:c r="C17" s="29" t="str">
        <x:v>kWh</x:v>
      </x:c>
      <x:c r="D17" s="29" t="str">
        <x:v>12h at average load</x:v>
      </x:c>
      <x:c r="E17" s="29" t="str">
        <x:v>reserve and degradation open</x:v>
      </x:c>
      <x:c r="F17" s="29" t="str">
        <x:v>R2+</x:v>
      </x:c>
    </x:row>
    <x:row r="18" ht="21.600000381469727" hidden="0" customHeight="1">
      <x:c r="A18" s="27" t="str">
        <x:v>Battery endurance</x:v>
      </x:c>
      <x:c r="B18" s="73" t="n">
        <x:v>12</x:v>
      </x:c>
      <x:c r="C18" s="27" t="str">
        <x:v>h</x:v>
      </x:c>
      <x:c r="D18" s="27" t="str">
        <x:v>usable/average</x:v>
      </x:c>
      <x:c r="E18" s="27" t="str">
        <x:v>not a verified endurance</x:v>
      </x:c>
      <x:c r="F18" s="27" t="str">
        <x:v>computed</x:v>
      </x:c>
    </x:row>
    <x:row r="19" ht="21.600000381469727" hidden="0" customHeight="1">
      <x:c r="A19" s="29" t="str">
        <x:v>Fresh water</x:v>
      </x:c>
      <x:c r="B19" s="74" t="n">
        <x:v>80</x:v>
      </x:c>
      <x:c r="C19" s="29" t="str">
        <x:v>L</x:v>
      </x:c>
      <x:c r="D19" s="29" t="str">
        <x:v>10 L/person for transfer</x:v>
      </x:c>
      <x:c r="E19" s="29" t="str">
        <x:v>toilet/hygiene trial open</x:v>
      </x:c>
      <x:c r="F19" s="29" t="str">
        <x:v>R1/R2</x:v>
      </x:c>
    </x:row>
    <x:row r="20" ht="32.400001525878906" hidden="0" customHeight="1">
      <x:c r="A20" s="27" t="str">
        <x:v>Wastewater</x:v>
      </x:c>
      <x:c r="B20" s="73" t="n">
        <x:v>80</x:v>
      </x:c>
      <x:c r="C20" s="27" t="str">
        <x:v>L</x:v>
      </x:c>
      <x:c r="D20" s="27" t="str">
        <x:v>closed retention</x:v>
      </x:c>
      <x:c r="E20" s="27" t="str">
        <x:v>cleaning/return cycle open</x:v>
      </x:c>
      <x:c r="F20" s="27" t="str">
        <x:v>R1/R2</x:v>
      </x:c>
    </x:row>
    <x:row r="21" ht="32.400001525878906" hidden="0" customHeight="1">
      <x:c r="A21" s="29" t="str">
        <x:v>Targeted modules/day</x:v>
      </x:c>
      <x:c r="B21" s="74" t="n">
        <x:v>250</x:v>
      </x:c>
      <x:c r="C21" s="29" t="str">
        <x:v>modules</x:v>
      </x:c>
      <x:c r="D21" s="29" t="str">
        <x:v>20% of CTN flow / 8</x:v>
      </x:c>
      <x:c r="E21" s="29" t="str">
        <x:v>pool and return chain open</x:v>
      </x:c>
      <x:c r="F21" s="29" t="str">
        <x:v>computed</x:v>
      </x:c>
    </x:row>
    <x:row r="22" ht="32.400001525878906" hidden="0" customHeight="1">
      <x:c r="A22" s="27" t="str">
        <x:v>Universal modules/day</x:v>
      </x:c>
      <x:c r="B22" s="73" t="n">
        <x:v>1250</x:v>
      </x:c>
      <x:c r="C22" s="27" t="str">
        <x:v>modules</x:v>
      </x:c>
      <x:c r="D22" s="27" t="str">
        <x:v>100% of CTN flow / 8</x:v>
      </x:c>
      <x:c r="E22" s="27" t="str">
        <x:v>handling burden is prohibitive</x:v>
      </x:c>
      <x:c r="F22" s="27" t="str">
        <x:v>kill comparison</x:v>
      </x:c>
    </x:row>
    <x:row r="24" ht="42" customHeight="1">
      <x:c r="A24" s="45" t="str">
        <x:v>The first-principles result narrows the concept: use UCM-8 for the roughly 20% of flow whose continuity burden justifies modular transfer. Universal use would require 1,250 module movements per day at each CTN-10 and would likely create a new handling bottleneck.</x:v>
      </x:c>
      <x:c r="B24" s="45"/>
      <x:c r="C24" s="45"/>
      <x:c r="D24" s="45"/>
      <x:c r="E24" s="45"/>
      <x:c r="F24" s="45"/>
    </x:row>
  </x:sheetData>
  <x:mergeCells>
    <x:mergeCell ref="A1:F1"/>
    <x:mergeCell ref="A2:F2"/>
    <x:mergeCell ref="A24:F2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29" customHeight="1">
      <x:c r="A1" s="2" t="str">
        <x:v>Fiscal and workforce consequences</x:v>
      </x:c>
      <x:c r="B1" s="2"/>
      <x:c r="C1" s="2"/>
      <x:c r="D1" s="2"/>
      <x:c r="E1" s="2"/>
      <x:c r="F1" s="2"/>
      <x:c r="G1" s="2"/>
      <x:c r="H1" s="2"/>
    </x:row>
    <x:row r="2" ht="32" customHeight="1">
      <x:c r="A2" s="6" t="str">
        <x:v>Deep uncertainty changes the preferred architecture; CTN configuration changes the scale of the profession. These are revisions to the Pass 33 screen, not new independent estimates.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8" t="str">
        <x:v>Architecture</x:v>
      </x:c>
      <x:c r="B4" s="19" t="str">
        <x:v>Capital $B</x:v>
      </x:c>
      <x:c r="C4" s="19" t="str">
        <x:v>25-year $B</x:v>
      </x:c>
      <x:c r="D4" s="19" t="str">
        <x:v>Deep-world success</x:v>
      </x:c>
      <x:c r="E4" s="19" t="str">
        <x:v>Successes/1000</x:v>
      </x:c>
      <x:c r="F4" s="19" t="str">
        <x:v>Performance reading</x:v>
      </x:c>
      <x:c r="G4" s="19" t="str">
        <x:v>Fiscal reading</x:v>
      </x:c>
      <x:c r="H4" s="20" t="str">
        <x:v>Disposition</x:v>
      </x:c>
    </x:row>
    <x:row r="5" ht="54" hidden="0" customHeight="1">
      <x:c r="A5" s="28" t="str">
        <x:v>A1</x:v>
      </x:c>
      <x:c r="B5" s="39" t="n">
        <x:v>2004.462</x:v>
      </x:c>
      <x:c r="C5" s="39" t="n">
        <x:v>4239.7786125</x:v>
      </x:c>
      <x:c r="D5" s="36" t="n">
        <x:v>0.003</x:v>
      </x:c>
      <x:c r="E5" s="28" t="n">
        <x:v>3</x:v>
      </x:c>
      <x:c r="F5" s="28" t="str">
        <x:v>tail and intake failure dominate</x:v>
      </x:c>
      <x:c r="G5" s="28" t="str">
        <x:v>lower burden; insufficient robust closure</x:v>
      </x:c>
      <x:c r="H5" s="28" t="str">
        <x:v>retain as subsystem / redesign</x:v>
      </x:c>
    </x:row>
    <x:row r="6" ht="54" hidden="0" customHeight="1">
      <x:c r="A6" s="27" t="str">
        <x:v>A2</x:v>
      </x:c>
      <x:c r="B6" s="40" t="n">
        <x:v>2350.5303</x:v>
      </x:c>
      <x:c r="C6" s="40" t="n">
        <x:v>4986.765785625</x:v>
      </x:c>
      <x:c r="D6" s="37" t="n">
        <x:v>0.076</x:v>
      </x:c>
      <x:c r="E6" s="27" t="n">
        <x:v>76</x:v>
      </x:c>
      <x:c r="F6" s="27" t="str">
        <x:v>tail and intake failure dominate</x:v>
      </x:c>
      <x:c r="G6" s="27" t="str">
        <x:v>lower burden; insufficient robust closure</x:v>
      </x:c>
      <x:c r="H6" s="27" t="str">
        <x:v>retain as subsystem / redesign</x:v>
      </x:c>
    </x:row>
    <x:row r="7" ht="64.80000305175781" hidden="0" customHeight="1">
      <x:c r="A7" s="29" t="str">
        <x:v>A3</x:v>
      </x:c>
      <x:c r="B7" s="41" t="n">
        <x:v>3063.2436000000002</x:v>
      </x:c>
      <x:c r="C7" s="41" t="n">
        <x:v>6299.356927500001</x:v>
      </x:c>
      <x:c r="D7" s="38" t="n">
        <x:v>0.998</x:v>
      </x:c>
      <x:c r="E7" s="29" t="n">
        <x:v>998</x:v>
      </x:c>
      <x:c r="F7" s="29" t="str">
        <x:v>robust across declared ranges</x:v>
      </x:c>
      <x:c r="G7" s="29" t="str">
        <x:v>highest burden; avoids dependence on mass relocation</x:v>
      </x:c>
      <x:c r="H7" s="29" t="str">
        <x:v>reference for next proof</x:v>
      </x:c>
    </x:row>
    <x:row r="10" ht="23" customHeight="1">
      <x:c r="A10" s="67" t="str">
        <x:v>CTN workforce correction</x:v>
      </x:c>
      <x:c r="B10" s="67"/>
      <x:c r="C10" s="67"/>
      <x:c r="D10" s="67"/>
      <x:c r="E10" s="67"/>
      <x:c r="F10" s="67"/>
      <x:c r="G10" s="67"/>
      <x:c r="H10" s="67"/>
    </x:row>
    <x:row r="11" ht="32" customHeight="1">
      <x:c r="A11" s="18" t="str">
        <x:v>Quantity</x:v>
      </x:c>
      <x:c r="B11" s="19" t="str">
        <x:v>Pass 33</x:v>
      </x:c>
      <x:c r="C11" s="19" t="str">
        <x:v>Pass 34</x:v>
      </x:c>
      <x:c r="D11" s="19" t="str">
        <x:v>Difference</x:v>
      </x:c>
      <x:c r="E11" s="19" t="str">
        <x:v>Inventory</x:v>
      </x:c>
      <x:c r="F11" s="19" t="str">
        <x:v>Force-wide difference</x:v>
      </x:c>
      <x:c r="G11" s="19" t="str">
        <x:v>Meaning</x:v>
      </x:c>
      <x:c r="H11" s="20" t="str">
        <x:v>Status</x:v>
      </x:c>
    </x:row>
    <x:row r="12" ht="15" hidden="0" customHeight="1">
      <x:c r="A12" s="28" t="str">
        <x:v>CTN-10 crew per node</x:v>
      </x:c>
      <x:c r="B12" s="49" t="n">
        <x:v>220</x:v>
      </x:c>
      <x:c r="C12" s="49" t="n">
        <x:v>2289</x:v>
      </x:c>
      <x:c r="D12" s="49" t="n">
        <x:f>C12-B12</x:f>
        <x:v>2069</x:v>
      </x:c>
      <x:c r="E12" s="49" t="n">
        <x:v>128</x:v>
      </x:c>
      <x:c r="F12" s="49" t="n">
        <x:f>D12*E12</x:f>
        <x:v>264832</x:v>
      </x:c>
      <x:c r="G12" s="28" t="str">
        <x:v>service-campus formation replaces equipment detachment</x:v>
      </x:c>
      <x:c r="H12" s="28" t="str">
        <x:v>OPEN</x:v>
      </x:c>
    </x:row>
    <x:row r="14" ht="42" customHeight="1">
      <x:c r="A14" s="45" t="str">
        <x:v>Replacing 220 crew with the first configured 2,289-person formation adds 264,832 direct positions across 128 nodes before training, reserve and supplier multipliers. The national mobility workforce and lifecycle cost must be reopened.</x:v>
      </x:c>
      <x:c r="B14" s="45"/>
      <x:c r="C14" s="45"/>
      <x:c r="D14" s="45"/>
      <x:c r="E14" s="45"/>
      <x:c r="F14" s="45"/>
      <x:c r="G14" s="45"/>
      <x:c r="H14" s="45"/>
    </x:row>
  </x:sheetData>
  <x:mergeCells>
    <x:mergeCell ref="A1:H1"/>
    <x:mergeCell ref="A2:H2"/>
    <x:mergeCell ref="A10:H10"/>
    <x:mergeCell ref="A14:H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63" hidden="0" customWidth="1"/>
    <x:col min="4" max="4" width="16" hidden="0" customWidth="1"/>
    <x:col min="5" max="5" width="16" hidden="0" customWidth="1"/>
    <x:col min="6" max="6" width="48" hidden="0" customWidth="1"/>
  </x:cols>
  <x:sheetData>
    <x:row r="1" ht="29" customHeight="1">
      <x:c r="A1" s="2" t="str">
        <x:v>Evidence required before R3 or rendering</x:v>
      </x:c>
      <x:c r="B1" s="2"/>
      <x:c r="C1" s="2"/>
      <x:c r="D1" s="2"/>
      <x:c r="E1" s="2"/>
      <x:c r="F1" s="2"/>
    </x:row>
    <x:row r="2" ht="32" customHeight="1">
      <x:c r="A2" s="6" t="str">
        <x:v>Every gate remains open. A solved spreadsheet balance establishes an auditable hypothesis, not a safe person-moving system.</x:v>
      </x:c>
      <x:c r="B2" s="6"/>
      <x:c r="C2" s="6"/>
      <x:c r="D2" s="6"/>
      <x:c r="E2" s="6"/>
      <x:c r="F2" s="6"/>
    </x:row>
    <x:row r="4" ht="32" customHeight="1">
      <x:c r="A4" s="18" t="str">
        <x:v>ID</x:v>
      </x:c>
      <x:c r="B4" s="19" t="str">
        <x:v>Gate</x:v>
      </x:c>
      <x:c r="C4" s="19" t="str">
        <x:v>Closure evidence</x:v>
      </x:c>
      <x:c r="D4" s="19" t="str">
        <x:v>Status</x:v>
      </x:c>
      <x:c r="E4" s="19" t="str">
        <x:v>Rendering effect</x:v>
      </x:c>
      <x:c r="F4" s="20" t="str">
        <x:v>Decision owner</x:v>
      </x:c>
    </x:row>
    <x:row r="5" ht="75.5999984741211" hidden="0" customHeight="1">
      <x:c r="A5" s="28" t="str">
        <x:v>DU-01</x:v>
      </x:c>
      <x:c r="B5" s="28" t="str">
        <x:v>Parameter distributions</x:v>
      </x:c>
      <x:c r="C5" s="28" t="str">
        <x:v>Calibrate the twelve outer-loop ranges from historical or experimental evidence</x:v>
      </x:c>
      <x:c r="D5" s="79" t="str">
        <x:v>OPEN</x:v>
      </x:c>
      <x:c r="E5" s="79" t="str">
        <x:v>BLOCKS</x:v>
      </x:c>
      <x:c r="F5" s="28" t="str">
        <x:v>independent proving authority + civil rights authority</x:v>
      </x:c>
    </x:row>
    <x:row r="6" ht="108" hidden="0" customHeight="1">
      <x:c r="A6" s="27" t="str">
        <x:v>DU-02</x:v>
      </x:c>
      <x:c r="B6" s="27" t="str">
        <x:v>Joint dependence</x:v>
      </x:c>
      <x:c r="C6" s="27" t="str">
        <x:v>Fit dependence among demand, receiver, route, terminal, labor and communications loss</x:v>
      </x:c>
      <x:c r="D6" s="80" t="str">
        <x:v>OPEN</x:v>
      </x:c>
      <x:c r="E6" s="80" t="str">
        <x:v>BLOCKS</x:v>
      </x:c>
      <x:c r="F6" s="27" t="str">
        <x:v>independent proving authority + civil rights authority</x:v>
      </x:c>
    </x:row>
    <x:row r="7" ht="75.5999984741211" hidden="0" customHeight="1">
      <x:c r="A7" s="29" t="str">
        <x:v>DU-03</x:v>
      </x:c>
      <x:c r="B7" s="29" t="str">
        <x:v>Restoration curve</x:v>
      </x:c>
      <x:c r="C7" s="29" t="str">
        <x:v>Demonstrate time-to-certification distributions by mode and damage state</x:v>
      </x:c>
      <x:c r="D7" s="80" t="str">
        <x:v>OPEN</x:v>
      </x:c>
      <x:c r="E7" s="80" t="str">
        <x:v>BLOCKS</x:v>
      </x:c>
      <x:c r="F7" s="29" t="str">
        <x:v>independent proving authority + civil rights authority</x:v>
      </x:c>
    </x:row>
    <x:row r="8" ht="86.4000015258789" hidden="0" customHeight="1">
      <x:c r="A8" s="27" t="str">
        <x:v>COL-01</x:v>
      </x:c>
      <x:c r="B8" s="27" t="str">
        <x:v>Routable tract graph</x:v>
      </x:c>
      <x:c r="C8" s="27" t="str">
        <x:v>Replace centroid-distance screens with damaged street, bridge and transit networks</x:v>
      </x:c>
      <x:c r="D8" s="80" t="str">
        <x:v>OPEN</x:v>
      </x:c>
      <x:c r="E8" s="80" t="str">
        <x:v>BLOCKS</x:v>
      </x:c>
      <x:c r="F8" s="27" t="str">
        <x:v>independent proving authority + civil rights authority</x:v>
      </x:c>
    </x:row>
    <x:row r="9" ht="108" hidden="0" customHeight="1">
      <x:c r="A9" s="29" t="str">
        <x:v>COL-02</x:v>
      </x:c>
      <x:c r="B9" s="29" t="str">
        <x:v>Behavior and consent</x:v>
      </x:c>
      <x:c r="C9" s="29" t="str">
        <x:v>Measure demand, refusal, spontaneous movement and household grouping by warning regime</x:v>
      </x:c>
      <x:c r="D9" s="80" t="str">
        <x:v>OPEN</x:v>
      </x:c>
      <x:c r="E9" s="80" t="str">
        <x:v>BLOCKS</x:v>
      </x:c>
      <x:c r="F9" s="29" t="str">
        <x:v>independent proving authority + civil rights authority</x:v>
      </x:c>
    </x:row>
    <x:row r="10" ht="97.19999694824219" hidden="0" customHeight="1">
      <x:c r="A10" s="27" t="str">
        <x:v>COL-03</x:v>
      </x:c>
      <x:c r="B10" s="27" t="str">
        <x:v>Accessible pickup</x:v>
      </x:c>
      <x:c r="C10" s="27" t="str">
        <x:v>Demonstrate door-to-node performance with elevator, device, caregiver and service-animal cases</x:v>
      </x:c>
      <x:c r="D10" s="80" t="str">
        <x:v>OPEN</x:v>
      </x:c>
      <x:c r="E10" s="80" t="str">
        <x:v>BLOCKS</x:v>
      </x:c>
      <x:c r="F10" s="27" t="str">
        <x:v>independent proving authority + civil rights authority</x:v>
      </x:c>
    </x:row>
    <x:row r="11" ht="97.19999694824219" hidden="0" customHeight="1">
      <x:c r="A11" s="29" t="str">
        <x:v>CTN-01</x:v>
      </x:c>
      <x:c r="B11" s="29" t="str">
        <x:v>Queue trial</x:v>
      </x:c>
      <x:c r="C11" s="29" t="str">
        <x:v>Operate a representative intake line under peaked, multilingual and disconnected conditions</x:v>
      </x:c>
      <x:c r="D11" s="80" t="str">
        <x:v>OPEN</x:v>
      </x:c>
      <x:c r="E11" s="80" t="str">
        <x:v>BLOCKS</x:v>
      </x:c>
      <x:c r="F11" s="29" t="str">
        <x:v>independent proving authority + civil rights authority</x:v>
      </x:c>
    </x:row>
    <x:row r="12" ht="75.5999984741211" hidden="0" customHeight="1">
      <x:c r="A12" s="27" t="str">
        <x:v>CTN-02</x:v>
      </x:c>
      <x:c r="B12" s="27" t="str">
        <x:v>Campus utilities</x:v>
      </x:c>
      <x:c r="C12" s="27" t="str">
        <x:v>Close power, HVAC, water, wastewater, solid waste, redundancy and setup mass</x:v>
      </x:c>
      <x:c r="D12" s="80" t="str">
        <x:v>OPEN</x:v>
      </x:c>
      <x:c r="E12" s="80" t="str">
        <x:v>BLOCKS</x:v>
      </x:c>
      <x:c r="F12" s="27" t="str">
        <x:v>independent proving authority + civil rights authority</x:v>
      </x:c>
    </x:row>
    <x:row r="13" ht="86.4000015258789" hidden="0" customHeight="1">
      <x:c r="A13" s="29" t="str">
        <x:v>CTN-03</x:v>
      </x:c>
      <x:c r="B13" s="29" t="str">
        <x:v>Workforce</x:v>
      </x:c>
      <x:c r="C13" s="29" t="str">
        <x:v>Validate staffing, fatigue, credentialing and relief across a seven-day mission</x:v>
      </x:c>
      <x:c r="D13" s="80" t="str">
        <x:v>OPEN</x:v>
      </x:c>
      <x:c r="E13" s="80" t="str">
        <x:v>BLOCKS</x:v>
      </x:c>
      <x:c r="F13" s="29" t="str">
        <x:v>independent proving authority + civil rights authority</x:v>
      </x:c>
    </x:row>
    <x:row r="14" ht="108" hidden="0" customHeight="1">
      <x:c r="A14" s="27" t="str">
        <x:v>CTN-04</x:v>
      </x:c>
      <x:c r="B14" s="27" t="str">
        <x:v>Information and rights</x:v>
      </x:c>
      <x:c r="C14" s="27" t="str">
        <x:v>Prove consent, identity minimization, family unity, privacy, appeal and audit in degraded mode</x:v>
      </x:c>
      <x:c r="D14" s="80" t="str">
        <x:v>OPEN</x:v>
      </x:c>
      <x:c r="E14" s="80" t="str">
        <x:v>BLOCKS</x:v>
      </x:c>
      <x:c r="F14" s="27" t="str">
        <x:v>independent proving authority + civil rights authority</x:v>
      </x:c>
    </x:row>
    <x:row r="15" ht="97.19999694824219" hidden="0" customHeight="1">
      <x:c r="A15" s="29" t="str">
        <x:v>UCM-01</x:v>
      </x:c>
      <x:c r="B15" s="29" t="str">
        <x:v>Human factors</x:v>
      </x:c>
      <x:c r="C15" s="29" t="str">
        <x:v>Test occupied geometry, restraint, transfer, toilet, thermal and infection-control cases</x:v>
      </x:c>
      <x:c r="D15" s="80" t="str">
        <x:v>OPEN</x:v>
      </x:c>
      <x:c r="E15" s="80" t="str">
        <x:v>BLOCKS</x:v>
      </x:c>
      <x:c r="F15" s="29" t="str">
        <x:v>independent proving authority + civil rights authority</x:v>
      </x:c>
    </x:row>
    <x:row r="16" ht="75.5999984741211" hidden="0" customHeight="1">
      <x:c r="A16" s="27" t="str">
        <x:v>UCM-02</x:v>
      </x:c>
      <x:c r="B16" s="27" t="str">
        <x:v>Cross-modal interface</x:v>
      </x:c>
      <x:c r="C16" s="27" t="str">
        <x:v>Prove road, rail, air and water restraint, power, data and handling interfaces</x:v>
      </x:c>
      <x:c r="D16" s="80" t="str">
        <x:v>OPEN</x:v>
      </x:c>
      <x:c r="E16" s="80" t="str">
        <x:v>BLOCKS</x:v>
      </x:c>
      <x:c r="F16" s="27" t="str">
        <x:v>independent proving authority + civil rights authority</x:v>
      </x:c>
    </x:row>
    <x:row r="17" ht="75.5999984741211" hidden="0" customHeight="1">
      <x:c r="A17" s="29" t="str">
        <x:v>UCM-03</x:v>
      </x:c>
      <x:c r="B17" s="29" t="str">
        <x:v>Mass and crashworthiness</x:v>
      </x:c>
      <x:c r="C17" s="29" t="str">
        <x:v>Close structural, crash, fire, egress and five-point mass properties</x:v>
      </x:c>
      <x:c r="D17" s="80" t="str">
        <x:v>OPEN</x:v>
      </x:c>
      <x:c r="E17" s="80" t="str">
        <x:v>BLOCKS</x:v>
      </x:c>
      <x:c r="F17" s="29" t="str">
        <x:v>independent proving authority + civil rights authority</x:v>
      </x:c>
    </x:row>
    <x:row r="18" ht="75.5999984741211" hidden="0" customHeight="1">
      <x:c r="A18" s="27" t="str">
        <x:v>UCM-04</x:v>
      </x:c>
      <x:c r="B18" s="27" t="str">
        <x:v>Cycle economy</x:v>
      </x:c>
      <x:c r="C18" s="27" t="str">
        <x:v>Demonstrate cleaning, recharge, inspection, return and fleet pool requirements</x:v>
      </x:c>
      <x:c r="D18" s="80" t="str">
        <x:v>OPEN</x:v>
      </x:c>
      <x:c r="E18" s="80" t="str">
        <x:v>BLOCKS</x:v>
      </x:c>
      <x:c r="F18" s="27" t="str">
        <x:v>independent proving authority + civil rights authority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42" hidden="0" customWidth="1"/>
    <x:col min="4" max="4" width="50" hidden="0" customWidth="1"/>
    <x:col min="5" max="5" width="50" hidden="0" customWidth="1"/>
    <x:col min="6" max="6" width="80" hidden="0" customWidth="1"/>
  </x:cols>
  <x:sheetData>
    <x:row r="1" ht="29" customHeight="1">
      <x:c r="A1" s="2" t="str">
        <x:v>Sources and interpretation boundaries</x:v>
      </x:c>
      <x:c r="B1" s="2"/>
      <x:c r="C1" s="2"/>
      <x:c r="D1" s="2"/>
      <x:c r="E1" s="2"/>
      <x:c r="F1" s="2"/>
    </x:row>
    <x:row r="2" ht="32" customHeight="1">
      <x:c r="A2" s="6" t="str">
        <x:v>Official sources establish population, tract coordinates, rights and minimum public-health planning concepts. Engineering and probability inputs remain declared assumptions.</x:v>
      </x:c>
      <x:c r="B2" s="6"/>
      <x:c r="C2" s="6"/>
      <x:c r="D2" s="6"/>
      <x:c r="E2" s="6"/>
      <x:c r="F2" s="6"/>
    </x:row>
    <x:row r="4" ht="32" customHeight="1">
      <x:c r="A4" s="18" t="str">
        <x:v>Key</x:v>
      </x:c>
      <x:c r="B4" s="19" t="str">
        <x:v>Owner</x:v>
      </x:c>
      <x:c r="C4" s="19" t="str">
        <x:v>Source</x:v>
      </x:c>
      <x:c r="D4" s="19" t="str">
        <x:v>Model use</x:v>
      </x:c>
      <x:c r="E4" s="19" t="str">
        <x:v>Boundary</x:v>
      </x:c>
      <x:c r="F4" s="20" t="str">
        <x:v>URL</x:v>
      </x:c>
    </x:row>
    <x:row r="5" ht="108" hidden="0" customHeight="1">
      <x:c r="A5" s="28" t="str">
        <x:v>ACS24-B18101</x:v>
      </x:c>
      <x:c r="B5" s="28" t="str">
        <x:v>U.S. Census Bureau</x:v>
      </x:c>
      <x:c r="C5" s="28" t="str">
        <x:v>2024 ACS 5-year B18101</x:v>
      </x:c>
      <x:c r="D5" s="28" t="str">
        <x:v>tract population and disability prevalence</x:v>
      </x:c>
      <x:c r="E5" s="28" t="str">
        <x:v>survey estimate; not individual need or movement demand</x:v>
      </x:c>
      <x:c r="F5" s="28" t="str">
        <x:v>https://www2.census.gov/programs-surveys/acs/summary_file/2024/table-based-SF/data/5YRData/acsdt5y2024-b18101.dat</x:v>
      </x:c>
    </x:row>
    <x:row r="6" ht="108" hidden="0" customHeight="1">
      <x:c r="A6" s="27" t="str">
        <x:v>ACS24-B08201</x:v>
      </x:c>
      <x:c r="B6" s="27" t="str">
        <x:v>U.S. Census Bureau</x:v>
      </x:c>
      <x:c r="C6" s="27" t="str">
        <x:v>2024 ACS 5-year B08201</x:v>
      </x:c>
      <x:c r="D6" s="27" t="str">
        <x:v>tract zero-vehicle person estimate</x:v>
      </x:c>
      <x:c r="E6" s="27" t="str">
        <x:v>4+ households use 4.5-person coefficient; no behavior inferred</x:v>
      </x:c>
      <x:c r="F6" s="27" t="str">
        <x:v>https://www2.census.gov/programs-surveys/acs/summary_file/2024/table-based-SF/data/5YRData/acsdt5y2024-b08201.dat</x:v>
      </x:c>
    </x:row>
    <x:row r="7" ht="97.19999694824219" hidden="0" customHeight="1">
      <x:c r="A7" s="29" t="str">
        <x:v>GAZ24-TRACT</x:v>
      </x:c>
      <x:c r="B7" s="29" t="str">
        <x:v>U.S. Census Bureau</x:v>
      </x:c>
      <x:c r="C7" s="29" t="str">
        <x:v>2024 national tract Gazetteer</x:v>
      </x:c>
      <x:c r="D7" s="29" t="str">
        <x:v>tract internal-point coordinates and land area</x:v>
      </x:c>
      <x:c r="E7" s="29" t="str">
        <x:v>internal points; not addresses, centroids or road access</x:v>
      </x:c>
      <x:c r="F7" s="29" t="str">
        <x:v>https://www2.census.gov/geo/docs/maps-data/data/gazetteer/2024_Gazetteer/2024_Gaz_tracts_national.zip</x:v>
      </x:c>
    </x:row>
    <x:row r="8" ht="75.5999984741211" hidden="0" customHeight="1">
      <x:c r="A8" s="27" t="str">
        <x:v>FEMA-P760</x:v>
      </x:c>
      <x:c r="B8" s="27" t="str">
        <x:v>FEMA</x:v>
      </x:c>
      <x:c r="C8" s="27" t="str">
        <x:v>Evacuee Support Planning Guide</x:v>
      </x:c>
      <x:c r="D8" s="27" t="str">
        <x:v>reception processing, transfer, host support and household continuity</x:v>
      </x:c>
      <x:c r="E8" s="27" t="str">
        <x:v>planning doctrine; no CTN throughput coefficient</x:v>
      </x:c>
      <x:c r="F8" s="27" t="str">
        <x:v>https://www.fema.gov/pdf/emergency/disasterhousing/evacuee_support_guide.pdf</x:v>
      </x:c>
    </x:row>
    <x:row r="9" ht="54" hidden="0" customHeight="1">
      <x:c r="A9" s="29" t="str">
        <x:v>FEMA-FNSS</x:v>
      </x:c>
      <x:c r="B9" s="29" t="str">
        <x:v>FEMA</x:v>
      </x:c>
      <x:c r="C9" s="29" t="str">
        <x:v>Functional Needs Support Services guidance</x:v>
      </x:c>
      <x:c r="D9" s="29" t="str">
        <x:v>accessible shelter space and continuity requirements</x:v>
      </x:c>
      <x:c r="E9" s="29" t="str">
        <x:v>guidance; CTN area remains configuration hypothesis</x:v>
      </x:c>
      <x:c r="F9" s="29" t="str">
        <x:v>https://www.fema.gov/pdf/about/odic/fnss_guidance.pdf</x:v>
      </x:c>
    </x:row>
    <x:row r="10" ht="64.80000305175781" hidden="0" customHeight="1">
      <x:c r="A10" s="27" t="str">
        <x:v>CDC-EHE</x:v>
      </x:c>
      <x:c r="B10" s="27" t="str">
        <x:v>CDC</x:v>
      </x:c>
      <x:c r="C10" s="27" t="str">
        <x:v>Environmental Health Emergency Response Guide</x:v>
      </x:c>
      <x:c r="D10" s="27" t="str">
        <x:v>one toilet per 20 and shelter space floor</x:v>
      </x:c>
      <x:c r="E10" s="27" t="str">
        <x:v>minimum public-health guidance; not full campus design</x:v>
      </x:c>
      <x:c r="F10" s="27" t="str">
        <x:v>https://stacks.cdc.gov/view/cdc/39018/cdc_39018_DS1.pdf</x:v>
      </x:c>
    </x:row>
    <x:row r="11" ht="54" hidden="0" customHeight="1">
      <x:c r="A11" s="29" t="str">
        <x:v>GAO-07-44</x:v>
      </x:c>
      <x:c r="B11" s="29" t="str">
        <x:v>U.S. GAO</x:v>
      </x:c>
      <x:c r="C11" s="29" t="str">
        <x:v>Transportation-disadvantaged populations</x:v>
      </x:c>
      <x:c r="D11" s="29" t="str">
        <x:v>need to plan for people without self-evacuation means</x:v>
      </x:c>
      <x:c r="E11" s="29" t="str">
        <x:v>historical finding; no fleet quantity implied</x:v>
      </x:c>
      <x:c r="F11" s="29" t="str">
        <x:v>https://www.gao.gov/products/gao-07-44</x:v>
      </x:c>
    </x:row>
    <x:row r="12" ht="54" hidden="0" customHeight="1">
      <x:c r="A12" s="27" t="str">
        <x:v>DOJ-ADA-EM</x:v>
      </x:c>
      <x:c r="B12" s="27" t="str">
        <x:v>U.S. Department of Justice</x:v>
      </x:c>
      <x:c r="C12" s="27" t="str">
        <x:v>Emergency Planning under the ADA</x:v>
      </x:c>
      <x:c r="D12" s="27" t="str">
        <x:v>accessibility and nondiscrimination boundary</x:v>
      </x:c>
      <x:c r="E12" s="27" t="str">
        <x:v>legal guidance; no design coefficient</x:v>
      </x:c>
      <x:c r="F12" s="27" t="str">
        <x:v>https://www.ada.gov/topics/emergency-planning/</x:v>
      </x:c>
    </x:row>
    <x:row r="13" ht="86.4000015258789" hidden="0" customHeight="1">
      <x:c r="A13" s="29" t="str">
        <x:v>DOT-EM-CHECK</x:v>
      </x:c>
      <x:c r="B13" s="29" t="str">
        <x:v>U.S. Department of Transportation</x:v>
      </x:c>
      <x:c r="C13" s="29" t="str">
        <x:v>Emergency checklist</x:v>
      </x:c>
      <x:c r="D13" s="29" t="str">
        <x:v>door-to-door and transportation-dependent planning</x:v>
      </x:c>
      <x:c r="E13" s="29" t="str">
        <x:v>planning checklist; no performance validation</x:v>
      </x:c>
      <x:c r="F13" s="29" t="str">
        <x:v>https://www.transportation.gov/civil-rights/emergency-preparedness/emergency-checklist</x:v>
      </x:c>
    </x:row>
    <x:row r="14" ht="97.19999694824219" hidden="0" customHeight="1">
      <x:c r="A14" s="27" t="str">
        <x:v>HHS-PM</x:v>
      </x:c>
      <x:c r="B14" s="27" t="str">
        <x:v>HHS ASPR</x:v>
      </x:c>
      <x:c r="C14" s="27" t="str">
        <x:v>Patient Movement Resources</x:v>
      </x:c>
      <x:c r="D14" s="27" t="str">
        <x:v>patient regulation and receiving-chain boundary</x:v>
      </x:c>
      <x:c r="E14" s="27" t="str">
        <x:v>existing doctrine; no Department-scale throughput claim</x:v>
      </x:c>
      <x:c r="F14" s="27" t="str">
        <x:v>https://asprwgpublic.hhs.gov/ASPR/hhscapabilities/resourcedocs/Patient%20Movement%20Resources.pdf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9" hidden="0" customWidth="1"/>
    <x:col min="4" max="4" width="19" hidden="0" customWidth="1"/>
    <x:col min="5" max="5" width="14" hidden="0" customWidth="1"/>
    <x:col min="6" max="6" width="52" hidden="0" customWidth="1"/>
  </x:cols>
  <x:sheetData>
    <x:row r="1" ht="29" customHeight="1">
      <x:c r="A1" s="2" t="str">
        <x:v>Model integrity and governance checks</x:v>
      </x:c>
      <x:c r="B1" s="2"/>
      <x:c r="C1" s="2"/>
      <x:c r="D1" s="2"/>
      <x:c r="E1" s="2"/>
      <x:c r="F1" s="2"/>
    </x:row>
    <x:row r="2" ht="32" customHeight="1">
      <x:c r="A2" s="6" t="str">
        <x:v>PASS means formulas and declared configuration relationships reconcile. It does not close any external evidence gate.</x:v>
      </x:c>
      <x:c r="B2" s="6"/>
      <x:c r="C2" s="6"/>
      <x:c r="D2" s="6"/>
      <x:c r="E2" s="6"/>
      <x:c r="F2" s="6"/>
    </x:row>
    <x:row r="4" ht="32" customHeight="1">
      <x:c r="A4" s="18" t="str">
        <x:v>ID</x:v>
      </x:c>
      <x:c r="B4" s="19" t="str">
        <x:v>Check</x:v>
      </x:c>
      <x:c r="C4" s="19" t="str">
        <x:v>Observed</x:v>
      </x:c>
      <x:c r="D4" s="19" t="str">
        <x:v>Expected</x:v>
      </x:c>
      <x:c r="E4" s="19" t="str">
        <x:v>Result</x:v>
      </x:c>
      <x:c r="F4" s="20" t="str">
        <x:v>Meaning</x:v>
      </x:c>
    </x:row>
    <x:row r="5" ht="32.400001525878906" hidden="0" customHeight="1">
      <x:c r="A5" s="28" t="str">
        <x:v>K01</x:v>
      </x:c>
      <x:c r="B5" s="28" t="str">
        <x:v>World rows</x:v>
      </x:c>
      <x:c r="C5" s="76" t="n">
        <x:f>COUNTA(Worlds!A5:A3004)</x:f>
        <x:v>3000</x:v>
      </x:c>
      <x:c r="D5" s="76" t="n">
        <x:v>3000</x:v>
      </x:c>
      <x:c r="E5" s="28" t="str">
        <x:f>IF(ABS(C5-D5)&lt;0.0001,"PASS","FAIL")</x:f>
        <x:v>PASS</x:v>
      </x:c>
      <x:c r="F5" s="28" t="str">
        <x:v>1,000 paired worlds × 3 architectures</x:v>
      </x:c>
    </x:row>
    <x:row r="6" ht="32.400001525878906" hidden="0" customHeight="1">
      <x:c r="A6" s="27" t="str">
        <x:v>K02</x:v>
      </x:c>
      <x:c r="B6" s="27" t="str">
        <x:v>A1 worlds</x:v>
      </x:c>
      <x:c r="C6" s="77" t="n">
        <x:f>COUNTIF(Worlds!B:B,"A1")</x:f>
        <x:v>1000</x:v>
      </x:c>
      <x:c r="D6" s="77" t="n">
        <x:v>1000</x:v>
      </x:c>
      <x:c r="E6" s="27" t="str">
        <x:f>IF(ABS(C6-D6)&lt;0.0001,"PASS","FAIL")</x:f>
        <x:v>PASS</x:v>
      </x:c>
      <x:c r="F6" s="27" t="str">
        <x:v>complete architecture sample</x:v>
      </x:c>
    </x:row>
    <x:row r="7" ht="32.400001525878906" hidden="0" customHeight="1">
      <x:c r="A7" s="29" t="str">
        <x:v>K03</x:v>
      </x:c>
      <x:c r="B7" s="29" t="str">
        <x:v>A2 worlds</x:v>
      </x:c>
      <x:c r="C7" s="78" t="n">
        <x:f>COUNTIF(Worlds!B:B,"A2")</x:f>
        <x:v>1000</x:v>
      </x:c>
      <x:c r="D7" s="78" t="n">
        <x:v>1000</x:v>
      </x:c>
      <x:c r="E7" s="29" t="str">
        <x:f>IF(ABS(C7-D7)&lt;0.0001,"PASS","FAIL")</x:f>
        <x:v>PASS</x:v>
      </x:c>
      <x:c r="F7" s="29" t="str">
        <x:v>complete architecture sample</x:v>
      </x:c>
    </x:row>
    <x:row r="8" ht="32.400001525878906" hidden="0" customHeight="1">
      <x:c r="A8" s="27" t="str">
        <x:v>K04</x:v>
      </x:c>
      <x:c r="B8" s="27" t="str">
        <x:v>A3 worlds</x:v>
      </x:c>
      <x:c r="C8" s="77" t="n">
        <x:f>COUNTIF(Worlds!B:B,"A3")</x:f>
        <x:v>1000</x:v>
      </x:c>
      <x:c r="D8" s="77" t="n">
        <x:v>1000</x:v>
      </x:c>
      <x:c r="E8" s="27" t="str">
        <x:f>IF(ABS(C8-D8)&lt;0.0001,"PASS","FAIL")</x:f>
        <x:v>PASS</x:v>
      </x:c>
      <x:c r="F8" s="27" t="str">
        <x:v>complete architecture sample</x:v>
      </x:c>
    </x:row>
    <x:row r="9" ht="43.20000076293945" hidden="0" customHeight="1">
      <x:c r="A9" s="29" t="str">
        <x:v>K05</x:v>
      </x:c>
      <x:c r="B9" s="29" t="str">
        <x:v>Pilot tract rows</x:v>
      </x:c>
      <x:c r="C9" s="78" t="n">
        <x:f>COUNTA('Tract Screen'!B5:B2434)</x:f>
        <x:v>2430</x:v>
      </x:c>
      <x:c r="D9" s="78" t="n">
        <x:v>2430</x:v>
      </x:c>
      <x:c r="E9" s="29" t="str">
        <x:f>IF(ABS(C9-D9)&lt;0.0001,"PASS","FAIL")</x:f>
        <x:v>PASS</x:v>
      </x:c>
      <x:c r="F9" s="29" t="str">
        <x:v>all four selected jurisdictions represented</x:v>
      </x:c>
    </x:row>
    <x:row r="10" ht="54" hidden="0" customHeight="1">
      <x:c r="A10" s="27" t="str">
        <x:v>K06</x:v>
      </x:c>
      <x:c r="B10" s="27" t="str">
        <x:v>Candidate node count</x:v>
      </x:c>
      <x:c r="C10" s="77" t="n">
        <x:f>COUNTA('Candidate Nodes'!B5:B20)</x:f>
        <x:v>16</x:v>
      </x:c>
      <x:c r="D10" s="77" t="n">
        <x:v>16</x:v>
      </x:c>
      <x:c r="E10" s="27" t="str">
        <x:f>IF(ABS(C10-D10)&lt;0.0001,"PASS","FAIL")</x:f>
        <x:v>PASS</x:v>
      </x:c>
      <x:c r="F10" s="27" t="str">
        <x:v>10% campaign / 70,000 people per node</x:v>
      </x:c>
    </x:row>
    <x:row r="11" ht="21.600000381469727" hidden="0" customHeight="1">
      <x:c r="A11" s="29" t="str">
        <x:v>K07</x:v>
      </x:c>
      <x:c r="B11" s="29" t="str">
        <x:v>CTN peak flow</x:v>
      </x:c>
      <x:c r="C11" s="78" t="n">
        <x:f>'CTN Systems'!B6</x:f>
        <x:v>1000</x:v>
      </x:c>
      <x:c r="D11" s="78" t="n">
        <x:v>1000</x:v>
      </x:c>
      <x:c r="E11" s="29" t="str">
        <x:f>IF(ABS(C11-D11)&lt;0.0001,"PASS","FAIL")</x:f>
        <x:v>PASS</x:v>
      </x:c>
      <x:c r="F11" s="29" t="str">
        <x:v>10,000/18 × 1.8</x:v>
      </x:c>
    </x:row>
    <x:row r="12" ht="15" hidden="0" customHeight="1">
      <x:c r="A12" s="27" t="str">
        <x:v>K08</x:v>
      </x:c>
      <x:c r="B12" s="27" t="str">
        <x:v>CTN toilets</x:v>
      </x:c>
      <x:c r="C12" s="77" t="n">
        <x:f>'CTN Systems'!B11</x:f>
        <x:v>188</x:v>
      </x:c>
      <x:c r="D12" s="77" t="n">
        <x:v>188</x:v>
      </x:c>
      <x:c r="E12" s="27" t="str">
        <x:f>IF(ABS(C12-D12)&lt;0.0001,"PASS","FAIL")</x:f>
        <x:v>PASS</x:v>
      </x:c>
      <x:c r="F12" s="27" t="str">
        <x:v>ceil(3,750/20)</x:v>
      </x:c>
    </x:row>
    <x:row r="13" ht="15" hidden="0" customHeight="1">
      <x:c r="A13" s="29" t="str">
        <x:v>K09</x:v>
      </x:c>
      <x:c r="B13" s="29" t="str">
        <x:v>CTN battery</x:v>
      </x:c>
      <x:c r="C13" s="78" t="n">
        <x:f>'CTN Systems'!B16</x:f>
        <x:v>22.4</x:v>
      </x:c>
      <x:c r="D13" s="78" t="n">
        <x:v>22.4</x:v>
      </x:c>
      <x:c r="E13" s="29" t="str">
        <x:f>IF(ABS(C13-D13)&lt;0.0001,"PASS","FAIL")</x:f>
        <x:v>PASS</x:v>
      </x:c>
      <x:c r="F13" s="29" t="str">
        <x:v>2.8 MW × 8h</x:v>
      </x:c>
    </x:row>
    <x:row r="14" ht="32.400001525878906" hidden="0" customHeight="1">
      <x:c r="A14" s="27" t="str">
        <x:v>K10</x:v>
      </x:c>
      <x:c r="B14" s="27" t="str">
        <x:v>CTN mass ledger</x:v>
      </x:c>
      <x:c r="C14" s="77" t="n">
        <x:f>SUM('CTN Systems'!B23:B32)</x:f>
        <x:v>4513.3015</x:v>
      </x:c>
      <x:c r="D14" s="77" t="n">
        <x:v>4513.3015</x:v>
      </x:c>
      <x:c r="E14" s="27" t="str">
        <x:f>IF(ABS(C14-D14)&lt;0.0001,"PASS","FAIL")</x:f>
        <x:v>PASS</x:v>
      </x:c>
      <x:c r="F14" s="27" t="str">
        <x:v>subsystems plus 15% reserve</x:v>
      </x:c>
    </x:row>
    <x:row r="15" ht="43.20000076293945" hidden="0" customHeight="1">
      <x:c r="A15" s="29" t="str">
        <x:v>K11</x:v>
      </x:c>
      <x:c r="B15" s="29" t="str">
        <x:v>UCM gross mass</x:v>
      </x:c>
      <x:c r="C15" s="78" t="n">
        <x:f>'UCM-8'!B14</x:f>
        <x:v>5300</x:v>
      </x:c>
      <x:c r="D15" s="78" t="n">
        <x:v>5300</x:v>
      </x:c>
      <x:c r="E15" s="29" t="str">
        <x:f>IF(ABS(C15-D15)&lt;0.0001,"PASS","FAIL")</x:f>
        <x:v>PASS</x:v>
      </x:c>
      <x:c r="F15" s="29" t="str">
        <x:v>tare + people/devices + consumables</x:v>
      </x:c>
    </x:row>
    <x:row r="16" ht="21.600000381469727" hidden="0" customHeight="1">
      <x:c r="A16" s="27" t="str">
        <x:v>K12</x:v>
      </x:c>
      <x:c r="B16" s="27" t="str">
        <x:v>UCM endurance</x:v>
      </x:c>
      <x:c r="C16" s="77" t="n">
        <x:f>'UCM-8'!B18</x:f>
        <x:v>12</x:v>
      </x:c>
      <x:c r="D16" s="77" t="n">
        <x:v>12</x:v>
      </x:c>
      <x:c r="E16" s="27" t="str">
        <x:f>IF(ABS(C16-D16)&lt;0.0001,"PASS","FAIL")</x:f>
        <x:v>PASS</x:v>
      </x:c>
      <x:c r="F16" s="27" t="str">
        <x:v>60 kWh / 5 kW</x:v>
      </x:c>
    </x:row>
    <x:row r="17" ht="32.400001525878906" hidden="0" customHeight="1">
      <x:c r="A17" s="29" t="str">
        <x:v>K13</x:v>
      </x:c>
      <x:c r="B17" s="29" t="str">
        <x:v>Evidence gates open</x:v>
      </x:c>
      <x:c r="C17" s="78" t="n">
        <x:f>COUNTIF('Evidence Gates'!D:D,"OPEN")</x:f>
        <x:v>14</x:v>
      </x:c>
      <x:c r="D17" s="78" t="n">
        <x:v>14</x:v>
      </x:c>
      <x:c r="E17" s="29" t="str">
        <x:f>IF(ABS(C17-D17)&lt;0.0001,"PASS","FAIL")</x:f>
        <x:v>PASS</x:v>
      </x:c>
      <x:c r="F17" s="29" t="str">
        <x:v>rendering remains blocked</x:v>
      </x:c>
    </x:row>
    <x:row r="18" ht="43.20000076293945" hidden="0" customHeight="1">
      <x:c r="A18" s="27" t="str">
        <x:v>K14</x:v>
      </x:c>
      <x:c r="B18" s="27" t="str">
        <x:v>A2 deep success below Pass 33</x:v>
      </x:c>
      <x:c r="C18" s="77" t="n">
        <x:f>--('Architecture Stress'!C6&lt;'Architecture Stress'!L6)</x:f>
        <x:v>1</x:v>
      </x:c>
      <x:c r="D18" s="77" t="n">
        <x:v>1</x:v>
      </x:c>
      <x:c r="E18" s="27" t="str">
        <x:f>IF(ABS(C18-D18)&lt;0.0001,"PASS","FAIL")</x:f>
        <x:v>PASS</x:v>
      </x:c>
      <x:c r="F18" s="27" t="str">
        <x:v>fixed-point admission is falsified</x:v>
      </x:c>
    </x:row>
    <x:row r="19" ht="21.600000381469727" hidden="0" customHeight="1">
      <x:c r="A19" s="29" t="str">
        <x:v>K15</x:v>
      </x:c>
      <x:c r="B19" s="29" t="str">
        <x:v>Rendering authorization</x:v>
      </x:c>
      <x:c r="C19" s="78" t="n">
        <x:f>Controls!C21</x:f>
        <x:v>0</x:v>
      </x:c>
      <x:c r="D19" s="78" t="n">
        <x:v>0</x:v>
      </x:c>
      <x:c r="E19" s="29" t="str">
        <x:f>IF(ABS(C19-D19)&lt;0.0001,"PASS","FAIL")</x:f>
        <x:v>PASS</x:v>
      </x:c>
      <x:c r="F19" s="29" t="str">
        <x:v>no imagery before R3</x:v>
      </x:c>
    </x:row>
  </x:sheetData>
  <x:mergeCells>
    <x:mergeCell ref="A1:F1"/>
    <x:mergeCell ref="A2:F2"/>
  </x:mergeCells>
  <x:conditionalFormatting sqref="E5:E19">
    <x:cfRule type="expression" dxfId="0" priority="1">
      <x:formula>E5="PASS"</x:formula>
    </x:cfRule>
    <x:cfRule type="expression" dxfId="1" priority="2">
      <x:formula>E5="FAIL"</x:formula>
    </x:cfRule>
  </x:conditionalFormatting>
  <x:pageMargins left="0.7" right="0.7" top="0.75" bottom="0.75" header="0.3" footer="0.3"/>
</x:worksheet>
</file>