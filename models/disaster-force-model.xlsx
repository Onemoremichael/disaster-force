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e46ece731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1cc02f19cf4e72"/>
    <x:sheet xmlns:r="http://schemas.openxmlformats.org/officeDocument/2006/relationships" name="Assumptions" sheetId="2" r:id="Recebe97890274d6a"/>
    <x:sheet xmlns:r="http://schemas.openxmlformats.org/officeDocument/2006/relationships" name="Mission Demand" sheetId="3" r:id="Rdff57b24909a4a85"/>
    <x:sheet xmlns:r="http://schemas.openxmlformats.org/officeDocument/2006/relationships" name="Force Sizing" sheetId="4" r:id="Re264263fd785457b"/>
    <x:sheet xmlns:r="http://schemas.openxmlformats.org/officeDocument/2006/relationships" name="Portfolio" sheetId="5" r:id="R2e147a54163843a5"/>
    <x:sheet xmlns:r="http://schemas.openxmlformats.org/officeDocument/2006/relationships" name="Workforce" sheetId="6" r:id="Rbfe897778b6a41b7"/>
    <x:sheet xmlns:r="http://schemas.openxmlformats.org/officeDocument/2006/relationships" name="25-Year Plan" sheetId="7" r:id="Rfa241edefab3459b"/>
    <x:sheet xmlns:r="http://schemas.openxmlformats.org/officeDocument/2006/relationships" name="Operating Cost" sheetId="8" r:id="R08dfd45a558c47c1"/>
    <x:sheet xmlns:r="http://schemas.openxmlformats.org/officeDocument/2006/relationships" name="Industrial Base" sheetId="9" r:id="R7d663ac6f7f34194"/>
    <x:sheet xmlns:r="http://schemas.openxmlformats.org/officeDocument/2006/relationships" name="Benefits" sheetId="10" r:id="R1028fbe4c90e4445"/>
    <x:sheet xmlns:r="http://schemas.openxmlformats.org/officeDocument/2006/relationships" name="Sensitivity" sheetId="11" r:id="R5424d2adc1f24146"/>
    <x:sheet xmlns:r="http://schemas.openxmlformats.org/officeDocument/2006/relationships" name="Checks" sheetId="12" r:id="Rccdf120801744dcc"/>
    <x:sheet xmlns:r="http://schemas.openxmlformats.org/officeDocument/2006/relationships" name="Sources" sheetId="13" r:id="R92dc07f7c093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0.0&quot;B&quot;;($0.0&quot;B&quot;);-;@"/>
    <x:numFmt numFmtId="201" formatCode="0.00x"/>
    <x:numFmt numFmtId="202" formatCode="0.0%;(0.0%);-;@"/>
    <x:numFmt numFmtId="203" formatCode="#,##0.0;(#,##0.0);-;@"/>
    <x:numFmt numFmtId="204" formatCode="#,##0;(#,##0);-;@"/>
    <x:numFmt numFmtId="205" formatCode="$0.0&quot;M&quot;;($0.0&quot;M&quot;);-;@"/>
    <x:numFmt numFmtId="206" formatCode="$0.0&quot;K&quot;;($0.0&quot;K&quot;);-;@"/>
  </x:numFmts>
  <x:fonts count="16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i/>
      <x:sz val="10"/>
      <x:color rgb="FF1F1F1F"/>
      <x:name val="Arial"/>
    </x:font>
    <x:font>
      <x:sz val="10"/>
      <x:color rgb="FF0000FF"/>
      <x:name val="Arial"/>
    </x:font>
    <x:font>
      <x:b/>
      <x:sz val="9"/>
      <x:color rgb="FF1F1F1F"/>
      <x:name val="Arial"/>
    </x:font>
    <x:font>
      <x:sz val="9"/>
      <x:color rgb="FF0000FF"/>
      <x:name val="Arial"/>
    </x:font>
    <x:font>
      <x:sz val="9"/>
      <x:color rgb="FF008000"/>
      <x:name val="Arial"/>
    </x:font>
    <x:font>
      <x:sz val="9"/>
      <x:color rgb="FF1F1F1F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0000FF"/>
      <x:name val="Arial"/>
    </x:font>
    <x:font>
      <x:sz val="9"/>
      <x:color rgb="FFC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9">
    <x:border/>
    <x:border>
      <x:bottom style="thin">
        <x:color rgb="FF17365D"/>
      </x:bottom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17365D"/>
      </x:top>
      <x:bottom style="double">
        <x:color rgb="FF17365D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1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200" fontId="6" fillId="2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5" fontId="6" fillId="2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4" fillId="0" borderId="8" xfId="0" applyNumberFormat="1" applyFont="1" applyFill="1" applyBorder="1" applyAlignment="1">
      <x:alignment vertical="center"/>
    </x:xf>
    <x:xf numFmtId="206" fontId="6" fillId="2" borderId="0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0" fontId="14" fillId="4" borderId="6" xfId="0" applyNumberFormat="1" applyFont="1" applyFill="1" applyBorder="1" applyAlignment="1">
      <x:alignment horizontal="center" vertical="center" wrapText="1"/>
    </x:xf>
    <x:xf numFmtId="0" fontId="14" fillId="2" borderId="6" xfId="0" applyNumberFormat="1" applyFont="1" applyFill="1" applyBorder="1" applyAlignment="1">
      <x:alignment horizontal="center" vertical="center" wrapText="1"/>
    </x:xf>
    <x:xf numFmtId="202" fontId="14" fillId="2" borderId="6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 wrapText="1"/>
    </x:xf>
    <x:xf numFmtId="202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4" fontId="13" fillId="0" borderId="0" xfId="0" applyNumberFormat="1" applyFont="1" applyFill="1" applyBorder="1" applyAlignment="1">
      <x:alignment vertical="center" wrapText="1"/>
    </x:xf>
    <x:xf numFmtId="205" fontId="6" fillId="2" borderId="0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4" fontId="6" fillId="2" borderId="0" xfId="0" applyNumberFormat="1" applyFont="1" applyFill="1" applyBorder="1" applyAlignment="1">
      <x:alignment vertical="center" wrapText="1"/>
    </x:xf>
    <x:xf numFmtId="205" fontId="4" fillId="0" borderId="8" xfId="0" applyNumberFormat="1" applyFont="1" applyFill="1" applyBorder="1" applyAlignment="1">
      <x:alignment vertical="center" wrapText="1"/>
    </x:xf>
    <x:xf numFmtId="201" fontId="6" fillId="2" borderId="0" xfId="0" applyNumberFormat="1" applyFont="1" applyFill="1" applyBorder="1" applyAlignment="1">
      <x:alignment vertical="center" wrapText="1"/>
    </x:xf>
    <x:xf numFmtId="206" fontId="6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4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2" fontId="13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1499e78944d92" /><Relationship Type="http://schemas.openxmlformats.org/officeDocument/2006/relationships/theme" Target="/xl/theme/theme1.xml" Id="R99611af9e1594d16" /><Relationship Type="http://schemas.openxmlformats.org/officeDocument/2006/relationships/sharedStrings" Target="/xl/sharedStrings.xml" Id="R4f68befb357848aa" /><Relationship Type="http://schemas.openxmlformats.org/officeDocument/2006/relationships/worksheet" Target="/xl/worksheets/sheet1.xml" Id="R951cc02f19cf4e72" /><Relationship Type="http://schemas.openxmlformats.org/officeDocument/2006/relationships/worksheet" Target="/xl/worksheets/sheet2.xml" Id="Recebe97890274d6a" /><Relationship Type="http://schemas.openxmlformats.org/officeDocument/2006/relationships/worksheet" Target="/xl/worksheets/sheet3.xml" Id="Rdff57b24909a4a85" /><Relationship Type="http://schemas.openxmlformats.org/officeDocument/2006/relationships/worksheet" Target="/xl/worksheets/sheet4.xml" Id="Re264263fd785457b" /><Relationship Type="http://schemas.openxmlformats.org/officeDocument/2006/relationships/worksheet" Target="/xl/worksheets/sheet5.xml" Id="R2e147a54163843a5" /><Relationship Type="http://schemas.openxmlformats.org/officeDocument/2006/relationships/worksheet" Target="/xl/worksheets/sheet6.xml" Id="Rbfe897778b6a41b7" /><Relationship Type="http://schemas.openxmlformats.org/officeDocument/2006/relationships/worksheet" Target="/xl/worksheets/sheet7.xml" Id="Rfa241edefab3459b" /><Relationship Type="http://schemas.openxmlformats.org/officeDocument/2006/relationships/worksheet" Target="/xl/worksheets/sheet8.xml" Id="R08dfd45a558c47c1" /><Relationship Type="http://schemas.openxmlformats.org/officeDocument/2006/relationships/worksheet" Target="/xl/worksheets/sheet9.xml" Id="R7d663ac6f7f34194" /><Relationship Type="http://schemas.openxmlformats.org/officeDocument/2006/relationships/worksheet" Target="/xl/worksheets/sheet10.xml" Id="R1028fbe4c90e4445" /><Relationship Type="http://schemas.openxmlformats.org/officeDocument/2006/relationships/worksheet" Target="/xl/worksheets/sheet11.xml" Id="R5424d2adc1f24146" /><Relationship Type="http://schemas.openxmlformats.org/officeDocument/2006/relationships/worksheet" Target="/xl/worksheets/sheet12.xml" Id="Rccdf120801744dcc" /><Relationship Type="http://schemas.openxmlformats.org/officeDocument/2006/relationships/worksheet" Target="/xl/worksheets/sheet13.xml" Id="R92dc07f7c09344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605c9e1acd47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Annual capital and operating requirement ($B)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Capital ($B)</c:v>
          </c:tx>
          <c:marker>
            <c:symbol val="none"/>
          </c:marker>
          <c:cat>
            <c:strRef>
              <c:f>'Summary'!$H$12:$H$36</c:f>
              <c:strCache>
                <c:ptCount val="0"/>
              </c:strCache>
            </c:strRef>
          </c:cat>
          <c:val>
            <c:numRef>
              <c:f>'Summary'!$I$12:$I$36</c:f>
              <c:numCache>
                <c:formatCode>$0.0"B";($0.0"B");-;@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($B)</c:v>
          </c:tx>
          <c:marker>
            <c:symbol val="none"/>
          </c:marker>
          <c:cat>
            <c:strRef>
              <c:f>'Summary'!$H$12:$H$36</c:f>
              <c:strCache>
                <c:ptCount val="0"/>
              </c:strCache>
            </c:strRef>
          </c:cat>
          <c:val>
            <c:numRef>
              <c:f>'Summary'!$J$12:$J$36</c:f>
              <c:numCache>
                <c:formatCode>$0.0"B";($0.0"B");-;@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605c9e1acd47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daa2aa494a43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2" hidden="0" customWidth="1"/>
    <x:col min="4" max="4" width="16" hidden="0" customWidth="1"/>
    <x:col min="5" max="5" width="15" hidden="0" customWidth="1"/>
    <x:col min="6" max="6" width="44" hidden="0" customWidth="1"/>
    <x:col min="8" max="8" width="11" hidden="0" customWidth="1"/>
    <x:col min="9" max="9" width="15" hidden="0" customWidth="1"/>
    <x:col min="10" max="10" width="15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</x:row>
    <x:row r="2" ht="18" hidden="0" customHeight="1">
      <x:c r="C2" s="65" t="str">
        <x:v>Summary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 ht="15" hidden="0" customHeight="1">
      <x:c r="C3" s="66" t="str">
        <x:v>Reference case shown; all blue inputs remain editable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</x:row>
    <x:row r="6" ht="24" hidden="0" customHeight="1">
      <x:c r="C6" s="29" t="str">
        <x:v>Selected case</x:v>
      </x:c>
      <x:c r="D6" s="30" t="str">
        <x:v>Capital envelope</x:v>
      </x:c>
      <x:c r="E6" s="30" t="str">
        <x:v>Concurrency standard</x:v>
      </x:c>
      <x:c r="F6" s="31" t="str">
        <x:v>Model status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</x:row>
    <x:row r="7" ht="15" hidden="0" customHeight="1">
      <x:c r="C7" s="43" t="str">
        <x:f>'Assumptions'!D6</x:f>
        <x:v>Reference</x:v>
      </x:c>
      <x:c r="D7" s="50" t="n">
        <x:f>'Assumptions'!D16</x:f>
        <x:v>1000</x:v>
      </x:c>
      <x:c r="E7" s="43" t="str">
        <x:v>3C + 5M + 2G + 20R</x:v>
      </x:c>
      <x:c r="F7" s="43" t="str">
        <x:f>'Checks'!D22</x:f>
        <x:v>REVIEW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</x:row>
    <x:row r="8" ht="15" hidden="0" customHeight="1"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</x:row>
    <x:row r="9" ht="15" hidden="0" customHeight="1"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</x:row>
    <x:row r="10" ht="15" hidden="0" customHeight="1">
      <x:c r="C10" s="22" t="str">
        <x:v>Scale and resource requirement</x:v>
      </x:c>
      <x:c r="D10" s="23"/>
      <x:c r="E10" s="23"/>
      <x:c r="F10" s="24"/>
      <x:c r="G10" s="8"/>
      <x:c r="H10" s="22" t="str">
        <x:v>Annual Department requirement</x:v>
      </x:c>
      <x:c r="I10" s="23"/>
      <x:c r="J10" s="23"/>
      <x:c r="K10" s="23"/>
      <x:c r="L10" s="23"/>
      <x:c r="M10" s="23"/>
      <x:c r="N10" s="23"/>
      <x:c r="O10" s="23"/>
      <x:c r="P10" s="23"/>
      <x:c r="Q10" s="24"/>
    </x:row>
    <x:row r="11" ht="15" hidden="0" customHeight="1">
      <x:c r="C11" s="29" t="str">
        <x:v>Measure</x:v>
      </x:c>
      <x:c r="D11" s="30" t="str">
        <x:v>Value</x:v>
      </x:c>
      <x:c r="E11" s="30" t="str">
        <x:v>Unit</x:v>
      </x:c>
      <x:c r="F11" s="31" t="str">
        <x:v>Interpretation</x:v>
      </x:c>
      <x:c r="G11" s="8"/>
      <x:c r="H11" s="29" t="str">
        <x:v>Year</x:v>
      </x:c>
      <x:c r="I11" s="30" t="str">
        <x:v>Capital ($B)</x:v>
      </x:c>
      <x:c r="J11" s="31" t="str">
        <x:v>Operating ($B)</x:v>
      </x:c>
      <x:c r="K11" s="8"/>
      <x:c r="L11" s="8"/>
      <x:c r="M11" s="8"/>
      <x:c r="N11" s="8"/>
      <x:c r="O11" s="8"/>
      <x:c r="P11" s="8"/>
      <x:c r="Q11" s="8"/>
    </x:row>
    <x:row r="12" ht="15" hidden="0" customHeight="1">
      <x:c r="C12" s="8" t="str">
        <x:v>Bottom-up concept portfolio</x:v>
      </x:c>
      <x:c r="D12" s="50" t="n">
        <x:f>'Portfolio'!M41/1000</x:f>
        <x:v>2239.9695</x:v>
      </x:c>
      <x:c r="E12" s="8" t="str">
        <x:v>$B</x:v>
      </x:c>
      <x:c r="F12" s="8" t="str">
        <x:v>Illustrative program quantities, unit costs, NRE, bases, and risk</x:v>
      </x:c>
      <x:c r="G12" s="8"/>
      <x:c r="H12" s="8" t="n">
        <x:v>2027</x:v>
      </x:c>
      <x:c r="I12" s="50" t="n">
        <x:f>'25-Year Plan'!D8</x:f>
        <x:v>10.309278350515465</x:v>
      </x:c>
      <x:c r="J12" s="50" t="n">
        <x:f>'25-Year Plan'!D21</x:f>
        <x:v>7.809758634020619</x:v>
      </x:c>
      <x:c r="K12" s="8"/>
      <x:c r="L12" s="8"/>
      <x:c r="M12" s="8"/>
      <x:c r="N12" s="8"/>
      <x:c r="O12" s="8"/>
      <x:c r="P12" s="8"/>
      <x:c r="Q12" s="8"/>
    </x:row>
    <x:row r="13" ht="15" hidden="0" customHeight="1">
      <x:c r="C13" s="8" t="str">
        <x:v>Mature active workforce</x:v>
      </x:c>
      <x:c r="D13" s="51" t="n">
        <x:f>'Workforce'!J14</x:f>
        <x:v>302000</x:v>
      </x:c>
      <x:c r="E13" s="8" t="str">
        <x:v>FTE</x:v>
      </x:c>
      <x:c r="F13" s="8" t="str">
        <x:v>Selected case</x:v>
      </x:c>
      <x:c r="G13" s="8"/>
      <x:c r="H13" s="8" t="n">
        <x:v>2028</x:v>
      </x:c>
      <x:c r="I13" s="50" t="n">
        <x:f>'25-Year Plan'!E8</x:f>
        <x:v>20.61855670103093</x:v>
      </x:c>
      <x:c r="J13" s="50" t="n">
        <x:f>'25-Year Plan'!E21</x:f>
        <x:v>16.031888402061856</x:v>
      </x:c>
      <x:c r="K13" s="8"/>
      <x:c r="L13" s="8"/>
      <x:c r="M13" s="8"/>
      <x:c r="N13" s="8"/>
      <x:c r="O13" s="8"/>
      <x:c r="P13" s="8"/>
      <x:c r="Q13" s="8"/>
    </x:row>
    <x:row r="14" ht="15" hidden="0" customHeight="1">
      <x:c r="C14" s="8" t="str">
        <x:v>Mature reserve workforce</x:v>
      </x:c>
      <x:c r="D14" s="51" t="n">
        <x:f>'Workforce'!K14</x:f>
        <x:v>396500</x:v>
      </x:c>
      <x:c r="E14" s="8" t="str">
        <x:v>FTE</x:v>
      </x:c>
      <x:c r="F14" s="8" t="str">
        <x:v>Reserve ratios vary by service</x:v>
      </x:c>
      <x:c r="G14" s="8"/>
      <x:c r="H14" s="8" t="n">
        <x:v>2029</x:v>
      </x:c>
      <x:c r="I14" s="50" t="n">
        <x:f>'25-Year Plan'!F8</x:f>
        <x:v>30.927835051546392</x:v>
      </x:c>
      <x:c r="J14" s="50" t="n">
        <x:f>'25-Year Plan'!F21</x:f>
        <x:v>29.10482180412371</x:v>
      </x:c>
      <x:c r="K14" s="8"/>
      <x:c r="L14" s="8"/>
      <x:c r="M14" s="8"/>
      <x:c r="N14" s="8"/>
      <x:c r="O14" s="8"/>
      <x:c r="P14" s="8"/>
      <x:c r="Q14" s="8"/>
    </x:row>
    <x:row r="15" ht="15" hidden="0" customHeight="1">
      <x:c r="C15" s="8" t="str">
        <x:v>Mature annual operating cost</x:v>
      </x:c>
      <x:c r="D15" s="50" t="n">
        <x:f>'Operating Cost'!N14</x:f>
        <x:v>187.94775</x:v>
      </x:c>
      <x:c r="E15" s="8" t="str">
        <x:v>$B/year</x:v>
      </x:c>
      <x:c r="F15" s="8" t="str">
        <x:v>Personnel, asset O&amp;M, training, deployments, and institutions</x:v>
      </x:c>
      <x:c r="G15" s="8"/>
      <x:c r="H15" s="8" t="n">
        <x:v>2030</x:v>
      </x:c>
      <x:c r="I15" s="50" t="n">
        <x:f>'25-Year Plan'!G8</x:f>
        <x:v>41.23711340206186</x:v>
      </x:c>
      <x:c r="J15" s="50" t="n">
        <x:f>'25-Year Plan'!G21</x:f>
        <x:v>44.06960384020619</x:v>
      </x:c>
      <x:c r="K15" s="8"/>
      <x:c r="L15" s="8"/>
      <x:c r="M15" s="8"/>
      <x:c r="N15" s="8"/>
      <x:c r="O15" s="8"/>
      <x:c r="P15" s="8"/>
      <x:c r="Q15" s="8"/>
    </x:row>
    <x:row r="16" ht="15" hidden="0" customHeight="1">
      <x:c r="C16" s="8" t="str">
        <x:v>25-year total resource cost</x:v>
      </x:c>
      <x:c r="D16" s="50" t="n">
        <x:f>'25-Year Plan'!AB24</x:f>
        <x:v>4444.329911443299</x:v>
      </x:c>
      <x:c r="E16" s="8" t="str">
        <x:v>$B</x:v>
      </x:c>
      <x:c r="F16" s="8" t="str">
        <x:v>Capital plus recurring operating requirement during build</x:v>
      </x:c>
      <x:c r="G16" s="8"/>
      <x:c r="H16" s="8" t="n">
        <x:v>2031</x:v>
      </x:c>
      <x:c r="I16" s="50" t="n">
        <x:f>'25-Year Plan'!H8</x:f>
        <x:v>51.546391752577314</x:v>
      </x:c>
      <x:c r="J16" s="50" t="n">
        <x:f>'25-Year Plan'!H21</x:f>
        <x:v>62.40571201030929</x:v>
      </x:c>
      <x:c r="K16" s="8"/>
      <x:c r="L16" s="8"/>
      <x:c r="M16" s="8"/>
      <x:c r="N16" s="8"/>
      <x:c r="O16" s="8"/>
      <x:c r="P16" s="8"/>
      <x:c r="Q16" s="8"/>
    </x:row>
    <x:row r="17" ht="15" hidden="0" customHeight="1">
      <x:c r="C17" s="8" t="str">
        <x:v>Monetized annual avoided loss</x:v>
      </x:c>
      <x:c r="D17" s="50" t="n">
        <x:f>'Benefits'!J15</x:f>
        <x:v>30.75</x:v>
      </x:c>
      <x:c r="E17" s="8" t="str">
        <x:v>$B/year</x:v>
      </x:c>
      <x:c r="F17" s="8" t="str">
        <x:v>Scenario model; excludes strategic and unpriced value</x:v>
      </x:c>
      <x:c r="G17" s="8"/>
      <x:c r="H17" s="8" t="n">
        <x:v>2032</x:v>
      </x:c>
      <x:c r="I17" s="50" t="n">
        <x:f>'25-Year Plan'!I8</x:f>
        <x:v>61.855670103092784</x:v>
      </x:c>
      <x:c r="J17" s="50" t="n">
        <x:f>'25-Year Plan'!I21</x:f>
        <x:v>82.633668814433</x:v>
      </x:c>
      <x:c r="K17" s="8"/>
      <x:c r="L17" s="8"/>
      <x:c r="M17" s="8"/>
      <x:c r="N17" s="8"/>
      <x:c r="O17" s="8"/>
      <x:c r="P17" s="8"/>
      <x:c r="Q17" s="8"/>
    </x:row>
    <x:row r="18" ht="15" hidden="0" customHeight="1">
      <x:c r="C18" s="8" t="str">
        <x:v>Annual avoided loss / mature operating</x:v>
      </x:c>
      <x:c r="D18" s="64" t="n">
        <x:f>D17/D15</x:f>
        <x:v>0.16360930098923768</x:v>
      </x:c>
      <x:c r="E18" s="8" t="str">
        <x:v>x</x:v>
      </x:c>
      <x:c r="F18" s="8" t="str">
        <x:v>Partial monetized benefit only</x:v>
      </x:c>
      <x:c r="G18" s="8"/>
      <x:c r="H18" s="8" t="n">
        <x:v>2033</x:v>
      </x:c>
      <x:c r="I18" s="50" t="n">
        <x:f>'25-Year Plan'!J8</x:f>
        <x:v>72.16494845360825</x:v>
      </x:c>
      <x:c r="J18" s="50" t="n">
        <x:f>'25-Year Plan'!J21</x:f>
        <x:v>103.27399675257732</x:v>
      </x:c>
      <x:c r="K18" s="8"/>
      <x:c r="L18" s="8"/>
      <x:c r="M18" s="8"/>
      <x:c r="N18" s="8"/>
      <x:c r="O18" s="8"/>
      <x:c r="P18" s="8"/>
      <x:c r="Q18" s="8"/>
    </x:row>
    <x:row r="19" ht="15" hidden="0" customHeight="1">
      <x:c r="C19" s="8" t="str">
        <x:v>Checks requiring review</x:v>
      </x:c>
      <x:c r="D19" s="51" t="n">
        <x:f>COUNTIF('Checks'!G7:G18,"REVIEW")</x:f>
        <x:v>1</x:v>
      </x:c>
      <x:c r="E19" s="8" t="str">
        <x:v>count</x:v>
      </x:c>
      <x:c r="F19" s="8" t="str">
        <x:v>Review is expected where research assumptions remain unresolved</x:v>
      </x:c>
      <x:c r="G19" s="8"/>
      <x:c r="H19" s="8" t="n">
        <x:v>2034</x:v>
      </x:c>
      <x:c r="I19" s="50" t="n">
        <x:f>'25-Year Plan'!K8</x:f>
        <x:v>72.16494845360825</x:v>
      </x:c>
      <x:c r="J19" s="50" t="n">
        <x:f>'25-Year Plan'!K21</x:f>
        <x:v>120.95536969072165</x:v>
      </x:c>
      <x:c r="K19" s="8"/>
      <x:c r="L19" s="8"/>
      <x:c r="M19" s="8"/>
      <x:c r="N19" s="8"/>
      <x:c r="O19" s="8"/>
      <x:c r="P19" s="8"/>
      <x:c r="Q19" s="8"/>
    </x:row>
    <x:row r="20" ht="15" hidden="0" customHeight="1">
      <x:c r="C20" s="8"/>
      <x:c r="D20" s="8"/>
      <x:c r="E20" s="8"/>
      <x:c r="F20" s="8"/>
      <x:c r="G20" s="8"/>
      <x:c r="H20" s="8" t="n">
        <x:v>2035</x:v>
      </x:c>
      <x:c r="I20" s="50" t="n">
        <x:f>'25-Year Plan'!L8</x:f>
        <x:v>72.16494845360825</x:v>
      </x:c>
      <x:c r="J20" s="50" t="n">
        <x:f>'25-Year Plan'!L21</x:f>
        <x:v>135.67778762886596</x:v>
      </x:c>
      <x:c r="K20" s="8"/>
      <x:c r="L20" s="8"/>
      <x:c r="M20" s="8"/>
      <x:c r="N20" s="8"/>
      <x:c r="O20" s="8"/>
      <x:c r="P20" s="8"/>
      <x:c r="Q20" s="8"/>
    </x:row>
    <x:row r="21" ht="15" hidden="0" customHeight="1">
      <x:c r="C21" s="8"/>
      <x:c r="D21" s="8"/>
      <x:c r="E21" s="8"/>
      <x:c r="F21" s="8"/>
      <x:c r="G21" s="8"/>
      <x:c r="H21" s="8" t="n">
        <x:v>2036</x:v>
      </x:c>
      <x:c r="I21" s="50" t="n">
        <x:f>'25-Year Plan'!M8</x:f>
        <x:v>61.855670103092784</x:v>
      </x:c>
      <x:c r="J21" s="50" t="n">
        <x:f>'25-Year Plan'!M21</x:f>
        <x:v>148.5083569329897</x:v>
      </x:c>
      <x:c r="K21" s="8"/>
      <x:c r="L21" s="8"/>
      <x:c r="M21" s="8"/>
      <x:c r="N21" s="8"/>
      <x:c r="O21" s="8"/>
      <x:c r="P21" s="8"/>
      <x:c r="Q21" s="8"/>
    </x:row>
    <x:row r="22" ht="15" hidden="0" customHeight="1">
      <x:c r="C22" s="22" t="str">
        <x:v>Interpretive boundaries</x:v>
      </x:c>
      <x:c r="D22" s="23"/>
      <x:c r="E22" s="23"/>
      <x:c r="F22" s="24"/>
      <x:c r="G22" s="8"/>
      <x:c r="H22" s="8" t="n">
        <x:v>2037</x:v>
      </x:c>
      <x:c r="I22" s="50" t="n">
        <x:f>'25-Year Plan'!N8</x:f>
        <x:v>61.855670103092784</x:v>
      </x:c>
      <x:c r="J22" s="50" t="n">
        <x:f>'25-Year Plan'!N21</x:f>
        <x:v>158.37997123711344</x:v>
      </x:c>
      <x:c r="K22" s="8"/>
      <x:c r="L22" s="8"/>
      <x:c r="M22" s="8"/>
      <x:c r="N22" s="8"/>
      <x:c r="O22" s="8"/>
      <x:c r="P22" s="8"/>
      <x:c r="Q22" s="8"/>
    </x:row>
    <x:row r="23" ht="48" hidden="0" customHeight="1">
      <x:c r="C23" s="48" t="str">
        <x:v>The $1 trillion reference is a capital, R&amp;D, base, industrial, and strategic-stock tranche. Personnel and operations are shown separately to avoid understating the mature institution.</x:v>
      </x:c>
      <x:c r="D23" s="48"/>
      <x:c r="E23" s="48"/>
      <x:c r="F23" s="48"/>
      <x:c r="G23" s="8"/>
      <x:c r="H23" s="8" t="n">
        <x:v>2038</x:v>
      </x:c>
      <x:c r="I23" s="50" t="n">
        <x:f>'25-Year Plan'!O8</x:f>
        <x:v>51.546391752577314</x:v>
      </x:c>
      <x:c r="J23" s="50" t="n">
        <x:f>'25-Year Plan'!O21</x:f>
        <x:v>164.8802594072165</x:v>
      </x:c>
      <x:c r="K23" s="8"/>
      <x:c r="L23" s="8"/>
      <x:c r="M23" s="8"/>
      <x:c r="N23" s="8"/>
      <x:c r="O23" s="8"/>
      <x:c r="P23" s="8"/>
      <x:c r="Q23" s="8"/>
    </x:row>
    <x:row r="24" ht="60" hidden="0" customHeight="1">
      <x:c r="C24" s="48" t="str">
        <x:v>Program costs, quantities, staffing and benefits are design-study assumptions. They create an auditable hypothesis and research agenda; they are not an independent cost estimate or budget request.</x:v>
      </x:c>
      <x:c r="D24" s="48"/>
      <x:c r="E24" s="48"/>
      <x:c r="F24" s="48"/>
      <x:c r="G24" s="8"/>
      <x:c r="H24" s="8" t="n">
        <x:v>2039</x:v>
      </x:c>
      <x:c r="I24" s="50" t="n">
        <x:f>'25-Year Plan'!P8</x:f>
        <x:v>51.546391752577314</x:v>
      </x:c>
      <x:c r="J24" s="50" t="n">
        <x:f>'25-Year Plan'!P21</x:f>
        <x:v>169.90107007731962</x:v>
      </x:c>
      <x:c r="K24" s="8"/>
      <x:c r="L24" s="8"/>
      <x:c r="M24" s="8"/>
      <x:c r="N24" s="8"/>
      <x:c r="O24" s="8"/>
      <x:c r="P24" s="8"/>
      <x:c r="Q24" s="8"/>
    </x:row>
    <x:row r="25" ht="36" hidden="0" customHeight="1">
      <x:c r="C25" s="48" t="str">
        <x:v>No platform is authorized for rendering. Physics, formation, lifecycle, and alternatives gates remain open.</x:v>
      </x:c>
      <x:c r="D25" s="48"/>
      <x:c r="E25" s="48"/>
      <x:c r="F25" s="48"/>
      <x:c r="G25" s="8"/>
      <x:c r="H25" s="8" t="n">
        <x:v>2040</x:v>
      </x:c>
      <x:c r="I25" s="50" t="n">
        <x:f>'25-Year Plan'!Q8</x:f>
        <x:v>51.546391752577314</x:v>
      </x:c>
      <x:c r="J25" s="50" t="n">
        <x:f>'25-Year Plan'!Q21</x:f>
        <x:v>174.9218807474227</x:v>
      </x:c>
      <x:c r="K25" s="8"/>
      <x:c r="L25" s="8"/>
      <x:c r="M25" s="8"/>
      <x:c r="N25" s="8"/>
      <x:c r="O25" s="8"/>
      <x:c r="P25" s="8"/>
      <x:c r="Q25" s="8"/>
    </x:row>
    <x:row r="26" ht="15" hidden="0" customHeight="1">
      <x:c r="C26" s="8"/>
      <x:c r="D26" s="8"/>
      <x:c r="E26" s="8"/>
      <x:c r="F26" s="8"/>
      <x:c r="G26" s="8"/>
      <x:c r="H26" s="8" t="n">
        <x:v>2041</x:v>
      </x:c>
      <x:c r="I26" s="50" t="n">
        <x:f>'25-Year Plan'!R8</x:f>
        <x:v>41.23711340206186</x:v>
      </x:c>
      <x:c r="J26" s="50" t="n">
        <x:f>'25-Year Plan'!R21</x:f>
        <x:v>178.05084278350517</x:v>
      </x:c>
      <x:c r="K26" s="8"/>
      <x:c r="L26" s="8"/>
      <x:c r="M26" s="8"/>
      <x:c r="N26" s="8"/>
      <x:c r="O26" s="8"/>
      <x:c r="P26" s="8"/>
      <x:c r="Q26" s="8"/>
    </x:row>
    <x:row r="27" ht="15" hidden="0" customHeight="1">
      <x:c r="C27" s="8"/>
      <x:c r="D27" s="8"/>
      <x:c r="E27" s="8"/>
      <x:c r="F27" s="8"/>
      <x:c r="G27" s="8"/>
      <x:c r="H27" s="8" t="n">
        <x:v>2042</x:v>
      </x:c>
      <x:c r="I27" s="50" t="n">
        <x:f>'25-Year Plan'!S8</x:f>
        <x:v>41.23711340206186</x:v>
      </x:c>
      <x:c r="J27" s="50" t="n">
        <x:f>'25-Year Plan'!S21</x:f>
        <x:v>179.70032731958764</x:v>
      </x:c>
      <x:c r="K27" s="8"/>
      <x:c r="L27" s="8"/>
      <x:c r="M27" s="8"/>
      <x:c r="N27" s="8"/>
      <x:c r="O27" s="8"/>
      <x:c r="P27" s="8"/>
      <x:c r="Q27" s="8"/>
    </x:row>
    <x:row r="28" ht="15" hidden="0" customHeight="1">
      <x:c r="C28" s="8"/>
      <x:c r="D28" s="8"/>
      <x:c r="E28" s="8"/>
      <x:c r="F28" s="8"/>
      <x:c r="G28" s="8"/>
      <x:c r="H28" s="8" t="n">
        <x:v>2043</x:v>
      </x:c>
      <x:c r="I28" s="50" t="n">
        <x:f>'25-Year Plan'!T8</x:f>
        <x:v>41.23711340206186</x:v>
      </x:c>
      <x:c r="J28" s="50" t="n">
        <x:f>'25-Year Plan'!T21</x:f>
        <x:v>181.3498118556701</x:v>
      </x:c>
      <x:c r="K28" s="8"/>
      <x:c r="L28" s="8"/>
      <x:c r="M28" s="8"/>
      <x:c r="N28" s="8"/>
      <x:c r="O28" s="8"/>
      <x:c r="P28" s="8"/>
      <x:c r="Q28" s="8"/>
    </x:row>
    <x:row r="29" ht="15" hidden="0" customHeight="1">
      <x:c r="C29" s="8"/>
      <x:c r="D29" s="8"/>
      <x:c r="E29" s="8"/>
      <x:c r="F29" s="8"/>
      <x:c r="G29" s="8"/>
      <x:c r="H29" s="8" t="n">
        <x:v>2044</x:v>
      </x:c>
      <x:c r="I29" s="50" t="n">
        <x:f>'25-Year Plan'!U8</x:f>
        <x:v>30.927835051546392</x:v>
      </x:c>
      <x:c r="J29" s="50" t="n">
        <x:f>'25-Year Plan'!U21</x:f>
        <x:v>182.58692525773196</x:v>
      </x:c>
      <x:c r="K29" s="8"/>
      <x:c r="L29" s="8"/>
      <x:c r="M29" s="8"/>
      <x:c r="N29" s="8"/>
      <x:c r="O29" s="8"/>
      <x:c r="P29" s="8"/>
      <x:c r="Q29" s="8"/>
    </x:row>
    <x:row r="30" ht="15" hidden="0" customHeight="1">
      <x:c r="C30" s="8"/>
      <x:c r="D30" s="8"/>
      <x:c r="E30" s="8"/>
      <x:c r="F30" s="8"/>
      <x:c r="G30" s="8"/>
      <x:c r="H30" s="8" t="n">
        <x:v>2045</x:v>
      </x:c>
      <x:c r="I30" s="50" t="n">
        <x:f>'25-Year Plan'!V8</x:f>
        <x:v>30.927835051546392</x:v>
      </x:c>
      <x:c r="J30" s="50" t="n">
        <x:f>'25-Year Plan'!V21</x:f>
        <x:v>183.8240386597938</x:v>
      </x:c>
      <x:c r="K30" s="8"/>
      <x:c r="L30" s="8"/>
      <x:c r="M30" s="8"/>
      <x:c r="N30" s="8"/>
      <x:c r="O30" s="8"/>
      <x:c r="P30" s="8"/>
      <x:c r="Q30" s="8"/>
    </x:row>
    <x:row r="31" ht="15" hidden="0" customHeight="1">
      <x:c r="C31" s="8"/>
      <x:c r="D31" s="8"/>
      <x:c r="E31" s="8"/>
      <x:c r="F31" s="8"/>
      <x:c r="G31" s="8"/>
      <x:c r="H31" s="8" t="n">
        <x:v>2046</x:v>
      </x:c>
      <x:c r="I31" s="50" t="n">
        <x:f>'25-Year Plan'!W8</x:f>
        <x:v>30.927835051546392</x:v>
      </x:c>
      <x:c r="J31" s="50" t="n">
        <x:f>'25-Year Plan'!W21</x:f>
        <x:v>185.06115206185567</x:v>
      </x:c>
      <x:c r="K31" s="8"/>
      <x:c r="L31" s="8"/>
      <x:c r="M31" s="8"/>
      <x:c r="N31" s="8"/>
      <x:c r="O31" s="8"/>
      <x:c r="P31" s="8"/>
      <x:c r="Q31" s="8"/>
    </x:row>
    <x:row r="32" ht="15" hidden="0" customHeight="1">
      <x:c r="C32" s="8"/>
      <x:c r="D32" s="8"/>
      <x:c r="E32" s="8"/>
      <x:c r="F32" s="8"/>
      <x:c r="G32" s="8"/>
      <x:c r="H32" s="8" t="n">
        <x:v>2047</x:v>
      </x:c>
      <x:c r="I32" s="50" t="n">
        <x:f>'25-Year Plan'!X8</x:f>
        <x:v>20.61855670103093</x:v>
      </x:c>
      <x:c r="J32" s="50" t="n">
        <x:f>'25-Year Plan'!X21</x:f>
        <x:v>185.8858943298969</x:v>
      </x:c>
      <x:c r="K32" s="8"/>
      <x:c r="L32" s="8"/>
      <x:c r="M32" s="8"/>
      <x:c r="N32" s="8"/>
      <x:c r="O32" s="8"/>
      <x:c r="P32" s="8"/>
      <x:c r="Q32" s="8"/>
    </x:row>
    <x:row r="33" ht="15" hidden="0" customHeight="1">
      <x:c r="C33" s="8"/>
      <x:c r="D33" s="8"/>
      <x:c r="E33" s="8"/>
      <x:c r="F33" s="8"/>
      <x:c r="G33" s="8"/>
      <x:c r="H33" s="8" t="n">
        <x:v>2048</x:v>
      </x:c>
      <x:c r="I33" s="50" t="n">
        <x:f>'25-Year Plan'!Y8</x:f>
        <x:v>20.61855670103093</x:v>
      </x:c>
      <x:c r="J33" s="50" t="n">
        <x:f>'25-Year Plan'!Y21</x:f>
        <x:v>186.71063659793816</x:v>
      </x:c>
      <x:c r="K33" s="8"/>
      <x:c r="L33" s="8"/>
      <x:c r="M33" s="8"/>
      <x:c r="N33" s="8"/>
      <x:c r="O33" s="8"/>
      <x:c r="P33" s="8"/>
      <x:c r="Q33" s="8"/>
    </x:row>
    <x:row r="34" ht="15" hidden="0" customHeight="1">
      <x:c r="C34" s="8"/>
      <x:c r="D34" s="8"/>
      <x:c r="E34" s="8"/>
      <x:c r="F34" s="8"/>
      <x:c r="G34" s="8"/>
      <x:c r="H34" s="8" t="n">
        <x:v>2049</x:v>
      </x:c>
      <x:c r="I34" s="50" t="n">
        <x:f>'25-Year Plan'!Z8</x:f>
        <x:v>10.309278350515465</x:v>
      </x:c>
      <x:c r="J34" s="50" t="n">
        <x:f>'25-Year Plan'!Z21</x:f>
        <x:v>187.12300773195875</x:v>
      </x:c>
      <x:c r="K34" s="8"/>
      <x:c r="L34" s="8"/>
      <x:c r="M34" s="8"/>
      <x:c r="N34" s="8"/>
      <x:c r="O34" s="8"/>
      <x:c r="P34" s="8"/>
      <x:c r="Q34" s="8"/>
    </x:row>
    <x:row r="35" ht="15" hidden="0" customHeight="1">
      <x:c r="C35" s="8"/>
      <x:c r="D35" s="8"/>
      <x:c r="E35" s="8"/>
      <x:c r="F35" s="8"/>
      <x:c r="G35" s="8"/>
      <x:c r="H35" s="8" t="n">
        <x:v>2050</x:v>
      </x:c>
      <x:c r="I35" s="50" t="n">
        <x:f>'25-Year Plan'!AA8</x:f>
        <x:v>10.309278350515465</x:v>
      </x:c>
      <x:c r="J35" s="50" t="n">
        <x:f>'25-Year Plan'!AA21</x:f>
        <x:v>187.5353788659794</x:v>
      </x:c>
      <x:c r="K35" s="8"/>
      <x:c r="L35" s="8"/>
      <x:c r="M35" s="8"/>
      <x:c r="N35" s="8"/>
      <x:c r="O35" s="8"/>
      <x:c r="P35" s="8"/>
      <x:c r="Q35" s="8"/>
    </x:row>
    <x:row r="36" ht="15" hidden="0" customHeight="1">
      <x:c r="C36" s="8"/>
      <x:c r="D36" s="8"/>
      <x:c r="E36" s="8"/>
      <x:c r="F36" s="8"/>
      <x:c r="G36" s="8"/>
      <x:c r="H36" s="8" t="n">
        <x:v>2051</x:v>
      </x:c>
      <x:c r="I36" s="50" t="n">
        <x:f>'25-Year Plan'!AB8</x:f>
        <x:v>10.309278350515465</x:v>
      </x:c>
      <x:c r="J36" s="50" t="n">
        <x:f>'25-Year Plan'!AB21</x:f>
        <x:v>187.94774999999998</x:v>
      </x:c>
      <x:c r="K36" s="8"/>
      <x:c r="L36" s="8"/>
      <x:c r="M36" s="8"/>
      <x:c r="N36" s="8"/>
      <x:c r="O36" s="8"/>
      <x:c r="P36" s="8"/>
      <x:c r="Q36" s="8"/>
    </x:row>
  </x:sheetData>
  <x:conditionalFormatting sqref="F7:F7">
    <x:cfRule type="containsText" dxfId="4" priority="1" operator="containsText" text="PASS"/>
    <x:cfRule type="containsText" dxfId="5" priority="2" operator="containsText" text="REVIEW"/>
  </x:conditionalFormatting>
  <x:pageMargins left="0.7" right="0.7" top="0.75" bottom="0.75" header="0.3" footer="0.3"/>
  <x:drawing xmlns:r="http://schemas.openxmlformats.org/officeDocument/2006/relationships" r:id="R8adaa2aa494a43b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</x:row>
    <x:row r="2" ht="18" hidden="0" customHeight="1">
      <x:c r="C2" s="65" t="str">
        <x:v>Assumptions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3" ht="15" hidden="0" customHeight="1">
      <x:c r="C3" s="66" t="str">
        <x:v>Cases, concurrency, annual deployment weights, and force ramp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</x:row>
    <x:row r="6" ht="15" hidden="0" customHeight="1">
      <x:c r="C6" s="12" t="str">
        <x:v>Selected case</x:v>
      </x:c>
      <x:c r="D6" s="14" t="str">
        <x:v>Reference</x:v>
      </x:c>
      <x:c r="E6" s="8"/>
      <x:c r="F6" s="15" t="str">
        <x:v>Cell style</x:v>
      </x:c>
      <x:c r="G6" s="15" t="str">
        <x:v>Meaning</x:v>
      </x:c>
      <x:c r="H6" s="15"/>
      <x:c r="I6" s="15"/>
      <x:c r="J6" s="15"/>
      <x:c r="K6" s="15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</x:row>
    <x:row r="7" ht="15" hidden="0" customHeight="1">
      <x:c r="C7" s="8"/>
      <x:c r="D7" s="8"/>
      <x:c r="E7" s="8"/>
      <x:c r="F7" s="17" t="str">
        <x:v>Blue input</x:v>
      </x:c>
      <x:c r="G7" s="8" t="str">
        <x:v>Editable</x:v>
      </x:c>
      <x:c r="H7" s="18" t="str">
        <x:v>Green formula</x:v>
      </x:c>
      <x:c r="I7" s="8" t="str">
        <x:v>Cross-sheet</x:v>
      </x:c>
      <x:c r="J7" s="19" t="str">
        <x:v>Black formula</x:v>
      </x:c>
      <x:c r="K7" s="8" t="str">
        <x:v>Same-sheet</x:v>
      </x:c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</x:row>
    <x:row r="8" ht="15" hidden="0" customHeight="1"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</x:row>
    <x:row r="9" ht="15" hidden="0" customHeight="1">
      <x:c r="C9" s="22" t="str">
        <x:v>Case controls</x:v>
      </x:c>
      <x:c r="D9" s="23"/>
      <x:c r="E9" s="23"/>
      <x:c r="F9" s="23"/>
      <x:c r="G9" s="23"/>
      <x:c r="H9" s="23"/>
      <x:c r="I9" s="23"/>
      <x:c r="J9" s="24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</x:row>
    <x:row r="10" ht="36" hidden="0" customHeight="1">
      <x:c r="C10" s="29" t="str">
        <x:v>Case</x:v>
      </x:c>
      <x:c r="D10" s="30" t="str">
        <x:v>Capital envelope ($B)</x:v>
      </x:c>
      <x:c r="E10" s="30" t="str">
        <x:v>Demand multiplier</x:v>
      </x:c>
      <x:c r="F10" s="30" t="str">
        <x:v>Unit-cost multiplier</x:v>
      </x:c>
      <x:c r="G10" s="30" t="str">
        <x:v>FTE multiplier</x:v>
      </x:c>
      <x:c r="H10" s="31" t="str">
        <x:v>Benefit-effectiveness multiplier</x:v>
      </x:c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</x:row>
    <x:row r="11" ht="15" hidden="0" customHeight="1">
      <x:c r="C11" s="8" t="str">
        <x:v>Low</x:v>
      </x:c>
      <x:c r="D11" s="32" t="n">
        <x:v>750</x:v>
      </x:c>
      <x:c r="E11" s="33" t="n">
        <x:v>0.8</x:v>
      </x:c>
      <x:c r="F11" s="33" t="n">
        <x:v>0.85</x:v>
      </x:c>
      <x:c r="G11" s="33" t="n">
        <x:v>0.85</x:v>
      </x:c>
      <x:c r="H11" s="33" t="n">
        <x:v>0.75</x:v>
      </x:c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</x:row>
    <x:row r="12" ht="15" hidden="0" customHeight="1">
      <x:c r="C12" s="8" t="str">
        <x:v>Reference</x:v>
      </x:c>
      <x:c r="D12" s="32" t="n">
        <x:v>1000</x:v>
      </x:c>
      <x:c r="E12" s="33" t="n">
        <x:v>1</x:v>
      </x:c>
      <x:c r="F12" s="33" t="n">
        <x:v>1</x:v>
      </x:c>
      <x:c r="G12" s="33" t="n">
        <x:v>1</x:v>
      </x:c>
      <x:c r="H12" s="33" t="n">
        <x:v>1</x:v>
      </x:c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</x:row>
    <x:row r="13" ht="15" hidden="0" customHeight="1">
      <x:c r="C13" s="8" t="str">
        <x:v>High</x:v>
      </x:c>
      <x:c r="D13" s="32" t="n">
        <x:v>1500</x:v>
      </x:c>
      <x:c r="E13" s="33" t="n">
        <x:v>1.25</x:v>
      </x:c>
      <x:c r="F13" s="33" t="n">
        <x:v>1.2</x:v>
      </x:c>
      <x:c r="G13" s="33" t="n">
        <x:v>1.25</x:v>
      </x:c>
      <x:c r="H13" s="33" t="n">
        <x:v>1.25</x:v>
      </x:c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</x:row>
    <x:row r="14" ht="15" hidden="0" customHeight="1"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</x:row>
    <x:row r="15" ht="36" hidden="0" customHeight="1">
      <x:c r="C15" s="29" t="str">
        <x:v>Selected values</x:v>
      </x:c>
      <x:c r="D15" s="30" t="str">
        <x:v>Capital envelope ($B)</x:v>
      </x:c>
      <x:c r="E15" s="30" t="str">
        <x:v>Demand multiplier</x:v>
      </x:c>
      <x:c r="F15" s="30" t="str">
        <x:v>Unit-cost multiplier</x:v>
      </x:c>
      <x:c r="G15" s="30" t="str">
        <x:v>FTE multiplier</x:v>
      </x:c>
      <x:c r="H15" s="31" t="str">
        <x:v>Benefit-effectiveness multiplier</x:v>
      </x:c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</x:row>
    <x:row r="16" ht="15" hidden="0" customHeight="1">
      <x:c r="C16" s="38" t="str">
        <x:v>Selected case</x:v>
      </x:c>
      <x:c r="D16" s="39" t="n">
        <x:f>IF($D$6="Low",D11,IF($D$6="High",D13,D12))</x:f>
        <x:v>1000</x:v>
      </x:c>
      <x:c r="E16" s="40" t="n">
        <x:f>IF($D$6="Low",E11,IF($D$6="High",E13,E12))</x:f>
        <x:v>1</x:v>
      </x:c>
      <x:c r="F16" s="40" t="n">
        <x:f>IF($D$6="Low",F11,IF($D$6="High",F13,F12))</x:f>
        <x:v>1</x:v>
      </x:c>
      <x:c r="G16" s="40" t="n">
        <x:f>IF($D$6="Low",G11,IF($D$6="High",G13,G12))</x:f>
        <x:v>1</x:v>
      </x:c>
      <x:c r="H16" s="40" t="n">
        <x:f>IF($D$6="Low",H11,IF($D$6="High",H13,H12))</x:f>
        <x:v>1</x:v>
      </x:c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</x:row>
    <x:row r="17" ht="15" hidden="0" customHeight="1"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</x:row>
    <x:row r="18" ht="15" hidden="0" customHeight="1"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</x:row>
    <x:row r="19" ht="15" hidden="0" customHeight="1">
      <x:c r="C19" s="22" t="str">
        <x:v>Concurrency and operating controls</x:v>
      </x:c>
      <x:c r="D19" s="23"/>
      <x:c r="E19" s="23"/>
      <x:c r="F19" s="23"/>
      <x:c r="G19" s="23"/>
      <x:c r="H19" s="24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</x:row>
    <x:row r="20" ht="15" hidden="0" customHeight="1">
      <x:c r="C20" s="29" t="str">
        <x:v>Driver</x:v>
      </x:c>
      <x:c r="D20" s="30" t="str">
        <x:v>Value</x:v>
      </x:c>
      <x:c r="E20" s="31" t="str">
        <x:v>Unit</x:v>
      </x:c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</x:row>
    <x:row r="21" ht="15" hidden="0" customHeight="1">
      <x:c r="C21" s="8" t="str">
        <x:v>Catastrophic domestic campaigns</x:v>
      </x:c>
      <x:c r="D21" s="14" t="n">
        <x:v>3</x:v>
      </x:c>
      <x:c r="E21" s="8" t="str">
        <x:v>campaigns</x:v>
      </x:c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</x:row>
    <x:row r="22" ht="15" hidden="0" customHeight="1">
      <x:c r="C22" s="8" t="str">
        <x:v>Major regional operations</x:v>
      </x:c>
      <x:c r="D22" s="14" t="n">
        <x:v>5</x:v>
      </x:c>
      <x:c r="E22" s="8" t="str">
        <x:v>operations</x:v>
      </x:c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</x:row>
    <x:row r="23" ht="15" hidden="0" customHeight="1">
      <x:c r="C23" s="8" t="str">
        <x:v>Global stabilization operations</x:v>
      </x:c>
      <x:c r="D23" s="14" t="n">
        <x:v>2</x:v>
      </x:c>
      <x:c r="E23" s="8" t="str">
        <x:v>operations</x:v>
      </x:c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</x:row>
    <x:row r="24" ht="15" hidden="0" customHeight="1">
      <x:c r="C24" s="8" t="str">
        <x:v>Residual ready reserve</x:v>
      </x:c>
      <x:c r="D24" s="41" t="n">
        <x:v>0.2</x:v>
      </x:c>
      <x:c r="E24" s="8" t="str">
        <x:v>% of simultaneous demand</x:v>
      </x:c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</x:row>
    <x:row r="25" ht="15" hidden="0" customHeight="1">
      <x:c r="C25" s="8" t="str">
        <x:v>Mature asset O&amp;M rate</x:v>
      </x:c>
      <x:c r="D25" s="41" t="n">
        <x:v>0.04</x:v>
      </x:c>
      <x:c r="E25" s="8" t="str">
        <x:v>% of installed capital</x:v>
      </x:c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</x:row>
    <x:row r="26" ht="15" hidden="0" customHeight="1">
      <x:c r="C26" s="8" t="str">
        <x:v>Training and stock rotation</x:v>
      </x:c>
      <x:c r="D26" s="41" t="n">
        <x:v>0.15</x:v>
      </x:c>
      <x:c r="E26" s="8" t="str">
        <x:v>% of personnel cost</x:v>
      </x:c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</x:row>
    <x:row r="27" ht="15" hidden="0" customHeight="1">
      <x:c r="C27" s="8" t="str">
        <x:v>Mature annual deployment allowance</x:v>
      </x:c>
      <x:c r="D27" s="32" t="n">
        <x:v>15</x:v>
      </x:c>
      <x:c r="E27" s="8" t="str">
        <x:v>$B/year</x:v>
      </x:c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</x:row>
    <x:row r="28" ht="15" hidden="0" customHeight="1">
      <x:c r="C28" s="8" t="str">
        <x:v>Real discount rate</x:v>
      </x:c>
      <x:c r="D28" s="41" t="n">
        <x:v>0.03</x:v>
      </x:c>
      <x:c r="E28" s="8" t="str">
        <x:v>%</x:v>
      </x:c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</x:row>
    <x:row r="29" ht="15" hidden="0" customHeight="1">
      <x:c r="C29" s="8" t="str">
        <x:v>Model start year</x:v>
      </x:c>
      <x:c r="D29" s="14" t="n">
        <x:v>2027</x:v>
      </x:c>
      <x:c r="E29" s="8" t="str">
        <x:v>calendar year</x:v>
      </x:c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</x:row>
    <x:row r="30" ht="15" hidden="0" customHeight="1"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</x:row>
    <x:row r="31" ht="15" hidden="0" customHeight="1"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</x:row>
    <x:row r="32" ht="15" hidden="0" customHeight="1">
      <x:c r="C32" s="22" t="str">
        <x:v>Annual capital deployment and force-generation ramp</x:v>
      </x:c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4"/>
    </x:row>
    <x:row r="33" ht="15" hidden="0" customHeight="1">
      <x:c r="C33" s="29" t="str">
        <x:v>Driver</x:v>
      </x:c>
      <x:c r="D33" s="30" t="n">
        <x:v>2027</x:v>
      </x:c>
      <x:c r="E33" s="30" t="n">
        <x:v>2028</x:v>
      </x:c>
      <x:c r="F33" s="30" t="n">
        <x:v>2029</x:v>
      </x:c>
      <x:c r="G33" s="30" t="n">
        <x:v>2030</x:v>
      </x:c>
      <x:c r="H33" s="30" t="n">
        <x:v>2031</x:v>
      </x:c>
      <x:c r="I33" s="30" t="n">
        <x:v>2032</x:v>
      </x:c>
      <x:c r="J33" s="30" t="n">
        <x:v>2033</x:v>
      </x:c>
      <x:c r="K33" s="30" t="n">
        <x:v>2034</x:v>
      </x:c>
      <x:c r="L33" s="30" t="n">
        <x:v>2035</x:v>
      </x:c>
      <x:c r="M33" s="30" t="n">
        <x:v>2036</x:v>
      </x:c>
      <x:c r="N33" s="30" t="n">
        <x:v>2037</x:v>
      </x:c>
      <x:c r="O33" s="30" t="n">
        <x:v>2038</x:v>
      </x:c>
      <x:c r="P33" s="30" t="n">
        <x:v>2039</x:v>
      </x:c>
      <x:c r="Q33" s="30" t="n">
        <x:v>2040</x:v>
      </x:c>
      <x:c r="R33" s="30" t="n">
        <x:v>2041</x:v>
      </x:c>
      <x:c r="S33" s="30" t="n">
        <x:v>2042</x:v>
      </x:c>
      <x:c r="T33" s="30" t="n">
        <x:v>2043</x:v>
      </x:c>
      <x:c r="U33" s="30" t="n">
        <x:v>2044</x:v>
      </x:c>
      <x:c r="V33" s="30" t="n">
        <x:v>2045</x:v>
      </x:c>
      <x:c r="W33" s="30" t="n">
        <x:v>2046</x:v>
      </x:c>
      <x:c r="X33" s="30" t="n">
        <x:v>2047</x:v>
      </x:c>
      <x:c r="Y33" s="30" t="n">
        <x:v>2048</x:v>
      </x:c>
      <x:c r="Z33" s="30" t="n">
        <x:v>2049</x:v>
      </x:c>
      <x:c r="AA33" s="30" t="n">
        <x:v>2050</x:v>
      </x:c>
      <x:c r="AB33" s="31" t="n">
        <x:v>2051</x:v>
      </x:c>
    </x:row>
    <x:row r="34" ht="15" hidden="0" customHeight="1">
      <x:c r="C34" s="8" t="str">
        <x:v>Low relative capital weight</x:v>
      </x:c>
      <x:c r="D34" s="14" t="n">
        <x:v>1</x:v>
      </x:c>
      <x:c r="E34" s="14" t="n">
        <x:v>2</x:v>
      </x:c>
      <x:c r="F34" s="14" t="n">
        <x:v>3</x:v>
      </x:c>
      <x:c r="G34" s="14" t="n">
        <x:v>4</x:v>
      </x:c>
      <x:c r="H34" s="14" t="n">
        <x:v>5</x:v>
      </x:c>
      <x:c r="I34" s="14" t="n">
        <x:v>6</x:v>
      </x:c>
      <x:c r="J34" s="14" t="n">
        <x:v>6</x:v>
      </x:c>
      <x:c r="K34" s="14" t="n">
        <x:v>6</x:v>
      </x:c>
      <x:c r="L34" s="14" t="n">
        <x:v>6</x:v>
      </x:c>
      <x:c r="M34" s="14" t="n">
        <x:v>6</x:v>
      </x:c>
      <x:c r="N34" s="14" t="n">
        <x:v>5</x:v>
      </x:c>
      <x:c r="O34" s="14" t="n">
        <x:v>5</x:v>
      </x:c>
      <x:c r="P34" s="14" t="n">
        <x:v>5</x:v>
      </x:c>
      <x:c r="Q34" s="14" t="n">
        <x:v>5</x:v>
      </x:c>
      <x:c r="R34" s="14" t="n">
        <x:v>4</x:v>
      </x:c>
      <x:c r="S34" s="14" t="n">
        <x:v>4</x:v>
      </x:c>
      <x:c r="T34" s="14" t="n">
        <x:v>4</x:v>
      </x:c>
      <x:c r="U34" s="14" t="n">
        <x:v>4</x:v>
      </x:c>
      <x:c r="V34" s="14" t="n">
        <x:v>3</x:v>
      </x:c>
      <x:c r="W34" s="14" t="n">
        <x:v>3</x:v>
      </x:c>
      <x:c r="X34" s="14" t="n">
        <x:v>3</x:v>
      </x:c>
      <x:c r="Y34" s="14" t="n">
        <x:v>2</x:v>
      </x:c>
      <x:c r="Z34" s="14" t="n">
        <x:v>2</x:v>
      </x:c>
      <x:c r="AA34" s="14" t="n">
        <x:v>1</x:v>
      </x:c>
      <x:c r="AB34" s="14" t="n">
        <x:v>1</x:v>
      </x:c>
    </x:row>
    <x:row r="35" ht="15" hidden="0" customHeight="1">
      <x:c r="C35" s="8" t="str">
        <x:v>Reference relative capital weight</x:v>
      </x:c>
      <x:c r="D35" s="14" t="n">
        <x:v>1</x:v>
      </x:c>
      <x:c r="E35" s="14" t="n">
        <x:v>2</x:v>
      </x:c>
      <x:c r="F35" s="14" t="n">
        <x:v>3</x:v>
      </x:c>
      <x:c r="G35" s="14" t="n">
        <x:v>4</x:v>
      </x:c>
      <x:c r="H35" s="14" t="n">
        <x:v>5</x:v>
      </x:c>
      <x:c r="I35" s="14" t="n">
        <x:v>6</x:v>
      </x:c>
      <x:c r="J35" s="14" t="n">
        <x:v>7</x:v>
      </x:c>
      <x:c r="K35" s="14" t="n">
        <x:v>7</x:v>
      </x:c>
      <x:c r="L35" s="14" t="n">
        <x:v>7</x:v>
      </x:c>
      <x:c r="M35" s="14" t="n">
        <x:v>6</x:v>
      </x:c>
      <x:c r="N35" s="14" t="n">
        <x:v>6</x:v>
      </x:c>
      <x:c r="O35" s="14" t="n">
        <x:v>5</x:v>
      </x:c>
      <x:c r="P35" s="14" t="n">
        <x:v>5</x:v>
      </x:c>
      <x:c r="Q35" s="14" t="n">
        <x:v>5</x:v>
      </x:c>
      <x:c r="R35" s="14" t="n">
        <x:v>4</x:v>
      </x:c>
      <x:c r="S35" s="14" t="n">
        <x:v>4</x:v>
      </x:c>
      <x:c r="T35" s="14" t="n">
        <x:v>4</x:v>
      </x:c>
      <x:c r="U35" s="14" t="n">
        <x:v>3</x:v>
      </x:c>
      <x:c r="V35" s="14" t="n">
        <x:v>3</x:v>
      </x:c>
      <x:c r="W35" s="14" t="n">
        <x:v>3</x:v>
      </x:c>
      <x:c r="X35" s="14" t="n">
        <x:v>2</x:v>
      </x:c>
      <x:c r="Y35" s="14" t="n">
        <x:v>2</x:v>
      </x:c>
      <x:c r="Z35" s="14" t="n">
        <x:v>1</x:v>
      </x:c>
      <x:c r="AA35" s="14" t="n">
        <x:v>1</x:v>
      </x:c>
      <x:c r="AB35" s="14" t="n">
        <x:v>1</x:v>
      </x:c>
    </x:row>
    <x:row r="36" ht="15" hidden="0" customHeight="1">
      <x:c r="C36" s="8" t="str">
        <x:v>High relative capital weight</x:v>
      </x:c>
      <x:c r="D36" s="14" t="n">
        <x:v>1</x:v>
      </x:c>
      <x:c r="E36" s="14" t="n">
        <x:v>2</x:v>
      </x:c>
      <x:c r="F36" s="14" t="n">
        <x:v>3</x:v>
      </x:c>
      <x:c r="G36" s="14" t="n">
        <x:v>4</x:v>
      </x:c>
      <x:c r="H36" s="14" t="n">
        <x:v>5</x:v>
      </x:c>
      <x:c r="I36" s="14" t="n">
        <x:v>6</x:v>
      </x:c>
      <x:c r="J36" s="14" t="n">
        <x:v>7</x:v>
      </x:c>
      <x:c r="K36" s="14" t="n">
        <x:v>8</x:v>
      </x:c>
      <x:c r="L36" s="14" t="n">
        <x:v>8</x:v>
      </x:c>
      <x:c r="M36" s="14" t="n">
        <x:v>8</x:v>
      </x:c>
      <x:c r="N36" s="14" t="n">
        <x:v>7</x:v>
      </x:c>
      <x:c r="O36" s="14" t="n">
        <x:v>6</x:v>
      </x:c>
      <x:c r="P36" s="14" t="n">
        <x:v>5</x:v>
      </x:c>
      <x:c r="Q36" s="14" t="n">
        <x:v>5</x:v>
      </x:c>
      <x:c r="R36" s="14" t="n">
        <x:v>4</x:v>
      </x:c>
      <x:c r="S36" s="14" t="n">
        <x:v>4</x:v>
      </x:c>
      <x:c r="T36" s="14" t="n">
        <x:v>3</x:v>
      </x:c>
      <x:c r="U36" s="14" t="n">
        <x:v>3</x:v>
      </x:c>
      <x:c r="V36" s="14" t="n">
        <x:v>3</x:v>
      </x:c>
      <x:c r="W36" s="14" t="n">
        <x:v>2</x:v>
      </x:c>
      <x:c r="X36" s="14" t="n">
        <x:v>2</x:v>
      </x:c>
      <x:c r="Y36" s="14" t="n">
        <x:v>2</x:v>
      </x:c>
      <x:c r="Z36" s="14" t="n">
        <x:v>1</x:v>
      </x:c>
      <x:c r="AA36" s="14" t="n">
        <x:v>1</x:v>
      </x:c>
      <x:c r="AB36" s="14" t="n">
        <x:v>1</x:v>
      </x:c>
    </x:row>
    <x:row r="37" ht="15" hidden="0" customHeight="1">
      <x:c r="C37" s="8" t="str">
        <x:v>Selected normalized capital share</x:v>
      </x:c>
      <x:c r="D37" s="42" t="n">
        <x:f>IF($D$6="Low",D34/SUM($D$34:$AB$34),IF($D$6="High",D36/SUM($D$36:$AB$36),D35/SUM($D$35:$AB$35)))</x:f>
        <x:v>0.010309278350515464</x:v>
      </x:c>
      <x:c r="E37" s="42" t="n">
        <x:f>IF($D$6="Low",E34/SUM($D$34:$AB$34),IF($D$6="High",E36/SUM($D$36:$AB$36),E35/SUM($D$35:$AB$35)))</x:f>
        <x:v>0.020618556701030927</x:v>
      </x:c>
      <x:c r="F37" s="42" t="n">
        <x:f>IF($D$6="Low",F34/SUM($D$34:$AB$34),IF($D$6="High",F36/SUM($D$36:$AB$36),F35/SUM($D$35:$AB$35)))</x:f>
        <x:v>0.030927835051546393</x:v>
      </x:c>
      <x:c r="G37" s="42" t="n">
        <x:f>IF($D$6="Low",G34/SUM($D$34:$AB$34),IF($D$6="High",G36/SUM($D$36:$AB$36),G35/SUM($D$35:$AB$35)))</x:f>
        <x:v>0.041237113402061855</x:v>
      </x:c>
      <x:c r="H37" s="42" t="n">
        <x:f>IF($D$6="Low",H34/SUM($D$34:$AB$34),IF($D$6="High",H36/SUM($D$36:$AB$36),H35/SUM($D$35:$AB$35)))</x:f>
        <x:v>0.05154639175257732</x:v>
      </x:c>
      <x:c r="I37" s="42" t="n">
        <x:f>IF($D$6="Low",I34/SUM($D$34:$AB$34),IF($D$6="High",I36/SUM($D$36:$AB$36),I35/SUM($D$35:$AB$35)))</x:f>
        <x:v>0.061855670103092786</x:v>
      </x:c>
      <x:c r="J37" s="42" t="n">
        <x:f>IF($D$6="Low",J34/SUM($D$34:$AB$34),IF($D$6="High",J36/SUM($D$36:$AB$36),J35/SUM($D$35:$AB$35)))</x:f>
        <x:v>0.07216494845360824</x:v>
      </x:c>
      <x:c r="K37" s="42" t="n">
        <x:f>IF($D$6="Low",K34/SUM($D$34:$AB$34),IF($D$6="High",K36/SUM($D$36:$AB$36),K35/SUM($D$35:$AB$35)))</x:f>
        <x:v>0.07216494845360824</x:v>
      </x:c>
      <x:c r="L37" s="42" t="n">
        <x:f>IF($D$6="Low",L34/SUM($D$34:$AB$34),IF($D$6="High",L36/SUM($D$36:$AB$36),L35/SUM($D$35:$AB$35)))</x:f>
        <x:v>0.07216494845360824</x:v>
      </x:c>
      <x:c r="M37" s="42" t="n">
        <x:f>IF($D$6="Low",M34/SUM($D$34:$AB$34),IF($D$6="High",M36/SUM($D$36:$AB$36),M35/SUM($D$35:$AB$35)))</x:f>
        <x:v>0.061855670103092786</x:v>
      </x:c>
      <x:c r="N37" s="42" t="n">
        <x:f>IF($D$6="Low",N34/SUM($D$34:$AB$34),IF($D$6="High",N36/SUM($D$36:$AB$36),N35/SUM($D$35:$AB$35)))</x:f>
        <x:v>0.061855670103092786</x:v>
      </x:c>
      <x:c r="O37" s="42" t="n">
        <x:f>IF($D$6="Low",O34/SUM($D$34:$AB$34),IF($D$6="High",O36/SUM($D$36:$AB$36),O35/SUM($D$35:$AB$35)))</x:f>
        <x:v>0.05154639175257732</x:v>
      </x:c>
      <x:c r="P37" s="42" t="n">
        <x:f>IF($D$6="Low",P34/SUM($D$34:$AB$34),IF($D$6="High",P36/SUM($D$36:$AB$36),P35/SUM($D$35:$AB$35)))</x:f>
        <x:v>0.05154639175257732</x:v>
      </x:c>
      <x:c r="Q37" s="42" t="n">
        <x:f>IF($D$6="Low",Q34/SUM($D$34:$AB$34),IF($D$6="High",Q36/SUM($D$36:$AB$36),Q35/SUM($D$35:$AB$35)))</x:f>
        <x:v>0.05154639175257732</x:v>
      </x:c>
      <x:c r="R37" s="42" t="n">
        <x:f>IF($D$6="Low",R34/SUM($D$34:$AB$34),IF($D$6="High",R36/SUM($D$36:$AB$36),R35/SUM($D$35:$AB$35)))</x:f>
        <x:v>0.041237113402061855</x:v>
      </x:c>
      <x:c r="S37" s="42" t="n">
        <x:f>IF($D$6="Low",S34/SUM($D$34:$AB$34),IF($D$6="High",S36/SUM($D$36:$AB$36),S35/SUM($D$35:$AB$35)))</x:f>
        <x:v>0.041237113402061855</x:v>
      </x:c>
      <x:c r="T37" s="42" t="n">
        <x:f>IF($D$6="Low",T34/SUM($D$34:$AB$34),IF($D$6="High",T36/SUM($D$36:$AB$36),T35/SUM($D$35:$AB$35)))</x:f>
        <x:v>0.041237113402061855</x:v>
      </x:c>
      <x:c r="U37" s="42" t="n">
        <x:f>IF($D$6="Low",U34/SUM($D$34:$AB$34),IF($D$6="High",U36/SUM($D$36:$AB$36),U35/SUM($D$35:$AB$35)))</x:f>
        <x:v>0.030927835051546393</x:v>
      </x:c>
      <x:c r="V37" s="42" t="n">
        <x:f>IF($D$6="Low",V34/SUM($D$34:$AB$34),IF($D$6="High",V36/SUM($D$36:$AB$36),V35/SUM($D$35:$AB$35)))</x:f>
        <x:v>0.030927835051546393</x:v>
      </x:c>
      <x:c r="W37" s="42" t="n">
        <x:f>IF($D$6="Low",W34/SUM($D$34:$AB$34),IF($D$6="High",W36/SUM($D$36:$AB$36),W35/SUM($D$35:$AB$35)))</x:f>
        <x:v>0.030927835051546393</x:v>
      </x:c>
      <x:c r="X37" s="42" t="n">
        <x:f>IF($D$6="Low",X34/SUM($D$34:$AB$34),IF($D$6="High",X36/SUM($D$36:$AB$36),X35/SUM($D$35:$AB$35)))</x:f>
        <x:v>0.020618556701030927</x:v>
      </x:c>
      <x:c r="Y37" s="42" t="n">
        <x:f>IF($D$6="Low",Y34/SUM($D$34:$AB$34),IF($D$6="High",Y36/SUM($D$36:$AB$36),Y35/SUM($D$35:$AB$35)))</x:f>
        <x:v>0.020618556701030927</x:v>
      </x:c>
      <x:c r="Z37" s="42" t="n">
        <x:f>IF($D$6="Low",Z34/SUM($D$34:$AB$34),IF($D$6="High",Z36/SUM($D$36:$AB$36),Z35/SUM($D$35:$AB$35)))</x:f>
        <x:v>0.010309278350515464</x:v>
      </x:c>
      <x:c r="AA37" s="42" t="n">
        <x:f>IF($D$6="Low",AA34/SUM($D$34:$AB$34),IF($D$6="High",AA36/SUM($D$36:$AB$36),AA35/SUM($D$35:$AB$35)))</x:f>
        <x:v>0.010309278350515464</x:v>
      </x:c>
      <x:c r="AB37" s="42" t="n">
        <x:f>IF($D$6="Low",AB34/SUM($D$34:$AB$34),IF($D$6="High",AB36/SUM($D$36:$AB$36),AB35/SUM($D$35:$AB$35)))</x:f>
        <x:v>0.010309278350515464</x:v>
      </x:c>
    </x:row>
    <x:row r="38" ht="15" hidden="0" customHeight="1">
      <x:c r="C38" s="8" t="str">
        <x:v>Mature force ramp</x:v>
      </x:c>
      <x:c r="D38" s="41" t="n">
        <x:v>0.05</x:v>
      </x:c>
      <x:c r="E38" s="41" t="n">
        <x:v>0.1</x:v>
      </x:c>
      <x:c r="F38" s="41" t="n">
        <x:v>0.18</x:v>
      </x:c>
      <x:c r="G38" s="41" t="n">
        <x:v>0.27</x:v>
      </x:c>
      <x:c r="H38" s="41" t="n">
        <x:v>0.38</x:v>
      </x:c>
      <x:c r="I38" s="41" t="n">
        <x:v>0.5</x:v>
      </x:c>
      <x:c r="J38" s="41" t="n">
        <x:v>0.62</x:v>
      </x:c>
      <x:c r="K38" s="41" t="n">
        <x:v>0.72</x:v>
      </x:c>
      <x:c r="L38" s="41" t="n">
        <x:v>0.8</x:v>
      </x:c>
      <x:c r="M38" s="41" t="n">
        <x:v>0.87</x:v>
      </x:c>
      <x:c r="N38" s="41" t="n">
        <x:v>0.92</x:v>
      </x:c>
      <x:c r="O38" s="41" t="n">
        <x:v>0.95</x:v>
      </x:c>
      <x:c r="P38" s="41" t="n">
        <x:v>0.97</x:v>
      </x:c>
      <x:c r="Q38" s="41" t="n">
        <x:v>0.99</x:v>
      </x:c>
      <x:c r="R38" s="41" t="n">
        <x:v>1</x:v>
      </x:c>
      <x:c r="S38" s="41" t="n">
        <x:v>1</x:v>
      </x:c>
      <x:c r="T38" s="41" t="n">
        <x:v>1</x:v>
      </x:c>
      <x:c r="U38" s="41" t="n">
        <x:v>1</x:v>
      </x:c>
      <x:c r="V38" s="41" t="n">
        <x:v>1</x:v>
      </x:c>
      <x:c r="W38" s="41" t="n">
        <x:v>1</x:v>
      </x:c>
      <x:c r="X38" s="41" t="n">
        <x:v>1</x:v>
      </x:c>
      <x:c r="Y38" s="41" t="n">
        <x:v>1</x:v>
      </x:c>
      <x:c r="Z38" s="41" t="n">
        <x:v>1</x:v>
      </x:c>
      <x:c r="AA38" s="41" t="n">
        <x:v>1</x:v>
      </x:c>
      <x:c r="AB38" s="41" t="n">
        <x:v>1</x:v>
      </x:c>
    </x:row>
  </x:sheetData>
  <x:dataValidations count="1">
    <x:dataValidation type="list" sqref="D6">
      <x:formula1>"Low,Reference,High"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34" hidden="0" customWidth="1"/>
    <x:col min="5" max="5" width="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</x:row>
    <x:row r="2" ht="18" hidden="0" customHeight="1">
      <x:c r="C2" s="65" t="str">
        <x:v>Mission Demand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15" hidden="0" customHeight="1">
      <x:c r="C3" s="66" t="str">
        <x:v>Illustrative design-reference demand; not a forecast of event occurrence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</x:row>
    <x:row r="6" ht="36" hidden="0" customHeight="1">
      <x:c r="C6" s="29" t="str">
        <x:v>ID</x:v>
      </x:c>
      <x:c r="D6" s="30" t="str">
        <x:v>Design reference mission</x:v>
      </x:c>
      <x:c r="E6" s="30" t="str">
        <x:v>Class</x:v>
      </x:c>
      <x:c r="F6" s="30" t="str">
        <x:v>Affected population (M)</x:v>
      </x:c>
      <x:c r="G6" s="30" t="str">
        <x:v>Support share</x:v>
      </x:c>
      <x:c r="H6" s="30" t="str">
        <x:v>Stabilization days</x:v>
      </x:c>
      <x:c r="I6" s="30" t="str">
        <x:v>Access factor</x:v>
      </x:c>
      <x:c r="J6" s="30" t="str">
        <x:v>Water (L/person-day)</x:v>
      </x:c>
      <x:c r="K6" s="30" t="str">
        <x:v>Critical energy (kWh/person-day)</x:v>
      </x:c>
      <x:c r="L6" s="30" t="str">
        <x:v>Clinical encounters /1,000/day</x:v>
      </x:c>
      <x:c r="M6" s="30" t="str">
        <x:v>Debris (t/person)</x:v>
      </x:c>
      <x:c r="N6" s="30" t="str">
        <x:v>Assumption note</x:v>
      </x:c>
      <x:c r="O6" s="30" t="str">
        <x:v>Supported population (M)</x:v>
      </x:c>
      <x:c r="P6" s="30" t="str">
        <x:v>Supported person-days (M)</x:v>
      </x:c>
      <x:c r="Q6" s="30" t="str">
        <x:v>Delivered water (Mm³)</x:v>
      </x:c>
      <x:c r="R6" s="30" t="str">
        <x:v>Critical energy (GWh)</x:v>
      </x:c>
      <x:c r="S6" s="31" t="str">
        <x:v>Clinical encounters (M)</x:v>
      </x:c>
    </x:row>
    <x:row r="7" ht="15" hidden="0" customHeight="1">
      <x:c r="C7" s="8" t="str">
        <x:v>DRM-01</x:v>
      </x:c>
      <x:c r="D7" s="48" t="str">
        <x:v>Bay Area no-notice earthquake</x:v>
      </x:c>
      <x:c r="E7" s="48" t="str">
        <x:v>C</x:v>
      </x:c>
      <x:c r="F7" s="67" t="n">
        <x:v>7</x:v>
      </x:c>
      <x:c r="G7" s="68" t="n">
        <x:v>0.55</x:v>
      </x:c>
      <x:c r="H7" s="69" t="n">
        <x:v>90</x:v>
      </x:c>
      <x:c r="I7" s="69" t="n">
        <x:v>1.25</x:v>
      </x:c>
      <x:c r="J7" s="69" t="n">
        <x:v>15</x:v>
      </x:c>
      <x:c r="K7" s="69" t="n">
        <x:v>3</x:v>
      </x:c>
      <x:c r="L7" s="69" t="n">
        <x:v>3</x:v>
      </x:c>
      <x:c r="M7" s="69" t="n">
        <x:v>2</x:v>
      </x:c>
      <x:c r="N7" s="69" t="str">
        <x:v>Dense urban lifeline failure</x:v>
      </x:c>
      <x:c r="O7" s="70" t="n">
        <x:f>F7*G7*'Assumptions'!$E$16</x:f>
        <x:v>3.8500000000000005</x:v>
      </x:c>
      <x:c r="P7" s="71" t="n">
        <x:f>O7*H7*I7</x:f>
        <x:v>433.12500000000006</x:v>
      </x:c>
      <x:c r="Q7" s="71" t="n">
        <x:f>P7*J7/1000</x:f>
        <x:v>6.496875000000001</x:v>
      </x:c>
      <x:c r="R7" s="71" t="n">
        <x:f>P7*K7</x:f>
        <x:v>1299.3750000000002</x:v>
      </x:c>
      <x:c r="S7" s="71" t="n">
        <x:f>P7*L7/1000</x:f>
        <x:v>1.2993750000000002</x:v>
      </x:c>
    </x:row>
    <x:row r="8" ht="15" hidden="0" customHeight="1">
      <x:c r="C8" s="8" t="str">
        <x:v>DRM-02</x:v>
      </x:c>
      <x:c r="D8" s="48" t="str">
        <x:v>California megaflood</x:v>
      </x:c>
      <x:c r="E8" s="48" t="str">
        <x:v>C</x:v>
      </x:c>
      <x:c r="F8" s="67" t="n">
        <x:v>8</x:v>
      </x:c>
      <x:c r="G8" s="68" t="n">
        <x:v>0.45</x:v>
      </x:c>
      <x:c r="H8" s="69" t="n">
        <x:v>120</x:v>
      </x:c>
      <x:c r="I8" s="69" t="n">
        <x:v>1.35</x:v>
      </x:c>
      <x:c r="J8" s="69" t="n">
        <x:v>15</x:v>
      </x:c>
      <x:c r="K8" s="69" t="n">
        <x:v>2.5</x:v>
      </x:c>
      <x:c r="L8" s="69" t="n">
        <x:v>2</x:v>
      </x:c>
      <x:c r="M8" s="69" t="n">
        <x:v>3</x:v>
      </x:c>
      <x:c r="N8" s="69" t="str">
        <x:v>Forecast evacuation; prolonged inundation</x:v>
      </x:c>
      <x:c r="O8" s="70" t="n">
        <x:f>F8*G8*'Assumptions'!$E$16</x:f>
        <x:v>3.6</x:v>
      </x:c>
      <x:c r="P8" s="71" t="n">
        <x:f>O8*H8*I8</x:f>
        <x:v>583.2</x:v>
      </x:c>
      <x:c r="Q8" s="71" t="n">
        <x:f>P8*J8/1000</x:f>
        <x:v>8.748</x:v>
      </x:c>
      <x:c r="R8" s="71" t="n">
        <x:f>P8*K8</x:f>
        <x:v>1458</x:v>
      </x:c>
      <x:c r="S8" s="71" t="n">
        <x:f>P8*L8/1000</x:f>
        <x:v>1.1664</x:v>
      </x:c>
    </x:row>
    <x:row r="9" ht="15" hidden="0" customHeight="1">
      <x:c r="C9" s="8" t="str">
        <x:v>DRM-03</x:v>
      </x:c>
      <x:c r="D9" s="48" t="str">
        <x:v>Gulf multi-state hurricane</x:v>
      </x:c>
      <x:c r="E9" s="48" t="str">
        <x:v>M</x:v>
      </x:c>
      <x:c r="F9" s="67" t="n">
        <x:v>5</x:v>
      </x:c>
      <x:c r="G9" s="68" t="n">
        <x:v>0.4</x:v>
      </x:c>
      <x:c r="H9" s="69" t="n">
        <x:v>60</x:v>
      </x:c>
      <x:c r="I9" s="69" t="n">
        <x:v>1.15</x:v>
      </x:c>
      <x:c r="J9" s="69" t="n">
        <x:v>15</x:v>
      </x:c>
      <x:c r="K9" s="69" t="n">
        <x:v>3</x:v>
      </x:c>
      <x:c r="L9" s="69" t="n">
        <x:v>2.5</x:v>
      </x:c>
      <x:c r="M9" s="69" t="n">
        <x:v>2</x:v>
      </x:c>
      <x:c r="N9" s="69" t="str">
        <x:v>Port, grid, heat, and housing damage</x:v>
      </x:c>
      <x:c r="O9" s="70" t="n">
        <x:f>F9*G9*'Assumptions'!$E$16</x:f>
        <x:v>2</x:v>
      </x:c>
      <x:c r="P9" s="71" t="n">
        <x:f>O9*H9*I9</x:f>
        <x:v>138</x:v>
      </x:c>
      <x:c r="Q9" s="71" t="n">
        <x:f>P9*J9/1000</x:f>
        <x:v>2.07</x:v>
      </x:c>
      <x:c r="R9" s="71" t="n">
        <x:f>P9*K9</x:f>
        <x:v>414</x:v>
      </x:c>
      <x:c r="S9" s="71" t="n">
        <x:f>P9*L9/1000</x:f>
        <x:v>0.345</x:v>
      </x:c>
    </x:row>
    <x:row r="10" ht="15" hidden="0" customHeight="1">
      <x:c r="C10" s="8" t="str">
        <x:v>DRM-04</x:v>
      </x:c>
      <x:c r="D10" s="48" t="str">
        <x:v>Cascadia earthquake and tsunami</x:v>
      </x:c>
      <x:c r="E10" s="48" t="str">
        <x:v>C</x:v>
      </x:c>
      <x:c r="F10" s="67" t="n">
        <x:v>4</x:v>
      </x:c>
      <x:c r="G10" s="68" t="n">
        <x:v>0.7</x:v>
      </x:c>
      <x:c r="H10" s="69" t="n">
        <x:v>120</x:v>
      </x:c>
      <x:c r="I10" s="69" t="n">
        <x:v>1.6</x:v>
      </x:c>
      <x:c r="J10" s="69" t="n">
        <x:v>15</x:v>
      </x:c>
      <x:c r="K10" s="69" t="n">
        <x:v>3.5</x:v>
      </x:c>
      <x:c r="L10" s="69" t="n">
        <x:v>3.5</x:v>
      </x:c>
      <x:c r="M10" s="69" t="n">
        <x:v>4</x:v>
      </x:c>
      <x:c r="N10" s="69" t="str">
        <x:v>Severe access and port failure</x:v>
      </x:c>
      <x:c r="O10" s="70" t="n">
        <x:f>F10*G10*'Assumptions'!$E$16</x:f>
        <x:v>2.8</x:v>
      </x:c>
      <x:c r="P10" s="71" t="n">
        <x:f>O10*H10*I10</x:f>
        <x:v>537.6</x:v>
      </x:c>
      <x:c r="Q10" s="71" t="n">
        <x:f>P10*J10/1000</x:f>
        <x:v>8.064</x:v>
      </x:c>
      <x:c r="R10" s="71" t="n">
        <x:f>P10*K10</x:f>
        <x:v>1881.6000000000001</x:v>
      </x:c>
      <x:c r="S10" s="71" t="n">
        <x:f>P10*L10/1000</x:f>
        <x:v>1.8816000000000002</x:v>
      </x:c>
    </x:row>
    <x:row r="11" ht="15" hidden="0" customHeight="1">
      <x:c r="C11" s="8" t="str">
        <x:v>DRM-05</x:v>
      </x:c>
      <x:c r="D11" s="48" t="str">
        <x:v>Puerto Rico major hurricane</x:v>
      </x:c>
      <x:c r="E11" s="48" t="str">
        <x:v>M</x:v>
      </x:c>
      <x:c r="F11" s="67" t="n">
        <x:v>3</x:v>
      </x:c>
      <x:c r="G11" s="68" t="n">
        <x:v>0.65</x:v>
      </x:c>
      <x:c r="H11" s="69" t="n">
        <x:v>120</x:v>
      </x:c>
      <x:c r="I11" s="69" t="n">
        <x:v>1.4</x:v>
      </x:c>
      <x:c r="J11" s="69" t="n">
        <x:v>15</x:v>
      </x:c>
      <x:c r="K11" s="69" t="n">
        <x:v>3.5</x:v>
      </x:c>
      <x:c r="L11" s="69" t="n">
        <x:v>3</x:v>
      </x:c>
      <x:c r="M11" s="69" t="n">
        <x:v>2</x:v>
      </x:c>
      <x:c r="N11" s="69" t="str">
        <x:v>Island logistics and health continuity</x:v>
      </x:c>
      <x:c r="O11" s="70" t="n">
        <x:f>F11*G11*'Assumptions'!$E$16</x:f>
        <x:v>1.9500000000000002</x:v>
      </x:c>
      <x:c r="P11" s="71" t="n">
        <x:f>O11*H11*I11</x:f>
        <x:v>327.6</x:v>
      </x:c>
      <x:c r="Q11" s="71" t="n">
        <x:f>P11*J11/1000</x:f>
        <x:v>4.914</x:v>
      </x:c>
      <x:c r="R11" s="71" t="n">
        <x:f>P11*K11</x:f>
        <x:v>1146.6000000000001</x:v>
      </x:c>
      <x:c r="S11" s="71" t="n">
        <x:f>P11*L11/1000</x:f>
        <x:v>0.9828000000000001</x:v>
      </x:c>
    </x:row>
    <x:row r="12" ht="15" hidden="0" customHeight="1">
      <x:c r="C12" s="8" t="str">
        <x:v>DRM-06</x:v>
      </x:c>
      <x:c r="D12" s="48" t="str">
        <x:v>Great Lakes heat and grid failure</x:v>
      </x:c>
      <x:c r="E12" s="48" t="str">
        <x:v>M</x:v>
      </x:c>
      <x:c r="F12" s="67" t="n">
        <x:v>12</x:v>
      </x:c>
      <x:c r="G12" s="68" t="n">
        <x:v>0.25</x:v>
      </x:c>
      <x:c r="H12" s="69" t="n">
        <x:v>21</x:v>
      </x:c>
      <x:c r="I12" s="69" t="n">
        <x:v>1.05</x:v>
      </x:c>
      <x:c r="J12" s="69" t="n">
        <x:v>10</x:v>
      </x:c>
      <x:c r="K12" s="69" t="n">
        <x:v>4</x:v>
      </x:c>
      <x:c r="L12" s="69" t="n">
        <x:v>4</x:v>
      </x:c>
      <x:c r="M12" s="69" t="n">
        <x:v>0.2</x:v>
      </x:c>
      <x:c r="N12" s="69" t="str">
        <x:v>Thermal safety and critical power</x:v>
      </x:c>
      <x:c r="O12" s="70" t="n">
        <x:f>F12*G12*'Assumptions'!$E$16</x:f>
        <x:v>3</x:v>
      </x:c>
      <x:c r="P12" s="71" t="n">
        <x:f>O12*H12*I12</x:f>
        <x:v>66.15</x:v>
      </x:c>
      <x:c r="Q12" s="71" t="n">
        <x:f>P12*J12/1000</x:f>
        <x:v>0.6615</x:v>
      </x:c>
      <x:c r="R12" s="71" t="n">
        <x:f>P12*K12</x:f>
        <x:v>264.6</x:v>
      </x:c>
      <x:c r="S12" s="71" t="n">
        <x:f>P12*L12/1000</x:f>
        <x:v>0.2646</x:v>
      </x:c>
    </x:row>
    <x:row r="13" ht="15" hidden="0" customHeight="1">
      <x:c r="C13" s="8" t="str">
        <x:v>DRM-07</x:v>
      </x:c>
      <x:c r="D13" s="48" t="str">
        <x:v>Western wildfire complex</x:v>
      </x:c>
      <x:c r="E13" s="48" t="str">
        <x:v>M</x:v>
      </x:c>
      <x:c r="F13" s="67" t="n">
        <x:v>2</x:v>
      </x:c>
      <x:c r="G13" s="68" t="n">
        <x:v>0.3</x:v>
      </x:c>
      <x:c r="H13" s="69" t="n">
        <x:v>45</x:v>
      </x:c>
      <x:c r="I13" s="69" t="n">
        <x:v>1.2</x:v>
      </x:c>
      <x:c r="J13" s="69" t="n">
        <x:v>12</x:v>
      </x:c>
      <x:c r="K13" s="69" t="n">
        <x:v>2</x:v>
      </x:c>
      <x:c r="L13" s="69" t="n">
        <x:v>2</x:v>
      </x:c>
      <x:c r="M13" s="69" t="n">
        <x:v>5</x:v>
      </x:c>
      <x:c r="N13" s="69" t="str">
        <x:v>Concurrent fire and smoke operations</x:v>
      </x:c>
      <x:c r="O13" s="70" t="n">
        <x:f>F13*G13*'Assumptions'!$E$16</x:f>
        <x:v>0.6</x:v>
      </x:c>
      <x:c r="P13" s="71" t="n">
        <x:f>O13*H13*I13</x:f>
        <x:v>32.4</x:v>
      </x:c>
      <x:c r="Q13" s="71" t="n">
        <x:f>P13*J13/1000</x:f>
        <x:v>0.3888</x:v>
      </x:c>
      <x:c r="R13" s="71" t="n">
        <x:f>P13*K13</x:f>
        <x:v>64.8</x:v>
      </x:c>
      <x:c r="S13" s="71" t="n">
        <x:f>P13*L13/1000</x:f>
        <x:v>0.0648</x:v>
      </x:c>
    </x:row>
    <x:row r="14" ht="15" hidden="0" customHeight="1">
      <x:c r="C14" s="8" t="str">
        <x:v>DRM-08</x:v>
      </x:c>
      <x:c r="D14" s="48" t="str">
        <x:v>Mississippi basin flood</x:v>
      </x:c>
      <x:c r="E14" s="48" t="str">
        <x:v>M</x:v>
      </x:c>
      <x:c r="F14" s="67" t="n">
        <x:v>6</x:v>
      </x:c>
      <x:c r="G14" s="68" t="n">
        <x:v>0.35</x:v>
      </x:c>
      <x:c r="H14" s="69" t="n">
        <x:v>90</x:v>
      </x:c>
      <x:c r="I14" s="69" t="n">
        <x:v>1.3</x:v>
      </x:c>
      <x:c r="J14" s="69" t="n">
        <x:v>15</x:v>
      </x:c>
      <x:c r="K14" s="69" t="n">
        <x:v>2.5</x:v>
      </x:c>
      <x:c r="L14" s="69" t="n">
        <x:v>2</x:v>
      </x:c>
      <x:c r="M14" s="69" t="n">
        <x:v>3</x:v>
      </x:c>
      <x:c r="N14" s="69" t="str">
        <x:v>Levees, pumps, access, and agriculture</x:v>
      </x:c>
      <x:c r="O14" s="70" t="n">
        <x:f>F14*G14*'Assumptions'!$E$16</x:f>
        <x:v>2.0999999999999996</x:v>
      </x:c>
      <x:c r="P14" s="71" t="n">
        <x:f>O14*H14*I14</x:f>
        <x:v>245.69999999999996</x:v>
      </x:c>
      <x:c r="Q14" s="71" t="n">
        <x:f>P14*J14/1000</x:f>
        <x:v>3.6854999999999993</x:v>
      </x:c>
      <x:c r="R14" s="71" t="n">
        <x:f>P14*K14</x:f>
        <x:v>614.2499999999999</x:v>
      </x:c>
      <x:c r="S14" s="71" t="n">
        <x:f>P14*L14/1000</x:f>
        <x:v>0.49139999999999995</x:v>
      </x:c>
    </x:row>
    <x:row r="15" ht="15" hidden="0" customHeight="1">
      <x:c r="C15" s="8" t="str">
        <x:v>DRM-09</x:v>
      </x:c>
      <x:c r="D15" s="48" t="str">
        <x:v>National respiratory pandemic</x:v>
      </x:c>
      <x:c r="E15" s="48" t="str">
        <x:v>C</x:v>
      </x:c>
      <x:c r="F15" s="67" t="n">
        <x:v>40</x:v>
      </x:c>
      <x:c r="G15" s="68" t="n">
        <x:v>0.15</x:v>
      </x:c>
      <x:c r="H15" s="69" t="n">
        <x:v>180</x:v>
      </x:c>
      <x:c r="I15" s="69" t="n">
        <x:v>1</x:v>
      </x:c>
      <x:c r="J15" s="69" t="n">
        <x:v>5</x:v>
      </x:c>
      <x:c r="K15" s="69" t="n">
        <x:v>1.5</x:v>
      </x:c>
      <x:c r="L15" s="69" t="n">
        <x:v>12</x:v>
      </x:c>
      <x:c r="M15" s="69" t="n">
        <x:v>0.1</x:v>
      </x:c>
      <x:c r="N15" s="69" t="str">
        <x:v>Health workforce and supply correlation</x:v>
      </x:c>
      <x:c r="O15" s="70" t="n">
        <x:f>F15*G15*'Assumptions'!$E$16</x:f>
        <x:v>6</x:v>
      </x:c>
      <x:c r="P15" s="71" t="n">
        <x:f>O15*H15*I15</x:f>
        <x:v>1080</x:v>
      </x:c>
      <x:c r="Q15" s="71" t="n">
        <x:f>P15*J15/1000</x:f>
        <x:v>5.4</x:v>
      </x:c>
      <x:c r="R15" s="71" t="n">
        <x:f>P15*K15</x:f>
        <x:v>1620</x:v>
      </x:c>
      <x:c r="S15" s="71" t="n">
        <x:f>P15*L15/1000</x:f>
        <x:v>12.96</x:v>
      </x:c>
    </x:row>
    <x:row r="16" ht="15" hidden="0" customHeight="1">
      <x:c r="C16" s="8" t="str">
        <x:v>DRM-10</x:v>
      </x:c>
      <x:c r="D16" s="48" t="str">
        <x:v>Global coastal stabilization</x:v>
      </x:c>
      <x:c r="E16" s="48" t="str">
        <x:v>G</x:v>
      </x:c>
      <x:c r="F16" s="67" t="n">
        <x:v>5</x:v>
      </x:c>
      <x:c r="G16" s="68" t="n">
        <x:v>0.75</x:v>
      </x:c>
      <x:c r="H16" s="69" t="n">
        <x:v>90</x:v>
      </x:c>
      <x:c r="I16" s="69" t="n">
        <x:v>1.5</x:v>
      </x:c>
      <x:c r="J16" s="69" t="n">
        <x:v>15</x:v>
      </x:c>
      <x:c r="K16" s="69" t="n">
        <x:v>2.5</x:v>
      </x:c>
      <x:c r="L16" s="69" t="n">
        <x:v>3</x:v>
      </x:c>
      <x:c r="M16" s="69" t="n">
        <x:v>1.5</x:v>
      </x:c>
      <x:c r="N16" s="69" t="str">
        <x:v>Overseas access and host-nation interfaces</x:v>
      </x:c>
      <x:c r="O16" s="70" t="n">
        <x:f>F16*G16*'Assumptions'!$E$16</x:f>
        <x:v>3.75</x:v>
      </x:c>
      <x:c r="P16" s="71" t="n">
        <x:f>O16*H16*I16</x:f>
        <x:v>506.25</x:v>
      </x:c>
      <x:c r="Q16" s="71" t="n">
        <x:f>P16*J16/1000</x:f>
        <x:v>7.59375</x:v>
      </x:c>
      <x:c r="R16" s="71" t="n">
        <x:f>P16*K16</x:f>
        <x:v>1265.625</x:v>
      </x:c>
      <x:c r="S16" s="71" t="n">
        <x:f>P16*L16/1000</x:f>
        <x:v>1.51875</x:v>
      </x:c>
    </x:row>
    <x:row r="17" ht="15" hidden="0" customHeight="1">
      <x:c r="C17" s="38" t="str">
        <x:v>Portfolio total</x:v>
      </x:c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3" t="n">
        <x:f>SUM(O7:O16)</x:f>
        <x:v>29.65</x:v>
      </x:c>
      <x:c r="P17" s="73" t="n">
        <x:f>SUM(P7:P16)</x:f>
        <x:v>3950.025</x:v>
      </x:c>
      <x:c r="Q17" s="73" t="n">
        <x:f>SUM(Q7:Q16)</x:f>
        <x:v>48.022425</x:v>
      </x:c>
      <x:c r="R17" s="73" t="n">
        <x:f>SUM(R7:R16)</x:f>
        <x:v>10028.850000000002</x:v>
      </x:c>
      <x:c r="S17" s="73" t="n">
        <x:f>SUM(S7:S16)</x:f>
        <x:v>20.974725000000003</x:v>
      </x:c>
    </x:row>
    <x:row r="18" ht="15" hidden="0" customHeight="1">
      <x:c r="C18" s="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</x:row>
    <x:row r="19" ht="15" hidden="0" customHeight="1">
      <x:c r="C19" s="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</x:row>
    <x:row r="20" ht="15" hidden="0" customHeight="1">
      <x:c r="C20" s="22" t="str">
        <x:v>Interpretation</x:v>
      </x:c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5"/>
    </x:row>
    <x:row r="21" ht="48" hidden="0" customHeight="1">
      <x:c r="C21" s="48"/>
      <x:c r="D21" s="48" t="str">
        <x:v>Demand values are auditable design-study assumptions. They expose order of magnitude and dependencies; they are not event probabilities, official forecasts, or procurement quantities.</x:v>
      </x:c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</x:row>
    <x:row r="22" ht="48" hidden="0" customHeight="1">
      <x:c r="C22" s="48"/>
      <x:c r="D22" s="48" t="str">
        <x:v>Access factor is retained as an operational severity marker. Force sizing uses typed campaign packages rather than multiplying all physical demand directly by this marker.</x:v>
      </x:c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0" hidden="0" customWidth="1"/>
    <x:col min="4" max="4" width="34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8" hidden="0" customHeight="1">
      <x:c r="C2" s="65" t="str">
        <x:v>Force Sizing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15" hidden="0" customHeight="1">
      <x:c r="C3" s="66" t="str">
        <x:v>Concurrency-driven ready requirement and owned inventory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24" hidden="0" customHeight="1">
      <x:c r="C6" s="29" t="str">
        <x:v>ID</x:v>
      </x:c>
      <x:c r="D6" s="30" t="str">
        <x:v>Capability package</x:v>
      </x:c>
      <x:c r="E6" s="30" t="str">
        <x:v>Readiness unit</x:v>
      </x:c>
      <x:c r="F6" s="30" t="str">
        <x:v>Per catastrophic campaign</x:v>
      </x:c>
      <x:c r="G6" s="30" t="str">
        <x:v>Per major operation</x:v>
      </x:c>
      <x:c r="H6" s="30" t="str">
        <x:v>Per global operation</x:v>
      </x:c>
      <x:c r="I6" s="30" t="str">
        <x:v>Simultaneous demand</x:v>
      </x:c>
      <x:c r="J6" s="30" t="str">
        <x:v>Residual reserve</x:v>
      </x:c>
      <x:c r="K6" s="30" t="str">
        <x:v>Ready requirement</x:v>
      </x:c>
      <x:c r="L6" s="30" t="str">
        <x:v>Availability</x:v>
      </x:c>
      <x:c r="M6" s="30" t="str">
        <x:v>Owned inventory</x:v>
      </x:c>
      <x:c r="N6" s="31" t="str">
        <x:v>Inventory margin</x:v>
      </x:c>
    </x:row>
    <x:row r="7" ht="15" hidden="0" customHeight="1">
      <x:c r="C7" s="8" t="str">
        <x:v>W-2</x:v>
      </x:c>
      <x:c r="D7" s="48" t="str">
        <x:v>Regional Water Works</x:v>
      </x:c>
      <x:c r="E7" s="48" t="str">
        <x:v>formation</x:v>
      </x:c>
      <x:c r="F7" s="67" t="n">
        <x:v>12</x:v>
      </x:c>
      <x:c r="G7" s="67" t="n">
        <x:v>4</x:v>
      </x:c>
      <x:c r="H7" s="67" t="n">
        <x:v>6</x:v>
      </x:c>
      <x:c r="I7" s="70" t="n">
        <x:f>F7*'Assumptions'!$D$21+G7*'Assumptions'!$D$22+H7*'Assumptions'!$D$23</x:f>
        <x:v>68</x:v>
      </x:c>
      <x:c r="J7" s="70" t="n">
        <x:f>I7*'Assumptions'!$D$24</x:f>
        <x:v>13.600000000000001</x:v>
      </x:c>
      <x:c r="K7" s="71" t="n">
        <x:f>I7+J7</x:f>
        <x:v>81.6</x:v>
      </x:c>
      <x:c r="L7" s="68" t="n">
        <x:v>0.75</x:v>
      </x:c>
      <x:c r="M7" s="76" t="n">
        <x:f>INT(K7/L7)+IF(K7/L7&gt;INT(K7/L7),1,0)</x:f>
        <x:v>109</x:v>
      </x:c>
      <x:c r="N7" s="71" t="n">
        <x:f>M7-K7</x:f>
        <x:v>27.400000000000006</x:v>
      </x:c>
    </x:row>
    <x:row r="8" ht="15" hidden="0" customHeight="1">
      <x:c r="C8" s="8" t="str">
        <x:v>W-3</x:v>
      </x:c>
      <x:c r="D8" s="48" t="str">
        <x:v>Strategic Water Works</x:v>
      </x:c>
      <x:c r="E8" s="48" t="str">
        <x:v>formation</x:v>
      </x:c>
      <x:c r="F8" s="67" t="n">
        <x:v>4</x:v>
      </x:c>
      <x:c r="G8" s="67" t="n">
        <x:v>1</x:v>
      </x:c>
      <x:c r="H8" s="67" t="n">
        <x:v>2</x:v>
      </x:c>
      <x:c r="I8" s="70" t="n">
        <x:f>F8*'Assumptions'!$D$21+G8*'Assumptions'!$D$22+H8*'Assumptions'!$D$23</x:f>
        <x:v>21</x:v>
      </x:c>
      <x:c r="J8" s="70" t="n">
        <x:f>I8*'Assumptions'!$D$24</x:f>
        <x:v>4.2</x:v>
      </x:c>
      <x:c r="K8" s="71" t="n">
        <x:f>I8+J8</x:f>
        <x:v>25.2</x:v>
      </x:c>
      <x:c r="L8" s="68" t="n">
        <x:v>0.7</x:v>
      </x:c>
      <x:c r="M8" s="76" t="n">
        <x:f>INT(K8/L8)+IF(K8/L8&gt;INT(K8/L8),1,0)</x:f>
        <x:v>36</x:v>
      </x:c>
      <x:c r="N8" s="71" t="n">
        <x:f>M8-K8</x:f>
        <x:v>10.8</x:v>
      </x:c>
    </x:row>
    <x:row r="9" ht="15" hidden="0" customHeight="1">
      <x:c r="C9" s="8" t="str">
        <x:v>W-4</x:v>
      </x:c>
      <x:c r="D9" s="48" t="str">
        <x:v>Rapid Water Grid</x:v>
      </x:c>
      <x:c r="E9" s="48" t="str">
        <x:v>formation</x:v>
      </x:c>
      <x:c r="F9" s="67" t="n">
        <x:v>8</x:v>
      </x:c>
      <x:c r="G9" s="67" t="n">
        <x:v>3</x:v>
      </x:c>
      <x:c r="H9" s="67" t="n">
        <x:v>4</x:v>
      </x:c>
      <x:c r="I9" s="70" t="n">
        <x:f>F9*'Assumptions'!$D$21+G9*'Assumptions'!$D$22+H9*'Assumptions'!$D$23</x:f>
        <x:v>47</x:v>
      </x:c>
      <x:c r="J9" s="70" t="n">
        <x:f>I9*'Assumptions'!$D$24</x:f>
        <x:v>9.4</x:v>
      </x:c>
      <x:c r="K9" s="71" t="n">
        <x:f>I9+J9</x:f>
        <x:v>56.4</x:v>
      </x:c>
      <x:c r="L9" s="68" t="n">
        <x:v>0.75</x:v>
      </x:c>
      <x:c r="M9" s="76" t="n">
        <x:f>INT(K9/L9)+IF(K9/L9&gt;INT(K9/L9),1,0)</x:f>
        <x:v>76</x:v>
      </x:c>
      <x:c r="N9" s="71" t="n">
        <x:f>M9-K9</x:f>
        <x:v>19.6</x:v>
      </x:c>
    </x:row>
    <x:row r="10" ht="15" hidden="0" customHeight="1">
      <x:c r="C10" s="8" t="str">
        <x:v>P-1</x:v>
      </x:c>
      <x:c r="D10" s="48" t="str">
        <x:v>Critical Facility Power Cell</x:v>
      </x:c>
      <x:c r="E10" s="48" t="str">
        <x:v>cell</x:v>
      </x:c>
      <x:c r="F10" s="67" t="n">
        <x:v>300</x:v>
      </x:c>
      <x:c r="G10" s="67" t="n">
        <x:v>80</x:v>
      </x:c>
      <x:c r="H10" s="67" t="n">
        <x:v>100</x:v>
      </x:c>
      <x:c r="I10" s="70" t="n">
        <x:f>F10*'Assumptions'!$D$21+G10*'Assumptions'!$D$22+H10*'Assumptions'!$D$23</x:f>
        <x:v>1500</x:v>
      </x:c>
      <x:c r="J10" s="70" t="n">
        <x:f>I10*'Assumptions'!$D$24</x:f>
        <x:v>300</x:v>
      </x:c>
      <x:c r="K10" s="71" t="n">
        <x:f>I10+J10</x:f>
        <x:v>1800</x:v>
      </x:c>
      <x:c r="L10" s="68" t="n">
        <x:v>0.85</x:v>
      </x:c>
      <x:c r="M10" s="76" t="n">
        <x:f>INT(K10/L10)+IF(K10/L10&gt;INT(K10/L10),1,0)</x:f>
        <x:v>2118</x:v>
      </x:c>
      <x:c r="N10" s="71" t="n">
        <x:f>M10-K10</x:f>
        <x:v>318</x:v>
      </x:c>
    </x:row>
    <x:row r="11" ht="15" hidden="0" customHeight="1">
      <x:c r="C11" s="8" t="str">
        <x:v>P-2</x:v>
      </x:c>
      <x:c r="D11" s="48" t="str">
        <x:v>Community Grid Island</x:v>
      </x:c>
      <x:c r="E11" s="48" t="str">
        <x:v>formation</x:v>
      </x:c>
      <x:c r="F11" s="67" t="n">
        <x:v>30</x:v>
      </x:c>
      <x:c r="G11" s="67" t="n">
        <x:v>10</x:v>
      </x:c>
      <x:c r="H11" s="67" t="n">
        <x:v>15</x:v>
      </x:c>
      <x:c r="I11" s="70" t="n">
        <x:f>F11*'Assumptions'!$D$21+G11*'Assumptions'!$D$22+H11*'Assumptions'!$D$23</x:f>
        <x:v>170</x:v>
      </x:c>
      <x:c r="J11" s="70" t="n">
        <x:f>I11*'Assumptions'!$D$24</x:f>
        <x:v>34</x:v>
      </x:c>
      <x:c r="K11" s="71" t="n">
        <x:f>I11+J11</x:f>
        <x:v>204</x:v>
      </x:c>
      <x:c r="L11" s="68" t="n">
        <x:v>0.8</x:v>
      </x:c>
      <x:c r="M11" s="76" t="n">
        <x:f>INT(K11/L11)+IF(K11/L11&gt;INT(K11/L11),1,0)</x:f>
        <x:v>255</x:v>
      </x:c>
      <x:c r="N11" s="71" t="n">
        <x:f>M11-K11</x:f>
        <x:v>51</x:v>
      </x:c>
    </x:row>
    <x:row r="12" ht="15" hidden="0" customHeight="1">
      <x:c r="C12" s="8" t="str">
        <x:v>P-3</x:v>
      </x:c>
      <x:c r="D12" s="48" t="str">
        <x:v>Regional Grid Bridge</x:v>
      </x:c>
      <x:c r="E12" s="48" t="str">
        <x:v>formation</x:v>
      </x:c>
      <x:c r="F12" s="67" t="n">
        <x:v>10</x:v>
      </x:c>
      <x:c r="G12" s="67" t="n">
        <x:v>3</x:v>
      </x:c>
      <x:c r="H12" s="67" t="n">
        <x:v>5</x:v>
      </x:c>
      <x:c r="I12" s="70" t="n">
        <x:f>F12*'Assumptions'!$D$21+G12*'Assumptions'!$D$22+H12*'Assumptions'!$D$23</x:f>
        <x:v>55</x:v>
      </x:c>
      <x:c r="J12" s="70" t="n">
        <x:f>I12*'Assumptions'!$D$24</x:f>
        <x:v>11</x:v>
      </x:c>
      <x:c r="K12" s="71" t="n">
        <x:f>I12+J12</x:f>
        <x:v>66</x:v>
      </x:c>
      <x:c r="L12" s="68" t="n">
        <x:v>0.75</x:v>
      </x:c>
      <x:c r="M12" s="76" t="n">
        <x:f>INT(K12/L12)+IF(K12/L12&gt;INT(K12/L12),1,0)</x:f>
        <x:v>88</x:v>
      </x:c>
      <x:c r="N12" s="71" t="n">
        <x:f>M12-K12</x:f>
        <x:v>22</x:v>
      </x:c>
    </x:row>
    <x:row r="13" ht="15" hidden="0" customHeight="1">
      <x:c r="C13" s="8" t="str">
        <x:v>FA-2</x:v>
      </x:c>
      <x:c r="D13" s="48" t="str">
        <x:v>Rapid Attack Aircraft</x:v>
      </x:c>
      <x:c r="E13" s="48" t="str">
        <x:v>aircraft</x:v>
      </x:c>
      <x:c r="F13" s="67" t="n">
        <x:v>30</x:v>
      </x:c>
      <x:c r="G13" s="67" t="n">
        <x:v>8</x:v>
      </x:c>
      <x:c r="H13" s="67" t="n">
        <x:v>12</x:v>
      </x:c>
      <x:c r="I13" s="70" t="n">
        <x:f>F13*'Assumptions'!$D$21+G13*'Assumptions'!$D$22+H13*'Assumptions'!$D$23</x:f>
        <x:v>154</x:v>
      </x:c>
      <x:c r="J13" s="70" t="n">
        <x:f>I13*'Assumptions'!$D$24</x:f>
        <x:v>30.8</x:v>
      </x:c>
      <x:c r="K13" s="71" t="n">
        <x:f>I13+J13</x:f>
        <x:v>184.8</x:v>
      </x:c>
      <x:c r="L13" s="68" t="n">
        <x:v>0.7</x:v>
      </x:c>
      <x:c r="M13" s="76" t="n">
        <x:f>INT(K13/L13)+IF(K13/L13&gt;INT(K13/L13),1,0)</x:f>
        <x:v>264</x:v>
      </x:c>
      <x:c r="N13" s="71" t="n">
        <x:f>M13-K13</x:f>
        <x:v>79.19999999999999</x:v>
      </x:c>
    </x:row>
    <x:row r="14" ht="15" hidden="0" customHeight="1">
      <x:c r="C14" s="8" t="str">
        <x:v>FA-3</x:v>
      </x:c>
      <x:c r="D14" s="48" t="str">
        <x:v>Regional Amphibious Suppressor</x:v>
      </x:c>
      <x:c r="E14" s="48" t="str">
        <x:v>aircraft</x:v>
      </x:c>
      <x:c r="F14" s="67" t="n">
        <x:v>16</x:v>
      </x:c>
      <x:c r="G14" s="67" t="n">
        <x:v>4</x:v>
      </x:c>
      <x:c r="H14" s="67" t="n">
        <x:v>8</x:v>
      </x:c>
      <x:c r="I14" s="70" t="n">
        <x:f>F14*'Assumptions'!$D$21+G14*'Assumptions'!$D$22+H14*'Assumptions'!$D$23</x:f>
        <x:v>84</x:v>
      </x:c>
      <x:c r="J14" s="70" t="n">
        <x:f>I14*'Assumptions'!$D$24</x:f>
        <x:v>16.8</x:v>
      </x:c>
      <x:c r="K14" s="71" t="n">
        <x:f>I14+J14</x:f>
        <x:v>100.8</x:v>
      </x:c>
      <x:c r="L14" s="68" t="n">
        <x:v>0.7</x:v>
      </x:c>
      <x:c r="M14" s="76" t="n">
        <x:f>INT(K14/L14)+IF(K14/L14&gt;INT(K14/L14),1,0)</x:f>
        <x:v>144</x:v>
      </x:c>
      <x:c r="N14" s="71" t="n">
        <x:f>M14-K14</x:f>
        <x:v>43.2</x:v>
      </x:c>
    </x:row>
    <x:row r="15" ht="15" hidden="0" customHeight="1">
      <x:c r="C15" s="8" t="str">
        <x:v>FA-4</x:v>
      </x:c>
      <x:c r="D15" s="48" t="str">
        <x:v>Heavy Line Builder</x:v>
      </x:c>
      <x:c r="E15" s="48" t="str">
        <x:v>aircraft</x:v>
      </x:c>
      <x:c r="F15" s="67" t="n">
        <x:v>8</x:v>
      </x:c>
      <x:c r="G15" s="67" t="n">
        <x:v>3</x:v>
      </x:c>
      <x:c r="H15" s="67" t="n">
        <x:v>4</x:v>
      </x:c>
      <x:c r="I15" s="70" t="n">
        <x:f>F15*'Assumptions'!$D$21+G15*'Assumptions'!$D$22+H15*'Assumptions'!$D$23</x:f>
        <x:v>47</x:v>
      </x:c>
      <x:c r="J15" s="70" t="n">
        <x:f>I15*'Assumptions'!$D$24</x:f>
        <x:v>9.4</x:v>
      </x:c>
      <x:c r="K15" s="71" t="n">
        <x:f>I15+J15</x:f>
        <x:v>56.4</x:v>
      </x:c>
      <x:c r="L15" s="68" t="n">
        <x:v>0.65</x:v>
      </x:c>
      <x:c r="M15" s="76" t="n">
        <x:f>INT(K15/L15)+IF(K15/L15&gt;INT(K15/L15),1,0)</x:f>
        <x:v>87</x:v>
      </x:c>
      <x:c r="N15" s="71" t="n">
        <x:f>M15-K15</x:f>
        <x:v>30.6</x:v>
      </x:c>
    </x:row>
    <x:row r="16" ht="15" hidden="0" customHeight="1">
      <x:c r="C16" s="8" t="str">
        <x:v>FA-5</x:v>
      </x:c>
      <x:c r="D16" s="48" t="str">
        <x:v>Precision Rotorcraft</x:v>
      </x:c>
      <x:c r="E16" s="48" t="str">
        <x:v>aircraft</x:v>
      </x:c>
      <x:c r="F16" s="67" t="n">
        <x:v>24</x:v>
      </x:c>
      <x:c r="G16" s="67" t="n">
        <x:v>8</x:v>
      </x:c>
      <x:c r="H16" s="67" t="n">
        <x:v>12</x:v>
      </x:c>
      <x:c r="I16" s="70" t="n">
        <x:f>F16*'Assumptions'!$D$21+G16*'Assumptions'!$D$22+H16*'Assumptions'!$D$23</x:f>
        <x:v>136</x:v>
      </x:c>
      <x:c r="J16" s="70" t="n">
        <x:f>I16*'Assumptions'!$D$24</x:f>
        <x:v>27.200000000000003</x:v>
      </x:c>
      <x:c r="K16" s="71" t="n">
        <x:f>I16+J16</x:f>
        <x:v>163.2</x:v>
      </x:c>
      <x:c r="L16" s="68" t="n">
        <x:v>0.7</x:v>
      </x:c>
      <x:c r="M16" s="76" t="n">
        <x:f>INT(K16/L16)+IF(K16/L16&gt;INT(K16/L16),1,0)</x:f>
        <x:v>234</x:v>
      </x:c>
      <x:c r="N16" s="71" t="n">
        <x:f>M16-K16</x:f>
        <x:v>70.80000000000001</x:v>
      </x:c>
    </x:row>
    <x:row r="17" ht="15" hidden="0" customHeight="1">
      <x:c r="C17" s="8" t="str">
        <x:v>FA-6</x:v>
      </x:c>
      <x:c r="D17" s="48" t="str">
        <x:v>Fire Aviation Base System</x:v>
      </x:c>
      <x:c r="E17" s="48" t="str">
        <x:v>base set</x:v>
      </x:c>
      <x:c r="F17" s="67" t="n">
        <x:v>8</x:v>
      </x:c>
      <x:c r="G17" s="67" t="n">
        <x:v>3</x:v>
      </x:c>
      <x:c r="H17" s="67" t="n">
        <x:v>4</x:v>
      </x:c>
      <x:c r="I17" s="70" t="n">
        <x:f>F17*'Assumptions'!$D$21+G17*'Assumptions'!$D$22+H17*'Assumptions'!$D$23</x:f>
        <x:v>47</x:v>
      </x:c>
      <x:c r="J17" s="70" t="n">
        <x:f>I17*'Assumptions'!$D$24</x:f>
        <x:v>9.4</x:v>
      </x:c>
      <x:c r="K17" s="71" t="n">
        <x:f>I17+J17</x:f>
        <x:v>56.4</x:v>
      </x:c>
      <x:c r="L17" s="68" t="n">
        <x:v>0.8</x:v>
      </x:c>
      <x:c r="M17" s="76" t="n">
        <x:f>INT(K17/L17)+IF(K17/L17&gt;INT(K17/L17),1,0)</x:f>
        <x:v>71</x:v>
      </x:c>
      <x:c r="N17" s="71" t="n">
        <x:f>M17-K17</x:f>
        <x:v>14.600000000000001</x:v>
      </x:c>
    </x:row>
    <x:row r="18" ht="15" hidden="0" customHeight="1">
      <x:c r="C18" s="8" t="str">
        <x:v>FL-2</x:v>
      </x:c>
      <x:c r="D18" s="48" t="str">
        <x:v>High-Volume Pump Train</x:v>
      </x:c>
      <x:c r="E18" s="48" t="str">
        <x:v>formation</x:v>
      </x:c>
      <x:c r="F18" s="67" t="n">
        <x:v>24</x:v>
      </x:c>
      <x:c r="G18" s="67" t="n">
        <x:v>8</x:v>
      </x:c>
      <x:c r="H18" s="67" t="n">
        <x:v>10</x:v>
      </x:c>
      <x:c r="I18" s="70" t="n">
        <x:f>F18*'Assumptions'!$D$21+G18*'Assumptions'!$D$22+H18*'Assumptions'!$D$23</x:f>
        <x:v>132</x:v>
      </x:c>
      <x:c r="J18" s="70" t="n">
        <x:f>I18*'Assumptions'!$D$24</x:f>
        <x:v>26.400000000000002</x:v>
      </x:c>
      <x:c r="K18" s="71" t="n">
        <x:f>I18+J18</x:f>
        <x:v>158.4</x:v>
      </x:c>
      <x:c r="L18" s="68" t="n">
        <x:v>0.8</x:v>
      </x:c>
      <x:c r="M18" s="76" t="n">
        <x:f>INT(K18/L18)+IF(K18/L18&gt;INT(K18/L18),1,0)</x:f>
        <x:v>198</x:v>
      </x:c>
      <x:c r="N18" s="71" t="n">
        <x:f>M18-K18</x:f>
        <x:v>39.599999999999994</x:v>
      </x:c>
    </x:row>
    <x:row r="19" ht="15" hidden="0" customHeight="1">
      <x:c r="C19" s="8" t="str">
        <x:v>FL-5</x:v>
      </x:c>
      <x:c r="D19" s="48" t="str">
        <x:v>Amphibious Rescue/Logistics Group</x:v>
      </x:c>
      <x:c r="E19" s="48" t="str">
        <x:v>group</x:v>
      </x:c>
      <x:c r="F19" s="67" t="n">
        <x:v>16</x:v>
      </x:c>
      <x:c r="G19" s="67" t="n">
        <x:v>6</x:v>
      </x:c>
      <x:c r="H19" s="67" t="n">
        <x:v>8</x:v>
      </x:c>
      <x:c r="I19" s="70" t="n">
        <x:f>F19*'Assumptions'!$D$21+G19*'Assumptions'!$D$22+H19*'Assumptions'!$D$23</x:f>
        <x:v>94</x:v>
      </x:c>
      <x:c r="J19" s="70" t="n">
        <x:f>I19*'Assumptions'!$D$24</x:f>
        <x:v>18.8</x:v>
      </x:c>
      <x:c r="K19" s="71" t="n">
        <x:f>I19+J19</x:f>
        <x:v>112.8</x:v>
      </x:c>
      <x:c r="L19" s="68" t="n">
        <x:v>0.8</x:v>
      </x:c>
      <x:c r="M19" s="76" t="n">
        <x:f>INT(K19/L19)+IF(K19/L19&gt;INT(K19/L19),1,0)</x:f>
        <x:v>141</x:v>
      </x:c>
      <x:c r="N19" s="71" t="n">
        <x:f>M19-K19</x:f>
        <x:v>28.200000000000003</x:v>
      </x:c>
    </x:row>
    <x:row r="20" ht="15" hidden="0" customHeight="1">
      <x:c r="C20" s="8" t="str">
        <x:v>EW-G</x:v>
      </x:c>
      <x:c r="D20" s="48" t="str">
        <x:v>Earthworks and Debris Group</x:v>
      </x:c>
      <x:c r="E20" s="48" t="str">
        <x:v>group</x:v>
      </x:c>
      <x:c r="F20" s="67" t="n">
        <x:v>24</x:v>
      </x:c>
      <x:c r="G20" s="67" t="n">
        <x:v>8</x:v>
      </x:c>
      <x:c r="H20" s="67" t="n">
        <x:v>10</x:v>
      </x:c>
      <x:c r="I20" s="70" t="n">
        <x:f>F20*'Assumptions'!$D$21+G20*'Assumptions'!$D$22+H20*'Assumptions'!$D$23</x:f>
        <x:v>132</x:v>
      </x:c>
      <x:c r="J20" s="70" t="n">
        <x:f>I20*'Assumptions'!$D$24</x:f>
        <x:v>26.400000000000002</x:v>
      </x:c>
      <x:c r="K20" s="71" t="n">
        <x:f>I20+J20</x:f>
        <x:v>158.4</x:v>
      </x:c>
      <x:c r="L20" s="68" t="n">
        <x:v>0.75</x:v>
      </x:c>
      <x:c r="M20" s="76" t="n">
        <x:f>INT(K20/L20)+IF(K20/L20&gt;INT(K20/L20),1,0)</x:f>
        <x:v>212</x:v>
      </x:c>
      <x:c r="N20" s="71" t="n">
        <x:f>M20-K20</x:f>
        <x:v>53.599999999999994</x:v>
      </x:c>
    </x:row>
    <x:row r="21" ht="15" hidden="0" customHeight="1">
      <x:c r="C21" s="8" t="str">
        <x:v>BR-G</x:v>
      </x:c>
      <x:c r="D21" s="48" t="str">
        <x:v>Crossing and Route Group</x:v>
      </x:c>
      <x:c r="E21" s="48" t="str">
        <x:v>group</x:v>
      </x:c>
      <x:c r="F21" s="67" t="n">
        <x:v>12</x:v>
      </x:c>
      <x:c r="G21" s="67" t="n">
        <x:v>5</x:v>
      </x:c>
      <x:c r="H21" s="67" t="n">
        <x:v>6</x:v>
      </x:c>
      <x:c r="I21" s="70" t="n">
        <x:f>F21*'Assumptions'!$D$21+G21*'Assumptions'!$D$22+H21*'Assumptions'!$D$23</x:f>
        <x:v>73</x:v>
      </x:c>
      <x:c r="J21" s="70" t="n">
        <x:f>I21*'Assumptions'!$D$24</x:f>
        <x:v>14.600000000000001</x:v>
      </x:c>
      <x:c r="K21" s="71" t="n">
        <x:f>I21+J21</x:f>
        <x:v>87.6</x:v>
      </x:c>
      <x:c r="L21" s="68" t="n">
        <x:v>0.8</x:v>
      </x:c>
      <x:c r="M21" s="76" t="n">
        <x:f>INT(K21/L21)+IF(K21/L21&gt;INT(K21/L21),1,0)</x:f>
        <x:v>110</x:v>
      </x:c>
      <x:c r="N21" s="71" t="n">
        <x:f>M21-K21</x:f>
        <x:v>22.400000000000006</x:v>
      </x:c>
    </x:row>
    <x:row r="22" ht="15" hidden="0" customHeight="1">
      <x:c r="C22" s="8" t="str">
        <x:v>MR-1</x:v>
      </x:c>
      <x:c r="D22" s="48" t="str">
        <x:v>Littoral Access Flotilla</x:v>
      </x:c>
      <x:c r="E22" s="48" t="str">
        <x:v>flotilla</x:v>
      </x:c>
      <x:c r="F22" s="67" t="n">
        <x:v>8</x:v>
      </x:c>
      <x:c r="G22" s="67" t="n">
        <x:v>2</x:v>
      </x:c>
      <x:c r="H22" s="67" t="n">
        <x:v>5</x:v>
      </x:c>
      <x:c r="I22" s="70" t="n">
        <x:f>F22*'Assumptions'!$D$21+G22*'Assumptions'!$D$22+H22*'Assumptions'!$D$23</x:f>
        <x:v>44</x:v>
      </x:c>
      <x:c r="J22" s="70" t="n">
        <x:f>I22*'Assumptions'!$D$24</x:f>
        <x:v>8.8</x:v>
      </x:c>
      <x:c r="K22" s="71" t="n">
        <x:f>I22+J22</x:f>
        <x:v>52.8</x:v>
      </x:c>
      <x:c r="L22" s="68" t="n">
        <x:v>0.75</x:v>
      </x:c>
      <x:c r="M22" s="76" t="n">
        <x:f>INT(K22/L22)+IF(K22/L22&gt;INT(K22/L22),1,0)</x:f>
        <x:v>71</x:v>
      </x:c>
      <x:c r="N22" s="71" t="n">
        <x:f>M22-K22</x:f>
        <x:v>18.200000000000003</x:v>
      </x:c>
    </x:row>
    <x:row r="23" ht="15" hidden="0" customHeight="1">
      <x:c r="C23" s="8" t="str">
        <x:v>MR-2</x:v>
      </x:c>
      <x:c r="D23" s="48" t="str">
        <x:v>Port-Opening Group</x:v>
      </x:c>
      <x:c r="E23" s="48" t="str">
        <x:v>group</x:v>
      </x:c>
      <x:c r="F23" s="67" t="n">
        <x:v>4</x:v>
      </x:c>
      <x:c r="G23" s="67" t="n">
        <x:v>1</x:v>
      </x:c>
      <x:c r="H23" s="67" t="n">
        <x:v>3</x:v>
      </x:c>
      <x:c r="I23" s="70" t="n">
        <x:f>F23*'Assumptions'!$D$21+G23*'Assumptions'!$D$22+H23*'Assumptions'!$D$23</x:f>
        <x:v>23</x:v>
      </x:c>
      <x:c r="J23" s="70" t="n">
        <x:f>I23*'Assumptions'!$D$24</x:f>
        <x:v>4.6000000000000005</x:v>
      </x:c>
      <x:c r="K23" s="71" t="n">
        <x:f>I23+J23</x:f>
        <x:v>27.6</x:v>
      </x:c>
      <x:c r="L23" s="68" t="n">
        <x:v>0.7</x:v>
      </x:c>
      <x:c r="M23" s="76" t="n">
        <x:f>INT(K23/L23)+IF(K23/L23&gt;INT(K23/L23),1,0)</x:f>
        <x:v>40</x:v>
      </x:c>
      <x:c r="N23" s="71" t="n">
        <x:f>M23-K23</x:f>
        <x:v>12.399999999999999</x:v>
      </x:c>
    </x:row>
    <x:row r="24" ht="15" hidden="0" customHeight="1">
      <x:c r="C24" s="8" t="str">
        <x:v>MR-3</x:v>
      </x:c>
      <x:c r="D24" s="48" t="str">
        <x:v>Resilience Support Carrier</x:v>
      </x:c>
      <x:c r="E24" s="48" t="str">
        <x:v>ship</x:v>
      </x:c>
      <x:c r="F24" s="67" t="n">
        <x:v>2</x:v>
      </x:c>
      <x:c r="G24" s="67" t="n">
        <x:v>0.5</x:v>
      </x:c>
      <x:c r="H24" s="67" t="n">
        <x:v>1</x:v>
      </x:c>
      <x:c r="I24" s="70" t="n">
        <x:f>F24*'Assumptions'!$D$21+G24*'Assumptions'!$D$22+H24*'Assumptions'!$D$23</x:f>
        <x:v>10.5</x:v>
      </x:c>
      <x:c r="J24" s="70" t="n">
        <x:f>I24*'Assumptions'!$D$24</x:f>
        <x:v>2.1</x:v>
      </x:c>
      <x:c r="K24" s="71" t="n">
        <x:f>I24+J24</x:f>
        <x:v>12.6</x:v>
      </x:c>
      <x:c r="L24" s="68" t="n">
        <x:v>0.65</x:v>
      </x:c>
      <x:c r="M24" s="76" t="n">
        <x:f>INT(K24/L24)+IF(K24/L24&gt;INT(K24/L24),1,0)</x:f>
        <x:v>20</x:v>
      </x:c>
      <x:c r="N24" s="71" t="n">
        <x:f>M24-K24</x:f>
        <x:v>7.4</x:v>
      </x:c>
    </x:row>
    <x:row r="25" ht="15" hidden="0" customHeight="1">
      <x:c r="C25" s="8" t="str">
        <x:v>MR-4</x:v>
      </x:c>
      <x:c r="D25" s="48" t="str">
        <x:v>Sealift and Sustainment Ship</x:v>
      </x:c>
      <x:c r="E25" s="48" t="str">
        <x:v>ship</x:v>
      </x:c>
      <x:c r="F25" s="67" t="n">
        <x:v>5</x:v>
      </x:c>
      <x:c r="G25" s="67" t="n">
        <x:v>2</x:v>
      </x:c>
      <x:c r="H25" s="67" t="n">
        <x:v>4</x:v>
      </x:c>
      <x:c r="I25" s="70" t="n">
        <x:f>F25*'Assumptions'!$D$21+G25*'Assumptions'!$D$22+H25*'Assumptions'!$D$23</x:f>
        <x:v>33</x:v>
      </x:c>
      <x:c r="J25" s="70" t="n">
        <x:f>I25*'Assumptions'!$D$24</x:f>
        <x:v>6.6000000000000005</x:v>
      </x:c>
      <x:c r="K25" s="71" t="n">
        <x:f>I25+J25</x:f>
        <x:v>39.6</x:v>
      </x:c>
      <x:c r="L25" s="68" t="n">
        <x:v>0.7</x:v>
      </x:c>
      <x:c r="M25" s="76" t="n">
        <x:f>INT(K25/L25)+IF(K25/L25&gt;INT(K25/L25),1,0)</x:f>
        <x:v>57</x:v>
      </x:c>
      <x:c r="N25" s="71" t="n">
        <x:f>M25-K25</x:f>
        <x:v>17.4</x:v>
      </x:c>
    </x:row>
    <x:row r="26" ht="15" hidden="0" customHeight="1">
      <x:c r="C26" s="8" t="str">
        <x:v>MR-5</x:v>
      </x:c>
      <x:c r="D26" s="48" t="str">
        <x:v>Inland-Waterway Group</x:v>
      </x:c>
      <x:c r="E26" s="48" t="str">
        <x:v>group</x:v>
      </x:c>
      <x:c r="F26" s="67" t="n">
        <x:v>5</x:v>
      </x:c>
      <x:c r="G26" s="67" t="n">
        <x:v>2</x:v>
      </x:c>
      <x:c r="H26" s="67" t="n">
        <x:v>2</x:v>
      </x:c>
      <x:c r="I26" s="70" t="n">
        <x:f>F26*'Assumptions'!$D$21+G26*'Assumptions'!$D$22+H26*'Assumptions'!$D$23</x:f>
        <x:v>29</x:v>
      </x:c>
      <x:c r="J26" s="70" t="n">
        <x:f>I26*'Assumptions'!$D$24</x:f>
        <x:v>5.800000000000001</x:v>
      </x:c>
      <x:c r="K26" s="71" t="n">
        <x:f>I26+J26</x:f>
        <x:v>34.8</x:v>
      </x:c>
      <x:c r="L26" s="68" t="n">
        <x:v>0.75</x:v>
      </x:c>
      <x:c r="M26" s="76" t="n">
        <x:f>INT(K26/L26)+IF(K26/L26&gt;INT(K26/L26),1,0)</x:f>
        <x:v>47</x:v>
      </x:c>
      <x:c r="N26" s="71" t="n">
        <x:f>M26-K26</x:f>
        <x:v>12.200000000000003</x:v>
      </x:c>
    </x:row>
    <x:row r="27" ht="15" hidden="0" customHeight="1">
      <x:c r="C27" s="8" t="str">
        <x:v>MH-G</x:v>
      </x:c>
      <x:c r="D27" s="48" t="str">
        <x:v>Medical Ship Group</x:v>
      </x:c>
      <x:c r="E27" s="48" t="str">
        <x:v>group</x:v>
      </x:c>
      <x:c r="F27" s="67" t="n">
        <x:v>2</x:v>
      </x:c>
      <x:c r="G27" s="67" t="n">
        <x:v>1</x:v>
      </x:c>
      <x:c r="H27" s="67" t="n">
        <x:v>2</x:v>
      </x:c>
      <x:c r="I27" s="70" t="n">
        <x:f>F27*'Assumptions'!$D$21+G27*'Assumptions'!$D$22+H27*'Assumptions'!$D$23</x:f>
        <x:v>15</x:v>
      </x:c>
      <x:c r="J27" s="70" t="n">
        <x:f>I27*'Assumptions'!$D$24</x:f>
        <x:v>3</x:v>
      </x:c>
      <x:c r="K27" s="71" t="n">
        <x:f>I27+J27</x:f>
        <x:v>18</x:v>
      </x:c>
      <x:c r="L27" s="68" t="n">
        <x:v>0.65</x:v>
      </x:c>
      <x:c r="M27" s="76" t="n">
        <x:f>INT(K27/L27)+IF(K27/L27&gt;INT(K27/L27),1,0)</x:f>
        <x:v>28</x:v>
      </x:c>
      <x:c r="N27" s="71" t="n">
        <x:f>M27-K27</x:f>
        <x:v>10</x:v>
      </x:c>
    </x:row>
    <x:row r="28" ht="15" hidden="0" customHeight="1">
      <x:c r="C28" s="8" t="str">
        <x:v>AM-1</x:v>
      </x:c>
      <x:c r="D28" s="48" t="str">
        <x:v>Strategic Mission-Module Airlift</x:v>
      </x:c>
      <x:c r="E28" s="48" t="str">
        <x:v>aircraft</x:v>
      </x:c>
      <x:c r="F28" s="67" t="n">
        <x:v>12</x:v>
      </x:c>
      <x:c r="G28" s="67" t="n">
        <x:v>4</x:v>
      </x:c>
      <x:c r="H28" s="67" t="n">
        <x:v>8</x:v>
      </x:c>
      <x:c r="I28" s="70" t="n">
        <x:f>F28*'Assumptions'!$D$21+G28*'Assumptions'!$D$22+H28*'Assumptions'!$D$23</x:f>
        <x:v>72</x:v>
      </x:c>
      <x:c r="J28" s="70" t="n">
        <x:f>I28*'Assumptions'!$D$24</x:f>
        <x:v>14.4</x:v>
      </x:c>
      <x:c r="K28" s="71" t="n">
        <x:f>I28+J28</x:f>
        <x:v>86.4</x:v>
      </x:c>
      <x:c r="L28" s="68" t="n">
        <x:v>0.65</x:v>
      </x:c>
      <x:c r="M28" s="76" t="n">
        <x:f>INT(K28/L28)+IF(K28/L28&gt;INT(K28/L28),1,0)</x:f>
        <x:v>133</x:v>
      </x:c>
      <x:c r="N28" s="71" t="n">
        <x:f>M28-K28</x:f>
        <x:v>46.599999999999994</x:v>
      </x:c>
    </x:row>
    <x:row r="29" ht="15" hidden="0" customHeight="1">
      <x:c r="C29" s="8" t="str">
        <x:v>AM-2</x:v>
      </x:c>
      <x:c r="D29" s="48" t="str">
        <x:v>Short-Field Disaster Airlifter</x:v>
      </x:c>
      <x:c r="E29" s="48" t="str">
        <x:v>aircraft</x:v>
      </x:c>
      <x:c r="F29" s="67" t="n">
        <x:v>18</x:v>
      </x:c>
      <x:c r="G29" s="67" t="n">
        <x:v>7</x:v>
      </x:c>
      <x:c r="H29" s="67" t="n">
        <x:v>10</x:v>
      </x:c>
      <x:c r="I29" s="70" t="n">
        <x:f>F29*'Assumptions'!$D$21+G29*'Assumptions'!$D$22+H29*'Assumptions'!$D$23</x:f>
        <x:v>109</x:v>
      </x:c>
      <x:c r="J29" s="70" t="n">
        <x:f>I29*'Assumptions'!$D$24</x:f>
        <x:v>21.8</x:v>
      </x:c>
      <x:c r="K29" s="71" t="n">
        <x:f>I29+J29</x:f>
        <x:v>130.8</x:v>
      </x:c>
      <x:c r="L29" s="68" t="n">
        <x:v>0.7</x:v>
      </x:c>
      <x:c r="M29" s="76" t="n">
        <x:f>INT(K29/L29)+IF(K29/L29&gt;INT(K29/L29),1,0)</x:f>
        <x:v>187</x:v>
      </x:c>
      <x:c r="N29" s="71" t="n">
        <x:f>M29-K29</x:f>
        <x:v>56.19999999999999</x:v>
      </x:c>
    </x:row>
    <x:row r="30" ht="15" hidden="0" customHeight="1">
      <x:c r="C30" s="8" t="str">
        <x:v>AM-3</x:v>
      </x:c>
      <x:c r="D30" s="48" t="str">
        <x:v>Vertical Access Family</x:v>
      </x:c>
      <x:c r="E30" s="48" t="str">
        <x:v>aircraft set</x:v>
      </x:c>
      <x:c r="F30" s="67" t="n">
        <x:v>30</x:v>
      </x:c>
      <x:c r="G30" s="67" t="n">
        <x:v>12</x:v>
      </x:c>
      <x:c r="H30" s="67" t="n">
        <x:v>16</x:v>
      </x:c>
      <x:c r="I30" s="70" t="n">
        <x:f>F30*'Assumptions'!$D$21+G30*'Assumptions'!$D$22+H30*'Assumptions'!$D$23</x:f>
        <x:v>182</x:v>
      </x:c>
      <x:c r="J30" s="70" t="n">
        <x:f>I30*'Assumptions'!$D$24</x:f>
        <x:v>36.4</x:v>
      </x:c>
      <x:c r="K30" s="71" t="n">
        <x:f>I30+J30</x:f>
        <x:v>218.4</x:v>
      </x:c>
      <x:c r="L30" s="68" t="n">
        <x:v>0.7</x:v>
      </x:c>
      <x:c r="M30" s="76" t="n">
        <x:f>INT(K30/L30)+IF(K30/L30&gt;INT(K30/L30),1,0)</x:f>
        <x:v>312</x:v>
      </x:c>
      <x:c r="N30" s="71" t="n">
        <x:f>M30-K30</x:f>
        <x:v>93.6</x:v>
      </x:c>
    </x:row>
    <x:row r="31" ht="15" hidden="0" customHeight="1">
      <x:c r="C31" s="8" t="str">
        <x:v>HM-3</x:v>
      </x:c>
      <x:c r="D31" s="48" t="str">
        <x:v>Modular Theater Hospital</x:v>
      </x:c>
      <x:c r="E31" s="48" t="str">
        <x:v>campus</x:v>
      </x:c>
      <x:c r="F31" s="67" t="n">
        <x:v>6</x:v>
      </x:c>
      <x:c r="G31" s="67" t="n">
        <x:v>3</x:v>
      </x:c>
      <x:c r="H31" s="67" t="n">
        <x:v>5</x:v>
      </x:c>
      <x:c r="I31" s="70" t="n">
        <x:f>F31*'Assumptions'!$D$21+G31*'Assumptions'!$D$22+H31*'Assumptions'!$D$23</x:f>
        <x:v>43</x:v>
      </x:c>
      <x:c r="J31" s="70" t="n">
        <x:f>I31*'Assumptions'!$D$24</x:f>
        <x:v>8.6</x:v>
      </x:c>
      <x:c r="K31" s="71" t="n">
        <x:f>I31+J31</x:f>
        <x:v>51.6</x:v>
      </x:c>
      <x:c r="L31" s="68" t="n">
        <x:v>0.7</x:v>
      </x:c>
      <x:c r="M31" s="76" t="n">
        <x:f>INT(K31/L31)+IF(K31/L31&gt;INT(K31/L31),1,0)</x:f>
        <x:v>74</x:v>
      </x:c>
      <x:c r="N31" s="71" t="n">
        <x:f>M31-K31</x:f>
        <x:v>22.4</x:v>
      </x:c>
    </x:row>
    <x:row r="32" ht="15" hidden="0" customHeight="1">
      <x:c r="C32" s="8" t="str">
        <x:v>C/O-G</x:v>
      </x:c>
      <x:c r="D32" s="48" t="str">
        <x:v>Communications and Observation Group</x:v>
      </x:c>
      <x:c r="E32" s="48" t="str">
        <x:v>group</x:v>
      </x:c>
      <x:c r="F32" s="67" t="n">
        <x:v>20</x:v>
      </x:c>
      <x:c r="G32" s="67" t="n">
        <x:v>8</x:v>
      </x:c>
      <x:c r="H32" s="67" t="n">
        <x:v>10</x:v>
      </x:c>
      <x:c r="I32" s="70" t="n">
        <x:f>F32*'Assumptions'!$D$21+G32*'Assumptions'!$D$22+H32*'Assumptions'!$D$23</x:f>
        <x:v>120</x:v>
      </x:c>
      <x:c r="J32" s="70" t="n">
        <x:f>I32*'Assumptions'!$D$24</x:f>
        <x:v>24</x:v>
      </x:c>
      <x:c r="K32" s="71" t="n">
        <x:f>I32+J32</x:f>
        <x:v>144</x:v>
      </x:c>
      <x:c r="L32" s="68" t="n">
        <x:v>0.85</x:v>
      </x:c>
      <x:c r="M32" s="76" t="n">
        <x:f>INT(K32/L32)+IF(K32/L32&gt;INT(K32/L32),1,0)</x:f>
        <x:v>170</x:v>
      </x:c>
      <x:c r="N32" s="71" t="n">
        <x:f>M32-K32</x:f>
        <x:v>26</x:v>
      </x:c>
    </x:row>
    <x:row r="33" ht="15" hidden="0" customHeight="1">
      <x:c r="C33" s="8" t="str">
        <x:v>R-G</x:v>
      </x:c>
      <x:c r="D33" s="48" t="str">
        <x:v>Robotic Work Group</x:v>
      </x:c>
      <x:c r="E33" s="48" t="str">
        <x:v>group</x:v>
      </x:c>
      <x:c r="F33" s="67" t="n">
        <x:v>30</x:v>
      </x:c>
      <x:c r="G33" s="67" t="n">
        <x:v>10</x:v>
      </x:c>
      <x:c r="H33" s="67" t="n">
        <x:v>15</x:v>
      </x:c>
      <x:c r="I33" s="70" t="n">
        <x:f>F33*'Assumptions'!$D$21+G33*'Assumptions'!$D$22+H33*'Assumptions'!$D$23</x:f>
        <x:v>170</x:v>
      </x:c>
      <x:c r="J33" s="70" t="n">
        <x:f>I33*'Assumptions'!$D$24</x:f>
        <x:v>34</x:v>
      </x:c>
      <x:c r="K33" s="71" t="n">
        <x:f>I33+J33</x:f>
        <x:v>204</x:v>
      </x:c>
      <x:c r="L33" s="68" t="n">
        <x:v>0.8</x:v>
      </x:c>
      <x:c r="M33" s="76" t="n">
        <x:f>INT(K33/L33)+IF(K33/L33&gt;INT(K33/L33),1,0)</x:f>
        <x:v>255</x:v>
      </x:c>
      <x:c r="N33" s="71" t="n">
        <x:f>M33-K33</x:f>
        <x:v>51</x:v>
      </x:c>
    </x:row>
    <x:row r="34" ht="15" hidden="0" customHeight="1">
      <x:c r="C34" s="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</x:row>
    <x:row r="35" ht="15" hidden="0" customHeight="1">
      <x:c r="C35" s="22" t="str">
        <x:v>Rule</x:v>
      </x:c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5"/>
    </x:row>
    <x:row r="36" ht="48" hidden="0" customHeight="1">
      <x:c r="C36" s="48"/>
      <x:c r="D36" s="48" t="str">
        <x:v>Ready requirement equals the complete simultaneous campaign package plus the 20% residual reserve. Owned inventory then divides by the assumed mission-availability rate.</x:v>
      </x:c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</x:row>
    <x:row r="37" ht="48" hidden="0" customHeight="1">
      <x:c r="C37" s="48"/>
      <x:c r="D37" s="48" t="str">
        <x:v>The package coefficients are design assumptions to be replaced by the population-service-time model and exercises. They are not current federal inventory estimates.</x:v>
      </x:c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18" hidden="0" customWidth="1"/>
    <x:col min="5" max="5" width="38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4" hidden="0" customWidth="1"/>
    <x:col min="16" max="16" width="50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18" hidden="0" customHeight="1">
      <x:c r="C2" s="65" t="str">
        <x:v>Portfolio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 ht="15" hidden="0" customHeight="1">
      <x:c r="C3" s="66" t="str">
        <x:v>Bottom-up program concepts compared with the selected capital envelope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</x:row>
    <x:row r="6" ht="24" hidden="0" customHeight="1">
      <x:c r="C6" s="29" t="str">
        <x:v>ID</x:v>
      </x:c>
      <x:c r="D6" s="30" t="str">
        <x:v>Domain</x:v>
      </x:c>
      <x:c r="E6" s="30" t="str">
        <x:v>Program family</x:v>
      </x:c>
      <x:c r="F6" s="30" t="str">
        <x:v>Quantity</x:v>
      </x:c>
      <x:c r="G6" s="30" t="str">
        <x:v>Quantity source</x:v>
      </x:c>
      <x:c r="H6" s="30" t="str">
        <x:v>Average unit cost ($M)</x:v>
      </x:c>
      <x:c r="I6" s="30" t="str">
        <x:v>NRE and test ($M)</x:v>
      </x:c>
      <x:c r="J6" s="30" t="str">
        <x:v>Bases/tooling ($M)</x:v>
      </x:c>
      <x:c r="K6" s="30" t="str">
        <x:v>Gross program ($M)</x:v>
      </x:c>
      <x:c r="L6" s="30" t="str">
        <x:v>Risk allowance</x:v>
      </x:c>
      <x:c r="M6" s="30" t="str">
        <x:v>Total program ($M)</x:v>
      </x:c>
      <x:c r="N6" s="30" t="str">
        <x:v>Share of bottom-up</x:v>
      </x:c>
      <x:c r="O6" s="30" t="str">
        <x:v>Decision state</x:v>
      </x:c>
      <x:c r="P6" s="31" t="str">
        <x:v>Primary limitation</x:v>
      </x:c>
    </x:row>
    <x:row r="7" ht="15" hidden="0" customHeight="1">
      <x:c r="C7" s="8" t="str">
        <x:v>W-2</x:v>
      </x:c>
      <x:c r="D7" s="8" t="str">
        <x:v>Water</x:v>
      </x:c>
      <x:c r="E7" s="48" t="str">
        <x:v>Regional Water Works</x:v>
      </x:c>
      <x:c r="F7" s="77" t="n">
        <x:f>'Force Sizing'!M7</x:f>
        <x:v>109</x:v>
      </x:c>
      <x:c r="G7" s="48" t="str">
        <x:v>Force Sizing M7</x:v>
      </x:c>
      <x:c r="H7" s="78" t="n">
        <x:v>85</x:v>
      </x:c>
      <x:c r="I7" s="78" t="n">
        <x:v>1200</x:v>
      </x:c>
      <x:c r="J7" s="78" t="n">
        <x:v>2500</x:v>
      </x:c>
      <x:c r="K7" s="79" t="n">
        <x:f>F7*H7*'Assumptions'!$F$16+I7+J7</x:f>
        <x:v>12965</x:v>
      </x:c>
      <x:c r="L7" s="68" t="n">
        <x:v>0.2</x:v>
      </x:c>
      <x:c r="M7" s="79" t="n">
        <x:f>K7*(1+L7)</x:f>
        <x:v>15558</x:v>
      </x:c>
      <x:c r="N7" s="80" t="n">
        <x:f>M7/$M$41</x:f>
        <x:v>0.006945630286483812</x:v>
      </x:c>
      <x:c r="O7" s="48" t="str">
        <x:v>Admitted concept</x:v>
      </x:c>
      <x:c r="P7" s="48" t="str">
        <x:v>Physics, formation, lifecycle, and cost not yet closed</x:v>
      </x:c>
    </x:row>
    <x:row r="8" ht="15" hidden="0" customHeight="1">
      <x:c r="C8" s="8" t="str">
        <x:v>W-3</x:v>
      </x:c>
      <x:c r="D8" s="8" t="str">
        <x:v>Water</x:v>
      </x:c>
      <x:c r="E8" s="48" t="str">
        <x:v>Strategic Water Works</x:v>
      </x:c>
      <x:c r="F8" s="77" t="n">
        <x:f>'Force Sizing'!M8</x:f>
        <x:v>36</x:v>
      </x:c>
      <x:c r="G8" s="48" t="str">
        <x:v>Force Sizing M8</x:v>
      </x:c>
      <x:c r="H8" s="78" t="n">
        <x:v>800</x:v>
      </x:c>
      <x:c r="I8" s="78" t="n">
        <x:v>6000</x:v>
      </x:c>
      <x:c r="J8" s="78" t="n">
        <x:v>4000</x:v>
      </x:c>
      <x:c r="K8" s="79" t="n">
        <x:f>F8*H8*'Assumptions'!$F$16+I8+J8</x:f>
        <x:v>38800</x:v>
      </x:c>
      <x:c r="L8" s="68" t="n">
        <x:v>0.25</x:v>
      </x:c>
      <x:c r="M8" s="79" t="n">
        <x:f>K8*(1+L8)</x:f>
        <x:v>48500</x:v>
      </x:c>
      <x:c r="N8" s="80" t="n">
        <x:f>M8/$M$41</x:f>
        <x:v>0.021652080530560797</x:v>
      </x:c>
      <x:c r="O8" s="48" t="str">
        <x:v>Admitted concept</x:v>
      </x:c>
      <x:c r="P8" s="48" t="str">
        <x:v>Physics, formation, lifecycle, and cost not yet closed</x:v>
      </x:c>
    </x:row>
    <x:row r="9" ht="15" hidden="0" customHeight="1">
      <x:c r="C9" s="8" t="str">
        <x:v>W-4</x:v>
      </x:c>
      <x:c r="D9" s="8" t="str">
        <x:v>Water</x:v>
      </x:c>
      <x:c r="E9" s="48" t="str">
        <x:v>Rapid Water Grid</x:v>
      </x:c>
      <x:c r="F9" s="77" t="n">
        <x:f>'Force Sizing'!M9</x:f>
        <x:v>76</x:v>
      </x:c>
      <x:c r="G9" s="48" t="str">
        <x:v>Force Sizing M9</x:v>
      </x:c>
      <x:c r="H9" s="78" t="n">
        <x:v>300</x:v>
      </x:c>
      <x:c r="I9" s="78" t="n">
        <x:v>2500</x:v>
      </x:c>
      <x:c r="J9" s="78" t="n">
        <x:v>3000</x:v>
      </x:c>
      <x:c r="K9" s="79" t="n">
        <x:f>F9*H9*'Assumptions'!$F$16+I9+J9</x:f>
        <x:v>28300</x:v>
      </x:c>
      <x:c r="L9" s="68" t="n">
        <x:v>0.2</x:v>
      </x:c>
      <x:c r="M9" s="79" t="n">
        <x:f>K9*(1+L9)</x:f>
        <x:v>33960</x:v>
      </x:c>
      <x:c r="N9" s="80" t="n">
        <x:f>M9/$M$41</x:f>
        <x:v>0.015160920717893704</x:v>
      </x:c>
      <x:c r="O9" s="48" t="str">
        <x:v>Admitted concept</x:v>
      </x:c>
      <x:c r="P9" s="48" t="str">
        <x:v>Physics, formation, lifecycle, and cost not yet closed</x:v>
      </x:c>
    </x:row>
    <x:row r="10" ht="15" hidden="0" customHeight="1">
      <x:c r="C10" s="8" t="str">
        <x:v>W-5</x:v>
      </x:c>
      <x:c r="D10" s="8" t="str">
        <x:v>Water</x:v>
      </x:c>
      <x:c r="E10" s="48" t="str">
        <x:v>Wastewater and Residuals Works</x:v>
      </x:c>
      <x:c r="F10" s="81" t="n">
        <x:v>120</x:v>
      </x:c>
      <x:c r="G10" s="48" t="str">
        <x:v>Manual design assumption</x:v>
      </x:c>
      <x:c r="H10" s="78" t="n">
        <x:v>60</x:v>
      </x:c>
      <x:c r="I10" s="78" t="n">
        <x:v>1500</x:v>
      </x:c>
      <x:c r="J10" s="78" t="n">
        <x:v>1800</x:v>
      </x:c>
      <x:c r="K10" s="79" t="n">
        <x:f>F10*H10*'Assumptions'!$F$16+I10+J10</x:f>
        <x:v>10500</x:v>
      </x:c>
      <x:c r="L10" s="68" t="n">
        <x:v>0.2</x:v>
      </x:c>
      <x:c r="M10" s="79" t="n">
        <x:f>K10*(1+L10)</x:f>
        <x:v>12600</x:v>
      </x:c>
      <x:c r="N10" s="80" t="n">
        <x:f>M10/$M$41</x:f>
        <x:v>0.00562507659144466</x:v>
      </x:c>
      <x:c r="O10" s="48" t="str">
        <x:v>Admitted concept</x:v>
      </x:c>
      <x:c r="P10" s="48" t="str">
        <x:v>Physics, formation, lifecycle, and cost not yet closed</x:v>
      </x:c>
    </x:row>
    <x:row r="11" ht="15" hidden="0" customHeight="1">
      <x:c r="C11" s="8" t="str">
        <x:v>N-WEP</x:v>
      </x:c>
      <x:c r="D11" s="8" t="str">
        <x:v>Energy</x:v>
      </x:c>
      <x:c r="E11" s="48" t="str">
        <x:v>Nuclear Water–Energy Platform</x:v>
      </x:c>
      <x:c r="F11" s="77" t="n">
        <x:f>'Force Sizing'!M8</x:f>
        <x:v>36</x:v>
      </x:c>
      <x:c r="G11" s="48" t="str">
        <x:v>Force Sizing M8</x:v>
      </x:c>
      <x:c r="H11" s="78" t="n">
        <x:v>7000</x:v>
      </x:c>
      <x:c r="I11" s="78" t="n">
        <x:v>20000</x:v>
      </x:c>
      <x:c r="J11" s="78" t="n">
        <x:v>8000</x:v>
      </x:c>
      <x:c r="K11" s="79" t="n">
        <x:f>F11*H11*'Assumptions'!$F$16+I11+J11</x:f>
        <x:v>280000</x:v>
      </x:c>
      <x:c r="L11" s="68" t="n">
        <x:v>0.35</x:v>
      </x:c>
      <x:c r="M11" s="79" t="n">
        <x:f>K11*(1+L11)</x:f>
        <x:v>378000</x:v>
      </x:c>
      <x:c r="N11" s="80" t="n">
        <x:f>M11/$M$41</x:f>
        <x:v>0.1687522977433398</x:v>
      </x:c>
      <x:c r="O11" s="48" t="str">
        <x:v>Held at alternatives gate</x:v>
      </x:c>
      <x:c r="P11" s="48" t="str">
        <x:v>Licensing, siting, heat rejection, lifecycle, and non-nuclear comparison</x:v>
      </x:c>
    </x:row>
    <x:row r="12" ht="15" hidden="0" customHeight="1">
      <x:c r="C12" s="8" t="str">
        <x:v>P-1</x:v>
      </x:c>
      <x:c r="D12" s="8" t="str">
        <x:v>Energy</x:v>
      </x:c>
      <x:c r="E12" s="48" t="str">
        <x:v>Critical Facility Power Cell</x:v>
      </x:c>
      <x:c r="F12" s="77" t="n">
        <x:f>'Force Sizing'!M10</x:f>
        <x:v>2118</x:v>
      </x:c>
      <x:c r="G12" s="48" t="str">
        <x:v>Force Sizing M10</x:v>
      </x:c>
      <x:c r="H12" s="78" t="n">
        <x:v>5</x:v>
      </x:c>
      <x:c r="I12" s="78" t="n">
        <x:v>800</x:v>
      </x:c>
      <x:c r="J12" s="78" t="n">
        <x:v>1200</x:v>
      </x:c>
      <x:c r="K12" s="79" t="n">
        <x:f>F12*H12*'Assumptions'!$F$16+I12+J12</x:f>
        <x:v>12590</x:v>
      </x:c>
      <x:c r="L12" s="68" t="n">
        <x:v>0.15</x:v>
      </x:c>
      <x:c r="M12" s="79" t="n">
        <x:f>K12*(1+L12)</x:f>
        <x:v>14478.499999999998</x:v>
      </x:c>
      <x:c r="N12" s="80" t="n">
        <x:f>M12/$M$41</x:f>
        <x:v>0.00646370408168504</x:v>
      </x:c>
      <x:c r="O12" s="48" t="str">
        <x:v>Admitted concept</x:v>
      </x:c>
      <x:c r="P12" s="48" t="str">
        <x:v>Physics, formation, lifecycle, and cost not yet closed</x:v>
      </x:c>
    </x:row>
    <x:row r="13" ht="15" hidden="0" customHeight="1">
      <x:c r="C13" s="8" t="str">
        <x:v>P-2</x:v>
      </x:c>
      <x:c r="D13" s="8" t="str">
        <x:v>Energy</x:v>
      </x:c>
      <x:c r="E13" s="48" t="str">
        <x:v>Community Grid Island</x:v>
      </x:c>
      <x:c r="F13" s="77" t="n">
        <x:f>'Force Sizing'!M11</x:f>
        <x:v>255</x:v>
      </x:c>
      <x:c r="G13" s="48" t="str">
        <x:v>Force Sizing M11</x:v>
      </x:c>
      <x:c r="H13" s="78" t="n">
        <x:v>120</x:v>
      </x:c>
      <x:c r="I13" s="78" t="n">
        <x:v>2500</x:v>
      </x:c>
      <x:c r="J13" s="78" t="n">
        <x:v>2500</x:v>
      </x:c>
      <x:c r="K13" s="79" t="n">
        <x:f>F13*H13*'Assumptions'!$F$16+I13+J13</x:f>
        <x:v>35600</x:v>
      </x:c>
      <x:c r="L13" s="68" t="n">
        <x:v>0.2</x:v>
      </x:c>
      <x:c r="M13" s="79" t="n">
        <x:f>K13*(1+L13)</x:f>
        <x:v>42720</x:v>
      </x:c>
      <x:c r="N13" s="80" t="n">
        <x:f>M13/$M$41</x:f>
        <x:v>0.019071688252898088</x:v>
      </x:c>
      <x:c r="O13" s="48" t="str">
        <x:v>Admitted concept</x:v>
      </x:c>
      <x:c r="P13" s="48" t="str">
        <x:v>Physics, formation, lifecycle, and cost not yet closed</x:v>
      </x:c>
    </x:row>
    <x:row r="14" ht="15" hidden="0" customHeight="1">
      <x:c r="C14" s="8" t="str">
        <x:v>P-3</x:v>
      </x:c>
      <x:c r="D14" s="8" t="str">
        <x:v>Energy</x:v>
      </x:c>
      <x:c r="E14" s="48" t="str">
        <x:v>Regional Grid Bridge</x:v>
      </x:c>
      <x:c r="F14" s="77" t="n">
        <x:f>'Force Sizing'!M12</x:f>
        <x:v>88</x:v>
      </x:c>
      <x:c r="G14" s="48" t="str">
        <x:v>Force Sizing M12</x:v>
      </x:c>
      <x:c r="H14" s="78" t="n">
        <x:v>350</x:v>
      </x:c>
      <x:c r="I14" s="78" t="n">
        <x:v>3000</x:v>
      </x:c>
      <x:c r="J14" s="78" t="n">
        <x:v>3500</x:v>
      </x:c>
      <x:c r="K14" s="79" t="n">
        <x:f>F14*H14*'Assumptions'!$F$16+I14+J14</x:f>
        <x:v>37300</x:v>
      </x:c>
      <x:c r="L14" s="68" t="n">
        <x:v>0.2</x:v>
      </x:c>
      <x:c r="M14" s="79" t="n">
        <x:f>K14*(1+L14)</x:f>
        <x:v>44760</x:v>
      </x:c>
      <x:c r="N14" s="80" t="n">
        <x:f>M14/$M$41</x:f>
        <x:v>0.019982414939131984</x:v>
      </x:c>
      <x:c r="O14" s="48" t="str">
        <x:v>Admitted concept</x:v>
      </x:c>
      <x:c r="P14" s="48" t="str">
        <x:v>Physics, formation, lifecycle, and cost not yet closed</x:v>
      </x:c>
    </x:row>
    <x:row r="15" ht="15" hidden="0" customHeight="1">
      <x:c r="C15" s="8" t="str">
        <x:v>P-4</x:v>
      </x:c>
      <x:c r="D15" s="8" t="str">
        <x:v>Energy</x:v>
      </x:c>
      <x:c r="E15" s="48" t="str">
        <x:v>Rapid Distribution System</x:v>
      </x:c>
      <x:c r="F15" s="81" t="n">
        <x:v>100</x:v>
      </x:c>
      <x:c r="G15" s="48" t="str">
        <x:v>Manual design assumption</x:v>
      </x:c>
      <x:c r="H15" s="78" t="n">
        <x:v>250</x:v>
      </x:c>
      <x:c r="I15" s="78" t="n">
        <x:v>2500</x:v>
      </x:c>
      <x:c r="J15" s="78" t="n">
        <x:v>2000</x:v>
      </x:c>
      <x:c r="K15" s="79" t="n">
        <x:f>F15*H15*'Assumptions'!$F$16+I15+J15</x:f>
        <x:v>29500</x:v>
      </x:c>
      <x:c r="L15" s="68" t="n">
        <x:v>0.2</x:v>
      </x:c>
      <x:c r="M15" s="79" t="n">
        <x:f>K15*(1+L15)</x:f>
        <x:v>35400</x:v>
      </x:c>
      <x:c r="N15" s="80" t="n">
        <x:f>M15/$M$41</x:f>
        <x:v>0.015803786614058807</x:v>
      </x:c>
      <x:c r="O15" s="48" t="str">
        <x:v>Admitted concept</x:v>
      </x:c>
      <x:c r="P15" s="48" t="str">
        <x:v>Physics, formation, lifecycle, and cost not yet closed</x:v>
      </x:c>
    </x:row>
    <x:row r="16" ht="15" hidden="0" customHeight="1">
      <x:c r="C16" s="8" t="str">
        <x:v>P-5</x:v>
      </x:c>
      <x:c r="D16" s="8" t="str">
        <x:v>Energy</x:v>
      </x:c>
      <x:c r="E16" s="48" t="str">
        <x:v>Thermal and Clean-Air Works</x:v>
      </x:c>
      <x:c r="F16" s="81" t="n">
        <x:v>300</x:v>
      </x:c>
      <x:c r="G16" s="48" t="str">
        <x:v>Manual design assumption</x:v>
      </x:c>
      <x:c r="H16" s="78" t="n">
        <x:v>50</x:v>
      </x:c>
      <x:c r="I16" s="78" t="n">
        <x:v>1500</x:v>
      </x:c>
      <x:c r="J16" s="78" t="n">
        <x:v>1200</x:v>
      </x:c>
      <x:c r="K16" s="79" t="n">
        <x:f>F16*H16*'Assumptions'!$F$16+I16+J16</x:f>
        <x:v>17700</x:v>
      </x:c>
      <x:c r="L16" s="68" t="n">
        <x:v>0.15</x:v>
      </x:c>
      <x:c r="M16" s="79" t="n">
        <x:f>K16*(1+L16)</x:f>
        <x:v>20355</x:v>
      </x:c>
      <x:c r="N16" s="80" t="n">
        <x:f>M16/$M$41</x:f>
        <x:v>0.009087177303083815</x:v>
      </x:c>
      <x:c r="O16" s="48" t="str">
        <x:v>Admitted concept</x:v>
      </x:c>
      <x:c r="P16" s="48" t="str">
        <x:v>Physics, formation, lifecycle, and cost not yet closed</x:v>
      </x:c>
    </x:row>
    <x:row r="17" ht="15" hidden="0" customHeight="1">
      <x:c r="C17" s="8" t="str">
        <x:v>FA-2</x:v>
      </x:c>
      <x:c r="D17" s="8" t="str">
        <x:v>Fire</x:v>
      </x:c>
      <x:c r="E17" s="48" t="str">
        <x:v>Rapid Attack Aircraft</x:v>
      </x:c>
      <x:c r="F17" s="77" t="n">
        <x:f>'Force Sizing'!M13</x:f>
        <x:v>264</x:v>
      </x:c>
      <x:c r="G17" s="48" t="str">
        <x:v>Force Sizing M13</x:v>
      </x:c>
      <x:c r="H17" s="78" t="n">
        <x:v>90</x:v>
      </x:c>
      <x:c r="I17" s="78" t="n">
        <x:v>7000</x:v>
      </x:c>
      <x:c r="J17" s="78" t="n">
        <x:v>5000</x:v>
      </x:c>
      <x:c r="K17" s="79" t="n">
        <x:f>F17*H17*'Assumptions'!$F$16+I17+J17</x:f>
        <x:v>35760</x:v>
      </x:c>
      <x:c r="L17" s="68" t="n">
        <x:v>0.25</x:v>
      </x:c>
      <x:c r="M17" s="79" t="n">
        <x:f>K17*(1+L17)</x:f>
        <x:v>44700</x:v>
      </x:c>
      <x:c r="N17" s="80" t="n">
        <x:f>M17/$M$41</x:f>
        <x:v>0.019955628860125106</x:v>
      </x:c>
      <x:c r="O17" s="48" t="str">
        <x:v>Admitted concept</x:v>
      </x:c>
      <x:c r="P17" s="48" t="str">
        <x:v>Physics, formation, lifecycle, and cost not yet closed</x:v>
      </x:c>
    </x:row>
    <x:row r="18" ht="15" hidden="0" customHeight="1">
      <x:c r="C18" s="8" t="str">
        <x:v>FA-3</x:v>
      </x:c>
      <x:c r="D18" s="8" t="str">
        <x:v>Fire</x:v>
      </x:c>
      <x:c r="E18" s="48" t="str">
        <x:v>Regional Amphibious Suppressor</x:v>
      </x:c>
      <x:c r="F18" s="77" t="n">
        <x:f>'Force Sizing'!M14</x:f>
        <x:v>144</x:v>
      </x:c>
      <x:c r="G18" s="48" t="str">
        <x:v>Force Sizing M14</x:v>
      </x:c>
      <x:c r="H18" s="78" t="n">
        <x:v>150</x:v>
      </x:c>
      <x:c r="I18" s="78" t="n">
        <x:v>6000</x:v>
      </x:c>
      <x:c r="J18" s="78" t="n">
        <x:v>4000</x:v>
      </x:c>
      <x:c r="K18" s="79" t="n">
        <x:f>F18*H18*'Assumptions'!$F$16+I18+J18</x:f>
        <x:v>31600</x:v>
      </x:c>
      <x:c r="L18" s="68" t="n">
        <x:v>0.25</x:v>
      </x:c>
      <x:c r="M18" s="79" t="n">
        <x:f>K18*(1+L18)</x:f>
        <x:v>39500</x:v>
      </x:c>
      <x:c r="N18" s="80" t="n">
        <x:f>M18/$M$41</x:f>
        <x:v>0.017634168679528897</x:v>
      </x:c>
      <x:c r="O18" s="48" t="str">
        <x:v>Admitted concept</x:v>
      </x:c>
      <x:c r="P18" s="48" t="str">
        <x:v>Physics, formation, lifecycle, and cost not yet closed</x:v>
      </x:c>
    </x:row>
    <x:row r="19" ht="15" hidden="0" customHeight="1">
      <x:c r="C19" s="8" t="str">
        <x:v>FA-4</x:v>
      </x:c>
      <x:c r="D19" s="8" t="str">
        <x:v>Fire</x:v>
      </x:c>
      <x:c r="E19" s="48" t="str">
        <x:v>Heavy Line Builder</x:v>
      </x:c>
      <x:c r="F19" s="77" t="n">
        <x:f>'Force Sizing'!M15</x:f>
        <x:v>87</x:v>
      </x:c>
      <x:c r="G19" s="48" t="str">
        <x:v>Force Sizing M15</x:v>
      </x:c>
      <x:c r="H19" s="78" t="n">
        <x:v>350</x:v>
      </x:c>
      <x:c r="I19" s="78" t="n">
        <x:v>9000</x:v>
      </x:c>
      <x:c r="J19" s="78" t="n">
        <x:v>5000</x:v>
      </x:c>
      <x:c r="K19" s="79" t="n">
        <x:f>F19*H19*'Assumptions'!$F$16+I19+J19</x:f>
        <x:v>44450</x:v>
      </x:c>
      <x:c r="L19" s="68" t="n">
        <x:v>0.3</x:v>
      </x:c>
      <x:c r="M19" s="79" t="n">
        <x:f>K19*(1+L19)</x:f>
        <x:v>57785</x:v>
      </x:c>
      <x:c r="N19" s="80" t="n">
        <x:f>M19/$M$41</x:f>
        <x:v>0.02579722625687537</x:v>
      </x:c>
      <x:c r="O19" s="48" t="str">
        <x:v>Admitted concept</x:v>
      </x:c>
      <x:c r="P19" s="48" t="str">
        <x:v>Physics, formation, lifecycle, and cost not yet closed</x:v>
      </x:c>
    </x:row>
    <x:row r="20" ht="15" hidden="0" customHeight="1">
      <x:c r="C20" s="8" t="str">
        <x:v>FA-5</x:v>
      </x:c>
      <x:c r="D20" s="8" t="str">
        <x:v>Fire</x:v>
      </x:c>
      <x:c r="E20" s="48" t="str">
        <x:v>Precision Rotorcraft</x:v>
      </x:c>
      <x:c r="F20" s="77" t="n">
        <x:f>'Force Sizing'!M16</x:f>
        <x:v>234</x:v>
      </x:c>
      <x:c r="G20" s="48" t="str">
        <x:v>Force Sizing M16</x:v>
      </x:c>
      <x:c r="H20" s="78" t="n">
        <x:v>100</x:v>
      </x:c>
      <x:c r="I20" s="78" t="n">
        <x:v>6000</x:v>
      </x:c>
      <x:c r="J20" s="78" t="n">
        <x:v>4000</x:v>
      </x:c>
      <x:c r="K20" s="79" t="n">
        <x:f>F20*H20*'Assumptions'!$F$16+I20+J20</x:f>
        <x:v>33400</x:v>
      </x:c>
      <x:c r="L20" s="68" t="n">
        <x:v>0.25</x:v>
      </x:c>
      <x:c r="M20" s="79" t="n">
        <x:f>K20*(1+L20)</x:f>
        <x:v>41750</x:v>
      </x:c>
      <x:c r="N20" s="80" t="n">
        <x:f>M20/$M$41</x:f>
        <x:v>0.01863864664228687</x:v>
      </x:c>
      <x:c r="O20" s="48" t="str">
        <x:v>Admitted concept</x:v>
      </x:c>
      <x:c r="P20" s="48" t="str">
        <x:v>Physics, formation, lifecycle, and cost not yet closed</x:v>
      </x:c>
    </x:row>
    <x:row r="21" ht="15" hidden="0" customHeight="1">
      <x:c r="C21" s="8" t="str">
        <x:v>FA-6</x:v>
      </x:c>
      <x:c r="D21" s="8" t="str">
        <x:v>Fire</x:v>
      </x:c>
      <x:c r="E21" s="48" t="str">
        <x:v>Fire Aviation Base System</x:v>
      </x:c>
      <x:c r="F21" s="77" t="n">
        <x:f>'Force Sizing'!M17</x:f>
        <x:v>71</x:v>
      </x:c>
      <x:c r="G21" s="48" t="str">
        <x:v>Force Sizing M17</x:v>
      </x:c>
      <x:c r="H21" s="78" t="n">
        <x:v>150</x:v>
      </x:c>
      <x:c r="I21" s="78" t="n">
        <x:v>1500</x:v>
      </x:c>
      <x:c r="J21" s="78" t="n">
        <x:v>2000</x:v>
      </x:c>
      <x:c r="K21" s="79" t="n">
        <x:f>F21*H21*'Assumptions'!$F$16+I21+J21</x:f>
        <x:v>14150</x:v>
      </x:c>
      <x:c r="L21" s="68" t="n">
        <x:v>0.2</x:v>
      </x:c>
      <x:c r="M21" s="79" t="n">
        <x:f>K21*(1+L21)</x:f>
        <x:v>16980</x:v>
      </x:c>
      <x:c r="N21" s="80" t="n">
        <x:f>M21/$M$41</x:f>
        <x:v>0.007580460358946852</x:v>
      </x:c>
      <x:c r="O21" s="48" t="str">
        <x:v>Admitted concept</x:v>
      </x:c>
      <x:c r="P21" s="48" t="str">
        <x:v>Physics, formation, lifecycle, and cost not yet closed</x:v>
      </x:c>
    </x:row>
    <x:row r="22" ht="15" hidden="0" customHeight="1">
      <x:c r="C22" s="8" t="str">
        <x:v>FL-2</x:v>
      </x:c>
      <x:c r="D22" s="8" t="str">
        <x:v>Flood/access</x:v>
      </x:c>
      <x:c r="E22" s="48" t="str">
        <x:v>High-Volume Pump Train</x:v>
      </x:c>
      <x:c r="F22" s="77" t="n">
        <x:f>'Force Sizing'!M18</x:f>
        <x:v>198</x:v>
      </x:c>
      <x:c r="G22" s="48" t="str">
        <x:v>Force Sizing M18</x:v>
      </x:c>
      <x:c r="H22" s="78" t="n">
        <x:v>120</x:v>
      </x:c>
      <x:c r="I22" s="78" t="n">
        <x:v>1800</x:v>
      </x:c>
      <x:c r="J22" s="78" t="n">
        <x:v>2200</x:v>
      </x:c>
      <x:c r="K22" s="79" t="n">
        <x:f>F22*H22*'Assumptions'!$F$16+I22+J22</x:f>
        <x:v>27760</x:v>
      </x:c>
      <x:c r="L22" s="68" t="n">
        <x:v>0.2</x:v>
      </x:c>
      <x:c r="M22" s="79" t="n">
        <x:f>K22*(1+L22)</x:f>
        <x:v>33312</x:v>
      </x:c>
      <x:c r="N22" s="80" t="n">
        <x:f>M22/$M$41</x:f>
        <x:v>0.014871631064619407</x:v>
      </x:c>
      <x:c r="O22" s="48" t="str">
        <x:v>Admitted concept</x:v>
      </x:c>
      <x:c r="P22" s="48" t="str">
        <x:v>Physics, formation, lifecycle, and cost not yet closed</x:v>
      </x:c>
    </x:row>
    <x:row r="23" ht="15" hidden="0" customHeight="1">
      <x:c r="C23" s="8" t="str">
        <x:v>FL-5</x:v>
      </x:c>
      <x:c r="D23" s="8" t="str">
        <x:v>Flood/access</x:v>
      </x:c>
      <x:c r="E23" s="48" t="str">
        <x:v>Amphibious Rescue/Logistics</x:v>
      </x:c>
      <x:c r="F23" s="77" t="n">
        <x:f>'Force Sizing'!M19</x:f>
        <x:v>141</x:v>
      </x:c>
      <x:c r="G23" s="48" t="str">
        <x:v>Force Sizing M19</x:v>
      </x:c>
      <x:c r="H23" s="78" t="n">
        <x:v>180</x:v>
      </x:c>
      <x:c r="I23" s="78" t="n">
        <x:v>2500</x:v>
      </x:c>
      <x:c r="J23" s="78" t="n">
        <x:v>2500</x:v>
      </x:c>
      <x:c r="K23" s="79" t="n">
        <x:f>F23*H23*'Assumptions'!$F$16+I23+J23</x:f>
        <x:v>30380</x:v>
      </x:c>
      <x:c r="L23" s="68" t="n">
        <x:v>0.2</x:v>
      </x:c>
      <x:c r="M23" s="79" t="n">
        <x:f>K23*(1+L23)</x:f>
        <x:v>36456</x:v>
      </x:c>
      <x:c r="N23" s="80" t="n">
        <x:f>M23/$M$41</x:f>
        <x:v>0.016275221604579882</x:v>
      </x:c>
      <x:c r="O23" s="48" t="str">
        <x:v>Admitted concept</x:v>
      </x:c>
      <x:c r="P23" s="48" t="str">
        <x:v>Physics, formation, lifecycle, and cost not yet closed</x:v>
      </x:c>
    </x:row>
    <x:row r="24" ht="15" hidden="0" customHeight="1">
      <x:c r="C24" s="8" t="str">
        <x:v>EW-G</x:v>
      </x:c>
      <x:c r="D24" s="8" t="str">
        <x:v>Flood/access</x:v>
      </x:c>
      <x:c r="E24" s="48" t="str">
        <x:v>Earthworks and Debris Group</x:v>
      </x:c>
      <x:c r="F24" s="77" t="n">
        <x:f>'Force Sizing'!M20</x:f>
        <x:v>212</x:v>
      </x:c>
      <x:c r="G24" s="48" t="str">
        <x:v>Force Sizing M20</x:v>
      </x:c>
      <x:c r="H24" s="78" t="n">
        <x:v>250</x:v>
      </x:c>
      <x:c r="I24" s="78" t="n">
        <x:v>2500</x:v>
      </x:c>
      <x:c r="J24" s="78" t="n">
        <x:v>3500</x:v>
      </x:c>
      <x:c r="K24" s="79" t="n">
        <x:f>F24*H24*'Assumptions'!$F$16+I24+J24</x:f>
        <x:v>59000</x:v>
      </x:c>
      <x:c r="L24" s="68" t="n">
        <x:v>0.2</x:v>
      </x:c>
      <x:c r="M24" s="79" t="n">
        <x:f>K24*(1+L24)</x:f>
        <x:v>70800</x:v>
      </x:c>
      <x:c r="N24" s="80" t="n">
        <x:f>M24/$M$41</x:f>
        <x:v>0.031607573228117615</x:v>
      </x:c>
      <x:c r="O24" s="48" t="str">
        <x:v>Admitted concept</x:v>
      </x:c>
      <x:c r="P24" s="48" t="str">
        <x:v>Physics, formation, lifecycle, and cost not yet closed</x:v>
      </x:c>
    </x:row>
    <x:row r="25" ht="15" hidden="0" customHeight="1">
      <x:c r="C25" s="8" t="str">
        <x:v>BR-G</x:v>
      </x:c>
      <x:c r="D25" s="8" t="str">
        <x:v>Flood/access</x:v>
      </x:c>
      <x:c r="E25" s="48" t="str">
        <x:v>Crossing and Route Group</x:v>
      </x:c>
      <x:c r="F25" s="77" t="n">
        <x:f>'Force Sizing'!M21</x:f>
        <x:v>110</x:v>
      </x:c>
      <x:c r="G25" s="48" t="str">
        <x:v>Force Sizing M21</x:v>
      </x:c>
      <x:c r="H25" s="78" t="n">
        <x:v>300</x:v>
      </x:c>
      <x:c r="I25" s="78" t="n">
        <x:v>2500</x:v>
      </x:c>
      <x:c r="J25" s="78" t="n">
        <x:v>3500</x:v>
      </x:c>
      <x:c r="K25" s="79" t="n">
        <x:f>F25*H25*'Assumptions'!$F$16+I25+J25</x:f>
        <x:v>39000</x:v>
      </x:c>
      <x:c r="L25" s="68" t="n">
        <x:v>0.2</x:v>
      </x:c>
      <x:c r="M25" s="79" t="n">
        <x:f>K25*(1+L25)</x:f>
        <x:v>46800</x:v>
      </x:c>
      <x:c r="N25" s="80" t="n">
        <x:f>M25/$M$41</x:f>
        <x:v>0.02089314162536588</x:v>
      </x:c>
      <x:c r="O25" s="48" t="str">
        <x:v>Admitted concept</x:v>
      </x:c>
      <x:c r="P25" s="48" t="str">
        <x:v>Physics, formation, lifecycle, and cost not yet closed</x:v>
      </x:c>
    </x:row>
    <x:row r="26" ht="15" hidden="0" customHeight="1">
      <x:c r="C26" s="8" t="str">
        <x:v>NODE</x:v>
      </x:c>
      <x:c r="D26" s="8" t="str">
        <x:v>Flood/access</x:v>
      </x:c>
      <x:c r="E26" s="48" t="str">
        <x:v>Port and Airfield Opening Sets</x:v>
      </x:c>
      <x:c r="F26" s="81" t="n">
        <x:v>20</x:v>
      </x:c>
      <x:c r="G26" s="48" t="str">
        <x:v>Manual design assumption</x:v>
      </x:c>
      <x:c r="H26" s="78" t="n">
        <x:v>1000</x:v>
      </x:c>
      <x:c r="I26" s="78" t="n">
        <x:v>3500</x:v>
      </x:c>
      <x:c r="J26" s="78" t="n">
        <x:v>4000</x:v>
      </x:c>
      <x:c r="K26" s="79" t="n">
        <x:f>F26*H26*'Assumptions'!$F$16+I26+J26</x:f>
        <x:v>27500</x:v>
      </x:c>
      <x:c r="L26" s="68" t="n">
        <x:v>0.25</x:v>
      </x:c>
      <x:c r="M26" s="79" t="n">
        <x:f>K26*(1+L26)</x:f>
        <x:v>34375</x:v>
      </x:c>
      <x:c r="N26" s="80" t="n">
        <x:f>M26/$M$41</x:f>
        <x:v>0.015346191097691286</x:v>
      </x:c>
      <x:c r="O26" s="48" t="str">
        <x:v>Admitted concept</x:v>
      </x:c>
      <x:c r="P26" s="48" t="str">
        <x:v>Physics, formation, lifecycle, and cost not yet closed</x:v>
      </x:c>
    </x:row>
    <x:row r="27" ht="15" hidden="0" customHeight="1">
      <x:c r="C27" s="8" t="str">
        <x:v>MR-1</x:v>
      </x:c>
      <x:c r="D27" s="8" t="str">
        <x:v>Maritime</x:v>
      </x:c>
      <x:c r="E27" s="48" t="str">
        <x:v>Littoral Access Flotilla</x:v>
      </x:c>
      <x:c r="F27" s="77" t="n">
        <x:f>'Force Sizing'!M22</x:f>
        <x:v>71</x:v>
      </x:c>
      <x:c r="G27" s="48" t="str">
        <x:v>Force Sizing M22</x:v>
      </x:c>
      <x:c r="H27" s="78" t="n">
        <x:v>80</x:v>
      </x:c>
      <x:c r="I27" s="78" t="n">
        <x:v>2500</x:v>
      </x:c>
      <x:c r="J27" s="78" t="n">
        <x:v>3000</x:v>
      </x:c>
      <x:c r="K27" s="79" t="n">
        <x:f>F27*H27*'Assumptions'!$F$16+I27+J27</x:f>
        <x:v>11180</x:v>
      </x:c>
      <x:c r="L27" s="68" t="n">
        <x:v>0.25</x:v>
      </x:c>
      <x:c r="M27" s="79" t="n">
        <x:f>K27*(1+L27)</x:f>
        <x:v>13975</x:v>
      </x:c>
      <x:c r="N27" s="80" t="n">
        <x:f>M27/$M$41</x:f>
        <x:v>0.006238924235352312</x:v>
      </x:c>
      <x:c r="O27" s="48" t="str">
        <x:v>Admitted concept</x:v>
      </x:c>
      <x:c r="P27" s="48" t="str">
        <x:v>Physics, formation, lifecycle, and cost not yet closed</x:v>
      </x:c>
    </x:row>
    <x:row r="28" ht="15" hidden="0" customHeight="1">
      <x:c r="C28" s="8" t="str">
        <x:v>MR-2</x:v>
      </x:c>
      <x:c r="D28" s="8" t="str">
        <x:v>Maritime</x:v>
      </x:c>
      <x:c r="E28" s="48" t="str">
        <x:v>Port-Opening Group</x:v>
      </x:c>
      <x:c r="F28" s="77" t="n">
        <x:f>'Force Sizing'!M23</x:f>
        <x:v>40</x:v>
      </x:c>
      <x:c r="G28" s="48" t="str">
        <x:v>Force Sizing M23</x:v>
      </x:c>
      <x:c r="H28" s="78" t="n">
        <x:v>1000</x:v>
      </x:c>
      <x:c r="I28" s="78" t="n">
        <x:v>4000</x:v>
      </x:c>
      <x:c r="J28" s="78" t="n">
        <x:v>5000</x:v>
      </x:c>
      <x:c r="K28" s="79" t="n">
        <x:f>F28*H28*'Assumptions'!$F$16+I28+J28</x:f>
        <x:v>49000</x:v>
      </x:c>
      <x:c r="L28" s="68" t="n">
        <x:v>0.25</x:v>
      </x:c>
      <x:c r="M28" s="79" t="n">
        <x:f>K28*(1+L28)</x:f>
        <x:v>61250</x:v>
      </x:c>
      <x:c r="N28" s="80" t="n">
        <x:f>M28/$M$41</x:f>
        <x:v>0.027344122319522653</x:v>
      </x:c>
      <x:c r="O28" s="48" t="str">
        <x:v>Admitted concept</x:v>
      </x:c>
      <x:c r="P28" s="48" t="str">
        <x:v>Physics, formation, lifecycle, and cost not yet closed</x:v>
      </x:c>
    </x:row>
    <x:row r="29" ht="15" hidden="0" customHeight="1">
      <x:c r="C29" s="8" t="str">
        <x:v>MR-3</x:v>
      </x:c>
      <x:c r="D29" s="8" t="str">
        <x:v>Maritime</x:v>
      </x:c>
      <x:c r="E29" s="48" t="str">
        <x:v>Resilience Support Carrier</x:v>
      </x:c>
      <x:c r="F29" s="77" t="n">
        <x:f>'Force Sizing'!M24</x:f>
        <x:v>20</x:v>
      </x:c>
      <x:c r="G29" s="48" t="str">
        <x:v>Force Sizing M24</x:v>
      </x:c>
      <x:c r="H29" s="78" t="n">
        <x:v>4500</x:v>
      </x:c>
      <x:c r="I29" s="78" t="n">
        <x:v>12000</x:v>
      </x:c>
      <x:c r="J29" s="78" t="n">
        <x:v>10000</x:v>
      </x:c>
      <x:c r="K29" s="79" t="n">
        <x:f>F29*H29*'Assumptions'!$F$16+I29+J29</x:f>
        <x:v>112000</x:v>
      </x:c>
      <x:c r="L29" s="68" t="n">
        <x:v>0.3</x:v>
      </x:c>
      <x:c r="M29" s="79" t="n">
        <x:f>K29*(1+L29)</x:f>
        <x:v>145600</x:v>
      </x:c>
      <x:c r="N29" s="80" t="n">
        <x:f>M29/$M$41</x:f>
        <x:v>0.06500088505669385</x:v>
      </x:c>
      <x:c r="O29" s="48" t="str">
        <x:v>Admitted concept</x:v>
      </x:c>
      <x:c r="P29" s="48" t="str">
        <x:v>Physics, formation, lifecycle, and cost not yet closed</x:v>
      </x:c>
    </x:row>
    <x:row r="30" ht="15" hidden="0" customHeight="1">
      <x:c r="C30" s="8" t="str">
        <x:v>MR-4</x:v>
      </x:c>
      <x:c r="D30" s="8" t="str">
        <x:v>Maritime</x:v>
      </x:c>
      <x:c r="E30" s="48" t="str">
        <x:v>Sealift and Sustainment Ship</x:v>
      </x:c>
      <x:c r="F30" s="77" t="n">
        <x:f>'Force Sizing'!M25</x:f>
        <x:v>57</x:v>
      </x:c>
      <x:c r="G30" s="48" t="str">
        <x:v>Force Sizing M25</x:v>
      </x:c>
      <x:c r="H30" s="78" t="n">
        <x:v>1200</x:v>
      </x:c>
      <x:c r="I30" s="78" t="n">
        <x:v>7000</x:v>
      </x:c>
      <x:c r="J30" s="78" t="n">
        <x:v>7000</x:v>
      </x:c>
      <x:c r="K30" s="79" t="n">
        <x:f>F30*H30*'Assumptions'!$F$16+I30+J30</x:f>
        <x:v>82400</x:v>
      </x:c>
      <x:c r="L30" s="68" t="n">
        <x:v>0.25</x:v>
      </x:c>
      <x:c r="M30" s="79" t="n">
        <x:f>K30*(1+L30)</x:f>
        <x:v>103000</x:v>
      </x:c>
      <x:c r="N30" s="80" t="n">
        <x:f>M30/$M$41</x:f>
        <x:v>0.04598276896180953</x:v>
      </x:c>
      <x:c r="O30" s="48" t="str">
        <x:v>Admitted concept</x:v>
      </x:c>
      <x:c r="P30" s="48" t="str">
        <x:v>Physics, formation, lifecycle, and cost not yet closed</x:v>
      </x:c>
    </x:row>
    <x:row r="31" ht="15" hidden="0" customHeight="1">
      <x:c r="C31" s="8" t="str">
        <x:v>MR-5</x:v>
      </x:c>
      <x:c r="D31" s="8" t="str">
        <x:v>Maritime</x:v>
      </x:c>
      <x:c r="E31" s="48" t="str">
        <x:v>Inland-Waterway Group</x:v>
      </x:c>
      <x:c r="F31" s="77" t="n">
        <x:f>'Force Sizing'!M26</x:f>
        <x:v>47</x:v>
      </x:c>
      <x:c r="G31" s="48" t="str">
        <x:v>Force Sizing M26</x:v>
      </x:c>
      <x:c r="H31" s="78" t="n">
        <x:v>300</x:v>
      </x:c>
      <x:c r="I31" s="78" t="n">
        <x:v>2500</x:v>
      </x:c>
      <x:c r="J31" s="78" t="n">
        <x:v>3000</x:v>
      </x:c>
      <x:c r="K31" s="79" t="n">
        <x:f>F31*H31*'Assumptions'!$F$16+I31+J31</x:f>
        <x:v>19600</x:v>
      </x:c>
      <x:c r="L31" s="68" t="n">
        <x:v>0.2</x:v>
      </x:c>
      <x:c r="M31" s="79" t="n">
        <x:f>K31*(1+L31)</x:f>
        <x:v>23520</x:v>
      </x:c>
      <x:c r="N31" s="80" t="n">
        <x:f>M31/$M$41</x:f>
        <x:v>0.010500142970696699</x:v>
      </x:c>
      <x:c r="O31" s="48" t="str">
        <x:v>Admitted concept</x:v>
      </x:c>
      <x:c r="P31" s="48" t="str">
        <x:v>Physics, formation, lifecycle, and cost not yet closed</x:v>
      </x:c>
    </x:row>
    <x:row r="32" ht="15" hidden="0" customHeight="1">
      <x:c r="C32" s="8" t="str">
        <x:v>MH-G</x:v>
      </x:c>
      <x:c r="D32" s="8" t="str">
        <x:v>Health</x:v>
      </x:c>
      <x:c r="E32" s="48" t="str">
        <x:v>Medical Ship Group</x:v>
      </x:c>
      <x:c r="F32" s="77" t="n">
        <x:f>'Force Sizing'!M27</x:f>
        <x:v>28</x:v>
      </x:c>
      <x:c r="G32" s="48" t="str">
        <x:v>Force Sizing M27</x:v>
      </x:c>
      <x:c r="H32" s="78" t="n">
        <x:v>2200</x:v>
      </x:c>
      <x:c r="I32" s="78" t="n">
        <x:v>10000</x:v>
      </x:c>
      <x:c r="J32" s="78" t="n">
        <x:v>7000</x:v>
      </x:c>
      <x:c r="K32" s="79" t="n">
        <x:f>F32*H32*'Assumptions'!$F$16+I32+J32</x:f>
        <x:v>78600</x:v>
      </x:c>
      <x:c r="L32" s="68" t="n">
        <x:v>0.3</x:v>
      </x:c>
      <x:c r="M32" s="79" t="n">
        <x:f>K32*(1+L32)</x:f>
        <x:v>102180</x:v>
      </x:c>
      <x:c r="N32" s="80" t="n">
        <x:f>M32/$M$41</x:f>
        <x:v>0.045616692548715504</x:v>
      </x:c>
      <x:c r="O32" s="48" t="str">
        <x:v>Admitted concept</x:v>
      </x:c>
      <x:c r="P32" s="48" t="str">
        <x:v>Physics, formation, lifecycle, and cost not yet closed</x:v>
      </x:c>
    </x:row>
    <x:row r="33" ht="15" hidden="0" customHeight="1">
      <x:c r="C33" s="8" t="str">
        <x:v>AM-1</x:v>
      </x:c>
      <x:c r="D33" s="8" t="str">
        <x:v>Air mobility</x:v>
      </x:c>
      <x:c r="E33" s="48" t="str">
        <x:v>Strategic Mission-Module Airlift</x:v>
      </x:c>
      <x:c r="F33" s="77" t="n">
        <x:f>'Force Sizing'!M28</x:f>
        <x:v>133</x:v>
      </x:c>
      <x:c r="G33" s="48" t="str">
        <x:v>Force Sizing M28</x:v>
      </x:c>
      <x:c r="H33" s="78" t="n">
        <x:v>450</x:v>
      </x:c>
      <x:c r="I33" s="78" t="n">
        <x:v>12000</x:v>
      </x:c>
      <x:c r="J33" s="78" t="n">
        <x:v>8000</x:v>
      </x:c>
      <x:c r="K33" s="79" t="n">
        <x:f>F33*H33*'Assumptions'!$F$16+I33+J33</x:f>
        <x:v>79850</x:v>
      </x:c>
      <x:c r="L33" s="68" t="n">
        <x:v>0.3</x:v>
      </x:c>
      <x:c r="M33" s="79" t="n">
        <x:f>K33*(1+L33)</x:f>
        <x:v>103805</x:v>
      </x:c>
      <x:c r="N33" s="80" t="n">
        <x:f>M33/$M$41</x:f>
        <x:v>0.046342148855151824</x:v>
      </x:c>
      <x:c r="O33" s="48" t="str">
        <x:v>Admitted concept</x:v>
      </x:c>
      <x:c r="P33" s="48" t="str">
        <x:v>Physics, formation, lifecycle, and cost not yet closed</x:v>
      </x:c>
    </x:row>
    <x:row r="34" ht="15" hidden="0" customHeight="1">
      <x:c r="C34" s="8" t="str">
        <x:v>AM-2</x:v>
      </x:c>
      <x:c r="D34" s="8" t="str">
        <x:v>Air mobility</x:v>
      </x:c>
      <x:c r="E34" s="48" t="str">
        <x:v>Short-Field Disaster Airlifter</x:v>
      </x:c>
      <x:c r="F34" s="77" t="n">
        <x:f>'Force Sizing'!M29</x:f>
        <x:v>187</x:v>
      </x:c>
      <x:c r="G34" s="48" t="str">
        <x:v>Force Sizing M29</x:v>
      </x:c>
      <x:c r="H34" s="78" t="n">
        <x:v>250</x:v>
      </x:c>
      <x:c r="I34" s="78" t="n">
        <x:v>10000</x:v>
      </x:c>
      <x:c r="J34" s="78" t="n">
        <x:v>7000</x:v>
      </x:c>
      <x:c r="K34" s="79" t="n">
        <x:f>F34*H34*'Assumptions'!$F$16+I34+J34</x:f>
        <x:v>63750</x:v>
      </x:c>
      <x:c r="L34" s="68" t="n">
        <x:v>0.3</x:v>
      </x:c>
      <x:c r="M34" s="79" t="n">
        <x:f>K34*(1+L34)</x:f>
        <x:v>82875</x:v>
      </x:c>
      <x:c r="N34" s="80" t="n">
        <x:f>M34/$M$41</x:f>
        <x:v>0.03699827162825208</x:v>
      </x:c>
      <x:c r="O34" s="48" t="str">
        <x:v>Conditional</x:v>
      </x:c>
      <x:c r="P34" s="48" t="str">
        <x:v>Must outperform runway repair and existing-aircraft alternatives</x:v>
      </x:c>
    </x:row>
    <x:row r="35" ht="15" hidden="0" customHeight="1">
      <x:c r="C35" s="8" t="str">
        <x:v>AM-3</x:v>
      </x:c>
      <x:c r="D35" s="8" t="str">
        <x:v>Air mobility</x:v>
      </x:c>
      <x:c r="E35" s="48" t="str">
        <x:v>Vertical Access Family</x:v>
      </x:c>
      <x:c r="F35" s="77" t="n">
        <x:f>'Force Sizing'!M30</x:f>
        <x:v>312</x:v>
      </x:c>
      <x:c r="G35" s="48" t="str">
        <x:v>Force Sizing M30</x:v>
      </x:c>
      <x:c r="H35" s="78" t="n">
        <x:v>100</x:v>
      </x:c>
      <x:c r="I35" s="78" t="n">
        <x:v>8000</x:v>
      </x:c>
      <x:c r="J35" s="78" t="n">
        <x:v>6000</x:v>
      </x:c>
      <x:c r="K35" s="79" t="n">
        <x:f>F35*H35*'Assumptions'!$F$16+I35+J35</x:f>
        <x:v>45200</x:v>
      </x:c>
      <x:c r="L35" s="68" t="n">
        <x:v>0.25</x:v>
      </x:c>
      <x:c r="M35" s="79" t="n">
        <x:f>K35*(1+L35)</x:f>
        <x:v>56500</x:v>
      </x:c>
      <x:c r="N35" s="80" t="n">
        <x:f>M35/$M$41</x:f>
        <x:v>0.025223557731478042</x:v>
      </x:c>
      <x:c r="O35" s="48" t="str">
        <x:v>Admitted concept</x:v>
      </x:c>
      <x:c r="P35" s="48" t="str">
        <x:v>Physics, formation, lifecycle, and cost not yet closed</x:v>
      </x:c>
    </x:row>
    <x:row r="36" ht="15" hidden="0" customHeight="1">
      <x:c r="C36" s="8" t="str">
        <x:v>HM-3</x:v>
      </x:c>
      <x:c r="D36" s="8" t="str">
        <x:v>Health</x:v>
      </x:c>
      <x:c r="E36" s="48" t="str">
        <x:v>Modular Theater Hospital</x:v>
      </x:c>
      <x:c r="F36" s="77" t="n">
        <x:f>'Force Sizing'!M31</x:f>
        <x:v>74</x:v>
      </x:c>
      <x:c r="G36" s="48" t="str">
        <x:v>Force Sizing M31</x:v>
      </x:c>
      <x:c r="H36" s="78" t="n">
        <x:v>1500</x:v>
      </x:c>
      <x:c r="I36" s="78" t="n">
        <x:v>8000</x:v>
      </x:c>
      <x:c r="J36" s="78" t="n">
        <x:v>6000</x:v>
      </x:c>
      <x:c r="K36" s="79" t="n">
        <x:f>F36*H36*'Assumptions'!$F$16+I36+J36</x:f>
        <x:v>125000</x:v>
      </x:c>
      <x:c r="L36" s="68" t="n">
        <x:v>0.25</x:v>
      </x:c>
      <x:c r="M36" s="79" t="n">
        <x:f>K36*(1+L36)</x:f>
        <x:v>156250</x:v>
      </x:c>
      <x:c r="N36" s="80" t="n">
        <x:f>M36/$M$41</x:f>
        <x:v>0.06975541408041494</x:v>
      </x:c>
      <x:c r="O36" s="48" t="str">
        <x:v>Admitted concept</x:v>
      </x:c>
      <x:c r="P36" s="48" t="str">
        <x:v>Physics, formation, lifecycle, and cost not yet closed</x:v>
      </x:c>
    </x:row>
    <x:row r="37" ht="15" hidden="0" customHeight="1">
      <x:c r="C37" s="8" t="str">
        <x:v>C/O-G</x:v>
      </x:c>
      <x:c r="D37" s="8" t="str">
        <x:v>Information/autonomy</x:v>
      </x:c>
      <x:c r="E37" s="48" t="str">
        <x:v>Communications and Observation Group</x:v>
      </x:c>
      <x:c r="F37" s="77" t="n">
        <x:f>'Force Sizing'!M32</x:f>
        <x:v>170</x:v>
      </x:c>
      <x:c r="G37" s="48" t="str">
        <x:v>Force Sizing M32</x:v>
      </x:c>
      <x:c r="H37" s="78" t="n">
        <x:v>150</x:v>
      </x:c>
      <x:c r="I37" s="78" t="n">
        <x:v>5000</x:v>
      </x:c>
      <x:c r="J37" s="78" t="n">
        <x:v>4000</x:v>
      </x:c>
      <x:c r="K37" s="79" t="n">
        <x:f>F37*H37*'Assumptions'!$F$16+I37+J37</x:f>
        <x:v>34500</x:v>
      </x:c>
      <x:c r="L37" s="68" t="n">
        <x:v>0.25</x:v>
      </x:c>
      <x:c r="M37" s="79" t="n">
        <x:f>K37*(1+L37)</x:f>
        <x:v>43125</x:v>
      </x:c>
      <x:c r="N37" s="80" t="n">
        <x:f>M37/$M$41</x:f>
        <x:v>0.01925249428619452</x:v>
      </x:c>
      <x:c r="O37" s="48" t="str">
        <x:v>Admitted concept</x:v>
      </x:c>
      <x:c r="P37" s="48" t="str">
        <x:v>Physics, formation, lifecycle, and cost not yet closed</x:v>
      </x:c>
    </x:row>
    <x:row r="38" ht="15" hidden="0" customHeight="1">
      <x:c r="C38" s="8" t="str">
        <x:v>R-G</x:v>
      </x:c>
      <x:c r="D38" s="8" t="str">
        <x:v>Information/autonomy</x:v>
      </x:c>
      <x:c r="E38" s="48" t="str">
        <x:v>Robotic Work Group</x:v>
      </x:c>
      <x:c r="F38" s="77" t="n">
        <x:f>'Force Sizing'!M33</x:f>
        <x:v>255</x:v>
      </x:c>
      <x:c r="G38" s="48" t="str">
        <x:v>Force Sizing M33</x:v>
      </x:c>
      <x:c r="H38" s="78" t="n">
        <x:v>120</x:v>
      </x:c>
      <x:c r="I38" s="78" t="n">
        <x:v>7000</x:v>
      </x:c>
      <x:c r="J38" s="78" t="n">
        <x:v>5000</x:v>
      </x:c>
      <x:c r="K38" s="79" t="n">
        <x:f>F38*H38*'Assumptions'!$F$16+I38+J38</x:f>
        <x:v>42600</x:v>
      </x:c>
      <x:c r="L38" s="68" t="n">
        <x:v>0.25</x:v>
      </x:c>
      <x:c r="M38" s="79" t="n">
        <x:f>K38*(1+L38)</x:f>
        <x:v>53250</x:v>
      </x:c>
      <x:c r="N38" s="80" t="n">
        <x:f>M38/$M$41</x:f>
        <x:v>0.02377264511860541</x:v>
      </x:c>
      <x:c r="O38" s="48" t="str">
        <x:v>Admitted concept</x:v>
      </x:c>
      <x:c r="P38" s="48" t="str">
        <x:v>Physics, formation, lifecycle, and cost not yet closed</x:v>
      </x:c>
    </x:row>
    <x:row r="39" ht="24" hidden="0" customHeight="1">
      <x:c r="C39" s="8" t="str">
        <x:v>BASE</x:v>
      </x:c>
      <x:c r="D39" s="8" t="str">
        <x:v>Industrial/base</x:v>
      </x:c>
      <x:c r="E39" s="48" t="str">
        <x:v>Regional complexes, depots, schools and proving grounds</x:v>
      </x:c>
      <x:c r="F39" s="81" t="n">
        <x:v>20</x:v>
      </x:c>
      <x:c r="G39" s="48" t="str">
        <x:v>Manual design assumption</x:v>
      </x:c>
      <x:c r="H39" s="78" t="n">
        <x:v>5000</x:v>
      </x:c>
      <x:c r="I39" s="78" t="n">
        <x:v>10000</x:v>
      </x:c>
      <x:c r="J39" s="78" t="n">
        <x:v>15000</x:v>
      </x:c>
      <x:c r="K39" s="79" t="n">
        <x:f>F39*H39*'Assumptions'!$F$16+I39+J39</x:f>
        <x:v>125000</x:v>
      </x:c>
      <x:c r="L39" s="68" t="n">
        <x:v>0.25</x:v>
      </x:c>
      <x:c r="M39" s="79" t="n">
        <x:f>K39*(1+L39)</x:f>
        <x:v>156250</x:v>
      </x:c>
      <x:c r="N39" s="80" t="n">
        <x:f>M39/$M$41</x:f>
        <x:v>0.06975541408041494</x:v>
      </x:c>
      <x:c r="O39" s="48" t="str">
        <x:v>Admitted concept</x:v>
      </x:c>
      <x:c r="P39" s="48" t="str">
        <x:v>Physics, formation, lifecycle, and cost not yet closed</x:v>
      </x:c>
    </x:row>
    <x:row r="40" ht="15" hidden="0" customHeight="1">
      <x:c r="C40" s="8" t="str">
        <x:v>STOCK</x:v>
      </x:c>
      <x:c r="D40" s="8" t="str">
        <x:v>Strategic stock</x:v>
      </x:c>
      <x:c r="E40" s="48" t="str">
        <x:v>Strategic consumables and mission-module reserve</x:v>
      </x:c>
      <x:c r="F40" s="81" t="n">
        <x:v>1</x:v>
      </x:c>
      <x:c r="G40" s="48" t="str">
        <x:v>Manual design assumption</x:v>
      </x:c>
      <x:c r="H40" s="78" t="n">
        <x:v>50000</x:v>
      </x:c>
      <x:c r="I40" s="78" t="n">
        <x:v>3000</x:v>
      </x:c>
      <x:c r="J40" s="78" t="n">
        <x:v>5000</x:v>
      </x:c>
      <x:c r="K40" s="79" t="n">
        <x:f>F40*H40*'Assumptions'!$F$16+I40+J40</x:f>
        <x:v>58000</x:v>
      </x:c>
      <x:c r="L40" s="68" t="n">
        <x:v>0.2</x:v>
      </x:c>
      <x:c r="M40" s="79" t="n">
        <x:f>K40*(1+L40)</x:f>
        <x:v>69600</x:v>
      </x:c>
      <x:c r="N40" s="80" t="n">
        <x:f>M40/$M$41</x:f>
        <x:v>0.03107185164798003</x:v>
      </x:c>
      <x:c r="O40" s="48" t="str">
        <x:v>Admitted concept</x:v>
      </x:c>
      <x:c r="P40" s="48" t="str">
        <x:v>Physics, formation, lifecycle, and cost not yet closed</x:v>
      </x:c>
    </x:row>
    <x:row r="41" ht="15" hidden="0" customHeight="1">
      <x:c r="C41" s="38" t="str">
        <x:v>Bottom-up concept total</x:v>
      </x:c>
      <x:c r="D41" s="38"/>
      <x:c r="E41" s="72"/>
      <x:c r="F41" s="72"/>
      <x:c r="G41" s="72"/>
      <x:c r="H41" s="82"/>
      <x:c r="I41" s="82"/>
      <x:c r="J41" s="82"/>
      <x:c r="K41" s="82"/>
      <x:c r="L41" s="82"/>
      <x:c r="M41" s="82" t="n">
        <x:f>SUM(M7:M40)</x:f>
        <x:v>2239969.5</x:v>
      </x:c>
      <x:c r="N41" s="72"/>
      <x:c r="O41" s="72"/>
      <x:c r="P41" s="72"/>
    </x:row>
    <x:row r="42" ht="15" hidden="0" customHeight="1">
      <x:c r="C42" s="8"/>
      <x:c r="D42" s="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</x:row>
    <x:row r="43" ht="15" hidden="0" customHeight="1">
      <x:c r="C43" s="29" t="str">
        <x:v>Capital reconciliation</x:v>
      </x:c>
      <x:c r="D43" s="30" t="str">
        <x:v>$B</x:v>
      </x:c>
      <x:c r="E43" s="30"/>
      <x:c r="F43" s="31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</x:row>
    <x:row r="44" ht="15" hidden="0" customHeight="1">
      <x:c r="C44" s="8" t="str">
        <x:v>Selected top-down envelope</x:v>
      </x:c>
      <x:c r="D44" s="50" t="n">
        <x:f>'Assumptions'!$D$16</x:f>
        <x:v>1000</x:v>
      </x:c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</x:row>
    <x:row r="45" ht="15" hidden="0" customHeight="1">
      <x:c r="C45" s="8" t="str">
        <x:v>Bottom-up concept total</x:v>
      </x:c>
      <x:c r="D45" s="34" t="n">
        <x:f>M41/1000</x:f>
        <x:v>2239.9695</x:v>
      </x:c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</x:row>
    <x:row r="46" ht="15" hidden="0" customHeight="1">
      <x:c r="C46" s="8" t="str">
        <x:v>Bottom-up less envelope</x:v>
      </x:c>
      <x:c r="D46" s="34" t="n">
        <x:f>D45-D44</x:f>
        <x:v>1239.9695000000002</x:v>
      </x:c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</x:row>
    <x:row r="47" ht="15" hidden="0" customHeight="1"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  <x:row r="48" ht="15" hidden="0" customHeight="1"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</x:row>
    <x:row r="49" ht="15" hidden="0" customHeight="1"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</x:row>
    <x:row r="50" ht="15" hidden="0" customHeight="1"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18" hidden="0" customHeight="1">
      <x:c r="C2" s="65" t="str">
        <x:v>Workforce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 ht="15" hidden="0" customHeight="1">
      <x:c r="C3" s="66" t="str">
        <x:v>Mature active, reserve, accession, and personnel-cost assumptions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 ht="24" hidden="0" customHeight="1">
      <x:c r="C6" s="29" t="str">
        <x:v>Service/component</x:v>
      </x:c>
      <x:c r="D6" s="30" t="str">
        <x:v>Base active FTE</x:v>
      </x:c>
      <x:c r="E6" s="30" t="str">
        <x:v>Reserve ratio</x:v>
      </x:c>
      <x:c r="F6" s="30" t="str">
        <x:v>Active burden ($K/FTE)</x:v>
      </x:c>
      <x:c r="G6" s="30" t="str">
        <x:v>Reserve cost ($K/FTE)</x:v>
      </x:c>
      <x:c r="H6" s="30" t="str">
        <x:v>Career length (years)</x:v>
      </x:c>
      <x:c r="I6" s="30" t="str">
        <x:v>Annual attrition</x:v>
      </x:c>
      <x:c r="J6" s="30" t="str">
        <x:v>Selected active FTE</x:v>
      </x:c>
      <x:c r="K6" s="30" t="str">
        <x:v>Reserve FTE</x:v>
      </x:c>
      <x:c r="L6" s="30" t="str">
        <x:v>Annual accessions</x:v>
      </x:c>
      <x:c r="M6" s="30" t="str">
        <x:v>Active personnel ($B)</x:v>
      </x:c>
      <x:c r="N6" s="30" t="str">
        <x:v>Reserve personnel ($B)</x:v>
      </x:c>
      <x:c r="O6" s="31" t="str">
        <x:v>Total personnel ($B)</x:v>
      </x:c>
    </x:row>
    <x:row r="7" ht="15" hidden="0" customHeight="1">
      <x:c r="C7" s="48" t="str">
        <x:v>Land Engineering</x:v>
      </x:c>
      <x:c r="D7" s="81" t="n">
        <x:v>65000</x:v>
      </x:c>
      <x:c r="E7" s="83" t="n">
        <x:v>1.5</x:v>
      </x:c>
      <x:c r="F7" s="84" t="n">
        <x:v>220</x:v>
      </x:c>
      <x:c r="G7" s="84" t="n">
        <x:v>70</x:v>
      </x:c>
      <x:c r="H7" s="81" t="n">
        <x:v>18</x:v>
      </x:c>
      <x:c r="I7" s="68" t="n">
        <x:v>0.04</x:v>
      </x:c>
      <x:c r="J7" s="77" t="n">
        <x:f>D7*'Assumptions'!$G$16</x:f>
        <x:v>65000</x:v>
      </x:c>
      <x:c r="K7" s="76" t="n">
        <x:f>J7*E7</x:f>
        <x:v>97500</x:v>
      </x:c>
      <x:c r="L7" s="76" t="n">
        <x:f>J7/H7+J7*I7</x:f>
        <x:v>6211.111111111111</x:v>
      </x:c>
      <x:c r="M7" s="85" t="n">
        <x:f>J7*F7/1000000</x:f>
        <x:v>14.3</x:v>
      </x:c>
      <x:c r="N7" s="85" t="n">
        <x:f>K7*G7/1000000</x:f>
        <x:v>6.825</x:v>
      </x:c>
      <x:c r="O7" s="85" t="n">
        <x:f>M7+N7</x:f>
        <x:v>21.125</x:v>
      </x:c>
    </x:row>
    <x:row r="8" ht="15" hidden="0" customHeight="1">
      <x:c r="C8" s="48" t="str">
        <x:v>Air Response</x:v>
      </x:c>
      <x:c r="D8" s="81" t="n">
        <x:v>32000</x:v>
      </x:c>
      <x:c r="E8" s="83" t="n">
        <x:v>0.75</x:v>
      </x:c>
      <x:c r="F8" s="84" t="n">
        <x:v>260</x:v>
      </x:c>
      <x:c r="G8" s="84" t="n">
        <x:v>85</x:v>
      </x:c>
      <x:c r="H8" s="81" t="n">
        <x:v>18</x:v>
      </x:c>
      <x:c r="I8" s="68" t="n">
        <x:v>0.035</x:v>
      </x:c>
      <x:c r="J8" s="77" t="n">
        <x:f>D8*'Assumptions'!$G$16</x:f>
        <x:v>32000</x:v>
      </x:c>
      <x:c r="K8" s="76" t="n">
        <x:f>J8*E8</x:f>
        <x:v>24000</x:v>
      </x:c>
      <x:c r="L8" s="76" t="n">
        <x:f>J8/H8+J8*I8</x:f>
        <x:v>2897.777777777778</x:v>
      </x:c>
      <x:c r="M8" s="85" t="n">
        <x:f>J8*F8/1000000</x:f>
        <x:v>8.32</x:v>
      </x:c>
      <x:c r="N8" s="85" t="n">
        <x:f>K8*G8/1000000</x:f>
        <x:v>2.04</x:v>
      </x:c>
      <x:c r="O8" s="85" t="n">
        <x:f>M8+N8</x:f>
        <x:v>10.36</x:v>
      </x:c>
    </x:row>
    <x:row r="9" ht="15" hidden="0" customHeight="1">
      <x:c r="C9" s="48" t="str">
        <x:v>Maritime Response</x:v>
      </x:c>
      <x:c r="D9" s="81" t="n">
        <x:v>30000</x:v>
      </x:c>
      <x:c r="E9" s="83" t="n">
        <x:v>0.75</x:v>
      </x:c>
      <x:c r="F9" s="84" t="n">
        <x:v>250</x:v>
      </x:c>
      <x:c r="G9" s="84" t="n">
        <x:v>80</x:v>
      </x:c>
      <x:c r="H9" s="81" t="n">
        <x:v>20</x:v>
      </x:c>
      <x:c r="I9" s="68" t="n">
        <x:v>0.035</x:v>
      </x:c>
      <x:c r="J9" s="77" t="n">
        <x:f>D9*'Assumptions'!$G$16</x:f>
        <x:v>30000</x:v>
      </x:c>
      <x:c r="K9" s="76" t="n">
        <x:f>J9*E9</x:f>
        <x:v>22500</x:v>
      </x:c>
      <x:c r="L9" s="76" t="n">
        <x:f>J9/H9+J9*I9</x:f>
        <x:v>2550</x:v>
      </x:c>
      <x:c r="M9" s="85" t="n">
        <x:f>J9*F9/1000000</x:f>
        <x:v>7.5</x:v>
      </x:c>
      <x:c r="N9" s="85" t="n">
        <x:f>K9*G9/1000000</x:f>
        <x:v>1.8</x:v>
      </x:c>
      <x:c r="O9" s="85" t="n">
        <x:f>M9+N9</x:f>
        <x:v>9.3</x:v>
      </x:c>
    </x:row>
    <x:row r="10" ht="15" hidden="0" customHeight="1">
      <x:c r="C10" s="48" t="str">
        <x:v>Infrastructure Restoration</x:v>
      </x:c>
      <x:c r="D10" s="81" t="n">
        <x:v>50000</x:v>
      </x:c>
      <x:c r="E10" s="83" t="n">
        <x:v>1.5</x:v>
      </x:c>
      <x:c r="F10" s="84" t="n">
        <x:v>225</x:v>
      </x:c>
      <x:c r="G10" s="84" t="n">
        <x:v>70</x:v>
      </x:c>
      <x:c r="H10" s="81" t="n">
        <x:v>18</x:v>
      </x:c>
      <x:c r="I10" s="68" t="n">
        <x:v>0.04</x:v>
      </x:c>
      <x:c r="J10" s="77" t="n">
        <x:f>D10*'Assumptions'!$G$16</x:f>
        <x:v>50000</x:v>
      </x:c>
      <x:c r="K10" s="76" t="n">
        <x:f>J10*E10</x:f>
        <x:v>75000</x:v>
      </x:c>
      <x:c r="L10" s="76" t="n">
        <x:f>J10/H10+J10*I10</x:f>
        <x:v>4777.777777777777</x:v>
      </x:c>
      <x:c r="M10" s="85" t="n">
        <x:f>J10*F10/1000000</x:f>
        <x:v>11.25</x:v>
      </x:c>
      <x:c r="N10" s="85" t="n">
        <x:f>K10*G10/1000000</x:f>
        <x:v>5.25</x:v>
      </x:c>
      <x:c r="O10" s="85" t="n">
        <x:f>M10+N10</x:f>
        <x:v>16.5</x:v>
      </x:c>
    </x:row>
    <x:row r="11" ht="15" hidden="0" customHeight="1">
      <x:c r="C11" s="48" t="str">
        <x:v>Health Protection</x:v>
      </x:c>
      <x:c r="D11" s="81" t="n">
        <x:v>55000</x:v>
      </x:c>
      <x:c r="E11" s="83" t="n">
        <x:v>1.5</x:v>
      </x:c>
      <x:c r="F11" s="84" t="n">
        <x:v>245</x:v>
      </x:c>
      <x:c r="G11" s="84" t="n">
        <x:v>80</x:v>
      </x:c>
      <x:c r="H11" s="81" t="n">
        <x:v>16</x:v>
      </x:c>
      <x:c r="I11" s="68" t="n">
        <x:v>0.05</x:v>
      </x:c>
      <x:c r="J11" s="77" t="n">
        <x:f>D11*'Assumptions'!$G$16</x:f>
        <x:v>55000</x:v>
      </x:c>
      <x:c r="K11" s="76" t="n">
        <x:f>J11*E11</x:f>
        <x:v>82500</x:v>
      </x:c>
      <x:c r="L11" s="76" t="n">
        <x:f>J11/H11+J11*I11</x:f>
        <x:v>6187.5</x:v>
      </x:c>
      <x:c r="M11" s="85" t="n">
        <x:f>J11*F11/1000000</x:f>
        <x:v>13.475</x:v>
      </x:c>
      <x:c r="N11" s="85" t="n">
        <x:f>K11*G11/1000000</x:f>
        <x:v>6.6</x:v>
      </x:c>
      <x:c r="O11" s="85" t="n">
        <x:f>M11+N11</x:f>
        <x:v>20.075</x:v>
      </x:c>
    </x:row>
    <x:row r="12" ht="15" hidden="0" customHeight="1">
      <x:c r="C12" s="48" t="str">
        <x:v>Community Stabilization</x:v>
      </x:c>
      <x:c r="D12" s="81" t="n">
        <x:v>40000</x:v>
      </x:c>
      <x:c r="E12" s="83" t="n">
        <x:v>2</x:v>
      </x:c>
      <x:c r="F12" s="84" t="n">
        <x:v>205</x:v>
      </x:c>
      <x:c r="G12" s="84" t="n">
        <x:v>65</x:v>
      </x:c>
      <x:c r="H12" s="81" t="n">
        <x:v>16</x:v>
      </x:c>
      <x:c r="I12" s="68" t="n">
        <x:v>0.05</x:v>
      </x:c>
      <x:c r="J12" s="77" t="n">
        <x:f>D12*'Assumptions'!$G$16</x:f>
        <x:v>40000</x:v>
      </x:c>
      <x:c r="K12" s="76" t="n">
        <x:f>J12*E12</x:f>
        <x:v>80000</x:v>
      </x:c>
      <x:c r="L12" s="76" t="n">
        <x:f>J12/H12+J12*I12</x:f>
        <x:v>4500</x:v>
      </x:c>
      <x:c r="M12" s="85" t="n">
        <x:f>J12*F12/1000000</x:f>
        <x:v>8.2</x:v>
      </x:c>
      <x:c r="N12" s="85" t="n">
        <x:f>K12*G12/1000000</x:f>
        <x:v>5.2</x:v>
      </x:c>
      <x:c r="O12" s="85" t="n">
        <x:f>M12+N12</x:f>
        <x:v>13.399999999999999</x:v>
      </x:c>
    </x:row>
    <x:row r="13" ht="15" hidden="0" customHeight="1">
      <x:c r="C13" s="48" t="str">
        <x:v>Joint, science, logistics and acquisition</x:v>
      </x:c>
      <x:c r="D13" s="81" t="n">
        <x:v>30000</x:v>
      </x:c>
      <x:c r="E13" s="83" t="n">
        <x:v>0.5</x:v>
      </x:c>
      <x:c r="F13" s="84" t="n">
        <x:v>240</x:v>
      </x:c>
      <x:c r="G13" s="84" t="n">
        <x:v>75</x:v>
      </x:c>
      <x:c r="H13" s="81" t="n">
        <x:v>20</x:v>
      </x:c>
      <x:c r="I13" s="68" t="n">
        <x:v>0.035</x:v>
      </x:c>
      <x:c r="J13" s="77" t="n">
        <x:f>D13*'Assumptions'!$G$16</x:f>
        <x:v>30000</x:v>
      </x:c>
      <x:c r="K13" s="76" t="n">
        <x:f>J13*E13</x:f>
        <x:v>15000</x:v>
      </x:c>
      <x:c r="L13" s="76" t="n">
        <x:f>J13/H13+J13*I13</x:f>
        <x:v>2550</x:v>
      </x:c>
      <x:c r="M13" s="85" t="n">
        <x:f>J13*F13/1000000</x:f>
        <x:v>7.2</x:v>
      </x:c>
      <x:c r="N13" s="85" t="n">
        <x:f>K13*G13/1000000</x:f>
        <x:v>1.125</x:v>
      </x:c>
      <x:c r="O13" s="85" t="n">
        <x:f>M13+N13</x:f>
        <x:v>8.325</x:v>
      </x:c>
    </x:row>
    <x:row r="14" ht="15" hidden="0" customHeight="1">
      <x:c r="C14" s="72" t="str">
        <x:v>Total</x:v>
      </x:c>
      <x:c r="D14" s="72"/>
      <x:c r="E14" s="72"/>
      <x:c r="F14" s="72"/>
      <x:c r="G14" s="72"/>
      <x:c r="H14" s="72"/>
      <x:c r="I14" s="72"/>
      <x:c r="J14" s="86" t="n">
        <x:f>SUM(J7:J13)</x:f>
        <x:v>302000</x:v>
      </x:c>
      <x:c r="K14" s="86" t="n">
        <x:f>SUM(K7:K13)</x:f>
        <x:v>396500</x:v>
      </x:c>
      <x:c r="L14" s="86" t="n">
        <x:f>SUM(L7:L13)</x:f>
        <x:v>29674.166666666664</x:v>
      </x:c>
      <x:c r="M14" s="87" t="n">
        <x:f>SUM(M7:M13)</x:f>
        <x:v>70.245</x:v>
      </x:c>
      <x:c r="N14" s="87" t="n">
        <x:f>SUM(N7:N13)</x:f>
        <x:v>28.84</x:v>
      </x:c>
      <x:c r="O14" s="87" t="n">
        <x:f>SUM(O7:O13)</x:f>
        <x:v>99.085</x:v>
      </x:c>
    </x:row>
    <x:row r="15" ht="15" hidden="0" customHeight="1"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</x:row>
    <x:row r="16" ht="15" hidden="0" customHeight="1"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</x:row>
    <x:row r="17" ht="15" hidden="0" customHeight="1">
      <x:c r="C17" s="88" t="str">
        <x:v>Boundary</x:v>
      </x:c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5"/>
    </x:row>
    <x:row r="18" ht="60" hidden="0" customHeight="1">
      <x:c r="C18" s="48" t="str">
        <x:v>Fully burdened personnel assumptions include compensation, benefits, routine training, and institutional overhead only to the degree represented in the editable per-FTE inputs. They do not estimate current federal pay tables.</x:v>
      </x:c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</x:row>
    <x:row r="2" ht="18" hidden="0" customHeight="1">
      <x:c r="C2" s="65" t="str">
        <x:v>25-Year Plan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3" ht="15" hidden="0" customHeight="1">
      <x:c r="C3" s="66" t="str">
        <x:v>Real 2026 USD; capital tranche and recurring operating requirement shown separately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</x:row>
    <x:row r="6" ht="15" hidden="0" customHeight="1">
      <x:c r="C6" s="29" t="str">
        <x:v>Metric</x:v>
      </x:c>
      <x:c r="D6" s="30" t="n">
        <x:v>2027</x:v>
      </x:c>
      <x:c r="E6" s="30" t="n">
        <x:v>2028</x:v>
      </x:c>
      <x:c r="F6" s="30" t="n">
        <x:v>2029</x:v>
      </x:c>
      <x:c r="G6" s="30" t="n">
        <x:v>2030</x:v>
      </x:c>
      <x:c r="H6" s="30" t="n">
        <x:v>2031</x:v>
      </x:c>
      <x:c r="I6" s="30" t="n">
        <x:v>2032</x:v>
      </x:c>
      <x:c r="J6" s="30" t="n">
        <x:v>2033</x:v>
      </x:c>
      <x:c r="K6" s="30" t="n">
        <x:v>2034</x:v>
      </x:c>
      <x:c r="L6" s="30" t="n">
        <x:v>2035</x:v>
      </x:c>
      <x:c r="M6" s="30" t="n">
        <x:v>2036</x:v>
      </x:c>
      <x:c r="N6" s="30" t="n">
        <x:v>2037</x:v>
      </x:c>
      <x:c r="O6" s="30" t="n">
        <x:v>2038</x:v>
      </x:c>
      <x:c r="P6" s="30" t="n">
        <x:v>2039</x:v>
      </x:c>
      <x:c r="Q6" s="30" t="n">
        <x:v>2040</x:v>
      </x:c>
      <x:c r="R6" s="30" t="n">
        <x:v>2041</x:v>
      </x:c>
      <x:c r="S6" s="30" t="n">
        <x:v>2042</x:v>
      </x:c>
      <x:c r="T6" s="30" t="n">
        <x:v>2043</x:v>
      </x:c>
      <x:c r="U6" s="30" t="n">
        <x:v>2044</x:v>
      </x:c>
      <x:c r="V6" s="30" t="n">
        <x:v>2045</x:v>
      </x:c>
      <x:c r="W6" s="30" t="n">
        <x:v>2046</x:v>
      </x:c>
      <x:c r="X6" s="30" t="n">
        <x:v>2047</x:v>
      </x:c>
      <x:c r="Y6" s="30" t="n">
        <x:v>2048</x:v>
      </x:c>
      <x:c r="Z6" s="30" t="n">
        <x:v>2049</x:v>
      </x:c>
      <x:c r="AA6" s="30" t="n">
        <x:v>2050</x:v>
      </x:c>
      <x:c r="AB6" s="31" t="n">
        <x:v>2051</x:v>
      </x:c>
    </x:row>
    <x:row r="7" ht="15" hidden="0" customHeight="1"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</x:row>
    <x:row r="8" ht="15" hidden="0" customHeight="1">
      <x:c r="C8" s="8" t="str">
        <x:v>Capital tranche ($B)</x:v>
      </x:c>
      <x:c r="D8" s="50" t="n">
        <x:f>'Assumptions'!$D$16*'Assumptions'!D37</x:f>
        <x:v>10.309278350515465</x:v>
      </x:c>
      <x:c r="E8" s="50" t="n">
        <x:f>'Assumptions'!$D$16*'Assumptions'!E37</x:f>
        <x:v>20.61855670103093</x:v>
      </x:c>
      <x:c r="F8" s="50" t="n">
        <x:f>'Assumptions'!$D$16*'Assumptions'!F37</x:f>
        <x:v>30.927835051546392</x:v>
      </x:c>
      <x:c r="G8" s="50" t="n">
        <x:f>'Assumptions'!$D$16*'Assumptions'!G37</x:f>
        <x:v>41.23711340206186</x:v>
      </x:c>
      <x:c r="H8" s="50" t="n">
        <x:f>'Assumptions'!$D$16*'Assumptions'!H37</x:f>
        <x:v>51.546391752577314</x:v>
      </x:c>
      <x:c r="I8" s="50" t="n">
        <x:f>'Assumptions'!$D$16*'Assumptions'!I37</x:f>
        <x:v>61.855670103092784</x:v>
      </x:c>
      <x:c r="J8" s="50" t="n">
        <x:f>'Assumptions'!$D$16*'Assumptions'!J37</x:f>
        <x:v>72.16494845360825</x:v>
      </x:c>
      <x:c r="K8" s="50" t="n">
        <x:f>'Assumptions'!$D$16*'Assumptions'!K37</x:f>
        <x:v>72.16494845360825</x:v>
      </x:c>
      <x:c r="L8" s="50" t="n">
        <x:f>'Assumptions'!$D$16*'Assumptions'!L37</x:f>
        <x:v>72.16494845360825</x:v>
      </x:c>
      <x:c r="M8" s="50" t="n">
        <x:f>'Assumptions'!$D$16*'Assumptions'!M37</x:f>
        <x:v>61.855670103092784</x:v>
      </x:c>
      <x:c r="N8" s="50" t="n">
        <x:f>'Assumptions'!$D$16*'Assumptions'!N37</x:f>
        <x:v>61.855670103092784</x:v>
      </x:c>
      <x:c r="O8" s="50" t="n">
        <x:f>'Assumptions'!$D$16*'Assumptions'!O37</x:f>
        <x:v>51.546391752577314</x:v>
      </x:c>
      <x:c r="P8" s="50" t="n">
        <x:f>'Assumptions'!$D$16*'Assumptions'!P37</x:f>
        <x:v>51.546391752577314</x:v>
      </x:c>
      <x:c r="Q8" s="50" t="n">
        <x:f>'Assumptions'!$D$16*'Assumptions'!Q37</x:f>
        <x:v>51.546391752577314</x:v>
      </x:c>
      <x:c r="R8" s="50" t="n">
        <x:f>'Assumptions'!$D$16*'Assumptions'!R37</x:f>
        <x:v>41.23711340206186</x:v>
      </x:c>
      <x:c r="S8" s="50" t="n">
        <x:f>'Assumptions'!$D$16*'Assumptions'!S37</x:f>
        <x:v>41.23711340206186</x:v>
      </x:c>
      <x:c r="T8" s="50" t="n">
        <x:f>'Assumptions'!$D$16*'Assumptions'!T37</x:f>
        <x:v>41.23711340206186</x:v>
      </x:c>
      <x:c r="U8" s="50" t="n">
        <x:f>'Assumptions'!$D$16*'Assumptions'!U37</x:f>
        <x:v>30.927835051546392</x:v>
      </x:c>
      <x:c r="V8" s="50" t="n">
        <x:f>'Assumptions'!$D$16*'Assumptions'!V37</x:f>
        <x:v>30.927835051546392</x:v>
      </x:c>
      <x:c r="W8" s="50" t="n">
        <x:f>'Assumptions'!$D$16*'Assumptions'!W37</x:f>
        <x:v>30.927835051546392</x:v>
      </x:c>
      <x:c r="X8" s="50" t="n">
        <x:f>'Assumptions'!$D$16*'Assumptions'!X37</x:f>
        <x:v>20.61855670103093</x:v>
      </x:c>
      <x:c r="Y8" s="50" t="n">
        <x:f>'Assumptions'!$D$16*'Assumptions'!Y37</x:f>
        <x:v>20.61855670103093</x:v>
      </x:c>
      <x:c r="Z8" s="50" t="n">
        <x:f>'Assumptions'!$D$16*'Assumptions'!Z37</x:f>
        <x:v>10.309278350515465</x:v>
      </x:c>
      <x:c r="AA8" s="50" t="n">
        <x:f>'Assumptions'!$D$16*'Assumptions'!AA37</x:f>
        <x:v>10.309278350515465</x:v>
      </x:c>
      <x:c r="AB8" s="50" t="n">
        <x:f>'Assumptions'!$D$16*'Assumptions'!AB37</x:f>
        <x:v>10.309278350515465</x:v>
      </x:c>
    </x:row>
    <x:row r="9" ht="15" hidden="0" customHeight="1">
      <x:c r="C9" s="8" t="str">
        <x:v>Cumulative capital ($B)</x:v>
      </x:c>
      <x:c r="D9" s="34" t="n">
        <x:f>D8</x:f>
        <x:v>10.309278350515465</x:v>
      </x:c>
      <x:c r="E9" s="34" t="n">
        <x:f>D9+E8</x:f>
        <x:v>30.927835051546396</x:v>
      </x:c>
      <x:c r="F9" s="34" t="n">
        <x:f>E9+F8</x:f>
        <x:v>61.85567010309279</x:v>
      </x:c>
      <x:c r="G9" s="34" t="n">
        <x:f>F9+G8</x:f>
        <x:v>103.09278350515464</x:v>
      </x:c>
      <x:c r="H9" s="34" t="n">
        <x:f>G9+H8</x:f>
        <x:v>154.63917525773195</x:v>
      </x:c>
      <x:c r="I9" s="34" t="n">
        <x:f>H9+I8</x:f>
        <x:v>216.49484536082474</x:v>
      </x:c>
      <x:c r="J9" s="34" t="n">
        <x:f>I9+J8</x:f>
        <x:v>288.659793814433</x:v>
      </x:c>
      <x:c r="K9" s="34" t="n">
        <x:f>J9+K8</x:f>
        <x:v>360.82474226804123</x:v>
      </x:c>
      <x:c r="L9" s="34" t="n">
        <x:f>K9+L8</x:f>
        <x:v>432.9896907216495</x:v>
      </x:c>
      <x:c r="M9" s="34" t="n">
        <x:f>L9+M8</x:f>
        <x:v>494.8453608247423</x:v>
      </x:c>
      <x:c r="N9" s="34" t="n">
        <x:f>M9+N8</x:f>
        <x:v>556.7010309278351</x:v>
      </x:c>
      <x:c r="O9" s="34" t="n">
        <x:f>N9+O8</x:f>
        <x:v>608.2474226804123</x:v>
      </x:c>
      <x:c r="P9" s="34" t="n">
        <x:f>O9+P8</x:f>
        <x:v>659.7938144329896</x:v>
      </x:c>
      <x:c r="Q9" s="34" t="n">
        <x:f>P9+Q8</x:f>
        <x:v>711.3402061855669</x:v>
      </x:c>
      <x:c r="R9" s="34" t="n">
        <x:f>Q9+R8</x:f>
        <x:v>752.5773195876287</x:v>
      </x:c>
      <x:c r="S9" s="34" t="n">
        <x:f>R9+S8</x:f>
        <x:v>793.8144329896905</x:v>
      </x:c>
      <x:c r="T9" s="34" t="n">
        <x:f>S9+T8</x:f>
        <x:v>835.0515463917524</x:v>
      </x:c>
      <x:c r="U9" s="34" t="n">
        <x:f>T9+U8</x:f>
        <x:v>865.9793814432987</x:v>
      </x:c>
      <x:c r="V9" s="34" t="n">
        <x:f>U9+V8</x:f>
        <x:v>896.9072164948451</x:v>
      </x:c>
      <x:c r="W9" s="34" t="n">
        <x:f>V9+W8</x:f>
        <x:v>927.8350515463915</x:v>
      </x:c>
      <x:c r="X9" s="34" t="n">
        <x:f>W9+X8</x:f>
        <x:v>948.4536082474224</x:v>
      </x:c>
      <x:c r="Y9" s="34" t="n">
        <x:f>X9+Y8</x:f>
        <x:v>969.0721649484533</x:v>
      </x:c>
      <x:c r="Z9" s="34" t="n">
        <x:f>Y9+Z8</x:f>
        <x:v>979.3814432989687</x:v>
      </x:c>
      <x:c r="AA9" s="34" t="n">
        <x:f>Z9+AA8</x:f>
        <x:v>989.6907216494842</x:v>
      </x:c>
      <x:c r="AB9" s="34" t="n">
        <x:f>AA9+AB8</x:f>
        <x:v>999.9999999999997</x:v>
      </x:c>
    </x:row>
    <x:row r="10" ht="15" hidden="0" customHeight="1"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</x:row>
    <x:row r="11" ht="15" hidden="0" customHeight="1">
      <x:c r="C11" s="8" t="str">
        <x:v>Mature force ramp</x:v>
      </x:c>
      <x:c r="D11" s="59" t="n">
        <x:f>'Assumptions'!D38</x:f>
        <x:v>0.05</x:v>
      </x:c>
      <x:c r="E11" s="59" t="n">
        <x:f>'Assumptions'!E38</x:f>
        <x:v>0.1</x:v>
      </x:c>
      <x:c r="F11" s="59" t="n">
        <x:f>'Assumptions'!F38</x:f>
        <x:v>0.18</x:v>
      </x:c>
      <x:c r="G11" s="59" t="n">
        <x:f>'Assumptions'!G38</x:f>
        <x:v>0.27</x:v>
      </x:c>
      <x:c r="H11" s="59" t="n">
        <x:f>'Assumptions'!H38</x:f>
        <x:v>0.38</x:v>
      </x:c>
      <x:c r="I11" s="59" t="n">
        <x:f>'Assumptions'!I38</x:f>
        <x:v>0.5</x:v>
      </x:c>
      <x:c r="J11" s="59" t="n">
        <x:f>'Assumptions'!J38</x:f>
        <x:v>0.62</x:v>
      </x:c>
      <x:c r="K11" s="59" t="n">
        <x:f>'Assumptions'!K38</x:f>
        <x:v>0.72</x:v>
      </x:c>
      <x:c r="L11" s="59" t="n">
        <x:f>'Assumptions'!L38</x:f>
        <x:v>0.8</x:v>
      </x:c>
      <x:c r="M11" s="59" t="n">
        <x:f>'Assumptions'!M38</x:f>
        <x:v>0.87</x:v>
      </x:c>
      <x:c r="N11" s="59" t="n">
        <x:f>'Assumptions'!N38</x:f>
        <x:v>0.92</x:v>
      </x:c>
      <x:c r="O11" s="59" t="n">
        <x:f>'Assumptions'!O38</x:f>
        <x:v>0.95</x:v>
      </x:c>
      <x:c r="P11" s="59" t="n">
        <x:f>'Assumptions'!P38</x:f>
        <x:v>0.97</x:v>
      </x:c>
      <x:c r="Q11" s="59" t="n">
        <x:f>'Assumptions'!Q38</x:f>
        <x:v>0.99</x:v>
      </x:c>
      <x:c r="R11" s="59" t="n">
        <x:f>'Assumptions'!R38</x:f>
        <x:v>1</x:v>
      </x:c>
      <x:c r="S11" s="59" t="n">
        <x:f>'Assumptions'!S38</x:f>
        <x:v>1</x:v>
      </x:c>
      <x:c r="T11" s="59" t="n">
        <x:f>'Assumptions'!T38</x:f>
        <x:v>1</x:v>
      </x:c>
      <x:c r="U11" s="59" t="n">
        <x:f>'Assumptions'!U38</x:f>
        <x:v>1</x:v>
      </x:c>
      <x:c r="V11" s="59" t="n">
        <x:f>'Assumptions'!V38</x:f>
        <x:v>1</x:v>
      </x:c>
      <x:c r="W11" s="59" t="n">
        <x:f>'Assumptions'!W38</x:f>
        <x:v>1</x:v>
      </x:c>
      <x:c r="X11" s="59" t="n">
        <x:f>'Assumptions'!X38</x:f>
        <x:v>1</x:v>
      </x:c>
      <x:c r="Y11" s="59" t="n">
        <x:f>'Assumptions'!Y38</x:f>
        <x:v>1</x:v>
      </x:c>
      <x:c r="Z11" s="59" t="n">
        <x:f>'Assumptions'!Z38</x:f>
        <x:v>1</x:v>
      </x:c>
      <x:c r="AA11" s="59" t="n">
        <x:f>'Assumptions'!AA38</x:f>
        <x:v>1</x:v>
      </x:c>
      <x:c r="AB11" s="59" t="n">
        <x:f>'Assumptions'!AB38</x:f>
        <x:v>1</x:v>
      </x:c>
    </x:row>
    <x:row r="12" ht="15" hidden="0" customHeight="1">
      <x:c r="C12" s="8" t="str">
        <x:v>Active FTE</x:v>
      </x:c>
      <x:c r="D12" s="51" t="n">
        <x:f>'Workforce'!$J$14*D11</x:f>
        <x:v>15100</x:v>
      </x:c>
      <x:c r="E12" s="51" t="n">
        <x:f>'Workforce'!$J$14*E11</x:f>
        <x:v>30200</x:v>
      </x:c>
      <x:c r="F12" s="51" t="n">
        <x:f>'Workforce'!$J$14*F11</x:f>
        <x:v>54360</x:v>
      </x:c>
      <x:c r="G12" s="51" t="n">
        <x:f>'Workforce'!$J$14*G11</x:f>
        <x:v>81540</x:v>
      </x:c>
      <x:c r="H12" s="51" t="n">
        <x:f>'Workforce'!$J$14*H11</x:f>
        <x:v>114760</x:v>
      </x:c>
      <x:c r="I12" s="51" t="n">
        <x:f>'Workforce'!$J$14*I11</x:f>
        <x:v>151000</x:v>
      </x:c>
      <x:c r="J12" s="51" t="n">
        <x:f>'Workforce'!$J$14*J11</x:f>
        <x:v>187240</x:v>
      </x:c>
      <x:c r="K12" s="51" t="n">
        <x:f>'Workforce'!$J$14*K11</x:f>
        <x:v>217440</x:v>
      </x:c>
      <x:c r="L12" s="51" t="n">
        <x:f>'Workforce'!$J$14*L11</x:f>
        <x:v>241600</x:v>
      </x:c>
      <x:c r="M12" s="51" t="n">
        <x:f>'Workforce'!$J$14*M11</x:f>
        <x:v>262740</x:v>
      </x:c>
      <x:c r="N12" s="51" t="n">
        <x:f>'Workforce'!$J$14*N11</x:f>
        <x:v>277840</x:v>
      </x:c>
      <x:c r="O12" s="51" t="n">
        <x:f>'Workforce'!$J$14*O11</x:f>
        <x:v>286900</x:v>
      </x:c>
      <x:c r="P12" s="51" t="n">
        <x:f>'Workforce'!$J$14*P11</x:f>
        <x:v>292940</x:v>
      </x:c>
      <x:c r="Q12" s="51" t="n">
        <x:f>'Workforce'!$J$14*Q11</x:f>
        <x:v>298980</x:v>
      </x:c>
      <x:c r="R12" s="51" t="n">
        <x:f>'Workforce'!$J$14*R11</x:f>
        <x:v>302000</x:v>
      </x:c>
      <x:c r="S12" s="51" t="n">
        <x:f>'Workforce'!$J$14*S11</x:f>
        <x:v>302000</x:v>
      </x:c>
      <x:c r="T12" s="51" t="n">
        <x:f>'Workforce'!$J$14*T11</x:f>
        <x:v>302000</x:v>
      </x:c>
      <x:c r="U12" s="51" t="n">
        <x:f>'Workforce'!$J$14*U11</x:f>
        <x:v>302000</x:v>
      </x:c>
      <x:c r="V12" s="51" t="n">
        <x:f>'Workforce'!$J$14*V11</x:f>
        <x:v>302000</x:v>
      </x:c>
      <x:c r="W12" s="51" t="n">
        <x:f>'Workforce'!$J$14*W11</x:f>
        <x:v>302000</x:v>
      </x:c>
      <x:c r="X12" s="51" t="n">
        <x:f>'Workforce'!$J$14*X11</x:f>
        <x:v>302000</x:v>
      </x:c>
      <x:c r="Y12" s="51" t="n">
        <x:f>'Workforce'!$J$14*Y11</x:f>
        <x:v>302000</x:v>
      </x:c>
      <x:c r="Z12" s="51" t="n">
        <x:f>'Workforce'!$J$14*Z11</x:f>
        <x:v>302000</x:v>
      </x:c>
      <x:c r="AA12" s="51" t="n">
        <x:f>'Workforce'!$J$14*AA11</x:f>
        <x:v>302000</x:v>
      </x:c>
      <x:c r="AB12" s="51" t="n">
        <x:f>'Workforce'!$J$14*AB11</x:f>
        <x:v>302000</x:v>
      </x:c>
    </x:row>
    <x:row r="13" ht="15" hidden="0" customHeight="1">
      <x:c r="C13" s="8" t="str">
        <x:v>Reserve FTE</x:v>
      </x:c>
      <x:c r="D13" s="51" t="n">
        <x:f>'Workforce'!$K$14*D11</x:f>
        <x:v>19825</x:v>
      </x:c>
      <x:c r="E13" s="51" t="n">
        <x:f>'Workforce'!$K$14*E11</x:f>
        <x:v>39650</x:v>
      </x:c>
      <x:c r="F13" s="51" t="n">
        <x:f>'Workforce'!$K$14*F11</x:f>
        <x:v>71370</x:v>
      </x:c>
      <x:c r="G13" s="51" t="n">
        <x:f>'Workforce'!$K$14*G11</x:f>
        <x:v>107055</x:v>
      </x:c>
      <x:c r="H13" s="51" t="n">
        <x:f>'Workforce'!$K$14*H11</x:f>
        <x:v>150670</x:v>
      </x:c>
      <x:c r="I13" s="51" t="n">
        <x:f>'Workforce'!$K$14*I11</x:f>
        <x:v>198250</x:v>
      </x:c>
      <x:c r="J13" s="51" t="n">
        <x:f>'Workforce'!$K$14*J11</x:f>
        <x:v>245830</x:v>
      </x:c>
      <x:c r="K13" s="51" t="n">
        <x:f>'Workforce'!$K$14*K11</x:f>
        <x:v>285480</x:v>
      </x:c>
      <x:c r="L13" s="51" t="n">
        <x:f>'Workforce'!$K$14*L11</x:f>
        <x:v>317200</x:v>
      </x:c>
      <x:c r="M13" s="51" t="n">
        <x:f>'Workforce'!$K$14*M11</x:f>
        <x:v>344955</x:v>
      </x:c>
      <x:c r="N13" s="51" t="n">
        <x:f>'Workforce'!$K$14*N11</x:f>
        <x:v>364780</x:v>
      </x:c>
      <x:c r="O13" s="51" t="n">
        <x:f>'Workforce'!$K$14*O11</x:f>
        <x:v>376675</x:v>
      </x:c>
      <x:c r="P13" s="51" t="n">
        <x:f>'Workforce'!$K$14*P11</x:f>
        <x:v>384605</x:v>
      </x:c>
      <x:c r="Q13" s="51" t="n">
        <x:f>'Workforce'!$K$14*Q11</x:f>
        <x:v>392535</x:v>
      </x:c>
      <x:c r="R13" s="51" t="n">
        <x:f>'Workforce'!$K$14*R11</x:f>
        <x:v>396500</x:v>
      </x:c>
      <x:c r="S13" s="51" t="n">
        <x:f>'Workforce'!$K$14*S11</x:f>
        <x:v>396500</x:v>
      </x:c>
      <x:c r="T13" s="51" t="n">
        <x:f>'Workforce'!$K$14*T11</x:f>
        <x:v>396500</x:v>
      </x:c>
      <x:c r="U13" s="51" t="n">
        <x:f>'Workforce'!$K$14*U11</x:f>
        <x:v>396500</x:v>
      </x:c>
      <x:c r="V13" s="51" t="n">
        <x:f>'Workforce'!$K$14*V11</x:f>
        <x:v>396500</x:v>
      </x:c>
      <x:c r="W13" s="51" t="n">
        <x:f>'Workforce'!$K$14*W11</x:f>
        <x:v>396500</x:v>
      </x:c>
      <x:c r="X13" s="51" t="n">
        <x:f>'Workforce'!$K$14*X11</x:f>
        <x:v>396500</x:v>
      </x:c>
      <x:c r="Y13" s="51" t="n">
        <x:f>'Workforce'!$K$14*Y11</x:f>
        <x:v>396500</x:v>
      </x:c>
      <x:c r="Z13" s="51" t="n">
        <x:f>'Workforce'!$K$14*Z11</x:f>
        <x:v>396500</x:v>
      </x:c>
      <x:c r="AA13" s="51" t="n">
        <x:f>'Workforce'!$K$14*AA11</x:f>
        <x:v>396500</x:v>
      </x:c>
      <x:c r="AB13" s="51" t="n">
        <x:f>'Workforce'!$K$14*AB11</x:f>
        <x:v>396500</x:v>
      </x:c>
    </x:row>
    <x:row r="14" ht="15" hidden="0" customHeight="1">
      <x:c r="C14" s="8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  <x:c r="AA14" s="43"/>
      <x:c r="AB14" s="43"/>
    </x:row>
    <x:row r="15" ht="15" hidden="0" customHeight="1">
      <x:c r="C15" s="8" t="str">
        <x:v>Active personnel ($B)</x:v>
      </x:c>
      <x:c r="D15" s="50" t="n">
        <x:f>SUMPRODUCT('Workforce'!$J$7:$J$13,'Workforce'!$F$7:$F$13)/1000000*D11</x:f>
        <x:v>3.5122500000000003</x:v>
      </x:c>
      <x:c r="E15" s="50" t="n">
        <x:f>SUMPRODUCT('Workforce'!$J$7:$J$13,'Workforce'!$F$7:$F$13)/1000000*E11</x:f>
        <x:v>7.024500000000001</x:v>
      </x:c>
      <x:c r="F15" s="50" t="n">
        <x:f>SUMPRODUCT('Workforce'!$J$7:$J$13,'Workforce'!$F$7:$F$13)/1000000*F11</x:f>
        <x:v>12.6441</x:v>
      </x:c>
      <x:c r="G15" s="50" t="n">
        <x:f>SUMPRODUCT('Workforce'!$J$7:$J$13,'Workforce'!$F$7:$F$13)/1000000*G11</x:f>
        <x:v>18.966150000000003</x:v>
      </x:c>
      <x:c r="H15" s="50" t="n">
        <x:f>SUMPRODUCT('Workforce'!$J$7:$J$13,'Workforce'!$F$7:$F$13)/1000000*H11</x:f>
        <x:v>26.6931</x:v>
      </x:c>
      <x:c r="I15" s="50" t="n">
        <x:f>SUMPRODUCT('Workforce'!$J$7:$J$13,'Workforce'!$F$7:$F$13)/1000000*I11</x:f>
        <x:v>35.1225</x:v>
      </x:c>
      <x:c r="J15" s="50" t="n">
        <x:f>SUMPRODUCT('Workforce'!$J$7:$J$13,'Workforce'!$F$7:$F$13)/1000000*J11</x:f>
        <x:v>43.5519</x:v>
      </x:c>
      <x:c r="K15" s="50" t="n">
        <x:f>SUMPRODUCT('Workforce'!$J$7:$J$13,'Workforce'!$F$7:$F$13)/1000000*K11</x:f>
        <x:v>50.5764</x:v>
      </x:c>
      <x:c r="L15" s="50" t="n">
        <x:f>SUMPRODUCT('Workforce'!$J$7:$J$13,'Workforce'!$F$7:$F$13)/1000000*L11</x:f>
        <x:v>56.196000000000005</x:v>
      </x:c>
      <x:c r="M15" s="50" t="n">
        <x:f>SUMPRODUCT('Workforce'!$J$7:$J$13,'Workforce'!$F$7:$F$13)/1000000*M11</x:f>
        <x:v>61.113150000000005</x:v>
      </x:c>
      <x:c r="N15" s="50" t="n">
        <x:f>SUMPRODUCT('Workforce'!$J$7:$J$13,'Workforce'!$F$7:$F$13)/1000000*N11</x:f>
        <x:v>64.62540000000001</x:v>
      </x:c>
      <x:c r="O15" s="50" t="n">
        <x:f>SUMPRODUCT('Workforce'!$J$7:$J$13,'Workforce'!$F$7:$F$13)/1000000*O11</x:f>
        <x:v>66.73275</x:v>
      </x:c>
      <x:c r="P15" s="50" t="n">
        <x:f>SUMPRODUCT('Workforce'!$J$7:$J$13,'Workforce'!$F$7:$F$13)/1000000*P11</x:f>
        <x:v>68.13765000000001</x:v>
      </x:c>
      <x:c r="Q15" s="50" t="n">
        <x:f>SUMPRODUCT('Workforce'!$J$7:$J$13,'Workforce'!$F$7:$F$13)/1000000*Q11</x:f>
        <x:v>69.54255</x:v>
      </x:c>
      <x:c r="R15" s="50" t="n">
        <x:f>SUMPRODUCT('Workforce'!$J$7:$J$13,'Workforce'!$F$7:$F$13)/1000000*R11</x:f>
        <x:v>70.245</x:v>
      </x:c>
      <x:c r="S15" s="50" t="n">
        <x:f>SUMPRODUCT('Workforce'!$J$7:$J$13,'Workforce'!$F$7:$F$13)/1000000*S11</x:f>
        <x:v>70.245</x:v>
      </x:c>
      <x:c r="T15" s="50" t="n">
        <x:f>SUMPRODUCT('Workforce'!$J$7:$J$13,'Workforce'!$F$7:$F$13)/1000000*T11</x:f>
        <x:v>70.245</x:v>
      </x:c>
      <x:c r="U15" s="50" t="n">
        <x:f>SUMPRODUCT('Workforce'!$J$7:$J$13,'Workforce'!$F$7:$F$13)/1000000*U11</x:f>
        <x:v>70.245</x:v>
      </x:c>
      <x:c r="V15" s="50" t="n">
        <x:f>SUMPRODUCT('Workforce'!$J$7:$J$13,'Workforce'!$F$7:$F$13)/1000000*V11</x:f>
        <x:v>70.245</x:v>
      </x:c>
      <x:c r="W15" s="50" t="n">
        <x:f>SUMPRODUCT('Workforce'!$J$7:$J$13,'Workforce'!$F$7:$F$13)/1000000*W11</x:f>
        <x:v>70.245</x:v>
      </x:c>
      <x:c r="X15" s="50" t="n">
        <x:f>SUMPRODUCT('Workforce'!$J$7:$J$13,'Workforce'!$F$7:$F$13)/1000000*X11</x:f>
        <x:v>70.245</x:v>
      </x:c>
      <x:c r="Y15" s="50" t="n">
        <x:f>SUMPRODUCT('Workforce'!$J$7:$J$13,'Workforce'!$F$7:$F$13)/1000000*Y11</x:f>
        <x:v>70.245</x:v>
      </x:c>
      <x:c r="Z15" s="50" t="n">
        <x:f>SUMPRODUCT('Workforce'!$J$7:$J$13,'Workforce'!$F$7:$F$13)/1000000*Z11</x:f>
        <x:v>70.245</x:v>
      </x:c>
      <x:c r="AA15" s="50" t="n">
        <x:f>SUMPRODUCT('Workforce'!$J$7:$J$13,'Workforce'!$F$7:$F$13)/1000000*AA11</x:f>
        <x:v>70.245</x:v>
      </x:c>
      <x:c r="AB15" s="50" t="n">
        <x:f>SUMPRODUCT('Workforce'!$J$7:$J$13,'Workforce'!$F$7:$F$13)/1000000*AB11</x:f>
        <x:v>70.245</x:v>
      </x:c>
    </x:row>
    <x:row r="16" ht="15" hidden="0" customHeight="1">
      <x:c r="C16" s="8" t="str">
        <x:v>Reserve personnel ($B)</x:v>
      </x:c>
      <x:c r="D16" s="50" t="n">
        <x:f>SUMPRODUCT('Workforce'!$K$7:$K$13,'Workforce'!$G$7:$G$13)/1000000*D11</x:f>
        <x:v>1.4420000000000002</x:v>
      </x:c>
      <x:c r="E16" s="50" t="n">
        <x:f>SUMPRODUCT('Workforce'!$K$7:$K$13,'Workforce'!$G$7:$G$13)/1000000*E11</x:f>
        <x:v>2.8840000000000003</x:v>
      </x:c>
      <x:c r="F16" s="50" t="n">
        <x:f>SUMPRODUCT('Workforce'!$K$7:$K$13,'Workforce'!$G$7:$G$13)/1000000*F11</x:f>
        <x:v>5.191199999999999</x:v>
      </x:c>
      <x:c r="G16" s="50" t="n">
        <x:f>SUMPRODUCT('Workforce'!$K$7:$K$13,'Workforce'!$G$7:$G$13)/1000000*G11</x:f>
        <x:v>7.7868</x:v>
      </x:c>
      <x:c r="H16" s="50" t="n">
        <x:f>SUMPRODUCT('Workforce'!$K$7:$K$13,'Workforce'!$G$7:$G$13)/1000000*H11</x:f>
        <x:v>10.959200000000001</x:v>
      </x:c>
      <x:c r="I16" s="50" t="n">
        <x:f>SUMPRODUCT('Workforce'!$K$7:$K$13,'Workforce'!$G$7:$G$13)/1000000*I11</x:f>
        <x:v>14.42</x:v>
      </x:c>
      <x:c r="J16" s="50" t="n">
        <x:f>SUMPRODUCT('Workforce'!$K$7:$K$13,'Workforce'!$G$7:$G$13)/1000000*J11</x:f>
        <x:v>17.8808</x:v>
      </x:c>
      <x:c r="K16" s="50" t="n">
        <x:f>SUMPRODUCT('Workforce'!$K$7:$K$13,'Workforce'!$G$7:$G$13)/1000000*K11</x:f>
        <x:v>20.764799999999997</x:v>
      </x:c>
      <x:c r="L16" s="50" t="n">
        <x:f>SUMPRODUCT('Workforce'!$K$7:$K$13,'Workforce'!$G$7:$G$13)/1000000*L11</x:f>
        <x:v>23.072000000000003</x:v>
      </x:c>
      <x:c r="M16" s="50" t="n">
        <x:f>SUMPRODUCT('Workforce'!$K$7:$K$13,'Workforce'!$G$7:$G$13)/1000000*M11</x:f>
        <x:v>25.090799999999998</x:v>
      </x:c>
      <x:c r="N16" s="50" t="n">
        <x:f>SUMPRODUCT('Workforce'!$K$7:$K$13,'Workforce'!$G$7:$G$13)/1000000*N11</x:f>
        <x:v>26.5328</x:v>
      </x:c>
      <x:c r="O16" s="50" t="n">
        <x:f>SUMPRODUCT('Workforce'!$K$7:$K$13,'Workforce'!$G$7:$G$13)/1000000*O11</x:f>
        <x:v>27.398</x:v>
      </x:c>
      <x:c r="P16" s="50" t="n">
        <x:f>SUMPRODUCT('Workforce'!$K$7:$K$13,'Workforce'!$G$7:$G$13)/1000000*P11</x:f>
        <x:v>27.9748</x:v>
      </x:c>
      <x:c r="Q16" s="50" t="n">
        <x:f>SUMPRODUCT('Workforce'!$K$7:$K$13,'Workforce'!$G$7:$G$13)/1000000*Q11</x:f>
        <x:v>28.5516</x:v>
      </x:c>
      <x:c r="R16" s="50" t="n">
        <x:f>SUMPRODUCT('Workforce'!$K$7:$K$13,'Workforce'!$G$7:$G$13)/1000000*R11</x:f>
        <x:v>28.84</x:v>
      </x:c>
      <x:c r="S16" s="50" t="n">
        <x:f>SUMPRODUCT('Workforce'!$K$7:$K$13,'Workforce'!$G$7:$G$13)/1000000*S11</x:f>
        <x:v>28.84</x:v>
      </x:c>
      <x:c r="T16" s="50" t="n">
        <x:f>SUMPRODUCT('Workforce'!$K$7:$K$13,'Workforce'!$G$7:$G$13)/1000000*T11</x:f>
        <x:v>28.84</x:v>
      </x:c>
      <x:c r="U16" s="50" t="n">
        <x:f>SUMPRODUCT('Workforce'!$K$7:$K$13,'Workforce'!$G$7:$G$13)/1000000*U11</x:f>
        <x:v>28.84</x:v>
      </x:c>
      <x:c r="V16" s="50" t="n">
        <x:f>SUMPRODUCT('Workforce'!$K$7:$K$13,'Workforce'!$G$7:$G$13)/1000000*V11</x:f>
        <x:v>28.84</x:v>
      </x:c>
      <x:c r="W16" s="50" t="n">
        <x:f>SUMPRODUCT('Workforce'!$K$7:$K$13,'Workforce'!$G$7:$G$13)/1000000*W11</x:f>
        <x:v>28.84</x:v>
      </x:c>
      <x:c r="X16" s="50" t="n">
        <x:f>SUMPRODUCT('Workforce'!$K$7:$K$13,'Workforce'!$G$7:$G$13)/1000000*X11</x:f>
        <x:v>28.84</x:v>
      </x:c>
      <x:c r="Y16" s="50" t="n">
        <x:f>SUMPRODUCT('Workforce'!$K$7:$K$13,'Workforce'!$G$7:$G$13)/1000000*Y11</x:f>
        <x:v>28.84</x:v>
      </x:c>
      <x:c r="Z16" s="50" t="n">
        <x:f>SUMPRODUCT('Workforce'!$K$7:$K$13,'Workforce'!$G$7:$G$13)/1000000*Z11</x:f>
        <x:v>28.84</x:v>
      </x:c>
      <x:c r="AA16" s="50" t="n">
        <x:f>SUMPRODUCT('Workforce'!$K$7:$K$13,'Workforce'!$G$7:$G$13)/1000000*AA11</x:f>
        <x:v>28.84</x:v>
      </x:c>
      <x:c r="AB16" s="50" t="n">
        <x:f>SUMPRODUCT('Workforce'!$K$7:$K$13,'Workforce'!$G$7:$G$13)/1000000*AB11</x:f>
        <x:v>28.84</x:v>
      </x:c>
    </x:row>
    <x:row r="17" ht="15" hidden="0" customHeight="1">
      <x:c r="C17" s="8" t="str">
        <x:v>Asset O&amp;M ($B)</x:v>
      </x:c>
      <x:c r="D17" s="50" t="n">
        <x:f>D9*'Assumptions'!$D$25</x:f>
        <x:v>0.4123711340206186</x:v>
      </x:c>
      <x:c r="E17" s="50" t="n">
        <x:f>E9*'Assumptions'!$D$25</x:f>
        <x:v>1.237113402061856</x:v>
      </x:c>
      <x:c r="F17" s="50" t="n">
        <x:f>F9*'Assumptions'!$D$25</x:f>
        <x:v>2.474226804123712</x:v>
      </x:c>
      <x:c r="G17" s="50" t="n">
        <x:f>G9*'Assumptions'!$D$25</x:f>
        <x:v>4.123711340206186</x:v>
      </x:c>
      <x:c r="H17" s="50" t="n">
        <x:f>H9*'Assumptions'!$D$25</x:f>
        <x:v>6.185567010309278</x:v>
      </x:c>
      <x:c r="I17" s="50" t="n">
        <x:f>I9*'Assumptions'!$D$25</x:f>
        <x:v>8.65979381443299</x:v>
      </x:c>
      <x:c r="J17" s="50" t="n">
        <x:f>J9*'Assumptions'!$D$25</x:f>
        <x:v>11.54639175257732</x:v>
      </x:c>
      <x:c r="K17" s="50" t="n">
        <x:f>K9*'Assumptions'!$D$25</x:f>
        <x:v>14.43298969072165</x:v>
      </x:c>
      <x:c r="L17" s="50" t="n">
        <x:f>L9*'Assumptions'!$D$25</x:f>
        <x:v>17.31958762886598</x:v>
      </x:c>
      <x:c r="M17" s="50" t="n">
        <x:f>M9*'Assumptions'!$D$25</x:f>
        <x:v>19.79381443298969</x:v>
      </x:c>
      <x:c r="N17" s="50" t="n">
        <x:f>N9*'Assumptions'!$D$25</x:f>
        <x:v>22.268041237113405</x:v>
      </x:c>
      <x:c r="O17" s="50" t="n">
        <x:f>O9*'Assumptions'!$D$25</x:f>
        <x:v>24.329896907216494</x:v>
      </x:c>
      <x:c r="P17" s="50" t="n">
        <x:f>P9*'Assumptions'!$D$25</x:f>
        <x:v>26.391752577319586</x:v>
      </x:c>
      <x:c r="Q17" s="50" t="n">
        <x:f>Q9*'Assumptions'!$D$25</x:f>
        <x:v>28.453608247422675</x:v>
      </x:c>
      <x:c r="R17" s="50" t="n">
        <x:f>R9*'Assumptions'!$D$25</x:f>
        <x:v>30.10309278350515</x:v>
      </x:c>
      <x:c r="S17" s="50" t="n">
        <x:f>S9*'Assumptions'!$D$25</x:f>
        <x:v>31.752577319587623</x:v>
      </x:c>
      <x:c r="T17" s="50" t="n">
        <x:f>T9*'Assumptions'!$D$25</x:f>
        <x:v>33.4020618556701</x:v>
      </x:c>
      <x:c r="U17" s="50" t="n">
        <x:f>U9*'Assumptions'!$D$25</x:f>
        <x:v>34.63917525773195</x:v>
      </x:c>
      <x:c r="V17" s="50" t="n">
        <x:f>V9*'Assumptions'!$D$25</x:f>
        <x:v>35.87628865979381</x:v>
      </x:c>
      <x:c r="W17" s="50" t="n">
        <x:f>W9*'Assumptions'!$D$25</x:f>
        <x:v>37.11340206185566</x:v>
      </x:c>
      <x:c r="X17" s="50" t="n">
        <x:f>X9*'Assumptions'!$D$25</x:f>
        <x:v>37.93814432989689</x:v>
      </x:c>
      <x:c r="Y17" s="50" t="n">
        <x:f>Y9*'Assumptions'!$D$25</x:f>
        <x:v>38.762886597938135</x:v>
      </x:c>
      <x:c r="Z17" s="50" t="n">
        <x:f>Z9*'Assumptions'!$D$25</x:f>
        <x:v>39.17525773195875</x:v>
      </x:c>
      <x:c r="AA17" s="50" t="n">
        <x:f>AA9*'Assumptions'!$D$25</x:f>
        <x:v>39.58762886597937</x:v>
      </x:c>
      <x:c r="AB17" s="50" t="n">
        <x:f>AB9*'Assumptions'!$D$25</x:f>
        <x:v>39.999999999999986</x:v>
      </x:c>
    </x:row>
    <x:row r="18" ht="15" hidden="0" customHeight="1">
      <x:c r="C18" s="8" t="str">
        <x:v>Training and stock rotation ($B)</x:v>
      </x:c>
      <x:c r="D18" s="50" t="n">
        <x:f>(D15+D16)*'Assumptions'!$D$26</x:f>
        <x:v>0.7431375</x:v>
      </x:c>
      <x:c r="E18" s="50" t="n">
        <x:f>(E15+E16)*'Assumptions'!$D$26</x:f>
        <x:v>1.486275</x:v>
      </x:c>
      <x:c r="F18" s="50" t="n">
        <x:f>(F15+F16)*'Assumptions'!$D$26</x:f>
        <x:v>2.6752949999999998</x:v>
      </x:c>
      <x:c r="G18" s="50" t="n">
        <x:f>(G15+G16)*'Assumptions'!$D$26</x:f>
        <x:v>4.0129425</x:v>
      </x:c>
      <x:c r="H18" s="50" t="n">
        <x:f>(H15+H16)*'Assumptions'!$D$26</x:f>
        <x:v>5.647845</x:v>
      </x:c>
      <x:c r="I18" s="50" t="n">
        <x:f>(I15+I16)*'Assumptions'!$D$26</x:f>
        <x:v>7.431375</x:v>
      </x:c>
      <x:c r="J18" s="50" t="n">
        <x:f>(J15+J16)*'Assumptions'!$D$26</x:f>
        <x:v>9.214905</x:v>
      </x:c>
      <x:c r="K18" s="50" t="n">
        <x:f>(K15+K16)*'Assumptions'!$D$26</x:f>
        <x:v>10.701179999999999</x:v>
      </x:c>
      <x:c r="L18" s="50" t="n">
        <x:f>(L15+L16)*'Assumptions'!$D$26</x:f>
        <x:v>11.8902</x:v>
      </x:c>
      <x:c r="M18" s="50" t="n">
        <x:f>(M15+M16)*'Assumptions'!$D$26</x:f>
        <x:v>12.930592500000001</x:v>
      </x:c>
      <x:c r="N18" s="50" t="n">
        <x:f>(N15+N16)*'Assumptions'!$D$26</x:f>
        <x:v>13.673730000000003</x:v>
      </x:c>
      <x:c r="O18" s="50" t="n">
        <x:f>(O15+O16)*'Assumptions'!$D$26</x:f>
        <x:v>14.119612499999999</x:v>
      </x:c>
      <x:c r="P18" s="50" t="n">
        <x:f>(P15+P16)*'Assumptions'!$D$26</x:f>
        <x:v>14.4168675</x:v>
      </x:c>
      <x:c r="Q18" s="50" t="n">
        <x:f>(Q15+Q16)*'Assumptions'!$D$26</x:f>
        <x:v>14.714122500000002</x:v>
      </x:c>
      <x:c r="R18" s="50" t="n">
        <x:f>(R15+R16)*'Assumptions'!$D$26</x:f>
        <x:v>14.86275</x:v>
      </x:c>
      <x:c r="S18" s="50" t="n">
        <x:f>(S15+S16)*'Assumptions'!$D$26</x:f>
        <x:v>14.86275</x:v>
      </x:c>
      <x:c r="T18" s="50" t="n">
        <x:f>(T15+T16)*'Assumptions'!$D$26</x:f>
        <x:v>14.86275</x:v>
      </x:c>
      <x:c r="U18" s="50" t="n">
        <x:f>(U15+U16)*'Assumptions'!$D$26</x:f>
        <x:v>14.86275</x:v>
      </x:c>
      <x:c r="V18" s="50" t="n">
        <x:f>(V15+V16)*'Assumptions'!$D$26</x:f>
        <x:v>14.86275</x:v>
      </x:c>
      <x:c r="W18" s="50" t="n">
        <x:f>(W15+W16)*'Assumptions'!$D$26</x:f>
        <x:v>14.86275</x:v>
      </x:c>
      <x:c r="X18" s="50" t="n">
        <x:f>(X15+X16)*'Assumptions'!$D$26</x:f>
        <x:v>14.86275</x:v>
      </x:c>
      <x:c r="Y18" s="50" t="n">
        <x:f>(Y15+Y16)*'Assumptions'!$D$26</x:f>
        <x:v>14.86275</x:v>
      </x:c>
      <x:c r="Z18" s="50" t="n">
        <x:f>(Z15+Z16)*'Assumptions'!$D$26</x:f>
        <x:v>14.86275</x:v>
      </x:c>
      <x:c r="AA18" s="50" t="n">
        <x:f>(AA15+AA16)*'Assumptions'!$D$26</x:f>
        <x:v>14.86275</x:v>
      </x:c>
      <x:c r="AB18" s="50" t="n">
        <x:f>(AB15+AB16)*'Assumptions'!$D$26</x:f>
        <x:v>14.86275</x:v>
      </x:c>
    </x:row>
    <x:row r="19" ht="15" hidden="0" customHeight="1">
      <x:c r="C19" s="8" t="str">
        <x:v>Deployment allowance ($B)</x:v>
      </x:c>
      <x:c r="D19" s="50" t="n">
        <x:f>'Assumptions'!$D$27*D11</x:f>
        <x:v>0.75</x:v>
      </x:c>
      <x:c r="E19" s="50" t="n">
        <x:f>'Assumptions'!$D$27*E11</x:f>
        <x:v>1.5</x:v>
      </x:c>
      <x:c r="F19" s="50" t="n">
        <x:f>'Assumptions'!$D$27*F11</x:f>
        <x:v>2.6999999999999997</x:v>
      </x:c>
      <x:c r="G19" s="50" t="n">
        <x:f>'Assumptions'!$D$27*G11</x:f>
        <x:v>4.050000000000001</x:v>
      </x:c>
      <x:c r="H19" s="50" t="n">
        <x:f>'Assumptions'!$D$27*H11</x:f>
        <x:v>5.7</x:v>
      </x:c>
      <x:c r="I19" s="50" t="n">
        <x:f>'Assumptions'!$D$27*I11</x:f>
        <x:v>7.5</x:v>
      </x:c>
      <x:c r="J19" s="50" t="n">
        <x:f>'Assumptions'!$D$27*J11</x:f>
        <x:v>9.3</x:v>
      </x:c>
      <x:c r="K19" s="50" t="n">
        <x:f>'Assumptions'!$D$27*K11</x:f>
        <x:v>10.799999999999999</x:v>
      </x:c>
      <x:c r="L19" s="50" t="n">
        <x:f>'Assumptions'!$D$27*L11</x:f>
        <x:v>12</x:v>
      </x:c>
      <x:c r="M19" s="50" t="n">
        <x:f>'Assumptions'!$D$27*M11</x:f>
        <x:v>13.05</x:v>
      </x:c>
      <x:c r="N19" s="50" t="n">
        <x:f>'Assumptions'!$D$27*N11</x:f>
        <x:v>13.8</x:v>
      </x:c>
      <x:c r="O19" s="50" t="n">
        <x:f>'Assumptions'!$D$27*O11</x:f>
        <x:v>14.25</x:v>
      </x:c>
      <x:c r="P19" s="50" t="n">
        <x:f>'Assumptions'!$D$27*P11</x:f>
        <x:v>14.549999999999999</x:v>
      </x:c>
      <x:c r="Q19" s="50" t="n">
        <x:f>'Assumptions'!$D$27*Q11</x:f>
        <x:v>14.85</x:v>
      </x:c>
      <x:c r="R19" s="50" t="n">
        <x:f>'Assumptions'!$D$27*R11</x:f>
        <x:v>15</x:v>
      </x:c>
      <x:c r="S19" s="50" t="n">
        <x:f>'Assumptions'!$D$27*S11</x:f>
        <x:v>15</x:v>
      </x:c>
      <x:c r="T19" s="50" t="n">
        <x:f>'Assumptions'!$D$27*T11</x:f>
        <x:v>15</x:v>
      </x:c>
      <x:c r="U19" s="50" t="n">
        <x:f>'Assumptions'!$D$27*U11</x:f>
        <x:v>15</x:v>
      </x:c>
      <x:c r="V19" s="50" t="n">
        <x:f>'Assumptions'!$D$27*V11</x:f>
        <x:v>15</x:v>
      </x:c>
      <x:c r="W19" s="50" t="n">
        <x:f>'Assumptions'!$D$27*W11</x:f>
        <x:v>15</x:v>
      </x:c>
      <x:c r="X19" s="50" t="n">
        <x:f>'Assumptions'!$D$27*X11</x:f>
        <x:v>15</x:v>
      </x:c>
      <x:c r="Y19" s="50" t="n">
        <x:f>'Assumptions'!$D$27*Y11</x:f>
        <x:v>15</x:v>
      </x:c>
      <x:c r="Z19" s="50" t="n">
        <x:f>'Assumptions'!$D$27*Z11</x:f>
        <x:v>15</x:v>
      </x:c>
      <x:c r="AA19" s="50" t="n">
        <x:f>'Assumptions'!$D$27*AA11</x:f>
        <x:v>15</x:v>
      </x:c>
      <x:c r="AB19" s="50" t="n">
        <x:f>'Assumptions'!$D$27*AB11</x:f>
        <x:v>15</x:v>
      </x:c>
    </x:row>
    <x:row r="20" ht="15" hidden="0" customHeight="1">
      <x:c r="C20" s="8" t="str">
        <x:v>Other institutional ($B)</x:v>
      </x:c>
      <x:c r="D20" s="50" t="n">
        <x:f>SUM('Operating Cost'!$M$7:$M$13)*D11</x:f>
        <x:v>0.9500000000000001</x:v>
      </x:c>
      <x:c r="E20" s="50" t="n">
        <x:f>SUM('Operating Cost'!$M$7:$M$13)*E11</x:f>
        <x:v>1.9000000000000001</x:v>
      </x:c>
      <x:c r="F20" s="50" t="n">
        <x:f>SUM('Operating Cost'!$M$7:$M$13)*F11</x:f>
        <x:v>3.42</x:v>
      </x:c>
      <x:c r="G20" s="50" t="n">
        <x:f>SUM('Operating Cost'!$M$7:$M$13)*G11</x:f>
        <x:v>5.130000000000001</x:v>
      </x:c>
      <x:c r="H20" s="50" t="n">
        <x:f>SUM('Operating Cost'!$M$7:$M$13)*H11</x:f>
        <x:v>7.22</x:v>
      </x:c>
      <x:c r="I20" s="50" t="n">
        <x:f>SUM('Operating Cost'!$M$7:$M$13)*I11</x:f>
        <x:v>9.5</x:v>
      </x:c>
      <x:c r="J20" s="50" t="n">
        <x:f>SUM('Operating Cost'!$M$7:$M$13)*J11</x:f>
        <x:v>11.78</x:v>
      </x:c>
      <x:c r="K20" s="50" t="n">
        <x:f>SUM('Operating Cost'!$M$7:$M$13)*K11</x:f>
        <x:v>13.68</x:v>
      </x:c>
      <x:c r="L20" s="50" t="n">
        <x:f>SUM('Operating Cost'!$M$7:$M$13)*L11</x:f>
        <x:v>15.200000000000001</x:v>
      </x:c>
      <x:c r="M20" s="50" t="n">
        <x:f>SUM('Operating Cost'!$M$7:$M$13)*M11</x:f>
        <x:v>16.53</x:v>
      </x:c>
      <x:c r="N20" s="50" t="n">
        <x:f>SUM('Operating Cost'!$M$7:$M$13)*N11</x:f>
        <x:v>17.48</x:v>
      </x:c>
      <x:c r="O20" s="50" t="n">
        <x:f>SUM('Operating Cost'!$M$7:$M$13)*O11</x:f>
        <x:v>18.05</x:v>
      </x:c>
      <x:c r="P20" s="50" t="n">
        <x:f>SUM('Operating Cost'!$M$7:$M$13)*P11</x:f>
        <x:v>18.43</x:v>
      </x:c>
      <x:c r="Q20" s="50" t="n">
        <x:f>SUM('Operating Cost'!$M$7:$M$13)*Q11</x:f>
        <x:v>18.81</x:v>
      </x:c>
      <x:c r="R20" s="50" t="n">
        <x:f>SUM('Operating Cost'!$M$7:$M$13)*R11</x:f>
        <x:v>19</x:v>
      </x:c>
      <x:c r="S20" s="50" t="n">
        <x:f>SUM('Operating Cost'!$M$7:$M$13)*S11</x:f>
        <x:v>19</x:v>
      </x:c>
      <x:c r="T20" s="50" t="n">
        <x:f>SUM('Operating Cost'!$M$7:$M$13)*T11</x:f>
        <x:v>19</x:v>
      </x:c>
      <x:c r="U20" s="50" t="n">
        <x:f>SUM('Operating Cost'!$M$7:$M$13)*U11</x:f>
        <x:v>19</x:v>
      </x:c>
      <x:c r="V20" s="50" t="n">
        <x:f>SUM('Operating Cost'!$M$7:$M$13)*V11</x:f>
        <x:v>19</x:v>
      </x:c>
      <x:c r="W20" s="50" t="n">
        <x:f>SUM('Operating Cost'!$M$7:$M$13)*W11</x:f>
        <x:v>19</x:v>
      </x:c>
      <x:c r="X20" s="50" t="n">
        <x:f>SUM('Operating Cost'!$M$7:$M$13)*X11</x:f>
        <x:v>19</x:v>
      </x:c>
      <x:c r="Y20" s="50" t="n">
        <x:f>SUM('Operating Cost'!$M$7:$M$13)*Y11</x:f>
        <x:v>19</x:v>
      </x:c>
      <x:c r="Z20" s="50" t="n">
        <x:f>SUM('Operating Cost'!$M$7:$M$13)*Z11</x:f>
        <x:v>19</x:v>
      </x:c>
      <x:c r="AA20" s="50" t="n">
        <x:f>SUM('Operating Cost'!$M$7:$M$13)*AA11</x:f>
        <x:v>19</x:v>
      </x:c>
      <x:c r="AB20" s="50" t="n">
        <x:f>SUM('Operating Cost'!$M$7:$M$13)*AB11</x:f>
        <x:v>19</x:v>
      </x:c>
    </x:row>
    <x:row r="21" ht="15" hidden="0" customHeight="1">
      <x:c r="C21" s="38" t="str">
        <x:v>Total operating ($B)</x:v>
      </x:c>
      <x:c r="D21" s="39" t="n">
        <x:f>SUM(D15:D20)</x:f>
        <x:v>7.809758634020619</x:v>
      </x:c>
      <x:c r="E21" s="39" t="n">
        <x:f>SUM(E15:E20)</x:f>
        <x:v>16.031888402061856</x:v>
      </x:c>
      <x:c r="F21" s="39" t="n">
        <x:f>SUM(F15:F20)</x:f>
        <x:v>29.10482180412371</x:v>
      </x:c>
      <x:c r="G21" s="39" t="n">
        <x:f>SUM(G15:G20)</x:f>
        <x:v>44.06960384020619</x:v>
      </x:c>
      <x:c r="H21" s="39" t="n">
        <x:f>SUM(H15:H20)</x:f>
        <x:v>62.40571201030929</x:v>
      </x:c>
      <x:c r="I21" s="39" t="n">
        <x:f>SUM(I15:I20)</x:f>
        <x:v>82.633668814433</x:v>
      </x:c>
      <x:c r="J21" s="39" t="n">
        <x:f>SUM(J15:J20)</x:f>
        <x:v>103.27399675257732</x:v>
      </x:c>
      <x:c r="K21" s="39" t="n">
        <x:f>SUM(K15:K20)</x:f>
        <x:v>120.95536969072165</x:v>
      </x:c>
      <x:c r="L21" s="39" t="n">
        <x:f>SUM(L15:L20)</x:f>
        <x:v>135.67778762886596</x:v>
      </x:c>
      <x:c r="M21" s="39" t="n">
        <x:f>SUM(M15:M20)</x:f>
        <x:v>148.5083569329897</x:v>
      </x:c>
      <x:c r="N21" s="39" t="n">
        <x:f>SUM(N15:N20)</x:f>
        <x:v>158.37997123711344</x:v>
      </x:c>
      <x:c r="O21" s="39" t="n">
        <x:f>SUM(O15:O20)</x:f>
        <x:v>164.8802594072165</x:v>
      </x:c>
      <x:c r="P21" s="39" t="n">
        <x:f>SUM(P15:P20)</x:f>
        <x:v>169.90107007731962</x:v>
      </x:c>
      <x:c r="Q21" s="39" t="n">
        <x:f>SUM(Q15:Q20)</x:f>
        <x:v>174.9218807474227</x:v>
      </x:c>
      <x:c r="R21" s="39" t="n">
        <x:f>SUM(R15:R20)</x:f>
        <x:v>178.05084278350517</x:v>
      </x:c>
      <x:c r="S21" s="39" t="n">
        <x:f>SUM(S15:S20)</x:f>
        <x:v>179.70032731958764</x:v>
      </x:c>
      <x:c r="T21" s="39" t="n">
        <x:f>SUM(T15:T20)</x:f>
        <x:v>181.3498118556701</x:v>
      </x:c>
      <x:c r="U21" s="39" t="n">
        <x:f>SUM(U15:U20)</x:f>
        <x:v>182.58692525773196</x:v>
      </x:c>
      <x:c r="V21" s="39" t="n">
        <x:f>SUM(V15:V20)</x:f>
        <x:v>183.8240386597938</x:v>
      </x:c>
      <x:c r="W21" s="39" t="n">
        <x:f>SUM(W15:W20)</x:f>
        <x:v>185.06115206185567</x:v>
      </x:c>
      <x:c r="X21" s="39" t="n">
        <x:f>SUM(X15:X20)</x:f>
        <x:v>185.8858943298969</x:v>
      </x:c>
      <x:c r="Y21" s="39" t="n">
        <x:f>SUM(Y15:Y20)</x:f>
        <x:v>186.71063659793816</x:v>
      </x:c>
      <x:c r="Z21" s="39" t="n">
        <x:f>SUM(Z15:Z20)</x:f>
        <x:v>187.12300773195875</x:v>
      </x:c>
      <x:c r="AA21" s="39" t="n">
        <x:f>SUM(AA15:AA20)</x:f>
        <x:v>187.5353788659794</x:v>
      </x:c>
      <x:c r="AB21" s="39" t="n">
        <x:f>SUM(AB15:AB20)</x:f>
        <x:v>187.94774999999998</x:v>
      </x:c>
    </x:row>
    <x:row r="22" ht="15" hidden="0" customHeight="1">
      <x:c r="C22" s="8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</x:row>
    <x:row r="23" ht="15" hidden="0" customHeight="1">
      <x:c r="C23" s="38" t="str">
        <x:v>Total Department requirement ($B)</x:v>
      </x:c>
      <x:c r="D23" s="39" t="n">
        <x:f>D8+D21</x:f>
        <x:v>18.119036984536084</x:v>
      </x:c>
      <x:c r="E23" s="39" t="n">
        <x:f>E8+E21</x:f>
        <x:v>36.650445103092785</x:v>
      </x:c>
      <x:c r="F23" s="39" t="n">
        <x:f>F8+F21</x:f>
        <x:v>60.0326568556701</x:v>
      </x:c>
      <x:c r="G23" s="39" t="n">
        <x:f>G8+G21</x:f>
        <x:v>85.30671724226805</x:v>
      </x:c>
      <x:c r="H23" s="39" t="n">
        <x:f>H8+H21</x:f>
        <x:v>113.9521037628866</x:v>
      </x:c>
      <x:c r="I23" s="39" t="n">
        <x:f>I8+I21</x:f>
        <x:v>144.48933891752577</x:v>
      </x:c>
      <x:c r="J23" s="39" t="n">
        <x:f>J8+J21</x:f>
        <x:v>175.43894520618556</x:v>
      </x:c>
      <x:c r="K23" s="39" t="n">
        <x:f>K8+K21</x:f>
        <x:v>193.1203181443299</x:v>
      </x:c>
      <x:c r="L23" s="39" t="n">
        <x:f>L8+L21</x:f>
        <x:v>207.8427360824742</x:v>
      </x:c>
      <x:c r="M23" s="39" t="n">
        <x:f>M8+M21</x:f>
        <x:v>210.3640270360825</x:v>
      </x:c>
      <x:c r="N23" s="39" t="n">
        <x:f>N8+N21</x:f>
        <x:v>220.23564134020623</x:v>
      </x:c>
      <x:c r="O23" s="39" t="n">
        <x:f>O8+O21</x:f>
        <x:v>216.4266511597938</x:v>
      </x:c>
      <x:c r="P23" s="39" t="n">
        <x:f>P8+P21</x:f>
        <x:v>221.44746182989692</x:v>
      </x:c>
      <x:c r="Q23" s="39" t="n">
        <x:f>Q8+Q21</x:f>
        <x:v>226.4682725</x:v>
      </x:c>
      <x:c r="R23" s="39" t="n">
        <x:f>R8+R21</x:f>
        <x:v>219.28795618556703</x:v>
      </x:c>
      <x:c r="S23" s="39" t="n">
        <x:f>S8+S21</x:f>
        <x:v>220.9374407216495</x:v>
      </x:c>
      <x:c r="T23" s="39" t="n">
        <x:f>T8+T21</x:f>
        <x:v>222.58692525773196</x:v>
      </x:c>
      <x:c r="U23" s="39" t="n">
        <x:f>U8+U21</x:f>
        <x:v>213.51476030927836</x:v>
      </x:c>
      <x:c r="V23" s="39" t="n">
        <x:f>V8+V21</x:f>
        <x:v>214.7518737113402</x:v>
      </x:c>
      <x:c r="W23" s="39" t="n">
        <x:f>W8+W21</x:f>
        <x:v>215.98898711340206</x:v>
      </x:c>
      <x:c r="X23" s="39" t="n">
        <x:f>X8+X21</x:f>
        <x:v>206.50445103092784</x:v>
      </x:c>
      <x:c r="Y23" s="39" t="n">
        <x:f>Y8+Y21</x:f>
        <x:v>207.3291932989691</x:v>
      </x:c>
      <x:c r="Z23" s="39" t="n">
        <x:f>Z8+Z21</x:f>
        <x:v>197.4322860824742</x:v>
      </x:c>
      <x:c r="AA23" s="39" t="n">
        <x:f>AA8+AA21</x:f>
        <x:v>197.84465721649485</x:v>
      </x:c>
      <x:c r="AB23" s="39" t="n">
        <x:f>AB8+AB21</x:f>
        <x:v>198.25702835051544</x:v>
      </x:c>
    </x:row>
    <x:row r="24" ht="15" hidden="0" customHeight="1">
      <x:c r="C24" s="8" t="str">
        <x:v>Cumulative resource cost ($B)</x:v>
      </x:c>
      <x:c r="D24" s="34" t="n">
        <x:f>D23</x:f>
        <x:v>18.119036984536084</x:v>
      </x:c>
      <x:c r="E24" s="34" t="n">
        <x:f>D24+E23</x:f>
        <x:v>54.76948208762887</x:v>
      </x:c>
      <x:c r="F24" s="34" t="n">
        <x:f>E24+F23</x:f>
        <x:v>114.80213894329897</x:v>
      </x:c>
      <x:c r="G24" s="34" t="n">
        <x:f>F24+G23</x:f>
        <x:v>200.10885618556702</x:v>
      </x:c>
      <x:c r="H24" s="34" t="n">
        <x:f>G24+H23</x:f>
        <x:v>314.0609599484536</x:v>
      </x:c>
      <x:c r="I24" s="34" t="n">
        <x:f>H24+I23</x:f>
        <x:v>458.55029886597936</x:v>
      </x:c>
      <x:c r="J24" s="34" t="n">
        <x:f>I24+J23</x:f>
        <x:v>633.9892440721649</x:v>
      </x:c>
      <x:c r="K24" s="34" t="n">
        <x:f>J24+K23</x:f>
        <x:v>827.1095622164947</x:v>
      </x:c>
      <x:c r="L24" s="34" t="n">
        <x:f>K24+L23</x:f>
        <x:v>1034.952298298969</x:v>
      </x:c>
      <x:c r="M24" s="34" t="n">
        <x:f>L24+M23</x:f>
        <x:v>1245.3163253350515</x:v>
      </x:c>
      <x:c r="N24" s="34" t="n">
        <x:f>M24+N23</x:f>
        <x:v>1465.5519666752577</x:v>
      </x:c>
      <x:c r="O24" s="34" t="n">
        <x:f>N24+O23</x:f>
        <x:v>1681.9786178350516</x:v>
      </x:c>
      <x:c r="P24" s="34" t="n">
        <x:f>O24+P23</x:f>
        <x:v>1903.4260796649485</x:v>
      </x:c>
      <x:c r="Q24" s="34" t="n">
        <x:f>P24+Q23</x:f>
        <x:v>2129.8943521649485</x:v>
      </x:c>
      <x:c r="R24" s="34" t="n">
        <x:f>Q24+R23</x:f>
        <x:v>2349.1823083505155</x:v>
      </x:c>
      <x:c r="S24" s="34" t="n">
        <x:f>R24+S23</x:f>
        <x:v>2570.119749072165</x:v>
      </x:c>
      <x:c r="T24" s="34" t="n">
        <x:f>S24+T23</x:f>
        <x:v>2792.706674329897</x:v>
      </x:c>
      <x:c r="U24" s="34" t="n">
        <x:f>T24+U23</x:f>
        <x:v>3006.221434639175</x:v>
      </x:c>
      <x:c r="V24" s="34" t="n">
        <x:f>U24+V23</x:f>
        <x:v>3220.9733083505153</x:v>
      </x:c>
      <x:c r="W24" s="34" t="n">
        <x:f>V24+W23</x:f>
        <x:v>3436.962295463917</x:v>
      </x:c>
      <x:c r="X24" s="34" t="n">
        <x:f>W24+X23</x:f>
        <x:v>3643.466746494845</x:v>
      </x:c>
      <x:c r="Y24" s="34" t="n">
        <x:f>X24+Y23</x:f>
        <x:v>3850.7959397938143</x:v>
      </x:c>
      <x:c r="Z24" s="34" t="n">
        <x:f>Y24+Z23</x:f>
        <x:v>4048.2282258762884</x:v>
      </x:c>
      <x:c r="AA24" s="34" t="n">
        <x:f>Z24+AA23</x:f>
        <x:v>4246.072883092784</x:v>
      </x:c>
      <x:c r="AB24" s="34" t="n">
        <x:f>AA24+AB23</x:f>
        <x:v>4444.329911443299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8" hidden="0" customHeight="1">
      <x:c r="C2" s="65" t="str">
        <x:v>Operating Cost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15" hidden="0" customHeight="1">
      <x:c r="C3" s="66" t="str">
        <x:v>Mature annual personnel, readiness, asset support, and deployment cost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24" hidden="0" customHeight="1">
      <x:c r="C6" s="29" t="str">
        <x:v>Service/component</x:v>
      </x:c>
      <x:c r="D6" s="30" t="str">
        <x:v>Active FTE</x:v>
      </x:c>
      <x:c r="E6" s="30" t="str">
        <x:v>Reserve FTE</x:v>
      </x:c>
      <x:c r="F6" s="30" t="str">
        <x:v>Personnel ($B)</x:v>
      </x:c>
      <x:c r="G6" s="30" t="str">
        <x:v>Capital share</x:v>
      </x:c>
      <x:c r="H6" s="30" t="str">
        <x:v>Installed asset base ($B)</x:v>
      </x:c>
      <x:c r="I6" s="30" t="str">
        <x:v>Asset O&amp;M ($B)</x:v>
      </x:c>
      <x:c r="J6" s="30" t="str">
        <x:v>Training/stock rotation ($B)</x:v>
      </x:c>
      <x:c r="K6" s="30" t="str">
        <x:v>Deployment share</x:v>
      </x:c>
      <x:c r="L6" s="30" t="str">
        <x:v>Deployment allowance ($B)</x:v>
      </x:c>
      <x:c r="M6" s="30" t="str">
        <x:v>Other institutional ($B)</x:v>
      </x:c>
      <x:c r="N6" s="31" t="str">
        <x:v>Total annual ($B)</x:v>
      </x:c>
    </x:row>
    <x:row r="7" ht="15" hidden="0" customHeight="1">
      <x:c r="C7" s="48" t="str">
        <x:v>Land Engineering</x:v>
      </x:c>
      <x:c r="D7" s="77" t="n">
        <x:f>'Workforce'!J7</x:f>
        <x:v>65000</x:v>
      </x:c>
      <x:c r="E7" s="77" t="n">
        <x:f>'Workforce'!K7</x:f>
        <x:v>97500</x:v>
      </x:c>
      <x:c r="F7" s="89" t="n">
        <x:f>'Workforce'!O7</x:f>
        <x:v>21.125</x:v>
      </x:c>
      <x:c r="G7" s="68" t="n">
        <x:v>0.16</x:v>
      </x:c>
      <x:c r="H7" s="89" t="n">
        <x:f>'Assumptions'!$D$16*G7</x:f>
        <x:v>160</x:v>
      </x:c>
      <x:c r="I7" s="89" t="n">
        <x:f>H7*'Assumptions'!$D$25</x:f>
        <x:v>6.4</x:v>
      </x:c>
      <x:c r="J7" s="89" t="n">
        <x:f>F7*'Assumptions'!$D$26</x:f>
        <x:v>3.1687499999999997</x:v>
      </x:c>
      <x:c r="K7" s="68" t="n">
        <x:v>0.16</x:v>
      </x:c>
      <x:c r="L7" s="89" t="n">
        <x:f>'Assumptions'!$D$27*K7</x:f>
        <x:v>2.4</x:v>
      </x:c>
      <x:c r="M7" s="90" t="n">
        <x:v>2</x:v>
      </x:c>
      <x:c r="N7" s="85" t="n">
        <x:f>SUM(F7,I7,J7,L7,M7)</x:f>
        <x:v>35.09375</x:v>
      </x:c>
    </x:row>
    <x:row r="8" ht="15" hidden="0" customHeight="1">
      <x:c r="C8" s="48" t="str">
        <x:v>Air Response</x:v>
      </x:c>
      <x:c r="D8" s="77" t="n">
        <x:f>'Workforce'!J8</x:f>
        <x:v>32000</x:v>
      </x:c>
      <x:c r="E8" s="77" t="n">
        <x:f>'Workforce'!K8</x:f>
        <x:v>24000</x:v>
      </x:c>
      <x:c r="F8" s="89" t="n">
        <x:f>'Workforce'!O8</x:f>
        <x:v>10.36</x:v>
      </x:c>
      <x:c r="G8" s="68" t="n">
        <x:v>0.16</x:v>
      </x:c>
      <x:c r="H8" s="89" t="n">
        <x:f>'Assumptions'!$D$16*G8</x:f>
        <x:v>160</x:v>
      </x:c>
      <x:c r="I8" s="89" t="n">
        <x:f>H8*'Assumptions'!$D$25</x:f>
        <x:v>6.4</x:v>
      </x:c>
      <x:c r="J8" s="89" t="n">
        <x:f>F8*'Assumptions'!$D$26</x:f>
        <x:v>1.5539999999999998</x:v>
      </x:c>
      <x:c r="K8" s="68" t="n">
        <x:v>0.18</x:v>
      </x:c>
      <x:c r="L8" s="89" t="n">
        <x:f>'Assumptions'!$D$27*K8</x:f>
        <x:v>2.6999999999999997</x:v>
      </x:c>
      <x:c r="M8" s="90" t="n">
        <x:v>2</x:v>
      </x:c>
      <x:c r="N8" s="85" t="n">
        <x:f>SUM(F8,I8,J8,L8,M8)</x:f>
        <x:v>23.013999999999996</x:v>
      </x:c>
    </x:row>
    <x:row r="9" ht="15" hidden="0" customHeight="1">
      <x:c r="C9" s="48" t="str">
        <x:v>Maritime Response</x:v>
      </x:c>
      <x:c r="D9" s="77" t="n">
        <x:f>'Workforce'!J9</x:f>
        <x:v>30000</x:v>
      </x:c>
      <x:c r="E9" s="77" t="n">
        <x:f>'Workforce'!K9</x:f>
        <x:v>22500</x:v>
      </x:c>
      <x:c r="F9" s="89" t="n">
        <x:f>'Workforce'!O9</x:f>
        <x:v>9.3</x:v>
      </x:c>
      <x:c r="G9" s="68" t="n">
        <x:v>0.16</x:v>
      </x:c>
      <x:c r="H9" s="89" t="n">
        <x:f>'Assumptions'!$D$16*G9</x:f>
        <x:v>160</x:v>
      </x:c>
      <x:c r="I9" s="89" t="n">
        <x:f>H9*'Assumptions'!$D$25</x:f>
        <x:v>6.4</x:v>
      </x:c>
      <x:c r="J9" s="89" t="n">
        <x:f>F9*'Assumptions'!$D$26</x:f>
        <x:v>1.395</x:v>
      </x:c>
      <x:c r="K9" s="68" t="n">
        <x:v>0.16</x:v>
      </x:c>
      <x:c r="L9" s="89" t="n">
        <x:f>'Assumptions'!$D$27*K9</x:f>
        <x:v>2.4</x:v>
      </x:c>
      <x:c r="M9" s="90" t="n">
        <x:v>2</x:v>
      </x:c>
      <x:c r="N9" s="85" t="n">
        <x:f>SUM(F9,I9,J9,L9,M9)</x:f>
        <x:v>21.495</x:v>
      </x:c>
    </x:row>
    <x:row r="10" ht="15" hidden="0" customHeight="1">
      <x:c r="C10" s="48" t="str">
        <x:v>Infrastructure Restoration</x:v>
      </x:c>
      <x:c r="D10" s="77" t="n">
        <x:f>'Workforce'!J10</x:f>
        <x:v>50000</x:v>
      </x:c>
      <x:c r="E10" s="77" t="n">
        <x:f>'Workforce'!K10</x:f>
        <x:v>75000</x:v>
      </x:c>
      <x:c r="F10" s="89" t="n">
        <x:f>'Workforce'!O10</x:f>
        <x:v>16.5</x:v>
      </x:c>
      <x:c r="G10" s="68" t="n">
        <x:v>0.2</x:v>
      </x:c>
      <x:c r="H10" s="89" t="n">
        <x:f>'Assumptions'!$D$16*G10</x:f>
        <x:v>200</x:v>
      </x:c>
      <x:c r="I10" s="89" t="n">
        <x:f>H10*'Assumptions'!$D$25</x:f>
        <x:v>8</x:v>
      </x:c>
      <x:c r="J10" s="89" t="n">
        <x:f>F10*'Assumptions'!$D$26</x:f>
        <x:v>2.475</x:v>
      </x:c>
      <x:c r="K10" s="68" t="n">
        <x:v>0.18</x:v>
      </x:c>
      <x:c r="L10" s="89" t="n">
        <x:f>'Assumptions'!$D$27*K10</x:f>
        <x:v>2.6999999999999997</x:v>
      </x:c>
      <x:c r="M10" s="90" t="n">
        <x:v>2</x:v>
      </x:c>
      <x:c r="N10" s="85" t="n">
        <x:f>SUM(F10,I10,J10,L10,M10)</x:f>
        <x:v>31.675</x:v>
      </x:c>
    </x:row>
    <x:row r="11" ht="15" hidden="0" customHeight="1">
      <x:c r="C11" s="48" t="str">
        <x:v>Health Protection</x:v>
      </x:c>
      <x:c r="D11" s="77" t="n">
        <x:f>'Workforce'!J11</x:f>
        <x:v>55000</x:v>
      </x:c>
      <x:c r="E11" s="77" t="n">
        <x:f>'Workforce'!K11</x:f>
        <x:v>82500</x:v>
      </x:c>
      <x:c r="F11" s="89" t="n">
        <x:f>'Workforce'!O11</x:f>
        <x:v>20.075</x:v>
      </x:c>
      <x:c r="G11" s="68" t="n">
        <x:v>0.14</x:v>
      </x:c>
      <x:c r="H11" s="89" t="n">
        <x:f>'Assumptions'!$D$16*G11</x:f>
        <x:v>140</x:v>
      </x:c>
      <x:c r="I11" s="89" t="n">
        <x:f>H11*'Assumptions'!$D$25</x:f>
        <x:v>5.6000000000000005</x:v>
      </x:c>
      <x:c r="J11" s="89" t="n">
        <x:f>F11*'Assumptions'!$D$26</x:f>
        <x:v>3.01125</x:v>
      </x:c>
      <x:c r="K11" s="68" t="n">
        <x:v>0.15</x:v>
      </x:c>
      <x:c r="L11" s="89" t="n">
        <x:f>'Assumptions'!$D$27*K11</x:f>
        <x:v>2.25</x:v>
      </x:c>
      <x:c r="M11" s="90" t="n">
        <x:v>3</x:v>
      </x:c>
      <x:c r="N11" s="85" t="n">
        <x:f>SUM(F11,I11,J11,L11,M11)</x:f>
        <x:v>33.93625</x:v>
      </x:c>
    </x:row>
    <x:row r="12" ht="15" hidden="0" customHeight="1">
      <x:c r="C12" s="48" t="str">
        <x:v>Community Stabilization</x:v>
      </x:c>
      <x:c r="D12" s="77" t="n">
        <x:f>'Workforce'!J12</x:f>
        <x:v>40000</x:v>
      </x:c>
      <x:c r="E12" s="77" t="n">
        <x:f>'Workforce'!K12</x:f>
        <x:v>80000</x:v>
      </x:c>
      <x:c r="F12" s="89" t="n">
        <x:f>'Workforce'!O12</x:f>
        <x:v>13.399999999999999</x:v>
      </x:c>
      <x:c r="G12" s="68" t="n">
        <x:v>0.08</x:v>
      </x:c>
      <x:c r="H12" s="89" t="n">
        <x:f>'Assumptions'!$D$16*G12</x:f>
        <x:v>80</x:v>
      </x:c>
      <x:c r="I12" s="89" t="n">
        <x:f>H12*'Assumptions'!$D$25</x:f>
        <x:v>3.2</x:v>
      </x:c>
      <x:c r="J12" s="89" t="n">
        <x:f>F12*'Assumptions'!$D$26</x:f>
        <x:v>2.01</x:v>
      </x:c>
      <x:c r="K12" s="68" t="n">
        <x:v>0.1</x:v>
      </x:c>
      <x:c r="L12" s="89" t="n">
        <x:f>'Assumptions'!$D$27*K12</x:f>
        <x:v>1.5</x:v>
      </x:c>
      <x:c r="M12" s="90" t="n">
        <x:v>2</x:v>
      </x:c>
      <x:c r="N12" s="85" t="n">
        <x:f>SUM(F12,I12,J12,L12,M12)</x:f>
        <x:v>22.11</x:v>
      </x:c>
    </x:row>
    <x:row r="13" ht="15" hidden="0" customHeight="1">
      <x:c r="C13" s="48" t="str">
        <x:v>Joint, science, logistics and acquisition</x:v>
      </x:c>
      <x:c r="D13" s="77" t="n">
        <x:f>'Workforce'!J13</x:f>
        <x:v>30000</x:v>
      </x:c>
      <x:c r="E13" s="77" t="n">
        <x:f>'Workforce'!K13</x:f>
        <x:v>15000</x:v>
      </x:c>
      <x:c r="F13" s="89" t="n">
        <x:f>'Workforce'!O13</x:f>
        <x:v>8.325</x:v>
      </x:c>
      <x:c r="G13" s="68" t="n">
        <x:v>0.1</x:v>
      </x:c>
      <x:c r="H13" s="89" t="n">
        <x:f>'Assumptions'!$D$16*G13</x:f>
        <x:v>100</x:v>
      </x:c>
      <x:c r="I13" s="89" t="n">
        <x:f>H13*'Assumptions'!$D$25</x:f>
        <x:v>4</x:v>
      </x:c>
      <x:c r="J13" s="89" t="n">
        <x:f>F13*'Assumptions'!$D$26</x:f>
        <x:v>1.2487499999999998</x:v>
      </x:c>
      <x:c r="K13" s="68" t="n">
        <x:v>0.07</x:v>
      </x:c>
      <x:c r="L13" s="89" t="n">
        <x:f>'Assumptions'!$D$27*K13</x:f>
        <x:v>1.05</x:v>
      </x:c>
      <x:c r="M13" s="90" t="n">
        <x:v>6</x:v>
      </x:c>
      <x:c r="N13" s="85" t="n">
        <x:f>SUM(F13,I13,J13,L13,M13)</x:f>
        <x:v>20.62375</x:v>
      </x:c>
    </x:row>
    <x:row r="14" ht="15" hidden="0" customHeight="1">
      <x:c r="C14" s="72" t="str">
        <x:v>Mature annual total</x:v>
      </x:c>
      <x:c r="D14" s="86" t="n">
        <x:f>SUM(D7:D13)</x:f>
        <x:v>302000</x:v>
      </x:c>
      <x:c r="E14" s="86" t="n">
        <x:f>SUM(E7:E13)</x:f>
        <x:v>396500</x:v>
      </x:c>
      <x:c r="F14" s="87" t="n">
        <x:f>SUM(F7:F13)</x:f>
        <x:v>99.085</x:v>
      </x:c>
      <x:c r="G14" s="91" t="n">
        <x:f>SUM(G7:G13)</x:f>
        <x:v>0.9999999999999999</x:v>
      </x:c>
      <x:c r="H14" s="87" t="n">
        <x:f>SUM(H7:H13)</x:f>
        <x:v>1000</x:v>
      </x:c>
      <x:c r="I14" s="87" t="n">
        <x:f>SUM(I7:I13)</x:f>
        <x:v>40.00000000000001</x:v>
      </x:c>
      <x:c r="J14" s="87" t="n">
        <x:f>SUM(J7:J13)</x:f>
        <x:v>14.862749999999998</x:v>
      </x:c>
      <x:c r="K14" s="91" t="n">
        <x:f>SUM(K7:K13)</x:f>
        <x:v>1</x:v>
      </x:c>
      <x:c r="L14" s="87" t="n">
        <x:f>SUM(L7:L13)</x:f>
        <x:v>15</x:v>
      </x:c>
      <x:c r="M14" s="87" t="n">
        <x:f>SUM(M7:M13)</x:f>
        <x:v>19</x:v>
      </x:c>
      <x:c r="N14" s="87" t="n">
        <x:f>SUM(N7:N13)</x:f>
        <x:v>187.94775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2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8" hidden="0" customHeight="1">
      <x:c r="C2" s="65" t="str">
        <x:v>Industrial Base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15" hidden="0" customHeight="1">
      <x:c r="C3" s="66" t="str">
        <x:v>Production-rate and learning-curve stress test; all capacities are design assumptions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24" hidden="0" customHeight="1">
      <x:c r="C6" s="29" t="str">
        <x:v>Industrial family</x:v>
      </x:c>
      <x:c r="D6" s="30" t="str">
        <x:v>Portfolio quantity source row</x:v>
      </x:c>
      <x:c r="E6" s="30" t="str">
        <x:v>Production years</x:v>
      </x:c>
      <x:c r="F6" s="30" t="str">
        <x:v>Assumed current annual capacity</x:v>
      </x:c>
      <x:c r="G6" s="30" t="str">
        <x:v>Learning rate</x:v>
      </x:c>
      <x:c r="H6" s="30" t="str">
        <x:v>First-unit cost ($M)</x:v>
      </x:c>
      <x:c r="I6" s="30" t="str">
        <x:v>Required average annual rate</x:v>
      </x:c>
      <x:c r="J6" s="30" t="str">
        <x:v>Capacity multiple</x:v>
      </x:c>
      <x:c r="K6" s="30" t="str">
        <x:v>Nth-unit cost ($M)</x:v>
      </x:c>
      <x:c r="L6" s="30" t="str">
        <x:v>Simple learned average ($M)</x:v>
      </x:c>
      <x:c r="M6" s="30" t="str">
        <x:v>Illustrative learned procurement ($M)</x:v>
      </x:c>
      <x:c r="N6" s="31" t="str">
        <x:v>Interpretation</x:v>
      </x:c>
    </x:row>
    <x:row r="7" ht="15" hidden="0" customHeight="1">
      <x:c r="C7" s="48" t="str">
        <x:v>Water treatment and rapid grids</x:v>
      </x:c>
      <x:c r="D7" s="48" t="n">
        <x:v>7</x:v>
      </x:c>
      <x:c r="E7" s="67" t="n">
        <x:v>8</x:v>
      </x:c>
      <x:c r="F7" s="67" t="n">
        <x:v>5</x:v>
      </x:c>
      <x:c r="G7" s="68" t="n">
        <x:v>0.9</x:v>
      </x:c>
      <x:c r="H7" s="78" t="n">
        <x:v>120</x:v>
      </x:c>
      <x:c r="I7" s="70" t="n">
        <x:f>'Portfolio'!F7/E7</x:f>
        <x:v>13.625</x:v>
      </x:c>
      <x:c r="J7" s="71" t="n">
        <x:f>IF(F7=0,"",I7/F7)</x:f>
        <x:v>2.725</x:v>
      </x:c>
      <x:c r="K7" s="79" t="n">
        <x:f>IF('Portfolio'!F7&lt;=1,H7,H7*POWER('Portfolio'!F7,LN(G7)/LN(2)))</x:f>
        <x:v>58.814731089255346</x:v>
      </x:c>
      <x:c r="L7" s="79" t="n">
        <x:f>(H7+K7)/2</x:f>
        <x:v>89.40736554462768</x:v>
      </x:c>
      <x:c r="M7" s="79" t="n">
        <x:f>L7*'Portfolio'!F7</x:f>
        <x:v>9745.402844364417</x:v>
      </x:c>
      <x:c r="N7" s="48" t="str">
        <x:v>Capacity input is an illustrative dedicated-rate baseline</x:v>
      </x:c>
    </x:row>
    <x:row r="8" ht="15" hidden="0" customHeight="1">
      <x:c r="C8" s="48" t="str">
        <x:v>Power cells, microgrids and grid bridges</x:v>
      </x:c>
      <x:c r="D8" s="48" t="n">
        <x:v>13</x:v>
      </x:c>
      <x:c r="E8" s="67" t="n">
        <x:v>10</x:v>
      </x:c>
      <x:c r="F8" s="67" t="n">
        <x:v>8</x:v>
      </x:c>
      <x:c r="G8" s="68" t="n">
        <x:v>0.9</x:v>
      </x:c>
      <x:c r="H8" s="78" t="n">
        <x:v>100</x:v>
      </x:c>
      <x:c r="I8" s="70" t="n">
        <x:f>'Portfolio'!F13/E8</x:f>
        <x:v>25.5</x:v>
      </x:c>
      <x:c r="J8" s="71" t="n">
        <x:f>IF(F8=0,"",I8/F8)</x:f>
        <x:v>3.1875</x:v>
      </x:c>
      <x:c r="K8" s="79" t="n">
        <x:f>IF('Portfolio'!F13&lt;=1,H8,H8*POWER('Portfolio'!F13,LN(G8)/LN(2)))</x:f>
        <x:v>43.072338181457084</x:v>
      </x:c>
      <x:c r="L8" s="79" t="n">
        <x:f>(H8+K8)/2</x:f>
        <x:v>71.53616909072855</x:v>
      </x:c>
      <x:c r="M8" s="79" t="n">
        <x:f>L8*'Portfolio'!F13</x:f>
        <x:v>18241.72311813578</x:v>
      </x:c>
      <x:c r="N8" s="48" t="str">
        <x:v>Capacity input is an illustrative dedicated-rate baseline</x:v>
      </x:c>
    </x:row>
    <x:row r="9" ht="15" hidden="0" customHeight="1">
      <x:c r="C9" s="48" t="str">
        <x:v>Purpose-built fire aircraft</x:v>
      </x:c>
      <x:c r="D9" s="48" t="n">
        <x:v>17</x:v>
      </x:c>
      <x:c r="E9" s="67" t="n">
        <x:v>12</x:v>
      </x:c>
      <x:c r="F9" s="67" t="n">
        <x:v>6</x:v>
      </x:c>
      <x:c r="G9" s="68" t="n">
        <x:v>0.85</x:v>
      </x:c>
      <x:c r="H9" s="78" t="n">
        <x:v>220</x:v>
      </x:c>
      <x:c r="I9" s="70" t="n">
        <x:f>'Portfolio'!F17/E9</x:f>
        <x:v>22</x:v>
      </x:c>
      <x:c r="J9" s="71" t="n">
        <x:f>IF(F9=0,"",I9/F9)</x:f>
        <x:v>3.6666666666666665</x:v>
      </x:c>
      <x:c r="K9" s="79" t="n">
        <x:f>IF('Portfolio'!F17&lt;=1,H9,H9*POWER('Portfolio'!F17,LN(G9)/LN(2)))</x:f>
        <x:v>59.51695474253365</x:v>
      </x:c>
      <x:c r="L9" s="79" t="n">
        <x:f>(H9+K9)/2</x:f>
        <x:v>139.75847737126682</x:v>
      </x:c>
      <x:c r="M9" s="79" t="n">
        <x:f>L9*'Portfolio'!F17</x:f>
        <x:v>36896.23802601444</x:v>
      </x:c>
      <x:c r="N9" s="48" t="str">
        <x:v>Capacity input is an illustrative dedicated-rate baseline</x:v>
      </x:c>
    </x:row>
    <x:row r="10" ht="15" hidden="0" customHeight="1">
      <x:c r="C10" s="48" t="str">
        <x:v>Flood, earthwork and crossing systems</x:v>
      </x:c>
      <x:c r="D10" s="48" t="n">
        <x:v>22</x:v>
      </x:c>
      <x:c r="E10" s="67" t="n">
        <x:v>10</x:v>
      </x:c>
      <x:c r="F10" s="67" t="n">
        <x:v>12</x:v>
      </x:c>
      <x:c r="G10" s="68" t="n">
        <x:v>0.9</x:v>
      </x:c>
      <x:c r="H10" s="78" t="n">
        <x:v>250</x:v>
      </x:c>
      <x:c r="I10" s="70" t="n">
        <x:f>'Portfolio'!F22/E10</x:f>
        <x:v>19.8</x:v>
      </x:c>
      <x:c r="J10" s="71" t="n">
        <x:f>IF(F10=0,"",I10/F10)</x:f>
        <x:v>1.6500000000000001</x:v>
      </x:c>
      <x:c r="K10" s="79" t="n">
        <x:f>IF('Portfolio'!F22&lt;=1,H10,H10*POWER('Portfolio'!F22,LN(G10)/LN(2)))</x:f>
        <x:v>111.90250154298604</x:v>
      </x:c>
      <x:c r="L10" s="79" t="n">
        <x:f>(H10+K10)/2</x:f>
        <x:v>180.95125077149302</x:v>
      </x:c>
      <x:c r="M10" s="79" t="n">
        <x:f>L10*'Portfolio'!F22</x:f>
        <x:v>35828.34765275562</x:v>
      </x:c>
      <x:c r="N10" s="48" t="str">
        <x:v>Capacity input is an illustrative dedicated-rate baseline</x:v>
      </x:c>
    </x:row>
    <x:row r="11" ht="15" hidden="0" customHeight="1">
      <x:c r="C11" s="48" t="str">
        <x:v>Littoral and port-opening systems</x:v>
      </x:c>
      <x:c r="D11" s="48" t="n">
        <x:v>27</x:v>
      </x:c>
      <x:c r="E11" s="67" t="n">
        <x:v>10</x:v>
      </x:c>
      <x:c r="F11" s="67" t="n">
        <x:v>4</x:v>
      </x:c>
      <x:c r="G11" s="68" t="n">
        <x:v>0.88</x:v>
      </x:c>
      <x:c r="H11" s="78" t="n">
        <x:v>500</x:v>
      </x:c>
      <x:c r="I11" s="70" t="n">
        <x:f>'Portfolio'!F27/E11</x:f>
        <x:v>7.1</x:v>
      </x:c>
      <x:c r="J11" s="71" t="n">
        <x:f>IF(F11=0,"",I11/F11)</x:f>
        <x:v>1.775</x:v>
      </x:c>
      <x:c r="K11" s="79" t="n">
        <x:f>IF('Portfolio'!F27&lt;=1,H11,H11*POWER('Portfolio'!F27,LN(G11)/LN(2)))</x:f>
        <x:v>227.7993483083284</x:v>
      </x:c>
      <x:c r="L11" s="79" t="n">
        <x:f>(H11+K11)/2</x:f>
        <x:v>363.8996741541642</x:v>
      </x:c>
      <x:c r="M11" s="79" t="n">
        <x:f>L11*'Portfolio'!F27</x:f>
        <x:v>25836.876864945658</x:v>
      </x:c>
      <x:c r="N11" s="48" t="str">
        <x:v>Capacity input is an illustrative dedicated-rate baseline</x:v>
      </x:c>
    </x:row>
    <x:row r="12" ht="15" hidden="0" customHeight="1">
      <x:c r="C12" s="48" t="str">
        <x:v>Large maritime support and sealift</x:v>
      </x:c>
      <x:c r="D12" s="48" t="n">
        <x:v>29</x:v>
      </x:c>
      <x:c r="E12" s="67" t="n">
        <x:v>15</x:v>
      </x:c>
      <x:c r="F12" s="67" t="n">
        <x:v>0.7</x:v>
      </x:c>
      <x:c r="G12" s="68" t="n">
        <x:v>0.9</x:v>
      </x:c>
      <x:c r="H12" s="78" t="n">
        <x:v>3500</x:v>
      </x:c>
      <x:c r="I12" s="70" t="n">
        <x:f>'Portfolio'!F29/E12</x:f>
        <x:v>1.3333333333333333</x:v>
      </x:c>
      <x:c r="J12" s="71" t="n">
        <x:f>IF(F12=0,"",I12/F12)</x:f>
        <x:v>1.9047619047619049</x:v>
      </x:c>
      <x:c r="K12" s="79" t="n">
        <x:f>IF('Portfolio'!F29&lt;=1,H12,H12*POWER('Portfolio'!F29,LN(G12)/LN(2)))</x:f>
        <x:v>2219.7673559638897</x:v>
      </x:c>
      <x:c r="L12" s="79" t="n">
        <x:f>(H12+K12)/2</x:f>
        <x:v>2859.883677981945</x:v>
      </x:c>
      <x:c r="M12" s="79" t="n">
        <x:f>L12*'Portfolio'!F29</x:f>
        <x:v>57197.6735596389</x:v>
      </x:c>
      <x:c r="N12" s="48" t="str">
        <x:v>Capacity input is an illustrative dedicated-rate baseline</x:v>
      </x:c>
    </x:row>
    <x:row r="13" ht="15" hidden="0" customHeight="1">
      <x:c r="C13" s="48" t="str">
        <x:v>Medical ships and theater hospitals</x:v>
      </x:c>
      <x:c r="D13" s="48" t="n">
        <x:v>32</x:v>
      </x:c>
      <x:c r="E13" s="67" t="n">
        <x:v>12</x:v>
      </x:c>
      <x:c r="F13" s="67" t="n">
        <x:v>1</x:v>
      </x:c>
      <x:c r="G13" s="68" t="n">
        <x:v>0.9</x:v>
      </x:c>
      <x:c r="H13" s="78" t="n">
        <x:v>1800</x:v>
      </x:c>
      <x:c r="I13" s="70" t="n">
        <x:f>'Portfolio'!F32/E13</x:f>
        <x:v>2.3333333333333335</x:v>
      </x:c>
      <x:c r="J13" s="71" t="n">
        <x:f>IF(F13=0,"",I13/F13)</x:f>
        <x:v>2.3333333333333335</x:v>
      </x:c>
      <x:c r="K13" s="79" t="n">
        <x:f>IF('Portfolio'!F32&lt;=1,H13,H13*POWER('Portfolio'!F32,LN(G13)/LN(2)))</x:f>
        <x:v>1084.6759419461089</x:v>
      </x:c>
      <x:c r="L13" s="79" t="n">
        <x:f>(H13+K13)/2</x:f>
        <x:v>1442.3379709730543</x:v>
      </x:c>
      <x:c r="M13" s="79" t="n">
        <x:f>L13*'Portfolio'!F32</x:f>
        <x:v>40385.46318724552</x:v>
      </x:c>
      <x:c r="N13" s="48" t="str">
        <x:v>Capacity input is an illustrative dedicated-rate baseline</x:v>
      </x:c>
    </x:row>
    <x:row r="14" ht="15" hidden="0" customHeight="1">
      <x:c r="C14" s="48" t="str">
        <x:v>Strategic and short-field airlift</x:v>
      </x:c>
      <x:c r="D14" s="48" t="n">
        <x:v>33</x:v>
      </x:c>
      <x:c r="E14" s="67" t="n">
        <x:v>15</x:v>
      </x:c>
      <x:c r="F14" s="67" t="n">
        <x:v>3</x:v>
      </x:c>
      <x:c r="G14" s="68" t="n">
        <x:v>0.88</x:v>
      </x:c>
      <x:c r="H14" s="78" t="n">
        <x:v>500</x:v>
      </x:c>
      <x:c r="I14" s="70" t="n">
        <x:f>'Portfolio'!F33/E14</x:f>
        <x:v>8.866666666666667</x:v>
      </x:c>
      <x:c r="J14" s="71" t="n">
        <x:f>IF(F14=0,"",I14/F14)</x:f>
        <x:v>2.9555555555555557</x:v>
      </x:c>
      <x:c r="K14" s="79" t="n">
        <x:f>IF('Portfolio'!F33&lt;=1,H14,H14*POWER('Portfolio'!F33,LN(G14)/LN(2)))</x:f>
        <x:v>202.89884568607712</x:v>
      </x:c>
      <x:c r="L14" s="79" t="n">
        <x:f>(H14+K14)/2</x:f>
        <x:v>351.4494228430386</x:v>
      </x:c>
      <x:c r="M14" s="79" t="n">
        <x:f>L14*'Portfolio'!F33</x:f>
        <x:v>46742.77323812413</x:v>
      </x:c>
      <x:c r="N14" s="48" t="str">
        <x:v>Capacity input is an illustrative dedicated-rate baseline</x:v>
      </x:c>
    </x:row>
    <x:row r="15" ht="15" hidden="0" customHeight="1">
      <x:c r="C15" s="48" t="str">
        <x:v>Vertical access aircraft</x:v>
      </x:c>
      <x:c r="D15" s="48" t="n">
        <x:v>35</x:v>
      </x:c>
      <x:c r="E15" s="67" t="n">
        <x:v>12</x:v>
      </x:c>
      <x:c r="F15" s="67" t="n">
        <x:v>8</x:v>
      </x:c>
      <x:c r="G15" s="68" t="n">
        <x:v>0.88</x:v>
      </x:c>
      <x:c r="H15" s="78" t="n">
        <x:v>120</x:v>
      </x:c>
      <x:c r="I15" s="70" t="n">
        <x:f>'Portfolio'!F35/E15</x:f>
        <x:v>26</x:v>
      </x:c>
      <x:c r="J15" s="71" t="n">
        <x:f>IF(F15=0,"",I15/F15)</x:f>
        <x:v>3.25</x:v>
      </x:c>
      <x:c r="K15" s="79" t="n">
        <x:f>IF('Portfolio'!F35&lt;=1,H15,H15*POWER('Portfolio'!F35,LN(G15)/LN(2)))</x:f>
        <x:v>41.61001330831791</x:v>
      </x:c>
      <x:c r="L15" s="79" t="n">
        <x:f>(H15+K15)/2</x:f>
        <x:v>80.80500665415896</x:v>
      </x:c>
      <x:c r="M15" s="79" t="n">
        <x:f>L15*'Portfolio'!F35</x:f>
        <x:v>25211.162076097597</x:v>
      </x:c>
      <x:c r="N15" s="48" t="str">
        <x:v>Capacity input is an illustrative dedicated-rate baseline</x:v>
      </x:c>
    </x:row>
    <x:row r="16" ht="15" hidden="0" customHeight="1">
      <x:c r="C16" s="48" t="str">
        <x:v>Communications and observation</x:v>
      </x:c>
      <x:c r="D16" s="48" t="n">
        <x:v>37</x:v>
      </x:c>
      <x:c r="E16" s="67" t="n">
        <x:v>8</x:v>
      </x:c>
      <x:c r="F16" s="67" t="n">
        <x:v>10</x:v>
      </x:c>
      <x:c r="G16" s="68" t="n">
        <x:v>0.92</x:v>
      </x:c>
      <x:c r="H16" s="78" t="n">
        <x:v>180</x:v>
      </x:c>
      <x:c r="I16" s="70" t="n">
        <x:f>'Portfolio'!F37/E16</x:f>
        <x:v>21.25</x:v>
      </x:c>
      <x:c r="J16" s="71" t="n">
        <x:f>IF(F16=0,"",I16/F16)</x:f>
        <x:v>2.125</x:v>
      </x:c>
      <x:c r="K16" s="79" t="n">
        <x:f>IF('Portfolio'!F37&lt;=1,H16,H16*POWER('Portfolio'!F37,LN(G16)/LN(2)))</x:f>
        <x:v>97.04258602826744</x:v>
      </x:c>
      <x:c r="L16" s="79" t="n">
        <x:f>(H16+K16)/2</x:f>
        <x:v>138.52129301413373</x:v>
      </x:c>
      <x:c r="M16" s="79" t="n">
        <x:f>L16*'Portfolio'!F37</x:f>
        <x:v>23548.619812402736</x:v>
      </x:c>
      <x:c r="N16" s="48" t="str">
        <x:v>Capacity input is an illustrative dedicated-rate baseline</x:v>
      </x:c>
    </x:row>
    <x:row r="17" ht="15" hidden="0" customHeight="1">
      <x:c r="C17" s="48" t="str">
        <x:v>Robotic work systems</x:v>
      </x:c>
      <x:c r="D17" s="48" t="n">
        <x:v>38</x:v>
      </x:c>
      <x:c r="E17" s="67" t="n">
        <x:v>8</x:v>
      </x:c>
      <x:c r="F17" s="67" t="n">
        <x:v>20</x:v>
      </x:c>
      <x:c r="G17" s="68" t="n">
        <x:v>0.9</x:v>
      </x:c>
      <x:c r="H17" s="78" t="n">
        <x:v>150</x:v>
      </x:c>
      <x:c r="I17" s="70" t="n">
        <x:f>'Portfolio'!F38/E17</x:f>
        <x:v>31.875</x:v>
      </x:c>
      <x:c r="J17" s="71" t="n">
        <x:f>IF(F17=0,"",I17/F17)</x:f>
        <x:v>1.59375</x:v>
      </x:c>
      <x:c r="K17" s="79" t="n">
        <x:f>IF('Portfolio'!F38&lt;=1,H17,H17*POWER('Portfolio'!F38,LN(G17)/LN(2)))</x:f>
        <x:v>64.60850727218563</x:v>
      </x:c>
      <x:c r="L17" s="79" t="n">
        <x:f>(H17+K17)/2</x:f>
        <x:v>107.30425363609282</x:v>
      </x:c>
      <x:c r="M17" s="79" t="n">
        <x:f>L17*'Portfolio'!F38</x:f>
        <x:v>27362.58467720367</x:v>
      </x:c>
      <x:c r="N17" s="48" t="str">
        <x:v>Capacity input is an illustrative dedicated-rate baseline</x:v>
      </x:c>
    </x:row>
    <x:row r="18" ht="15" hidden="0" customHeight="1">
      <x:c r="C18" s="48" t="str">
        <x:v>Nuclear water-energy platforms</x:v>
      </x:c>
      <x:c r="D18" s="48" t="n">
        <x:v>11</x:v>
      </x:c>
      <x:c r="E18" s="67" t="n">
        <x:v>15</x:v>
      </x:c>
      <x:c r="F18" s="67" t="n">
        <x:v>0</x:v>
      </x:c>
      <x:c r="G18" s="68" t="n">
        <x:v>0.9</x:v>
      </x:c>
      <x:c r="H18" s="78" t="n">
        <x:v>8000</x:v>
      </x:c>
      <x:c r="I18" s="70" t="n">
        <x:f>'Portfolio'!F11/E18</x:f>
        <x:v>2.4</x:v>
      </x:c>
      <x:c r="J18" s="71" t="str">
        <x:f>IF(F18=0,"",I18/F18)</x:f>
      </x:c>
      <x:c r="K18" s="79" t="n">
        <x:f>IF('Portfolio'!F11&lt;=1,H18,H18*POWER('Portfolio'!F11,LN(G18)/LN(2)))</x:f>
        <x:v>4640.098421835064</x:v>
      </x:c>
      <x:c r="L18" s="79" t="n">
        <x:f>(H18+K18)/2</x:f>
        <x:v>6320.049210917532</x:v>
      </x:c>
      <x:c r="M18" s="79" t="n">
        <x:f>L18*'Portfolio'!F11</x:f>
        <x:v>227521.77159303115</x:v>
      </x:c>
      <x:c r="N18" s="48" t="str">
        <x:v>No dedicated U.S. production baseline assumed</x:v>
      </x:c>
    </x:row>
    <x:row r="19" ht="15" hidden="0" customHeight="1"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</x:row>
    <x:row r="20" ht="15" hidden="0" customHeight="1"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</x:row>
    <x:row r="21" ht="15" hidden="0" customHeight="1">
      <x:c r="C21" s="88" t="str">
        <x:v>Boundary</x:v>
      </x:c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5"/>
    </x:row>
    <x:row r="22" ht="60" hidden="0" customHeight="1">
      <x:c r="C22" s="48" t="str">
        <x:v>Learning calculations use a simple endpoint average and are diagnostic only. The Portfolio sheet remains the controlling capital estimate because actual acquisition cost depends on lots, configuration, facilities, spares, inflation, schedule, and contracting strategy.</x:v>
      </x:c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4" hidden="0" customWidth="1"/>
    <x:col min="13" max="13" width="24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18" hidden="0" customHeight="1">
      <x:c r="C2" s="65" t="str">
        <x:v>Benefits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15" hidden="0" customHeight="1">
      <x:c r="C3" s="66" t="str">
        <x:v>Monetized avoided-loss scenarios exclude unpriced strategic, humanitarian, and distributional value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 ht="24" hidden="0" customHeight="1">
      <x:c r="C6" s="29" t="str">
        <x:v>Hazard/campaign archetype</x:v>
      </x:c>
      <x:c r="D6" s="30" t="str">
        <x:v>Annual probability</x:v>
      </x:c>
      <x:c r="E6" s="30" t="str">
        <x:v>Gross loss if event ($B)</x:v>
      </x:c>
      <x:c r="F6" s="30" t="str">
        <x:v>Addressable share</x:v>
      </x:c>
      <x:c r="G6" s="30" t="str">
        <x:v>Base effectiveness</x:v>
      </x:c>
      <x:c r="H6" s="30" t="str">
        <x:v>Expected gross loss ($B/year)</x:v>
      </x:c>
      <x:c r="I6" s="30" t="str">
        <x:v>Selected effectiveness</x:v>
      </x:c>
      <x:c r="J6" s="30" t="str">
        <x:v>Annual avoided loss ($B)</x:v>
      </x:c>
      <x:c r="K6" s="30" t="str">
        <x:v>25-year PV ($B)</x:v>
      </x:c>
      <x:c r="L6" s="30" t="str">
        <x:v>Primary limitation</x:v>
      </x:c>
      <x:c r="M6" s="31" t="str">
        <x:v>Source class</x:v>
      </x:c>
    </x:row>
    <x:row r="7" ht="15" hidden="0" customHeight="1">
      <x:c r="C7" s="48" t="str">
        <x:v>Cascadia/major earthquake</x:v>
      </x:c>
      <x:c r="D7" s="68" t="n">
        <x:v>0.02</x:v>
      </x:c>
      <x:c r="E7" s="90" t="n">
        <x:v>1000</x:v>
      </x:c>
      <x:c r="F7" s="68" t="n">
        <x:v>0.4</x:v>
      </x:c>
      <x:c r="G7" s="68" t="n">
        <x:v>0.3</x:v>
      </x:c>
      <x:c r="H7" s="85" t="n">
        <x:f>D7*E7</x:f>
        <x:v>20</x:v>
      </x:c>
      <x:c r="I7" s="92" t="n">
        <x:f>MIN(0.8,G7*'Assumptions'!$H$16)</x:f>
        <x:v>0.3</x:v>
      </x:c>
      <x:c r="J7" s="85" t="n">
        <x:f>H7*F7*I7</x:f>
        <x:v>2.4</x:v>
      </x:c>
      <x:c r="K7" s="89" t="n">
        <x:f>J7*(1-(1+'Assumptions'!$D$28)^-25)/'Assumptions'!$D$28</x:f>
        <x:v>41.791554459067264</x:v>
      </x:c>
      <x:c r="L7" s="48" t="str">
        <x:v>Direct, indirect, health, and displacement loss</x:v>
      </x:c>
      <x:c r="M7" s="48" t="str">
        <x:v>Design-study assumption</x:v>
      </x:c>
    </x:row>
    <x:row r="8" ht="15" hidden="0" customHeight="1">
      <x:c r="C8" s="48" t="str">
        <x:v>Gulf/coastal hurricane sequence</x:v>
      </x:c>
      <x:c r="D8" s="68" t="n">
        <x:v>0.25</x:v>
      </x:c>
      <x:c r="E8" s="90" t="n">
        <x:v>250</x:v>
      </x:c>
      <x:c r="F8" s="68" t="n">
        <x:v>0.4</x:v>
      </x:c>
      <x:c r="G8" s="68" t="n">
        <x:v>0.25</x:v>
      </x:c>
      <x:c r="H8" s="85" t="n">
        <x:f>D8*E8</x:f>
        <x:v>62.5</x:v>
      </x:c>
      <x:c r="I8" s="92" t="n">
        <x:f>MIN(0.8,G8*'Assumptions'!$H$16)</x:f>
        <x:v>0.25</x:v>
      </x:c>
      <x:c r="J8" s="85" t="n">
        <x:f>H8*F8*I8</x:f>
        <x:v>6.25</x:v>
      </x:c>
      <x:c r="K8" s="89" t="n">
        <x:f>J8*(1-(1+'Assumptions'!$D$28)^-25)/'Assumptions'!$D$28</x:f>
        <x:v>108.83217307048767</x:v>
      </x:c>
      <x:c r="L8" s="48" t="str">
        <x:v>Correlated regional lifeline failure</x:v>
      </x:c>
      <x:c r="M8" s="48" t="str">
        <x:v>Design-study assumption</x:v>
      </x:c>
    </x:row>
    <x:row r="9" ht="15" hidden="0" customHeight="1">
      <x:c r="C9" s="48" t="str">
        <x:v>Western wildfire complex</x:v>
      </x:c>
      <x:c r="D9" s="68" t="n">
        <x:v>0.4</x:v>
      </x:c>
      <x:c r="E9" s="90" t="n">
        <x:v>100</x:v>
      </x:c>
      <x:c r="F9" s="68" t="n">
        <x:v>0.35</x:v>
      </x:c>
      <x:c r="G9" s="68" t="n">
        <x:v>0.25</x:v>
      </x:c>
      <x:c r="H9" s="85" t="n">
        <x:f>D9*E9</x:f>
        <x:v>40</x:v>
      </x:c>
      <x:c r="I9" s="92" t="n">
        <x:f>MIN(0.8,G9*'Assumptions'!$H$16)</x:f>
        <x:v>0.25</x:v>
      </x:c>
      <x:c r="J9" s="85" t="n">
        <x:f>H9*F9*I9</x:f>
        <x:v>3.5</x:v>
      </x:c>
      <x:c r="K9" s="89" t="n">
        <x:f>J9*(1-(1+'Assumptions'!$D$28)^-25)/'Assumptions'!$D$28</x:f>
        <x:v>60.946016919473095</x:v>
      </x:c>
      <x:c r="L9" s="48" t="str">
        <x:v>Fire, smoke, structures, utility and business loss</x:v>
      </x:c>
      <x:c r="M9" s="48" t="str">
        <x:v>Design-study assumption</x:v>
      </x:c>
    </x:row>
    <x:row r="10" ht="15" hidden="0" customHeight="1">
      <x:c r="C10" s="48" t="str">
        <x:v>California or basin megaflood</x:v>
      </x:c>
      <x:c r="D10" s="68" t="n">
        <x:v>0.03</x:v>
      </x:c>
      <x:c r="E10" s="90" t="n">
        <x:v>1500</x:v>
      </x:c>
      <x:c r="F10" s="68" t="n">
        <x:v>0.3</x:v>
      </x:c>
      <x:c r="G10" s="68" t="n">
        <x:v>0.2</x:v>
      </x:c>
      <x:c r="H10" s="85" t="n">
        <x:f>D10*E10</x:f>
        <x:v>45</x:v>
      </x:c>
      <x:c r="I10" s="92" t="n">
        <x:f>MIN(0.8,G10*'Assumptions'!$H$16)</x:f>
        <x:v>0.2</x:v>
      </x:c>
      <x:c r="J10" s="85" t="n">
        <x:f>H10*F10*I10</x:f>
        <x:v>2.7</x:v>
      </x:c>
      <x:c r="K10" s="89" t="n">
        <x:f>J10*(1-(1+'Assumptions'!$D$28)^-25)/'Assumptions'!$D$28</x:f>
        <x:v>47.015498766450676</x:v>
      </x:c>
      <x:c r="L10" s="48" t="str">
        <x:v>Rare systemic flood scenario</x:v>
      </x:c>
      <x:c r="M10" s="48" t="str">
        <x:v>Design-study assumption</x:v>
      </x:c>
    </x:row>
    <x:row r="11" ht="15" hidden="0" customHeight="1">
      <x:c r="C11" s="48" t="str">
        <x:v>Heat, smoke and grid failure</x:v>
      </x:c>
      <x:c r="D11" s="68" t="n">
        <x:v>0.2</x:v>
      </x:c>
      <x:c r="E11" s="90" t="n">
        <x:v>300</x:v>
      </x:c>
      <x:c r="F11" s="68" t="n">
        <x:v>0.45</x:v>
      </x:c>
      <x:c r="G11" s="68" t="n">
        <x:v>0.35</x:v>
      </x:c>
      <x:c r="H11" s="85" t="n">
        <x:f>D11*E11</x:f>
        <x:v>60</x:v>
      </x:c>
      <x:c r="I11" s="92" t="n">
        <x:f>MIN(0.8,G11*'Assumptions'!$H$16)</x:f>
        <x:v>0.35</x:v>
      </x:c>
      <x:c r="J11" s="85" t="n">
        <x:f>H11*F11*I11</x:f>
        <x:v>9.45</x:v>
      </x:c>
      <x:c r="K11" s="89" t="n">
        <x:f>J11*(1-(1+'Assumptions'!$D$28)^-25)/'Assumptions'!$D$28</x:f>
        <x:v>164.55424568257735</x:v>
      </x:c>
      <x:c r="L11" s="48" t="str">
        <x:v>Mortality, health and productivity</x:v>
      </x:c>
      <x:c r="M11" s="48" t="str">
        <x:v>Design-study assumption</x:v>
      </x:c>
    </x:row>
    <x:row r="12" ht="15" hidden="0" customHeight="1">
      <x:c r="C12" s="48" t="str">
        <x:v>Severe public-health emergency</x:v>
      </x:c>
      <x:c r="D12" s="68" t="n">
        <x:v>0.02</x:v>
      </x:c>
      <x:c r="E12" s="90" t="n">
        <x:v>5000</x:v>
      </x:c>
      <x:c r="F12" s="68" t="n">
        <x:v>0.2</x:v>
      </x:c>
      <x:c r="G12" s="68" t="n">
        <x:v>0.15</x:v>
      </x:c>
      <x:c r="H12" s="85" t="n">
        <x:f>D12*E12</x:f>
        <x:v>100</x:v>
      </x:c>
      <x:c r="I12" s="92" t="n">
        <x:f>MIN(0.8,G12*'Assumptions'!$H$16)</x:f>
        <x:v>0.15</x:v>
      </x:c>
      <x:c r="J12" s="85" t="n">
        <x:f>H12*F12*I12</x:f>
        <x:v>3</x:v>
      </x:c>
      <x:c r="K12" s="89" t="n">
        <x:f>J12*(1-(1+'Assumptions'!$D$28)^-25)/'Assumptions'!$D$28</x:f>
        <x:v>52.23944307383408</x:v>
      </x:c>
      <x:c r="L12" s="48" t="str">
        <x:v>Large uncertainty and limited addressable share</x:v>
      </x:c>
      <x:c r="M12" s="48" t="str">
        <x:v>Design-study assumption</x:v>
      </x:c>
    </x:row>
    <x:row r="13" ht="15" hidden="0" customHeight="1">
      <x:c r="C13" s="48" t="str">
        <x:v>Frequent regional storms/floods</x:v>
      </x:c>
      <x:c r="D13" s="68" t="n">
        <x:v>0.5</x:v>
      </x:c>
      <x:c r="E13" s="90" t="n">
        <x:v>75</x:v>
      </x:c>
      <x:c r="F13" s="68" t="n">
        <x:v>0.3</x:v>
      </x:c>
      <x:c r="G13" s="68" t="n">
        <x:v>0.2</x:v>
      </x:c>
      <x:c r="H13" s="85" t="n">
        <x:f>D13*E13</x:f>
        <x:v>37.5</x:v>
      </x:c>
      <x:c r="I13" s="92" t="n">
        <x:f>MIN(0.8,G13*'Assumptions'!$H$16)</x:f>
        <x:v>0.2</x:v>
      </x:c>
      <x:c r="J13" s="85" t="n">
        <x:f>H13*F13*I13</x:f>
        <x:v>2.25</x:v>
      </x:c>
      <x:c r="K13" s="89" t="n">
        <x:f>J13*(1-(1+'Assumptions'!$D$28)^-25)/'Assumptions'!$D$28</x:f>
        <x:v>39.17958230537557</x:v>
      </x:c>
      <x:c r="L13" s="48" t="str">
        <x:v>Portfolio of non-catastrophic events</x:v>
      </x:c>
      <x:c r="M13" s="48" t="str">
        <x:v>Design-study assumption</x:v>
      </x:c>
    </x:row>
    <x:row r="14" ht="15" hidden="0" customHeight="1">
      <x:c r="C14" s="48" t="str">
        <x:v>Global stabilization deployment</x:v>
      </x:c>
      <x:c r="D14" s="68" t="n">
        <x:v>0.2</x:v>
      </x:c>
      <x:c r="E14" s="90" t="n">
        <x:v>150</x:v>
      </x:c>
      <x:c r="F14" s="68" t="n">
        <x:v>0.2</x:v>
      </x:c>
      <x:c r="G14" s="68" t="n">
        <x:v>0.2</x:v>
      </x:c>
      <x:c r="H14" s="85" t="n">
        <x:f>D14*E14</x:f>
        <x:v>30</x:v>
      </x:c>
      <x:c r="I14" s="92" t="n">
        <x:f>MIN(0.8,G14*'Assumptions'!$H$16)</x:f>
        <x:v>0.2</x:v>
      </x:c>
      <x:c r="J14" s="85" t="n">
        <x:f>H14*F14*I14</x:f>
        <x:v>1.2000000000000002</x:v>
      </x:c>
      <x:c r="K14" s="89" t="n">
        <x:f>J14*(1-(1+'Assumptions'!$D$28)^-25)/'Assumptions'!$D$28</x:f>
        <x:v>20.895777229533635</x:v>
      </x:c>
      <x:c r="L14" s="48" t="str">
        <x:v>Only avoided material/humanitarian loss monetized</x:v>
      </x:c>
      <x:c r="M14" s="48" t="str">
        <x:v>Design-study assumption</x:v>
      </x:c>
    </x:row>
    <x:row r="15" ht="15" hidden="0" customHeight="1">
      <x:c r="C15" s="72" t="str">
        <x:v>Total monetized</x:v>
      </x:c>
      <x:c r="D15" s="72"/>
      <x:c r="E15" s="72"/>
      <x:c r="F15" s="72"/>
      <x:c r="G15" s="72"/>
      <x:c r="H15" s="87" t="n">
        <x:f>SUM(H7:H14)</x:f>
        <x:v>395</x:v>
      </x:c>
      <x:c r="I15" s="72"/>
      <x:c r="J15" s="87" t="n">
        <x:f>SUM(J7:J14)</x:f>
        <x:v>30.75</x:v>
      </x:c>
      <x:c r="K15" s="87" t="n">
        <x:f>SUM(K7:K14)</x:f>
        <x:v>535.4542915067994</x:v>
      </x:c>
      <x:c r="L15" s="72"/>
      <x:c r="M15" s="72"/>
    </x:row>
    <x:row r="16" ht="15" hidden="0" customHeight="1"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</x:row>
    <x:row r="17" ht="15" hidden="0" customHeight="1"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</x:row>
    <x:row r="18" ht="15" hidden="0" customHeight="1">
      <x:c r="C18" s="88" t="str">
        <x:v>Boundary</x:v>
      </x:c>
      <x:c r="D18" s="74"/>
      <x:c r="E18" s="74"/>
      <x:c r="F18" s="74"/>
      <x:c r="G18" s="74"/>
      <x:c r="H18" s="74"/>
      <x:c r="I18" s="74"/>
      <x:c r="J18" s="74"/>
      <x:c r="K18" s="74"/>
      <x:c r="L18" s="74"/>
      <x:c r="M18" s="75"/>
    </x:row>
    <x:row r="19" ht="72" hidden="0" customHeight="1">
      <x:c r="C19" s="48" t="str">
        <x:v>This model does not monetize deterrence-like strategic value, diplomatic access, civil confidence, equity, ecological preservation, institutional learning, or industrial spillovers. A benefit-cost ratio below one would not by itself answer the national-power question.</x:v>
      </x:c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</x:row>
    <x:row r="20" ht="48" hidden="0" customHeight="1">
      <x:c r="C20" s="48" t="str">
        <x:v>Probabilities, loss severities, addressable shares and effectiveness are editable research assumptions. They must not be presented as official expected annual loss or causal evidence.</x:v>
      </x:c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</x:row>
    <x:row r="2" ht="18" hidden="0" customHeight="1">
      <x:c r="C2" s="65" t="str">
        <x:v>Sensitivity</x:v>
      </x:c>
      <x:c r="D2" s="10"/>
      <x:c r="E2" s="10"/>
      <x:c r="F2" s="10"/>
      <x:c r="G2" s="10"/>
      <x:c r="H2" s="10"/>
      <x:c r="I2" s="10"/>
      <x:c r="J2" s="1"/>
      <x:c r="K2" s="1"/>
      <x:c r="L2" s="1"/>
      <x:c r="M2" s="1"/>
      <x:c r="N2" s="1"/>
    </x:row>
    <x:row r="3" ht="15" hidden="0" customHeight="1">
      <x:c r="C3" s="66" t="str">
        <x:v>Formula-driven tests of operating cost and avoided-loss assumptions</x:v>
      </x:c>
      <x:c r="D3" s="11"/>
      <x:c r="E3" s="11"/>
      <x:c r="F3" s="11"/>
      <x:c r="G3" s="11"/>
      <x:c r="H3" s="11"/>
      <x:c r="I3" s="11"/>
      <x:c r="J3" s="3"/>
      <x:c r="K3" s="3"/>
      <x:c r="L3" s="3"/>
      <x:c r="M3" s="3"/>
      <x:c r="N3" s="3"/>
    </x:row>
    <x:row r="4" ht="15" hidden="0" customHeight="1">
      <x:c r="C4" s="8"/>
      <x:c r="D4" s="8"/>
      <x:c r="E4" s="8"/>
      <x:c r="F4" s="8"/>
      <x:c r="G4" s="8"/>
      <x:c r="H4" s="8"/>
      <x:c r="I4" s="8"/>
    </x:row>
    <x:row r="5" ht="15" hidden="0" customHeight="1">
      <x:c r="C5" s="8"/>
      <x:c r="D5" s="8"/>
      <x:c r="E5" s="8"/>
      <x:c r="F5" s="8"/>
      <x:c r="G5" s="8"/>
      <x:c r="H5" s="8"/>
      <x:c r="I5" s="8"/>
    </x:row>
    <x:row r="6" ht="15" hidden="0" customHeight="1">
      <x:c r="C6" s="22" t="str">
        <x:v>Mature annual operating cost ($B)</x:v>
      </x:c>
      <x:c r="D6" s="23"/>
      <x:c r="E6" s="23"/>
      <x:c r="F6" s="23"/>
      <x:c r="G6" s="23"/>
      <x:c r="H6" s="23"/>
      <x:c r="I6" s="24"/>
    </x:row>
    <x:row r="7" ht="24" hidden="0" customHeight="1">
      <x:c r="C7" s="29" t="str">
        <x:v>Capital envelope ($B) / O&amp;M rate</x:v>
      </x:c>
      <x:c r="D7" s="62" t="n">
        <x:v>0.02</x:v>
      </x:c>
      <x:c r="E7" s="62" t="n">
        <x:v>0.03</x:v>
      </x:c>
      <x:c r="F7" s="62" t="n">
        <x:v>0.04</x:v>
      </x:c>
      <x:c r="G7" s="62" t="n">
        <x:v>0.05</x:v>
      </x:c>
      <x:c r="H7" s="62" t="n">
        <x:v>0.06</x:v>
      </x:c>
      <x:c r="I7" s="31" t="str">
        <x:v>Formula includes personnel, training, deployment, and other institutional cost</x:v>
      </x:c>
    </x:row>
    <x:row r="8" ht="15" hidden="0" customHeight="1">
      <x:c r="C8" s="32" t="n">
        <x:v>750</x:v>
      </x:c>
      <x:c r="D8" s="50" t="n">
        <x:f>SUM('Workforce'!$M$7:$M$13)*(1+'Assumptions'!$D$26)+$C8*D$7+'Assumptions'!$D$27+SUM('Operating Cost'!$M$7:$M$13)</x:f>
        <x:v>129.78175</x:v>
      </x:c>
      <x:c r="E8" s="50" t="n">
        <x:f>SUM('Workforce'!$M$7:$M$13)*(1+'Assumptions'!$D$26)+$C8*E$7+'Assumptions'!$D$27+SUM('Operating Cost'!$M$7:$M$13)</x:f>
        <x:v>137.28175</x:v>
      </x:c>
      <x:c r="F8" s="50" t="n">
        <x:f>SUM('Workforce'!$M$7:$M$13)*(1+'Assumptions'!$D$26)+$C8*F$7+'Assumptions'!$D$27+SUM('Operating Cost'!$M$7:$M$13)</x:f>
        <x:v>144.78175</x:v>
      </x:c>
      <x:c r="G8" s="50" t="n">
        <x:f>SUM('Workforce'!$M$7:$M$13)*(1+'Assumptions'!$D$26)+$C8*G$7+'Assumptions'!$D$27+SUM('Operating Cost'!$M$7:$M$13)</x:f>
        <x:v>152.28175</x:v>
      </x:c>
      <x:c r="H8" s="50" t="n">
        <x:f>SUM('Workforce'!$M$7:$M$13)*(1+'Assumptions'!$D$26)+$C8*H$7+'Assumptions'!$D$27+SUM('Operating Cost'!$M$7:$M$13)</x:f>
        <x:v>159.78175</x:v>
      </x:c>
      <x:c r="I8" s="8"/>
    </x:row>
    <x:row r="9" ht="15" hidden="0" customHeight="1">
      <x:c r="C9" s="32" t="n">
        <x:v>1000</x:v>
      </x:c>
      <x:c r="D9" s="50" t="n">
        <x:f>SUM('Workforce'!$M$7:$M$13)*(1+'Assumptions'!$D$26)+$C9*D$7+'Assumptions'!$D$27+SUM('Operating Cost'!$M$7:$M$13)</x:f>
        <x:v>134.78175</x:v>
      </x:c>
      <x:c r="E9" s="50" t="n">
        <x:f>SUM('Workforce'!$M$7:$M$13)*(1+'Assumptions'!$D$26)+$C9*E$7+'Assumptions'!$D$27+SUM('Operating Cost'!$M$7:$M$13)</x:f>
        <x:v>144.78175</x:v>
      </x:c>
      <x:c r="F9" s="50" t="n">
        <x:f>SUM('Workforce'!$M$7:$M$13)*(1+'Assumptions'!$D$26)+$C9*F$7+'Assumptions'!$D$27+SUM('Operating Cost'!$M$7:$M$13)</x:f>
        <x:v>154.78175</x:v>
      </x:c>
      <x:c r="G9" s="50" t="n">
        <x:f>SUM('Workforce'!$M$7:$M$13)*(1+'Assumptions'!$D$26)+$C9*G$7+'Assumptions'!$D$27+SUM('Operating Cost'!$M$7:$M$13)</x:f>
        <x:v>164.78175</x:v>
      </x:c>
      <x:c r="H9" s="50" t="n">
        <x:f>SUM('Workforce'!$M$7:$M$13)*(1+'Assumptions'!$D$26)+$C9*H$7+'Assumptions'!$D$27+SUM('Operating Cost'!$M$7:$M$13)</x:f>
        <x:v>174.78175</x:v>
      </x:c>
      <x:c r="I9" s="8"/>
    </x:row>
    <x:row r="10" ht="15" hidden="0" customHeight="1">
      <x:c r="C10" s="32" t="n">
        <x:v>1250</x:v>
      </x:c>
      <x:c r="D10" s="50" t="n">
        <x:f>SUM('Workforce'!$M$7:$M$13)*(1+'Assumptions'!$D$26)+$C10*D$7+'Assumptions'!$D$27+SUM('Operating Cost'!$M$7:$M$13)</x:f>
        <x:v>139.78175</x:v>
      </x:c>
      <x:c r="E10" s="50" t="n">
        <x:f>SUM('Workforce'!$M$7:$M$13)*(1+'Assumptions'!$D$26)+$C10*E$7+'Assumptions'!$D$27+SUM('Operating Cost'!$M$7:$M$13)</x:f>
        <x:v>152.28175</x:v>
      </x:c>
      <x:c r="F10" s="50" t="n">
        <x:f>SUM('Workforce'!$M$7:$M$13)*(1+'Assumptions'!$D$26)+$C10*F$7+'Assumptions'!$D$27+SUM('Operating Cost'!$M$7:$M$13)</x:f>
        <x:v>164.78175</x:v>
      </x:c>
      <x:c r="G10" s="50" t="n">
        <x:f>SUM('Workforce'!$M$7:$M$13)*(1+'Assumptions'!$D$26)+$C10*G$7+'Assumptions'!$D$27+SUM('Operating Cost'!$M$7:$M$13)</x:f>
        <x:v>177.28175</x:v>
      </x:c>
      <x:c r="H10" s="50" t="n">
        <x:f>SUM('Workforce'!$M$7:$M$13)*(1+'Assumptions'!$D$26)+$C10*H$7+'Assumptions'!$D$27+SUM('Operating Cost'!$M$7:$M$13)</x:f>
        <x:v>189.78175</x:v>
      </x:c>
      <x:c r="I10" s="8"/>
    </x:row>
    <x:row r="11" ht="15" hidden="0" customHeight="1">
      <x:c r="C11" s="32" t="n">
        <x:v>1500</x:v>
      </x:c>
      <x:c r="D11" s="50" t="n">
        <x:f>SUM('Workforce'!$M$7:$M$13)*(1+'Assumptions'!$D$26)+$C11*D$7+'Assumptions'!$D$27+SUM('Operating Cost'!$M$7:$M$13)</x:f>
        <x:v>144.78175</x:v>
      </x:c>
      <x:c r="E11" s="50" t="n">
        <x:f>SUM('Workforce'!$M$7:$M$13)*(1+'Assumptions'!$D$26)+$C11*E$7+'Assumptions'!$D$27+SUM('Operating Cost'!$M$7:$M$13)</x:f>
        <x:v>159.78175</x:v>
      </x:c>
      <x:c r="F11" s="50" t="n">
        <x:f>SUM('Workforce'!$M$7:$M$13)*(1+'Assumptions'!$D$26)+$C11*F$7+'Assumptions'!$D$27+SUM('Operating Cost'!$M$7:$M$13)</x:f>
        <x:v>174.78175</x:v>
      </x:c>
      <x:c r="G11" s="50" t="n">
        <x:f>SUM('Workforce'!$M$7:$M$13)*(1+'Assumptions'!$D$26)+$C11*G$7+'Assumptions'!$D$27+SUM('Operating Cost'!$M$7:$M$13)</x:f>
        <x:v>189.78175</x:v>
      </x:c>
      <x:c r="H11" s="50" t="n">
        <x:f>SUM('Workforce'!$M$7:$M$13)*(1+'Assumptions'!$D$26)+$C11*H$7+'Assumptions'!$D$27+SUM('Operating Cost'!$M$7:$M$13)</x:f>
        <x:v>204.78175</x:v>
      </x:c>
      <x:c r="I11" s="8"/>
    </x:row>
    <x:row r="12" ht="15" hidden="0" customHeight="1">
      <x:c r="C12" s="32" t="n">
        <x:v>2000</x:v>
      </x:c>
      <x:c r="D12" s="50" t="n">
        <x:f>SUM('Workforce'!$M$7:$M$13)*(1+'Assumptions'!$D$26)+$C12*D$7+'Assumptions'!$D$27+SUM('Operating Cost'!$M$7:$M$13)</x:f>
        <x:v>154.78175</x:v>
      </x:c>
      <x:c r="E12" s="50" t="n">
        <x:f>SUM('Workforce'!$M$7:$M$13)*(1+'Assumptions'!$D$26)+$C12*E$7+'Assumptions'!$D$27+SUM('Operating Cost'!$M$7:$M$13)</x:f>
        <x:v>174.78175</x:v>
      </x:c>
      <x:c r="F12" s="50" t="n">
        <x:f>SUM('Workforce'!$M$7:$M$13)*(1+'Assumptions'!$D$26)+$C12*F$7+'Assumptions'!$D$27+SUM('Operating Cost'!$M$7:$M$13)</x:f>
        <x:v>194.78175</x:v>
      </x:c>
      <x:c r="G12" s="50" t="n">
        <x:f>SUM('Workforce'!$M$7:$M$13)*(1+'Assumptions'!$D$26)+$C12*G$7+'Assumptions'!$D$27+SUM('Operating Cost'!$M$7:$M$13)</x:f>
        <x:v>214.78175</x:v>
      </x:c>
      <x:c r="H12" s="50" t="n">
        <x:f>SUM('Workforce'!$M$7:$M$13)*(1+'Assumptions'!$D$26)+$C12*H$7+'Assumptions'!$D$27+SUM('Operating Cost'!$M$7:$M$13)</x:f>
        <x:v>234.78175</x:v>
      </x:c>
      <x:c r="I12" s="8"/>
    </x:row>
    <x:row r="13" ht="15" hidden="0" customHeight="1">
      <x:c r="C13" s="8"/>
      <x:c r="D13" s="8"/>
      <x:c r="E13" s="8"/>
      <x:c r="F13" s="8"/>
      <x:c r="G13" s="8"/>
      <x:c r="H13" s="8"/>
      <x:c r="I13" s="8"/>
    </x:row>
    <x:row r="14" ht="15" hidden="0" customHeight="1">
      <x:c r="C14" s="8"/>
      <x:c r="D14" s="8"/>
      <x:c r="E14" s="8"/>
      <x:c r="F14" s="8"/>
      <x:c r="G14" s="8"/>
      <x:c r="H14" s="8"/>
      <x:c r="I14" s="8"/>
    </x:row>
    <x:row r="15" ht="15" hidden="0" customHeight="1">
      <x:c r="C15" s="22" t="str">
        <x:v>Annual avoided loss ($B)</x:v>
      </x:c>
      <x:c r="D15" s="23"/>
      <x:c r="E15" s="23"/>
      <x:c r="F15" s="23"/>
      <x:c r="G15" s="23"/>
      <x:c r="H15" s="23"/>
      <x:c r="I15" s="24"/>
    </x:row>
    <x:row r="16" ht="15" hidden="0" customHeight="1">
      <x:c r="C16" s="29" t="str">
        <x:v>Gross annual loss ($B) / effectiveness</x:v>
      </x:c>
      <x:c r="D16" s="62" t="n">
        <x:v>0.1</x:v>
      </x:c>
      <x:c r="E16" s="62" t="n">
        <x:v>0.2</x:v>
      </x:c>
      <x:c r="F16" s="62" t="n">
        <x:v>0.3</x:v>
      </x:c>
      <x:c r="G16" s="62" t="n">
        <x:v>0.4</x:v>
      </x:c>
      <x:c r="H16" s="62" t="n">
        <x:v>0.5</x:v>
      </x:c>
      <x:c r="I16" s="31" t="str">
        <x:v>Assumes 35% of gross loss is addressable</x:v>
      </x:c>
    </x:row>
    <x:row r="17" ht="15" hidden="0" customHeight="1">
      <x:c r="C17" s="32" t="n">
        <x:v>150</x:v>
      </x:c>
      <x:c r="D17" s="34" t="n">
        <x:f>$C17*35%*D$16</x:f>
        <x:v>5.25</x:v>
      </x:c>
      <x:c r="E17" s="34" t="n">
        <x:f>$C17*35%*E$16</x:f>
        <x:v>10.5</x:v>
      </x:c>
      <x:c r="F17" s="34" t="n">
        <x:f>$C17*35%*F$16</x:f>
        <x:v>15.75</x:v>
      </x:c>
      <x:c r="G17" s="34" t="n">
        <x:f>$C17*35%*G$16</x:f>
        <x:v>21</x:v>
      </x:c>
      <x:c r="H17" s="34" t="n">
        <x:f>$C17*35%*H$16</x:f>
        <x:v>26.25</x:v>
      </x:c>
      <x:c r="I17" s="8"/>
    </x:row>
    <x:row r="18" ht="15" hidden="0" customHeight="1">
      <x:c r="C18" s="32" t="n">
        <x:v>250</x:v>
      </x:c>
      <x:c r="D18" s="34" t="n">
        <x:f>$C18*35%*D$16</x:f>
        <x:v>8.75</x:v>
      </x:c>
      <x:c r="E18" s="34" t="n">
        <x:f>$C18*35%*E$16</x:f>
        <x:v>17.5</x:v>
      </x:c>
      <x:c r="F18" s="34" t="n">
        <x:f>$C18*35%*F$16</x:f>
        <x:v>26.25</x:v>
      </x:c>
      <x:c r="G18" s="34" t="n">
        <x:f>$C18*35%*G$16</x:f>
        <x:v>35</x:v>
      </x:c>
      <x:c r="H18" s="34" t="n">
        <x:f>$C18*35%*H$16</x:f>
        <x:v>43.75</x:v>
      </x:c>
      <x:c r="I18" s="8"/>
    </x:row>
    <x:row r="19" ht="15" hidden="0" customHeight="1">
      <x:c r="C19" s="32" t="n">
        <x:v>350</x:v>
      </x:c>
      <x:c r="D19" s="34" t="n">
        <x:f>$C19*35%*D$16</x:f>
        <x:v>12.25</x:v>
      </x:c>
      <x:c r="E19" s="34" t="n">
        <x:f>$C19*35%*E$16</x:f>
        <x:v>24.5</x:v>
      </x:c>
      <x:c r="F19" s="34" t="n">
        <x:f>$C19*35%*F$16</x:f>
        <x:v>36.74999999999999</x:v>
      </x:c>
      <x:c r="G19" s="34" t="n">
        <x:f>$C19*35%*G$16</x:f>
        <x:v>49</x:v>
      </x:c>
      <x:c r="H19" s="34" t="n">
        <x:f>$C19*35%*H$16</x:f>
        <x:v>61.24999999999999</x:v>
      </x:c>
      <x:c r="I19" s="8"/>
    </x:row>
    <x:row r="20" ht="15" hidden="0" customHeight="1">
      <x:c r="C20" s="32" t="n">
        <x:v>500</x:v>
      </x:c>
      <x:c r="D20" s="34" t="n">
        <x:f>$C20*35%*D$16</x:f>
        <x:v>17.5</x:v>
      </x:c>
      <x:c r="E20" s="34" t="n">
        <x:f>$C20*35%*E$16</x:f>
        <x:v>35</x:v>
      </x:c>
      <x:c r="F20" s="34" t="n">
        <x:f>$C20*35%*F$16</x:f>
        <x:v>52.5</x:v>
      </x:c>
      <x:c r="G20" s="34" t="n">
        <x:f>$C20*35%*G$16</x:f>
        <x:v>70</x:v>
      </x:c>
      <x:c r="H20" s="34" t="n">
        <x:f>$C20*35%*H$16</x:f>
        <x:v>87.5</x:v>
      </x:c>
      <x:c r="I20" s="8"/>
    </x:row>
    <x:row r="21" ht="15" hidden="0" customHeight="1">
      <x:c r="C21" s="32" t="n">
        <x:v>750</x:v>
      </x:c>
      <x:c r="D21" s="34" t="n">
        <x:f>$C21*35%*D$16</x:f>
        <x:v>26.25</x:v>
      </x:c>
      <x:c r="E21" s="34" t="n">
        <x:f>$C21*35%*E$16</x:f>
        <x:v>52.5</x:v>
      </x:c>
      <x:c r="F21" s="34" t="n">
        <x:f>$C21*35%*F$16</x:f>
        <x:v>78.75</x:v>
      </x:c>
      <x:c r="G21" s="34" t="n">
        <x:f>$C21*35%*G$16</x:f>
        <x:v>105</x:v>
      </x:c>
      <x:c r="H21" s="34" t="n">
        <x:f>$C21*35%*H$16</x:f>
        <x:v>131.25</x:v>
      </x:c>
      <x:c r="I21" s="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6" hidden="0" customWidth="1"/>
    <x:col min="5" max="5" width="16" hidden="0" customWidth="1"/>
    <x:col min="6" max="6" width="18" hidden="0" customWidth="1"/>
    <x:col min="7" max="7" width="13" hidden="0" customWidth="1"/>
    <x:col min="8" max="8" width="28" hidden="0" customWidth="1"/>
    <x:col min="9" max="9" width="50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</x:row>
    <x:row r="2" ht="18" hidden="0" customHeight="1">
      <x:c r="C2" s="65" t="str">
        <x:v>Checks</x:v>
      </x:c>
      <x:c r="D2" s="10"/>
      <x:c r="E2" s="10"/>
      <x:c r="F2" s="10"/>
      <x:c r="G2" s="10"/>
      <x:c r="H2" s="10"/>
      <x:c r="I2" s="10"/>
    </x:row>
    <x:row r="3" ht="15" hidden="0" customHeight="1">
      <x:c r="C3" s="66" t="str">
        <x:v>Model integrity, reconciliation, and unresolved research conditions</x:v>
      </x:c>
      <x:c r="D3" s="11"/>
      <x:c r="E3" s="11"/>
      <x:c r="F3" s="11"/>
      <x:c r="G3" s="11"/>
      <x:c r="H3" s="11"/>
      <x:c r="I3" s="11"/>
    </x:row>
    <x:row r="4" ht="15" hidden="0" customHeight="1">
      <x:c r="C4" s="8"/>
      <x:c r="D4" s="8"/>
      <x:c r="E4" s="8"/>
      <x:c r="F4" s="8"/>
      <x:c r="G4" s="8"/>
      <x:c r="H4" s="8"/>
      <x:c r="I4" s="8"/>
    </x:row>
    <x:row r="5" ht="15" hidden="0" customHeight="1">
      <x:c r="C5" s="8"/>
      <x:c r="D5" s="8"/>
      <x:c r="E5" s="8"/>
      <x:c r="F5" s="8"/>
      <x:c r="G5" s="8"/>
      <x:c r="H5" s="8"/>
      <x:c r="I5" s="8"/>
    </x:row>
    <x:row r="6" ht="15" hidden="0" customHeight="1">
      <x:c r="C6" s="29" t="str">
        <x:v>Check</x:v>
      </x:c>
      <x:c r="D6" s="30" t="str">
        <x:v>Actual</x:v>
      </x:c>
      <x:c r="E6" s="30" t="str">
        <x:v>Expected</x:v>
      </x:c>
      <x:c r="F6" s="30" t="str">
        <x:v>Tolerance / rule</x:v>
      </x:c>
      <x:c r="G6" s="30" t="str">
        <x:v>Status</x:v>
      </x:c>
      <x:c r="H6" s="30" t="str">
        <x:v>Fix location</x:v>
      </x:c>
      <x:c r="I6" s="31" t="str">
        <x:v>Interpretation</x:v>
      </x:c>
    </x:row>
    <x:row r="7" ht="15" hidden="0" customHeight="1">
      <x:c r="C7" s="48" t="str">
        <x:v>Selected case valid</x:v>
      </x:c>
      <x:c r="D7" s="93" t="str">
        <x:f>'Assumptions'!D6</x:f>
        <x:v>Reference</x:v>
      </x:c>
      <x:c r="E7" s="93" t="str">
        <x:v>Low / Reference / High</x:v>
      </x:c>
      <x:c r="F7" s="48" t="str">
        <x:v>Exact list</x:v>
      </x:c>
      <x:c r="G7" s="48" t="str">
        <x:f>IF(OR(D7="Low",D7="Reference",D7="High"),"PASS","REVIEW")</x:f>
        <x:v>PASS</x:v>
      </x:c>
      <x:c r="H7" s="48" t="str">
        <x:v>Assumptions D6</x:v>
      </x:c>
      <x:c r="I7" s="48" t="str">
        <x:v>One case must control all selected values</x:v>
      </x:c>
    </x:row>
    <x:row r="8" ht="15" hidden="0" customHeight="1">
      <x:c r="C8" s="48" t="str">
        <x:v>Low capital weights</x:v>
      </x:c>
      <x:c r="D8" s="93" t="n">
        <x:f>SUM('Assumptions'!D37:AB37)</x:f>
        <x:v>0.9999999999999999</x:v>
      </x:c>
      <x:c r="E8" s="93" t="n">
        <x:v>1</x:v>
      </x:c>
      <x:c r="F8" s="48" t="str">
        <x:v>0.000001</x:v>
      </x:c>
      <x:c r="G8" s="48" t="str">
        <x:f>IF(ABS(D8-E8)&lt;0.000001,"PASS","REVIEW")</x:f>
        <x:v>PASS</x:v>
      </x:c>
      <x:c r="H8" s="48" t="str">
        <x:v>Assumptions D34:AB37</x:v>
      </x:c>
      <x:c r="I8" s="48" t="str">
        <x:v>Selected normalized annual weights sum to 100%</x:v>
      </x:c>
    </x:row>
    <x:row r="9" ht="15" hidden="0" customHeight="1">
      <x:c r="C9" s="48" t="str">
        <x:v>Reference raw weights positive</x:v>
      </x:c>
      <x:c r="D9" s="93" t="n">
        <x:f>MIN('Assumptions'!D35:AB35)</x:f>
        <x:v>1</x:v>
      </x:c>
      <x:c r="E9" s="93" t="n">
        <x:v>0</x:v>
      </x:c>
      <x:c r="F9" s="48" t="str">
        <x:v>&gt; expected</x:v>
      </x:c>
      <x:c r="G9" s="48" t="str">
        <x:f>IF(D9&gt;E9,"PASS","REVIEW")</x:f>
        <x:v>PASS</x:v>
      </x:c>
      <x:c r="H9" s="48" t="str">
        <x:v>Assumptions D35:AB35</x:v>
      </x:c>
      <x:c r="I9" s="48" t="str">
        <x:v>No negative or zero reference deployment weights</x:v>
      </x:c>
    </x:row>
    <x:row r="10" ht="15" hidden="0" customHeight="1">
      <x:c r="C10" s="48" t="str">
        <x:v>Force inventory covers ready need</x:v>
      </x:c>
      <x:c r="D10" s="93" t="n">
        <x:f>MIN('Force Sizing'!N7:N33)</x:f>
        <x:v>7.4</x:v>
      </x:c>
      <x:c r="E10" s="93" t="n">
        <x:v>0</x:v>
      </x:c>
      <x:c r="F10" s="48" t="str">
        <x:v>&gt;= expected</x:v>
      </x:c>
      <x:c r="G10" s="48" t="str">
        <x:f>IF(D10&gt;=E10,"PASS","REVIEW")</x:f>
        <x:v>PASS</x:v>
      </x:c>
      <x:c r="H10" s="48" t="str">
        <x:v>Force Sizing K:N</x:v>
      </x:c>
      <x:c r="I10" s="48" t="str">
        <x:v>Owned inventory cannot be below ready requirement</x:v>
      </x:c>
    </x:row>
    <x:row r="11" ht="15" hidden="0" customHeight="1">
      <x:c r="C11" s="48" t="str">
        <x:v>Portfolio costs positive</x:v>
      </x:c>
      <x:c r="D11" s="93" t="n">
        <x:f>MIN('Portfolio'!M7:M40)</x:f>
        <x:v>12600</x:v>
      </x:c>
      <x:c r="E11" s="93" t="n">
        <x:v>0</x:v>
      </x:c>
      <x:c r="F11" s="48" t="str">
        <x:v>&gt; expected</x:v>
      </x:c>
      <x:c r="G11" s="48" t="str">
        <x:f>IF(D11&gt;E11,"PASS","REVIEW")</x:f>
        <x:v>PASS</x:v>
      </x:c>
      <x:c r="H11" s="48" t="str">
        <x:v>Portfolio M7:M40</x:v>
      </x:c>
      <x:c r="I11" s="48" t="str">
        <x:v>Every concept row must have positive modeled cost</x:v>
      </x:c>
    </x:row>
    <x:row r="12" ht="15" hidden="0" customHeight="1">
      <x:c r="C12" s="48" t="str">
        <x:v>Bottom-up / top-down capital gap</x:v>
      </x:c>
      <x:c r="D12" s="93" t="n">
        <x:f>('Portfolio'!M41/1000)-'Assumptions'!D16</x:f>
        <x:v>1239.9695000000002</x:v>
      </x:c>
      <x:c r="E12" s="93" t="n">
        <x:v>0</x:v>
      </x:c>
      <x:c r="F12" s="48" t="str">
        <x:v>25% of envelope</x:v>
      </x:c>
      <x:c r="G12" s="48" t="str">
        <x:f>IF(ABS(D12)&lt;=25%*'Assumptions'!D16,"PASS","REVIEW")</x:f>
        <x:v>REVIEW</x:v>
      </x:c>
      <x:c r="H12" s="48" t="str">
        <x:v>Portfolio and Assumptions</x:v>
      </x:c>
      <x:c r="I12" s="48" t="str">
        <x:v>Large gap means quantities/costs and envelope are not reconciled</x:v>
      </x:c>
    </x:row>
    <x:row r="13" ht="15" hidden="0" customHeight="1">
      <x:c r="C13" s="48" t="str">
        <x:v>Mature capital shares</x:v>
      </x:c>
      <x:c r="D13" s="93" t="n">
        <x:f>SUM('Operating Cost'!G7:G13)</x:f>
        <x:v>0.9999999999999999</x:v>
      </x:c>
      <x:c r="E13" s="93" t="n">
        <x:v>1</x:v>
      </x:c>
      <x:c r="F13" s="48" t="str">
        <x:v>0.000001</x:v>
      </x:c>
      <x:c r="G13" s="48" t="str">
        <x:f>IF(ABS(D13-E13)&lt;0.000001,"PASS","REVIEW")</x:f>
        <x:v>PASS</x:v>
      </x:c>
      <x:c r="H13" s="48" t="str">
        <x:v>Operating Cost G7:G13</x:v>
      </x:c>
      <x:c r="I13" s="48" t="str">
        <x:v>Service allocation shares sum to 100%</x:v>
      </x:c>
    </x:row>
    <x:row r="14" ht="15" hidden="0" customHeight="1">
      <x:c r="C14" s="48" t="str">
        <x:v>Deployment shares</x:v>
      </x:c>
      <x:c r="D14" s="93" t="n">
        <x:f>SUM('Operating Cost'!K7:K13)</x:f>
        <x:v>1</x:v>
      </x:c>
      <x:c r="E14" s="93" t="n">
        <x:v>1</x:v>
      </x:c>
      <x:c r="F14" s="48" t="str">
        <x:v>0.000001</x:v>
      </x:c>
      <x:c r="G14" s="48" t="str">
        <x:f>IF(ABS(D14-E14)&lt;0.000001,"PASS","REVIEW")</x:f>
        <x:v>PASS</x:v>
      </x:c>
      <x:c r="H14" s="48" t="str">
        <x:v>Operating Cost K7:K13</x:v>
      </x:c>
      <x:c r="I14" s="48" t="str">
        <x:v>Deployment allocation shares sum to 100%</x:v>
      </x:c>
    </x:row>
    <x:row r="15" ht="15" hidden="0" customHeight="1">
      <x:c r="C15" s="48" t="str">
        <x:v>25-year capital tie</x:v>
      </x:c>
      <x:c r="D15" s="93" t="n">
        <x:f>SUM('25-Year Plan'!D8:AB8)</x:f>
        <x:v>999.9999999999997</x:v>
      </x:c>
      <x:c r="E15" s="93" t="n">
        <x:f>'Assumptions'!D16</x:f>
        <x:v>1000</x:v>
      </x:c>
      <x:c r="F15" s="48" t="str">
        <x:v>0.01 $B</x:v>
      </x:c>
      <x:c r="G15" s="48" t="str">
        <x:f>IF(ABS(D15-E15)&lt;0.01,"PASS","REVIEW")</x:f>
        <x:v>PASS</x:v>
      </x:c>
      <x:c r="H15" s="48" t="str">
        <x:v>25-Year Plan D8:AB8</x:v>
      </x:c>
      <x:c r="I15" s="48" t="str">
        <x:v>Annual capital schedule ties to selected envelope</x:v>
      </x:c>
    </x:row>
    <x:row r="16" ht="15" hidden="0" customHeight="1">
      <x:c r="C16" s="48" t="str">
        <x:v>Mature operating tie</x:v>
      </x:c>
      <x:c r="D16" s="93" t="n">
        <x:f>'25-Year Plan'!AB21</x:f>
        <x:v>187.94774999999998</x:v>
      </x:c>
      <x:c r="E16" s="93" t="n">
        <x:f>'Operating Cost'!N14</x:f>
        <x:v>187.94775</x:v>
      </x:c>
      <x:c r="F16" s="48" t="str">
        <x:v>0.1 $B</x:v>
      </x:c>
      <x:c r="G16" s="48" t="str">
        <x:f>IF(ABS(D16-E16)&lt;0.1,"PASS","REVIEW")</x:f>
        <x:v>PASS</x:v>
      </x:c>
      <x:c r="H16" s="48" t="str">
        <x:v>25-Year Plan and Operating Cost</x:v>
      </x:c>
      <x:c r="I16" s="48" t="str">
        <x:v>Final-year operating cost ties to mature annual schedule</x:v>
      </x:c>
    </x:row>
    <x:row r="17" ht="15" hidden="0" customHeight="1">
      <x:c r="C17" s="48" t="str">
        <x:v>Benefits assumptions bounded</x:v>
      </x:c>
      <x:c r="D17" s="93" t="n">
        <x:f>MAX('Benefits'!D7:D14,'Benefits'!F7:G14)</x:f>
        <x:v>0.5</x:v>
      </x:c>
      <x:c r="E17" s="93" t="n">
        <x:v>1</x:v>
      </x:c>
      <x:c r="F17" s="48" t="str">
        <x:v>&lt;= expected</x:v>
      </x:c>
      <x:c r="G17" s="48" t="str">
        <x:f>IF(D17&lt;=E17,"PASS","REVIEW")</x:f>
        <x:v>PASS</x:v>
      </x:c>
      <x:c r="H17" s="48" t="str">
        <x:v>Benefits D:G</x:v>
      </x:c>
      <x:c r="I17" s="48" t="str">
        <x:v>Probabilities, shares, and effectiveness cannot exceed 100%</x:v>
      </x:c>
    </x:row>
    <x:row r="18" ht="15" hidden="0" customHeight="1">
      <x:c r="C18" s="48" t="str">
        <x:v>Source records present</x:v>
      </x:c>
      <x:c r="D18" s="93" t="n">
        <x:f>COUNTA('Sources'!C7:C19)</x:f>
        <x:v>13</x:v>
      </x:c>
      <x:c r="E18" s="93" t="n">
        <x:v>13</x:v>
      </x:c>
      <x:c r="F18" s="48" t="str">
        <x:v>Exact count</x:v>
      </x:c>
      <x:c r="G18" s="48" t="str">
        <x:f>IF(D18=E18,"PASS","REVIEW")</x:f>
        <x:v>PASS</x:v>
      </x:c>
      <x:c r="H18" s="48" t="str">
        <x:v>Sources C7:C19</x:v>
      </x:c>
      <x:c r="I18" s="48" t="str">
        <x:v>Every initial source or assumption family has a record</x:v>
      </x:c>
    </x:row>
    <x:row r="19" ht="15" hidden="0" customHeight="1">
      <x:c r="C19" s="48"/>
      <x:c r="D19" s="48"/>
      <x:c r="E19" s="48"/>
      <x:c r="F19" s="48"/>
      <x:c r="G19" s="48"/>
      <x:c r="H19" s="48"/>
      <x:c r="I19" s="48"/>
    </x:row>
    <x:row r="20" ht="15" hidden="0" customHeight="1">
      <x:c r="C20" s="48"/>
      <x:c r="D20" s="48"/>
      <x:c r="E20" s="48"/>
      <x:c r="F20" s="48"/>
      <x:c r="G20" s="48"/>
      <x:c r="H20" s="48"/>
      <x:c r="I20" s="48"/>
    </x:row>
    <x:row r="21" ht="15" hidden="0" customHeight="1">
      <x:c r="C21" s="48" t="str">
        <x:v>Overall model status</x:v>
      </x:c>
      <x:c r="D21" s="48"/>
      <x:c r="E21" s="48"/>
      <x:c r="F21" s="48"/>
      <x:c r="G21" s="48"/>
      <x:c r="H21" s="48"/>
      <x:c r="I21" s="48"/>
    </x:row>
    <x:row r="22" ht="15" hidden="0" customHeight="1">
      <x:c r="C22" s="72" t="str">
        <x:v>Status</x:v>
      </x:c>
      <x:c r="D22" s="72" t="str">
        <x:f>IF(COUNTIF(G7:G18,"REVIEW")=0,"PASS","REVIEW")</x:f>
        <x:v>REVIEW</x:v>
      </x:c>
      <x:c r="E22" s="72"/>
      <x:c r="F22" s="72"/>
      <x:c r="G22" s="72"/>
      <x:c r="H22" s="48"/>
      <x:c r="I22" s="48"/>
    </x:row>
  </x:sheetData>
  <x:conditionalFormatting sqref="G7:G18">
    <x:cfRule type="containsText" dxfId="0" priority="1" operator="containsText" text="PASS"/>
    <x:cfRule type="containsText" dxfId="1" priority="2" operator="containsText" text="REVIEW"/>
  </x:conditionalFormatting>
  <x:conditionalFormatting sqref="D22:D22">
    <x:cfRule type="containsText" dxfId="2" priority="3" operator="containsText" text="PASS"/>
    <x:cfRule type="containsText" dxfId="3" priority="4" operator="containsText" text="REVIEW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24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70" hidden="0" customWidth="1"/>
    <x:col min="10" max="10" width="50" hidden="0" customWidth="1"/>
    <x:col min="11" max="11" width="16" hidden="0" customWidth="1"/>
  </x:cols>
  <x:sheetData>
    <x:row r="1" ht="15" hidden="0" customHeight="1">
      <x:c r="C1" s="8"/>
      <x:c r="D1" s="8"/>
      <x:c r="E1" s="8"/>
      <x:c r="F1" s="8"/>
      <x:c r="G1" s="8"/>
      <x:c r="H1" s="8"/>
      <x:c r="I1" s="8"/>
      <x:c r="J1" s="8"/>
      <x:c r="K1" s="8"/>
    </x:row>
    <x:row r="2" ht="18" hidden="0" customHeight="1">
      <x:c r="C2" s="65" t="str">
        <x:v>Sources</x:v>
      </x:c>
      <x:c r="D2" s="10"/>
      <x:c r="E2" s="10"/>
      <x:c r="F2" s="10"/>
      <x:c r="G2" s="10"/>
      <x:c r="H2" s="10"/>
      <x:c r="I2" s="10"/>
      <x:c r="J2" s="10"/>
      <x:c r="K2" s="10"/>
    </x:row>
    <x:row r="3" ht="15" hidden="0" customHeight="1">
      <x:c r="C3" s="66" t="str">
        <x:v>Source-backed inputs and explicitly labeled design-study assumptions</x:v>
      </x:c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C4" s="8"/>
      <x:c r="D4" s="8"/>
      <x:c r="E4" s="8"/>
      <x:c r="F4" s="8"/>
      <x:c r="G4" s="8"/>
      <x:c r="H4" s="8"/>
      <x:c r="I4" s="8"/>
      <x:c r="J4" s="8"/>
      <x:c r="K4" s="8"/>
    </x:row>
    <x:row r="5" ht="15" hidden="0" customHeight="1">
      <x:c r="C5" s="8"/>
      <x:c r="D5" s="8"/>
      <x:c r="E5" s="8"/>
      <x:c r="F5" s="8"/>
      <x:c r="G5" s="8"/>
      <x:c r="H5" s="8"/>
      <x:c r="I5" s="8"/>
      <x:c r="J5" s="8"/>
      <x:c r="K5" s="8"/>
    </x:row>
    <x:row r="6" ht="24" hidden="0" customHeight="1">
      <x:c r="C6" s="29" t="str">
        <x:v>Item</x:v>
      </x:c>
      <x:c r="D6" s="30" t="str">
        <x:v>Value</x:v>
      </x:c>
      <x:c r="E6" s="30" t="str">
        <x:v>Units</x:v>
      </x:c>
      <x:c r="F6" s="30" t="str">
        <x:v>Period/as-of</x:v>
      </x:c>
      <x:c r="G6" s="30" t="str">
        <x:v>Source type</x:v>
      </x:c>
      <x:c r="H6" s="30" t="str">
        <x:v>Source name</x:v>
      </x:c>
      <x:c r="I6" s="30" t="str">
        <x:v>Reference / URL</x:v>
      </x:c>
      <x:c r="J6" s="30" t="str">
        <x:v>Notes</x:v>
      </x:c>
      <x:c r="K6" s="31" t="str">
        <x:v>Accessed / model date</x:v>
      </x:c>
    </x:row>
    <x:row r="7" ht="24" hidden="0" customHeight="1">
      <x:c r="C7" s="48" t="str">
        <x:v>Emergency water service</x:v>
      </x:c>
      <x:c r="D7" s="48" t="str">
        <x:v>15</x:v>
      </x:c>
      <x:c r="E7" s="48" t="str">
        <x:v>L/person-day</x:v>
      </x:c>
      <x:c r="F7" s="48" t="str">
        <x:v>Emergency/stabilized planning input</x:v>
      </x:c>
      <x:c r="G7" s="48" t="str">
        <x:v>Official technical guidance</x:v>
      </x:c>
      <x:c r="H7" s="48" t="str">
        <x:v>WHO emergency water technical note</x:v>
      </x:c>
      <x:c r="I7" s="63" t="str">
        <x:v>https://www.who.int/docs/default-source/wash-documents/wash-in-emergencies/technical-notes-on-wash-in-emergencies/who-tn-09-how-much-water-is-needed.pdf</x:v>
      </x:c>
      <x:c r="J7" s="48" t="str">
        <x:v>Supports water service-level range; not a U.S. regulatory standard</x:v>
      </x:c>
      <x:c r="K7" s="48" t="str">
        <x:v>2026-09-04</x:v>
      </x:c>
    </x:row>
    <x:row r="8" ht="21.600000381469727" hidden="0" customHeight="1">
      <x:c r="C8" s="48" t="str">
        <x:v>Seawater reverse osmosis energy</x:v>
      </x:c>
      <x:c r="D8" s="48" t="str">
        <x:v>3.0–4.7</x:v>
      </x:c>
      <x:c r="E8" s="48" t="str">
        <x:v>kWh/m³</x:v>
      </x:c>
      <x:c r="F8" s="48" t="str">
        <x:v>Technology range</x:v>
      </x:c>
      <x:c r="G8" s="48" t="str">
        <x:v>Official technical report</x:v>
      </x:c>
      <x:c r="H8" s="48" t="str">
        <x:v>U.S. Department of Energy</x:v>
      </x:c>
      <x:c r="I8" s="63" t="str">
        <x:v>https://www.energy.gov/sites/prod/files/2016/05/f32/Capturing%20the%20Benefits%20of%20Integrated%20Resource%20Management%20for%20Water%20%26%20Electricity%20Utilities%20and%20their%20Partners.pdf</x:v>
      </x:c>
      <x:c r="J8" s="48" t="str">
        <x:v>Desalination only; excludes full delivered-water chain</x:v>
      </x:c>
      <x:c r="K8" s="48" t="str">
        <x:v>2026-09-04</x:v>
      </x:c>
    </x:row>
    <x:row r="9" ht="15" hidden="0" customHeight="1">
      <x:c r="C9" s="48" t="str">
        <x:v>Floating desalination capacity</x:v>
      </x:c>
      <x:c r="D9" s="48" t="str">
        <x:v>20,000–250,000</x:v>
      </x:c>
      <x:c r="E9" s="48" t="str">
        <x:v>m³/day</x:v>
      </x:c>
      <x:c r="F9" s="48" t="str">
        <x:v>Concept precedent</x:v>
      </x:c>
      <x:c r="G9" s="48" t="str">
        <x:v>Intergovernmental technical report</x:v>
      </x:c>
      <x:c r="H9" s="48" t="str">
        <x:v>International Atomic Energy Agency</x:v>
      </x:c>
      <x:c r="I9" s="63" t="str">
        <x:v>https://www-pub.iaea.org/MTCD/Publications/PDF/te_0923_scr.pdf</x:v>
      </x:c>
      <x:c r="J9" s="48" t="str">
        <x:v>Physical plausibility only</x:v>
      </x:c>
      <x:c r="K9" s="48" t="str">
        <x:v>2026-09-04</x:v>
      </x:c>
    </x:row>
    <x:row r="10" ht="15" hidden="0" customHeight="1">
      <x:c r="C10" s="48" t="str">
        <x:v>Maritime nuclear licensing</x:v>
      </x:c>
      <x:c r="D10" s="48" t="str">
        <x:v>Existing reactor frameworks</x:v>
      </x:c>
      <x:c r="E10" s="48" t="str">
        <x:v>text</x:v>
      </x:c>
      <x:c r="F10" s="48" t="str">
        <x:v>Current regulatory context</x:v>
      </x:c>
      <x:c r="G10" s="48" t="str">
        <x:v>Federal regulator</x:v>
      </x:c>
      <x:c r="H10" s="48" t="str">
        <x:v>U.S. Nuclear Regulatory Commission</x:v>
      </x:c>
      <x:c r="I10" s="63" t="str">
        <x:v>https://www.nrc.gov/reactors/new-reactors/advanced/modernizing/maritime-nuclear-apps</x:v>
      </x:c>
      <x:c r="J10" s="48" t="str">
        <x:v>Does not establish approval or cost for N-WEP</x:v>
      </x:c>
      <x:c r="K10" s="48" t="str">
        <x:v>2026-09-04</x:v>
      </x:c>
    </x:row>
    <x:row r="11" ht="24" hidden="0" customHeight="1">
      <x:c r="C11" s="48" t="str">
        <x:v>Current fire-aircraft capacity classes</x:v>
      </x:c>
      <x:c r="D11" s="48" t="str">
        <x:v>800–9,400</x:v>
      </x:c>
      <x:c r="E11" s="48" t="str">
        <x:v>gallons</x:v>
      </x:c>
      <x:c r="F11" s="48" t="str">
        <x:v>Current U.S. fleet reference</x:v>
      </x:c>
      <x:c r="G11" s="48" t="str">
        <x:v>Federal operational source</x:v>
      </x:c>
      <x:c r="H11" s="48" t="str">
        <x:v>National Interagency Fire Center</x:v>
      </x:c>
      <x:c r="I11" s="63" t="str">
        <x:v>https://www.nifc.gov/resources/aircraft/airtankers</x:v>
      </x:c>
      <x:c r="J11" s="48" t="str">
        <x:v>Used to bound trade space, not future specification</x:v>
      </x:c>
      <x:c r="K11" s="48" t="str">
        <x:v>2026-09-04</x:v>
      </x:c>
    </x:row>
    <x:row r="12" ht="15" hidden="0" customHeight="1">
      <x:c r="C12" s="48" t="str">
        <x:v>Fire-aircraft effectiveness</x:v>
      </x:c>
      <x:c r="D12" s="48" t="str">
        <x:v>Objective dependent</x:v>
      </x:c>
      <x:c r="E12" s="48" t="str">
        <x:v>text</x:v>
      </x:c>
      <x:c r="F12" s="48" t="str">
        <x:v>Study finding</x:v>
      </x:c>
      <x:c r="G12" s="48" t="str">
        <x:v>Federal research report</x:v>
      </x:c>
      <x:c r="H12" s="48" t="str">
        <x:v>U.S. Forest Service AFUE</x:v>
      </x:c>
      <x:c r="I12" s="63" t="str">
        <x:v>https://www.fs.usda.gov/sites/default/files/2020-08/08192020_afue_final_report_0.pdf</x:v>
      </x:c>
      <x:c r="J12" s="48" t="str">
        <x:v>Supports delivered-objective-yield metric</x:v>
      </x:c>
      <x:c r="K12" s="48" t="str">
        <x:v>2026-09-04</x:v>
      </x:c>
    </x:row>
    <x:row r="13" ht="15" hidden="0" customHeight="1">
      <x:c r="C13" s="48" t="str">
        <x:v>Current hospital-ship nominal capacity</x:v>
      </x:c>
      <x:c r="D13" s="48" t="str">
        <x:v>1,000</x:v>
      </x:c>
      <x:c r="E13" s="48" t="str">
        <x:v>beds</x:v>
      </x:c>
      <x:c r="F13" s="48" t="str">
        <x:v>Current platform reference</x:v>
      </x:c>
      <x:c r="G13" s="48" t="str">
        <x:v>Federal fact file</x:v>
      </x:c>
      <x:c r="H13" s="48" t="str">
        <x:v>U.S. Navy</x:v>
      </x:c>
      <x:c r="I13" s="63" t="str">
        <x:v>https://www.navy.mil/Resources/Fact-Files/Display-FactFiles/Article/2232638/hospital-ships-t-ah/</x:v>
      </x:c>
      <x:c r="J13" s="48" t="str">
        <x:v>Nominal capacity rejected as future performance metric</x:v>
      </x:c>
      <x:c r="K13" s="48" t="str">
        <x:v>2026-09-04</x:v>
      </x:c>
    </x:row>
    <x:row r="14" ht="24" hidden="0" customHeight="1">
      <x:c r="C14" s="48" t="str">
        <x:v>Deployable network requirements</x:v>
      </x:c>
      <x:c r="D14" s="48" t="str">
        <x:v>Standalone, backhaul, power, interoperability</x:v>
      </x:c>
      <x:c r="E14" s="48" t="str">
        <x:v>text</x:v>
      </x:c>
      <x:c r="F14" s="48" t="str">
        <x:v>Technical requirements</x:v>
      </x:c>
      <x:c r="G14" s="48" t="str">
        <x:v>Federal research</x:v>
      </x:c>
      <x:c r="H14" s="48" t="str">
        <x:v>National Institute of Standards and Technology</x:v>
      </x:c>
      <x:c r="I14" s="63" t="str">
        <x:v>https://www.nist.gov/programs-projects/public-safety-700-mhz-broadband-deployable-systems</x:v>
      </x:c>
      <x:c r="J14" s="48" t="str">
        <x:v>Supports disconnected/federated architecture</x:v>
      </x:c>
      <x:c r="K14" s="48" t="str">
        <x:v>2026-09-04</x:v>
      </x:c>
    </x:row>
    <x:row r="15" ht="15" hidden="0" customHeight="1">
      <x:c r="C15" s="48" t="str">
        <x:v>Concurrency standard</x:v>
      </x:c>
      <x:c r="D15" s="48" t="str">
        <x:v>3C + 5M + 2G + 20R</x:v>
      </x:c>
      <x:c r="E15" s="48" t="str">
        <x:v>campaigns</x:v>
      </x:c>
      <x:c r="F15" s="48" t="str">
        <x:v>Design hypothesis</x:v>
      </x:c>
      <x:c r="G15" s="48" t="str">
        <x:v>Project assumption</x:v>
      </x:c>
      <x:c r="H15" s="48" t="str">
        <x:v>Disaster Force research Pass 2</x:v>
      </x:c>
      <x:c r="I15" s="63" t="str">
        <x:v>research/06-readiness-posture-and-generation.md</x:v>
      </x:c>
      <x:c r="J15" s="48" t="str">
        <x:v>Requires quantitative historical and exercise validation</x:v>
      </x:c>
      <x:c r="K15" s="48" t="str">
        <x:v>2026-09-04</x:v>
      </x:c>
    </x:row>
    <x:row r="16" ht="24" hidden="0" customHeight="1">
      <x:c r="C16" s="48" t="str">
        <x:v>Capital envelope</x:v>
      </x:c>
      <x:c r="D16" s="48" t="str">
        <x:v>1,000</x:v>
      </x:c>
      <x:c r="E16" s="48" t="str">
        <x:v>2026 USD billions / 25 years</x:v>
      </x:c>
      <x:c r="F16" s="48" t="str">
        <x:v>Reference case</x:v>
      </x:c>
      <x:c r="G16" s="48" t="str">
        <x:v>User premise / design assumption</x:v>
      </x:c>
      <x:c r="H16" s="48" t="str">
        <x:v>Disaster Force project premise</x:v>
      </x:c>
      <x:c r="I16" s="63" t="str">
        <x:v>research/00-program.md</x:v>
      </x:c>
      <x:c r="J16" s="48" t="str">
        <x:v>Capital, R&amp;D, bases, industry and strategic stocks; operating cost separate</x:v>
      </x:c>
      <x:c r="K16" s="48" t="str">
        <x:v>2026-09-04</x:v>
      </x:c>
    </x:row>
    <x:row r="17" ht="24" hidden="0" customHeight="1">
      <x:c r="C17" s="48" t="str">
        <x:v>Program unit costs</x:v>
      </x:c>
      <x:c r="D17" s="48" t="str">
        <x:v>Varies</x:v>
      </x:c>
      <x:c r="E17" s="48" t="str">
        <x:v>2026 USD millions</x:v>
      </x:c>
      <x:c r="F17" s="48" t="str">
        <x:v>Concept-study assumptions</x:v>
      </x:c>
      <x:c r="G17" s="48" t="str">
        <x:v>Project assumption</x:v>
      </x:c>
      <x:c r="H17" s="48" t="str">
        <x:v>Portfolio sheet</x:v>
      </x:c>
      <x:c r="I17" s="63" t="str">
        <x:v>Portfolio!H7:H40</x:v>
      </x:c>
      <x:c r="J17" s="48" t="str">
        <x:v>Not bids, independent cost estimates, or appropriations</x:v>
      </x:c>
      <x:c r="K17" s="48" t="str">
        <x:v>2026-09-04</x:v>
      </x:c>
    </x:row>
    <x:row r="18" ht="15" hidden="0" customHeight="1">
      <x:c r="C18" s="48" t="str">
        <x:v>Workforce and personnel cost</x:v>
      </x:c>
      <x:c r="D18" s="48" t="str">
        <x:v>Varies</x:v>
      </x:c>
      <x:c r="E18" s="48" t="str">
        <x:v>FTE and $K/FTE</x:v>
      </x:c>
      <x:c r="F18" s="48" t="str">
        <x:v>Mature-force assumptions</x:v>
      </x:c>
      <x:c r="G18" s="48" t="str">
        <x:v>Project assumption</x:v>
      </x:c>
      <x:c r="H18" s="48" t="str">
        <x:v>Workforce sheet</x:v>
      </x:c>
      <x:c r="I18" s="63" t="str">
        <x:v>Workforce!D7:I13</x:v>
      </x:c>
      <x:c r="J18" s="48" t="str">
        <x:v>Not current federal workforce estimates</x:v>
      </x:c>
      <x:c r="K18" s="48" t="str">
        <x:v>2026-09-04</x:v>
      </x:c>
    </x:row>
    <x:row r="19" ht="24" hidden="0" customHeight="1">
      <x:c r="C19" s="48" t="str">
        <x:v>Benefits model</x:v>
      </x:c>
      <x:c r="D19" s="48" t="str">
        <x:v>Varies</x:v>
      </x:c>
      <x:c r="E19" s="48" t="str">
        <x:v>probability, $B, share, effectiveness</x:v>
      </x:c>
      <x:c r="F19" s="48" t="str">
        <x:v>Scenario assumptions</x:v>
      </x:c>
      <x:c r="G19" s="48" t="str">
        <x:v>Project assumption</x:v>
      </x:c>
      <x:c r="H19" s="48" t="str">
        <x:v>Benefits sheet</x:v>
      </x:c>
      <x:c r="I19" s="63" t="str">
        <x:v>Benefits!D7:G14</x:v>
      </x:c>
      <x:c r="J19" s="48" t="str">
        <x:v>Not official EAL, forecast, or causal estimate</x:v>
      </x:c>
      <x:c r="K19" s="48" t="str">
        <x:v>2026-09-04</x:v>
      </x:c>
    </x:row>
    <x:row r="20" ht="15" hidden="0" customHeight="1"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 ht="15" hidden="0" customHeight="1"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 ht="15" hidden="0" customHeight="1">
      <x:c r="C22" s="88" t="str">
        <x:v>Version history</x:v>
      </x:c>
      <x:c r="D22" s="74"/>
      <x:c r="E22" s="74"/>
      <x:c r="F22" s="74"/>
      <x:c r="G22" s="74"/>
      <x:c r="H22" s="74"/>
      <x:c r="I22" s="74"/>
      <x:c r="J22" s="74"/>
      <x:c r="K22" s="75"/>
    </x:row>
    <x:row r="23" ht="15" hidden="0" customHeight="1">
      <x:c r="C23" s="29" t="str">
        <x:v>Version</x:v>
      </x:c>
      <x:c r="D23" s="30" t="str">
        <x:v>Date</x:v>
      </x:c>
      <x:c r="E23" s="30" t="str">
        <x:v>Change</x:v>
      </x:c>
      <x:c r="F23" s="30" t="str">
        <x:v>Model status</x:v>
      </x:c>
      <x:c r="G23" s="31" t="str">
        <x:v>Author</x:v>
      </x:c>
      <x:c r="H23" s="48"/>
      <x:c r="I23" s="48"/>
      <x:c r="J23" s="48"/>
      <x:c r="K23" s="48"/>
    </x:row>
    <x:row r="24" ht="48" hidden="0" customHeight="1">
      <x:c r="C24" s="48" t="str">
        <x:v>0.1</x:v>
      </x:c>
      <x:c r="D24" s="48" t="str">
        <x:v>2026-09-04</x:v>
      </x:c>
      <x:c r="E24" s="48" t="str">
        <x:v>Initial 25-year demand, force, cost, workforce, industrial and benefits model</x:v>
      </x:c>
      <x:c r="F24" s="48" t="str">
        <x:v>Research assumptions; not an acquisition estimate</x:v>
      </x:c>
      <x:c r="G24" s="48" t="str">
        <x:v>Disaster Force project</x:v>
      </x:c>
      <x:c r="H24" s="48"/>
      <x:c r="I24" s="48"/>
      <x:c r="J24" s="48"/>
      <x:c r="K24" s="48"/>
    </x:row>
    <x:row r="25" ht="15" hidden="0" customHeight="1"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15" hidden="0" customHeight="1">
      <x:c r="C26" s="8"/>
      <x:c r="D26" s="8"/>
      <x:c r="E26" s="8"/>
      <x:c r="F26" s="8"/>
      <x:c r="G26" s="8"/>
      <x:c r="H26" s="8"/>
      <x:c r="I26" s="8"/>
      <x:c r="J26" s="8"/>
      <x:c r="K26" s="8"/>
    </x:row>
    <x:row r="27" ht="15" hidden="0" customHeight="1">
      <x:c r="C27" s="8"/>
      <x:c r="D27" s="8"/>
      <x:c r="E27" s="8"/>
      <x:c r="F27" s="8"/>
      <x:c r="G27" s="8"/>
      <x:c r="H27" s="8"/>
      <x:c r="I27" s="8"/>
      <x:c r="J27" s="8"/>
      <x:c r="K27" s="8"/>
    </x:row>
    <x:row r="28" ht="15" hidden="0" customHeight="1">
      <x:c r="C28" s="8"/>
      <x:c r="D28" s="8"/>
      <x:c r="E28" s="8"/>
      <x:c r="F28" s="8"/>
      <x:c r="G28" s="8"/>
      <x:c r="H28" s="8"/>
      <x:c r="I28" s="8"/>
      <x:c r="J28" s="8"/>
      <x:c r="K28" s="8"/>
    </x:row>
    <x:row r="29" ht="15" hidden="0" customHeight="1">
      <x:c r="C29" s="8"/>
      <x:c r="D29" s="8"/>
      <x:c r="E29" s="8"/>
      <x:c r="F29" s="8"/>
      <x:c r="G29" s="8"/>
      <x:c r="H29" s="8"/>
      <x:c r="I29" s="8"/>
      <x:c r="J29" s="8"/>
      <x:c r="K29" s="8"/>
    </x:row>
    <x:row r="30" ht="15" hidden="0" customHeight="1">
      <x:c r="C30" s="8"/>
      <x:c r="D30" s="8"/>
      <x:c r="E30" s="8"/>
      <x:c r="F30" s="8"/>
      <x:c r="G30" s="8"/>
      <x:c r="H30" s="8"/>
      <x:c r="I30" s="8"/>
      <x:c r="J30" s="8"/>
      <x:c r="K30" s="8"/>
    </x:row>
    <x:row r="31" ht="15" hidden="0" customHeight="1">
      <x:c r="C31" s="8"/>
      <x:c r="D31" s="8"/>
      <x:c r="E31" s="8"/>
      <x:c r="F31" s="8"/>
      <x:c r="G31" s="8"/>
      <x:c r="H31" s="8"/>
      <x:c r="I31" s="8"/>
      <x:c r="J31" s="8"/>
      <x:c r="K31" s="8"/>
    </x:row>
    <x:row r="32" ht="15" hidden="0" customHeight="1">
      <x:c r="C32" s="8"/>
      <x:c r="D32" s="8"/>
      <x:c r="E32" s="8"/>
      <x:c r="F32" s="8"/>
      <x:c r="G32" s="8"/>
      <x:c r="H32" s="8"/>
      <x:c r="I32" s="8"/>
      <x:c r="J32" s="8"/>
      <x:c r="K32" s="8"/>
    </x:row>
    <x:row r="33" ht="15" hidden="0" customHeight="1">
      <x:c r="C33" s="8"/>
      <x:c r="D33" s="8"/>
      <x:c r="E33" s="8"/>
      <x:c r="F33" s="8"/>
      <x:c r="G33" s="8"/>
      <x:c r="H33" s="8"/>
      <x:c r="I33" s="8"/>
      <x:c r="J33" s="8"/>
      <x:c r="K33" s="8"/>
    </x:row>
    <x:row r="34" ht="15" hidden="0" customHeight="1">
      <x:c r="C34" s="8"/>
      <x:c r="D34" s="8"/>
      <x:c r="E34" s="8"/>
      <x:c r="F34" s="8"/>
      <x:c r="G34" s="8"/>
      <x:c r="H34" s="8"/>
      <x:c r="I34" s="8"/>
      <x:c r="J34" s="8"/>
      <x:c r="K34" s="8"/>
    </x:row>
    <x:row r="35" ht="15" hidden="0" customHeight="1">
      <x:c r="C35" s="8"/>
      <x:c r="D35" s="8"/>
      <x:c r="E35" s="8"/>
      <x:c r="F35" s="8"/>
      <x:c r="G35" s="8"/>
      <x:c r="H35" s="8"/>
      <x:c r="I35" s="8"/>
      <x:c r="J35" s="8"/>
      <x:c r="K35" s="8"/>
    </x:row>
  </x:sheetData>
  <x:pageMargins left="0.7" right="0.7" top="0.75" bottom="0.75" header="0.3" footer="0.3"/>
</x:worksheet>
</file>