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7f8fd8487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d303183fe1d24426"/>
    <x:sheet xmlns:r="http://schemas.openxmlformats.org/officeDocument/2006/relationships" name="Read Me" sheetId="2" r:id="Rc31afa5abb0d4c1a"/>
    <x:sheet xmlns:r="http://schemas.openxmlformats.org/officeDocument/2006/relationships" name="Preregistration" sheetId="3" r:id="R15babefec4e64c6a"/>
    <x:sheet xmlns:r="http://schemas.openxmlformats.org/officeDocument/2006/relationships" name="Research Questions" sheetId="4" r:id="R872ef6fb0af74ca8"/>
    <x:sheet xmlns:r="http://schemas.openxmlformats.org/officeDocument/2006/relationships" name="Hypotheses" sheetId="5" r:id="R5b91f6ead87d40fd"/>
    <x:sheet xmlns:r="http://schemas.openxmlformats.org/officeDocument/2006/relationships" name="Metro Contrast" sheetId="6" r:id="Rd91bd8ef97ea44bf"/>
    <x:sheet xmlns:r="http://schemas.openxmlformats.org/officeDocument/2006/relationships" name="Archetypes" sheetId="7" r:id="R3e2a25edf82a486c"/>
    <x:sheet xmlns:r="http://schemas.openxmlformats.org/officeDocument/2006/relationships" name="Selection Rules" sheetId="8" r:id="Rb6ede1bdd5ff4d6e"/>
    <x:sheet xmlns:r="http://schemas.openxmlformats.org/officeDocument/2006/relationships" name="Architecture Freeze" sheetId="9" r:id="R93f21d3778aa47c3"/>
    <x:sheet xmlns:r="http://schemas.openxmlformats.org/officeDocument/2006/relationships" name="Broad Worlds" sheetId="10" r:id="R75ee89fa3ae841f2"/>
    <x:sheet xmlns:r="http://schemas.openxmlformats.org/officeDocument/2006/relationships" name="Success Rules" sheetId="11" r:id="R3556fe2371d04379"/>
    <x:sheet xmlns:r="http://schemas.openxmlformats.org/officeDocument/2006/relationships" name="Failure Injections" sheetId="12" r:id="R5408ef15418a418f"/>
    <x:sheet xmlns:r="http://schemas.openxmlformats.org/officeDocument/2006/relationships" name="Test Ladder" sheetId="13" r:id="R5a2ca6e169014424"/>
    <x:sheet xmlns:r="http://schemas.openxmlformats.org/officeDocument/2006/relationships" name="Sample Size" sheetId="14" r:id="R98a793b9ff974b1e"/>
    <x:sheet xmlns:r="http://schemas.openxmlformats.org/officeDocument/2006/relationships" name="Reliability" sheetId="15" r:id="R51a43638e4d44177"/>
    <x:sheet xmlns:r="http://schemas.openxmlformats.org/officeDocument/2006/relationships" name="Measurements" sheetId="16" r:id="R878a4f4959ad4739"/>
    <x:sheet xmlns:r="http://schemas.openxmlformats.org/officeDocument/2006/relationships" name="Rights Safety" sheetId="17" r:id="Rc6dee61598d84b7a"/>
    <x:sheet xmlns:r="http://schemas.openxmlformats.org/officeDocument/2006/relationships" name="Data Control" sheetId="18" r:id="Rbf89d5a88ca1424b"/>
    <x:sheet xmlns:r="http://schemas.openxmlformats.org/officeDocument/2006/relationships" name="Cost Build" sheetId="19" r:id="R2afeb56f91074e26"/>
    <x:sheet xmlns:r="http://schemas.openxmlformats.org/officeDocument/2006/relationships" name="Annual Profile" sheetId="20" r:id="Rc38ffcf7c0114053"/>
    <x:sheet xmlns:r="http://schemas.openxmlformats.org/officeDocument/2006/relationships" name="Sources" sheetId="21" r:id="R1037b553e0cf479f"/>
    <x:sheet xmlns:r="http://schemas.openxmlformats.org/officeDocument/2006/relationships" name="Checks" sheetId="22" r:id="R688fc8b516824c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"/>
    <x:numFmt numFmtId="201" formatCode="&quot;$&quot;0.00"/>
    <x:numFmt numFmtId="202" formatCode="0.0%"/>
    <x:numFmt numFmtId="203" formatCode="0"/>
    <x:numFmt numFmtId="204" formatCode="#,##0.00"/>
    <x:numFmt numFmtId="205" formatCode="0.00"/>
    <x:numFmt numFmtId="206" formatCode="0.0"/>
    <x:numFmt numFmtId="207" formatCode="#,##0.0"/>
    <x:numFmt numFmtId="208" formatCode="#,##0.000"/>
  </x:numFmts>
  <x:fonts count="9">
    <x:font>
      <x:sz val="11"/>
      <x:name val="Carlito"/>
    </x:font>
    <x:font>
      <x:sz val="10"/>
      <x:color rgb="FF25313A"/>
      <x:name val="Arial"/>
    </x:font>
    <x:font>
      <x:b/>
      <x:sz val="16"/>
      <x:color rgb="FF1D2A33"/>
      <x:name val="Arial"/>
    </x:font>
    <x:font>
      <x:i/>
      <x:sz val="9"/>
      <x:color rgb="FF60727D"/>
      <x:name val="Arial"/>
    </x:font>
    <x:font>
      <x:b/>
      <x:sz val="9"/>
      <x:color rgb="FFFFFFFF"/>
      <x:name val="Arial"/>
    </x:font>
    <x:font>
      <x:b/>
      <x:sz val="10"/>
      <x:color rgb="FF173E52"/>
      <x:name val="Arial"/>
    </x:font>
    <x:font>
      <x:sz val="11"/>
      <x:color rgb="FF0000FF"/>
      <x:name val="Arial"/>
    </x:font>
    <x:font>
      <x:b/>
      <x:sz val="11"/>
      <x:color rgb="FF25313A"/>
      <x:name val="Arial"/>
    </x:font>
    <x:font>
      <x:b/>
      <x:sz val="10"/>
      <x:color rgb="FF25313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4F7F9"/>
      </x:patternFill>
    </x:fill>
    <x:fill>
      <x:patternFill patternType="solid">
        <x:fgColor rgb="FF173E52"/>
      </x:patternFill>
    </x:fill>
    <x:fill>
      <x:patternFill patternType="solid">
        <x:fgColor rgb="FFE8F1F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7">
    <x:border/>
    <x:border>
      <x:bottom style="thin">
        <x:color rgb="FF8099A6"/>
      </x:bottom>
    </x:border>
    <x:border>
      <x:right style="thin">
        <x:color rgb="FFD7E2E8"/>
      </x:right>
    </x:border>
    <x:border>
      <x:left style="thin">
        <x:color rgb="FFD7E2E8"/>
      </x:left>
      <x:right style="thin">
        <x:color rgb="FFD7E2E8"/>
      </x:right>
    </x:border>
    <x:border>
      <x:left style="thin">
        <x:color rgb="FFD7E2E8"/>
      </x:left>
    </x:border>
    <x:border>
      <x:bottom style="thin">
        <x:color rgb="FFC9D5DB"/>
      </x:bottom>
    </x:border>
    <x:border>
      <x:top style="double">
        <x:color rgb="FF173E52"/>
      </x:top>
    </x:border>
  </x:borders>
  <x:cellStyleXfs count="1">
    <x:xf numFmtId="0" fontId="0" fillId="0" borderId="0"/>
  </x:cellStyleXfs>
  <x:cellXfs count="152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2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2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200" fontId="1" fillId="2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1" fontId="1" fillId="2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horizontal="center" vertical="top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5" xfId="0" applyNumberFormat="1" applyFont="1" applyFill="1" applyBorder="1"/>
    <x:xf numFmtId="0" fontId="1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5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202" fontId="6" fillId="5" borderId="0" xfId="0" applyNumberFormat="1" applyFont="1" applyFill="1" applyBorder="1"/>
    <x:xf numFmtId="200" fontId="6" fillId="5" borderId="0" xfId="0" applyNumberFormat="1" applyFont="1" applyFill="1" applyBorder="1"/>
    <x:xf numFmtId="203" fontId="6" fillId="5" borderId="0" xfId="0" applyNumberFormat="1" applyFont="1" applyFill="1" applyBorder="1"/>
    <x:xf numFmtId="0" fontId="1" fillId="5" borderId="0" xfId="0" applyNumberFormat="1" applyFont="1" applyFill="1" applyBorder="1"/>
    <x:xf numFmtId="202" fontId="1" fillId="5" borderId="0" xfId="0" applyNumberFormat="1" applyFont="1" applyFill="1" applyBorder="1"/>
    <x:xf numFmtId="200" fontId="1" fillId="5" borderId="0" xfId="0" applyNumberFormat="1" applyFont="1" applyFill="1" applyBorder="1"/>
    <x:xf numFmtId="203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top"/>
    </x:xf>
    <x:xf numFmtId="202" fontId="1" fillId="5" borderId="0" xfId="0" applyNumberFormat="1" applyFont="1" applyFill="1" applyBorder="1" applyAlignment="1">
      <x:alignment vertical="top"/>
    </x:xf>
    <x:xf numFmtId="200" fontId="1" fillId="5" borderId="0" xfId="0" applyNumberFormat="1" applyFont="1" applyFill="1" applyBorder="1" applyAlignment="1">
      <x:alignment vertical="top"/>
    </x:xf>
    <x:xf numFmtId="203" fontId="1" fillId="5" borderId="0" xfId="0" applyNumberFormat="1" applyFont="1" applyFill="1" applyBorder="1" applyAlignment="1">
      <x:alignment vertical="top"/>
    </x:xf>
    <x:xf numFmtId="203" fontId="0" fillId="2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4" fontId="0" fillId="2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1" fillId="2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 applyAlignment="1">
      <x:alignment wrapText="1"/>
    </x:xf>
    <x:xf numFmtId="204" fontId="1" fillId="2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wrapText="1"/>
    </x:xf>
    <x:xf numFmtId="205" fontId="6" fillId="5" borderId="0" xfId="0" applyNumberFormat="1" applyFont="1" applyFill="1" applyBorder="1" applyAlignment="1">
      <x:alignment wrapText="1"/>
    </x:xf>
    <x:xf numFmtId="205" fontId="1" fillId="5" borderId="0" xfId="0" applyNumberFormat="1" applyFont="1" applyFill="1" applyBorder="1" applyAlignment="1">
      <x:alignment wrapText="1"/>
    </x:xf>
    <x:xf numFmtId="205" fontId="1" fillId="5" borderId="0" xfId="0" applyNumberFormat="1" applyFont="1" applyFill="1" applyBorder="1" applyAlignment="1">
      <x:alignment vertical="top" wrapText="1"/>
    </x:xf>
    <x:xf numFmtId="202" fontId="0" fillId="2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206" fontId="1" fillId="0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6" fontId="1" fillId="0" borderId="0" xfId="0" applyNumberFormat="1" applyFont="1" applyFill="1" applyBorder="1" applyAlignment="1">
      <x:alignment vertical="top" wrapText="1"/>
    </x:xf>
    <x:xf numFmtId="200" fontId="0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205" fontId="6" fillId="2" borderId="0" xfId="0" applyNumberFormat="1" applyFont="1" applyFill="1" applyBorder="1" applyAlignment="1">
      <x:alignment wrapText="1"/>
    </x:xf>
    <x:xf numFmtId="202" fontId="6" fillId="2" borderId="0" xfId="0" applyNumberFormat="1" applyFont="1" applyFill="1" applyBorder="1" applyAlignment="1">
      <x:alignment wrapText="1"/>
    </x:xf>
    <x:xf numFmtId="202" fontId="6" fillId="5" borderId="0" xfId="0" applyNumberFormat="1" applyFont="1" applyFill="1" applyBorder="1" applyAlignment="1">
      <x:alignment wrapText="1"/>
    </x:xf>
    <x:xf numFmtId="207" fontId="6" fillId="2" borderId="0" xfId="0" applyNumberFormat="1" applyFont="1" applyFill="1" applyBorder="1" applyAlignment="1">
      <x:alignment wrapText="1"/>
    </x:xf>
    <x:xf numFmtId="207" fontId="0" fillId="2" borderId="0" xfId="0" applyNumberFormat="1" applyFont="1" applyFill="1" applyBorder="1" applyAlignment="1">
      <x:alignment wrapText="1"/>
    </x:xf>
    <x:xf numFmtId="207" fontId="6" fillId="5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205" fontId="1" fillId="2" borderId="0" xfId="0" applyNumberFormat="1" applyFont="1" applyFill="1" applyBorder="1" applyAlignment="1">
      <x:alignment wrapText="1"/>
    </x:xf>
    <x:xf numFmtId="207" fontId="1" fillId="2" borderId="0" xfId="0" applyNumberFormat="1" applyFont="1" applyFill="1" applyBorder="1" applyAlignment="1">
      <x:alignment wrapText="1"/>
    </x:xf>
    <x:xf numFmtId="202" fontId="1" fillId="5" borderId="0" xfId="0" applyNumberFormat="1" applyFont="1" applyFill="1" applyBorder="1" applyAlignment="1">
      <x:alignment wrapText="1"/>
    </x:xf>
    <x:xf numFmtId="207" fontId="1" fillId="5" borderId="0" xfId="0" applyNumberFormat="1" applyFont="1" applyFill="1" applyBorder="1" applyAlignment="1">
      <x:alignment wrapText="1"/>
    </x:xf>
    <x:xf numFmtId="207" fontId="1" fillId="0" borderId="0" xfId="0" applyNumberFormat="1" applyFont="1" applyFill="1" applyBorder="1" applyAlignment="1">
      <x:alignment wrapText="1"/>
    </x:xf>
    <x:xf numFmtId="205" fontId="1" fillId="2" borderId="0" xfId="0" applyNumberFormat="1" applyFont="1" applyFill="1" applyBorder="1" applyAlignment="1">
      <x:alignment vertical="top" wrapText="1"/>
    </x:xf>
    <x:xf numFmtId="207" fontId="1" fillId="2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vertical="top" wrapText="1"/>
    </x:xf>
    <x:xf numFmtId="207" fontId="1" fillId="5" borderId="0" xfId="0" applyNumberFormat="1" applyFont="1" applyFill="1" applyBorder="1" applyAlignment="1">
      <x:alignment vertical="top" wrapText="1"/>
    </x:xf>
    <x:xf numFmtId="207" fontId="1" fillId="0" borderId="0" xfId="0" applyNumberFormat="1" applyFont="1" applyFill="1" applyBorder="1" applyAlignment="1">
      <x:alignment vertical="top" wrapText="1"/>
    </x:xf>
    <x:xf numFmtId="202" fontId="6" fillId="2" borderId="0" xfId="0" applyNumberFormat="1" applyFont="1" applyFill="1" applyBorder="1"/>
    <x:xf numFmtId="203" fontId="0" fillId="2" borderId="0" xfId="0" applyNumberFormat="1" applyFont="1" applyFill="1" applyBorder="1"/>
    <x:xf numFmtId="203" fontId="0" fillId="0" borderId="0" xfId="0" applyNumberFormat="1" applyFont="1" applyFill="1" applyBorder="1"/>
    <x:xf numFmtId="202" fontId="0" fillId="2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203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vertical="top"/>
    </x:xf>
    <x:xf numFmtId="203" fontId="1" fillId="2" borderId="0" xfId="0" applyNumberFormat="1" applyFont="1" applyFill="1" applyBorder="1" applyAlignment="1">
      <x:alignment vertical="top"/>
    </x:xf>
    <x:xf numFmtId="203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0" fontId="1" fillId="6" borderId="0" xfId="0" applyNumberFormat="1" applyFont="1" applyFill="1" applyBorder="1" applyAlignment="1">
      <x:alignment vertical="top" wrapText="1"/>
    </x:xf>
    <x:xf numFmtId="201" fontId="6" fillId="2" borderId="0" xfId="0" applyNumberFormat="1" applyFont="1" applyFill="1" applyBorder="1" applyAlignment="1">
      <x:alignment wrapText="1"/>
    </x:xf>
    <x:xf numFmtId="201" fontId="6" fillId="5" borderId="0" xfId="0" applyNumberFormat="1" applyFont="1" applyFill="1" applyBorder="1" applyAlignment="1">
      <x:alignment wrapText="1"/>
    </x:xf>
    <x:xf numFmtId="203" fontId="6" fillId="2" borderId="0" xfId="0" applyNumberFormat="1" applyFont="1" applyFill="1" applyBorder="1" applyAlignment="1">
      <x:alignment wrapText="1"/>
    </x:xf>
    <x:xf numFmtId="203" fontId="6" fillId="5" borderId="0" xfId="0" applyNumberFormat="1" applyFont="1" applyFill="1" applyBorder="1" applyAlignment="1">
      <x:alignment wrapText="1"/>
    </x:xf>
    <x:xf numFmtId="201" fontId="0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7" fillId="0" borderId="6" xfId="0" applyNumberFormat="1" applyFont="1" applyFill="1" applyBorder="1"/>
    <x:xf numFmtId="201" fontId="7" fillId="0" borderId="6" xfId="0" applyNumberFormat="1" applyFont="1" applyFill="1" applyBorder="1"/>
    <x:xf numFmtId="201" fontId="1" fillId="2" borderId="0" xfId="0" applyNumberFormat="1" applyFont="1" applyFill="1" applyBorder="1" applyAlignment="1">
      <x:alignment wrapText="1"/>
    </x:xf>
    <x:xf numFmtId="201" fontId="1" fillId="5" borderId="0" xfId="0" applyNumberFormat="1" applyFont="1" applyFill="1" applyBorder="1" applyAlignment="1">
      <x:alignment wrapText="1"/>
    </x:xf>
    <x:xf numFmtId="203" fontId="1" fillId="5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0" fontId="8" fillId="0" borderId="6" xfId="0" applyNumberFormat="1" applyFont="1" applyFill="1" applyBorder="1"/>
    <x:xf numFmtId="201" fontId="8" fillId="0" borderId="6" xfId="0" applyNumberFormat="1" applyFont="1" applyFill="1" applyBorder="1"/>
    <x:xf numFmtId="201" fontId="1" fillId="2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/>
    </x:xf>
    <x:xf numFmtId="201" fontId="8" fillId="0" borderId="6" xfId="0" applyNumberFormat="1" applyFont="1" applyFill="1" applyBorder="1" applyAlignment="1">
      <x:alignment vertical="top"/>
    </x:xf>
    <x:xf numFmtId="208" fontId="0" fillId="2" borderId="0" xfId="0" applyNumberFormat="1" applyFont="1" applyFill="1" applyBorder="1"/>
    <x:xf numFmtId="208" fontId="0" fillId="0" borderId="0" xfId="0" applyNumberFormat="1" applyFont="1" applyFill="1" applyBorder="1"/>
    <x:xf numFmtId="208" fontId="1" fillId="2" borderId="0" xfId="0" applyNumberFormat="1" applyFont="1" applyFill="1" applyBorder="1"/>
    <x:xf numFmtId="208" fontId="1" fillId="0" borderId="0" xfId="0" applyNumberFormat="1" applyFont="1" applyFill="1" applyBorder="1"/>
    <x:xf numFmtId="208" fontId="1" fillId="2" borderId="0" xfId="0" applyNumberFormat="1" applyFont="1" applyFill="1" applyBorder="1" applyAlignment="1">
      <x:alignment vertical="top"/>
    </x:xf>
    <x:xf numFmtId="208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f7636f1f334c6d" /><Relationship Type="http://schemas.openxmlformats.org/officeDocument/2006/relationships/theme" Target="/xl/theme/theme1.xml" Id="Rdb4ceed2d3d1479e" /><Relationship Type="http://schemas.openxmlformats.org/officeDocument/2006/relationships/sharedStrings" Target="/xl/sharedStrings.xml" Id="R07264bf46c7f474c" /><Relationship Type="http://schemas.openxmlformats.org/officeDocument/2006/relationships/worksheet" Target="/xl/worksheets/sheet1.xml" Id="Rd303183fe1d24426" /><Relationship Type="http://schemas.openxmlformats.org/officeDocument/2006/relationships/worksheet" Target="/xl/worksheets/sheet2.xml" Id="Rc31afa5abb0d4c1a" /><Relationship Type="http://schemas.openxmlformats.org/officeDocument/2006/relationships/worksheet" Target="/xl/worksheets/sheet3.xml" Id="R15babefec4e64c6a" /><Relationship Type="http://schemas.openxmlformats.org/officeDocument/2006/relationships/worksheet" Target="/xl/worksheets/sheet4.xml" Id="R872ef6fb0af74ca8" /><Relationship Type="http://schemas.openxmlformats.org/officeDocument/2006/relationships/worksheet" Target="/xl/worksheets/sheet5.xml" Id="R5b91f6ead87d40fd" /><Relationship Type="http://schemas.openxmlformats.org/officeDocument/2006/relationships/worksheet" Target="/xl/worksheets/sheet6.xml" Id="Rd91bd8ef97ea44bf" /><Relationship Type="http://schemas.openxmlformats.org/officeDocument/2006/relationships/worksheet" Target="/xl/worksheets/sheet7.xml" Id="R3e2a25edf82a486c" /><Relationship Type="http://schemas.openxmlformats.org/officeDocument/2006/relationships/worksheet" Target="/xl/worksheets/sheet8.xml" Id="Rb6ede1bdd5ff4d6e" /><Relationship Type="http://schemas.openxmlformats.org/officeDocument/2006/relationships/worksheet" Target="/xl/worksheets/sheet9.xml" Id="R93f21d3778aa47c3" /><Relationship Type="http://schemas.openxmlformats.org/officeDocument/2006/relationships/worksheet" Target="/xl/worksheets/sheet10.xml" Id="R75ee89fa3ae841f2" /><Relationship Type="http://schemas.openxmlformats.org/officeDocument/2006/relationships/worksheet" Target="/xl/worksheets/sheet11.xml" Id="R3556fe2371d04379" /><Relationship Type="http://schemas.openxmlformats.org/officeDocument/2006/relationships/worksheet" Target="/xl/worksheets/sheet12.xml" Id="R5408ef15418a418f" /><Relationship Type="http://schemas.openxmlformats.org/officeDocument/2006/relationships/worksheet" Target="/xl/worksheets/sheet13.xml" Id="R5a2ca6e169014424" /><Relationship Type="http://schemas.openxmlformats.org/officeDocument/2006/relationships/worksheet" Target="/xl/worksheets/sheet14.xml" Id="R98a793b9ff974b1e" /><Relationship Type="http://schemas.openxmlformats.org/officeDocument/2006/relationships/worksheet" Target="/xl/worksheets/sheet15.xml" Id="R51a43638e4d44177" /><Relationship Type="http://schemas.openxmlformats.org/officeDocument/2006/relationships/worksheet" Target="/xl/worksheets/sheet16.xml" Id="R878a4f4959ad4739" /><Relationship Type="http://schemas.openxmlformats.org/officeDocument/2006/relationships/worksheet" Target="/xl/worksheets/sheet17.xml" Id="Rc6dee61598d84b7a" /><Relationship Type="http://schemas.openxmlformats.org/officeDocument/2006/relationships/worksheet" Target="/xl/worksheets/sheet18.xml" Id="Rbf89d5a88ca1424b" /><Relationship Type="http://schemas.openxmlformats.org/officeDocument/2006/relationships/worksheet" Target="/xl/worksheets/sheet19.xml" Id="R2afeb56f91074e26" /><Relationship Type="http://schemas.openxmlformats.org/officeDocument/2006/relationships/worksheet" Target="/xl/worksheets/sheet20.xml" Id="Rc38ffcf7c0114053" /><Relationship Type="http://schemas.openxmlformats.org/officeDocument/2006/relationships/worksheet" Target="/xl/worksheets/sheet21.xml" Id="R1037b553e0cf479f" /><Relationship Type="http://schemas.openxmlformats.org/officeDocument/2006/relationships/worksheet" Target="/xl/worksheets/sheet22.xml" Id="R688fc8b516824c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88d54e23124bf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Annual capital and operations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Capital $B</c:v>
          </c:tx>
          <c:cat>
            <c:strRef>
              <c:f>'Annual Profile'!$A$6:$A$17</c:f>
              <c:strCache>
                <c:ptCount val="0"/>
              </c:strCache>
            </c:strRef>
          </c:cat>
          <c:val>
            <c:numRef>
              <c:f>'Annual Profile'!$B$6:$B$17</c:f>
              <c:numCache>
                <c:formatCode>"$"0.00</c:formatCode>
                <c:ptCount val="0"/>
              </c:numCache>
            </c:numRef>
          </c:val>
        </c:ser>
        <c:ser>
          <c:idx val="1"/>
          <c:order val="1"/>
          <c:tx>
            <c:v>Operations $B</c:v>
          </c:tx>
          <c:cat>
            <c:strRef>
              <c:f>'Annual Profile'!$A$6:$A$17</c:f>
              <c:strCache>
                <c:ptCount val="0"/>
              </c:strCache>
            </c:strRef>
          </c:cat>
          <c:val>
            <c:numRef>
              <c:f>'Annual Profile'!$C$6:$C$17</c:f>
              <c:numCache>
                <c:formatCode>"$"0.00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&quot;B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88d54e23124bf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1.xml" Id="Rea04a55349924c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67.77999877929688" hidden="0" customWidth="1"/>
    <x:col min="3" max="3" width="14.4399995803833" hidden="0" customWidth="1"/>
    <x:col min="4" max="4" width="18.889999389648438" hidden="0" customWidth="1"/>
    <x:col min="5" max="5" width="36.66999816894531" hidden="0" customWidth="1"/>
  </x:cols>
  <x:sheetData>
    <x:row r="1">
      <x:c r="A1" s="24" t="str">
        <x:v>Vertical-city replication and NCAC mission testing</x:v>
      </x:c>
    </x:row>
    <x:row r="2">
      <x:c r="A2" s="25" t="str">
        <x:v>Protocol DF-NYC-HB-PR38-v1. No campaign outcomes are present in this workbook.</x:v>
      </x:c>
    </x:row>
    <x:row r="3">
      <x:c r="A3" s="26"/>
      <x:c r="B3" s="26"/>
      <x:c r="C3" s="26"/>
      <x:c r="D3" s="26"/>
      <x:c r="E3" s="26"/>
    </x:row>
    <x:row r="4">
      <x:c r="A4" s="37" t="str">
        <x:v>Decision and boundary</x:v>
      </x:c>
      <x:c r="B4" s="37"/>
      <x:c r="C4" s="37"/>
      <x:c r="D4" s="37"/>
      <x:c r="E4" s="37"/>
    </x:row>
    <x:row r="5" ht="36" customHeight="1">
      <x:c r="A5" s="16" t="str">
        <x:v>Decision</x:v>
      </x:c>
      <x:c r="B5" s="16" t="str">
        <x:v>Execute the preregistered New York vertical heat-blackout replication and the staged NCAC full-mission test program. Freeze A2 and S3 before outcomes. Do not admit either architecture from this protocol.</x:v>
      </x:c>
      <x:c r="C5" s="17"/>
      <x:c r="D5" s="17"/>
      <x:c r="E5" s="17"/>
    </x:row>
    <x:row r="6" ht="36" customHeight="1">
      <x:c r="A6" s="18" t="str">
        <x:v>Replication object</x:v>
      </x:c>
      <x:c r="B6" s="18" t="str">
        <x:v>Twelve non-overlapping 32,000–38,000-demand-person catchments across three built-form archetypes, plus one sealed holdout per archetype.</x:v>
      </x:c>
      <x:c r="C6" s="17"/>
      <x:c r="D6" s="17"/>
      <x:c r="E6" s="17"/>
    </x:row>
    <x:row r="7" ht="36" customHeight="1">
      <x:c r="A7" s="16" t="str">
        <x:v>Primary contrast</x:v>
      </x:c>
      <x:c r="B7" s="16" t="str">
        <x:v>Fixed S3 versus fixed A2 under coupled heat, power, elevator, water-pump, communications, workforce, cooling-service, and street-operability stress.</x:v>
      </x:c>
      <x:c r="C7" s="17"/>
      <x:c r="D7" s="17"/>
      <x:c r="E7" s="17"/>
    </x:row>
    <x:row r="8" ht="36" customHeight="1">
      <x:c r="A8" s="18" t="str">
        <x:v>Evidence object</x:v>
      </x:c>
      <x:c r="B8" s="18" t="str">
        <x:v>Element trials, utility and occupied-district integration, twelve developmental missions, thirty zero-failure confirmatory missions for the selected frozen candidate, and metropolitan replication.</x:v>
      </x:c>
      <x:c r="C8" s="17"/>
      <x:c r="D8" s="17"/>
      <x:c r="E8" s="17"/>
    </x:row>
    <x:row r="9" ht="36" customHeight="1">
      <x:c r="A9" s="16" t="str">
        <x:v>Interpretation</x:v>
      </x:c>
      <x:c r="B9" s="16" t="str">
        <x:v>Broad worlds test a declared design space, not event probability. Mission counts are an evidence plan, not a reliability guarantee.</x:v>
      </x:c>
      <x:c r="C9" s="17"/>
      <x:c r="D9" s="17"/>
      <x:c r="E9" s="17"/>
    </x:row>
    <x:row r="10">
      <x:c r="A10" s="17"/>
      <x:c r="B10" s="17"/>
      <x:c r="C10" s="17"/>
      <x:c r="D10" s="17"/>
      <x:c r="E10" s="17"/>
    </x:row>
    <x:row r="11">
      <x:c r="A11" s="40" t="str">
        <x:v>Program scale</x:v>
      </x:c>
      <x:c r="B11" s="40"/>
      <x:c r="C11" s="40"/>
      <x:c r="D11" s="40"/>
      <x:c r="E11" s="40"/>
    </x:row>
    <x:row r="12">
      <x:c r="A12" s="32" t="str">
        <x:v>Metric</x:v>
      </x:c>
      <x:c r="B12" s="33" t="str">
        <x:v>Value</x:v>
      </x:c>
      <x:c r="C12" s="33" t="str">
        <x:v>Unit</x:v>
      </x:c>
      <x:c r="D12" s="33" t="str">
        <x:v>Source</x:v>
      </x:c>
      <x:c r="E12" s="34" t="str">
        <x:v>Meaning</x:v>
      </x:c>
    </x:row>
    <x:row r="13">
      <x:c r="A13" s="19" t="str">
        <x:v>Reference catchments</x:v>
      </x:c>
      <x:c r="B13" s="20" t="n">
        <x:f>'Preregistration'!B12</x:f>
        <x:v>12</x:v>
      </x:c>
      <x:c r="C13" s="19" t="str">
        <x:v>catchments</x:v>
      </x:c>
      <x:c r="D13" s="19" t="str">
        <x:v>protocol control</x:v>
      </x:c>
      <x:c r="E13" s="19" t="str">
        <x:v>four per archetype</x:v>
      </x:c>
    </x:row>
    <x:row r="14">
      <x:c r="A14" s="17" t="str">
        <x:v>Holdout catchments</x:v>
      </x:c>
      <x:c r="B14" s="21" t="n">
        <x:f>'Preregistration'!B13</x:f>
        <x:v>3</x:v>
      </x:c>
      <x:c r="C14" s="17" t="str">
        <x:v>catchments</x:v>
      </x:c>
      <x:c r="D14" s="17" t="str">
        <x:v>protocol control</x:v>
      </x:c>
      <x:c r="E14" s="17" t="str">
        <x:v>sealed until primary pipeline audit</x:v>
      </x:c>
    </x:row>
    <x:row r="15">
      <x:c r="A15" s="19" t="str">
        <x:v>Architecture-world rows</x:v>
      </x:c>
      <x:c r="B15" s="20" t="n">
        <x:f>'Checks'!C9</x:f>
        <x:v>24000</x:v>
      </x:c>
      <x:c r="C15" s="19" t="str">
        <x:v>rows</x:v>
      </x:c>
      <x:c r="D15" s="19" t="str">
        <x:v>paired design</x:v>
      </x:c>
      <x:c r="E15" s="19" t="str">
        <x:v>twelve × 1,000 × two</x:v>
      </x:c>
    </x:row>
    <x:row r="16">
      <x:c r="A16" s="17" t="str">
        <x:v>Element experimental units</x:v>
      </x:c>
      <x:c r="B16" s="21" t="n">
        <x:f>SUM('Sample Size'!N6:N10)</x:f>
        <x:v>888</x:v>
      </x:c>
      <x:c r="C16" s="17" t="str">
        <x:v>units</x:v>
      </x:c>
      <x:c r="D16" s="17" t="str">
        <x:v>power screen</x:v>
      </x:c>
      <x:c r="E16" s="17" t="str">
        <x:v>two-arm total before utility/district missions</x:v>
      </x:c>
    </x:row>
    <x:row r="17">
      <x:c r="A17" s="19" t="str">
        <x:v>Developmental missions</x:v>
      </x:c>
      <x:c r="B17" s="20" t="n">
        <x:v>12</x:v>
      </x:c>
      <x:c r="C17" s="19" t="str">
        <x:v>168-hour missions</x:v>
      </x:c>
      <x:c r="D17" s="19" t="str">
        <x:v>test ladder</x:v>
      </x:c>
      <x:c r="E17" s="19" t="str">
        <x:v>six per architecture; changes reset version</x:v>
      </x:c>
    </x:row>
    <x:row r="18">
      <x:c r="A18" s="17" t="str">
        <x:v>Confirmatory missions</x:v>
      </x:c>
      <x:c r="B18" s="21" t="n">
        <x:f>'Reliability'!D8</x:f>
        <x:v>30</x:v>
      </x:c>
      <x:c r="C18" s="17" t="str">
        <x:v>168-hour missions</x:v>
      </x:c>
      <x:c r="D18" s="17" t="str">
        <x:v>exact screen</x:v>
      </x:c>
      <x:c r="E18" s="17" t="str">
        <x:v>selected frozen candidate; zero failures</x:v>
      </x:c>
    </x:row>
    <x:row r="19">
      <x:c r="A19" s="19" t="str">
        <x:v>Direct capital</x:v>
      </x:c>
      <x:c r="B19" s="22" t="n">
        <x:f>'Cost Build'!D25</x:f>
        <x:v>46.2</x:v>
      </x:c>
      <x:c r="C19" s="19" t="str">
        <x:v>$B real 2026</x:v>
      </x:c>
      <x:c r="D19" s="19" t="str">
        <x:v>design-cost screen</x:v>
      </x:c>
      <x:c r="E19" s="19" t="str">
        <x:v>not an independent estimate</x:v>
      </x:c>
    </x:row>
    <x:row r="20">
      <x:c r="A20" s="17" t="str">
        <x:v>Direct operations</x:v>
      </x:c>
      <x:c r="B20" s="23" t="n">
        <x:f>'Cost Build'!D26</x:f>
        <x:v>42.9</x:v>
      </x:c>
      <x:c r="C20" s="17" t="str">
        <x:v>$B real 2026</x:v>
      </x:c>
      <x:c r="D20" s="17" t="str">
        <x:v>design-cost screen</x:v>
      </x:c>
      <x:c r="E20" s="17" t="str">
        <x:v>twelve-year test program</x:v>
      </x:c>
    </x:row>
    <x:row r="21">
      <x:c r="A21" s="19" t="str">
        <x:v>Authorized program screen</x:v>
      </x:c>
      <x:c r="B21" s="22" t="n">
        <x:f>'Cost Build'!D28</x:f>
        <x:v>115.82999999999998</x:v>
      </x:c>
      <x:c r="C21" s="19" t="str">
        <x:v>$B real 2026</x:v>
      </x:c>
      <x:c r="D21" s="19" t="str">
        <x:v>direct plus reserve</x:v>
      </x:c>
      <x:c r="E21" s="19" t="str">
        <x:v>not an acquisition baseline</x:v>
      </x:c>
    </x:row>
    <x:row r="22">
      <x:c r="A22" s="17" t="str">
        <x:v>Open evidence gates</x:v>
      </x:c>
      <x:c r="B22" s="17" t="n">
        <x:v>20</x:v>
      </x:c>
      <x:c r="C22" s="17" t="str">
        <x:v>gates</x:v>
      </x:c>
      <x:c r="D22" s="17" t="str">
        <x:v>Pass 37</x:v>
      </x:c>
      <x:c r="E22" s="17" t="str">
        <x:v>protocol addresses but does not close them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0" hidden="0" customWidth="1"/>
    <x:col min="3" max="3" width="36.66999816894531" hidden="0" customWidth="1"/>
    <x:col min="4" max="4" width="35.560001373291016" hidden="0" customWidth="1"/>
    <x:col min="5" max="5" width="12.779999732971191" hidden="0" customWidth="1"/>
  </x:cols>
  <x:sheetData>
    <x:row r="1">
      <x:c r="A1" s="24" t="str">
        <x:v>Workbook purpose and use</x:v>
      </x:c>
    </x:row>
    <x:row r="2">
      <x:c r="A2" s="25" t="str">
        <x:v>Reader order: Executive, Preregistration, Hypotheses, Selection Rules, Architecture Freeze, Test Ladder, Sample Size, Reliability, Cost Build, Checks.</x:v>
      </x:c>
    </x:row>
    <x:row r="3">
      <x:c r="A3" s="26"/>
      <x:c r="B3" s="26"/>
      <x:c r="C3" s="26"/>
      <x:c r="D3" s="26"/>
      <x:c r="E3" s="26"/>
    </x:row>
    <x:row r="5">
      <x:c r="A5" s="32" t="str">
        <x:v>Topic</x:v>
      </x:c>
      <x:c r="B5" s="33" t="str">
        <x:v>Rule</x:v>
      </x:c>
      <x:c r="C5" s="33" t="str">
        <x:v>Why it matters</x:v>
      </x:c>
      <x:c r="D5" s="33" t="str">
        <x:v>Change control</x:v>
      </x:c>
      <x:c r="E5" s="34" t="str">
        <x:v>Status</x:v>
      </x:c>
    </x:row>
    <x:row r="6" ht="42" customHeight="1">
      <x:c r="A6" s="16" t="str">
        <x:v>Purpose</x:v>
      </x:c>
      <x:c r="B6" s="16" t="str">
        <x:v>Freeze the second metropolitan campaign and the evidence ladder before observing architecture outcomes.</x:v>
      </x:c>
      <x:c r="C6" s="16" t="str">
        <x:v>Prevents a post-result design from counting as confirmation.</x:v>
      </x:c>
      <x:c r="D6" s="16" t="str">
        <x:v>Amendments require a new protocol version and public reason.</x:v>
      </x:c>
      <x:c r="E6" s="16" t="str">
        <x:v>CURRENT</x:v>
      </x:c>
    </x:row>
    <x:row r="7" ht="42" customHeight="1">
      <x:c r="A7" s="18" t="str">
        <x:v>Geography</x:v>
      </x:c>
      <x:c r="B7" s="18" t="str">
        <x:v>New York City is a vertical heat-blackout contrast to Harris coastal flooding.</x:v>
      </x:c>
      <x:c r="C7" s="18" t="str">
        <x:v>Changes hazard, built form, movement mode, utility dependencies, and exposure clock.</x:v>
      </x:c>
      <x:c r="D7" s="18" t="str">
        <x:v>Catchments selected only after source snapshots are hashed.</x:v>
      </x:c>
      <x:c r="E7" s="18" t="str">
        <x:v>NOT SELECTED</x:v>
      </x:c>
    </x:row>
    <x:row r="8" ht="42" customHeight="1">
      <x:c r="A8" s="16" t="str">
        <x:v>Architectures</x:v>
      </x:c>
      <x:c r="B8" s="16" t="str">
        <x:v>A2 and S3 are copied without tuning from Pass 37.</x:v>
      </x:c>
      <x:c r="C8" s="16" t="str">
        <x:v>Tests portability rather than another optimized rival.</x:v>
      </x:c>
      <x:c r="D8" s="16" t="str">
        <x:v>Any architecture change restarts confirmatory evidence.</x:v>
      </x:c>
      <x:c r="E8" s="16" t="str">
        <x:v>FROZEN</x:v>
      </x:c>
    </x:row>
    <x:row r="9" ht="42" customHeight="1">
      <x:c r="A9" s="18" t="str">
        <x:v>Broad worlds</x:v>
      </x:c>
      <x:c r="B9" s="18" t="str">
        <x:v>Paired Latin-hypercube design over twelve declared stress factors.</x:v>
      </x:c>
      <x:c r="C9" s="18" t="str">
        <x:v>Maps robustness inside an explicit design space.</x:v>
      </x:c>
      <x:c r="D9" s="18" t="str">
        <x:v>No probability interpretation or range tuning after outcomes.</x:v>
      </x:c>
      <x:c r="E9" s="18" t="str">
        <x:v>PLANNED</x:v>
      </x:c>
    </x:row>
    <x:row r="10" ht="42" customHeight="1">
      <x:c r="A10" s="16" t="str">
        <x:v>Experiment</x:v>
      </x:c>
      <x:c r="B10" s="16" t="str">
        <x:v>Experimental units are team-shifts, missions, route shifts, duty cycles, districts, and complete mission threads.</x:v>
      </x:c>
      <x:c r="C10" s="16" t="str">
        <x:v>Avoids treating thousands of people or records as independent replications.</x:v>
      </x:c>
      <x:c r="D10" s="16" t="str">
        <x:v>Exclusions and analysis are declared before tests.</x:v>
      </x:c>
      <x:c r="E10" s="16" t="str">
        <x:v>PLANNED</x:v>
      </x:c>
    </x:row>
    <x:row r="11" ht="42" customHeight="1">
      <x:c r="A11" s="18" t="str">
        <x:v>Human participation</x:v>
      </x:c>
      <x:c r="B11" s="18" t="str">
        <x:v>No essential service is withheld and no person is deliberately exposed to unsafe heat, power loss, inaccessible egress, or denied care.</x:v>
      </x:c>
      <x:c r="C11" s="18" t="str">
        <x:v>Destructive testing applies to systems and procedures, not people.</x:v>
      </x:c>
      <x:c r="D11" s="18" t="str">
        <x:v>Independent ethics, safety, disability, worker, and rights authorities control trials.</x:v>
      </x:c>
      <x:c r="E11" s="18" t="str">
        <x:v>REQUIRED</x:v>
      </x:c>
    </x:row>
    <x:row r="12" ht="42" customHeight="1">
      <x:c r="A12" s="16" t="str">
        <x:v>Reliability</x:v>
      </x:c>
      <x:c r="B12" s="16" t="str">
        <x:v>Thirty zero-failure missions screen a one-sided 95% lower bound above 90%.</x:v>
      </x:c>
      <x:c r="C12" s="16" t="str">
        <x:v>Eight or twelve demonstrations cannot substantiate a high-reliability claim.</x:v>
      </x:c>
      <x:c r="D12" s="16" t="str">
        <x:v>A failed mission or architecture change restarts or rejects the sequence.</x:v>
      </x:c>
      <x:c r="E12" s="16" t="str">
        <x:v>SCREEN ONLY</x:v>
      </x:c>
    </x:row>
    <x:row r="13" ht="42" customHeight="1">
      <x:c r="A13" s="18" t="str">
        <x:v>Cost</x:v>
      </x:c>
      <x:c r="B13" s="18" t="str">
        <x:v>$115.83B includes a 30% reserve across a twelve-year test program.</x:v>
      </x:c>
      <x:c r="C13" s="18" t="str">
        <x:v>Shows the institutional seriousness required to prove a force, not just build prototypes.</x:v>
      </x:c>
      <x:c r="D13" s="18" t="str">
        <x:v>Independent cost and schedule evidence remains open.</x:v>
      </x:c>
      <x:c r="E13" s="18" t="str">
        <x:v>DESIGN ASSUMPTION</x:v>
      </x:c>
    </x:row>
    <x:row r="14" ht="42" customHeight="1">
      <x:c r="A14" s="16" t="str">
        <x:v>Rendering</x:v>
      </x:c>
      <x:c r="B14" s="16" t="str">
        <x:v>No vehicle or formation imagery is authorized.</x:v>
      </x:c>
      <x:c r="C14" s="16" t="str">
        <x:v>The protocol creates evidence; it does not close physics or human-system gates.</x:v>
      </x:c>
      <x:c r="D14" s="16" t="str">
        <x:v>Rendering remains behind R3.</x:v>
      </x:c>
      <x:c r="E14" s="16" t="str">
        <x:v>BLOCKED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110000610351562" hidden="0" customWidth="1"/>
    <x:col min="2" max="2" width="19.440000534057617" hidden="0" customWidth="1"/>
    <x:col min="3" max="3" width="16.110000610351562" hidden="0" customWidth="1"/>
    <x:col min="4" max="4" width="11.109999656677246" hidden="0" customWidth="1"/>
    <x:col min="5" max="5" width="43.33000183105469" hidden="0" customWidth="1"/>
  </x:cols>
  <x:sheetData>
    <x:row r="1">
      <x:c r="A1" s="24" t="str">
        <x:v>Preregistration controls</x:v>
      </x:c>
    </x:row>
    <x:row r="2">
      <x:c r="A2" s="25" t="str">
        <x:v>Changing a frozen value creates a new protocol version. It cannot count toward DF-NYC-HB-PR38-v1 confirmation.</x:v>
      </x:c>
    </x:row>
    <x:row r="3">
      <x:c r="A3" s="26"/>
      <x:c r="B3" s="26"/>
      <x:c r="C3" s="26"/>
      <x:c r="D3" s="26"/>
      <x:c r="E3" s="26"/>
    </x:row>
    <x:row r="5">
      <x:c r="A5" s="32" t="str">
        <x:v>Key</x:v>
      </x:c>
      <x:c r="B5" s="33" t="str">
        <x:v>Value</x:v>
      </x:c>
      <x:c r="C5" s="33" t="str">
        <x:v>Unit</x:v>
      </x:c>
      <x:c r="D5" s="33" t="str">
        <x:v>State</x:v>
      </x:c>
      <x:c r="E5" s="34" t="str">
        <x:v>Meaning</x:v>
      </x:c>
    </x:row>
    <x:row r="6">
      <x:c r="A6" s="19" t="str">
        <x:v>Protocol ID</x:v>
      </x:c>
      <x:c r="B6" s="53" t="str">
        <x:v>DF-NYC-HB-PR38-v1</x:v>
      </x:c>
      <x:c r="C6" s="19" t="str">
        <x:v>text</x:v>
      </x:c>
      <x:c r="D6" s="19" t="str">
        <x:v>FROZEN</x:v>
      </x:c>
      <x:c r="E6" s="19" t="str">
        <x:v>identifier carried into every output</x:v>
      </x:c>
    </x:row>
    <x:row r="7">
      <x:c r="A7" s="17" t="str">
        <x:v>Two-sided alpha</x:v>
      </x:c>
      <x:c r="B7" s="54" t="n">
        <x:v>0.05</x:v>
      </x:c>
      <x:c r="C7" s="17" t="str">
        <x:v>share</x:v>
      </x:c>
      <x:c r="D7" s="17" t="str">
        <x:v>FROZEN</x:v>
      </x:c>
      <x:c r="E7" s="17" t="str">
        <x:v>element sample-size screen</x:v>
      </x:c>
    </x:row>
    <x:row r="8">
      <x:c r="A8" s="19" t="str">
        <x:v>Statistical power</x:v>
      </x:c>
      <x:c r="B8" s="54" t="n">
        <x:v>0.9</x:v>
      </x:c>
      <x:c r="C8" s="19" t="str">
        <x:v>share</x:v>
      </x:c>
      <x:c r="D8" s="19" t="str">
        <x:v>FROZEN</x:v>
      </x:c>
      <x:c r="E8" s="19" t="str">
        <x:v>element sample-size screen</x:v>
      </x:c>
    </x:row>
    <x:row r="9">
      <x:c r="A9" s="17" t="str">
        <x:v>Z alpha</x:v>
      </x:c>
      <x:c r="B9" s="53" t="n">
        <x:v>1.959963984540054</x:v>
      </x:c>
      <x:c r="C9" s="17" t="str">
        <x:v>standard normal</x:v>
      </x:c>
      <x:c r="D9" s="17" t="str">
        <x:v>FROZEN</x:v>
      </x:c>
      <x:c r="E9" s="17" t="str">
        <x:v>1.9599639845</x:v>
      </x:c>
    </x:row>
    <x:row r="10">
      <x:c r="A10" s="19" t="str">
        <x:v>Z power</x:v>
      </x:c>
      <x:c r="B10" s="53" t="n">
        <x:v>1.2815515655446004</x:v>
      </x:c>
      <x:c r="C10" s="19" t="str">
        <x:v>standard normal</x:v>
      </x:c>
      <x:c r="D10" s="19" t="str">
        <x:v>FROZEN</x:v>
      </x:c>
      <x:c r="E10" s="19" t="str">
        <x:v>1.2815515655</x:v>
      </x:c>
    </x:row>
    <x:row r="11">
      <x:c r="A11" s="17" t="str">
        <x:v>Broad worlds per catchment</x:v>
      </x:c>
      <x:c r="B11" s="55" t="n">
        <x:v>1000</x:v>
      </x:c>
      <x:c r="C11" s="17" t="str">
        <x:v>worlds</x:v>
      </x:c>
      <x:c r="D11" s="17" t="str">
        <x:v>FROZEN</x:v>
      </x:c>
      <x:c r="E11" s="17" t="str">
        <x:v>paired A2/S3 worlds</x:v>
      </x:c>
    </x:row>
    <x:row r="12">
      <x:c r="A12" s="19" t="str">
        <x:v>Reference catchments</x:v>
      </x:c>
      <x:c r="B12" s="55" t="n">
        <x:v>12</x:v>
      </x:c>
      <x:c r="C12" s="19" t="str">
        <x:v>catchments</x:v>
      </x:c>
      <x:c r="D12" s="19" t="str">
        <x:v>FROZEN</x:v>
      </x:c>
      <x:c r="E12" s="19" t="str">
        <x:v>four per archetype</x:v>
      </x:c>
    </x:row>
    <x:row r="13">
      <x:c r="A13" s="17" t="str">
        <x:v>Holdout catchments</x:v>
      </x:c>
      <x:c r="B13" s="53" t="n">
        <x:v>3</x:v>
      </x:c>
      <x:c r="C13" s="17" t="str">
        <x:v>catchments</x:v>
      </x:c>
      <x:c r="D13" s="17" t="str">
        <x:v>SEALED</x:v>
      </x:c>
      <x:c r="E13" s="17" t="str">
        <x:v>one per archetype</x:v>
      </x:c>
    </x:row>
    <x:row r="14">
      <x:c r="A14" s="19" t="str">
        <x:v>Architectures</x:v>
      </x:c>
      <x:c r="B14" s="53" t="n">
        <x:v>2</x:v>
      </x:c>
      <x:c r="C14" s="19" t="str">
        <x:v>architectures</x:v>
      </x:c>
      <x:c r="D14" s="19" t="str">
        <x:v>FROZEN</x:v>
      </x:c>
      <x:c r="E14" s="19" t="str">
        <x:v>A2 and S3</x:v>
      </x:c>
    </x:row>
    <x:row r="15">
      <x:c r="A15" s="17" t="str">
        <x:v>Program reserve</x:v>
      </x:c>
      <x:c r="B15" s="54" t="n">
        <x:v>0.3</x:v>
      </x:c>
      <x:c r="C15" s="17" t="str">
        <x:v>share</x:v>
      </x:c>
      <x:c r="D15" s="17" t="str">
        <x:v>FROZEN</x:v>
      </x:c>
      <x:c r="E15" s="17" t="str">
        <x:v>design-cost uncertainty</x:v>
      </x:c>
    </x:row>
    <x:row r="16">
      <x:c r="A16" s="19" t="str">
        <x:v>Reliability target</x:v>
      </x:c>
      <x:c r="B16" s="54" t="n">
        <x:v>0.9</x:v>
      </x:c>
      <x:c r="C16" s="19" t="str">
        <x:v>share</x:v>
      </x:c>
      <x:c r="D16" s="19" t="str">
        <x:v>FROZEN</x:v>
      </x:c>
      <x:c r="E16" s="19" t="str">
        <x:v>one-sided lower-bound screen</x:v>
      </x:c>
    </x:row>
    <x:row r="17">
      <x:c r="A17" s="17" t="str">
        <x:v>Confidence</x:v>
      </x:c>
      <x:c r="B17" s="54" t="n">
        <x:v>0.95</x:v>
      </x:c>
      <x:c r="C17" s="17" t="str">
        <x:v>share</x:v>
      </x:c>
      <x:c r="D17" s="17" t="str">
        <x:v>FROZEN</x:v>
      </x:c>
      <x:c r="E17" s="17" t="str">
        <x:v>one-sided exact lower bound</x:v>
      </x:c>
    </x:row>
    <x:row r="18">
      <x:c r="A18" s="19" t="str">
        <x:v>Program start</x:v>
      </x:c>
      <x:c r="B18" s="56" t="n">
        <x:v>2027</x:v>
      </x:c>
      <x:c r="C18" s="19" t="str">
        <x:v>year</x:v>
      </x:c>
      <x:c r="D18" s="19" t="str">
        <x:v>FROZEN</x:v>
      </x:c>
      <x:c r="E18" s="19" t="str">
        <x:v>cost profile only</x:v>
      </x:c>
    </x:row>
    <x:row r="19">
      <x:c r="A19" s="17" t="str">
        <x:v>Program end</x:v>
      </x:c>
      <x:c r="B19" s="56" t="n">
        <x:v>2038</x:v>
      </x:c>
      <x:c r="C19" s="17" t="str">
        <x:v>year</x:v>
      </x:c>
      <x:c r="D19" s="17" t="str">
        <x:v>FROZEN</x:v>
      </x:c>
      <x:c r="E19" s="17" t="str">
        <x:v>cost profile only</x:v>
      </x:c>
    </x:row>
    <x:row r="20">
      <x:c r="A20" s="19"/>
      <x:c r="B20" s="53"/>
      <x:c r="C20" s="19"/>
      <x:c r="D20" s="19"/>
      <x:c r="E20" s="1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1999979019165" hidden="0" customWidth="1"/>
    <x:col min="2" max="2" width="16.670000076293945" hidden="0" customWidth="1"/>
    <x:col min="3" max="3" width="52.220001220703125" hidden="0" customWidth="1"/>
    <x:col min="4" max="4" width="37.779998779296875" hidden="0" customWidth="1"/>
    <x:col min="5" max="5" width="19.440000534057617" hidden="0" customWidth="1"/>
  </x:cols>
  <x:sheetData>
    <x:row r="1">
      <x:c r="A1" s="24" t="str">
        <x:v>Research questions</x:v>
      </x:c>
    </x:row>
    <x:row r="2">
      <x:c r="A2" s="25" t="str">
        <x:v>The unit of confirmation is the frozen architecture across prespecified catchments, not a favorable average or one selected neighborhood.</x:v>
      </x:c>
    </x:row>
    <x:row r="3">
      <x:c r="A3" s="26"/>
      <x:c r="B3" s="26"/>
      <x:c r="C3" s="26"/>
      <x:c r="D3" s="26"/>
      <x:c r="E3" s="26"/>
    </x:row>
    <x:row r="5">
      <x:c r="A5" s="32" t="str">
        <x:v>ID</x:v>
      </x:c>
      <x:c r="B5" s="33" t="str">
        <x:v>Question family</x:v>
      </x:c>
      <x:c r="C5" s="33" t="str">
        <x:v>Question</x:v>
      </x:c>
      <x:c r="D5" s="33" t="str">
        <x:v>Outcome</x:v>
      </x:c>
      <x:c r="E5" s="34" t="str">
        <x:v>Role</x:v>
      </x:c>
    </x:row>
    <x:row r="6" ht="39" customHeight="1">
      <x:c r="A6" s="16" t="str">
        <x:v>RQ-01</x:v>
      </x:c>
      <x:c r="B6" s="16" t="str">
        <x:v>Portability</x:v>
      </x:c>
      <x:c r="C6" s="16" t="str">
        <x:v>Does frozen S3 outperform frozen A2 in every prespecified vertical-city archetype?</x:v>
      </x:c>
      <x:c r="D6" s="16" t="str">
        <x:v>paired complete-rule success difference by catchment and world</x:v>
      </x:c>
      <x:c r="E6" s="16" t="str">
        <x:v>confirmatory</x:v>
      </x:c>
    </x:row>
    <x:row r="7" ht="39" customHeight="1">
      <x:c r="A7" s="18" t="str">
        <x:v>RQ-02</x:v>
      </x:c>
      <x:c r="B7" s="18" t="str">
        <x:v>Absolute robustness</x:v>
      </x:c>
      <x:c r="C7" s="18" t="str">
        <x:v>Does S3 pass at least 80% of the declared broad design space in every archetype?</x:v>
      </x:c>
      <x:c r="D7" s="18" t="str">
        <x:v>success share and cluster-resampled lower bound</x:v>
      </x:c>
      <x:c r="E7" s="18" t="str">
        <x:v>confirmatory design-space rule</x:v>
      </x:c>
    </x:row>
    <x:row r="8" ht="39" customHeight="1">
      <x:c r="A8" s="16" t="str">
        <x:v>RQ-03</x:v>
      </x:c>
      <x:c r="B8" s="16" t="str">
        <x:v>Failure migration</x:v>
      </x:c>
      <x:c r="C8" s="16" t="str">
        <x:v>Does the first failure move from household verification to thermal, power, water, or vertical service?</x:v>
      </x:c>
      <x:c r="D8" s="16" t="str">
        <x:v>first-failure distribution by architecture and archetype</x:v>
      </x:c>
      <x:c r="E8" s="16" t="str">
        <x:v>confirmatory</x:v>
      </x:c>
    </x:row>
    <x:row r="9" ht="39" customHeight="1">
      <x:c r="A9" s="18" t="str">
        <x:v>RQ-04</x:v>
      </x:c>
      <x:c r="B9" s="18" t="str">
        <x:v>Built-form interaction</x:v>
      </x:c>
      <x:c r="C9" s="18" t="str">
        <x:v>Does architecture advantage change across tower, mid-rise, and outer-borough campus forms?</x:v>
      </x:c>
      <x:c r="D9" s="18" t="str">
        <x:v>paired difference and interaction with prespecified verticality strata</x:v>
      </x:c>
      <x:c r="E9" s="18" t="str">
        <x:v>confirmatory</x:v>
      </x:c>
    </x:row>
    <x:row r="10" ht="39" customHeight="1">
      <x:c r="A10" s="16" t="str">
        <x:v>RQ-05</x:v>
      </x:c>
      <x:c r="B10" s="16" t="str">
        <x:v>Rights continuity</x:v>
      </x:c>
      <x:c r="C10" s="16" t="str">
        <x:v>Can the faster architecture preserve consent, household binding, accessibility remedy, destination acceptance, and return?</x:v>
      </x:c>
      <x:c r="D10" s="16" t="str">
        <x:v>sentinel events plus timed exception queues</x:v>
      </x:c>
      <x:c r="E10" s="16" t="str">
        <x:v>co-primary non-inferiority</x:v>
      </x:c>
    </x:row>
    <x:row r="11" ht="39" customHeight="1">
      <x:c r="A11" s="18" t="str">
        <x:v>RQ-06</x:v>
      </x:c>
      <x:c r="B11" s="18" t="str">
        <x:v>Force regeneration</x:v>
      </x:c>
      <x:c r="C11" s="18" t="str">
        <x:v>Can the cell end hour 168 with enough people and materiel for a second 24-hour mission?</x:v>
      </x:c>
      <x:c r="D11" s="18" t="str">
        <x:v>next-mission capacity fraction</x:v>
      </x:c>
      <x:c r="E11" s="18" t="str">
        <x:v>confirmatory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47.779998779296875" hidden="0" customWidth="1"/>
    <x:col min="3" max="3" width="36.66999816894531" hidden="0" customWidth="1"/>
    <x:col min="4" max="4" width="36.66999816894531" hidden="0" customWidth="1"/>
    <x:col min="5" max="5" width="18.889999389648438" hidden="0" customWidth="1"/>
  </x:cols>
  <x:sheetData>
    <x:row r="1">
      <x:c r="A1" s="24" t="str">
        <x:v>Confirmatory hypotheses</x:v>
      </x:c>
    </x:row>
    <x:row r="2">
      <x:c r="A2" s="25" t="str">
        <x:v>H1–H5 are co-governing. H6 addresses force regeneration. No multiplicity adjustment converts a rights or safety failure into success.</x:v>
      </x:c>
    </x:row>
    <x:row r="3">
      <x:c r="A3" s="26"/>
      <x:c r="B3" s="26"/>
      <x:c r="C3" s="26"/>
      <x:c r="D3" s="26"/>
      <x:c r="E3" s="26"/>
    </x:row>
    <x:row r="5">
      <x:c r="A5" s="32" t="str">
        <x:v>ID</x:v>
      </x:c>
      <x:c r="B5" s="33" t="str">
        <x:v>Preregistered hypothesis</x:v>
      </x:c>
      <x:c r="C5" s="33" t="str">
        <x:v>Analysis</x:v>
      </x:c>
      <x:c r="D5" s="33" t="str">
        <x:v>Failure rule</x:v>
      </x:c>
      <x:c r="E5" s="34" t="str">
        <x:v>Role</x:v>
      </x:c>
    </x:row>
    <x:row r="6" ht="49.5" customHeight="1">
      <x:c r="A6" s="16" t="str">
        <x:v>H1</x:v>
      </x:c>
      <x:c r="B6" s="16" t="str">
        <x:v>S3 minus A2 complete-rule success is at least +15 percentage points overall and positive in all three archetypes.</x:v>
      </x:c>
      <x:c r="C6" s="16" t="str">
        <x:v>paired catchment-world outcomes; catchment-cluster bootstrap</x:v>
      </x:c>
      <x:c r="D6" s="16" t="str">
        <x:v>fail if overall difference &lt;0.15 or any archetype difference &lt;=0</x:v>
      </x:c>
      <x:c r="E6" s="16" t="str">
        <x:v>primary</x:v>
      </x:c>
    </x:row>
    <x:row r="7" ht="49.5" customHeight="1">
      <x:c r="A7" s="18" t="str">
        <x:v>H2</x:v>
      </x:c>
      <x:c r="B7" s="18" t="str">
        <x:v>S3 complete-rule success is at least 80% in each declared archetype.</x:v>
      </x:c>
      <x:c r="C7" s="18" t="str">
        <x:v>success share in 1,000 Latin-hypercube worlds per catchment</x:v>
      </x:c>
      <x:c r="D7" s="18" t="str">
        <x:v>fail if any archetype &lt;0.80</x:v>
      </x:c>
      <x:c r="E7" s="18" t="str">
        <x:v>primary</x:v>
      </x:c>
    </x:row>
    <x:row r="8" ht="49.5" customHeight="1">
      <x:c r="A8" s="16" t="str">
        <x:v>H3</x:v>
      </x:c>
      <x:c r="B8" s="16" t="str">
        <x:v>S3 verifies 100% of authoritative household dispositions by hour 36 and contacts at least 95% of high-risk households by hour 18.</x:v>
      </x:c>
      <x:c r="C8" s="16" t="str">
        <x:v>record-level audit aggregated by catchment</x:v>
      </x:c>
      <x:c r="D8" s="16" t="str">
        <x:v>fail either clock in any reference catchment</x:v>
      </x:c>
      <x:c r="E8" s="16" t="str">
        <x:v>co-primary</x:v>
      </x:c>
    </x:row>
    <x:row r="9" ht="49.5" customHeight="1">
      <x:c r="A9" s="18" t="str">
        <x:v>H4</x:v>
      </x:c>
      <x:c r="B9" s="18" t="str">
        <x:v>S3 reaches at least 95% total safe-service closure and 95% mandatory-movement admission by hour 72.</x:v>
      </x:c>
      <x:c r="C9" s="18" t="str">
        <x:v>person-service-time and admitted journeys</x:v>
      </x:c>
      <x:c r="D9" s="18" t="str">
        <x:v>fail either outcome in any reference catchment</x:v>
      </x:c>
      <x:c r="E9" s="18" t="str">
        <x:v>co-primary</x:v>
      </x:c>
    </x:row>
    <x:row r="10" ht="49.5" customHeight="1">
      <x:c r="A10" s="16" t="str">
        <x:v>H5</x:v>
      </x:c>
      <x:c r="B10" s="16" t="str">
        <x:v>S3 does not increase rights or safety sentinel events relative to A2.</x:v>
      </x:c>
      <x:c r="C10" s="16" t="str">
        <x:v>independent adjudication; zero-tolerance event classes</x:v>
      </x:c>
      <x:c r="D10" s="16" t="str">
        <x:v>any attributable sentinel event blocks admission</x:v>
      </x:c>
      <x:c r="E10" s="16" t="str">
        <x:v>co-primary non-inferiority</x:v>
      </x:c>
    </x:row>
    <x:row r="11" ht="49.5" customHeight="1">
      <x:c r="A11" s="18" t="str">
        <x:v>H6</x:v>
      </x:c>
      <x:c r="B11" s="18" t="str">
        <x:v>S3 retains at least 80% next-24-hour capacity at hour 168.</x:v>
      </x:c>
      <x:c r="C11" s="18" t="str">
        <x:v>qualified crew, mission-capable equipment, utility inventory, and records</x:v>
      </x:c>
      <x:c r="D11" s="18" t="str">
        <x:v>fail if any required function &lt;0.80</x:v>
      </x:c>
      <x:c r="E11" s="18" t="str">
        <x:v>secondary readiness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36.66999816894531" hidden="0" customWidth="1"/>
    <x:col min="3" max="3" width="40" hidden="0" customWidth="1"/>
    <x:col min="4" max="4" width="43.33000183105469" hidden="0" customWidth="1"/>
  </x:cols>
  <x:sheetData>
    <x:row r="1">
      <x:c r="A1" s="24" t="str">
        <x:v>Metropolitan contrast</x:v>
      </x:c>
    </x:row>
    <x:row r="2">
      <x:c r="A2" s="25" t="str">
        <x:v>The replication changes the hazard and built form while freezing the two formation architectures.</x:v>
      </x:c>
    </x:row>
    <x:row r="3">
      <x:c r="A3" s="26"/>
      <x:c r="B3" s="26"/>
      <x:c r="C3" s="26"/>
      <x:c r="D3" s="26"/>
    </x:row>
    <x:row r="5">
      <x:c r="A5" s="32" t="str">
        <x:v>Dimension</x:v>
      </x:c>
      <x:c r="B5" s="33" t="str">
        <x:v>Harris reference</x:v>
      </x:c>
      <x:c r="C5" s="33" t="str">
        <x:v>New York replication</x:v>
      </x:c>
      <x:c r="D5" s="34" t="str">
        <x:v>Design purpose</x:v>
      </x:c>
    </x:row>
    <x:row r="6" ht="43.5" customHeight="1">
      <x:c r="A6" s="16" t="str">
        <x:v>Hazard</x:v>
      </x:c>
      <x:c r="B6" s="16" t="str">
        <x:v>compound coastal flood and lifeline loss</x:v>
      </x:c>
      <x:c r="C6" s="16" t="str">
        <x:v>extreme heat plus prolonged power and communications loss</x:v>
      </x:c>
      <x:c r="D6" s="16" t="str">
        <x:v>changes the exposure clock from water/access to indoor thermal and building service</x:v>
      </x:c>
    </x:row>
    <x:row r="7" ht="43.5" customHeight="1">
      <x:c r="A7" s="18" t="str">
        <x:v>Built form</x:v>
      </x:c>
      <x:c r="B7" s="18" t="str">
        <x:v>low-rise and dispersed with selected multi-unit proxies</x:v>
      </x:c>
      <x:c r="C7" s="18" t="str">
        <x:v>dense low-, mid-, and high-rise residential fabric</x:v>
      </x:c>
      <x:c r="D7" s="18" t="str">
        <x:v>increases building and vertical-system dependence</x:v>
      </x:c>
    </x:row>
    <x:row r="8" ht="43.5" customHeight="1">
      <x:c r="A8" s="16" t="str">
        <x:v>Road state</x:v>
      </x:c>
      <x:c r="B8" s="16" t="str">
        <x:v>flood exposure, debris, bridge and route restoration</x:v>
      </x:c>
      <x:c r="C8" s="16" t="str">
        <x:v>mostly intact pavement with signal, curb, transit, heat, and congestion loss</x:v>
      </x:c>
      <x:c r="D8" s="16" t="str">
        <x:v>separates physical route damage from street operability</x:v>
      </x:c>
    </x:row>
    <x:row r="9" ht="43.5" customHeight="1">
      <x:c r="A9" s="18" t="str">
        <x:v>Primary local service</x:v>
      </x:c>
      <x:c r="B9" s="18" t="str">
        <x:v>water, power, shelter, sanitation, health, and access</x:v>
      </x:c>
      <x:c r="C9" s="18" t="str">
        <x:v>thermal safety, medical power, water pressure, communications, and building continuity</x:v>
      </x:c>
      <x:c r="D9" s="18" t="str">
        <x:v>tests whether PCC-D1 assumptions transfer to occupied buildings</x:v>
      </x:c>
    </x:row>
    <x:row r="10" ht="43.5" customHeight="1">
      <x:c r="A10" s="16" t="str">
        <x:v>Movement burden</x:v>
      </x:c>
      <x:c r="B10" s="16" t="str">
        <x:v>high-water collection and selective regional movement</x:v>
      </x:c>
      <x:c r="C10" s="16" t="str">
        <x:v>vertical extraction and short movement to admitted cooled service</x:v>
      </x:c>
      <x:c r="D10" s="16" t="str">
        <x:v>moves the bottleneck toward building-to-street interfaces</x:v>
      </x:c>
    </x:row>
    <x:row r="11" ht="43.5" customHeight="1">
      <x:c r="A11" s="18" t="str">
        <x:v>Key common mode</x:v>
      </x:c>
      <x:c r="B11" s="18" t="str">
        <x:v>flooded infrastructure and shared restoration</x:v>
      </x:c>
      <x:c r="C11" s="18" t="str">
        <x:v>electricity-dependent cooling, elevators, pumps, communications, and data</x:v>
      </x:c>
      <x:c r="D11" s="18" t="str">
        <x:v>tests one infrastructure loss propagating across multiple services</x:v>
      </x:c>
    </x:row>
    <x:row r="12" ht="43.5" customHeight="1">
      <x:c r="A12" s="16" t="str">
        <x:v>Primary falsification</x:v>
      </x:c>
      <x:c r="B12" s="16" t="str">
        <x:v>H3 broad-world completeness</x:v>
      </x:c>
      <x:c r="C12" s="16" t="str">
        <x:v>fixed A2 versus fixed S3 under vertical heat-blackout conditions</x:v>
      </x:c>
      <x:c r="D12" s="16" t="str">
        <x:v>prevents post-result retuning from counting as replication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27.219999313354492" hidden="0" customWidth="1"/>
    <x:col min="3" max="3" width="55.560001373291016" hidden="0" customWidth="1"/>
    <x:col min="4" max="4" width="14.4399995803833" hidden="0" customWidth="1"/>
    <x:col min="5" max="5" width="40" hidden="0" customWidth="1"/>
  </x:cols>
  <x:sheetData>
    <x:row r="1">
      <x:c r="A1" s="24" t="str">
        <x:v>Prespecified built-form archetypes</x:v>
      </x:c>
    </x:row>
    <x:row r="2">
      <x:c r="A2" s="25" t="str">
        <x:v>Four non-overlapping reference catchments and one sealed holdout are selected within each archetype before architecture outcomes.</x:v>
      </x:c>
    </x:row>
    <x:row r="3">
      <x:c r="A3" s="26"/>
      <x:c r="B3" s="26"/>
      <x:c r="C3" s="26"/>
      <x:c r="D3" s="26"/>
      <x:c r="E3" s="26"/>
    </x:row>
    <x:row r="5">
      <x:c r="A5" s="32" t="str">
        <x:v>ID</x:v>
      </x:c>
      <x:c r="B5" s="33" t="str">
        <x:v>Archetype</x:v>
      </x:c>
      <x:c r="C5" s="33" t="str">
        <x:v>Eligibility rule</x:v>
      </x:c>
      <x:c r="D5" s="33" t="str">
        <x:v>Reference catchments</x:v>
      </x:c>
      <x:c r="E5" s="34" t="str">
        <x:v>Falsification purpose</x:v>
      </x:c>
    </x:row>
    <x:row r="6" ht="54" customHeight="1">
      <x:c r="A6" s="16" t="str">
        <x:v>V1</x:v>
      </x:c>
      <x:c r="B6" s="16" t="str">
        <x:v>Tower-intensive core</x:v>
      </x:c>
      <x:c r="C6" s="16" t="str">
        <x:v>top resident-weighted quintile for floors and elevator devices; density at or above city P75</x:v>
      </x:c>
      <x:c r="D6" s="61" t="n">
        <x:v>4</x:v>
      </x:c>
      <x:c r="E6" s="16" t="str">
        <x:v>tests elevator, pressure, refuge, and vertical crew saturation</x:v>
      </x:c>
    </x:row>
    <x:row r="7" ht="54" customHeight="1">
      <x:c r="A7" s="18" t="str">
        <x:v>V2</x:v>
      </x:c>
      <x:c r="B7" s="18" t="str">
        <x:v>Mid-rise heat-burden grid</x:v>
      </x:c>
      <x:c r="C7" s="18" t="str">
        <x:v>3–8 floor dominant fabric; HVI 4–5 share at or above city P75</x:v>
      </x:c>
      <x:c r="D7" s="62" t="n">
        <x:v>4</x:v>
      </x:c>
      <x:c r="E7" s="18" t="str">
        <x:v>tests distributed contact and cooling without tower concentration</x:v>
      </x:c>
    </x:row>
    <x:row r="8" ht="54" customHeight="1">
      <x:c r="A8" s="16" t="str">
        <x:v>V3</x:v>
      </x:c>
      <x:c r="B8" s="16" t="str">
        <x:v>Outer-borough elevator-dependent campus</x:v>
      </x:c>
      <x:c r="C8" s="16" t="str">
        <x:v>multi-building residential campus or superblock; elevator dependence high; protected-service walking access below city median</x:v>
      </x:c>
      <x:c r="D8" s="61" t="n">
        <x:v>4</x:v>
      </x:c>
      <x:c r="E8" s="16" t="str">
        <x:v>tests campus common modes and last-block access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.78000020980835" hidden="0" customWidth="1"/>
    <x:col min="2" max="2" width="25.559999465942383" hidden="0" customWidth="1"/>
    <x:col min="3" max="3" width="86.66999816894531" hidden="0" customWidth="1"/>
  </x:cols>
  <x:sheetData>
    <x:row r="1">
      <x:c r="A1" s="24" t="str">
        <x:v>Outcome-blind catchment selection</x:v>
      </x:c>
    </x:row>
    <x:row r="2">
      <x:c r="A2" s="25" t="str">
        <x:v>The deterministic selection algorithm is committed before data snapshots and before A2 or S3 outcomes are calculated.</x:v>
      </x:c>
    </x:row>
    <x:row r="3">
      <x:c r="A3" s="26"/>
      <x:c r="B3" s="26"/>
      <x:c r="C3" s="26"/>
    </x:row>
    <x:row r="5">
      <x:c r="A5" s="32" t="str">
        <x:v>ID</x:v>
      </x:c>
      <x:c r="B5" s="33" t="str">
        <x:v>Rule</x:v>
      </x:c>
      <x:c r="C5" s="34" t="str">
        <x:v>Implementation</x:v>
      </x:c>
    </x:row>
    <x:row r="6" ht="42" customHeight="1">
      <x:c r="A6" s="16" t="str">
        <x:v>SEL-01</x:v>
      </x:c>
      <x:c r="B6" s="16" t="str">
        <x:v>Snapshot before outcomes</x:v>
      </x:c>
      <x:c r="C6" s="16" t="str">
        <x:v>Freeze every source file, schema, retrieval time, row count, and SHA-256 before architecture calculations.</x:v>
      </x:c>
    </x:row>
    <x:row r="7" ht="42" customHeight="1">
      <x:c r="A7" s="18" t="str">
        <x:v>SEL-02</x:v>
      </x:c>
      <x:c r="B7" s="18" t="str">
        <x:v>Eligible geography</x:v>
      </x:c>
      <x:c r="C7" s="18" t="str">
        <x:v>Use NYC land tracts with residential population and a connected local-street component; islands requiring marine-only access form a declared exclusion stratum.</x:v>
      </x:c>
    </x:row>
    <x:row r="8" ht="42" customHeight="1">
      <x:c r="A8" s="16" t="str">
        <x:v>SEL-03</x:v>
      </x:c>
      <x:c r="B8" s="16" t="str">
        <x:v>Demand envelope</x:v>
      </x:c>
      <x:c r="C8" s="16" t="str">
        <x:v>Grow contiguous tract sets until synthetic seven-day demand first enters 32,000–38,000 people; retain overshoot and do not trim by outcome.</x:v>
      </x:c>
    </x:row>
    <x:row r="9" ht="42" customHeight="1">
      <x:c r="A9" s="18" t="str">
        <x:v>SEL-04</x:v>
      </x:c>
      <x:c r="B9" s="18" t="str">
        <x:v>Pre-architecture strata</x:v>
      </x:c>
      <x:c r="C9" s="18" t="str">
        <x:v>Assign V1/V2/V3 using PLUTO, building, elevator, HVI, ACS, and service-access covariates calculated without A2 or S3 outputs.</x:v>
      </x:c>
    </x:row>
    <x:row r="10" ht="42" customHeight="1">
      <x:c r="A10" s="16" t="str">
        <x:v>SEL-05</x:v>
      </x:c>
      <x:c r="B10" s="16" t="str">
        <x:v>Selection count</x:v>
      </x:c>
      <x:c r="C10" s="16" t="str">
        <x:v>Select four non-overlapping catchments per archetype, twelve total. Reject overlap before outcomes.</x:v>
      </x:c>
    </x:row>
    <x:row r="11" ht="42" customHeight="1">
      <x:c r="A11" s="18" t="str">
        <x:v>SEL-06</x:v>
      </x:c>
      <x:c r="B11" s="18" t="str">
        <x:v>Deterministic order</x:v>
      </x:c>
      <x:c r="C11" s="18" t="str">
        <x:v>Order candidates by SHA-256 of GEOID-set plus seed DF-NYC-HB-PR38-v1; take first eligible candidates subject to balance and non-overlap.</x:v>
      </x:c>
    </x:row>
    <x:row r="12" ht="42" customHeight="1">
      <x:c r="A12" s="16" t="str">
        <x:v>SEL-07</x:v>
      </x:c>
      <x:c r="B12" s="16" t="str">
        <x:v>No replacement after outcomes</x:v>
      </x:c>
      <x:c r="C12" s="16" t="str">
        <x:v>A selected catchment may be replaced only for a documented source or topology defect identified blind to architecture results.</x:v>
      </x:c>
    </x:row>
    <x:row r="13" ht="42" customHeight="1">
      <x:c r="A13" s="18" t="str">
        <x:v>SEL-08</x:v>
      </x:c>
      <x:c r="B13" s="18" t="str">
        <x:v>Holdout</x:v>
      </x:c>
      <x:c r="C13" s="18" t="str">
        <x:v>Keep one additional eligible catchment per archetype sealed until all primary code, thresholds, and exclusions pass audit.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.559999942779541" hidden="0" customWidth="1"/>
    <x:col min="2" max="2" width="24.440000534057617" hidden="0" customWidth="1"/>
    <x:col min="3" max="3" width="20" hidden="0" customWidth="1"/>
    <x:col min="4" max="4" width="7.78000020980835" hidden="0" customWidth="1"/>
    <x:col min="5" max="5" width="9.4399995803833" hidden="0" customWidth="1"/>
    <x:col min="6" max="6" width="10.5600004196167" hidden="0" customWidth="1"/>
    <x:col min="7" max="7" width="11.670000076293945" hidden="0" customWidth="1"/>
    <x:col min="8" max="8" width="8.890000343322754" hidden="0" customWidth="1"/>
    <x:col min="9" max="9" width="10.5600004196167" hidden="0" customWidth="1"/>
    <x:col min="10" max="10" width="11.670000076293945" hidden="0" customWidth="1"/>
    <x:col min="11" max="11" width="11.670000076293945" hidden="0" customWidth="1"/>
    <x:col min="12" max="12" width="10.5600004196167" hidden="0" customWidth="1"/>
    <x:col min="13" max="13" width="8.329999923706055" hidden="0" customWidth="1"/>
    <x:col min="14" max="14" width="8.890000343322754" hidden="0" customWidth="1"/>
    <x:col min="15" max="15" width="8.890000343322754" hidden="0" customWidth="1"/>
    <x:col min="16" max="16" width="9.4399995803833" hidden="0" customWidth="1"/>
    <x:col min="17" max="17" width="11.109999656677246" hidden="0" customWidth="1"/>
    <x:col min="18" max="18" width="10.5600004196167" hidden="0" customWidth="1"/>
  </x:cols>
  <x:sheetData>
    <x:row r="1">
      <x:c r="A1" s="24" t="str">
        <x:v>Frozen formation architectures</x:v>
      </x:c>
    </x:row>
    <x:row r="2">
      <x:c r="A2" s="25" t="str">
        <x:v>Copied from Pass 37 without New York tuning. Any change creates an exploratory successor and restarts confirmatory evidence.</x:v>
      </x:c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</x:row>
    <x:row r="5">
      <x:c r="A5" s="32" t="str">
        <x:v>ID</x:v>
      </x:c>
      <x:c r="B5" s="33" t="str">
        <x:v>Architecture</x:v>
      </x:c>
      <x:c r="C5" s="33" t="str">
        <x:v>Status</x:v>
      </x:c>
      <x:c r="D5" s="33" t="str">
        <x:v>Districts</x:v>
      </x:c>
      <x:c r="E5" s="33" t="str">
        <x:v>Contact teams</x:v>
      </x:c>
      <x:c r="F5" s="33" t="str">
        <x:v>Contact companies</x:v>
      </x:c>
      <x:c r="G5" s="33" t="str">
        <x:v>Contact productivity</x:v>
      </x:c>
      <x:c r="H5" s="33" t="str">
        <x:v>Vertical teams</x:v>
      </x:c>
      <x:c r="I5" s="33" t="str">
        <x:v>Vertical companies</x:v>
      </x:c>
      <x:c r="J5" s="33" t="str">
        <x:v>Vertical productivity</x:v>
      </x:c>
      <x:c r="K5" s="33" t="str">
        <x:v>Collection squadrons</x:v>
      </x:c>
      <x:c r="L5" s="33" t="str">
        <x:v>Route detachments</x:v>
      </x:c>
      <x:c r="M5" s="33" t="str">
        <x:v>Power blocks</x:v>
      </x:c>
      <x:c r="N5" s="33" t="str">
        <x:v>Water islands</x:v>
      </x:c>
      <x:c r="O5" s="33" t="str">
        <x:v>Comms nodes</x:v>
      </x:c>
      <x:c r="P5" s="33" t="str">
        <x:v>Fixed staff</x:v>
      </x:c>
      <x:c r="Q5" s="33" t="str">
        <x:v>Technology factor</x:v>
      </x:c>
      <x:c r="R5" s="34" t="str">
        <x:v>District import t</x:v>
      </x:c>
    </x:row>
    <x:row r="6" ht="36" customHeight="1">
      <x:c r="A6" s="16" t="str">
        <x:v>A2</x:v>
      </x:c>
      <x:c r="B6" s="16" t="str">
        <x:v>Assured conventional cell</x:v>
      </x:c>
      <x:c r="C6" s="16" t="str">
        <x:v>development reference</x:v>
      </x:c>
      <x:c r="D6" s="67" t="n">
        <x:v>34</x:v>
      </x:c>
      <x:c r="E6" s="67" t="n">
        <x:v>300</x:v>
      </x:c>
      <x:c r="F6" s="67" t="n">
        <x:v>5</x:v>
      </x:c>
      <x:c r="G6" s="67" t="n">
        <x:v>1.6</x:v>
      </x:c>
      <x:c r="H6" s="67" t="n">
        <x:v>100</x:v>
      </x:c>
      <x:c r="I6" s="67" t="n">
        <x:v>5</x:v>
      </x:c>
      <x:c r="J6" s="67" t="n">
        <x:v>0.5</x:v>
      </x:c>
      <x:c r="K6" s="67" t="n">
        <x:v>5</x:v>
      </x:c>
      <x:c r="L6" s="67" t="n">
        <x:v>7</x:v>
      </x:c>
      <x:c r="M6" s="67" t="n">
        <x:v>10</x:v>
      </x:c>
      <x:c r="N6" s="67" t="n">
        <x:v>9</x:v>
      </x:c>
      <x:c r="O6" s="67" t="n">
        <x:v>7</x:v>
      </x:c>
      <x:c r="P6" s="67" t="n">
        <x:v>720</x:v>
      </x:c>
      <x:c r="Q6" s="67" t="n">
        <x:v>1</x:v>
      </x:c>
      <x:c r="R6" s="67" t="n">
        <x:v>15.742</x:v>
      </x:c>
    </x:row>
    <x:row r="7" ht="36" customHeight="1">
      <x:c r="A7" s="18" t="str">
        <x:v>S3</x:v>
      </x:c>
      <x:c r="B7" s="18" t="str">
        <x:v>Distributed technology-target cell</x:v>
      </x:c>
      <x:c r="C7" s="18" t="str">
        <x:v>unproved technology target</x:v>
      </x:c>
      <x:c r="D7" s="68" t="n">
        <x:v>35</x:v>
      </x:c>
      <x:c r="E7" s="68" t="n">
        <x:v>270</x:v>
      </x:c>
      <x:c r="F7" s="68" t="n">
        <x:v>6</x:v>
      </x:c>
      <x:c r="G7" s="68" t="n">
        <x:v>2.4</x:v>
      </x:c>
      <x:c r="H7" s="68" t="n">
        <x:v>65</x:v>
      </x:c>
      <x:c r="I7" s="68" t="n">
        <x:v>5</x:v>
      </x:c>
      <x:c r="J7" s="68" t="n">
        <x:v>0.8</x:v>
      </x:c>
      <x:c r="K7" s="68" t="n">
        <x:v>6</x:v>
      </x:c>
      <x:c r="L7" s="68" t="n">
        <x:v>7</x:v>
      </x:c>
      <x:c r="M7" s="68" t="n">
        <x:v>10</x:v>
      </x:c>
      <x:c r="N7" s="68" t="n">
        <x:v>9</x:v>
      </x:c>
      <x:c r="O7" s="68" t="n">
        <x:v>8</x:v>
      </x:c>
      <x:c r="P7" s="68" t="n">
        <x:v>600</x:v>
      </x:c>
      <x:c r="Q7" s="68" t="n">
        <x:v>1.25</x:v>
      </x:c>
      <x:c r="R7" s="68" t="n">
        <x:v>12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.110000133514404" hidden="0" customWidth="1"/>
    <x:col min="2" max="2" width="31.670000076293945" hidden="0" customWidth="1"/>
    <x:col min="3" max="3" width="10" hidden="0" customWidth="1"/>
    <x:col min="4" max="4" width="10" hidden="0" customWidth="1"/>
    <x:col min="5" max="5" width="18.889999389648438" hidden="0" customWidth="1"/>
    <x:col min="6" max="6" width="43.33000183105469" hidden="0" customWidth="1"/>
  </x:cols>
  <x:sheetData>
    <x:row r="1">
      <x:c r="A1" s="24" t="str">
        <x:v>Declared broad design space</x:v>
      </x:c>
    </x:row>
    <x:row r="2">
      <x:c r="A2" s="25" t="str">
        <x:v>One thousand paired Latin-hypercube worlds per catchment. Ranges are stress coordinates, not fitted probabilities.</x:v>
      </x:c>
    </x:row>
    <x:row r="3">
      <x:c r="A3" s="26"/>
      <x:c r="B3" s="26"/>
      <x:c r="C3" s="26"/>
      <x:c r="D3" s="26"/>
      <x:c r="E3" s="26"/>
      <x:c r="F3" s="26"/>
    </x:row>
    <x:row r="5">
      <x:c r="A5" s="32" t="str">
        <x:v>ID</x:v>
      </x:c>
      <x:c r="B5" s="33" t="str">
        <x:v>Factor</x:v>
      </x:c>
      <x:c r="C5" s="33" t="str">
        <x:v>Low</x:v>
      </x:c>
      <x:c r="D5" s="33" t="str">
        <x:v>High</x:v>
      </x:c>
      <x:c r="E5" s="33" t="str">
        <x:v>Sampling</x:v>
      </x:c>
      <x:c r="F5" s="34" t="str">
        <x:v>Dependence rule</x:v>
      </x:c>
    </x:row>
    <x:row r="6" ht="33" customHeight="1">
      <x:c r="A6" s="16" t="str">
        <x:v>X01</x:v>
      </x:c>
      <x:c r="B6" s="16" t="str">
        <x:v>Design demand multiplier</x:v>
      </x:c>
      <x:c r="C6" s="72" t="n">
        <x:v>0.8</x:v>
      </x:c>
      <x:c r="D6" s="72" t="n">
        <x:v>1.3</x:v>
      </x:c>
      <x:c r="E6" s="16" t="str">
        <x:v>uniform rank</x:v>
      </x:c>
      <x:c r="F6" s="16" t="str">
        <x:v>correlate +0.55 with indoor heat burden</x:v>
      </x:c>
    </x:row>
    <x:row r="7" ht="33" customHeight="1">
      <x:c r="A7" s="18" t="str">
        <x:v>X02</x:v>
      </x:c>
      <x:c r="B7" s="18" t="str">
        <x:v>Indoor heat accumulation</x:v>
      </x:c>
      <x:c r="C7" s="72" t="n">
        <x:v>0.7</x:v>
      </x:c>
      <x:c r="D7" s="72" t="n">
        <x:v>1.4</x:v>
      </x:c>
      <x:c r="E7" s="18" t="str">
        <x:v>uniform rank</x:v>
      </x:c>
      <x:c r="F7" s="18" t="str">
        <x:v>correlate +0.70 with heat-sensitive demand</x:v>
      </x:c>
    </x:row>
    <x:row r="8" ht="33" customHeight="1">
      <x:c r="A8" s="16" t="str">
        <x:v>X03</x:v>
      </x:c>
      <x:c r="B8" s="16" t="str">
        <x:v>Grid outage duration</x:v>
      </x:c>
      <x:c r="C8" s="72" t="n">
        <x:v>24</x:v>
      </x:c>
      <x:c r="D8" s="72" t="n">
        <x:v>168</x:v>
      </x:c>
      <x:c r="E8" s="16" t="str">
        <x:v>hours; uniform rank</x:v>
      </x:c>
      <x:c r="F8" s="16" t="str">
        <x:v>correlate -0.60 with elevator, pump, comm, and cooling availability</x:v>
      </x:c>
    </x:row>
    <x:row r="9" ht="33" customHeight="1">
      <x:c r="A9" s="18" t="str">
        <x:v>X04</x:v>
      </x:c>
      <x:c r="B9" s="18" t="str">
        <x:v>Building backup availability</x:v>
      </x:c>
      <x:c r="C9" s="72" t="n">
        <x:v>0.2</x:v>
      </x:c>
      <x:c r="D9" s="72" t="n">
        <x:v>0.8</x:v>
      </x:c>
      <x:c r="E9" s="18" t="str">
        <x:v>uniform rank</x:v>
      </x:c>
      <x:c r="F9" s="18" t="str">
        <x:v>shared within tax-lot/building clusters</x:v>
      </x:c>
    </x:row>
    <x:row r="10" ht="33" customHeight="1">
      <x:c r="A10" s="16" t="str">
        <x:v>X05</x:v>
      </x:c>
      <x:c r="B10" s="16" t="str">
        <x:v>Elevator availability</x:v>
      </x:c>
      <x:c r="C10" s="72" t="n">
        <x:v>0.05</x:v>
      </x:c>
      <x:c r="D10" s="72" t="n">
        <x:v>0.6</x:v>
      </x:c>
      <x:c r="E10" s="16" t="str">
        <x:v>uniform rank</x:v>
      </x:c>
      <x:c r="F10" s="16" t="str">
        <x:v>conditional on grid and building backup</x:v>
      </x:c>
    </x:row>
    <x:row r="11" ht="33" customHeight="1">
      <x:c r="A11" s="18" t="str">
        <x:v>X06</x:v>
      </x:c>
      <x:c r="B11" s="18" t="str">
        <x:v>Domestic water-pump availability</x:v>
      </x:c>
      <x:c r="C11" s="72" t="n">
        <x:v>0.2</x:v>
      </x:c>
      <x:c r="D11" s="72" t="n">
        <x:v>0.8</x:v>
      </x:c>
      <x:c r="E11" s="18" t="str">
        <x:v>uniform rank</x:v>
      </x:c>
      <x:c r="F11" s="18" t="str">
        <x:v>conditional on grid and building backup</x:v>
      </x:c>
    </x:row>
    <x:row r="12" ht="33" customHeight="1">
      <x:c r="A12" s="16" t="str">
        <x:v>X07</x:v>
      </x:c>
      <x:c r="B12" s="16" t="str">
        <x:v>Commercial communications availability</x:v>
      </x:c>
      <x:c r="C12" s="72" t="n">
        <x:v>0</x:v>
      </x:c>
      <x:c r="D12" s="72" t="n">
        <x:v>0.5</x:v>
      </x:c>
      <x:c r="E12" s="16" t="str">
        <x:v>uniform rank through hour 36</x:v>
      </x:c>
      <x:c r="F12" s="16" t="str">
        <x:v>conditional on grid duration</x:v>
      </x:c>
    </x:row>
    <x:row r="13" ht="33" customHeight="1">
      <x:c r="A13" s="18" t="str">
        <x:v>X08</x:v>
      </x:c>
      <x:c r="B13" s="18" t="str">
        <x:v>Field workforce availability</x:v>
      </x:c>
      <x:c r="C13" s="72" t="n">
        <x:v>0.65</x:v>
      </x:c>
      <x:c r="D13" s="72" t="n">
        <x:v>0.95</x:v>
      </x:c>
      <x:c r="E13" s="18" t="str">
        <x:v>uniform rank</x:v>
      </x:c>
      <x:c r="F13" s="18" t="str">
        <x:v>correlate -0.35 with heat burden</x:v>
      </x:c>
    </x:row>
    <x:row r="14" ht="33" customHeight="1">
      <x:c r="A14" s="16" t="str">
        <x:v>X09</x:v>
      </x:c>
      <x:c r="B14" s="16" t="str">
        <x:v>Street-operability productivity</x:v>
      </x:c>
      <x:c r="C14" s="72" t="n">
        <x:v>0.6</x:v>
      </x:c>
      <x:c r="D14" s="72" t="n">
        <x:v>1</x:v>
      </x:c>
      <x:c r="E14" s="16" t="str">
        <x:v>uniform rank</x:v>
      </x:c>
      <x:c r="F14" s="16" t="str">
        <x:v>signals, curb, transit, congestion, and heat; not pavement destruction</x:v>
      </x:c>
    </x:row>
    <x:row r="15" ht="33" customHeight="1">
      <x:c r="A15" s="18" t="str">
        <x:v>X10</x:v>
      </x:c>
      <x:c r="B15" s="18" t="str">
        <x:v>Prepared cooling-service availability</x:v>
      </x:c>
      <x:c r="C15" s="72" t="n">
        <x:v>0.5</x:v>
      </x:c>
      <x:c r="D15" s="72" t="n">
        <x:v>0.9</x:v>
      </x:c>
      <x:c r="E15" s="18" t="str">
        <x:v>uniform rank</x:v>
      </x:c>
      <x:c r="F15" s="18" t="str">
        <x:v>correlate +0.35 with building backup</x:v>
      </x:c>
    </x:row>
    <x:row r="16" ht="33" customHeight="1">
      <x:c r="A16" s="16" t="str">
        <x:v>X11</x:v>
      </x:c>
      <x:c r="B16" s="16" t="str">
        <x:v>Cell utility realized output</x:v>
      </x:c>
      <x:c r="C16" s="72" t="n">
        <x:v>0.7</x:v>
      </x:c>
      <x:c r="D16" s="72" t="n">
        <x:v>0.95</x:v>
      </x:c>
      <x:c r="E16" s="16" t="str">
        <x:v>uniform rank</x:v>
      </x:c>
      <x:c r="F16" s="16" t="str">
        <x:v>shared source/controller/fuel failures injected separately</x:v>
      </x:c>
    </x:row>
    <x:row r="17" ht="33" customHeight="1">
      <x:c r="A17" s="18" t="str">
        <x:v>X12</x:v>
      </x:c>
      <x:c r="B17" s="18" t="str">
        <x:v>Heat-sensitive illness arrival</x:v>
      </x:c>
      <x:c r="C17" s="72" t="n">
        <x:v>0.8</x:v>
      </x:c>
      <x:c r="D17" s="72" t="n">
        <x:v>1.5</x:v>
      </x:c>
      <x:c r="E17" s="18" t="str">
        <x:v>uniform rank</x:v>
      </x:c>
      <x:c r="F17" s="18" t="str">
        <x:v>correlate +0.65 with heat accumulation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1999979019165" hidden="0" customWidth="1"/>
    <x:col min="2" max="2" width="31.110000610351562" hidden="0" customWidth="1"/>
    <x:col min="3" max="3" width="11.109999656677246" hidden="0" customWidth="1"/>
    <x:col min="4" max="4" width="21.110000610351562" hidden="0" customWidth="1"/>
    <x:col min="5" max="5" width="55.560001373291016" hidden="0" customWidth="1"/>
  </x:cols>
  <x:sheetData>
    <x:row r="1">
      <x:c r="A1" s="24" t="str">
        <x:v>Complete campaign success rules</x:v>
      </x:c>
    </x:row>
    <x:row r="2">
      <x:c r="A2" s="25" t="str">
        <x:v>Every required rule must close in the same catchment-world. Rights and safety events cannot be averaged away.</x:v>
      </x:c>
    </x:row>
    <x:row r="3">
      <x:c r="A3" s="26"/>
      <x:c r="B3" s="26"/>
      <x:c r="C3" s="26"/>
      <x:c r="D3" s="26"/>
      <x:c r="E3" s="26"/>
    </x:row>
    <x:row r="5">
      <x:c r="A5" s="32" t="str">
        <x:v>ID</x:v>
      </x:c>
      <x:c r="B5" s="33" t="str">
        <x:v>Requirement</x:v>
      </x:c>
      <x:c r="C5" s="33" t="str">
        <x:v>Threshold</x:v>
      </x:c>
      <x:c r="D5" s="33" t="str">
        <x:v>Unit and deadline</x:v>
      </x:c>
      <x:c r="E5" s="34" t="str">
        <x:v>Boundary</x:v>
      </x:c>
    </x:row>
    <x:row r="6" ht="39" customHeight="1">
      <x:c r="A6" s="16" t="str">
        <x:v>SR-01</x:v>
      </x:c>
      <x:c r="B6" s="16" t="str">
        <x:v>Authoritative household disposition</x:v>
      </x:c>
      <x:c r="C6" s="79" t="n">
        <x:v>1</x:v>
      </x:c>
      <x:c r="D6" s="16" t="str">
        <x:v>share by hour 36</x:v>
      </x:c>
      <x:c r="E6" s="16" t="str">
        <x:v>verified, refused, not found with escalation, or lawfully inaccessible; no silent missing records</x:v>
      </x:c>
    </x:row>
    <x:row r="7" ht="39" customHeight="1">
      <x:c r="A7" s="18" t="str">
        <x:v>SR-02</x:v>
      </x:c>
      <x:c r="B7" s="18" t="str">
        <x:v>High-risk household contact</x:v>
      </x:c>
      <x:c r="C7" s="80" t="n">
        <x:v>0.95</x:v>
      </x:c>
      <x:c r="D7" s="18" t="str">
        <x:v>share by hour 18</x:v>
      </x:c>
      <x:c r="E7" s="18" t="str">
        <x:v>medical power, home care, mobility, age, or heat-risk flag</x:v>
      </x:c>
    </x:row>
    <x:row r="8" ht="39" customHeight="1">
      <x:c r="A8" s="16" t="str">
        <x:v>SR-03</x:v>
      </x:c>
      <x:c r="B8" s="16" t="str">
        <x:v>Total safe-service closure</x:v>
      </x:c>
      <x:c r="C8" s="79" t="n">
        <x:v>0.95</x:v>
      </x:c>
      <x:c r="D8" s="16" t="str">
        <x:v>share by hour 72</x:v>
      </x:c>
      <x:c r="E8" s="16" t="str">
        <x:v>safe local thermal/service bundle or destination admission</x:v>
      </x:c>
    </x:row>
    <x:row r="9" ht="39" customHeight="1">
      <x:c r="A9" s="18" t="str">
        <x:v>SR-04</x:v>
      </x:c>
      <x:c r="B9" s="18" t="str">
        <x:v>Mandatory movement admission</x:v>
      </x:c>
      <x:c r="C9" s="80" t="n">
        <x:v>0.95</x:v>
      </x:c>
      <x:c r="D9" s="18" t="str">
        <x:v>share by hour 72</x:v>
      </x:c>
      <x:c r="E9" s="18" t="str">
        <x:v>arrival without named acceptance does not count</x:v>
      </x:c>
    </x:row>
    <x:row r="10" ht="39" customHeight="1">
      <x:c r="A10" s="16" t="str">
        <x:v>SR-05</x:v>
      </x:c>
      <x:c r="B10" s="16" t="str">
        <x:v>Worst catchment closure</x:v>
      </x:c>
      <x:c r="C10" s="79" t="n">
        <x:v>0.9</x:v>
      </x:c>
      <x:c r="D10" s="16" t="str">
        <x:v>share by hour 72</x:v>
      </x:c>
      <x:c r="E10" s="16" t="str">
        <x:v>every one of twelve reference catchments</x:v>
      </x:c>
    </x:row>
    <x:row r="11" ht="39" customHeight="1">
      <x:c r="A11" s="18" t="str">
        <x:v>SR-06</x:v>
      </x:c>
      <x:c r="B11" s="18" t="str">
        <x:v>Mean unsafe indoor exposure</x:v>
      </x:c>
      <x:c r="C11" s="81" t="n">
        <x:v>18</x:v>
      </x:c>
      <x:c r="D11" s="18" t="str">
        <x:v>maximum hours per demand person</x:v>
      </x:c>
      <x:c r="E11" s="18" t="str">
        <x:v>design threshold pending medical validation</x:v>
      </x:c>
    </x:row>
    <x:row r="12" ht="39" customHeight="1">
      <x:c r="A12" s="16" t="str">
        <x:v>SR-07</x:v>
      </x:c>
      <x:c r="B12" s="16" t="str">
        <x:v>Next-mission capacity</x:v>
      </x:c>
      <x:c r="C12" s="79" t="n">
        <x:v>0.8</x:v>
      </x:c>
      <x:c r="D12" s="16" t="str">
        <x:v>share at hour 168</x:v>
      </x:c>
      <x:c r="E12" s="16" t="str">
        <x:v>minimum across people, equipment, utilities, stocks, and records</x:v>
      </x:c>
    </x:row>
    <x:row r="13" ht="39" customHeight="1">
      <x:c r="A13" s="18" t="str">
        <x:v>SR-08</x:v>
      </x:c>
      <x:c r="B13" s="18" t="str">
        <x:v>Rights and safety sentinels</x:v>
      </x:c>
      <x:c r="C13" s="62" t="n">
        <x:v>0</x:v>
      </x:c>
      <x:c r="D13" s="18" t="str">
        <x:v>events</x:v>
      </x:c>
      <x:c r="E13" s="18" t="str">
        <x:v>zero tolerance for attributable death/serious injury, coercive movement, household separation, privacy breach, or arrival without service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.21999979019165" hidden="0" customWidth="1"/>
    <x:col min="2" max="2" width="41.11000061035156" hidden="0" customWidth="1"/>
    <x:col min="3" max="3" width="25.559999465942383" hidden="0" customWidth="1"/>
    <x:col min="4" max="4" width="47.779998779296875" hidden="0" customWidth="1"/>
  </x:cols>
  <x:sheetData>
    <x:row r="1">
      <x:c r="A1" s="24" t="str">
        <x:v>Required failure injections</x:v>
      </x:c>
    </x:row>
    <x:row r="2">
      <x:c r="A2" s="25" t="str">
        <x:v>Fault timing is declared before tests. Operators may know the safety envelope but not the exact injection sequence.</x:v>
      </x:c>
    </x:row>
    <x:row r="3">
      <x:c r="A3" s="26"/>
      <x:c r="B3" s="26"/>
      <x:c r="C3" s="26"/>
      <x:c r="D3" s="26"/>
    </x:row>
    <x:row r="5">
      <x:c r="A5" s="32" t="str">
        <x:v>ID</x:v>
      </x:c>
      <x:c r="B5" s="33" t="str">
        <x:v>Injection</x:v>
      </x:c>
      <x:c r="C5" s="33" t="str">
        <x:v>Window</x:v>
      </x:c>
      <x:c r="D5" s="34" t="str">
        <x:v>Capability tested</x:v>
      </x:c>
    </x:row>
    <x:row r="6" ht="33" customHeight="1">
      <x:c r="A6" s="16" t="str">
        <x:v>FI-01</x:v>
      </x:c>
      <x:c r="B6" s="16" t="str">
        <x:v>Commercial cloud and backhaul unavailable</x:v>
      </x:c>
      <x:c r="C6" s="16" t="str">
        <x:v>hours 0–72</x:v>
      </x:c>
      <x:c r="D6" s="16" t="str">
        <x:v>A2/S3 household knowledge and authority</x:v>
      </x:c>
    </x:row>
    <x:row r="7" ht="33" customHeight="1">
      <x:c r="A7" s="18" t="str">
        <x:v>FI-02</x:v>
      </x:c>
      <x:c r="B7" s="18" t="str">
        <x:v>One contact company unavailable</x:v>
      </x:c>
      <x:c r="C7" s="18" t="str">
        <x:v>hours 0–48</x:v>
      </x:c>
      <x:c r="D7" s="18" t="str">
        <x:v>field contact redundancy</x:v>
      </x:c>
    </x:row>
    <x:row r="8" ht="33" customHeight="1">
      <x:c r="A8" s="16" t="str">
        <x:v>FI-03</x:v>
      </x:c>
      <x:c r="B8" s="16" t="str">
        <x:v>One vertical-access company unavailable</x:v>
      </x:c>
      <x:c r="C8" s="16" t="str">
        <x:v>hours 12–72</x:v>
      </x:c>
      <x:c r="D8" s="16" t="str">
        <x:v>building access under fatigue</x:v>
      </x:c>
    </x:row>
    <x:row r="9" ht="33" customHeight="1">
      <x:c r="A9" s="18" t="str">
        <x:v>FI-04</x:v>
      </x:c>
      <x:c r="B9" s="18" t="str">
        <x:v>One five-district cluster loses prepared services</x:v>
      </x:c>
      <x:c r="C9" s="18" t="str">
        <x:v>hours 18–96</x:v>
      </x:c>
      <x:c r="D9" s="18" t="str">
        <x:v>local-service common mode</x:v>
      </x:c>
    </x:row>
    <x:row r="10" ht="33" customHeight="1">
      <x:c r="A10" s="16" t="str">
        <x:v>FI-05</x:v>
      </x:c>
      <x:c r="B10" s="16" t="str">
        <x:v>One collection squadron unavailable</x:v>
      </x:c>
      <x:c r="C10" s="16" t="str">
        <x:v>hours 24–72</x:v>
      </x:c>
      <x:c r="D10" s="16" t="str">
        <x:v>accessible movement and maintenance reserve</x:v>
      </x:c>
    </x:row>
    <x:row r="11" ht="33" customHeight="1">
      <x:c r="A11" s="18" t="str">
        <x:v>FI-06</x:v>
      </x:c>
      <x:c r="B11" s="18" t="str">
        <x:v>One route detachment unavailable</x:v>
      </x:c>
      <x:c r="C11" s="18" t="str">
        <x:v>hours 0–48</x:v>
      </x:c>
      <x:c r="D11" s="18" t="str">
        <x:v>street control and release</x:v>
      </x:c>
    </x:row>
    <x:row r="12" ht="33" customHeight="1">
      <x:c r="A12" s="16" t="str">
        <x:v>FI-07</x:v>
      </x:c>
      <x:c r="B12" s="16" t="str">
        <x:v>Two power blocks plus one feeder unavailable</x:v>
      </x:c>
      <x:c r="C12" s="16" t="str">
        <x:v>staggered across hours 6–96</x:v>
      </x:c>
      <x:c r="D12" s="16" t="str">
        <x:v>N-2 source and distribution</x:v>
      </x:c>
    </x:row>
    <x:row r="13" ht="33" customHeight="1">
      <x:c r="A13" s="18" t="str">
        <x:v>FI-08</x:v>
      </x:c>
      <x:c r="B13" s="18" t="str">
        <x:v>One water island plus one building pump cluster unavailable</x:v>
      </x:c>
      <x:c r="C13" s="18" t="str">
        <x:v>hours 12–72</x:v>
      </x:c>
      <x:c r="D13" s="18" t="str">
        <x:v>N-1 production plus host distribution</x:v>
      </x:c>
    </x:row>
    <x:row r="14" ht="33" customHeight="1">
      <x:c r="A14" s="16" t="str">
        <x:v>FI-09</x:v>
      </x:c>
      <x:c r="B14" s="16" t="str">
        <x:v>One common software release defect</x:v>
      </x:c>
      <x:c r="C14" s="16" t="str">
        <x:v>injected at hour 30</x:v>
      </x:c>
      <x:c r="D14" s="16" t="str">
        <x:v>manual-safe operation and configuration rollback</x:v>
      </x:c>
    </x:row>
    <x:row r="15" ht="33" customHeight="1">
      <x:c r="A15" s="18" t="str">
        <x:v>FI-10</x:v>
      </x:c>
      <x:c r="B15" s="18" t="str">
        <x:v>Conflicting consent/destination/household records</x:v>
      </x:c>
      <x:c r="C15" s="18" t="str">
        <x:v>five waves across 168 hours</x:v>
      </x:c>
      <x:c r="D15" s="18" t="str">
        <x:v>offline provenance and rights adjudication</x:v>
      </x:c>
    </x:row>
    <x:row r="16" ht="33" customHeight="1">
      <x:c r="A16" s="16" t="str">
        <x:v>FI-11</x:v>
      </x:c>
      <x:c r="B16" s="16" t="str">
        <x:v>Heat-related workforce attrition</x:v>
      </x:c>
      <x:c r="C16" s="16" t="str">
        <x:v>ramp to 20% by hour 120</x:v>
      </x:c>
      <x:c r="D16" s="16" t="str">
        <x:v>relief, medical monitoring, and replacement</x:v>
      </x:c>
    </x:row>
    <x:row r="17" ht="33" customHeight="1">
      <x:c r="A17" s="18" t="str">
        <x:v>FI-12</x:v>
      </x:c>
      <x:c r="B17" s="18" t="str">
        <x:v>No-notice second mission</x:v>
      </x:c>
      <x:c r="C17" s="18" t="str">
        <x:v>hour 168</x:v>
      </x:c>
      <x:c r="D17" s="18" t="str">
        <x:v>regeneration and residual capacity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27.219999313354492" hidden="0" customWidth="1"/>
    <x:col min="3" max="3" width="8.890000343322754" hidden="0" customWidth="1"/>
    <x:col min="4" max="4" width="10" hidden="0" customWidth="1"/>
    <x:col min="5" max="5" width="11.109999656677246" hidden="0" customWidth="1"/>
    <x:col min="6" max="6" width="23.329999923706055" hidden="0" customWidth="1"/>
    <x:col min="7" max="7" width="40" hidden="0" customWidth="1"/>
    <x:col min="8" max="8" width="36.66999816894531" hidden="0" customWidth="1"/>
  </x:cols>
  <x:sheetData>
    <x:row r="1">
      <x:c r="A1" s="24" t="str">
        <x:v>Evidence ladder</x:v>
      </x:c>
    </x:row>
    <x:row r="2">
      <x:c r="A2" s="25" t="str">
        <x:v>Evidence progresses from outcome-blind data selection through mechanisms, subsystems, complete missions, and independent metropolitan replication.</x:v>
      </x:c>
    </x:row>
    <x:row r="3">
      <x:c r="A3" s="26"/>
      <x:c r="B3" s="26"/>
      <x:c r="C3" s="26"/>
      <x:c r="D3" s="26"/>
      <x:c r="E3" s="26"/>
      <x:c r="F3" s="26"/>
      <x:c r="G3" s="26"/>
      <x:c r="H3" s="26"/>
    </x:row>
    <x:row r="5">
      <x:c r="A5" s="32" t="str">
        <x:v>Stage</x:v>
      </x:c>
      <x:c r="B5" s="33" t="str">
        <x:v>Campaign</x:v>
      </x:c>
      <x:c r="C5" s="33" t="str">
        <x:v>Duration</x:v>
      </x:c>
      <x:c r="D5" s="33" t="str">
        <x:v>Unit</x:v>
      </x:c>
      <x:c r="E5" s="33" t="str">
        <x:v>Replications</x:v>
      </x:c>
      <x:c r="F5" s="33" t="str">
        <x:v>Experimental unit</x:v>
      </x:c>
      <x:c r="G5" s="33" t="str">
        <x:v>Purpose</x:v>
      </x:c>
      <x:c r="H5" s="34" t="str">
        <x:v>Admission rule</x:v>
      </x:c>
    </x:row>
    <x:row r="6" ht="48" customHeight="1">
      <x:c r="A6" s="16" t="str">
        <x:v>L0</x:v>
      </x:c>
      <x:c r="B6" s="16" t="str">
        <x:v>Protocol and data rehearsal</x:v>
      </x:c>
      <x:c r="C6" s="61" t="n">
        <x:v>12</x:v>
      </x:c>
      <x:c r="D6" s="16" t="str">
        <x:v>months</x:v>
      </x:c>
      <x:c r="E6" s="86" t="n">
        <x:v>12</x:v>
      </x:c>
      <x:c r="F6" s="16" t="str">
        <x:v>analytic catchments</x:v>
      </x:c>
      <x:c r="G6" s="16" t="str">
        <x:v>freeze snapshots, code, seeds, exclusions, and synthetic population generator</x:v>
      </x:c>
      <x:c r="H6" s="16" t="str">
        <x:v>independent reproducibility audit</x:v>
      </x:c>
    </x:row>
    <x:row r="7" ht="48" customHeight="1">
      <x:c r="A7" s="18" t="str">
        <x:v>L1</x:v>
      </x:c>
      <x:c r="B7" s="18" t="str">
        <x:v>Element and human-system trials</x:v>
      </x:c>
      <x:c r="C7" s="62" t="n">
        <x:v>30</x:v>
      </x:c>
      <x:c r="D7" s="18" t="str">
        <x:v>months</x:v>
      </x:c>
      <x:c r="E7" s="87" t="n">
        <x:v>888</x:v>
      </x:c>
      <x:c r="F7" s="18" t="str">
        <x:v>two-arm experimental units</x:v>
      </x:c>
      <x:c r="G7" s="18" t="str">
        <x:v>estimate ledger, contact, vertical, route, and collection parameters</x:v>
      </x:c>
      <x:c r="H7" s="18" t="str">
        <x:v>prespecified quality and safety co-outcomes</x:v>
      </x:c>
    </x:row>
    <x:row r="8" ht="48" customHeight="1">
      <x:c r="A8" s="16" t="str">
        <x:v>L2</x:v>
      </x:c>
      <x:c r="B8" s="16" t="str">
        <x:v>Utility and district integration</x:v>
      </x:c>
      <x:c r="C8" s="61" t="n">
        <x:v>36</x:v>
      </x:c>
      <x:c r="D8" s="16" t="str">
        <x:v>months</x:v>
      </x:c>
      <x:c r="E8" s="86" t="n">
        <x:v>60</x:v>
      </x:c>
      <x:c r="F8" s="16" t="str">
        <x:v>seven-day utility fault sequences</x:v>
      </x:c>
      <x:c r="G8" s="16" t="str">
        <x:v>N-2 power, N-1 water, thermal and comm operation</x:v>
      </x:c>
      <x:c r="H8" s="16" t="str">
        <x:v>zero common-mode defeats across required sequences</x:v>
      </x:c>
    </x:row>
    <x:row r="9" ht="48" customHeight="1">
      <x:c r="A9" s="18" t="str">
        <x:v>L2B</x:v>
      </x:c>
      <x:c r="B9" s="18" t="str">
        <x:v>Occupied district mission trials</x:v>
      </x:c>
      <x:c r="C9" s="62" t="n">
        <x:v>36</x:v>
      </x:c>
      <x:c r="D9" s="18" t="str">
        <x:v>months</x:v>
      </x:c>
      <x:c r="E9" s="87" t="n">
        <x:v>48</x:v>
      </x:c>
      <x:c r="F9" s="18" t="str">
        <x:v>72-hour district trials</x:v>
      </x:c>
      <x:c r="G9" s="18" t="str">
        <x:v>join people, buildings, services, rights, access, and sustainment</x:v>
      </x:c>
      <x:c r="H9" s="18" t="str">
        <x:v>all district acceptance rules</x:v>
      </x:c>
    </x:row>
    <x:row r="10" ht="48" customHeight="1">
      <x:c r="A10" s="16" t="str">
        <x:v>L3</x:v>
      </x:c>
      <x:c r="B10" s="16" t="str">
        <x:v>Developmental full-cell missions</x:v>
      </x:c>
      <x:c r="C10" s="61" t="n">
        <x:v>48</x:v>
      </x:c>
      <x:c r="D10" s="16" t="str">
        <x:v>months</x:v>
      </x:c>
      <x:c r="E10" s="86" t="n">
        <x:v>12</x:v>
      </x:c>
      <x:c r="F10" s="16" t="str">
        <x:v>168-hour missions</x:v>
      </x:c>
      <x:c r="G10" s="16" t="str">
        <x:v>six A2 and six S3 trials; changes permitted with version reset</x:v>
      </x:c>
      <x:c r="H10" s="16" t="str">
        <x:v>downselect or reject</x:v>
      </x:c>
    </x:row>
    <x:row r="11" ht="48" customHeight="1">
      <x:c r="A11" s="18" t="str">
        <x:v>L4</x:v>
      </x:c>
      <x:c r="B11" s="18" t="str">
        <x:v>Confirmatory full-cell missions</x:v>
      </x:c>
      <x:c r="C11" s="62" t="n">
        <x:v>48</x:v>
      </x:c>
      <x:c r="D11" s="18" t="str">
        <x:v>months</x:v>
      </x:c>
      <x:c r="E11" s="87" t="n">
        <x:v>30</x:v>
      </x:c>
      <x:c r="F11" s="18" t="str">
        <x:v>168-hour missions</x:v>
      </x:c>
      <x:c r="G11" s="18" t="str">
        <x:v>selected frozen candidate; zero failures for 90% one-sided lower-bound screen</x:v>
      </x:c>
      <x:c r="H11" s="18" t="str">
        <x:v>any architecture change restarts count</x:v>
      </x:c>
    </x:row>
    <x:row r="12" ht="48" customHeight="1">
      <x:c r="A12" s="16" t="str">
        <x:v>L5</x:v>
      </x:c>
      <x:c r="B12" s="16" t="str">
        <x:v>Metropolitan replication</x:v>
      </x:c>
      <x:c r="C12" s="61" t="n">
        <x:v>36</x:v>
      </x:c>
      <x:c r="D12" s="16" t="str">
        <x:v>months</x:v>
      </x:c>
      <x:c r="E12" s="86" t="n">
        <x:v>24000</x:v>
      </x:c>
      <x:c r="F12" s="16" t="str">
        <x:v>architecture-world rows</x:v>
      </x:c>
      <x:c r="G12" s="16" t="str">
        <x:v>twelve NYC catchments × 1,000 worlds × two frozen architectures</x:v>
      </x:c>
      <x:c r="H12" s="16" t="str">
        <x:v>primary hypotheses and sealed holdouts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.670000076293945" hidden="0" customWidth="1"/>
    <x:col min="2" max="2" width="28.889999389648438" hidden="0" customWidth="1"/>
    <x:col min="3" max="3" width="27.780000686645508" hidden="0" customWidth="1"/>
    <x:col min="4" max="4" width="10" hidden="0" customWidth="1"/>
    <x:col min="5" max="5" width="10" hidden="0" customWidth="1"/>
    <x:col min="6" max="6" width="8.329999923706055" hidden="0" customWidth="1"/>
    <x:col min="7" max="7" width="8.329999923706055" hidden="0" customWidth="1"/>
    <x:col min="8" max="8" width="10" hidden="0" customWidth="1"/>
    <x:col min="9" max="9" width="8.890000343322754" hidden="0" customWidth="1"/>
    <x:col min="10" max="10" width="7.21999979019165" hidden="0" customWidth="1"/>
    <x:col min="11" max="11" width="10" hidden="0" customWidth="1"/>
    <x:col min="12" max="12" width="11.109999656677246" hidden="0" customWidth="1"/>
    <x:col min="13" max="13" width="10.5600004196167" hidden="0" customWidth="1"/>
    <x:col min="14" max="14" width="8.329999923706055" hidden="0" customWidth="1"/>
  </x:cols>
  <x:sheetData>
    <x:row r="1">
      <x:c r="A1" s="24" t="str">
        <x:v>Element sample-size screen</x:v>
      </x:c>
    </x:row>
    <x:row r="2">
      <x:c r="A2" s="25" t="str">
        <x:v>Two-arm normal approximation with prespecified variance, clustering, attrition, and block rounding. Experimental units are not individual people.</x:v>
      </x:c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</x:row>
    <x:row r="5">
      <x:c r="A5" s="32" t="str">
        <x:v>ID</x:v>
      </x:c>
      <x:c r="B5" s="33" t="str">
        <x:v>Test</x:v>
      </x:c>
      <x:c r="C5" s="33" t="str">
        <x:v>Experimental unit</x:v>
      </x:c>
      <x:c r="D5" s="33" t="str">
        <x:v>Control mean</x:v>
      </x:c>
      <x:c r="E5" s="33" t="str">
        <x:v>Target mean</x:v>
      </x:c>
      <x:c r="F5" s="33" t="str">
        <x:v>Delta</x:v>
      </x:c>
      <x:c r="G5" s="33" t="str">
        <x:v>Sigma</x:v>
      </x:c>
      <x:c r="H5" s="33" t="str">
        <x:v>Design effect</x:v>
      </x:c>
      <x:c r="I5" s="33" t="str">
        <x:v>Attrition</x:v>
      </x:c>
      <x:c r="J5" s="33" t="str">
        <x:v>Block</x:v>
      </x:c>
      <x:c r="K5" s="33" t="str">
        <x:v>Raw / arm</x:v>
      </x:c>
      <x:c r="L5" s="33" t="str">
        <x:v>Adjusted / arm</x:v>
      </x:c>
      <x:c r="M5" s="33" t="str">
        <x:v>Planned / arm</x:v>
      </x:c>
      <x:c r="N5" s="34" t="str">
        <x:v>Total</x:v>
      </x:c>
    </x:row>
    <x:row r="6" ht="42" customHeight="1">
      <x:c r="A6" s="16" t="str">
        <x:v>SD-01</x:v>
      </x:c>
      <x:c r="B6" s="16" t="str">
        <x:v>Disconnected ledger reconciliation</x:v>
      </x:c>
      <x:c r="C6" s="16" t="str">
        <x:v>50-household reconciliation block</x:v>
      </x:c>
      <x:c r="D6" s="102" t="n">
        <x:v>0.35</x:v>
      </x:c>
      <x:c r="E6" s="102" t="n">
        <x:v>0.55</x:v>
      </x:c>
      <x:c r="F6" s="102" t="n">
        <x:v>0.2</x:v>
      </x:c>
      <x:c r="G6" s="102" t="n">
        <x:v>0.25</x:v>
      </x:c>
      <x:c r="H6" s="102" t="n">
        <x:v>2</x:v>
      </x:c>
      <x:c r="I6" s="79" t="n">
        <x:v>0.1</x:v>
      </x:c>
      <x:c r="J6" s="103" t="n">
        <x:v>12</x:v>
      </x:c>
      <x:c r="K6" s="103" t="n">
        <x:f>2*('Preregistration'!$B$9+'Preregistration'!$B$10)^2*G6^2/F6^2</x:f>
        <x:v>32.83569706700193</x:v>
      </x:c>
      <x:c r="L6" s="103" t="n">
        <x:f>K6*H6/(1-I6)</x:f>
        <x:v>72.96821570444874</x:v>
      </x:c>
      <x:c r="M6" s="103" t="n">
        <x:f>CEILING(L6/J6,1)*J6</x:f>
        <x:v>84</x:v>
      </x:c>
      <x:c r="N6" s="103" t="n">
        <x:f>M6*2</x:f>
        <x:v>168</x:v>
      </x:c>
    </x:row>
    <x:row r="7" ht="42" customHeight="1">
      <x:c r="A7" s="18" t="str">
        <x:v>SD-02</x:v>
      </x:c>
      <x:c r="B7" s="18" t="str">
        <x:v>Household contact and building screening</x:v>
      </x:c>
      <x:c r="C7" s="18" t="str">
        <x:v>team-shift</x:v>
      </x:c>
      <x:c r="D7" s="72" t="n">
        <x:v>1.6</x:v>
      </x:c>
      <x:c r="E7" s="72" t="n">
        <x:v>2.4</x:v>
      </x:c>
      <x:c r="F7" s="72" t="n">
        <x:v>0.8</x:v>
      </x:c>
      <x:c r="G7" s="72" t="n">
        <x:v>1.2</x:v>
      </x:c>
      <x:c r="H7" s="72" t="n">
        <x:v>1.8</x:v>
      </x:c>
      <x:c r="I7" s="104" t="n">
        <x:v>0.1</x:v>
      </x:c>
      <x:c r="J7" s="105" t="n">
        <x:v>12</x:v>
      </x:c>
      <x:c r="K7" s="106" t="n">
        <x:f>2*('Preregistration'!$B$9+'Preregistration'!$B$10)^2*G7^2/F7^2</x:f>
        <x:v>47.28340377648278</x:v>
      </x:c>
      <x:c r="L7" s="106" t="n">
        <x:f>K7*H7/(1-I7)</x:f>
        <x:v>94.56680755296556</x:v>
      </x:c>
      <x:c r="M7" s="106" t="n">
        <x:f>CEILING(L7/J7,1)*J7</x:f>
        <x:v>96</x:v>
      </x:c>
      <x:c r="N7" s="106" t="n">
        <x:f>M7*2</x:f>
        <x:v>192</x:v>
      </x:c>
    </x:row>
    <x:row r="8" ht="42" customHeight="1">
      <x:c r="A8" s="16" t="str">
        <x:v>SD-03</x:v>
      </x:c>
      <x:c r="B8" s="16" t="str">
        <x:v>Assisted vertical movement</x:v>
      </x:c>
      <x:c r="C8" s="16" t="str">
        <x:v>completed representative mission</x:v>
      </x:c>
      <x:c r="D8" s="102" t="n">
        <x:v>0.5</x:v>
      </x:c>
      <x:c r="E8" s="102" t="n">
        <x:v>0.8</x:v>
      </x:c>
      <x:c r="F8" s="102" t="n">
        <x:v>0.3</x:v>
      </x:c>
      <x:c r="G8" s="102" t="n">
        <x:v>0.45</x:v>
      </x:c>
      <x:c r="H8" s="102" t="n">
        <x:v>1.8</x:v>
      </x:c>
      <x:c r="I8" s="79" t="n">
        <x:v>0.1</x:v>
      </x:c>
      <x:c r="J8" s="103" t="n">
        <x:v>12</x:v>
      </x:c>
      <x:c r="K8" s="103" t="n">
        <x:f>2*('Preregistration'!$B$9+'Preregistration'!$B$10)^2*G8^2/F8^2</x:f>
        <x:v>47.283403776482785</x:v>
      </x:c>
      <x:c r="L8" s="103" t="n">
        <x:f>K8*H8/(1-I8)</x:f>
        <x:v>94.56680755296557</x:v>
      </x:c>
      <x:c r="M8" s="103" t="n">
        <x:f>CEILING(L8/J8,1)*J8</x:f>
        <x:v>96</x:v>
      </x:c>
      <x:c r="N8" s="103" t="n">
        <x:f>M8*2</x:f>
        <x:v>192</x:v>
      </x:c>
    </x:row>
    <x:row r="9" ht="42" customHeight="1">
      <x:c r="A9" s="18" t="str">
        <x:v>SD-04</x:v>
      </x:c>
      <x:c r="B9" s="18" t="str">
        <x:v>Route-assurance release productivity</x:v>
      </x:c>
      <x:c r="C9" s="18" t="str">
        <x:v>detachment-shift</x:v>
      </x:c>
      <x:c r="D9" s="72" t="n">
        <x:v>11.52</x:v>
      </x:c>
      <x:c r="E9" s="72" t="n">
        <x:v>15.5</x:v>
      </x:c>
      <x:c r="F9" s="72" t="n">
        <x:v>3.98</x:v>
      </x:c>
      <x:c r="G9" s="72" t="n">
        <x:v>6</x:v>
      </x:c>
      <x:c r="H9" s="72" t="n">
        <x:v>1.5</x:v>
      </x:c>
      <x:c r="I9" s="104" t="n">
        <x:v>0.1</x:v>
      </x:c>
      <x:c r="J9" s="105" t="n">
        <x:v>12</x:v>
      </x:c>
      <x:c r="K9" s="106" t="n">
        <x:f>2*('Preregistration'!$B$9+'Preregistration'!$B$10)^2*G9^2/F9^2</x:f>
        <x:v>47.759807859885136</x:v>
      </x:c>
      <x:c r="L9" s="106" t="n">
        <x:f>K9*H9/(1-I9)</x:f>
        <x:v>79.59967976647522</x:v>
      </x:c>
      <x:c r="M9" s="106" t="n">
        <x:f>CEILING(L9/J9,1)*J9</x:f>
        <x:v>84</x:v>
      </x:c>
      <x:c r="N9" s="106" t="n">
        <x:f>M9*2</x:f>
        <x:v>168</x:v>
      </x:c>
    </x:row>
    <x:row r="10" ht="42" customHeight="1">
      <x:c r="A10" s="16" t="str">
        <x:v>SD-05</x:v>
      </x:c>
      <x:c r="B10" s="16" t="str">
        <x:v>Collection full duty cycle</x:v>
      </x:c>
      <x:c r="C10" s="16" t="str">
        <x:v>dispatch-to-ready-again vehicle cycle</x:v>
      </x:c>
      <x:c r="D10" s="102" t="n">
        <x:v>34.72</x:v>
      </x:c>
      <x:c r="E10" s="102" t="n">
        <x:v>41.66</x:v>
      </x:c>
      <x:c r="F10" s="102" t="n">
        <x:v>6.94</x:v>
      </x:c>
      <x:c r="G10" s="102" t="n">
        <x:v>10</x:v>
      </x:c>
      <x:c r="H10" s="102" t="n">
        <x:v>1.5</x:v>
      </x:c>
      <x:c r="I10" s="79" t="n">
        <x:v>0.1</x:v>
      </x:c>
      <x:c r="J10" s="103" t="n">
        <x:v>12</x:v>
      </x:c>
      <x:c r="K10" s="103" t="n">
        <x:f>2*('Preregistration'!$B$9+'Preregistration'!$B$10)^2*G10^2/F10^2</x:f>
        <x:v>43.63221628549617</x:v>
      </x:c>
      <x:c r="L10" s="103" t="n">
        <x:f>K10*H10/(1-I10)</x:f>
        <x:v>72.72036047582695</x:v>
      </x:c>
      <x:c r="M10" s="103" t="n">
        <x:f>CEILING(L10/J10,1)*J10</x:f>
        <x:v>84</x:v>
      </x:c>
      <x:c r="N10" s="103" t="n">
        <x:f>M10*2</x:f>
        <x:v>168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11.109999656677246" hidden="0" customWidth="1"/>
    <x:col min="3" max="3" width="15" hidden="0" customWidth="1"/>
    <x:col min="4" max="4" width="12.220000267028809" hidden="0" customWidth="1"/>
    <x:col min="5" max="5" width="17.780000686645508" hidden="0" customWidth="1"/>
    <x:col min="6" max="6" width="53.33000183105469" hidden="0" customWidth="1"/>
  </x:cols>
  <x:sheetData>
    <x:row r="1">
      <x:c r="A1" s="24" t="str">
        <x:v>Zero-failure mission reliability screen</x:v>
      </x:c>
    </x:row>
    <x:row r="2">
      <x:c r="A2" s="25" t="str">
        <x:v>The count establishes a statistical lower-bound screen only after the architecture, trial relevance, independence, and failure definitions are accepted.</x:v>
      </x:c>
    </x:row>
    <x:row r="3">
      <x:c r="A3" s="26"/>
      <x:c r="B3" s="26"/>
      <x:c r="C3" s="26"/>
      <x:c r="D3" s="26"/>
      <x:c r="E3" s="26"/>
      <x:c r="F3" s="26"/>
    </x:row>
    <x:row r="5">
      <x:c r="A5" s="32" t="str">
        <x:v>Target reliability</x:v>
      </x:c>
      <x:c r="B5" s="33" t="str">
        <x:v>Confidence</x:v>
      </x:c>
      <x:c r="C5" s="33" t="str">
        <x:v>Exact zero-failure trials</x:v>
      </x:c>
      <x:c r="D5" s="33" t="str">
        <x:v>Program trials</x:v>
      </x:c>
      <x:c r="E5" s="33" t="str">
        <x:v>Lower bound at program count</x:v>
      </x:c>
      <x:c r="F5" s="34" t="str">
        <x:v>Meaning</x:v>
      </x:c>
    </x:row>
    <x:row r="6">
      <x:c r="A6" s="119" t="n">
        <x:v>0.8</x:v>
      </x:c>
      <x:c r="B6" s="119" t="n">
        <x:v>0.95</x:v>
      </x:c>
      <x:c r="C6" s="120" t="n">
        <x:f>CEILING(LN(1-B6)/LN(A6),1)</x:f>
        <x:v>14</x:v>
      </x:c>
      <x:c r="D6" s="120" t="n">
        <x:f>CEILING(C6/6,1)*6</x:f>
        <x:v>18</x:v>
      </x:c>
      <x:c r="E6" s="119" t="n">
        <x:f>(1-B6)^(1/D6)</x:f>
        <x:v>0.8466824460427218</x:v>
      </x:c>
      <x:c r="F6" s="19" t="str">
        <x:v>one-sided exact lower-bound screen after zero observed mission failures</x:v>
      </x:c>
    </x:row>
    <x:row r="7">
      <x:c r="A7" s="54" t="n">
        <x:v>0.85</x:v>
      </x:c>
      <x:c r="B7" s="54" t="n">
        <x:v>0.95</x:v>
      </x:c>
      <x:c r="C7" s="121" t="n">
        <x:f>CEILING(LN(1-B7)/LN(A7),1)</x:f>
        <x:v>19</x:v>
      </x:c>
      <x:c r="D7" s="121" t="n">
        <x:f>CEILING(C7/6,1)*6</x:f>
        <x:v>24</x:v>
      </x:c>
      <x:c r="E7" s="122" t="n">
        <x:f>(1-B7)^(1/D7)</x:f>
        <x:v>0.8826538438450513</x:v>
      </x:c>
      <x:c r="F7" s="17" t="str">
        <x:v>one-sided exact lower-bound screen after zero observed mission failures</x:v>
      </x:c>
    </x:row>
    <x:row r="8">
      <x:c r="A8" s="119" t="n">
        <x:v>0.9</x:v>
      </x:c>
      <x:c r="B8" s="119" t="n">
        <x:v>0.95</x:v>
      </x:c>
      <x:c r="C8" s="120" t="n">
        <x:f>CEILING(LN(1-B8)/LN(A8),1)</x:f>
        <x:v>29</x:v>
      </x:c>
      <x:c r="D8" s="120" t="n">
        <x:f>CEILING(C8/6,1)*6</x:f>
        <x:v>30</x:v>
      </x:c>
      <x:c r="E8" s="119" t="n">
        <x:f>(1-B8)^(1/D8)</x:f>
        <x:v>0.9049661471446959</x:v>
      </x:c>
      <x:c r="F8" s="19" t="str">
        <x:v>one-sided exact lower-bound screen after zero observed mission failures</x:v>
      </x:c>
    </x:row>
    <x:row r="9">
      <x:c r="A9" s="54" t="n">
        <x:v>0.95</x:v>
      </x:c>
      <x:c r="B9" s="54" t="n">
        <x:v>0.95</x:v>
      </x:c>
      <x:c r="C9" s="121" t="n">
        <x:f>CEILING(LN(1-B9)/LN(A9),1)</x:f>
        <x:v>59</x:v>
      </x:c>
      <x:c r="D9" s="121" t="n">
        <x:f>CEILING(C9/6,1)*6</x:f>
        <x:v>60</x:v>
      </x:c>
      <x:c r="E9" s="122" t="n">
        <x:f>(1-B9)^(1/D9)</x:f>
        <x:v>0.9512970866899025</x:v>
      </x:c>
      <x:c r="F9" s="17" t="str">
        <x:v>one-sided exact lower-bound screen after zero observed mission failures</x:v>
      </x:c>
    </x:row>
    <x:row r="10">
      <x:c r="A10" s="17"/>
      <x:c r="B10" s="17"/>
      <x:c r="C10" s="17"/>
      <x:c r="D10" s="17"/>
      <x:c r="E10" s="17"/>
      <x:c r="F10" s="17"/>
    </x:row>
    <x:row r="11">
      <x:c r="A11" s="40" t="str">
        <x:v>Interpretation boundary</x:v>
      </x:c>
      <x:c r="B11" s="40"/>
      <x:c r="C11" s="40"/>
      <x:c r="D11" s="40"/>
      <x:c r="E11" s="40"/>
      <x:c r="F11" s="40"/>
    </x:row>
    <x:row r="12" ht="46.5" customHeight="1">
      <x:c r="A12" s="123" t="str">
        <x:v>Interpretation</x:v>
      </x:c>
      <x:c r="B12" s="123" t="str">
        <x:v>Thirty successes with zero mission failures place the one-sided 95% exact lower bound above 90%. This screen assumes independent, identically relevant trials. If trials share people, software, sites, weather chambers, evaluators, or maintenance chains, the effective evidence is lower.</x:v>
      </x:c>
      <x:c r="C12" s="17"/>
      <x:c r="D12" s="17"/>
      <x:c r="E12" s="17"/>
      <x:c r="F12" s="17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.110000133514404" hidden="0" customWidth="1"/>
    <x:col min="2" max="2" width="28.329999923706055" hidden="0" customWidth="1"/>
    <x:col min="3" max="3" width="18.889999389648438" hidden="0" customWidth="1"/>
    <x:col min="4" max="4" width="35.560001373291016" hidden="0" customWidth="1"/>
    <x:col min="5" max="5" width="25.559999465942383" hidden="0" customWidth="1"/>
    <x:col min="6" max="6" width="10" hidden="0" customWidth="1"/>
    <x:col min="7" max="7" width="21.110000610351562" hidden="0" customWidth="1"/>
  </x:cols>
  <x:sheetData>
    <x:row r="1">
      <x:c r="A1" s="24" t="str">
        <x:v>Measurement register</x:v>
      </x:c>
    </x:row>
    <x:row r="2">
      <x:c r="A2" s="25" t="str">
        <x:v>Raw observations remain immutable. Derived states carry code version, time, source, missingness, and adjudication lineage.</x:v>
      </x:c>
    </x:row>
    <x:row r="3">
      <x:c r="A3" s="26"/>
      <x:c r="B3" s="26"/>
      <x:c r="C3" s="26"/>
      <x:c r="D3" s="26"/>
      <x:c r="E3" s="26"/>
      <x:c r="F3" s="26"/>
      <x:c r="G3" s="26"/>
    </x:row>
    <x:row r="5">
      <x:c r="A5" s="32" t="str">
        <x:v>ID</x:v>
      </x:c>
      <x:c r="B5" s="33" t="str">
        <x:v>Measure</x:v>
      </x:c>
      <x:c r="C5" s="33" t="str">
        <x:v>Unit</x:v>
      </x:c>
      <x:c r="D5" s="33" t="str">
        <x:v>Instrument</x:v>
      </x:c>
      <x:c r="E5" s="33" t="str">
        <x:v>Population or stratum</x:v>
      </x:c>
      <x:c r="F5" s="33" t="str">
        <x:v>Frequency</x:v>
      </x:c>
      <x:c r="G5" s="34" t="str">
        <x:v>Authority</x:v>
      </x:c>
    </x:row>
    <x:row r="6" ht="36" customHeight="1">
      <x:c r="A6" s="16" t="str">
        <x:v>M01</x:v>
      </x:c>
      <x:c r="B6" s="16" t="str">
        <x:v>Household disposition age</x:v>
      </x:c>
      <x:c r="C6" s="16" t="str">
        <x:v>hours</x:v>
      </x:c>
      <x:c r="D6" s="16" t="str">
        <x:v>ledger event log</x:v>
      </x:c>
      <x:c r="E6" s="16" t="str">
        <x:v>all households</x:v>
      </x:c>
      <x:c r="F6" s="16" t="str">
        <x:v>15 min</x:v>
      </x:c>
      <x:c r="G6" s="16" t="str">
        <x:v>rights/data authority</x:v>
      </x:c>
    </x:row>
    <x:row r="7" ht="36" customHeight="1">
      <x:c r="A7" s="18" t="str">
        <x:v>M02</x:v>
      </x:c>
      <x:c r="B7" s="18" t="str">
        <x:v>High-risk contact completeness</x:v>
      </x:c>
      <x:c r="C7" s="18" t="str">
        <x:v>share</x:v>
      </x:c>
      <x:c r="D7" s="18" t="str">
        <x:v>field contact plus independent audit</x:v>
      </x:c>
      <x:c r="E7" s="18" t="str">
        <x:v>high-risk households</x:v>
      </x:c>
      <x:c r="F7" s="18" t="str">
        <x:v>6 h</x:v>
      </x:c>
      <x:c r="G7" s="18" t="str">
        <x:v>independent evaluator</x:v>
      </x:c>
    </x:row>
    <x:row r="8" ht="36" customHeight="1">
      <x:c r="A8" s="16" t="str">
        <x:v>M03</x:v>
      </x:c>
      <x:c r="B8" s="16" t="str">
        <x:v>Safe-service state</x:v>
      </x:c>
      <x:c r="C8" s="16" t="str">
        <x:v>person-hours</x:v>
      </x:c>
      <x:c r="D8" s="16" t="str">
        <x:v>service registry and direct observation sample</x:v>
      </x:c>
      <x:c r="E8" s="16" t="str">
        <x:v>all demand people</x:v>
      </x:c>
      <x:c r="F8" s="16" t="str">
        <x:v>6 h</x:v>
      </x:c>
      <x:c r="G8" s="16" t="str">
        <x:v>mission-effects authority</x:v>
      </x:c>
    </x:row>
    <x:row r="9" ht="36" customHeight="1">
      <x:c r="A9" s="18" t="str">
        <x:v>M04</x:v>
      </x:c>
      <x:c r="B9" s="18" t="str">
        <x:v>Indoor thermal exposure</x:v>
      </x:c>
      <x:c r="C9" s="18" t="str">
        <x:v>degree-hours and hours above threshold</x:v>
      </x:c>
      <x:c r="D9" s="18" t="str">
        <x:v>instrumented occupied rooms</x:v>
      </x:c>
      <x:c r="E9" s="18" t="str">
        <x:v>building/floor strata</x:v>
      </x:c>
      <x:c r="F9" s="18" t="str">
        <x:v>5 min</x:v>
      </x:c>
      <x:c r="G9" s="18" t="str">
        <x:v>health/environment authority</x:v>
      </x:c>
    </x:row>
    <x:row r="10" ht="36" customHeight="1">
      <x:c r="A10" s="16" t="str">
        <x:v>M05</x:v>
      </x:c>
      <x:c r="B10" s="16" t="str">
        <x:v>Vertical mission productivity</x:v>
      </x:c>
      <x:c r="C10" s="16" t="str">
        <x:v>people/team-hour</x:v>
      </x:c>
      <x:c r="D10" s="16" t="str">
        <x:v>time-motion plus device telemetry</x:v>
      </x:c>
      <x:c r="E10" s="16" t="str">
        <x:v>building/floor/device strata</x:v>
      </x:c>
      <x:c r="F10" s="16" t="str">
        <x:v>event</x:v>
      </x:c>
      <x:c r="G10" s="16" t="str">
        <x:v>safety/test authority</x:v>
      </x:c>
    </x:row>
    <x:row r="11" ht="36" customHeight="1">
      <x:c r="A11" s="18" t="str">
        <x:v>M06</x:v>
      </x:c>
      <x:c r="B11" s="18" t="str">
        <x:v>Worker load and injury</x:v>
      </x:c>
      <x:c r="C11" s="18" t="str">
        <x:v>force, exertion, near miss, injury</x:v>
      </x:c>
      <x:c r="D11" s="18" t="str">
        <x:v>wearable/observer/clinical record</x:v>
      </x:c>
      <x:c r="E11" s="18" t="str">
        <x:v>representative teams</x:v>
      </x:c>
      <x:c r="F11" s="18" t="str">
        <x:v>event/shift</x:v>
      </x:c>
      <x:c r="G11" s="18" t="str">
        <x:v>worker-safety authority</x:v>
      </x:c>
    </x:row>
    <x:row r="12" ht="36" customHeight="1">
      <x:c r="A12" s="16" t="str">
        <x:v>M07</x:v>
      </x:c>
      <x:c r="B12" s="16" t="str">
        <x:v>Collection ready-again cycle</x:v>
      </x:c>
      <x:c r="C12" s="16" t="str">
        <x:v>minutes and people</x:v>
      </x:c>
      <x:c r="D12" s="16" t="str">
        <x:v>dispatch/vehicle/clean/energy logs</x:v>
      </x:c>
      <x:c r="E12" s="16" t="str">
        <x:v>each vehicle cycle</x:v>
      </x:c>
      <x:c r="F12" s="16" t="str">
        <x:v>event</x:v>
      </x:c>
      <x:c r="G12" s="16" t="str">
        <x:v>mobility test authority</x:v>
      </x:c>
    </x:row>
    <x:row r="13" ht="36" customHeight="1">
      <x:c r="A13" s="18" t="str">
        <x:v>M08</x:v>
      </x:c>
      <x:c r="B13" s="18" t="str">
        <x:v>Released street service</x:v>
      </x:c>
      <x:c r="C13" s="18" t="str">
        <x:v>vehicle-specific route-km-hours</x:v>
      </x:c>
      <x:c r="D13" s="18" t="str">
        <x:v>survey, control, inspection and release record</x:v>
      </x:c>
      <x:c r="E13" s="18" t="str">
        <x:v>each route class</x:v>
      </x:c>
      <x:c r="F13" s="18" t="str">
        <x:v>event/6 h</x:v>
      </x:c>
      <x:c r="G13" s="18" t="str">
        <x:v>transport authority</x:v>
      </x:c>
    </x:row>
    <x:row r="14" ht="36" customHeight="1">
      <x:c r="A14" s="16" t="str">
        <x:v>M09</x:v>
      </x:c>
      <x:c r="B14" s="16" t="str">
        <x:v>Utility service</x:v>
      </x:c>
      <x:c r="C14" s="16" t="str">
        <x:v>MW, MWh, m3, pressure, quality</x:v>
      </x:c>
      <x:c r="D14" s="16" t="str">
        <x:v>meter and laboratory record</x:v>
      </x:c>
      <x:c r="E14" s="16" t="str">
        <x:v>source/feeder/building</x:v>
      </x:c>
      <x:c r="F14" s="16" t="str">
        <x:v>1 min/lot</x:v>
      </x:c>
      <x:c r="G14" s="16" t="str">
        <x:v>technical authority</x:v>
      </x:c>
    </x:row>
    <x:row r="15" ht="36" customHeight="1">
      <x:c r="A15" s="18" t="str">
        <x:v>M10</x:v>
      </x:c>
      <x:c r="B15" s="18" t="str">
        <x:v>Communications service</x:v>
      </x:c>
      <x:c r="C15" s="18" t="str">
        <x:v>coverage, capacity, latency, delivery</x:v>
      </x:c>
      <x:c r="D15" s="18" t="str">
        <x:v>network telemetry and user tests</x:v>
      </x:c>
      <x:c r="E15" s="18" t="str">
        <x:v>public and responder classes</x:v>
      </x:c>
      <x:c r="F15" s="18" t="str">
        <x:v>5 min</x:v>
      </x:c>
      <x:c r="G15" s="18" t="str">
        <x:v>communications authority</x:v>
      </x:c>
    </x:row>
    <x:row r="16" ht="36" customHeight="1">
      <x:c r="A16" s="16" t="str">
        <x:v>M11</x:v>
      </x:c>
      <x:c r="B16" s="16" t="str">
        <x:v>Rights exception age</x:v>
      </x:c>
      <x:c r="C16" s="16" t="str">
        <x:v>hours and disposition</x:v>
      </x:c>
      <x:c r="D16" s="16" t="str">
        <x:v>independent case log</x:v>
      </x:c>
      <x:c r="E16" s="16" t="str">
        <x:v>all exceptions</x:v>
      </x:c>
      <x:c r="F16" s="16" t="str">
        <x:v>event</x:v>
      </x:c>
      <x:c r="G16" s="16" t="str">
        <x:v>civil rights authority</x:v>
      </x:c>
    </x:row>
    <x:row r="17" ht="36" customHeight="1">
      <x:c r="A17" s="18" t="str">
        <x:v>M12</x:v>
      </x:c>
      <x:c r="B17" s="18" t="str">
        <x:v>Next-mission capacity</x:v>
      </x:c>
      <x:c r="C17" s="18" t="str">
        <x:v>minimum functional share</x:v>
      </x:c>
      <x:c r="D17" s="18" t="str">
        <x:v>qualification, condition, stock and data audit</x:v>
      </x:c>
      <x:c r="E17" s="18" t="str">
        <x:v>all required functions</x:v>
      </x:c>
      <x:c r="F17" s="18" t="str">
        <x:v>hour 168</x:v>
      </x:c>
      <x:c r="G17" s="18" t="str">
        <x:v>independent operational test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1999979019165" hidden="0" customWidth="1"/>
    <x:col min="2" max="2" width="23.329999923706055" hidden="0" customWidth="1"/>
    <x:col min="3" max="3" width="63.33000183105469" hidden="0" customWidth="1"/>
    <x:col min="4" max="4" width="35.560001373291016" hidden="0" customWidth="1"/>
  </x:cols>
  <x:sheetData>
    <x:row r="1">
      <x:c r="A1" s="24" t="str">
        <x:v>Rights, ethics, and safety controls</x:v>
      </x:c>
    </x:row>
    <x:row r="2">
      <x:c r="A2" s="25" t="str">
        <x:v>Destructive testing applies to systems. People are never used as failure loads.</x:v>
      </x:c>
    </x:row>
    <x:row r="3">
      <x:c r="A3" s="26"/>
      <x:c r="B3" s="26"/>
      <x:c r="C3" s="26"/>
      <x:c r="D3" s="26"/>
    </x:row>
    <x:row r="5">
      <x:c r="A5" s="32" t="str">
        <x:v>ID</x:v>
      </x:c>
      <x:c r="B5" s="33" t="str">
        <x:v>Control</x:v>
      </x:c>
      <x:c r="C5" s="33" t="str">
        <x:v>Required implementation</x:v>
      </x:c>
      <x:c r="D5" s="34" t="str">
        <x:v>Admission consequence</x:v>
      </x:c>
    </x:row>
    <x:row r="6" ht="43.5" customHeight="1">
      <x:c r="A6" s="16" t="str">
        <x:v>RS-01</x:v>
      </x:c>
      <x:c r="B6" s="16" t="str">
        <x:v>No imposed deprivation</x:v>
      </x:c>
      <x:c r="C6" s="16" t="str">
        <x:v>Do not withdraw essential power, cooling, water, elevator access, communications, medication, or care from participants.</x:v>
      </x:c>
      <x:c r="D6" s="16" t="str">
        <x:v>violation stops trial and blocks evidence</x:v>
      </x:c>
    </x:row>
    <x:row r="7" ht="43.5" customHeight="1">
      <x:c r="A7" s="18" t="str">
        <x:v>RS-02</x:v>
      </x:c>
      <x:c r="B7" s="18" t="str">
        <x:v>Consent and authority</x:v>
      </x:c>
      <x:c r="C7" s="18" t="str">
        <x:v>Separate research consent, operational movement consent, and emergency legal authority in data and procedure.</x:v>
      </x:c>
      <x:c r="D7" s="18" t="str">
        <x:v>conflation is a sentinel failure</x:v>
      </x:c>
    </x:row>
    <x:row r="8" ht="43.5" customHeight="1">
      <x:c r="A8" s="16" t="str">
        <x:v>RS-03</x:v>
      </x:c>
      <x:c r="B8" s="16" t="str">
        <x:v>Accessible participation</x:v>
      </x:c>
      <x:c r="C8" s="16" t="str">
        <x:v>Disability-led design, paid participation, assistive devices, service animals, interpreters, caregivers, and accessible abort paths.</x:v>
      </x:c>
      <x:c r="D8" s="16" t="str">
        <x:v>missing class prevents representativeness claim</x:v>
      </x:c>
    </x:row>
    <x:row r="9" ht="43.5" customHeight="1">
      <x:c r="A9" s="18" t="str">
        <x:v>RS-04</x:v>
      </x:c>
      <x:c r="B9" s="18" t="str">
        <x:v>Worker protection</x:v>
      </x:c>
      <x:c r="C9" s="18" t="str">
        <x:v>Heat, lifting, confined-space, electrical, vehicle, and fatigue limits with independent stop authority.</x:v>
      </x:c>
      <x:c r="D9" s="18" t="str">
        <x:v>serious attributable injury is a sentinel failure</x:v>
      </x:c>
    </x:row>
    <x:row r="10" ht="43.5" customHeight="1">
      <x:c r="A10" s="16" t="str">
        <x:v>RS-05</x:v>
      </x:c>
      <x:c r="B10" s="16" t="str">
        <x:v>Synthetic identity layer</x:v>
      </x:c>
      <x:c r="C10" s="16" t="str">
        <x:v>Use synthetic household records for conflict, loss, reconciliation, and cyber testing.</x:v>
      </x:c>
      <x:c r="D10" s="16" t="str">
        <x:v>live personal data prohibited until separate authority</x:v>
      </x:c>
    </x:row>
    <x:row r="11" ht="43.5" customHeight="1">
      <x:c r="A11" s="18" t="str">
        <x:v>RS-06</x:v>
      </x:c>
      <x:c r="B11" s="18" t="str">
        <x:v>Independent adjudication</x:v>
      </x:c>
      <x:c r="C11" s="18" t="str">
        <x:v>Rights and safety outcomes are decided outside the sponsor and operating chain.</x:v>
      </x:c>
      <x:c r="D11" s="18" t="str">
        <x:v>sponsor-only finding receives no admission credit</x:v>
      </x:c>
    </x:row>
    <x:row r="12" ht="43.5" customHeight="1">
      <x:c r="A12" s="16" t="str">
        <x:v>RS-07</x:v>
      </x:c>
      <x:c r="B12" s="16" t="str">
        <x:v>No throughput trade</x:v>
      </x:c>
      <x:c r="C12" s="16" t="str">
        <x:v>Consent, household integrity, accessibility, destination acceptance, and privacy are constraints, not weighted objectives.</x:v>
      </x:c>
      <x:c r="D12" s="16" t="str">
        <x:v>any trade invalidates mission pass</x:v>
      </x:c>
    </x:row>
    <x:row r="13" ht="43.5" customHeight="1">
      <x:c r="A13" s="18" t="str">
        <x:v>RS-08</x:v>
      </x:c>
      <x:c r="B13" s="18" t="str">
        <x:v>Safe abort and rescue</x:v>
      </x:c>
      <x:c r="C13" s="18" t="str">
        <x:v>Every human-system trial has rehearsed stop, rescue, medical, fire, power, and egress procedures.</x:v>
      </x:c>
      <x:c r="D13" s="18" t="str">
        <x:v>missing or failed abort stops the campaign</x:v>
      </x:c>
    </x:row>
    <x:row r="14" ht="43.5" customHeight="1">
      <x:c r="A14" s="16" t="str">
        <x:v>RS-09</x:v>
      </x:c>
      <x:c r="B14" s="16" t="str">
        <x:v>Compensation and care</x:v>
      </x:c>
      <x:c r="C14" s="16" t="str">
        <x:v>Pay participants and fund treatment, follow-up, transport, accommodation, and device repair.</x:v>
      </x:c>
      <x:c r="D14" s="16" t="str">
        <x:v>unfunded burden blocks ethical approval</x:v>
      </x:c>
    </x:row>
    <x:row r="15" ht="43.5" customHeight="1">
      <x:c r="A15" s="18" t="str">
        <x:v>RS-10</x:v>
      </x:c>
      <x:c r="B15" s="18" t="str">
        <x:v>Public amendment record</x:v>
      </x:c>
      <x:c r="C15" s="18" t="str">
        <x:v>Publish protocol changes, exclusions, adverse events, missing data, and failed missions.</x:v>
      </x:c>
      <x:c r="D15" s="18" t="str">
        <x:v>undisclosed change voids confirmation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.21999979019165" hidden="0" customWidth="1"/>
    <x:col min="2" max="2" width="20" hidden="0" customWidth="1"/>
    <x:col min="3" max="3" width="43.33000183105469" hidden="0" customWidth="1"/>
    <x:col min="4" max="4" width="32.220001220703125" hidden="0" customWidth="1"/>
    <x:col min="5" max="5" width="36.66999816894531" hidden="0" customWidth="1"/>
  </x:cols>
  <x:sheetData>
    <x:row r="1">
      <x:c r="A1" s="24" t="str">
        <x:v>Data and analysis control</x:v>
      </x:c>
    </x:row>
    <x:row r="2">
      <x:c r="A2" s="25" t="str">
        <x:v>The commit freezes the protocol. Campaign data remain future work and must be snapshotted before architecture outputs exist.</x:v>
      </x:c>
    </x:row>
    <x:row r="3">
      <x:c r="A3" s="26"/>
      <x:c r="B3" s="26"/>
      <x:c r="C3" s="26"/>
      <x:c r="D3" s="26"/>
      <x:c r="E3" s="26"/>
    </x:row>
    <x:row r="5">
      <x:c r="A5" s="32" t="str">
        <x:v>ID</x:v>
      </x:c>
      <x:c r="B5" s="33" t="str">
        <x:v>Control object</x:v>
      </x:c>
      <x:c r="C5" s="33" t="str">
        <x:v>Frozen record</x:v>
      </x:c>
      <x:c r="D5" s="33" t="str">
        <x:v>Missing-data rule</x:v>
      </x:c>
      <x:c r="E5" s="34" t="str">
        <x:v>Leakage prevention</x:v>
      </x:c>
    </x:row>
    <x:row r="6" ht="43.5" customHeight="1">
      <x:c r="A6" s="16" t="str">
        <x:v>DC-01</x:v>
      </x:c>
      <x:c r="B6" s="16" t="str">
        <x:v>Source snapshot</x:v>
      </x:c>
      <x:c r="C6" s="16" t="str">
        <x:v>URL, retrieval UTC, version, schema, row count, byte count, SHA-256</x:v>
      </x:c>
      <x:c r="D6" s="16" t="str">
        <x:v>missing source blocks affected covariate; no silent substitute</x:v>
      </x:c>
      <x:c r="E6" s="16" t="str">
        <x:v>hash before architecture execution</x:v>
      </x:c>
    </x:row>
    <x:row r="7" ht="43.5" customHeight="1">
      <x:c r="A7" s="18" t="str">
        <x:v>DC-02</x:v>
      </x:c>
      <x:c r="B7" s="18" t="str">
        <x:v>Geography</x:v>
      </x:c>
      <x:c r="C7" s="18" t="str">
        <x:v>tract and building identifiers, geometry CRS, topology-repair log</x:v>
      </x:c>
      <x:c r="D7" s="18" t="str">
        <x:v>invalid geometry retained in defect table</x:v>
      </x:c>
      <x:c r="E7" s="18" t="str">
        <x:v>selection code sees no outcomes</x:v>
      </x:c>
    </x:row>
    <x:row r="8" ht="43.5" customHeight="1">
      <x:c r="A8" s="16" t="str">
        <x:v>DC-03</x:v>
      </x:c>
      <x:c r="B8" s="16" t="str">
        <x:v>Demand</x:v>
      </x:c>
      <x:c r="C8" s="16" t="str">
        <x:v>source fields, transformations, cohort precedence, denominator</x:v>
      </x:c>
      <x:c r="D8" s="16" t="str">
        <x:v>unknown remains unknown; no plausible-zero imputation</x:v>
      </x:c>
      <x:c r="E8" s="16" t="str">
        <x:v>synthetic demand generated before architecture assignment</x:v>
      </x:c>
    </x:row>
    <x:row r="9" ht="43.5" customHeight="1">
      <x:c r="A9" s="18" t="str">
        <x:v>DC-04</x:v>
      </x:c>
      <x:c r="B9" s="18" t="str">
        <x:v>Architecture</x:v>
      </x:c>
      <x:c r="C9" s="18" t="str">
        <x:v>Pass 37 A2/S3 values and exact code version</x:v>
      </x:c>
      <x:c r="D9" s="18" t="str">
        <x:v>no local tuning in confirmatory run</x:v>
      </x:c>
      <x:c r="E9" s="18" t="str">
        <x:v>separate exploratory branch for adaptations</x:v>
      </x:c>
    </x:row>
    <x:row r="10" ht="43.5" customHeight="1">
      <x:c r="A10" s="16" t="str">
        <x:v>DC-05</x:v>
      </x:c>
      <x:c r="B10" s="16" t="str">
        <x:v>Randomness</x:v>
      </x:c>
      <x:c r="C10" s="16" t="str">
        <x:v>seed text, generator, package versions, draw order</x:v>
      </x:c>
      <x:c r="D10" s="16" t="str">
        <x:v>failed run reruns same seed after code fix</x:v>
      </x:c>
      <x:c r="E10" s="16" t="str">
        <x:v>seed committed before output</x:v>
      </x:c>
    </x:row>
    <x:row r="11" ht="43.5" customHeight="1">
      <x:c r="A11" s="18" t="str">
        <x:v>DC-06</x:v>
      </x:c>
      <x:c r="B11" s="18" t="str">
        <x:v>Exclusions</x:v>
      </x:c>
      <x:c r="C11" s="18" t="str">
        <x:v>reason, discoverer, timestamp, architecture blindness, replacement rule</x:v>
      </x:c>
      <x:c r="D11" s="18" t="str">
        <x:v>no outcome-based removal</x:v>
      </x:c>
      <x:c r="E11" s="18" t="str">
        <x:v>independent data board signs replacement</x:v>
      </x:c>
    </x:row>
    <x:row r="12" ht="43.5" customHeight="1">
      <x:c r="A12" s="16" t="str">
        <x:v>DC-07</x:v>
      </x:c>
      <x:c r="B12" s="16" t="str">
        <x:v>Raw experiment data</x:v>
      </x:c>
      <x:c r="C12" s="16" t="str">
        <x:v>append-only instrument and observer records</x:v>
      </x:c>
      <x:c r="D12" s="16" t="str">
        <x:v>missing sensor remains explicit with reason</x:v>
      </x:c>
      <x:c r="E12" s="16" t="str">
        <x:v>operators cannot edit evaluator store</x:v>
      </x:c>
    </x:row>
    <x:row r="13" ht="43.5" customHeight="1">
      <x:c r="A13" s="18" t="str">
        <x:v>DC-08</x:v>
      </x:c>
      <x:c r="B13" s="18" t="str">
        <x:v>Derived data</x:v>
      </x:c>
      <x:c r="C13" s="18" t="str">
        <x:v>script hash, input hashes, parameters, output hash</x:v>
      </x:c>
      <x:c r="D13" s="18" t="str">
        <x:v>failed calculation is an error, not zero</x:v>
      </x:c>
      <x:c r="E13" s="18" t="str">
        <x:v>rebuild from immutable raw data</x:v>
      </x:c>
    </x:row>
    <x:row r="14" ht="43.5" customHeight="1">
      <x:c r="A14" s="16" t="str">
        <x:v>DC-09</x:v>
      </x:c>
      <x:c r="B14" s="16" t="str">
        <x:v>Holdouts</x:v>
      </x:c>
      <x:c r="C14" s="16" t="str">
        <x:v>encrypted or access-controlled identifiers and data</x:v>
      </x:c>
      <x:c r="D14" s="16" t="str">
        <x:v>no substitution after unsealing</x:v>
      </x:c>
      <x:c r="E14" s="16" t="str">
        <x:v>unseal after primary pipeline audit</x:v>
      </x:c>
    </x:row>
    <x:row r="15" ht="43.5" customHeight="1">
      <x:c r="A15" s="18" t="str">
        <x:v>DC-10</x:v>
      </x:c>
      <x:c r="B15" s="18" t="str">
        <x:v>Amendments</x:v>
      </x:c>
      <x:c r="C15" s="18" t="str">
        <x:v>version, reason, affected hypotheses and evidence reset</x:v>
      </x:c>
      <x:c r="D15" s="18" t="str">
        <x:v>unrecorded change voids confirmation</x:v>
      </x:c>
      <x:c r="E15" s="18" t="str">
        <x:v>public append-only protocol history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.670000076293945" hidden="0" customWidth="1"/>
    <x:col min="2" max="2" width="37.779998779296875" hidden="0" customWidth="1"/>
    <x:col min="3" max="3" width="10.5600004196167" hidden="0" customWidth="1"/>
    <x:col min="4" max="4" width="10" hidden="0" customWidth="1"/>
    <x:col min="5" max="5" width="7.78000020980835" hidden="0" customWidth="1"/>
    <x:col min="6" max="6" width="7.78000020980835" hidden="0" customWidth="1"/>
    <x:col min="7" max="7" width="11.670000076293945" hidden="0" customWidth="1"/>
    <x:col min="8" max="8" width="48.88999938964844" hidden="0" customWidth="1"/>
  </x:cols>
  <x:sheetData>
    <x:row r="1">
      <x:c r="A1" s="24" t="str">
        <x:v>Program cost screen</x:v>
      </x:c>
    </x:row>
    <x:row r="2">
      <x:c r="A2" s="25" t="str">
        <x:v>Real 2026 dollars. Even annual spreading is a transparent placeholder, not an executable obligation profile.</x:v>
      </x:c>
    </x:row>
    <x:row r="3">
      <x:c r="A3" s="26"/>
      <x:c r="B3" s="26"/>
      <x:c r="C3" s="26"/>
      <x:c r="D3" s="26"/>
      <x:c r="E3" s="26"/>
      <x:c r="F3" s="26"/>
      <x:c r="G3" s="26"/>
      <x:c r="H3" s="26"/>
    </x:row>
    <x:row r="5">
      <x:c r="A5" s="32" t="str">
        <x:v>ID</x:v>
      </x:c>
      <x:c r="B5" s="33" t="str">
        <x:v>Program package</x:v>
      </x:c>
      <x:c r="C5" s="33" t="str">
        <x:v>Class</x:v>
      </x:c>
      <x:c r="D5" s="33" t="str">
        <x:v>Total $B</x:v>
      </x:c>
      <x:c r="E5" s="33" t="str">
        <x:v>Start</x:v>
      </x:c>
      <x:c r="F5" s="33" t="str">
        <x:v>End</x:v>
      </x:c>
      <x:c r="G5" s="33" t="str">
        <x:v>Even annual $B</x:v>
      </x:c>
      <x:c r="H5" s="34" t="str">
        <x:v>Boundary</x:v>
      </x:c>
    </x:row>
    <x:row r="6" ht="31.5" customHeight="1">
      <x:c r="A6" s="16" t="str">
        <x:v>C01</x:v>
      </x:c>
      <x:c r="B6" s="16" t="str">
        <x:v>Metro data and secure synthetic-population infrastructure</x:v>
      </x:c>
      <x:c r="C6" s="16" t="str">
        <x:v>capital</x:v>
      </x:c>
      <x:c r="D6" s="140" t="n">
        <x:v>1.2</x:v>
      </x:c>
      <x:c r="E6" s="61" t="n">
        <x:v>2027</x:v>
      </x:c>
      <x:c r="F6" s="61" t="n">
        <x:v>2029</x:v>
      </x:c>
      <x:c r="G6" s="140" t="n">
        <x:f>D6/(F6-E6+1)</x:f>
        <x:v>0.39999999999999997</x:v>
      </x:c>
      <x:c r="H6" s="16" t="str">
        <x:v>source snapshots, privacy-preserving records, compute and storage</x:v>
      </x:c>
    </x:row>
    <x:row r="7" ht="31.5" customHeight="1">
      <x:c r="A7" s="18" t="str">
        <x:v>C02</x:v>
      </x:c>
      <x:c r="B7" s="18" t="str">
        <x:v>Vertical-city test range and utility yard</x:v>
      </x:c>
      <x:c r="C7" s="18" t="str">
        <x:v>capital</x:v>
      </x:c>
      <x:c r="D7" s="141" t="n">
        <x:v>11</x:v>
      </x:c>
      <x:c r="E7" s="142" t="n">
        <x:v>2027</x:v>
      </x:c>
      <x:c r="F7" s="142" t="n">
        <x:v>2031</x:v>
      </x:c>
      <x:c r="G7" s="143" t="n">
        <x:f>D7/(F7-E7+1)</x:f>
        <x:v>2.2</x:v>
      </x:c>
      <x:c r="H7" s="18" t="str">
        <x:v>heat, power, water, communications, street and logistics fault capability</x:v>
      </x:c>
    </x:row>
    <x:row r="8" ht="31.5" customHeight="1">
      <x:c r="A8" s="16" t="str">
        <x:v>C03</x:v>
      </x:c>
      <x:c r="B8" s="16" t="str">
        <x:v>Instrumented residential building archetypes</x:v>
      </x:c>
      <x:c r="C8" s="16" t="str">
        <x:v>capital</x:v>
      </x:c>
      <x:c r="D8" s="140" t="n">
        <x:v>5.5</x:v>
      </x:c>
      <x:c r="E8" s="61" t="n">
        <x:v>2028</x:v>
      </x:c>
      <x:c r="F8" s="61" t="n">
        <x:v>2032</x:v>
      </x:c>
      <x:c r="G8" s="140" t="n">
        <x:f>D8/(F8-E8+1)</x:f>
        <x:v>1.1</x:v>
      </x:c>
      <x:c r="H8" s="16" t="str">
        <x:v>low-, mid-, high-rise and campus buildings; no occupied deprivation</x:v>
      </x:c>
    </x:row>
    <x:row r="9" ht="31.5" customHeight="1">
      <x:c r="A9" s="18" t="str">
        <x:v>C04</x:v>
      </x:c>
      <x:c r="B9" s="18" t="str">
        <x:v>A2 conventional test articles</x:v>
      </x:c>
      <x:c r="C9" s="18" t="str">
        <x:v>capital</x:v>
      </x:c>
      <x:c r="D9" s="141" t="n">
        <x:v>7.5</x:v>
      </x:c>
      <x:c r="E9" s="142" t="n">
        <x:v>2028</x:v>
      </x:c>
      <x:c r="F9" s="142" t="n">
        <x:v>2031</x:v>
      </x:c>
      <x:c r="G9" s="143" t="n">
        <x:f>D9/(F9-E9+1)</x:f>
        <x:v>1.875</x:v>
      </x:c>
      <x:c r="H9" s="18" t="str">
        <x:v>cell equipment, districts, vehicles, utilities and field systems</x:v>
      </x:c>
    </x:row>
    <x:row r="10" ht="31.5" customHeight="1">
      <x:c r="A10" s="16" t="str">
        <x:v>C05</x:v>
      </x:c>
      <x:c r="B10" s="16" t="str">
        <x:v>S3 rival technology test articles</x:v>
      </x:c>
      <x:c r="C10" s="16" t="str">
        <x:v>capital</x:v>
      </x:c>
      <x:c r="D10" s="140" t="n">
        <x:v>10.5</x:v>
      </x:c>
      <x:c r="E10" s="61" t="n">
        <x:v>2028</x:v>
      </x:c>
      <x:c r="F10" s="61" t="n">
        <x:v>2033</x:v>
      </x:c>
      <x:c r="G10" s="140" t="n">
        <x:f>D10/(F10-E10+1)</x:f>
        <x:v>1.75</x:v>
      </x:c>
      <x:c r="H10" s="16" t="str">
        <x:v>offline ledger, access, vertical, prepared adapter and distributed networks</x:v>
      </x:c>
    </x:row>
    <x:row r="11" ht="31.5" customHeight="1">
      <x:c r="A11" s="18" t="str">
        <x:v>C06</x:v>
      </x:c>
      <x:c r="B11" s="18" t="str">
        <x:v>Instrumentation, telemetry and simulation</x:v>
      </x:c>
      <x:c r="C11" s="18" t="str">
        <x:v>capital</x:v>
      </x:c>
      <x:c r="D11" s="141" t="n">
        <x:v>3</x:v>
      </x:c>
      <x:c r="E11" s="142" t="n">
        <x:v>2027</x:v>
      </x:c>
      <x:c r="F11" s="142" t="n">
        <x:v>2030</x:v>
      </x:c>
      <x:c r="G11" s="143" t="n">
        <x:f>D11/(F11-E11+1)</x:f>
        <x:v>0.75</x:v>
      </x:c>
      <x:c r="H11" s="18" t="str">
        <x:v>independent sensors, clocks, audit records and model infrastructure</x:v>
      </x:c>
    </x:row>
    <x:row r="12" ht="31.5" customHeight="1">
      <x:c r="A12" s="16" t="str">
        <x:v>C07</x:v>
      </x:c>
      <x:c r="B12" s="16" t="str">
        <x:v>Utility and communications fault infrastructure</x:v>
      </x:c>
      <x:c r="C12" s="16" t="str">
        <x:v>capital</x:v>
      </x:c>
      <x:c r="D12" s="140" t="n">
        <x:v>4</x:v>
      </x:c>
      <x:c r="E12" s="61" t="n">
        <x:v>2028</x:v>
      </x:c>
      <x:c r="F12" s="61" t="n">
        <x:v>2032</x:v>
      </x:c>
      <x:c r="G12" s="140" t="n">
        <x:f>D12/(F12-E12+1)</x:f>
        <x:v>0.8</x:v>
      </x:c>
      <x:c r="H12" s="16" t="str">
        <x:v>source, feeder, controls, water, thermal, spectrum and cyber injection</x:v>
      </x:c>
    </x:row>
    <x:row r="13" ht="31.5" customHeight="1">
      <x:c r="A13" s="18" t="str">
        <x:v>C08</x:v>
      </x:c>
      <x:c r="B13" s="18" t="str">
        <x:v>Workforce academy and qualification rigs</x:v>
      </x:c>
      <x:c r="C13" s="18" t="str">
        <x:v>capital</x:v>
      </x:c>
      <x:c r="D13" s="141" t="n">
        <x:v>3.5</x:v>
      </x:c>
      <x:c r="E13" s="142" t="n">
        <x:v>2028</x:v>
      </x:c>
      <x:c r="F13" s="142" t="n">
        <x:v>2032</x:v>
      </x:c>
      <x:c r="G13" s="143" t="n">
        <x:f>D13/(F13-E13+1)</x:f>
        <x:v>0.7</x:v>
      </x:c>
      <x:c r="H13" s="18" t="str">
        <x:v>training, participant systems, worker safety and crew regeneration</x:v>
      </x:c>
    </x:row>
    <x:row r="14" ht="31.5" customHeight="1">
      <x:c r="A14" s="16" t="str">
        <x:v>O01</x:v>
      </x:c>
      <x:c r="B14" s="16" t="str">
        <x:v>Preregistration, data and protocol operations</x:v>
      </x:c>
      <x:c r="C14" s="16" t="str">
        <x:v>operations</x:v>
      </x:c>
      <x:c r="D14" s="140" t="n">
        <x:v>1.5</x:v>
      </x:c>
      <x:c r="E14" s="61" t="n">
        <x:v>2027</x:v>
      </x:c>
      <x:c r="F14" s="61" t="n">
        <x:v>2030</x:v>
      </x:c>
      <x:c r="G14" s="140" t="n">
        <x:f>D14/(F14-E14+1)</x:f>
        <x:v>0.375</x:v>
      </x:c>
      <x:c r="H14" s="16" t="str">
        <x:v>methods, source stewardship, code review and public registration</x:v>
      </x:c>
    </x:row>
    <x:row r="15" ht="31.5" customHeight="1">
      <x:c r="A15" s="18" t="str">
        <x:v>O02</x:v>
      </x:c>
      <x:c r="B15" s="18" t="str">
        <x:v>Element and human-system campaigns</x:v>
      </x:c>
      <x:c r="C15" s="18" t="str">
        <x:v>operations</x:v>
      </x:c>
      <x:c r="D15" s="141" t="n">
        <x:v>4</x:v>
      </x:c>
      <x:c r="E15" s="142" t="n">
        <x:v>2029</x:v>
      </x:c>
      <x:c r="F15" s="142" t="n">
        <x:v>2033</x:v>
      </x:c>
      <x:c r="G15" s="143" t="n">
        <x:f>D15/(F15-E15+1)</x:f>
        <x:v>0.8</x:v>
      </x:c>
      <x:c r="H15" s="18" t="str">
        <x:v>ledger, contact, vertical, route and collection trials</x:v>
      </x:c>
    </x:row>
    <x:row r="16" ht="31.5" customHeight="1">
      <x:c r="A16" s="16" t="str">
        <x:v>O03</x:v>
      </x:c>
      <x:c r="B16" s="16" t="str">
        <x:v>Utility and occupied-district trials</x:v>
      </x:c>
      <x:c r="C16" s="16" t="str">
        <x:v>operations</x:v>
      </x:c>
      <x:c r="D16" s="140" t="n">
        <x:v>6</x:v>
      </x:c>
      <x:c r="E16" s="61" t="n">
        <x:v>2030</x:v>
      </x:c>
      <x:c r="F16" s="61" t="n">
        <x:v>2035</x:v>
      </x:c>
      <x:c r="G16" s="140" t="n">
        <x:f>D16/(F16-E16+1)</x:f>
        <x:v>1</x:v>
      </x:c>
      <x:c r="H16" s="16" t="str">
        <x:v>seven-day fault campaigns and 72-hour district missions</x:v>
      </x:c>
    </x:row>
    <x:row r="17" ht="31.5" customHeight="1">
      <x:c r="A17" s="18" t="str">
        <x:v>O04</x:v>
      </x:c>
      <x:c r="B17" s="18" t="str">
        <x:v>Developmental full-cell missions</x:v>
      </x:c>
      <x:c r="C17" s="18" t="str">
        <x:v>operations</x:v>
      </x:c>
      <x:c r="D17" s="141" t="n">
        <x:v>5.4</x:v>
      </x:c>
      <x:c r="E17" s="142" t="n">
        <x:v>2032</x:v>
      </x:c>
      <x:c r="F17" s="142" t="n">
        <x:v>2035</x:v>
      </x:c>
      <x:c r="G17" s="143" t="n">
        <x:f>D17/(F17-E17+1)</x:f>
        <x:v>1.35</x:v>
      </x:c>
      <x:c r="H17" s="18" t="str">
        <x:v>twelve 168-hour missions at a $450M design factor</x:v>
      </x:c>
    </x:row>
    <x:row r="18" ht="31.5" customHeight="1">
      <x:c r="A18" s="16" t="str">
        <x:v>O05</x:v>
      </x:c>
      <x:c r="B18" s="16" t="str">
        <x:v>Confirmatory full-cell missions</x:v>
      </x:c>
      <x:c r="C18" s="16" t="str">
        <x:v>operations</x:v>
      </x:c>
      <x:c r="D18" s="140" t="n">
        <x:v>13.5</x:v>
      </x:c>
      <x:c r="E18" s="61" t="n">
        <x:v>2034</x:v>
      </x:c>
      <x:c r="F18" s="61" t="n">
        <x:v>2038</x:v>
      </x:c>
      <x:c r="G18" s="140" t="n">
        <x:f>D18/(F18-E18+1)</x:f>
        <x:v>2.7</x:v>
      </x:c>
      <x:c r="H18" s="16" t="str">
        <x:v>thirty 168-hour missions at a $450M design factor</x:v>
      </x:c>
    </x:row>
    <x:row r="19" ht="31.5" customHeight="1">
      <x:c r="A19" s="18" t="str">
        <x:v>O06</x:v>
      </x:c>
      <x:c r="B19" s="18" t="str">
        <x:v>Independent test, safety, rights and ethics</x:v>
      </x:c>
      <x:c r="C19" s="18" t="str">
        <x:v>operations</x:v>
      </x:c>
      <x:c r="D19" s="141" t="n">
        <x:v>3</x:v>
      </x:c>
      <x:c r="E19" s="142" t="n">
        <x:v>2027</x:v>
      </x:c>
      <x:c r="F19" s="142" t="n">
        <x:v>2038</x:v>
      </x:c>
      <x:c r="G19" s="143" t="n">
        <x:f>D19/(F19-E19+1)</x:f>
        <x:v>0.25</x:v>
      </x:c>
      <x:c r="H19" s="18" t="str">
        <x:v>separate authority, adjudication, red teams and public reporting</x:v>
      </x:c>
    </x:row>
    <x:row r="20" ht="31.5" customHeight="1">
      <x:c r="A20" s="16" t="str">
        <x:v>O07</x:v>
      </x:c>
      <x:c r="B20" s="16" t="str">
        <x:v>Logistics, maintenance and participant services</x:v>
      </x:c>
      <x:c r="C20" s="16" t="str">
        <x:v>operations</x:v>
      </x:c>
      <x:c r="D20" s="140" t="n">
        <x:v>5.5</x:v>
      </x:c>
      <x:c r="E20" s="61" t="n">
        <x:v>2029</x:v>
      </x:c>
      <x:c r="F20" s="61" t="n">
        <x:v>2038</x:v>
      </x:c>
      <x:c r="G20" s="140" t="n">
        <x:f>D20/(F20-E20+1)</x:f>
        <x:v>0.55</x:v>
      </x:c>
      <x:c r="H20" s="16" t="str">
        <x:v>movement, spares, repair, medical support, accessibility and recovery</x:v>
      </x:c>
    </x:row>
    <x:row r="21" ht="31.5" customHeight="1">
      <x:c r="A21" s="18" t="str">
        <x:v>O08</x:v>
      </x:c>
      <x:c r="B21" s="18" t="str">
        <x:v>NYC replication campaign and analysis</x:v>
      </x:c>
      <x:c r="C21" s="18" t="str">
        <x:v>operations</x:v>
      </x:c>
      <x:c r="D21" s="141" t="n">
        <x:v>1.5</x:v>
      </x:c>
      <x:c r="E21" s="142" t="n">
        <x:v>2028</x:v>
      </x:c>
      <x:c r="F21" s="142" t="n">
        <x:v>2032</x:v>
      </x:c>
      <x:c r="G21" s="143" t="n">
        <x:f>D21/(F21-E21+1)</x:f>
        <x:v>0.3</x:v>
      </x:c>
      <x:c r="H21" s="18" t="str">
        <x:v>twelve catchments, broad worlds, holdouts and independent reproduction</x:v>
      </x:c>
    </x:row>
    <x:row r="22" ht="31.5" customHeight="1">
      <x:c r="A22" s="16" t="str">
        <x:v>O09</x:v>
      </x:c>
      <x:c r="B22" s="16" t="str">
        <x:v>Independent third-metropolitan replication</x:v>
      </x:c>
      <x:c r="C22" s="16" t="str">
        <x:v>operations</x:v>
      </x:c>
      <x:c r="D22" s="140" t="n">
        <x:v>2.5</x:v>
      </x:c>
      <x:c r="E22" s="61" t="n">
        <x:v>2035</x:v>
      </x:c>
      <x:c r="F22" s="61" t="n">
        <x:v>2038</x:v>
      </x:c>
      <x:c r="G22" s="140" t="n">
        <x:f>D22/(F22-E22+1)</x:f>
        <x:v>0.625</x:v>
      </x:c>
      <x:c r="H22" s="16" t="str">
        <x:v>prevents one vertical-city success from becoming national admission</x:v>
      </x:c>
    </x:row>
    <x:row r="23">
      <x:c r="A23" s="17"/>
      <x:c r="B23" s="17"/>
      <x:c r="C23" s="17"/>
      <x:c r="D23" s="17"/>
      <x:c r="E23" s="17"/>
      <x:c r="F23" s="17"/>
      <x:c r="G23" s="17"/>
      <x:c r="H23" s="17"/>
    </x:row>
    <x:row r="24">
      <x:c r="A24" s="32" t="str">
        <x:v>Program totals</x:v>
      </x:c>
      <x:c r="B24" s="33" t="str"/>
      <x:c r="C24" s="33" t="str"/>
      <x:c r="D24" s="33" t="str">
        <x:v>Value $B</x:v>
      </x:c>
      <x:c r="E24" s="33" t="str"/>
      <x:c r="F24" s="33" t="str"/>
      <x:c r="G24" s="33" t="str"/>
      <x:c r="H24" s="34" t="str">
        <x:v>Meaning</x:v>
      </x:c>
    </x:row>
    <x:row r="25">
      <x:c r="A25" s="19" t="str">
        <x:v>Direct capital</x:v>
      </x:c>
      <x:c r="B25" s="19"/>
      <x:c r="C25" s="19"/>
      <x:c r="D25" s="22" t="n">
        <x:f>SUMIF(C6:C22,"capital",D6:D22)</x:f>
        <x:v>46.2</x:v>
      </x:c>
      <x:c r="E25" s="19"/>
      <x:c r="F25" s="19"/>
      <x:c r="G25" s="19"/>
      <x:c r="H25" s="19" t="str">
        <x:v>test infrastructure and prototype capital</x:v>
      </x:c>
    </x:row>
    <x:row r="26">
      <x:c r="A26" s="17" t="str">
        <x:v>Direct operations</x:v>
      </x:c>
      <x:c r="B26" s="17"/>
      <x:c r="C26" s="17"/>
      <x:c r="D26" s="23" t="n">
        <x:f>SUMIF(C6:C22,"operations",D6:D22)</x:f>
        <x:v>42.9</x:v>
      </x:c>
      <x:c r="E26" s="17"/>
      <x:c r="F26" s="17"/>
      <x:c r="G26" s="17"/>
      <x:c r="H26" s="17" t="str">
        <x:v>twelve-year RDT&amp;E and mission-test operations</x:v>
      </x:c>
    </x:row>
    <x:row r="27">
      <x:c r="A27" s="19" t="str">
        <x:v>Program reserve</x:v>
      </x:c>
      <x:c r="B27" s="19"/>
      <x:c r="C27" s="19"/>
      <x:c r="D27" s="22" t="n">
        <x:f>(D25+D26)*'Preregistration'!$B$15</x:f>
        <x:v>26.729999999999997</x:v>
      </x:c>
      <x:c r="E27" s="19"/>
      <x:c r="F27" s="19"/>
      <x:c r="G27" s="19"/>
      <x:c r="H27" s="19" t="str">
        <x:v>30% design-stage uncertainty reserve</x:v>
      </x:c>
    </x:row>
    <x:row r="28">
      <x:c r="A28" s="144" t="str">
        <x:v>Authorized program screen</x:v>
      </x:c>
      <x:c r="B28" s="144"/>
      <x:c r="C28" s="144"/>
      <x:c r="D28" s="145" t="n">
        <x:f>SUM(D25:D27)</x:f>
        <x:v>115.82999999999998</x:v>
      </x:c>
      <x:c r="E28" s="144"/>
      <x:c r="F28" s="144"/>
      <x:c r="G28" s="144"/>
      <x:c r="H28" s="144" t="str">
        <x:v>not an acquisition baseline or independent estimate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2.220000267028809" hidden="0" customWidth="1"/>
    <x:col min="3" max="3" width="13.890000343322754" hidden="0" customWidth="1"/>
    <x:col min="4" max="4" width="11.670000076293945" hidden="0" customWidth="1"/>
    <x:col min="5" max="5" width="11.670000076293945" hidden="0" customWidth="1"/>
    <x:col min="6" max="6" width="16.110000610351562" hidden="0" customWidth="1"/>
    <x:col min="7" max="7" width="2.7799999713897705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</x:cols>
  <x:sheetData>
    <x:row r="1">
      <x:c r="A1" s="24" t="str">
        <x:v>Annual program profile</x:v>
      </x:c>
    </x:row>
    <x:row r="2">
      <x:c r="A2" s="25" t="str">
        <x:v>Even spreading of each package across its start and end years. Reserve is applied annually at 30%.</x:v>
      </x:c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</x:row>
    <x:row r="5">
      <x:c r="A5" s="32" t="str">
        <x:v>Year</x:v>
      </x:c>
      <x:c r="B5" s="33" t="str">
        <x:v>Capital $B</x:v>
      </x:c>
      <x:c r="C5" s="33" t="str">
        <x:v>Operations $B</x:v>
      </x:c>
      <x:c r="D5" s="33" t="str">
        <x:v>Direct $B</x:v>
      </x:c>
      <x:c r="E5" s="33" t="str">
        <x:v>Reserve $B</x:v>
      </x:c>
      <x:c r="F5" s="34" t="str">
        <x:v>Authorized screen $B</x:v>
      </x:c>
    </x:row>
    <x:row r="6">
      <x:c r="A6" s="19" t="n">
        <x:v>2027</x:v>
      </x:c>
      <x:c r="B6" s="22" t="n">
        <x:f>SUMIFS('Cost Build'!$G$6:$G$22,'Cost Build'!$C$6:$C$22,"capital",'Cost Build'!$E$6:$E$22,"&lt;="&amp;A6,'Cost Build'!$F$6:$F$22,"&gt;="&amp;A6)</x:f>
        <x:v>3.35</x:v>
      </x:c>
      <x:c r="C6" s="22" t="n">
        <x:f>SUMIFS('Cost Build'!$G$6:$G$22,'Cost Build'!$C$6:$C$22,"operations",'Cost Build'!$E$6:$E$22,"&lt;="&amp;A6,'Cost Build'!$F$6:$F$22,"&gt;="&amp;A6)</x:f>
        <x:v>0.625</x:v>
      </x:c>
      <x:c r="D6" s="22" t="n">
        <x:f>SUM(B6:C6)</x:f>
        <x:v>3.975</x:v>
      </x:c>
      <x:c r="E6" s="22" t="n">
        <x:f>D6*'Preregistration'!$B$15</x:f>
        <x:v>1.1925</x:v>
      </x:c>
      <x:c r="F6" s="22" t="n">
        <x:f>D6+E6</x:f>
        <x:v>5.1675</x:v>
      </x:c>
    </x:row>
    <x:row r="7">
      <x:c r="A7" s="17" t="n">
        <x:v>2028</x:v>
      </x:c>
      <x:c r="B7" s="23" t="n">
        <x:f>SUMIFS('Cost Build'!$G$6:$G$22,'Cost Build'!$C$6:$C$22,"capital",'Cost Build'!$E$6:$E$22,"&lt;="&amp;A7,'Cost Build'!$F$6:$F$22,"&gt;="&amp;A7)</x:f>
        <x:v>9.575</x:v>
      </x:c>
      <x:c r="C7" s="23" t="n">
        <x:f>SUMIFS('Cost Build'!$G$6:$G$22,'Cost Build'!$C$6:$C$22,"operations",'Cost Build'!$E$6:$E$22,"&lt;="&amp;A7,'Cost Build'!$F$6:$F$22,"&gt;="&amp;A7)</x:f>
        <x:v>0.925</x:v>
      </x:c>
      <x:c r="D7" s="23" t="n">
        <x:f>SUM(B7:C7)</x:f>
        <x:v>10.5</x:v>
      </x:c>
      <x:c r="E7" s="23" t="n">
        <x:f>D7*'Preregistration'!$B$15</x:f>
        <x:v>3.15</x:v>
      </x:c>
      <x:c r="F7" s="23" t="n">
        <x:f>D7+E7</x:f>
        <x:v>13.65</x:v>
      </x:c>
    </x:row>
    <x:row r="8">
      <x:c r="A8" s="19" t="n">
        <x:v>2029</x:v>
      </x:c>
      <x:c r="B8" s="22" t="n">
        <x:f>SUMIFS('Cost Build'!$G$6:$G$22,'Cost Build'!$C$6:$C$22,"capital",'Cost Build'!$E$6:$E$22,"&lt;="&amp;A8,'Cost Build'!$F$6:$F$22,"&gt;="&amp;A8)</x:f>
        <x:v>9.575</x:v>
      </x:c>
      <x:c r="C8" s="22" t="n">
        <x:f>SUMIFS('Cost Build'!$G$6:$G$22,'Cost Build'!$C$6:$C$22,"operations",'Cost Build'!$E$6:$E$22,"&lt;="&amp;A8,'Cost Build'!$F$6:$F$22,"&gt;="&amp;A8)</x:f>
        <x:v>2.275</x:v>
      </x:c>
      <x:c r="D8" s="22" t="n">
        <x:f>SUM(B8:C8)</x:f>
        <x:v>11.85</x:v>
      </x:c>
      <x:c r="E8" s="22" t="n">
        <x:f>D8*'Preregistration'!$B$15</x:f>
        <x:v>3.5549999999999997</x:v>
      </x:c>
      <x:c r="F8" s="22" t="n">
        <x:f>D8+E8</x:f>
        <x:v>15.405</x:v>
      </x:c>
    </x:row>
    <x:row r="9">
      <x:c r="A9" s="17" t="n">
        <x:v>2030</x:v>
      </x:c>
      <x:c r="B9" s="23" t="n">
        <x:f>SUMIFS('Cost Build'!$G$6:$G$22,'Cost Build'!$C$6:$C$22,"capital",'Cost Build'!$E$6:$E$22,"&lt;="&amp;A9,'Cost Build'!$F$6:$F$22,"&gt;="&amp;A9)</x:f>
        <x:v>9.175</x:v>
      </x:c>
      <x:c r="C9" s="23" t="n">
        <x:f>SUMIFS('Cost Build'!$G$6:$G$22,'Cost Build'!$C$6:$C$22,"operations",'Cost Build'!$E$6:$E$22,"&lt;="&amp;A9,'Cost Build'!$F$6:$F$22,"&gt;="&amp;A9)</x:f>
        <x:v>3.2749999999999995</x:v>
      </x:c>
      <x:c r="D9" s="23" t="n">
        <x:f>SUM(B9:C9)</x:f>
        <x:v>12.45</x:v>
      </x:c>
      <x:c r="E9" s="23" t="n">
        <x:f>D9*'Preregistration'!$B$15</x:f>
        <x:v>3.7349999999999994</x:v>
      </x:c>
      <x:c r="F9" s="23" t="n">
        <x:f>D9+E9</x:f>
        <x:v>16.185</x:v>
      </x:c>
    </x:row>
    <x:row r="10">
      <x:c r="A10" s="19" t="n">
        <x:v>2031</x:v>
      </x:c>
      <x:c r="B10" s="22" t="n">
        <x:f>SUMIFS('Cost Build'!$G$6:$G$22,'Cost Build'!$C$6:$C$22,"capital",'Cost Build'!$E$6:$E$22,"&lt;="&amp;A10,'Cost Build'!$F$6:$F$22,"&gt;="&amp;A10)</x:f>
        <x:v>8.425</x:v>
      </x:c>
      <x:c r="C10" s="22" t="n">
        <x:f>SUMIFS('Cost Build'!$G$6:$G$22,'Cost Build'!$C$6:$C$22,"operations",'Cost Build'!$E$6:$E$22,"&lt;="&amp;A10,'Cost Build'!$F$6:$F$22,"&gt;="&amp;A10)</x:f>
        <x:v>2.8999999999999995</x:v>
      </x:c>
      <x:c r="D10" s="22" t="n">
        <x:f>SUM(B10:C10)</x:f>
        <x:v>11.325</x:v>
      </x:c>
      <x:c r="E10" s="22" t="n">
        <x:f>D10*'Preregistration'!$B$15</x:f>
        <x:v>3.3974999999999995</x:v>
      </x:c>
      <x:c r="F10" s="22" t="n">
        <x:f>D10+E10</x:f>
        <x:v>14.722499999999998</x:v>
      </x:c>
    </x:row>
    <x:row r="11">
      <x:c r="A11" s="17" t="n">
        <x:v>2032</x:v>
      </x:c>
      <x:c r="B11" s="23" t="n">
        <x:f>SUMIFS('Cost Build'!$G$6:$G$22,'Cost Build'!$C$6:$C$22,"capital",'Cost Build'!$E$6:$E$22,"&lt;="&amp;A11,'Cost Build'!$F$6:$F$22,"&gt;="&amp;A11)</x:f>
        <x:v>4.3500000000000005</x:v>
      </x:c>
      <x:c r="C11" s="23" t="n">
        <x:f>SUMIFS('Cost Build'!$G$6:$G$22,'Cost Build'!$C$6:$C$22,"operations",'Cost Build'!$E$6:$E$22,"&lt;="&amp;A11,'Cost Build'!$F$6:$F$22,"&gt;="&amp;A11)</x:f>
        <x:v>4.25</x:v>
      </x:c>
      <x:c r="D11" s="23" t="n">
        <x:f>SUM(B11:C11)</x:f>
        <x:v>8.600000000000001</x:v>
      </x:c>
      <x:c r="E11" s="23" t="n">
        <x:f>D11*'Preregistration'!$B$15</x:f>
        <x:v>2.5800000000000005</x:v>
      </x:c>
      <x:c r="F11" s="23" t="n">
        <x:f>D11+E11</x:f>
        <x:v>11.180000000000001</x:v>
      </x:c>
    </x:row>
    <x:row r="12">
      <x:c r="A12" s="19" t="n">
        <x:v>2033</x:v>
      </x:c>
      <x:c r="B12" s="22" t="n">
        <x:f>SUMIFS('Cost Build'!$G$6:$G$22,'Cost Build'!$C$6:$C$22,"capital",'Cost Build'!$E$6:$E$22,"&lt;="&amp;A12,'Cost Build'!$F$6:$F$22,"&gt;="&amp;A12)</x:f>
        <x:v>1.75</x:v>
      </x:c>
      <x:c r="C12" s="22" t="n">
        <x:f>SUMIFS('Cost Build'!$G$6:$G$22,'Cost Build'!$C$6:$C$22,"operations",'Cost Build'!$E$6:$E$22,"&lt;="&amp;A12,'Cost Build'!$F$6:$F$22,"&gt;="&amp;A12)</x:f>
        <x:v>3.95</x:v>
      </x:c>
      <x:c r="D12" s="22" t="n">
        <x:f>SUM(B12:C12)</x:f>
        <x:v>5.7</x:v>
      </x:c>
      <x:c r="E12" s="22" t="n">
        <x:f>D12*'Preregistration'!$B$15</x:f>
        <x:v>1.71</x:v>
      </x:c>
      <x:c r="F12" s="22" t="n">
        <x:f>D12+E12</x:f>
        <x:v>7.41</x:v>
      </x:c>
    </x:row>
    <x:row r="13">
      <x:c r="A13" s="17" t="n">
        <x:v>2034</x:v>
      </x:c>
      <x:c r="B13" s="23" t="n">
        <x:f>SUMIFS('Cost Build'!$G$6:$G$22,'Cost Build'!$C$6:$C$22,"capital",'Cost Build'!$E$6:$E$22,"&lt;="&amp;A13,'Cost Build'!$F$6:$F$22,"&gt;="&amp;A13)</x:f>
        <x:v>0</x:v>
      </x:c>
      <x:c r="C13" s="23" t="n">
        <x:f>SUMIFS('Cost Build'!$G$6:$G$22,'Cost Build'!$C$6:$C$22,"operations",'Cost Build'!$E$6:$E$22,"&lt;="&amp;A13,'Cost Build'!$F$6:$F$22,"&gt;="&amp;A13)</x:f>
        <x:v>5.8500000000000005</x:v>
      </x:c>
      <x:c r="D13" s="23" t="n">
        <x:f>SUM(B13:C13)</x:f>
        <x:v>5.8500000000000005</x:v>
      </x:c>
      <x:c r="E13" s="23" t="n">
        <x:f>D13*'Preregistration'!$B$15</x:f>
        <x:v>1.7550000000000001</x:v>
      </x:c>
      <x:c r="F13" s="23" t="n">
        <x:f>D13+E13</x:f>
        <x:v>7.605</x:v>
      </x:c>
    </x:row>
    <x:row r="14">
      <x:c r="A14" s="19" t="n">
        <x:v>2035</x:v>
      </x:c>
      <x:c r="B14" s="22" t="n">
        <x:f>SUMIFS('Cost Build'!$G$6:$G$22,'Cost Build'!$C$6:$C$22,"capital",'Cost Build'!$E$6:$E$22,"&lt;="&amp;A14,'Cost Build'!$F$6:$F$22,"&gt;="&amp;A14)</x:f>
        <x:v>0</x:v>
      </x:c>
      <x:c r="C14" s="22" t="n">
        <x:f>SUMIFS('Cost Build'!$G$6:$G$22,'Cost Build'!$C$6:$C$22,"operations",'Cost Build'!$E$6:$E$22,"&lt;="&amp;A14,'Cost Build'!$F$6:$F$22,"&gt;="&amp;A14)</x:f>
        <x:v>6.4750000000000005</x:v>
      </x:c>
      <x:c r="D14" s="22" t="n">
        <x:f>SUM(B14:C14)</x:f>
        <x:v>6.4750000000000005</x:v>
      </x:c>
      <x:c r="E14" s="22" t="n">
        <x:f>D14*'Preregistration'!$B$15</x:f>
        <x:v>1.9425000000000001</x:v>
      </x:c>
      <x:c r="F14" s="22" t="n">
        <x:f>D14+E14</x:f>
        <x:v>8.4175</x:v>
      </x:c>
    </x:row>
    <x:row r="15">
      <x:c r="A15" s="17" t="n">
        <x:v>2036</x:v>
      </x:c>
      <x:c r="B15" s="23" t="n">
        <x:f>SUMIFS('Cost Build'!$G$6:$G$22,'Cost Build'!$C$6:$C$22,"capital",'Cost Build'!$E$6:$E$22,"&lt;="&amp;A15,'Cost Build'!$F$6:$F$22,"&gt;="&amp;A15)</x:f>
        <x:v>0</x:v>
      </x:c>
      <x:c r="C15" s="23" t="n">
        <x:f>SUMIFS('Cost Build'!$G$6:$G$22,'Cost Build'!$C$6:$C$22,"operations",'Cost Build'!$E$6:$E$22,"&lt;="&amp;A15,'Cost Build'!$F$6:$F$22,"&gt;="&amp;A15)</x:f>
        <x:v>4.125</x:v>
      </x:c>
      <x:c r="D15" s="23" t="n">
        <x:f>SUM(B15:C15)</x:f>
        <x:v>4.125</x:v>
      </x:c>
      <x:c r="E15" s="23" t="n">
        <x:f>D15*'Preregistration'!$B$15</x:f>
        <x:v>1.2375</x:v>
      </x:c>
      <x:c r="F15" s="23" t="n">
        <x:f>D15+E15</x:f>
        <x:v>5.3625</x:v>
      </x:c>
    </x:row>
    <x:row r="16">
      <x:c r="A16" s="19" t="n">
        <x:v>2037</x:v>
      </x:c>
      <x:c r="B16" s="22" t="n">
        <x:f>SUMIFS('Cost Build'!$G$6:$G$22,'Cost Build'!$C$6:$C$22,"capital",'Cost Build'!$E$6:$E$22,"&lt;="&amp;A16,'Cost Build'!$F$6:$F$22,"&gt;="&amp;A16)</x:f>
        <x:v>0</x:v>
      </x:c>
      <x:c r="C16" s="22" t="n">
        <x:f>SUMIFS('Cost Build'!$G$6:$G$22,'Cost Build'!$C$6:$C$22,"operations",'Cost Build'!$E$6:$E$22,"&lt;="&amp;A16,'Cost Build'!$F$6:$F$22,"&gt;="&amp;A16)</x:f>
        <x:v>4.125</x:v>
      </x:c>
      <x:c r="D16" s="22" t="n">
        <x:f>SUM(B16:C16)</x:f>
        <x:v>4.125</x:v>
      </x:c>
      <x:c r="E16" s="22" t="n">
        <x:f>D16*'Preregistration'!$B$15</x:f>
        <x:v>1.2375</x:v>
      </x:c>
      <x:c r="F16" s="22" t="n">
        <x:f>D16+E16</x:f>
        <x:v>5.3625</x:v>
      </x:c>
    </x:row>
    <x:row r="17">
      <x:c r="A17" s="17" t="n">
        <x:v>2038</x:v>
      </x:c>
      <x:c r="B17" s="23" t="n">
        <x:f>SUMIFS('Cost Build'!$G$6:$G$22,'Cost Build'!$C$6:$C$22,"capital",'Cost Build'!$E$6:$E$22,"&lt;="&amp;A17,'Cost Build'!$F$6:$F$22,"&gt;="&amp;A17)</x:f>
        <x:v>0</x:v>
      </x:c>
      <x:c r="C17" s="23" t="n">
        <x:f>SUMIFS('Cost Build'!$G$6:$G$22,'Cost Build'!$C$6:$C$22,"operations",'Cost Build'!$E$6:$E$22,"&lt;="&amp;A17,'Cost Build'!$F$6:$F$22,"&gt;="&amp;A17)</x:f>
        <x:v>4.125</x:v>
      </x:c>
      <x:c r="D17" s="23" t="n">
        <x:f>SUM(B17:C17)</x:f>
        <x:v>4.125</x:v>
      </x:c>
      <x:c r="E17" s="23" t="n">
        <x:f>D17*'Preregistration'!$B$15</x:f>
        <x:v>1.2375</x:v>
      </x:c>
      <x:c r="F17" s="23" t="n">
        <x:f>D17+E17</x:f>
        <x:v>5.3625</x:v>
      </x:c>
    </x:row>
    <x:row r="18">
      <x:c r="A18" s="144" t="str">
        <x:v>Total</x:v>
      </x:c>
      <x:c r="B18" s="145" t="n">
        <x:f>SUM(B6:B17)</x:f>
        <x:v>46.2</x:v>
      </x:c>
      <x:c r="C18" s="145" t="n">
        <x:f>SUM(C6:C17)</x:f>
        <x:v>42.900000000000006</x:v>
      </x:c>
      <x:c r="D18" s="145" t="n">
        <x:f>SUM(D6:D17)</x:f>
        <x:v>89.09999999999998</x:v>
      </x:c>
      <x:c r="E18" s="145" t="n">
        <x:f>SUM(E6:E17)</x:f>
        <x:v>26.73</x:v>
      </x:c>
      <x:c r="F18" s="145" t="n">
        <x:f>SUM(F6:F17)</x:f>
        <x:v>115.83</x:v>
      </x:c>
    </x:row>
  </x:sheetData>
  <x:pageMargins left="0.7" right="0.7" top="0.75" bottom="0.75" header="0.3" footer="0.3"/>
  <x:drawing xmlns:r="http://schemas.openxmlformats.org/officeDocument/2006/relationships" r:id="Rea04a55349924c98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670000076293945" hidden="0" customWidth="1"/>
    <x:col min="2" max="2" width="26.110000610351562" hidden="0" customWidth="1"/>
    <x:col min="3" max="3" width="31.110000610351562" hidden="0" customWidth="1"/>
    <x:col min="4" max="4" width="36.66999816894531" hidden="0" customWidth="1"/>
    <x:col min="5" max="5" width="43.33000183105469" hidden="0" customWidth="1"/>
    <x:col min="6" max="6" width="60" hidden="0" customWidth="1"/>
  </x:cols>
  <x:sheetData>
    <x:row r="1">
      <x:c r="A1" s="24" t="str">
        <x:v>Sources and evidence boundaries</x:v>
      </x:c>
    </x:row>
    <x:row r="2">
      <x:c r="A2" s="25" t="str">
        <x:v>Official administrative, technical, and methods sources define the research surface. None validates campaign outcomes or NCAC performance.</x:v>
      </x:c>
    </x:row>
    <x:row r="3">
      <x:c r="A3" s="26"/>
      <x:c r="B3" s="26"/>
      <x:c r="C3" s="26"/>
      <x:c r="D3" s="26"/>
      <x:c r="E3" s="26"/>
      <x:c r="F3" s="26"/>
    </x:row>
    <x:row r="5">
      <x:c r="A5" s="32" t="str">
        <x:v>ID</x:v>
      </x:c>
      <x:c r="B5" s="33" t="str">
        <x:v>Owner</x:v>
      </x:c>
      <x:c r="C5" s="33" t="str">
        <x:v>Asset</x:v>
      </x:c>
      <x:c r="D5" s="33" t="str">
        <x:v>Use</x:v>
      </x:c>
      <x:c r="E5" s="33" t="str">
        <x:v>Boundary</x:v>
      </x:c>
      <x:c r="F5" s="34" t="str">
        <x:v>URL</x:v>
      </x:c>
    </x:row>
    <x:row r="6" ht="51" customHeight="1">
      <x:c r="A6" s="16" t="str">
        <x:v>NYC-HVI</x:v>
      </x:c>
      <x:c r="B6" s="16" t="str">
        <x:v>NYC Department of Health and Mental Hygiene</x:v>
      </x:c>
      <x:c r="C6" s="16" t="str">
        <x:v>Heat Vulnerability Index</x:v>
      </x:c>
      <x:c r="D6" s="16" t="str">
        <x:v>hazard definition, neighborhood heat-risk strata, and nonuniform burden</x:v>
      </x:c>
      <x:c r="E6" s="16" t="str">
        <x:v>HVI is a planning index, not a person-level demand or mortality forecast</x:v>
      </x:c>
      <x:c r="F6" s="16" t="str">
        <x:v>https://a816-dohbesp.nyc.gov/IndicatorPublic/data-features/hvi/</x:v>
      </x:c>
    </x:row>
    <x:row r="7" ht="51" customHeight="1">
      <x:c r="A7" s="18" t="str">
        <x:v>NYC-PLUTO</x:v>
      </x:c>
      <x:c r="B7" s="18" t="str">
        <x:v>NYC Department of City Planning</x:v>
      </x:c>
      <x:c r="C7" s="18" t="str">
        <x:v>PLUTO / MapPLUTO</x:v>
      </x:c>
      <x:c r="D7" s="18" t="str">
        <x:v>tax-lot, building use, floor and residential-unit covariates</x:v>
      </x:c>
      <x:c r="E7" s="18" t="str">
        <x:v>tax lots and administrative records do not prove occupancy or emergency operability</x:v>
      </x:c>
      <x:c r="F7" s="18" t="str">
        <x:v>https://data.cityofnewyork.us/City-Government/Primary-Land-Use-Tax-Lot-Output-Map-MapPLUTO-/f888-ni5f/about_data</x:v>
      </x:c>
    </x:row>
    <x:row r="8" ht="51" customHeight="1">
      <x:c r="A8" s="16" t="str">
        <x:v>NYC-BUILDINGS</x:v>
      </x:c>
      <x:c r="B8" s="16" t="str">
        <x:v>NYC Office of Technology and Innovation</x:v>
      </x:c>
      <x:c r="C8" s="16" t="str">
        <x:v>Building Footprints</x:v>
      </x:c>
      <x:c r="D8" s="16" t="str">
        <x:v>footprint, height, construction year, BIN and BBL joins</x:v>
      </x:c>
      <x:c r="E8" s="16" t="str">
        <x:v>geometry does not establish internal layout, condition or access</x:v>
      </x:c>
      <x:c r="F8" s="16" t="str">
        <x:v>https://data.cityofnewyork.us/Housing-Development/Building-Footprints/nqwf-w8eh/about_data</x:v>
      </x:c>
    </x:row>
    <x:row r="9" ht="51" customHeight="1">
      <x:c r="A9" s="18" t="str">
        <x:v>NYC-ELEVATORS</x:v>
      </x:c>
      <x:c r="B9" s="18" t="str">
        <x:v>NYC Department of Buildings</x:v>
      </x:c>
      <x:c r="C9" s="18" t="str">
        <x:v>DOB NOW elevator device details</x:v>
      </x:c>
      <x:c r="D9" s="18" t="str">
        <x:v>device type, status, address, only-elevator and stretcher-car fields</x:v>
      </x:c>
      <x:c r="E9" s="18" t="str">
        <x:v>application records are incomplete for the full installed base and do not prove incident availability</x:v>
      </x:c>
      <x:c r="F9" s="18" t="str">
        <x:v>https://data.cityofnewyork.us/Housing-Development/DOB-NOW-Build-Elevator-Device-Details/juyv-2jek</x:v>
      </x:c>
    </x:row>
    <x:row r="10" ht="51" customHeight="1">
      <x:c r="A10" s="16" t="str">
        <x:v>NYC-LL84</x:v>
      </x:c>
      <x:c r="B10" s="16" t="str">
        <x:v>NYC Department of Buildings</x:v>
      </x:c>
      <x:c r="C10" s="16" t="str">
        <x:v>Building Energy and Water Data Disclosure</x:v>
      </x:c>
      <x:c r="D10" s="16" t="str">
        <x:v>large-building energy, water, occupancy and peak-demand covariates</x:v>
      </x:c>
      <x:c r="E10" s="16" t="str">
        <x:v>annual benchmarking is not emergency load or thermal performance</x:v>
      </x:c>
      <x:c r="F10" s="16" t="str">
        <x:v>https://data.cityofnewyork.us/Environment/NYC-Building-Energy-and-Water-Data-Disclosure-for-/5zyy-y8am/explore</x:v>
      </x:c>
    </x:row>
    <x:row r="11" ht="51" customHeight="1">
      <x:c r="A11" s="18" t="str">
        <x:v>NYC-TRACTS</x:v>
      </x:c>
      <x:c r="B11" s="18" t="str">
        <x:v>NYC Department of City Planning</x:v>
      </x:c>
      <x:c r="C11" s="18" t="str">
        <x:v>2020 Census Tracts</x:v>
      </x:c>
      <x:c r="D11" s="18" t="str">
        <x:v>contiguity, tract identifiers and geometry</x:v>
      </x:c>
      <x:c r="E11" s="18" t="str">
        <x:v>modified map geometry is not an operational street or building network</x:v>
      </x:c>
      <x:c r="F11" s="18" t="str">
        <x:v>https://data.cityofnewyork.us/d/weqx-t5xr</x:v>
      </x:c>
    </x:row>
    <x:row r="12" ht="51" customHeight="1">
      <x:c r="A12" s="16" t="str">
        <x:v>NYC-BACKUP</x:v>
      </x:c>
      <x:c r="B12" s="16" t="str">
        <x:v>NYC Department of Buildings</x:v>
      </x:c>
      <x:c r="C12" s="16" t="str">
        <x:v>Emergency Backup Power Systems</x:v>
      </x:c>
      <x:c r="D12" s="16" t="str">
        <x:v>code-required emergency loads and maintenance boundary</x:v>
      </x:c>
      <x:c r="E12" s="16" t="str">
        <x:v>code requirement does not prove installed capacity, fuel, maintenance or availability</x:v>
      </x:c>
      <x:c r="F12" s="16" t="str">
        <x:v>https://www.nyc.gov/site/buildings/industry/project-requirements-design-professional-emergency-backup.page</x:v>
      </x:c>
    </x:row>
    <x:row r="13" ht="51" customHeight="1">
      <x:c r="A13" s="18" t="str">
        <x:v>NIST-TN1923</x:v>
      </x:c>
      <x:c r="B13" s="18" t="str">
        <x:v>National Institute of Standards and Technology</x:v>
      </x:c>
      <x:c r="C13" s="18" t="str">
        <x:v>Movement on stairs during building evacuations</x:v>
      </x:c>
      <x:c r="D13" s="18" t="str">
        <x:v>vertical movement, mobility impairment, communication and procedure research boundary</x:v>
      </x:c>
      <x:c r="E13" s="18" t="str">
        <x:v>office-fire evidence does not establish heat-blackout productivity</x:v>
      </x:c>
      <x:c r="F13" s="18" t="str">
        <x:v>https://doi.org/10.6028/NIST.TN.1923</x:v>
      </x:c>
    </x:row>
    <x:row r="14" ht="51" customHeight="1">
      <x:c r="A14" s="16" t="str">
        <x:v>ACCESS-EGRESS</x:v>
      </x:c>
      <x:c r="B14" s="16" t="str">
        <x:v>U.S. Access Board</x:v>
      </x:c>
      <x:c r="C14" s="16" t="str">
        <x:v>Accessible Means of Egress</x:v>
      </x:c>
      <x:c r="D14" s="16" t="str">
        <x:v>continuous accessible path, refuge, elevator and public-way boundary</x:v>
      </x:c>
      <x:c r="E14" s="16" t="str">
        <x:v>code guidance does not prove post-event operability</x:v>
      </x:c>
      <x:c r="F14" s="16" t="str">
        <x:v>https://www.access-board.gov/ada/guides/chapter-4-accessible-means-of-egress/</x:v>
      </x:c>
    </x:row>
    <x:row r="15" ht="51" customHeight="1">
      <x:c r="A15" s="18" t="str">
        <x:v>NIST-STATS</x:v>
      </x:c>
      <x:c r="B15" s="18" t="str">
        <x:v>National Institute of Standards and Technology</x:v>
      </x:c>
      <x:c r="C15" s="18" t="str">
        <x:v>Engineering Statistics Handbook: sample sizes</x:v>
      </x:c>
      <x:c r="D15" s="18" t="str">
        <x:v>alpha, beta, variance and precision inputs for sample design</x:v>
      </x:c>
      <x:c r="E15" s="18" t="str">
        <x:v>normal approximations do not replace clustered design analysis</x:v>
      </x:c>
      <x:c r="F15" s="18" t="str">
        <x:v>https://www.itl.nist.gov/div898/handbook/prc/section2/prc222.htm</x:v>
      </x:c>
    </x:row>
    <x:row r="16" ht="51" customHeight="1">
      <x:c r="A16" s="16" t="str">
        <x:v>GAO-TRA</x:v>
      </x:c>
      <x:c r="B16" s="16" t="str">
        <x:v>U.S. Government Accountability Office</x:v>
      </x:c>
      <x:c r="C16" s="16" t="str">
        <x:v>Technology Readiness Assessment Guide</x:v>
      </x:c>
      <x:c r="D16" s="16" t="str">
        <x:v>independent, credible and evidence-based technology maturity</x:v>
      </x:c>
      <x:c r="E16" s="16" t="str">
        <x:v>generic acquisition guide; does not certify NCAC technology</x:v>
      </x:c>
      <x:c r="F16" s="16" t="str">
        <x:v>https://www.gao.gov/products/gao-20-48g</x:v>
      </x:c>
    </x:row>
    <x:row r="17" ht="51" customHeight="1">
      <x:c r="A17" s="18" t="str">
        <x:v>NASA-SEH</x:v>
      </x:c>
      <x:c r="B17" s="18" t="str">
        <x:v>National Aeronautics and Space Administration</x:v>
      </x:c>
      <x:c r="C17" s="18" t="str">
        <x:v>Systems Engineering Handbook</x:v>
      </x:c>
      <x:c r="D17" s="18" t="str">
        <x:v>requirement verification matrix and integrated-system V&amp;V plan</x:v>
      </x:c>
      <x:c r="E17" s="18" t="str">
        <x:v>space-system guidance is adapted, not treated as response-force evidence</x:v>
      </x:c>
      <x:c r="F17" s="18" t="str">
        <x:v>https://www.nasa.gov/wp-content/uploads/2018/09/nasa_systems_engineering_handbook_0.pdf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.110000133514404" hidden="0" customWidth="1"/>
    <x:col min="2" max="2" width="28.889999389648438" hidden="0" customWidth="1"/>
    <x:col min="3" max="3" width="13.329999923706055" hidden="0" customWidth="1"/>
    <x:col min="4" max="4" width="13.329999923706055" hidden="0" customWidth="1"/>
    <x:col min="5" max="5" width="8.890000343322754" hidden="0" customWidth="1"/>
    <x:col min="6" max="6" width="43.33000183105469" hidden="0" customWidth="1"/>
  </x:cols>
  <x:sheetData>
    <x:row r="1">
      <x:c r="A1" s="24" t="str">
        <x:v>Model integrity and protocol checks</x:v>
      </x:c>
    </x:row>
    <x:row r="2">
      <x:c r="A2" s="25" t="str">
        <x:v>PASS means the workbook agrees with the declared protocol. It does not establish real-world performance, ethics approval, or evidence-gate closure.</x:v>
      </x:c>
    </x:row>
    <x:row r="3">
      <x:c r="A3" s="26"/>
      <x:c r="B3" s="26"/>
      <x:c r="C3" s="26"/>
      <x:c r="D3" s="26"/>
      <x:c r="E3" s="26"/>
      <x:c r="F3" s="26"/>
    </x:row>
    <x:row r="5">
      <x:c r="A5" s="32" t="str">
        <x:v>ID</x:v>
      </x:c>
      <x:c r="B5" s="33" t="str">
        <x:v>Check</x:v>
      </x:c>
      <x:c r="C5" s="33" t="str">
        <x:v>Observed</x:v>
      </x:c>
      <x:c r="D5" s="33" t="str">
        <x:v>Expected</x:v>
      </x:c>
      <x:c r="E5" s="33" t="str">
        <x:v>Result</x:v>
      </x:c>
      <x:c r="F5" s="34" t="str">
        <x:v>Meaning</x:v>
      </x:c>
    </x:row>
    <x:row r="6">
      <x:c r="A6" s="19" t="str">
        <x:v>K01</x:v>
      </x:c>
      <x:c r="B6" s="19" t="str">
        <x:v>Frozen architectures</x:v>
      </x:c>
      <x:c r="C6" s="150" t="n">
        <x:f>COUNTA('Architecture Freeze'!A6:A7)</x:f>
        <x:v>2</x:v>
      </x:c>
      <x:c r="D6" s="150" t="n">
        <x:v>2</x:v>
      </x:c>
      <x:c r="E6" s="19" t="str">
        <x:f>IF(ABS(C6-D6)&lt;=MAX(0.000001,ABS(D6)*0.000001),"PASS","FAIL")</x:f>
        <x:v>PASS</x:v>
      </x:c>
      <x:c r="F6" s="19" t="str">
        <x:v>A2 and S3 only</x:v>
      </x:c>
    </x:row>
    <x:row r="7">
      <x:c r="A7" s="17" t="str">
        <x:v>K02</x:v>
      </x:c>
      <x:c r="B7" s="17" t="str">
        <x:v>Reference catchments</x:v>
      </x:c>
      <x:c r="C7" s="151" t="n">
        <x:f>SUM(Archetypes!D6:D8)</x:f>
        <x:v>12</x:v>
      </x:c>
      <x:c r="D7" s="151" t="n">
        <x:v>12</x:v>
      </x:c>
      <x:c r="E7" s="17" t="str">
        <x:f>IF(ABS(C7-D7)&lt;=MAX(0.000001,ABS(D7)*0.000001),"PASS","FAIL")</x:f>
        <x:v>PASS</x:v>
      </x:c>
      <x:c r="F7" s="17" t="str">
        <x:v>four in each archetype</x:v>
      </x:c>
    </x:row>
    <x:row r="8">
      <x:c r="A8" s="19" t="str">
        <x:v>K03</x:v>
      </x:c>
      <x:c r="B8" s="19" t="str">
        <x:v>Holdout catchments</x:v>
      </x:c>
      <x:c r="C8" s="150" t="n">
        <x:f>'Preregistration'!B13</x:f>
        <x:v>3</x:v>
      </x:c>
      <x:c r="D8" s="150" t="n">
        <x:v>3</x:v>
      </x:c>
      <x:c r="E8" s="19" t="str">
        <x:f>IF(ABS(C8-D8)&lt;=MAX(0.000001,ABS(D8)*0.000001),"PASS","FAIL")</x:f>
        <x:v>PASS</x:v>
      </x:c>
      <x:c r="F8" s="19" t="str">
        <x:v>one per archetype</x:v>
      </x:c>
    </x:row>
    <x:row r="9">
      <x:c r="A9" s="17" t="str">
        <x:v>K04</x:v>
      </x:c>
      <x:c r="B9" s="17" t="str">
        <x:v>Broad architecture-world rows</x:v>
      </x:c>
      <x:c r="C9" s="151" t="n">
        <x:f>'Preregistration'!B12*'Preregistration'!B11*'Preregistration'!B14</x:f>
        <x:v>24000</x:v>
      </x:c>
      <x:c r="D9" s="151" t="n">
        <x:v>24000</x:v>
      </x:c>
      <x:c r="E9" s="17" t="str">
        <x:f>IF(ABS(C9-D9)&lt;=MAX(0.000001,ABS(D9)*0.000001),"PASS","FAIL")</x:f>
        <x:v>PASS</x:v>
      </x:c>
      <x:c r="F9" s="17" t="str">
        <x:v>paired A2/S3 worlds</x:v>
      </x:c>
    </x:row>
    <x:row r="10">
      <x:c r="A10" s="19" t="str">
        <x:v>K05</x:v>
      </x:c>
      <x:c r="B10" s="19" t="str">
        <x:v>Primary and co-primary hypotheses</x:v>
      </x:c>
      <x:c r="C10" s="150" t="n">
        <x:f>COUNTA(Hypotheses!E6:E10)</x:f>
        <x:v>5</x:v>
      </x:c>
      <x:c r="D10" s="150" t="n">
        <x:v>5</x:v>
      </x:c>
      <x:c r="E10" s="19" t="str">
        <x:f>IF(ABS(C10-D10)&lt;=MAX(0.000001,ABS(D10)*0.000001),"PASS","FAIL")</x:f>
        <x:v>PASS</x:v>
      </x:c>
      <x:c r="F10" s="19" t="str">
        <x:v>H1-H5</x:v>
      </x:c>
    </x:row>
    <x:row r="11">
      <x:c r="A11" s="17" t="str">
        <x:v>K06</x:v>
      </x:c>
      <x:c r="B11" s="17" t="str">
        <x:v>Failure injections</x:v>
      </x:c>
      <x:c r="C11" s="151" t="n">
        <x:f>COUNTA('Failure Injections'!A6:A17)</x:f>
        <x:v>12</x:v>
      </x:c>
      <x:c r="D11" s="151" t="n">
        <x:v>12</x:v>
      </x:c>
      <x:c r="E11" s="17" t="str">
        <x:f>IF(ABS(C11-D11)&lt;=MAX(0.000001,ABS(D11)*0.000001),"PASS","FAIL")</x:f>
        <x:v>PASS</x:v>
      </x:c>
      <x:c r="F11" s="17" t="str">
        <x:v>including regeneration</x:v>
      </x:c>
    </x:row>
    <x:row r="12">
      <x:c r="A12" s="19" t="str">
        <x:v>K07</x:v>
      </x:c>
      <x:c r="B12" s="19" t="str">
        <x:v>Measurement records</x:v>
      </x:c>
      <x:c r="C12" s="150" t="n">
        <x:f>COUNTA(Measurements!A6:A17)</x:f>
        <x:v>12</x:v>
      </x:c>
      <x:c r="D12" s="150" t="n">
        <x:v>12</x:v>
      </x:c>
      <x:c r="E12" s="19" t="str">
        <x:f>IF(ABS(C12-D12)&lt;=MAX(0.000001,ABS(D12)*0.000001),"PASS","FAIL")</x:f>
        <x:v>PASS</x:v>
      </x:c>
      <x:c r="F12" s="19" t="str">
        <x:v>effect, knowledge, rights, safety and regeneration</x:v>
      </x:c>
    </x:row>
    <x:row r="13">
      <x:c r="A13" s="17" t="str">
        <x:v>K08</x:v>
      </x:c>
      <x:c r="B13" s="17" t="str">
        <x:v>Element sample designs</x:v>
      </x:c>
      <x:c r="C13" s="151" t="n">
        <x:f>COUNTA('Sample Size'!A6:A10)</x:f>
        <x:v>5</x:v>
      </x:c>
      <x:c r="D13" s="151" t="n">
        <x:v>5</x:v>
      </x:c>
      <x:c r="E13" s="17" t="str">
        <x:f>IF(ABS(C13-D13)&lt;=MAX(0.000001,ABS(D13)*0.000001),"PASS","FAIL")</x:f>
        <x:v>PASS</x:v>
      </x:c>
      <x:c r="F13" s="17" t="str">
        <x:v>five two-arm designs</x:v>
      </x:c>
    </x:row>
    <x:row r="14">
      <x:c r="A14" s="19" t="str">
        <x:v>K09</x:v>
      </x:c>
      <x:c r="B14" s="19" t="str">
        <x:v>Mission reliability trials</x:v>
      </x:c>
      <x:c r="C14" s="150" t="n">
        <x:f>Reliability!D8</x:f>
        <x:v>30</x:v>
      </x:c>
      <x:c r="D14" s="150" t="n">
        <x:v>30</x:v>
      </x:c>
      <x:c r="E14" s="19" t="str">
        <x:f>IF(ABS(C14-D14)&lt;=MAX(0.000001,ABS(D14)*0.000001),"PASS","FAIL")</x:f>
        <x:v>PASS</x:v>
      </x:c>
      <x:c r="F14" s="19" t="str">
        <x:v>zero-failure trials for 90% at one-sided 95%</x:v>
      </x:c>
    </x:row>
    <x:row r="15">
      <x:c r="A15" s="17" t="str">
        <x:v>K10</x:v>
      </x:c>
      <x:c r="B15" s="17" t="str">
        <x:v>Developmental missions</x:v>
      </x:c>
      <x:c r="C15" s="151" t="n">
        <x:f>SUMIFS('Test Ladder'!E6:E12,'Test Ladder'!A6:A12,"L3")</x:f>
        <x:v>12</x:v>
      </x:c>
      <x:c r="D15" s="151" t="n">
        <x:v>12</x:v>
      </x:c>
      <x:c r="E15" s="17" t="str">
        <x:f>IF(ABS(C15-D15)&lt;=MAX(0.000001,ABS(D15)*0.000001),"PASS","FAIL")</x:f>
        <x:v>PASS</x:v>
      </x:c>
      <x:c r="F15" s="17" t="str">
        <x:v>six per architecture</x:v>
      </x:c>
    </x:row>
    <x:row r="16">
      <x:c r="A16" s="19" t="str">
        <x:v>K11</x:v>
      </x:c>
      <x:c r="B16" s="19" t="str">
        <x:v>Confirmatory missions</x:v>
      </x:c>
      <x:c r="C16" s="150" t="n">
        <x:f>SUMIFS('Test Ladder'!E6:E12,'Test Ladder'!A6:A12,"L4")</x:f>
        <x:v>30</x:v>
      </x:c>
      <x:c r="D16" s="150" t="n">
        <x:v>30</x:v>
      </x:c>
      <x:c r="E16" s="19" t="str">
        <x:f>IF(ABS(C16-D16)&lt;=MAX(0.000001,ABS(D16)*0.000001),"PASS","FAIL")</x:f>
        <x:v>PASS</x:v>
      </x:c>
      <x:c r="F16" s="19" t="str">
        <x:v>selected frozen candidate</x:v>
      </x:c>
    </x:row>
    <x:row r="17">
      <x:c r="A17" s="17" t="str">
        <x:v>K12</x:v>
      </x:c>
      <x:c r="B17" s="17" t="str">
        <x:v>Program years</x:v>
      </x:c>
      <x:c r="C17" s="151" t="n">
        <x:f>'Preregistration'!B19-'Preregistration'!B18+1</x:f>
        <x:v>12</x:v>
      </x:c>
      <x:c r="D17" s="151" t="n">
        <x:v>12</x:v>
      </x:c>
      <x:c r="E17" s="17" t="str">
        <x:f>IF(ABS(C17-D17)&lt;=MAX(0.000001,ABS(D17)*0.000001),"PASS","FAIL")</x:f>
        <x:v>PASS</x:v>
      </x:c>
      <x:c r="F17" s="17" t="str">
        <x:v>2027 through 2038</x:v>
      </x:c>
    </x:row>
    <x:row r="18">
      <x:c r="A18" s="19" t="str">
        <x:v>K13</x:v>
      </x:c>
      <x:c r="B18" s="19" t="str">
        <x:v>Direct capital $B</x:v>
      </x:c>
      <x:c r="C18" s="150" t="n">
        <x:f>'Cost Build'!D25</x:f>
        <x:v>46.2</x:v>
      </x:c>
      <x:c r="D18" s="150" t="n">
        <x:v>46.2</x:v>
      </x:c>
      <x:c r="E18" s="19" t="str">
        <x:f>IF(ABS(C18-D18)&lt;=MAX(0.000001,ABS(D18)*0.000001),"PASS","FAIL")</x:f>
        <x:v>PASS</x:v>
      </x:c>
      <x:c r="F18" s="19" t="str">
        <x:v>design-cost screen</x:v>
      </x:c>
    </x:row>
    <x:row r="19">
      <x:c r="A19" s="17" t="str">
        <x:v>K14</x:v>
      </x:c>
      <x:c r="B19" s="17" t="str">
        <x:v>Direct operations $B</x:v>
      </x:c>
      <x:c r="C19" s="151" t="n">
        <x:f>'Cost Build'!D26</x:f>
        <x:v>42.9</x:v>
      </x:c>
      <x:c r="D19" s="151" t="n">
        <x:v>42.9</x:v>
      </x:c>
      <x:c r="E19" s="17" t="str">
        <x:f>IF(ABS(C19-D19)&lt;=MAX(0.000001,ABS(D19)*0.000001),"PASS","FAIL")</x:f>
        <x:v>PASS</x:v>
      </x:c>
      <x:c r="F19" s="17" t="str">
        <x:v>design-cost screen</x:v>
      </x:c>
    </x:row>
    <x:row r="20">
      <x:c r="A20" s="19" t="str">
        <x:v>K15</x:v>
      </x:c>
      <x:c r="B20" s="19" t="str">
        <x:v>Reserve rate</x:v>
      </x:c>
      <x:c r="C20" s="150" t="n">
        <x:f>'Preregistration'!B15</x:f>
        <x:v>0.3</x:v>
      </x:c>
      <x:c r="D20" s="150" t="n">
        <x:v>0.3</x:v>
      </x:c>
      <x:c r="E20" s="19" t="str">
        <x:f>IF(ABS(C20-D20)&lt;=MAX(0.000001,ABS(D20)*0.000001),"PASS","FAIL")</x:f>
        <x:v>PASS</x:v>
      </x:c>
      <x:c r="F20" s="19" t="str">
        <x:v>program uncertainty</x:v>
      </x:c>
    </x:row>
    <x:row r="21">
      <x:c r="A21" s="17" t="str">
        <x:v>K16</x:v>
      </x:c>
      <x:c r="B21" s="17" t="str">
        <x:v>Authorized program screen $B</x:v>
      </x:c>
      <x:c r="C21" s="151" t="n">
        <x:f>'Cost Build'!D28</x:f>
        <x:v>115.82999999999998</x:v>
      </x:c>
      <x:c r="D21" s="151" t="n">
        <x:v>115.83</x:v>
      </x:c>
      <x:c r="E21" s="17" t="str">
        <x:f>IF(ABS(C21-D21)&lt;=MAX(0.000001,ABS(D21)*0.000001),"PASS","FAIL")</x:f>
        <x:v>PASS</x:v>
      </x:c>
      <x:c r="F21" s="17" t="str">
        <x:v>direct plus reserve</x:v>
      </x:c>
    </x:row>
    <x:row r="22">
      <x:c r="A22" s="19" t="str">
        <x:v>K17</x:v>
      </x:c>
      <x:c r="B22" s="19" t="str">
        <x:v>Selection rules</x:v>
      </x:c>
      <x:c r="C22" s="150" t="n">
        <x:f>COUNTA('Selection Rules'!A6:A13)</x:f>
        <x:v>8</x:v>
      </x:c>
      <x:c r="D22" s="150" t="n">
        <x:v>8</x:v>
      </x:c>
      <x:c r="E22" s="19" t="str">
        <x:f>IF(ABS(C22-D22)&lt;=MAX(0.000001,ABS(D22)*0.000001),"PASS","FAIL")</x:f>
        <x:v>PASS</x:v>
      </x:c>
      <x:c r="F22" s="19" t="str">
        <x:v>outcome-blind selection</x:v>
      </x:c>
    </x:row>
    <x:row r="23">
      <x:c r="A23" s="17" t="str">
        <x:v>K18</x:v>
      </x:c>
      <x:c r="B23" s="17" t="str">
        <x:v>Success rules</x:v>
      </x:c>
      <x:c r="C23" s="151" t="n">
        <x:f>COUNTA('Success Rules'!A6:A13)</x:f>
        <x:v>8</x:v>
      </x:c>
      <x:c r="D23" s="151" t="n">
        <x:v>8</x:v>
      </x:c>
      <x:c r="E23" s="17" t="str">
        <x:f>IF(ABS(C23-D23)&lt;=MAX(0.000001,ABS(D23)*0.000001),"PASS","FAIL")</x:f>
        <x:v>PASS</x:v>
      </x:c>
      <x:c r="F23" s="17" t="str">
        <x:v>complete effect and rights</x:v>
      </x:c>
    </x:row>
    <x:row r="24">
      <x:c r="A24" s="19" t="str">
        <x:v>K19</x:v>
      </x:c>
      <x:c r="B24" s="19" t="str">
        <x:v>Source records</x:v>
      </x:c>
      <x:c r="C24" s="150" t="n">
        <x:f>COUNTA(Sources!A6:A17)</x:f>
        <x:v>12</x:v>
      </x:c>
      <x:c r="D24" s="150" t="n">
        <x:v>12</x:v>
      </x:c>
      <x:c r="E24" s="19" t="str">
        <x:f>IF(ABS(C24-D24)&lt;=MAX(0.000001,ABS(D24)*0.000001),"PASS","FAIL")</x:f>
        <x:v>PASS</x:v>
      </x:c>
      <x:c r="F24" s="19" t="str">
        <x:v>official sources and methods</x:v>
      </x:c>
    </x:row>
    <x:row r="25">
      <x:c r="A25" s="17" t="str">
        <x:v>K20</x:v>
      </x:c>
      <x:c r="B25" s="17" t="str">
        <x:v>Rendering authorization</x:v>
      </x:c>
      <x:c r="C25" s="151" t="n">
        <x:f>0</x:f>
        <x:v>0</x:v>
      </x:c>
      <x:c r="D25" s="151" t="n">
        <x:v>0</x:v>
      </x:c>
      <x:c r="E25" s="17" t="str">
        <x:f>IF(ABS(C25-D25)&lt;=MAX(0.000001,ABS(D25)*0.000001),"PASS","FAIL")</x:f>
        <x:v>PASS</x:v>
      </x:c>
      <x:c r="F25" s="17" t="str">
        <x:v>no imagery before R3</x:v>
      </x:c>
    </x:row>
  </x:sheetData>
  <x:conditionalFormatting sqref="E6:E25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