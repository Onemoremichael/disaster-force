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0be2317f324e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ffb32c3f1f0840e1"/>
    <x:sheet xmlns:r="http://schemas.openxmlformats.org/officeDocument/2006/relationships" name="Controls" sheetId="2" r:id="Re758fef43f1b4986"/>
    <x:sheet xmlns:r="http://schemas.openxmlformats.org/officeDocument/2006/relationships" name="R1 Baseline" sheetId="3" r:id="Ra15177c99b944ce3"/>
    <x:sheet xmlns:r="http://schemas.openxmlformats.org/officeDocument/2006/relationships" name="Service Requirements" sheetId="4" r:id="R1212409dfef7414b"/>
    <x:sheet xmlns:r="http://schemas.openxmlformats.org/officeDocument/2006/relationships" name="Cell Architecture" sheetId="5" r:id="Re6eebb16c39041d5"/>
    <x:sheet xmlns:r="http://schemas.openxmlformats.org/officeDocument/2006/relationships" name="Cell Module Build" sheetId="6" r:id="R8b6fdae802ca4a85"/>
    <x:sheet xmlns:r="http://schemas.openxmlformats.org/officeDocument/2006/relationships" name="Effect Closure" sheetId="7" r:id="Rfeb8b2981fde4b9f"/>
    <x:sheet xmlns:r="http://schemas.openxmlformats.org/officeDocument/2006/relationships" name="Mobility Systems" sheetId="8" r:id="Re2df0b48a84a4bc4"/>
    <x:sheet xmlns:r="http://schemas.openxmlformats.org/officeDocument/2006/relationships" name="Cell Delivery" sheetId="9" r:id="R9b2a860fad4848ca"/>
    <x:sheet xmlns:r="http://schemas.openxmlformats.org/officeDocument/2006/relationships" name="Pair-Loss Cases" sheetId="10" r:id="Rcfcf8b5cc73f4578"/>
    <x:sheet xmlns:r="http://schemas.openxmlformats.org/officeDocument/2006/relationships" name="Pair-Loss Timeline" sheetId="11" r:id="Rc0229b8bff104ae5"/>
    <x:sheet xmlns:r="http://schemas.openxmlformats.org/officeDocument/2006/relationships" name="Reliability Budget" sheetId="12" r:id="R4598989ff6c34214"/>
    <x:sheet xmlns:r="http://schemas.openxmlformats.org/officeDocument/2006/relationships" name="Workforce" sheetId="13" r:id="R3769fc8140144093"/>
    <x:sheet xmlns:r="http://schemas.openxmlformats.org/officeDocument/2006/relationships" name="Capital Build" sheetId="14" r:id="R6ea4e6b4045b4f25"/>
    <x:sheet xmlns:r="http://schemas.openxmlformats.org/officeDocument/2006/relationships" name="Annual Funding" sheetId="15" r:id="Rb8b230ce5f004ca4"/>
    <x:sheet xmlns:r="http://schemas.openxmlformats.org/officeDocument/2006/relationships" name="Operating Cost" sheetId="16" r:id="R6aec1157c4ee4b78"/>
    <x:sheet xmlns:r="http://schemas.openxmlformats.org/officeDocument/2006/relationships" name="Technology Requirements" sheetId="17" r:id="R5e270ad83c924f9b"/>
    <x:sheet xmlns:r="http://schemas.openxmlformats.org/officeDocument/2006/relationships" name="Industrial Architecture" sheetId="18" r:id="R64735ee76c5c4107"/>
    <x:sheet xmlns:r="http://schemas.openxmlformats.org/officeDocument/2006/relationships" name="Authority Gates" sheetId="19" r:id="R854648cc913b4aa7"/>
    <x:sheet xmlns:r="http://schemas.openxmlformats.org/officeDocument/2006/relationships" name="Evidence Gates" sheetId="20" r:id="R346982a20c274d5a"/>
    <x:sheet xmlns:r="http://schemas.openxmlformats.org/officeDocument/2006/relationships" name="Sources" sheetId="21" r:id="R4e2bfc255e794d29"/>
    <x:sheet xmlns:r="http://schemas.openxmlformats.org/officeDocument/2006/relationships" name="Checks" sheetId="22" r:id="Rb122da8f5d9140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0.0%"/>
    <x:numFmt numFmtId="201" formatCode="#,##0.0"/>
    <x:numFmt numFmtId="202" formatCode="0.00x"/>
    <x:numFmt numFmtId="203" formatCode="0"/>
    <x:numFmt numFmtId="204" formatCode="0.000%"/>
    <x:numFmt numFmtId="205" formatCode="#,##0"/>
    <x:numFmt numFmtId="206" formatCode="$0.000"/>
    <x:numFmt numFmtId="207" formatCode="$0.00"/>
  </x:numFmts>
  <x:fonts count="10">
    <x:font>
      <x:sz val="11"/>
      <x:name val="Carlito"/>
    </x:font>
    <x:font>
      <x:b/>
      <x:sz val="15"/>
      <x:color rgb="FF1F1F1F"/>
      <x:name val="Arial"/>
    </x:font>
    <x:font>
      <x:i/>
      <x:sz val="10"/>
      <x:color rgb="FF595959"/>
      <x:name val="Arial"/>
    </x:font>
    <x:font>
      <x:b/>
      <x:sz val="10"/>
      <x:color rgb="FFFFFFFF"/>
      <x:name val="Arial"/>
    </x:font>
    <x:font>
      <x:sz val="10"/>
      <x:color rgb="FF1F1F1F"/>
      <x:name val="Arial"/>
    </x:font>
    <x:font>
      <x:b/>
      <x:sz val="10"/>
      <x:color rgb="FF1F1F1F"/>
      <x:name val="Arial"/>
    </x:font>
    <x:font>
      <x:sz val="10"/>
      <x:color rgb="FF0000FF"/>
      <x:name val="Arial"/>
    </x:font>
    <x:font>
      <x:b/>
      <x:sz val="10"/>
      <x:color rgb="FF008000"/>
      <x:name val="Arial"/>
    </x:font>
    <x:font>
      <x:sz val="10"/>
      <x:color rgb="FF008000"/>
      <x:name val="Arial"/>
    </x:font>
    <x:font>
      <x:sz val="1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0364F"/>
      </x:patternFill>
    </x:fill>
    <x:fill>
      <x:patternFill patternType="solid">
        <x:fgColor rgb="FFD9E5F0"/>
      </x:patternFill>
    </x:fill>
    <x:fill>
      <x:patternFill patternType="solid">
        <x:fgColor rgb="FFFFF2CC"/>
      </x:patternFill>
    </x:fill>
  </x:fills>
  <x:borders count="8">
    <x:border/>
    <x:border>
      <x:bottom style="thin">
        <x:color rgb="FF7F8C8D"/>
      </x:bottom>
    </x:border>
    <x:border>
      <x:right style="thin">
        <x:color rgb="FFFFFFFF"/>
      </x:right>
      <x:bottom style="thin">
        <x:color rgb="FFFFFFFF"/>
      </x:bottom>
    </x:border>
    <x:border>
      <x:left style="thin">
        <x:color rgb="FFFFFFFF"/>
      </x:left>
      <x:right style="thin">
        <x:color rgb="FFFFFFFF"/>
      </x:right>
      <x:bottom style="thin">
        <x:color rgb="FFFFFFFF"/>
      </x:bottom>
    </x:border>
    <x:border>
      <x:left style="thin">
        <x:color rgb="FFFFFFFF"/>
      </x:left>
      <x:bottom style="thin">
        <x:color rgb="FFFFFFFF"/>
      </x:bottom>
    </x:border>
    <x:border>
      <x:left style="thin">
        <x:color rgb="FFA6A6A6"/>
      </x:left>
      <x:top style="thin">
        <x:color rgb="FFA6A6A6"/>
      </x:top>
      <x:bottom style="thin">
        <x:color rgb="FFA6A6A6"/>
      </x:bottom>
    </x:border>
    <x:border>
      <x:top style="thin">
        <x:color rgb="FFA6A6A6"/>
      </x:top>
      <x:bottom style="thin">
        <x:color rgb="FFA6A6A6"/>
      </x:bottom>
    </x:border>
    <x:border>
      <x:right style="thin">
        <x:color rgb="FFA6A6A6"/>
      </x:right>
      <x:top style="thin">
        <x:color rgb="FFA6A6A6"/>
      </x:top>
      <x:bottom style="thin">
        <x:color rgb="FFA6A6A6"/>
      </x:bottom>
    </x:border>
  </x:borders>
  <x:cellStyleXfs count="1">
    <x:xf numFmtId="0" fontId="0" fillId="0" borderId="0"/>
  </x:cellStyleXfs>
  <x:cellXfs count="53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4" xfId="0" applyNumberFormat="1" applyFont="1" applyFill="1" applyBorder="1"/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4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3" xfId="0" applyNumberFormat="1" applyFont="1" applyFill="1" applyBorder="1" applyAlignment="1">
      <x:alignment horizontal="center" wrapText="1"/>
    </x:xf>
    <x:xf numFmtId="0" fontId="3" fillId="2" borderId="4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5" xfId="0" applyNumberFormat="1" applyFont="1" applyFill="1" applyBorder="1"/>
    <x:xf numFmtId="0" fontId="5" fillId="3" borderId="6" xfId="0" applyNumberFormat="1" applyFont="1" applyFill="1" applyBorder="1"/>
    <x:xf numFmtId="0" fontId="5" fillId="3" borderId="7" xfId="0" applyNumberFormat="1" applyFont="1" applyFill="1" applyBorder="1"/>
    <x:xf numFmtId="0" fontId="4" fillId="4" borderId="0" xfId="0" applyNumberFormat="1" applyFont="1" applyFill="1" applyBorder="1" applyAlignment="1">
      <x:alignment vertical="center" wrapText="1"/>
    </x:xf>
    <x:xf numFmtId="0" fontId="6" fillId="4" borderId="0" xfId="0" applyNumberFormat="1" applyFont="1" applyFill="1" applyBorder="1" applyAlignment="1">
      <x:alignment vertical="center" wrapText="1"/>
    </x:xf>
    <x:xf numFmtId="200" fontId="6" fillId="4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 applyAlignment="1">
      <x:alignment vertical="center" wrapText="1"/>
    </x:xf>
    <x:xf numFmtId="201" fontId="8" fillId="0" borderId="0" xfId="0" applyNumberFormat="1" applyFont="1" applyFill="1" applyBorder="1" applyAlignment="1">
      <x:alignment vertical="center" wrapText="1"/>
    </x:xf>
    <x:xf numFmtId="201" fontId="4" fillId="0" borderId="0" xfId="0" applyNumberFormat="1" applyFont="1" applyFill="1" applyBorder="1" applyAlignment="1">
      <x:alignment vertical="center" wrapText="1"/>
    </x:xf>
    <x:xf numFmtId="202" fontId="4" fillId="0" borderId="0" xfId="0" applyNumberFormat="1" applyFont="1" applyFill="1" applyBorder="1" applyAlignment="1">
      <x:alignment vertical="center" wrapText="1"/>
    </x:xf>
    <x:xf numFmtId="200" fontId="8" fillId="0" borderId="0" xfId="0" applyNumberFormat="1" applyFont="1" applyFill="1" applyBorder="1" applyAlignment="1">
      <x:alignment vertical="center" wrapText="1"/>
    </x:xf>
    <x:xf numFmtId="203" fontId="8" fillId="0" borderId="0" xfId="0" applyNumberFormat="1" applyFont="1" applyFill="1" applyBorder="1" applyAlignment="1">
      <x:alignment vertical="center" wrapText="1"/>
    </x:xf>
    <x:xf numFmtId="204" fontId="4" fillId="0" borderId="0" xfId="0" applyNumberFormat="1" applyFont="1" applyFill="1" applyBorder="1" applyAlignment="1">
      <x:alignment vertical="center" wrapText="1"/>
    </x:xf>
    <x:xf numFmtId="204" fontId="8" fillId="0" borderId="0" xfId="0" applyNumberFormat="1" applyFont="1" applyFill="1" applyBorder="1" applyAlignment="1">
      <x:alignment vertical="center" wrapText="1"/>
    </x:xf>
    <x:xf numFmtId="205" fontId="4" fillId="0" borderId="0" xfId="0" applyNumberFormat="1" applyFont="1" applyFill="1" applyBorder="1" applyAlignment="1">
      <x:alignment vertical="center" wrapText="1"/>
    </x:xf>
    <x:xf numFmtId="205" fontId="8" fillId="0" borderId="0" xfId="0" applyNumberFormat="1" applyFont="1" applyFill="1" applyBorder="1" applyAlignment="1">
      <x:alignment vertical="center" wrapText="1"/>
    </x:xf>
    <x:xf numFmtId="206" fontId="4" fillId="0" borderId="0" xfId="0" applyNumberFormat="1" applyFont="1" applyFill="1" applyBorder="1" applyAlignment="1">
      <x:alignment vertical="center" wrapText="1"/>
    </x:xf>
    <x:xf numFmtId="206" fontId="8" fillId="0" borderId="0" xfId="0" applyNumberFormat="1" applyFont="1" applyFill="1" applyBorder="1" applyAlignment="1">
      <x:alignment vertical="center" wrapText="1"/>
    </x:xf>
    <x:xf numFmtId="200" fontId="4" fillId="0" borderId="0" xfId="0" applyNumberFormat="1" applyFont="1" applyFill="1" applyBorder="1" applyAlignment="1">
      <x:alignment vertical="center" wrapText="1"/>
    </x:xf>
    <x:xf numFmtId="207" fontId="4" fillId="0" borderId="0" xfId="0" applyNumberFormat="1" applyFont="1" applyFill="1" applyBorder="1" applyAlignment="1">
      <x:alignment vertical="center" wrapText="1"/>
    </x:xf>
    <x:xf numFmtId="207" fontId="8" fillId="0" borderId="0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/>
    <x:xf numFmtId="0" fontId="1" fillId="0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 applyAlignment="1">
      <x:alignment vertical="center"/>
    </x:xf>
    <x:xf numFmtId="0" fontId="5" fillId="3" borderId="5" xfId="0" applyNumberFormat="1" applyFont="1" applyFill="1" applyBorder="1" applyAlignment="1">
      <x:alignment vertical="center"/>
    </x:xf>
    <x:xf numFmtId="0" fontId="5" fillId="3" borderId="6" xfId="0" applyNumberFormat="1" applyFont="1" applyFill="1" applyBorder="1" applyAlignment="1">
      <x:alignment vertical="center"/>
    </x:xf>
    <x:xf numFmtId="0" fontId="5" fillId="3" borderId="7" xfId="0" applyNumberFormat="1" applyFont="1" applyFill="1" applyBorder="1" applyAlignment="1">
      <x:alignment vertical="center"/>
    </x:xf>
  </x:cellXfs>
  <x:cellStyles count="1">
    <x:cellStyle name="Normal" xfId="0"/>
  </x:cellStyles>
  <x:dxfs count="55"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9e093908ae4240" /><Relationship Type="http://schemas.openxmlformats.org/officeDocument/2006/relationships/theme" Target="/xl/theme/theme1.xml" Id="R8e80b3e89d7d427e" /><Relationship Type="http://schemas.openxmlformats.org/officeDocument/2006/relationships/sharedStrings" Target="/xl/sharedStrings.xml" Id="Ra780c08ea2114b6f" /><Relationship Type="http://schemas.openxmlformats.org/officeDocument/2006/relationships/worksheet" Target="/xl/worksheets/sheet1.xml" Id="Rffb32c3f1f0840e1" /><Relationship Type="http://schemas.openxmlformats.org/officeDocument/2006/relationships/worksheet" Target="/xl/worksheets/sheet2.xml" Id="Re758fef43f1b4986" /><Relationship Type="http://schemas.openxmlformats.org/officeDocument/2006/relationships/worksheet" Target="/xl/worksheets/sheet3.xml" Id="Ra15177c99b944ce3" /><Relationship Type="http://schemas.openxmlformats.org/officeDocument/2006/relationships/worksheet" Target="/xl/worksheets/sheet4.xml" Id="R1212409dfef7414b" /><Relationship Type="http://schemas.openxmlformats.org/officeDocument/2006/relationships/worksheet" Target="/xl/worksheets/sheet5.xml" Id="Re6eebb16c39041d5" /><Relationship Type="http://schemas.openxmlformats.org/officeDocument/2006/relationships/worksheet" Target="/xl/worksheets/sheet6.xml" Id="R8b6fdae802ca4a85" /><Relationship Type="http://schemas.openxmlformats.org/officeDocument/2006/relationships/worksheet" Target="/xl/worksheets/sheet7.xml" Id="Rfeb8b2981fde4b9f" /><Relationship Type="http://schemas.openxmlformats.org/officeDocument/2006/relationships/worksheet" Target="/xl/worksheets/sheet8.xml" Id="Re2df0b48a84a4bc4" /><Relationship Type="http://schemas.openxmlformats.org/officeDocument/2006/relationships/worksheet" Target="/xl/worksheets/sheet9.xml" Id="R9b2a860fad4848ca" /><Relationship Type="http://schemas.openxmlformats.org/officeDocument/2006/relationships/worksheet" Target="/xl/worksheets/sheet10.xml" Id="Rcfcf8b5cc73f4578" /><Relationship Type="http://schemas.openxmlformats.org/officeDocument/2006/relationships/worksheet" Target="/xl/worksheets/sheet11.xml" Id="Rc0229b8bff104ae5" /><Relationship Type="http://schemas.openxmlformats.org/officeDocument/2006/relationships/worksheet" Target="/xl/worksheets/sheet12.xml" Id="R4598989ff6c34214" /><Relationship Type="http://schemas.openxmlformats.org/officeDocument/2006/relationships/worksheet" Target="/xl/worksheets/sheet13.xml" Id="R3769fc8140144093" /><Relationship Type="http://schemas.openxmlformats.org/officeDocument/2006/relationships/worksheet" Target="/xl/worksheets/sheet14.xml" Id="R6ea4e6b4045b4f25" /><Relationship Type="http://schemas.openxmlformats.org/officeDocument/2006/relationships/worksheet" Target="/xl/worksheets/sheet15.xml" Id="Rb8b230ce5f004ca4" /><Relationship Type="http://schemas.openxmlformats.org/officeDocument/2006/relationships/worksheet" Target="/xl/worksheets/sheet16.xml" Id="R6aec1157c4ee4b78" /><Relationship Type="http://schemas.openxmlformats.org/officeDocument/2006/relationships/worksheet" Target="/xl/worksheets/sheet17.xml" Id="R5e270ad83c924f9b" /><Relationship Type="http://schemas.openxmlformats.org/officeDocument/2006/relationships/worksheet" Target="/xl/worksheets/sheet18.xml" Id="R64735ee76c5c4107" /><Relationship Type="http://schemas.openxmlformats.org/officeDocument/2006/relationships/worksheet" Target="/xl/worksheets/sheet19.xml" Id="R854648cc913b4aa7" /><Relationship Type="http://schemas.openxmlformats.org/officeDocument/2006/relationships/worksheet" Target="/xl/worksheets/sheet20.xml" Id="R346982a20c274d5a" /><Relationship Type="http://schemas.openxmlformats.org/officeDocument/2006/relationships/worksheet" Target="/xl/worksheets/sheet21.xml" Id="R4e2bfc255e794d29" /><Relationship Type="http://schemas.openxmlformats.org/officeDocument/2006/relationships/worksheet" Target="/xl/worksheets/sheet22.xml" Id="Rb122da8f5d91402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36" hidden="0" customWidth="1"/>
    <x:col min="4" max="4" width="48" hidden="0" customWidth="1"/>
    <x:col min="5" max="5" width="48" hidden="0" customWidth="1"/>
    <x:col min="6" max="6" width="26" hidden="0" customWidth="1"/>
  </x:cols>
  <x:sheetData>
    <x:row r="2" ht="24" customHeight="1">
      <x:c r="C2" s="47" t="str">
        <x:v>72-Hour Service Entry Force</x:v>
      </x:c>
      <x:c r="D2" s="47"/>
      <x:c r="E2" s="47"/>
      <x:c r="F2" s="47"/>
      <x:c r="G2" s="47"/>
      <x:c r="H2" s="47"/>
      <x:c r="I2" s="47"/>
      <x:c r="J2" s="47"/>
      <x:c r="K2" s="47"/>
      <x:c r="L2" s="47"/>
      <x:c r="M2" s="47"/>
      <x:c r="N2" s="47"/>
      <x:c r="O2" s="47"/>
      <x:c r="P2" s="47"/>
    </x:row>
    <x:row r="3" ht="32" customHeight="1">
      <x:c r="C3" s="48" t="str">
        <x:v>Pass 27 first-principles mass-time-service model. It sizes a six-cell cross-modal force to survive loss of any two entry cells; it is a requirement hypothesis, not an acquisition baseline.</x:v>
      </x:c>
      <x:c r="D3" s="48"/>
      <x:c r="E3" s="48"/>
      <x:c r="F3" s="48"/>
      <x:c r="G3" s="48"/>
      <x:c r="H3" s="48"/>
      <x:c r="I3" s="48"/>
      <x:c r="J3" s="48"/>
      <x:c r="K3" s="48"/>
      <x:c r="L3" s="48"/>
      <x:c r="M3" s="48"/>
      <x:c r="N3" s="48"/>
      <x:c r="O3" s="48"/>
      <x:c r="P3" s="48"/>
    </x:row>
    <x:row r="4">
      <x:c r="C4" s="49"/>
      <x:c r="D4" s="49"/>
      <x:c r="E4" s="49"/>
      <x:c r="F4" s="49"/>
      <x:c r="G4" s="49"/>
      <x:c r="H4" s="49"/>
      <x:c r="I4" s="49"/>
      <x:c r="J4" s="49"/>
      <x:c r="K4" s="49"/>
      <x:c r="L4" s="49"/>
      <x:c r="M4" s="49"/>
      <x:c r="N4" s="49"/>
      <x:c r="O4" s="49"/>
      <x:c r="P4" s="49"/>
    </x:row>
    <x:row r="5">
      <x:c r="C5" s="49"/>
      <x:c r="D5" s="49"/>
      <x:c r="E5" s="49"/>
      <x:c r="F5" s="49"/>
      <x:c r="G5" s="49"/>
      <x:c r="H5" s="49"/>
      <x:c r="I5" s="49"/>
      <x:c r="J5" s="49"/>
      <x:c r="K5" s="49"/>
      <x:c r="L5" s="49"/>
      <x:c r="M5" s="49"/>
      <x:c r="N5" s="49"/>
      <x:c r="O5" s="49"/>
      <x:c r="P5" s="49"/>
    </x:row>
    <x:row r="6">
      <x:c r="C6" s="16" t="str">
        <x:v>Question</x:v>
      </x:c>
      <x:c r="D6" s="17" t="str">
        <x:v>Workbook answer</x:v>
      </x:c>
      <x:c r="E6" s="17" t="str">
        <x:v>Meaning</x:v>
      </x:c>
      <x:c r="F6" s="18" t="str">
        <x:v>Inspect</x:v>
      </x:c>
      <x:c r="G6" s="49"/>
      <x:c r="H6" s="49"/>
      <x:c r="I6" s="49"/>
      <x:c r="J6" s="49"/>
      <x:c r="K6" s="49"/>
      <x:c r="L6" s="49"/>
      <x:c r="M6" s="49"/>
      <x:c r="N6" s="49"/>
      <x:c r="O6" s="49"/>
      <x:c r="P6" s="49"/>
    </x:row>
    <x:row r="7">
      <x:c r="C7" s="21" t="str">
        <x:v>What is the unit of force?</x:v>
      </x:c>
      <x:c r="D7" s="21" t="str">
        <x:v>An independently supportable service-entry cell, not a vehicle.</x:v>
      </x:c>
      <x:c r="E7" s="21" t="str">
        <x:v>Every cell carries a proportional slice of every service effect.</x:v>
      </x:c>
      <x:c r="F7" s="21" t="str">
        <x:v>Cell Architecture</x:v>
      </x:c>
      <x:c r="G7" s="49"/>
      <x:c r="H7" s="49"/>
      <x:c r="I7" s="49"/>
      <x:c r="J7" s="49"/>
      <x:c r="K7" s="49"/>
      <x:c r="L7" s="49"/>
      <x:c r="M7" s="49"/>
      <x:c r="N7" s="49"/>
      <x:c r="O7" s="49"/>
      <x:c r="P7" s="49"/>
    </x:row>
    <x:row r="8">
      <x:c r="C8" s="21" t="str">
        <x:v>How many cells?</x:v>
      </x:c>
      <x:c r="D8" s="21" t="str">
        <x:v>Six: two upland, two air and two offshore.</x:v>
      </x:c>
      <x:c r="E8" s="21" t="str">
        <x:v>Any four must close the complete 72-hour service package.</x:v>
      </x:c>
      <x:c r="F8" s="21" t="str">
        <x:v>Pair-Loss Cases</x:v>
      </x:c>
      <x:c r="G8" s="49"/>
      <x:c r="H8" s="49"/>
      <x:c r="I8" s="49"/>
      <x:c r="J8" s="49"/>
      <x:c r="K8" s="49"/>
      <x:c r="L8" s="49"/>
      <x:c r="M8" s="49"/>
      <x:c r="N8" s="49"/>
      <x:c r="O8" s="49"/>
      <x:c r="P8" s="49"/>
    </x:row>
    <x:row r="9">
      <x:c r="C9" s="21" t="str">
        <x:v>Why 30% per cell?</x:v>
      </x:c>
      <x:c r="D9" s="21" t="str">
        <x:v>Four surviving cells yield 120% of the reference effect.</x:v>
      </x:c>
      <x:c r="E9" s="21" t="str">
        <x:v>The 20% margin absorbs execution loss without assuming a fifth cell.</x:v>
      </x:c>
      <x:c r="F9" s="21" t="str">
        <x:v>Effect Closure</x:v>
      </x:c>
      <x:c r="G9" s="49"/>
      <x:c r="H9" s="49"/>
      <x:c r="I9" s="49"/>
      <x:c r="J9" s="49"/>
      <x:c r="K9" s="49"/>
      <x:c r="L9" s="49"/>
      <x:c r="M9" s="49"/>
      <x:c r="N9" s="49"/>
      <x:c r="O9" s="49"/>
      <x:c r="P9" s="49"/>
    </x:row>
    <x:row r="10">
      <x:c r="C10" s="21" t="str">
        <x:v>How much mass?</x:v>
      </x:c>
      <x:c r="D10" s="21" t="str">
        <x:v>177,670 t across six cells, including 12% independent-support overhead.</x:v>
      </x:c>
      <x:c r="E10" s="21" t="str">
        <x:v>About 2.02x the Pass 25 R1 mass.</x:v>
      </x:c>
      <x:c r="F10" s="21" t="str">
        <x:v>Cell Module Build</x:v>
      </x:c>
      <x:c r="G10" s="49"/>
      <x:c r="H10" s="49"/>
      <x:c r="I10" s="49"/>
      <x:c r="J10" s="49"/>
      <x:c r="K10" s="49"/>
      <x:c r="L10" s="49"/>
      <x:c r="M10" s="49"/>
      <x:c r="N10" s="49"/>
      <x:c r="O10" s="49"/>
      <x:c r="P10" s="49"/>
    </x:row>
    <x:row r="11">
      <x:c r="C11" s="21" t="str">
        <x:v>Does it close by 72 hours?</x:v>
      </x:c>
      <x:c r="D11" s="21" t="str">
        <x:v>Yes in every deterministic two-cell-loss case; worst grid closure is hour 60.</x:v>
      </x:c>
      <x:c r="E11" s="21" t="str">
        <x:v>This tests capacity and sequencing, not weather reliability.</x:v>
      </x:c>
      <x:c r="F11" s="21" t="str">
        <x:v>Pair-Loss Timeline</x:v>
      </x:c>
      <x:c r="G11" s="49"/>
      <x:c r="H11" s="49"/>
      <x:c r="I11" s="49"/>
      <x:c r="J11" s="49"/>
      <x:c r="K11" s="49"/>
      <x:c r="L11" s="49"/>
      <x:c r="M11" s="49"/>
      <x:c r="N11" s="49"/>
      <x:c r="O11" s="49"/>
      <x:c r="P11" s="49"/>
    </x:row>
    <x:row r="12">
      <x:c r="C12" s="21" t="str">
        <x:v>Does it meet 95% assurance?</x:v>
      </x:c>
      <x:c r="D12" s="21" t="str">
        <x:v>Only if cell-loss probability is no more than 15% and campaign common-mode loss no more than 0.2%.</x:v>
      </x:c>
      <x:c r="E12" s="21" t="str">
        <x:v>A reliability allocation, not measured performance.</x:v>
      </x:c>
      <x:c r="F12" s="21" t="str">
        <x:v>Reliability Budget</x:v>
      </x:c>
      <x:c r="G12" s="49"/>
      <x:c r="H12" s="49"/>
      <x:c r="I12" s="49"/>
      <x:c r="J12" s="49"/>
      <x:c r="K12" s="49"/>
      <x:c r="L12" s="49"/>
      <x:c r="M12" s="49"/>
      <x:c r="N12" s="49"/>
      <x:c r="O12" s="49"/>
      <x:c r="P12" s="49"/>
    </x:row>
    <x:row r="13">
      <x:c r="C13" s="21" t="str">
        <x:v>What is the capital implication?</x:v>
      </x:c>
      <x:c r="D13" s="21" t="str">
        <x:v>About $471.1B incremental; $844.6B including the Pass 25 regional baseline.</x:v>
      </x:c>
      <x:c r="E13" s="21" t="str">
        <x:v>Pass 27 supersedes the provisional Pass 26 assurance delta.</x:v>
      </x:c>
      <x:c r="F13" s="21" t="str">
        <x:v>Capital Build</x:v>
      </x:c>
      <x:c r="G13" s="49"/>
      <x:c r="H13" s="49"/>
      <x:c r="I13" s="49"/>
      <x:c r="J13" s="49"/>
      <x:c r="K13" s="49"/>
      <x:c r="L13" s="49"/>
      <x:c r="M13" s="49"/>
      <x:c r="N13" s="49"/>
      <x:c r="O13" s="49"/>
      <x:c r="P13" s="49"/>
    </x:row>
    <x:row r="14">
      <x:c r="C14" s="21" t="str">
        <x:v>Are renderings authorized?</x:v>
      </x:c>
      <x:c r="D14" s="21" t="str">
        <x:v>No.</x:v>
      </x:c>
      <x:c r="E14" s="21" t="str">
        <x:v>Functional configuration and evidence gates remain open.</x:v>
      </x:c>
      <x:c r="F14" s="21" t="str">
        <x:v>Evidence Gates</x:v>
      </x:c>
      <x:c r="G14" s="49"/>
      <x:c r="H14" s="49"/>
      <x:c r="I14" s="49"/>
      <x:c r="J14" s="49"/>
      <x:c r="K14" s="49"/>
      <x:c r="L14" s="49"/>
      <x:c r="M14" s="49"/>
      <x:c r="N14" s="49"/>
      <x:c r="O14" s="49"/>
      <x:c r="P14" s="49"/>
    </x:row>
    <x:row r="15">
      <x:c r="C15" s="21" t="str">
        <x:v>What should be built first?</x:v>
      </x:c>
      <x:c r="D15" s="21" t="str">
        <x:v>Test articles, common interfaces, service-kernel packaging and representative full-mission trials.</x:v>
      </x:c>
      <x:c r="E15" s="21" t="str">
        <x:v>Geometry follows validated load paths and operating envelopes.</x:v>
      </x:c>
      <x:c r="F15" s="21" t="str">
        <x:v>Technology Requirements</x:v>
      </x:c>
      <x:c r="G15" s="49"/>
      <x:c r="H15" s="49"/>
      <x:c r="I15" s="49"/>
      <x:c r="J15" s="49"/>
      <x:c r="K15" s="49"/>
      <x:c r="L15" s="49"/>
      <x:c r="M15" s="49"/>
      <x:c r="N15" s="49"/>
      <x:c r="O15" s="49"/>
      <x:c r="P15" s="49"/>
    </x:row>
    <x:row r="16">
      <x:c r="C16" s="49"/>
      <x:c r="D16" s="49"/>
      <x:c r="E16" s="49"/>
      <x:c r="F16" s="49"/>
      <x:c r="G16" s="49"/>
      <x:c r="H16" s="49"/>
      <x:c r="I16" s="49"/>
      <x:c r="J16" s="49"/>
      <x:c r="K16" s="49"/>
      <x:c r="L16" s="49"/>
      <x:c r="M16" s="49"/>
      <x:c r="N16" s="49"/>
      <x:c r="O16" s="49"/>
      <x:c r="P16" s="49"/>
    </x:row>
    <x:row r="17">
      <x:c r="C17" s="49"/>
      <x:c r="D17" s="49"/>
      <x:c r="E17" s="49"/>
      <x:c r="F17" s="49"/>
      <x:c r="G17" s="49"/>
      <x:c r="H17" s="49"/>
      <x:c r="I17" s="49"/>
      <x:c r="J17" s="49"/>
      <x:c r="K17" s="49"/>
      <x:c r="L17" s="49"/>
      <x:c r="M17" s="49"/>
      <x:c r="N17" s="49"/>
      <x:c r="O17" s="49"/>
      <x:c r="P17" s="49"/>
    </x:row>
    <x:row r="18">
      <x:c r="C18" s="50" t="str">
        <x:v>Core interpretive rule</x:v>
      </x:c>
      <x:c r="D18" s="51" t="str">
        <x:v>Core interpretive rule</x:v>
      </x:c>
      <x:c r="E18" s="51" t="str">
        <x:v>Core interpretive rule</x:v>
      </x:c>
      <x:c r="F18" s="52" t="str">
        <x:v>Core interpretive rule</x:v>
      </x:c>
      <x:c r="G18" s="49"/>
      <x:c r="H18" s="49"/>
      <x:c r="I18" s="49"/>
      <x:c r="J18" s="49"/>
      <x:c r="K18" s="49"/>
      <x:c r="L18" s="49"/>
      <x:c r="M18" s="49"/>
      <x:c r="N18" s="49"/>
      <x:c r="O18" s="49"/>
      <x:c r="P18" s="49"/>
    </x:row>
    <x:row r="19">
      <x:c r="C19" s="49"/>
      <x:c r="D19" s="49"/>
      <x:c r="E19" s="49"/>
      <x:c r="F19" s="49"/>
      <x:c r="G19" s="49"/>
      <x:c r="H19" s="49"/>
      <x:c r="I19" s="49"/>
      <x:c r="J19" s="49"/>
      <x:c r="K19" s="49"/>
      <x:c r="L19" s="49"/>
      <x:c r="M19" s="49"/>
      <x:c r="N19" s="49"/>
      <x:c r="O19" s="49"/>
      <x:c r="P19" s="49"/>
    </x:row>
    <x:row r="20">
      <x:c r="C20" s="21" t="str">
        <x:v>The Service Entry Force is a six-way distribution of complete public-service effects. Air, offshore and upland systems are transport and access layers inside the cell; they are not the cells themselves. A cell is independent only when origin, workforce, energy, data, repair, authority and civil interface can fail separately from the other five.</x:v>
      </x:c>
      <x:c r="D20" s="21"/>
      <x:c r="E20" s="21"/>
      <x:c r="F20" s="21"/>
      <x:c r="G20" s="49"/>
      <x:c r="H20" s="49"/>
      <x:c r="I20" s="49"/>
      <x:c r="J20" s="49"/>
      <x:c r="K20" s="49"/>
      <x:c r="L20" s="49"/>
      <x:c r="M20" s="49"/>
      <x:c r="N20" s="49"/>
      <x:c r="O20" s="49"/>
      <x:c r="P20" s="49"/>
    </x:row>
    <x:row r="21">
      <x:c r="C21" s="21"/>
      <x:c r="D21" s="21"/>
      <x:c r="E21" s="21"/>
      <x:c r="F21" s="21"/>
      <x:c r="G21" s="49"/>
      <x:c r="H21" s="49"/>
      <x:c r="I21" s="49"/>
      <x:c r="J21" s="49"/>
      <x:c r="K21" s="49"/>
      <x:c r="L21" s="49"/>
      <x:c r="M21" s="49"/>
      <x:c r="N21" s="49"/>
      <x:c r="O21" s="49"/>
      <x:c r="P21" s="49"/>
    </x:row>
    <x:row r="22">
      <x:c r="C22" s="21"/>
      <x:c r="D22" s="21"/>
      <x:c r="E22" s="21"/>
      <x:c r="F22" s="21"/>
      <x:c r="G22" s="49"/>
      <x:c r="H22" s="49"/>
      <x:c r="I22" s="49"/>
      <x:c r="J22" s="49"/>
      <x:c r="K22" s="49"/>
      <x:c r="L22" s="49"/>
      <x:c r="M22" s="49"/>
      <x:c r="N22" s="49"/>
      <x:c r="O22" s="49"/>
      <x:c r="P22" s="49"/>
    </x:row>
  </x:sheetData>
  <x:mergeCells>
    <x:mergeCell ref="C2:P2"/>
    <x:mergeCell ref="C3:P3"/>
    <x:mergeCell ref="C18:F18"/>
    <x:mergeCell ref="C20:F22"/>
  </x:mergeCells>
  <x:conditionalFormatting sqref="D13:D14">
    <x:cfRule type="containsText" dxfId="0" priority="1" operator="containsText" text="PASS"/>
    <x:cfRule type="containsText" dxfId="1" priority="2" operator="containsText" text="CLOSE"/>
    <x:cfRule type="containsText" dxfId="2" priority="3" operator="containsText" text="FAIL"/>
    <x:cfRule type="containsText" dxfId="3" priority="4" operator="containsText" text="OPEN"/>
    <x:cfRule type="containsText" dxfId="4" priority="5" operator="containsText" text="BLOCKED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38" hidden="0" customWidth="1"/>
    <x:col min="4" max="4" width="18" hidden="0" customWidth="1"/>
    <x:col min="5" max="5" width="20" hidden="0" customWidth="1"/>
    <x:col min="6" max="6" width="44" hidden="0" customWidth="1"/>
  </x:cols>
  <x:sheetData>
    <x:row r="2" ht="24" customHeight="1">
      <x:c r="C2" s="47" t="str">
        <x:v>Controls</x:v>
      </x:c>
      <x:c r="D2" s="47"/>
      <x:c r="E2" s="47"/>
      <x:c r="F2" s="47"/>
      <x:c r="G2" s="47"/>
      <x:c r="H2" s="47"/>
      <x:c r="I2" s="47"/>
    </x:row>
    <x:row r="3" ht="32" customHeight="1">
      <x:c r="C3" s="48" t="str">
        <x:v>Yellow cells are editable design assumptions. Blue text marks direct inputs; green text elsewhere marks formulas.</x:v>
      </x:c>
      <x:c r="D3" s="48"/>
      <x:c r="E3" s="48"/>
      <x:c r="F3" s="48"/>
      <x:c r="G3" s="48"/>
      <x:c r="H3" s="48"/>
      <x:c r="I3" s="48"/>
    </x:row>
    <x:row r="4">
      <x:c r="C4" s="49"/>
      <x:c r="D4" s="49"/>
      <x:c r="E4" s="49"/>
      <x:c r="F4" s="49"/>
      <x:c r="G4" s="49"/>
      <x:c r="H4" s="49"/>
      <x:c r="I4" s="49"/>
    </x:row>
    <x:row r="5">
      <x:c r="C5" s="49"/>
      <x:c r="D5" s="49"/>
      <x:c r="E5" s="49"/>
      <x:c r="F5" s="49"/>
      <x:c r="G5" s="49"/>
      <x:c r="H5" s="49"/>
      <x:c r="I5" s="49"/>
    </x:row>
    <x:row r="6">
      <x:c r="C6" s="16" t="str">
        <x:v>Control</x:v>
      </x:c>
      <x:c r="D6" s="17" t="str">
        <x:v>Value</x:v>
      </x:c>
      <x:c r="E6" s="17" t="str">
        <x:v>Unit</x:v>
      </x:c>
      <x:c r="F6" s="18" t="str">
        <x:v>Role</x:v>
      </x:c>
      <x:c r="G6" s="49"/>
      <x:c r="H6" s="49"/>
      <x:c r="I6" s="49"/>
    </x:row>
    <x:row r="7">
      <x:c r="C7" s="21" t="str">
        <x:v>Reference R1 mass</x:v>
      </x:c>
      <x:c r="D7" s="28" t="n">
        <x:v>88130</x:v>
      </x:c>
      <x:c r="E7" s="21" t="str">
        <x:v>t</x:v>
      </x:c>
      <x:c r="F7" s="21" t="str">
        <x:v>Pass 25 anchor</x:v>
      </x:c>
      <x:c r="G7" s="49"/>
      <x:c r="H7" s="49"/>
      <x:c r="I7" s="49"/>
    </x:row>
    <x:row r="8">
      <x:c r="C8" s="21" t="str">
        <x:v>Cells</x:v>
      </x:c>
      <x:c r="D8" s="28" t="n">
        <x:v>6</x:v>
      </x:c>
      <x:c r="E8" s="21" t="str">
        <x:v>cells</x:v>
      </x:c>
      <x:c r="F8" s="21" t="str">
        <x:v>force topology</x:v>
      </x:c>
      <x:c r="G8" s="49"/>
      <x:c r="H8" s="49"/>
      <x:c r="I8" s="49"/>
    </x:row>
    <x:row r="9">
      <x:c r="C9" s="21" t="str">
        <x:v>Cell effect share</x:v>
      </x:c>
      <x:c r="D9" s="29" t="n">
        <x:v>0.3</x:v>
      </x:c>
      <x:c r="E9" s="21" t="str">
        <x:v>share</x:v>
      </x:c>
      <x:c r="F9" s="21" t="str">
        <x:v>four-cell closure with margin</x:v>
      </x:c>
      <x:c r="G9" s="49"/>
      <x:c r="H9" s="49"/>
      <x:c r="I9" s="49"/>
    </x:row>
    <x:row r="10">
      <x:c r="C10" s="21" t="str">
        <x:v>Independent-support overhead</x:v>
      </x:c>
      <x:c r="D10" s="29" t="n">
        <x:v>0.12</x:v>
      </x:c>
      <x:c r="E10" s="21" t="str">
        <x:v>of effect mass</x:v>
      </x:c>
      <x:c r="F10" s="21" t="str">
        <x:v>crew/base/repair/data/authority</x:v>
      </x:c>
      <x:c r="G10" s="49"/>
      <x:c r="H10" s="49"/>
      <x:c r="I10" s="49"/>
    </x:row>
    <x:row r="11">
      <x:c r="C11" s="21" t="str">
        <x:v>72-hour target</x:v>
      </x:c>
      <x:c r="D11" s="28" t="n">
        <x:v>72</x:v>
      </x:c>
      <x:c r="E11" s="21" t="str">
        <x:v>hours</x:v>
      </x:c>
      <x:c r="F11" s="21" t="str">
        <x:v>service closure</x:v>
      </x:c>
      <x:c r="G11" s="49"/>
      <x:c r="H11" s="49"/>
      <x:c r="I11" s="49"/>
    </x:row>
    <x:row r="12">
      <x:c r="C12" s="21" t="str">
        <x:v>Cell loss allocation</x:v>
      </x:c>
      <x:c r="D12" s="29" t="n">
        <x:v>0.15</x:v>
      </x:c>
      <x:c r="E12" s="21" t="str">
        <x:v>probability</x:v>
      </x:c>
      <x:c r="F12" s="21" t="str">
        <x:v>normative reliability budget</x:v>
      </x:c>
      <x:c r="G12" s="49"/>
      <x:c r="H12" s="49"/>
      <x:c r="I12" s="49"/>
    </x:row>
    <x:row r="13">
      <x:c r="C13" s="21" t="str">
        <x:v>Campaign common-mode allocation</x:v>
      </x:c>
      <x:c r="D13" s="29" t="n">
        <x:v>0.002</x:v>
      </x:c>
      <x:c r="E13" s="21" t="str">
        <x:v>probability</x:v>
      </x:c>
      <x:c r="F13" s="21" t="str">
        <x:v>normative reliability budget</x:v>
      </x:c>
      <x:c r="G13" s="49"/>
      <x:c r="H13" s="49"/>
      <x:c r="I13" s="49"/>
    </x:row>
    <x:row r="14">
      <x:c r="C14" s="21" t="str">
        <x:v>Assurance target</x:v>
      </x:c>
      <x:c r="D14" s="29" t="n">
        <x:v>0.95</x:v>
      </x:c>
      <x:c r="E14" s="21" t="str">
        <x:v>probability</x:v>
      </x:c>
      <x:c r="F14" s="21" t="str">
        <x:v>design requirement</x:v>
      </x:c>
      <x:c r="G14" s="49"/>
      <x:c r="H14" s="49"/>
      <x:c r="I14" s="49"/>
    </x:row>
    <x:row r="15">
      <x:c r="C15" s="21" t="str">
        <x:v>Pass 25 attributable capital</x:v>
      </x:c>
      <x:c r="D15" s="28" t="n">
        <x:v>373.44</x:v>
      </x:c>
      <x:c r="E15" s="21" t="str">
        <x:v>$B</x:v>
      </x:c>
      <x:c r="F15" s="21" t="str">
        <x:v>regional baseline</x:v>
      </x:c>
      <x:c r="G15" s="49"/>
      <x:c r="H15" s="49"/>
      <x:c r="I15" s="49"/>
    </x:row>
    <x:row r="16">
      <x:c r="C16" s="21" t="str">
        <x:v>Pass 25 mature annual O&amp;S</x:v>
      </x:c>
      <x:c r="D16" s="28" t="n">
        <x:v>34.2</x:v>
      </x:c>
      <x:c r="E16" s="21" t="str">
        <x:v>$B/year</x:v>
      </x:c>
      <x:c r="F16" s="21" t="str">
        <x:v>regional baseline</x:v>
      </x:c>
      <x:c r="G16" s="49"/>
      <x:c r="H16" s="49"/>
      <x:c r="I16" s="49"/>
    </x:row>
    <x:row r="17">
      <x:c r="C17" s="21" t="str">
        <x:v>Capital risk reserve</x:v>
      </x:c>
      <x:c r="D17" s="29" t="n">
        <x:v>0.25</x:v>
      </x:c>
      <x:c r="E17" s="21" t="str">
        <x:v>of subtotal</x:v>
      </x:c>
      <x:c r="F17" s="21" t="str">
        <x:v>pre-reference-design allowance</x:v>
      </x:c>
      <x:c r="G17" s="49"/>
      <x:c r="H17" s="49"/>
      <x:c r="I17" s="49"/>
    </x:row>
    <x:row r="18">
      <x:c r="C18" s="21" t="str">
        <x:v>Rotational factor</x:v>
      </x:c>
      <x:c r="D18" s="28" t="n">
        <x:v>4.2</x:v>
      </x:c>
      <x:c r="E18" s="21" t="str">
        <x:v>billets/deployed</x:v>
      </x:c>
      <x:c r="F18" s="21" t="str">
        <x:v>availability, leave, training, surge</x:v>
      </x:c>
      <x:c r="G18" s="49"/>
      <x:c r="H18" s="49"/>
      <x:c r="I18" s="49"/>
    </x:row>
    <x:row r="19">
      <x:c r="C19" s="21" t="str">
        <x:v>Rendering gate</x:v>
      </x:c>
      <x:c r="D19" s="28" t="str">
        <x:v>OPEN</x:v>
      </x:c>
      <x:c r="E19" s="21" t="str">
        <x:v>state</x:v>
      </x:c>
      <x:c r="F19" s="21" t="str">
        <x:v>blocked pending functional evidence</x:v>
      </x:c>
      <x:c r="G19" s="49"/>
      <x:c r="H19" s="49"/>
      <x:c r="I19" s="49"/>
    </x:row>
  </x:sheetData>
  <x:mergeCells>
    <x:mergeCell ref="C2:I2"/>
    <x:mergeCell ref="C3:I3"/>
  </x:mergeCells>
  <x:conditionalFormatting sqref="D19:D19">
    <x:cfRule type="containsText" dxfId="5" priority="1" operator="containsText" text="PASS"/>
    <x:cfRule type="containsText" dxfId="6" priority="2" operator="containsText" text="CLOSE"/>
    <x:cfRule type="containsText" dxfId="7" priority="3" operator="containsText" text="FAIL"/>
    <x:cfRule type="containsText" dxfId="8" priority="4" operator="containsText" text="OPEN"/>
    <x:cfRule type="containsText" dxfId="9" priority="5" operator="containsText" text="BLOCKED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10" hidden="0" customWidth="1"/>
    <x:col min="4" max="4" width="34" hidden="0" customWidth="1"/>
    <x:col min="5" max="5" width="20" hidden="0" customWidth="1"/>
    <x:col min="6" max="6" width="14" hidden="0" customWidth="1"/>
    <x:col min="7" max="7" width="18" hidden="0" customWidth="1"/>
    <x:col min="8" max="8" width="18" hidden="0" customWidth="1"/>
    <x:col min="9" max="9" width="54" hidden="0" customWidth="1"/>
  </x:cols>
  <x:sheetData>
    <x:row r="2" ht="24" customHeight="1">
      <x:c r="C2" s="47" t="str">
        <x:v>Pass 25 R1 Baseline</x:v>
      </x:c>
      <x:c r="D2" s="47"/>
      <x:c r="E2" s="47"/>
      <x:c r="F2" s="47"/>
      <x:c r="G2" s="47"/>
      <x:c r="H2" s="47"/>
      <x:c r="I2" s="47"/>
      <x:c r="J2" s="47"/>
      <x:c r="K2" s="47"/>
      <x:c r="L2" s="47"/>
      <x:c r="M2" s="47"/>
      <x:c r="N2" s="47"/>
      <x:c r="O2" s="47"/>
      <x:c r="P2" s="47"/>
    </x:row>
    <x:row r="3" ht="32" customHeight="1">
      <x:c r="C3" s="48" t="str">
        <x:v>The 16-load first public-service wave is the effect basis for this pass. Mass and effect quantities are carried forward exactly.</x:v>
      </x:c>
      <x:c r="D3" s="48"/>
      <x:c r="E3" s="48"/>
      <x:c r="F3" s="48"/>
      <x:c r="G3" s="48"/>
      <x:c r="H3" s="48"/>
      <x:c r="I3" s="48"/>
      <x:c r="J3" s="48"/>
      <x:c r="K3" s="48"/>
      <x:c r="L3" s="48"/>
      <x:c r="M3" s="48"/>
      <x:c r="N3" s="48"/>
      <x:c r="O3" s="48"/>
      <x:c r="P3" s="48"/>
    </x:row>
    <x:row r="4">
      <x:c r="C4" s="49"/>
      <x:c r="D4" s="49"/>
      <x:c r="E4" s="49"/>
      <x:c r="F4" s="49"/>
      <x:c r="G4" s="49"/>
      <x:c r="H4" s="49"/>
      <x:c r="I4" s="49"/>
      <x:c r="J4" s="49"/>
      <x:c r="K4" s="49"/>
      <x:c r="L4" s="49"/>
      <x:c r="M4" s="49"/>
      <x:c r="N4" s="49"/>
      <x:c r="O4" s="49"/>
      <x:c r="P4" s="49"/>
    </x:row>
    <x:row r="5">
      <x:c r="C5" s="49"/>
      <x:c r="D5" s="49"/>
      <x:c r="E5" s="49"/>
      <x:c r="F5" s="49"/>
      <x:c r="G5" s="49"/>
      <x:c r="H5" s="49"/>
      <x:c r="I5" s="49"/>
      <x:c r="J5" s="49"/>
      <x:c r="K5" s="49"/>
      <x:c r="L5" s="49"/>
      <x:c r="M5" s="49"/>
      <x:c r="N5" s="49"/>
      <x:c r="O5" s="49"/>
      <x:c r="P5" s="49"/>
    </x:row>
    <x:row r="6">
      <x:c r="C6" s="16" t="str">
        <x:v>ID</x:v>
      </x:c>
      <x:c r="D6" s="17" t="str">
        <x:v>Module</x:v>
      </x:c>
      <x:c r="E6" s="17" t="str">
        <x:v>Service family</x:v>
      </x:c>
      <x:c r="F6" s="17" t="str">
        <x:v>Mass t</x:v>
      </x:c>
      <x:c r="G6" s="17" t="str">
        <x:v>Reference effect</x:v>
      </x:c>
      <x:c r="H6" s="17" t="str">
        <x:v>Unit</x:v>
      </x:c>
      <x:c r="I6" s="18" t="str">
        <x:v>Operating purpose</x:v>
      </x:c>
      <x:c r="J6" s="49"/>
      <x:c r="K6" s="49"/>
      <x:c r="L6" s="49"/>
      <x:c r="M6" s="49"/>
      <x:c r="N6" s="49"/>
      <x:c r="O6" s="49"/>
      <x:c r="P6" s="49"/>
    </x:row>
    <x:row r="7">
      <x:c r="C7" s="21" t="str">
        <x:v>M01</x:v>
      </x:c>
      <x:c r="D7" s="21" t="str">
        <x:v>Joint civil command</x:v>
      </x:c>
      <x:c r="E7" s="21" t="str">
        <x:v>Command</x:v>
      </x:c>
      <x:c r="F7" s="21" t="n">
        <x:v>2200</x:v>
      </x:c>
      <x:c r="G7" s="21" t="n">
        <x:v>9</x:v>
      </x:c>
      <x:c r="H7" s="21" t="str">
        <x:v>service islands</x:v>
      </x:c>
      <x:c r="I7" s="21" t="str">
        <x:v>Shared picture, civil priority, release authority</x:v>
      </x:c>
      <x:c r="J7" s="49"/>
      <x:c r="K7" s="49"/>
      <x:c r="L7" s="49"/>
      <x:c r="M7" s="49"/>
      <x:c r="N7" s="49"/>
      <x:c r="O7" s="49"/>
      <x:c r="P7" s="49"/>
    </x:row>
    <x:row r="8">
      <x:c r="C8" s="21" t="str">
        <x:v>M02</x:v>
      </x:c>
      <x:c r="D8" s="21" t="str">
        <x:v>Degraded data spine</x:v>
      </x:c>
      <x:c r="E8" s="21" t="str">
        <x:v>Communications</x:v>
      </x:c>
      <x:c r="F8" s="21" t="n">
        <x:v>3600</x:v>
      </x:c>
      <x:c r="G8" s="21" t="n">
        <x:v>2800000</x:v>
      </x:c>
      <x:c r="H8" s="21" t="str">
        <x:v>users</x:v>
      </x:c>
      <x:c r="I8" s="21" t="str">
        <x:v>Offline-first public and responder communications</x:v>
      </x:c>
      <x:c r="J8" s="49"/>
      <x:c r="K8" s="49"/>
      <x:c r="L8" s="49"/>
      <x:c r="M8" s="49"/>
      <x:c r="N8" s="49"/>
      <x:c r="O8" s="49"/>
      <x:c r="P8" s="49"/>
    </x:row>
    <x:row r="9">
      <x:c r="C9" s="21" t="str">
        <x:v>M03</x:v>
      </x:c>
      <x:c r="D9" s="21" t="str">
        <x:v>Regional reconnaissance</x:v>
      </x:c>
      <x:c r="E9" s="21" t="str">
        <x:v>Access</x:v>
      </x:c>
      <x:c r="F9" s="21" t="n">
        <x:v>2400</x:v>
      </x:c>
      <x:c r="G9" s="21" t="n">
        <x:v>5000</x:v>
      </x:c>
      <x:c r="H9" s="21" t="str">
        <x:v>t/day access</x:v>
      </x:c>
      <x:c r="I9" s="21" t="str">
        <x:v>Persistent sensing and inspection queue</x:v>
      </x:c>
      <x:c r="J9" s="49"/>
      <x:c r="K9" s="49"/>
      <x:c r="L9" s="49"/>
      <x:c r="M9" s="49"/>
      <x:c r="N9" s="49"/>
      <x:c r="O9" s="49"/>
      <x:c r="P9" s="49"/>
    </x:row>
    <x:row r="10">
      <x:c r="C10" s="21" t="str">
        <x:v>M04</x:v>
      </x:c>
      <x:c r="D10" s="21" t="str">
        <x:v>Medical stabilization</x:v>
      </x:c>
      <x:c r="E10" s="21" t="str">
        <x:v>Health</x:v>
      </x:c>
      <x:c r="F10" s="21" t="n">
        <x:v>5400</x:v>
      </x:c>
      <x:c r="G10" s="21" t="n">
        <x:v>600</x:v>
      </x:c>
      <x:c r="H10" s="21" t="str">
        <x:v>staffed beds</x:v>
      </x:c>
      <x:c r="I10" s="21" t="str">
        <x:v>Trauma, dialysis, oxygen, pharmacy and movement</x:v>
      </x:c>
      <x:c r="J10" s="49"/>
      <x:c r="K10" s="49"/>
      <x:c r="L10" s="49"/>
      <x:c r="M10" s="49"/>
      <x:c r="N10" s="49"/>
      <x:c r="O10" s="49"/>
      <x:c r="P10" s="49"/>
    </x:row>
    <x:row r="11">
      <x:c r="C11" s="21" t="str">
        <x:v>M05</x:v>
      </x:c>
      <x:c r="D11" s="21" t="str">
        <x:v>Urban search and rescue</x:v>
      </x:c>
      <x:c r="E11" s="21" t="str">
        <x:v>Hazard control</x:v>
      </x:c>
      <x:c r="F11" s="21" t="n">
        <x:v>8200</x:v>
      </x:c>
      <x:c r="G11" s="21" t="n">
        <x:v>120</x:v>
      </x:c>
      <x:c r="H11" s="21" t="str">
        <x:v>route-eq km/day</x:v>
      </x:c>
      <x:c r="I11" s="21" t="str">
        <x:v>Heavy rescue, debris and confined-space teams</x:v>
      </x:c>
      <x:c r="J11" s="49"/>
      <x:c r="K11" s="49"/>
      <x:c r="L11" s="49"/>
      <x:c r="M11" s="49"/>
      <x:c r="N11" s="49"/>
      <x:c r="O11" s="49"/>
      <x:c r="P11" s="49"/>
    </x:row>
    <x:row r="12">
      <x:c r="C12" s="21" t="str">
        <x:v>M06</x:v>
      </x:c>
      <x:c r="D12" s="21" t="str">
        <x:v>Air entry opening</x:v>
      </x:c>
      <x:c r="E12" s="21" t="str">
        <x:v>Access</x:v>
      </x:c>
      <x:c r="F12" s="21" t="n">
        <x:v>6800</x:v>
      </x:c>
      <x:c r="G12" s="21" t="n">
        <x:v>8000</x:v>
      </x:c>
      <x:c r="H12" s="21" t="str">
        <x:v>t/day access</x:v>
      </x:c>
      <x:c r="I12" s="21" t="str">
        <x:v>Airfield inspection, repair and handling</x:v>
      </x:c>
      <x:c r="J12" s="49"/>
      <x:c r="K12" s="49"/>
      <x:c r="L12" s="49"/>
      <x:c r="M12" s="49"/>
      <x:c r="N12" s="49"/>
      <x:c r="O12" s="49"/>
      <x:c r="P12" s="49"/>
    </x:row>
    <x:row r="13">
      <x:c r="C13" s="21" t="str">
        <x:v>M07</x:v>
      </x:c>
      <x:c r="D13" s="21" t="str">
        <x:v>Port reconnaissance</x:v>
      </x:c>
      <x:c r="E13" s="21" t="str">
        <x:v>Access</x:v>
      </x:c>
      <x:c r="F13" s="21" t="n">
        <x:v>7500</x:v>
      </x:c>
      <x:c r="G13" s="21" t="n">
        <x:v>5000</x:v>
      </x:c>
      <x:c r="H13" s="21" t="str">
        <x:v>t/day access</x:v>
      </x:c>
      <x:c r="I13" s="21" t="str">
        <x:v>Hydrographic, structural and hazardous-material release</x:v>
      </x:c>
      <x:c r="J13" s="49"/>
      <x:c r="K13" s="49"/>
      <x:c r="L13" s="49"/>
      <x:c r="M13" s="49"/>
      <x:c r="N13" s="49"/>
      <x:c r="O13" s="49"/>
      <x:c r="P13" s="49"/>
    </x:row>
    <x:row r="14">
      <x:c r="C14" s="21" t="str">
        <x:v>M08</x:v>
      </x:c>
      <x:c r="D14" s="21" t="str">
        <x:v>Littoral opening</x:v>
      </x:c>
      <x:c r="E14" s="21" t="str">
        <x:v>Access</x:v>
      </x:c>
      <x:c r="F14" s="21" t="n">
        <x:v>8000</x:v>
      </x:c>
      <x:c r="G14" s="21" t="n">
        <x:v>7000</x:v>
      </x:c>
      <x:c r="H14" s="21" t="str">
        <x:v>t/day access</x:v>
      </x:c>
      <x:c r="I14" s="21" t="str">
        <x:v>No-pier transfer and protected-water distribution</x:v>
      </x:c>
      <x:c r="J14" s="49"/>
      <x:c r="K14" s="49"/>
      <x:c r="L14" s="49"/>
      <x:c r="M14" s="49"/>
      <x:c r="N14" s="49"/>
      <x:c r="O14" s="49"/>
      <x:c r="P14" s="49"/>
    </x:row>
    <x:row r="15">
      <x:c r="C15" s="21" t="str">
        <x:v>M09</x:v>
      </x:c>
      <x:c r="D15" s="21" t="str">
        <x:v>Route and bridge release</x:v>
      </x:c>
      <x:c r="E15" s="21" t="str">
        <x:v>Access</x:v>
      </x:c>
      <x:c r="F15" s="21" t="n">
        <x:v>6300</x:v>
      </x:c>
      <x:c r="G15" s="21" t="n">
        <x:v>5000</x:v>
      </x:c>
      <x:c r="H15" s="21" t="str">
        <x:v>t/day access</x:v>
      </x:c>
      <x:c r="I15" s="21" t="str">
        <x:v>Inspection, bypass, bridging and debris clearance</x:v>
      </x:c>
      <x:c r="J15" s="49"/>
      <x:c r="K15" s="49"/>
      <x:c r="L15" s="49"/>
      <x:c r="M15" s="49"/>
      <x:c r="N15" s="49"/>
      <x:c r="O15" s="49"/>
      <x:c r="P15" s="49"/>
    </x:row>
    <x:row r="16">
      <x:c r="C16" s="21" t="str">
        <x:v>M10</x:v>
      </x:c>
      <x:c r="D16" s="21" t="str">
        <x:v>Responder-base starter</x:v>
      </x:c>
      <x:c r="E16" s="21" t="str">
        <x:v>Basing</x:v>
      </x:c>
      <x:c r="F16" s="21" t="n">
        <x:v>9000</x:v>
      </x:c>
      <x:c r="G16" s="21" t="n">
        <x:v>30000</x:v>
      </x:c>
      <x:c r="H16" s="21" t="str">
        <x:v>responders</x:v>
      </x:c>
      <x:c r="I16" s="21" t="str">
        <x:v>Independent life support for response workforce</x:v>
      </x:c>
      <x:c r="J16" s="49"/>
      <x:c r="K16" s="49"/>
      <x:c r="L16" s="49"/>
      <x:c r="M16" s="49"/>
      <x:c r="N16" s="49"/>
      <x:c r="O16" s="49"/>
      <x:c r="P16" s="49"/>
    </x:row>
    <x:row r="17">
      <x:c r="C17" s="21" t="str">
        <x:v>M11</x:v>
      </x:c>
      <x:c r="D17" s="21" t="str">
        <x:v>Water starter</x:v>
      </x:c>
      <x:c r="E17" s="21" t="str">
        <x:v>Water</x:v>
      </x:c>
      <x:c r="F17" s="21" t="n">
        <x:v>6500</x:v>
      </x:c>
      <x:c r="G17" s="21" t="n">
        <x:v>20000</x:v>
      </x:c>
      <x:c r="H17" s="21" t="str">
        <x:v>m3/day</x:v>
      </x:c>
      <x:c r="I17" s="21" t="str">
        <x:v>Treatment, storage and distribution</x:v>
      </x:c>
      <x:c r="J17" s="49"/>
      <x:c r="K17" s="49"/>
      <x:c r="L17" s="49"/>
      <x:c r="M17" s="49"/>
      <x:c r="N17" s="49"/>
      <x:c r="O17" s="49"/>
      <x:c r="P17" s="49"/>
    </x:row>
    <x:row r="18">
      <x:c r="C18" s="21" t="str">
        <x:v>M12</x:v>
      </x:c>
      <x:c r="D18" s="21" t="str">
        <x:v>Critical power starter</x:v>
      </x:c>
      <x:c r="E18" s="21" t="str">
        <x:v>Power</x:v>
      </x:c>
      <x:c r="F18" s="21" t="n">
        <x:v>7000</x:v>
      </x:c>
      <x:c r="G18" s="21" t="n">
        <x:v>650</x:v>
      </x:c>
      <x:c r="H18" s="21" t="str">
        <x:v>MW</x:v>
      </x:c>
      <x:c r="I18" s="21" t="str">
        <x:v>Black-startable island power</x:v>
      </x:c>
      <x:c r="J18" s="49"/>
      <x:c r="K18" s="49"/>
      <x:c r="L18" s="49"/>
      <x:c r="M18" s="49"/>
      <x:c r="N18" s="49"/>
      <x:c r="O18" s="49"/>
      <x:c r="P18" s="49"/>
    </x:row>
    <x:row r="19">
      <x:c r="C19" s="21" t="str">
        <x:v>M13</x:v>
      </x:c>
      <x:c r="D19" s="21" t="str">
        <x:v>Sanitation starter</x:v>
      </x:c>
      <x:c r="E19" s="21" t="str">
        <x:v>Sanitation</x:v>
      </x:c>
      <x:c r="F19" s="21" t="n">
        <x:v>4800</x:v>
      </x:c>
      <x:c r="G19" s="21" t="n">
        <x:v>500000</x:v>
      </x:c>
      <x:c r="H19" s="21" t="str">
        <x:v>users</x:v>
      </x:c>
      <x:c r="I19" s="21" t="str">
        <x:v>Wastewater, hygiene and solid waste</x:v>
      </x:c>
      <x:c r="J19" s="49"/>
      <x:c r="K19" s="49"/>
      <x:c r="L19" s="49"/>
      <x:c r="M19" s="49"/>
      <x:c r="N19" s="49"/>
      <x:c r="O19" s="49"/>
      <x:c r="P19" s="49"/>
    </x:row>
    <x:row r="20">
      <x:c r="C20" s="21" t="str">
        <x:v>M14</x:v>
      </x:c>
      <x:c r="D20" s="21" t="str">
        <x:v>Food distribution starter</x:v>
      </x:c>
      <x:c r="E20" s="21" t="str">
        <x:v>Food</x:v>
      </x:c>
      <x:c r="F20" s="21" t="n">
        <x:v>5200</x:v>
      </x:c>
      <x:c r="G20" s="21" t="n">
        <x:v>2600000</x:v>
      </x:c>
      <x:c r="H20" s="21" t="str">
        <x:v>people/day</x:v>
      </x:c>
      <x:c r="I20" s="21" t="str">
        <x:v>Cold chain, kitchens and distribution</x:v>
      </x:c>
      <x:c r="J20" s="49"/>
      <x:c r="K20" s="49"/>
      <x:c r="L20" s="49"/>
      <x:c r="M20" s="49"/>
      <x:c r="N20" s="49"/>
      <x:c r="O20" s="49"/>
      <x:c r="P20" s="49"/>
    </x:row>
    <x:row r="21">
      <x:c r="C21" s="21" t="str">
        <x:v>M15</x:v>
      </x:c>
      <x:c r="D21" s="21" t="str">
        <x:v>Shelter starter</x:v>
      </x:c>
      <x:c r="E21" s="21" t="str">
        <x:v>Shelter</x:v>
      </x:c>
      <x:c r="F21" s="21" t="n">
        <x:v>3000</x:v>
      </x:c>
      <x:c r="G21" s="21" t="n">
        <x:v>500000</x:v>
      </x:c>
      <x:c r="H21" s="21" t="str">
        <x:v>people</x:v>
      </x:c>
      <x:c r="I21" s="21" t="str">
        <x:v>Climate-controlled shelter and accessibility</x:v>
      </x:c>
      <x:c r="J21" s="49"/>
      <x:c r="K21" s="49"/>
      <x:c r="L21" s="49"/>
      <x:c r="M21" s="49"/>
      <x:c r="N21" s="49"/>
      <x:c r="O21" s="49"/>
      <x:c r="P21" s="49"/>
    </x:row>
    <x:row r="22">
      <x:c r="C22" s="21" t="str">
        <x:v>M16</x:v>
      </x:c>
      <x:c r="D22" s="21" t="str">
        <x:v>Fuel starter</x:v>
      </x:c>
      <x:c r="E22" s="21" t="str">
        <x:v>Fuel</x:v>
      </x:c>
      <x:c r="F22" s="21" t="n">
        <x:v>2230</x:v>
      </x:c>
      <x:c r="G22" s="21" t="n">
        <x:v>1</x:v>
      </x:c>
      <x:c r="H22" s="21" t="str">
        <x:v>enabling package</x:v>
      </x:c>
      <x:c r="I22" s="21" t="str">
        <x:v>Multi-fuel, charging and allocation package</x:v>
      </x:c>
      <x:c r="J22" s="49"/>
      <x:c r="K22" s="49"/>
      <x:c r="L22" s="49"/>
      <x:c r="M22" s="49"/>
      <x:c r="N22" s="49"/>
      <x:c r="O22" s="49"/>
      <x:c r="P22" s="49"/>
    </x:row>
    <x:row r="23">
      <x:c r="C23" s="49"/>
      <x:c r="D23" s="49"/>
      <x:c r="E23" s="49"/>
      <x:c r="F23" s="49"/>
      <x:c r="G23" s="49"/>
      <x:c r="H23" s="49"/>
      <x:c r="I23" s="49"/>
      <x:c r="J23" s="49"/>
      <x:c r="K23" s="49"/>
      <x:c r="L23" s="49"/>
      <x:c r="M23" s="49"/>
      <x:c r="N23" s="49"/>
      <x:c r="O23" s="49"/>
      <x:c r="P23" s="49"/>
    </x:row>
    <x:row r="24">
      <x:c r="C24" s="21" t="str">
        <x:v>Total</x:v>
      </x:c>
      <x:c r="D24" s="21" t="str"/>
      <x:c r="E24" s="21"/>
      <x:c r="F24" s="30" t="n">
        <x:f>SUM(F7:F22)</x:f>
        <x:v>88130</x:v>
      </x:c>
      <x:c r="G24" s="21"/>
      <x:c r="H24" s="21"/>
      <x:c r="I24" s="21" t="str">
        <x:v>Pass 25 R1 mass reconciliation</x:v>
      </x:c>
      <x:c r="J24" s="49"/>
      <x:c r="K24" s="49"/>
      <x:c r="L24" s="49"/>
      <x:c r="M24" s="49"/>
      <x:c r="N24" s="49"/>
      <x:c r="O24" s="49"/>
      <x:c r="P24" s="49"/>
    </x:row>
  </x:sheetData>
  <x:mergeCells>
    <x:mergeCell ref="C2:P2"/>
    <x:mergeCell ref="C3:P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24" hidden="0" customWidth="1"/>
    <x:col min="4" max="4" width="18" hidden="0" customWidth="1"/>
    <x:col min="5" max="5" width="20" hidden="0" customWidth="1"/>
    <x:col min="6" max="6" width="50" hidden="0" customWidth="1"/>
  </x:cols>
  <x:sheetData>
    <x:row r="2" ht="24" customHeight="1">
      <x:c r="C2" s="47" t="str">
        <x:v>Hour-72 Service Requirements</x:v>
      </x:c>
      <x:c r="D2" s="47"/>
      <x:c r="E2" s="47"/>
      <x:c r="F2" s="47"/>
      <x:c r="G2" s="47"/>
      <x:c r="H2" s="47"/>
      <x:c r="I2" s="47"/>
      <x:c r="J2" s="47"/>
      <x:c r="K2" s="47"/>
      <x:c r="L2" s="47"/>
    </x:row>
    <x:row r="3" ht="32" customHeight="1">
      <x:c r="C3" s="48" t="str">
        <x:v>These thresholds convert cargo arrival into public-service closure. They remain scenario requirements, not forecasts.</x:v>
      </x:c>
      <x:c r="D3" s="48"/>
      <x:c r="E3" s="48"/>
      <x:c r="F3" s="48"/>
      <x:c r="G3" s="48"/>
      <x:c r="H3" s="48"/>
      <x:c r="I3" s="48"/>
      <x:c r="J3" s="48"/>
      <x:c r="K3" s="48"/>
      <x:c r="L3" s="48"/>
    </x:row>
    <x:row r="4">
      <x:c r="C4" s="49"/>
      <x:c r="D4" s="49"/>
      <x:c r="E4" s="49"/>
      <x:c r="F4" s="49"/>
      <x:c r="G4" s="49"/>
      <x:c r="H4" s="49"/>
      <x:c r="I4" s="49"/>
      <x:c r="J4" s="49"/>
      <x:c r="K4" s="49"/>
      <x:c r="L4" s="49"/>
    </x:row>
    <x:row r="5">
      <x:c r="C5" s="49"/>
      <x:c r="D5" s="49"/>
      <x:c r="E5" s="49"/>
      <x:c r="F5" s="49"/>
      <x:c r="G5" s="49"/>
      <x:c r="H5" s="49"/>
      <x:c r="I5" s="49"/>
      <x:c r="J5" s="49"/>
      <x:c r="K5" s="49"/>
      <x:c r="L5" s="49"/>
    </x:row>
    <x:row r="6">
      <x:c r="C6" s="16" t="str">
        <x:v>Service</x:v>
      </x:c>
      <x:c r="D6" s="17" t="str">
        <x:v>Requirement</x:v>
      </x:c>
      <x:c r="E6" s="17" t="str">
        <x:v>Unit</x:v>
      </x:c>
      <x:c r="F6" s="18" t="str">
        <x:v>Closure meaning</x:v>
      </x:c>
      <x:c r="G6" s="49"/>
      <x:c r="H6" s="49"/>
      <x:c r="I6" s="49"/>
      <x:c r="J6" s="49"/>
      <x:c r="K6" s="49"/>
      <x:c r="L6" s="49"/>
    </x:row>
    <x:row r="7">
      <x:c r="C7" s="21" t="str">
        <x:v>Command</x:v>
      </x:c>
      <x:c r="D7" s="21" t="n">
        <x:v>9</x:v>
      </x:c>
      <x:c r="E7" s="21" t="str">
        <x:v>service islands</x:v>
      </x:c>
      <x:c r="F7" s="21" t="str">
        <x:v>At least 9 service islands available by hour 72</x:v>
      </x:c>
      <x:c r="G7" s="49"/>
      <x:c r="H7" s="49"/>
      <x:c r="I7" s="49"/>
      <x:c r="J7" s="49"/>
      <x:c r="K7" s="49"/>
      <x:c r="L7" s="49"/>
    </x:row>
    <x:row r="8">
      <x:c r="C8" s="21" t="str">
        <x:v>Access</x:v>
      </x:c>
      <x:c r="D8" s="21" t="n">
        <x:v>25000</x:v>
      </x:c>
      <x:c r="E8" s="21" t="str">
        <x:v>t/day</x:v>
      </x:c>
      <x:c r="F8" s="21" t="str">
        <x:v>At least 25,000 t/day available by hour 72</x:v>
      </x:c>
      <x:c r="G8" s="49"/>
      <x:c r="H8" s="49"/>
      <x:c r="I8" s="49"/>
      <x:c r="J8" s="49"/>
      <x:c r="K8" s="49"/>
      <x:c r="L8" s="49"/>
    </x:row>
    <x:row r="9">
      <x:c r="C9" s="21" t="str">
        <x:v>Basing</x:v>
      </x:c>
      <x:c r="D9" s="21" t="n">
        <x:v>25000</x:v>
      </x:c>
      <x:c r="E9" s="21" t="str">
        <x:v>people</x:v>
      </x:c>
      <x:c r="F9" s="21" t="str">
        <x:v>At least 25,000 people available by hour 72</x:v>
      </x:c>
      <x:c r="G9" s="49"/>
      <x:c r="H9" s="49"/>
      <x:c r="I9" s="49"/>
      <x:c r="J9" s="49"/>
      <x:c r="K9" s="49"/>
      <x:c r="L9" s="49"/>
    </x:row>
    <x:row r="10">
      <x:c r="C10" s="21" t="str">
        <x:v>Water</x:v>
      </x:c>
      <x:c r="D10" s="21" t="n">
        <x:v>18000</x:v>
      </x:c>
      <x:c r="E10" s="21" t="str">
        <x:v>m3/day</x:v>
      </x:c>
      <x:c r="F10" s="21" t="str">
        <x:v>At least 18,000 m3/day available by hour 72</x:v>
      </x:c>
      <x:c r="G10" s="49"/>
      <x:c r="H10" s="49"/>
      <x:c r="I10" s="49"/>
      <x:c r="J10" s="49"/>
      <x:c r="K10" s="49"/>
      <x:c r="L10" s="49"/>
    </x:row>
    <x:row r="11">
      <x:c r="C11" s="21" t="str">
        <x:v>Food</x:v>
      </x:c>
      <x:c r="D11" s="21" t="n">
        <x:v>2400000</x:v>
      </x:c>
      <x:c r="E11" s="21" t="str">
        <x:v>people/day</x:v>
      </x:c>
      <x:c r="F11" s="21" t="str">
        <x:v>At least 2,400,000 people/day available by hour 72</x:v>
      </x:c>
      <x:c r="G11" s="49"/>
      <x:c r="H11" s="49"/>
      <x:c r="I11" s="49"/>
      <x:c r="J11" s="49"/>
      <x:c r="K11" s="49"/>
      <x:c r="L11" s="49"/>
    </x:row>
    <x:row r="12">
      <x:c r="C12" s="21" t="str">
        <x:v>Shelter</x:v>
      </x:c>
      <x:c r="D12" s="21" t="n">
        <x:v>450000</x:v>
      </x:c>
      <x:c r="E12" s="21" t="str">
        <x:v>people</x:v>
      </x:c>
      <x:c r="F12" s="21" t="str">
        <x:v>At least 450,000 people available by hour 72</x:v>
      </x:c>
      <x:c r="G12" s="49"/>
      <x:c r="H12" s="49"/>
      <x:c r="I12" s="49"/>
      <x:c r="J12" s="49"/>
      <x:c r="K12" s="49"/>
      <x:c r="L12" s="49"/>
    </x:row>
    <x:row r="13">
      <x:c r="C13" s="21" t="str">
        <x:v>Sanitation</x:v>
      </x:c>
      <x:c r="D13" s="21" t="n">
        <x:v>450000</x:v>
      </x:c>
      <x:c r="E13" s="21" t="str">
        <x:v>users</x:v>
      </x:c>
      <x:c r="F13" s="21" t="str">
        <x:v>At least 450,000 users available by hour 72</x:v>
      </x:c>
      <x:c r="G13" s="49"/>
      <x:c r="H13" s="49"/>
      <x:c r="I13" s="49"/>
      <x:c r="J13" s="49"/>
      <x:c r="K13" s="49"/>
      <x:c r="L13" s="49"/>
    </x:row>
    <x:row r="14">
      <x:c r="C14" s="21" t="str">
        <x:v>Power</x:v>
      </x:c>
      <x:c r="D14" s="21" t="n">
        <x:v>500</x:v>
      </x:c>
      <x:c r="E14" s="21" t="str">
        <x:v>MW</x:v>
      </x:c>
      <x:c r="F14" s="21" t="str">
        <x:v>At least 500 MW available by hour 72</x:v>
      </x:c>
      <x:c r="G14" s="49"/>
      <x:c r="H14" s="49"/>
      <x:c r="I14" s="49"/>
      <x:c r="J14" s="49"/>
      <x:c r="K14" s="49"/>
      <x:c r="L14" s="49"/>
    </x:row>
    <x:row r="15">
      <x:c r="C15" s="21" t="str">
        <x:v>Communications</x:v>
      </x:c>
      <x:c r="D15" s="21" t="n">
        <x:v>2400000</x:v>
      </x:c>
      <x:c r="E15" s="21" t="str">
        <x:v>users</x:v>
      </x:c>
      <x:c r="F15" s="21" t="str">
        <x:v>At least 2,400,000 users available by hour 72</x:v>
      </x:c>
      <x:c r="G15" s="49"/>
      <x:c r="H15" s="49"/>
      <x:c r="I15" s="49"/>
      <x:c r="J15" s="49"/>
      <x:c r="K15" s="49"/>
      <x:c r="L15" s="49"/>
    </x:row>
    <x:row r="16">
      <x:c r="C16" s="21" t="str">
        <x:v>Health</x:v>
      </x:c>
      <x:c r="D16" s="21" t="n">
        <x:v>500</x:v>
      </x:c>
      <x:c r="E16" s="21" t="str">
        <x:v>staffed beds</x:v>
      </x:c>
      <x:c r="F16" s="21" t="str">
        <x:v>At least 500 staffed beds available by hour 72</x:v>
      </x:c>
      <x:c r="G16" s="49"/>
      <x:c r="H16" s="49"/>
      <x:c r="I16" s="49"/>
      <x:c r="J16" s="49"/>
      <x:c r="K16" s="49"/>
      <x:c r="L16" s="49"/>
    </x:row>
    <x:row r="17">
      <x:c r="C17" s="21" t="str">
        <x:v>Hazard control</x:v>
      </x:c>
      <x:c r="D17" s="21" t="n">
        <x:v>100</x:v>
      </x:c>
      <x:c r="E17" s="21" t="str">
        <x:v>route-eq km/day</x:v>
      </x:c>
      <x:c r="F17" s="21" t="str">
        <x:v>At least 100 route-eq km/day available by hour 72</x:v>
      </x:c>
      <x:c r="G17" s="49"/>
      <x:c r="H17" s="49"/>
      <x:c r="I17" s="49"/>
      <x:c r="J17" s="49"/>
      <x:c r="K17" s="49"/>
      <x:c r="L17" s="49"/>
    </x:row>
  </x:sheetData>
  <x:mergeCells>
    <x:mergeCell ref="C2:L2"/>
    <x:mergeCell ref="C3:L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10" hidden="0" customWidth="1"/>
    <x:col min="4" max="4" width="24" hidden="0" customWidth="1"/>
    <x:col min="5" max="5" width="14" hidden="0" customWidth="1"/>
    <x:col min="6" max="6" width="14" hidden="0" customWidth="1"/>
    <x:col min="7" max="7" width="16" hidden="0" customWidth="1"/>
    <x:col min="8" max="8" width="14" hidden="0" customWidth="1"/>
    <x:col min="9" max="9" width="16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58" hidden="0" customWidth="1"/>
  </x:cols>
  <x:sheetData>
    <x:row r="2" ht="24" customHeight="1">
      <x:c r="C2" s="47" t="str">
        <x:v>Six-Cell Cross-Modal Architecture</x:v>
      </x:c>
      <x:c r="D2" s="47"/>
      <x:c r="E2" s="47"/>
      <x:c r="F2" s="47"/>
      <x:c r="G2" s="47"/>
      <x:c r="H2" s="47"/>
      <x:c r="I2" s="47"/>
      <x:c r="J2" s="47"/>
      <x:c r="K2" s="47"/>
      <x:c r="L2" s="47"/>
      <x:c r="M2" s="47"/>
      <x:c r="N2" s="47"/>
    </x:row>
    <x:row r="3" ht="32" customHeight="1">
      <x:c r="C3" s="48" t="str">
        <x:v>Each cell owns a distinct origin and a complete service kernel. Net throughput equals gross throughput × availability × handling factor.</x:v>
      </x:c>
      <x:c r="D3" s="48"/>
      <x:c r="E3" s="48"/>
      <x:c r="F3" s="48"/>
      <x:c r="G3" s="48"/>
      <x:c r="H3" s="48"/>
      <x:c r="I3" s="48"/>
      <x:c r="J3" s="48"/>
      <x:c r="K3" s="48"/>
      <x:c r="L3" s="48"/>
      <x:c r="M3" s="48"/>
      <x:c r="N3" s="48"/>
    </x:row>
    <x:row r="4">
      <x:c r="C4" s="49"/>
      <x:c r="D4" s="49"/>
      <x:c r="E4" s="49"/>
      <x:c r="F4" s="49"/>
      <x:c r="G4" s="49"/>
      <x:c r="H4" s="49"/>
      <x:c r="I4" s="49"/>
      <x:c r="J4" s="49"/>
      <x:c r="K4" s="49"/>
      <x:c r="L4" s="49"/>
      <x:c r="M4" s="49"/>
      <x:c r="N4" s="49"/>
    </x:row>
    <x:row r="5">
      <x:c r="C5" s="49"/>
      <x:c r="D5" s="49"/>
      <x:c r="E5" s="49"/>
      <x:c r="F5" s="49"/>
      <x:c r="G5" s="49"/>
      <x:c r="H5" s="49"/>
      <x:c r="I5" s="49"/>
      <x:c r="J5" s="49"/>
      <x:c r="K5" s="49"/>
      <x:c r="L5" s="49"/>
      <x:c r="M5" s="49"/>
      <x:c r="N5" s="49"/>
    </x:row>
    <x:row r="6">
      <x:c r="C6" s="16" t="str">
        <x:v>Cell</x:v>
      </x:c>
      <x:c r="D6" s="17" t="str">
        <x:v>Name</x:v>
      </x:c>
      <x:c r="E6" s="17" t="str">
        <x:v>Mode</x:v>
      </x:c>
      <x:c r="F6" s="17" t="str">
        <x:v>Activation h</x:v>
      </x:c>
      <x:c r="G6" s="17" t="str">
        <x:v>Gross t/h</x:v>
      </x:c>
      <x:c r="H6" s="17" t="str">
        <x:v>Availability</x:v>
      </x:c>
      <x:c r="I6" s="17" t="str">
        <x:v>Handling factor</x:v>
      </x:c>
      <x:c r="J6" s="17" t="str">
        <x:v>Net t/h</x:v>
      </x:c>
      <x:c r="K6" s="17" t="str">
        <x:v>Effect mass t</x:v>
      </x:c>
      <x:c r="L6" s="17" t="str">
        <x:v>Support mass t</x:v>
      </x:c>
      <x:c r="M6" s="17" t="str">
        <x:v>Total mass t</x:v>
      </x:c>
      <x:c r="N6" s="18" t="str">
        <x:v>Independence logic</x:v>
      </x:c>
    </x:row>
    <x:row r="7">
      <x:c r="C7" s="21" t="str">
        <x:v>U-N</x:v>
      </x:c>
      <x:c r="D7" s="21" t="str">
        <x:v>Upland North</x:v>
      </x:c>
      <x:c r="E7" s="21" t="str">
        <x:v>Upland</x:v>
      </x:c>
      <x:c r="F7" s="28" t="n">
        <x:v>6</x:v>
      </x:c>
      <x:c r="G7" s="28" t="n">
        <x:v>1500</x:v>
      </x:c>
      <x:c r="H7" s="28" t="n">
        <x:v>0.9</x:v>
      </x:c>
      <x:c r="I7" s="28" t="n">
        <x:v>0.9</x:v>
      </x:c>
      <x:c r="J7" s="32" t="n">
        <x:f>G7*H7*I7</x:f>
        <x:v>1215</x:v>
      </x:c>
      <x:c r="K7" s="32" t="n">
        <x:f>Controls!$D$9*Controls!$D$7</x:f>
        <x:v>26439</x:v>
      </x:c>
      <x:c r="L7" s="32" t="n">
        <x:f>K7*Controls!$D$10</x:f>
        <x:v>3172.68</x:v>
      </x:c>
      <x:c r="M7" s="32" t="n">
        <x:f>K7+L7</x:f>
        <x:v>29611.68</x:v>
      </x:c>
      <x:c r="N7" s="21" t="str">
        <x:v>Separate inland origin; distributed road/rail/vertical transfer</x:v>
      </x:c>
    </x:row>
    <x:row r="8">
      <x:c r="C8" s="21" t="str">
        <x:v>U-S</x:v>
      </x:c>
      <x:c r="D8" s="21" t="str">
        <x:v>Upland South</x:v>
      </x:c>
      <x:c r="E8" s="21" t="str">
        <x:v>Upland</x:v>
      </x:c>
      <x:c r="F8" s="28" t="n">
        <x:v>6</x:v>
      </x:c>
      <x:c r="G8" s="28" t="n">
        <x:v>1500</x:v>
      </x:c>
      <x:c r="H8" s="28" t="n">
        <x:v>0.9</x:v>
      </x:c>
      <x:c r="I8" s="28" t="n">
        <x:v>0.9</x:v>
      </x:c>
      <x:c r="J8" s="32" t="n">
        <x:f>G8*H8*I8</x:f>
        <x:v>1215</x:v>
      </x:c>
      <x:c r="K8" s="32" t="n">
        <x:f>Controls!$D$9*Controls!$D$7</x:f>
        <x:v>26439</x:v>
      </x:c>
      <x:c r="L8" s="32" t="n">
        <x:f>K8*Controls!$D$10</x:f>
        <x:v>3172.68</x:v>
      </x:c>
      <x:c r="M8" s="32" t="n">
        <x:f>K8+L8</x:f>
        <x:v>29611.68</x:v>
      </x:c>
      <x:c r="N8" s="21" t="str">
        <x:v>Separate inland origin; distributed road/rail/vertical transfer</x:v>
      </x:c>
    </x:row>
    <x:row r="9">
      <x:c r="C9" s="21" t="str">
        <x:v>A-N</x:v>
      </x:c>
      <x:c r="D9" s="21" t="str">
        <x:v>Air North</x:v>
      </x:c>
      <x:c r="E9" s="21" t="str">
        <x:v>Air</x:v>
      </x:c>
      <x:c r="F9" s="28" t="n">
        <x:v>18</x:v>
      </x:c>
      <x:c r="G9" s="28" t="n">
        <x:v>1050</x:v>
      </x:c>
      <x:c r="H9" s="28" t="n">
        <x:v>0.75</x:v>
      </x:c>
      <x:c r="I9" s="28" t="n">
        <x:v>0.85</x:v>
      </x:c>
      <x:c r="J9" s="32" t="n">
        <x:f>G9*H9*I9</x:f>
        <x:v>669.375</x:v>
      </x:c>
      <x:c r="K9" s="32" t="n">
        <x:f>Controls!$D$9*Controls!$D$7</x:f>
        <x:v>26439</x:v>
      </x:c>
      <x:c r="L9" s="32" t="n">
        <x:f>K9*Controls!$D$10</x:f>
        <x:v>3172.68</x:v>
      </x:c>
      <x:c r="M9" s="32" t="n">
        <x:f>K9+L9</x:f>
        <x:v>29611.68</x:v>
      </x:c>
      <x:c r="N9" s="21" t="str">
        <x:v>Purpose-built 120 t mission-payload fleet; 105 aircraft including reserve</x:v>
      </x:c>
    </x:row>
    <x:row r="10">
      <x:c r="C10" s="21" t="str">
        <x:v>A-S</x:v>
      </x:c>
      <x:c r="D10" s="21" t="str">
        <x:v>Air South</x:v>
      </x:c>
      <x:c r="E10" s="21" t="str">
        <x:v>Air</x:v>
      </x:c>
      <x:c r="F10" s="28" t="n">
        <x:v>18</x:v>
      </x:c>
      <x:c r="G10" s="28" t="n">
        <x:v>1050</x:v>
      </x:c>
      <x:c r="H10" s="28" t="n">
        <x:v>0.75</x:v>
      </x:c>
      <x:c r="I10" s="28" t="n">
        <x:v>0.85</x:v>
      </x:c>
      <x:c r="J10" s="32" t="n">
        <x:f>G10*H10*I10</x:f>
        <x:v>669.375</x:v>
      </x:c>
      <x:c r="K10" s="32" t="n">
        <x:f>Controls!$D$9*Controls!$D$7</x:f>
        <x:v>26439</x:v>
      </x:c>
      <x:c r="L10" s="32" t="n">
        <x:f>K10*Controls!$D$10</x:f>
        <x:v>3172.68</x:v>
      </x:c>
      <x:c r="M10" s="32" t="n">
        <x:f>K10+L10</x:f>
        <x:v>29611.68</x:v>
      </x:c>
      <x:c r="N10" s="21" t="str">
        <x:v>Independent fleet, crews, origin, runway release and fuel</x:v>
      </x:c>
    </x:row>
    <x:row r="11">
      <x:c r="C11" s="21" t="str">
        <x:v>O-N</x:v>
      </x:c>
      <x:c r="D11" s="21" t="str">
        <x:v>Offshore North</x:v>
      </x:c>
      <x:c r="E11" s="21" t="str">
        <x:v>Offshore</x:v>
      </x:c>
      <x:c r="F11" s="28" t="n">
        <x:v>30</x:v>
      </x:c>
      <x:c r="G11" s="28" t="n">
        <x:v>1100</x:v>
      </x:c>
      <x:c r="H11" s="28" t="n">
        <x:v>0.85</x:v>
      </x:c>
      <x:c r="I11" s="28" t="n">
        <x:v>0.9</x:v>
      </x:c>
      <x:c r="J11" s="32" t="n">
        <x:f>G11*H11*I11</x:f>
        <x:v>841.5</x:v>
      </x:c>
      <x:c r="K11" s="32" t="n">
        <x:f>Controls!$D$9*Controls!$D$7</x:f>
        <x:v>26439</x:v>
      </x:c>
      <x:c r="L11" s="32" t="n">
        <x:f>K11*Controls!$D$10</x:f>
        <x:v>3172.68</x:v>
      </x:c>
      <x:c r="M11" s="32" t="n">
        <x:f>K11+L11</x:f>
        <x:v>29611.68</x:v>
      </x:c>
      <x:c r="N11" s="21" t="str">
        <x:v>Preloaded sea lifters plus no-pier transfer chain</x:v>
      </x:c>
    </x:row>
    <x:row r="12">
      <x:c r="C12" s="21" t="str">
        <x:v>O-S</x:v>
      </x:c>
      <x:c r="D12" s="21" t="str">
        <x:v>Offshore South</x:v>
      </x:c>
      <x:c r="E12" s="21" t="str">
        <x:v>Offshore</x:v>
      </x:c>
      <x:c r="F12" s="28" t="n">
        <x:v>30</x:v>
      </x:c>
      <x:c r="G12" s="28" t="n">
        <x:v>1100</x:v>
      </x:c>
      <x:c r="H12" s="28" t="n">
        <x:v>0.85</x:v>
      </x:c>
      <x:c r="I12" s="28" t="n">
        <x:v>0.9</x:v>
      </x:c>
      <x:c r="J12" s="32" t="n">
        <x:f>G12*H12*I12</x:f>
        <x:v>841.5</x:v>
      </x:c>
      <x:c r="K12" s="32" t="n">
        <x:f>Controls!$D$9*Controls!$D$7</x:f>
        <x:v>26439</x:v>
      </x:c>
      <x:c r="L12" s="32" t="n">
        <x:f>K12*Controls!$D$10</x:f>
        <x:v>3172.68</x:v>
      </x:c>
      <x:c r="M12" s="32" t="n">
        <x:f>K12+L12</x:f>
        <x:v>29611.68</x:v>
      </x:c>
      <x:c r="N12" s="21" t="str">
        <x:v>Independent sea lifters, transfer craft, crews and command</x:v>
      </x:c>
    </x:row>
  </x:sheetData>
  <x:mergeCells>
    <x:mergeCell ref="C2:N2"/>
    <x:mergeCell ref="C3:N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10" hidden="0" customWidth="1"/>
    <x:col min="4" max="4" width="34" hidden="0" customWidth="1"/>
    <x:col min="5" max="5" width="20" hidden="0" customWidth="1"/>
    <x:col min="6" max="6" width="16" hidden="0" customWidth="1"/>
    <x:col min="7" max="7" width="14" hidden="0" customWidth="1"/>
    <x:col min="8" max="8" width="19" hidden="0" customWidth="1"/>
    <x:col min="9" max="9" width="19" hidden="0" customWidth="1"/>
    <x:col min="10" max="10" width="18" hidden="0" customWidth="1"/>
    <x:col min="11" max="11" width="18" hidden="0" customWidth="1"/>
  </x:cols>
  <x:sheetData>
    <x:row r="2" ht="24" customHeight="1">
      <x:c r="C2" s="47" t="str">
        <x:v>Service-Kernel Module Build</x:v>
      </x:c>
      <x:c r="D2" s="47"/>
      <x:c r="E2" s="47"/>
      <x:c r="F2" s="47"/>
      <x:c r="G2" s="47"/>
      <x:c r="H2" s="47"/>
      <x:c r="I2" s="47"/>
      <x:c r="J2" s="47"/>
      <x:c r="K2" s="47"/>
      <x:c r="L2" s="47"/>
      <x:c r="M2" s="47"/>
      <x:c r="N2" s="47"/>
    </x:row>
    <x:row r="3" ht="32" customHeight="1">
      <x:c r="C3" s="48" t="str">
        <x:v>Every cell carries 30% of every R1 module plus proportional support overhead. Cargo must be mixed into service-kernel tranches so partial arrival produces balanced effects.</x:v>
      </x:c>
      <x:c r="D3" s="48"/>
      <x:c r="E3" s="48"/>
      <x:c r="F3" s="48"/>
      <x:c r="G3" s="48"/>
      <x:c r="H3" s="48"/>
      <x:c r="I3" s="48"/>
      <x:c r="J3" s="48"/>
      <x:c r="K3" s="48"/>
      <x:c r="L3" s="48"/>
      <x:c r="M3" s="48"/>
      <x:c r="N3" s="48"/>
    </x:row>
    <x:row r="4">
      <x:c r="C4" s="49"/>
      <x:c r="D4" s="49"/>
      <x:c r="E4" s="49"/>
      <x:c r="F4" s="49"/>
      <x:c r="G4" s="49"/>
      <x:c r="H4" s="49"/>
      <x:c r="I4" s="49"/>
      <x:c r="J4" s="49"/>
      <x:c r="K4" s="49"/>
      <x:c r="L4" s="49"/>
      <x:c r="M4" s="49"/>
      <x:c r="N4" s="49"/>
    </x:row>
    <x:row r="5">
      <x:c r="C5" s="49"/>
      <x:c r="D5" s="49"/>
      <x:c r="E5" s="49"/>
      <x:c r="F5" s="49"/>
      <x:c r="G5" s="49"/>
      <x:c r="H5" s="49"/>
      <x:c r="I5" s="49"/>
      <x:c r="J5" s="49"/>
      <x:c r="K5" s="49"/>
      <x:c r="L5" s="49"/>
      <x:c r="M5" s="49"/>
      <x:c r="N5" s="49"/>
    </x:row>
    <x:row r="6">
      <x:c r="C6" s="16" t="str">
        <x:v>ID</x:v>
      </x:c>
      <x:c r="D6" s="17" t="str">
        <x:v>Module</x:v>
      </x:c>
      <x:c r="E6" s="17" t="str">
        <x:v>Family</x:v>
      </x:c>
      <x:c r="F6" s="17" t="str">
        <x:v>R1 mass t</x:v>
      </x:c>
      <x:c r="G6" s="17" t="str">
        <x:v>Cell share</x:v>
      </x:c>
      <x:c r="H6" s="17" t="str">
        <x:v>Effect mass/cell t</x:v>
      </x:c>
      <x:c r="I6" s="17" t="str">
        <x:v>Support overhead t</x:v>
      </x:c>
      <x:c r="J6" s="17" t="str">
        <x:v>Total/cell t</x:v>
      </x:c>
      <x:c r="K6" s="18" t="str">
        <x:v>Six-cell total t</x:v>
      </x:c>
      <x:c r="L6" s="49"/>
      <x:c r="M6" s="49"/>
      <x:c r="N6" s="49"/>
    </x:row>
    <x:row r="7">
      <x:c r="C7" s="21" t="str">
        <x:v>M01</x:v>
      </x:c>
      <x:c r="D7" s="21" t="str">
        <x:v>Joint civil command</x:v>
      </x:c>
      <x:c r="E7" s="21" t="str">
        <x:v>Command</x:v>
      </x:c>
      <x:c r="F7" s="33" t="n">
        <x:v>2200</x:v>
      </x:c>
      <x:c r="G7" s="32" t="n">
        <x:f>Controls!$D$9</x:f>
        <x:v>0.3</x:v>
      </x:c>
      <x:c r="H7" s="32" t="n">
        <x:f>F7*G7</x:f>
        <x:v>660</x:v>
      </x:c>
      <x:c r="I7" s="32" t="n">
        <x:f>H7*Controls!$D$10</x:f>
        <x:v>79.2</x:v>
      </x:c>
      <x:c r="J7" s="32" t="n">
        <x:f>H7+I7</x:f>
        <x:v>739.2</x:v>
      </x:c>
      <x:c r="K7" s="32" t="n">
        <x:f>J7*Controls!$D$8</x:f>
        <x:v>4435.200000000001</x:v>
      </x:c>
      <x:c r="L7" s="49"/>
      <x:c r="M7" s="49"/>
      <x:c r="N7" s="49"/>
    </x:row>
    <x:row r="8">
      <x:c r="C8" s="21" t="str">
        <x:v>M02</x:v>
      </x:c>
      <x:c r="D8" s="21" t="str">
        <x:v>Degraded data spine</x:v>
      </x:c>
      <x:c r="E8" s="21" t="str">
        <x:v>Communications</x:v>
      </x:c>
      <x:c r="F8" s="33" t="n">
        <x:v>3600</x:v>
      </x:c>
      <x:c r="G8" s="32" t="n">
        <x:f>Controls!$D$9</x:f>
        <x:v>0.3</x:v>
      </x:c>
      <x:c r="H8" s="32" t="n">
        <x:f>F8*G8</x:f>
        <x:v>1080</x:v>
      </x:c>
      <x:c r="I8" s="32" t="n">
        <x:f>H8*Controls!$D$10</x:f>
        <x:v>129.6</x:v>
      </x:c>
      <x:c r="J8" s="32" t="n">
        <x:f>H8+I8</x:f>
        <x:v>1209.6</x:v>
      </x:c>
      <x:c r="K8" s="32" t="n">
        <x:f>J8*Controls!$D$8</x:f>
        <x:v>7257.599999999999</x:v>
      </x:c>
      <x:c r="L8" s="49"/>
      <x:c r="M8" s="49"/>
      <x:c r="N8" s="49"/>
    </x:row>
    <x:row r="9">
      <x:c r="C9" s="21" t="str">
        <x:v>M03</x:v>
      </x:c>
      <x:c r="D9" s="21" t="str">
        <x:v>Regional reconnaissance</x:v>
      </x:c>
      <x:c r="E9" s="21" t="str">
        <x:v>Access</x:v>
      </x:c>
      <x:c r="F9" s="33" t="n">
        <x:v>2400</x:v>
      </x:c>
      <x:c r="G9" s="32" t="n">
        <x:f>Controls!$D$9</x:f>
        <x:v>0.3</x:v>
      </x:c>
      <x:c r="H9" s="32" t="n">
        <x:f>F9*G9</x:f>
        <x:v>720</x:v>
      </x:c>
      <x:c r="I9" s="32" t="n">
        <x:f>H9*Controls!$D$10</x:f>
        <x:v>86.39999999999999</x:v>
      </x:c>
      <x:c r="J9" s="32" t="n">
        <x:f>H9+I9</x:f>
        <x:v>806.4</x:v>
      </x:c>
      <x:c r="K9" s="32" t="n">
        <x:f>J9*Controls!$D$8</x:f>
        <x:v>4838.4</x:v>
      </x:c>
      <x:c r="L9" s="49"/>
      <x:c r="M9" s="49"/>
      <x:c r="N9" s="49"/>
    </x:row>
    <x:row r="10">
      <x:c r="C10" s="21" t="str">
        <x:v>M04</x:v>
      </x:c>
      <x:c r="D10" s="21" t="str">
        <x:v>Medical stabilization</x:v>
      </x:c>
      <x:c r="E10" s="21" t="str">
        <x:v>Health</x:v>
      </x:c>
      <x:c r="F10" s="33" t="n">
        <x:v>5400</x:v>
      </x:c>
      <x:c r="G10" s="32" t="n">
        <x:f>Controls!$D$9</x:f>
        <x:v>0.3</x:v>
      </x:c>
      <x:c r="H10" s="32" t="n">
        <x:f>F10*G10</x:f>
        <x:v>1620</x:v>
      </x:c>
      <x:c r="I10" s="32" t="n">
        <x:f>H10*Controls!$D$10</x:f>
        <x:v>194.4</x:v>
      </x:c>
      <x:c r="J10" s="32" t="n">
        <x:f>H10+I10</x:f>
        <x:v>1814.4</x:v>
      </x:c>
      <x:c r="K10" s="32" t="n">
        <x:f>J10*Controls!$D$8</x:f>
        <x:v>10886.400000000001</x:v>
      </x:c>
      <x:c r="L10" s="49"/>
      <x:c r="M10" s="49"/>
      <x:c r="N10" s="49"/>
    </x:row>
    <x:row r="11">
      <x:c r="C11" s="21" t="str">
        <x:v>M05</x:v>
      </x:c>
      <x:c r="D11" s="21" t="str">
        <x:v>Urban search and rescue</x:v>
      </x:c>
      <x:c r="E11" s="21" t="str">
        <x:v>Hazard control</x:v>
      </x:c>
      <x:c r="F11" s="33" t="n">
        <x:v>8200</x:v>
      </x:c>
      <x:c r="G11" s="32" t="n">
        <x:f>Controls!$D$9</x:f>
        <x:v>0.3</x:v>
      </x:c>
      <x:c r="H11" s="32" t="n">
        <x:f>F11*G11</x:f>
        <x:v>2460</x:v>
      </x:c>
      <x:c r="I11" s="32" t="n">
        <x:f>H11*Controls!$D$10</x:f>
        <x:v>295.2</x:v>
      </x:c>
      <x:c r="J11" s="32" t="n">
        <x:f>H11+I11</x:f>
        <x:v>2755.2</x:v>
      </x:c>
      <x:c r="K11" s="32" t="n">
        <x:f>J11*Controls!$D$8</x:f>
        <x:v>16531.199999999997</x:v>
      </x:c>
      <x:c r="L11" s="49"/>
      <x:c r="M11" s="49"/>
      <x:c r="N11" s="49"/>
    </x:row>
    <x:row r="12">
      <x:c r="C12" s="21" t="str">
        <x:v>M06</x:v>
      </x:c>
      <x:c r="D12" s="21" t="str">
        <x:v>Air entry opening</x:v>
      </x:c>
      <x:c r="E12" s="21" t="str">
        <x:v>Access</x:v>
      </x:c>
      <x:c r="F12" s="33" t="n">
        <x:v>6800</x:v>
      </x:c>
      <x:c r="G12" s="32" t="n">
        <x:f>Controls!$D$9</x:f>
        <x:v>0.3</x:v>
      </x:c>
      <x:c r="H12" s="32" t="n">
        <x:f>F12*G12</x:f>
        <x:v>2040</x:v>
      </x:c>
      <x:c r="I12" s="32" t="n">
        <x:f>H12*Controls!$D$10</x:f>
        <x:v>244.79999999999998</x:v>
      </x:c>
      <x:c r="J12" s="32" t="n">
        <x:f>H12+I12</x:f>
        <x:v>2284.8</x:v>
      </x:c>
      <x:c r="K12" s="32" t="n">
        <x:f>J12*Controls!$D$8</x:f>
        <x:v>13708.800000000001</x:v>
      </x:c>
      <x:c r="L12" s="49"/>
      <x:c r="M12" s="49"/>
      <x:c r="N12" s="49"/>
    </x:row>
    <x:row r="13">
      <x:c r="C13" s="21" t="str">
        <x:v>M07</x:v>
      </x:c>
      <x:c r="D13" s="21" t="str">
        <x:v>Port reconnaissance</x:v>
      </x:c>
      <x:c r="E13" s="21" t="str">
        <x:v>Access</x:v>
      </x:c>
      <x:c r="F13" s="33" t="n">
        <x:v>7500</x:v>
      </x:c>
      <x:c r="G13" s="32" t="n">
        <x:f>Controls!$D$9</x:f>
        <x:v>0.3</x:v>
      </x:c>
      <x:c r="H13" s="32" t="n">
        <x:f>F13*G13</x:f>
        <x:v>2250</x:v>
      </x:c>
      <x:c r="I13" s="32" t="n">
        <x:f>H13*Controls!$D$10</x:f>
        <x:v>270</x:v>
      </x:c>
      <x:c r="J13" s="32" t="n">
        <x:f>H13+I13</x:f>
        <x:v>2520</x:v>
      </x:c>
      <x:c r="K13" s="32" t="n">
        <x:f>J13*Controls!$D$8</x:f>
        <x:v>15120</x:v>
      </x:c>
      <x:c r="L13" s="49"/>
      <x:c r="M13" s="49"/>
      <x:c r="N13" s="49"/>
    </x:row>
    <x:row r="14">
      <x:c r="C14" s="21" t="str">
        <x:v>M08</x:v>
      </x:c>
      <x:c r="D14" s="21" t="str">
        <x:v>Littoral opening</x:v>
      </x:c>
      <x:c r="E14" s="21" t="str">
        <x:v>Access</x:v>
      </x:c>
      <x:c r="F14" s="33" t="n">
        <x:v>8000</x:v>
      </x:c>
      <x:c r="G14" s="32" t="n">
        <x:f>Controls!$D$9</x:f>
        <x:v>0.3</x:v>
      </x:c>
      <x:c r="H14" s="32" t="n">
        <x:f>F14*G14</x:f>
        <x:v>2400</x:v>
      </x:c>
      <x:c r="I14" s="32" t="n">
        <x:f>H14*Controls!$D$10</x:f>
        <x:v>288</x:v>
      </x:c>
      <x:c r="J14" s="32" t="n">
        <x:f>H14+I14</x:f>
        <x:v>2688</x:v>
      </x:c>
      <x:c r="K14" s="32" t="n">
        <x:f>J14*Controls!$D$8</x:f>
        <x:v>16128</x:v>
      </x:c>
      <x:c r="L14" s="49"/>
      <x:c r="M14" s="49"/>
      <x:c r="N14" s="49"/>
    </x:row>
    <x:row r="15">
      <x:c r="C15" s="21" t="str">
        <x:v>M09</x:v>
      </x:c>
      <x:c r="D15" s="21" t="str">
        <x:v>Route and bridge release</x:v>
      </x:c>
      <x:c r="E15" s="21" t="str">
        <x:v>Access</x:v>
      </x:c>
      <x:c r="F15" s="33" t="n">
        <x:v>6300</x:v>
      </x:c>
      <x:c r="G15" s="32" t="n">
        <x:f>Controls!$D$9</x:f>
        <x:v>0.3</x:v>
      </x:c>
      <x:c r="H15" s="32" t="n">
        <x:f>F15*G15</x:f>
        <x:v>1890</x:v>
      </x:c>
      <x:c r="I15" s="32" t="n">
        <x:f>H15*Controls!$D$10</x:f>
        <x:v>226.79999999999998</x:v>
      </x:c>
      <x:c r="J15" s="32" t="n">
        <x:f>H15+I15</x:f>
        <x:v>2116.8</x:v>
      </x:c>
      <x:c r="K15" s="32" t="n">
        <x:f>J15*Controls!$D$8</x:f>
        <x:v>12700.800000000001</x:v>
      </x:c>
      <x:c r="L15" s="49"/>
      <x:c r="M15" s="49"/>
      <x:c r="N15" s="49"/>
    </x:row>
    <x:row r="16">
      <x:c r="C16" s="21" t="str">
        <x:v>M10</x:v>
      </x:c>
      <x:c r="D16" s="21" t="str">
        <x:v>Responder-base starter</x:v>
      </x:c>
      <x:c r="E16" s="21" t="str">
        <x:v>Basing</x:v>
      </x:c>
      <x:c r="F16" s="33" t="n">
        <x:v>9000</x:v>
      </x:c>
      <x:c r="G16" s="32" t="n">
        <x:f>Controls!$D$9</x:f>
        <x:v>0.3</x:v>
      </x:c>
      <x:c r="H16" s="32" t="n">
        <x:f>F16*G16</x:f>
        <x:v>2700</x:v>
      </x:c>
      <x:c r="I16" s="32" t="n">
        <x:f>H16*Controls!$D$10</x:f>
        <x:v>324</x:v>
      </x:c>
      <x:c r="J16" s="32" t="n">
        <x:f>H16+I16</x:f>
        <x:v>3024</x:v>
      </x:c>
      <x:c r="K16" s="32" t="n">
        <x:f>J16*Controls!$D$8</x:f>
        <x:v>18144</x:v>
      </x:c>
      <x:c r="L16" s="49"/>
      <x:c r="M16" s="49"/>
      <x:c r="N16" s="49"/>
    </x:row>
    <x:row r="17">
      <x:c r="C17" s="21" t="str">
        <x:v>M11</x:v>
      </x:c>
      <x:c r="D17" s="21" t="str">
        <x:v>Water starter</x:v>
      </x:c>
      <x:c r="E17" s="21" t="str">
        <x:v>Water</x:v>
      </x:c>
      <x:c r="F17" s="33" t="n">
        <x:v>6500</x:v>
      </x:c>
      <x:c r="G17" s="32" t="n">
        <x:f>Controls!$D$9</x:f>
        <x:v>0.3</x:v>
      </x:c>
      <x:c r="H17" s="32" t="n">
        <x:f>F17*G17</x:f>
        <x:v>1950</x:v>
      </x:c>
      <x:c r="I17" s="32" t="n">
        <x:f>H17*Controls!$D$10</x:f>
        <x:v>234</x:v>
      </x:c>
      <x:c r="J17" s="32" t="n">
        <x:f>H17+I17</x:f>
        <x:v>2184</x:v>
      </x:c>
      <x:c r="K17" s="32" t="n">
        <x:f>J17*Controls!$D$8</x:f>
        <x:v>13104</x:v>
      </x:c>
      <x:c r="L17" s="49"/>
      <x:c r="M17" s="49"/>
      <x:c r="N17" s="49"/>
    </x:row>
    <x:row r="18">
      <x:c r="C18" s="21" t="str">
        <x:v>M12</x:v>
      </x:c>
      <x:c r="D18" s="21" t="str">
        <x:v>Critical power starter</x:v>
      </x:c>
      <x:c r="E18" s="21" t="str">
        <x:v>Power</x:v>
      </x:c>
      <x:c r="F18" s="33" t="n">
        <x:v>7000</x:v>
      </x:c>
      <x:c r="G18" s="32" t="n">
        <x:f>Controls!$D$9</x:f>
        <x:v>0.3</x:v>
      </x:c>
      <x:c r="H18" s="32" t="n">
        <x:f>F18*G18</x:f>
        <x:v>2100</x:v>
      </x:c>
      <x:c r="I18" s="32" t="n">
        <x:f>H18*Controls!$D$10</x:f>
        <x:v>252</x:v>
      </x:c>
      <x:c r="J18" s="32" t="n">
        <x:f>H18+I18</x:f>
        <x:v>2352</x:v>
      </x:c>
      <x:c r="K18" s="32" t="n">
        <x:f>J18*Controls!$D$8</x:f>
        <x:v>14112</x:v>
      </x:c>
      <x:c r="L18" s="49"/>
      <x:c r="M18" s="49"/>
      <x:c r="N18" s="49"/>
    </x:row>
    <x:row r="19">
      <x:c r="C19" s="21" t="str">
        <x:v>M13</x:v>
      </x:c>
      <x:c r="D19" s="21" t="str">
        <x:v>Sanitation starter</x:v>
      </x:c>
      <x:c r="E19" s="21" t="str">
        <x:v>Sanitation</x:v>
      </x:c>
      <x:c r="F19" s="33" t="n">
        <x:v>4800</x:v>
      </x:c>
      <x:c r="G19" s="32" t="n">
        <x:f>Controls!$D$9</x:f>
        <x:v>0.3</x:v>
      </x:c>
      <x:c r="H19" s="32" t="n">
        <x:f>F19*G19</x:f>
        <x:v>1440</x:v>
      </x:c>
      <x:c r="I19" s="32" t="n">
        <x:f>H19*Controls!$D$10</x:f>
        <x:v>172.79999999999998</x:v>
      </x:c>
      <x:c r="J19" s="32" t="n">
        <x:f>H19+I19</x:f>
        <x:v>1612.8</x:v>
      </x:c>
      <x:c r="K19" s="32" t="n">
        <x:f>J19*Controls!$D$8</x:f>
        <x:v>9676.8</x:v>
      </x:c>
      <x:c r="L19" s="49"/>
      <x:c r="M19" s="49"/>
      <x:c r="N19" s="49"/>
    </x:row>
    <x:row r="20">
      <x:c r="C20" s="21" t="str">
        <x:v>M14</x:v>
      </x:c>
      <x:c r="D20" s="21" t="str">
        <x:v>Food distribution starter</x:v>
      </x:c>
      <x:c r="E20" s="21" t="str">
        <x:v>Food</x:v>
      </x:c>
      <x:c r="F20" s="33" t="n">
        <x:v>5200</x:v>
      </x:c>
      <x:c r="G20" s="32" t="n">
        <x:f>Controls!$D$9</x:f>
        <x:v>0.3</x:v>
      </x:c>
      <x:c r="H20" s="32" t="n">
        <x:f>F20*G20</x:f>
        <x:v>1560</x:v>
      </x:c>
      <x:c r="I20" s="32" t="n">
        <x:f>H20*Controls!$D$10</x:f>
        <x:v>187.2</x:v>
      </x:c>
      <x:c r="J20" s="32" t="n">
        <x:f>H20+I20</x:f>
        <x:v>1747.2</x:v>
      </x:c>
      <x:c r="K20" s="32" t="n">
        <x:f>J20*Controls!$D$8</x:f>
        <x:v>10483.2</x:v>
      </x:c>
      <x:c r="L20" s="49"/>
      <x:c r="M20" s="49"/>
      <x:c r="N20" s="49"/>
    </x:row>
    <x:row r="21">
      <x:c r="C21" s="21" t="str">
        <x:v>M15</x:v>
      </x:c>
      <x:c r="D21" s="21" t="str">
        <x:v>Shelter starter</x:v>
      </x:c>
      <x:c r="E21" s="21" t="str">
        <x:v>Shelter</x:v>
      </x:c>
      <x:c r="F21" s="33" t="n">
        <x:v>3000</x:v>
      </x:c>
      <x:c r="G21" s="32" t="n">
        <x:f>Controls!$D$9</x:f>
        <x:v>0.3</x:v>
      </x:c>
      <x:c r="H21" s="32" t="n">
        <x:f>F21*G21</x:f>
        <x:v>900</x:v>
      </x:c>
      <x:c r="I21" s="32" t="n">
        <x:f>H21*Controls!$D$10</x:f>
        <x:v>108</x:v>
      </x:c>
      <x:c r="J21" s="32" t="n">
        <x:f>H21+I21</x:f>
        <x:v>1008</x:v>
      </x:c>
      <x:c r="K21" s="32" t="n">
        <x:f>J21*Controls!$D$8</x:f>
        <x:v>6048</x:v>
      </x:c>
      <x:c r="L21" s="49"/>
      <x:c r="M21" s="49"/>
      <x:c r="N21" s="49"/>
    </x:row>
    <x:row r="22">
      <x:c r="C22" s="21" t="str">
        <x:v>M16</x:v>
      </x:c>
      <x:c r="D22" s="21" t="str">
        <x:v>Fuel starter</x:v>
      </x:c>
      <x:c r="E22" s="21" t="str">
        <x:v>Fuel</x:v>
      </x:c>
      <x:c r="F22" s="33" t="n">
        <x:v>2230</x:v>
      </x:c>
      <x:c r="G22" s="32" t="n">
        <x:f>Controls!$D$9</x:f>
        <x:v>0.3</x:v>
      </x:c>
      <x:c r="H22" s="32" t="n">
        <x:f>F22*G22</x:f>
        <x:v>669</x:v>
      </x:c>
      <x:c r="I22" s="32" t="n">
        <x:f>H22*Controls!$D$10</x:f>
        <x:v>80.28</x:v>
      </x:c>
      <x:c r="J22" s="32" t="n">
        <x:f>H22+I22</x:f>
        <x:v>749.28</x:v>
      </x:c>
      <x:c r="K22" s="32" t="n">
        <x:f>J22*Controls!$D$8</x:f>
        <x:v>4495.68</x:v>
      </x:c>
      <x:c r="L22" s="49"/>
      <x:c r="M22" s="49"/>
      <x:c r="N22" s="49"/>
    </x:row>
    <x:row r="23">
      <x:c r="C23" s="21"/>
      <x:c r="D23" s="21"/>
      <x:c r="E23" s="21"/>
      <x:c r="F23" s="33"/>
      <x:c r="G23" s="32"/>
      <x:c r="H23" s="32"/>
      <x:c r="I23" s="32"/>
      <x:c r="J23" s="32"/>
      <x:c r="K23" s="32"/>
      <x:c r="L23" s="49"/>
      <x:c r="M23" s="49"/>
      <x:c r="N23" s="49"/>
    </x:row>
    <x:row r="24">
      <x:c r="C24" s="21" t="str">
        <x:v>TOTAL</x:v>
      </x:c>
      <x:c r="D24" s="21" t="str"/>
      <x:c r="E24" s="21" t="str"/>
      <x:c r="F24" s="33" t="n">
        <x:f>SUM(F7:F22)</x:f>
        <x:v>88130</x:v>
      </x:c>
      <x:c r="G24" s="32"/>
      <x:c r="H24" s="32" t="n">
        <x:f>SUM(H7:H22)</x:f>
        <x:v>26439</x:v>
      </x:c>
      <x:c r="I24" s="32" t="n">
        <x:f>SUM(I7:I22)</x:f>
        <x:v>3172.68</x:v>
      </x:c>
      <x:c r="J24" s="32" t="n">
        <x:f>SUM(J7:J22)</x:f>
        <x:v>29611.68</x:v>
      </x:c>
      <x:c r="K24" s="32" t="n">
        <x:f>SUM(K7:K22)</x:f>
        <x:v>177670.08000000002</x:v>
      </x:c>
      <x:c r="L24" s="49"/>
      <x:c r="M24" s="49"/>
      <x:c r="N24" s="49"/>
    </x:row>
  </x:sheetData>
  <x:mergeCells>
    <x:mergeCell ref="C2:N2"/>
    <x:mergeCell ref="C3:N3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24" hidden="0" customWidth="1"/>
    <x:col min="4" max="4" width="18" hidden="0" customWidth="1"/>
    <x:col min="5" max="5" width="20" hidden="0" customWidth="1"/>
    <x:col min="6" max="6" width="18" hidden="0" customWidth="1"/>
    <x:col min="7" max="7" width="19" hidden="0" customWidth="1"/>
    <x:col min="8" max="8" width="21" hidden="0" customWidth="1"/>
    <x:col min="9" max="9" width="18" hidden="0" customWidth="1"/>
    <x:col min="10" max="10" width="16" hidden="0" customWidth="1"/>
    <x:col min="11" max="11" width="12" hidden="0" customWidth="1"/>
  </x:cols>
  <x:sheetData>
    <x:row r="2" ht="24" customHeight="1">
      <x:c r="C2" s="47" t="str">
        <x:v>Four-Cell Effect Closure</x:v>
      </x:c>
      <x:c r="D2" s="47"/>
      <x:c r="E2" s="47"/>
      <x:c r="F2" s="47"/>
      <x:c r="G2" s="47"/>
      <x:c r="H2" s="47"/>
      <x:c r="I2" s="47"/>
      <x:c r="J2" s="47"/>
      <x:c r="K2" s="47"/>
      <x:c r="L2" s="47"/>
      <x:c r="M2" s="47"/>
      <x:c r="N2" s="47"/>
    </x:row>
    <x:row r="3" ht="32" customHeight="1">
      <x:c r="C3" s="48" t="str">
        <x:v>A surviving cell contributes 30% of each reference effect. The table tests four-cell capacity against the Pass 25 hour-72 service requirements.</x:v>
      </x:c>
      <x:c r="D3" s="48"/>
      <x:c r="E3" s="48"/>
      <x:c r="F3" s="48"/>
      <x:c r="G3" s="48"/>
      <x:c r="H3" s="48"/>
      <x:c r="I3" s="48"/>
      <x:c r="J3" s="48"/>
      <x:c r="K3" s="48"/>
      <x:c r="L3" s="48"/>
      <x:c r="M3" s="48"/>
      <x:c r="N3" s="48"/>
    </x:row>
    <x:row r="4">
      <x:c r="C4" s="49"/>
      <x:c r="D4" s="49"/>
      <x:c r="E4" s="49"/>
      <x:c r="F4" s="49"/>
      <x:c r="G4" s="49"/>
      <x:c r="H4" s="49"/>
      <x:c r="I4" s="49"/>
      <x:c r="J4" s="49"/>
      <x:c r="K4" s="49"/>
      <x:c r="L4" s="49"/>
      <x:c r="M4" s="49"/>
      <x:c r="N4" s="49"/>
    </x:row>
    <x:row r="5">
      <x:c r="C5" s="49"/>
      <x:c r="D5" s="49"/>
      <x:c r="E5" s="49"/>
      <x:c r="F5" s="49"/>
      <x:c r="G5" s="49"/>
      <x:c r="H5" s="49"/>
      <x:c r="I5" s="49"/>
      <x:c r="J5" s="49"/>
      <x:c r="K5" s="49"/>
      <x:c r="L5" s="49"/>
      <x:c r="M5" s="49"/>
      <x:c r="N5" s="49"/>
    </x:row>
    <x:row r="6">
      <x:c r="C6" s="16" t="str">
        <x:v>Service</x:v>
      </x:c>
      <x:c r="D6" s="17" t="str">
        <x:v>R1 effect</x:v>
      </x:c>
      <x:c r="E6" s="17" t="str">
        <x:v>R1 unit</x:v>
      </x:c>
      <x:c r="F6" s="17" t="str">
        <x:v>Effect/cell</x:v>
      </x:c>
      <x:c r="G6" s="17" t="str">
        <x:v>Four-cell effect</x:v>
      </x:c>
      <x:c r="H6" s="17" t="str">
        <x:v>Hour-72 requirement</x:v>
      </x:c>
      <x:c r="I6" s="17" t="str">
        <x:v>Req. unit</x:v>
      </x:c>
      <x:c r="J6" s="17" t="str">
        <x:v>Closure ratio</x:v>
      </x:c>
      <x:c r="K6" s="18" t="str">
        <x:v>Status</x:v>
      </x:c>
      <x:c r="L6" s="49"/>
      <x:c r="M6" s="49"/>
      <x:c r="N6" s="49"/>
    </x:row>
    <x:row r="7">
      <x:c r="C7" s="21" t="str">
        <x:v>Command</x:v>
      </x:c>
      <x:c r="D7" s="21" t="n">
        <x:v>9</x:v>
      </x:c>
      <x:c r="E7" s="21" t="str">
        <x:v>service islands</x:v>
      </x:c>
      <x:c r="F7" s="31" t="n">
        <x:f>D7*Controls!$D$9</x:f>
        <x:v>2.6999999999999997</x:v>
      </x:c>
      <x:c r="G7" s="31" t="n">
        <x:f>F7*4</x:f>
        <x:v>10.799999999999999</x:v>
      </x:c>
      <x:c r="H7" s="21" t="n">
        <x:v>9</x:v>
      </x:c>
      <x:c r="I7" s="21" t="str">
        <x:v>service islands</x:v>
      </x:c>
      <x:c r="J7" s="34" t="n">
        <x:f>G7/H7</x:f>
        <x:v>1.2</x:v>
      </x:c>
      <x:c r="K7" s="21" t="str">
        <x:f>IF(J7&gt;=1,"CLOSE","FAIL")</x:f>
        <x:v>CLOSE</x:v>
      </x:c>
      <x:c r="L7" s="49"/>
      <x:c r="M7" s="49"/>
      <x:c r="N7" s="49"/>
    </x:row>
    <x:row r="8">
      <x:c r="C8" s="21" t="str">
        <x:v>Access</x:v>
      </x:c>
      <x:c r="D8" s="21" t="n">
        <x:v>30000</x:v>
      </x:c>
      <x:c r="E8" s="21" t="str">
        <x:v>t/day</x:v>
      </x:c>
      <x:c r="F8" s="31" t="n">
        <x:f>D8*Controls!$D$9</x:f>
        <x:v>9000</x:v>
      </x:c>
      <x:c r="G8" s="31" t="n">
        <x:f>F8*4</x:f>
        <x:v>36000</x:v>
      </x:c>
      <x:c r="H8" s="21" t="n">
        <x:v>25000</x:v>
      </x:c>
      <x:c r="I8" s="21" t="str">
        <x:v>t/day</x:v>
      </x:c>
      <x:c r="J8" s="34" t="n">
        <x:f>G8/H8</x:f>
        <x:v>1.44</x:v>
      </x:c>
      <x:c r="K8" s="21" t="str">
        <x:f>IF(J8&gt;=1,"CLOSE","FAIL")</x:f>
        <x:v>CLOSE</x:v>
      </x:c>
      <x:c r="L8" s="49"/>
      <x:c r="M8" s="49"/>
      <x:c r="N8" s="49"/>
    </x:row>
    <x:row r="9">
      <x:c r="C9" s="21" t="str">
        <x:v>Basing</x:v>
      </x:c>
      <x:c r="D9" s="21" t="n">
        <x:v>30000</x:v>
      </x:c>
      <x:c r="E9" s="21" t="str">
        <x:v>people</x:v>
      </x:c>
      <x:c r="F9" s="31" t="n">
        <x:f>D9*Controls!$D$9</x:f>
        <x:v>9000</x:v>
      </x:c>
      <x:c r="G9" s="31" t="n">
        <x:f>F9*4</x:f>
        <x:v>36000</x:v>
      </x:c>
      <x:c r="H9" s="21" t="n">
        <x:v>25000</x:v>
      </x:c>
      <x:c r="I9" s="21" t="str">
        <x:v>people</x:v>
      </x:c>
      <x:c r="J9" s="34" t="n">
        <x:f>G9/H9</x:f>
        <x:v>1.44</x:v>
      </x:c>
      <x:c r="K9" s="21" t="str">
        <x:f>IF(J9&gt;=1,"CLOSE","FAIL")</x:f>
        <x:v>CLOSE</x:v>
      </x:c>
      <x:c r="L9" s="49"/>
      <x:c r="M9" s="49"/>
      <x:c r="N9" s="49"/>
    </x:row>
    <x:row r="10">
      <x:c r="C10" s="21" t="str">
        <x:v>Water</x:v>
      </x:c>
      <x:c r="D10" s="21" t="n">
        <x:v>20000</x:v>
      </x:c>
      <x:c r="E10" s="21" t="str">
        <x:v>m3/day</x:v>
      </x:c>
      <x:c r="F10" s="31" t="n">
        <x:f>D10*Controls!$D$9</x:f>
        <x:v>6000</x:v>
      </x:c>
      <x:c r="G10" s="31" t="n">
        <x:f>F10*4</x:f>
        <x:v>24000</x:v>
      </x:c>
      <x:c r="H10" s="21" t="n">
        <x:v>18000</x:v>
      </x:c>
      <x:c r="I10" s="21" t="str">
        <x:v>m3/day</x:v>
      </x:c>
      <x:c r="J10" s="34" t="n">
        <x:f>G10/H10</x:f>
        <x:v>1.3333333333333333</x:v>
      </x:c>
      <x:c r="K10" s="21" t="str">
        <x:f>IF(J10&gt;=1,"CLOSE","FAIL")</x:f>
        <x:v>CLOSE</x:v>
      </x:c>
      <x:c r="L10" s="49"/>
      <x:c r="M10" s="49"/>
      <x:c r="N10" s="49"/>
    </x:row>
    <x:row r="11">
      <x:c r="C11" s="21" t="str">
        <x:v>Food</x:v>
      </x:c>
      <x:c r="D11" s="21" t="n">
        <x:v>2600000</x:v>
      </x:c>
      <x:c r="E11" s="21" t="str">
        <x:v>people/day</x:v>
      </x:c>
      <x:c r="F11" s="31" t="n">
        <x:f>D11*Controls!$D$9</x:f>
        <x:v>780000</x:v>
      </x:c>
      <x:c r="G11" s="31" t="n">
        <x:f>F11*4</x:f>
        <x:v>3120000</x:v>
      </x:c>
      <x:c r="H11" s="21" t="n">
        <x:v>2400000</x:v>
      </x:c>
      <x:c r="I11" s="21" t="str">
        <x:v>people/day</x:v>
      </x:c>
      <x:c r="J11" s="34" t="n">
        <x:f>G11/H11</x:f>
        <x:v>1.3</x:v>
      </x:c>
      <x:c r="K11" s="21" t="str">
        <x:f>IF(J11&gt;=1,"CLOSE","FAIL")</x:f>
        <x:v>CLOSE</x:v>
      </x:c>
      <x:c r="L11" s="49"/>
      <x:c r="M11" s="49"/>
      <x:c r="N11" s="49"/>
    </x:row>
    <x:row r="12">
      <x:c r="C12" s="21" t="str">
        <x:v>Shelter</x:v>
      </x:c>
      <x:c r="D12" s="21" t="n">
        <x:v>500000</x:v>
      </x:c>
      <x:c r="E12" s="21" t="str">
        <x:v>people</x:v>
      </x:c>
      <x:c r="F12" s="31" t="n">
        <x:f>D12*Controls!$D$9</x:f>
        <x:v>150000</x:v>
      </x:c>
      <x:c r="G12" s="31" t="n">
        <x:f>F12*4</x:f>
        <x:v>600000</x:v>
      </x:c>
      <x:c r="H12" s="21" t="n">
        <x:v>450000</x:v>
      </x:c>
      <x:c r="I12" s="21" t="str">
        <x:v>people</x:v>
      </x:c>
      <x:c r="J12" s="34" t="n">
        <x:f>G12/H12</x:f>
        <x:v>1.3333333333333333</x:v>
      </x:c>
      <x:c r="K12" s="21" t="str">
        <x:f>IF(J12&gt;=1,"CLOSE","FAIL")</x:f>
        <x:v>CLOSE</x:v>
      </x:c>
      <x:c r="L12" s="49"/>
      <x:c r="M12" s="49"/>
      <x:c r="N12" s="49"/>
    </x:row>
    <x:row r="13">
      <x:c r="C13" s="21" t="str">
        <x:v>Sanitation</x:v>
      </x:c>
      <x:c r="D13" s="21" t="n">
        <x:v>500000</x:v>
      </x:c>
      <x:c r="E13" s="21" t="str">
        <x:v>users</x:v>
      </x:c>
      <x:c r="F13" s="31" t="n">
        <x:f>D13*Controls!$D$9</x:f>
        <x:v>150000</x:v>
      </x:c>
      <x:c r="G13" s="31" t="n">
        <x:f>F13*4</x:f>
        <x:v>600000</x:v>
      </x:c>
      <x:c r="H13" s="21" t="n">
        <x:v>450000</x:v>
      </x:c>
      <x:c r="I13" s="21" t="str">
        <x:v>users</x:v>
      </x:c>
      <x:c r="J13" s="34" t="n">
        <x:f>G13/H13</x:f>
        <x:v>1.3333333333333333</x:v>
      </x:c>
      <x:c r="K13" s="21" t="str">
        <x:f>IF(J13&gt;=1,"CLOSE","FAIL")</x:f>
        <x:v>CLOSE</x:v>
      </x:c>
      <x:c r="L13" s="49"/>
      <x:c r="M13" s="49"/>
      <x:c r="N13" s="49"/>
    </x:row>
    <x:row r="14">
      <x:c r="C14" s="21" t="str">
        <x:v>Power</x:v>
      </x:c>
      <x:c r="D14" s="21" t="n">
        <x:v>650</x:v>
      </x:c>
      <x:c r="E14" s="21" t="str">
        <x:v>MW</x:v>
      </x:c>
      <x:c r="F14" s="31" t="n">
        <x:f>D14*Controls!$D$9</x:f>
        <x:v>195</x:v>
      </x:c>
      <x:c r="G14" s="31" t="n">
        <x:f>F14*4</x:f>
        <x:v>780</x:v>
      </x:c>
      <x:c r="H14" s="21" t="n">
        <x:v>500</x:v>
      </x:c>
      <x:c r="I14" s="21" t="str">
        <x:v>MW</x:v>
      </x:c>
      <x:c r="J14" s="34" t="n">
        <x:f>G14/H14</x:f>
        <x:v>1.56</x:v>
      </x:c>
      <x:c r="K14" s="21" t="str">
        <x:f>IF(J14&gt;=1,"CLOSE","FAIL")</x:f>
        <x:v>CLOSE</x:v>
      </x:c>
      <x:c r="L14" s="49"/>
      <x:c r="M14" s="49"/>
      <x:c r="N14" s="49"/>
    </x:row>
    <x:row r="15">
      <x:c r="C15" s="21" t="str">
        <x:v>Communications</x:v>
      </x:c>
      <x:c r="D15" s="21" t="n">
        <x:v>2800000</x:v>
      </x:c>
      <x:c r="E15" s="21" t="str">
        <x:v>users</x:v>
      </x:c>
      <x:c r="F15" s="31" t="n">
        <x:f>D15*Controls!$D$9</x:f>
        <x:v>840000</x:v>
      </x:c>
      <x:c r="G15" s="31" t="n">
        <x:f>F15*4</x:f>
        <x:v>3360000</x:v>
      </x:c>
      <x:c r="H15" s="21" t="n">
        <x:v>2400000</x:v>
      </x:c>
      <x:c r="I15" s="21" t="str">
        <x:v>users</x:v>
      </x:c>
      <x:c r="J15" s="34" t="n">
        <x:f>G15/H15</x:f>
        <x:v>1.4</x:v>
      </x:c>
      <x:c r="K15" s="21" t="str">
        <x:f>IF(J15&gt;=1,"CLOSE","FAIL")</x:f>
        <x:v>CLOSE</x:v>
      </x:c>
      <x:c r="L15" s="49"/>
      <x:c r="M15" s="49"/>
      <x:c r="N15" s="49"/>
    </x:row>
    <x:row r="16">
      <x:c r="C16" s="21" t="str">
        <x:v>Health</x:v>
      </x:c>
      <x:c r="D16" s="21" t="n">
        <x:v>600</x:v>
      </x:c>
      <x:c r="E16" s="21" t="str">
        <x:v>staffed beds</x:v>
      </x:c>
      <x:c r="F16" s="31" t="n">
        <x:f>D16*Controls!$D$9</x:f>
        <x:v>180</x:v>
      </x:c>
      <x:c r="G16" s="31" t="n">
        <x:f>F16*4</x:f>
        <x:v>720</x:v>
      </x:c>
      <x:c r="H16" s="21" t="n">
        <x:v>500</x:v>
      </x:c>
      <x:c r="I16" s="21" t="str">
        <x:v>staffed beds</x:v>
      </x:c>
      <x:c r="J16" s="34" t="n">
        <x:f>G16/H16</x:f>
        <x:v>1.44</x:v>
      </x:c>
      <x:c r="K16" s="21" t="str">
        <x:f>IF(J16&gt;=1,"CLOSE","FAIL")</x:f>
        <x:v>CLOSE</x:v>
      </x:c>
      <x:c r="L16" s="49"/>
      <x:c r="M16" s="49"/>
      <x:c r="N16" s="49"/>
    </x:row>
    <x:row r="17">
      <x:c r="C17" s="21" t="str">
        <x:v>Hazard control</x:v>
      </x:c>
      <x:c r="D17" s="21" t="n">
        <x:v>120</x:v>
      </x:c>
      <x:c r="E17" s="21" t="str">
        <x:v>route-eq km/day</x:v>
      </x:c>
      <x:c r="F17" s="31" t="n">
        <x:f>D17*Controls!$D$9</x:f>
        <x:v>36</x:v>
      </x:c>
      <x:c r="G17" s="31" t="n">
        <x:f>F17*4</x:f>
        <x:v>144</x:v>
      </x:c>
      <x:c r="H17" s="21" t="n">
        <x:v>100</x:v>
      </x:c>
      <x:c r="I17" s="21" t="str">
        <x:v>route-eq km/day</x:v>
      </x:c>
      <x:c r="J17" s="34" t="n">
        <x:f>G17/H17</x:f>
        <x:v>1.44</x:v>
      </x:c>
      <x:c r="K17" s="21" t="str">
        <x:f>IF(J17&gt;=1,"CLOSE","FAIL")</x:f>
        <x:v>CLOSE</x:v>
      </x:c>
      <x:c r="L17" s="49"/>
      <x:c r="M17" s="49"/>
      <x:c r="N17" s="49"/>
    </x:row>
  </x:sheetData>
  <x:mergeCells>
    <x:mergeCell ref="C2:N2"/>
    <x:mergeCell ref="C3:N3"/>
  </x:mergeCells>
  <x:conditionalFormatting sqref="K7:K17">
    <x:cfRule type="containsText" dxfId="10" priority="1" operator="containsText" text="PASS"/>
    <x:cfRule type="containsText" dxfId="11" priority="2" operator="containsText" text="CLOSE"/>
    <x:cfRule type="containsText" dxfId="12" priority="3" operator="containsText" text="FAIL"/>
    <x:cfRule type="containsText" dxfId="13" priority="4" operator="containsText" text="OPEN"/>
    <x:cfRule type="containsText" dxfId="14" priority="5" operator="containsText" text="BLOCKED"/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14" hidden="0" customWidth="1"/>
    <x:col min="4" max="4" width="30" hidden="0" customWidth="1"/>
    <x:col min="5" max="5" width="12" hidden="0" customWidth="1"/>
    <x:col min="6" max="6" width="15" hidden="0" customWidth="1"/>
    <x:col min="7" max="7" width="42" hidden="0" customWidth="1"/>
    <x:col min="8" max="8" width="52" hidden="0" customWidth="1"/>
    <x:col min="9" max="9" width="48" hidden="0" customWidth="1"/>
    <x:col min="10" max="10" width="12" hidden="0" customWidth="1"/>
    <x:col min="11" max="11" width="14" hidden="0" customWidth="1"/>
  </x:cols>
  <x:sheetData>
    <x:row r="2" ht="24" customHeight="1">
      <x:c r="C2" s="47" t="str">
        <x:v>Purpose-Built Mobility and Access Systems</x:v>
      </x:c>
      <x:c r="D2" s="47"/>
      <x:c r="E2" s="47"/>
      <x:c r="F2" s="47"/>
      <x:c r="G2" s="47"/>
      <x:c r="H2" s="47"/>
      <x:c r="I2" s="47"/>
      <x:c r="J2" s="47"/>
      <x:c r="K2" s="47"/>
      <x:c r="L2" s="47"/>
      <x:c r="M2" s="47"/>
      <x:c r="N2" s="47"/>
      <x:c r="O2" s="47"/>
      <x:c r="P2" s="47"/>
    </x:row>
    <x:row r="3" ht="32" customHeight="1">
      <x:c r="C3" s="48" t="str">
        <x:v>These are functional requirement classes. Names are handles for research—not approved programs or exterior designs.</x:v>
      </x:c>
      <x:c r="D3" s="48"/>
      <x:c r="E3" s="48"/>
      <x:c r="F3" s="48"/>
      <x:c r="G3" s="48"/>
      <x:c r="H3" s="48"/>
      <x:c r="I3" s="48"/>
      <x:c r="J3" s="48"/>
      <x:c r="K3" s="48"/>
      <x:c r="L3" s="48"/>
      <x:c r="M3" s="48"/>
      <x:c r="N3" s="48"/>
      <x:c r="O3" s="48"/>
      <x:c r="P3" s="48"/>
    </x:row>
    <x:row r="4">
      <x:c r="C4" s="49"/>
      <x:c r="D4" s="49"/>
      <x:c r="E4" s="49"/>
      <x:c r="F4" s="49"/>
      <x:c r="G4" s="49"/>
      <x:c r="H4" s="49"/>
      <x:c r="I4" s="49"/>
      <x:c r="J4" s="49"/>
      <x:c r="K4" s="49"/>
      <x:c r="L4" s="49"/>
      <x:c r="M4" s="49"/>
      <x:c r="N4" s="49"/>
      <x:c r="O4" s="49"/>
      <x:c r="P4" s="49"/>
    </x:row>
    <x:row r="5">
      <x:c r="C5" s="49"/>
      <x:c r="D5" s="49"/>
      <x:c r="E5" s="49"/>
      <x:c r="F5" s="49"/>
      <x:c r="G5" s="49"/>
      <x:c r="H5" s="49"/>
      <x:c r="I5" s="49"/>
      <x:c r="J5" s="49"/>
      <x:c r="K5" s="49"/>
      <x:c r="L5" s="49"/>
      <x:c r="M5" s="49"/>
      <x:c r="N5" s="49"/>
      <x:c r="O5" s="49"/>
      <x:c r="P5" s="49"/>
    </x:row>
    <x:row r="6">
      <x:c r="C6" s="16" t="str">
        <x:v>Handle</x:v>
      </x:c>
      <x:c r="D6" s="17" t="str">
        <x:v>Function</x:v>
      </x:c>
      <x:c r="E6" s="17" t="str">
        <x:v>Quantity</x:v>
      </x:c>
      <x:c r="F6" s="17" t="str">
        <x:v>Unit</x:v>
      </x:c>
      <x:c r="G6" s="17" t="str">
        <x:v>Performance point</x:v>
      </x:c>
      <x:c r="H6" s="17" t="str">
        <x:v>Why existing analog is insufficient</x:v>
      </x:c>
      <x:c r="I6" s="17" t="str">
        <x:v>Primary technology advance</x:v>
      </x:c>
      <x:c r="J6" s="17" t="str">
        <x:v>Evidence state</x:v>
      </x:c>
      <x:c r="K6" s="18" t="str">
        <x:v>Rendering</x:v>
      </x:c>
      <x:c r="L6" s="49"/>
      <x:c r="M6" s="49"/>
      <x:c r="N6" s="49"/>
      <x:c r="O6" s="49"/>
      <x:c r="P6" s="49"/>
    </x:row>
    <x:row r="7">
      <x:c r="C7" s="21" t="str">
        <x:v>SAC-120</x:v>
      </x:c>
      <x:c r="D7" s="21" t="str">
        <x:v>Strategic-to-austere air cargo</x:v>
      </x:c>
      <x:c r="E7" s="21" t="n">
        <x:v>210</x:v>
      </x:c>
      <x:c r="F7" s="21" t="str">
        <x:v>aircraft</x:v>
      </x:c>
      <x:c r="G7" s="21" t="str">
        <x:v>120 t average mission payload; 12 h cycle; 0.75 campaign availability</x:v>
      </x:c>
      <x:c r="H7" s="21" t="str">
        <x:v>C-17 maximum payload is 77.5 t; the model requires a larger average payload plus faster autonomous turn</x:v>
      </x:c>
      <x:c r="I7" s="21" t="str">
        <x:v>Large lightweight structure, austere propulsion protection, rapid roll-through unload</x:v>
      </x:c>
      <x:c r="J7" s="21" t="str">
        <x:v>OPEN</x:v>
      </x:c>
      <x:c r="K7" s="21" t="str">
        <x:v>BLOCKED</x:v>
      </x:c>
      <x:c r="L7" s="49"/>
      <x:c r="M7" s="49"/>
      <x:c r="N7" s="49"/>
      <x:c r="O7" s="49"/>
      <x:c r="P7" s="49"/>
    </x:row>
    <x:row r="8">
      <x:c r="C8" s="21" t="str">
        <x:v>RSL-12</x:v>
      </x:c>
      <x:c r="D8" s="21" t="str">
        <x:v>Ready sea-based service-kernel lift</x:v>
      </x:c>
      <x:c r="E8" s="21" t="n">
        <x:v>8</x:v>
      </x:c>
      <x:c r="F8" s="21" t="str">
        <x:v>ships</x:v>
      </x:c>
      <x:c r="G8" s="21" t="str">
        <x:v>12,000 t kernel payload; four allocated to each offshore cell</x:v>
      </x:c>
      <x:c r="H8" s="21" t="str">
        <x:v>Hospital-ship or sealift conversions do not provide preloaded cross-service kernels or rapid no-pier transfer</x:v>
      </x:c>
      <x:c r="I8" s="21" t="str">
        <x:v>High-readiness modular cargo, self-maintenance, distributed power/data</x:v>
      </x:c>
      <x:c r="J8" s="21" t="str">
        <x:v>OPEN</x:v>
      </x:c>
      <x:c r="K8" s="21" t="str">
        <x:v>BLOCKED</x:v>
      </x:c>
      <x:c r="L8" s="49"/>
      <x:c r="M8" s="49"/>
      <x:c r="N8" s="49"/>
      <x:c r="O8" s="49"/>
      <x:c r="P8" s="49"/>
    </x:row>
    <x:row r="9">
      <x:c r="C9" s="21" t="str">
        <x:v>NPO-1100</x:v>
      </x:c>
      <x:c r="D9" s="21" t="str">
        <x:v>No-pier offshore-to-shore transfer</x:v>
      </x:c>
      <x:c r="E9" s="21" t="n">
        <x:v>12</x:v>
      </x:c>
      <x:c r="F9" s="21" t="str">
        <x:v>systems</x:v>
      </x:c>
      <x:c r="G9" s="21" t="str">
        <x:v>1,100 gross t/h per cell; debris and damaged-port operations</x:v>
      </x:c>
      <x:c r="H9" s="21" t="str">
        <x:v>Current logistics-over-the-shore is a military analog, not a continuous civil-service entry system</x:v>
      </x:c>
      <x:c r="I9" s="21" t="str">
        <x:v>Autonomous surf transit, stabilized transfer, dynamic hydrography</x:v>
      </x:c>
      <x:c r="J9" s="21" t="str">
        <x:v>OPEN</x:v>
      </x:c>
      <x:c r="K9" s="21" t="str">
        <x:v>BLOCKED</x:v>
      </x:c>
      <x:c r="L9" s="49"/>
      <x:c r="M9" s="49"/>
      <x:c r="N9" s="49"/>
      <x:c r="O9" s="49"/>
      <x:c r="P9" s="49"/>
    </x:row>
    <x:row r="10">
      <x:c r="C10" s="21" t="str">
        <x:v>DHC-1500</x:v>
      </x:c>
      <x:c r="D10" s="21" t="str">
        <x:v>Distributed handling and convoy</x:v>
      </x:c>
      <x:c r="E10" s="21" t="n">
        <x:v>240</x:v>
      </x:c>
      <x:c r="F10" s="21" t="str">
        <x:v>systems</x:v>
      </x:c>
      <x:c r="G10" s="21" t="str">
        <x:v>1,500 gross t/h per upland cell</x:v>
      </x:c>
      <x:c r="H10" s="21" t="str">
        <x:v>Conventional warehouses and forklifts depend on intact labor, grid and data</x:v>
      </x:c>
      <x:c r="I10" s="21" t="str">
        <x:v>Machine-vision handling, robotic cross-dock, mixed cargo sequencing</x:v>
      </x:c>
      <x:c r="J10" s="21" t="str">
        <x:v>OPEN</x:v>
      </x:c>
      <x:c r="K10" s="21" t="str">
        <x:v>BLOCKED</x:v>
      </x:c>
      <x:c r="L10" s="49"/>
      <x:c r="M10" s="49"/>
      <x:c r="N10" s="49"/>
      <x:c r="O10" s="49"/>
      <x:c r="P10" s="49"/>
    </x:row>
    <x:row r="11">
      <x:c r="C11" s="21" t="str">
        <x:v>ARE-18</x:v>
      </x:c>
      <x:c r="D11" s="21" t="str">
        <x:v>Airfield reconnaissance and release</x:v>
      </x:c>
      <x:c r="E11" s="21" t="n">
        <x:v>24</x:v>
      </x:c>
      <x:c r="F11" s="21" t="str">
        <x:v>sets</x:v>
      </x:c>
      <x:c r="G11" s="21" t="str">
        <x:v>Two air cells open by hour 18</x:v>
      </x:c>
      <x:c r="H11" s="21" t="str">
        <x:v>Current repair kits prove rapid repair is possible but not autonomous civil release at regional scale</x:v>
      </x:c>
      <x:c r="I11" s="21" t="str">
        <x:v>Robotic damage mapping, rapid surfaces, digital safety case</x:v>
      </x:c>
      <x:c r="J11" s="21" t="str">
        <x:v>OPEN</x:v>
      </x:c>
      <x:c r="K11" s="21" t="str">
        <x:v>BLOCKED</x:v>
      </x:c>
      <x:c r="L11" s="49"/>
      <x:c r="M11" s="49"/>
      <x:c r="N11" s="49"/>
      <x:c r="O11" s="49"/>
      <x:c r="P11" s="49"/>
    </x:row>
    <x:row r="12">
      <x:c r="C12" s="21" t="str">
        <x:v>ASK</x:v>
      </x:c>
      <x:c r="D12" s="21" t="str">
        <x:v>Autonomous service-kernel cargo</x:v>
      </x:c>
      <x:c r="E12" s="21" t="n">
        <x:v>600</x:v>
      </x:c>
      <x:c r="F12" s="21" t="str">
        <x:v>craft/sets</x:v>
      </x:c>
      <x:c r="G12" s="21" t="str">
        <x:v>Move and inspect mixed service tranches across broken networks</x:v>
      </x:c>
      <x:c r="H12" s="21" t="str">
        <x:v>Single-mode cargo systems cannot dynamically substitute among road, water and vertical paths</x:v>
      </x:c>
      <x:c r="I12" s="21" t="str">
        <x:v>Common autonomy, swarming dispatch, certified human override</x:v>
      </x:c>
      <x:c r="J12" s="21" t="str">
        <x:v>OPEN</x:v>
      </x:c>
      <x:c r="K12" s="21" t="str">
        <x:v>BLOCKED</x:v>
      </x:c>
      <x:c r="L12" s="49"/>
      <x:c r="M12" s="49"/>
      <x:c r="N12" s="49"/>
      <x:c r="O12" s="49"/>
      <x:c r="P12" s="49"/>
    </x:row>
    <x:row r="13">
      <x:c r="C13" s="21" t="str">
        <x:v>MICRO-195</x:v>
      </x:c>
      <x:c r="D13" s="21" t="str">
        <x:v>Cell micro-utility complex</x:v>
      </x:c>
      <x:c r="E13" s="21" t="n">
        <x:v>6</x:v>
      </x:c>
      <x:c r="F13" s="21" t="str">
        <x:v>complexes</x:v>
      </x:c>
      <x:c r="G13" s="21" t="str">
        <x:v>195 MW critical power and 6,000 m3/day water effect per cell</x:v>
      </x:c>
      <x:c r="H13" s="21" t="str">
        <x:v>Portable microgrids and mobile treatment validate modularity but are orders of magnitude smaller</x:v>
      </x:c>
      <x:c r="I13" s="21" t="str">
        <x:v>Grid-forming power, modular treatment, thermal networks, deployable distribution</x:v>
      </x:c>
      <x:c r="J13" s="21" t="str">
        <x:v>OPEN</x:v>
      </x:c>
      <x:c r="K13" s="21" t="str">
        <x:v>BLOCKED</x:v>
      </x:c>
      <x:c r="L13" s="49"/>
      <x:c r="M13" s="49"/>
      <x:c r="N13" s="49"/>
      <x:c r="O13" s="49"/>
      <x:c r="P13" s="49"/>
    </x:row>
  </x:sheetData>
  <x:mergeCells>
    <x:mergeCell ref="C2:P2"/>
    <x:mergeCell ref="C3:P3"/>
  </x:mergeCells>
  <x:conditionalFormatting sqref="J7:K13">
    <x:cfRule type="containsText" dxfId="15" priority="1" operator="containsText" text="PASS"/>
    <x:cfRule type="containsText" dxfId="16" priority="2" operator="containsText" text="CLOSE"/>
    <x:cfRule type="containsText" dxfId="17" priority="3" operator="containsText" text="FAIL"/>
    <x:cfRule type="containsText" dxfId="18" priority="4" operator="containsText" text="OPEN"/>
    <x:cfRule type="containsText" dxfId="19" priority="5" operator="containsText" text="BLOCKED"/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11" hidden="0" customWidth="1"/>
    <x:col min="4" max="4" width="15" hidden="0" customWidth="1"/>
    <x:col min="5" max="5" width="15" hidden="0" customWidth="1"/>
    <x:col min="6" max="6" width="16" hidden="0" customWidth="1"/>
    <x:col min="7" max="7" width="18" hidden="0" customWidth="1"/>
    <x:col min="8" max="8" width="18" hidden="0" customWidth="1"/>
    <x:col min="9" max="9" width="16" hidden="0" customWidth="1"/>
    <x:col min="10" max="10" width="16" hidden="0" customWidth="1"/>
    <x:col min="11" max="11" width="18" hidden="0" customWidth="1"/>
    <x:col min="12" max="12" width="22" hidden="0" customWidth="1"/>
  </x:cols>
  <x:sheetData>
    <x:row r="2" ht="24" customHeight="1">
      <x:c r="C2" s="47" t="str">
        <x:v>Cell Delivery Timing</x:v>
      </x:c>
      <x:c r="D2" s="47"/>
      <x:c r="E2" s="47"/>
      <x:c r="F2" s="47"/>
      <x:c r="G2" s="47"/>
      <x:c r="H2" s="47"/>
      <x:c r="I2" s="47"/>
      <x:c r="J2" s="47"/>
      <x:c r="K2" s="47"/>
      <x:c r="L2" s="47"/>
      <x:c r="M2" s="47"/>
    </x:row>
    <x:row r="3" ht="32" customHeight="1">
      <x:c r="C3" s="48" t="str">
        <x:v>Complete time is activation plus total cell mass divided by net receiving-system throughput. Uniform kernel packaging makes delivered mass a valid proxy for delivered service effect.</x:v>
      </x:c>
      <x:c r="D3" s="48"/>
      <x:c r="E3" s="48"/>
      <x:c r="F3" s="48"/>
      <x:c r="G3" s="48"/>
      <x:c r="H3" s="48"/>
      <x:c r="I3" s="48"/>
      <x:c r="J3" s="48"/>
      <x:c r="K3" s="48"/>
      <x:c r="L3" s="48"/>
      <x:c r="M3" s="48"/>
    </x:row>
    <x:row r="4">
      <x:c r="C4" s="49"/>
      <x:c r="D4" s="49"/>
      <x:c r="E4" s="49"/>
      <x:c r="F4" s="49"/>
      <x:c r="G4" s="49"/>
      <x:c r="H4" s="49"/>
      <x:c r="I4" s="49"/>
      <x:c r="J4" s="49"/>
      <x:c r="K4" s="49"/>
      <x:c r="L4" s="49"/>
      <x:c r="M4" s="49"/>
    </x:row>
    <x:row r="5">
      <x:c r="C5" s="49"/>
      <x:c r="D5" s="49"/>
      <x:c r="E5" s="49"/>
      <x:c r="F5" s="49"/>
      <x:c r="G5" s="49"/>
      <x:c r="H5" s="49"/>
      <x:c r="I5" s="49"/>
      <x:c r="J5" s="49"/>
      <x:c r="K5" s="49"/>
      <x:c r="L5" s="49"/>
      <x:c r="M5" s="49"/>
    </x:row>
    <x:row r="6">
      <x:c r="C6" s="16" t="str">
        <x:v>Cell</x:v>
      </x:c>
      <x:c r="D6" s="17" t="str">
        <x:v>Mode</x:v>
      </x:c>
      <x:c r="E6" s="17" t="str">
        <x:v>Activation h</x:v>
      </x:c>
      <x:c r="F6" s="17" t="str">
        <x:v>Net t/h</x:v>
      </x:c>
      <x:c r="G6" s="17" t="str">
        <x:v>Cell mass t</x:v>
      </x:c>
      <x:c r="H6" s="17" t="str">
        <x:v>Transit/queue h</x:v>
      </x:c>
      <x:c r="I6" s="17" t="str">
        <x:v>Complete h</x:v>
      </x:c>
      <x:c r="J6" s="17" t="str">
        <x:v>Effect share</x:v>
      </x:c>
      <x:c r="K6" s="17" t="str">
        <x:v>Mass by h72</x:v>
      </x:c>
      <x:c r="L6" s="18" t="str">
        <x:v>Service share by h72</x:v>
      </x:c>
      <x:c r="M6" s="49"/>
    </x:row>
    <x:row r="7">
      <x:c r="C7" s="31" t="str">
        <x:f>'Cell Architecture'!C7</x:f>
        <x:v>U-N</x:v>
      </x:c>
      <x:c r="D7" s="31" t="str">
        <x:f>'Cell Architecture'!E7</x:f>
        <x:v>Upland</x:v>
      </x:c>
      <x:c r="E7" s="32" t="n">
        <x:f>'Cell Architecture'!F7</x:f>
        <x:v>6</x:v>
      </x:c>
      <x:c r="F7" s="32" t="n">
        <x:f>'Cell Architecture'!J7</x:f>
        <x:v>1215</x:v>
      </x:c>
      <x:c r="G7" s="32" t="n">
        <x:f>'Cell Architecture'!M7</x:f>
        <x:v>29611.68</x:v>
      </x:c>
      <x:c r="H7" s="32" t="n">
        <x:f>G7/F7</x:f>
        <x:v>24.371753086419755</x:v>
      </x:c>
      <x:c r="I7" s="32" t="n">
        <x:f>E7+H7</x:f>
        <x:v>30.371753086419755</x:v>
      </x:c>
      <x:c r="J7" s="35" t="n">
        <x:f>Controls!$D$9</x:f>
        <x:v>0.3</x:v>
      </x:c>
      <x:c r="K7" s="31" t="n">
        <x:f>MIN(G7,MAX(0,(Controls!$D$11-E7)*F7))</x:f>
        <x:v>29611.68</x:v>
      </x:c>
      <x:c r="L7" s="35" t="n">
        <x:f>J7*K7/G7</x:f>
        <x:v>0.3</x:v>
      </x:c>
      <x:c r="M7" s="49"/>
    </x:row>
    <x:row r="8">
      <x:c r="C8" s="31" t="str">
        <x:f>'Cell Architecture'!C8</x:f>
        <x:v>U-S</x:v>
      </x:c>
      <x:c r="D8" s="31" t="str">
        <x:f>'Cell Architecture'!E8</x:f>
        <x:v>Upland</x:v>
      </x:c>
      <x:c r="E8" s="32" t="n">
        <x:f>'Cell Architecture'!F8</x:f>
        <x:v>6</x:v>
      </x:c>
      <x:c r="F8" s="32" t="n">
        <x:f>'Cell Architecture'!J8</x:f>
        <x:v>1215</x:v>
      </x:c>
      <x:c r="G8" s="32" t="n">
        <x:f>'Cell Architecture'!M8</x:f>
        <x:v>29611.68</x:v>
      </x:c>
      <x:c r="H8" s="32" t="n">
        <x:f>G8/F8</x:f>
        <x:v>24.371753086419755</x:v>
      </x:c>
      <x:c r="I8" s="32" t="n">
        <x:f>E8+H8</x:f>
        <x:v>30.371753086419755</x:v>
      </x:c>
      <x:c r="J8" s="35" t="n">
        <x:f>Controls!$D$9</x:f>
        <x:v>0.3</x:v>
      </x:c>
      <x:c r="K8" s="31" t="n">
        <x:f>MIN(G8,MAX(0,(Controls!$D$11-E8)*F8))</x:f>
        <x:v>29611.68</x:v>
      </x:c>
      <x:c r="L8" s="35" t="n">
        <x:f>J8*K8/G8</x:f>
        <x:v>0.3</x:v>
      </x:c>
      <x:c r="M8" s="49"/>
    </x:row>
    <x:row r="9">
      <x:c r="C9" s="31" t="str">
        <x:f>'Cell Architecture'!C9</x:f>
        <x:v>A-N</x:v>
      </x:c>
      <x:c r="D9" s="31" t="str">
        <x:f>'Cell Architecture'!E9</x:f>
        <x:v>Air</x:v>
      </x:c>
      <x:c r="E9" s="32" t="n">
        <x:f>'Cell Architecture'!F9</x:f>
        <x:v>18</x:v>
      </x:c>
      <x:c r="F9" s="32" t="n">
        <x:f>'Cell Architecture'!J9</x:f>
        <x:v>669.375</x:v>
      </x:c>
      <x:c r="G9" s="32" t="n">
        <x:f>'Cell Architecture'!M9</x:f>
        <x:v>29611.68</x:v>
      </x:c>
      <x:c r="H9" s="32" t="n">
        <x:f>G9/F9</x:f>
        <x:v>44.23780392156863</x:v>
      </x:c>
      <x:c r="I9" s="32" t="n">
        <x:f>E9+H9</x:f>
        <x:v>62.23780392156863</x:v>
      </x:c>
      <x:c r="J9" s="35" t="n">
        <x:f>Controls!$D$9</x:f>
        <x:v>0.3</x:v>
      </x:c>
      <x:c r="K9" s="31" t="n">
        <x:f>MIN(G9,MAX(0,(Controls!$D$11-E9)*F9))</x:f>
        <x:v>29611.68</x:v>
      </x:c>
      <x:c r="L9" s="35" t="n">
        <x:f>J9*K9/G9</x:f>
        <x:v>0.3</x:v>
      </x:c>
      <x:c r="M9" s="49"/>
    </x:row>
    <x:row r="10">
      <x:c r="C10" s="31" t="str">
        <x:f>'Cell Architecture'!C10</x:f>
        <x:v>A-S</x:v>
      </x:c>
      <x:c r="D10" s="31" t="str">
        <x:f>'Cell Architecture'!E10</x:f>
        <x:v>Air</x:v>
      </x:c>
      <x:c r="E10" s="32" t="n">
        <x:f>'Cell Architecture'!F10</x:f>
        <x:v>18</x:v>
      </x:c>
      <x:c r="F10" s="32" t="n">
        <x:f>'Cell Architecture'!J10</x:f>
        <x:v>669.375</x:v>
      </x:c>
      <x:c r="G10" s="32" t="n">
        <x:f>'Cell Architecture'!M10</x:f>
        <x:v>29611.68</x:v>
      </x:c>
      <x:c r="H10" s="32" t="n">
        <x:f>G10/F10</x:f>
        <x:v>44.23780392156863</x:v>
      </x:c>
      <x:c r="I10" s="32" t="n">
        <x:f>E10+H10</x:f>
        <x:v>62.23780392156863</x:v>
      </x:c>
      <x:c r="J10" s="35" t="n">
        <x:f>Controls!$D$9</x:f>
        <x:v>0.3</x:v>
      </x:c>
      <x:c r="K10" s="31" t="n">
        <x:f>MIN(G10,MAX(0,(Controls!$D$11-E10)*F10))</x:f>
        <x:v>29611.68</x:v>
      </x:c>
      <x:c r="L10" s="35" t="n">
        <x:f>J10*K10/G10</x:f>
        <x:v>0.3</x:v>
      </x:c>
      <x:c r="M10" s="49"/>
    </x:row>
    <x:row r="11">
      <x:c r="C11" s="31" t="str">
        <x:f>'Cell Architecture'!C11</x:f>
        <x:v>O-N</x:v>
      </x:c>
      <x:c r="D11" s="31" t="str">
        <x:f>'Cell Architecture'!E11</x:f>
        <x:v>Offshore</x:v>
      </x:c>
      <x:c r="E11" s="32" t="n">
        <x:f>'Cell Architecture'!F11</x:f>
        <x:v>30</x:v>
      </x:c>
      <x:c r="F11" s="32" t="n">
        <x:f>'Cell Architecture'!J11</x:f>
        <x:v>841.5</x:v>
      </x:c>
      <x:c r="G11" s="32" t="n">
        <x:f>'Cell Architecture'!M11</x:f>
        <x:v>29611.68</x:v>
      </x:c>
      <x:c r="H11" s="32" t="n">
        <x:f>G11/F11</x:f>
        <x:v>35.18916221033868</x:v>
      </x:c>
      <x:c r="I11" s="32" t="n">
        <x:f>E11+H11</x:f>
        <x:v>65.18916221033868</x:v>
      </x:c>
      <x:c r="J11" s="35" t="n">
        <x:f>Controls!$D$9</x:f>
        <x:v>0.3</x:v>
      </x:c>
      <x:c r="K11" s="31" t="n">
        <x:f>MIN(G11,MAX(0,(Controls!$D$11-E11)*F11))</x:f>
        <x:v>29611.68</x:v>
      </x:c>
      <x:c r="L11" s="35" t="n">
        <x:f>J11*K11/G11</x:f>
        <x:v>0.3</x:v>
      </x:c>
      <x:c r="M11" s="49"/>
    </x:row>
    <x:row r="12">
      <x:c r="C12" s="31" t="str">
        <x:f>'Cell Architecture'!C12</x:f>
        <x:v>O-S</x:v>
      </x:c>
      <x:c r="D12" s="31" t="str">
        <x:f>'Cell Architecture'!E12</x:f>
        <x:v>Offshore</x:v>
      </x:c>
      <x:c r="E12" s="32" t="n">
        <x:f>'Cell Architecture'!F12</x:f>
        <x:v>30</x:v>
      </x:c>
      <x:c r="F12" s="32" t="n">
        <x:f>'Cell Architecture'!J12</x:f>
        <x:v>841.5</x:v>
      </x:c>
      <x:c r="G12" s="32" t="n">
        <x:f>'Cell Architecture'!M12</x:f>
        <x:v>29611.68</x:v>
      </x:c>
      <x:c r="H12" s="32" t="n">
        <x:f>G12/F12</x:f>
        <x:v>35.18916221033868</x:v>
      </x:c>
      <x:c r="I12" s="32" t="n">
        <x:f>E12+H12</x:f>
        <x:v>65.18916221033868</x:v>
      </x:c>
      <x:c r="J12" s="35" t="n">
        <x:f>Controls!$D$9</x:f>
        <x:v>0.3</x:v>
      </x:c>
      <x:c r="K12" s="31" t="n">
        <x:f>MIN(G12,MAX(0,(Controls!$D$11-E12)*F12))</x:f>
        <x:v>29611.68</x:v>
      </x:c>
      <x:c r="L12" s="35" t="n">
        <x:f>J12*K12/G12</x:f>
        <x:v>0.3</x:v>
      </x:c>
      <x:c r="M12" s="49"/>
    </x:row>
  </x:sheetData>
  <x:mergeCells>
    <x:mergeCell ref="C2:M2"/>
    <x:mergeCell ref="C3:M3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11" hidden="0" customWidth="1"/>
    <x:col min="4" max="4" width="11" hidden="0" customWidth="1"/>
    <x:col min="5" max="5" width="11" hidden="0" customWidth="1"/>
    <x:col min="6" max="6" width="12" hidden="0" customWidth="1"/>
    <x:col min="7" max="7" width="18" hidden="0" customWidth="1"/>
    <x:col min="8" max="8" width="20" hidden="0" customWidth="1"/>
    <x:col min="9" max="9" width="20" hidden="0" customWidth="1"/>
    <x:col min="10" max="10" width="15" hidden="0" customWidth="1"/>
    <x:col min="11" max="11" width="15" hidden="0" customWidth="1"/>
  </x:cols>
  <x:sheetData>
    <x:row r="2" ht="24" customHeight="1">
      <x:c r="C2" s="47" t="str">
        <x:v>All Two-Cell Loss Cases</x:v>
      </x:c>
      <x:c r="D2" s="47"/>
      <x:c r="E2" s="47"/>
      <x:c r="F2" s="47"/>
      <x:c r="G2" s="47"/>
      <x:c r="H2" s="47"/>
      <x:c r="I2" s="47"/>
      <x:c r="J2" s="47"/>
      <x:c r="K2" s="47"/>
      <x:c r="L2" s="47"/>
      <x:c r="M2" s="47"/>
      <x:c r="N2" s="47"/>
      <x:c r="O2" s="47"/>
      <x:c r="P2" s="47"/>
      <x:c r="Q2" s="47"/>
    </x:row>
    <x:row r="3" ht="32" customHeight="1">
      <x:c r="C3" s="48" t="str">
        <x:v>Fifteen deterministic N-2 cases. A case closes when surviving cells deliver at least 100% of the reference effect.</x:v>
      </x:c>
      <x:c r="D3" s="48"/>
      <x:c r="E3" s="48"/>
      <x:c r="F3" s="48"/>
      <x:c r="G3" s="48"/>
      <x:c r="H3" s="48"/>
      <x:c r="I3" s="48"/>
      <x:c r="J3" s="48"/>
      <x:c r="K3" s="48"/>
      <x:c r="L3" s="48"/>
      <x:c r="M3" s="48"/>
      <x:c r="N3" s="48"/>
      <x:c r="O3" s="48"/>
      <x:c r="P3" s="48"/>
      <x:c r="Q3" s="48"/>
    </x:row>
    <x:row r="4">
      <x:c r="C4" s="49"/>
      <x:c r="D4" s="49"/>
      <x:c r="E4" s="49"/>
      <x:c r="F4" s="49"/>
      <x:c r="G4" s="49"/>
      <x:c r="H4" s="49"/>
      <x:c r="I4" s="49"/>
      <x:c r="J4" s="49"/>
      <x:c r="K4" s="49"/>
      <x:c r="L4" s="49"/>
      <x:c r="M4" s="49"/>
      <x:c r="N4" s="49"/>
      <x:c r="O4" s="49"/>
      <x:c r="P4" s="49"/>
      <x:c r="Q4" s="49"/>
    </x:row>
    <x:row r="5">
      <x:c r="C5" s="49"/>
      <x:c r="D5" s="49"/>
      <x:c r="E5" s="49"/>
      <x:c r="F5" s="49"/>
      <x:c r="G5" s="49"/>
      <x:c r="H5" s="49"/>
      <x:c r="I5" s="49"/>
      <x:c r="J5" s="49"/>
      <x:c r="K5" s="49"/>
      <x:c r="L5" s="49"/>
      <x:c r="M5" s="49"/>
      <x:c r="N5" s="49"/>
      <x:c r="O5" s="49"/>
      <x:c r="P5" s="49"/>
      <x:c r="Q5" s="49"/>
    </x:row>
    <x:row r="6">
      <x:c r="C6" s="16" t="str">
        <x:v>Case</x:v>
      </x:c>
      <x:c r="D6" s="17" t="str">
        <x:v>Lost 1</x:v>
      </x:c>
      <x:c r="E6" s="17" t="str">
        <x:v>Lost 2</x:v>
      </x:c>
      <x:c r="F6" s="17" t="str">
        <x:v>Survivors</x:v>
      </x:c>
      <x:c r="G6" s="17" t="str">
        <x:v>Full effect share</x:v>
      </x:c>
      <x:c r="H6" s="17" t="str">
        <x:v>Closure h (6h grid)</x:v>
      </x:c>
      <x:c r="I6" s="17" t="str">
        <x:v>H72 effect share</x:v>
      </x:c>
      <x:c r="J6" s="17" t="str">
        <x:v>Service status</x:v>
      </x:c>
      <x:c r="K6" s="18" t="str">
        <x:v>Timing status</x:v>
      </x:c>
      <x:c r="L6" s="49"/>
      <x:c r="M6" s="49"/>
      <x:c r="N6" s="49"/>
      <x:c r="O6" s="49"/>
      <x:c r="P6" s="49"/>
      <x:c r="Q6" s="49"/>
    </x:row>
    <x:row r="7">
      <x:c r="C7" s="21" t="str">
        <x:v>N2-01</x:v>
      </x:c>
      <x:c r="D7" s="21" t="str">
        <x:v>U-N</x:v>
      </x:c>
      <x:c r="E7" s="21" t="str">
        <x:v>U-S</x:v>
      </x:c>
      <x:c r="F7" s="31" t="n">
        <x:f>Controls!$D$8-2</x:f>
        <x:v>4</x:v>
      </x:c>
      <x:c r="G7" s="35" t="n">
        <x:f>F7*Controls!$D$9</x:f>
        <x:v>1.2</x:v>
      </x:c>
      <x:c r="H7" s="31" t="n">
        <x:f>INDEX('Pair-Loss Timeline'!$D$7:$D$19,MATCH(1,'Pair-Loss Timeline'!E$7:E$19,0))</x:f>
        <x:v>60</x:v>
      </x:c>
      <x:c r="I7" s="35" t="n">
        <x:f>SUMIFS('Cell Delivery'!$L$7:$L$12,'Cell Delivery'!$C$7:$C$12,"&lt;&gt;"&amp;D7,'Cell Delivery'!$C$7:$C$12,"&lt;&gt;"&amp;E7)</x:f>
        <x:v>1.2</x:v>
      </x:c>
      <x:c r="J7" s="31" t="str">
        <x:f>IF(I7&gt;=1,"CLOSE","FAIL")</x:f>
        <x:v>CLOSE</x:v>
      </x:c>
      <x:c r="K7" s="31" t="str">
        <x:f>IF(H7&lt;=Controls!$D$11,"PASS","FAIL")</x:f>
        <x:v>PASS</x:v>
      </x:c>
      <x:c r="L7" s="49"/>
      <x:c r="M7" s="49"/>
      <x:c r="N7" s="49"/>
      <x:c r="O7" s="49"/>
      <x:c r="P7" s="49"/>
      <x:c r="Q7" s="49"/>
    </x:row>
    <x:row r="8">
      <x:c r="C8" s="21" t="str">
        <x:v>N2-02</x:v>
      </x:c>
      <x:c r="D8" s="21" t="str">
        <x:v>U-N</x:v>
      </x:c>
      <x:c r="E8" s="21" t="str">
        <x:v>A-N</x:v>
      </x:c>
      <x:c r="F8" s="31" t="n">
        <x:f>Controls!$D$8-2</x:f>
        <x:v>4</x:v>
      </x:c>
      <x:c r="G8" s="35" t="n">
        <x:f>F8*Controls!$D$9</x:f>
        <x:v>1.2</x:v>
      </x:c>
      <x:c r="H8" s="31" t="n">
        <x:f>INDEX('Pair-Loss Timeline'!$D$7:$D$19,MATCH(1,'Pair-Loss Timeline'!F$7:F$19,0))</x:f>
        <x:v>60</x:v>
      </x:c>
      <x:c r="I8" s="35" t="n">
        <x:f>SUMIFS('Cell Delivery'!$L$7:$L$12,'Cell Delivery'!$C$7:$C$12,"&lt;&gt;"&amp;D8,'Cell Delivery'!$C$7:$C$12,"&lt;&gt;"&amp;E8)</x:f>
        <x:v>1.2</x:v>
      </x:c>
      <x:c r="J8" s="31" t="str">
        <x:f>IF(I8&gt;=1,"CLOSE","FAIL")</x:f>
        <x:v>CLOSE</x:v>
      </x:c>
      <x:c r="K8" s="31" t="str">
        <x:f>IF(H8&lt;=Controls!$D$11,"PASS","FAIL")</x:f>
        <x:v>PASS</x:v>
      </x:c>
      <x:c r="L8" s="49"/>
      <x:c r="M8" s="49"/>
      <x:c r="N8" s="49"/>
      <x:c r="O8" s="49"/>
      <x:c r="P8" s="49"/>
      <x:c r="Q8" s="49"/>
    </x:row>
    <x:row r="9">
      <x:c r="C9" s="21" t="str">
        <x:v>N2-03</x:v>
      </x:c>
      <x:c r="D9" s="21" t="str">
        <x:v>U-N</x:v>
      </x:c>
      <x:c r="E9" s="21" t="str">
        <x:v>A-S</x:v>
      </x:c>
      <x:c r="F9" s="31" t="n">
        <x:f>Controls!$D$8-2</x:f>
        <x:v>4</x:v>
      </x:c>
      <x:c r="G9" s="35" t="n">
        <x:f>F9*Controls!$D$9</x:f>
        <x:v>1.2</x:v>
      </x:c>
      <x:c r="H9" s="31" t="n">
        <x:f>INDEX('Pair-Loss Timeline'!$D$7:$D$19,MATCH(1,'Pair-Loss Timeline'!G$7:G$19,0))</x:f>
        <x:v>60</x:v>
      </x:c>
      <x:c r="I9" s="35" t="n">
        <x:f>SUMIFS('Cell Delivery'!$L$7:$L$12,'Cell Delivery'!$C$7:$C$12,"&lt;&gt;"&amp;D9,'Cell Delivery'!$C$7:$C$12,"&lt;&gt;"&amp;E9)</x:f>
        <x:v>1.2</x:v>
      </x:c>
      <x:c r="J9" s="31" t="str">
        <x:f>IF(I9&gt;=1,"CLOSE","FAIL")</x:f>
        <x:v>CLOSE</x:v>
      </x:c>
      <x:c r="K9" s="31" t="str">
        <x:f>IF(H9&lt;=Controls!$D$11,"PASS","FAIL")</x:f>
        <x:v>PASS</x:v>
      </x:c>
      <x:c r="L9" s="49"/>
      <x:c r="M9" s="49"/>
      <x:c r="N9" s="49"/>
      <x:c r="O9" s="49"/>
      <x:c r="P9" s="49"/>
      <x:c r="Q9" s="49"/>
    </x:row>
    <x:row r="10">
      <x:c r="C10" s="21" t="str">
        <x:v>N2-04</x:v>
      </x:c>
      <x:c r="D10" s="21" t="str">
        <x:v>U-N</x:v>
      </x:c>
      <x:c r="E10" s="21" t="str">
        <x:v>O-N</x:v>
      </x:c>
      <x:c r="F10" s="31" t="n">
        <x:f>Controls!$D$8-2</x:f>
        <x:v>4</x:v>
      </x:c>
      <x:c r="G10" s="35" t="n">
        <x:f>F10*Controls!$D$9</x:f>
        <x:v>1.2</x:v>
      </x:c>
      <x:c r="H10" s="31" t="n">
        <x:f>INDEX('Pair-Loss Timeline'!$D$7:$D$19,MATCH(1,'Pair-Loss Timeline'!H$7:H$19,0))</x:f>
        <x:v>60</x:v>
      </x:c>
      <x:c r="I10" s="35" t="n">
        <x:f>SUMIFS('Cell Delivery'!$L$7:$L$12,'Cell Delivery'!$C$7:$C$12,"&lt;&gt;"&amp;D10,'Cell Delivery'!$C$7:$C$12,"&lt;&gt;"&amp;E10)</x:f>
        <x:v>1.2</x:v>
      </x:c>
      <x:c r="J10" s="31" t="str">
        <x:f>IF(I10&gt;=1,"CLOSE","FAIL")</x:f>
        <x:v>CLOSE</x:v>
      </x:c>
      <x:c r="K10" s="31" t="str">
        <x:f>IF(H10&lt;=Controls!$D$11,"PASS","FAIL")</x:f>
        <x:v>PASS</x:v>
      </x:c>
      <x:c r="L10" s="49"/>
      <x:c r="M10" s="49"/>
      <x:c r="N10" s="49"/>
      <x:c r="O10" s="49"/>
      <x:c r="P10" s="49"/>
      <x:c r="Q10" s="49"/>
    </x:row>
    <x:row r="11">
      <x:c r="C11" s="21" t="str">
        <x:v>N2-05</x:v>
      </x:c>
      <x:c r="D11" s="21" t="str">
        <x:v>U-N</x:v>
      </x:c>
      <x:c r="E11" s="21" t="str">
        <x:v>O-S</x:v>
      </x:c>
      <x:c r="F11" s="31" t="n">
        <x:f>Controls!$D$8-2</x:f>
        <x:v>4</x:v>
      </x:c>
      <x:c r="G11" s="35" t="n">
        <x:f>F11*Controls!$D$9</x:f>
        <x:v>1.2</x:v>
      </x:c>
      <x:c r="H11" s="31" t="n">
        <x:f>INDEX('Pair-Loss Timeline'!$D$7:$D$19,MATCH(1,'Pair-Loss Timeline'!I$7:I$19,0))</x:f>
        <x:v>60</x:v>
      </x:c>
      <x:c r="I11" s="35" t="n">
        <x:f>SUMIFS('Cell Delivery'!$L$7:$L$12,'Cell Delivery'!$C$7:$C$12,"&lt;&gt;"&amp;D11,'Cell Delivery'!$C$7:$C$12,"&lt;&gt;"&amp;E11)</x:f>
        <x:v>1.2</x:v>
      </x:c>
      <x:c r="J11" s="31" t="str">
        <x:f>IF(I11&gt;=1,"CLOSE","FAIL")</x:f>
        <x:v>CLOSE</x:v>
      </x:c>
      <x:c r="K11" s="31" t="str">
        <x:f>IF(H11&lt;=Controls!$D$11,"PASS","FAIL")</x:f>
        <x:v>PASS</x:v>
      </x:c>
      <x:c r="L11" s="49"/>
      <x:c r="M11" s="49"/>
      <x:c r="N11" s="49"/>
      <x:c r="O11" s="49"/>
      <x:c r="P11" s="49"/>
      <x:c r="Q11" s="49"/>
    </x:row>
    <x:row r="12">
      <x:c r="C12" s="21" t="str">
        <x:v>N2-06</x:v>
      </x:c>
      <x:c r="D12" s="21" t="str">
        <x:v>U-S</x:v>
      </x:c>
      <x:c r="E12" s="21" t="str">
        <x:v>A-N</x:v>
      </x:c>
      <x:c r="F12" s="31" t="n">
        <x:f>Controls!$D$8-2</x:f>
        <x:v>4</x:v>
      </x:c>
      <x:c r="G12" s="35" t="n">
        <x:f>F12*Controls!$D$9</x:f>
        <x:v>1.2</x:v>
      </x:c>
      <x:c r="H12" s="31" t="n">
        <x:f>INDEX('Pair-Loss Timeline'!$D$7:$D$19,MATCH(1,'Pair-Loss Timeline'!J$7:J$19,0))</x:f>
        <x:v>60</x:v>
      </x:c>
      <x:c r="I12" s="35" t="n">
        <x:f>SUMIFS('Cell Delivery'!$L$7:$L$12,'Cell Delivery'!$C$7:$C$12,"&lt;&gt;"&amp;D12,'Cell Delivery'!$C$7:$C$12,"&lt;&gt;"&amp;E12)</x:f>
        <x:v>1.2</x:v>
      </x:c>
      <x:c r="J12" s="31" t="str">
        <x:f>IF(I12&gt;=1,"CLOSE","FAIL")</x:f>
        <x:v>CLOSE</x:v>
      </x:c>
      <x:c r="K12" s="31" t="str">
        <x:f>IF(H12&lt;=Controls!$D$11,"PASS","FAIL")</x:f>
        <x:v>PASS</x:v>
      </x:c>
      <x:c r="L12" s="49"/>
      <x:c r="M12" s="49"/>
      <x:c r="N12" s="49"/>
      <x:c r="O12" s="49"/>
      <x:c r="P12" s="49"/>
      <x:c r="Q12" s="49"/>
    </x:row>
    <x:row r="13">
      <x:c r="C13" s="21" t="str">
        <x:v>N2-07</x:v>
      </x:c>
      <x:c r="D13" s="21" t="str">
        <x:v>U-S</x:v>
      </x:c>
      <x:c r="E13" s="21" t="str">
        <x:v>A-S</x:v>
      </x:c>
      <x:c r="F13" s="31" t="n">
        <x:f>Controls!$D$8-2</x:f>
        <x:v>4</x:v>
      </x:c>
      <x:c r="G13" s="35" t="n">
        <x:f>F13*Controls!$D$9</x:f>
        <x:v>1.2</x:v>
      </x:c>
      <x:c r="H13" s="31" t="n">
        <x:f>INDEX('Pair-Loss Timeline'!$D$7:$D$19,MATCH(1,'Pair-Loss Timeline'!K$7:K$19,0))</x:f>
        <x:v>60</x:v>
      </x:c>
      <x:c r="I13" s="35" t="n">
        <x:f>SUMIFS('Cell Delivery'!$L$7:$L$12,'Cell Delivery'!$C$7:$C$12,"&lt;&gt;"&amp;D13,'Cell Delivery'!$C$7:$C$12,"&lt;&gt;"&amp;E13)</x:f>
        <x:v>1.2</x:v>
      </x:c>
      <x:c r="J13" s="31" t="str">
        <x:f>IF(I13&gt;=1,"CLOSE","FAIL")</x:f>
        <x:v>CLOSE</x:v>
      </x:c>
      <x:c r="K13" s="31" t="str">
        <x:f>IF(H13&lt;=Controls!$D$11,"PASS","FAIL")</x:f>
        <x:v>PASS</x:v>
      </x:c>
      <x:c r="L13" s="49"/>
      <x:c r="M13" s="49"/>
      <x:c r="N13" s="49"/>
      <x:c r="O13" s="49"/>
      <x:c r="P13" s="49"/>
      <x:c r="Q13" s="49"/>
    </x:row>
    <x:row r="14">
      <x:c r="C14" s="21" t="str">
        <x:v>N2-08</x:v>
      </x:c>
      <x:c r="D14" s="21" t="str">
        <x:v>U-S</x:v>
      </x:c>
      <x:c r="E14" s="21" t="str">
        <x:v>O-N</x:v>
      </x:c>
      <x:c r="F14" s="31" t="n">
        <x:f>Controls!$D$8-2</x:f>
        <x:v>4</x:v>
      </x:c>
      <x:c r="G14" s="35" t="n">
        <x:f>F14*Controls!$D$9</x:f>
        <x:v>1.2</x:v>
      </x:c>
      <x:c r="H14" s="31" t="n">
        <x:f>INDEX('Pair-Loss Timeline'!$D$7:$D$19,MATCH(1,'Pair-Loss Timeline'!L$7:L$19,0))</x:f>
        <x:v>60</x:v>
      </x:c>
      <x:c r="I14" s="35" t="n">
        <x:f>SUMIFS('Cell Delivery'!$L$7:$L$12,'Cell Delivery'!$C$7:$C$12,"&lt;&gt;"&amp;D14,'Cell Delivery'!$C$7:$C$12,"&lt;&gt;"&amp;E14)</x:f>
        <x:v>1.2</x:v>
      </x:c>
      <x:c r="J14" s="31" t="str">
        <x:f>IF(I14&gt;=1,"CLOSE","FAIL")</x:f>
        <x:v>CLOSE</x:v>
      </x:c>
      <x:c r="K14" s="31" t="str">
        <x:f>IF(H14&lt;=Controls!$D$11,"PASS","FAIL")</x:f>
        <x:v>PASS</x:v>
      </x:c>
      <x:c r="L14" s="49"/>
      <x:c r="M14" s="49"/>
      <x:c r="N14" s="49"/>
      <x:c r="O14" s="49"/>
      <x:c r="P14" s="49"/>
      <x:c r="Q14" s="49"/>
    </x:row>
    <x:row r="15">
      <x:c r="C15" s="21" t="str">
        <x:v>N2-09</x:v>
      </x:c>
      <x:c r="D15" s="21" t="str">
        <x:v>U-S</x:v>
      </x:c>
      <x:c r="E15" s="21" t="str">
        <x:v>O-S</x:v>
      </x:c>
      <x:c r="F15" s="31" t="n">
        <x:f>Controls!$D$8-2</x:f>
        <x:v>4</x:v>
      </x:c>
      <x:c r="G15" s="35" t="n">
        <x:f>F15*Controls!$D$9</x:f>
        <x:v>1.2</x:v>
      </x:c>
      <x:c r="H15" s="31" t="n">
        <x:f>INDEX('Pair-Loss Timeline'!$D$7:$D$19,MATCH(1,'Pair-Loss Timeline'!M$7:M$19,0))</x:f>
        <x:v>60</x:v>
      </x:c>
      <x:c r="I15" s="35" t="n">
        <x:f>SUMIFS('Cell Delivery'!$L$7:$L$12,'Cell Delivery'!$C$7:$C$12,"&lt;&gt;"&amp;D15,'Cell Delivery'!$C$7:$C$12,"&lt;&gt;"&amp;E15)</x:f>
        <x:v>1.2</x:v>
      </x:c>
      <x:c r="J15" s="31" t="str">
        <x:f>IF(I15&gt;=1,"CLOSE","FAIL")</x:f>
        <x:v>CLOSE</x:v>
      </x:c>
      <x:c r="K15" s="31" t="str">
        <x:f>IF(H15&lt;=Controls!$D$11,"PASS","FAIL")</x:f>
        <x:v>PASS</x:v>
      </x:c>
      <x:c r="L15" s="49"/>
      <x:c r="M15" s="49"/>
      <x:c r="N15" s="49"/>
      <x:c r="O15" s="49"/>
      <x:c r="P15" s="49"/>
      <x:c r="Q15" s="49"/>
    </x:row>
    <x:row r="16">
      <x:c r="C16" s="21" t="str">
        <x:v>N2-10</x:v>
      </x:c>
      <x:c r="D16" s="21" t="str">
        <x:v>A-N</x:v>
      </x:c>
      <x:c r="E16" s="21" t="str">
        <x:v>A-S</x:v>
      </x:c>
      <x:c r="F16" s="31" t="n">
        <x:f>Controls!$D$8-2</x:f>
        <x:v>4</x:v>
      </x:c>
      <x:c r="G16" s="35" t="n">
        <x:f>F16*Controls!$D$9</x:f>
        <x:v>1.2</x:v>
      </x:c>
      <x:c r="H16" s="31" t="n">
        <x:f>INDEX('Pair-Loss Timeline'!$D$7:$D$19,MATCH(1,'Pair-Loss Timeline'!N$7:N$19,0))</x:f>
        <x:v>54</x:v>
      </x:c>
      <x:c r="I16" s="35" t="n">
        <x:f>SUMIFS('Cell Delivery'!$L$7:$L$12,'Cell Delivery'!$C$7:$C$12,"&lt;&gt;"&amp;D16,'Cell Delivery'!$C$7:$C$12,"&lt;&gt;"&amp;E16)</x:f>
        <x:v>1.2</x:v>
      </x:c>
      <x:c r="J16" s="31" t="str">
        <x:f>IF(I16&gt;=1,"CLOSE","FAIL")</x:f>
        <x:v>CLOSE</x:v>
      </x:c>
      <x:c r="K16" s="31" t="str">
        <x:f>IF(H16&lt;=Controls!$D$11,"PASS","FAIL")</x:f>
        <x:v>PASS</x:v>
      </x:c>
      <x:c r="L16" s="49"/>
      <x:c r="M16" s="49"/>
      <x:c r="N16" s="49"/>
      <x:c r="O16" s="49"/>
      <x:c r="P16" s="49"/>
      <x:c r="Q16" s="49"/>
    </x:row>
    <x:row r="17">
      <x:c r="C17" s="21" t="str">
        <x:v>N2-11</x:v>
      </x:c>
      <x:c r="D17" s="21" t="str">
        <x:v>A-N</x:v>
      </x:c>
      <x:c r="E17" s="21" t="str">
        <x:v>O-N</x:v>
      </x:c>
      <x:c r="F17" s="31" t="n">
        <x:f>Controls!$D$8-2</x:f>
        <x:v>4</x:v>
      </x:c>
      <x:c r="G17" s="35" t="n">
        <x:f>F17*Controls!$D$9</x:f>
        <x:v>1.2</x:v>
      </x:c>
      <x:c r="H17" s="31" t="n">
        <x:f>INDEX('Pair-Loss Timeline'!$D$7:$D$19,MATCH(1,'Pair-Loss Timeline'!O$7:O$19,0))</x:f>
        <x:v>54</x:v>
      </x:c>
      <x:c r="I17" s="35" t="n">
        <x:f>SUMIFS('Cell Delivery'!$L$7:$L$12,'Cell Delivery'!$C$7:$C$12,"&lt;&gt;"&amp;D17,'Cell Delivery'!$C$7:$C$12,"&lt;&gt;"&amp;E17)</x:f>
        <x:v>1.2</x:v>
      </x:c>
      <x:c r="J17" s="31" t="str">
        <x:f>IF(I17&gt;=1,"CLOSE","FAIL")</x:f>
        <x:v>CLOSE</x:v>
      </x:c>
      <x:c r="K17" s="31" t="str">
        <x:f>IF(H17&lt;=Controls!$D$11,"PASS","FAIL")</x:f>
        <x:v>PASS</x:v>
      </x:c>
      <x:c r="L17" s="49"/>
      <x:c r="M17" s="49"/>
      <x:c r="N17" s="49"/>
      <x:c r="O17" s="49"/>
      <x:c r="P17" s="49"/>
      <x:c r="Q17" s="49"/>
    </x:row>
    <x:row r="18">
      <x:c r="C18" s="21" t="str">
        <x:v>N2-12</x:v>
      </x:c>
      <x:c r="D18" s="21" t="str">
        <x:v>A-N</x:v>
      </x:c>
      <x:c r="E18" s="21" t="str">
        <x:v>O-S</x:v>
      </x:c>
      <x:c r="F18" s="31" t="n">
        <x:f>Controls!$D$8-2</x:f>
        <x:v>4</x:v>
      </x:c>
      <x:c r="G18" s="35" t="n">
        <x:f>F18*Controls!$D$9</x:f>
        <x:v>1.2</x:v>
      </x:c>
      <x:c r="H18" s="31" t="n">
        <x:f>INDEX('Pair-Loss Timeline'!$D$7:$D$19,MATCH(1,'Pair-Loss Timeline'!P$7:P$19,0))</x:f>
        <x:v>54</x:v>
      </x:c>
      <x:c r="I18" s="35" t="n">
        <x:f>SUMIFS('Cell Delivery'!$L$7:$L$12,'Cell Delivery'!$C$7:$C$12,"&lt;&gt;"&amp;D18,'Cell Delivery'!$C$7:$C$12,"&lt;&gt;"&amp;E18)</x:f>
        <x:v>1.2</x:v>
      </x:c>
      <x:c r="J18" s="31" t="str">
        <x:f>IF(I18&gt;=1,"CLOSE","FAIL")</x:f>
        <x:v>CLOSE</x:v>
      </x:c>
      <x:c r="K18" s="31" t="str">
        <x:f>IF(H18&lt;=Controls!$D$11,"PASS","FAIL")</x:f>
        <x:v>PASS</x:v>
      </x:c>
      <x:c r="L18" s="49"/>
      <x:c r="M18" s="49"/>
      <x:c r="N18" s="49"/>
      <x:c r="O18" s="49"/>
      <x:c r="P18" s="49"/>
      <x:c r="Q18" s="49"/>
    </x:row>
    <x:row r="19">
      <x:c r="C19" s="21" t="str">
        <x:v>N2-13</x:v>
      </x:c>
      <x:c r="D19" s="21" t="str">
        <x:v>A-S</x:v>
      </x:c>
      <x:c r="E19" s="21" t="str">
        <x:v>O-N</x:v>
      </x:c>
      <x:c r="F19" s="31" t="n">
        <x:f>Controls!$D$8-2</x:f>
        <x:v>4</x:v>
      </x:c>
      <x:c r="G19" s="35" t="n">
        <x:f>F19*Controls!$D$9</x:f>
        <x:v>1.2</x:v>
      </x:c>
      <x:c r="H19" s="31" t="n">
        <x:f>INDEX('Pair-Loss Timeline'!$D$7:$D$19,MATCH(1,'Pair-Loss Timeline'!Q$7:Q$19,0))</x:f>
        <x:v>54</x:v>
      </x:c>
      <x:c r="I19" s="35" t="n">
        <x:f>SUMIFS('Cell Delivery'!$L$7:$L$12,'Cell Delivery'!$C$7:$C$12,"&lt;&gt;"&amp;D19,'Cell Delivery'!$C$7:$C$12,"&lt;&gt;"&amp;E19)</x:f>
        <x:v>1.2</x:v>
      </x:c>
      <x:c r="J19" s="31" t="str">
        <x:f>IF(I19&gt;=1,"CLOSE","FAIL")</x:f>
        <x:v>CLOSE</x:v>
      </x:c>
      <x:c r="K19" s="31" t="str">
        <x:f>IF(H19&lt;=Controls!$D$11,"PASS","FAIL")</x:f>
        <x:v>PASS</x:v>
      </x:c>
      <x:c r="L19" s="49"/>
      <x:c r="M19" s="49"/>
      <x:c r="N19" s="49"/>
      <x:c r="O19" s="49"/>
      <x:c r="P19" s="49"/>
      <x:c r="Q19" s="49"/>
    </x:row>
    <x:row r="20">
      <x:c r="C20" s="21" t="str">
        <x:v>N2-14</x:v>
      </x:c>
      <x:c r="D20" s="21" t="str">
        <x:v>A-S</x:v>
      </x:c>
      <x:c r="E20" s="21" t="str">
        <x:v>O-S</x:v>
      </x:c>
      <x:c r="F20" s="31" t="n">
        <x:f>Controls!$D$8-2</x:f>
        <x:v>4</x:v>
      </x:c>
      <x:c r="G20" s="35" t="n">
        <x:f>F20*Controls!$D$9</x:f>
        <x:v>1.2</x:v>
      </x:c>
      <x:c r="H20" s="31" t="n">
        <x:f>INDEX('Pair-Loss Timeline'!$D$7:$D$19,MATCH(1,'Pair-Loss Timeline'!R$7:R$19,0))</x:f>
        <x:v>54</x:v>
      </x:c>
      <x:c r="I20" s="35" t="n">
        <x:f>SUMIFS('Cell Delivery'!$L$7:$L$12,'Cell Delivery'!$C$7:$C$12,"&lt;&gt;"&amp;D20,'Cell Delivery'!$C$7:$C$12,"&lt;&gt;"&amp;E20)</x:f>
        <x:v>1.2</x:v>
      </x:c>
      <x:c r="J20" s="31" t="str">
        <x:f>IF(I20&gt;=1,"CLOSE","FAIL")</x:f>
        <x:v>CLOSE</x:v>
      </x:c>
      <x:c r="K20" s="31" t="str">
        <x:f>IF(H20&lt;=Controls!$D$11,"PASS","FAIL")</x:f>
        <x:v>PASS</x:v>
      </x:c>
      <x:c r="L20" s="49"/>
      <x:c r="M20" s="49"/>
      <x:c r="N20" s="49"/>
      <x:c r="O20" s="49"/>
      <x:c r="P20" s="49"/>
      <x:c r="Q20" s="49"/>
    </x:row>
    <x:row r="21">
      <x:c r="C21" s="21" t="str">
        <x:v>N2-15</x:v>
      </x:c>
      <x:c r="D21" s="21" t="str">
        <x:v>O-N</x:v>
      </x:c>
      <x:c r="E21" s="21" t="str">
        <x:v>O-S</x:v>
      </x:c>
      <x:c r="F21" s="31" t="n">
        <x:f>Controls!$D$8-2</x:f>
        <x:v>4</x:v>
      </x:c>
      <x:c r="G21" s="35" t="n">
        <x:f>F21*Controls!$D$9</x:f>
        <x:v>1.2</x:v>
      </x:c>
      <x:c r="H21" s="31" t="n">
        <x:f>INDEX('Pair-Loss Timeline'!$D$7:$D$19,MATCH(1,'Pair-Loss Timeline'!S$7:S$19,0))</x:f>
        <x:v>48</x:v>
      </x:c>
      <x:c r="I21" s="35" t="n">
        <x:f>SUMIFS('Cell Delivery'!$L$7:$L$12,'Cell Delivery'!$C$7:$C$12,"&lt;&gt;"&amp;D21,'Cell Delivery'!$C$7:$C$12,"&lt;&gt;"&amp;E21)</x:f>
        <x:v>1.2</x:v>
      </x:c>
      <x:c r="J21" s="31" t="str">
        <x:f>IF(I21&gt;=1,"CLOSE","FAIL")</x:f>
        <x:v>CLOSE</x:v>
      </x:c>
      <x:c r="K21" s="31" t="str">
        <x:f>IF(H21&lt;=Controls!$D$11,"PASS","FAIL")</x:f>
        <x:v>PASS</x:v>
      </x:c>
      <x:c r="L21" s="49"/>
      <x:c r="M21" s="49"/>
      <x:c r="N21" s="49"/>
      <x:c r="O21" s="49"/>
      <x:c r="P21" s="49"/>
      <x:c r="Q21" s="49"/>
    </x:row>
  </x:sheetData>
  <x:mergeCells>
    <x:mergeCell ref="C2:Q2"/>
    <x:mergeCell ref="C3:Q3"/>
  </x:mergeCells>
  <x:conditionalFormatting sqref="J7:K21">
    <x:cfRule type="containsText" dxfId="20" priority="1" operator="containsText" text="PASS"/>
    <x:cfRule type="containsText" dxfId="21" priority="2" operator="containsText" text="CLOSE"/>
    <x:cfRule type="containsText" dxfId="22" priority="3" operator="containsText" text="FAIL"/>
    <x:cfRule type="containsText" dxfId="23" priority="4" operator="containsText" text="OPEN"/>
    <x:cfRule type="containsText" dxfId="24" priority="5" operator="containsText" text="BLOCKED"/>
  </x:conditionalFormatting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4" max="4" width="10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</x:cols>
  <x:sheetData>
    <x:row r="2" ht="24" customHeight="1">
      <x:c r="C2" s="47" t="str">
        <x:v>Pair-Loss Service Timeline</x:v>
      </x:c>
      <x:c r="D2" s="47"/>
      <x:c r="E2" s="47"/>
      <x:c r="F2" s="47"/>
      <x:c r="G2" s="47"/>
      <x:c r="H2" s="47"/>
      <x:c r="I2" s="47"/>
      <x:c r="J2" s="47"/>
      <x:c r="K2" s="47"/>
      <x:c r="L2" s="47"/>
      <x:c r="M2" s="47"/>
      <x:c r="N2" s="47"/>
      <x:c r="O2" s="47"/>
      <x:c r="P2" s="47"/>
      <x:c r="Q2" s="47"/>
      <x:c r="R2" s="47"/>
      <x:c r="S2" s="47"/>
      <x:c r="T2" s="47"/>
      <x:c r="U2" s="47"/>
      <x:c r="V2" s="47"/>
    </x:row>
    <x:row r="3" ht="32" customHeight="1">
      <x:c r="C3" s="48" t="str">
        <x:v>Each cell's service contribution rises in direct proportion to uniformly mixed kernel mass delivered. This assumption is an explicit handling-technology requirement.</x:v>
      </x:c>
      <x:c r="D3" s="48"/>
      <x:c r="E3" s="48"/>
      <x:c r="F3" s="48"/>
      <x:c r="G3" s="48"/>
      <x:c r="H3" s="48"/>
      <x:c r="I3" s="48"/>
      <x:c r="J3" s="48"/>
      <x:c r="K3" s="48"/>
      <x:c r="L3" s="48"/>
      <x:c r="M3" s="48"/>
      <x:c r="N3" s="48"/>
      <x:c r="O3" s="48"/>
      <x:c r="P3" s="48"/>
      <x:c r="Q3" s="48"/>
      <x:c r="R3" s="48"/>
      <x:c r="S3" s="48"/>
      <x:c r="T3" s="48"/>
      <x:c r="U3" s="48"/>
      <x:c r="V3" s="48"/>
    </x:row>
    <x:row r="4">
      <x:c r="C4" s="49"/>
      <x:c r="D4" s="49"/>
      <x:c r="E4" s="49"/>
      <x:c r="F4" s="49"/>
      <x:c r="G4" s="49"/>
      <x:c r="H4" s="49"/>
      <x:c r="I4" s="49"/>
      <x:c r="J4" s="49"/>
      <x:c r="K4" s="49"/>
      <x:c r="L4" s="49"/>
      <x:c r="M4" s="49"/>
      <x:c r="N4" s="49"/>
      <x:c r="O4" s="49"/>
      <x:c r="P4" s="49"/>
      <x:c r="Q4" s="49"/>
      <x:c r="R4" s="49"/>
      <x:c r="S4" s="49"/>
      <x:c r="T4" s="49"/>
      <x:c r="U4" s="49"/>
      <x:c r="V4" s="49"/>
    </x:row>
    <x:row r="5">
      <x:c r="C5" s="49"/>
      <x:c r="D5" s="49"/>
      <x:c r="E5" s="49"/>
      <x:c r="F5" s="49"/>
      <x:c r="G5" s="49"/>
      <x:c r="H5" s="49"/>
      <x:c r="I5" s="49"/>
      <x:c r="J5" s="49"/>
      <x:c r="K5" s="49"/>
      <x:c r="L5" s="49"/>
      <x:c r="M5" s="49"/>
      <x:c r="N5" s="49"/>
      <x:c r="O5" s="49"/>
      <x:c r="P5" s="49"/>
      <x:c r="Q5" s="49"/>
      <x:c r="R5" s="49"/>
      <x:c r="S5" s="49"/>
      <x:c r="T5" s="49"/>
      <x:c r="U5" s="49"/>
      <x:c r="V5" s="49"/>
    </x:row>
    <x:row r="6">
      <x:c r="C6" s="49"/>
      <x:c r="D6" s="16" t="str">
        <x:v>Hour</x:v>
      </x:c>
      <x:c r="E6" s="17" t="str">
        <x:v>N2-01 U-N+U-S</x:v>
      </x:c>
      <x:c r="F6" s="17" t="str">
        <x:v>N2-02 U-N+A-N</x:v>
      </x:c>
      <x:c r="G6" s="17" t="str">
        <x:v>N2-03 U-N+A-S</x:v>
      </x:c>
      <x:c r="H6" s="17" t="str">
        <x:v>N2-04 U-N+O-N</x:v>
      </x:c>
      <x:c r="I6" s="17" t="str">
        <x:v>N2-05 U-N+O-S</x:v>
      </x:c>
      <x:c r="J6" s="17" t="str">
        <x:v>N2-06 U-S+A-N</x:v>
      </x:c>
      <x:c r="K6" s="17" t="str">
        <x:v>N2-07 U-S+A-S</x:v>
      </x:c>
      <x:c r="L6" s="17" t="str">
        <x:v>N2-08 U-S+O-N</x:v>
      </x:c>
      <x:c r="M6" s="17" t="str">
        <x:v>N2-09 U-S+O-S</x:v>
      </x:c>
      <x:c r="N6" s="17" t="str">
        <x:v>N2-10 A-N+A-S</x:v>
      </x:c>
      <x:c r="O6" s="17" t="str">
        <x:v>N2-11 A-N+O-N</x:v>
      </x:c>
      <x:c r="P6" s="17" t="str">
        <x:v>N2-12 A-N+O-S</x:v>
      </x:c>
      <x:c r="Q6" s="17" t="str">
        <x:v>N2-13 A-S+O-N</x:v>
      </x:c>
      <x:c r="R6" s="17" t="str">
        <x:v>N2-14 A-S+O-S</x:v>
      </x:c>
      <x:c r="S6" s="18" t="str">
        <x:v>N2-15 O-N+O-S</x:v>
      </x:c>
      <x:c r="T6" s="49"/>
      <x:c r="U6" s="49"/>
      <x:c r="V6" s="49"/>
    </x:row>
    <x:row r="7">
      <x:c r="C7" s="49"/>
      <x:c r="D7" s="21" t="n">
        <x:v>0</x:v>
      </x:c>
      <x:c r="E7" s="36" t="n">
        <x:f>IF((0+0+MIN(1,MAX(0,($D7-'Cell Delivery'!$E$9)/('Cell Delivery'!$I$9-'Cell Delivery'!$E$9)))*Controls!$D$9+MIN(1,MAX(0,($D7-'Cell Delivery'!$E$10)/('Cell Delivery'!$I$10-'Cell Delivery'!$E$10)))*Controls!$D$9+MIN(1,MAX(0,($D7-'Cell Delivery'!$E$11)/('Cell Delivery'!$I$11-'Cell Delivery'!$E$11)))*Controls!$D$9+MIN(1,MAX(0,($D7-'Cell Delivery'!$E$12)/('Cell Delivery'!$I$12-'Cell Delivery'!$E$12)))*Controls!$D$9)&gt;=1,1,0)</x:f>
        <x:v>0</x:v>
      </x:c>
      <x:c r="F7" s="36" t="n">
        <x:f>IF((0+MIN(1,MAX(0,($D7-'Cell Delivery'!$E$8)/('Cell Delivery'!$I$8-'Cell Delivery'!$E$8)))*Controls!$D$9+0+MIN(1,MAX(0,($D7-'Cell Delivery'!$E$10)/('Cell Delivery'!$I$10-'Cell Delivery'!$E$10)))*Controls!$D$9+MIN(1,MAX(0,($D7-'Cell Delivery'!$E$11)/('Cell Delivery'!$I$11-'Cell Delivery'!$E$11)))*Controls!$D$9+MIN(1,MAX(0,($D7-'Cell Delivery'!$E$12)/('Cell Delivery'!$I$12-'Cell Delivery'!$E$12)))*Controls!$D$9)&gt;=1,1,0)</x:f>
        <x:v>0</x:v>
      </x:c>
      <x:c r="G7" s="36" t="n">
        <x:f>IF((0+MIN(1,MAX(0,($D7-'Cell Delivery'!$E$8)/('Cell Delivery'!$I$8-'Cell Delivery'!$E$8)))*Controls!$D$9+MIN(1,MAX(0,($D7-'Cell Delivery'!$E$9)/('Cell Delivery'!$I$9-'Cell Delivery'!$E$9)))*Controls!$D$9+0+MIN(1,MAX(0,($D7-'Cell Delivery'!$E$11)/('Cell Delivery'!$I$11-'Cell Delivery'!$E$11)))*Controls!$D$9+MIN(1,MAX(0,($D7-'Cell Delivery'!$E$12)/('Cell Delivery'!$I$12-'Cell Delivery'!$E$12)))*Controls!$D$9)&gt;=1,1,0)</x:f>
        <x:v>0</x:v>
      </x:c>
      <x:c r="H7" s="36" t="n">
        <x:f>IF((0+MIN(1,MAX(0,($D7-'Cell Delivery'!$E$8)/('Cell Delivery'!$I$8-'Cell Delivery'!$E$8)))*Controls!$D$9+MIN(1,MAX(0,($D7-'Cell Delivery'!$E$9)/('Cell Delivery'!$I$9-'Cell Delivery'!$E$9)))*Controls!$D$9+MIN(1,MAX(0,($D7-'Cell Delivery'!$E$10)/('Cell Delivery'!$I$10-'Cell Delivery'!$E$10)))*Controls!$D$9+0+MIN(1,MAX(0,($D7-'Cell Delivery'!$E$12)/('Cell Delivery'!$I$12-'Cell Delivery'!$E$12)))*Controls!$D$9)&gt;=1,1,0)</x:f>
        <x:v>0</x:v>
      </x:c>
      <x:c r="I7" s="36" t="n">
        <x:f>IF((0+MIN(1,MAX(0,($D7-'Cell Delivery'!$E$8)/('Cell Delivery'!$I$8-'Cell Delivery'!$E$8)))*Controls!$D$9+MIN(1,MAX(0,($D7-'Cell Delivery'!$E$9)/('Cell Delivery'!$I$9-'Cell Delivery'!$E$9)))*Controls!$D$9+MIN(1,MAX(0,($D7-'Cell Delivery'!$E$10)/('Cell Delivery'!$I$10-'Cell Delivery'!$E$10)))*Controls!$D$9+MIN(1,MAX(0,($D7-'Cell Delivery'!$E$11)/('Cell Delivery'!$I$11-'Cell Delivery'!$E$11)))*Controls!$D$9+0)&gt;=1,1,0)</x:f>
        <x:v>0</x:v>
      </x:c>
      <x:c r="J7" s="36" t="n">
        <x:f>IF((MIN(1,MAX(0,($D7-'Cell Delivery'!$E$7)/('Cell Delivery'!$I$7-'Cell Delivery'!$E$7)))*Controls!$D$9+0+0+MIN(1,MAX(0,($D7-'Cell Delivery'!$E$10)/('Cell Delivery'!$I$10-'Cell Delivery'!$E$10)))*Controls!$D$9+MIN(1,MAX(0,($D7-'Cell Delivery'!$E$11)/('Cell Delivery'!$I$11-'Cell Delivery'!$E$11)))*Controls!$D$9+MIN(1,MAX(0,($D7-'Cell Delivery'!$E$12)/('Cell Delivery'!$I$12-'Cell Delivery'!$E$12)))*Controls!$D$9)&gt;=1,1,0)</x:f>
        <x:v>0</x:v>
      </x:c>
      <x:c r="K7" s="36" t="n">
        <x:f>IF((MIN(1,MAX(0,($D7-'Cell Delivery'!$E$7)/('Cell Delivery'!$I$7-'Cell Delivery'!$E$7)))*Controls!$D$9+0+MIN(1,MAX(0,($D7-'Cell Delivery'!$E$9)/('Cell Delivery'!$I$9-'Cell Delivery'!$E$9)))*Controls!$D$9+0+MIN(1,MAX(0,($D7-'Cell Delivery'!$E$11)/('Cell Delivery'!$I$11-'Cell Delivery'!$E$11)))*Controls!$D$9+MIN(1,MAX(0,($D7-'Cell Delivery'!$E$12)/('Cell Delivery'!$I$12-'Cell Delivery'!$E$12)))*Controls!$D$9)&gt;=1,1,0)</x:f>
        <x:v>0</x:v>
      </x:c>
      <x:c r="L7" s="36" t="n">
        <x:f>IF((MIN(1,MAX(0,($D7-'Cell Delivery'!$E$7)/('Cell Delivery'!$I$7-'Cell Delivery'!$E$7)))*Controls!$D$9+0+MIN(1,MAX(0,($D7-'Cell Delivery'!$E$9)/('Cell Delivery'!$I$9-'Cell Delivery'!$E$9)))*Controls!$D$9+MIN(1,MAX(0,($D7-'Cell Delivery'!$E$10)/('Cell Delivery'!$I$10-'Cell Delivery'!$E$10)))*Controls!$D$9+0+MIN(1,MAX(0,($D7-'Cell Delivery'!$E$12)/('Cell Delivery'!$I$12-'Cell Delivery'!$E$12)))*Controls!$D$9)&gt;=1,1,0)</x:f>
        <x:v>0</x:v>
      </x:c>
      <x:c r="M7" s="36" t="n">
        <x:f>IF((MIN(1,MAX(0,($D7-'Cell Delivery'!$E$7)/('Cell Delivery'!$I$7-'Cell Delivery'!$E$7)))*Controls!$D$9+0+MIN(1,MAX(0,($D7-'Cell Delivery'!$E$9)/('Cell Delivery'!$I$9-'Cell Delivery'!$E$9)))*Controls!$D$9+MIN(1,MAX(0,($D7-'Cell Delivery'!$E$10)/('Cell Delivery'!$I$10-'Cell Delivery'!$E$10)))*Controls!$D$9+MIN(1,MAX(0,($D7-'Cell Delivery'!$E$11)/('Cell Delivery'!$I$11-'Cell Delivery'!$E$11)))*Controls!$D$9+0)&gt;=1,1,0)</x:f>
        <x:v>0</x:v>
      </x:c>
      <x:c r="N7" s="36" t="n">
        <x:f>IF((MIN(1,MAX(0,($D7-'Cell Delivery'!$E$7)/('Cell Delivery'!$I$7-'Cell Delivery'!$E$7)))*Controls!$D$9+MIN(1,MAX(0,($D7-'Cell Delivery'!$E$8)/('Cell Delivery'!$I$8-'Cell Delivery'!$E$8)))*Controls!$D$9+0+0+MIN(1,MAX(0,($D7-'Cell Delivery'!$E$11)/('Cell Delivery'!$I$11-'Cell Delivery'!$E$11)))*Controls!$D$9+MIN(1,MAX(0,($D7-'Cell Delivery'!$E$12)/('Cell Delivery'!$I$12-'Cell Delivery'!$E$12)))*Controls!$D$9)&gt;=1,1,0)</x:f>
        <x:v>0</x:v>
      </x:c>
      <x:c r="O7" s="36" t="n">
        <x:f>IF((MIN(1,MAX(0,($D7-'Cell Delivery'!$E$7)/('Cell Delivery'!$I$7-'Cell Delivery'!$E$7)))*Controls!$D$9+MIN(1,MAX(0,($D7-'Cell Delivery'!$E$8)/('Cell Delivery'!$I$8-'Cell Delivery'!$E$8)))*Controls!$D$9+0+MIN(1,MAX(0,($D7-'Cell Delivery'!$E$10)/('Cell Delivery'!$I$10-'Cell Delivery'!$E$10)))*Controls!$D$9+0+MIN(1,MAX(0,($D7-'Cell Delivery'!$E$12)/('Cell Delivery'!$I$12-'Cell Delivery'!$E$12)))*Controls!$D$9)&gt;=1,1,0)</x:f>
        <x:v>0</x:v>
      </x:c>
      <x:c r="P7" s="36" t="n">
        <x:f>IF((MIN(1,MAX(0,($D7-'Cell Delivery'!$E$7)/('Cell Delivery'!$I$7-'Cell Delivery'!$E$7)))*Controls!$D$9+MIN(1,MAX(0,($D7-'Cell Delivery'!$E$8)/('Cell Delivery'!$I$8-'Cell Delivery'!$E$8)))*Controls!$D$9+0+MIN(1,MAX(0,($D7-'Cell Delivery'!$E$10)/('Cell Delivery'!$I$10-'Cell Delivery'!$E$10)))*Controls!$D$9+MIN(1,MAX(0,($D7-'Cell Delivery'!$E$11)/('Cell Delivery'!$I$11-'Cell Delivery'!$E$11)))*Controls!$D$9+0)&gt;=1,1,0)</x:f>
        <x:v>0</x:v>
      </x:c>
      <x:c r="Q7" s="36" t="n">
        <x:f>IF((MIN(1,MAX(0,($D7-'Cell Delivery'!$E$7)/('Cell Delivery'!$I$7-'Cell Delivery'!$E$7)))*Controls!$D$9+MIN(1,MAX(0,($D7-'Cell Delivery'!$E$8)/('Cell Delivery'!$I$8-'Cell Delivery'!$E$8)))*Controls!$D$9+MIN(1,MAX(0,($D7-'Cell Delivery'!$E$9)/('Cell Delivery'!$I$9-'Cell Delivery'!$E$9)))*Controls!$D$9+0+0+MIN(1,MAX(0,($D7-'Cell Delivery'!$E$12)/('Cell Delivery'!$I$12-'Cell Delivery'!$E$12)))*Controls!$D$9)&gt;=1,1,0)</x:f>
        <x:v>0</x:v>
      </x:c>
      <x:c r="R7" s="36" t="n">
        <x:f>IF((MIN(1,MAX(0,($D7-'Cell Delivery'!$E$7)/('Cell Delivery'!$I$7-'Cell Delivery'!$E$7)))*Controls!$D$9+MIN(1,MAX(0,($D7-'Cell Delivery'!$E$8)/('Cell Delivery'!$I$8-'Cell Delivery'!$E$8)))*Controls!$D$9+MIN(1,MAX(0,($D7-'Cell Delivery'!$E$9)/('Cell Delivery'!$I$9-'Cell Delivery'!$E$9)))*Controls!$D$9+0+MIN(1,MAX(0,($D7-'Cell Delivery'!$E$11)/('Cell Delivery'!$I$11-'Cell Delivery'!$E$11)))*Controls!$D$9+0)&gt;=1,1,0)</x:f>
        <x:v>0</x:v>
      </x:c>
      <x:c r="S7" s="36" t="n">
        <x:f>IF((MIN(1,MAX(0,($D7-'Cell Delivery'!$E$7)/('Cell Delivery'!$I$7-'Cell Delivery'!$E$7)))*Controls!$D$9+MIN(1,MAX(0,($D7-'Cell Delivery'!$E$8)/('Cell Delivery'!$I$8-'Cell Delivery'!$E$8)))*Controls!$D$9+MIN(1,MAX(0,($D7-'Cell Delivery'!$E$9)/('Cell Delivery'!$I$9-'Cell Delivery'!$E$9)))*Controls!$D$9+MIN(1,MAX(0,($D7-'Cell Delivery'!$E$10)/('Cell Delivery'!$I$10-'Cell Delivery'!$E$10)))*Controls!$D$9+0+0)&gt;=1,1,0)</x:f>
        <x:v>0</x:v>
      </x:c>
      <x:c r="T7" s="49"/>
      <x:c r="U7" s="49"/>
      <x:c r="V7" s="49"/>
    </x:row>
    <x:row r="8">
      <x:c r="C8" s="49"/>
      <x:c r="D8" s="21" t="n">
        <x:v>6</x:v>
      </x:c>
      <x:c r="E8" s="36" t="n">
        <x:f>IF((0+0+MIN(1,MAX(0,($D8-'Cell Delivery'!$E$9)/('Cell Delivery'!$I$9-'Cell Delivery'!$E$9)))*Controls!$D$9+MIN(1,MAX(0,($D8-'Cell Delivery'!$E$10)/('Cell Delivery'!$I$10-'Cell Delivery'!$E$10)))*Controls!$D$9+MIN(1,MAX(0,($D8-'Cell Delivery'!$E$11)/('Cell Delivery'!$I$11-'Cell Delivery'!$E$11)))*Controls!$D$9+MIN(1,MAX(0,($D8-'Cell Delivery'!$E$12)/('Cell Delivery'!$I$12-'Cell Delivery'!$E$12)))*Controls!$D$9)&gt;=1,1,0)</x:f>
        <x:v>0</x:v>
      </x:c>
      <x:c r="F8" s="36" t="n">
        <x:f>IF((0+MIN(1,MAX(0,($D8-'Cell Delivery'!$E$8)/('Cell Delivery'!$I$8-'Cell Delivery'!$E$8)))*Controls!$D$9+0+MIN(1,MAX(0,($D8-'Cell Delivery'!$E$10)/('Cell Delivery'!$I$10-'Cell Delivery'!$E$10)))*Controls!$D$9+MIN(1,MAX(0,($D8-'Cell Delivery'!$E$11)/('Cell Delivery'!$I$11-'Cell Delivery'!$E$11)))*Controls!$D$9+MIN(1,MAX(0,($D8-'Cell Delivery'!$E$12)/('Cell Delivery'!$I$12-'Cell Delivery'!$E$12)))*Controls!$D$9)&gt;=1,1,0)</x:f>
        <x:v>0</x:v>
      </x:c>
      <x:c r="G8" s="36" t="n">
        <x:f>IF((0+MIN(1,MAX(0,($D8-'Cell Delivery'!$E$8)/('Cell Delivery'!$I$8-'Cell Delivery'!$E$8)))*Controls!$D$9+MIN(1,MAX(0,($D8-'Cell Delivery'!$E$9)/('Cell Delivery'!$I$9-'Cell Delivery'!$E$9)))*Controls!$D$9+0+MIN(1,MAX(0,($D8-'Cell Delivery'!$E$11)/('Cell Delivery'!$I$11-'Cell Delivery'!$E$11)))*Controls!$D$9+MIN(1,MAX(0,($D8-'Cell Delivery'!$E$12)/('Cell Delivery'!$I$12-'Cell Delivery'!$E$12)))*Controls!$D$9)&gt;=1,1,0)</x:f>
        <x:v>0</x:v>
      </x:c>
      <x:c r="H8" s="36" t="n">
        <x:f>IF((0+MIN(1,MAX(0,($D8-'Cell Delivery'!$E$8)/('Cell Delivery'!$I$8-'Cell Delivery'!$E$8)))*Controls!$D$9+MIN(1,MAX(0,($D8-'Cell Delivery'!$E$9)/('Cell Delivery'!$I$9-'Cell Delivery'!$E$9)))*Controls!$D$9+MIN(1,MAX(0,($D8-'Cell Delivery'!$E$10)/('Cell Delivery'!$I$10-'Cell Delivery'!$E$10)))*Controls!$D$9+0+MIN(1,MAX(0,($D8-'Cell Delivery'!$E$12)/('Cell Delivery'!$I$12-'Cell Delivery'!$E$12)))*Controls!$D$9)&gt;=1,1,0)</x:f>
        <x:v>0</x:v>
      </x:c>
      <x:c r="I8" s="36" t="n">
        <x:f>IF((0+MIN(1,MAX(0,($D8-'Cell Delivery'!$E$8)/('Cell Delivery'!$I$8-'Cell Delivery'!$E$8)))*Controls!$D$9+MIN(1,MAX(0,($D8-'Cell Delivery'!$E$9)/('Cell Delivery'!$I$9-'Cell Delivery'!$E$9)))*Controls!$D$9+MIN(1,MAX(0,($D8-'Cell Delivery'!$E$10)/('Cell Delivery'!$I$10-'Cell Delivery'!$E$10)))*Controls!$D$9+MIN(1,MAX(0,($D8-'Cell Delivery'!$E$11)/('Cell Delivery'!$I$11-'Cell Delivery'!$E$11)))*Controls!$D$9+0)&gt;=1,1,0)</x:f>
        <x:v>0</x:v>
      </x:c>
      <x:c r="J8" s="36" t="n">
        <x:f>IF((MIN(1,MAX(0,($D8-'Cell Delivery'!$E$7)/('Cell Delivery'!$I$7-'Cell Delivery'!$E$7)))*Controls!$D$9+0+0+MIN(1,MAX(0,($D8-'Cell Delivery'!$E$10)/('Cell Delivery'!$I$10-'Cell Delivery'!$E$10)))*Controls!$D$9+MIN(1,MAX(0,($D8-'Cell Delivery'!$E$11)/('Cell Delivery'!$I$11-'Cell Delivery'!$E$11)))*Controls!$D$9+MIN(1,MAX(0,($D8-'Cell Delivery'!$E$12)/('Cell Delivery'!$I$12-'Cell Delivery'!$E$12)))*Controls!$D$9)&gt;=1,1,0)</x:f>
        <x:v>0</x:v>
      </x:c>
      <x:c r="K8" s="36" t="n">
        <x:f>IF((MIN(1,MAX(0,($D8-'Cell Delivery'!$E$7)/('Cell Delivery'!$I$7-'Cell Delivery'!$E$7)))*Controls!$D$9+0+MIN(1,MAX(0,($D8-'Cell Delivery'!$E$9)/('Cell Delivery'!$I$9-'Cell Delivery'!$E$9)))*Controls!$D$9+0+MIN(1,MAX(0,($D8-'Cell Delivery'!$E$11)/('Cell Delivery'!$I$11-'Cell Delivery'!$E$11)))*Controls!$D$9+MIN(1,MAX(0,($D8-'Cell Delivery'!$E$12)/('Cell Delivery'!$I$12-'Cell Delivery'!$E$12)))*Controls!$D$9)&gt;=1,1,0)</x:f>
        <x:v>0</x:v>
      </x:c>
      <x:c r="L8" s="36" t="n">
        <x:f>IF((MIN(1,MAX(0,($D8-'Cell Delivery'!$E$7)/('Cell Delivery'!$I$7-'Cell Delivery'!$E$7)))*Controls!$D$9+0+MIN(1,MAX(0,($D8-'Cell Delivery'!$E$9)/('Cell Delivery'!$I$9-'Cell Delivery'!$E$9)))*Controls!$D$9+MIN(1,MAX(0,($D8-'Cell Delivery'!$E$10)/('Cell Delivery'!$I$10-'Cell Delivery'!$E$10)))*Controls!$D$9+0+MIN(1,MAX(0,($D8-'Cell Delivery'!$E$12)/('Cell Delivery'!$I$12-'Cell Delivery'!$E$12)))*Controls!$D$9)&gt;=1,1,0)</x:f>
        <x:v>0</x:v>
      </x:c>
      <x:c r="M8" s="36" t="n">
        <x:f>IF((MIN(1,MAX(0,($D8-'Cell Delivery'!$E$7)/('Cell Delivery'!$I$7-'Cell Delivery'!$E$7)))*Controls!$D$9+0+MIN(1,MAX(0,($D8-'Cell Delivery'!$E$9)/('Cell Delivery'!$I$9-'Cell Delivery'!$E$9)))*Controls!$D$9+MIN(1,MAX(0,($D8-'Cell Delivery'!$E$10)/('Cell Delivery'!$I$10-'Cell Delivery'!$E$10)))*Controls!$D$9+MIN(1,MAX(0,($D8-'Cell Delivery'!$E$11)/('Cell Delivery'!$I$11-'Cell Delivery'!$E$11)))*Controls!$D$9+0)&gt;=1,1,0)</x:f>
        <x:v>0</x:v>
      </x:c>
      <x:c r="N8" s="36" t="n">
        <x:f>IF((MIN(1,MAX(0,($D8-'Cell Delivery'!$E$7)/('Cell Delivery'!$I$7-'Cell Delivery'!$E$7)))*Controls!$D$9+MIN(1,MAX(0,($D8-'Cell Delivery'!$E$8)/('Cell Delivery'!$I$8-'Cell Delivery'!$E$8)))*Controls!$D$9+0+0+MIN(1,MAX(0,($D8-'Cell Delivery'!$E$11)/('Cell Delivery'!$I$11-'Cell Delivery'!$E$11)))*Controls!$D$9+MIN(1,MAX(0,($D8-'Cell Delivery'!$E$12)/('Cell Delivery'!$I$12-'Cell Delivery'!$E$12)))*Controls!$D$9)&gt;=1,1,0)</x:f>
        <x:v>0</x:v>
      </x:c>
      <x:c r="O8" s="36" t="n">
        <x:f>IF((MIN(1,MAX(0,($D8-'Cell Delivery'!$E$7)/('Cell Delivery'!$I$7-'Cell Delivery'!$E$7)))*Controls!$D$9+MIN(1,MAX(0,($D8-'Cell Delivery'!$E$8)/('Cell Delivery'!$I$8-'Cell Delivery'!$E$8)))*Controls!$D$9+0+MIN(1,MAX(0,($D8-'Cell Delivery'!$E$10)/('Cell Delivery'!$I$10-'Cell Delivery'!$E$10)))*Controls!$D$9+0+MIN(1,MAX(0,($D8-'Cell Delivery'!$E$12)/('Cell Delivery'!$I$12-'Cell Delivery'!$E$12)))*Controls!$D$9)&gt;=1,1,0)</x:f>
        <x:v>0</x:v>
      </x:c>
      <x:c r="P8" s="36" t="n">
        <x:f>IF((MIN(1,MAX(0,($D8-'Cell Delivery'!$E$7)/('Cell Delivery'!$I$7-'Cell Delivery'!$E$7)))*Controls!$D$9+MIN(1,MAX(0,($D8-'Cell Delivery'!$E$8)/('Cell Delivery'!$I$8-'Cell Delivery'!$E$8)))*Controls!$D$9+0+MIN(1,MAX(0,($D8-'Cell Delivery'!$E$10)/('Cell Delivery'!$I$10-'Cell Delivery'!$E$10)))*Controls!$D$9+MIN(1,MAX(0,($D8-'Cell Delivery'!$E$11)/('Cell Delivery'!$I$11-'Cell Delivery'!$E$11)))*Controls!$D$9+0)&gt;=1,1,0)</x:f>
        <x:v>0</x:v>
      </x:c>
      <x:c r="Q8" s="36" t="n">
        <x:f>IF((MIN(1,MAX(0,($D8-'Cell Delivery'!$E$7)/('Cell Delivery'!$I$7-'Cell Delivery'!$E$7)))*Controls!$D$9+MIN(1,MAX(0,($D8-'Cell Delivery'!$E$8)/('Cell Delivery'!$I$8-'Cell Delivery'!$E$8)))*Controls!$D$9+MIN(1,MAX(0,($D8-'Cell Delivery'!$E$9)/('Cell Delivery'!$I$9-'Cell Delivery'!$E$9)))*Controls!$D$9+0+0+MIN(1,MAX(0,($D8-'Cell Delivery'!$E$12)/('Cell Delivery'!$I$12-'Cell Delivery'!$E$12)))*Controls!$D$9)&gt;=1,1,0)</x:f>
        <x:v>0</x:v>
      </x:c>
      <x:c r="R8" s="36" t="n">
        <x:f>IF((MIN(1,MAX(0,($D8-'Cell Delivery'!$E$7)/('Cell Delivery'!$I$7-'Cell Delivery'!$E$7)))*Controls!$D$9+MIN(1,MAX(0,($D8-'Cell Delivery'!$E$8)/('Cell Delivery'!$I$8-'Cell Delivery'!$E$8)))*Controls!$D$9+MIN(1,MAX(0,($D8-'Cell Delivery'!$E$9)/('Cell Delivery'!$I$9-'Cell Delivery'!$E$9)))*Controls!$D$9+0+MIN(1,MAX(0,($D8-'Cell Delivery'!$E$11)/('Cell Delivery'!$I$11-'Cell Delivery'!$E$11)))*Controls!$D$9+0)&gt;=1,1,0)</x:f>
        <x:v>0</x:v>
      </x:c>
      <x:c r="S8" s="36" t="n">
        <x:f>IF((MIN(1,MAX(0,($D8-'Cell Delivery'!$E$7)/('Cell Delivery'!$I$7-'Cell Delivery'!$E$7)))*Controls!$D$9+MIN(1,MAX(0,($D8-'Cell Delivery'!$E$8)/('Cell Delivery'!$I$8-'Cell Delivery'!$E$8)))*Controls!$D$9+MIN(1,MAX(0,($D8-'Cell Delivery'!$E$9)/('Cell Delivery'!$I$9-'Cell Delivery'!$E$9)))*Controls!$D$9+MIN(1,MAX(0,($D8-'Cell Delivery'!$E$10)/('Cell Delivery'!$I$10-'Cell Delivery'!$E$10)))*Controls!$D$9+0+0)&gt;=1,1,0)</x:f>
        <x:v>0</x:v>
      </x:c>
      <x:c r="T8" s="49"/>
      <x:c r="U8" s="49"/>
      <x:c r="V8" s="49"/>
    </x:row>
    <x:row r="9">
      <x:c r="C9" s="49"/>
      <x:c r="D9" s="21" t="n">
        <x:v>12</x:v>
      </x:c>
      <x:c r="E9" s="36" t="n">
        <x:f>IF((0+0+MIN(1,MAX(0,($D9-'Cell Delivery'!$E$9)/('Cell Delivery'!$I$9-'Cell Delivery'!$E$9)))*Controls!$D$9+MIN(1,MAX(0,($D9-'Cell Delivery'!$E$10)/('Cell Delivery'!$I$10-'Cell Delivery'!$E$10)))*Controls!$D$9+MIN(1,MAX(0,($D9-'Cell Delivery'!$E$11)/('Cell Delivery'!$I$11-'Cell Delivery'!$E$11)))*Controls!$D$9+MIN(1,MAX(0,($D9-'Cell Delivery'!$E$12)/('Cell Delivery'!$I$12-'Cell Delivery'!$E$12)))*Controls!$D$9)&gt;=1,1,0)</x:f>
        <x:v>0</x:v>
      </x:c>
      <x:c r="F9" s="36" t="n">
        <x:f>IF((0+MIN(1,MAX(0,($D9-'Cell Delivery'!$E$8)/('Cell Delivery'!$I$8-'Cell Delivery'!$E$8)))*Controls!$D$9+0+MIN(1,MAX(0,($D9-'Cell Delivery'!$E$10)/('Cell Delivery'!$I$10-'Cell Delivery'!$E$10)))*Controls!$D$9+MIN(1,MAX(0,($D9-'Cell Delivery'!$E$11)/('Cell Delivery'!$I$11-'Cell Delivery'!$E$11)))*Controls!$D$9+MIN(1,MAX(0,($D9-'Cell Delivery'!$E$12)/('Cell Delivery'!$I$12-'Cell Delivery'!$E$12)))*Controls!$D$9)&gt;=1,1,0)</x:f>
        <x:v>0</x:v>
      </x:c>
      <x:c r="G9" s="36" t="n">
        <x:f>IF((0+MIN(1,MAX(0,($D9-'Cell Delivery'!$E$8)/('Cell Delivery'!$I$8-'Cell Delivery'!$E$8)))*Controls!$D$9+MIN(1,MAX(0,($D9-'Cell Delivery'!$E$9)/('Cell Delivery'!$I$9-'Cell Delivery'!$E$9)))*Controls!$D$9+0+MIN(1,MAX(0,($D9-'Cell Delivery'!$E$11)/('Cell Delivery'!$I$11-'Cell Delivery'!$E$11)))*Controls!$D$9+MIN(1,MAX(0,($D9-'Cell Delivery'!$E$12)/('Cell Delivery'!$I$12-'Cell Delivery'!$E$12)))*Controls!$D$9)&gt;=1,1,0)</x:f>
        <x:v>0</x:v>
      </x:c>
      <x:c r="H9" s="36" t="n">
        <x:f>IF((0+MIN(1,MAX(0,($D9-'Cell Delivery'!$E$8)/('Cell Delivery'!$I$8-'Cell Delivery'!$E$8)))*Controls!$D$9+MIN(1,MAX(0,($D9-'Cell Delivery'!$E$9)/('Cell Delivery'!$I$9-'Cell Delivery'!$E$9)))*Controls!$D$9+MIN(1,MAX(0,($D9-'Cell Delivery'!$E$10)/('Cell Delivery'!$I$10-'Cell Delivery'!$E$10)))*Controls!$D$9+0+MIN(1,MAX(0,($D9-'Cell Delivery'!$E$12)/('Cell Delivery'!$I$12-'Cell Delivery'!$E$12)))*Controls!$D$9)&gt;=1,1,0)</x:f>
        <x:v>0</x:v>
      </x:c>
      <x:c r="I9" s="36" t="n">
        <x:f>IF((0+MIN(1,MAX(0,($D9-'Cell Delivery'!$E$8)/('Cell Delivery'!$I$8-'Cell Delivery'!$E$8)))*Controls!$D$9+MIN(1,MAX(0,($D9-'Cell Delivery'!$E$9)/('Cell Delivery'!$I$9-'Cell Delivery'!$E$9)))*Controls!$D$9+MIN(1,MAX(0,($D9-'Cell Delivery'!$E$10)/('Cell Delivery'!$I$10-'Cell Delivery'!$E$10)))*Controls!$D$9+MIN(1,MAX(0,($D9-'Cell Delivery'!$E$11)/('Cell Delivery'!$I$11-'Cell Delivery'!$E$11)))*Controls!$D$9+0)&gt;=1,1,0)</x:f>
        <x:v>0</x:v>
      </x:c>
      <x:c r="J9" s="36" t="n">
        <x:f>IF((MIN(1,MAX(0,($D9-'Cell Delivery'!$E$7)/('Cell Delivery'!$I$7-'Cell Delivery'!$E$7)))*Controls!$D$9+0+0+MIN(1,MAX(0,($D9-'Cell Delivery'!$E$10)/('Cell Delivery'!$I$10-'Cell Delivery'!$E$10)))*Controls!$D$9+MIN(1,MAX(0,($D9-'Cell Delivery'!$E$11)/('Cell Delivery'!$I$11-'Cell Delivery'!$E$11)))*Controls!$D$9+MIN(1,MAX(0,($D9-'Cell Delivery'!$E$12)/('Cell Delivery'!$I$12-'Cell Delivery'!$E$12)))*Controls!$D$9)&gt;=1,1,0)</x:f>
        <x:v>0</x:v>
      </x:c>
      <x:c r="K9" s="36" t="n">
        <x:f>IF((MIN(1,MAX(0,($D9-'Cell Delivery'!$E$7)/('Cell Delivery'!$I$7-'Cell Delivery'!$E$7)))*Controls!$D$9+0+MIN(1,MAX(0,($D9-'Cell Delivery'!$E$9)/('Cell Delivery'!$I$9-'Cell Delivery'!$E$9)))*Controls!$D$9+0+MIN(1,MAX(0,($D9-'Cell Delivery'!$E$11)/('Cell Delivery'!$I$11-'Cell Delivery'!$E$11)))*Controls!$D$9+MIN(1,MAX(0,($D9-'Cell Delivery'!$E$12)/('Cell Delivery'!$I$12-'Cell Delivery'!$E$12)))*Controls!$D$9)&gt;=1,1,0)</x:f>
        <x:v>0</x:v>
      </x:c>
      <x:c r="L9" s="36" t="n">
        <x:f>IF((MIN(1,MAX(0,($D9-'Cell Delivery'!$E$7)/('Cell Delivery'!$I$7-'Cell Delivery'!$E$7)))*Controls!$D$9+0+MIN(1,MAX(0,($D9-'Cell Delivery'!$E$9)/('Cell Delivery'!$I$9-'Cell Delivery'!$E$9)))*Controls!$D$9+MIN(1,MAX(0,($D9-'Cell Delivery'!$E$10)/('Cell Delivery'!$I$10-'Cell Delivery'!$E$10)))*Controls!$D$9+0+MIN(1,MAX(0,($D9-'Cell Delivery'!$E$12)/('Cell Delivery'!$I$12-'Cell Delivery'!$E$12)))*Controls!$D$9)&gt;=1,1,0)</x:f>
        <x:v>0</x:v>
      </x:c>
      <x:c r="M9" s="36" t="n">
        <x:f>IF((MIN(1,MAX(0,($D9-'Cell Delivery'!$E$7)/('Cell Delivery'!$I$7-'Cell Delivery'!$E$7)))*Controls!$D$9+0+MIN(1,MAX(0,($D9-'Cell Delivery'!$E$9)/('Cell Delivery'!$I$9-'Cell Delivery'!$E$9)))*Controls!$D$9+MIN(1,MAX(0,($D9-'Cell Delivery'!$E$10)/('Cell Delivery'!$I$10-'Cell Delivery'!$E$10)))*Controls!$D$9+MIN(1,MAX(0,($D9-'Cell Delivery'!$E$11)/('Cell Delivery'!$I$11-'Cell Delivery'!$E$11)))*Controls!$D$9+0)&gt;=1,1,0)</x:f>
        <x:v>0</x:v>
      </x:c>
      <x:c r="N9" s="36" t="n">
        <x:f>IF((MIN(1,MAX(0,($D9-'Cell Delivery'!$E$7)/('Cell Delivery'!$I$7-'Cell Delivery'!$E$7)))*Controls!$D$9+MIN(1,MAX(0,($D9-'Cell Delivery'!$E$8)/('Cell Delivery'!$I$8-'Cell Delivery'!$E$8)))*Controls!$D$9+0+0+MIN(1,MAX(0,($D9-'Cell Delivery'!$E$11)/('Cell Delivery'!$I$11-'Cell Delivery'!$E$11)))*Controls!$D$9+MIN(1,MAX(0,($D9-'Cell Delivery'!$E$12)/('Cell Delivery'!$I$12-'Cell Delivery'!$E$12)))*Controls!$D$9)&gt;=1,1,0)</x:f>
        <x:v>0</x:v>
      </x:c>
      <x:c r="O9" s="36" t="n">
        <x:f>IF((MIN(1,MAX(0,($D9-'Cell Delivery'!$E$7)/('Cell Delivery'!$I$7-'Cell Delivery'!$E$7)))*Controls!$D$9+MIN(1,MAX(0,($D9-'Cell Delivery'!$E$8)/('Cell Delivery'!$I$8-'Cell Delivery'!$E$8)))*Controls!$D$9+0+MIN(1,MAX(0,($D9-'Cell Delivery'!$E$10)/('Cell Delivery'!$I$10-'Cell Delivery'!$E$10)))*Controls!$D$9+0+MIN(1,MAX(0,($D9-'Cell Delivery'!$E$12)/('Cell Delivery'!$I$12-'Cell Delivery'!$E$12)))*Controls!$D$9)&gt;=1,1,0)</x:f>
        <x:v>0</x:v>
      </x:c>
      <x:c r="P9" s="36" t="n">
        <x:f>IF((MIN(1,MAX(0,($D9-'Cell Delivery'!$E$7)/('Cell Delivery'!$I$7-'Cell Delivery'!$E$7)))*Controls!$D$9+MIN(1,MAX(0,($D9-'Cell Delivery'!$E$8)/('Cell Delivery'!$I$8-'Cell Delivery'!$E$8)))*Controls!$D$9+0+MIN(1,MAX(0,($D9-'Cell Delivery'!$E$10)/('Cell Delivery'!$I$10-'Cell Delivery'!$E$10)))*Controls!$D$9+MIN(1,MAX(0,($D9-'Cell Delivery'!$E$11)/('Cell Delivery'!$I$11-'Cell Delivery'!$E$11)))*Controls!$D$9+0)&gt;=1,1,0)</x:f>
        <x:v>0</x:v>
      </x:c>
      <x:c r="Q9" s="36" t="n">
        <x:f>IF((MIN(1,MAX(0,($D9-'Cell Delivery'!$E$7)/('Cell Delivery'!$I$7-'Cell Delivery'!$E$7)))*Controls!$D$9+MIN(1,MAX(0,($D9-'Cell Delivery'!$E$8)/('Cell Delivery'!$I$8-'Cell Delivery'!$E$8)))*Controls!$D$9+MIN(1,MAX(0,($D9-'Cell Delivery'!$E$9)/('Cell Delivery'!$I$9-'Cell Delivery'!$E$9)))*Controls!$D$9+0+0+MIN(1,MAX(0,($D9-'Cell Delivery'!$E$12)/('Cell Delivery'!$I$12-'Cell Delivery'!$E$12)))*Controls!$D$9)&gt;=1,1,0)</x:f>
        <x:v>0</x:v>
      </x:c>
      <x:c r="R9" s="36" t="n">
        <x:f>IF((MIN(1,MAX(0,($D9-'Cell Delivery'!$E$7)/('Cell Delivery'!$I$7-'Cell Delivery'!$E$7)))*Controls!$D$9+MIN(1,MAX(0,($D9-'Cell Delivery'!$E$8)/('Cell Delivery'!$I$8-'Cell Delivery'!$E$8)))*Controls!$D$9+MIN(1,MAX(0,($D9-'Cell Delivery'!$E$9)/('Cell Delivery'!$I$9-'Cell Delivery'!$E$9)))*Controls!$D$9+0+MIN(1,MAX(0,($D9-'Cell Delivery'!$E$11)/('Cell Delivery'!$I$11-'Cell Delivery'!$E$11)))*Controls!$D$9+0)&gt;=1,1,0)</x:f>
        <x:v>0</x:v>
      </x:c>
      <x:c r="S9" s="36" t="n">
        <x:f>IF((MIN(1,MAX(0,($D9-'Cell Delivery'!$E$7)/('Cell Delivery'!$I$7-'Cell Delivery'!$E$7)))*Controls!$D$9+MIN(1,MAX(0,($D9-'Cell Delivery'!$E$8)/('Cell Delivery'!$I$8-'Cell Delivery'!$E$8)))*Controls!$D$9+MIN(1,MAX(0,($D9-'Cell Delivery'!$E$9)/('Cell Delivery'!$I$9-'Cell Delivery'!$E$9)))*Controls!$D$9+MIN(1,MAX(0,($D9-'Cell Delivery'!$E$10)/('Cell Delivery'!$I$10-'Cell Delivery'!$E$10)))*Controls!$D$9+0+0)&gt;=1,1,0)</x:f>
        <x:v>0</x:v>
      </x:c>
      <x:c r="T9" s="49"/>
      <x:c r="U9" s="49"/>
      <x:c r="V9" s="49"/>
    </x:row>
    <x:row r="10">
      <x:c r="C10" s="49"/>
      <x:c r="D10" s="21" t="n">
        <x:v>18</x:v>
      </x:c>
      <x:c r="E10" s="36" t="n">
        <x:f>IF((0+0+MIN(1,MAX(0,($D10-'Cell Delivery'!$E$9)/('Cell Delivery'!$I$9-'Cell Delivery'!$E$9)))*Controls!$D$9+MIN(1,MAX(0,($D10-'Cell Delivery'!$E$10)/('Cell Delivery'!$I$10-'Cell Delivery'!$E$10)))*Controls!$D$9+MIN(1,MAX(0,($D10-'Cell Delivery'!$E$11)/('Cell Delivery'!$I$11-'Cell Delivery'!$E$11)))*Controls!$D$9+MIN(1,MAX(0,($D10-'Cell Delivery'!$E$12)/('Cell Delivery'!$I$12-'Cell Delivery'!$E$12)))*Controls!$D$9)&gt;=1,1,0)</x:f>
        <x:v>0</x:v>
      </x:c>
      <x:c r="F10" s="36" t="n">
        <x:f>IF((0+MIN(1,MAX(0,($D10-'Cell Delivery'!$E$8)/('Cell Delivery'!$I$8-'Cell Delivery'!$E$8)))*Controls!$D$9+0+MIN(1,MAX(0,($D10-'Cell Delivery'!$E$10)/('Cell Delivery'!$I$10-'Cell Delivery'!$E$10)))*Controls!$D$9+MIN(1,MAX(0,($D10-'Cell Delivery'!$E$11)/('Cell Delivery'!$I$11-'Cell Delivery'!$E$11)))*Controls!$D$9+MIN(1,MAX(0,($D10-'Cell Delivery'!$E$12)/('Cell Delivery'!$I$12-'Cell Delivery'!$E$12)))*Controls!$D$9)&gt;=1,1,0)</x:f>
        <x:v>0</x:v>
      </x:c>
      <x:c r="G10" s="36" t="n">
        <x:f>IF((0+MIN(1,MAX(0,($D10-'Cell Delivery'!$E$8)/('Cell Delivery'!$I$8-'Cell Delivery'!$E$8)))*Controls!$D$9+MIN(1,MAX(0,($D10-'Cell Delivery'!$E$9)/('Cell Delivery'!$I$9-'Cell Delivery'!$E$9)))*Controls!$D$9+0+MIN(1,MAX(0,($D10-'Cell Delivery'!$E$11)/('Cell Delivery'!$I$11-'Cell Delivery'!$E$11)))*Controls!$D$9+MIN(1,MAX(0,($D10-'Cell Delivery'!$E$12)/('Cell Delivery'!$I$12-'Cell Delivery'!$E$12)))*Controls!$D$9)&gt;=1,1,0)</x:f>
        <x:v>0</x:v>
      </x:c>
      <x:c r="H10" s="36" t="n">
        <x:f>IF((0+MIN(1,MAX(0,($D10-'Cell Delivery'!$E$8)/('Cell Delivery'!$I$8-'Cell Delivery'!$E$8)))*Controls!$D$9+MIN(1,MAX(0,($D10-'Cell Delivery'!$E$9)/('Cell Delivery'!$I$9-'Cell Delivery'!$E$9)))*Controls!$D$9+MIN(1,MAX(0,($D10-'Cell Delivery'!$E$10)/('Cell Delivery'!$I$10-'Cell Delivery'!$E$10)))*Controls!$D$9+0+MIN(1,MAX(0,($D10-'Cell Delivery'!$E$12)/('Cell Delivery'!$I$12-'Cell Delivery'!$E$12)))*Controls!$D$9)&gt;=1,1,0)</x:f>
        <x:v>0</x:v>
      </x:c>
      <x:c r="I10" s="36" t="n">
        <x:f>IF((0+MIN(1,MAX(0,($D10-'Cell Delivery'!$E$8)/('Cell Delivery'!$I$8-'Cell Delivery'!$E$8)))*Controls!$D$9+MIN(1,MAX(0,($D10-'Cell Delivery'!$E$9)/('Cell Delivery'!$I$9-'Cell Delivery'!$E$9)))*Controls!$D$9+MIN(1,MAX(0,($D10-'Cell Delivery'!$E$10)/('Cell Delivery'!$I$10-'Cell Delivery'!$E$10)))*Controls!$D$9+MIN(1,MAX(0,($D10-'Cell Delivery'!$E$11)/('Cell Delivery'!$I$11-'Cell Delivery'!$E$11)))*Controls!$D$9+0)&gt;=1,1,0)</x:f>
        <x:v>0</x:v>
      </x:c>
      <x:c r="J10" s="36" t="n">
        <x:f>IF((MIN(1,MAX(0,($D10-'Cell Delivery'!$E$7)/('Cell Delivery'!$I$7-'Cell Delivery'!$E$7)))*Controls!$D$9+0+0+MIN(1,MAX(0,($D10-'Cell Delivery'!$E$10)/('Cell Delivery'!$I$10-'Cell Delivery'!$E$10)))*Controls!$D$9+MIN(1,MAX(0,($D10-'Cell Delivery'!$E$11)/('Cell Delivery'!$I$11-'Cell Delivery'!$E$11)))*Controls!$D$9+MIN(1,MAX(0,($D10-'Cell Delivery'!$E$12)/('Cell Delivery'!$I$12-'Cell Delivery'!$E$12)))*Controls!$D$9)&gt;=1,1,0)</x:f>
        <x:v>0</x:v>
      </x:c>
      <x:c r="K10" s="36" t="n">
        <x:f>IF((MIN(1,MAX(0,($D10-'Cell Delivery'!$E$7)/('Cell Delivery'!$I$7-'Cell Delivery'!$E$7)))*Controls!$D$9+0+MIN(1,MAX(0,($D10-'Cell Delivery'!$E$9)/('Cell Delivery'!$I$9-'Cell Delivery'!$E$9)))*Controls!$D$9+0+MIN(1,MAX(0,($D10-'Cell Delivery'!$E$11)/('Cell Delivery'!$I$11-'Cell Delivery'!$E$11)))*Controls!$D$9+MIN(1,MAX(0,($D10-'Cell Delivery'!$E$12)/('Cell Delivery'!$I$12-'Cell Delivery'!$E$12)))*Controls!$D$9)&gt;=1,1,0)</x:f>
        <x:v>0</x:v>
      </x:c>
      <x:c r="L10" s="36" t="n">
        <x:f>IF((MIN(1,MAX(0,($D10-'Cell Delivery'!$E$7)/('Cell Delivery'!$I$7-'Cell Delivery'!$E$7)))*Controls!$D$9+0+MIN(1,MAX(0,($D10-'Cell Delivery'!$E$9)/('Cell Delivery'!$I$9-'Cell Delivery'!$E$9)))*Controls!$D$9+MIN(1,MAX(0,($D10-'Cell Delivery'!$E$10)/('Cell Delivery'!$I$10-'Cell Delivery'!$E$10)))*Controls!$D$9+0+MIN(1,MAX(0,($D10-'Cell Delivery'!$E$12)/('Cell Delivery'!$I$12-'Cell Delivery'!$E$12)))*Controls!$D$9)&gt;=1,1,0)</x:f>
        <x:v>0</x:v>
      </x:c>
      <x:c r="M10" s="36" t="n">
        <x:f>IF((MIN(1,MAX(0,($D10-'Cell Delivery'!$E$7)/('Cell Delivery'!$I$7-'Cell Delivery'!$E$7)))*Controls!$D$9+0+MIN(1,MAX(0,($D10-'Cell Delivery'!$E$9)/('Cell Delivery'!$I$9-'Cell Delivery'!$E$9)))*Controls!$D$9+MIN(1,MAX(0,($D10-'Cell Delivery'!$E$10)/('Cell Delivery'!$I$10-'Cell Delivery'!$E$10)))*Controls!$D$9+MIN(1,MAX(0,($D10-'Cell Delivery'!$E$11)/('Cell Delivery'!$I$11-'Cell Delivery'!$E$11)))*Controls!$D$9+0)&gt;=1,1,0)</x:f>
        <x:v>0</x:v>
      </x:c>
      <x:c r="N10" s="36" t="n">
        <x:f>IF((MIN(1,MAX(0,($D10-'Cell Delivery'!$E$7)/('Cell Delivery'!$I$7-'Cell Delivery'!$E$7)))*Controls!$D$9+MIN(1,MAX(0,($D10-'Cell Delivery'!$E$8)/('Cell Delivery'!$I$8-'Cell Delivery'!$E$8)))*Controls!$D$9+0+0+MIN(1,MAX(0,($D10-'Cell Delivery'!$E$11)/('Cell Delivery'!$I$11-'Cell Delivery'!$E$11)))*Controls!$D$9+MIN(1,MAX(0,($D10-'Cell Delivery'!$E$12)/('Cell Delivery'!$I$12-'Cell Delivery'!$E$12)))*Controls!$D$9)&gt;=1,1,0)</x:f>
        <x:v>0</x:v>
      </x:c>
      <x:c r="O10" s="36" t="n">
        <x:f>IF((MIN(1,MAX(0,($D10-'Cell Delivery'!$E$7)/('Cell Delivery'!$I$7-'Cell Delivery'!$E$7)))*Controls!$D$9+MIN(1,MAX(0,($D10-'Cell Delivery'!$E$8)/('Cell Delivery'!$I$8-'Cell Delivery'!$E$8)))*Controls!$D$9+0+MIN(1,MAX(0,($D10-'Cell Delivery'!$E$10)/('Cell Delivery'!$I$10-'Cell Delivery'!$E$10)))*Controls!$D$9+0+MIN(1,MAX(0,($D10-'Cell Delivery'!$E$12)/('Cell Delivery'!$I$12-'Cell Delivery'!$E$12)))*Controls!$D$9)&gt;=1,1,0)</x:f>
        <x:v>0</x:v>
      </x:c>
      <x:c r="P10" s="36" t="n">
        <x:f>IF((MIN(1,MAX(0,($D10-'Cell Delivery'!$E$7)/('Cell Delivery'!$I$7-'Cell Delivery'!$E$7)))*Controls!$D$9+MIN(1,MAX(0,($D10-'Cell Delivery'!$E$8)/('Cell Delivery'!$I$8-'Cell Delivery'!$E$8)))*Controls!$D$9+0+MIN(1,MAX(0,($D10-'Cell Delivery'!$E$10)/('Cell Delivery'!$I$10-'Cell Delivery'!$E$10)))*Controls!$D$9+MIN(1,MAX(0,($D10-'Cell Delivery'!$E$11)/('Cell Delivery'!$I$11-'Cell Delivery'!$E$11)))*Controls!$D$9+0)&gt;=1,1,0)</x:f>
        <x:v>0</x:v>
      </x:c>
      <x:c r="Q10" s="36" t="n">
        <x:f>IF((MIN(1,MAX(0,($D10-'Cell Delivery'!$E$7)/('Cell Delivery'!$I$7-'Cell Delivery'!$E$7)))*Controls!$D$9+MIN(1,MAX(0,($D10-'Cell Delivery'!$E$8)/('Cell Delivery'!$I$8-'Cell Delivery'!$E$8)))*Controls!$D$9+MIN(1,MAX(0,($D10-'Cell Delivery'!$E$9)/('Cell Delivery'!$I$9-'Cell Delivery'!$E$9)))*Controls!$D$9+0+0+MIN(1,MAX(0,($D10-'Cell Delivery'!$E$12)/('Cell Delivery'!$I$12-'Cell Delivery'!$E$12)))*Controls!$D$9)&gt;=1,1,0)</x:f>
        <x:v>0</x:v>
      </x:c>
      <x:c r="R10" s="36" t="n">
        <x:f>IF((MIN(1,MAX(0,($D10-'Cell Delivery'!$E$7)/('Cell Delivery'!$I$7-'Cell Delivery'!$E$7)))*Controls!$D$9+MIN(1,MAX(0,($D10-'Cell Delivery'!$E$8)/('Cell Delivery'!$I$8-'Cell Delivery'!$E$8)))*Controls!$D$9+MIN(1,MAX(0,($D10-'Cell Delivery'!$E$9)/('Cell Delivery'!$I$9-'Cell Delivery'!$E$9)))*Controls!$D$9+0+MIN(1,MAX(0,($D10-'Cell Delivery'!$E$11)/('Cell Delivery'!$I$11-'Cell Delivery'!$E$11)))*Controls!$D$9+0)&gt;=1,1,0)</x:f>
        <x:v>0</x:v>
      </x:c>
      <x:c r="S10" s="36" t="n">
        <x:f>IF((MIN(1,MAX(0,($D10-'Cell Delivery'!$E$7)/('Cell Delivery'!$I$7-'Cell Delivery'!$E$7)))*Controls!$D$9+MIN(1,MAX(0,($D10-'Cell Delivery'!$E$8)/('Cell Delivery'!$I$8-'Cell Delivery'!$E$8)))*Controls!$D$9+MIN(1,MAX(0,($D10-'Cell Delivery'!$E$9)/('Cell Delivery'!$I$9-'Cell Delivery'!$E$9)))*Controls!$D$9+MIN(1,MAX(0,($D10-'Cell Delivery'!$E$10)/('Cell Delivery'!$I$10-'Cell Delivery'!$E$10)))*Controls!$D$9+0+0)&gt;=1,1,0)</x:f>
        <x:v>0</x:v>
      </x:c>
      <x:c r="T10" s="49"/>
      <x:c r="U10" s="49"/>
      <x:c r="V10" s="49"/>
    </x:row>
    <x:row r="11">
      <x:c r="C11" s="49"/>
      <x:c r="D11" s="21" t="n">
        <x:v>24</x:v>
      </x:c>
      <x:c r="E11" s="36" t="n">
        <x:f>IF((0+0+MIN(1,MAX(0,($D11-'Cell Delivery'!$E$9)/('Cell Delivery'!$I$9-'Cell Delivery'!$E$9)))*Controls!$D$9+MIN(1,MAX(0,($D11-'Cell Delivery'!$E$10)/('Cell Delivery'!$I$10-'Cell Delivery'!$E$10)))*Controls!$D$9+MIN(1,MAX(0,($D11-'Cell Delivery'!$E$11)/('Cell Delivery'!$I$11-'Cell Delivery'!$E$11)))*Controls!$D$9+MIN(1,MAX(0,($D11-'Cell Delivery'!$E$12)/('Cell Delivery'!$I$12-'Cell Delivery'!$E$12)))*Controls!$D$9)&gt;=1,1,0)</x:f>
        <x:v>0</x:v>
      </x:c>
      <x:c r="F11" s="36" t="n">
        <x:f>IF((0+MIN(1,MAX(0,($D11-'Cell Delivery'!$E$8)/('Cell Delivery'!$I$8-'Cell Delivery'!$E$8)))*Controls!$D$9+0+MIN(1,MAX(0,($D11-'Cell Delivery'!$E$10)/('Cell Delivery'!$I$10-'Cell Delivery'!$E$10)))*Controls!$D$9+MIN(1,MAX(0,($D11-'Cell Delivery'!$E$11)/('Cell Delivery'!$I$11-'Cell Delivery'!$E$11)))*Controls!$D$9+MIN(1,MAX(0,($D11-'Cell Delivery'!$E$12)/('Cell Delivery'!$I$12-'Cell Delivery'!$E$12)))*Controls!$D$9)&gt;=1,1,0)</x:f>
        <x:v>0</x:v>
      </x:c>
      <x:c r="G11" s="36" t="n">
        <x:f>IF((0+MIN(1,MAX(0,($D11-'Cell Delivery'!$E$8)/('Cell Delivery'!$I$8-'Cell Delivery'!$E$8)))*Controls!$D$9+MIN(1,MAX(0,($D11-'Cell Delivery'!$E$9)/('Cell Delivery'!$I$9-'Cell Delivery'!$E$9)))*Controls!$D$9+0+MIN(1,MAX(0,($D11-'Cell Delivery'!$E$11)/('Cell Delivery'!$I$11-'Cell Delivery'!$E$11)))*Controls!$D$9+MIN(1,MAX(0,($D11-'Cell Delivery'!$E$12)/('Cell Delivery'!$I$12-'Cell Delivery'!$E$12)))*Controls!$D$9)&gt;=1,1,0)</x:f>
        <x:v>0</x:v>
      </x:c>
      <x:c r="H11" s="36" t="n">
        <x:f>IF((0+MIN(1,MAX(0,($D11-'Cell Delivery'!$E$8)/('Cell Delivery'!$I$8-'Cell Delivery'!$E$8)))*Controls!$D$9+MIN(1,MAX(0,($D11-'Cell Delivery'!$E$9)/('Cell Delivery'!$I$9-'Cell Delivery'!$E$9)))*Controls!$D$9+MIN(1,MAX(0,($D11-'Cell Delivery'!$E$10)/('Cell Delivery'!$I$10-'Cell Delivery'!$E$10)))*Controls!$D$9+0+MIN(1,MAX(0,($D11-'Cell Delivery'!$E$12)/('Cell Delivery'!$I$12-'Cell Delivery'!$E$12)))*Controls!$D$9)&gt;=1,1,0)</x:f>
        <x:v>0</x:v>
      </x:c>
      <x:c r="I11" s="36" t="n">
        <x:f>IF((0+MIN(1,MAX(0,($D11-'Cell Delivery'!$E$8)/('Cell Delivery'!$I$8-'Cell Delivery'!$E$8)))*Controls!$D$9+MIN(1,MAX(0,($D11-'Cell Delivery'!$E$9)/('Cell Delivery'!$I$9-'Cell Delivery'!$E$9)))*Controls!$D$9+MIN(1,MAX(0,($D11-'Cell Delivery'!$E$10)/('Cell Delivery'!$I$10-'Cell Delivery'!$E$10)))*Controls!$D$9+MIN(1,MAX(0,($D11-'Cell Delivery'!$E$11)/('Cell Delivery'!$I$11-'Cell Delivery'!$E$11)))*Controls!$D$9+0)&gt;=1,1,0)</x:f>
        <x:v>0</x:v>
      </x:c>
      <x:c r="J11" s="36" t="n">
        <x:f>IF((MIN(1,MAX(0,($D11-'Cell Delivery'!$E$7)/('Cell Delivery'!$I$7-'Cell Delivery'!$E$7)))*Controls!$D$9+0+0+MIN(1,MAX(0,($D11-'Cell Delivery'!$E$10)/('Cell Delivery'!$I$10-'Cell Delivery'!$E$10)))*Controls!$D$9+MIN(1,MAX(0,($D11-'Cell Delivery'!$E$11)/('Cell Delivery'!$I$11-'Cell Delivery'!$E$11)))*Controls!$D$9+MIN(1,MAX(0,($D11-'Cell Delivery'!$E$12)/('Cell Delivery'!$I$12-'Cell Delivery'!$E$12)))*Controls!$D$9)&gt;=1,1,0)</x:f>
        <x:v>0</x:v>
      </x:c>
      <x:c r="K11" s="36" t="n">
        <x:f>IF((MIN(1,MAX(0,($D11-'Cell Delivery'!$E$7)/('Cell Delivery'!$I$7-'Cell Delivery'!$E$7)))*Controls!$D$9+0+MIN(1,MAX(0,($D11-'Cell Delivery'!$E$9)/('Cell Delivery'!$I$9-'Cell Delivery'!$E$9)))*Controls!$D$9+0+MIN(1,MAX(0,($D11-'Cell Delivery'!$E$11)/('Cell Delivery'!$I$11-'Cell Delivery'!$E$11)))*Controls!$D$9+MIN(1,MAX(0,($D11-'Cell Delivery'!$E$12)/('Cell Delivery'!$I$12-'Cell Delivery'!$E$12)))*Controls!$D$9)&gt;=1,1,0)</x:f>
        <x:v>0</x:v>
      </x:c>
      <x:c r="L11" s="36" t="n">
        <x:f>IF((MIN(1,MAX(0,($D11-'Cell Delivery'!$E$7)/('Cell Delivery'!$I$7-'Cell Delivery'!$E$7)))*Controls!$D$9+0+MIN(1,MAX(0,($D11-'Cell Delivery'!$E$9)/('Cell Delivery'!$I$9-'Cell Delivery'!$E$9)))*Controls!$D$9+MIN(1,MAX(0,($D11-'Cell Delivery'!$E$10)/('Cell Delivery'!$I$10-'Cell Delivery'!$E$10)))*Controls!$D$9+0+MIN(1,MAX(0,($D11-'Cell Delivery'!$E$12)/('Cell Delivery'!$I$12-'Cell Delivery'!$E$12)))*Controls!$D$9)&gt;=1,1,0)</x:f>
        <x:v>0</x:v>
      </x:c>
      <x:c r="M11" s="36" t="n">
        <x:f>IF((MIN(1,MAX(0,($D11-'Cell Delivery'!$E$7)/('Cell Delivery'!$I$7-'Cell Delivery'!$E$7)))*Controls!$D$9+0+MIN(1,MAX(0,($D11-'Cell Delivery'!$E$9)/('Cell Delivery'!$I$9-'Cell Delivery'!$E$9)))*Controls!$D$9+MIN(1,MAX(0,($D11-'Cell Delivery'!$E$10)/('Cell Delivery'!$I$10-'Cell Delivery'!$E$10)))*Controls!$D$9+MIN(1,MAX(0,($D11-'Cell Delivery'!$E$11)/('Cell Delivery'!$I$11-'Cell Delivery'!$E$11)))*Controls!$D$9+0)&gt;=1,1,0)</x:f>
        <x:v>0</x:v>
      </x:c>
      <x:c r="N11" s="36" t="n">
        <x:f>IF((MIN(1,MAX(0,($D11-'Cell Delivery'!$E$7)/('Cell Delivery'!$I$7-'Cell Delivery'!$E$7)))*Controls!$D$9+MIN(1,MAX(0,($D11-'Cell Delivery'!$E$8)/('Cell Delivery'!$I$8-'Cell Delivery'!$E$8)))*Controls!$D$9+0+0+MIN(1,MAX(0,($D11-'Cell Delivery'!$E$11)/('Cell Delivery'!$I$11-'Cell Delivery'!$E$11)))*Controls!$D$9+MIN(1,MAX(0,($D11-'Cell Delivery'!$E$12)/('Cell Delivery'!$I$12-'Cell Delivery'!$E$12)))*Controls!$D$9)&gt;=1,1,0)</x:f>
        <x:v>0</x:v>
      </x:c>
      <x:c r="O11" s="36" t="n">
        <x:f>IF((MIN(1,MAX(0,($D11-'Cell Delivery'!$E$7)/('Cell Delivery'!$I$7-'Cell Delivery'!$E$7)))*Controls!$D$9+MIN(1,MAX(0,($D11-'Cell Delivery'!$E$8)/('Cell Delivery'!$I$8-'Cell Delivery'!$E$8)))*Controls!$D$9+0+MIN(1,MAX(0,($D11-'Cell Delivery'!$E$10)/('Cell Delivery'!$I$10-'Cell Delivery'!$E$10)))*Controls!$D$9+0+MIN(1,MAX(0,($D11-'Cell Delivery'!$E$12)/('Cell Delivery'!$I$12-'Cell Delivery'!$E$12)))*Controls!$D$9)&gt;=1,1,0)</x:f>
        <x:v>0</x:v>
      </x:c>
      <x:c r="P11" s="36" t="n">
        <x:f>IF((MIN(1,MAX(0,($D11-'Cell Delivery'!$E$7)/('Cell Delivery'!$I$7-'Cell Delivery'!$E$7)))*Controls!$D$9+MIN(1,MAX(0,($D11-'Cell Delivery'!$E$8)/('Cell Delivery'!$I$8-'Cell Delivery'!$E$8)))*Controls!$D$9+0+MIN(1,MAX(0,($D11-'Cell Delivery'!$E$10)/('Cell Delivery'!$I$10-'Cell Delivery'!$E$10)))*Controls!$D$9+MIN(1,MAX(0,($D11-'Cell Delivery'!$E$11)/('Cell Delivery'!$I$11-'Cell Delivery'!$E$11)))*Controls!$D$9+0)&gt;=1,1,0)</x:f>
        <x:v>0</x:v>
      </x:c>
      <x:c r="Q11" s="36" t="n">
        <x:f>IF((MIN(1,MAX(0,($D11-'Cell Delivery'!$E$7)/('Cell Delivery'!$I$7-'Cell Delivery'!$E$7)))*Controls!$D$9+MIN(1,MAX(0,($D11-'Cell Delivery'!$E$8)/('Cell Delivery'!$I$8-'Cell Delivery'!$E$8)))*Controls!$D$9+MIN(1,MAX(0,($D11-'Cell Delivery'!$E$9)/('Cell Delivery'!$I$9-'Cell Delivery'!$E$9)))*Controls!$D$9+0+0+MIN(1,MAX(0,($D11-'Cell Delivery'!$E$12)/('Cell Delivery'!$I$12-'Cell Delivery'!$E$12)))*Controls!$D$9)&gt;=1,1,0)</x:f>
        <x:v>0</x:v>
      </x:c>
      <x:c r="R11" s="36" t="n">
        <x:f>IF((MIN(1,MAX(0,($D11-'Cell Delivery'!$E$7)/('Cell Delivery'!$I$7-'Cell Delivery'!$E$7)))*Controls!$D$9+MIN(1,MAX(0,($D11-'Cell Delivery'!$E$8)/('Cell Delivery'!$I$8-'Cell Delivery'!$E$8)))*Controls!$D$9+MIN(1,MAX(0,($D11-'Cell Delivery'!$E$9)/('Cell Delivery'!$I$9-'Cell Delivery'!$E$9)))*Controls!$D$9+0+MIN(1,MAX(0,($D11-'Cell Delivery'!$E$11)/('Cell Delivery'!$I$11-'Cell Delivery'!$E$11)))*Controls!$D$9+0)&gt;=1,1,0)</x:f>
        <x:v>0</x:v>
      </x:c>
      <x:c r="S11" s="36" t="n">
        <x:f>IF((MIN(1,MAX(0,($D11-'Cell Delivery'!$E$7)/('Cell Delivery'!$I$7-'Cell Delivery'!$E$7)))*Controls!$D$9+MIN(1,MAX(0,($D11-'Cell Delivery'!$E$8)/('Cell Delivery'!$I$8-'Cell Delivery'!$E$8)))*Controls!$D$9+MIN(1,MAX(0,($D11-'Cell Delivery'!$E$9)/('Cell Delivery'!$I$9-'Cell Delivery'!$E$9)))*Controls!$D$9+MIN(1,MAX(0,($D11-'Cell Delivery'!$E$10)/('Cell Delivery'!$I$10-'Cell Delivery'!$E$10)))*Controls!$D$9+0+0)&gt;=1,1,0)</x:f>
        <x:v>0</x:v>
      </x:c>
      <x:c r="T11" s="49"/>
      <x:c r="U11" s="49"/>
      <x:c r="V11" s="49"/>
    </x:row>
    <x:row r="12">
      <x:c r="C12" s="49"/>
      <x:c r="D12" s="21" t="n">
        <x:v>30</x:v>
      </x:c>
      <x:c r="E12" s="36" t="n">
        <x:f>IF((0+0+MIN(1,MAX(0,($D12-'Cell Delivery'!$E$9)/('Cell Delivery'!$I$9-'Cell Delivery'!$E$9)))*Controls!$D$9+MIN(1,MAX(0,($D12-'Cell Delivery'!$E$10)/('Cell Delivery'!$I$10-'Cell Delivery'!$E$10)))*Controls!$D$9+MIN(1,MAX(0,($D12-'Cell Delivery'!$E$11)/('Cell Delivery'!$I$11-'Cell Delivery'!$E$11)))*Controls!$D$9+MIN(1,MAX(0,($D12-'Cell Delivery'!$E$12)/('Cell Delivery'!$I$12-'Cell Delivery'!$E$12)))*Controls!$D$9)&gt;=1,1,0)</x:f>
        <x:v>0</x:v>
      </x:c>
      <x:c r="F12" s="36" t="n">
        <x:f>IF((0+MIN(1,MAX(0,($D12-'Cell Delivery'!$E$8)/('Cell Delivery'!$I$8-'Cell Delivery'!$E$8)))*Controls!$D$9+0+MIN(1,MAX(0,($D12-'Cell Delivery'!$E$10)/('Cell Delivery'!$I$10-'Cell Delivery'!$E$10)))*Controls!$D$9+MIN(1,MAX(0,($D12-'Cell Delivery'!$E$11)/('Cell Delivery'!$I$11-'Cell Delivery'!$E$11)))*Controls!$D$9+MIN(1,MAX(0,($D12-'Cell Delivery'!$E$12)/('Cell Delivery'!$I$12-'Cell Delivery'!$E$12)))*Controls!$D$9)&gt;=1,1,0)</x:f>
        <x:v>0</x:v>
      </x:c>
      <x:c r="G12" s="36" t="n">
        <x:f>IF((0+MIN(1,MAX(0,($D12-'Cell Delivery'!$E$8)/('Cell Delivery'!$I$8-'Cell Delivery'!$E$8)))*Controls!$D$9+MIN(1,MAX(0,($D12-'Cell Delivery'!$E$9)/('Cell Delivery'!$I$9-'Cell Delivery'!$E$9)))*Controls!$D$9+0+MIN(1,MAX(0,($D12-'Cell Delivery'!$E$11)/('Cell Delivery'!$I$11-'Cell Delivery'!$E$11)))*Controls!$D$9+MIN(1,MAX(0,($D12-'Cell Delivery'!$E$12)/('Cell Delivery'!$I$12-'Cell Delivery'!$E$12)))*Controls!$D$9)&gt;=1,1,0)</x:f>
        <x:v>0</x:v>
      </x:c>
      <x:c r="H12" s="36" t="n">
        <x:f>IF((0+MIN(1,MAX(0,($D12-'Cell Delivery'!$E$8)/('Cell Delivery'!$I$8-'Cell Delivery'!$E$8)))*Controls!$D$9+MIN(1,MAX(0,($D12-'Cell Delivery'!$E$9)/('Cell Delivery'!$I$9-'Cell Delivery'!$E$9)))*Controls!$D$9+MIN(1,MAX(0,($D12-'Cell Delivery'!$E$10)/('Cell Delivery'!$I$10-'Cell Delivery'!$E$10)))*Controls!$D$9+0+MIN(1,MAX(0,($D12-'Cell Delivery'!$E$12)/('Cell Delivery'!$I$12-'Cell Delivery'!$E$12)))*Controls!$D$9)&gt;=1,1,0)</x:f>
        <x:v>0</x:v>
      </x:c>
      <x:c r="I12" s="36" t="n">
        <x:f>IF((0+MIN(1,MAX(0,($D12-'Cell Delivery'!$E$8)/('Cell Delivery'!$I$8-'Cell Delivery'!$E$8)))*Controls!$D$9+MIN(1,MAX(0,($D12-'Cell Delivery'!$E$9)/('Cell Delivery'!$I$9-'Cell Delivery'!$E$9)))*Controls!$D$9+MIN(1,MAX(0,($D12-'Cell Delivery'!$E$10)/('Cell Delivery'!$I$10-'Cell Delivery'!$E$10)))*Controls!$D$9+MIN(1,MAX(0,($D12-'Cell Delivery'!$E$11)/('Cell Delivery'!$I$11-'Cell Delivery'!$E$11)))*Controls!$D$9+0)&gt;=1,1,0)</x:f>
        <x:v>0</x:v>
      </x:c>
      <x:c r="J12" s="36" t="n">
        <x:f>IF((MIN(1,MAX(0,($D12-'Cell Delivery'!$E$7)/('Cell Delivery'!$I$7-'Cell Delivery'!$E$7)))*Controls!$D$9+0+0+MIN(1,MAX(0,($D12-'Cell Delivery'!$E$10)/('Cell Delivery'!$I$10-'Cell Delivery'!$E$10)))*Controls!$D$9+MIN(1,MAX(0,($D12-'Cell Delivery'!$E$11)/('Cell Delivery'!$I$11-'Cell Delivery'!$E$11)))*Controls!$D$9+MIN(1,MAX(0,($D12-'Cell Delivery'!$E$12)/('Cell Delivery'!$I$12-'Cell Delivery'!$E$12)))*Controls!$D$9)&gt;=1,1,0)</x:f>
        <x:v>0</x:v>
      </x:c>
      <x:c r="K12" s="36" t="n">
        <x:f>IF((MIN(1,MAX(0,($D12-'Cell Delivery'!$E$7)/('Cell Delivery'!$I$7-'Cell Delivery'!$E$7)))*Controls!$D$9+0+MIN(1,MAX(0,($D12-'Cell Delivery'!$E$9)/('Cell Delivery'!$I$9-'Cell Delivery'!$E$9)))*Controls!$D$9+0+MIN(1,MAX(0,($D12-'Cell Delivery'!$E$11)/('Cell Delivery'!$I$11-'Cell Delivery'!$E$11)))*Controls!$D$9+MIN(1,MAX(0,($D12-'Cell Delivery'!$E$12)/('Cell Delivery'!$I$12-'Cell Delivery'!$E$12)))*Controls!$D$9)&gt;=1,1,0)</x:f>
        <x:v>0</x:v>
      </x:c>
      <x:c r="L12" s="36" t="n">
        <x:f>IF((MIN(1,MAX(0,($D12-'Cell Delivery'!$E$7)/('Cell Delivery'!$I$7-'Cell Delivery'!$E$7)))*Controls!$D$9+0+MIN(1,MAX(0,($D12-'Cell Delivery'!$E$9)/('Cell Delivery'!$I$9-'Cell Delivery'!$E$9)))*Controls!$D$9+MIN(1,MAX(0,($D12-'Cell Delivery'!$E$10)/('Cell Delivery'!$I$10-'Cell Delivery'!$E$10)))*Controls!$D$9+0+MIN(1,MAX(0,($D12-'Cell Delivery'!$E$12)/('Cell Delivery'!$I$12-'Cell Delivery'!$E$12)))*Controls!$D$9)&gt;=1,1,0)</x:f>
        <x:v>0</x:v>
      </x:c>
      <x:c r="M12" s="36" t="n">
        <x:f>IF((MIN(1,MAX(0,($D12-'Cell Delivery'!$E$7)/('Cell Delivery'!$I$7-'Cell Delivery'!$E$7)))*Controls!$D$9+0+MIN(1,MAX(0,($D12-'Cell Delivery'!$E$9)/('Cell Delivery'!$I$9-'Cell Delivery'!$E$9)))*Controls!$D$9+MIN(1,MAX(0,($D12-'Cell Delivery'!$E$10)/('Cell Delivery'!$I$10-'Cell Delivery'!$E$10)))*Controls!$D$9+MIN(1,MAX(0,($D12-'Cell Delivery'!$E$11)/('Cell Delivery'!$I$11-'Cell Delivery'!$E$11)))*Controls!$D$9+0)&gt;=1,1,0)</x:f>
        <x:v>0</x:v>
      </x:c>
      <x:c r="N12" s="36" t="n">
        <x:f>IF((MIN(1,MAX(0,($D12-'Cell Delivery'!$E$7)/('Cell Delivery'!$I$7-'Cell Delivery'!$E$7)))*Controls!$D$9+MIN(1,MAX(0,($D12-'Cell Delivery'!$E$8)/('Cell Delivery'!$I$8-'Cell Delivery'!$E$8)))*Controls!$D$9+0+0+MIN(1,MAX(0,($D12-'Cell Delivery'!$E$11)/('Cell Delivery'!$I$11-'Cell Delivery'!$E$11)))*Controls!$D$9+MIN(1,MAX(0,($D12-'Cell Delivery'!$E$12)/('Cell Delivery'!$I$12-'Cell Delivery'!$E$12)))*Controls!$D$9)&gt;=1,1,0)</x:f>
        <x:v>0</x:v>
      </x:c>
      <x:c r="O12" s="36" t="n">
        <x:f>IF((MIN(1,MAX(0,($D12-'Cell Delivery'!$E$7)/('Cell Delivery'!$I$7-'Cell Delivery'!$E$7)))*Controls!$D$9+MIN(1,MAX(0,($D12-'Cell Delivery'!$E$8)/('Cell Delivery'!$I$8-'Cell Delivery'!$E$8)))*Controls!$D$9+0+MIN(1,MAX(0,($D12-'Cell Delivery'!$E$10)/('Cell Delivery'!$I$10-'Cell Delivery'!$E$10)))*Controls!$D$9+0+MIN(1,MAX(0,($D12-'Cell Delivery'!$E$12)/('Cell Delivery'!$I$12-'Cell Delivery'!$E$12)))*Controls!$D$9)&gt;=1,1,0)</x:f>
        <x:v>0</x:v>
      </x:c>
      <x:c r="P12" s="36" t="n">
        <x:f>IF((MIN(1,MAX(0,($D12-'Cell Delivery'!$E$7)/('Cell Delivery'!$I$7-'Cell Delivery'!$E$7)))*Controls!$D$9+MIN(1,MAX(0,($D12-'Cell Delivery'!$E$8)/('Cell Delivery'!$I$8-'Cell Delivery'!$E$8)))*Controls!$D$9+0+MIN(1,MAX(0,($D12-'Cell Delivery'!$E$10)/('Cell Delivery'!$I$10-'Cell Delivery'!$E$10)))*Controls!$D$9+MIN(1,MAX(0,($D12-'Cell Delivery'!$E$11)/('Cell Delivery'!$I$11-'Cell Delivery'!$E$11)))*Controls!$D$9+0)&gt;=1,1,0)</x:f>
        <x:v>0</x:v>
      </x:c>
      <x:c r="Q12" s="36" t="n">
        <x:f>IF((MIN(1,MAX(0,($D12-'Cell Delivery'!$E$7)/('Cell Delivery'!$I$7-'Cell Delivery'!$E$7)))*Controls!$D$9+MIN(1,MAX(0,($D12-'Cell Delivery'!$E$8)/('Cell Delivery'!$I$8-'Cell Delivery'!$E$8)))*Controls!$D$9+MIN(1,MAX(0,($D12-'Cell Delivery'!$E$9)/('Cell Delivery'!$I$9-'Cell Delivery'!$E$9)))*Controls!$D$9+0+0+MIN(1,MAX(0,($D12-'Cell Delivery'!$E$12)/('Cell Delivery'!$I$12-'Cell Delivery'!$E$12)))*Controls!$D$9)&gt;=1,1,0)</x:f>
        <x:v>0</x:v>
      </x:c>
      <x:c r="R12" s="36" t="n">
        <x:f>IF((MIN(1,MAX(0,($D12-'Cell Delivery'!$E$7)/('Cell Delivery'!$I$7-'Cell Delivery'!$E$7)))*Controls!$D$9+MIN(1,MAX(0,($D12-'Cell Delivery'!$E$8)/('Cell Delivery'!$I$8-'Cell Delivery'!$E$8)))*Controls!$D$9+MIN(1,MAX(0,($D12-'Cell Delivery'!$E$9)/('Cell Delivery'!$I$9-'Cell Delivery'!$E$9)))*Controls!$D$9+0+MIN(1,MAX(0,($D12-'Cell Delivery'!$E$11)/('Cell Delivery'!$I$11-'Cell Delivery'!$E$11)))*Controls!$D$9+0)&gt;=1,1,0)</x:f>
        <x:v>0</x:v>
      </x:c>
      <x:c r="S12" s="36" t="n">
        <x:f>IF((MIN(1,MAX(0,($D12-'Cell Delivery'!$E$7)/('Cell Delivery'!$I$7-'Cell Delivery'!$E$7)))*Controls!$D$9+MIN(1,MAX(0,($D12-'Cell Delivery'!$E$8)/('Cell Delivery'!$I$8-'Cell Delivery'!$E$8)))*Controls!$D$9+MIN(1,MAX(0,($D12-'Cell Delivery'!$E$9)/('Cell Delivery'!$I$9-'Cell Delivery'!$E$9)))*Controls!$D$9+MIN(1,MAX(0,($D12-'Cell Delivery'!$E$10)/('Cell Delivery'!$I$10-'Cell Delivery'!$E$10)))*Controls!$D$9+0+0)&gt;=1,1,0)</x:f>
        <x:v>0</x:v>
      </x:c>
      <x:c r="T12" s="49"/>
      <x:c r="U12" s="49"/>
      <x:c r="V12" s="49"/>
    </x:row>
    <x:row r="13">
      <x:c r="C13" s="49"/>
      <x:c r="D13" s="21" t="n">
        <x:v>36</x:v>
      </x:c>
      <x:c r="E13" s="36" t="n">
        <x:f>IF((0+0+MIN(1,MAX(0,($D13-'Cell Delivery'!$E$9)/('Cell Delivery'!$I$9-'Cell Delivery'!$E$9)))*Controls!$D$9+MIN(1,MAX(0,($D13-'Cell Delivery'!$E$10)/('Cell Delivery'!$I$10-'Cell Delivery'!$E$10)))*Controls!$D$9+MIN(1,MAX(0,($D13-'Cell Delivery'!$E$11)/('Cell Delivery'!$I$11-'Cell Delivery'!$E$11)))*Controls!$D$9+MIN(1,MAX(0,($D13-'Cell Delivery'!$E$12)/('Cell Delivery'!$I$12-'Cell Delivery'!$E$12)))*Controls!$D$9)&gt;=1,1,0)</x:f>
        <x:v>0</x:v>
      </x:c>
      <x:c r="F13" s="36" t="n">
        <x:f>IF((0+MIN(1,MAX(0,($D13-'Cell Delivery'!$E$8)/('Cell Delivery'!$I$8-'Cell Delivery'!$E$8)))*Controls!$D$9+0+MIN(1,MAX(0,($D13-'Cell Delivery'!$E$10)/('Cell Delivery'!$I$10-'Cell Delivery'!$E$10)))*Controls!$D$9+MIN(1,MAX(0,($D13-'Cell Delivery'!$E$11)/('Cell Delivery'!$I$11-'Cell Delivery'!$E$11)))*Controls!$D$9+MIN(1,MAX(0,($D13-'Cell Delivery'!$E$12)/('Cell Delivery'!$I$12-'Cell Delivery'!$E$12)))*Controls!$D$9)&gt;=1,1,0)</x:f>
        <x:v>0</x:v>
      </x:c>
      <x:c r="G13" s="36" t="n">
        <x:f>IF((0+MIN(1,MAX(0,($D13-'Cell Delivery'!$E$8)/('Cell Delivery'!$I$8-'Cell Delivery'!$E$8)))*Controls!$D$9+MIN(1,MAX(0,($D13-'Cell Delivery'!$E$9)/('Cell Delivery'!$I$9-'Cell Delivery'!$E$9)))*Controls!$D$9+0+MIN(1,MAX(0,($D13-'Cell Delivery'!$E$11)/('Cell Delivery'!$I$11-'Cell Delivery'!$E$11)))*Controls!$D$9+MIN(1,MAX(0,($D13-'Cell Delivery'!$E$12)/('Cell Delivery'!$I$12-'Cell Delivery'!$E$12)))*Controls!$D$9)&gt;=1,1,0)</x:f>
        <x:v>0</x:v>
      </x:c>
      <x:c r="H13" s="36" t="n">
        <x:f>IF((0+MIN(1,MAX(0,($D13-'Cell Delivery'!$E$8)/('Cell Delivery'!$I$8-'Cell Delivery'!$E$8)))*Controls!$D$9+MIN(1,MAX(0,($D13-'Cell Delivery'!$E$9)/('Cell Delivery'!$I$9-'Cell Delivery'!$E$9)))*Controls!$D$9+MIN(1,MAX(0,($D13-'Cell Delivery'!$E$10)/('Cell Delivery'!$I$10-'Cell Delivery'!$E$10)))*Controls!$D$9+0+MIN(1,MAX(0,($D13-'Cell Delivery'!$E$12)/('Cell Delivery'!$I$12-'Cell Delivery'!$E$12)))*Controls!$D$9)&gt;=1,1,0)</x:f>
        <x:v>0</x:v>
      </x:c>
      <x:c r="I13" s="36" t="n">
        <x:f>IF((0+MIN(1,MAX(0,($D13-'Cell Delivery'!$E$8)/('Cell Delivery'!$I$8-'Cell Delivery'!$E$8)))*Controls!$D$9+MIN(1,MAX(0,($D13-'Cell Delivery'!$E$9)/('Cell Delivery'!$I$9-'Cell Delivery'!$E$9)))*Controls!$D$9+MIN(1,MAX(0,($D13-'Cell Delivery'!$E$10)/('Cell Delivery'!$I$10-'Cell Delivery'!$E$10)))*Controls!$D$9+MIN(1,MAX(0,($D13-'Cell Delivery'!$E$11)/('Cell Delivery'!$I$11-'Cell Delivery'!$E$11)))*Controls!$D$9+0)&gt;=1,1,0)</x:f>
        <x:v>0</x:v>
      </x:c>
      <x:c r="J13" s="36" t="n">
        <x:f>IF((MIN(1,MAX(0,($D13-'Cell Delivery'!$E$7)/('Cell Delivery'!$I$7-'Cell Delivery'!$E$7)))*Controls!$D$9+0+0+MIN(1,MAX(0,($D13-'Cell Delivery'!$E$10)/('Cell Delivery'!$I$10-'Cell Delivery'!$E$10)))*Controls!$D$9+MIN(1,MAX(0,($D13-'Cell Delivery'!$E$11)/('Cell Delivery'!$I$11-'Cell Delivery'!$E$11)))*Controls!$D$9+MIN(1,MAX(0,($D13-'Cell Delivery'!$E$12)/('Cell Delivery'!$I$12-'Cell Delivery'!$E$12)))*Controls!$D$9)&gt;=1,1,0)</x:f>
        <x:v>0</x:v>
      </x:c>
      <x:c r="K13" s="36" t="n">
        <x:f>IF((MIN(1,MAX(0,($D13-'Cell Delivery'!$E$7)/('Cell Delivery'!$I$7-'Cell Delivery'!$E$7)))*Controls!$D$9+0+MIN(1,MAX(0,($D13-'Cell Delivery'!$E$9)/('Cell Delivery'!$I$9-'Cell Delivery'!$E$9)))*Controls!$D$9+0+MIN(1,MAX(0,($D13-'Cell Delivery'!$E$11)/('Cell Delivery'!$I$11-'Cell Delivery'!$E$11)))*Controls!$D$9+MIN(1,MAX(0,($D13-'Cell Delivery'!$E$12)/('Cell Delivery'!$I$12-'Cell Delivery'!$E$12)))*Controls!$D$9)&gt;=1,1,0)</x:f>
        <x:v>0</x:v>
      </x:c>
      <x:c r="L13" s="36" t="n">
        <x:f>IF((MIN(1,MAX(0,($D13-'Cell Delivery'!$E$7)/('Cell Delivery'!$I$7-'Cell Delivery'!$E$7)))*Controls!$D$9+0+MIN(1,MAX(0,($D13-'Cell Delivery'!$E$9)/('Cell Delivery'!$I$9-'Cell Delivery'!$E$9)))*Controls!$D$9+MIN(1,MAX(0,($D13-'Cell Delivery'!$E$10)/('Cell Delivery'!$I$10-'Cell Delivery'!$E$10)))*Controls!$D$9+0+MIN(1,MAX(0,($D13-'Cell Delivery'!$E$12)/('Cell Delivery'!$I$12-'Cell Delivery'!$E$12)))*Controls!$D$9)&gt;=1,1,0)</x:f>
        <x:v>0</x:v>
      </x:c>
      <x:c r="M13" s="36" t="n">
        <x:f>IF((MIN(1,MAX(0,($D13-'Cell Delivery'!$E$7)/('Cell Delivery'!$I$7-'Cell Delivery'!$E$7)))*Controls!$D$9+0+MIN(1,MAX(0,($D13-'Cell Delivery'!$E$9)/('Cell Delivery'!$I$9-'Cell Delivery'!$E$9)))*Controls!$D$9+MIN(1,MAX(0,($D13-'Cell Delivery'!$E$10)/('Cell Delivery'!$I$10-'Cell Delivery'!$E$10)))*Controls!$D$9+MIN(1,MAX(0,($D13-'Cell Delivery'!$E$11)/('Cell Delivery'!$I$11-'Cell Delivery'!$E$11)))*Controls!$D$9+0)&gt;=1,1,0)</x:f>
        <x:v>0</x:v>
      </x:c>
      <x:c r="N13" s="36" t="n">
        <x:f>IF((MIN(1,MAX(0,($D13-'Cell Delivery'!$E$7)/('Cell Delivery'!$I$7-'Cell Delivery'!$E$7)))*Controls!$D$9+MIN(1,MAX(0,($D13-'Cell Delivery'!$E$8)/('Cell Delivery'!$I$8-'Cell Delivery'!$E$8)))*Controls!$D$9+0+0+MIN(1,MAX(0,($D13-'Cell Delivery'!$E$11)/('Cell Delivery'!$I$11-'Cell Delivery'!$E$11)))*Controls!$D$9+MIN(1,MAX(0,($D13-'Cell Delivery'!$E$12)/('Cell Delivery'!$I$12-'Cell Delivery'!$E$12)))*Controls!$D$9)&gt;=1,1,0)</x:f>
        <x:v>0</x:v>
      </x:c>
      <x:c r="O13" s="36" t="n">
        <x:f>IF((MIN(1,MAX(0,($D13-'Cell Delivery'!$E$7)/('Cell Delivery'!$I$7-'Cell Delivery'!$E$7)))*Controls!$D$9+MIN(1,MAX(0,($D13-'Cell Delivery'!$E$8)/('Cell Delivery'!$I$8-'Cell Delivery'!$E$8)))*Controls!$D$9+0+MIN(1,MAX(0,($D13-'Cell Delivery'!$E$10)/('Cell Delivery'!$I$10-'Cell Delivery'!$E$10)))*Controls!$D$9+0+MIN(1,MAX(0,($D13-'Cell Delivery'!$E$12)/('Cell Delivery'!$I$12-'Cell Delivery'!$E$12)))*Controls!$D$9)&gt;=1,1,0)</x:f>
        <x:v>0</x:v>
      </x:c>
      <x:c r="P13" s="36" t="n">
        <x:f>IF((MIN(1,MAX(0,($D13-'Cell Delivery'!$E$7)/('Cell Delivery'!$I$7-'Cell Delivery'!$E$7)))*Controls!$D$9+MIN(1,MAX(0,($D13-'Cell Delivery'!$E$8)/('Cell Delivery'!$I$8-'Cell Delivery'!$E$8)))*Controls!$D$9+0+MIN(1,MAX(0,($D13-'Cell Delivery'!$E$10)/('Cell Delivery'!$I$10-'Cell Delivery'!$E$10)))*Controls!$D$9+MIN(1,MAX(0,($D13-'Cell Delivery'!$E$11)/('Cell Delivery'!$I$11-'Cell Delivery'!$E$11)))*Controls!$D$9+0)&gt;=1,1,0)</x:f>
        <x:v>0</x:v>
      </x:c>
      <x:c r="Q13" s="36" t="n">
        <x:f>IF((MIN(1,MAX(0,($D13-'Cell Delivery'!$E$7)/('Cell Delivery'!$I$7-'Cell Delivery'!$E$7)))*Controls!$D$9+MIN(1,MAX(0,($D13-'Cell Delivery'!$E$8)/('Cell Delivery'!$I$8-'Cell Delivery'!$E$8)))*Controls!$D$9+MIN(1,MAX(0,($D13-'Cell Delivery'!$E$9)/('Cell Delivery'!$I$9-'Cell Delivery'!$E$9)))*Controls!$D$9+0+0+MIN(1,MAX(0,($D13-'Cell Delivery'!$E$12)/('Cell Delivery'!$I$12-'Cell Delivery'!$E$12)))*Controls!$D$9)&gt;=1,1,0)</x:f>
        <x:v>0</x:v>
      </x:c>
      <x:c r="R13" s="36" t="n">
        <x:f>IF((MIN(1,MAX(0,($D13-'Cell Delivery'!$E$7)/('Cell Delivery'!$I$7-'Cell Delivery'!$E$7)))*Controls!$D$9+MIN(1,MAX(0,($D13-'Cell Delivery'!$E$8)/('Cell Delivery'!$I$8-'Cell Delivery'!$E$8)))*Controls!$D$9+MIN(1,MAX(0,($D13-'Cell Delivery'!$E$9)/('Cell Delivery'!$I$9-'Cell Delivery'!$E$9)))*Controls!$D$9+0+MIN(1,MAX(0,($D13-'Cell Delivery'!$E$11)/('Cell Delivery'!$I$11-'Cell Delivery'!$E$11)))*Controls!$D$9+0)&gt;=1,1,0)</x:f>
        <x:v>0</x:v>
      </x:c>
      <x:c r="S13" s="36" t="n">
        <x:f>IF((MIN(1,MAX(0,($D13-'Cell Delivery'!$E$7)/('Cell Delivery'!$I$7-'Cell Delivery'!$E$7)))*Controls!$D$9+MIN(1,MAX(0,($D13-'Cell Delivery'!$E$8)/('Cell Delivery'!$I$8-'Cell Delivery'!$E$8)))*Controls!$D$9+MIN(1,MAX(0,($D13-'Cell Delivery'!$E$9)/('Cell Delivery'!$I$9-'Cell Delivery'!$E$9)))*Controls!$D$9+MIN(1,MAX(0,($D13-'Cell Delivery'!$E$10)/('Cell Delivery'!$I$10-'Cell Delivery'!$E$10)))*Controls!$D$9+0+0)&gt;=1,1,0)</x:f>
        <x:v>0</x:v>
      </x:c>
      <x:c r="T13" s="49"/>
      <x:c r="U13" s="49"/>
      <x:c r="V13" s="49"/>
    </x:row>
    <x:row r="14">
      <x:c r="C14" s="49"/>
      <x:c r="D14" s="21" t="n">
        <x:v>42</x:v>
      </x:c>
      <x:c r="E14" s="36" t="n">
        <x:f>IF((0+0+MIN(1,MAX(0,($D14-'Cell Delivery'!$E$9)/('Cell Delivery'!$I$9-'Cell Delivery'!$E$9)))*Controls!$D$9+MIN(1,MAX(0,($D14-'Cell Delivery'!$E$10)/('Cell Delivery'!$I$10-'Cell Delivery'!$E$10)))*Controls!$D$9+MIN(1,MAX(0,($D14-'Cell Delivery'!$E$11)/('Cell Delivery'!$I$11-'Cell Delivery'!$E$11)))*Controls!$D$9+MIN(1,MAX(0,($D14-'Cell Delivery'!$E$12)/('Cell Delivery'!$I$12-'Cell Delivery'!$E$12)))*Controls!$D$9)&gt;=1,1,0)</x:f>
        <x:v>0</x:v>
      </x:c>
      <x:c r="F14" s="36" t="n">
        <x:f>IF((0+MIN(1,MAX(0,($D14-'Cell Delivery'!$E$8)/('Cell Delivery'!$I$8-'Cell Delivery'!$E$8)))*Controls!$D$9+0+MIN(1,MAX(0,($D14-'Cell Delivery'!$E$10)/('Cell Delivery'!$I$10-'Cell Delivery'!$E$10)))*Controls!$D$9+MIN(1,MAX(0,($D14-'Cell Delivery'!$E$11)/('Cell Delivery'!$I$11-'Cell Delivery'!$E$11)))*Controls!$D$9+MIN(1,MAX(0,($D14-'Cell Delivery'!$E$12)/('Cell Delivery'!$I$12-'Cell Delivery'!$E$12)))*Controls!$D$9)&gt;=1,1,0)</x:f>
        <x:v>0</x:v>
      </x:c>
      <x:c r="G14" s="36" t="n">
        <x:f>IF((0+MIN(1,MAX(0,($D14-'Cell Delivery'!$E$8)/('Cell Delivery'!$I$8-'Cell Delivery'!$E$8)))*Controls!$D$9+MIN(1,MAX(0,($D14-'Cell Delivery'!$E$9)/('Cell Delivery'!$I$9-'Cell Delivery'!$E$9)))*Controls!$D$9+0+MIN(1,MAX(0,($D14-'Cell Delivery'!$E$11)/('Cell Delivery'!$I$11-'Cell Delivery'!$E$11)))*Controls!$D$9+MIN(1,MAX(0,($D14-'Cell Delivery'!$E$12)/('Cell Delivery'!$I$12-'Cell Delivery'!$E$12)))*Controls!$D$9)&gt;=1,1,0)</x:f>
        <x:v>0</x:v>
      </x:c>
      <x:c r="H14" s="36" t="n">
        <x:f>IF((0+MIN(1,MAX(0,($D14-'Cell Delivery'!$E$8)/('Cell Delivery'!$I$8-'Cell Delivery'!$E$8)))*Controls!$D$9+MIN(1,MAX(0,($D14-'Cell Delivery'!$E$9)/('Cell Delivery'!$I$9-'Cell Delivery'!$E$9)))*Controls!$D$9+MIN(1,MAX(0,($D14-'Cell Delivery'!$E$10)/('Cell Delivery'!$I$10-'Cell Delivery'!$E$10)))*Controls!$D$9+0+MIN(1,MAX(0,($D14-'Cell Delivery'!$E$12)/('Cell Delivery'!$I$12-'Cell Delivery'!$E$12)))*Controls!$D$9)&gt;=1,1,0)</x:f>
        <x:v>0</x:v>
      </x:c>
      <x:c r="I14" s="36" t="n">
        <x:f>IF((0+MIN(1,MAX(0,($D14-'Cell Delivery'!$E$8)/('Cell Delivery'!$I$8-'Cell Delivery'!$E$8)))*Controls!$D$9+MIN(1,MAX(0,($D14-'Cell Delivery'!$E$9)/('Cell Delivery'!$I$9-'Cell Delivery'!$E$9)))*Controls!$D$9+MIN(1,MAX(0,($D14-'Cell Delivery'!$E$10)/('Cell Delivery'!$I$10-'Cell Delivery'!$E$10)))*Controls!$D$9+MIN(1,MAX(0,($D14-'Cell Delivery'!$E$11)/('Cell Delivery'!$I$11-'Cell Delivery'!$E$11)))*Controls!$D$9+0)&gt;=1,1,0)</x:f>
        <x:v>0</x:v>
      </x:c>
      <x:c r="J14" s="36" t="n">
        <x:f>IF((MIN(1,MAX(0,($D14-'Cell Delivery'!$E$7)/('Cell Delivery'!$I$7-'Cell Delivery'!$E$7)))*Controls!$D$9+0+0+MIN(1,MAX(0,($D14-'Cell Delivery'!$E$10)/('Cell Delivery'!$I$10-'Cell Delivery'!$E$10)))*Controls!$D$9+MIN(1,MAX(0,($D14-'Cell Delivery'!$E$11)/('Cell Delivery'!$I$11-'Cell Delivery'!$E$11)))*Controls!$D$9+MIN(1,MAX(0,($D14-'Cell Delivery'!$E$12)/('Cell Delivery'!$I$12-'Cell Delivery'!$E$12)))*Controls!$D$9)&gt;=1,1,0)</x:f>
        <x:v>0</x:v>
      </x:c>
      <x:c r="K14" s="36" t="n">
        <x:f>IF((MIN(1,MAX(0,($D14-'Cell Delivery'!$E$7)/('Cell Delivery'!$I$7-'Cell Delivery'!$E$7)))*Controls!$D$9+0+MIN(1,MAX(0,($D14-'Cell Delivery'!$E$9)/('Cell Delivery'!$I$9-'Cell Delivery'!$E$9)))*Controls!$D$9+0+MIN(1,MAX(0,($D14-'Cell Delivery'!$E$11)/('Cell Delivery'!$I$11-'Cell Delivery'!$E$11)))*Controls!$D$9+MIN(1,MAX(0,($D14-'Cell Delivery'!$E$12)/('Cell Delivery'!$I$12-'Cell Delivery'!$E$12)))*Controls!$D$9)&gt;=1,1,0)</x:f>
        <x:v>0</x:v>
      </x:c>
      <x:c r="L14" s="36" t="n">
        <x:f>IF((MIN(1,MAX(0,($D14-'Cell Delivery'!$E$7)/('Cell Delivery'!$I$7-'Cell Delivery'!$E$7)))*Controls!$D$9+0+MIN(1,MAX(0,($D14-'Cell Delivery'!$E$9)/('Cell Delivery'!$I$9-'Cell Delivery'!$E$9)))*Controls!$D$9+MIN(1,MAX(0,($D14-'Cell Delivery'!$E$10)/('Cell Delivery'!$I$10-'Cell Delivery'!$E$10)))*Controls!$D$9+0+MIN(1,MAX(0,($D14-'Cell Delivery'!$E$12)/('Cell Delivery'!$I$12-'Cell Delivery'!$E$12)))*Controls!$D$9)&gt;=1,1,0)</x:f>
        <x:v>0</x:v>
      </x:c>
      <x:c r="M14" s="36" t="n">
        <x:f>IF((MIN(1,MAX(0,($D14-'Cell Delivery'!$E$7)/('Cell Delivery'!$I$7-'Cell Delivery'!$E$7)))*Controls!$D$9+0+MIN(1,MAX(0,($D14-'Cell Delivery'!$E$9)/('Cell Delivery'!$I$9-'Cell Delivery'!$E$9)))*Controls!$D$9+MIN(1,MAX(0,($D14-'Cell Delivery'!$E$10)/('Cell Delivery'!$I$10-'Cell Delivery'!$E$10)))*Controls!$D$9+MIN(1,MAX(0,($D14-'Cell Delivery'!$E$11)/('Cell Delivery'!$I$11-'Cell Delivery'!$E$11)))*Controls!$D$9+0)&gt;=1,1,0)</x:f>
        <x:v>0</x:v>
      </x:c>
      <x:c r="N14" s="36" t="n">
        <x:f>IF((MIN(1,MAX(0,($D14-'Cell Delivery'!$E$7)/('Cell Delivery'!$I$7-'Cell Delivery'!$E$7)))*Controls!$D$9+MIN(1,MAX(0,($D14-'Cell Delivery'!$E$8)/('Cell Delivery'!$I$8-'Cell Delivery'!$E$8)))*Controls!$D$9+0+0+MIN(1,MAX(0,($D14-'Cell Delivery'!$E$11)/('Cell Delivery'!$I$11-'Cell Delivery'!$E$11)))*Controls!$D$9+MIN(1,MAX(0,($D14-'Cell Delivery'!$E$12)/('Cell Delivery'!$I$12-'Cell Delivery'!$E$12)))*Controls!$D$9)&gt;=1,1,0)</x:f>
        <x:v>0</x:v>
      </x:c>
      <x:c r="O14" s="36" t="n">
        <x:f>IF((MIN(1,MAX(0,($D14-'Cell Delivery'!$E$7)/('Cell Delivery'!$I$7-'Cell Delivery'!$E$7)))*Controls!$D$9+MIN(1,MAX(0,($D14-'Cell Delivery'!$E$8)/('Cell Delivery'!$I$8-'Cell Delivery'!$E$8)))*Controls!$D$9+0+MIN(1,MAX(0,($D14-'Cell Delivery'!$E$10)/('Cell Delivery'!$I$10-'Cell Delivery'!$E$10)))*Controls!$D$9+0+MIN(1,MAX(0,($D14-'Cell Delivery'!$E$12)/('Cell Delivery'!$I$12-'Cell Delivery'!$E$12)))*Controls!$D$9)&gt;=1,1,0)</x:f>
        <x:v>0</x:v>
      </x:c>
      <x:c r="P14" s="36" t="n">
        <x:f>IF((MIN(1,MAX(0,($D14-'Cell Delivery'!$E$7)/('Cell Delivery'!$I$7-'Cell Delivery'!$E$7)))*Controls!$D$9+MIN(1,MAX(0,($D14-'Cell Delivery'!$E$8)/('Cell Delivery'!$I$8-'Cell Delivery'!$E$8)))*Controls!$D$9+0+MIN(1,MAX(0,($D14-'Cell Delivery'!$E$10)/('Cell Delivery'!$I$10-'Cell Delivery'!$E$10)))*Controls!$D$9+MIN(1,MAX(0,($D14-'Cell Delivery'!$E$11)/('Cell Delivery'!$I$11-'Cell Delivery'!$E$11)))*Controls!$D$9+0)&gt;=1,1,0)</x:f>
        <x:v>0</x:v>
      </x:c>
      <x:c r="Q14" s="36" t="n">
        <x:f>IF((MIN(1,MAX(0,($D14-'Cell Delivery'!$E$7)/('Cell Delivery'!$I$7-'Cell Delivery'!$E$7)))*Controls!$D$9+MIN(1,MAX(0,($D14-'Cell Delivery'!$E$8)/('Cell Delivery'!$I$8-'Cell Delivery'!$E$8)))*Controls!$D$9+MIN(1,MAX(0,($D14-'Cell Delivery'!$E$9)/('Cell Delivery'!$I$9-'Cell Delivery'!$E$9)))*Controls!$D$9+0+0+MIN(1,MAX(0,($D14-'Cell Delivery'!$E$12)/('Cell Delivery'!$I$12-'Cell Delivery'!$E$12)))*Controls!$D$9)&gt;=1,1,0)</x:f>
        <x:v>0</x:v>
      </x:c>
      <x:c r="R14" s="36" t="n">
        <x:f>IF((MIN(1,MAX(0,($D14-'Cell Delivery'!$E$7)/('Cell Delivery'!$I$7-'Cell Delivery'!$E$7)))*Controls!$D$9+MIN(1,MAX(0,($D14-'Cell Delivery'!$E$8)/('Cell Delivery'!$I$8-'Cell Delivery'!$E$8)))*Controls!$D$9+MIN(1,MAX(0,($D14-'Cell Delivery'!$E$9)/('Cell Delivery'!$I$9-'Cell Delivery'!$E$9)))*Controls!$D$9+0+MIN(1,MAX(0,($D14-'Cell Delivery'!$E$11)/('Cell Delivery'!$I$11-'Cell Delivery'!$E$11)))*Controls!$D$9+0)&gt;=1,1,0)</x:f>
        <x:v>0</x:v>
      </x:c>
      <x:c r="S14" s="36" t="n">
        <x:f>IF((MIN(1,MAX(0,($D14-'Cell Delivery'!$E$7)/('Cell Delivery'!$I$7-'Cell Delivery'!$E$7)))*Controls!$D$9+MIN(1,MAX(0,($D14-'Cell Delivery'!$E$8)/('Cell Delivery'!$I$8-'Cell Delivery'!$E$8)))*Controls!$D$9+MIN(1,MAX(0,($D14-'Cell Delivery'!$E$9)/('Cell Delivery'!$I$9-'Cell Delivery'!$E$9)))*Controls!$D$9+MIN(1,MAX(0,($D14-'Cell Delivery'!$E$10)/('Cell Delivery'!$I$10-'Cell Delivery'!$E$10)))*Controls!$D$9+0+0)&gt;=1,1,0)</x:f>
        <x:v>0</x:v>
      </x:c>
      <x:c r="T14" s="49"/>
      <x:c r="U14" s="49"/>
      <x:c r="V14" s="49"/>
    </x:row>
    <x:row r="15">
      <x:c r="C15" s="49"/>
      <x:c r="D15" s="21" t="n">
        <x:v>48</x:v>
      </x:c>
      <x:c r="E15" s="36" t="n">
        <x:f>IF((0+0+MIN(1,MAX(0,($D15-'Cell Delivery'!$E$9)/('Cell Delivery'!$I$9-'Cell Delivery'!$E$9)))*Controls!$D$9+MIN(1,MAX(0,($D15-'Cell Delivery'!$E$10)/('Cell Delivery'!$I$10-'Cell Delivery'!$E$10)))*Controls!$D$9+MIN(1,MAX(0,($D15-'Cell Delivery'!$E$11)/('Cell Delivery'!$I$11-'Cell Delivery'!$E$11)))*Controls!$D$9+MIN(1,MAX(0,($D15-'Cell Delivery'!$E$12)/('Cell Delivery'!$I$12-'Cell Delivery'!$E$12)))*Controls!$D$9)&gt;=1,1,0)</x:f>
        <x:v>0</x:v>
      </x:c>
      <x:c r="F15" s="36" t="n">
        <x:f>IF((0+MIN(1,MAX(0,($D15-'Cell Delivery'!$E$8)/('Cell Delivery'!$I$8-'Cell Delivery'!$E$8)))*Controls!$D$9+0+MIN(1,MAX(0,($D15-'Cell Delivery'!$E$10)/('Cell Delivery'!$I$10-'Cell Delivery'!$E$10)))*Controls!$D$9+MIN(1,MAX(0,($D15-'Cell Delivery'!$E$11)/('Cell Delivery'!$I$11-'Cell Delivery'!$E$11)))*Controls!$D$9+MIN(1,MAX(0,($D15-'Cell Delivery'!$E$12)/('Cell Delivery'!$I$12-'Cell Delivery'!$E$12)))*Controls!$D$9)&gt;=1,1,0)</x:f>
        <x:v>0</x:v>
      </x:c>
      <x:c r="G15" s="36" t="n">
        <x:f>IF((0+MIN(1,MAX(0,($D15-'Cell Delivery'!$E$8)/('Cell Delivery'!$I$8-'Cell Delivery'!$E$8)))*Controls!$D$9+MIN(1,MAX(0,($D15-'Cell Delivery'!$E$9)/('Cell Delivery'!$I$9-'Cell Delivery'!$E$9)))*Controls!$D$9+0+MIN(1,MAX(0,($D15-'Cell Delivery'!$E$11)/('Cell Delivery'!$I$11-'Cell Delivery'!$E$11)))*Controls!$D$9+MIN(1,MAX(0,($D15-'Cell Delivery'!$E$12)/('Cell Delivery'!$I$12-'Cell Delivery'!$E$12)))*Controls!$D$9)&gt;=1,1,0)</x:f>
        <x:v>0</x:v>
      </x:c>
      <x:c r="H15" s="36" t="n">
        <x:f>IF((0+MIN(1,MAX(0,($D15-'Cell Delivery'!$E$8)/('Cell Delivery'!$I$8-'Cell Delivery'!$E$8)))*Controls!$D$9+MIN(1,MAX(0,($D15-'Cell Delivery'!$E$9)/('Cell Delivery'!$I$9-'Cell Delivery'!$E$9)))*Controls!$D$9+MIN(1,MAX(0,($D15-'Cell Delivery'!$E$10)/('Cell Delivery'!$I$10-'Cell Delivery'!$E$10)))*Controls!$D$9+0+MIN(1,MAX(0,($D15-'Cell Delivery'!$E$12)/('Cell Delivery'!$I$12-'Cell Delivery'!$E$12)))*Controls!$D$9)&gt;=1,1,0)</x:f>
        <x:v>0</x:v>
      </x:c>
      <x:c r="I15" s="36" t="n">
        <x:f>IF((0+MIN(1,MAX(0,($D15-'Cell Delivery'!$E$8)/('Cell Delivery'!$I$8-'Cell Delivery'!$E$8)))*Controls!$D$9+MIN(1,MAX(0,($D15-'Cell Delivery'!$E$9)/('Cell Delivery'!$I$9-'Cell Delivery'!$E$9)))*Controls!$D$9+MIN(1,MAX(0,($D15-'Cell Delivery'!$E$10)/('Cell Delivery'!$I$10-'Cell Delivery'!$E$10)))*Controls!$D$9+MIN(1,MAX(0,($D15-'Cell Delivery'!$E$11)/('Cell Delivery'!$I$11-'Cell Delivery'!$E$11)))*Controls!$D$9+0)&gt;=1,1,0)</x:f>
        <x:v>0</x:v>
      </x:c>
      <x:c r="J15" s="36" t="n">
        <x:f>IF((MIN(1,MAX(0,($D15-'Cell Delivery'!$E$7)/('Cell Delivery'!$I$7-'Cell Delivery'!$E$7)))*Controls!$D$9+0+0+MIN(1,MAX(0,($D15-'Cell Delivery'!$E$10)/('Cell Delivery'!$I$10-'Cell Delivery'!$E$10)))*Controls!$D$9+MIN(1,MAX(0,($D15-'Cell Delivery'!$E$11)/('Cell Delivery'!$I$11-'Cell Delivery'!$E$11)))*Controls!$D$9+MIN(1,MAX(0,($D15-'Cell Delivery'!$E$12)/('Cell Delivery'!$I$12-'Cell Delivery'!$E$12)))*Controls!$D$9)&gt;=1,1,0)</x:f>
        <x:v>0</x:v>
      </x:c>
      <x:c r="K15" s="36" t="n">
        <x:f>IF((MIN(1,MAX(0,($D15-'Cell Delivery'!$E$7)/('Cell Delivery'!$I$7-'Cell Delivery'!$E$7)))*Controls!$D$9+0+MIN(1,MAX(0,($D15-'Cell Delivery'!$E$9)/('Cell Delivery'!$I$9-'Cell Delivery'!$E$9)))*Controls!$D$9+0+MIN(1,MAX(0,($D15-'Cell Delivery'!$E$11)/('Cell Delivery'!$I$11-'Cell Delivery'!$E$11)))*Controls!$D$9+MIN(1,MAX(0,($D15-'Cell Delivery'!$E$12)/('Cell Delivery'!$I$12-'Cell Delivery'!$E$12)))*Controls!$D$9)&gt;=1,1,0)</x:f>
        <x:v>0</x:v>
      </x:c>
      <x:c r="L15" s="36" t="n">
        <x:f>IF((MIN(1,MAX(0,($D15-'Cell Delivery'!$E$7)/('Cell Delivery'!$I$7-'Cell Delivery'!$E$7)))*Controls!$D$9+0+MIN(1,MAX(0,($D15-'Cell Delivery'!$E$9)/('Cell Delivery'!$I$9-'Cell Delivery'!$E$9)))*Controls!$D$9+MIN(1,MAX(0,($D15-'Cell Delivery'!$E$10)/('Cell Delivery'!$I$10-'Cell Delivery'!$E$10)))*Controls!$D$9+0+MIN(1,MAX(0,($D15-'Cell Delivery'!$E$12)/('Cell Delivery'!$I$12-'Cell Delivery'!$E$12)))*Controls!$D$9)&gt;=1,1,0)</x:f>
        <x:v>0</x:v>
      </x:c>
      <x:c r="M15" s="36" t="n">
        <x:f>IF((MIN(1,MAX(0,($D15-'Cell Delivery'!$E$7)/('Cell Delivery'!$I$7-'Cell Delivery'!$E$7)))*Controls!$D$9+0+MIN(1,MAX(0,($D15-'Cell Delivery'!$E$9)/('Cell Delivery'!$I$9-'Cell Delivery'!$E$9)))*Controls!$D$9+MIN(1,MAX(0,($D15-'Cell Delivery'!$E$10)/('Cell Delivery'!$I$10-'Cell Delivery'!$E$10)))*Controls!$D$9+MIN(1,MAX(0,($D15-'Cell Delivery'!$E$11)/('Cell Delivery'!$I$11-'Cell Delivery'!$E$11)))*Controls!$D$9+0)&gt;=1,1,0)</x:f>
        <x:v>0</x:v>
      </x:c>
      <x:c r="N15" s="36" t="n">
        <x:f>IF((MIN(1,MAX(0,($D15-'Cell Delivery'!$E$7)/('Cell Delivery'!$I$7-'Cell Delivery'!$E$7)))*Controls!$D$9+MIN(1,MAX(0,($D15-'Cell Delivery'!$E$8)/('Cell Delivery'!$I$8-'Cell Delivery'!$E$8)))*Controls!$D$9+0+0+MIN(1,MAX(0,($D15-'Cell Delivery'!$E$11)/('Cell Delivery'!$I$11-'Cell Delivery'!$E$11)))*Controls!$D$9+MIN(1,MAX(0,($D15-'Cell Delivery'!$E$12)/('Cell Delivery'!$I$12-'Cell Delivery'!$E$12)))*Controls!$D$9)&gt;=1,1,0)</x:f>
        <x:v>0</x:v>
      </x:c>
      <x:c r="O15" s="36" t="n">
        <x:f>IF((MIN(1,MAX(0,($D15-'Cell Delivery'!$E$7)/('Cell Delivery'!$I$7-'Cell Delivery'!$E$7)))*Controls!$D$9+MIN(1,MAX(0,($D15-'Cell Delivery'!$E$8)/('Cell Delivery'!$I$8-'Cell Delivery'!$E$8)))*Controls!$D$9+0+MIN(1,MAX(0,($D15-'Cell Delivery'!$E$10)/('Cell Delivery'!$I$10-'Cell Delivery'!$E$10)))*Controls!$D$9+0+MIN(1,MAX(0,($D15-'Cell Delivery'!$E$12)/('Cell Delivery'!$I$12-'Cell Delivery'!$E$12)))*Controls!$D$9)&gt;=1,1,0)</x:f>
        <x:v>0</x:v>
      </x:c>
      <x:c r="P15" s="36" t="n">
        <x:f>IF((MIN(1,MAX(0,($D15-'Cell Delivery'!$E$7)/('Cell Delivery'!$I$7-'Cell Delivery'!$E$7)))*Controls!$D$9+MIN(1,MAX(0,($D15-'Cell Delivery'!$E$8)/('Cell Delivery'!$I$8-'Cell Delivery'!$E$8)))*Controls!$D$9+0+MIN(1,MAX(0,($D15-'Cell Delivery'!$E$10)/('Cell Delivery'!$I$10-'Cell Delivery'!$E$10)))*Controls!$D$9+MIN(1,MAX(0,($D15-'Cell Delivery'!$E$11)/('Cell Delivery'!$I$11-'Cell Delivery'!$E$11)))*Controls!$D$9+0)&gt;=1,1,0)</x:f>
        <x:v>0</x:v>
      </x:c>
      <x:c r="Q15" s="36" t="n">
        <x:f>IF((MIN(1,MAX(0,($D15-'Cell Delivery'!$E$7)/('Cell Delivery'!$I$7-'Cell Delivery'!$E$7)))*Controls!$D$9+MIN(1,MAX(0,($D15-'Cell Delivery'!$E$8)/('Cell Delivery'!$I$8-'Cell Delivery'!$E$8)))*Controls!$D$9+MIN(1,MAX(0,($D15-'Cell Delivery'!$E$9)/('Cell Delivery'!$I$9-'Cell Delivery'!$E$9)))*Controls!$D$9+0+0+MIN(1,MAX(0,($D15-'Cell Delivery'!$E$12)/('Cell Delivery'!$I$12-'Cell Delivery'!$E$12)))*Controls!$D$9)&gt;=1,1,0)</x:f>
        <x:v>0</x:v>
      </x:c>
      <x:c r="R15" s="36" t="n">
        <x:f>IF((MIN(1,MAX(0,($D15-'Cell Delivery'!$E$7)/('Cell Delivery'!$I$7-'Cell Delivery'!$E$7)))*Controls!$D$9+MIN(1,MAX(0,($D15-'Cell Delivery'!$E$8)/('Cell Delivery'!$I$8-'Cell Delivery'!$E$8)))*Controls!$D$9+MIN(1,MAX(0,($D15-'Cell Delivery'!$E$9)/('Cell Delivery'!$I$9-'Cell Delivery'!$E$9)))*Controls!$D$9+0+MIN(1,MAX(0,($D15-'Cell Delivery'!$E$11)/('Cell Delivery'!$I$11-'Cell Delivery'!$E$11)))*Controls!$D$9+0)&gt;=1,1,0)</x:f>
        <x:v>0</x:v>
      </x:c>
      <x:c r="S15" s="36" t="n">
        <x:f>IF((MIN(1,MAX(0,($D15-'Cell Delivery'!$E$7)/('Cell Delivery'!$I$7-'Cell Delivery'!$E$7)))*Controls!$D$9+MIN(1,MAX(0,($D15-'Cell Delivery'!$E$8)/('Cell Delivery'!$I$8-'Cell Delivery'!$E$8)))*Controls!$D$9+MIN(1,MAX(0,($D15-'Cell Delivery'!$E$9)/('Cell Delivery'!$I$9-'Cell Delivery'!$E$9)))*Controls!$D$9+MIN(1,MAX(0,($D15-'Cell Delivery'!$E$10)/('Cell Delivery'!$I$10-'Cell Delivery'!$E$10)))*Controls!$D$9+0+0)&gt;=1,1,0)</x:f>
        <x:v>1</x:v>
      </x:c>
      <x:c r="T15" s="49"/>
      <x:c r="U15" s="49"/>
      <x:c r="V15" s="49"/>
    </x:row>
    <x:row r="16">
      <x:c r="C16" s="49"/>
      <x:c r="D16" s="21" t="n">
        <x:v>54</x:v>
      </x:c>
      <x:c r="E16" s="36" t="n">
        <x:f>IF((0+0+MIN(1,MAX(0,($D16-'Cell Delivery'!$E$9)/('Cell Delivery'!$I$9-'Cell Delivery'!$E$9)))*Controls!$D$9+MIN(1,MAX(0,($D16-'Cell Delivery'!$E$10)/('Cell Delivery'!$I$10-'Cell Delivery'!$E$10)))*Controls!$D$9+MIN(1,MAX(0,($D16-'Cell Delivery'!$E$11)/('Cell Delivery'!$I$11-'Cell Delivery'!$E$11)))*Controls!$D$9+MIN(1,MAX(0,($D16-'Cell Delivery'!$E$12)/('Cell Delivery'!$I$12-'Cell Delivery'!$E$12)))*Controls!$D$9)&gt;=1,1,0)</x:f>
        <x:v>0</x:v>
      </x:c>
      <x:c r="F16" s="36" t="n">
        <x:f>IF((0+MIN(1,MAX(0,($D16-'Cell Delivery'!$E$8)/('Cell Delivery'!$I$8-'Cell Delivery'!$E$8)))*Controls!$D$9+0+MIN(1,MAX(0,($D16-'Cell Delivery'!$E$10)/('Cell Delivery'!$I$10-'Cell Delivery'!$E$10)))*Controls!$D$9+MIN(1,MAX(0,($D16-'Cell Delivery'!$E$11)/('Cell Delivery'!$I$11-'Cell Delivery'!$E$11)))*Controls!$D$9+MIN(1,MAX(0,($D16-'Cell Delivery'!$E$12)/('Cell Delivery'!$I$12-'Cell Delivery'!$E$12)))*Controls!$D$9)&gt;=1,1,0)</x:f>
        <x:v>0</x:v>
      </x:c>
      <x:c r="G16" s="36" t="n">
        <x:f>IF((0+MIN(1,MAX(0,($D16-'Cell Delivery'!$E$8)/('Cell Delivery'!$I$8-'Cell Delivery'!$E$8)))*Controls!$D$9+MIN(1,MAX(0,($D16-'Cell Delivery'!$E$9)/('Cell Delivery'!$I$9-'Cell Delivery'!$E$9)))*Controls!$D$9+0+MIN(1,MAX(0,($D16-'Cell Delivery'!$E$11)/('Cell Delivery'!$I$11-'Cell Delivery'!$E$11)))*Controls!$D$9+MIN(1,MAX(0,($D16-'Cell Delivery'!$E$12)/('Cell Delivery'!$I$12-'Cell Delivery'!$E$12)))*Controls!$D$9)&gt;=1,1,0)</x:f>
        <x:v>0</x:v>
      </x:c>
      <x:c r="H16" s="36" t="n">
        <x:f>IF((0+MIN(1,MAX(0,($D16-'Cell Delivery'!$E$8)/('Cell Delivery'!$I$8-'Cell Delivery'!$E$8)))*Controls!$D$9+MIN(1,MAX(0,($D16-'Cell Delivery'!$E$9)/('Cell Delivery'!$I$9-'Cell Delivery'!$E$9)))*Controls!$D$9+MIN(1,MAX(0,($D16-'Cell Delivery'!$E$10)/('Cell Delivery'!$I$10-'Cell Delivery'!$E$10)))*Controls!$D$9+0+MIN(1,MAX(0,($D16-'Cell Delivery'!$E$12)/('Cell Delivery'!$I$12-'Cell Delivery'!$E$12)))*Controls!$D$9)&gt;=1,1,0)</x:f>
        <x:v>0</x:v>
      </x:c>
      <x:c r="I16" s="36" t="n">
        <x:f>IF((0+MIN(1,MAX(0,($D16-'Cell Delivery'!$E$8)/('Cell Delivery'!$I$8-'Cell Delivery'!$E$8)))*Controls!$D$9+MIN(1,MAX(0,($D16-'Cell Delivery'!$E$9)/('Cell Delivery'!$I$9-'Cell Delivery'!$E$9)))*Controls!$D$9+MIN(1,MAX(0,($D16-'Cell Delivery'!$E$10)/('Cell Delivery'!$I$10-'Cell Delivery'!$E$10)))*Controls!$D$9+MIN(1,MAX(0,($D16-'Cell Delivery'!$E$11)/('Cell Delivery'!$I$11-'Cell Delivery'!$E$11)))*Controls!$D$9+0)&gt;=1,1,0)</x:f>
        <x:v>0</x:v>
      </x:c>
      <x:c r="J16" s="36" t="n">
        <x:f>IF((MIN(1,MAX(0,($D16-'Cell Delivery'!$E$7)/('Cell Delivery'!$I$7-'Cell Delivery'!$E$7)))*Controls!$D$9+0+0+MIN(1,MAX(0,($D16-'Cell Delivery'!$E$10)/('Cell Delivery'!$I$10-'Cell Delivery'!$E$10)))*Controls!$D$9+MIN(1,MAX(0,($D16-'Cell Delivery'!$E$11)/('Cell Delivery'!$I$11-'Cell Delivery'!$E$11)))*Controls!$D$9+MIN(1,MAX(0,($D16-'Cell Delivery'!$E$12)/('Cell Delivery'!$I$12-'Cell Delivery'!$E$12)))*Controls!$D$9)&gt;=1,1,0)</x:f>
        <x:v>0</x:v>
      </x:c>
      <x:c r="K16" s="36" t="n">
        <x:f>IF((MIN(1,MAX(0,($D16-'Cell Delivery'!$E$7)/('Cell Delivery'!$I$7-'Cell Delivery'!$E$7)))*Controls!$D$9+0+MIN(1,MAX(0,($D16-'Cell Delivery'!$E$9)/('Cell Delivery'!$I$9-'Cell Delivery'!$E$9)))*Controls!$D$9+0+MIN(1,MAX(0,($D16-'Cell Delivery'!$E$11)/('Cell Delivery'!$I$11-'Cell Delivery'!$E$11)))*Controls!$D$9+MIN(1,MAX(0,($D16-'Cell Delivery'!$E$12)/('Cell Delivery'!$I$12-'Cell Delivery'!$E$12)))*Controls!$D$9)&gt;=1,1,0)</x:f>
        <x:v>0</x:v>
      </x:c>
      <x:c r="L16" s="36" t="n">
        <x:f>IF((MIN(1,MAX(0,($D16-'Cell Delivery'!$E$7)/('Cell Delivery'!$I$7-'Cell Delivery'!$E$7)))*Controls!$D$9+0+MIN(1,MAX(0,($D16-'Cell Delivery'!$E$9)/('Cell Delivery'!$I$9-'Cell Delivery'!$E$9)))*Controls!$D$9+MIN(1,MAX(0,($D16-'Cell Delivery'!$E$10)/('Cell Delivery'!$I$10-'Cell Delivery'!$E$10)))*Controls!$D$9+0+MIN(1,MAX(0,($D16-'Cell Delivery'!$E$12)/('Cell Delivery'!$I$12-'Cell Delivery'!$E$12)))*Controls!$D$9)&gt;=1,1,0)</x:f>
        <x:v>0</x:v>
      </x:c>
      <x:c r="M16" s="36" t="n">
        <x:f>IF((MIN(1,MAX(0,($D16-'Cell Delivery'!$E$7)/('Cell Delivery'!$I$7-'Cell Delivery'!$E$7)))*Controls!$D$9+0+MIN(1,MAX(0,($D16-'Cell Delivery'!$E$9)/('Cell Delivery'!$I$9-'Cell Delivery'!$E$9)))*Controls!$D$9+MIN(1,MAX(0,($D16-'Cell Delivery'!$E$10)/('Cell Delivery'!$I$10-'Cell Delivery'!$E$10)))*Controls!$D$9+MIN(1,MAX(0,($D16-'Cell Delivery'!$E$11)/('Cell Delivery'!$I$11-'Cell Delivery'!$E$11)))*Controls!$D$9+0)&gt;=1,1,0)</x:f>
        <x:v>0</x:v>
      </x:c>
      <x:c r="N16" s="36" t="n">
        <x:f>IF((MIN(1,MAX(0,($D16-'Cell Delivery'!$E$7)/('Cell Delivery'!$I$7-'Cell Delivery'!$E$7)))*Controls!$D$9+MIN(1,MAX(0,($D16-'Cell Delivery'!$E$8)/('Cell Delivery'!$I$8-'Cell Delivery'!$E$8)))*Controls!$D$9+0+0+MIN(1,MAX(0,($D16-'Cell Delivery'!$E$11)/('Cell Delivery'!$I$11-'Cell Delivery'!$E$11)))*Controls!$D$9+MIN(1,MAX(0,($D16-'Cell Delivery'!$E$12)/('Cell Delivery'!$I$12-'Cell Delivery'!$E$12)))*Controls!$D$9)&gt;=1,1,0)</x:f>
        <x:v>1</x:v>
      </x:c>
      <x:c r="O16" s="36" t="n">
        <x:f>IF((MIN(1,MAX(0,($D16-'Cell Delivery'!$E$7)/('Cell Delivery'!$I$7-'Cell Delivery'!$E$7)))*Controls!$D$9+MIN(1,MAX(0,($D16-'Cell Delivery'!$E$8)/('Cell Delivery'!$I$8-'Cell Delivery'!$E$8)))*Controls!$D$9+0+MIN(1,MAX(0,($D16-'Cell Delivery'!$E$10)/('Cell Delivery'!$I$10-'Cell Delivery'!$E$10)))*Controls!$D$9+0+MIN(1,MAX(0,($D16-'Cell Delivery'!$E$12)/('Cell Delivery'!$I$12-'Cell Delivery'!$E$12)))*Controls!$D$9)&gt;=1,1,0)</x:f>
        <x:v>1</x:v>
      </x:c>
      <x:c r="P16" s="36" t="n">
        <x:f>IF((MIN(1,MAX(0,($D16-'Cell Delivery'!$E$7)/('Cell Delivery'!$I$7-'Cell Delivery'!$E$7)))*Controls!$D$9+MIN(1,MAX(0,($D16-'Cell Delivery'!$E$8)/('Cell Delivery'!$I$8-'Cell Delivery'!$E$8)))*Controls!$D$9+0+MIN(1,MAX(0,($D16-'Cell Delivery'!$E$10)/('Cell Delivery'!$I$10-'Cell Delivery'!$E$10)))*Controls!$D$9+MIN(1,MAX(0,($D16-'Cell Delivery'!$E$11)/('Cell Delivery'!$I$11-'Cell Delivery'!$E$11)))*Controls!$D$9+0)&gt;=1,1,0)</x:f>
        <x:v>1</x:v>
      </x:c>
      <x:c r="Q16" s="36" t="n">
        <x:f>IF((MIN(1,MAX(0,($D16-'Cell Delivery'!$E$7)/('Cell Delivery'!$I$7-'Cell Delivery'!$E$7)))*Controls!$D$9+MIN(1,MAX(0,($D16-'Cell Delivery'!$E$8)/('Cell Delivery'!$I$8-'Cell Delivery'!$E$8)))*Controls!$D$9+MIN(1,MAX(0,($D16-'Cell Delivery'!$E$9)/('Cell Delivery'!$I$9-'Cell Delivery'!$E$9)))*Controls!$D$9+0+0+MIN(1,MAX(0,($D16-'Cell Delivery'!$E$12)/('Cell Delivery'!$I$12-'Cell Delivery'!$E$12)))*Controls!$D$9)&gt;=1,1,0)</x:f>
        <x:v>1</x:v>
      </x:c>
      <x:c r="R16" s="36" t="n">
        <x:f>IF((MIN(1,MAX(0,($D16-'Cell Delivery'!$E$7)/('Cell Delivery'!$I$7-'Cell Delivery'!$E$7)))*Controls!$D$9+MIN(1,MAX(0,($D16-'Cell Delivery'!$E$8)/('Cell Delivery'!$I$8-'Cell Delivery'!$E$8)))*Controls!$D$9+MIN(1,MAX(0,($D16-'Cell Delivery'!$E$9)/('Cell Delivery'!$I$9-'Cell Delivery'!$E$9)))*Controls!$D$9+0+MIN(1,MAX(0,($D16-'Cell Delivery'!$E$11)/('Cell Delivery'!$I$11-'Cell Delivery'!$E$11)))*Controls!$D$9+0)&gt;=1,1,0)</x:f>
        <x:v>1</x:v>
      </x:c>
      <x:c r="S16" s="36" t="n">
        <x:f>IF((MIN(1,MAX(0,($D16-'Cell Delivery'!$E$7)/('Cell Delivery'!$I$7-'Cell Delivery'!$E$7)))*Controls!$D$9+MIN(1,MAX(0,($D16-'Cell Delivery'!$E$8)/('Cell Delivery'!$I$8-'Cell Delivery'!$E$8)))*Controls!$D$9+MIN(1,MAX(0,($D16-'Cell Delivery'!$E$9)/('Cell Delivery'!$I$9-'Cell Delivery'!$E$9)))*Controls!$D$9+MIN(1,MAX(0,($D16-'Cell Delivery'!$E$10)/('Cell Delivery'!$I$10-'Cell Delivery'!$E$10)))*Controls!$D$9+0+0)&gt;=1,1,0)</x:f>
        <x:v>1</x:v>
      </x:c>
      <x:c r="T16" s="49"/>
      <x:c r="U16" s="49"/>
      <x:c r="V16" s="49"/>
    </x:row>
    <x:row r="17">
      <x:c r="C17" s="49"/>
      <x:c r="D17" s="21" t="n">
        <x:v>60</x:v>
      </x:c>
      <x:c r="E17" s="36" t="n">
        <x:f>IF((0+0+MIN(1,MAX(0,($D17-'Cell Delivery'!$E$9)/('Cell Delivery'!$I$9-'Cell Delivery'!$E$9)))*Controls!$D$9+MIN(1,MAX(0,($D17-'Cell Delivery'!$E$10)/('Cell Delivery'!$I$10-'Cell Delivery'!$E$10)))*Controls!$D$9+MIN(1,MAX(0,($D17-'Cell Delivery'!$E$11)/('Cell Delivery'!$I$11-'Cell Delivery'!$E$11)))*Controls!$D$9+MIN(1,MAX(0,($D17-'Cell Delivery'!$E$12)/('Cell Delivery'!$I$12-'Cell Delivery'!$E$12)))*Controls!$D$9)&gt;=1,1,0)</x:f>
        <x:v>1</x:v>
      </x:c>
      <x:c r="F17" s="36" t="n">
        <x:f>IF((0+MIN(1,MAX(0,($D17-'Cell Delivery'!$E$8)/('Cell Delivery'!$I$8-'Cell Delivery'!$E$8)))*Controls!$D$9+0+MIN(1,MAX(0,($D17-'Cell Delivery'!$E$10)/('Cell Delivery'!$I$10-'Cell Delivery'!$E$10)))*Controls!$D$9+MIN(1,MAX(0,($D17-'Cell Delivery'!$E$11)/('Cell Delivery'!$I$11-'Cell Delivery'!$E$11)))*Controls!$D$9+MIN(1,MAX(0,($D17-'Cell Delivery'!$E$12)/('Cell Delivery'!$I$12-'Cell Delivery'!$E$12)))*Controls!$D$9)&gt;=1,1,0)</x:f>
        <x:v>1</x:v>
      </x:c>
      <x:c r="G17" s="36" t="n">
        <x:f>IF((0+MIN(1,MAX(0,($D17-'Cell Delivery'!$E$8)/('Cell Delivery'!$I$8-'Cell Delivery'!$E$8)))*Controls!$D$9+MIN(1,MAX(0,($D17-'Cell Delivery'!$E$9)/('Cell Delivery'!$I$9-'Cell Delivery'!$E$9)))*Controls!$D$9+0+MIN(1,MAX(0,($D17-'Cell Delivery'!$E$11)/('Cell Delivery'!$I$11-'Cell Delivery'!$E$11)))*Controls!$D$9+MIN(1,MAX(0,($D17-'Cell Delivery'!$E$12)/('Cell Delivery'!$I$12-'Cell Delivery'!$E$12)))*Controls!$D$9)&gt;=1,1,0)</x:f>
        <x:v>1</x:v>
      </x:c>
      <x:c r="H17" s="36" t="n">
        <x:f>IF((0+MIN(1,MAX(0,($D17-'Cell Delivery'!$E$8)/('Cell Delivery'!$I$8-'Cell Delivery'!$E$8)))*Controls!$D$9+MIN(1,MAX(0,($D17-'Cell Delivery'!$E$9)/('Cell Delivery'!$I$9-'Cell Delivery'!$E$9)))*Controls!$D$9+MIN(1,MAX(0,($D17-'Cell Delivery'!$E$10)/('Cell Delivery'!$I$10-'Cell Delivery'!$E$10)))*Controls!$D$9+0+MIN(1,MAX(0,($D17-'Cell Delivery'!$E$12)/('Cell Delivery'!$I$12-'Cell Delivery'!$E$12)))*Controls!$D$9)&gt;=1,1,0)</x:f>
        <x:v>1</x:v>
      </x:c>
      <x:c r="I17" s="36" t="n">
        <x:f>IF((0+MIN(1,MAX(0,($D17-'Cell Delivery'!$E$8)/('Cell Delivery'!$I$8-'Cell Delivery'!$E$8)))*Controls!$D$9+MIN(1,MAX(0,($D17-'Cell Delivery'!$E$9)/('Cell Delivery'!$I$9-'Cell Delivery'!$E$9)))*Controls!$D$9+MIN(1,MAX(0,($D17-'Cell Delivery'!$E$10)/('Cell Delivery'!$I$10-'Cell Delivery'!$E$10)))*Controls!$D$9+MIN(1,MAX(0,($D17-'Cell Delivery'!$E$11)/('Cell Delivery'!$I$11-'Cell Delivery'!$E$11)))*Controls!$D$9+0)&gt;=1,1,0)</x:f>
        <x:v>1</x:v>
      </x:c>
      <x:c r="J17" s="36" t="n">
        <x:f>IF((MIN(1,MAX(0,($D17-'Cell Delivery'!$E$7)/('Cell Delivery'!$I$7-'Cell Delivery'!$E$7)))*Controls!$D$9+0+0+MIN(1,MAX(0,($D17-'Cell Delivery'!$E$10)/('Cell Delivery'!$I$10-'Cell Delivery'!$E$10)))*Controls!$D$9+MIN(1,MAX(0,($D17-'Cell Delivery'!$E$11)/('Cell Delivery'!$I$11-'Cell Delivery'!$E$11)))*Controls!$D$9+MIN(1,MAX(0,($D17-'Cell Delivery'!$E$12)/('Cell Delivery'!$I$12-'Cell Delivery'!$E$12)))*Controls!$D$9)&gt;=1,1,0)</x:f>
        <x:v>1</x:v>
      </x:c>
      <x:c r="K17" s="36" t="n">
        <x:f>IF((MIN(1,MAX(0,($D17-'Cell Delivery'!$E$7)/('Cell Delivery'!$I$7-'Cell Delivery'!$E$7)))*Controls!$D$9+0+MIN(1,MAX(0,($D17-'Cell Delivery'!$E$9)/('Cell Delivery'!$I$9-'Cell Delivery'!$E$9)))*Controls!$D$9+0+MIN(1,MAX(0,($D17-'Cell Delivery'!$E$11)/('Cell Delivery'!$I$11-'Cell Delivery'!$E$11)))*Controls!$D$9+MIN(1,MAX(0,($D17-'Cell Delivery'!$E$12)/('Cell Delivery'!$I$12-'Cell Delivery'!$E$12)))*Controls!$D$9)&gt;=1,1,0)</x:f>
        <x:v>1</x:v>
      </x:c>
      <x:c r="L17" s="36" t="n">
        <x:f>IF((MIN(1,MAX(0,($D17-'Cell Delivery'!$E$7)/('Cell Delivery'!$I$7-'Cell Delivery'!$E$7)))*Controls!$D$9+0+MIN(1,MAX(0,($D17-'Cell Delivery'!$E$9)/('Cell Delivery'!$I$9-'Cell Delivery'!$E$9)))*Controls!$D$9+MIN(1,MAX(0,($D17-'Cell Delivery'!$E$10)/('Cell Delivery'!$I$10-'Cell Delivery'!$E$10)))*Controls!$D$9+0+MIN(1,MAX(0,($D17-'Cell Delivery'!$E$12)/('Cell Delivery'!$I$12-'Cell Delivery'!$E$12)))*Controls!$D$9)&gt;=1,1,0)</x:f>
        <x:v>1</x:v>
      </x:c>
      <x:c r="M17" s="36" t="n">
        <x:f>IF((MIN(1,MAX(0,($D17-'Cell Delivery'!$E$7)/('Cell Delivery'!$I$7-'Cell Delivery'!$E$7)))*Controls!$D$9+0+MIN(1,MAX(0,($D17-'Cell Delivery'!$E$9)/('Cell Delivery'!$I$9-'Cell Delivery'!$E$9)))*Controls!$D$9+MIN(1,MAX(0,($D17-'Cell Delivery'!$E$10)/('Cell Delivery'!$I$10-'Cell Delivery'!$E$10)))*Controls!$D$9+MIN(1,MAX(0,($D17-'Cell Delivery'!$E$11)/('Cell Delivery'!$I$11-'Cell Delivery'!$E$11)))*Controls!$D$9+0)&gt;=1,1,0)</x:f>
        <x:v>1</x:v>
      </x:c>
      <x:c r="N17" s="36" t="n">
        <x:f>IF((MIN(1,MAX(0,($D17-'Cell Delivery'!$E$7)/('Cell Delivery'!$I$7-'Cell Delivery'!$E$7)))*Controls!$D$9+MIN(1,MAX(0,($D17-'Cell Delivery'!$E$8)/('Cell Delivery'!$I$8-'Cell Delivery'!$E$8)))*Controls!$D$9+0+0+MIN(1,MAX(0,($D17-'Cell Delivery'!$E$11)/('Cell Delivery'!$I$11-'Cell Delivery'!$E$11)))*Controls!$D$9+MIN(1,MAX(0,($D17-'Cell Delivery'!$E$12)/('Cell Delivery'!$I$12-'Cell Delivery'!$E$12)))*Controls!$D$9)&gt;=1,1,0)</x:f>
        <x:v>1</x:v>
      </x:c>
      <x:c r="O17" s="36" t="n">
        <x:f>IF((MIN(1,MAX(0,($D17-'Cell Delivery'!$E$7)/('Cell Delivery'!$I$7-'Cell Delivery'!$E$7)))*Controls!$D$9+MIN(1,MAX(0,($D17-'Cell Delivery'!$E$8)/('Cell Delivery'!$I$8-'Cell Delivery'!$E$8)))*Controls!$D$9+0+MIN(1,MAX(0,($D17-'Cell Delivery'!$E$10)/('Cell Delivery'!$I$10-'Cell Delivery'!$E$10)))*Controls!$D$9+0+MIN(1,MAX(0,($D17-'Cell Delivery'!$E$12)/('Cell Delivery'!$I$12-'Cell Delivery'!$E$12)))*Controls!$D$9)&gt;=1,1,0)</x:f>
        <x:v>1</x:v>
      </x:c>
      <x:c r="P17" s="36" t="n">
        <x:f>IF((MIN(1,MAX(0,($D17-'Cell Delivery'!$E$7)/('Cell Delivery'!$I$7-'Cell Delivery'!$E$7)))*Controls!$D$9+MIN(1,MAX(0,($D17-'Cell Delivery'!$E$8)/('Cell Delivery'!$I$8-'Cell Delivery'!$E$8)))*Controls!$D$9+0+MIN(1,MAX(0,($D17-'Cell Delivery'!$E$10)/('Cell Delivery'!$I$10-'Cell Delivery'!$E$10)))*Controls!$D$9+MIN(1,MAX(0,($D17-'Cell Delivery'!$E$11)/('Cell Delivery'!$I$11-'Cell Delivery'!$E$11)))*Controls!$D$9+0)&gt;=1,1,0)</x:f>
        <x:v>1</x:v>
      </x:c>
      <x:c r="Q17" s="36" t="n">
        <x:f>IF((MIN(1,MAX(0,($D17-'Cell Delivery'!$E$7)/('Cell Delivery'!$I$7-'Cell Delivery'!$E$7)))*Controls!$D$9+MIN(1,MAX(0,($D17-'Cell Delivery'!$E$8)/('Cell Delivery'!$I$8-'Cell Delivery'!$E$8)))*Controls!$D$9+MIN(1,MAX(0,($D17-'Cell Delivery'!$E$9)/('Cell Delivery'!$I$9-'Cell Delivery'!$E$9)))*Controls!$D$9+0+0+MIN(1,MAX(0,($D17-'Cell Delivery'!$E$12)/('Cell Delivery'!$I$12-'Cell Delivery'!$E$12)))*Controls!$D$9)&gt;=1,1,0)</x:f>
        <x:v>1</x:v>
      </x:c>
      <x:c r="R17" s="36" t="n">
        <x:f>IF((MIN(1,MAX(0,($D17-'Cell Delivery'!$E$7)/('Cell Delivery'!$I$7-'Cell Delivery'!$E$7)))*Controls!$D$9+MIN(1,MAX(0,($D17-'Cell Delivery'!$E$8)/('Cell Delivery'!$I$8-'Cell Delivery'!$E$8)))*Controls!$D$9+MIN(1,MAX(0,($D17-'Cell Delivery'!$E$9)/('Cell Delivery'!$I$9-'Cell Delivery'!$E$9)))*Controls!$D$9+0+MIN(1,MAX(0,($D17-'Cell Delivery'!$E$11)/('Cell Delivery'!$I$11-'Cell Delivery'!$E$11)))*Controls!$D$9+0)&gt;=1,1,0)</x:f>
        <x:v>1</x:v>
      </x:c>
      <x:c r="S17" s="36" t="n">
        <x:f>IF((MIN(1,MAX(0,($D17-'Cell Delivery'!$E$7)/('Cell Delivery'!$I$7-'Cell Delivery'!$E$7)))*Controls!$D$9+MIN(1,MAX(0,($D17-'Cell Delivery'!$E$8)/('Cell Delivery'!$I$8-'Cell Delivery'!$E$8)))*Controls!$D$9+MIN(1,MAX(0,($D17-'Cell Delivery'!$E$9)/('Cell Delivery'!$I$9-'Cell Delivery'!$E$9)))*Controls!$D$9+MIN(1,MAX(0,($D17-'Cell Delivery'!$E$10)/('Cell Delivery'!$I$10-'Cell Delivery'!$E$10)))*Controls!$D$9+0+0)&gt;=1,1,0)</x:f>
        <x:v>1</x:v>
      </x:c>
      <x:c r="T17" s="49"/>
      <x:c r="U17" s="49"/>
      <x:c r="V17" s="49"/>
    </x:row>
    <x:row r="18">
      <x:c r="C18" s="49"/>
      <x:c r="D18" s="21" t="n">
        <x:v>66</x:v>
      </x:c>
      <x:c r="E18" s="36" t="n">
        <x:f>IF((0+0+MIN(1,MAX(0,($D18-'Cell Delivery'!$E$9)/('Cell Delivery'!$I$9-'Cell Delivery'!$E$9)))*Controls!$D$9+MIN(1,MAX(0,($D18-'Cell Delivery'!$E$10)/('Cell Delivery'!$I$10-'Cell Delivery'!$E$10)))*Controls!$D$9+MIN(1,MAX(0,($D18-'Cell Delivery'!$E$11)/('Cell Delivery'!$I$11-'Cell Delivery'!$E$11)))*Controls!$D$9+MIN(1,MAX(0,($D18-'Cell Delivery'!$E$12)/('Cell Delivery'!$I$12-'Cell Delivery'!$E$12)))*Controls!$D$9)&gt;=1,1,0)</x:f>
        <x:v>1</x:v>
      </x:c>
      <x:c r="F18" s="36" t="n">
        <x:f>IF((0+MIN(1,MAX(0,($D18-'Cell Delivery'!$E$8)/('Cell Delivery'!$I$8-'Cell Delivery'!$E$8)))*Controls!$D$9+0+MIN(1,MAX(0,($D18-'Cell Delivery'!$E$10)/('Cell Delivery'!$I$10-'Cell Delivery'!$E$10)))*Controls!$D$9+MIN(1,MAX(0,($D18-'Cell Delivery'!$E$11)/('Cell Delivery'!$I$11-'Cell Delivery'!$E$11)))*Controls!$D$9+MIN(1,MAX(0,($D18-'Cell Delivery'!$E$12)/('Cell Delivery'!$I$12-'Cell Delivery'!$E$12)))*Controls!$D$9)&gt;=1,1,0)</x:f>
        <x:v>1</x:v>
      </x:c>
      <x:c r="G18" s="36" t="n">
        <x:f>IF((0+MIN(1,MAX(0,($D18-'Cell Delivery'!$E$8)/('Cell Delivery'!$I$8-'Cell Delivery'!$E$8)))*Controls!$D$9+MIN(1,MAX(0,($D18-'Cell Delivery'!$E$9)/('Cell Delivery'!$I$9-'Cell Delivery'!$E$9)))*Controls!$D$9+0+MIN(1,MAX(0,($D18-'Cell Delivery'!$E$11)/('Cell Delivery'!$I$11-'Cell Delivery'!$E$11)))*Controls!$D$9+MIN(1,MAX(0,($D18-'Cell Delivery'!$E$12)/('Cell Delivery'!$I$12-'Cell Delivery'!$E$12)))*Controls!$D$9)&gt;=1,1,0)</x:f>
        <x:v>1</x:v>
      </x:c>
      <x:c r="H18" s="36" t="n">
        <x:f>IF((0+MIN(1,MAX(0,($D18-'Cell Delivery'!$E$8)/('Cell Delivery'!$I$8-'Cell Delivery'!$E$8)))*Controls!$D$9+MIN(1,MAX(0,($D18-'Cell Delivery'!$E$9)/('Cell Delivery'!$I$9-'Cell Delivery'!$E$9)))*Controls!$D$9+MIN(1,MAX(0,($D18-'Cell Delivery'!$E$10)/('Cell Delivery'!$I$10-'Cell Delivery'!$E$10)))*Controls!$D$9+0+MIN(1,MAX(0,($D18-'Cell Delivery'!$E$12)/('Cell Delivery'!$I$12-'Cell Delivery'!$E$12)))*Controls!$D$9)&gt;=1,1,0)</x:f>
        <x:v>1</x:v>
      </x:c>
      <x:c r="I18" s="36" t="n">
        <x:f>IF((0+MIN(1,MAX(0,($D18-'Cell Delivery'!$E$8)/('Cell Delivery'!$I$8-'Cell Delivery'!$E$8)))*Controls!$D$9+MIN(1,MAX(0,($D18-'Cell Delivery'!$E$9)/('Cell Delivery'!$I$9-'Cell Delivery'!$E$9)))*Controls!$D$9+MIN(1,MAX(0,($D18-'Cell Delivery'!$E$10)/('Cell Delivery'!$I$10-'Cell Delivery'!$E$10)))*Controls!$D$9+MIN(1,MAX(0,($D18-'Cell Delivery'!$E$11)/('Cell Delivery'!$I$11-'Cell Delivery'!$E$11)))*Controls!$D$9+0)&gt;=1,1,0)</x:f>
        <x:v>1</x:v>
      </x:c>
      <x:c r="J18" s="36" t="n">
        <x:f>IF((MIN(1,MAX(0,($D18-'Cell Delivery'!$E$7)/('Cell Delivery'!$I$7-'Cell Delivery'!$E$7)))*Controls!$D$9+0+0+MIN(1,MAX(0,($D18-'Cell Delivery'!$E$10)/('Cell Delivery'!$I$10-'Cell Delivery'!$E$10)))*Controls!$D$9+MIN(1,MAX(0,($D18-'Cell Delivery'!$E$11)/('Cell Delivery'!$I$11-'Cell Delivery'!$E$11)))*Controls!$D$9+MIN(1,MAX(0,($D18-'Cell Delivery'!$E$12)/('Cell Delivery'!$I$12-'Cell Delivery'!$E$12)))*Controls!$D$9)&gt;=1,1,0)</x:f>
        <x:v>1</x:v>
      </x:c>
      <x:c r="K18" s="36" t="n">
        <x:f>IF((MIN(1,MAX(0,($D18-'Cell Delivery'!$E$7)/('Cell Delivery'!$I$7-'Cell Delivery'!$E$7)))*Controls!$D$9+0+MIN(1,MAX(0,($D18-'Cell Delivery'!$E$9)/('Cell Delivery'!$I$9-'Cell Delivery'!$E$9)))*Controls!$D$9+0+MIN(1,MAX(0,($D18-'Cell Delivery'!$E$11)/('Cell Delivery'!$I$11-'Cell Delivery'!$E$11)))*Controls!$D$9+MIN(1,MAX(0,($D18-'Cell Delivery'!$E$12)/('Cell Delivery'!$I$12-'Cell Delivery'!$E$12)))*Controls!$D$9)&gt;=1,1,0)</x:f>
        <x:v>1</x:v>
      </x:c>
      <x:c r="L18" s="36" t="n">
        <x:f>IF((MIN(1,MAX(0,($D18-'Cell Delivery'!$E$7)/('Cell Delivery'!$I$7-'Cell Delivery'!$E$7)))*Controls!$D$9+0+MIN(1,MAX(0,($D18-'Cell Delivery'!$E$9)/('Cell Delivery'!$I$9-'Cell Delivery'!$E$9)))*Controls!$D$9+MIN(1,MAX(0,($D18-'Cell Delivery'!$E$10)/('Cell Delivery'!$I$10-'Cell Delivery'!$E$10)))*Controls!$D$9+0+MIN(1,MAX(0,($D18-'Cell Delivery'!$E$12)/('Cell Delivery'!$I$12-'Cell Delivery'!$E$12)))*Controls!$D$9)&gt;=1,1,0)</x:f>
        <x:v>1</x:v>
      </x:c>
      <x:c r="M18" s="36" t="n">
        <x:f>IF((MIN(1,MAX(0,($D18-'Cell Delivery'!$E$7)/('Cell Delivery'!$I$7-'Cell Delivery'!$E$7)))*Controls!$D$9+0+MIN(1,MAX(0,($D18-'Cell Delivery'!$E$9)/('Cell Delivery'!$I$9-'Cell Delivery'!$E$9)))*Controls!$D$9+MIN(1,MAX(0,($D18-'Cell Delivery'!$E$10)/('Cell Delivery'!$I$10-'Cell Delivery'!$E$10)))*Controls!$D$9+MIN(1,MAX(0,($D18-'Cell Delivery'!$E$11)/('Cell Delivery'!$I$11-'Cell Delivery'!$E$11)))*Controls!$D$9+0)&gt;=1,1,0)</x:f>
        <x:v>1</x:v>
      </x:c>
      <x:c r="N18" s="36" t="n">
        <x:f>IF((MIN(1,MAX(0,($D18-'Cell Delivery'!$E$7)/('Cell Delivery'!$I$7-'Cell Delivery'!$E$7)))*Controls!$D$9+MIN(1,MAX(0,($D18-'Cell Delivery'!$E$8)/('Cell Delivery'!$I$8-'Cell Delivery'!$E$8)))*Controls!$D$9+0+0+MIN(1,MAX(0,($D18-'Cell Delivery'!$E$11)/('Cell Delivery'!$I$11-'Cell Delivery'!$E$11)))*Controls!$D$9+MIN(1,MAX(0,($D18-'Cell Delivery'!$E$12)/('Cell Delivery'!$I$12-'Cell Delivery'!$E$12)))*Controls!$D$9)&gt;=1,1,0)</x:f>
        <x:v>1</x:v>
      </x:c>
      <x:c r="O18" s="36" t="n">
        <x:f>IF((MIN(1,MAX(0,($D18-'Cell Delivery'!$E$7)/('Cell Delivery'!$I$7-'Cell Delivery'!$E$7)))*Controls!$D$9+MIN(1,MAX(0,($D18-'Cell Delivery'!$E$8)/('Cell Delivery'!$I$8-'Cell Delivery'!$E$8)))*Controls!$D$9+0+MIN(1,MAX(0,($D18-'Cell Delivery'!$E$10)/('Cell Delivery'!$I$10-'Cell Delivery'!$E$10)))*Controls!$D$9+0+MIN(1,MAX(0,($D18-'Cell Delivery'!$E$12)/('Cell Delivery'!$I$12-'Cell Delivery'!$E$12)))*Controls!$D$9)&gt;=1,1,0)</x:f>
        <x:v>1</x:v>
      </x:c>
      <x:c r="P18" s="36" t="n">
        <x:f>IF((MIN(1,MAX(0,($D18-'Cell Delivery'!$E$7)/('Cell Delivery'!$I$7-'Cell Delivery'!$E$7)))*Controls!$D$9+MIN(1,MAX(0,($D18-'Cell Delivery'!$E$8)/('Cell Delivery'!$I$8-'Cell Delivery'!$E$8)))*Controls!$D$9+0+MIN(1,MAX(0,($D18-'Cell Delivery'!$E$10)/('Cell Delivery'!$I$10-'Cell Delivery'!$E$10)))*Controls!$D$9+MIN(1,MAX(0,($D18-'Cell Delivery'!$E$11)/('Cell Delivery'!$I$11-'Cell Delivery'!$E$11)))*Controls!$D$9+0)&gt;=1,1,0)</x:f>
        <x:v>1</x:v>
      </x:c>
      <x:c r="Q18" s="36" t="n">
        <x:f>IF((MIN(1,MAX(0,($D18-'Cell Delivery'!$E$7)/('Cell Delivery'!$I$7-'Cell Delivery'!$E$7)))*Controls!$D$9+MIN(1,MAX(0,($D18-'Cell Delivery'!$E$8)/('Cell Delivery'!$I$8-'Cell Delivery'!$E$8)))*Controls!$D$9+MIN(1,MAX(0,($D18-'Cell Delivery'!$E$9)/('Cell Delivery'!$I$9-'Cell Delivery'!$E$9)))*Controls!$D$9+0+0+MIN(1,MAX(0,($D18-'Cell Delivery'!$E$12)/('Cell Delivery'!$I$12-'Cell Delivery'!$E$12)))*Controls!$D$9)&gt;=1,1,0)</x:f>
        <x:v>1</x:v>
      </x:c>
      <x:c r="R18" s="36" t="n">
        <x:f>IF((MIN(1,MAX(0,($D18-'Cell Delivery'!$E$7)/('Cell Delivery'!$I$7-'Cell Delivery'!$E$7)))*Controls!$D$9+MIN(1,MAX(0,($D18-'Cell Delivery'!$E$8)/('Cell Delivery'!$I$8-'Cell Delivery'!$E$8)))*Controls!$D$9+MIN(1,MAX(0,($D18-'Cell Delivery'!$E$9)/('Cell Delivery'!$I$9-'Cell Delivery'!$E$9)))*Controls!$D$9+0+MIN(1,MAX(0,($D18-'Cell Delivery'!$E$11)/('Cell Delivery'!$I$11-'Cell Delivery'!$E$11)))*Controls!$D$9+0)&gt;=1,1,0)</x:f>
        <x:v>1</x:v>
      </x:c>
      <x:c r="S18" s="36" t="n">
        <x:f>IF((MIN(1,MAX(0,($D18-'Cell Delivery'!$E$7)/('Cell Delivery'!$I$7-'Cell Delivery'!$E$7)))*Controls!$D$9+MIN(1,MAX(0,($D18-'Cell Delivery'!$E$8)/('Cell Delivery'!$I$8-'Cell Delivery'!$E$8)))*Controls!$D$9+MIN(1,MAX(0,($D18-'Cell Delivery'!$E$9)/('Cell Delivery'!$I$9-'Cell Delivery'!$E$9)))*Controls!$D$9+MIN(1,MAX(0,($D18-'Cell Delivery'!$E$10)/('Cell Delivery'!$I$10-'Cell Delivery'!$E$10)))*Controls!$D$9+0+0)&gt;=1,1,0)</x:f>
        <x:v>1</x:v>
      </x:c>
      <x:c r="T18" s="49"/>
      <x:c r="U18" s="49"/>
      <x:c r="V18" s="49"/>
    </x:row>
    <x:row r="19">
      <x:c r="C19" s="49"/>
      <x:c r="D19" s="21" t="n">
        <x:v>72</x:v>
      </x:c>
      <x:c r="E19" s="36" t="n">
        <x:f>IF((0+0+MIN(1,MAX(0,($D19-'Cell Delivery'!$E$9)/('Cell Delivery'!$I$9-'Cell Delivery'!$E$9)))*Controls!$D$9+MIN(1,MAX(0,($D19-'Cell Delivery'!$E$10)/('Cell Delivery'!$I$10-'Cell Delivery'!$E$10)))*Controls!$D$9+MIN(1,MAX(0,($D19-'Cell Delivery'!$E$11)/('Cell Delivery'!$I$11-'Cell Delivery'!$E$11)))*Controls!$D$9+MIN(1,MAX(0,($D19-'Cell Delivery'!$E$12)/('Cell Delivery'!$I$12-'Cell Delivery'!$E$12)))*Controls!$D$9)&gt;=1,1,0)</x:f>
        <x:v>1</x:v>
      </x:c>
      <x:c r="F19" s="36" t="n">
        <x:f>IF((0+MIN(1,MAX(0,($D19-'Cell Delivery'!$E$8)/('Cell Delivery'!$I$8-'Cell Delivery'!$E$8)))*Controls!$D$9+0+MIN(1,MAX(0,($D19-'Cell Delivery'!$E$10)/('Cell Delivery'!$I$10-'Cell Delivery'!$E$10)))*Controls!$D$9+MIN(1,MAX(0,($D19-'Cell Delivery'!$E$11)/('Cell Delivery'!$I$11-'Cell Delivery'!$E$11)))*Controls!$D$9+MIN(1,MAX(0,($D19-'Cell Delivery'!$E$12)/('Cell Delivery'!$I$12-'Cell Delivery'!$E$12)))*Controls!$D$9)&gt;=1,1,0)</x:f>
        <x:v>1</x:v>
      </x:c>
      <x:c r="G19" s="36" t="n">
        <x:f>IF((0+MIN(1,MAX(0,($D19-'Cell Delivery'!$E$8)/('Cell Delivery'!$I$8-'Cell Delivery'!$E$8)))*Controls!$D$9+MIN(1,MAX(0,($D19-'Cell Delivery'!$E$9)/('Cell Delivery'!$I$9-'Cell Delivery'!$E$9)))*Controls!$D$9+0+MIN(1,MAX(0,($D19-'Cell Delivery'!$E$11)/('Cell Delivery'!$I$11-'Cell Delivery'!$E$11)))*Controls!$D$9+MIN(1,MAX(0,($D19-'Cell Delivery'!$E$12)/('Cell Delivery'!$I$12-'Cell Delivery'!$E$12)))*Controls!$D$9)&gt;=1,1,0)</x:f>
        <x:v>1</x:v>
      </x:c>
      <x:c r="H19" s="36" t="n">
        <x:f>IF((0+MIN(1,MAX(0,($D19-'Cell Delivery'!$E$8)/('Cell Delivery'!$I$8-'Cell Delivery'!$E$8)))*Controls!$D$9+MIN(1,MAX(0,($D19-'Cell Delivery'!$E$9)/('Cell Delivery'!$I$9-'Cell Delivery'!$E$9)))*Controls!$D$9+MIN(1,MAX(0,($D19-'Cell Delivery'!$E$10)/('Cell Delivery'!$I$10-'Cell Delivery'!$E$10)))*Controls!$D$9+0+MIN(1,MAX(0,($D19-'Cell Delivery'!$E$12)/('Cell Delivery'!$I$12-'Cell Delivery'!$E$12)))*Controls!$D$9)&gt;=1,1,0)</x:f>
        <x:v>1</x:v>
      </x:c>
      <x:c r="I19" s="36" t="n">
        <x:f>IF((0+MIN(1,MAX(0,($D19-'Cell Delivery'!$E$8)/('Cell Delivery'!$I$8-'Cell Delivery'!$E$8)))*Controls!$D$9+MIN(1,MAX(0,($D19-'Cell Delivery'!$E$9)/('Cell Delivery'!$I$9-'Cell Delivery'!$E$9)))*Controls!$D$9+MIN(1,MAX(0,($D19-'Cell Delivery'!$E$10)/('Cell Delivery'!$I$10-'Cell Delivery'!$E$10)))*Controls!$D$9+MIN(1,MAX(0,($D19-'Cell Delivery'!$E$11)/('Cell Delivery'!$I$11-'Cell Delivery'!$E$11)))*Controls!$D$9+0)&gt;=1,1,0)</x:f>
        <x:v>1</x:v>
      </x:c>
      <x:c r="J19" s="36" t="n">
        <x:f>IF((MIN(1,MAX(0,($D19-'Cell Delivery'!$E$7)/('Cell Delivery'!$I$7-'Cell Delivery'!$E$7)))*Controls!$D$9+0+0+MIN(1,MAX(0,($D19-'Cell Delivery'!$E$10)/('Cell Delivery'!$I$10-'Cell Delivery'!$E$10)))*Controls!$D$9+MIN(1,MAX(0,($D19-'Cell Delivery'!$E$11)/('Cell Delivery'!$I$11-'Cell Delivery'!$E$11)))*Controls!$D$9+MIN(1,MAX(0,($D19-'Cell Delivery'!$E$12)/('Cell Delivery'!$I$12-'Cell Delivery'!$E$12)))*Controls!$D$9)&gt;=1,1,0)</x:f>
        <x:v>1</x:v>
      </x:c>
      <x:c r="K19" s="36" t="n">
        <x:f>IF((MIN(1,MAX(0,($D19-'Cell Delivery'!$E$7)/('Cell Delivery'!$I$7-'Cell Delivery'!$E$7)))*Controls!$D$9+0+MIN(1,MAX(0,($D19-'Cell Delivery'!$E$9)/('Cell Delivery'!$I$9-'Cell Delivery'!$E$9)))*Controls!$D$9+0+MIN(1,MAX(0,($D19-'Cell Delivery'!$E$11)/('Cell Delivery'!$I$11-'Cell Delivery'!$E$11)))*Controls!$D$9+MIN(1,MAX(0,($D19-'Cell Delivery'!$E$12)/('Cell Delivery'!$I$12-'Cell Delivery'!$E$12)))*Controls!$D$9)&gt;=1,1,0)</x:f>
        <x:v>1</x:v>
      </x:c>
      <x:c r="L19" s="36" t="n">
        <x:f>IF((MIN(1,MAX(0,($D19-'Cell Delivery'!$E$7)/('Cell Delivery'!$I$7-'Cell Delivery'!$E$7)))*Controls!$D$9+0+MIN(1,MAX(0,($D19-'Cell Delivery'!$E$9)/('Cell Delivery'!$I$9-'Cell Delivery'!$E$9)))*Controls!$D$9+MIN(1,MAX(0,($D19-'Cell Delivery'!$E$10)/('Cell Delivery'!$I$10-'Cell Delivery'!$E$10)))*Controls!$D$9+0+MIN(1,MAX(0,($D19-'Cell Delivery'!$E$12)/('Cell Delivery'!$I$12-'Cell Delivery'!$E$12)))*Controls!$D$9)&gt;=1,1,0)</x:f>
        <x:v>1</x:v>
      </x:c>
      <x:c r="M19" s="36" t="n">
        <x:f>IF((MIN(1,MAX(0,($D19-'Cell Delivery'!$E$7)/('Cell Delivery'!$I$7-'Cell Delivery'!$E$7)))*Controls!$D$9+0+MIN(1,MAX(0,($D19-'Cell Delivery'!$E$9)/('Cell Delivery'!$I$9-'Cell Delivery'!$E$9)))*Controls!$D$9+MIN(1,MAX(0,($D19-'Cell Delivery'!$E$10)/('Cell Delivery'!$I$10-'Cell Delivery'!$E$10)))*Controls!$D$9+MIN(1,MAX(0,($D19-'Cell Delivery'!$E$11)/('Cell Delivery'!$I$11-'Cell Delivery'!$E$11)))*Controls!$D$9+0)&gt;=1,1,0)</x:f>
        <x:v>1</x:v>
      </x:c>
      <x:c r="N19" s="36" t="n">
        <x:f>IF((MIN(1,MAX(0,($D19-'Cell Delivery'!$E$7)/('Cell Delivery'!$I$7-'Cell Delivery'!$E$7)))*Controls!$D$9+MIN(1,MAX(0,($D19-'Cell Delivery'!$E$8)/('Cell Delivery'!$I$8-'Cell Delivery'!$E$8)))*Controls!$D$9+0+0+MIN(1,MAX(0,($D19-'Cell Delivery'!$E$11)/('Cell Delivery'!$I$11-'Cell Delivery'!$E$11)))*Controls!$D$9+MIN(1,MAX(0,($D19-'Cell Delivery'!$E$12)/('Cell Delivery'!$I$12-'Cell Delivery'!$E$12)))*Controls!$D$9)&gt;=1,1,0)</x:f>
        <x:v>1</x:v>
      </x:c>
      <x:c r="O19" s="36" t="n">
        <x:f>IF((MIN(1,MAX(0,($D19-'Cell Delivery'!$E$7)/('Cell Delivery'!$I$7-'Cell Delivery'!$E$7)))*Controls!$D$9+MIN(1,MAX(0,($D19-'Cell Delivery'!$E$8)/('Cell Delivery'!$I$8-'Cell Delivery'!$E$8)))*Controls!$D$9+0+MIN(1,MAX(0,($D19-'Cell Delivery'!$E$10)/('Cell Delivery'!$I$10-'Cell Delivery'!$E$10)))*Controls!$D$9+0+MIN(1,MAX(0,($D19-'Cell Delivery'!$E$12)/('Cell Delivery'!$I$12-'Cell Delivery'!$E$12)))*Controls!$D$9)&gt;=1,1,0)</x:f>
        <x:v>1</x:v>
      </x:c>
      <x:c r="P19" s="36" t="n">
        <x:f>IF((MIN(1,MAX(0,($D19-'Cell Delivery'!$E$7)/('Cell Delivery'!$I$7-'Cell Delivery'!$E$7)))*Controls!$D$9+MIN(1,MAX(0,($D19-'Cell Delivery'!$E$8)/('Cell Delivery'!$I$8-'Cell Delivery'!$E$8)))*Controls!$D$9+0+MIN(1,MAX(0,($D19-'Cell Delivery'!$E$10)/('Cell Delivery'!$I$10-'Cell Delivery'!$E$10)))*Controls!$D$9+MIN(1,MAX(0,($D19-'Cell Delivery'!$E$11)/('Cell Delivery'!$I$11-'Cell Delivery'!$E$11)))*Controls!$D$9+0)&gt;=1,1,0)</x:f>
        <x:v>1</x:v>
      </x:c>
      <x:c r="Q19" s="36" t="n">
        <x:f>IF((MIN(1,MAX(0,($D19-'Cell Delivery'!$E$7)/('Cell Delivery'!$I$7-'Cell Delivery'!$E$7)))*Controls!$D$9+MIN(1,MAX(0,($D19-'Cell Delivery'!$E$8)/('Cell Delivery'!$I$8-'Cell Delivery'!$E$8)))*Controls!$D$9+MIN(1,MAX(0,($D19-'Cell Delivery'!$E$9)/('Cell Delivery'!$I$9-'Cell Delivery'!$E$9)))*Controls!$D$9+0+0+MIN(1,MAX(0,($D19-'Cell Delivery'!$E$12)/('Cell Delivery'!$I$12-'Cell Delivery'!$E$12)))*Controls!$D$9)&gt;=1,1,0)</x:f>
        <x:v>1</x:v>
      </x:c>
      <x:c r="R19" s="36" t="n">
        <x:f>IF((MIN(1,MAX(0,($D19-'Cell Delivery'!$E$7)/('Cell Delivery'!$I$7-'Cell Delivery'!$E$7)))*Controls!$D$9+MIN(1,MAX(0,($D19-'Cell Delivery'!$E$8)/('Cell Delivery'!$I$8-'Cell Delivery'!$E$8)))*Controls!$D$9+MIN(1,MAX(0,($D19-'Cell Delivery'!$E$9)/('Cell Delivery'!$I$9-'Cell Delivery'!$E$9)))*Controls!$D$9+0+MIN(1,MAX(0,($D19-'Cell Delivery'!$E$11)/('Cell Delivery'!$I$11-'Cell Delivery'!$E$11)))*Controls!$D$9+0)&gt;=1,1,0)</x:f>
        <x:v>1</x:v>
      </x:c>
      <x:c r="S19" s="36" t="n">
        <x:f>IF((MIN(1,MAX(0,($D19-'Cell Delivery'!$E$7)/('Cell Delivery'!$I$7-'Cell Delivery'!$E$7)))*Controls!$D$9+MIN(1,MAX(0,($D19-'Cell Delivery'!$E$8)/('Cell Delivery'!$I$8-'Cell Delivery'!$E$8)))*Controls!$D$9+MIN(1,MAX(0,($D19-'Cell Delivery'!$E$9)/('Cell Delivery'!$I$9-'Cell Delivery'!$E$9)))*Controls!$D$9+MIN(1,MAX(0,($D19-'Cell Delivery'!$E$10)/('Cell Delivery'!$I$10-'Cell Delivery'!$E$10)))*Controls!$D$9+0+0)&gt;=1,1,0)</x:f>
        <x:v>1</x:v>
      </x:c>
      <x:c r="T19" s="49"/>
      <x:c r="U19" s="49"/>
      <x:c r="V19" s="49"/>
    </x:row>
  </x:sheetData>
  <x:mergeCells>
    <x:mergeCell ref="C2:V2"/>
    <x:mergeCell ref="C3:V3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18" hidden="0" customWidth="1"/>
    <x:col min="4" max="4" width="16" hidden="0" customWidth="1"/>
    <x:col min="5" max="5" width="16" hidden="0" customWidth="1"/>
    <x:col min="6" max="6" width="16" hidden="0" customWidth="1"/>
    <x:col min="7" max="7" width="18" hidden="0" customWidth="1"/>
    <x:col min="8" max="8" width="18" hidden="0" customWidth="1"/>
    <x:col min="9" max="9" width="20" hidden="0" customWidth="1"/>
    <x:col min="10" max="10" width="15" hidden="0" customWidth="1"/>
  </x:cols>
  <x:sheetData>
    <x:row r="2" ht="24" customHeight="1">
      <x:c r="C2" s="47" t="str">
        <x:v>Reliability Allocation</x:v>
      </x:c>
      <x:c r="D2" s="47"/>
      <x:c r="E2" s="47"/>
      <x:c r="F2" s="47"/>
      <x:c r="G2" s="47"/>
      <x:c r="H2" s="47"/>
      <x:c r="I2" s="47"/>
      <x:c r="J2" s="47"/>
      <x:c r="K2" s="47"/>
      <x:c r="L2" s="47"/>
      <x:c r="M2" s="47"/>
      <x:c r="N2" s="47"/>
    </x:row>
    <x:row r="3" ht="32" customHeight="1">
      <x:c r="C3" s="48" t="str">
        <x:v>Independent-cell reliability is binomial P(0, 1 or 2 cell losses). Total campaign assurance multiplies that result by one minus the common-mode probability.</x:v>
      </x:c>
      <x:c r="D3" s="48"/>
      <x:c r="E3" s="48"/>
      <x:c r="F3" s="48"/>
      <x:c r="G3" s="48"/>
      <x:c r="H3" s="48"/>
      <x:c r="I3" s="48"/>
      <x:c r="J3" s="48"/>
      <x:c r="K3" s="48"/>
      <x:c r="L3" s="48"/>
      <x:c r="M3" s="48"/>
      <x:c r="N3" s="48"/>
    </x:row>
    <x:row r="4">
      <x:c r="C4" s="49"/>
      <x:c r="D4" s="49"/>
      <x:c r="E4" s="49"/>
      <x:c r="F4" s="49"/>
      <x:c r="G4" s="49"/>
      <x:c r="H4" s="49"/>
      <x:c r="I4" s="49"/>
      <x:c r="J4" s="49"/>
      <x:c r="K4" s="49"/>
      <x:c r="L4" s="49"/>
      <x:c r="M4" s="49"/>
      <x:c r="N4" s="49"/>
    </x:row>
    <x:row r="5">
      <x:c r="C5" s="49"/>
      <x:c r="D5" s="49"/>
      <x:c r="E5" s="49"/>
      <x:c r="F5" s="49"/>
      <x:c r="G5" s="49"/>
      <x:c r="H5" s="49"/>
      <x:c r="I5" s="49"/>
      <x:c r="J5" s="49"/>
      <x:c r="K5" s="49"/>
      <x:c r="L5" s="49"/>
      <x:c r="M5" s="49"/>
      <x:c r="N5" s="49"/>
    </x:row>
    <x:row r="6">
      <x:c r="C6" s="16" t="str">
        <x:v>Cell loss p</x:v>
      </x:c>
      <x:c r="D6" s="17" t="str">
        <x:v>P 0 losses</x:v>
      </x:c>
      <x:c r="E6" s="17" t="str">
        <x:v>P 1 loss</x:v>
      </x:c>
      <x:c r="F6" s="17" t="str">
        <x:v>P 2 losses</x:v>
      </x:c>
      <x:c r="G6" s="17" t="str">
        <x:v>P &lt;=2 losses</x:v>
      </x:c>
      <x:c r="H6" s="17" t="str">
        <x:v>Common-mode q</x:v>
      </x:c>
      <x:c r="I6" s="17" t="str">
        <x:v>Campaign assurance</x:v>
      </x:c>
      <x:c r="J6" s="18" t="str">
        <x:v>95% status</x:v>
      </x:c>
      <x:c r="K6" s="49"/>
      <x:c r="L6" s="49"/>
      <x:c r="M6" s="49"/>
      <x:c r="N6" s="49"/>
    </x:row>
    <x:row r="7">
      <x:c r="C7" s="37" t="n">
        <x:v>0</x:v>
      </x:c>
      <x:c r="D7" s="38" t="n">
        <x:f>(1-C7)^6</x:f>
        <x:v>1</x:v>
      </x:c>
      <x:c r="E7" s="38" t="n">
        <x:f>6*C7*(1-C7)^5</x:f>
        <x:v>0</x:v>
      </x:c>
      <x:c r="F7" s="38" t="n">
        <x:f>15*C7^2*(1-C7)^4</x:f>
        <x:v>0</x:v>
      </x:c>
      <x:c r="G7" s="38" t="n">
        <x:f>SUM(D7:F7)</x:f>
        <x:v>1</x:v>
      </x:c>
      <x:c r="H7" s="38" t="n">
        <x:f>Controls!$D$13</x:f>
        <x:v>0.002</x:v>
      </x:c>
      <x:c r="I7" s="38" t="n">
        <x:f>G7*(1-H7)</x:f>
        <x:v>0.998</x:v>
      </x:c>
      <x:c r="J7" s="31" t="str">
        <x:f>IF(I7&gt;=Controls!$D$14,"PASS","FAIL")</x:f>
        <x:v>PASS</x:v>
      </x:c>
      <x:c r="K7" s="49"/>
      <x:c r="L7" s="49"/>
      <x:c r="M7" s="49"/>
      <x:c r="N7" s="49"/>
    </x:row>
    <x:row r="8">
      <x:c r="C8" s="37" t="n">
        <x:v>0.05</x:v>
      </x:c>
      <x:c r="D8" s="38" t="n">
        <x:f>(1-C8)^6</x:f>
        <x:v>0.7350918906249998</x:v>
      </x:c>
      <x:c r="E8" s="38" t="n">
        <x:f>6*C8*(1-C8)^5</x:f>
        <x:v>0.23213428124999996</x:v>
      </x:c>
      <x:c r="F8" s="38" t="n">
        <x:f>15*C8^2*(1-C8)^4</x:f>
        <x:v>0.030543984375</x:v>
      </x:c>
      <x:c r="G8" s="38" t="n">
        <x:f>SUM(D8:F8)</x:f>
        <x:v>0.9977701562499997</x:v>
      </x:c>
      <x:c r="H8" s="38" t="n">
        <x:f>Controls!$D$13</x:f>
        <x:v>0.002</x:v>
      </x:c>
      <x:c r="I8" s="38" t="n">
        <x:f>G8*(1-H8)</x:f>
        <x:v>0.9957746159374996</x:v>
      </x:c>
      <x:c r="J8" s="31" t="str">
        <x:f>IF(I8&gt;=Controls!$D$14,"PASS","FAIL")</x:f>
        <x:v>PASS</x:v>
      </x:c>
      <x:c r="K8" s="49"/>
      <x:c r="L8" s="49"/>
      <x:c r="M8" s="49"/>
      <x:c r="N8" s="49"/>
    </x:row>
    <x:row r="9">
      <x:c r="C9" s="37" t="n">
        <x:v>0.1</x:v>
      </x:c>
      <x:c r="D9" s="38" t="n">
        <x:f>(1-C9)^6</x:f>
        <x:v>0.531441</x:v>
      </x:c>
      <x:c r="E9" s="38" t="n">
        <x:f>6*C9*(1-C9)^5</x:f>
        <x:v>0.3542940000000001</x:v>
      </x:c>
      <x:c r="F9" s="38" t="n">
        <x:f>15*C9^2*(1-C9)^4</x:f>
        <x:v>0.09841500000000002</x:v>
      </x:c>
      <x:c r="G9" s="38" t="n">
        <x:f>SUM(D9:F9)</x:f>
        <x:v>0.9841500000000002</x:v>
      </x:c>
      <x:c r="H9" s="38" t="n">
        <x:f>Controls!$D$13</x:f>
        <x:v>0.002</x:v>
      </x:c>
      <x:c r="I9" s="38" t="n">
        <x:f>G9*(1-H9)</x:f>
        <x:v>0.9821817000000002</x:v>
      </x:c>
      <x:c r="J9" s="31" t="str">
        <x:f>IF(I9&gt;=Controls!$D$14,"PASS","FAIL")</x:f>
        <x:v>PASS</x:v>
      </x:c>
      <x:c r="K9" s="49"/>
      <x:c r="L9" s="49"/>
      <x:c r="M9" s="49"/>
      <x:c r="N9" s="49"/>
    </x:row>
    <x:row r="10">
      <x:c r="C10" s="37" t="n">
        <x:v>0.15</x:v>
      </x:c>
      <x:c r="D10" s="38" t="n">
        <x:f>(1-C10)^6</x:f>
        <x:v>0.37714951562499993</x:v>
      </x:c>
      <x:c r="E10" s="38" t="n">
        <x:f>6*C10*(1-C10)^5</x:f>
        <x:v>0.39933478124999994</x:v>
      </x:c>
      <x:c r="F10" s="38" t="n">
        <x:f>15*C10^2*(1-C10)^4</x:f>
        <x:v>0.17617710937499995</x:v>
      </x:c>
      <x:c r="G10" s="38" t="n">
        <x:f>SUM(D10:F10)</x:f>
        <x:v>0.9526614062499998</x:v>
      </x:c>
      <x:c r="H10" s="38" t="n">
        <x:f>Controls!$D$13</x:f>
        <x:v>0.002</x:v>
      </x:c>
      <x:c r="I10" s="38" t="n">
        <x:f>G10*(1-H10)</x:f>
        <x:v>0.9507560834374998</x:v>
      </x:c>
      <x:c r="J10" s="31" t="str">
        <x:f>IF(I10&gt;=Controls!$D$14,"PASS","FAIL")</x:f>
        <x:v>PASS</x:v>
      </x:c>
      <x:c r="K10" s="49"/>
      <x:c r="L10" s="49"/>
      <x:c r="M10" s="49"/>
      <x:c r="N10" s="49"/>
    </x:row>
    <x:row r="11">
      <x:c r="C11" s="37" t="n">
        <x:v>0.2</x:v>
      </x:c>
      <x:c r="D11" s="38" t="n">
        <x:f>(1-C11)^6</x:f>
        <x:v>0.2621440000000001</x:v>
      </x:c>
      <x:c r="E11" s="38" t="n">
        <x:f>6*C11*(1-C11)^5</x:f>
        <x:v>0.3932160000000002</x:v>
      </x:c>
      <x:c r="F11" s="38" t="n">
        <x:f>15*C11^2*(1-C11)^4</x:f>
        <x:v>0.2457600000000001</x:v>
      </x:c>
      <x:c r="G11" s="38" t="n">
        <x:f>SUM(D11:F11)</x:f>
        <x:v>0.9011200000000004</x:v>
      </x:c>
      <x:c r="H11" s="38" t="n">
        <x:f>Controls!$D$13</x:f>
        <x:v>0.002</x:v>
      </x:c>
      <x:c r="I11" s="38" t="n">
        <x:f>G11*(1-H11)</x:f>
        <x:v>0.8993177600000004</x:v>
      </x:c>
      <x:c r="J11" s="31" t="str">
        <x:f>IF(I11&gt;=Controls!$D$14,"PASS","FAIL")</x:f>
        <x:v>FAIL</x:v>
      </x:c>
      <x:c r="K11" s="49"/>
      <x:c r="L11" s="49"/>
      <x:c r="M11" s="49"/>
      <x:c r="N11" s="49"/>
    </x:row>
    <x:row r="12">
      <x:c r="C12" s="37" t="n">
        <x:v>0.25</x:v>
      </x:c>
      <x:c r="D12" s="38" t="n">
        <x:f>(1-C12)^6</x:f>
        <x:v>0.177978515625</x:v>
      </x:c>
      <x:c r="E12" s="38" t="n">
        <x:f>6*C12*(1-C12)^5</x:f>
        <x:v>0.35595703125</x:v>
      </x:c>
      <x:c r="F12" s="38" t="n">
        <x:f>15*C12^2*(1-C12)^4</x:f>
        <x:v>0.296630859375</x:v>
      </x:c>
      <x:c r="G12" s="38" t="n">
        <x:f>SUM(D12:F12)</x:f>
        <x:v>0.83056640625</x:v>
      </x:c>
      <x:c r="H12" s="38" t="n">
        <x:f>Controls!$D$13</x:f>
        <x:v>0.002</x:v>
      </x:c>
      <x:c r="I12" s="38" t="n">
        <x:f>G12*(1-H12)</x:f>
        <x:v>0.8289052734375</x:v>
      </x:c>
      <x:c r="J12" s="31" t="str">
        <x:f>IF(I12&gt;=Controls!$D$14,"PASS","FAIL")</x:f>
        <x:v>FAIL</x:v>
      </x:c>
      <x:c r="K12" s="49"/>
      <x:c r="L12" s="49"/>
      <x:c r="M12" s="49"/>
      <x:c r="N12" s="49"/>
    </x:row>
    <x:row r="13">
      <x:c r="C13" s="37" t="n">
        <x:v>0.3</x:v>
      </x:c>
      <x:c r="D13" s="38" t="n">
        <x:f>(1-C13)^6</x:f>
        <x:v>0.11764899999999996</x:v>
      </x:c>
      <x:c r="E13" s="38" t="n">
        <x:f>6*C13*(1-C13)^5</x:f>
        <x:v>0.30252599999999985</x:v>
      </x:c>
      <x:c r="F13" s="38" t="n">
        <x:f>15*C13^2*(1-C13)^4</x:f>
        <x:v>0.3241349999999999</x:v>
      </x:c>
      <x:c r="G13" s="38" t="n">
        <x:f>SUM(D13:F13)</x:f>
        <x:v>0.7443099999999997</x:v>
      </x:c>
      <x:c r="H13" s="38" t="n">
        <x:f>Controls!$D$13</x:f>
        <x:v>0.002</x:v>
      </x:c>
      <x:c r="I13" s="38" t="n">
        <x:f>G13*(1-H13)</x:f>
        <x:v>0.7428213799999996</x:v>
      </x:c>
      <x:c r="J13" s="31" t="str">
        <x:f>IF(I13&gt;=Controls!$D$14,"PASS","FAIL")</x:f>
        <x:v>FAIL</x:v>
      </x:c>
      <x:c r="K13" s="49"/>
      <x:c r="L13" s="49"/>
      <x:c r="M13" s="49"/>
      <x:c r="N13" s="49"/>
    </x:row>
    <x:row r="14">
      <x:c r="C14" s="49"/>
      <x:c r="D14" s="49"/>
      <x:c r="E14" s="49"/>
      <x:c r="F14" s="49"/>
      <x:c r="G14" s="49"/>
      <x:c r="H14" s="49"/>
      <x:c r="I14" s="49"/>
      <x:c r="J14" s="49"/>
      <x:c r="K14" s="49"/>
      <x:c r="L14" s="49"/>
      <x:c r="M14" s="49"/>
      <x:c r="N14" s="49"/>
    </x:row>
    <x:row r="15">
      <x:c r="C15" s="49"/>
      <x:c r="D15" s="49"/>
      <x:c r="E15" s="49"/>
      <x:c r="F15" s="49"/>
      <x:c r="G15" s="49"/>
      <x:c r="H15" s="49"/>
      <x:c r="I15" s="49"/>
      <x:c r="J15" s="49"/>
      <x:c r="K15" s="49"/>
      <x:c r="L15" s="49"/>
      <x:c r="M15" s="49"/>
      <x:c r="N15" s="49"/>
    </x:row>
    <x:row r="16">
      <x:c r="C16" s="50" t="str">
        <x:v>Design point</x:v>
      </x:c>
      <x:c r="D16" s="51" t="str">
        <x:v>Design point</x:v>
      </x:c>
      <x:c r="E16" s="51" t="str">
        <x:v>Design point</x:v>
      </x:c>
      <x:c r="F16" s="51" t="str">
        <x:v>Design point</x:v>
      </x:c>
      <x:c r="G16" s="51" t="str">
        <x:v>Design point</x:v>
      </x:c>
      <x:c r="H16" s="51" t="str">
        <x:v>Design point</x:v>
      </x:c>
      <x:c r="I16" s="51" t="str">
        <x:v>Design point</x:v>
      </x:c>
      <x:c r="J16" s="52" t="str">
        <x:v>Design point</x:v>
      </x:c>
      <x:c r="K16" s="49"/>
      <x:c r="L16" s="49"/>
      <x:c r="M16" s="49"/>
      <x:c r="N16" s="49"/>
    </x:row>
    <x:row r="17">
      <x:c r="C17" s="49"/>
      <x:c r="D17" s="49"/>
      <x:c r="E17" s="49"/>
      <x:c r="F17" s="49"/>
      <x:c r="G17" s="49"/>
      <x:c r="H17" s="49"/>
      <x:c r="I17" s="49"/>
      <x:c r="J17" s="49"/>
      <x:c r="K17" s="49"/>
      <x:c r="L17" s="49"/>
      <x:c r="M17" s="49"/>
      <x:c r="N17" s="49"/>
    </x:row>
    <x:row r="18">
      <x:c r="C18" s="16" t="str">
        <x:v>Cell loss allocation</x:v>
      </x:c>
      <x:c r="D18" s="17" t="str">
        <x:v>Common mode allocation</x:v>
      </x:c>
      <x:c r="E18" s="17" t="str">
        <x:v>Calculated assurance</x:v>
      </x:c>
      <x:c r="F18" s="18" t="str">
        <x:v>Interpretation</x:v>
      </x:c>
      <x:c r="G18" s="49"/>
      <x:c r="H18" s="49"/>
      <x:c r="I18" s="49"/>
      <x:c r="J18" s="49"/>
      <x:c r="K18" s="49"/>
      <x:c r="L18" s="49"/>
      <x:c r="M18" s="49"/>
      <x:c r="N18" s="49"/>
    </x:row>
    <x:row r="19">
      <x:c r="C19" s="37" t="n">
        <x:f>Controls!D12</x:f>
        <x:v>0.15</x:v>
      </x:c>
      <x:c r="D19" s="37" t="n">
        <x:f>Controls!D13</x:f>
        <x:v>0.002</x:v>
      </x:c>
      <x:c r="E19" s="37" t="n">
        <x:f>((1-C19)^6+6*C19*(1-C19)^5+15*C19^2*(1-C19)^4)*(1-D19)</x:f>
        <x:v>0.9507560834374998</x:v>
      </x:c>
      <x:c r="F19" s="21" t="str">
        <x:v>Narrowly clears 95%; every independence assumption requires empirical attack.</x:v>
      </x:c>
      <x:c r="G19" s="49"/>
      <x:c r="H19" s="49"/>
      <x:c r="I19" s="49"/>
      <x:c r="J19" s="49"/>
      <x:c r="K19" s="49"/>
      <x:c r="L19" s="49"/>
      <x:c r="M19" s="49"/>
      <x:c r="N19" s="49"/>
    </x:row>
  </x:sheetData>
  <x:mergeCells>
    <x:mergeCell ref="C2:N2"/>
    <x:mergeCell ref="C3:N3"/>
    <x:mergeCell ref="C16:J16"/>
  </x:mergeCells>
  <x:conditionalFormatting sqref="J7:J13">
    <x:cfRule type="containsText" dxfId="25" priority="1" operator="containsText" text="PASS"/>
    <x:cfRule type="containsText" dxfId="26" priority="2" operator="containsText" text="CLOSE"/>
    <x:cfRule type="containsText" dxfId="27" priority="3" operator="containsText" text="FAIL"/>
    <x:cfRule type="containsText" dxfId="28" priority="4" operator="containsText" text="OPEN"/>
    <x:cfRule type="containsText" dxfId="29" priority="5" operator="containsText" text="BLOCKED"/>
  </x:conditionalFormatting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40" hidden="0" customWidth="1"/>
    <x:col min="4" max="4" width="18" hidden="0" customWidth="1"/>
    <x:col min="5" max="5" width="12" hidden="0" customWidth="1"/>
    <x:col min="6" max="6" width="18" hidden="0" customWidth="1"/>
    <x:col min="7" max="7" width="18" hidden="0" customWidth="1"/>
    <x:col min="8" max="8" width="18" hidden="0" customWidth="1"/>
    <x:col min="9" max="9" width="54" hidden="0" customWidth="1"/>
  </x:cols>
  <x:sheetData>
    <x:row r="2" ht="24" customHeight="1">
      <x:c r="C2" s="47" t="str">
        <x:v>Workforce and Readiness</x:v>
      </x:c>
      <x:c r="D2" s="47"/>
      <x:c r="E2" s="47"/>
      <x:c r="F2" s="47"/>
      <x:c r="G2" s="47"/>
      <x:c r="H2" s="47"/>
      <x:c r="I2" s="47"/>
      <x:c r="J2" s="47"/>
      <x:c r="K2" s="47"/>
      <x:c r="L2" s="47"/>
      <x:c r="M2" s="47"/>
      <x:c r="N2" s="47"/>
    </x:row>
    <x:row r="3" ht="32" customHeight="1">
      <x:c r="C3" s="48" t="str">
        <x:v>A coequal force is sustained by standing crews and technical authority, not a surge-only roster. Billets use deployed requirement × rotational factor unless noted.</x:v>
      </x:c>
      <x:c r="D3" s="48"/>
      <x:c r="E3" s="48"/>
      <x:c r="F3" s="48"/>
      <x:c r="G3" s="48"/>
      <x:c r="H3" s="48"/>
      <x:c r="I3" s="48"/>
      <x:c r="J3" s="48"/>
      <x:c r="K3" s="48"/>
      <x:c r="L3" s="48"/>
      <x:c r="M3" s="48"/>
      <x:c r="N3" s="48"/>
    </x:row>
    <x:row r="4">
      <x:c r="C4" s="49"/>
      <x:c r="D4" s="49"/>
      <x:c r="E4" s="49"/>
      <x:c r="F4" s="49"/>
      <x:c r="G4" s="49"/>
      <x:c r="H4" s="49"/>
      <x:c r="I4" s="49"/>
      <x:c r="J4" s="49"/>
      <x:c r="K4" s="49"/>
      <x:c r="L4" s="49"/>
      <x:c r="M4" s="49"/>
      <x:c r="N4" s="49"/>
    </x:row>
    <x:row r="5">
      <x:c r="C5" s="49"/>
      <x:c r="D5" s="49"/>
      <x:c r="E5" s="49"/>
      <x:c r="F5" s="49"/>
      <x:c r="G5" s="49"/>
      <x:c r="H5" s="49"/>
      <x:c r="I5" s="49"/>
      <x:c r="J5" s="49"/>
      <x:c r="K5" s="49"/>
      <x:c r="L5" s="49"/>
      <x:c r="M5" s="49"/>
      <x:c r="N5" s="49"/>
    </x:row>
    <x:row r="6">
      <x:c r="C6" s="16" t="str">
        <x:v>Element</x:v>
      </x:c>
      <x:c r="D6" s="17" t="str">
        <x:v>Deployed/cell</x:v>
      </x:c>
      <x:c r="E6" s="17" t="str">
        <x:v>Cells</x:v>
      </x:c>
      <x:c r="F6" s="17" t="str">
        <x:v>Deployed total</x:v>
      </x:c>
      <x:c r="G6" s="17" t="str">
        <x:v>Rotational factor</x:v>
      </x:c>
      <x:c r="H6" s="17" t="str">
        <x:v>Billets</x:v>
      </x:c>
      <x:c r="I6" s="18" t="str">
        <x:v>Function</x:v>
      </x:c>
      <x:c r="J6" s="49"/>
      <x:c r="K6" s="49"/>
      <x:c r="L6" s="49"/>
      <x:c r="M6" s="49"/>
      <x:c r="N6" s="49"/>
    </x:row>
    <x:row r="7">
      <x:c r="C7" s="21" t="str">
        <x:v>Cell command and civil interface</x:v>
      </x:c>
      <x:c r="D7" s="39" t="n">
        <x:v>350</x:v>
      </x:c>
      <x:c r="E7" s="39" t="n">
        <x:v>6</x:v>
      </x:c>
      <x:c r="F7" s="40" t="n">
        <x:f>D7*E7</x:f>
        <x:v>2100</x:v>
      </x:c>
      <x:c r="G7" s="40" t="n">
        <x:f>Controls!$D$18</x:f>
        <x:v>4.2</x:v>
      </x:c>
      <x:c r="H7" s="40" t="n">
        <x:f>F7*G7</x:f>
        <x:v>8820</x:v>
      </x:c>
      <x:c r="I7" s="21" t="str">
        <x:v>Joint mission command, public priorities and liaison</x:v>
      </x:c>
      <x:c r="J7" s="49"/>
      <x:c r="K7" s="49"/>
      <x:c r="L7" s="49"/>
      <x:c r="M7" s="49"/>
      <x:c r="N7" s="49"/>
    </x:row>
    <x:row r="8">
      <x:c r="C8" s="21" t="str">
        <x:v>Health and human services</x:v>
      </x:c>
      <x:c r="D8" s="39" t="n">
        <x:v>1500</x:v>
      </x:c>
      <x:c r="E8" s="39" t="n">
        <x:v>6</x:v>
      </x:c>
      <x:c r="F8" s="40" t="n">
        <x:f>D8*E8</x:f>
        <x:v>9000</x:v>
      </x:c>
      <x:c r="G8" s="40" t="n">
        <x:f>Controls!$D$18</x:f>
        <x:v>4.2</x:v>
      </x:c>
      <x:c r="H8" s="40" t="n">
        <x:f>F8*G8</x:f>
        <x:v>37800</x:v>
      </x:c>
      <x:c r="I8" s="21" t="str">
        <x:v>Clinical, public health, shelter, food and accessibility</x:v>
      </x:c>
      <x:c r="J8" s="49"/>
      <x:c r="K8" s="49"/>
      <x:c r="L8" s="49"/>
      <x:c r="M8" s="49"/>
      <x:c r="N8" s="49"/>
    </x:row>
    <x:row r="9">
      <x:c r="C9" s="21" t="str">
        <x:v>Infrastructure and utilities</x:v>
      </x:c>
      <x:c r="D9" s="39" t="n">
        <x:v>1700</x:v>
      </x:c>
      <x:c r="E9" s="39" t="n">
        <x:v>6</x:v>
      </x:c>
      <x:c r="F9" s="40" t="n">
        <x:f>D9*E9</x:f>
        <x:v>10200</x:v>
      </x:c>
      <x:c r="G9" s="40" t="n">
        <x:f>Controls!$D$18</x:f>
        <x:v>4.2</x:v>
      </x:c>
      <x:c r="H9" s="40" t="n">
        <x:f>F9*G9</x:f>
        <x:v>42840</x:v>
      </x:c>
      <x:c r="I9" s="21" t="str">
        <x:v>Power, water, sanitation, access and inspection</x:v>
      </x:c>
      <x:c r="J9" s="49"/>
      <x:c r="K9" s="49"/>
      <x:c r="L9" s="49"/>
      <x:c r="M9" s="49"/>
      <x:c r="N9" s="49"/>
    </x:row>
    <x:row r="10">
      <x:c r="C10" s="21" t="str">
        <x:v>Mobility and autonomous handling</x:v>
      </x:c>
      <x:c r="D10" s="39" t="n">
        <x:v>1600</x:v>
      </x:c>
      <x:c r="E10" s="39" t="n">
        <x:v>6</x:v>
      </x:c>
      <x:c r="F10" s="40" t="n">
        <x:f>D10*E10</x:f>
        <x:v>9600</x:v>
      </x:c>
      <x:c r="G10" s="40" t="n">
        <x:f>Controls!$D$18</x:f>
        <x:v>4.2</x:v>
      </x:c>
      <x:c r="H10" s="40" t="n">
        <x:f>F10*G10</x:f>
        <x:v>40320</x:v>
      </x:c>
      <x:c r="I10" s="21" t="str">
        <x:v>Air/sea/surface cargo and robotic handling</x:v>
      </x:c>
      <x:c r="J10" s="49"/>
      <x:c r="K10" s="49"/>
      <x:c r="L10" s="49"/>
      <x:c r="M10" s="49"/>
      <x:c r="N10" s="49"/>
    </x:row>
    <x:row r="11">
      <x:c r="C11" s="21" t="str">
        <x:v>Responder-base and sustainment</x:v>
      </x:c>
      <x:c r="D11" s="39" t="n">
        <x:v>1300</x:v>
      </x:c>
      <x:c r="E11" s="39" t="n">
        <x:v>6</x:v>
      </x:c>
      <x:c r="F11" s="40" t="n">
        <x:f>D11*E11</x:f>
        <x:v>7800</x:v>
      </x:c>
      <x:c r="G11" s="40" t="n">
        <x:f>Controls!$D$18</x:f>
        <x:v>4.2</x:v>
      </x:c>
      <x:c r="H11" s="40" t="n">
        <x:f>F11*G11</x:f>
        <x:v>32760</x:v>
      </x:c>
      <x:c r="I11" s="21" t="str">
        <x:v>Life support, maintenance, supply and force health</x:v>
      </x:c>
      <x:c r="J11" s="49"/>
      <x:c r="K11" s="49"/>
      <x:c r="L11" s="49"/>
      <x:c r="M11" s="49"/>
      <x:c r="N11" s="49"/>
    </x:row>
    <x:row r="12">
      <x:c r="C12" s="21" t="str">
        <x:v>Data, communications and sensing</x:v>
      </x:c>
      <x:c r="D12" s="39" t="n">
        <x:v>600</x:v>
      </x:c>
      <x:c r="E12" s="39" t="n">
        <x:v>6</x:v>
      </x:c>
      <x:c r="F12" s="40" t="n">
        <x:f>D12*E12</x:f>
        <x:v>3600</x:v>
      </x:c>
      <x:c r="G12" s="40" t="n">
        <x:f>Controls!$D$18</x:f>
        <x:v>4.2</x:v>
      </x:c>
      <x:c r="H12" s="40" t="n">
        <x:f>F12*G12</x:f>
        <x:v>15120</x:v>
      </x:c>
      <x:c r="I12" s="21" t="str">
        <x:v>Sovereign data plane, sensing and public communications</x:v>
      </x:c>
      <x:c r="J12" s="49"/>
      <x:c r="K12" s="49"/>
      <x:c r="L12" s="49"/>
      <x:c r="M12" s="49"/>
      <x:c r="N12" s="49"/>
    </x:row>
    <x:row r="13">
      <x:c r="C13" s="21" t="str">
        <x:v>Safety, test and technical authority</x:v>
      </x:c>
      <x:c r="D13" s="39" t="n">
        <x:v>450</x:v>
      </x:c>
      <x:c r="E13" s="39" t="n">
        <x:v>6</x:v>
      </x:c>
      <x:c r="F13" s="40" t="n">
        <x:f>D13*E13</x:f>
        <x:v>2700</x:v>
      </x:c>
      <x:c r="G13" s="40" t="n">
        <x:f>Controls!$D$18</x:f>
        <x:v>4.2</x:v>
      </x:c>
      <x:c r="H13" s="40" t="n">
        <x:f>F13*G13</x:f>
        <x:v>11340</x:v>
      </x:c>
      <x:c r="I13" s="21" t="str">
        <x:v>Release, certification, investigation and configuration control</x:v>
      </x:c>
      <x:c r="J13" s="49"/>
      <x:c r="K13" s="49"/>
      <x:c r="L13" s="49"/>
      <x:c r="M13" s="49"/>
      <x:c r="N13" s="49"/>
    </x:row>
    <x:row r="14">
      <x:c r="C14" s="21"/>
      <x:c r="D14" s="39"/>
      <x:c r="E14" s="39"/>
      <x:c r="F14" s="40"/>
      <x:c r="G14" s="40"/>
      <x:c r="H14" s="40"/>
      <x:c r="I14" s="21"/>
      <x:c r="J14" s="49"/>
      <x:c r="K14" s="49"/>
      <x:c r="L14" s="49"/>
      <x:c r="M14" s="49"/>
      <x:c r="N14" s="49"/>
    </x:row>
    <x:row r="15">
      <x:c r="C15" s="21" t="str">
        <x:v>CELL FORCE SUBTOTAL</x:v>
      </x:c>
      <x:c r="D15" s="39"/>
      <x:c r="E15" s="39"/>
      <x:c r="F15" s="40" t="n">
        <x:f>SUM(F7:F13)</x:f>
        <x:v>45000</x:v>
      </x:c>
      <x:c r="G15" s="40"/>
      <x:c r="H15" s="40" t="n">
        <x:f>SUM(H7:H13)</x:f>
        <x:v>189000</x:v>
      </x:c>
      <x:c r="I15" s="21"/>
      <x:c r="J15" s="49"/>
      <x:c r="K15" s="49"/>
      <x:c r="L15" s="49"/>
      <x:c r="M15" s="49"/>
      <x:c r="N15" s="49"/>
    </x:row>
    <x:row r="16">
      <x:c r="C16" s="21"/>
      <x:c r="D16" s="39"/>
      <x:c r="E16" s="39"/>
      <x:c r="F16" s="40"/>
      <x:c r="G16" s="40"/>
      <x:c r="H16" s="40"/>
      <x:c r="I16" s="21"/>
      <x:c r="J16" s="49"/>
      <x:c r="K16" s="49"/>
      <x:c r="L16" s="49"/>
      <x:c r="M16" s="49"/>
      <x:c r="N16" s="49"/>
    </x:row>
    <x:row r="17">
      <x:c r="C17" s="21" t="str">
        <x:v>Aviation, maritime, origins, depots and institutional force</x:v>
      </x:c>
      <x:c r="D17" s="39"/>
      <x:c r="E17" s="39"/>
      <x:c r="F17" s="40"/>
      <x:c r="G17" s="40"/>
      <x:c r="H17" s="40" t="n">
        <x:v>60000</x:v>
      </x:c>
      <x:c r="I17" s="21"/>
      <x:c r="J17" s="49"/>
      <x:c r="K17" s="49"/>
      <x:c r="L17" s="49"/>
      <x:c r="M17" s="49"/>
      <x:c r="N17" s="49"/>
    </x:row>
    <x:row r="18">
      <x:c r="C18" s="21"/>
      <x:c r="D18" s="39"/>
      <x:c r="E18" s="39"/>
      <x:c r="F18" s="40"/>
      <x:c r="G18" s="40"/>
      <x:c r="H18" s="40"/>
      <x:c r="I18" s="21"/>
      <x:c r="J18" s="49"/>
      <x:c r="K18" s="49"/>
      <x:c r="L18" s="49"/>
      <x:c r="M18" s="49"/>
      <x:c r="N18" s="49"/>
    </x:row>
    <x:row r="19">
      <x:c r="C19" s="21" t="str">
        <x:v>TOTAL ATTRIBUTABLE WORKFORCE</x:v>
      </x:c>
      <x:c r="D19" s="39"/>
      <x:c r="E19" s="39"/>
      <x:c r="F19" s="40"/>
      <x:c r="G19" s="40"/>
      <x:c r="H19" s="40" t="n">
        <x:f>H15+H17</x:f>
        <x:v>249000</x:v>
      </x:c>
      <x:c r="I19" s="21"/>
      <x:c r="J19" s="49"/>
      <x:c r="K19" s="49"/>
      <x:c r="L19" s="49"/>
      <x:c r="M19" s="49"/>
      <x:c r="N19" s="49"/>
    </x:row>
  </x:sheetData>
  <x:mergeCells>
    <x:mergeCell ref="C2:N2"/>
    <x:mergeCell ref="C3:N3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42" hidden="0" customWidth="1"/>
    <x:col min="4" max="4" width="13" hidden="0" customWidth="1"/>
    <x:col min="5" max="5" width="16" hidden="0" customWidth="1"/>
    <x:col min="6" max="6" width="18" hidden="0" customWidth="1"/>
    <x:col min="7" max="7" width="18" hidden="0" customWidth="1"/>
    <x:col min="8" max="8" width="56" hidden="0" customWidth="1"/>
    <x:col min="9" max="9" width="16" hidden="0" customWidth="1"/>
    <x:col min="10" max="10" width="16" hidden="0" customWidth="1"/>
  </x:cols>
  <x:sheetData>
    <x:row r="2" ht="24" customHeight="1">
      <x:c r="C2" s="47" t="str">
        <x:v>Attributable Capital Build</x:v>
      </x:c>
      <x:c r="D2" s="47"/>
      <x:c r="E2" s="47"/>
      <x:c r="F2" s="47"/>
      <x:c r="G2" s="47"/>
      <x:c r="H2" s="47"/>
      <x:c r="I2" s="47"/>
      <x:c r="J2" s="47"/>
      <x:c r="K2" s="47"/>
      <x:c r="L2" s="47"/>
      <x:c r="M2" s="47"/>
      <x:c r="N2" s="47"/>
    </x:row>
    <x:row r="3" ht="32" customHeight="1">
      <x:c r="C3" s="48" t="str">
        <x:v>Planning hypotheses in constant 2026 dollars. The 25% reserve reflects the absence of reference designs; Pass 27 replaces, rather than stacks on, the Pass 26 assurance delta.</x:v>
      </x:c>
      <x:c r="D3" s="48"/>
      <x:c r="E3" s="48"/>
      <x:c r="F3" s="48"/>
      <x:c r="G3" s="48"/>
      <x:c r="H3" s="48"/>
      <x:c r="I3" s="48"/>
      <x:c r="J3" s="48"/>
      <x:c r="K3" s="48"/>
      <x:c r="L3" s="48"/>
      <x:c r="M3" s="48"/>
      <x:c r="N3" s="48"/>
    </x:row>
    <x:row r="4">
      <x:c r="C4" s="49"/>
      <x:c r="D4" s="49"/>
      <x:c r="E4" s="49"/>
      <x:c r="F4" s="49"/>
      <x:c r="G4" s="49"/>
      <x:c r="H4" s="49"/>
      <x:c r="I4" s="49"/>
      <x:c r="J4" s="49"/>
      <x:c r="K4" s="49"/>
      <x:c r="L4" s="49"/>
      <x:c r="M4" s="49"/>
      <x:c r="N4" s="49"/>
    </x:row>
    <x:row r="5">
      <x:c r="C5" s="49"/>
      <x:c r="D5" s="49"/>
      <x:c r="E5" s="49"/>
      <x:c r="F5" s="49"/>
      <x:c r="G5" s="49"/>
      <x:c r="H5" s="49"/>
      <x:c r="I5" s="49"/>
      <x:c r="J5" s="49"/>
      <x:c r="K5" s="49"/>
      <x:c r="L5" s="49"/>
      <x:c r="M5" s="49"/>
      <x:c r="N5" s="49"/>
    </x:row>
    <x:row r="6">
      <x:c r="C6" s="16" t="str">
        <x:v>Program element</x:v>
      </x:c>
      <x:c r="D6" s="17" t="str">
        <x:v>Quantity</x:v>
      </x:c>
      <x:c r="E6" s="17" t="str">
        <x:v>Unit</x:v>
      </x:c>
      <x:c r="F6" s="17" t="str">
        <x:v>Unit cost $B</x:v>
      </x:c>
      <x:c r="G6" s="17" t="str">
        <x:v>Extended $B</x:v>
      </x:c>
      <x:c r="H6" s="17" t="str">
        <x:v>Basis</x:v>
      </x:c>
      <x:c r="I6" s="17" t="str">
        <x:v>Maturity</x:v>
      </x:c>
      <x:c r="J6" s="18" t="str">
        <x:v>Accounting</x:v>
      </x:c>
      <x:c r="K6" s="49"/>
      <x:c r="L6" s="49"/>
      <x:c r="M6" s="49"/>
      <x:c r="N6" s="49"/>
    </x:row>
    <x:row r="7">
      <x:c r="C7" s="21" t="str">
        <x:v>Six service-entry mission-equipment sets</x:v>
      </x:c>
      <x:c r="D7" s="21" t="n">
        <x:v>6</x:v>
      </x:c>
      <x:c r="E7" s="21" t="str">
        <x:v>cells</x:v>
      </x:c>
      <x:c r="F7" s="41" t="n">
        <x:v>7.4</x:v>
      </x:c>
      <x:c r="G7" s="42" t="n">
        <x:f>D7*F7</x:f>
        <x:v>44.400000000000006</x:v>
      </x:c>
      <x:c r="H7" s="21" t="str">
        <x:v>Bottom-up planning allowance for 29,612 t/cell mixed modules</x:v>
      </x:c>
      <x:c r="I7" s="21" t="str">
        <x:v>concept</x:v>
      </x:c>
      <x:c r="J7" s="21" t="str">
        <x:v>incremental</x:v>
      </x:c>
      <x:c r="K7" s="49"/>
      <x:c r="L7" s="49"/>
      <x:c r="M7" s="49"/>
      <x:c r="N7" s="49"/>
    </x:row>
    <x:row r="8">
      <x:c r="C8" s="21" t="str">
        <x:v>Independent origin complexes</x:v>
      </x:c>
      <x:c r="D8" s="21" t="n">
        <x:v>6</x:v>
      </x:c>
      <x:c r="E8" s="21" t="str">
        <x:v>complexes</x:v>
      </x:c>
      <x:c r="F8" s="41" t="n">
        <x:v>5</x:v>
      </x:c>
      <x:c r="G8" s="42" t="n">
        <x:f>D8*F8</x:f>
        <x:v>30</x:v>
      </x:c>
      <x:c r="H8" s="21" t="str">
        <x:v>Separate stocks, workforce, power, data and dispatch</x:v>
      </x:c>
      <x:c r="I8" s="21" t="str">
        <x:v>concept</x:v>
      </x:c>
      <x:c r="J8" s="21" t="str">
        <x:v>incremental</x:v>
      </x:c>
      <x:c r="K8" s="49"/>
      <x:c r="L8" s="49"/>
      <x:c r="M8" s="49"/>
      <x:c r="N8" s="49"/>
    </x:row>
    <x:row r="9">
      <x:c r="C9" s="21" t="str">
        <x:v>SAC-120 fleet</x:v>
      </x:c>
      <x:c r="D9" s="21" t="n">
        <x:v>210</x:v>
      </x:c>
      <x:c r="E9" s="21" t="str">
        <x:v>aircraft</x:v>
      </x:c>
      <x:c r="F9" s="41" t="n">
        <x:v>0.55</x:v>
      </x:c>
      <x:c r="G9" s="42" t="n">
        <x:f>D9*F9</x:f>
        <x:v>115.50000000000001</x:v>
      </x:c>
      <x:c r="H9" s="21" t="str">
        <x:v>105 per air cell including reserve</x:v>
      </x:c>
      <x:c r="I9" s="21" t="str">
        <x:v>pre-concept</x:v>
      </x:c>
      <x:c r="J9" s="21" t="str">
        <x:v>incremental</x:v>
      </x:c>
      <x:c r="K9" s="49"/>
      <x:c r="L9" s="49"/>
      <x:c r="M9" s="49"/>
      <x:c r="N9" s="49"/>
    </x:row>
    <x:row r="10">
      <x:c r="C10" s="21" t="str">
        <x:v>RSL-12 sea lifters</x:v>
      </x:c>
      <x:c r="D10" s="21" t="n">
        <x:v>8</x:v>
      </x:c>
      <x:c r="E10" s="21" t="str">
        <x:v>ships</x:v>
      </x:c>
      <x:c r="F10" s="41" t="n">
        <x:v>3</x:v>
      </x:c>
      <x:c r="G10" s="42" t="n">
        <x:f>D10*F10</x:f>
        <x:v>24</x:v>
      </x:c>
      <x:c r="H10" s="21" t="str">
        <x:v>Four per offshore cell including reserve</x:v>
      </x:c>
      <x:c r="I10" s="21" t="str">
        <x:v>pre-concept</x:v>
      </x:c>
      <x:c r="J10" s="21" t="str">
        <x:v>incremental</x:v>
      </x:c>
      <x:c r="K10" s="49"/>
      <x:c r="L10" s="49"/>
      <x:c r="M10" s="49"/>
      <x:c r="N10" s="49"/>
    </x:row>
    <x:row r="11">
      <x:c r="C11" s="21" t="str">
        <x:v>NPO-1100 no-pier systems</x:v>
      </x:c>
      <x:c r="D11" s="21" t="n">
        <x:v>12</x:v>
      </x:c>
      <x:c r="E11" s="21" t="str">
        <x:v>systems</x:v>
      </x:c>
      <x:c r="F11" s="41" t="n">
        <x:v>0.75</x:v>
      </x:c>
      <x:c r="G11" s="42" t="n">
        <x:f>D11*F11</x:f>
        <x:v>9</x:v>
      </x:c>
      <x:c r="H11" s="21" t="str">
        <x:v>Two working sets plus reserve per offshore cell</x:v>
      </x:c>
      <x:c r="I11" s="21" t="str">
        <x:v>pre-concept</x:v>
      </x:c>
      <x:c r="J11" s="21" t="str">
        <x:v>incremental</x:v>
      </x:c>
      <x:c r="K11" s="49"/>
      <x:c r="L11" s="49"/>
      <x:c r="M11" s="49"/>
      <x:c r="N11" s="49"/>
    </x:row>
    <x:row r="12">
      <x:c r="C12" s="21" t="str">
        <x:v>Autonomous cargo and inspection craft</x:v>
      </x:c>
      <x:c r="D12" s="21" t="n">
        <x:v>600</x:v>
      </x:c>
      <x:c r="E12" s="21" t="str">
        <x:v>craft/sets</x:v>
      </x:c>
      <x:c r="F12" s="41" t="n">
        <x:v>0.025</x:v>
      </x:c>
      <x:c r="G12" s="42" t="n">
        <x:f>D12*F12</x:f>
        <x:v>15</x:v>
      </x:c>
      <x:c r="H12" s="21" t="str">
        <x:v>Cross-modal local distribution and inspection</x:v>
      </x:c>
      <x:c r="I12" s="21" t="str">
        <x:v>pre-concept</x:v>
      </x:c>
      <x:c r="J12" s="21" t="str">
        <x:v>incremental</x:v>
      </x:c>
      <x:c r="K12" s="49"/>
      <x:c r="L12" s="49"/>
      <x:c r="M12" s="49"/>
      <x:c r="N12" s="49"/>
    </x:row>
    <x:row r="13">
      <x:c r="C13" s="21" t="str">
        <x:v>Autonomous handling systems</x:v>
      </x:c>
      <x:c r="D13" s="21" t="n">
        <x:v>240</x:v>
      </x:c>
      <x:c r="E13" s="21" t="str">
        <x:v>systems</x:v>
      </x:c>
      <x:c r="F13" s="41" t="n">
        <x:v>0.05</x:v>
      </x:c>
      <x:c r="G13" s="42" t="n">
        <x:f>D13*F13</x:f>
        <x:v>12</x:v>
      </x:c>
      <x:c r="H13" s="21" t="str">
        <x:v>Upland, air and offshore cargo nodes</x:v>
      </x:c>
      <x:c r="I13" s="21" t="str">
        <x:v>pre-concept</x:v>
      </x:c>
      <x:c r="J13" s="21" t="str">
        <x:v>incremental</x:v>
      </x:c>
      <x:c r="K13" s="49"/>
      <x:c r="L13" s="49"/>
      <x:c r="M13" s="49"/>
      <x:c r="N13" s="49"/>
    </x:row>
    <x:row r="14">
      <x:c r="C14" s="21" t="str">
        <x:v>Independent micro-utility/base packages</x:v>
      </x:c>
      <x:c r="D14" s="21" t="n">
        <x:v>6</x:v>
      </x:c>
      <x:c r="E14" s="21" t="str">
        <x:v>packages</x:v>
      </x:c>
      <x:c r="F14" s="41" t="n">
        <x:v>4.5</x:v>
      </x:c>
      <x:c r="G14" s="42" t="n">
        <x:f>D14*F14</x:f>
        <x:v>27</x:v>
      </x:c>
      <x:c r="H14" s="21" t="str">
        <x:v>Power, water, sanitation, shelter and base support</x:v>
      </x:c>
      <x:c r="I14" s="21" t="str">
        <x:v>pre-concept</x:v>
      </x:c>
      <x:c r="J14" s="21" t="str">
        <x:v>incremental</x:v>
      </x:c>
      <x:c r="K14" s="49"/>
      <x:c r="L14" s="49"/>
      <x:c r="M14" s="49"/>
      <x:c r="N14" s="49"/>
    </x:row>
    <x:row r="15">
      <x:c r="C15" s="21" t="str">
        <x:v>Sovereign mission systems</x:v>
      </x:c>
      <x:c r="D15" s="21" t="n">
        <x:v>1</x:v>
      </x:c>
      <x:c r="E15" s="21" t="str">
        <x:v>program</x:v>
      </x:c>
      <x:c r="F15" s="41" t="n">
        <x:v>15</x:v>
      </x:c>
      <x:c r="G15" s="42" t="n">
        <x:f>D15*F15</x:f>
        <x:v>15</x:v>
      </x:c>
      <x:c r="H15" s="21" t="str">
        <x:v>Data, spectrum, cyber, digital engineering and public interface</x:v>
      </x:c>
      <x:c r="I15" s="21" t="str">
        <x:v>concept</x:v>
      </x:c>
      <x:c r="J15" s="21" t="str">
        <x:v>incremental</x:v>
      </x:c>
      <x:c r="K15" s="49"/>
      <x:c r="L15" s="49"/>
      <x:c r="M15" s="49"/>
      <x:c r="N15" s="49"/>
    </x:row>
    <x:row r="16">
      <x:c r="C16" s="21" t="str">
        <x:v>Depots, training and test ranges</x:v>
      </x:c>
      <x:c r="D16" s="21" t="n">
        <x:v>1</x:v>
      </x:c>
      <x:c r="E16" s="21" t="str">
        <x:v>network</x:v>
      </x:c>
      <x:c r="F16" s="41" t="n">
        <x:v>25</x:v>
      </x:c>
      <x:c r="G16" s="42" t="n">
        <x:f>D16*F16</x:f>
        <x:v>25</x:v>
      </x:c>
      <x:c r="H16" s="21" t="str">
        <x:v>Standing institutional capacity</x:v>
      </x:c>
      <x:c r="I16" s="21" t="str">
        <x:v>concept</x:v>
      </x:c>
      <x:c r="J16" s="21" t="str">
        <x:v>incremental</x:v>
      </x:c>
      <x:c r="K16" s="49"/>
      <x:c r="L16" s="49"/>
      <x:c r="M16" s="49"/>
      <x:c r="N16" s="49"/>
    </x:row>
    <x:row r="17">
      <x:c r="C17" s="21" t="str">
        <x:v>Technology and full-mission test program</x:v>
      </x:c>
      <x:c r="D17" s="21" t="n">
        <x:v>1</x:v>
      </x:c>
      <x:c r="E17" s="21" t="str">
        <x:v>program</x:v>
      </x:c>
      <x:c r="F17" s="41" t="n">
        <x:v>60</x:v>
      </x:c>
      <x:c r="G17" s="42" t="n">
        <x:f>D17*F17</x:f>
        <x:v>60</x:v>
      </x:c>
      <x:c r="H17" s="21" t="str">
        <x:v>X-planes, sea demonstrators, autonomy, utilities and trials</x:v>
      </x:c>
      <x:c r="I17" s="21" t="str">
        <x:v>concept</x:v>
      </x:c>
      <x:c r="J17" s="21" t="str">
        <x:v>incremental</x:v>
      </x:c>
      <x:c r="K17" s="49"/>
      <x:c r="L17" s="49"/>
      <x:c r="M17" s="49"/>
      <x:c r="N17" s="49"/>
    </x:row>
    <x:row r="18">
      <x:c r="C18" s="21"/>
      <x:c r="D18" s="21"/>
      <x:c r="E18" s="21"/>
      <x:c r="F18" s="41"/>
      <x:c r="G18" s="42"/>
      <x:c r="H18" s="21"/>
      <x:c r="I18" s="21"/>
      <x:c r="J18" s="21"/>
      <x:c r="K18" s="49"/>
      <x:c r="L18" s="49"/>
      <x:c r="M18" s="49"/>
      <x:c r="N18" s="49"/>
    </x:row>
    <x:row r="19">
      <x:c r="C19" s="21" t="str">
        <x:v>SUBTOTAL</x:v>
      </x:c>
      <x:c r="D19" s="21"/>
      <x:c r="E19" s="21"/>
      <x:c r="F19" s="41"/>
      <x:c r="G19" s="42" t="n">
        <x:f>SUM(G7:G17)</x:f>
        <x:v>376.90000000000003</x:v>
      </x:c>
      <x:c r="H19" s="21"/>
      <x:c r="I19" s="21"/>
      <x:c r="J19" s="21"/>
      <x:c r="K19" s="49"/>
      <x:c r="L19" s="49"/>
      <x:c r="M19" s="49"/>
      <x:c r="N19" s="49"/>
    </x:row>
    <x:row r="20">
      <x:c r="C20" s="21" t="str">
        <x:v>RISK RESERVE</x:v>
      </x:c>
      <x:c r="D20" s="21"/>
      <x:c r="E20" s="21"/>
      <x:c r="F20" s="41"/>
      <x:c r="G20" s="42" t="n">
        <x:f>G19*Controls!$D$17</x:f>
        <x:v>94.22500000000001</x:v>
      </x:c>
      <x:c r="H20" s="21"/>
      <x:c r="I20" s="21"/>
      <x:c r="J20" s="21"/>
      <x:c r="K20" s="49"/>
      <x:c r="L20" s="49"/>
      <x:c r="M20" s="49"/>
      <x:c r="N20" s="49"/>
    </x:row>
    <x:row r="21">
      <x:c r="C21" s="21" t="str">
        <x:v>PASS 27 INCREMENTAL</x:v>
      </x:c>
      <x:c r="D21" s="21"/>
      <x:c r="E21" s="21"/>
      <x:c r="F21" s="41"/>
      <x:c r="G21" s="42" t="n">
        <x:f>G19+G20</x:f>
        <x:v>471.12500000000006</x:v>
      </x:c>
      <x:c r="H21" s="21"/>
      <x:c r="I21" s="21"/>
      <x:c r="J21" s="21"/>
      <x:c r="K21" s="49"/>
      <x:c r="L21" s="49"/>
      <x:c r="M21" s="49"/>
      <x:c r="N21" s="49"/>
    </x:row>
    <x:row r="22">
      <x:c r="C22" s="21" t="str">
        <x:v>TOTAL WITH PASS 25 BASELINE</x:v>
      </x:c>
      <x:c r="D22" s="21"/>
      <x:c r="E22" s="21"/>
      <x:c r="F22" s="41"/>
      <x:c r="G22" s="42" t="n">
        <x:f>G21+Controls!$D$15</x:f>
        <x:v>844.565</x:v>
      </x:c>
      <x:c r="H22" s="21"/>
      <x:c r="I22" s="21"/>
      <x:c r="J22" s="21"/>
      <x:c r="K22" s="49"/>
      <x:c r="L22" s="49"/>
      <x:c r="M22" s="49"/>
      <x:c r="N22" s="49"/>
    </x:row>
  </x:sheetData>
  <x:mergeCells>
    <x:mergeCell ref="C2:N2"/>
    <x:mergeCell ref="C3:N3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10" hidden="0" customWidth="1"/>
    <x:col min="4" max="4" width="16" hidden="0" customWidth="1"/>
    <x:col min="5" max="5" width="18" hidden="0" customWidth="1"/>
    <x:col min="6" max="6" width="52" hidden="0" customWidth="1"/>
  </x:cols>
  <x:sheetData>
    <x:row r="2" ht="24" customHeight="1">
      <x:c r="C2" s="47" t="str">
        <x:v>Illustrative 25-Year Build Profile</x:v>
      </x:c>
      <x:c r="D2" s="47"/>
      <x:c r="E2" s="47"/>
      <x:c r="F2" s="47"/>
      <x:c r="G2" s="47"/>
      <x:c r="H2" s="47"/>
      <x:c r="I2" s="47"/>
      <x:c r="J2" s="47"/>
      <x:c r="K2" s="47"/>
    </x:row>
    <x:row r="3" ht="32" customHeight="1">
      <x:c r="C3" s="48" t="str">
        <x:v>Annual weights are editable planning values and sum to one. Funding is front-loaded through technology maturation and industrial expansion.</x:v>
      </x:c>
      <x:c r="D3" s="48"/>
      <x:c r="E3" s="48"/>
      <x:c r="F3" s="48"/>
      <x:c r="G3" s="48"/>
      <x:c r="H3" s="48"/>
      <x:c r="I3" s="48"/>
      <x:c r="J3" s="48"/>
      <x:c r="K3" s="48"/>
    </x:row>
    <x:row r="4">
      <x:c r="C4" s="49"/>
      <x:c r="D4" s="49"/>
      <x:c r="E4" s="49"/>
      <x:c r="F4" s="49"/>
      <x:c r="G4" s="49"/>
      <x:c r="H4" s="49"/>
      <x:c r="I4" s="49"/>
      <x:c r="J4" s="49"/>
      <x:c r="K4" s="49"/>
    </x:row>
    <x:row r="5">
      <x:c r="C5" s="49"/>
      <x:c r="D5" s="49"/>
      <x:c r="E5" s="49"/>
      <x:c r="F5" s="49"/>
      <x:c r="G5" s="49"/>
      <x:c r="H5" s="49"/>
      <x:c r="I5" s="49"/>
      <x:c r="J5" s="49"/>
      <x:c r="K5" s="49"/>
    </x:row>
    <x:row r="6">
      <x:c r="C6" s="16" t="str">
        <x:v>Year</x:v>
      </x:c>
      <x:c r="D6" s="17" t="str">
        <x:v>Build weight</x:v>
      </x:c>
      <x:c r="E6" s="17" t="str">
        <x:v>Annual $B</x:v>
      </x:c>
      <x:c r="F6" s="18" t="str">
        <x:v>Phase</x:v>
      </x:c>
      <x:c r="G6" s="49"/>
      <x:c r="H6" s="49"/>
      <x:c r="I6" s="49"/>
      <x:c r="J6" s="49"/>
      <x:c r="K6" s="49"/>
    </x:row>
    <x:row r="7">
      <x:c r="C7" s="21" t="n">
        <x:v>1</x:v>
      </x:c>
      <x:c r="D7" s="43" t="n">
        <x:v>0.03</x:v>
      </x:c>
      <x:c r="E7" s="45" t="n">
        <x:f>D7*'Capital Build'!$G$21</x:f>
        <x:v>14.133750000000001</x:v>
      </x:c>
      <x:c r="F7" s="21" t="str">
        <x:v>requirements, demonstrators, interfaces</x:v>
      </x:c>
      <x:c r="G7" s="49"/>
      <x:c r="H7" s="49"/>
      <x:c r="I7" s="49"/>
      <x:c r="J7" s="49"/>
      <x:c r="K7" s="49"/>
    </x:row>
    <x:row r="8">
      <x:c r="C8" s="21" t="n">
        <x:v>2</x:v>
      </x:c>
      <x:c r="D8" s="43" t="n">
        <x:v>0.04</x:v>
      </x:c>
      <x:c r="E8" s="45" t="n">
        <x:f>D8*'Capital Build'!$G$21</x:f>
        <x:v>18.845000000000002</x:v>
      </x:c>
      <x:c r="F8" s="21" t="str">
        <x:v>requirements, demonstrators, interfaces</x:v>
      </x:c>
      <x:c r="G8" s="49"/>
      <x:c r="H8" s="49"/>
      <x:c r="I8" s="49"/>
      <x:c r="J8" s="49"/>
      <x:c r="K8" s="49"/>
    </x:row>
    <x:row r="9">
      <x:c r="C9" s="21" t="n">
        <x:v>3</x:v>
      </x:c>
      <x:c r="D9" s="43" t="n">
        <x:v>0.05</x:v>
      </x:c>
      <x:c r="E9" s="45" t="n">
        <x:f>D9*'Capital Build'!$G$21</x:f>
        <x:v>23.556250000000006</x:v>
      </x:c>
      <x:c r="F9" s="21" t="str">
        <x:v>requirements, demonstrators, interfaces</x:v>
      </x:c>
      <x:c r="G9" s="49"/>
      <x:c r="H9" s="49"/>
      <x:c r="I9" s="49"/>
      <x:c r="J9" s="49"/>
      <x:c r="K9" s="49"/>
    </x:row>
    <x:row r="10">
      <x:c r="C10" s="21" t="n">
        <x:v>4</x:v>
      </x:c>
      <x:c r="D10" s="43" t="n">
        <x:v>0.06</x:v>
      </x:c>
      <x:c r="E10" s="45" t="n">
        <x:f>D10*'Capital Build'!$G$21</x:f>
        <x:v>28.267500000000002</x:v>
      </x:c>
      <x:c r="F10" s="21" t="str">
        <x:v>requirements, demonstrators, interfaces</x:v>
      </x:c>
      <x:c r="G10" s="49"/>
      <x:c r="H10" s="49"/>
      <x:c r="I10" s="49"/>
      <x:c r="J10" s="49"/>
      <x:c r="K10" s="49"/>
    </x:row>
    <x:row r="11">
      <x:c r="C11" s="21" t="n">
        <x:v>5</x:v>
      </x:c>
      <x:c r="D11" s="43" t="n">
        <x:v>0.065</x:v>
      </x:c>
      <x:c r="E11" s="45" t="n">
        <x:f>D11*'Capital Build'!$G$21</x:f>
        <x:v>30.623125000000005</x:v>
      </x:c>
      <x:c r="F11" s="21" t="str">
        <x:v>requirements, demonstrators, interfaces</x:v>
      </x:c>
      <x:c r="G11" s="49"/>
      <x:c r="H11" s="49"/>
      <x:c r="I11" s="49"/>
      <x:c r="J11" s="49"/>
      <x:c r="K11" s="49"/>
    </x:row>
    <x:row r="12">
      <x:c r="C12" s="21" t="n">
        <x:v>6</x:v>
      </x:c>
      <x:c r="D12" s="43" t="n">
        <x:v>0.07</x:v>
      </x:c>
      <x:c r="E12" s="45" t="n">
        <x:f>D12*'Capital Build'!$G$21</x:f>
        <x:v>32.978750000000005</x:v>
      </x:c>
      <x:c r="F12" s="21" t="str">
        <x:v>industrial expansion and initial cells</x:v>
      </x:c>
      <x:c r="G12" s="49"/>
      <x:c r="H12" s="49"/>
      <x:c r="I12" s="49"/>
      <x:c r="J12" s="49"/>
      <x:c r="K12" s="49"/>
    </x:row>
    <x:row r="13">
      <x:c r="C13" s="21" t="n">
        <x:v>7</x:v>
      </x:c>
      <x:c r="D13" s="43" t="n">
        <x:v>0.07</x:v>
      </x:c>
      <x:c r="E13" s="45" t="n">
        <x:f>D13*'Capital Build'!$G$21</x:f>
        <x:v>32.978750000000005</x:v>
      </x:c>
      <x:c r="F13" s="21" t="str">
        <x:v>industrial expansion and initial cells</x:v>
      </x:c>
      <x:c r="G13" s="49"/>
      <x:c r="H13" s="49"/>
      <x:c r="I13" s="49"/>
      <x:c r="J13" s="49"/>
      <x:c r="K13" s="49"/>
    </x:row>
    <x:row r="14">
      <x:c r="C14" s="21" t="n">
        <x:v>8</x:v>
      </x:c>
      <x:c r="D14" s="43" t="n">
        <x:v>0.065</x:v>
      </x:c>
      <x:c r="E14" s="45" t="n">
        <x:f>D14*'Capital Build'!$G$21</x:f>
        <x:v>30.623125000000005</x:v>
      </x:c>
      <x:c r="F14" s="21" t="str">
        <x:v>industrial expansion and initial cells</x:v>
      </x:c>
      <x:c r="G14" s="49"/>
      <x:c r="H14" s="49"/>
      <x:c r="I14" s="49"/>
      <x:c r="J14" s="49"/>
      <x:c r="K14" s="49"/>
    </x:row>
    <x:row r="15">
      <x:c r="C15" s="21" t="n">
        <x:v>9</x:v>
      </x:c>
      <x:c r="D15" s="43" t="n">
        <x:v>0.06</x:v>
      </x:c>
      <x:c r="E15" s="45" t="n">
        <x:f>D15*'Capital Build'!$G$21</x:f>
        <x:v>28.267500000000002</x:v>
      </x:c>
      <x:c r="F15" s="21" t="str">
        <x:v>industrial expansion and initial cells</x:v>
      </x:c>
      <x:c r="G15" s="49"/>
      <x:c r="H15" s="49"/>
      <x:c r="I15" s="49"/>
      <x:c r="J15" s="49"/>
      <x:c r="K15" s="49"/>
    </x:row>
    <x:row r="16">
      <x:c r="C16" s="21" t="n">
        <x:v>10</x:v>
      </x:c>
      <x:c r="D16" s="43" t="n">
        <x:v>0.055</x:v>
      </x:c>
      <x:c r="E16" s="45" t="n">
        <x:f>D16*'Capital Build'!$G$21</x:f>
        <x:v>25.911875000000002</x:v>
      </x:c>
      <x:c r="F16" s="21" t="str">
        <x:v>industrial expansion and initial cells</x:v>
      </x:c>
      <x:c r="G16" s="49"/>
      <x:c r="H16" s="49"/>
      <x:c r="I16" s="49"/>
      <x:c r="J16" s="49"/>
      <x:c r="K16" s="49"/>
    </x:row>
    <x:row r="17">
      <x:c r="C17" s="21" t="n">
        <x:v>11</x:v>
      </x:c>
      <x:c r="D17" s="43" t="n">
        <x:v>0.05</x:v>
      </x:c>
      <x:c r="E17" s="45" t="n">
        <x:f>D17*'Capital Build'!$G$21</x:f>
        <x:v>23.556250000000006</x:v>
      </x:c>
      <x:c r="F17" s="21" t="str">
        <x:v>industrial expansion and initial cells</x:v>
      </x:c>
      <x:c r="G17" s="49"/>
      <x:c r="H17" s="49"/>
      <x:c r="I17" s="49"/>
      <x:c r="J17" s="49"/>
      <x:c r="K17" s="49"/>
    </x:row>
    <x:row r="18">
      <x:c r="C18" s="21" t="n">
        <x:v>12</x:v>
      </x:c>
      <x:c r="D18" s="43" t="n">
        <x:v>0.045</x:v>
      </x:c>
      <x:c r="E18" s="45" t="n">
        <x:f>D18*'Capital Build'!$G$21</x:f>
        <x:v>21.200625000000002</x:v>
      </x:c>
      <x:c r="F18" s="21" t="str">
        <x:v>industrial expansion and initial cells</x:v>
      </x:c>
      <x:c r="G18" s="49"/>
      <x:c r="H18" s="49"/>
      <x:c r="I18" s="49"/>
      <x:c r="J18" s="49"/>
      <x:c r="K18" s="49"/>
    </x:row>
    <x:row r="19">
      <x:c r="C19" s="21" t="n">
        <x:v>13</x:v>
      </x:c>
      <x:c r="D19" s="43" t="n">
        <x:v>0.04</x:v>
      </x:c>
      <x:c r="E19" s="45" t="n">
        <x:f>D19*'Capital Build'!$G$21</x:f>
        <x:v>18.845000000000002</x:v>
      </x:c>
      <x:c r="F19" s="21" t="str">
        <x:v>fleet production and full-mission trials</x:v>
      </x:c>
      <x:c r="G19" s="49"/>
      <x:c r="H19" s="49"/>
      <x:c r="I19" s="49"/>
      <x:c r="J19" s="49"/>
      <x:c r="K19" s="49"/>
    </x:row>
    <x:row r="20">
      <x:c r="C20" s="21" t="n">
        <x:v>14</x:v>
      </x:c>
      <x:c r="D20" s="43" t="n">
        <x:v>0.04</x:v>
      </x:c>
      <x:c r="E20" s="45" t="n">
        <x:f>D20*'Capital Build'!$G$21</x:f>
        <x:v>18.845000000000002</x:v>
      </x:c>
      <x:c r="F20" s="21" t="str">
        <x:v>fleet production and full-mission trials</x:v>
      </x:c>
      <x:c r="G20" s="49"/>
      <x:c r="H20" s="49"/>
      <x:c r="I20" s="49"/>
      <x:c r="J20" s="49"/>
      <x:c r="K20" s="49"/>
    </x:row>
    <x:row r="21">
      <x:c r="C21" s="21" t="n">
        <x:v>15</x:v>
      </x:c>
      <x:c r="D21" s="43" t="n">
        <x:v>0.035</x:v>
      </x:c>
      <x:c r="E21" s="45" t="n">
        <x:f>D21*'Capital Build'!$G$21</x:f>
        <x:v>16.489375000000003</x:v>
      </x:c>
      <x:c r="F21" s="21" t="str">
        <x:v>fleet production and full-mission trials</x:v>
      </x:c>
      <x:c r="G21" s="49"/>
      <x:c r="H21" s="49"/>
      <x:c r="I21" s="49"/>
      <x:c r="J21" s="49"/>
      <x:c r="K21" s="49"/>
    </x:row>
    <x:row r="22">
      <x:c r="C22" s="21" t="n">
        <x:v>16</x:v>
      </x:c>
      <x:c r="D22" s="43" t="n">
        <x:v>0.035</x:v>
      </x:c>
      <x:c r="E22" s="45" t="n">
        <x:f>D22*'Capital Build'!$G$21</x:f>
        <x:v>16.489375000000003</x:v>
      </x:c>
      <x:c r="F22" s="21" t="str">
        <x:v>fleet production and full-mission trials</x:v>
      </x:c>
      <x:c r="G22" s="49"/>
      <x:c r="H22" s="49"/>
      <x:c r="I22" s="49"/>
      <x:c r="J22" s="49"/>
      <x:c r="K22" s="49"/>
    </x:row>
    <x:row r="23">
      <x:c r="C23" s="21" t="n">
        <x:v>17</x:v>
      </x:c>
      <x:c r="D23" s="43" t="n">
        <x:v>0.03</x:v>
      </x:c>
      <x:c r="E23" s="45" t="n">
        <x:f>D23*'Capital Build'!$G$21</x:f>
        <x:v>14.133750000000001</x:v>
      </x:c>
      <x:c r="F23" s="21" t="str">
        <x:v>fleet production and full-mission trials</x:v>
      </x:c>
      <x:c r="G23" s="49"/>
      <x:c r="H23" s="49"/>
      <x:c r="I23" s="49"/>
      <x:c r="J23" s="49"/>
      <x:c r="K23" s="49"/>
    </x:row>
    <x:row r="24">
      <x:c r="C24" s="21" t="n">
        <x:v>18</x:v>
      </x:c>
      <x:c r="D24" s="43" t="n">
        <x:v>0.03</x:v>
      </x:c>
      <x:c r="E24" s="45" t="n">
        <x:f>D24*'Capital Build'!$G$21</x:f>
        <x:v>14.133750000000001</x:v>
      </x:c>
      <x:c r="F24" s="21" t="str">
        <x:v>fleet production and full-mission trials</x:v>
      </x:c>
      <x:c r="G24" s="49"/>
      <x:c r="H24" s="49"/>
      <x:c r="I24" s="49"/>
      <x:c r="J24" s="49"/>
      <x:c r="K24" s="49"/>
    </x:row>
    <x:row r="25">
      <x:c r="C25" s="21" t="n">
        <x:v>19</x:v>
      </x:c>
      <x:c r="D25" s="43" t="n">
        <x:v>0.025</x:v>
      </x:c>
      <x:c r="E25" s="45" t="n">
        <x:f>D25*'Capital Build'!$G$21</x:f>
        <x:v>11.778125000000003</x:v>
      </x:c>
      <x:c r="F25" s="21" t="str">
        <x:v>fleet production and full-mission trials</x:v>
      </x:c>
      <x:c r="G25" s="49"/>
      <x:c r="H25" s="49"/>
      <x:c r="I25" s="49"/>
      <x:c r="J25" s="49"/>
      <x:c r="K25" s="49"/>
    </x:row>
    <x:row r="26">
      <x:c r="C26" s="21" t="n">
        <x:v>20</x:v>
      </x:c>
      <x:c r="D26" s="43" t="n">
        <x:v>0.025</x:v>
      </x:c>
      <x:c r="E26" s="45" t="n">
        <x:f>D26*'Capital Build'!$G$21</x:f>
        <x:v>11.778125000000003</x:v>
      </x:c>
      <x:c r="F26" s="21" t="str">
        <x:v>fleet production and full-mission trials</x:v>
      </x:c>
      <x:c r="G26" s="49"/>
      <x:c r="H26" s="49"/>
      <x:c r="I26" s="49"/>
      <x:c r="J26" s="49"/>
      <x:c r="K26" s="49"/>
    </x:row>
    <x:row r="27">
      <x:c r="C27" s="21" t="n">
        <x:v>21</x:v>
      </x:c>
      <x:c r="D27" s="43" t="n">
        <x:v>0.02</x:v>
      </x:c>
      <x:c r="E27" s="45" t="n">
        <x:f>D27*'Capital Build'!$G$21</x:f>
        <x:v>9.422500000000001</x:v>
      </x:c>
      <x:c r="F27" s="21" t="str">
        <x:v>reserve, recapitalization and export tooling</x:v>
      </x:c>
      <x:c r="G27" s="49"/>
      <x:c r="H27" s="49"/>
      <x:c r="I27" s="49"/>
      <x:c r="J27" s="49"/>
      <x:c r="K27" s="49"/>
    </x:row>
    <x:row r="28">
      <x:c r="C28" s="21" t="n">
        <x:v>22</x:v>
      </x:c>
      <x:c r="D28" s="43" t="n">
        <x:v>0.02</x:v>
      </x:c>
      <x:c r="E28" s="45" t="n">
        <x:f>D28*'Capital Build'!$G$21</x:f>
        <x:v>9.422500000000001</x:v>
      </x:c>
      <x:c r="F28" s="21" t="str">
        <x:v>reserve, recapitalization and export tooling</x:v>
      </x:c>
      <x:c r="G28" s="49"/>
      <x:c r="H28" s="49"/>
      <x:c r="I28" s="49"/>
      <x:c r="J28" s="49"/>
      <x:c r="K28" s="49"/>
    </x:row>
    <x:row r="29">
      <x:c r="C29" s="21" t="n">
        <x:v>23</x:v>
      </x:c>
      <x:c r="D29" s="43" t="n">
        <x:v>0.015</x:v>
      </x:c>
      <x:c r="E29" s="45" t="n">
        <x:f>D29*'Capital Build'!$G$21</x:f>
        <x:v>7.0668750000000005</x:v>
      </x:c>
      <x:c r="F29" s="21" t="str">
        <x:v>reserve, recapitalization and export tooling</x:v>
      </x:c>
      <x:c r="G29" s="49"/>
      <x:c r="H29" s="49"/>
      <x:c r="I29" s="49"/>
      <x:c r="J29" s="49"/>
      <x:c r="K29" s="49"/>
    </x:row>
    <x:row r="30">
      <x:c r="C30" s="21" t="n">
        <x:v>24</x:v>
      </x:c>
      <x:c r="D30" s="43" t="n">
        <x:v>0.01</x:v>
      </x:c>
      <x:c r="E30" s="45" t="n">
        <x:f>D30*'Capital Build'!$G$21</x:f>
        <x:v>4.711250000000001</x:v>
      </x:c>
      <x:c r="F30" s="21" t="str">
        <x:v>reserve, recapitalization and export tooling</x:v>
      </x:c>
      <x:c r="G30" s="49"/>
      <x:c r="H30" s="49"/>
      <x:c r="I30" s="49"/>
      <x:c r="J30" s="49"/>
      <x:c r="K30" s="49"/>
    </x:row>
    <x:row r="31">
      <x:c r="C31" s="21" t="n">
        <x:v>25</x:v>
      </x:c>
      <x:c r="D31" s="43" t="n">
        <x:v>0.015</x:v>
      </x:c>
      <x:c r="E31" s="45" t="n">
        <x:f>D31*'Capital Build'!$G$21</x:f>
        <x:v>7.0668750000000005</x:v>
      </x:c>
      <x:c r="F31" s="21" t="str">
        <x:v>reserve, recapitalization and export tooling</x:v>
      </x:c>
      <x:c r="G31" s="49"/>
      <x:c r="H31" s="49"/>
      <x:c r="I31" s="49"/>
      <x:c r="J31" s="49"/>
      <x:c r="K31" s="49"/>
    </x:row>
  </x:sheetData>
  <x:mergeCells>
    <x:mergeCell ref="C2:K2"/>
    <x:mergeCell ref="C3:K3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38" hidden="0" customWidth="1"/>
    <x:col min="4" max="4" width="18" hidden="0" customWidth="1"/>
    <x:col min="5" max="5" width="18" hidden="0" customWidth="1"/>
    <x:col min="6" max="6" width="16" hidden="0" customWidth="1"/>
    <x:col min="7" max="7" width="18" hidden="0" customWidth="1"/>
    <x:col min="8" max="8" width="48" hidden="0" customWidth="1"/>
  </x:cols>
  <x:sheetData>
    <x:row r="2" ht="24" customHeight="1">
      <x:c r="C2" s="47" t="str">
        <x:v>Mature Annual Operating Cost</x:v>
      </x:c>
      <x:c r="D2" s="47"/>
      <x:c r="E2" s="47"/>
      <x:c r="F2" s="47"/>
      <x:c r="G2" s="47"/>
      <x:c r="H2" s="47"/>
      <x:c r="I2" s="47"/>
      <x:c r="J2" s="47"/>
      <x:c r="K2" s="47"/>
      <x:c r="L2" s="47"/>
    </x:row>
    <x:row r="3" ht="32" customHeight="1">
      <x:c r="C3" s="48" t="str">
        <x:v>Formula-driven planning estimate in constant 2026 dollars. Personnel cost includes compensation, training, support and institutional overhead.</x:v>
      </x:c>
      <x:c r="D3" s="48"/>
      <x:c r="E3" s="48"/>
      <x:c r="F3" s="48"/>
      <x:c r="G3" s="48"/>
      <x:c r="H3" s="48"/>
      <x:c r="I3" s="48"/>
      <x:c r="J3" s="48"/>
      <x:c r="K3" s="48"/>
      <x:c r="L3" s="48"/>
    </x:row>
    <x:row r="4">
      <x:c r="C4" s="49"/>
      <x:c r="D4" s="49"/>
      <x:c r="E4" s="49"/>
      <x:c r="F4" s="49"/>
      <x:c r="G4" s="49"/>
      <x:c r="H4" s="49"/>
      <x:c r="I4" s="49"/>
      <x:c r="J4" s="49"/>
      <x:c r="K4" s="49"/>
      <x:c r="L4" s="49"/>
    </x:row>
    <x:row r="5">
      <x:c r="C5" s="49"/>
      <x:c r="D5" s="49"/>
      <x:c r="E5" s="49"/>
      <x:c r="F5" s="49"/>
      <x:c r="G5" s="49"/>
      <x:c r="H5" s="49"/>
      <x:c r="I5" s="49"/>
      <x:c r="J5" s="49"/>
      <x:c r="K5" s="49"/>
      <x:c r="L5" s="49"/>
    </x:row>
    <x:row r="6">
      <x:c r="C6" s="16" t="str">
        <x:v>Element</x:v>
      </x:c>
      <x:c r="D6" s="17" t="str">
        <x:v>Driver</x:v>
      </x:c>
      <x:c r="E6" s="17" t="str">
        <x:v>Unit</x:v>
      </x:c>
      <x:c r="F6" s="17" t="str">
        <x:v>Rate</x:v>
      </x:c>
      <x:c r="G6" s="17" t="str">
        <x:v>Annual $B</x:v>
      </x:c>
      <x:c r="H6" s="18" t="str">
        <x:v>Basis</x:v>
      </x:c>
      <x:c r="I6" s="49"/>
      <x:c r="J6" s="49"/>
      <x:c r="K6" s="49"/>
      <x:c r="L6" s="49"/>
    </x:row>
    <x:row r="7">
      <x:c r="C7" s="21" t="str">
        <x:v>Attributable workforce</x:v>
      </x:c>
      <x:c r="D7" s="31" t="n">
        <x:f>'Workforce'!H19</x:f>
        <x:v>249000</x:v>
      </x:c>
      <x:c r="E7" s="21" t="str">
        <x:v>people</x:v>
      </x:c>
      <x:c r="F7" s="41" t="n">
        <x:v>0.00018</x:v>
      </x:c>
      <x:c r="G7" s="42" t="n">
        <x:f>D7*F7</x:f>
        <x:v>44.82</x:v>
      </x:c>
      <x:c r="H7" s="21" t="str">
        <x:v>loaded $180k/person-year</x:v>
      </x:c>
      <x:c r="I7" s="49"/>
      <x:c r="J7" s="49"/>
      <x:c r="K7" s="49"/>
      <x:c r="L7" s="49"/>
    </x:row>
    <x:row r="8">
      <x:c r="C8" s="21" t="str">
        <x:v>SAC-120 fleet</x:v>
      </x:c>
      <x:c r="D8" s="31" t="n">
        <x:v>210</x:v>
      </x:c>
      <x:c r="E8" s="21" t="str">
        <x:v>aircraft</x:v>
      </x:c>
      <x:c r="F8" s="41" t="n">
        <x:v>0.06</x:v>
      </x:c>
      <x:c r="G8" s="42" t="n">
        <x:f>D8*F8</x:f>
        <x:v>12.6</x:v>
      </x:c>
      <x:c r="H8" s="21" t="str">
        <x:v>$60M/aircraft-year planning factor</x:v>
      </x:c>
      <x:c r="I8" s="49"/>
      <x:c r="J8" s="49"/>
      <x:c r="K8" s="49"/>
      <x:c r="L8" s="49"/>
    </x:row>
    <x:row r="9">
      <x:c r="C9" s="21" t="str">
        <x:v>RSL-12 fleet</x:v>
      </x:c>
      <x:c r="D9" s="31" t="n">
        <x:v>8</x:v>
      </x:c>
      <x:c r="E9" s="21" t="str">
        <x:v>ships</x:v>
      </x:c>
      <x:c r="F9" s="41" t="n">
        <x:v>0.18</x:v>
      </x:c>
      <x:c r="G9" s="42" t="n">
        <x:f>D9*F9</x:f>
        <x:v>1.44</x:v>
      </x:c>
      <x:c r="H9" s="21" t="str">
        <x:v>$180M/ship-year planning factor</x:v>
      </x:c>
      <x:c r="I9" s="49"/>
      <x:c r="J9" s="49"/>
      <x:c r="K9" s="49"/>
      <x:c r="L9" s="49"/>
    </x:row>
    <x:row r="10">
      <x:c r="C10" s="21" t="str">
        <x:v>Mission-equipment sustainment</x:v>
      </x:c>
      <x:c r="D10" s="31" t="n">
        <x:f>'Capital Build'!G7</x:f>
        <x:v>44.400000000000006</x:v>
      </x:c>
      <x:c r="E10" s="21" t="str">
        <x:v>capital $B</x:v>
      </x:c>
      <x:c r="F10" s="41" t="n">
        <x:v>0.04</x:v>
      </x:c>
      <x:c r="G10" s="42" t="n">
        <x:f>D10*F10</x:f>
        <x:v>1.7760000000000002</x:v>
      </x:c>
      <x:c r="H10" s="21" t="str">
        <x:v>4% of mission-equipment capital</x:v>
      </x:c>
      <x:c r="I10" s="49"/>
      <x:c r="J10" s="49"/>
      <x:c r="K10" s="49"/>
      <x:c r="L10" s="49"/>
    </x:row>
    <x:row r="11">
      <x:c r="C11" s="21" t="str">
        <x:v>Origin-complex sustainment</x:v>
      </x:c>
      <x:c r="D11" s="31" t="n">
        <x:f>'Capital Build'!G8</x:f>
        <x:v>30</x:v>
      </x:c>
      <x:c r="E11" s="21" t="str">
        <x:v>capital $B</x:v>
      </x:c>
      <x:c r="F11" s="41" t="n">
        <x:v>0.03</x:v>
      </x:c>
      <x:c r="G11" s="42" t="n">
        <x:f>D11*F11</x:f>
        <x:v>0.8999999999999999</x:v>
      </x:c>
      <x:c r="H11" s="21" t="str">
        <x:v>3% of origin capital</x:v>
      </x:c>
      <x:c r="I11" s="49"/>
      <x:c r="J11" s="49"/>
      <x:c r="K11" s="49"/>
      <x:c r="L11" s="49"/>
    </x:row>
    <x:row r="12">
      <x:c r="C12" s="21" t="str">
        <x:v>Autonomy and handling sustainment</x:v>
      </x:c>
      <x:c r="D12" s="31" t="n">
        <x:f>'Capital Build'!G12+'Capital Build'!G13</x:f>
        <x:v>27</x:v>
      </x:c>
      <x:c r="E12" s="21" t="str">
        <x:v>capital $B</x:v>
      </x:c>
      <x:c r="F12" s="41" t="n">
        <x:v>0.06</x:v>
      </x:c>
      <x:c r="G12" s="42" t="n">
        <x:f>D12*F12</x:f>
        <x:v>1.6199999999999999</x:v>
      </x:c>
      <x:c r="H12" s="21" t="str">
        <x:v>6% of autonomy/handling capital</x:v>
      </x:c>
      <x:c r="I12" s="49"/>
      <x:c r="J12" s="49"/>
      <x:c r="K12" s="49"/>
      <x:c r="L12" s="49"/>
    </x:row>
    <x:row r="13">
      <x:c r="C13" s="21" t="str">
        <x:v>Micro-utility sustainment</x:v>
      </x:c>
      <x:c r="D13" s="31" t="n">
        <x:f>'Capital Build'!G14</x:f>
        <x:v>27</x:v>
      </x:c>
      <x:c r="E13" s="21" t="str">
        <x:v>capital $B</x:v>
      </x:c>
      <x:c r="F13" s="41" t="n">
        <x:v>0.05</x:v>
      </x:c>
      <x:c r="G13" s="42" t="n">
        <x:f>D13*F13</x:f>
        <x:v>1.35</x:v>
      </x:c>
      <x:c r="H13" s="21" t="str">
        <x:v>5% of utility/base capital</x:v>
      </x:c>
      <x:c r="I13" s="49"/>
      <x:c r="J13" s="49"/>
      <x:c r="K13" s="49"/>
      <x:c r="L13" s="49"/>
    </x:row>
    <x:row r="14">
      <x:c r="C14" s="21" t="str">
        <x:v>Mission systems sustainment</x:v>
      </x:c>
      <x:c r="D14" s="31" t="n">
        <x:f>'Capital Build'!G15</x:f>
        <x:v>15</x:v>
      </x:c>
      <x:c r="E14" s="21" t="str">
        <x:v>capital $B</x:v>
      </x:c>
      <x:c r="F14" s="41" t="n">
        <x:v>0.08</x:v>
      </x:c>
      <x:c r="G14" s="42" t="n">
        <x:f>D14*F14</x:f>
        <x:v>1.2</x:v>
      </x:c>
      <x:c r="H14" s="21" t="str">
        <x:v>8% of mission-system capital</x:v>
      </x:c>
      <x:c r="I14" s="49"/>
      <x:c r="J14" s="49"/>
      <x:c r="K14" s="49"/>
      <x:c r="L14" s="49"/>
    </x:row>
    <x:row r="15">
      <x:c r="C15" s="21" t="str">
        <x:v>Depot and range sustainment</x:v>
      </x:c>
      <x:c r="D15" s="31" t="n">
        <x:f>'Capital Build'!G16</x:f>
        <x:v>25</x:v>
      </x:c>
      <x:c r="E15" s="21" t="str">
        <x:v>capital $B</x:v>
      </x:c>
      <x:c r="F15" s="41" t="n">
        <x:v>0.04</x:v>
      </x:c>
      <x:c r="G15" s="42" t="n">
        <x:f>D15*F15</x:f>
        <x:v>1</x:v>
      </x:c>
      <x:c r="H15" s="21" t="str">
        <x:v>4% of depot/range capital</x:v>
      </x:c>
      <x:c r="I15" s="49"/>
      <x:c r="J15" s="49"/>
      <x:c r="K15" s="49"/>
      <x:c r="L15" s="49"/>
    </x:row>
    <x:row r="16">
      <x:c r="C16" s="21" t="str">
        <x:v>Recurring test, exercise and science</x:v>
      </x:c>
      <x:c r="D16" s="31" t="n">
        <x:v>1</x:v>
      </x:c>
      <x:c r="E16" s="21" t="str">
        <x:v>program</x:v>
      </x:c>
      <x:c r="F16" s="41" t="n">
        <x:v>4</x:v>
      </x:c>
      <x:c r="G16" s="42" t="n">
        <x:f>D16*F16</x:f>
        <x:v>4</x:v>
      </x:c>
      <x:c r="H16" s="21" t="str">
        <x:v>standing annual campaign</x:v>
      </x:c>
      <x:c r="I16" s="49"/>
      <x:c r="J16" s="49"/>
      <x:c r="K16" s="49"/>
      <x:c r="L16" s="49"/>
    </x:row>
    <x:row r="17">
      <x:c r="C17" s="21"/>
      <x:c r="D17" s="31"/>
      <x:c r="E17" s="21"/>
      <x:c r="F17" s="41"/>
      <x:c r="G17" s="42"/>
      <x:c r="H17" s="21"/>
      <x:c r="I17" s="49"/>
      <x:c r="J17" s="49"/>
      <x:c r="K17" s="49"/>
      <x:c r="L17" s="49"/>
    </x:row>
    <x:row r="18">
      <x:c r="C18" s="21" t="str">
        <x:v>PASS 27 INCREMENTAL</x:v>
      </x:c>
      <x:c r="D18" s="31"/>
      <x:c r="E18" s="21"/>
      <x:c r="F18" s="41"/>
      <x:c r="G18" s="42" t="n">
        <x:f>SUM(G7:G16)</x:f>
        <x:v>70.706</x:v>
      </x:c>
      <x:c r="H18" s="21"/>
      <x:c r="I18" s="49"/>
      <x:c r="J18" s="49"/>
      <x:c r="K18" s="49"/>
      <x:c r="L18" s="49"/>
    </x:row>
    <x:row r="19">
      <x:c r="C19" s="21" t="str">
        <x:v>TOTAL WITH PASS 25 BASELINE</x:v>
      </x:c>
      <x:c r="D19" s="31"/>
      <x:c r="E19" s="21"/>
      <x:c r="F19" s="41"/>
      <x:c r="G19" s="42" t="n">
        <x:f>G18+Controls!$D$16</x:f>
        <x:v>104.906</x:v>
      </x:c>
      <x:c r="H19" s="21"/>
      <x:c r="I19" s="49"/>
      <x:c r="J19" s="49"/>
      <x:c r="K19" s="49"/>
      <x:c r="L19" s="49"/>
    </x:row>
  </x:sheetData>
  <x:mergeCells>
    <x:mergeCell ref="C2:L2"/>
    <x:mergeCell ref="C3:L3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10" hidden="0" customWidth="1"/>
    <x:col min="4" max="4" width="30" hidden="0" customWidth="1"/>
    <x:col min="5" max="5" width="46" hidden="0" customWidth="1"/>
    <x:col min="6" max="6" width="38" hidden="0" customWidth="1"/>
    <x:col min="7" max="7" width="42" hidden="0" customWidth="1"/>
    <x:col min="8" max="8" width="42" hidden="0" customWidth="1"/>
    <x:col min="9" max="9" width="12" hidden="0" customWidth="1"/>
    <x:col min="10" max="10" width="12" hidden="0" customWidth="1"/>
    <x:col min="11" max="11" width="14" hidden="0" customWidth="1"/>
  </x:cols>
  <x:sheetData>
    <x:row r="2" ht="24" customHeight="1">
      <x:c r="C2" s="47" t="str">
        <x:v>Technology Advancement Agenda</x:v>
      </x:c>
      <x:c r="D2" s="47"/>
      <x:c r="E2" s="47"/>
      <x:c r="F2" s="47"/>
      <x:c r="G2" s="47"/>
      <x:c r="H2" s="47"/>
      <x:c r="I2" s="47"/>
      <x:c r="J2" s="47"/>
      <x:c r="K2" s="47"/>
      <x:c r="L2" s="47"/>
      <x:c r="M2" s="47"/>
      <x:c r="N2" s="47"/>
      <x:c r="O2" s="47"/>
      <x:c r="P2" s="47"/>
    </x:row>
    <x:row r="3" ht="32" customHeight="1">
      <x:c r="C3" s="48" t="str">
        <x:v>The Department should drive new capability where the operational requirement outruns current technology. Each line is linked to a measurable test, not a speculative aesthetic.</x:v>
      </x:c>
      <x:c r="D3" s="48"/>
      <x:c r="E3" s="48"/>
      <x:c r="F3" s="48"/>
      <x:c r="G3" s="48"/>
      <x:c r="H3" s="48"/>
      <x:c r="I3" s="48"/>
      <x:c r="J3" s="48"/>
      <x:c r="K3" s="48"/>
      <x:c r="L3" s="48"/>
      <x:c r="M3" s="48"/>
      <x:c r="N3" s="48"/>
      <x:c r="O3" s="48"/>
      <x:c r="P3" s="48"/>
    </x:row>
    <x:row r="4">
      <x:c r="C4" s="49"/>
      <x:c r="D4" s="49"/>
      <x:c r="E4" s="49"/>
      <x:c r="F4" s="49"/>
      <x:c r="G4" s="49"/>
      <x:c r="H4" s="49"/>
      <x:c r="I4" s="49"/>
      <x:c r="J4" s="49"/>
      <x:c r="K4" s="49"/>
      <x:c r="L4" s="49"/>
      <x:c r="M4" s="49"/>
      <x:c r="N4" s="49"/>
      <x:c r="O4" s="49"/>
      <x:c r="P4" s="49"/>
    </x:row>
    <x:row r="5">
      <x:c r="C5" s="49"/>
      <x:c r="D5" s="49"/>
      <x:c r="E5" s="49"/>
      <x:c r="F5" s="49"/>
      <x:c r="G5" s="49"/>
      <x:c r="H5" s="49"/>
      <x:c r="I5" s="49"/>
      <x:c r="J5" s="49"/>
      <x:c r="K5" s="49"/>
      <x:c r="L5" s="49"/>
      <x:c r="M5" s="49"/>
      <x:c r="N5" s="49"/>
      <x:c r="O5" s="49"/>
      <x:c r="P5" s="49"/>
    </x:row>
    <x:row r="6">
      <x:c r="C6" s="16" t="str">
        <x:v>TR</x:v>
      </x:c>
      <x:c r="D6" s="17" t="str">
        <x:v>Capability gap</x:v>
      </x:c>
      <x:c r="E6" s="17" t="str">
        <x:v>Required advance</x:v>
      </x:c>
      <x:c r="F6" s="17" t="str">
        <x:v>Metric</x:v>
      </x:c>
      <x:c r="G6" s="17" t="str">
        <x:v>Demonstrator</x:v>
      </x:c>
      <x:c r="H6" s="17" t="str">
        <x:v>Failure consequence</x:v>
      </x:c>
      <x:c r="I6" s="17" t="str">
        <x:v>Phase</x:v>
      </x:c>
      <x:c r="J6" s="17" t="str">
        <x:v>State</x:v>
      </x:c>
      <x:c r="K6" s="18" t="str">
        <x:v>Rendering</x:v>
      </x:c>
      <x:c r="L6" s="49"/>
      <x:c r="M6" s="49"/>
      <x:c r="N6" s="49"/>
      <x:c r="O6" s="49"/>
      <x:c r="P6" s="49"/>
    </x:row>
    <x:row r="7">
      <x:c r="C7" s="21" t="str">
        <x:v>TR-01</x:v>
      </x:c>
      <x:c r="D7" s="21" t="str">
        <x:v>Heavy austere airlift</x:v>
      </x:c>
      <x:c r="E7" s="21" t="str">
        <x:v>120 t average mission payload with rapid autonomous unload</x:v>
      </x:c>
      <x:c r="F7" s="21" t="str">
        <x:v>Sustain 669 net t/h per air cell</x:v>
      </x:c>
      <x:c r="G7" s="21" t="str">
        <x:v>Full-scale SAC-120 X-plane and 30-day sortie campaign</x:v>
      </x:c>
      <x:c r="H7" s="21" t="str">
        <x:v>Air cell misses hour 72</x:v>
      </x:c>
      <x:c r="I7" s="21" t="str">
        <x:v>I-II</x:v>
      </x:c>
      <x:c r="J7" s="21" t="str">
        <x:v>OPEN</x:v>
      </x:c>
      <x:c r="K7" s="21" t="str">
        <x:v>BLOCKED</x:v>
      </x:c>
      <x:c r="L7" s="49"/>
      <x:c r="M7" s="49"/>
      <x:c r="N7" s="49"/>
      <x:c r="O7" s="49"/>
      <x:c r="P7" s="49"/>
    </x:row>
    <x:row r="8">
      <x:c r="C8" s="21" t="str">
        <x:v>TR-02</x:v>
      </x:c>
      <x:c r="D8" s="21" t="str">
        <x:v>Rough-water no-pier transfer</x:v>
      </x:c>
      <x:c r="E8" s="21" t="str">
        <x:v>Continuous transfer through debris and damaged shoreline</x:v>
      </x:c>
      <x:c r="F8" s="21" t="str">
        <x:v>Sustain 1,100 gross t/h in declared sea state</x:v>
      </x:c>
      <x:c r="G8" s="21" t="str">
        <x:v>Representative offshore-to-shore cell trial</x:v>
      </x:c>
      <x:c r="H8" s="21" t="str">
        <x:v>Offshore cell misses hour 72</x:v>
      </x:c>
      <x:c r="I8" s="21" t="str">
        <x:v>I-II</x:v>
      </x:c>
      <x:c r="J8" s="21" t="str">
        <x:v>OPEN</x:v>
      </x:c>
      <x:c r="K8" s="21" t="str">
        <x:v>BLOCKED</x:v>
      </x:c>
      <x:c r="L8" s="49"/>
      <x:c r="M8" s="49"/>
      <x:c r="N8" s="49"/>
      <x:c r="O8" s="49"/>
      <x:c r="P8" s="49"/>
    </x:row>
    <x:row r="9">
      <x:c r="C9" s="21" t="str">
        <x:v>TR-03</x:v>
      </x:c>
      <x:c r="D9" s="21" t="str">
        <x:v>Balanced partial service</x:v>
      </x:c>
      <x:c r="E9" s="21" t="str">
        <x:v>Mix all 16 modules into repeatable kernel tranches</x:v>
      </x:c>
      <x:c r="F9" s="21" t="str">
        <x:v>Any 10% mass fraction yields 10% ±2% of every service effect</x:v>
      </x:c>
      <x:c r="G9" s="21" t="str">
        <x:v>Blind cargo-order and loss trial</x:v>
      </x:c>
      <x:c r="H9" s="21" t="str">
        <x:v>Mass arrives without usable lifeline balance</x:v>
      </x:c>
      <x:c r="I9" s="21" t="str">
        <x:v>I</x:v>
      </x:c>
      <x:c r="J9" s="21" t="str">
        <x:v>OPEN</x:v>
      </x:c>
      <x:c r="K9" s="21" t="str">
        <x:v>BLOCKED</x:v>
      </x:c>
      <x:c r="L9" s="49"/>
      <x:c r="M9" s="49"/>
      <x:c r="N9" s="49"/>
      <x:c r="O9" s="49"/>
      <x:c r="P9" s="49"/>
    </x:row>
    <x:row r="10">
      <x:c r="C10" s="21" t="str">
        <x:v>TR-04</x:v>
      </x:c>
      <x:c r="D10" s="21" t="str">
        <x:v>Autonomous regional handling</x:v>
      </x:c>
      <x:c r="E10" s="21" t="str">
        <x:v>Operate with degraded labor, maps, spectrum and grid</x:v>
      </x:c>
      <x:c r="F10" s="21" t="str">
        <x:v>1,500 gross t/h per upland cell</x:v>
      </x:c>
      <x:c r="G10" s="21" t="str">
        <x:v>Two-week 24/7 damaged-network exercise</x:v>
      </x:c>
      <x:c r="H10" s="21" t="str">
        <x:v>Upland throughput assumption fails</x:v>
      </x:c>
      <x:c r="I10" s="21" t="str">
        <x:v>I-II</x:v>
      </x:c>
      <x:c r="J10" s="21" t="str">
        <x:v>OPEN</x:v>
      </x:c>
      <x:c r="K10" s="21" t="str">
        <x:v>BLOCKED</x:v>
      </x:c>
      <x:c r="L10" s="49"/>
      <x:c r="M10" s="49"/>
      <x:c r="N10" s="49"/>
      <x:c r="O10" s="49"/>
      <x:c r="P10" s="49"/>
    </x:row>
    <x:row r="11">
      <x:c r="C11" s="21" t="str">
        <x:v>TR-05</x:v>
      </x:c>
      <x:c r="D11" s="21" t="str">
        <x:v>Rapid technical release</x:v>
      </x:c>
      <x:c r="E11" s="21" t="str">
        <x:v>Inspect and lawfully release air, port, bridge and utility assets</x:v>
      </x:c>
      <x:c r="F11" s="21" t="str">
        <x:v>Two air cells active by hour 18</x:v>
      </x:c>
      <x:c r="G11" s="21" t="str">
        <x:v>Authority-in-loop damage and repair trial</x:v>
      </x:c>
      <x:c r="H11" s="21" t="str">
        <x:v>Repair complete but access remains closed</x:v>
      </x:c>
      <x:c r="I11" s="21" t="str">
        <x:v>I</x:v>
      </x:c>
      <x:c r="J11" s="21" t="str">
        <x:v>OPEN</x:v>
      </x:c>
      <x:c r="K11" s="21" t="str">
        <x:v>BLOCKED</x:v>
      </x:c>
      <x:c r="L11" s="49"/>
      <x:c r="M11" s="49"/>
      <x:c r="N11" s="49"/>
      <x:c r="O11" s="49"/>
      <x:c r="P11" s="49"/>
    </x:row>
    <x:row r="12">
      <x:c r="C12" s="21" t="str">
        <x:v>TR-06</x:v>
      </x:c>
      <x:c r="D12" s="21" t="str">
        <x:v>Deployable utility islands</x:v>
      </x:c>
      <x:c r="E12" s="21" t="str">
        <x:v>Grid-forming power, water, wastewater and thermal relief</x:v>
      </x:c>
      <x:c r="F12" s="21" t="str">
        <x:v>195 MW and 6,000 m3/day effect per cell</x:v>
      </x:c>
      <x:c r="G12" s="21" t="str">
        <x:v>Full-load islanded 30-day trial</x:v>
      </x:c>
      <x:c r="H12" s="21" t="str">
        <x:v>Service effects depend on host grid</x:v>
      </x:c>
      <x:c r="I12" s="21" t="str">
        <x:v>II-III</x:v>
      </x:c>
      <x:c r="J12" s="21" t="str">
        <x:v>OPEN</x:v>
      </x:c>
      <x:c r="K12" s="21" t="str">
        <x:v>BLOCKED</x:v>
      </x:c>
      <x:c r="L12" s="49"/>
      <x:c r="M12" s="49"/>
      <x:c r="N12" s="49"/>
      <x:c r="O12" s="49"/>
      <x:c r="P12" s="49"/>
    </x:row>
    <x:row r="13">
      <x:c r="C13" s="21" t="str">
        <x:v>TR-07</x:v>
      </x:c>
      <x:c r="D13" s="21" t="str">
        <x:v>Sovereign mission data</x:v>
      </x:c>
      <x:c r="E13" s="21" t="str">
        <x:v>Offline-first, multi-provider, public-facing command</x:v>
      </x:c>
      <x:c r="F13" s="21" t="str">
        <x:v>Survive loss of two providers and central cloud</x:v>
      </x:c>
      <x:c r="G13" s="21" t="str">
        <x:v>Unannounced spectrum/cloud isolation trial</x:v>
      </x:c>
      <x:c r="H13" s="21" t="str">
        <x:v>Cells share a hidden common mode</x:v>
      </x:c>
      <x:c r="I13" s="21" t="str">
        <x:v>I-II</x:v>
      </x:c>
      <x:c r="J13" s="21" t="str">
        <x:v>OPEN</x:v>
      </x:c>
      <x:c r="K13" s="21" t="str">
        <x:v>BLOCKED</x:v>
      </x:c>
      <x:c r="L13" s="49"/>
      <x:c r="M13" s="49"/>
      <x:c r="N13" s="49"/>
      <x:c r="O13" s="49"/>
      <x:c r="P13" s="49"/>
    </x:row>
    <x:row r="14">
      <x:c r="C14" s="21" t="str">
        <x:v>TR-08</x:v>
      </x:c>
      <x:c r="D14" s="21" t="str">
        <x:v>Common-mode control</x:v>
      </x:c>
      <x:c r="E14" s="21" t="str">
        <x:v>Diverse critical components and independent crew pipelines</x:v>
      </x:c>
      <x:c r="F14" s="21" t="str">
        <x:v>Cell loss p &lt;=15%; common-mode q &lt;=0.2%</x:v>
      </x:c>
      <x:c r="G14" s="21" t="str">
        <x:v>Preregistered multi-cell destructive trials</x:v>
      </x:c>
      <x:c r="H14" s="21" t="str">
        <x:v>95% assurance claim invalid</x:v>
      </x:c>
      <x:c r="I14" s="21" t="str">
        <x:v>III-IV</x:v>
      </x:c>
      <x:c r="J14" s="21" t="str">
        <x:v>OPEN</x:v>
      </x:c>
      <x:c r="K14" s="21" t="str">
        <x:v>BLOCKED</x:v>
      </x:c>
      <x:c r="L14" s="49"/>
      <x:c r="M14" s="49"/>
      <x:c r="N14" s="49"/>
      <x:c r="O14" s="49"/>
      <x:c r="P14" s="49"/>
    </x:row>
  </x:sheetData>
  <x:mergeCells>
    <x:mergeCell ref="C2:P2"/>
    <x:mergeCell ref="C3:P3"/>
  </x:mergeCells>
  <x:conditionalFormatting sqref="J7:K14">
    <x:cfRule type="containsText" dxfId="30" priority="1" operator="containsText" text="PASS"/>
    <x:cfRule type="containsText" dxfId="31" priority="2" operator="containsText" text="CLOSE"/>
    <x:cfRule type="containsText" dxfId="32" priority="3" operator="containsText" text="FAIL"/>
    <x:cfRule type="containsText" dxfId="33" priority="4" operator="containsText" text="OPEN"/>
    <x:cfRule type="containsText" dxfId="34" priority="5" operator="containsText" text="BLOCKED"/>
  </x:conditionalFormatting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22" hidden="0" customWidth="1"/>
    <x:col min="4" max="4" width="38" hidden="0" customWidth="1"/>
    <x:col min="5" max="5" width="40" hidden="0" customWidth="1"/>
    <x:col min="6" max="6" width="46" hidden="0" customWidth="1"/>
    <x:col min="7" max="7" width="42" hidden="0" customWidth="1"/>
    <x:col min="8" max="8" width="38" hidden="0" customWidth="1"/>
    <x:col min="9" max="9" width="42" hidden="0" customWidth="1"/>
    <x:col min="10" max="10" width="12" hidden="0" customWidth="1"/>
  </x:cols>
  <x:sheetData>
    <x:row r="2" ht="24" customHeight="1">
      <x:c r="C2" s="47" t="str">
        <x:v>Industrial Architecture</x:v>
      </x:c>
      <x:c r="D2" s="47"/>
      <x:c r="E2" s="47"/>
      <x:c r="F2" s="47"/>
      <x:c r="G2" s="47"/>
      <x:c r="H2" s="47"/>
      <x:c r="I2" s="47"/>
      <x:c r="J2" s="47"/>
      <x:c r="K2" s="47"/>
      <x:c r="L2" s="47"/>
      <x:c r="M2" s="47"/>
      <x:c r="N2" s="47"/>
      <x:c r="O2" s="47"/>
      <x:c r="P2" s="47"/>
    </x:row>
    <x:row r="3" ht="32" customHeight="1">
      <x:c r="C3" s="48" t="str">
        <x:v>The aim is a persistent civil-response industrial base with military-prime scale, government-owned interfaces and multiple competing implementations.</x:v>
      </x:c>
      <x:c r="D3" s="48"/>
      <x:c r="E3" s="48"/>
      <x:c r="F3" s="48"/>
      <x:c r="G3" s="48"/>
      <x:c r="H3" s="48"/>
      <x:c r="I3" s="48"/>
      <x:c r="J3" s="48"/>
      <x:c r="K3" s="48"/>
      <x:c r="L3" s="48"/>
      <x:c r="M3" s="48"/>
      <x:c r="N3" s="48"/>
      <x:c r="O3" s="48"/>
      <x:c r="P3" s="48"/>
    </x:row>
    <x:row r="4">
      <x:c r="C4" s="49"/>
      <x:c r="D4" s="49"/>
      <x:c r="E4" s="49"/>
      <x:c r="F4" s="49"/>
      <x:c r="G4" s="49"/>
      <x:c r="H4" s="49"/>
      <x:c r="I4" s="49"/>
      <x:c r="J4" s="49"/>
      <x:c r="K4" s="49"/>
      <x:c r="L4" s="49"/>
      <x:c r="M4" s="49"/>
      <x:c r="N4" s="49"/>
      <x:c r="O4" s="49"/>
      <x:c r="P4" s="49"/>
    </x:row>
    <x:row r="5">
      <x:c r="C5" s="49"/>
      <x:c r="D5" s="49"/>
      <x:c r="E5" s="49"/>
      <x:c r="F5" s="49"/>
      <x:c r="G5" s="49"/>
      <x:c r="H5" s="49"/>
      <x:c r="I5" s="49"/>
      <x:c r="J5" s="49"/>
      <x:c r="K5" s="49"/>
      <x:c r="L5" s="49"/>
      <x:c r="M5" s="49"/>
      <x:c r="N5" s="49"/>
      <x:c r="O5" s="49"/>
      <x:c r="P5" s="49"/>
    </x:row>
    <x:row r="6">
      <x:c r="C6" s="16" t="str">
        <x:v>Layer</x:v>
      </x:c>
      <x:c r="D6" s="17" t="str">
        <x:v>Institutional function</x:v>
      </x:c>
      <x:c r="E6" s="17" t="str">
        <x:v>Market structure</x:v>
      </x:c>
      <x:c r="F6" s="17" t="str">
        <x:v>Government-owned core</x:v>
      </x:c>
      <x:c r="G6" s="17" t="str">
        <x:v>Private competition</x:v>
      </x:c>
      <x:c r="H6" s="17" t="str">
        <x:v>Export path</x:v>
      </x:c>
      <x:c r="I6" s="17" t="str">
        <x:v>Failure prevented</x:v>
      </x:c>
      <x:c r="J6" s="18" t="str">
        <x:v>State</x:v>
      </x:c>
      <x:c r="K6" s="49"/>
      <x:c r="L6" s="49"/>
      <x:c r="M6" s="49"/>
      <x:c r="N6" s="49"/>
      <x:c r="O6" s="49"/>
      <x:c r="P6" s="49"/>
    </x:row>
    <x:row r="7">
      <x:c r="C7" s="21" t="str">
        <x:v>Mission integration</x:v>
      </x:c>
      <x:c r="D7" s="21" t="str">
        <x:v>Service-kernel standards and campaign architecture</x:v>
      </x:c>
      <x:c r="E7" s="21" t="str">
        <x:v>Government integrator plus independent test authority</x:v>
      </x:c>
      <x:c r="F7" s="21" t="str">
        <x:v>Effect ontology, interfaces, digital reference missions</x:v>
      </x:c>
      <x:c r="G7" s="21" t="str">
        <x:v>Compete modules and integration services</x:v>
      </x:c>
      <x:c r="H7" s="21" t="str">
        <x:v>Interoperable allied cell standards</x:v>
      </x:c>
      <x:c r="I7" s="21" t="str">
        <x:v>Prime captures requirements and tests itself</x:v>
      </x:c>
      <x:c r="J7" s="21" t="str">
        <x:v>OPEN</x:v>
      </x:c>
      <x:c r="K7" s="49"/>
      <x:c r="L7" s="49"/>
      <x:c r="M7" s="49"/>
      <x:c r="N7" s="49"/>
      <x:c r="O7" s="49"/>
      <x:c r="P7" s="49"/>
    </x:row>
    <x:row r="8">
      <x:c r="C8" s="21" t="str">
        <x:v>Heavy mobility</x:v>
      </x:c>
      <x:c r="D8" s="21" t="str">
        <x:v>Air, sea and no-pier platform families</x:v>
      </x:c>
      <x:c r="E8" s="21" t="str">
        <x:v>At least two design/production teams per critical class</x:v>
      </x:c>
      <x:c r="F8" s="21" t="str">
        <x:v>Payload interfaces, autonomy protocol, safety evidence schema</x:v>
      </x:c>
      <x:c r="G8" s="21" t="str">
        <x:v>Compete airframes, hulls, propulsion and maintenance</x:v>
      </x:c>
      <x:c r="H8" s="21" t="str">
        <x:v>Licensed allied production and common payloads</x:v>
      </x:c>
      <x:c r="I8" s="21" t="str">
        <x:v>Single production line or proprietary lock-in</x:v>
      </x:c>
      <x:c r="J8" s="21" t="str">
        <x:v>OPEN</x:v>
      </x:c>
      <x:c r="K8" s="49"/>
      <x:c r="L8" s="49"/>
      <x:c r="M8" s="49"/>
      <x:c r="N8" s="49"/>
      <x:c r="O8" s="49"/>
      <x:c r="P8" s="49"/>
    </x:row>
    <x:row r="9">
      <x:c r="C9" s="21" t="str">
        <x:v>Public-service systems</x:v>
      </x:c>
      <x:c r="D9" s="21" t="str">
        <x:v>Health, water, power, sanitation, food and shelter modules</x:v>
      </x:c>
      <x:c r="E9" s="21" t="str">
        <x:v>Multiple regulated sector primes</x:v>
      </x:c>
      <x:c r="F9" s="21" t="str">
        <x:v>Kernel envelopes, data, connectors and effect tests</x:v>
      </x:c>
      <x:c r="G9" s="21" t="str">
        <x:v>Compete modules within common envelopes</x:v>
      </x:c>
      <x:c r="H9" s="21" t="str">
        <x:v>Exportable service packages and local content</x:v>
      </x:c>
      <x:c r="I9" s="21" t="str">
        <x:v>Transport fleet without service effect</x:v>
      </x:c>
      <x:c r="J9" s="21" t="str">
        <x:v>OPEN</x:v>
      </x:c>
      <x:c r="K9" s="49"/>
      <x:c r="L9" s="49"/>
      <x:c r="M9" s="49"/>
      <x:c r="N9" s="49"/>
      <x:c r="O9" s="49"/>
      <x:c r="P9" s="49"/>
    </x:row>
    <x:row r="10">
      <x:c r="C10" s="21" t="str">
        <x:v>Autonomy and data</x:v>
      </x:c>
      <x:c r="D10" s="21" t="str">
        <x:v>Handling, inspection, routing and public communications</x:v>
      </x:c>
      <x:c r="E10" s="21" t="str">
        <x:v>Open modular ecosystem with sovereign fallback</x:v>
      </x:c>
      <x:c r="F10" s="21" t="str">
        <x:v>Mission data model, identity, audit and manual override</x:v>
      </x:c>
      <x:c r="G10" s="21" t="str">
        <x:v>Compete algorithms, sensors and operators</x:v>
      </x:c>
      <x:c r="H10" s="21" t="str">
        <x:v>Federated allied mission networks</x:v>
      </x:c>
      <x:c r="I10" s="21" t="str">
        <x:v>Cloud/provider common-mode failure</x:v>
      </x:c>
      <x:c r="J10" s="21" t="str">
        <x:v>OPEN</x:v>
      </x:c>
      <x:c r="K10" s="49"/>
      <x:c r="L10" s="49"/>
      <x:c r="M10" s="49"/>
      <x:c r="N10" s="49"/>
      <x:c r="O10" s="49"/>
      <x:c r="P10" s="49"/>
    </x:row>
    <x:row r="11">
      <x:c r="C11" s="21" t="str">
        <x:v>Readiness economy</x:v>
      </x:c>
      <x:c r="D11" s="21" t="str">
        <x:v>Stocks, crews, depot work, exercises and surge capacity</x:v>
      </x:c>
      <x:c r="E11" s="21" t="str">
        <x:v>Long-horizon availability contracts plus public depots</x:v>
      </x:c>
      <x:c r="F11" s="21" t="str">
        <x:v>National readiness ledger and configuration authority</x:v>
      </x:c>
      <x:c r="G11" s="21" t="str">
        <x:v>Compete sustainment outcomes and upgrades</x:v>
      </x:c>
      <x:c r="H11" s="21" t="str">
        <x:v>Allied readiness pools</x:v>
      </x:c>
      <x:c r="I11" s="21" t="str">
        <x:v>Idle assets decay between disasters</x:v>
      </x:c>
      <x:c r="J11" s="21" t="str">
        <x:v>OPEN</x:v>
      </x:c>
      <x:c r="K11" s="49"/>
      <x:c r="L11" s="49"/>
      <x:c r="M11" s="49"/>
      <x:c r="N11" s="49"/>
      <x:c r="O11" s="49"/>
      <x:c r="P11" s="49"/>
    </x:row>
    <x:row r="12">
      <x:c r="C12" s="21" t="str">
        <x:v>Science and test</x:v>
      </x:c>
      <x:c r="D12" s="21" t="str">
        <x:v>Hazard models, trials, safety cases and lessons</x:v>
      </x:c>
      <x:c r="E12" s="21" t="str">
        <x:v>Independent public laboratories and red teams</x:v>
      </x:c>
      <x:c r="F12" s="21" t="str">
        <x:v>Reference scenarios, test ranges and public evidence</x:v>
      </x:c>
      <x:c r="G12" s="21" t="str">
        <x:v>Compete solutions against stable tests</x:v>
      </x:c>
      <x:c r="H12" s="21" t="str">
        <x:v>Shared multinational test campaigns</x:v>
      </x:c>
      <x:c r="I12" s="21" t="str">
        <x:v>Acquisition optimism substitutes for evidence</x:v>
      </x:c>
      <x:c r="J12" s="21" t="str">
        <x:v>OPEN</x:v>
      </x:c>
      <x:c r="K12" s="49"/>
      <x:c r="L12" s="49"/>
      <x:c r="M12" s="49"/>
      <x:c r="N12" s="49"/>
      <x:c r="O12" s="49"/>
      <x:c r="P12" s="49"/>
    </x:row>
  </x:sheetData>
  <x:mergeCells>
    <x:mergeCell ref="C2:P2"/>
    <x:mergeCell ref="C3:P3"/>
  </x:mergeCells>
  <x:conditionalFormatting sqref="J7:J12">
    <x:cfRule type="containsText" dxfId="35" priority="1" operator="containsText" text="PASS"/>
    <x:cfRule type="containsText" dxfId="36" priority="2" operator="containsText" text="CLOSE"/>
    <x:cfRule type="containsText" dxfId="37" priority="3" operator="containsText" text="FAIL"/>
    <x:cfRule type="containsText" dxfId="38" priority="4" operator="containsText" text="OPEN"/>
    <x:cfRule type="containsText" dxfId="39" priority="5" operator="containsText" text="BLOCKED"/>
  </x:conditionalFormatting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10" hidden="0" customWidth="1"/>
    <x:col min="4" max="4" width="40" hidden="0" customWidth="1"/>
    <x:col min="5" max="5" width="34" hidden="0" customWidth="1"/>
    <x:col min="6" max="6" width="12" hidden="0" customWidth="1"/>
    <x:col min="7" max="7" width="48" hidden="0" customWidth="1"/>
    <x:col min="8" max="8" width="46" hidden="0" customWidth="1"/>
    <x:col min="9" max="9" width="34" hidden="0" customWidth="1"/>
    <x:col min="10" max="10" width="12" hidden="0" customWidth="1"/>
  </x:cols>
  <x:sheetData>
    <x:row r="2" ht="24" customHeight="1">
      <x:c r="C2" s="47" t="str">
        <x:v>Command and Authority Gates</x:v>
      </x:c>
      <x:c r="D2" s="47"/>
      <x:c r="E2" s="47"/>
      <x:c r="F2" s="47"/>
      <x:c r="G2" s="47"/>
      <x:c r="H2" s="47"/>
      <x:c r="I2" s="47"/>
      <x:c r="J2" s="47"/>
      <x:c r="K2" s="47"/>
      <x:c r="L2" s="47"/>
      <x:c r="M2" s="47"/>
      <x:c r="N2" s="47"/>
      <x:c r="O2" s="47"/>
      <x:c r="P2" s="47"/>
    </x:row>
    <x:row r="3" ht="32" customHeight="1">
      <x:c r="C3" s="48" t="str">
        <x:v>The system moves public priorities and technical release decisions with the cargo. These decisions cannot be improvised after transport arrives.</x:v>
      </x:c>
      <x:c r="D3" s="48"/>
      <x:c r="E3" s="48"/>
      <x:c r="F3" s="48"/>
      <x:c r="G3" s="48"/>
      <x:c r="H3" s="48"/>
      <x:c r="I3" s="48"/>
      <x:c r="J3" s="48"/>
      <x:c r="K3" s="48"/>
      <x:c r="L3" s="48"/>
      <x:c r="M3" s="48"/>
      <x:c r="N3" s="48"/>
      <x:c r="O3" s="48"/>
      <x:c r="P3" s="48"/>
    </x:row>
    <x:row r="4">
      <x:c r="C4" s="49"/>
      <x:c r="D4" s="49"/>
      <x:c r="E4" s="49"/>
      <x:c r="F4" s="49"/>
      <x:c r="G4" s="49"/>
      <x:c r="H4" s="49"/>
      <x:c r="I4" s="49"/>
      <x:c r="J4" s="49"/>
      <x:c r="K4" s="49"/>
      <x:c r="L4" s="49"/>
      <x:c r="M4" s="49"/>
      <x:c r="N4" s="49"/>
      <x:c r="O4" s="49"/>
      <x:c r="P4" s="49"/>
    </x:row>
    <x:row r="5">
      <x:c r="C5" s="49"/>
      <x:c r="D5" s="49"/>
      <x:c r="E5" s="49"/>
      <x:c r="F5" s="49"/>
      <x:c r="G5" s="49"/>
      <x:c r="H5" s="49"/>
      <x:c r="I5" s="49"/>
      <x:c r="J5" s="49"/>
      <x:c r="K5" s="49"/>
      <x:c r="L5" s="49"/>
      <x:c r="M5" s="49"/>
      <x:c r="N5" s="49"/>
      <x:c r="O5" s="49"/>
      <x:c r="P5" s="49"/>
    </x:row>
    <x:row r="6">
      <x:c r="C6" s="16" t="str">
        <x:v>Gate</x:v>
      </x:c>
      <x:c r="D6" s="17" t="str">
        <x:v>Decision</x:v>
      </x:c>
      <x:c r="E6" s="17" t="str">
        <x:v>Default authority</x:v>
      </x:c>
      <x:c r="F6" s="17" t="str">
        <x:v>Deadline</x:v>
      </x:c>
      <x:c r="G6" s="17" t="str">
        <x:v>Required input</x:v>
      </x:c>
      <x:c r="H6" s="17" t="str">
        <x:v>If communications fail</x:v>
      </x:c>
      <x:c r="I6" s="17" t="str">
        <x:v>Audit artifact</x:v>
      </x:c>
      <x:c r="J6" s="18" t="str">
        <x:v>State</x:v>
      </x:c>
      <x:c r="K6" s="49"/>
      <x:c r="L6" s="49"/>
      <x:c r="M6" s="49"/>
      <x:c r="N6" s="49"/>
      <x:c r="O6" s="49"/>
      <x:c r="P6" s="49"/>
    </x:row>
    <x:row r="7">
      <x:c r="C7" s="21" t="str">
        <x:v>A-01</x:v>
      </x:c>
      <x:c r="D7" s="21" t="str">
        <x:v>Define service outcomes and protected populations</x:v>
      </x:c>
      <x:c r="E7" s="21" t="str">
        <x:v>Civil incident authority</x:v>
      </x:c>
      <x:c r="F7" s="21" t="n">
        <x:v>6</x:v>
      </x:c>
      <x:c r="G7" s="21" t="str">
        <x:v>Local demand, mortality risk, access and equity screen</x:v>
      </x:c>
      <x:c r="H7" s="21" t="str">
        <x:v>Predelegated service floor and local override</x:v>
      </x:c>
      <x:c r="I7" s="21" t="str">
        <x:v>Signed priority ledger</x:v>
      </x:c>
      <x:c r="J7" s="21" t="str">
        <x:v>OPEN</x:v>
      </x:c>
      <x:c r="K7" s="49"/>
      <x:c r="L7" s="49"/>
      <x:c r="M7" s="49"/>
      <x:c r="N7" s="49"/>
      <x:c r="O7" s="49"/>
      <x:c r="P7" s="49"/>
    </x:row>
    <x:row r="8">
      <x:c r="C8" s="21" t="str">
        <x:v>A-02</x:v>
      </x:c>
      <x:c r="D8" s="21" t="str">
        <x:v>Activate and route independent cells</x:v>
      </x:c>
      <x:c r="E8" s="21" t="str">
        <x:v>Joint Deployment Command</x:v>
      </x:c>
      <x:c r="F8" s="21" t="n">
        <x:v>6</x:v>
      </x:c>
      <x:c r="G8" s="21" t="str">
        <x:v>Hazard forecast, origin status and entry portfolio</x:v>
      </x:c>
      <x:c r="H8" s="21" t="str">
        <x:v>Cell commanders execute bounded mission orders</x:v>
      </x:c>
      <x:c r="I8" s="21" t="str">
        <x:v>Cell allocation record</x:v>
      </x:c>
      <x:c r="J8" s="21" t="str">
        <x:v>OPEN</x:v>
      </x:c>
      <x:c r="K8" s="49"/>
      <x:c r="L8" s="49"/>
      <x:c r="M8" s="49"/>
      <x:c r="N8" s="49"/>
      <x:c r="O8" s="49"/>
      <x:c r="P8" s="49"/>
    </x:row>
    <x:row r="9">
      <x:c r="C9" s="21" t="str">
        <x:v>A-03</x:v>
      </x:c>
      <x:c r="D9" s="21" t="str">
        <x:v>Release airfields, ports, bridges and utilities</x:v>
      </x:c>
      <x:c r="E9" s="21" t="str">
        <x:v>Independent technical authorities</x:v>
      </x:c>
      <x:c r="F9" s="21" t="n">
        <x:v>18</x:v>
      </x:c>
      <x:c r="G9" s="21" t="str">
        <x:v>Inspection evidence and residual-risk case</x:v>
      </x:c>
      <x:c r="H9" s="21" t="str">
        <x:v>Named local technical delegate may release within envelope</x:v>
      </x:c>
      <x:c r="I9" s="21" t="str">
        <x:v>Machine-readable safety case</x:v>
      </x:c>
      <x:c r="J9" s="21" t="str">
        <x:v>OPEN</x:v>
      </x:c>
      <x:c r="K9" s="49"/>
      <x:c r="L9" s="49"/>
      <x:c r="M9" s="49"/>
      <x:c r="N9" s="49"/>
      <x:c r="O9" s="49"/>
      <x:c r="P9" s="49"/>
    </x:row>
    <x:row r="10">
      <x:c r="C10" s="21" t="str">
        <x:v>A-04</x:v>
      </x:c>
      <x:c r="D10" s="21" t="str">
        <x:v>Allocate scarce service effects</x:v>
      </x:c>
      <x:c r="E10" s="21" t="str">
        <x:v>Civil service board</x:v>
      </x:c>
      <x:c r="F10" s="21" t="n">
        <x:v>24</x:v>
      </x:c>
      <x:c r="G10" s="21" t="str">
        <x:v>Population need, service dependencies and distributional effects</x:v>
      </x:c>
      <x:c r="H10" s="21" t="str">
        <x:v>Published rule set and appeal channel</x:v>
      </x:c>
      <x:c r="I10" s="21" t="str">
        <x:v>Allocation and exception log</x:v>
      </x:c>
      <x:c r="J10" s="21" t="str">
        <x:v>OPEN</x:v>
      </x:c>
      <x:c r="K10" s="49"/>
      <x:c r="L10" s="49"/>
      <x:c r="M10" s="49"/>
      <x:c r="N10" s="49"/>
      <x:c r="O10" s="49"/>
      <x:c r="P10" s="49"/>
    </x:row>
    <x:row r="11">
      <x:c r="C11" s="21" t="str">
        <x:v>A-05</x:v>
      </x:c>
      <x:c r="D11" s="21" t="str">
        <x:v>Accept cross-cell substitution</x:v>
      </x:c>
      <x:c r="E11" s="21" t="str">
        <x:v>Campaign commander with civil concurrence</x:v>
      </x:c>
      <x:c r="F11" s="21" t="n">
        <x:v>36</x:v>
      </x:c>
      <x:c r="G11" s="21" t="str">
        <x:v>Loss state and effect-closure forecast</x:v>
      </x:c>
      <x:c r="H11" s="21" t="str">
        <x:v>Preauthorized substitution matrix</x:v>
      </x:c>
      <x:c r="I11" s="21" t="str">
        <x:v>Transfer record</x:v>
      </x:c>
      <x:c r="J11" s="21" t="str">
        <x:v>OPEN</x:v>
      </x:c>
      <x:c r="K11" s="49"/>
      <x:c r="L11" s="49"/>
      <x:c r="M11" s="49"/>
      <x:c r="N11" s="49"/>
      <x:c r="O11" s="49"/>
      <x:c r="P11" s="49"/>
    </x:row>
    <x:row r="12">
      <x:c r="C12" s="21" t="str">
        <x:v>A-06</x:v>
      </x:c>
      <x:c r="D12" s="21" t="str">
        <x:v>Declare lifeline stabilization</x:v>
      </x:c>
      <x:c r="E12" s="21" t="str">
        <x:v>Civil incident authority</x:v>
      </x:c>
      <x:c r="F12" s="21" t="n">
        <x:v>72</x:v>
      </x:c>
      <x:c r="G12" s="21" t="str">
        <x:v>Measured effects, unmet demand and confidence bounds</x:v>
      </x:c>
      <x:c r="H12" s="21" t="str">
        <x:v>No declaration; sustain conservative service posture</x:v>
      </x:c>
      <x:c r="I12" s="21" t="str">
        <x:v>Public stabilization statement</x:v>
      </x:c>
      <x:c r="J12" s="21" t="str">
        <x:v>OPEN</x:v>
      </x:c>
      <x:c r="K12" s="49"/>
      <x:c r="L12" s="49"/>
      <x:c r="M12" s="49"/>
      <x:c r="N12" s="49"/>
      <x:c r="O12" s="49"/>
      <x:c r="P12" s="49"/>
    </x:row>
  </x:sheetData>
  <x:mergeCells>
    <x:mergeCell ref="C2:P2"/>
    <x:mergeCell ref="C3:P3"/>
  </x:mergeCells>
  <x:conditionalFormatting sqref="J7:J12">
    <x:cfRule type="containsText" dxfId="40" priority="1" operator="containsText" text="PASS"/>
    <x:cfRule type="containsText" dxfId="41" priority="2" operator="containsText" text="CLOSE"/>
    <x:cfRule type="containsText" dxfId="42" priority="3" operator="containsText" text="FAIL"/>
    <x:cfRule type="containsText" dxfId="43" priority="4" operator="containsText" text="OPEN"/>
    <x:cfRule type="containsText" dxfId="44" priority="5" operator="containsText" text="BLOCKED"/>
  </x:conditionalFormatting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10" hidden="0" customWidth="1"/>
    <x:col min="4" max="4" width="38" hidden="0" customWidth="1"/>
    <x:col min="5" max="5" width="50" hidden="0" customWidth="1"/>
    <x:col min="6" max="6" width="44" hidden="0" customWidth="1"/>
    <x:col min="7" max="7" width="40" hidden="0" customWidth="1"/>
    <x:col min="8" max="8" width="30" hidden="0" customWidth="1"/>
    <x:col min="9" max="9" width="12" hidden="0" customWidth="1"/>
    <x:col min="10" max="10" width="14" hidden="0" customWidth="1"/>
  </x:cols>
  <x:sheetData>
    <x:row r="2" ht="24" customHeight="1">
      <x:c r="C2" s="47" t="str">
        <x:v>Evidence and Falsification Gates</x:v>
      </x:c>
      <x:c r="D2" s="47"/>
      <x:c r="E2" s="47"/>
      <x:c r="F2" s="47"/>
      <x:c r="G2" s="47"/>
      <x:c r="H2" s="47"/>
      <x:c r="I2" s="47"/>
      <x:c r="J2" s="47"/>
      <x:c r="K2" s="47"/>
      <x:c r="L2" s="47"/>
      <x:c r="M2" s="47"/>
      <x:c r="N2" s="47"/>
      <x:c r="O2" s="47"/>
      <x:c r="P2" s="47"/>
    </x:row>
    <x:row r="3" ht="32" customHeight="1">
      <x:c r="C3" s="48" t="str">
        <x:v>All gates remain open. Passing the deterministic workbook is necessary but radically insufficient for a configuration baseline or rendering.</x:v>
      </x:c>
      <x:c r="D3" s="48"/>
      <x:c r="E3" s="48"/>
      <x:c r="F3" s="48"/>
      <x:c r="G3" s="48"/>
      <x:c r="H3" s="48"/>
      <x:c r="I3" s="48"/>
      <x:c r="J3" s="48"/>
      <x:c r="K3" s="48"/>
      <x:c r="L3" s="48"/>
      <x:c r="M3" s="48"/>
      <x:c r="N3" s="48"/>
      <x:c r="O3" s="48"/>
      <x:c r="P3" s="48"/>
    </x:row>
    <x:row r="4">
      <x:c r="C4" s="49"/>
      <x:c r="D4" s="49"/>
      <x:c r="E4" s="49"/>
      <x:c r="F4" s="49"/>
      <x:c r="G4" s="49"/>
      <x:c r="H4" s="49"/>
      <x:c r="I4" s="49"/>
      <x:c r="J4" s="49"/>
      <x:c r="K4" s="49"/>
      <x:c r="L4" s="49"/>
      <x:c r="M4" s="49"/>
      <x:c r="N4" s="49"/>
      <x:c r="O4" s="49"/>
      <x:c r="P4" s="49"/>
    </x:row>
    <x:row r="5">
      <x:c r="C5" s="49"/>
      <x:c r="D5" s="49"/>
      <x:c r="E5" s="49"/>
      <x:c r="F5" s="49"/>
      <x:c r="G5" s="49"/>
      <x:c r="H5" s="49"/>
      <x:c r="I5" s="49"/>
      <x:c r="J5" s="49"/>
      <x:c r="K5" s="49"/>
      <x:c r="L5" s="49"/>
      <x:c r="M5" s="49"/>
      <x:c r="N5" s="49"/>
      <x:c r="O5" s="49"/>
      <x:c r="P5" s="49"/>
    </x:row>
    <x:row r="6">
      <x:c r="C6" s="16" t="str">
        <x:v>Gate</x:v>
      </x:c>
      <x:c r="D6" s="17" t="str">
        <x:v>Question</x:v>
      </x:c>
      <x:c r="E6" s="17" t="str">
        <x:v>Required evidence</x:v>
      </x:c>
      <x:c r="F6" s="17" t="str">
        <x:v>Decision rule</x:v>
      </x:c>
      <x:c r="G6" s="17" t="str">
        <x:v>Consequence</x:v>
      </x:c>
      <x:c r="H6" s="17" t="str">
        <x:v>Owner</x:v>
      </x:c>
      <x:c r="I6" s="17" t="str">
        <x:v>State</x:v>
      </x:c>
      <x:c r="J6" s="18" t="str">
        <x:v>Rendering</x:v>
      </x:c>
      <x:c r="K6" s="49"/>
      <x:c r="L6" s="49"/>
      <x:c r="M6" s="49"/>
      <x:c r="N6" s="49"/>
      <x:c r="O6" s="49"/>
      <x:c r="P6" s="49"/>
    </x:row>
    <x:row r="7">
      <x:c r="C7" s="21" t="str">
        <x:v>EF-01</x:v>
      </x:c>
      <x:c r="D7" s="21" t="str">
        <x:v>Does proportional mass produce proportional service?</x:v>
      </x:c>
      <x:c r="E7" s="21" t="str">
        <x:v>Instrumented service-kernel tranche trials</x:v>
      </x:c>
      <x:c r="F7" s="21" t="str">
        <x:v>Every 10% delivered mass yields 10% ±2% of every service effect</x:v>
      </x:c>
      <x:c r="G7" s="21" t="str">
        <x:v>Redesign packaging and sequencing</x:v>
      </x:c>
      <x:c r="H7" s="21" t="str">
        <x:v>Independent Test Authority</x:v>
      </x:c>
      <x:c r="I7" s="21" t="str">
        <x:v>OPEN</x:v>
      </x:c>
      <x:c r="J7" s="21" t="str">
        <x:v>BLOCKED</x:v>
      </x:c>
      <x:c r="K7" s="49"/>
      <x:c r="L7" s="49"/>
      <x:c r="M7" s="49"/>
      <x:c r="N7" s="49"/>
      <x:c r="O7" s="49"/>
      <x:c r="P7" s="49"/>
    </x:row>
    <x:row r="8">
      <x:c r="C8" s="21" t="str">
        <x:v>EF-02</x:v>
      </x:c>
      <x:c r="D8" s="21" t="str">
        <x:v>Can upland cells sustain modeled throughput?</x:v>
      </x:c>
      <x:c r="E8" s="21" t="str">
        <x:v>Damaged-network, no-grid, degraded-labor full-mission exercise</x:v>
      </x:c>
      <x:c r="F8" s="21" t="str">
        <x:v>1,215 net t/h per cell through hour 31</x:v>
      </x:c>
      <x:c r="G8" s="21" t="str">
        <x:v>Resize origins and handling</x:v>
      </x:c>
      <x:c r="H8" s="21" t="str">
        <x:v>Land Service</x:v>
      </x:c>
      <x:c r="I8" s="21" t="str">
        <x:v>OPEN</x:v>
      </x:c>
      <x:c r="J8" s="21" t="str">
        <x:v>BLOCKED</x:v>
      </x:c>
      <x:c r="K8" s="49"/>
      <x:c r="L8" s="49"/>
      <x:c r="M8" s="49"/>
      <x:c r="N8" s="49"/>
      <x:c r="O8" s="49"/>
      <x:c r="P8" s="49"/>
    </x:row>
    <x:row r="9">
      <x:c r="C9" s="21" t="str">
        <x:v>EF-03</x:v>
      </x:c>
      <x:c r="D9" s="21" t="str">
        <x:v>Can air cells sustain modeled throughput?</x:v>
      </x:c>
      <x:c r="E9" s="21" t="str">
        <x:v>Representative aircraft, austere runway, fuel and handling sortie campaign</x:v>
      </x:c>
      <x:c r="F9" s="21" t="str">
        <x:v>669 net t/h per cell through hour 63</x:v>
      </x:c>
      <x:c r="G9" s="21" t="str">
        <x:v>Resize fleet or change payload/cycle</x:v>
      </x:c>
      <x:c r="H9" s="21" t="str">
        <x:v>Air Service</x:v>
      </x:c>
      <x:c r="I9" s="21" t="str">
        <x:v>OPEN</x:v>
      </x:c>
      <x:c r="J9" s="21" t="str">
        <x:v>BLOCKED</x:v>
      </x:c>
      <x:c r="K9" s="49"/>
      <x:c r="L9" s="49"/>
      <x:c r="M9" s="49"/>
      <x:c r="N9" s="49"/>
      <x:c r="O9" s="49"/>
      <x:c r="P9" s="49"/>
    </x:row>
    <x:row r="10">
      <x:c r="C10" s="21" t="str">
        <x:v>EF-04</x:v>
      </x:c>
      <x:c r="D10" s="21" t="str">
        <x:v>Can offshore cells sustain modeled throughput?</x:v>
      </x:c>
      <x:c r="E10" s="21" t="str">
        <x:v>Representative debris, surf, damaged-port and shoreline exercise</x:v>
      </x:c>
      <x:c r="F10" s="21" t="str">
        <x:v>842 net t/h per cell through hour 66</x:v>
      </x:c>
      <x:c r="G10" s="21" t="str">
        <x:v>Resize transfer system or change start time</x:v>
      </x:c>
      <x:c r="H10" s="21" t="str">
        <x:v>Maritime Service</x:v>
      </x:c>
      <x:c r="I10" s="21" t="str">
        <x:v>OPEN</x:v>
      </x:c>
      <x:c r="J10" s="21" t="str">
        <x:v>BLOCKED</x:v>
      </x:c>
      <x:c r="K10" s="49"/>
      <x:c r="L10" s="49"/>
      <x:c r="M10" s="49"/>
      <x:c r="N10" s="49"/>
      <x:c r="O10" s="49"/>
      <x:c r="P10" s="49"/>
    </x:row>
    <x:row r="11">
      <x:c r="C11" s="21" t="str">
        <x:v>EF-05</x:v>
      </x:c>
      <x:c r="D11" s="21" t="str">
        <x:v>Are six cells genuinely independent?</x:v>
      </x:c>
      <x:c r="E11" s="21" t="str">
        <x:v>Origin-to-effect fault tree and seeded loss exercise</x:v>
      </x:c>
      <x:c r="F11" s="21" t="str">
        <x:v>No shared dependency can remove two cells</x:v>
      </x:c>
      <x:c r="G11" s="21" t="str">
        <x:v>Split origins, bills of material or authority</x:v>
      </x:c>
      <x:c r="H11" s="21" t="str">
        <x:v>Independent Test Authority</x:v>
      </x:c>
      <x:c r="I11" s="21" t="str">
        <x:v>OPEN</x:v>
      </x:c>
      <x:c r="J11" s="21" t="str">
        <x:v>BLOCKED</x:v>
      </x:c>
      <x:c r="K11" s="49"/>
      <x:c r="L11" s="49"/>
      <x:c r="M11" s="49"/>
      <x:c r="N11" s="49"/>
      <x:c r="O11" s="49"/>
      <x:c r="P11" s="49"/>
    </x:row>
    <x:row r="12">
      <x:c r="C12" s="21" t="str">
        <x:v>EF-06</x:v>
      </x:c>
      <x:c r="D12" s="21" t="str">
        <x:v>Are reliability allocations credible?</x:v>
      </x:c>
      <x:c r="E12" s="21" t="str">
        <x:v>Empirical joint failure distributions and preregistered trials</x:v>
      </x:c>
      <x:c r="F12" s="21" t="str">
        <x:v>Cell p &lt;=15%; campaign q &lt;=0.2% with confidence bound</x:v>
      </x:c>
      <x:c r="G12" s="21" t="str">
        <x:v>95% claim withdrawn</x:v>
      </x:c>
      <x:c r="H12" s="21" t="str">
        <x:v>Science Authority</x:v>
      </x:c>
      <x:c r="I12" s="21" t="str">
        <x:v>OPEN</x:v>
      </x:c>
      <x:c r="J12" s="21" t="str">
        <x:v>BLOCKED</x:v>
      </x:c>
      <x:c r="K12" s="49"/>
      <x:c r="L12" s="49"/>
      <x:c r="M12" s="49"/>
      <x:c r="N12" s="49"/>
      <x:c r="O12" s="49"/>
      <x:c r="P12" s="49"/>
    </x:row>
    <x:row r="13">
      <x:c r="C13" s="21" t="str">
        <x:v>EF-07</x:v>
      </x:c>
      <x:c r="D13" s="21" t="str">
        <x:v>Can workforce rotate without host services?</x:v>
      </x:c>
      <x:c r="E13" s="21" t="str">
        <x:v>Three-rotation campaign with family, health and credential stressors</x:v>
      </x:c>
      <x:c r="F13" s="21" t="str">
        <x:v>Six cells remain crewed for 90 days</x:v>
      </x:c>
      <x:c r="G13" s="21" t="str">
        <x:v>Increase force or redesign autonomy</x:v>
      </x:c>
      <x:c r="H13" s="21" t="str">
        <x:v>Personnel Command</x:v>
      </x:c>
      <x:c r="I13" s="21" t="str">
        <x:v>OPEN</x:v>
      </x:c>
      <x:c r="J13" s="21" t="str">
        <x:v>BLOCKED</x:v>
      </x:c>
      <x:c r="K13" s="49"/>
      <x:c r="L13" s="49"/>
      <x:c r="M13" s="49"/>
      <x:c r="N13" s="49"/>
      <x:c r="O13" s="49"/>
      <x:c r="P13" s="49"/>
    </x:row>
    <x:row r="14">
      <x:c r="C14" s="21" t="str">
        <x:v>EF-08</x:v>
      </x:c>
      <x:c r="D14" s="21" t="str">
        <x:v>Do public-service effects reach people equitably?</x:v>
      </x:c>
      <x:c r="E14" s="21" t="str">
        <x:v>Household-level distribution, accessibility and tribal/territorial validation</x:v>
      </x:c>
      <x:c r="F14" s="21" t="str">
        <x:v>No protected population falls below declared service floor</x:v>
      </x:c>
      <x:c r="G14" s="21" t="str">
        <x:v>Change routing and allocation doctrine</x:v>
      </x:c>
      <x:c r="H14" s="21" t="str">
        <x:v>Civil Outcomes Board</x:v>
      </x:c>
      <x:c r="I14" s="21" t="str">
        <x:v>OPEN</x:v>
      </x:c>
      <x:c r="J14" s="21" t="str">
        <x:v>BLOCKED</x:v>
      </x:c>
      <x:c r="K14" s="49"/>
      <x:c r="L14" s="49"/>
      <x:c r="M14" s="49"/>
      <x:c r="N14" s="49"/>
      <x:c r="O14" s="49"/>
      <x:c r="P14" s="49"/>
    </x:row>
    <x:row r="15">
      <x:c r="C15" s="21" t="str">
        <x:v>EF-09</x:v>
      </x:c>
      <x:c r="D15" s="21" t="str">
        <x:v>Can authorities act at modeled speed?</x:v>
      </x:c>
      <x:c r="E15" s="21" t="str">
        <x:v>Multi-jurisdiction degraded-comms release exercise</x:v>
      </x:c>
      <x:c r="F15" s="21" t="str">
        <x:v>All A-01 through A-06 deadlines met lawfully</x:v>
      </x:c>
      <x:c r="G15" s="21" t="str">
        <x:v>Redesign delegations and audit</x:v>
      </x:c>
      <x:c r="H15" s="21" t="str">
        <x:v>Civil Authority</x:v>
      </x:c>
      <x:c r="I15" s="21" t="str">
        <x:v>OPEN</x:v>
      </x:c>
      <x:c r="J15" s="21" t="str">
        <x:v>BLOCKED</x:v>
      </x:c>
      <x:c r="K15" s="49"/>
      <x:c r="L15" s="49"/>
      <x:c r="M15" s="49"/>
      <x:c r="N15" s="49"/>
      <x:c r="O15" s="49"/>
      <x:c r="P15" s="49"/>
    </x:row>
    <x:row r="16">
      <x:c r="C16" s="21" t="str">
        <x:v>EF-10</x:v>
      </x:c>
      <x:c r="D16" s="21" t="str">
        <x:v>Are cost and schedule ranges defensible?</x:v>
      </x:c>
      <x:c r="E16" s="21" t="str">
        <x:v>Reference designs and independent cost/schedule risk analysis</x:v>
      </x:c>
      <x:c r="F16" s="21" t="str">
        <x:v>P50/P80 estimates within authorized envelope</x:v>
      </x:c>
      <x:c r="G16" s="21" t="str">
        <x:v>Rebaseline acquisition portfolio</x:v>
      </x:c>
      <x:c r="H16" s="21" t="str">
        <x:v>Cost Assessment Office</x:v>
      </x:c>
      <x:c r="I16" s="21" t="str">
        <x:v>OPEN</x:v>
      </x:c>
      <x:c r="J16" s="21" t="str">
        <x:v>BLOCKED</x:v>
      </x:c>
      <x:c r="K16" s="49"/>
      <x:c r="L16" s="49"/>
      <x:c r="M16" s="49"/>
      <x:c r="N16" s="49"/>
      <x:c r="O16" s="49"/>
      <x:c r="P16" s="49"/>
    </x:row>
  </x:sheetData>
  <x:mergeCells>
    <x:mergeCell ref="C2:P2"/>
    <x:mergeCell ref="C3:P3"/>
  </x:mergeCells>
  <x:conditionalFormatting sqref="I7:J16">
    <x:cfRule type="containsText" dxfId="45" priority="1" operator="containsText" text="PASS"/>
    <x:cfRule type="containsText" dxfId="46" priority="2" operator="containsText" text="CLOSE"/>
    <x:cfRule type="containsText" dxfId="47" priority="3" operator="containsText" text="FAIL"/>
    <x:cfRule type="containsText" dxfId="48" priority="4" operator="containsText" text="OPEN"/>
    <x:cfRule type="containsText" dxfId="49" priority="5" operator="containsText" text="BLOCKED"/>
  </x:conditionalFormatting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10" hidden="0" customWidth="1"/>
    <x:col min="4" max="4" width="38" hidden="0" customWidth="1"/>
    <x:col min="5" max="5" width="30" hidden="0" customWidth="1"/>
    <x:col min="6" max="6" width="50" hidden="0" customWidth="1"/>
    <x:col min="7" max="7" width="78" hidden="0" customWidth="1"/>
    <x:col min="8" max="8" width="16" hidden="0" customWidth="1"/>
  </x:cols>
  <x:sheetData>
    <x:row r="2" ht="24" customHeight="1">
      <x:c r="C2" s="47" t="str">
        <x:v>Sources and Provenance</x:v>
      </x:c>
      <x:c r="D2" s="47"/>
      <x:c r="E2" s="47"/>
      <x:c r="F2" s="47"/>
      <x:c r="G2" s="47"/>
      <x:c r="H2" s="47"/>
      <x:c r="I2" s="47"/>
      <x:c r="J2" s="47"/>
      <x:c r="K2" s="47"/>
      <x:c r="L2" s="47"/>
      <x:c r="M2" s="47"/>
      <x:c r="N2" s="47"/>
      <x:c r="O2" s="47"/>
      <x:c r="P2" s="47"/>
    </x:row>
    <x:row r="3" ht="32" customHeight="1">
      <x:c r="C3" s="48" t="str">
        <x:v>Primary and official sources support analog benchmarks. All future-system quantities are explicit planning assumptions or calculations in this workbook.</x:v>
      </x:c>
      <x:c r="D3" s="48"/>
      <x:c r="E3" s="48"/>
      <x:c r="F3" s="48"/>
      <x:c r="G3" s="48"/>
      <x:c r="H3" s="48"/>
      <x:c r="I3" s="48"/>
      <x:c r="J3" s="48"/>
      <x:c r="K3" s="48"/>
      <x:c r="L3" s="48"/>
      <x:c r="M3" s="48"/>
      <x:c r="N3" s="48"/>
      <x:c r="O3" s="48"/>
      <x:c r="P3" s="48"/>
    </x:row>
    <x:row r="4">
      <x:c r="C4" s="49"/>
      <x:c r="D4" s="49"/>
      <x:c r="E4" s="49"/>
      <x:c r="F4" s="49"/>
      <x:c r="G4" s="49"/>
      <x:c r="H4" s="49"/>
      <x:c r="I4" s="49"/>
      <x:c r="J4" s="49"/>
      <x:c r="K4" s="49"/>
      <x:c r="L4" s="49"/>
      <x:c r="M4" s="49"/>
      <x:c r="N4" s="49"/>
      <x:c r="O4" s="49"/>
      <x:c r="P4" s="49"/>
    </x:row>
    <x:row r="5">
      <x:c r="C5" s="49"/>
      <x:c r="D5" s="49"/>
      <x:c r="E5" s="49"/>
      <x:c r="F5" s="49"/>
      <x:c r="G5" s="49"/>
      <x:c r="H5" s="49"/>
      <x:c r="I5" s="49"/>
      <x:c r="J5" s="49"/>
      <x:c r="K5" s="49"/>
      <x:c r="L5" s="49"/>
      <x:c r="M5" s="49"/>
      <x:c r="N5" s="49"/>
      <x:c r="O5" s="49"/>
      <x:c r="P5" s="49"/>
    </x:row>
    <x:row r="6">
      <x:c r="C6" s="16" t="str">
        <x:v>ID</x:v>
      </x:c>
      <x:c r="D6" s="17" t="str">
        <x:v>Source</x:v>
      </x:c>
      <x:c r="E6" s="17" t="str">
        <x:v>Authority</x:v>
      </x:c>
      <x:c r="F6" s="17" t="str">
        <x:v>Use</x:v>
      </x:c>
      <x:c r="G6" s="17" t="str">
        <x:v>URL</x:v>
      </x:c>
      <x:c r="H6" s="18" t="str">
        <x:v>Accessed</x:v>
      </x:c>
      <x:c r="I6" s="49"/>
      <x:c r="J6" s="49"/>
      <x:c r="K6" s="49"/>
      <x:c r="L6" s="49"/>
      <x:c r="M6" s="49"/>
      <x:c r="N6" s="49"/>
      <x:c r="O6" s="49"/>
      <x:c r="P6" s="49"/>
    </x:row>
    <x:row r="7">
      <x:c r="C7" s="21" t="str">
        <x:v>S01</x:v>
      </x:c>
      <x:c r="D7" s="21" t="str">
        <x:v>Pass 25 Cascadia campaign workbook</x:v>
      </x:c>
      <x:c r="E7" s="21" t="str">
        <x:v>Disaster Force research program</x:v>
      </x:c>
      <x:c r="F7" s="21" t="str">
        <x:v>R1 mass, effects, requirements, baseline capital and O&amp;S</x:v>
      </x:c>
      <x:c r="G7" s="21" t="str">
        <x:v>models/cascadia-logistics-campaign-model.xlsx</x:v>
      </x:c>
      <x:c r="H7" s="21" t="str">
        <x:v>2026-09-05</x:v>
      </x:c>
      <x:c r="I7" s="49"/>
      <x:c r="J7" s="49"/>
      <x:c r="K7" s="49"/>
      <x:c r="L7" s="49"/>
      <x:c r="M7" s="49"/>
      <x:c r="N7" s="49"/>
      <x:c r="O7" s="49"/>
      <x:c r="P7" s="49"/>
    </x:row>
    <x:row r="8">
      <x:c r="C8" s="21" t="str">
        <x:v>S02</x:v>
      </x:c>
      <x:c r="D8" s="21" t="str">
        <x:v>C-17 Globemaster III fact sheet</x:v>
      </x:c>
      <x:c r="E8" s="21" t="str">
        <x:v>U.S. Air Force</x:v>
      </x:c>
      <x:c r="F8" s="21" t="str">
        <x:v>77,519 kg maximum payload and austere-field benchmark</x:v>
      </x:c>
      <x:c r="G8" s="21" t="str">
        <x:v>https://www.af.mil/About-Us/Fact-Sheets/Display/Article/1529726/c-17-globemaster-iii/</x:v>
      </x:c>
      <x:c r="H8" s="21" t="str">
        <x:v>2026-09-05</x:v>
      </x:c>
      <x:c r="I8" s="49"/>
      <x:c r="J8" s="49"/>
      <x:c r="K8" s="49"/>
      <x:c r="L8" s="49"/>
      <x:c r="M8" s="49"/>
      <x:c r="N8" s="49"/>
      <x:c r="O8" s="49"/>
      <x:c r="P8" s="49"/>
    </x:row>
    <x:row r="9">
      <x:c r="C9" s="21" t="str">
        <x:v>S03</x:v>
      </x:c>
      <x:c r="D9" s="21" t="str">
        <x:v>Community Lifelines</x:v>
      </x:c>
      <x:c r="E9" s="21" t="str">
        <x:v>FEMA</x:v>
      </x:c>
      <x:c r="F9" s="21" t="str">
        <x:v>Outcome-based lifeline stabilization doctrine</x:v>
      </x:c>
      <x:c r="G9" s="21" t="str">
        <x:v>https://www.fema.gov/emergency-managers/practitioners/lifelines</x:v>
      </x:c>
      <x:c r="H9" s="21" t="str">
        <x:v>2026-09-05</x:v>
      </x:c>
      <x:c r="I9" s="49"/>
      <x:c r="J9" s="49"/>
      <x:c r="K9" s="49"/>
      <x:c r="L9" s="49"/>
      <x:c r="M9" s="49"/>
      <x:c r="N9" s="49"/>
      <x:c r="O9" s="49"/>
      <x:c r="P9" s="49"/>
    </x:row>
    <x:row r="10">
      <x:c r="C10" s="21" t="str">
        <x:v>S04</x:v>
      </x:c>
      <x:c r="D10" s="21" t="str">
        <x:v>Advanced Air Mobility for Emergencies</x:v>
      </x:c>
      <x:c r="E10" s="21" t="str">
        <x:v>NASA</x:v>
      </x:c>
      <x:c r="F10" s="21" t="str">
        <x:v>Emergency cargo, rescue, automation, vehicle, vertiport and airspace research</x:v>
      </x:c>
      <x:c r="G10" s="21" t="str">
        <x:v>https://www.nasa.gov/aeronautics/advanced-air-mobility-for-emergencies/</x:v>
      </x:c>
      <x:c r="H10" s="21" t="str">
        <x:v>2026-09-05</x:v>
      </x:c>
      <x:c r="I10" s="49"/>
      <x:c r="J10" s="49"/>
      <x:c r="K10" s="49"/>
      <x:c r="L10" s="49"/>
      <x:c r="M10" s="49"/>
      <x:c r="N10" s="49"/>
      <x:c r="O10" s="49"/>
      <x:c r="P10" s="49"/>
    </x:row>
    <x:row r="11">
      <x:c r="C11" s="21" t="str">
        <x:v>S05</x:v>
      </x:c>
      <x:c r="D11" s="21" t="str">
        <x:v>Liberty Lifter</x:v>
      </x:c>
      <x:c r="E11" s="21" t="str">
        <x:v>DARPA</x:v>
      </x:c>
      <x:c r="F11" s="21" t="str">
        <x:v>Ship-scale disaster response at air speed; simulation/materials evidence only</x:v>
      </x:c>
      <x:c r="G11" s="21" t="str">
        <x:v>https://www.darpa.mil/research/programs/liberty-lifter</x:v>
      </x:c>
      <x:c r="H11" s="21" t="str">
        <x:v>2026-09-05</x:v>
      </x:c>
      <x:c r="I11" s="49"/>
      <x:c r="J11" s="49"/>
      <x:c r="K11" s="49"/>
      <x:c r="L11" s="49"/>
      <x:c r="M11" s="49"/>
      <x:c r="N11" s="49"/>
      <x:c r="O11" s="49"/>
      <x:c r="P11" s="49"/>
    </x:row>
    <x:row r="12">
      <x:c r="C12" s="21" t="str">
        <x:v>S06</x:v>
      </x:c>
      <x:c r="D12" s="21" t="str">
        <x:v>Expeditionary Airfield Damage Repair</x:v>
      </x:c>
      <x:c r="E12" s="21" t="str">
        <x:v>U.S. Air Force</x:v>
      </x:c>
      <x:c r="F12" s="21" t="str">
        <x:v>Rapid airfield-repair analog and logistics burden</x:v>
      </x:c>
      <x:c r="G12" s="21" t="str">
        <x:v>https://www.af.mil/News/Article-Display/Article/2517186/just-enough-just-in-time-afcec-targets-rapid-airfield-repair-solution/</x:v>
      </x:c>
      <x:c r="H12" s="21" t="str">
        <x:v>2026-09-05</x:v>
      </x:c>
      <x:c r="I12" s="49"/>
      <x:c r="J12" s="49"/>
      <x:c r="K12" s="49"/>
      <x:c r="L12" s="49"/>
      <x:c r="M12" s="49"/>
      <x:c r="N12" s="49"/>
      <x:c r="O12" s="49"/>
      <x:c r="P12" s="49"/>
    </x:row>
    <x:row r="13">
      <x:c r="C13" s="21" t="str">
        <x:v>S07</x:v>
      </x:c>
      <x:c r="D13" s="21" t="str">
        <x:v>Portable microgrid technology</x:v>
      </x:c>
      <x:c r="E13" s="21" t="str">
        <x:v>U.S. Department of Energy</x:v>
      </x:c>
      <x:c r="F13" s="21" t="str">
        <x:v>Containerized, black-start-capable microgrid analog</x:v>
      </x:c>
      <x:c r="G13" s="21" t="str">
        <x:v>https://www.energy.gov/cmei/water/articles/portable-microgrid-technology-can-bolster-small-town-hydropower-during-power</x:v>
      </x:c>
      <x:c r="H13" s="21" t="str">
        <x:v>2026-09-05</x:v>
      </x:c>
      <x:c r="I13" s="49"/>
      <x:c r="J13" s="49"/>
      <x:c r="K13" s="49"/>
      <x:c r="L13" s="49"/>
      <x:c r="M13" s="49"/>
      <x:c r="N13" s="49"/>
      <x:c r="O13" s="49"/>
      <x:c r="P13" s="49"/>
    </x:row>
    <x:row r="14">
      <x:c r="C14" s="21" t="str">
        <x:v>S08</x:v>
      </x:c>
      <x:c r="D14" s="21" t="str">
        <x:v>Water on Wheels mobile treatment</x:v>
      </x:c>
      <x:c r="E14" s="21" t="str">
        <x:v>U.S. EPA</x:v>
      </x:c>
      <x:c r="F14" s="21" t="str">
        <x:v>Portable modular water treatment analog</x:v>
      </x:c>
      <x:c r="G14" s="21" t="str">
        <x:v>https://www.epa.gov/emergency-response-research/water-wheels-mobile-water-treatment-system-wow-cart</x:v>
      </x:c>
      <x:c r="H14" s="21" t="str">
        <x:v>2026-09-05</x:v>
      </x:c>
      <x:c r="I14" s="49"/>
      <x:c r="J14" s="49"/>
      <x:c r="K14" s="49"/>
      <x:c r="L14" s="49"/>
      <x:c r="M14" s="49"/>
      <x:c r="N14" s="49"/>
      <x:c r="O14" s="49"/>
      <x:c r="P14" s="49"/>
    </x:row>
    <x:row r="15">
      <x:c r="C15" s="21" t="str">
        <x:v>S09</x:v>
      </x:c>
      <x:c r="D15" s="21" t="str">
        <x:v>Logistics Over-the-Shore</x:v>
      </x:c>
      <x:c r="E15" s="21" t="str">
        <x:v>U.S. Navy NAVFAC</x:v>
      </x:c>
      <x:c r="F15" s="21" t="str">
        <x:v>Current no-pier and causeway system analogs</x:v>
      </x:c>
      <x:c r="G15" s="21" t="str">
        <x:v>https://www.navfac.navy.mil/PEO-Infrastructure-and-Expeditionary/PMO-314-LOTS/</x:v>
      </x:c>
      <x:c r="H15" s="21" t="str">
        <x:v>2026-09-05</x:v>
      </x:c>
      <x:c r="I15" s="49"/>
      <x:c r="J15" s="49"/>
      <x:c r="K15" s="49"/>
      <x:c r="L15" s="49"/>
      <x:c r="M15" s="49"/>
      <x:c r="N15" s="49"/>
      <x:c r="O15" s="49"/>
      <x:c r="P15" s="49"/>
    </x:row>
    <x:row r="16">
      <x:c r="C16" s="21" t="str">
        <x:v>S10</x:v>
      </x:c>
      <x:c r="D16" s="21" t="str">
        <x:v>Pass 26 covariance study</x:v>
      </x:c>
      <x:c r="E16" s="21" t="str">
        <x:v>Disaster Force research program</x:v>
      </x:c>
      <x:c r="F16" s="21" t="str">
        <x:v>Motivation for independently supportable campaign cells</x:v>
      </x:c>
      <x:c r="G16" s="21" t="str">
        <x:v>research/campaigns/cascadia-network-covariance-and-assurance.md</x:v>
      </x:c>
      <x:c r="H16" s="21" t="str">
        <x:v>2026-09-05</x:v>
      </x:c>
      <x:c r="I16" s="49"/>
      <x:c r="J16" s="49"/>
      <x:c r="K16" s="49"/>
      <x:c r="L16" s="49"/>
      <x:c r="M16" s="49"/>
      <x:c r="N16" s="49"/>
      <x:c r="O16" s="49"/>
      <x:c r="P16" s="49"/>
    </x:row>
  </x:sheetData>
  <x:mergeCells>
    <x:mergeCell ref="C2:P2"/>
    <x:mergeCell ref="C3:P3"/>
  </x:mergeCell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10" hidden="0" customWidth="1"/>
    <x:col min="4" max="4" width="42" hidden="0" customWidth="1"/>
    <x:col min="5" max="5" width="20" hidden="0" customWidth="1"/>
    <x:col min="6" max="6" width="20" hidden="0" customWidth="1"/>
    <x:col min="7" max="7" width="30" hidden="0" customWidth="1"/>
    <x:col min="8" max="8" width="12" hidden="0" customWidth="1"/>
  </x:cols>
  <x:sheetData>
    <x:row r="2" ht="24" customHeight="1">
      <x:c r="C2" s="47" t="str">
        <x:v>Model Checks</x:v>
      </x:c>
      <x:c r="D2" s="47"/>
      <x:c r="E2" s="47"/>
      <x:c r="F2" s="47"/>
      <x:c r="G2" s="47"/>
      <x:c r="H2" s="47"/>
      <x:c r="I2" s="47"/>
      <x:c r="J2" s="47"/>
      <x:c r="K2" s="47"/>
      <x:c r="L2" s="47"/>
      <x:c r="M2" s="47"/>
      <x:c r="N2" s="47"/>
    </x:row>
    <x:row r="3" ht="32" customHeight="1">
      <x:c r="C3" s="48" t="str">
        <x:v>PASS verifies workbook logic. OPEN/BLOCKED is the correct research state and prevents false precision from authorizing renderings.</x:v>
      </x:c>
      <x:c r="D3" s="48"/>
      <x:c r="E3" s="48"/>
      <x:c r="F3" s="48"/>
      <x:c r="G3" s="48"/>
      <x:c r="H3" s="48"/>
      <x:c r="I3" s="48"/>
      <x:c r="J3" s="48"/>
      <x:c r="K3" s="48"/>
      <x:c r="L3" s="48"/>
      <x:c r="M3" s="48"/>
      <x:c r="N3" s="48"/>
    </x:row>
    <x:row r="4">
      <x:c r="C4" s="49"/>
      <x:c r="D4" s="49"/>
      <x:c r="E4" s="49"/>
      <x:c r="F4" s="49"/>
      <x:c r="G4" s="49"/>
      <x:c r="H4" s="49"/>
      <x:c r="I4" s="49"/>
      <x:c r="J4" s="49"/>
      <x:c r="K4" s="49"/>
      <x:c r="L4" s="49"/>
      <x:c r="M4" s="49"/>
      <x:c r="N4" s="49"/>
    </x:row>
    <x:row r="5">
      <x:c r="C5" s="49"/>
      <x:c r="D5" s="49"/>
      <x:c r="E5" s="49"/>
      <x:c r="F5" s="49"/>
      <x:c r="G5" s="49"/>
      <x:c r="H5" s="49"/>
      <x:c r="I5" s="49"/>
      <x:c r="J5" s="49"/>
      <x:c r="K5" s="49"/>
      <x:c r="L5" s="49"/>
      <x:c r="M5" s="49"/>
      <x:c r="N5" s="49"/>
    </x:row>
    <x:row r="6">
      <x:c r="C6" s="16" t="str">
        <x:v>ID</x:v>
      </x:c>
      <x:c r="D6" s="17" t="str">
        <x:v>Check</x:v>
      </x:c>
      <x:c r="E6" s="17" t="str">
        <x:v>Actual</x:v>
      </x:c>
      <x:c r="F6" s="17" t="str">
        <x:v>Expected</x:v>
      </x:c>
      <x:c r="G6" s="17" t="str">
        <x:v>Rule</x:v>
      </x:c>
      <x:c r="H6" s="18" t="str">
        <x:v>Status</x:v>
      </x:c>
      <x:c r="I6" s="49"/>
      <x:c r="J6" s="49"/>
      <x:c r="K6" s="49"/>
      <x:c r="L6" s="49"/>
      <x:c r="M6" s="49"/>
      <x:c r="N6" s="49"/>
    </x:row>
    <x:row r="7">
      <x:c r="C7" s="21" t="str">
        <x:v>C-01</x:v>
      </x:c>
      <x:c r="D7" s="21" t="str">
        <x:v>R1 mass reconciles</x:v>
      </x:c>
      <x:c r="E7" s="31" t="n">
        <x:f>'R1 Baseline'!F24</x:f>
        <x:v>88130</x:v>
      </x:c>
      <x:c r="F7" s="31" t="n">
        <x:f>Controls!D7</x:f>
        <x:v>88130</x:v>
      </x:c>
      <x:c r="G7" s="31" t="str">
        <x:v>abs diff &lt;0.1 t</x:v>
      </x:c>
      <x:c r="H7" s="31" t="str">
        <x:f>IF(ABS(E7-F7)&lt;0.1,"PASS","FAIL")</x:f>
        <x:v>PASS</x:v>
      </x:c>
      <x:c r="I7" s="49"/>
      <x:c r="J7" s="49"/>
      <x:c r="K7" s="49"/>
      <x:c r="L7" s="49"/>
      <x:c r="M7" s="49"/>
      <x:c r="N7" s="49"/>
    </x:row>
    <x:row r="8">
      <x:c r="C8" s="21" t="str">
        <x:v>C-02</x:v>
      </x:c>
      <x:c r="D8" s="21" t="str">
        <x:v>Six-cell mass reconciles</x:v>
      </x:c>
      <x:c r="E8" s="31" t="n">
        <x:f>'Cell Module Build'!K24</x:f>
        <x:v>177670.08000000002</x:v>
      </x:c>
      <x:c r="F8" s="31" t="n">
        <x:f>SUM('Cell Architecture'!M7:M12)</x:f>
        <x:v>177670.08</x:v>
      </x:c>
      <x:c r="G8" s="31" t="str">
        <x:v>abs diff &lt;0.1 t</x:v>
      </x:c>
      <x:c r="H8" s="31" t="str">
        <x:f>IF(ABS(E8-F8)&lt;0.1,"PASS","FAIL")</x:f>
        <x:v>PASS</x:v>
      </x:c>
      <x:c r="I8" s="49"/>
      <x:c r="J8" s="49"/>
      <x:c r="K8" s="49"/>
      <x:c r="L8" s="49"/>
      <x:c r="M8" s="49"/>
      <x:c r="N8" s="49"/>
    </x:row>
    <x:row r="9">
      <x:c r="C9" s="21" t="str">
        <x:v>C-03</x:v>
      </x:c>
      <x:c r="D9" s="21" t="str">
        <x:v>All services close with four cells</x:v>
      </x:c>
      <x:c r="E9" s="31" t="n">
        <x:f>COUNTIF('Effect Closure'!K7:K17,"CLOSE")</x:f>
        <x:v>11</x:v>
      </x:c>
      <x:c r="F9" s="31" t="n">
        <x:v>11</x:v>
      </x:c>
      <x:c r="G9" s="31" t="str">
        <x:v>exact</x:v>
      </x:c>
      <x:c r="H9" s="31" t="str">
        <x:f>IF(E9=F9,"PASS","FAIL")</x:f>
        <x:v>PASS</x:v>
      </x:c>
      <x:c r="I9" s="49"/>
      <x:c r="J9" s="49"/>
      <x:c r="K9" s="49"/>
      <x:c r="L9" s="49"/>
      <x:c r="M9" s="49"/>
      <x:c r="N9" s="49"/>
    </x:row>
    <x:row r="10">
      <x:c r="C10" s="21" t="str">
        <x:v>C-04</x:v>
      </x:c>
      <x:c r="D10" s="21" t="str">
        <x:v>All 15 N-2 cases close service</x:v>
      </x:c>
      <x:c r="E10" s="31" t="n">
        <x:f>COUNTIF('Pair-Loss Cases'!J7:J21,"CLOSE")</x:f>
        <x:v>15</x:v>
      </x:c>
      <x:c r="F10" s="31" t="n">
        <x:v>15</x:v>
      </x:c>
      <x:c r="G10" s="31" t="str">
        <x:v>exact</x:v>
      </x:c>
      <x:c r="H10" s="31" t="str">
        <x:f>IF(E10=F10,"PASS","FAIL")</x:f>
        <x:v>PASS</x:v>
      </x:c>
      <x:c r="I10" s="49"/>
      <x:c r="J10" s="49"/>
      <x:c r="K10" s="49"/>
      <x:c r="L10" s="49"/>
      <x:c r="M10" s="49"/>
      <x:c r="N10" s="49"/>
    </x:row>
    <x:row r="11">
      <x:c r="C11" s="21" t="str">
        <x:v>C-05</x:v>
      </x:c>
      <x:c r="D11" s="21" t="str">
        <x:v>All 15 N-2 cases close by hour 72</x:v>
      </x:c>
      <x:c r="E11" s="31" t="n">
        <x:f>COUNTIF('Pair-Loss Cases'!K7:K21,"PASS")</x:f>
        <x:v>15</x:v>
      </x:c>
      <x:c r="F11" s="31" t="n">
        <x:v>15</x:v>
      </x:c>
      <x:c r="G11" s="31" t="str">
        <x:v>exact</x:v>
      </x:c>
      <x:c r="H11" s="31" t="str">
        <x:f>IF(E11=F11,"PASS","FAIL")</x:f>
        <x:v>PASS</x:v>
      </x:c>
      <x:c r="I11" s="49"/>
      <x:c r="J11" s="49"/>
      <x:c r="K11" s="49"/>
      <x:c r="L11" s="49"/>
      <x:c r="M11" s="49"/>
      <x:c r="N11" s="49"/>
    </x:row>
    <x:row r="12">
      <x:c r="C12" s="21" t="str">
        <x:v>C-06</x:v>
      </x:c>
      <x:c r="D12" s="21" t="str">
        <x:v>Worst N-2 grid closure</x:v>
      </x:c>
      <x:c r="E12" s="31" t="n">
        <x:f>MAX('Pair-Loss Cases'!H7:H21)</x:f>
        <x:v>60</x:v>
      </x:c>
      <x:c r="F12" s="31" t="n">
        <x:v>60</x:v>
      </x:c>
      <x:c r="G12" s="31" t="str">
        <x:v>&lt;=72 h</x:v>
      </x:c>
      <x:c r="H12" s="31" t="str">
        <x:f>IF(E12&lt;=72,"PASS","FAIL")</x:f>
        <x:v>PASS</x:v>
      </x:c>
      <x:c r="I12" s="49"/>
      <x:c r="J12" s="49"/>
      <x:c r="K12" s="49"/>
      <x:c r="L12" s="49"/>
      <x:c r="M12" s="49"/>
      <x:c r="N12" s="49"/>
    </x:row>
    <x:row r="13">
      <x:c r="C13" s="21" t="str">
        <x:v>C-07</x:v>
      </x:c>
      <x:c r="D13" s="21" t="str">
        <x:v>Design-point assurance</x:v>
      </x:c>
      <x:c r="E13" s="31" t="n">
        <x:f>'Reliability Budget'!E19</x:f>
        <x:v>0.9507560834374998</x:v>
      </x:c>
      <x:c r="F13" s="31" t="n">
        <x:f>Controls!D14</x:f>
        <x:v>0.95</x:v>
      </x:c>
      <x:c r="G13" s="31" t="str">
        <x:v>&gt;= target</x:v>
      </x:c>
      <x:c r="H13" s="31" t="str">
        <x:f>IF(E13&gt;=F13,"PASS","FAIL")</x:f>
        <x:v>PASS</x:v>
      </x:c>
      <x:c r="I13" s="49"/>
      <x:c r="J13" s="49"/>
      <x:c r="K13" s="49"/>
      <x:c r="L13" s="49"/>
      <x:c r="M13" s="49"/>
      <x:c r="N13" s="49"/>
    </x:row>
    <x:row r="14">
      <x:c r="C14" s="21" t="str">
        <x:v>C-08</x:v>
      </x:c>
      <x:c r="D14" s="21" t="str">
        <x:v>Build weights sum</x:v>
      </x:c>
      <x:c r="E14" s="31" t="n">
        <x:f>SUM('Annual Funding'!D7:D31)</x:f>
        <x:v>1.0000000000000004</x:v>
      </x:c>
      <x:c r="F14" s="31" t="n">
        <x:v>1</x:v>
      </x:c>
      <x:c r="G14" s="31" t="str">
        <x:v>abs diff &lt;0.0001</x:v>
      </x:c>
      <x:c r="H14" s="31" t="str">
        <x:f>IF(ABS(E14-F14)&lt;0.0001,"PASS","FAIL")</x:f>
        <x:v>PASS</x:v>
      </x:c>
      <x:c r="I14" s="49"/>
      <x:c r="J14" s="49"/>
      <x:c r="K14" s="49"/>
      <x:c r="L14" s="49"/>
      <x:c r="M14" s="49"/>
      <x:c r="N14" s="49"/>
    </x:row>
    <x:row r="15">
      <x:c r="C15" s="21" t="str">
        <x:v>C-09</x:v>
      </x:c>
      <x:c r="D15" s="21" t="str">
        <x:v>Capital subtotal</x:v>
      </x:c>
      <x:c r="E15" s="31" t="n">
        <x:f>'Capital Build'!G19</x:f>
        <x:v>376.90000000000003</x:v>
      </x:c>
      <x:c r="F15" s="31" t="n">
        <x:v>376.9</x:v>
      </x:c>
      <x:c r="G15" s="31" t="str">
        <x:v>abs diff &lt;$0.01B</x:v>
      </x:c>
      <x:c r="H15" s="31" t="str">
        <x:f>IF(ABS(E15-F15)&lt;0.01,"PASS","FAIL")</x:f>
        <x:v>PASS</x:v>
      </x:c>
      <x:c r="I15" s="49"/>
      <x:c r="J15" s="49"/>
      <x:c r="K15" s="49"/>
      <x:c r="L15" s="49"/>
      <x:c r="M15" s="49"/>
      <x:c r="N15" s="49"/>
    </x:row>
    <x:row r="16">
      <x:c r="C16" s="21" t="str">
        <x:v>C-10</x:v>
      </x:c>
      <x:c r="D16" s="21" t="str">
        <x:v>Pass 27 capital with reserve</x:v>
      </x:c>
      <x:c r="E16" s="31" t="n">
        <x:f>'Capital Build'!G21</x:f>
        <x:v>471.12500000000006</x:v>
      </x:c>
      <x:c r="F16" s="31" t="n">
        <x:v>471.125</x:v>
      </x:c>
      <x:c r="G16" s="31" t="str">
        <x:v>abs diff &lt;$0.01B</x:v>
      </x:c>
      <x:c r="H16" s="31" t="str">
        <x:f>IF(ABS(E16-F16)&lt;0.01,"PASS","FAIL")</x:f>
        <x:v>PASS</x:v>
      </x:c>
      <x:c r="I16" s="49"/>
      <x:c r="J16" s="49"/>
      <x:c r="K16" s="49"/>
      <x:c r="L16" s="49"/>
      <x:c r="M16" s="49"/>
      <x:c r="N16" s="49"/>
    </x:row>
    <x:row r="17">
      <x:c r="C17" s="21" t="str">
        <x:v>C-11</x:v>
      </x:c>
      <x:c r="D17" s="21" t="str">
        <x:v>Source URLs present</x:v>
      </x:c>
      <x:c r="E17" s="31" t="n">
        <x:f>COUNTA(Sources!G7:G16)</x:f>
        <x:v>10</x:v>
      </x:c>
      <x:c r="F17" s="31" t="n">
        <x:v>10</x:v>
      </x:c>
      <x:c r="G17" s="31" t="str">
        <x:v>exact</x:v>
      </x:c>
      <x:c r="H17" s="31" t="str">
        <x:f>IF(E17=F17,"PASS","FAIL")</x:f>
        <x:v>PASS</x:v>
      </x:c>
      <x:c r="I17" s="49"/>
      <x:c r="J17" s="49"/>
      <x:c r="K17" s="49"/>
      <x:c r="L17" s="49"/>
      <x:c r="M17" s="49"/>
      <x:c r="N17" s="49"/>
    </x:row>
    <x:row r="18">
      <x:c r="C18" s="21" t="str">
        <x:v>C-12</x:v>
      </x:c>
      <x:c r="D18" s="21" t="str">
        <x:v>Evidence gates remain open</x:v>
      </x:c>
      <x:c r="E18" s="31" t="n">
        <x:f>COUNTIF('Evidence Gates'!I7:I16,"OPEN")</x:f>
        <x:v>10</x:v>
      </x:c>
      <x:c r="F18" s="31" t="n">
        <x:v>10</x:v>
      </x:c>
      <x:c r="G18" s="31" t="str">
        <x:v>research state</x:v>
      </x:c>
      <x:c r="H18" s="31" t="str">
        <x:f>IF(E18=F18,"OPEN","FAIL")</x:f>
        <x:v>OPEN</x:v>
      </x:c>
      <x:c r="I18" s="49"/>
      <x:c r="J18" s="49"/>
      <x:c r="K18" s="49"/>
      <x:c r="L18" s="49"/>
      <x:c r="M18" s="49"/>
      <x:c r="N18" s="49"/>
    </x:row>
    <x:row r="19">
      <x:c r="C19" s="21" t="str">
        <x:v>C-13</x:v>
      </x:c>
      <x:c r="D19" s="21" t="str">
        <x:v>Renderings remain blocked</x:v>
      </x:c>
      <x:c r="E19" s="31" t="n">
        <x:f>COUNTIF('Evidence Gates'!J7:J16,"BLOCKED")</x:f>
        <x:v>10</x:v>
      </x:c>
      <x:c r="F19" s="31" t="n">
        <x:v>10</x:v>
      </x:c>
      <x:c r="G19" s="31" t="str">
        <x:v>research state</x:v>
      </x:c>
      <x:c r="H19" s="31" t="str">
        <x:f>IF(E19=F19,"OPEN","FAIL")</x:f>
        <x:v>OPEN</x:v>
      </x:c>
      <x:c r="I19" s="49"/>
      <x:c r="J19" s="49"/>
      <x:c r="K19" s="49"/>
      <x:c r="L19" s="49"/>
      <x:c r="M19" s="49"/>
      <x:c r="N19" s="49"/>
    </x:row>
  </x:sheetData>
  <x:mergeCells>
    <x:mergeCell ref="C2:N2"/>
    <x:mergeCell ref="C3:N3"/>
  </x:mergeCells>
  <x:conditionalFormatting sqref="H7:H19">
    <x:cfRule type="containsText" dxfId="50" priority="1" operator="containsText" text="PASS"/>
    <x:cfRule type="containsText" dxfId="51" priority="2" operator="containsText" text="CLOSE"/>
    <x:cfRule type="containsText" dxfId="52" priority="3" operator="containsText" text="FAIL"/>
    <x:cfRule type="containsText" dxfId="53" priority="4" operator="containsText" text="OPEN"/>
    <x:cfRule type="containsText" dxfId="54" priority="5" operator="containsText" text="BLOCKED"/>
  </x:conditionalFormatting>
  <x:pageMargins left="0.7" right="0.7" top="0.75" bottom="0.75" header="0.3" footer="0.3"/>
</x:worksheet>
</file>