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f69f0f6c394b06" /></Relationships>
</file>

<file path=xl/workbook.xml><?xml version="1.0" encoding="utf-8"?>
<x:workbook xmlns:x="http://schemas.openxmlformats.org/spreadsheetml/2006/main">
  <x:sheets>
    <x:sheet xmlns:r="http://schemas.openxmlformats.org/officeDocument/2006/relationships" name="Executive" sheetId="1" r:id="R2ec0062a40904302"/>
    <x:sheet xmlns:r="http://schemas.openxmlformats.org/officeDocument/2006/relationships" name="Controls" sheetId="2" r:id="Ra622fefde3a845f8"/>
    <x:sheet xmlns:r="http://schemas.openxmlformats.org/officeDocument/2006/relationships" name="District Geometry" sheetId="3" r:id="R97d1ae2e83204dc1"/>
    <x:sheet xmlns:r="http://schemas.openxmlformats.org/officeDocument/2006/relationships" name="Zone Program" sheetId="4" r:id="R758f4a64b0674749"/>
    <x:sheet xmlns:r="http://schemas.openxmlformats.org/officeDocument/2006/relationships" name="Design Loads" sheetId="5" r:id="R377df2321e5d413c"/>
    <x:sheet xmlns:r="http://schemas.openxmlformats.org/officeDocument/2006/relationships" name="Component BOM" sheetId="6" r:id="R1698e08102de4233"/>
    <x:sheet xmlns:r="http://schemas.openxmlformats.org/officeDocument/2006/relationships" name="Mass Summary" sheetId="7" r:id="Rda7afb4f2b5c4129"/>
    <x:sheet xmlns:r="http://schemas.openxmlformats.org/officeDocument/2006/relationships" name="Packed Volume" sheetId="8" r:id="Rce70e0c9bab94761"/>
    <x:sheet xmlns:r="http://schemas.openxmlformats.org/officeDocument/2006/relationships" name="Load Positions" sheetId="9" r:id="Rd06236a5e1164c62"/>
    <x:sheet xmlns:r="http://schemas.openxmlformats.org/officeDocument/2006/relationships" name="Site Requirements" sheetId="10" r:id="R376284a2f1764459"/>
    <x:sheet xmlns:r="http://schemas.openxmlformats.org/officeDocument/2006/relationships" name="Install Activities" sheetId="11" r:id="R0d66a3de6cb5457f"/>
    <x:sheet xmlns:r="http://schemas.openxmlformats.org/officeDocument/2006/relationships" name="Install Network" sheetId="12" r:id="R60f412472afe43ca"/>
    <x:sheet xmlns:r="http://schemas.openxmlformats.org/officeDocument/2006/relationships" name="Install Scenarios" sheetId="13" r:id="R105ab4bf50f841e9"/>
    <x:sheet xmlns:r="http://schemas.openxmlformats.org/officeDocument/2006/relationships" name="Crew Schedule" sheetId="14" r:id="R71c9e3a0f68246a9"/>
    <x:sheet xmlns:r="http://schemas.openxmlformats.org/officeDocument/2006/relationships" name="Thermal Zones" sheetId="15" r:id="R00fca05b72164121"/>
    <x:sheet xmlns:r="http://schemas.openxmlformats.org/officeDocument/2006/relationships" name="Power Distribution" sheetId="16" r:id="R08f704e894de4635"/>
    <x:sheet xmlns:r="http://schemas.openxmlformats.org/officeDocument/2006/relationships" name="Water Waste Interfaces" sheetId="17" r:id="R8d169d944ce94462"/>
    <x:sheet xmlns:r="http://schemas.openxmlformats.org/officeDocument/2006/relationships" name="Fire Life Safety" sheetId="18" r:id="R5dc0c22251d4497a"/>
    <x:sheet xmlns:r="http://schemas.openxmlformats.org/officeDocument/2006/relationships" name="Degraded Modes" sheetId="19" r:id="Rf2e8542f0c3c41f0"/>
    <x:sheet xmlns:r="http://schemas.openxmlformats.org/officeDocument/2006/relationships" name="District Alternatives" sheetId="20" r:id="R88a35840e4ad44c0"/>
    <x:sheet xmlns:r="http://schemas.openxmlformats.org/officeDocument/2006/relationships" name="Pod Propagation" sheetId="21" r:id="R9bdf2cf70aaf40f2"/>
    <x:sheet xmlns:r="http://schemas.openxmlformats.org/officeDocument/2006/relationships" name="Release Timing" sheetId="22" r:id="R62614683551f4976"/>
    <x:sheet xmlns:r="http://schemas.openxmlformats.org/officeDocument/2006/relationships" name="Technology Programs" sheetId="23" r:id="Rf23ce791cb3f4d90"/>
    <x:sheet xmlns:r="http://schemas.openxmlformats.org/officeDocument/2006/relationships" name="Evidence Gates" sheetId="24" r:id="Rf4495153b3dd4065"/>
    <x:sheet xmlns:r="http://schemas.openxmlformats.org/officeDocument/2006/relationships" name="Sources" sheetId="25" r:id="R06c44b2b68474dd4"/>
    <x:sheet xmlns:r="http://schemas.openxmlformats.org/officeDocument/2006/relationships" name="Checks" sheetId="26" r:id="R4a2bfd488c834de5"/>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
    <x:numFmt numFmtId="201" formatCode="#,##0.00"/>
    <x:numFmt numFmtId="202" formatCode="#,##0"/>
    <x:numFmt numFmtId="203" formatCode="#,##0.0"/>
    <x:numFmt numFmtId="204" formatCode="0.000"/>
    <x:numFmt numFmtId="205" formatCode="0.00"/>
    <x:numFmt numFmtId="206" formatCode="0%"/>
    <x:numFmt numFmtId="207" formatCode="#,##0.000"/>
  </x:numFmts>
  <x:fonts count="9">
    <x:font>
      <x:sz val="11"/>
      <x:name val="Carlito"/>
    </x:font>
    <x:font>
      <x:b/>
      <x:sz val="18"/>
      <x:color rgb="FF17242E"/>
      <x:name val="Aptos"/>
    </x:font>
    <x:font>
      <x:i/>
      <x:sz val="10"/>
      <x:color rgb="FF60717D"/>
      <x:name val="Aptos"/>
    </x:font>
    <x:font>
      <x:b/>
      <x:sz val="9"/>
      <x:color rgb="FFFFFFFF"/>
      <x:name val="Aptos"/>
    </x:font>
    <x:font>
      <x:sz val="9"/>
      <x:color rgb="FF17242E"/>
      <x:name val="Aptos"/>
    </x:font>
    <x:font>
      <x:i/>
      <x:sz val="9"/>
      <x:color rgb="FF17242E"/>
      <x:name val="Aptos"/>
    </x:font>
    <x:font>
      <x:b/>
      <x:sz val="11"/>
      <x:color rgb="FF143B57"/>
      <x:name val="Aptos"/>
    </x:font>
    <x:font>
      <x:sz val="10"/>
      <x:color rgb="FF17242E"/>
      <x:name val="Aptos"/>
    </x:font>
    <x:font>
      <x:sz val="11"/>
      <x:name val="Aptos"/>
    </x:font>
  </x:fonts>
  <x:fills count="7">
    <x:fill>
      <x:patternFill patternType="none"/>
    </x:fill>
    <x:fill>
      <x:patternFill patternType="gray125"/>
    </x:fill>
    <x:fill>
      <x:patternFill patternType="solid">
        <x:fgColor rgb="FF143B57"/>
      </x:patternFill>
    </x:fill>
    <x:fill>
      <x:patternFill patternType="solid">
        <x:fgColor rgb="FFF3F6F8"/>
      </x:patternFill>
    </x:fill>
    <x:fill>
      <x:patternFill patternType="solid">
        <x:fgColor rgb="FFFFF2CC"/>
      </x:patternFill>
    </x:fill>
    <x:fill>
      <x:patternFill patternType="solid">
        <x:fgColor rgb="FFFCE4D6"/>
      </x:patternFill>
    </x:fill>
    <x:fill>
      <x:patternFill patternType="solid">
        <x:fgColor rgb="FFE7EEF2"/>
      </x:patternFill>
    </x:fill>
  </x:fills>
  <x:borders count="7">
    <x:border/>
    <x:border>
      <x:bottom style="thin">
        <x:color rgb="FF143B57"/>
      </x:bottom>
    </x:border>
    <x:border>
      <x:right style="thin">
        <x:color rgb="FFFFFFFF"/>
      </x:right>
      <x:bottom style="thin">
        <x:color rgb="FF143B57"/>
      </x:bottom>
    </x:border>
    <x:border>
      <x:left style="thin">
        <x:color rgb="FFFFFFFF"/>
      </x:left>
      <x:right style="thin">
        <x:color rgb="FFFFFFFF"/>
      </x:right>
      <x:bottom style="thin">
        <x:color rgb="FF143B57"/>
      </x:bottom>
    </x:border>
    <x:border>
      <x:left style="thin">
        <x:color rgb="FFFFFFFF"/>
      </x:left>
      <x:bottom style="thin">
        <x:color rgb="FF143B57"/>
      </x:bottom>
    </x:border>
    <x:border>
      <x:bottom style="thin">
        <x:color rgb="FFD4DEE4"/>
      </x:bottom>
    </x:border>
    <x:border>
      <x:top style="thin">
        <x:color rgb="FFD4DEE4"/>
      </x:top>
      <x:bottom style="thin">
        <x:color rgb="FFD4DEE4"/>
      </x:bottom>
    </x:border>
  </x:borders>
  <x:cellStyleXfs count="1">
    <x:xf numFmtId="0" fontId="0" fillId="0" borderId="0"/>
  </x:cellStyleXfs>
  <x:cellXfs count="8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center" wrapText="1"/>
    </x:xf>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4"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4"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4" fillId="0" borderId="0"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200" fontId="4" fillId="4" borderId="6"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201" fontId="4" fillId="3" borderId="5"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201" fontId="4" fillId="3" borderId="6" xfId="0" applyNumberFormat="1" applyFont="1" applyFill="1" applyBorder="1" applyAlignment="1">
      <x:alignment vertical="top" wrapText="1"/>
    </x:xf>
    <x:xf numFmtId="200" fontId="4" fillId="3" borderId="5"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3" borderId="6" xfId="0" applyNumberFormat="1" applyFont="1" applyFill="1" applyBorder="1" applyAlignment="1">
      <x:alignment vertical="top" wrapText="1"/>
    </x:xf>
    <x:xf numFmtId="202" fontId="4" fillId="3" borderId="5" xfId="0" applyNumberFormat="1" applyFont="1" applyFill="1" applyBorder="1" applyAlignment="1">
      <x:alignment vertical="top" wrapText="1"/>
    </x:xf>
    <x:xf numFmtId="202" fontId="4" fillId="0" borderId="6" xfId="0" applyNumberFormat="1" applyFont="1" applyFill="1" applyBorder="1" applyAlignment="1">
      <x:alignment vertical="top" wrapText="1"/>
    </x:xf>
    <x:xf numFmtId="202" fontId="4" fillId="3" borderId="6"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200" fontId="4" fillId="0" borderId="5" xfId="0" applyNumberFormat="1" applyFont="1" applyFill="1" applyBorder="1" applyAlignment="1">
      <x:alignment vertical="top" wrapText="1"/>
    </x:xf>
    <x:xf numFmtId="201" fontId="4" fillId="4" borderId="5" xfId="0" applyNumberFormat="1" applyFont="1" applyFill="1" applyBorder="1" applyAlignment="1">
      <x:alignment vertical="top" wrapText="1"/>
    </x:xf>
    <x:xf numFmtId="201" fontId="4" fillId="4" borderId="6" xfId="0" applyNumberFormat="1" applyFont="1" applyFill="1" applyBorder="1" applyAlignment="1">
      <x:alignment vertical="top" wrapText="1"/>
    </x:xf>
    <x:xf numFmtId="203" fontId="4" fillId="3" borderId="5" xfId="0" applyNumberFormat="1" applyFont="1" applyFill="1" applyBorder="1" applyAlignment="1">
      <x:alignment vertical="top" wrapText="1"/>
    </x:xf>
    <x:xf numFmtId="203" fontId="4" fillId="0" borderId="6" xfId="0" applyNumberFormat="1" applyFont="1" applyFill="1" applyBorder="1" applyAlignment="1">
      <x:alignment vertical="top" wrapText="1"/>
    </x:xf>
    <x:xf numFmtId="203" fontId="4" fillId="3" borderId="6" xfId="0" applyNumberFormat="1" applyFont="1" applyFill="1" applyBorder="1" applyAlignment="1">
      <x:alignment vertical="top" wrapText="1"/>
    </x:xf>
    <x:xf numFmtId="204" fontId="4" fillId="3" borderId="5" xfId="0" applyNumberFormat="1" applyFont="1" applyFill="1" applyBorder="1" applyAlignment="1">
      <x:alignment vertical="top" wrapText="1"/>
    </x:xf>
    <x:xf numFmtId="204" fontId="4" fillId="0" borderId="6" xfId="0" applyNumberFormat="1" applyFont="1" applyFill="1" applyBorder="1" applyAlignment="1">
      <x:alignment vertical="top" wrapText="1"/>
    </x:xf>
    <x:xf numFmtId="204" fontId="4" fillId="3" borderId="6" xfId="0" applyNumberFormat="1" applyFont="1" applyFill="1" applyBorder="1" applyAlignment="1">
      <x:alignment vertical="top" wrapText="1"/>
    </x:xf>
    <x:xf numFmtId="205" fontId="4" fillId="0" borderId="5" xfId="0" applyNumberFormat="1" applyFont="1" applyFill="1" applyBorder="1" applyAlignment="1">
      <x:alignment vertical="top" wrapText="1"/>
    </x:xf>
    <x:xf numFmtId="205" fontId="4" fillId="0" borderId="6" xfId="0" applyNumberFormat="1" applyFont="1" applyFill="1" applyBorder="1" applyAlignment="1">
      <x:alignment vertical="top" wrapText="1"/>
    </x:xf>
    <x:xf numFmtId="206" fontId="4" fillId="3" borderId="5" xfId="0" applyNumberFormat="1" applyFont="1" applyFill="1" applyBorder="1" applyAlignment="1">
      <x:alignment vertical="top" wrapText="1"/>
    </x:xf>
    <x:xf numFmtId="206" fontId="4" fillId="0" borderId="6" xfId="0" applyNumberFormat="1" applyFont="1" applyFill="1" applyBorder="1" applyAlignment="1">
      <x:alignment vertical="top" wrapText="1"/>
    </x:xf>
    <x:xf numFmtId="206" fontId="4" fillId="3" borderId="6" xfId="0" applyNumberFormat="1" applyFont="1" applyFill="1" applyBorder="1" applyAlignment="1">
      <x:alignment vertical="top" wrapText="1"/>
    </x:xf>
    <x:xf numFmtId="205" fontId="4" fillId="3" borderId="5" xfId="0" applyNumberFormat="1" applyFont="1" applyFill="1" applyBorder="1" applyAlignment="1">
      <x:alignment vertical="top" wrapText="1"/>
    </x:xf>
    <x:xf numFmtId="205" fontId="4" fillId="3" borderId="6" xfId="0" applyNumberFormat="1" applyFont="1" applyFill="1" applyBorder="1" applyAlignment="1">
      <x:alignment vertical="top" wrapText="1"/>
    </x:xf>
    <x:xf numFmtId="207" fontId="4" fillId="3" borderId="5" xfId="0" applyNumberFormat="1" applyFont="1" applyFill="1" applyBorder="1" applyAlignment="1">
      <x:alignment vertical="top" wrapText="1"/>
    </x:xf>
    <x:xf numFmtId="207" fontId="4" fillId="0" borderId="6" xfId="0" applyNumberFormat="1" applyFont="1" applyFill="1" applyBorder="1" applyAlignment="1">
      <x:alignment vertical="top" wrapText="1"/>
    </x:xf>
    <x:xf numFmtId="207" fontId="4" fillId="3" borderId="6" xfId="0" applyNumberFormat="1" applyFont="1" applyFill="1" applyBorder="1" applyAlignment="1">
      <x:alignment vertical="top" wrapText="1"/>
    </x:xf>
    <x:xf numFmtId="0" fontId="7" fillId="0" borderId="0" xfId="0" applyNumberFormat="1" applyFont="1" applyFill="1" applyBorder="1"/>
    <x:xf numFmtId="0" fontId="7" fillId="0" borderId="5" xfId="0" applyNumberFormat="1" applyFont="1" applyFill="1" applyBorder="1"/>
    <x:xf numFmtId="0" fontId="7" fillId="0" borderId="0" xfId="0" applyNumberFormat="1" applyFont="1" applyFill="1" applyBorder="1" applyAlignment="1">
      <x:alignment wrapText="1"/>
    </x:xf>
    <x:xf numFmtId="0" fontId="7" fillId="0" borderId="5" xfId="0" applyNumberFormat="1" applyFont="1" applyFill="1" applyBorder="1" applyAlignment="1">
      <x:alignment wrapText="1"/>
    </x:xf>
    <x:xf numFmtId="0" fontId="8" fillId="0" borderId="0" xfId="0" applyNumberFormat="1" applyFont="1" applyFill="1" applyBorder="1"/>
    <x:xf numFmtId="0" fontId="1" fillId="0" borderId="0" xfId="0" applyNumberFormat="1" applyFont="1" applyFill="1" applyBorder="1" applyAlignment="1">
      <x:alignment vertical="top"/>
    </x:xf>
    <x:xf numFmtId="0" fontId="2" fillId="0" borderId="1" xfId="0" applyNumberFormat="1" applyFont="1" applyFill="1" applyBorder="1" applyAlignment="1">
      <x:alignment vertical="top" wrapText="1"/>
    </x:xf>
    <x:xf numFmtId="0" fontId="8" fillId="0" borderId="0" xfId="0" applyNumberFormat="1" applyFont="1" applyFill="1" applyBorder="1" applyAlignment="1">
      <x:alignment vertical="top"/>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2" borderId="4" xfId="0" applyNumberFormat="1" applyFont="1" applyFill="1" applyBorder="1" applyAlignment="1">
      <x:alignment horizontal="center" vertical="top" wrapText="1"/>
    </x:xf>
    <x:xf numFmtId="0" fontId="6" fillId="6" borderId="1"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5"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3d7e0160824feb" /><Relationship Type="http://schemas.openxmlformats.org/officeDocument/2006/relationships/theme" Target="/xl/theme/theme1.xml" Id="R0a45d0bd939d464e" /><Relationship Type="http://schemas.openxmlformats.org/officeDocument/2006/relationships/sharedStrings" Target="/xl/sharedStrings.xml" Id="Ra20d902c1e334966" /><Relationship Type="http://schemas.openxmlformats.org/officeDocument/2006/relationships/worksheet" Target="/xl/worksheets/sheet1.xml" Id="R2ec0062a40904302" /><Relationship Type="http://schemas.openxmlformats.org/officeDocument/2006/relationships/worksheet" Target="/xl/worksheets/sheet2.xml" Id="Ra622fefde3a845f8" /><Relationship Type="http://schemas.openxmlformats.org/officeDocument/2006/relationships/worksheet" Target="/xl/worksheets/sheet3.xml" Id="R97d1ae2e83204dc1" /><Relationship Type="http://schemas.openxmlformats.org/officeDocument/2006/relationships/worksheet" Target="/xl/worksheets/sheet4.xml" Id="R758f4a64b0674749" /><Relationship Type="http://schemas.openxmlformats.org/officeDocument/2006/relationships/worksheet" Target="/xl/worksheets/sheet5.xml" Id="R377df2321e5d413c" /><Relationship Type="http://schemas.openxmlformats.org/officeDocument/2006/relationships/worksheet" Target="/xl/worksheets/sheet6.xml" Id="R1698e08102de4233" /><Relationship Type="http://schemas.openxmlformats.org/officeDocument/2006/relationships/worksheet" Target="/xl/worksheets/sheet7.xml" Id="Rda7afb4f2b5c4129" /><Relationship Type="http://schemas.openxmlformats.org/officeDocument/2006/relationships/worksheet" Target="/xl/worksheets/sheet8.xml" Id="Rce70e0c9bab94761" /><Relationship Type="http://schemas.openxmlformats.org/officeDocument/2006/relationships/worksheet" Target="/xl/worksheets/sheet9.xml" Id="Rd06236a5e1164c62" /><Relationship Type="http://schemas.openxmlformats.org/officeDocument/2006/relationships/worksheet" Target="/xl/worksheets/sheet10.xml" Id="R376284a2f1764459" /><Relationship Type="http://schemas.openxmlformats.org/officeDocument/2006/relationships/worksheet" Target="/xl/worksheets/sheet11.xml" Id="R0d66a3de6cb5457f" /><Relationship Type="http://schemas.openxmlformats.org/officeDocument/2006/relationships/worksheet" Target="/xl/worksheets/sheet12.xml" Id="R60f412472afe43ca" /><Relationship Type="http://schemas.openxmlformats.org/officeDocument/2006/relationships/worksheet" Target="/xl/worksheets/sheet13.xml" Id="R105ab4bf50f841e9" /><Relationship Type="http://schemas.openxmlformats.org/officeDocument/2006/relationships/worksheet" Target="/xl/worksheets/sheet14.xml" Id="R71c9e3a0f68246a9" /><Relationship Type="http://schemas.openxmlformats.org/officeDocument/2006/relationships/worksheet" Target="/xl/worksheets/sheet15.xml" Id="R00fca05b72164121" /><Relationship Type="http://schemas.openxmlformats.org/officeDocument/2006/relationships/worksheet" Target="/xl/worksheets/sheet16.xml" Id="R08f704e894de4635" /><Relationship Type="http://schemas.openxmlformats.org/officeDocument/2006/relationships/worksheet" Target="/xl/worksheets/sheet17.xml" Id="R8d169d944ce94462" /><Relationship Type="http://schemas.openxmlformats.org/officeDocument/2006/relationships/worksheet" Target="/xl/worksheets/sheet18.xml" Id="R5dc0c22251d4497a" /><Relationship Type="http://schemas.openxmlformats.org/officeDocument/2006/relationships/worksheet" Target="/xl/worksheets/sheet19.xml" Id="Rf2e8542f0c3c41f0" /><Relationship Type="http://schemas.openxmlformats.org/officeDocument/2006/relationships/worksheet" Target="/xl/worksheets/sheet20.xml" Id="R88a35840e4ad44c0" /><Relationship Type="http://schemas.openxmlformats.org/officeDocument/2006/relationships/worksheet" Target="/xl/worksheets/sheet21.xml" Id="R9bdf2cf70aaf40f2" /><Relationship Type="http://schemas.openxmlformats.org/officeDocument/2006/relationships/worksheet" Target="/xl/worksheets/sheet22.xml" Id="R62614683551f4976" /><Relationship Type="http://schemas.openxmlformats.org/officeDocument/2006/relationships/worksheet" Target="/xl/worksheets/sheet23.xml" Id="Rf23ce791cb3f4d90" /><Relationship Type="http://schemas.openxmlformats.org/officeDocument/2006/relationships/worksheet" Target="/xl/worksheets/sheet24.xml" Id="Rf4495153b3dd4065" /><Relationship Type="http://schemas.openxmlformats.org/officeDocument/2006/relationships/worksheet" Target="/xl/worksheets/sheet25.xml" Id="R06c44b2b68474dd4" /><Relationship Type="http://schemas.openxmlformats.org/officeDocument/2006/relationships/worksheet" Target="/xl/worksheets/sheet26.xml" Id="R4a2bfd488c834d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9" hidden="0" customWidth="1"/>
    <x:col min="2" max="2" width="18" hidden="0" customWidth="1"/>
    <x:col min="3" max="3" width="17" hidden="0" customWidth="1"/>
    <x:col min="4" max="4" width="25" hidden="0" customWidth="1"/>
    <x:col min="5" max="5" width="58" hidden="0" customWidth="1"/>
  </x:cols>
  <x:sheetData>
    <x:row r="1" ht="29" customHeight="1">
      <x:c r="A1" s="72" t="str">
        <x:v>PCC-D1 district configuration</x:v>
      </x:c>
      <x:c r="B1" s="72"/>
      <x:c r="C1" s="72"/>
      <x:c r="D1" s="72"/>
      <x:c r="E1" s="72"/>
      <x:c r="F1" s="72"/>
      <x:c r="G1" s="72"/>
      <x:c r="H1" s="72"/>
      <x:c r="I1" s="72"/>
      <x:c r="J1" s="72"/>
    </x:row>
    <x:row r="2" ht="27" customHeight="1">
      <x:c r="A2" s="73" t="str">
        <x:v>Pass 30. A complete 1,000-person occupied unit tested against mass, volume, labor, installation and release.</x:v>
      </x:c>
      <x:c r="B2" s="73"/>
      <x:c r="C2" s="73"/>
      <x:c r="D2" s="73"/>
      <x:c r="E2" s="73"/>
      <x:c r="F2" s="73"/>
      <x:c r="G2" s="73"/>
      <x:c r="H2" s="73"/>
      <x:c r="I2" s="73"/>
      <x:c r="J2" s="73"/>
    </x:row>
    <x:row r="3">
      <x:c r="A3" s="74"/>
      <x:c r="B3" s="74"/>
      <x:c r="C3" s="74"/>
      <x:c r="D3" s="74"/>
      <x:c r="E3" s="74"/>
      <x:c r="F3" s="74"/>
      <x:c r="G3" s="74"/>
      <x:c r="H3" s="74"/>
      <x:c r="I3" s="74"/>
      <x:c r="J3" s="74"/>
    </x:row>
    <x:row r="4" ht="30" customHeight="1">
      <x:c r="A4" s="75" t="str">
        <x:v>Decision measure</x:v>
      </x:c>
      <x:c r="B4" s="76" t="str">
        <x:v>Result</x:v>
      </x:c>
      <x:c r="C4" s="76" t="str">
        <x:v>Unit</x:v>
      </x:c>
      <x:c r="D4" s="76" t="str">
        <x:v>Finding</x:v>
      </x:c>
      <x:c r="E4" s="77" t="str">
        <x:v>Consequence</x:v>
      </x:c>
      <x:c r="F4" s="74"/>
      <x:c r="G4" s="74"/>
      <x:c r="H4" s="74"/>
      <x:c r="I4" s="74"/>
      <x:c r="J4" s="74"/>
    </x:row>
    <x:row r="5" ht="43.20000076293945" hidden="0" customHeight="1">
      <x:c r="A5" s="28" t="str">
        <x:v>District occupied/support area</x:v>
      </x:c>
      <x:c r="B5" s="36" t="n">
        <x:f>'District Geometry'!C10</x:f>
        <x:v>7525.143</x:v>
      </x:c>
      <x:c r="C5" s="28" t="str">
        <x:v>m²</x:v>
      </x:c>
      <x:c r="D5" s="28" t="str">
        <x:v>fixed service geometry</x:v>
      </x:c>
      <x:c r="E5" s="28" t="str">
        <x:v>twenty 50-person bays plus support</x:v>
      </x:c>
      <x:c r="F5" s="74"/>
      <x:c r="G5" s="74"/>
      <x:c r="H5" s="74"/>
      <x:c r="I5" s="74"/>
      <x:c r="J5" s="74"/>
    </x:row>
    <x:row r="6" ht="43.20000076293945" hidden="0" customHeight="1">
      <x:c r="A6" s="27" t="str">
        <x:v>Current district shelter package</x:v>
      </x:c>
      <x:c r="B6" s="37" t="n">
        <x:f>'Mass Summary'!B22</x:f>
        <x:v>261.10886128000004</x:v>
      </x:c>
      <x:c r="C6" s="27" t="str">
        <x:v>t</x:v>
      </x:c>
      <x:c r="D6" s="27" t="str">
        <x:v>fails mass target</x:v>
      </x:c>
      <x:c r="E6" s="27" t="str">
        <x:v>complete-system screen</x:v>
      </x:c>
      <x:c r="F6" s="74"/>
      <x:c r="G6" s="74"/>
      <x:c r="H6" s="74"/>
      <x:c r="I6" s="74"/>
      <x:c r="J6" s="74"/>
    </x:row>
    <x:row r="7" ht="43.20000076293945" hidden="0" customHeight="1">
      <x:c r="A7" s="29" t="str">
        <x:v>Advanced district shelter package</x:v>
      </x:c>
      <x:c r="B7" s="38" t="n">
        <x:f>'Mass Summary'!C22</x:f>
        <x:v>156.76677007499998</x:v>
      </x:c>
      <x:c r="C7" s="29" t="str">
        <x:v>t</x:v>
      </x:c>
      <x:c r="D7" s="29" t="str">
        <x:v>fails mass target</x:v>
      </x:c>
      <x:c r="E7" s="29" t="str">
        <x:v>development path</x:v>
      </x:c>
      <x:c r="F7" s="74"/>
      <x:c r="G7" s="74"/>
      <x:c r="H7" s="74"/>
      <x:c r="I7" s="74"/>
      <x:c r="J7" s="74"/>
    </x:row>
    <x:row r="8" ht="43.20000076293945" hidden="0" customHeight="1">
      <x:c r="A8" s="27" t="str">
        <x:v>Transform district shelter package</x:v>
      </x:c>
      <x:c r="B8" s="37" t="n">
        <x:f>'Mass Summary'!D22</x:f>
        <x:v>78.707674864</x:v>
      </x:c>
      <x:c r="C8" s="27" t="str">
        <x:v>t</x:v>
      </x:c>
      <x:c r="D8" s="27" t="str">
        <x:v>still fails</x:v>
      </x:c>
      <x:c r="E8" s="27" t="str">
        <x:v>research path</x:v>
      </x:c>
      <x:c r="F8" s="74"/>
      <x:c r="G8" s="74"/>
      <x:c r="H8" s="74"/>
      <x:c r="I8" s="74"/>
      <x:c r="J8" s="74"/>
    </x:row>
    <x:row r="9" ht="32.400001525878906" hidden="0" customHeight="1">
      <x:c r="A9" s="29" t="str">
        <x:v>Pass 29 transform budget</x:v>
      </x:c>
      <x:c r="B9" s="38" t="n">
        <x:f>'Controls'!B31/'Controls'!B6</x:f>
        <x:v>26.050286</x:v>
      </x:c>
      <x:c r="C9" s="29" t="str">
        <x:v>t/district</x:v>
      </x:c>
      <x:c r="D9" s="29" t="str">
        <x:v>superseded</x:v>
      </x:c>
      <x:c r="E9" s="29" t="str">
        <x:v>26.05 kg/person</x:v>
      </x:c>
      <x:c r="F9" s="74"/>
      <x:c r="G9" s="74"/>
      <x:c r="H9" s="74"/>
      <x:c r="I9" s="74"/>
      <x:c r="J9" s="74"/>
    </x:row>
    <x:row r="10" ht="32.400001525878906" hidden="0" customHeight="1">
      <x:c r="A10" s="27" t="str">
        <x:v>Air-compatible district budget</x:v>
      </x:c>
      <x:c r="B10" s="37" t="n">
        <x:f>('Controls'!B32-'Controls'!B30+'Controls'!B31)/'Controls'!B6</x:f>
        <x:v>30.66120000000001</x:v>
      </x:c>
      <x:c r="C10" s="27" t="str">
        <x:v>t/district</x:v>
      </x:c>
      <x:c r="D10" s="27" t="str">
        <x:v>mission ceiling</x:v>
      </x:c>
      <x:c r="E10" s="27" t="str">
        <x:v>after other transform burdens</x:v>
      </x:c>
      <x:c r="F10" s="74"/>
      <x:c r="G10" s="74"/>
      <x:c r="H10" s="74"/>
      <x:c r="I10" s="74"/>
      <x:c r="J10" s="74"/>
    </x:row>
    <x:row r="11" ht="32.400001525878906" hidden="0" customHeight="1">
      <x:c r="A11" s="29" t="str">
        <x:v>Transform packed volume</x:v>
      </x:c>
      <x:c r="B11" s="38" t="n">
        <x:f>'Packed Volume'!K33</x:f>
        <x:v>446.60057053417904</x:v>
      </x:c>
      <x:c r="C11" s="29" t="str">
        <x:v>m³/district</x:v>
      </x:c>
      <x:c r="D11" s="29" t="str">
        <x:v>volume significant</x:v>
      </x:c>
      <x:c r="E11" s="29" t="str">
        <x:v>approximately 25 air positions</x:v>
      </x:c>
      <x:c r="F11" s="74"/>
      <x:c r="G11" s="74"/>
      <x:c r="H11" s="74"/>
      <x:c r="I11" s="74"/>
      <x:c r="J11" s="74"/>
    </x:row>
    <x:row r="12" ht="32.400001525878906" hidden="0" customHeight="1">
      <x:c r="A12" s="27" t="str">
        <x:v>Transform install critical path</x:v>
      </x:c>
      <x:c r="B12" s="37" t="n">
        <x:f>'Install Network'!H19</x:f>
        <x:v>27</x:v>
      </x:c>
      <x:c r="C12" s="27" t="str">
        <x:v>hours</x:v>
      </x:c>
      <x:c r="D12" s="27" t="str">
        <x:v>before occupied release</x:v>
      </x:c>
      <x:c r="E12" s="27" t="str">
        <x:v>assumes supplied/released site</x:v>
      </x:c>
      <x:c r="F12" s="74"/>
      <x:c r="G12" s="74"/>
      <x:c r="H12" s="74"/>
      <x:c r="I12" s="74"/>
      <x:c r="J12" s="74"/>
    </x:row>
    <x:row r="13" ht="43.20000076293945" hidden="0" customHeight="1">
      <x:c r="A13" s="29" t="str">
        <x:v>Transform PCC-50 peak builders</x:v>
      </x:c>
      <x:c r="B13" s="38" t="n">
        <x:f>'Install Scenarios'!G13</x:f>
        <x:v>2000</x:v>
      </x:c>
      <x:c r="C13" s="29" t="str">
        <x:v>people</x:v>
      </x:c>
      <x:c r="D13" s="29" t="str">
        <x:v>new force burden</x:v>
      </x:c>
      <x:c r="E13" s="29" t="str">
        <x:v>fifty concurrent teams</x:v>
      </x:c>
      <x:c r="F13" s="74"/>
      <x:c r="G13" s="74"/>
      <x:c r="H13" s="74"/>
      <x:c r="I13" s="74"/>
      <x:c r="J13" s="74"/>
    </x:row>
    <x:row r="14" ht="32.400001525878906" hidden="0" customHeight="1">
      <x:c r="A14" s="27" t="str">
        <x:v>Transform pod after propagation</x:v>
      </x:c>
      <x:c r="B14" s="37" t="n">
        <x:f>'Pod Propagation'!F7</x:f>
        <x:v>14451.073743199999</x:v>
      </x:c>
      <x:c r="C14" s="27" t="str">
        <x:v>t</x:v>
      </x:c>
      <x:c r="D14" s="27" t="str">
        <x:v>fails air/offshore ceiling</x:v>
      </x:c>
      <x:c r="E14" s="27" t="str">
        <x:v>district detail replaces shelter line</x:v>
      </x:c>
      <x:c r="F14" s="74"/>
      <x:c r="G14" s="74"/>
      <x:c r="H14" s="74"/>
      <x:c r="I14" s="74"/>
      <x:c r="J14" s="74"/>
    </x:row>
    <x:row r="15" ht="32.400001525878906" hidden="0" customHeight="1">
      <x:c r="A15" s="29" t="str">
        <x:v>Worst tenth cargo completion</x:v>
      </x:c>
      <x:c r="B15" s="38" t="n">
        <x:f>'Pod Propagation'!K7</x:f>
        <x:v>81.51897947664884</x:v>
      </x:c>
      <x:c r="C15" s="29" t="str">
        <x:v>hour</x:v>
      </x:c>
      <x:c r="D15" s="29" t="str">
        <x:v>fails hour 72</x:v>
      </x:c>
      <x:c r="E15" s="29" t="str">
        <x:v>both upland cells lost</x:v>
      </x:c>
      <x:c r="F15" s="74"/>
      <x:c r="G15" s="74"/>
      <x:c r="H15" s="74"/>
      <x:c r="I15" s="74"/>
      <x:c r="J15" s="74"/>
    </x:row>
    <x:row r="16" ht="43.20000076293945" hidden="0" customHeight="1">
      <x:c r="A16" s="27" t="str">
        <x:v>Prepared receiver pod</x:v>
      </x:c>
      <x:c r="B16" s="37" t="n">
        <x:f>'Pod Propagation'!F8</x:f>
        <x:v>11302.766748639999</x:v>
      </x:c>
      <x:c r="C16" s="27" t="str">
        <x:v>t</x:v>
      </x:c>
      <x:c r="D16" s="27" t="str">
        <x:v>dependency-bounded candidate</x:v>
      </x:c>
      <x:c r="E16" s="27" t="str">
        <x:v>requires maintained receiving lattice</x:v>
      </x:c>
      <x:c r="F16" s="74"/>
      <x:c r="G16" s="74"/>
      <x:c r="H16" s="74"/>
      <x:c r="I16" s="74"/>
      <x:c r="J16" s="74"/>
    </x:row>
    <x:row r="17" ht="32.400001525878906" hidden="0" customHeight="1">
      <x:c r="A17" s="29" t="str">
        <x:v>Open district evidence gates</x:v>
      </x:c>
      <x:c r="B17" s="38" t="n">
        <x:f>COUNTIF('Evidence Gates'!F5:F19,"OPEN")</x:f>
        <x:v>15</x:v>
      </x:c>
      <x:c r="C17" s="29" t="str">
        <x:v>count</x:v>
      </x:c>
      <x:c r="D17" s="29" t="str">
        <x:v>R2+ only</x:v>
      </x:c>
      <x:c r="E17" s="29" t="str">
        <x:v>rendering blocked</x:v>
      </x:c>
      <x:c r="F17" s="74"/>
      <x:c r="G17" s="74"/>
      <x:c r="H17" s="74"/>
      <x:c r="I17" s="74"/>
      <x:c r="J17" s="74"/>
    </x:row>
    <x:row r="18">
      <x:c r="A18" s="74"/>
      <x:c r="B18" s="74"/>
      <x:c r="C18" s="74"/>
      <x:c r="D18" s="74"/>
      <x:c r="E18" s="74"/>
      <x:c r="F18" s="74"/>
      <x:c r="G18" s="74"/>
      <x:c r="H18" s="74"/>
      <x:c r="I18" s="74"/>
      <x:c r="J18" s="74"/>
    </x:row>
    <x:row r="19" ht="23" customHeight="1">
      <x:c r="A19" s="78" t="str">
        <x:v>Decision</x:v>
      </x:c>
      <x:c r="B19" s="78"/>
      <x:c r="C19" s="78"/>
      <x:c r="D19" s="78"/>
      <x:c r="E19" s="78"/>
      <x:c r="F19" s="74"/>
      <x:c r="G19" s="74"/>
      <x:c r="H19" s="74"/>
      <x:c r="I19" s="74"/>
      <x:c r="J19" s="74"/>
    </x:row>
    <x:row r="20" ht="38" customHeight="1">
      <x:c r="A20" s="79" t="str">
        <x:v>The detailed district invalidates the remaining lightweight shelter target.</x:v>
      </x:c>
      <x:c r="B20" s="79"/>
      <x:c r="C20" s="79"/>
      <x:c r="D20" s="79"/>
      <x:c r="E20" s="79"/>
      <x:c r="F20" s="74"/>
      <x:c r="G20" s="74"/>
      <x:c r="H20" s="74"/>
      <x:c r="I20" s="74"/>
      <x:c r="J20" s="74"/>
    </x:row>
    <x:row r="21" ht="38" customHeight="1">
      <x:c r="A21" s="79" t="str">
        <x:v>Even the transformational bill of material is 78.71 t/district, roughly three times the 26.05-t Pass 29 target and more than twice the 30.66-t air-compatible budget after other services are counted.</x:v>
      </x:c>
      <x:c r="B21" s="79"/>
      <x:c r="C21" s="79"/>
      <x:c r="D21" s="79"/>
      <x:c r="E21" s="79"/>
      <x:c r="F21" s="74"/>
      <x:c r="G21" s="74"/>
      <x:c r="H21" s="74"/>
      <x:c r="I21" s="74"/>
      <x:c r="J21" s="74"/>
    </x:row>
    <x:row r="22" ht="38" customHeight="1">
      <x:c r="A22" s="79" t="str">
        <x:v>The force must combine prepared receiving capacity, a larger/faster movement architecture, a narrower service contract, or material/installation breakthroughs beyond the current transformational screen.</x:v>
      </x:c>
      <x:c r="B22" s="79"/>
      <x:c r="C22" s="79"/>
      <x:c r="D22" s="79"/>
      <x:c r="E22" s="79"/>
      <x:c r="F22" s="74"/>
      <x:c r="G22" s="74"/>
      <x:c r="H22" s="74"/>
      <x:c r="I22" s="74"/>
      <x:c r="J22" s="74"/>
    </x:row>
    <x:row r="23" ht="38" customHeight="1">
      <x:c r="A23" s="80" t="str">
        <x:v>Cargo arrival is not occupied service. The final district must be constructed, commissioned and released; perfect pipelining is an optimistic lower bound, not automatic credit.</x:v>
      </x:c>
      <x:c r="B23" s="80"/>
      <x:c r="C23" s="80"/>
      <x:c r="D23" s="80"/>
      <x:c r="E23" s="80"/>
      <x:c r="F23" s="74"/>
      <x:c r="G23" s="74"/>
      <x:c r="H23" s="74"/>
      <x:c r="I23" s="74"/>
      <x:c r="J23" s="74"/>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8" hidden="0" customWidth="1"/>
    <x:col min="2" max="2" width="17" hidden="0" customWidth="1"/>
    <x:col min="3" max="3" width="19" hidden="0" customWidth="1"/>
    <x:col min="4" max="4" width="22" hidden="0" customWidth="1"/>
    <x:col min="5" max="5" width="45" hidden="0" customWidth="1"/>
  </x:cols>
  <x:sheetData>
    <x:row r="1" ht="29" customHeight="1">
      <x:c r="A1" s="72" t="str">
        <x:v>District model controls</x:v>
      </x:c>
      <x:c r="B1" s="72"/>
      <x:c r="C1" s="72"/>
      <x:c r="D1" s="72"/>
      <x:c r="E1" s="72"/>
    </x:row>
    <x:row r="2" ht="27" customHeight="1">
      <x:c r="A2" s="73" t="str">
        <x:v>One 1,000-person district inside the PCC-50. Yellow cells are editable hypotheses.</x:v>
      </x:c>
      <x:c r="B2" s="73"/>
      <x:c r="C2" s="73"/>
      <x:c r="D2" s="73"/>
      <x:c r="E2" s="73"/>
    </x:row>
    <x:row r="3">
      <x:c r="A3" s="74"/>
      <x:c r="B3" s="74"/>
      <x:c r="C3" s="74"/>
      <x:c r="D3" s="74"/>
      <x:c r="E3" s="74"/>
    </x:row>
    <x:row r="4" ht="30" customHeight="1">
      <x:c r="A4" s="75" t="str">
        <x:v>Control</x:v>
      </x:c>
      <x:c r="B4" s="76" t="str">
        <x:v>Value</x:v>
      </x:c>
      <x:c r="C4" s="76" t="str">
        <x:v>Unit</x:v>
      </x:c>
      <x:c r="D4" s="76" t="str">
        <x:v>Evidence class</x:v>
      </x:c>
      <x:c r="E4" s="77" t="str">
        <x:v>Use</x:v>
      </x:c>
    </x:row>
    <x:row r="5" ht="21.600000381469727" hidden="0" customHeight="1">
      <x:c r="A5" s="28" t="str">
        <x:v>Residents</x:v>
      </x:c>
      <x:c r="B5" s="30" t="n">
        <x:v>1000</x:v>
      </x:c>
      <x:c r="C5" s="28" t="str">
        <x:v>people</x:v>
      </x:c>
      <x:c r="D5" s="28" t="str">
        <x:v>contract</x:v>
      </x:c>
      <x:c r="E5" s="28" t="str">
        <x:v>protected cohort</x:v>
      </x:c>
    </x:row>
    <x:row r="6" ht="21.600000381469727" hidden="0" customHeight="1">
      <x:c r="A6" s="27" t="str">
        <x:v>Districts per pod</x:v>
      </x:c>
      <x:c r="B6" s="31" t="n">
        <x:v>50</x:v>
      </x:c>
      <x:c r="C6" s="27" t="str">
        <x:v>districts</x:v>
      </x:c>
      <x:c r="D6" s="27" t="str">
        <x:v>Pass 29</x:v>
      </x:c>
      <x:c r="E6" s="27" t="str">
        <x:v>PCC-50 multiplication</x:v>
      </x:c>
    </x:row>
    <x:row r="7" ht="32.400001525878906" hidden="0" customHeight="1">
      <x:c r="A7" s="29" t="str">
        <x:v>Standard resident share</x:v>
      </x:c>
      <x:c r="B7" s="32" t="n">
        <x:v>0.8</x:v>
      </x:c>
      <x:c r="C7" s="29" t="str">
        <x:v>fraction</x:v>
      </x:c>
      <x:c r="D7" s="29" t="str">
        <x:v>assumption</x:v>
      </x:c>
      <x:c r="E7" s="29" t="str">
        <x:v>geometry</x:v>
      </x:c>
    </x:row>
    <x:row r="8" ht="32.400001525878906" hidden="0" customHeight="1">
      <x:c r="A8" s="27" t="str">
        <x:v>Standard dormitory area</x:v>
      </x:c>
      <x:c r="B8" s="32" t="n">
        <x:v>50</x:v>
      </x:c>
      <x:c r="C8" s="27" t="str">
        <x:v>ft²/person</x:v>
      </x:c>
      <x:c r="D8" s="27" t="str">
        <x:v>FEMA/OSHA analogue</x:v>
      </x:c>
      <x:c r="E8" s="27" t="str">
        <x:v>geometry</x:v>
      </x:c>
    </x:row>
    <x:row r="9" ht="32.400001525878906" hidden="0" customHeight="1">
      <x:c r="A9" s="29" t="str">
        <x:v>Accessible resident share</x:v>
      </x:c>
      <x:c r="B9" s="32" t="n">
        <x:v>0.2</x:v>
      </x:c>
      <x:c r="C9" s="29" t="str">
        <x:v>fraction</x:v>
      </x:c>
      <x:c r="D9" s="29" t="str">
        <x:v>assumption</x:v>
      </x:c>
      <x:c r="E9" s="29" t="str">
        <x:v>geometry</x:v>
      </x:c>
    </x:row>
    <x:row r="10" ht="32.400001525878906" hidden="0" customHeight="1">
      <x:c r="A10" s="27" t="str">
        <x:v>Accessible dormitory area</x:v>
      </x:c>
      <x:c r="B10" s="32" t="n">
        <x:v>100</x:v>
      </x:c>
      <x:c r="C10" s="27" t="str">
        <x:v>ft²/person</x:v>
      </x:c>
      <x:c r="D10" s="27" t="str">
        <x:v>FEMA anchor</x:v>
      </x:c>
      <x:c r="E10" s="27" t="str">
        <x:v>geometry</x:v>
      </x:c>
    </x:row>
    <x:row r="11" ht="21.600000381469727" hidden="0" customHeight="1">
      <x:c r="A11" s="29" t="str">
        <x:v>Support area factor</x:v>
      </x:c>
      <x:c r="B11" s="32" t="n">
        <x:v>0.35</x:v>
      </x:c>
      <x:c r="C11" s="29" t="str">
        <x:v>share of dorm</x:v>
      </x:c>
      <x:c r="D11" s="29" t="str">
        <x:v>assumption</x:v>
      </x:c>
      <x:c r="E11" s="29" t="str">
        <x:v>geometry</x:v>
      </x:c>
    </x:row>
    <x:row r="12" ht="21.600000381469727" hidden="0" customHeight="1">
      <x:c r="A12" s="27" t="str">
        <x:v>Surface-area factor</x:v>
      </x:c>
      <x:c r="B12" s="32" t="n">
        <x:v>1.25</x:v>
      </x:c>
      <x:c r="C12" s="27" t="str">
        <x:v>surface/floor</x:v>
      </x:c>
      <x:c r="D12" s="27" t="str">
        <x:v>assumption</x:v>
      </x:c>
      <x:c r="E12" s="27" t="str">
        <x:v>envelope</x:v>
      </x:c>
    </x:row>
    <x:row r="13" ht="21.600000381469727" hidden="0" customHeight="1">
      <x:c r="A13" s="29" t="str">
        <x:v>Current spares</x:v>
      </x:c>
      <x:c r="B13" s="32" t="n">
        <x:v>0.06</x:v>
      </x:c>
      <x:c r="C13" s="29" t="str">
        <x:v>share</x:v>
      </x:c>
      <x:c r="D13" s="29" t="str">
        <x:v>assumption</x:v>
      </x:c>
      <x:c r="E13" s="29" t="str">
        <x:v>mass</x:v>
      </x:c>
    </x:row>
    <x:row r="14" ht="32.400001525878906" hidden="0" customHeight="1">
      <x:c r="A14" s="27" t="str">
        <x:v>Current packaging/restraint</x:v>
      </x:c>
      <x:c r="B14" s="32" t="n">
        <x:v>0.12</x:v>
      </x:c>
      <x:c r="C14" s="27" t="str">
        <x:v>share</x:v>
      </x:c>
      <x:c r="D14" s="27" t="str">
        <x:v>assumption</x:v>
      </x:c>
      <x:c r="E14" s="27" t="str">
        <x:v>mass/volume</x:v>
      </x:c>
    </x:row>
    <x:row r="15" ht="21.600000381469727" hidden="0" customHeight="1">
      <x:c r="A15" s="29" t="str">
        <x:v>Advanced spares</x:v>
      </x:c>
      <x:c r="B15" s="32" t="n">
        <x:v>0.05</x:v>
      </x:c>
      <x:c r="C15" s="29" t="str">
        <x:v>share</x:v>
      </x:c>
      <x:c r="D15" s="29" t="str">
        <x:v>assumption</x:v>
      </x:c>
      <x:c r="E15" s="29" t="str">
        <x:v>mass</x:v>
      </x:c>
    </x:row>
    <x:row r="16" ht="32.400001525878906" hidden="0" customHeight="1">
      <x:c r="A16" s="27" t="str">
        <x:v>Advanced packaging/restraint</x:v>
      </x:c>
      <x:c r="B16" s="32" t="n">
        <x:v>0.1</x:v>
      </x:c>
      <x:c r="C16" s="27" t="str">
        <x:v>share</x:v>
      </x:c>
      <x:c r="D16" s="27" t="str">
        <x:v>assumption</x:v>
      </x:c>
      <x:c r="E16" s="27" t="str">
        <x:v>mass/volume</x:v>
      </x:c>
    </x:row>
    <x:row r="17" ht="21.600000381469727" hidden="0" customHeight="1">
      <x:c r="A17" s="29" t="str">
        <x:v>Transform spares</x:v>
      </x:c>
      <x:c r="B17" s="32" t="n">
        <x:v>0.04</x:v>
      </x:c>
      <x:c r="C17" s="29" t="str">
        <x:v>share</x:v>
      </x:c>
      <x:c r="D17" s="29" t="str">
        <x:v>research target</x:v>
      </x:c>
      <x:c r="E17" s="29" t="str">
        <x:v>mass</x:v>
      </x:c>
    </x:row>
    <x:row r="18" ht="32.400001525878906" hidden="0" customHeight="1">
      <x:c r="A18" s="27" t="str">
        <x:v>Transform packaging/restraint</x:v>
      </x:c>
      <x:c r="B18" s="32" t="n">
        <x:v>0.08</x:v>
      </x:c>
      <x:c r="C18" s="27" t="str">
        <x:v>share</x:v>
      </x:c>
      <x:c r="D18" s="27" t="str">
        <x:v>research target</x:v>
      </x:c>
      <x:c r="E18" s="27" t="str">
        <x:v>mass/volume</x:v>
      </x:c>
    </x:row>
    <x:row r="19" ht="21.600000381469727" hidden="0" customHeight="1">
      <x:c r="A19" s="29" t="str">
        <x:v>Air pallet mass limit</x:v>
      </x:c>
      <x:c r="B19" s="31" t="n">
        <x:v>4.536</x:v>
      </x:c>
      <x:c r="C19" s="29" t="str">
        <x:v>t</x:v>
      </x:c>
      <x:c r="D19" s="29" t="str">
        <x:v>DTR analogue</x:v>
      </x:c>
      <x:c r="E19" s="29" t="str">
        <x:v>load positions</x:v>
      </x:c>
    </x:row>
    <x:row r="20" ht="32.400001525878906" hidden="0" customHeight="1">
      <x:c r="A20" s="27" t="str">
        <x:v>Air pallet usable volume</x:v>
      </x:c>
      <x:c r="B20" s="31" t="n">
        <x:v>18</x:v>
      </x:c>
      <x:c r="C20" s="27" t="str">
        <x:v>m³</x:v>
      </x:c>
      <x:c r="D20" s="27" t="str">
        <x:v>planning assumption</x:v>
      </x:c>
      <x:c r="E20" s="27" t="str">
        <x:v>load positions</x:v>
      </x:c>
    </x:row>
    <x:row r="21" ht="21.600000381469727" hidden="0" customHeight="1">
      <x:c r="A21" s="29" t="str">
        <x:v>40-ft position mass limit</x:v>
      </x:c>
      <x:c r="B21" s="31" t="n">
        <x:v>26</x:v>
      </x:c>
      <x:c r="C21" s="29" t="str">
        <x:v>t</x:v>
      </x:c>
      <x:c r="D21" s="29" t="str">
        <x:v>planning assumption</x:v>
      </x:c>
      <x:c r="E21" s="29" t="str">
        <x:v>load positions</x:v>
      </x:c>
    </x:row>
    <x:row r="22" ht="21.600000381469727" hidden="0" customHeight="1">
      <x:c r="A22" s="27" t="str">
        <x:v>40-ft usable volume</x:v>
      </x:c>
      <x:c r="B22" s="31" t="n">
        <x:v>67</x:v>
      </x:c>
      <x:c r="C22" s="27" t="str">
        <x:v>m³</x:v>
      </x:c>
      <x:c r="D22" s="27" t="str">
        <x:v>planning assumption</x:v>
      </x:c>
      <x:c r="E22" s="27" t="str">
        <x:v>load positions</x:v>
      </x:c>
    </x:row>
    <x:row r="23" ht="32.400001525878906" hidden="0" customHeight="1">
      <x:c r="A23" s="29" t="str">
        <x:v>Districts installed concurrently</x:v>
      </x:c>
      <x:c r="B23" s="31" t="n">
        <x:v>50</x:v>
      </x:c>
      <x:c r="C23" s="29" t="str">
        <x:v>teams</x:v>
      </x:c>
      <x:c r="D23" s="29" t="str">
        <x:v>target</x:v>
      </x:c>
      <x:c r="E23" s="29" t="str">
        <x:v>release timing</x:v>
      </x:c>
    </x:row>
    <x:row r="24" ht="32.400001525878906" hidden="0" customHeight="1">
      <x:c r="A24" s="27" t="str">
        <x:v>Current install crew/team</x:v>
      </x:c>
      <x:c r="B24" s="31" t="n">
        <x:v>70</x:v>
      </x:c>
      <x:c r="C24" s="27" t="str">
        <x:v>people</x:v>
      </x:c>
      <x:c r="D24" s="27" t="str">
        <x:v>task screen</x:v>
      </x:c>
      <x:c r="E24" s="27" t="str">
        <x:v>workforce</x:v>
      </x:c>
    </x:row>
    <x:row r="25" ht="32.400001525878906" hidden="0" customHeight="1">
      <x:c r="A25" s="29" t="str">
        <x:v>Advanced install crew/team</x:v>
      </x:c>
      <x:c r="B25" s="31" t="n">
        <x:v>60</x:v>
      </x:c>
      <x:c r="C25" s="29" t="str">
        <x:v>people</x:v>
      </x:c>
      <x:c r="D25" s="29" t="str">
        <x:v>task screen</x:v>
      </x:c>
      <x:c r="E25" s="29" t="str">
        <x:v>workforce</x:v>
      </x:c>
    </x:row>
    <x:row r="26" ht="32.400001525878906" hidden="0" customHeight="1">
      <x:c r="A26" s="27" t="str">
        <x:v>Transform install crew/team</x:v>
      </x:c>
      <x:c r="B26" s="31" t="n">
        <x:v>40</x:v>
      </x:c>
      <x:c r="C26" s="27" t="str">
        <x:v>people</x:v>
      </x:c>
      <x:c r="D26" s="27" t="str">
        <x:v>task screen</x:v>
      </x:c>
      <x:c r="E26" s="27" t="str">
        <x:v>workforce</x:v>
      </x:c>
    </x:row>
    <x:row r="27" ht="32.400001525878906" hidden="0" customHeight="1">
      <x:c r="A27" s="29" t="str">
        <x:v>Crew reuse with operations</x:v>
      </x:c>
      <x:c r="B27" s="31" t="n">
        <x:v>0.5</x:v>
      </x:c>
      <x:c r="C27" s="29" t="str">
        <x:v>fraction</x:v>
      </x:c>
      <x:c r="D27" s="29" t="str">
        <x:v>assumption</x:v>
      </x:c>
      <x:c r="E27" s="29" t="str">
        <x:v>peak unique workforce</x:v>
      </x:c>
    </x:row>
    <x:row r="28" ht="32.400001525878906" hidden="0" customHeight="1">
      <x:c r="A28" s="27" t="str">
        <x:v>Pass 29 independent pod mass</x:v>
      </x:c>
      <x:c r="B28" s="31" t="n">
        <x:v>15152.861475</x:v>
      </x:c>
      <x:c r="C28" s="27" t="str">
        <x:v>t</x:v>
      </x:c>
      <x:c r="D28" s="27" t="str">
        <x:v>Pass 29</x:v>
      </x:c>
      <x:c r="E28" s="27" t="str">
        <x:v>propagation base</x:v>
      </x:c>
    </x:row>
    <x:row r="29" ht="32.400001525878906" hidden="0" customHeight="1">
      <x:c r="A29" s="29" t="str">
        <x:v>Pass 29 independent shelter mass</x:v>
      </x:c>
      <x:c r="B29" s="31" t="n">
        <x:v>3545.671475</x:v>
      </x:c>
      <x:c r="C29" s="29" t="str">
        <x:v>t</x:v>
      </x:c>
      <x:c r="D29" s="29" t="str">
        <x:v>Pass 29</x:v>
      </x:c>
      <x:c r="E29" s="29" t="str">
        <x:v>replacement base</x:v>
      </x:c>
    </x:row>
    <x:row r="30" ht="32.400001525878906" hidden="0" customHeight="1">
      <x:c r="A30" s="27" t="str">
        <x:v>Pass 29 transform pod mass</x:v>
      </x:c>
      <x:c r="B30" s="31" t="n">
        <x:v>11818.2043</x:v>
      </x:c>
      <x:c r="C30" s="27" t="str">
        <x:v>t</x:v>
      </x:c>
      <x:c r="D30" s="27" t="str">
        <x:v>Pass 29</x:v>
      </x:c>
      <x:c r="E30" s="27" t="str">
        <x:v>technology base</x:v>
      </x:c>
    </x:row>
    <x:row r="31" ht="32.400001525878906" hidden="0" customHeight="1">
      <x:c r="A31" s="29" t="str">
        <x:v>Pass 29 transform shelter mass</x:v>
      </x:c>
      <x:c r="B31" s="31" t="n">
        <x:v>1302.5143</x:v>
      </x:c>
      <x:c r="C31" s="29" t="str">
        <x:v>t</x:v>
      </x:c>
      <x:c r="D31" s="29" t="str">
        <x:v>Pass 29</x:v>
      </x:c>
      <x:c r="E31" s="29" t="str">
        <x:v>replacement base</x:v>
      </x:c>
    </x:row>
    <x:row r="32" ht="21.600000381469727" hidden="0" customHeight="1">
      <x:c r="A32" s="27" t="str">
        <x:v>Air pod mass ceiling</x:v>
      </x:c>
      <x:c r="B32" s="31" t="n">
        <x:v>12048.75</x:v>
      </x:c>
      <x:c r="C32" s="27" t="str">
        <x:v>t</x:v>
      </x:c>
      <x:c r="D32" s="27" t="str">
        <x:v>Pass 29</x:v>
      </x:c>
      <x:c r="E32" s="27" t="str">
        <x:v>hour-72 discriminator</x:v>
      </x:c>
    </x:row>
    <x:row r="33" ht="21.600000381469727" hidden="0" customHeight="1">
      <x:c r="A33" s="29" t="str">
        <x:v>Offshore pod mass ceiling</x:v>
      </x:c>
      <x:c r="B33" s="31" t="n">
        <x:v>11781</x:v>
      </x:c>
      <x:c r="C33" s="29" t="str">
        <x:v>t</x:v>
      </x:c>
      <x:c r="D33" s="29" t="str">
        <x:v>Pass 29</x:v>
      </x:c>
      <x:c r="E33" s="29" t="str">
        <x:v>hour-72 discriminator</x:v>
      </x:c>
    </x:row>
    <x:row r="34" ht="21.600000381469727" hidden="0" customHeight="1">
      <x:c r="A34" s="27" t="str">
        <x:v>Air net throughput</x:v>
      </x:c>
      <x:c r="B34" s="31" t="n">
        <x:v>669.375</x:v>
      </x:c>
      <x:c r="C34" s="27" t="str">
        <x:v>t/h/cell</x:v>
      </x:c>
      <x:c r="D34" s="27" t="str">
        <x:v>Pass 27</x:v>
      </x:c>
      <x:c r="E34" s="27" t="str">
        <x:v>timing</x:v>
      </x:c>
    </x:row>
    <x:row r="35" ht="21.600000381469727" hidden="0" customHeight="1">
      <x:c r="A35" s="29" t="str">
        <x:v>Offshore net throughput</x:v>
      </x:c>
      <x:c r="B35" s="31" t="n">
        <x:v>841.5</x:v>
      </x:c>
      <x:c r="C35" s="29" t="str">
        <x:v>t/h/cell</x:v>
      </x:c>
      <x:c r="D35" s="29" t="str">
        <x:v>Pass 27</x:v>
      </x:c>
      <x:c r="E35" s="29" t="str">
        <x:v>timing</x:v>
      </x:c>
    </x:row>
    <x:row r="36" ht="15" hidden="0" customHeight="1">
      <x:c r="A36" s="27" t="str">
        <x:v>Air activation</x:v>
      </x:c>
      <x:c r="B36" s="31" t="n">
        <x:v>18</x:v>
      </x:c>
      <x:c r="C36" s="27" t="str">
        <x:v>hour</x:v>
      </x:c>
      <x:c r="D36" s="27" t="str">
        <x:v>Pass 27</x:v>
      </x:c>
      <x:c r="E36" s="27" t="str">
        <x:v>timing</x:v>
      </x:c>
    </x:row>
    <x:row r="37" ht="21.600000381469727" hidden="0" customHeight="1">
      <x:c r="A37" s="29" t="str">
        <x:v>Offshore activation</x:v>
      </x:c>
      <x:c r="B37" s="31" t="n">
        <x:v>30</x:v>
      </x:c>
      <x:c r="C37" s="29" t="str">
        <x:v>hour</x:v>
      </x:c>
      <x:c r="D37" s="29" t="str">
        <x:v>Pass 27</x:v>
      </x:c>
      <x:c r="E37" s="29" t="str">
        <x:v>timing</x:v>
      </x:c>
    </x:row>
    <x:row r="38" ht="21.600000381469727" hidden="0" customHeight="1">
      <x:c r="A38" s="27" t="str">
        <x:v>Rendering authorization</x:v>
      </x:c>
      <x:c r="B38" s="31" t="n">
        <x:v>0</x:v>
      </x:c>
      <x:c r="C38" s="27" t="str">
        <x:v>0=no</x:v>
      </x:c>
      <x:c r="D38" s="27" t="str">
        <x:v>open gate</x:v>
      </x:c>
      <x:c r="E38" s="27" t="str">
        <x:v>no imagery</x:v>
      </x:c>
    </x:row>
    <x:row r="39">
      <x:c r="A39" s="74"/>
      <x:c r="B39" s="74"/>
      <x:c r="C39" s="74"/>
      <x:c r="D39" s="74"/>
      <x:c r="E39" s="74"/>
    </x:row>
    <x:row r="40" ht="32" customHeight="1">
      <x:c r="A40" s="81" t="str">
        <x:v>This workbook distinguishes current analogues, advanced assumptions and transformational research targets. It does not certify any shelter product or code compliance.</x:v>
      </x:c>
      <x:c r="B40" s="81"/>
      <x:c r="C40" s="81"/>
      <x:c r="D40" s="81"/>
      <x:c r="E40" s="81"/>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34" hidden="0" customWidth="1"/>
    <x:col min="3" max="3" width="17" hidden="0" customWidth="1"/>
    <x:col min="4" max="4" width="17" hidden="0" customWidth="1"/>
    <x:col min="5" max="5" width="17" hidden="0" customWidth="1"/>
    <x:col min="6" max="6" width="17" hidden="0" customWidth="1"/>
    <x:col min="7" max="7" width="20" hidden="0" customWidth="1"/>
    <x:col min="8" max="8" width="43" hidden="0" customWidth="1"/>
  </x:cols>
  <x:sheetData>
    <x:row r="1" ht="29" customHeight="1">
      <x:c r="A1" s="72" t="str">
        <x:v>District geometry</x:v>
      </x:c>
      <x:c r="B1" s="72"/>
      <x:c r="C1" s="72"/>
      <x:c r="D1" s="72"/>
      <x:c r="E1" s="72"/>
      <x:c r="F1" s="72"/>
      <x:c r="G1" s="72"/>
      <x:c r="H1" s="72"/>
    </x:row>
    <x:row r="2" ht="27" customHeight="1">
      <x:c r="A2" s="73" t="str">
        <x:v>Resident area, support functions and repeated shelter bays.</x:v>
      </x:c>
      <x:c r="B2" s="73"/>
      <x:c r="C2" s="73"/>
      <x:c r="D2" s="73"/>
      <x:c r="E2" s="73"/>
      <x:c r="F2" s="73"/>
      <x:c r="G2" s="73"/>
      <x:c r="H2" s="73"/>
    </x:row>
    <x:row r="3">
      <x:c r="A3" s="74"/>
      <x:c r="B3" s="74"/>
      <x:c r="C3" s="74"/>
      <x:c r="D3" s="74"/>
      <x:c r="E3" s="74"/>
      <x:c r="F3" s="74"/>
      <x:c r="G3" s="74"/>
      <x:c r="H3" s="74"/>
    </x:row>
    <x:row r="4" ht="30" customHeight="1">
      <x:c r="A4" s="75" t="str">
        <x:v>Measure</x:v>
      </x:c>
      <x:c r="B4" s="76" t="str">
        <x:v>Formula basis</x:v>
      </x:c>
      <x:c r="C4" s="76" t="str">
        <x:v>Result</x:v>
      </x:c>
      <x:c r="D4" s="76" t="str">
        <x:v>Unit</x:v>
      </x:c>
      <x:c r="E4" s="76" t="str">
        <x:v>Per 50-person bay</x:v>
      </x:c>
      <x:c r="F4" s="76" t="str">
        <x:v>PCC-50 total</x:v>
      </x:c>
      <x:c r="G4" s="76" t="str">
        <x:v>Evidence</x:v>
      </x:c>
      <x:c r="H4" s="77" t="str">
        <x:v>Interpretation</x:v>
      </x:c>
    </x:row>
    <x:row r="5" ht="32.400001525878906" hidden="0" customHeight="1">
      <x:c r="A5" s="28" t="str">
        <x:v>Standard residents</x:v>
      </x:c>
      <x:c r="B5" s="28" t="str">
        <x:v>1,000 × 80%</x:v>
      </x:c>
      <x:c r="C5" s="36" t="n">
        <x:f>'Controls'!B5*'Controls'!B7</x:f>
        <x:v>800</x:v>
      </x:c>
      <x:c r="D5" s="36" t="str">
        <x:v>people</x:v>
      </x:c>
      <x:c r="E5" s="36" t="n">
        <x:f>C5/20</x:f>
        <x:v>40</x:v>
      </x:c>
      <x:c r="F5" s="36" t="n">
        <x:f>C5*'Controls'!B6</x:f>
        <x:v>40000</x:v>
      </x:c>
      <x:c r="G5" s="28" t="str">
        <x:v>assumption</x:v>
      </x:c>
      <x:c r="H5" s="28" t="str">
        <x:v>sixteen standard bays</x:v>
      </x:c>
    </x:row>
    <x:row r="6" ht="32.400001525878906" hidden="0" customHeight="1">
      <x:c r="A6" s="27" t="str">
        <x:v>Accessible residents</x:v>
      </x:c>
      <x:c r="B6" s="27" t="str">
        <x:v>1,000 × 20%</x:v>
      </x:c>
      <x:c r="C6" s="37" t="n">
        <x:f>'Controls'!B5*'Controls'!B9</x:f>
        <x:v>200</x:v>
      </x:c>
      <x:c r="D6" s="37" t="str">
        <x:v>people</x:v>
      </x:c>
      <x:c r="E6" s="37" t="n">
        <x:f>C6/20</x:f>
        <x:v>10</x:v>
      </x:c>
      <x:c r="F6" s="37" t="n">
        <x:f>C6*'Controls'!B6</x:f>
        <x:v>10000</x:v>
      </x:c>
      <x:c r="G6" s="27" t="str">
        <x:v>stress assumption</x:v>
      </x:c>
      <x:c r="H6" s="27" t="str">
        <x:v>four accessible bays</x:v>
      </x:c>
    </x:row>
    <x:row r="7" ht="32.400001525878906" hidden="0" customHeight="1">
      <x:c r="A7" s="29" t="str">
        <x:v>Standard dormitory</x:v>
      </x:c>
      <x:c r="B7" s="29" t="str">
        <x:v>standard residents × 50 ft²</x:v>
      </x:c>
      <x:c r="C7" s="38" t="n">
        <x:f>C5*'Controls'!B8*0.092903</x:f>
        <x:v>3716.12</x:v>
      </x:c>
      <x:c r="D7" s="38" t="str">
        <x:v>m²</x:v>
      </x:c>
      <x:c r="E7" s="38" t="n">
        <x:f>C7/20</x:f>
        <x:v>185.80599999999998</x:v>
      </x:c>
      <x:c r="F7" s="38" t="n">
        <x:f>C7*'Controls'!B6</x:f>
        <x:v>185806</x:v>
      </x:c>
      <x:c r="G7" s="29" t="str">
        <x:v>FEMA/OSHA analogue</x:v>
      </x:c>
      <x:c r="H7" s="29" t="str">
        <x:v>sleeping area</x:v>
      </x:c>
    </x:row>
    <x:row r="8" ht="32.400001525878906" hidden="0" customHeight="1">
      <x:c r="A8" s="27" t="str">
        <x:v>Accessible dormitory</x:v>
      </x:c>
      <x:c r="B8" s="27" t="str">
        <x:v>accessible residents × 100 ft²</x:v>
      </x:c>
      <x:c r="C8" s="37" t="n">
        <x:f>C6*'Controls'!B10*0.092903</x:f>
        <x:v>1858.06</x:v>
      </x:c>
      <x:c r="D8" s="37" t="str">
        <x:v>m²</x:v>
      </x:c>
      <x:c r="E8" s="37" t="n">
        <x:f>C8/20</x:f>
        <x:v>92.90299999999999</x:v>
      </x:c>
      <x:c r="F8" s="37" t="n">
        <x:f>C8*'Controls'!B6</x:f>
        <x:v>92903</x:v>
      </x:c>
      <x:c r="G8" s="27" t="str">
        <x:v>FEMA anchor</x:v>
      </x:c>
      <x:c r="H8" s="27" t="str">
        <x:v>mobility/support needs</x:v>
      </x:c>
    </x:row>
    <x:row r="9" ht="32.400001525878906" hidden="0" customHeight="1">
      <x:c r="A9" s="29" t="str">
        <x:v>Support/activity</x:v>
      </x:c>
      <x:c r="B9" s="29" t="str">
        <x:v>35% of dormitory</x:v>
      </x:c>
      <x:c r="C9" s="38" t="n">
        <x:f>(C7+C8)*'Controls'!B11</x:f>
        <x:v>1950.963</x:v>
      </x:c>
      <x:c r="D9" s="38" t="str">
        <x:v>m²</x:v>
      </x:c>
      <x:c r="E9" s="38" t="n">
        <x:f>C9/20</x:f>
        <x:v>97.54814999999999</x:v>
      </x:c>
      <x:c r="F9" s="38" t="n">
        <x:f>C9*'Controls'!B6</x:f>
        <x:v>97548.15</x:v>
      </x:c>
      <x:c r="G9" s="29" t="str">
        <x:v>assumption</x:v>
      </x:c>
      <x:c r="H9" s="29" t="str">
        <x:v>care, dining, circulation, storage</x:v>
      </x:c>
    </x:row>
    <x:row r="10" ht="32.400001525878906" hidden="0" customHeight="1">
      <x:c r="A10" s="27" t="str">
        <x:v>Total floor area</x:v>
      </x:c>
      <x:c r="B10" s="27" t="str">
        <x:v>dormitory + support</x:v>
      </x:c>
      <x:c r="C10" s="37" t="n">
        <x:f>SUM(C7:C9)</x:f>
        <x:v>7525.143</x:v>
      </x:c>
      <x:c r="D10" s="37" t="str">
        <x:v>m²</x:v>
      </x:c>
      <x:c r="E10" s="37" t="n">
        <x:f>C10/20</x:f>
        <x:v>376.25715</x:v>
      </x:c>
      <x:c r="F10" s="37" t="n">
        <x:f>C10*'Controls'!B6</x:f>
        <x:v>376257.15</x:v>
      </x:c>
      <x:c r="G10" s="27" t="str">
        <x:v>derived</x:v>
      </x:c>
      <x:c r="H10" s="27" t="str">
        <x:v>installed occupied area</x:v>
      </x:c>
    </x:row>
    <x:row r="11" ht="32.400001525878906" hidden="0" customHeight="1">
      <x:c r="A11" s="29" t="str">
        <x:v>Envelope surface proxy</x:v>
      </x:c>
      <x:c r="B11" s="29" t="str">
        <x:v>1.25 × floor area</x:v>
      </x:c>
      <x:c r="C11" s="38" t="n">
        <x:f>C10*'Controls'!B12</x:f>
        <x:v>9406.42875</x:v>
      </x:c>
      <x:c r="D11" s="38" t="str">
        <x:v>m²</x:v>
      </x:c>
      <x:c r="E11" s="38" t="n">
        <x:f>C11/20</x:f>
        <x:v>470.32143749999994</x:v>
      </x:c>
      <x:c r="F11" s="38" t="n">
        <x:f>C11*'Controls'!B6</x:f>
        <x:v>470321.43749999994</x:v>
      </x:c>
      <x:c r="G11" s="29" t="str">
        <x:v>assumption</x:v>
      </x:c>
      <x:c r="H11" s="29" t="str">
        <x:v>roof and wall material basis</x:v>
      </x:c>
    </x:row>
    <x:row r="12" ht="32.400001525878906" hidden="0" customHeight="1">
      <x:c r="A12" s="27" t="str">
        <x:v>Shelter bays</x:v>
      </x:c>
      <x:c r="B12" s="27" t="str">
        <x:v>16 standard + 4 accessible</x:v>
      </x:c>
      <x:c r="C12" s="37" t="n">
        <x:v>20</x:v>
      </x:c>
      <x:c r="D12" s="37" t="str">
        <x:v>count</x:v>
      </x:c>
      <x:c r="E12" s="37" t="n">
        <x:v>1</x:v>
      </x:c>
      <x:c r="F12" s="37" t="n">
        <x:f>C12*'Controls'!B6</x:f>
        <x:v>1000</x:v>
      </x:c>
      <x:c r="G12" s="27" t="str">
        <x:v>design</x:v>
      </x:c>
      <x:c r="H12" s="27" t="str">
        <x:v>failure isolation</x:v>
      </x:c>
    </x:row>
    <x:row r="13" ht="43.20000076293945" hidden="0" customHeight="1">
      <x:c r="A13" s="29" t="str">
        <x:v>Neighborhood nodes</x:v>
      </x:c>
      <x:c r="B13" s="29" t="str">
        <x:v>two districts of 500</x:v>
      </x:c>
      <x:c r="C13" s="38" t="n">
        <x:v>2</x:v>
      </x:c>
      <x:c r="D13" s="38" t="str">
        <x:v>count</x:v>
      </x:c>
      <x:c r="E13" s="38"/>
      <x:c r="F13" s="38" t="n">
        <x:f>C13*'Controls'!B6</x:f>
        <x:v>100</x:v>
      </x:c>
      <x:c r="G13" s="29" t="str">
        <x:v>design</x:v>
      </x:c>
      <x:c r="H13" s="29" t="str">
        <x:v>health/service accountability</x:v>
      </x:c>
    </x:row>
    <x:row r="14" ht="43.20000076293945" hidden="0" customHeight="1">
      <x:c r="A14" s="27" t="str">
        <x:v>Land footprint at 60% site coverage</x:v>
      </x:c>
      <x:c r="B14" s="27" t="str">
        <x:v>floor area / 60%</x:v>
      </x:c>
      <x:c r="C14" s="37" t="n">
        <x:f>C10/0.60/10000</x:f>
        <x:v>1.2541905</x:v>
      </x:c>
      <x:c r="D14" s="37" t="str">
        <x:v>hectares</x:v>
      </x:c>
      <x:c r="E14" s="37" t="n">
        <x:f>C14/20</x:f>
        <x:v>0.062709525</x:v>
      </x:c>
      <x:c r="F14" s="37" t="n">
        <x:f>C14*'Controls'!B6</x:f>
        <x:v>62.709525</x:v>
      </x:c>
      <x:c r="G14" s="27" t="str">
        <x:v>assumption</x:v>
      </x:c>
      <x:c r="H14" s="27" t="str">
        <x:v>includes roads, separation and utilities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17" hidden="0" customWidth="1"/>
    <x:col min="3" max="3" width="17" hidden="0" customWidth="1"/>
    <x:col min="4" max="4" width="17" hidden="0" customWidth="1"/>
    <x:col min="5" max="5" width="38" hidden="0" customWidth="1"/>
    <x:col min="6" max="6" width="38" hidden="0" customWidth="1"/>
    <x:col min="7" max="7" width="38" hidden="0" customWidth="1"/>
    <x:col min="8" max="8" width="38" hidden="0" customWidth="1"/>
  </x:cols>
  <x:sheetData>
    <x:row r="1" ht="29" customHeight="1">
      <x:c r="A1" s="72" t="str">
        <x:v>Functional zone program</x:v>
      </x:c>
      <x:c r="B1" s="72"/>
      <x:c r="C1" s="72"/>
      <x:c r="D1" s="72"/>
      <x:c r="E1" s="72"/>
      <x:c r="F1" s="72"/>
      <x:c r="G1" s="72"/>
      <x:c r="H1" s="72"/>
    </x:row>
    <x:row r="2" ht="27" customHeight="1">
      <x:c r="A2" s="73" t="str">
        <x:v>The support factor is allocated to functions rather than left as unassigned space.</x:v>
      </x:c>
      <x:c r="B2" s="73"/>
      <x:c r="C2" s="73"/>
      <x:c r="D2" s="73"/>
      <x:c r="E2" s="73"/>
      <x:c r="F2" s="73"/>
      <x:c r="G2" s="73"/>
      <x:c r="H2" s="73"/>
    </x:row>
    <x:row r="3">
      <x:c r="A3" s="74"/>
      <x:c r="B3" s="74"/>
      <x:c r="C3" s="74"/>
      <x:c r="D3" s="74"/>
      <x:c r="E3" s="74"/>
      <x:c r="F3" s="74"/>
      <x:c r="G3" s="74"/>
      <x:c r="H3" s="74"/>
    </x:row>
    <x:row r="4" ht="30" customHeight="1">
      <x:c r="A4" s="75" t="str">
        <x:v>Zone</x:v>
      </x:c>
      <x:c r="B4" s="76" t="str">
        <x:v>Share of floor</x:v>
      </x:c>
      <x:c r="C4" s="76" t="str">
        <x:v>Area m²</x:v>
      </x:c>
      <x:c r="D4" s="76" t="str">
        <x:v>People design</x:v>
      </x:c>
      <x:c r="E4" s="76" t="str">
        <x:v>Isolation rule</x:v>
      </x:c>
      <x:c r="F4" s="76" t="str">
        <x:v>Primary interfaces</x:v>
      </x:c>
      <x:c r="G4" s="76" t="str">
        <x:v>Failure consequence</x:v>
      </x:c>
      <x:c r="H4" s="77" t="str">
        <x:v>Evidence state</x:v>
      </x:c>
    </x:row>
    <x:row r="5" ht="32.400001525878906" hidden="0" customHeight="1">
      <x:c r="A5" s="28" t="str">
        <x:v>Standard sleeping</x:v>
      </x:c>
      <x:c r="B5" s="39" t="n">
        <x:v>0.494</x:v>
      </x:c>
      <x:c r="C5" s="42" t="n">
        <x:f>B5*'District Geometry'!C10</x:f>
        <x:v>3717.420642</x:v>
      </x:c>
      <x:c r="D5" s="28" t="n">
        <x:v>800</x:v>
      </x:c>
      <x:c r="E5" s="28" t="str">
        <x:v>50-person bays</x:v>
      </x:c>
      <x:c r="F5" s="28" t="str">
        <x:v>thermal, light, data</x:v>
      </x:c>
      <x:c r="G5" s="28" t="str">
        <x:v>loss of sleeping capacity</x:v>
      </x:c>
      <x:c r="H5" s="28" t="str">
        <x:v>geometry</x:v>
      </x:c>
    </x:row>
    <x:row r="6" ht="32.400001525878906" hidden="0" customHeight="1">
      <x:c r="A6" s="27" t="str">
        <x:v>Accessible sleeping/support</x:v>
      </x:c>
      <x:c r="B6" s="40" t="n">
        <x:v>0.247</x:v>
      </x:c>
      <x:c r="C6" s="43" t="n">
        <x:f>B6*'District Geometry'!C10</x:f>
        <x:v>1858.710321</x:v>
      </x:c>
      <x:c r="D6" s="27" t="n">
        <x:v>200</x:v>
      </x:c>
      <x:c r="E6" s="27" t="str">
        <x:v>50-person bays</x:v>
      </x:c>
      <x:c r="F6" s="27" t="str">
        <x:v>wider routes, charging, care</x:v>
      </x:c>
      <x:c r="G6" s="27" t="str">
        <x:v>disproportionate harm</x:v>
      </x:c>
      <x:c r="H6" s="27" t="str">
        <x:v>geometry</x:v>
      </x:c>
    </x:row>
    <x:row r="7" ht="32.400001525878906" hidden="0" customHeight="1">
      <x:c r="A7" s="29" t="str">
        <x:v>Registration and resident services</x:v>
      </x:c>
      <x:c r="B7" s="41" t="n">
        <x:v>0.04</x:v>
      </x:c>
      <x:c r="C7" s="44" t="n">
        <x:f>B7*'District Geometry'!C10</x:f>
        <x:v>301.00572</x:v>
      </x:c>
      <x:c r="D7" s="29" t="n">
        <x:v>120</x:v>
      </x:c>
      <x:c r="E7" s="29" t="str">
        <x:v>district node</x:v>
      </x:c>
      <x:c r="F7" s="29" t="str">
        <x:v>identity, data, PA</x:v>
      </x:c>
      <x:c r="G7" s="29" t="str">
        <x:v>unaccounted residents</x:v>
      </x:c>
      <x:c r="H7" s="29" t="str">
        <x:v>open</x:v>
      </x:c>
    </x:row>
    <x:row r="8" ht="32.400001525878906" hidden="0" customHeight="1">
      <x:c r="A8" s="27" t="str">
        <x:v>Health observation and isolation</x:v>
      </x:c>
      <x:c r="B8" s="40" t="n">
        <x:v>0.04</x:v>
      </x:c>
      <x:c r="C8" s="43" t="n">
        <x:f>B8*'District Geometry'!C10</x:f>
        <x:v>301.00572</x:v>
      </x:c>
      <x:c r="D8" s="27" t="n">
        <x:v>80</x:v>
      </x:c>
      <x:c r="E8" s="27" t="str">
        <x:v>negative/neutral zones</x:v>
      </x:c>
      <x:c r="F8" s="27" t="str">
        <x:v>power, clean air, clinical waste</x:v>
      </x:c>
      <x:c r="G8" s="27" t="str">
        <x:v>infection/acuity escalation</x:v>
      </x:c>
      <x:c r="H8" s="27" t="str">
        <x:v>open</x:v>
      </x:c>
    </x:row>
    <x:row r="9" ht="21.600000381469727" hidden="0" customHeight="1">
      <x:c r="A9" s="29" t="str">
        <x:v>Dining and food service</x:v>
      </x:c>
      <x:c r="B9" s="41" t="n">
        <x:v>0.06</x:v>
      </x:c>
      <x:c r="C9" s="44" t="n">
        <x:f>B9*'District Geometry'!C10</x:f>
        <x:v>451.50858</x:v>
      </x:c>
      <x:c r="D9" s="29" t="n">
        <x:v>250</x:v>
      </x:c>
      <x:c r="E9" s="29" t="str">
        <x:v>food-safety zone</x:v>
      </x:c>
      <x:c r="F9" s="29" t="str">
        <x:v>potable, power, waste</x:v>
      </x:c>
      <x:c r="G9" s="29" t="str">
        <x:v>food effect interrupted</x:v>
      </x:c>
      <x:c r="H9" s="29" t="str">
        <x:v>open</x:v>
      </x:c>
    </x:row>
    <x:row r="10" ht="32.400001525878906" hidden="0" customHeight="1">
      <x:c r="A10" s="27" t="str">
        <x:v>Thermal/clean-air refuge</x:v>
      </x:c>
      <x:c r="B10" s="40" t="n">
        <x:v>0.04</x:v>
      </x:c>
      <x:c r="C10" s="43" t="n">
        <x:f>B10*'District Geometry'!C10</x:f>
        <x:v>301.00572</x:v>
      </x:c>
      <x:c r="D10" s="27" t="n">
        <x:v>250</x:v>
      </x:c>
      <x:c r="E10" s="27" t="str">
        <x:v>separate air zone</x:v>
      </x:c>
      <x:c r="F10" s="27" t="str">
        <x:v>high-efficiency filtration</x:v>
      </x:c>
      <x:c r="G10" s="27" t="str">
        <x:v>exposure threshold exceeded</x:v>
      </x:c>
      <x:c r="H10" s="27" t="str">
        <x:v>open</x:v>
      </x:c>
    </x:row>
    <x:row r="11" ht="32.400001525878906" hidden="0" customHeight="1">
      <x:c r="A11" s="29" t="str">
        <x:v>Sanitation and hygiene</x:v>
      </x:c>
      <x:c r="B11" s="41" t="n">
        <x:v>0.04</x:v>
      </x:c>
      <x:c r="C11" s="44" t="n">
        <x:f>B11*'District Geometry'!C10</x:f>
        <x:v>301.00572</x:v>
      </x:c>
      <x:c r="D11" s="29" t="n">
        <x:v>120</x:v>
      </x:c>
      <x:c r="E11" s="29" t="str">
        <x:v>wet-service boundary</x:v>
      </x:c>
      <x:c r="F11" s="29" t="str">
        <x:v>potable, gray/black water</x:v>
      </x:c>
      <x:c r="G11" s="29" t="str">
        <x:v>public-health failure</x:v>
      </x:c>
      <x:c r="H11" s="29" t="str">
        <x:v>open</x:v>
      </x:c>
    </x:row>
    <x:row r="12" ht="32.400001525878906" hidden="0" customHeight="1">
      <x:c r="A12" s="27" t="str">
        <x:v>Command, storage and repair</x:v>
      </x:c>
      <x:c r="B12" s="40" t="n">
        <x:v>0.025</x:v>
      </x:c>
      <x:c r="C12" s="43" t="n">
        <x:f>B12*'District Geometry'!C10</x:f>
        <x:v>188.128575</x:v>
      </x:c>
      <x:c r="D12" s="27" t="n">
        <x:v>60</x:v>
      </x:c>
      <x:c r="E12" s="27" t="str">
        <x:v>controlled access</x:v>
      </x:c>
      <x:c r="F12" s="27" t="str">
        <x:v>data, power, custody</x:v>
      </x:c>
      <x:c r="G12" s="27" t="str">
        <x:v>service control/repair fail</x:v>
      </x:c>
      <x:c r="H12" s="27" t="str">
        <x:v>open</x:v>
      </x:c>
    </x:row>
    <x:row r="13" ht="32.400001525878906" hidden="0" customHeight="1">
      <x:c r="A13" s="29" t="str">
        <x:v>Internal circulation</x:v>
      </x:c>
      <x:c r="B13" s="41" t="n">
        <x:v>0.014</x:v>
      </x:c>
      <x:c r="C13" s="44" t="n">
        <x:f>B13*'District Geometry'!C10</x:f>
        <x:v>105.352002</x:v>
      </x:c>
      <x:c r="D13" s="29" t="n">
        <x:v>1000</x:v>
      </x:c>
      <x:c r="E13" s="29" t="str">
        <x:v>two-way accessible routes</x:v>
      </x:c>
      <x:c r="F13" s="29" t="str">
        <x:v>lighting, markings</x:v>
      </x:c>
      <x:c r="G13" s="29" t="str">
        <x:v>egress/access fails</x:v>
      </x:c>
      <x:c r="H13" s="29" t="str">
        <x:v>open</x:v>
      </x:c>
    </x:row>
    <x:row r="14">
      <x:c r="A14" s="74"/>
      <x:c r="B14" s="74"/>
      <x:c r="C14" s="74"/>
      <x:c r="D14" s="74"/>
      <x:c r="E14" s="74"/>
      <x:c r="F14" s="74"/>
      <x:c r="G14" s="74"/>
      <x:c r="H14" s="74"/>
    </x:row>
    <x:row r="15" ht="23" customHeight="1">
      <x:c r="A15" s="78" t="str">
        <x:v>Reconciliation</x:v>
      </x:c>
      <x:c r="B15" s="78"/>
      <x:c r="C15" s="78"/>
      <x:c r="D15" s="78"/>
      <x:c r="E15" s="78"/>
      <x:c r="F15" s="78"/>
      <x:c r="G15" s="78"/>
      <x:c r="H15" s="78"/>
    </x:row>
    <x:row r="16" ht="21.600000381469727" hidden="0" customHeight="1">
      <x:c r="A16" s="26" t="str">
        <x:v>Area shares</x:v>
      </x:c>
      <x:c r="B16" s="48" t="n">
        <x:f>SUM(B5:B13)</x:f>
        <x:v>1</x:v>
      </x:c>
      <x:c r="C16" s="26" t="str">
        <x:v>must equal 100%</x:v>
      </x:c>
      <x:c r="D16" s="74"/>
      <x:c r="E16" s="74"/>
      <x:c r="F16" s="74"/>
      <x:c r="G16" s="74"/>
      <x:c r="H16" s="74"/>
    </x:row>
    <x:row r="17" ht="32.400001525878906" hidden="0" customHeight="1">
      <x:c r="A17" s="27" t="str">
        <x:v>Allocated area</x:v>
      </x:c>
      <x:c r="B17" s="27" t="n">
        <x:f>SUM(C5:C13)</x:f>
        <x:v>7525.142999999999</x:v>
      </x:c>
      <x:c r="C17" s="27" t="str">
        <x:v>must equal district floor area</x:v>
      </x:c>
      <x:c r="D17" s="74"/>
      <x:c r="E17" s="74"/>
      <x:c r="F17" s="74"/>
      <x:c r="G17" s="74"/>
      <x:c r="H17" s="74"/>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17" hidden="0" customWidth="1"/>
    <x:col min="3" max="3" width="17"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s>
  <x:sheetData>
    <x:row r="1" ht="29" customHeight="1">
      <x:c r="A1" s="72" t="str">
        <x:v>Structural and environmental load cases</x:v>
      </x:c>
      <x:c r="B1" s="72"/>
      <x:c r="C1" s="72"/>
      <x:c r="D1" s="72"/>
      <x:c r="E1" s="72"/>
      <x:c r="F1" s="72"/>
      <x:c r="G1" s="72"/>
      <x:c r="H1" s="72"/>
      <x:c r="I1" s="72"/>
      <x:c r="J1" s="72"/>
    </x:row>
    <x:row r="2" ht="27" customHeight="1">
      <x:c r="A2" s="73" t="str">
        <x:v>Test envelopes are requirement hypotheses. Site-specific codes and authorities remain controlling.</x:v>
      </x:c>
      <x:c r="B2" s="73"/>
      <x:c r="C2" s="73"/>
      <x:c r="D2" s="73"/>
      <x:c r="E2" s="73"/>
      <x:c r="F2" s="73"/>
      <x:c r="G2" s="73"/>
      <x:c r="H2" s="73"/>
      <x:c r="I2" s="73"/>
      <x:c r="J2" s="73"/>
    </x:row>
    <x:row r="3">
      <x:c r="A3" s="74"/>
      <x:c r="B3" s="74"/>
      <x:c r="C3" s="74"/>
      <x:c r="D3" s="74"/>
      <x:c r="E3" s="74"/>
      <x:c r="F3" s="74"/>
      <x:c r="G3" s="74"/>
      <x:c r="H3" s="74"/>
      <x:c r="I3" s="74"/>
      <x:c r="J3" s="74"/>
    </x:row>
    <x:row r="4" ht="30" customHeight="1">
      <x:c r="A4" s="75" t="str">
        <x:v>Case</x:v>
      </x:c>
      <x:c r="B4" s="76" t="str">
        <x:v>Reference value</x:v>
      </x:c>
      <x:c r="C4" s="76" t="str">
        <x:v>Unit</x:v>
      </x:c>
      <x:c r="D4" s="76" t="str">
        <x:v>Source class</x:v>
      </x:c>
      <x:c r="E4" s="76" t="str">
        <x:v>Affected systems</x:v>
      </x:c>
      <x:c r="F4" s="76" t="str">
        <x:v>Required evidence</x:v>
      </x:c>
      <x:c r="G4" s="76" t="str">
        <x:v>Degraded state</x:v>
      </x:c>
      <x:c r="H4" s="76" t="str">
        <x:v>Stop condition</x:v>
      </x:c>
      <x:c r="I4" s="76" t="str">
        <x:v>Site-specific?</x:v>
      </x:c>
      <x:c r="J4" s="77" t="str">
        <x:v>Status</x:v>
      </x:c>
    </x:row>
    <x:row r="5" ht="54" hidden="0" customHeight="1">
      <x:c r="A5" s="28" t="str">
        <x:v>Occupied floor live load</x:v>
      </x:c>
      <x:c r="B5" s="28" t="n">
        <x:v>100</x:v>
      </x:c>
      <x:c r="C5" s="28" t="str">
        <x:v>psf</x:v>
      </x:c>
      <x:c r="D5" s="28" t="str">
        <x:v>UFC non-permanent facility analogue</x:v>
      </x:c>
      <x:c r="E5" s="28" t="str">
        <x:v>floor, supports, anchors</x:v>
      </x:c>
      <x:c r="F5" s="28" t="str">
        <x:v>full-scale distributed and point-load test</x:v>
      </x:c>
      <x:c r="G5" s="28" t="str">
        <x:v>sectional closure</x:v>
      </x:c>
      <x:c r="H5" s="28" t="str">
        <x:v>permanent deformation or unsafe deflection</x:v>
      </x:c>
      <x:c r="I5" s="28" t="str">
        <x:v>yes</x:v>
      </x:c>
      <x:c r="J5" s="28" t="str">
        <x:v>OPEN</x:v>
      </x:c>
    </x:row>
    <x:row r="6" ht="32.400001525878906" hidden="0" customHeight="1">
      <x:c r="A6" s="27" t="str">
        <x:v>Roof live load minimum</x:v>
      </x:c>
      <x:c r="B6" s="27" t="n">
        <x:v>20</x:v>
      </x:c>
      <x:c r="C6" s="27" t="str">
        <x:v>psf</x:v>
      </x:c>
      <x:c r="D6" s="27" t="str">
        <x:v>UFC analogue</x:v>
      </x:c>
      <x:c r="E6" s="27" t="str">
        <x:v>frame, membrane, drainage</x:v>
      </x:c>
      <x:c r="F6" s="27" t="str">
        <x:v>rain/maintenance/load test</x:v>
      </x:c>
      <x:c r="G6" s="27" t="str">
        <x:v>shed/load exclusion</x:v>
      </x:c>
      <x:c r="H6" s="27" t="str">
        <x:v>instability or ponding</x:v>
      </x:c>
      <x:c r="I6" s="27" t="str">
        <x:v>yes</x:v>
      </x:c>
      <x:c r="J6" s="27" t="str">
        <x:v>OPEN</x:v>
      </x:c>
    </x:row>
    <x:row r="7" ht="43.20000076293945" hidden="0" customHeight="1">
      <x:c r="A7" s="29" t="str">
        <x:v>Snow load planning minimum</x:v>
      </x:c>
      <x:c r="B7" s="29" t="n">
        <x:v>50</x:v>
      </x:c>
      <x:c r="C7" s="29" t="str">
        <x:v>psf</x:v>
      </x:c>
      <x:c r="D7" s="29" t="str">
        <x:v>UFC unrestricted analogue</x:v>
      </x:c>
      <x:c r="E7" s="29" t="str">
        <x:v>roof, frame, anchors</x:v>
      </x:c>
      <x:c r="F7" s="29" t="str">
        <x:v>snow-drift and meltwater history</x:v>
      </x:c>
      <x:c r="G7" s="29" t="str">
        <x:v>occupancy reduction</x:v>
      </x:c>
      <x:c r="H7" s="29" t="str">
        <x:v>progressive deformation</x:v>
      </x:c>
      <x:c r="I7" s="29" t="str">
        <x:v>yes</x:v>
      </x:c>
      <x:c r="J7" s="29" t="str">
        <x:v>OPEN</x:v>
      </x:c>
    </x:row>
    <x:row r="8" ht="32.400001525878906" hidden="0" customHeight="1">
      <x:c r="A8" s="27" t="str">
        <x:v>Wind 3-second gust</x:v>
      </x:c>
      <x:c r="B8" s="27" t="n">
        <x:v>110</x:v>
      </x:c>
      <x:c r="C8" s="27" t="str">
        <x:v>mph</x:v>
      </x:c>
      <x:c r="D8" s="27" t="str">
        <x:v>UFC unrestricted analogue</x:v>
      </x:c>
      <x:c r="E8" s="27" t="str">
        <x:v>envelope, anchors, doors</x:v>
      </x:c>
      <x:c r="F8" s="27" t="str">
        <x:v>full-district pressure and debris trial</x:v>
      </x:c>
      <x:c r="G8" s="27" t="str">
        <x:v>protected hunker state</x:v>
      </x:c>
      <x:c r="H8" s="27" t="str">
        <x:v>anchor/frame/envelope limit</x:v>
      </x:c>
      <x:c r="I8" s="27" t="str">
        <x:v>yes</x:v>
      </x:c>
      <x:c r="J8" s="27" t="str">
        <x:v>OPEN</x:v>
      </x:c>
    </x:row>
    <x:row r="9" ht="32.400001525878906" hidden="0" customHeight="1">
      <x:c r="A9" s="29" t="str">
        <x:v>Heat/humidity</x:v>
      </x:c>
      <x:c r="B9" s="29" t="n">
        <x:v>45</x:v>
      </x:c>
      <x:c r="C9" s="29" t="str">
        <x:v>W/m² thermal proxy</x:v>
      </x:c>
      <x:c r="D9" s="29" t="str">
        <x:v>Pass 29 assumption</x:v>
      </x:c>
      <x:c r="E9" s="29" t="str">
        <x:v>thermal envelope, HVAC</x:v>
      </x:c>
      <x:c r="F9" s="29" t="str">
        <x:v>occupied 72 h hot-humid trial</x:v>
      </x:c>
      <x:c r="G9" s="29" t="str">
        <x:v>zonal refuge</x:v>
      </x:c>
      <x:c r="H9" s="29" t="str">
        <x:v>exposure threshold</x:v>
      </x:c>
      <x:c r="I9" s="29" t="str">
        <x:v>yes</x:v>
      </x:c>
      <x:c r="J9" s="29" t="str">
        <x:v>OPEN</x:v>
      </x:c>
    </x:row>
    <x:row r="10" ht="43.20000076293945" hidden="0" customHeight="1">
      <x:c r="A10" s="27" t="str">
        <x:v>Heat plus smoke</x:v>
      </x:c>
      <x:c r="B10" s="27" t="n">
        <x:v>38</x:v>
      </x:c>
      <x:c r="C10" s="27" t="str">
        <x:v>W/m² + filtration</x:v>
      </x:c>
      <x:c r="D10" s="27" t="str">
        <x:v>Pass 29 assumption</x:v>
      </x:c>
      <x:c r="E10" s="27" t="str">
        <x:v>filters, leakage, fans, source</x:v>
      </x:c>
      <x:c r="F10" s="27" t="str">
        <x:v>filter-loading and door-cycle trial</x:v>
      </x:c>
      <x:c r="G10" s="27" t="str">
        <x:v>clean-air refuge</x:v>
      </x:c>
      <x:c r="H10" s="27" t="str">
        <x:v>air-quality threshold</x:v>
      </x:c>
      <x:c r="I10" s="27" t="str">
        <x:v>yes</x:v>
      </x:c>
      <x:c r="J10" s="27" t="str">
        <x:v>OPEN</x:v>
      </x:c>
    </x:row>
    <x:row r="11" ht="43.20000076293945" hidden="0" customHeight="1">
      <x:c r="A11" s="29" t="str">
        <x:v>Cold</x:v>
      </x:c>
      <x:c r="B11" s="29" t="n">
        <x:v>55</x:v>
      </x:c>
      <x:c r="C11" s="29" t="str">
        <x:v>W/m² thermal proxy</x:v>
      </x:c>
      <x:c r="D11" s="29" t="str">
        <x:v>Pass 29 assumption</x:v>
      </x:c>
      <x:c r="E11" s="29" t="str">
        <x:v>envelope, heat source</x:v>
      </x:c>
      <x:c r="F11" s="29" t="str">
        <x:v>cold soak, defrost and source-loss trial</x:v>
      </x:c>
      <x:c r="G11" s="29" t="str">
        <x:v>consolidated zones</x:v>
      </x:c>
      <x:c r="H11" s="29" t="str">
        <x:v>exposure threshold</x:v>
      </x:c>
      <x:c r="I11" s="29" t="str">
        <x:v>yes</x:v>
      </x:c>
      <x:c r="J11" s="29" t="str">
        <x:v>OPEN</x:v>
      </x:c>
    </x:row>
    <x:row r="12" ht="32.400001525878906" hidden="0" customHeight="1">
      <x:c r="A12" s="27" t="str">
        <x:v>Rain/drainage</x:v>
      </x:c>
      <x:c r="B12" s="27" t="n">
        <x:v>100</x:v>
      </x:c>
      <x:c r="C12" s="27" t="str">
        <x:v>mm/24 h</x:v>
      </x:c>
      <x:c r="D12" s="27" t="str">
        <x:v>research case</x:v>
      </x:c>
      <x:c r="E12" s="27" t="str">
        <x:v>site, gutters, floors, wastewater</x:v>
      </x:c>
      <x:c r="F12" s="27" t="str">
        <x:v>wet-site full-district test</x:v>
      </x:c>
      <x:c r="G12" s="27" t="str">
        <x:v>sump and alternate route</x:v>
      </x:c>
      <x:c r="H12" s="27" t="str">
        <x:v>water enters occupied area</x:v>
      </x:c>
      <x:c r="I12" s="27" t="str">
        <x:v>yes</x:v>
      </x:c>
      <x:c r="J12" s="27" t="str">
        <x:v>OPEN</x:v>
      </x:c>
    </x:row>
    <x:row r="13" ht="43.20000076293945" hidden="0" customHeight="1">
      <x:c r="A13" s="29" t="str">
        <x:v>Seismic aftershock</x:v>
      </x:c>
      <x:c r="B13" s="29" t="str">
        <x:v>site spectrum</x:v>
      </x:c>
      <x:c r="C13" s="29" t="str">
        <x:v>n/a</x:v>
      </x:c>
      <x:c r="D13" s="29" t="str">
        <x:v>site-specific requirement</x:v>
      </x:c>
      <x:c r="E13" s="29" t="str">
        <x:v>anchors, equipment, utilities</x:v>
      </x:c>
      <x:c r="F13" s="29" t="str">
        <x:v>shake/connection and inspection protocol</x:v>
      </x:c>
      <x:c r="G13" s="29" t="str">
        <x:v>evacuate affected bay</x:v>
      </x:c>
      <x:c r="H13" s="29" t="str">
        <x:v>loss of safe egress/utility isolation</x:v>
      </x:c>
      <x:c r="I13" s="29" t="str">
        <x:v>yes</x:v>
      </x:c>
      <x:c r="J13" s="29" t="str">
        <x:v>OPEN</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3" hidden="0" customWidth="1"/>
    <x:col min="2" max="2" width="13" hidden="0" customWidth="1"/>
    <x:col min="3" max="3" width="36"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32" hidden="0" customWidth="1"/>
    <x:col min="16" max="16" width="32" hidden="0" customWidth="1"/>
    <x:col min="17" max="17" width="32" hidden="0" customWidth="1"/>
  </x:cols>
  <x:sheetData>
    <x:row r="1" ht="29" customHeight="1">
      <x:c r="A1" s="72" t="str">
        <x:v>Shelter replacement bill of material</x:v>
      </x:c>
      <x:c r="B1" s="72"/>
      <x:c r="C1" s="72"/>
      <x:c r="D1" s="72"/>
      <x:c r="E1" s="72"/>
      <x:c r="F1" s="72"/>
      <x:c r="G1" s="72"/>
      <x:c r="H1" s="72"/>
      <x:c r="I1" s="72"/>
      <x:c r="J1" s="72"/>
      <x:c r="K1" s="72"/>
      <x:c r="L1" s="72"/>
      <x:c r="M1" s="72"/>
      <x:c r="N1" s="72"/>
      <x:c r="O1" s="72"/>
      <x:c r="P1" s="72"/>
      <x:c r="Q1" s="72"/>
    </x:row>
    <x:row r="2" ht="27" customHeight="1">
      <x:c r="A2" s="73" t="str">
        <x:v>Twenty-six functional lines. Case mass intensities and packed densities are editable design hypotheses.</x:v>
      </x:c>
      <x:c r="B2" s="73"/>
      <x:c r="C2" s="73"/>
      <x:c r="D2" s="73"/>
      <x:c r="E2" s="73"/>
      <x:c r="F2" s="73"/>
      <x:c r="G2" s="73"/>
      <x:c r="H2" s="73"/>
      <x:c r="I2" s="73"/>
      <x:c r="J2" s="73"/>
      <x:c r="K2" s="73"/>
      <x:c r="L2" s="73"/>
      <x:c r="M2" s="73"/>
      <x:c r="N2" s="73"/>
      <x:c r="O2" s="73"/>
      <x:c r="P2" s="73"/>
      <x:c r="Q2" s="73"/>
    </x:row>
    <x:row r="3">
      <x:c r="A3" s="74"/>
      <x:c r="B3" s="74"/>
      <x:c r="C3" s="74"/>
      <x:c r="D3" s="74"/>
      <x:c r="E3" s="74"/>
      <x:c r="F3" s="74"/>
      <x:c r="G3" s="74"/>
      <x:c r="H3" s="74"/>
      <x:c r="I3" s="74"/>
      <x:c r="J3" s="74"/>
      <x:c r="K3" s="74"/>
      <x:c r="L3" s="74"/>
      <x:c r="M3" s="74"/>
      <x:c r="N3" s="74"/>
      <x:c r="O3" s="74"/>
      <x:c r="P3" s="74"/>
      <x:c r="Q3" s="74"/>
    </x:row>
    <x:row r="4" ht="30" customHeight="1">
      <x:c r="A4" s="75" t="str">
        <x:v>ID</x:v>
      </x:c>
      <x:c r="B4" s="76" t="str">
        <x:v>System</x:v>
      </x:c>
      <x:c r="C4" s="76" t="str">
        <x:v>Component</x:v>
      </x:c>
      <x:c r="D4" s="76" t="str">
        <x:v>Quantity</x:v>
      </x:c>
      <x:c r="E4" s="76" t="str">
        <x:v>Unit</x:v>
      </x:c>
      <x:c r="F4" s="76" t="str">
        <x:v>Current kg/unit</x:v>
      </x:c>
      <x:c r="G4" s="76" t="str">
        <x:v>Current t</x:v>
      </x:c>
      <x:c r="H4" s="76" t="str">
        <x:v>Advanced kg/unit</x:v>
      </x:c>
      <x:c r="I4" s="76" t="str">
        <x:v>Advanced t</x:v>
      </x:c>
      <x:c r="J4" s="76" t="str">
        <x:v>Transform kg/unit</x:v>
      </x:c>
      <x:c r="K4" s="76" t="str">
        <x:v>Transform t</x:v>
      </x:c>
      <x:c r="L4" s="76" t="str">
        <x:v>Current density kg/m³</x:v>
      </x:c>
      <x:c r="M4" s="76" t="str">
        <x:v>Advanced density</x:v>
      </x:c>
      <x:c r="N4" s="76" t="str">
        <x:v>Transform density</x:v>
      </x:c>
      <x:c r="O4" s="76" t="str">
        <x:v>Basis</x:v>
      </x:c>
      <x:c r="P4" s="76" t="str">
        <x:v>Mass account</x:v>
      </x:c>
      <x:c r="Q4" s="77" t="str">
        <x:v>Evidence</x:v>
      </x:c>
    </x:row>
    <x:row r="5" ht="32.400001525878906" hidden="0" customHeight="1">
      <x:c r="A5" s="28" t="str">
        <x:v>S01</x:v>
      </x:c>
      <x:c r="B5" s="28" t="str">
        <x:v>Envelope</x:v>
      </x:c>
      <x:c r="C5" s="28" t="str">
        <x:v>Outer weather membrane</x:v>
      </x:c>
      <x:c r="D5" s="36" t="n">
        <x:v>9406.43</x:v>
      </x:c>
      <x:c r="E5" s="36" t="str">
        <x:v>m²</x:v>
      </x:c>
      <x:c r="F5" s="49" t="n">
        <x:v>0.9</x:v>
      </x:c>
      <x:c r="G5" s="36" t="n">
        <x:f>D5*F5/1000</x:f>
        <x:v>8.465787</x:v>
      </x:c>
      <x:c r="H5" s="49" t="n">
        <x:v>0.65</x:v>
      </x:c>
      <x:c r="I5" s="36" t="n">
        <x:f>D5*H5/1000</x:f>
        <x:v>6.1141795000000005</x:v>
      </x:c>
      <x:c r="J5" s="49" t="n">
        <x:v>0.35</x:v>
      </x:c>
      <x:c r="K5" s="36" t="n">
        <x:f>D5*J5/1000</x:f>
        <x:v>3.2922505</x:v>
      </x:c>
      <x:c r="L5" s="36" t="n">
        <x:v>160</x:v>
      </x:c>
      <x:c r="M5" s="36" t="n">
        <x:v>150</x:v>
      </x:c>
      <x:c r="N5" s="36" t="n">
        <x:v>120</x:v>
      </x:c>
      <x:c r="O5" s="28" t="str">
        <x:v>surface area = 1.25 × floor area</x:v>
      </x:c>
      <x:c r="P5" s="28" t="str">
        <x:v>shelter</x:v>
      </x:c>
      <x:c r="Q5" s="28" t="str">
        <x:v>ASSUMPTION</x:v>
      </x:c>
    </x:row>
    <x:row r="6" ht="32.400001525878906" hidden="0" customHeight="1">
      <x:c r="A6" s="27" t="str">
        <x:v>S02</x:v>
      </x:c>
      <x:c r="B6" s="27" t="str">
        <x:v>Envelope</x:v>
      </x:c>
      <x:c r="C6" s="27" t="str">
        <x:v>Inner liner and vapor layer</x:v>
      </x:c>
      <x:c r="D6" s="37" t="n">
        <x:v>7525.14</x:v>
      </x:c>
      <x:c r="E6" s="37" t="str">
        <x:v>m²</x:v>
      </x:c>
      <x:c r="F6" s="50" t="n">
        <x:v>0.7</x:v>
      </x:c>
      <x:c r="G6" s="37" t="n">
        <x:f>D6*F6/1000</x:f>
        <x:v>5.267598</x:v>
      </x:c>
      <x:c r="H6" s="50" t="n">
        <x:v>0.45</x:v>
      </x:c>
      <x:c r="I6" s="37" t="n">
        <x:f>D6*H6/1000</x:f>
        <x:v>3.386313</x:v>
      </x:c>
      <x:c r="J6" s="50" t="n">
        <x:v>0.25</x:v>
      </x:c>
      <x:c r="K6" s="37" t="n">
        <x:f>D6*J6/1000</x:f>
        <x:v>1.881285</x:v>
      </x:c>
      <x:c r="L6" s="37" t="n">
        <x:v>120</x:v>
      </x:c>
      <x:c r="M6" s="37" t="n">
        <x:v>110</x:v>
      </x:c>
      <x:c r="N6" s="37" t="n">
        <x:v>90</x:v>
      </x:c>
      <x:c r="O6" s="27" t="str">
        <x:v>floor-area proxy</x:v>
      </x:c>
      <x:c r="P6" s="27" t="str">
        <x:v>shelter</x:v>
      </x:c>
      <x:c r="Q6" s="27" t="str">
        <x:v>ASSUMPTION</x:v>
      </x:c>
    </x:row>
    <x:row r="7" ht="43.20000076293945" hidden="0" customHeight="1">
      <x:c r="A7" s="29" t="str">
        <x:v>S03</x:v>
      </x:c>
      <x:c r="B7" s="29" t="str">
        <x:v>Envelope</x:v>
      </x:c>
      <x:c r="C7" s="29" t="str">
        <x:v>Insulation layer</x:v>
      </x:c>
      <x:c r="D7" s="38" t="n">
        <x:v>7525.14</x:v>
      </x:c>
      <x:c r="E7" s="38" t="str">
        <x:v>m²</x:v>
      </x:c>
      <x:c r="F7" s="50" t="n">
        <x:v>1.5</x:v>
      </x:c>
      <x:c r="G7" s="38" t="n">
        <x:f>D7*F7/1000</x:f>
        <x:v>11.28771</x:v>
      </x:c>
      <x:c r="H7" s="50" t="n">
        <x:v>0.8</x:v>
      </x:c>
      <x:c r="I7" s="38" t="n">
        <x:f>D7*H7/1000</x:f>
        <x:v>6.020112000000001</x:v>
      </x:c>
      <x:c r="J7" s="50" t="n">
        <x:v>0.35</x:v>
      </x:c>
      <x:c r="K7" s="38" t="n">
        <x:f>D7*J7/1000</x:f>
        <x:v>2.633799</x:v>
      </x:c>
      <x:c r="L7" s="38" t="n">
        <x:v>80</x:v>
      </x:c>
      <x:c r="M7" s="38" t="n">
        <x:v>70</x:v>
      </x:c>
      <x:c r="N7" s="38" t="n">
        <x:v>55</x:v>
      </x:c>
      <x:c r="O7" s="29" t="str">
        <x:v>environmental target varies by case</x:v>
      </x:c>
      <x:c r="P7" s="29" t="str">
        <x:v>shelter</x:v>
      </x:c>
      <x:c r="Q7" s="29" t="str">
        <x:v>ASSUMPTION</x:v>
      </x:c>
    </x:row>
    <x:row r="8" ht="32.400001525878906" hidden="0" customHeight="1">
      <x:c r="A8" s="27" t="str">
        <x:v>S04</x:v>
      </x:c>
      <x:c r="B8" s="27" t="str">
        <x:v>Structure</x:v>
      </x:c>
      <x:c r="C8" s="27" t="str">
        <x:v>Primary frame or airbeams</x:v>
      </x:c>
      <x:c r="D8" s="37" t="n">
        <x:v>7525.14</x:v>
      </x:c>
      <x:c r="E8" s="37" t="str">
        <x:v>m²</x:v>
      </x:c>
      <x:c r="F8" s="50" t="n">
        <x:v>2</x:v>
      </x:c>
      <x:c r="G8" s="37" t="n">
        <x:f>D8*F8/1000</x:f>
        <x:v>15.05028</x:v>
      </x:c>
      <x:c r="H8" s="50" t="n">
        <x:v>1.2</x:v>
      </x:c>
      <x:c r="I8" s="37" t="n">
        <x:f>D8*H8/1000</x:f>
        <x:v>9.030168</x:v>
      </x:c>
      <x:c r="J8" s="50" t="n">
        <x:v>0.55</x:v>
      </x:c>
      <x:c r="K8" s="37" t="n">
        <x:f>D8*J8/1000</x:f>
        <x:v>4.138827</x:v>
      </x:c>
      <x:c r="L8" s="37" t="n">
        <x:v>350</x:v>
      </x:c>
      <x:c r="M8" s="37" t="n">
        <x:v>300</x:v>
      </x:c>
      <x:c r="N8" s="37" t="n">
        <x:v>220</x:v>
      </x:c>
      <x:c r="O8" s="27" t="str">
        <x:v>areal mass screen</x:v>
      </x:c>
      <x:c r="P8" s="27" t="str">
        <x:v>shelter</x:v>
      </x:c>
      <x:c r="Q8" s="27" t="str">
        <x:v>ASSUMPTION</x:v>
      </x:c>
    </x:row>
    <x:row r="9" ht="43.20000076293945" hidden="0" customHeight="1">
      <x:c r="A9" s="29" t="str">
        <x:v>S05</x:v>
      </x:c>
      <x:c r="B9" s="29" t="str">
        <x:v>Floor</x:v>
      </x:c>
      <x:c r="C9" s="29" t="str">
        <x:v>Deployable structural floor</x:v>
      </x:c>
      <x:c r="D9" s="38" t="n">
        <x:v>7525.14</x:v>
      </x:c>
      <x:c r="E9" s="38" t="str">
        <x:v>m²</x:v>
      </x:c>
      <x:c r="F9" s="50" t="n">
        <x:v>4.5</x:v>
      </x:c>
      <x:c r="G9" s="38" t="n">
        <x:f>D9*F9/1000</x:f>
        <x:v>33.863130000000005</x:v>
      </x:c>
      <x:c r="H9" s="50" t="n">
        <x:v>2.8</x:v>
      </x:c>
      <x:c r="I9" s="38" t="n">
        <x:f>D9*H9/1000</x:f>
        <x:v>21.070392</x:v>
      </x:c>
      <x:c r="J9" s="50" t="n">
        <x:v>1.2</x:v>
      </x:c>
      <x:c r="K9" s="38" t="n">
        <x:f>D9*J9/1000</x:f>
        <x:v>9.030168</x:v>
      </x:c>
      <x:c r="L9" s="38" t="n">
        <x:v>500</x:v>
      </x:c>
      <x:c r="M9" s="38" t="n">
        <x:v>450</x:v>
      </x:c>
      <x:c r="N9" s="38" t="n">
        <x:v>350</x:v>
      </x:c>
      <x:c r="O9" s="29" t="str">
        <x:v>full accessible occupied area</x:v>
      </x:c>
      <x:c r="P9" s="29" t="str">
        <x:v>shelter</x:v>
      </x:c>
      <x:c r="Q9" s="29" t="str">
        <x:v>ASSUMPTION</x:v>
      </x:c>
    </x:row>
    <x:row r="10" ht="43.20000076293945" hidden="0" customHeight="1">
      <x:c r="A10" s="27" t="str">
        <x:v>S06</x:v>
      </x:c>
      <x:c r="B10" s="27" t="str">
        <x:v>Access</x:v>
      </x:c>
      <x:c r="C10" s="27" t="str">
        <x:v>Ramps, transitions and tactile routes</x:v>
      </x:c>
      <x:c r="D10" s="37" t="n">
        <x:v>7525.14</x:v>
      </x:c>
      <x:c r="E10" s="37" t="str">
        <x:v>m²</x:v>
      </x:c>
      <x:c r="F10" s="50" t="n">
        <x:v>0.5</x:v>
      </x:c>
      <x:c r="G10" s="37" t="n">
        <x:f>D10*F10/1000</x:f>
        <x:v>3.76257</x:v>
      </x:c>
      <x:c r="H10" s="50" t="n">
        <x:v>0.3</x:v>
      </x:c>
      <x:c r="I10" s="37" t="n">
        <x:f>D10*H10/1000</x:f>
        <x:v>2.257542</x:v>
      </x:c>
      <x:c r="J10" s="50" t="n">
        <x:v>0.15</x:v>
      </x:c>
      <x:c r="K10" s="37" t="n">
        <x:f>D10*J10/1000</x:f>
        <x:v>1.128771</x:v>
      </x:c>
      <x:c r="L10" s="37" t="n">
        <x:v>400</x:v>
      </x:c>
      <x:c r="M10" s="37" t="n">
        <x:v>350</x:v>
      </x:c>
      <x:c r="N10" s="37" t="n">
        <x:v>300</x:v>
      </x:c>
      <x:c r="O10" s="27" t="str">
        <x:v>distributed allowance</x:v>
      </x:c>
      <x:c r="P10" s="27" t="str">
        <x:v>shelter</x:v>
      </x:c>
      <x:c r="Q10" s="27" t="str">
        <x:v>ASSUMPTION</x:v>
      </x:c>
    </x:row>
    <x:row r="11" ht="32.400001525878906" hidden="0" customHeight="1">
      <x:c r="A11" s="29" t="str">
        <x:v>S07</x:v>
      </x:c>
      <x:c r="B11" s="29" t="str">
        <x:v>Interior</x:v>
      </x:c>
      <x:c r="C11" s="29" t="str">
        <x:v>Partitions and acoustic layer</x:v>
      </x:c>
      <x:c r="D11" s="38" t="n">
        <x:v>7525.14</x:v>
      </x:c>
      <x:c r="E11" s="38" t="str">
        <x:v>m²</x:v>
      </x:c>
      <x:c r="F11" s="50" t="n">
        <x:v>1</x:v>
      </x:c>
      <x:c r="G11" s="38" t="n">
        <x:f>D11*F11/1000</x:f>
        <x:v>7.52514</x:v>
      </x:c>
      <x:c r="H11" s="50" t="n">
        <x:v>0.6</x:v>
      </x:c>
      <x:c r="I11" s="38" t="n">
        <x:f>D11*H11/1000</x:f>
        <x:v>4.515084</x:v>
      </x:c>
      <x:c r="J11" s="50" t="n">
        <x:v>0.3</x:v>
      </x:c>
      <x:c r="K11" s="38" t="n">
        <x:f>D11*J11/1000</x:f>
        <x:v>2.257542</x:v>
      </x:c>
      <x:c r="L11" s="38" t="n">
        <x:v>120</x:v>
      </x:c>
      <x:c r="M11" s="38" t="n">
        <x:v>110</x:v>
      </x:c>
      <x:c r="N11" s="38" t="n">
        <x:v>90</x:v>
      </x:c>
      <x:c r="O11" s="29" t="str">
        <x:v>privacy/infection-control zones</x:v>
      </x:c>
      <x:c r="P11" s="29" t="str">
        <x:v>shelter</x:v>
      </x:c>
      <x:c r="Q11" s="29" t="str">
        <x:v>ASSUMPTION</x:v>
      </x:c>
    </x:row>
    <x:row r="12" ht="32.400001525878906" hidden="0" customHeight="1">
      <x:c r="A12" s="27" t="str">
        <x:v>S08</x:v>
      </x:c>
      <x:c r="B12" s="27" t="str">
        <x:v>Life safety</x:v>
      </x:c>
      <x:c r="C12" s="27" t="str">
        <x:v>Doors and egress hardware</x:v>
      </x:c>
      <x:c r="D12" s="37" t="n">
        <x:v>7525.14</x:v>
      </x:c>
      <x:c r="E12" s="37" t="str">
        <x:v>m²</x:v>
      </x:c>
      <x:c r="F12" s="50" t="n">
        <x:v>0.45</x:v>
      </x:c>
      <x:c r="G12" s="37" t="n">
        <x:f>D12*F12/1000</x:f>
        <x:v>3.386313</x:v>
      </x:c>
      <x:c r="H12" s="50" t="n">
        <x:v>0.3</x:v>
      </x:c>
      <x:c r="I12" s="37" t="n">
        <x:f>D12*H12/1000</x:f>
        <x:v>2.257542</x:v>
      </x:c>
      <x:c r="J12" s="50" t="n">
        <x:v>0.18</x:v>
      </x:c>
      <x:c r="K12" s="37" t="n">
        <x:f>D12*J12/1000</x:f>
        <x:v>1.3545252</x:v>
      </x:c>
      <x:c r="L12" s="37" t="n">
        <x:v>300</x:v>
      </x:c>
      <x:c r="M12" s="37" t="n">
        <x:v>260</x:v>
      </x:c>
      <x:c r="N12" s="37" t="n">
        <x:v>220</x:v>
      </x:c>
      <x:c r="O12" s="27" t="str">
        <x:v>distributed allowance</x:v>
      </x:c>
      <x:c r="P12" s="27" t="str">
        <x:v>shelter</x:v>
      </x:c>
      <x:c r="Q12" s="27" t="str">
        <x:v>ASSUMPTION</x:v>
      </x:c>
    </x:row>
    <x:row r="13" ht="32.400001525878906" hidden="0" customHeight="1">
      <x:c r="A13" s="29" t="str">
        <x:v>S09</x:v>
      </x:c>
      <x:c r="B13" s="29" t="str">
        <x:v>Foundation</x:v>
      </x:c>
      <x:c r="C13" s="29" t="str">
        <x:v>Anchors and tie-downs</x:v>
      </x:c>
      <x:c r="D13" s="38" t="n">
        <x:v>7525.14</x:v>
      </x:c>
      <x:c r="E13" s="38" t="str">
        <x:v>m²</x:v>
      </x:c>
      <x:c r="F13" s="50" t="n">
        <x:v>1.2</x:v>
      </x:c>
      <x:c r="G13" s="38" t="n">
        <x:f>D13*F13/1000</x:f>
        <x:v>9.030168</x:v>
      </x:c>
      <x:c r="H13" s="50" t="n">
        <x:v>0.7</x:v>
      </x:c>
      <x:c r="I13" s="38" t="n">
        <x:f>D13*H13/1000</x:f>
        <x:v>5.267598</x:v>
      </x:c>
      <x:c r="J13" s="50" t="n">
        <x:v>0.3</x:v>
      </x:c>
      <x:c r="K13" s="38" t="n">
        <x:f>D13*J13/1000</x:f>
        <x:v>2.257542</x:v>
      </x:c>
      <x:c r="L13" s="38" t="n">
        <x:v>600</x:v>
      </x:c>
      <x:c r="M13" s="38" t="n">
        <x:v>550</x:v>
      </x:c>
      <x:c r="N13" s="38" t="n">
        <x:v>450</x:v>
      </x:c>
      <x:c r="O13" s="29" t="str">
        <x:v>site-specific system allowance</x:v>
      </x:c>
      <x:c r="P13" s="29" t="str">
        <x:v>shelter</x:v>
      </x:c>
      <x:c r="Q13" s="29" t="str">
        <x:v>ASSUMPTION</x:v>
      </x:c>
    </x:row>
    <x:row r="14" ht="32.400001525878906" hidden="0" customHeight="1">
      <x:c r="A14" s="27" t="str">
        <x:v>S10</x:v>
      </x:c>
      <x:c r="B14" s="27" t="str">
        <x:v>Foundation</x:v>
      </x:c>
      <x:c r="C14" s="27" t="str">
        <x:v>Ground adapters or ballast</x:v>
      </x:c>
      <x:c r="D14" s="37" t="n">
        <x:v>1</x:v>
      </x:c>
      <x:c r="E14" s="37" t="str">
        <x:v>district</x:v>
      </x:c>
      <x:c r="F14" s="50" t="n">
        <x:v>8000</x:v>
      </x:c>
      <x:c r="G14" s="37" t="n">
        <x:f>D14*F14/1000</x:f>
        <x:v>8</x:v>
      </x:c>
      <x:c r="H14" s="50" t="n">
        <x:v>4000</x:v>
      </x:c>
      <x:c r="I14" s="37" t="n">
        <x:f>D14*H14/1000</x:f>
        <x:v>4</x:v>
      </x:c>
      <x:c r="J14" s="50" t="n">
        <x:v>2000</x:v>
      </x:c>
      <x:c r="K14" s="37" t="n">
        <x:f>D14*J14/1000</x:f>
        <x:v>2</x:v>
      </x:c>
      <x:c r="L14" s="37" t="n">
        <x:v>800</x:v>
      </x:c>
      <x:c r="M14" s="37" t="n">
        <x:v>700</x:v>
      </x:c>
      <x:c r="N14" s="37" t="n">
        <x:v>550</x:v>
      </x:c>
      <x:c r="O14" s="27" t="str">
        <x:v>fixed mass screen</x:v>
      </x:c>
      <x:c r="P14" s="27" t="str">
        <x:v>shelter</x:v>
      </x:c>
      <x:c r="Q14" s="27" t="str">
        <x:v>ASSUMPTION</x:v>
      </x:c>
    </x:row>
    <x:row r="15" ht="54" hidden="0" customHeight="1">
      <x:c r="A15" s="29" t="str">
        <x:v>F01</x:v>
      </x:c>
      <x:c r="B15" s="29" t="str">
        <x:v>Furnishing</x:v>
      </x:c>
      <x:c r="C15" s="29" t="str">
        <x:v>Cots</x:v>
      </x:c>
      <x:c r="D15" s="38" t="n">
        <x:v>1000</x:v>
      </x:c>
      <x:c r="E15" s="38" t="str">
        <x:v>each</x:v>
      </x:c>
      <x:c r="F15" s="50" t="n">
        <x:v>18.14</x:v>
      </x:c>
      <x:c r="G15" s="38" t="n">
        <x:f>D15*F15/1000</x:f>
        <x:v>18.14</x:v>
      </x:c>
      <x:c r="H15" s="50" t="n">
        <x:v>10</x:v>
      </x:c>
      <x:c r="I15" s="38" t="n">
        <x:f>D15*H15/1000</x:f>
        <x:v>10</x:v>
      </x:c>
      <x:c r="J15" s="50" t="n">
        <x:v>5</x:v>
      </x:c>
      <x:c r="K15" s="38" t="n">
        <x:f>D15*J15/1000</x:f>
        <x:v>5</x:v>
      </x:c>
      <x:c r="L15" s="38" t="n">
        <x:v>180</x:v>
      </x:c>
      <x:c r="M15" s="38" t="n">
        <x:v>160</x:v>
      </x:c>
      <x:c r="N15" s="38" t="n">
        <x:v>130</x:v>
      </x:c>
      <x:c r="O15" s="29" t="str">
        <x:v>FEMA current cot ≤40 lb; future cases are targets</x:v>
      </x:c>
      <x:c r="P15" s="29" t="str">
        <x:v>shelter</x:v>
      </x:c>
      <x:c r="Q15" s="29" t="str">
        <x:v>SOURCE ANCHOR</x:v>
      </x:c>
    </x:row>
    <x:row r="16" ht="32.400001525878906" hidden="0" customHeight="1">
      <x:c r="A16" s="27" t="str">
        <x:v>F02</x:v>
      </x:c>
      <x:c r="B16" s="27" t="str">
        <x:v>Furnishing</x:v>
      </x:c>
      <x:c r="C16" s="27" t="str">
        <x:v>Bedding, privacy and storage</x:v>
      </x:c>
      <x:c r="D16" s="37" t="n">
        <x:v>1</x:v>
      </x:c>
      <x:c r="E16" s="37" t="str">
        <x:v>district</x:v>
      </x:c>
      <x:c r="F16" s="50" t="n">
        <x:v>12000</x:v>
      </x:c>
      <x:c r="G16" s="37" t="n">
        <x:f>D16*F16/1000</x:f>
        <x:v>12</x:v>
      </x:c>
      <x:c r="H16" s="50" t="n">
        <x:v>7000</x:v>
      </x:c>
      <x:c r="I16" s="37" t="n">
        <x:f>D16*H16/1000</x:f>
        <x:v>7</x:v>
      </x:c>
      <x:c r="J16" s="50" t="n">
        <x:v>4000</x:v>
      </x:c>
      <x:c r="K16" s="37" t="n">
        <x:f>D16*J16/1000</x:f>
        <x:v>4</x:v>
      </x:c>
      <x:c r="L16" s="37" t="n">
        <x:v>140</x:v>
      </x:c>
      <x:c r="M16" s="37" t="n">
        <x:v>120</x:v>
      </x:c>
      <x:c r="N16" s="37" t="n">
        <x:v>100</x:v>
      </x:c>
      <x:c r="O16" s="27" t="str">
        <x:v>fixed mass screen</x:v>
      </x:c>
      <x:c r="P16" s="27" t="str">
        <x:v>shelter</x:v>
      </x:c>
      <x:c r="Q16" s="27" t="str">
        <x:v>ASSUMPTION</x:v>
      </x:c>
    </x:row>
    <x:row r="17" ht="43.20000076293945" hidden="0" customHeight="1">
      <x:c r="A17" s="29" t="str">
        <x:v>F03</x:v>
      </x:c>
      <x:c r="B17" s="29" t="str">
        <x:v>Access</x:v>
      </x:c>
      <x:c r="C17" s="29" t="str">
        <x:v>Accessibility equipment</x:v>
      </x:c>
      <x:c r="D17" s="38" t="n">
        <x:v>1</x:v>
      </x:c>
      <x:c r="E17" s="38" t="str">
        <x:v>district</x:v>
      </x:c>
      <x:c r="F17" s="50" t="n">
        <x:v>4000</x:v>
      </x:c>
      <x:c r="G17" s="38" t="n">
        <x:f>D17*F17/1000</x:f>
        <x:v>4</x:v>
      </x:c>
      <x:c r="H17" s="50" t="n">
        <x:v>3000</x:v>
      </x:c>
      <x:c r="I17" s="38" t="n">
        <x:f>D17*H17/1000</x:f>
        <x:v>3</x:v>
      </x:c>
      <x:c r="J17" s="50" t="n">
        <x:v>2000</x:v>
      </x:c>
      <x:c r="K17" s="38" t="n">
        <x:f>D17*J17/1000</x:f>
        <x:v>2</x:v>
      </x:c>
      <x:c r="L17" s="38" t="n">
        <x:v>220</x:v>
      </x:c>
      <x:c r="M17" s="38" t="n">
        <x:v>200</x:v>
      </x:c>
      <x:c r="N17" s="38" t="n">
        <x:v>180</x:v>
      </x:c>
      <x:c r="O17" s="29" t="str">
        <x:v>transfer, charging and support equipment</x:v>
      </x:c>
      <x:c r="P17" s="29" t="str">
        <x:v>shelter</x:v>
      </x:c>
      <x:c r="Q17" s="29" t="str">
        <x:v>ASSUMPTION</x:v>
      </x:c>
    </x:row>
    <x:row r="18" ht="21.600000381469727" hidden="0" customHeight="1">
      <x:c r="A18" s="27" t="str">
        <x:v>F04</x:v>
      </x:c>
      <x:c r="B18" s="27" t="str">
        <x:v>Furnishing</x:v>
      </x:c>
      <x:c r="C18" s="27" t="str">
        <x:v>Resident issue kits</x:v>
      </x:c>
      <x:c r="D18" s="37" t="n">
        <x:v>1</x:v>
      </x:c>
      <x:c r="E18" s="37" t="str">
        <x:v>district</x:v>
      </x:c>
      <x:c r="F18" s="50" t="n">
        <x:v>5000</x:v>
      </x:c>
      <x:c r="G18" s="37" t="n">
        <x:f>D18*F18/1000</x:f>
        <x:v>5</x:v>
      </x:c>
      <x:c r="H18" s="50" t="n">
        <x:v>4000</x:v>
      </x:c>
      <x:c r="I18" s="37" t="n">
        <x:f>D18*H18/1000</x:f>
        <x:v>4</x:v>
      </x:c>
      <x:c r="J18" s="50" t="n">
        <x:v>3000</x:v>
      </x:c>
      <x:c r="K18" s="37" t="n">
        <x:f>D18*J18/1000</x:f>
        <x:v>3</x:v>
      </x:c>
      <x:c r="L18" s="37" t="n">
        <x:v>180</x:v>
      </x:c>
      <x:c r="M18" s="37" t="n">
        <x:v>160</x:v>
      </x:c>
      <x:c r="N18" s="37" t="n">
        <x:v>140</x:v>
      </x:c>
      <x:c r="O18" s="27" t="str">
        <x:v>seventy-two-hour issue</x:v>
      </x:c>
      <x:c r="P18" s="27" t="str">
        <x:v>shelter</x:v>
      </x:c>
      <x:c r="Q18" s="27" t="str">
        <x:v>ASSUMPTION</x:v>
      </x:c>
    </x:row>
    <x:row r="19" ht="43.20000076293945" hidden="0" customHeight="1">
      <x:c r="A19" s="29" t="str">
        <x:v>T01</x:v>
      </x:c>
      <x:c r="B19" s="29" t="str">
        <x:v>Thermal</x:v>
      </x:c>
      <x:c r="C19" s="29" t="str">
        <x:v>Heat-pump and air-handling modules</x:v>
      </x:c>
      <x:c r="D19" s="38" t="n">
        <x:v>1</x:v>
      </x:c>
      <x:c r="E19" s="38" t="str">
        <x:v>district</x:v>
      </x:c>
      <x:c r="F19" s="50" t="n">
        <x:v>20000</x:v>
      </x:c>
      <x:c r="G19" s="38" t="n">
        <x:f>D19*F19/1000</x:f>
        <x:v>20</x:v>
      </x:c>
      <x:c r="H19" s="50" t="n">
        <x:v>12000</x:v>
      </x:c>
      <x:c r="I19" s="38" t="n">
        <x:f>D19*H19/1000</x:f>
        <x:v>12</x:v>
      </x:c>
      <x:c r="J19" s="50" t="n">
        <x:v>6000</x:v>
      </x:c>
      <x:c r="K19" s="38" t="n">
        <x:f>D19*J19/1000</x:f>
        <x:v>6</x:v>
      </x:c>
      <x:c r="L19" s="38" t="n">
        <x:v>280</x:v>
      </x:c>
      <x:c r="M19" s="38" t="n">
        <x:v>240</x:v>
      </x:c>
      <x:c r="N19" s="38" t="n">
        <x:v>180</x:v>
      </x:c>
      <x:c r="O19" s="29" t="str">
        <x:v>district thermal-load screen</x:v>
      </x:c>
      <x:c r="P19" s="29" t="str">
        <x:v>shelter</x:v>
      </x:c>
      <x:c r="Q19" s="29" t="str">
        <x:v>ASSUMPTION</x:v>
      </x:c>
    </x:row>
    <x:row r="20" ht="32.400001525878906" hidden="0" customHeight="1">
      <x:c r="A20" s="27" t="str">
        <x:v>T02</x:v>
      </x:c>
      <x:c r="B20" s="27" t="str">
        <x:v>Thermal</x:v>
      </x:c>
      <x:c r="C20" s="27" t="str">
        <x:v>Ducts and plenums</x:v>
      </x:c>
      <x:c r="D20" s="37" t="n">
        <x:v>1</x:v>
      </x:c>
      <x:c r="E20" s="37" t="str">
        <x:v>district</x:v>
      </x:c>
      <x:c r="F20" s="50" t="n">
        <x:v>4000</x:v>
      </x:c>
      <x:c r="G20" s="37" t="n">
        <x:f>D20*F20/1000</x:f>
        <x:v>4</x:v>
      </x:c>
      <x:c r="H20" s="50" t="n">
        <x:v>2000</x:v>
      </x:c>
      <x:c r="I20" s="37" t="n">
        <x:f>D20*H20/1000</x:f>
        <x:v>2</x:v>
      </x:c>
      <x:c r="J20" s="50" t="n">
        <x:v>1000</x:v>
      </x:c>
      <x:c r="K20" s="37" t="n">
        <x:f>D20*J20/1000</x:f>
        <x:v>1</x:v>
      </x:c>
      <x:c r="L20" s="37" t="n">
        <x:v>80</x:v>
      </x:c>
      <x:c r="M20" s="37" t="n">
        <x:v>70</x:v>
      </x:c>
      <x:c r="N20" s="37" t="n">
        <x:v>60</x:v>
      </x:c>
      <x:c r="O20" s="27" t="str">
        <x:v>low-density packed system</x:v>
      </x:c>
      <x:c r="P20" s="27" t="str">
        <x:v>shelter</x:v>
      </x:c>
      <x:c r="Q20" s="27" t="str">
        <x:v>ASSUMPTION</x:v>
      </x:c>
    </x:row>
    <x:row r="21" ht="43.20000076293945" hidden="0" customHeight="1">
      <x:c r="A21" s="29" t="str">
        <x:v>T03</x:v>
      </x:c>
      <x:c r="B21" s="29" t="str">
        <x:v>Clean air</x:v>
      </x:c>
      <x:c r="C21" s="29" t="str">
        <x:v>Filtration modules and replacements</x:v>
      </x:c>
      <x:c r="D21" s="38" t="n">
        <x:v>1</x:v>
      </x:c>
      <x:c r="E21" s="38" t="str">
        <x:v>district</x:v>
      </x:c>
      <x:c r="F21" s="50" t="n">
        <x:v>4000</x:v>
      </x:c>
      <x:c r="G21" s="38" t="n">
        <x:f>D21*F21/1000</x:f>
        <x:v>4</x:v>
      </x:c>
      <x:c r="H21" s="50" t="n">
        <x:v>2500</x:v>
      </x:c>
      <x:c r="I21" s="38" t="n">
        <x:f>D21*H21/1000</x:f>
        <x:v>2.5</x:v>
      </x:c>
      <x:c r="J21" s="50" t="n">
        <x:v>1500</x:v>
      </x:c>
      <x:c r="K21" s="38" t="n">
        <x:f>D21*J21/1000</x:f>
        <x:v>1.5</x:v>
      </x:c>
      <x:c r="L21" s="38" t="n">
        <x:v>150</x:v>
      </x:c>
      <x:c r="M21" s="38" t="n">
        <x:v>130</x:v>
      </x:c>
      <x:c r="N21" s="38" t="n">
        <x:v>110</x:v>
      </x:c>
      <x:c r="O21" s="29" t="str">
        <x:v>smoke and pathogen control</x:v>
      </x:c>
      <x:c r="P21" s="29" t="str">
        <x:v>shelter</x:v>
      </x:c>
      <x:c r="Q21" s="29" t="str">
        <x:v>ASSUMPTION</x:v>
      </x:c>
    </x:row>
    <x:row r="22" ht="32.400001525878906" hidden="0" customHeight="1">
      <x:c r="A22" s="27" t="str">
        <x:v>E01</x:v>
      </x:c>
      <x:c r="B22" s="27" t="str">
        <x:v>Electrical</x:v>
      </x:c>
      <x:c r="C22" s="27" t="str">
        <x:v>Local electrical distribution</x:v>
      </x:c>
      <x:c r="D22" s="37" t="n">
        <x:v>1</x:v>
      </x:c>
      <x:c r="E22" s="37" t="str">
        <x:v>district</x:v>
      </x:c>
      <x:c r="F22" s="50" t="n">
        <x:v>5000</x:v>
      </x:c>
      <x:c r="G22" s="37" t="n">
        <x:f>D22*F22/1000</x:f>
        <x:v>5</x:v>
      </x:c>
      <x:c r="H22" s="50" t="n">
        <x:v>3500</x:v>
      </x:c>
      <x:c r="I22" s="37" t="n">
        <x:f>D22*H22/1000</x:f>
        <x:v>3.5</x:v>
      </x:c>
      <x:c r="J22" s="50" t="n">
        <x:v>2000</x:v>
      </x:c>
      <x:c r="K22" s="37" t="n">
        <x:f>D22*J22/1000</x:f>
        <x:v>2</x:v>
      </x:c>
      <x:c r="L22" s="37" t="n">
        <x:v>350</x:v>
      </x:c>
      <x:c r="M22" s="37" t="n">
        <x:v>320</x:v>
      </x:c>
      <x:c r="N22" s="37" t="n">
        <x:v>280</x:v>
      </x:c>
      <x:c r="O22" s="27" t="str">
        <x:v>inside district boundary</x:v>
      </x:c>
      <x:c r="P22" s="27" t="str">
        <x:v>shelter</x:v>
      </x:c>
      <x:c r="Q22" s="27" t="str">
        <x:v>ASSUMPTION</x:v>
      </x:c>
    </x:row>
    <x:row r="23" ht="21.600000381469727" hidden="0" customHeight="1">
      <x:c r="A23" s="29" t="str">
        <x:v>E02</x:v>
      </x:c>
      <x:c r="B23" s="29" t="str">
        <x:v>Electrical</x:v>
      </x:c>
      <x:c r="C23" s="29" t="str">
        <x:v>Lighting and outlets</x:v>
      </x:c>
      <x:c r="D23" s="38" t="n">
        <x:v>1</x:v>
      </x:c>
      <x:c r="E23" s="38" t="str">
        <x:v>district</x:v>
      </x:c>
      <x:c r="F23" s="50" t="n">
        <x:v>3000</x:v>
      </x:c>
      <x:c r="G23" s="38" t="n">
        <x:f>D23*F23/1000</x:f>
        <x:v>3</x:v>
      </x:c>
      <x:c r="H23" s="50" t="n">
        <x:v>2000</x:v>
      </x:c>
      <x:c r="I23" s="38" t="n">
        <x:f>D23*H23/1000</x:f>
        <x:v>2</x:v>
      </x:c>
      <x:c r="J23" s="50" t="n">
        <x:v>1000</x:v>
      </x:c>
      <x:c r="K23" s="38" t="n">
        <x:f>D23*J23/1000</x:f>
        <x:v>1</x:v>
      </x:c>
      <x:c r="L23" s="38" t="n">
        <x:v>220</x:v>
      </x:c>
      <x:c r="M23" s="38" t="n">
        <x:v>200</x:v>
      </x:c>
      <x:c r="N23" s="38" t="n">
        <x:v>180</x:v>
      </x:c>
      <x:c r="O23" s="29" t="str">
        <x:v>full floor-area service</x:v>
      </x:c>
      <x:c r="P23" s="29" t="str">
        <x:v>shelter</x:v>
      </x:c>
      <x:c r="Q23" s="29" t="str">
        <x:v>ASSUMPTION</x:v>
      </x:c>
    </x:row>
    <x:row r="24" ht="32.400001525878906" hidden="0" customHeight="1">
      <x:c r="A24" s="27" t="str">
        <x:v>L01</x:v>
      </x:c>
      <x:c r="B24" s="27" t="str">
        <x:v>Life safety</x:v>
      </x:c>
      <x:c r="C24" s="27" t="str">
        <x:v>Detection and local suppression</x:v>
      </x:c>
      <x:c r="D24" s="37" t="n">
        <x:v>1</x:v>
      </x:c>
      <x:c r="E24" s="37" t="str">
        <x:v>district</x:v>
      </x:c>
      <x:c r="F24" s="50" t="n">
        <x:v>5000</x:v>
      </x:c>
      <x:c r="G24" s="37" t="n">
        <x:f>D24*F24/1000</x:f>
        <x:v>5</x:v>
      </x:c>
      <x:c r="H24" s="50" t="n">
        <x:v>3000</x:v>
      </x:c>
      <x:c r="I24" s="37" t="n">
        <x:f>D24*H24/1000</x:f>
        <x:v>3</x:v>
      </x:c>
      <x:c r="J24" s="50" t="n">
        <x:v>2000</x:v>
      </x:c>
      <x:c r="K24" s="37" t="n">
        <x:f>D24*J24/1000</x:f>
        <x:v>2</x:v>
      </x:c>
      <x:c r="L24" s="37" t="n">
        <x:v>300</x:v>
      </x:c>
      <x:c r="M24" s="37" t="n">
        <x:v>260</x:v>
      </x:c>
      <x:c r="N24" s="37" t="n">
        <x:v>220</x:v>
      </x:c>
      <x:c r="O24" s="27" t="str">
        <x:v>not central fire-service capacity</x:v>
      </x:c>
      <x:c r="P24" s="27" t="str">
        <x:v>shelter</x:v>
      </x:c>
      <x:c r="Q24" s="27" t="str">
        <x:v>ASSUMPTION</x:v>
      </x:c>
    </x:row>
    <x:row r="25" ht="43.20000076293945" hidden="0" customHeight="1">
      <x:c r="A25" s="29" t="str">
        <x:v>D01</x:v>
      </x:c>
      <x:c r="B25" s="29" t="str">
        <x:v>Data</x:v>
      </x:c>
      <x:c r="C25" s="29" t="str">
        <x:v>Command, data and public address</x:v>
      </x:c>
      <x:c r="D25" s="38" t="n">
        <x:v>1</x:v>
      </x:c>
      <x:c r="E25" s="38" t="str">
        <x:v>district</x:v>
      </x:c>
      <x:c r="F25" s="50" t="n">
        <x:v>3000</x:v>
      </x:c>
      <x:c r="G25" s="38" t="n">
        <x:f>D25*F25/1000</x:f>
        <x:v>3</x:v>
      </x:c>
      <x:c r="H25" s="50" t="n">
        <x:v>2000</x:v>
      </x:c>
      <x:c r="I25" s="38" t="n">
        <x:f>D25*H25/1000</x:f>
        <x:v>2</x:v>
      </x:c>
      <x:c r="J25" s="50" t="n">
        <x:v>1000</x:v>
      </x:c>
      <x:c r="K25" s="38" t="n">
        <x:f>D25*J25/1000</x:f>
        <x:v>1</x:v>
      </x:c>
      <x:c r="L25" s="38" t="n">
        <x:v>250</x:v>
      </x:c>
      <x:c r="M25" s="38" t="n">
        <x:v>220</x:v>
      </x:c>
      <x:c r="N25" s="38" t="n">
        <x:v>180</x:v>
      </x:c>
      <x:c r="O25" s="29" t="str">
        <x:v>offline district node</x:v>
      </x:c>
      <x:c r="P25" s="29" t="str">
        <x:v>shelter</x:v>
      </x:c>
      <x:c r="Q25" s="29" t="str">
        <x:v>ASSUMPTION</x:v>
      </x:c>
    </x:row>
    <x:row r="26" ht="32.400001525878906" hidden="0" customHeight="1">
      <x:c r="A26" s="27" t="str">
        <x:v>D02</x:v>
      </x:c>
      <x:c r="B26" s="27" t="str">
        <x:v>Data</x:v>
      </x:c>
      <x:c r="C26" s="27" t="str">
        <x:v>Environmental sensors and metering</x:v>
      </x:c>
      <x:c r="D26" s="37" t="n">
        <x:v>1</x:v>
      </x:c>
      <x:c r="E26" s="37" t="str">
        <x:v>district</x:v>
      </x:c>
      <x:c r="F26" s="50" t="n">
        <x:v>2000</x:v>
      </x:c>
      <x:c r="G26" s="37" t="n">
        <x:f>D26*F26/1000</x:f>
        <x:v>2</x:v>
      </x:c>
      <x:c r="H26" s="50" t="n">
        <x:v>1000</x:v>
      </x:c>
      <x:c r="I26" s="37" t="n">
        <x:f>D26*H26/1000</x:f>
        <x:v>1</x:v>
      </x:c>
      <x:c r="J26" s="50" t="n">
        <x:v>500</x:v>
      </x:c>
      <x:c r="K26" s="37" t="n">
        <x:f>D26*J26/1000</x:f>
        <x:v>0.5</x:v>
      </x:c>
      <x:c r="L26" s="37" t="n">
        <x:v>250</x:v>
      </x:c>
      <x:c r="M26" s="37" t="n">
        <x:v>220</x:v>
      </x:c>
      <x:c r="N26" s="37" t="n">
        <x:v>180</x:v>
      </x:c>
      <x:c r="O26" s="27" t="str">
        <x:v>quality and release evidence</x:v>
      </x:c>
      <x:c r="P26" s="27" t="str">
        <x:v>shelter</x:v>
      </x:c>
      <x:c r="Q26" s="27" t="str">
        <x:v>ASSUMPTION</x:v>
      </x:c>
    </x:row>
    <x:row r="27" ht="21.600000381469727" hidden="0" customHeight="1">
      <x:c r="A27" s="29" t="str">
        <x:v>P01</x:v>
      </x:c>
      <x:c r="B27" s="29" t="str">
        <x:v>Site</x:v>
      </x:c>
      <x:c r="C27" s="29" t="str">
        <x:v>Survey and marking kit</x:v>
      </x:c>
      <x:c r="D27" s="38" t="n">
        <x:v>1</x:v>
      </x:c>
      <x:c r="E27" s="38" t="str">
        <x:v>district</x:v>
      </x:c>
      <x:c r="F27" s="50" t="n">
        <x:v>500</x:v>
      </x:c>
      <x:c r="G27" s="38" t="n">
        <x:f>D27*F27/1000</x:f>
        <x:v>0.5</x:v>
      </x:c>
      <x:c r="H27" s="50" t="n">
        <x:v>400</x:v>
      </x:c>
      <x:c r="I27" s="38" t="n">
        <x:f>D27*H27/1000</x:f>
        <x:v>0.4</x:v>
      </x:c>
      <x:c r="J27" s="50" t="n">
        <x:v>300</x:v>
      </x:c>
      <x:c r="K27" s="38" t="n">
        <x:f>D27*J27/1000</x:f>
        <x:v>0.3</x:v>
      </x:c>
      <x:c r="L27" s="38" t="n">
        <x:v>500</x:v>
      </x:c>
      <x:c r="M27" s="38" t="n">
        <x:v>450</x:v>
      </x:c>
      <x:c r="N27" s="38" t="n">
        <x:v>400</x:v>
      </x:c>
      <x:c r="O27" s="29" t="str">
        <x:v>mobile allocation</x:v>
      </x:c>
      <x:c r="P27" s="29" t="str">
        <x:v>shelter</x:v>
      </x:c>
      <x:c r="Q27" s="29" t="str">
        <x:v>ASSUMPTION</x:v>
      </x:c>
    </x:row>
    <x:row r="28" ht="43.20000076293945" hidden="0" customHeight="1">
      <x:c r="A28" s="27" t="str">
        <x:v>P02</x:v>
      </x:c>
      <x:c r="B28" s="27" t="str">
        <x:v>Site</x:v>
      </x:c>
      <x:c r="C28" s="27" t="str">
        <x:v>Grading and drainage equipment allocation</x:v>
      </x:c>
      <x:c r="D28" s="37" t="n">
        <x:v>1</x:v>
      </x:c>
      <x:c r="E28" s="37" t="str">
        <x:v>district</x:v>
      </x:c>
      <x:c r="F28" s="50" t="n">
        <x:v>12000</x:v>
      </x:c>
      <x:c r="G28" s="37" t="n">
        <x:f>D28*F28/1000</x:f>
        <x:v>12</x:v>
      </x:c>
      <x:c r="H28" s="50" t="n">
        <x:v>8000</x:v>
      </x:c>
      <x:c r="I28" s="37" t="n">
        <x:f>D28*H28/1000</x:f>
        <x:v>8</x:v>
      </x:c>
      <x:c r="J28" s="50" t="n">
        <x:v>4000</x:v>
      </x:c>
      <x:c r="K28" s="37" t="n">
        <x:f>D28*J28/1000</x:f>
        <x:v>4</x:v>
      </x:c>
      <x:c r="L28" s="37" t="n">
        <x:v>700</x:v>
      </x:c>
      <x:c r="M28" s="37" t="n">
        <x:v>650</x:v>
      </x:c>
      <x:c r="N28" s="37" t="n">
        <x:v>550</x:v>
      </x:c>
      <x:c r="O28" s="27" t="str">
        <x:v>share of reusable machines</x:v>
      </x:c>
      <x:c r="P28" s="27" t="str">
        <x:v>shelter</x:v>
      </x:c>
      <x:c r="Q28" s="27" t="str">
        <x:v>ASSUMPTION</x:v>
      </x:c>
    </x:row>
    <x:row r="29" ht="43.20000076293945" hidden="0" customHeight="1">
      <x:c r="A29" s="29" t="str">
        <x:v>P03</x:v>
      </x:c>
      <x:c r="B29" s="29" t="str">
        <x:v>Site</x:v>
      </x:c>
      <x:c r="C29" s="29" t="str">
        <x:v>Drainage, mats and ground protection</x:v>
      </x:c>
      <x:c r="D29" s="38" t="n">
        <x:v>1</x:v>
      </x:c>
      <x:c r="E29" s="38" t="str">
        <x:v>district</x:v>
      </x:c>
      <x:c r="F29" s="50" t="n">
        <x:v>10000</x:v>
      </x:c>
      <x:c r="G29" s="38" t="n">
        <x:f>D29*F29/1000</x:f>
        <x:v>10</x:v>
      </x:c>
      <x:c r="H29" s="50" t="n">
        <x:v>6000</x:v>
      </x:c>
      <x:c r="I29" s="38" t="n">
        <x:f>D29*H29/1000</x:f>
        <x:v>6</x:v>
      </x:c>
      <x:c r="J29" s="50" t="n">
        <x:v>3000</x:v>
      </x:c>
      <x:c r="K29" s="38" t="n">
        <x:f>D29*J29/1000</x:f>
        <x:v>3</x:v>
      </x:c>
      <x:c r="L29" s="38" t="n">
        <x:v>450</x:v>
      </x:c>
      <x:c r="M29" s="38" t="n">
        <x:v>400</x:v>
      </x:c>
      <x:c r="N29" s="38" t="n">
        <x:v>330</x:v>
      </x:c>
      <x:c r="O29" s="29" t="str">
        <x:v>consumable/recoverable mix</x:v>
      </x:c>
      <x:c r="P29" s="29" t="str">
        <x:v>shelter</x:v>
      </x:c>
      <x:c r="Q29" s="29" t="str">
        <x:v>ASSUMPTION</x:v>
      </x:c>
    </x:row>
    <x:row r="30" ht="32.400001525878906" hidden="0" customHeight="1">
      <x:c r="A30" s="27" t="str">
        <x:v>P04</x:v>
      </x:c>
      <x:c r="B30" s="27" t="str">
        <x:v>Install</x:v>
      </x:c>
      <x:c r="C30" s="27" t="str">
        <x:v>Installation robots and tools</x:v>
      </x:c>
      <x:c r="D30" s="37" t="n">
        <x:v>1</x:v>
      </x:c>
      <x:c r="E30" s="37" t="str">
        <x:v>district</x:v>
      </x:c>
      <x:c r="F30" s="50" t="n">
        <x:v>8000</x:v>
      </x:c>
      <x:c r="G30" s="37" t="n">
        <x:f>D30*F30/1000</x:f>
        <x:v>8</x:v>
      </x:c>
      <x:c r="H30" s="50" t="n">
        <x:v>6000</x:v>
      </x:c>
      <x:c r="I30" s="37" t="n">
        <x:f>D30*H30/1000</x:f>
        <x:v>6</x:v>
      </x:c>
      <x:c r="J30" s="50" t="n">
        <x:v>4000</x:v>
      </x:c>
      <x:c r="K30" s="37" t="n">
        <x:f>D30*J30/1000</x:f>
        <x:v>4</x:v>
      </x:c>
      <x:c r="L30" s="37" t="n">
        <x:v>450</x:v>
      </x:c>
      <x:c r="M30" s="37" t="n">
        <x:v>400</x:v>
      </x:c>
      <x:c r="N30" s="37" t="n">
        <x:v>330</x:v>
      </x:c>
      <x:c r="O30" s="27" t="str">
        <x:v>crew-equipment allocation</x:v>
      </x:c>
      <x:c r="P30" s="27" t="str">
        <x:v>shelter</x:v>
      </x:c>
      <x:c r="Q30" s="27" t="str">
        <x:v>ASSUMPTION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45" hidden="0" customWidth="1"/>
  </x:cols>
  <x:sheetData>
    <x:row r="1" ht="29" customHeight="1">
      <x:c r="A1" s="72" t="str">
        <x:v>District shelter mass</x:v>
      </x:c>
      <x:c r="B1" s="72"/>
      <x:c r="C1" s="72"/>
      <x:c r="D1" s="72"/>
      <x:c r="E1" s="72"/>
      <x:c r="F1" s="72"/>
      <x:c r="G1" s="72"/>
      <x:c r="H1" s="72"/>
      <x:c r="I1" s="72"/>
      <x:c r="J1" s="72"/>
      <x:c r="K1" s="72"/>
    </x:row>
    <x:row r="2" ht="27" customHeight="1">
      <x:c r="A2" s="73" t="str">
        <x:v>Functional mass plus spares and packaging. This replaces the shelter line only; other PCC services remain in their Pass 29 accounts.</x:v>
      </x:c>
      <x:c r="B2" s="73"/>
      <x:c r="C2" s="73"/>
      <x:c r="D2" s="73"/>
      <x:c r="E2" s="73"/>
      <x:c r="F2" s="73"/>
      <x:c r="G2" s="73"/>
      <x:c r="H2" s="73"/>
      <x:c r="I2" s="73"/>
      <x:c r="J2" s="73"/>
      <x:c r="K2" s="73"/>
    </x:row>
    <x:row r="3">
      <x:c r="A3" s="74"/>
      <x:c r="B3" s="74"/>
      <x:c r="C3" s="74"/>
      <x:c r="D3" s="74"/>
      <x:c r="E3" s="74"/>
      <x:c r="F3" s="74"/>
      <x:c r="G3" s="74"/>
      <x:c r="H3" s="74"/>
      <x:c r="I3" s="74"/>
      <x:c r="J3" s="74"/>
      <x:c r="K3" s="74"/>
    </x:row>
    <x:row r="4" ht="30" customHeight="1">
      <x:c r="A4" s="75" t="str">
        <x:v>System</x:v>
      </x:c>
      <x:c r="B4" s="76" t="str">
        <x:v>Current t</x:v>
      </x:c>
      <x:c r="C4" s="76" t="str">
        <x:v>Advanced t</x:v>
      </x:c>
      <x:c r="D4" s="76" t="str">
        <x:v>Transform t</x:v>
      </x:c>
      <x:c r="E4" s="76" t="str">
        <x:v>Current kg/person</x:v>
      </x:c>
      <x:c r="F4" s="76" t="str">
        <x:v>Advanced kg/person</x:v>
      </x:c>
      <x:c r="G4" s="76" t="str">
        <x:v>Transform kg/person</x:v>
      </x:c>
      <x:c r="H4" s="76" t="str">
        <x:v>Current kg/m²</x:v>
      </x:c>
      <x:c r="I4" s="76" t="str">
        <x:v>Advanced kg/m²</x:v>
      </x:c>
      <x:c r="J4" s="76" t="str">
        <x:v>Transform kg/m²</x:v>
      </x:c>
      <x:c r="K4" s="77" t="str">
        <x:v>Interpretation</x:v>
      </x:c>
    </x:row>
    <x:row r="5" ht="15" hidden="0" customHeight="1">
      <x:c r="A5" s="28" t="str">
        <x:v>Envelope</x:v>
      </x:c>
      <x:c r="B5" s="36" t="n">
        <x:f>SUMIF('Component BOM'!$B$5:$B$30,A5,'Component BOM'!$G$5:$G$30)</x:f>
        <x:v>25.021095000000003</x:v>
      </x:c>
      <x:c r="C5" s="36" t="n">
        <x:f>SUMIF('Component BOM'!$B$5:$B$30,A5,'Component BOM'!$I$5:$I$30)</x:f>
        <x:v>15.520604500000001</x:v>
      </x:c>
      <x:c r="D5" s="36" t="n">
        <x:f>SUMIF('Component BOM'!$B$5:$B$30,A5,'Component BOM'!$K$5:$K$30)</x:f>
        <x:v>7.8073345</x:v>
      </x:c>
      <x:c r="E5" s="36" t="n">
        <x:f>B5*1000/'Controls'!B5</x:f>
        <x:v>25.021095000000003</x:v>
      </x:c>
      <x:c r="F5" s="36" t="n">
        <x:f>C5*1000/'Controls'!B5</x:f>
        <x:v>15.520604500000001</x:v>
      </x:c>
      <x:c r="G5" s="36" t="n">
        <x:f>D5*1000/'Controls'!B5</x:f>
        <x:v>7.8073345</x:v>
      </x:c>
      <x:c r="H5" s="36" t="n">
        <x:f>B5*1000/'District Geometry'!C10</x:f>
        <x:v>3.3249992724390753</x:v>
      </x:c>
      <x:c r="I5" s="36" t="n">
        <x:f>C5*1000/'District Geometry'!C10</x:f>
        <x:v>2.0624996096419697</x:v>
      </x:c>
      <x:c r="J5" s="36" t="n">
        <x:f>D5*1000/'District Geometry'!C10</x:f>
        <x:v>1.0374998189403177</x:v>
      </x:c>
      <x:c r="K5" s="28"/>
    </x:row>
    <x:row r="6" ht="15" hidden="0" customHeight="1">
      <x:c r="A6" s="27" t="str">
        <x:v>Structure</x:v>
      </x:c>
      <x:c r="B6" s="37" t="n">
        <x:f>SUMIF('Component BOM'!$B$5:$B$30,A6,'Component BOM'!$G$5:$G$30)</x:f>
        <x:v>15.05028</x:v>
      </x:c>
      <x:c r="C6" s="37" t="n">
        <x:f>SUMIF('Component BOM'!$B$5:$B$30,A6,'Component BOM'!$I$5:$I$30)</x:f>
        <x:v>9.030168</x:v>
      </x:c>
      <x:c r="D6" s="37" t="n">
        <x:f>SUMIF('Component BOM'!$B$5:$B$30,A6,'Component BOM'!$K$5:$K$30)</x:f>
        <x:v>4.138827</x:v>
      </x:c>
      <x:c r="E6" s="37" t="n">
        <x:f>B6*1000/'Controls'!B5</x:f>
        <x:v>15.05028</x:v>
      </x:c>
      <x:c r="F6" s="37" t="n">
        <x:f>C6*1000/'Controls'!B5</x:f>
        <x:v>9.030168</x:v>
      </x:c>
      <x:c r="G6" s="37" t="n">
        <x:f>D6*1000/'Controls'!B5</x:f>
        <x:v>4.138827</x:v>
      </x:c>
      <x:c r="H6" s="37" t="n">
        <x:f>B6*1000/'District Geometry'!C10</x:f>
        <x:v>1.9999992026729592</x:v>
      </x:c>
      <x:c r="I6" s="37" t="n">
        <x:f>C6*1000/'District Geometry'!C10</x:f>
        <x:v>1.1999995216037755</x:v>
      </x:c>
      <x:c r="J6" s="37" t="n">
        <x:f>D6*1000/'District Geometry'!C10</x:f>
        <x:v>0.5499997807350638</x:v>
      </x:c>
      <x:c r="K6" s="27"/>
    </x:row>
    <x:row r="7" ht="15" hidden="0" customHeight="1">
      <x:c r="A7" s="29" t="str">
        <x:v>Floor</x:v>
      </x:c>
      <x:c r="B7" s="38" t="n">
        <x:f>SUMIF('Component BOM'!$B$5:$B$30,A7,'Component BOM'!$G$5:$G$30)</x:f>
        <x:v>33.863130000000005</x:v>
      </x:c>
      <x:c r="C7" s="38" t="n">
        <x:f>SUMIF('Component BOM'!$B$5:$B$30,A7,'Component BOM'!$I$5:$I$30)</x:f>
        <x:v>21.070392</x:v>
      </x:c>
      <x:c r="D7" s="38" t="n">
        <x:f>SUMIF('Component BOM'!$B$5:$B$30,A7,'Component BOM'!$K$5:$K$30)</x:f>
        <x:v>9.030168</x:v>
      </x:c>
      <x:c r="E7" s="38" t="n">
        <x:f>B7*1000/'Controls'!B5</x:f>
        <x:v>33.863130000000005</x:v>
      </x:c>
      <x:c r="F7" s="38" t="n">
        <x:f>C7*1000/'Controls'!B5</x:f>
        <x:v>21.070392</x:v>
      </x:c>
      <x:c r="G7" s="38" t="n">
        <x:f>D7*1000/'Controls'!B5</x:f>
        <x:v>9.030168</x:v>
      </x:c>
      <x:c r="H7" s="38" t="n">
        <x:f>B7*1000/'District Geometry'!C10</x:f>
        <x:v>4.499998206014158</x:v>
      </x:c>
      <x:c r="I7" s="38" t="n">
        <x:f>C7*1000/'District Geometry'!C10</x:f>
        <x:v>2.799998883742143</x:v>
      </x:c>
      <x:c r="J7" s="38" t="n">
        <x:f>D7*1000/'District Geometry'!C10</x:f>
        <x:v>1.1999995216037755</x:v>
      </x:c>
      <x:c r="K7" s="29"/>
    </x:row>
    <x:row r="8" ht="15" hidden="0" customHeight="1">
      <x:c r="A8" s="27" t="str">
        <x:v>Access</x:v>
      </x:c>
      <x:c r="B8" s="37" t="n">
        <x:f>SUMIF('Component BOM'!$B$5:$B$30,A8,'Component BOM'!$G$5:$G$30)</x:f>
        <x:v>7.76257</x:v>
      </x:c>
      <x:c r="C8" s="37" t="n">
        <x:f>SUMIF('Component BOM'!$B$5:$B$30,A8,'Component BOM'!$I$5:$I$30)</x:f>
        <x:v>5.257542</x:v>
      </x:c>
      <x:c r="D8" s="37" t="n">
        <x:f>SUMIF('Component BOM'!$B$5:$B$30,A8,'Component BOM'!$K$5:$K$30)</x:f>
        <x:v>3.128771</x:v>
      </x:c>
      <x:c r="E8" s="37" t="n">
        <x:f>B8*1000/'Controls'!B5</x:f>
        <x:v>7.76257</x:v>
      </x:c>
      <x:c r="F8" s="37" t="n">
        <x:f>C8*1000/'Controls'!B5</x:f>
        <x:v>5.257542</x:v>
      </x:c>
      <x:c r="G8" s="37" t="n">
        <x:f>D8*1000/'Controls'!B5</x:f>
        <x:v>3.128771</x:v>
      </x:c>
      <x:c r="H8" s="37" t="n">
        <x:f>B8*1000/'District Geometry'!C10</x:f>
        <x:v>1.031551161220458</x:v>
      </x:c>
      <x:c r="I8" s="37" t="n">
        <x:f>C8*1000/'District Geometry'!C10</x:f>
        <x:v>0.6986634008151075</x:v>
      </x:c>
      <x:c r="J8" s="37" t="n">
        <x:f>D8*1000/'District Geometry'!C10</x:f>
        <x:v>0.415775620476581</x:v>
      </x:c>
      <x:c r="K8" s="27"/>
    </x:row>
    <x:row r="9" ht="15" hidden="0" customHeight="1">
      <x:c r="A9" s="29" t="str">
        <x:v>Interior</x:v>
      </x:c>
      <x:c r="B9" s="38" t="n">
        <x:f>SUMIF('Component BOM'!$B$5:$B$30,A9,'Component BOM'!$G$5:$G$30)</x:f>
        <x:v>7.52514</x:v>
      </x:c>
      <x:c r="C9" s="38" t="n">
        <x:f>SUMIF('Component BOM'!$B$5:$B$30,A9,'Component BOM'!$I$5:$I$30)</x:f>
        <x:v>4.515084</x:v>
      </x:c>
      <x:c r="D9" s="38" t="n">
        <x:f>SUMIF('Component BOM'!$B$5:$B$30,A9,'Component BOM'!$K$5:$K$30)</x:f>
        <x:v>2.257542</x:v>
      </x:c>
      <x:c r="E9" s="38" t="n">
        <x:f>B9*1000/'Controls'!B5</x:f>
        <x:v>7.52514</x:v>
      </x:c>
      <x:c r="F9" s="38" t="n">
        <x:f>C9*1000/'Controls'!B5</x:f>
        <x:v>4.515084</x:v>
      </x:c>
      <x:c r="G9" s="38" t="n">
        <x:f>D9*1000/'Controls'!B5</x:f>
        <x:v>2.257542</x:v>
      </x:c>
      <x:c r="H9" s="38" t="n">
        <x:f>B9*1000/'District Geometry'!C10</x:f>
        <x:v>0.9999996013364796</x:v>
      </x:c>
      <x:c r="I9" s="38" t="n">
        <x:f>C9*1000/'District Geometry'!C10</x:f>
        <x:v>0.5999997608018878</x:v>
      </x:c>
      <x:c r="J9" s="38" t="n">
        <x:f>D9*1000/'District Geometry'!C10</x:f>
        <x:v>0.2999998804009439</x:v>
      </x:c>
      <x:c r="K9" s="29"/>
    </x:row>
    <x:row r="10" ht="15" hidden="0" customHeight="1">
      <x:c r="A10" s="27" t="str">
        <x:v>Life safety</x:v>
      </x:c>
      <x:c r="B10" s="37" t="n">
        <x:f>SUMIF('Component BOM'!$B$5:$B$30,A10,'Component BOM'!$G$5:$G$30)</x:f>
        <x:v>8.386313</x:v>
      </x:c>
      <x:c r="C10" s="37" t="n">
        <x:f>SUMIF('Component BOM'!$B$5:$B$30,A10,'Component BOM'!$I$5:$I$30)</x:f>
        <x:v>5.257542</x:v>
      </x:c>
      <x:c r="D10" s="37" t="n">
        <x:f>SUMIF('Component BOM'!$B$5:$B$30,A10,'Component BOM'!$K$5:$K$30)</x:f>
        <x:v>3.3545252000000003</x:v>
      </x:c>
      <x:c r="E10" s="37" t="n">
        <x:f>B10*1000/'Controls'!B5</x:f>
        <x:v>8.386313</x:v>
      </x:c>
      <x:c r="F10" s="37" t="n">
        <x:f>C10*1000/'Controls'!B5</x:f>
        <x:v>5.257542</x:v>
      </x:c>
      <x:c r="G10" s="37" t="n">
        <x:f>D10*1000/'Controls'!B5</x:f>
        <x:v>3.3545252000000003</x:v>
      </x:c>
      <x:c r="H10" s="37" t="n">
        <x:f>B10*1000/'District Geometry'!C10</x:f>
        <x:v>1.1144390212916884</x:v>
      </x:c>
      <x:c r="I10" s="37" t="n">
        <x:f>C10*1000/'District Geometry'!C10</x:f>
        <x:v>0.6986634008151075</x:v>
      </x:c>
      <x:c r="J10" s="37" t="n">
        <x:f>D10*1000/'District Geometry'!C10</x:f>
        <x:v>0.4457756085166754</x:v>
      </x:c>
      <x:c r="K10" s="27"/>
    </x:row>
    <x:row r="11" ht="15" hidden="0" customHeight="1">
      <x:c r="A11" s="29" t="str">
        <x:v>Foundation</x:v>
      </x:c>
      <x:c r="B11" s="38" t="n">
        <x:f>SUMIF('Component BOM'!$B$5:$B$30,A11,'Component BOM'!$G$5:$G$30)</x:f>
        <x:v>17.030168</x:v>
      </x:c>
      <x:c r="C11" s="38" t="n">
        <x:f>SUMIF('Component BOM'!$B$5:$B$30,A11,'Component BOM'!$I$5:$I$30)</x:f>
        <x:v>9.267598</x:v>
      </x:c>
      <x:c r="D11" s="38" t="n">
        <x:f>SUMIF('Component BOM'!$B$5:$B$30,A11,'Component BOM'!$K$5:$K$30)</x:f>
        <x:v>4.257542</x:v>
      </x:c>
      <x:c r="E11" s="38" t="n">
        <x:f>B11*1000/'Controls'!B5</x:f>
        <x:v>17.030168</x:v>
      </x:c>
      <x:c r="F11" s="38" t="n">
        <x:f>C11*1000/'Controls'!B5</x:f>
        <x:v>9.267598</x:v>
      </x:c>
      <x:c r="G11" s="38" t="n">
        <x:f>D11*1000/'Controls'!B5</x:f>
        <x:v>4.257542</x:v>
      </x:c>
      <x:c r="H11" s="38" t="n">
        <x:f>B11*1000/'District Geometry'!C10</x:f>
        <x:v>2.2631022427082117</x:v>
      </x:c>
      <x:c r="I11" s="38" t="n">
        <x:f>C11*1000/'District Geometry'!C10</x:f>
        <x:v>1.2315510814877537</x:v>
      </x:c>
      <x:c r="J11" s="38" t="n">
        <x:f>D11*1000/'District Geometry'!C10</x:f>
        <x:v>0.5657755606770529</x:v>
      </x:c>
      <x:c r="K11" s="29"/>
    </x:row>
    <x:row r="12" ht="15" hidden="0" customHeight="1">
      <x:c r="A12" s="27" t="str">
        <x:v>Furnishing</x:v>
      </x:c>
      <x:c r="B12" s="37" t="n">
        <x:f>SUMIF('Component BOM'!$B$5:$B$30,A12,'Component BOM'!$G$5:$G$30)</x:f>
        <x:v>35.14</x:v>
      </x:c>
      <x:c r="C12" s="37" t="n">
        <x:f>SUMIF('Component BOM'!$B$5:$B$30,A12,'Component BOM'!$I$5:$I$30)</x:f>
        <x:v>21</x:v>
      </x:c>
      <x:c r="D12" s="37" t="n">
        <x:f>SUMIF('Component BOM'!$B$5:$B$30,A12,'Component BOM'!$K$5:$K$30)</x:f>
        <x:v>12</x:v>
      </x:c>
      <x:c r="E12" s="37" t="n">
        <x:f>B12*1000/'Controls'!B5</x:f>
        <x:v>35.14</x:v>
      </x:c>
      <x:c r="F12" s="37" t="n">
        <x:f>C12*1000/'Controls'!B5</x:f>
        <x:v>21</x:v>
      </x:c>
      <x:c r="G12" s="37" t="n">
        <x:f>D12*1000/'Controls'!B5</x:f>
        <x:v>12</x:v>
      </x:c>
      <x:c r="H12" s="37" t="n">
        <x:f>B12*1000/'District Geometry'!C10</x:f>
        <x:v>4.669678702451236</x:v>
      </x:c>
      <x:c r="I12" s="37" t="n">
        <x:f>C12*1000/'District Geometry'!C10</x:f>
        <x:v>2.790644642899145</x:v>
      </x:c>
      <x:c r="J12" s="37" t="n">
        <x:f>D12*1000/'District Geometry'!C10</x:f>
        <x:v>1.5946540816566541</x:v>
      </x:c>
      <x:c r="K12" s="27"/>
    </x:row>
    <x:row r="13" ht="15" hidden="0" customHeight="1">
      <x:c r="A13" s="29" t="str">
        <x:v>Thermal</x:v>
      </x:c>
      <x:c r="B13" s="38" t="n">
        <x:f>SUMIF('Component BOM'!$B$5:$B$30,A13,'Component BOM'!$G$5:$G$30)</x:f>
        <x:v>24</x:v>
      </x:c>
      <x:c r="C13" s="38" t="n">
        <x:f>SUMIF('Component BOM'!$B$5:$B$30,A13,'Component BOM'!$I$5:$I$30)</x:f>
        <x:v>14</x:v>
      </x:c>
      <x:c r="D13" s="38" t="n">
        <x:f>SUMIF('Component BOM'!$B$5:$B$30,A13,'Component BOM'!$K$5:$K$30)</x:f>
        <x:v>7</x:v>
      </x:c>
      <x:c r="E13" s="38" t="n">
        <x:f>B13*1000/'Controls'!B5</x:f>
        <x:v>24</x:v>
      </x:c>
      <x:c r="F13" s="38" t="n">
        <x:f>C13*1000/'Controls'!B5</x:f>
        <x:v>14</x:v>
      </x:c>
      <x:c r="G13" s="38" t="n">
        <x:f>D13*1000/'Controls'!B5</x:f>
        <x:v>7</x:v>
      </x:c>
      <x:c r="H13" s="38" t="n">
        <x:f>B13*1000/'District Geometry'!C10</x:f>
        <x:v>3.1893081633133082</x:v>
      </x:c>
      <x:c r="I13" s="38" t="n">
        <x:f>C13*1000/'District Geometry'!C10</x:f>
        <x:v>1.8604297619327632</x:v>
      </x:c>
      <x:c r="J13" s="38" t="n">
        <x:f>D13*1000/'District Geometry'!C10</x:f>
        <x:v>0.9302148809663816</x:v>
      </x:c>
      <x:c r="K13" s="29"/>
    </x:row>
    <x:row r="14" ht="15" hidden="0" customHeight="1">
      <x:c r="A14" s="27" t="str">
        <x:v>Clean air</x:v>
      </x:c>
      <x:c r="B14" s="37" t="n">
        <x:f>SUMIF('Component BOM'!$B$5:$B$30,A14,'Component BOM'!$G$5:$G$30)</x:f>
        <x:v>4</x:v>
      </x:c>
      <x:c r="C14" s="37" t="n">
        <x:f>SUMIF('Component BOM'!$B$5:$B$30,A14,'Component BOM'!$I$5:$I$30)</x:f>
        <x:v>2.5</x:v>
      </x:c>
      <x:c r="D14" s="37" t="n">
        <x:f>SUMIF('Component BOM'!$B$5:$B$30,A14,'Component BOM'!$K$5:$K$30)</x:f>
        <x:v>1.5</x:v>
      </x:c>
      <x:c r="E14" s="37" t="n">
        <x:f>B14*1000/'Controls'!B5</x:f>
        <x:v>4</x:v>
      </x:c>
      <x:c r="F14" s="37" t="n">
        <x:f>C14*1000/'Controls'!B5</x:f>
        <x:v>2.5</x:v>
      </x:c>
      <x:c r="G14" s="37" t="n">
        <x:f>D14*1000/'Controls'!B5</x:f>
        <x:v>1.5</x:v>
      </x:c>
      <x:c r="H14" s="37" t="n">
        <x:f>B14*1000/'District Geometry'!C10</x:f>
        <x:v>0.5315513605522181</x:v>
      </x:c>
      <x:c r="I14" s="37" t="n">
        <x:f>C14*1000/'District Geometry'!C10</x:f>
        <x:v>0.3322196003451363</x:v>
      </x:c>
      <x:c r="J14" s="37" t="n">
        <x:f>D14*1000/'District Geometry'!C10</x:f>
        <x:v>0.19933176020708177</x:v>
      </x:c>
      <x:c r="K14" s="27"/>
    </x:row>
    <x:row r="15" ht="15" hidden="0" customHeight="1">
      <x:c r="A15" s="29" t="str">
        <x:v>Electrical</x:v>
      </x:c>
      <x:c r="B15" s="38" t="n">
        <x:f>SUMIF('Component BOM'!$B$5:$B$30,A15,'Component BOM'!$G$5:$G$30)</x:f>
        <x:v>8</x:v>
      </x:c>
      <x:c r="C15" s="38" t="n">
        <x:f>SUMIF('Component BOM'!$B$5:$B$30,A15,'Component BOM'!$I$5:$I$30)</x:f>
        <x:v>5.5</x:v>
      </x:c>
      <x:c r="D15" s="38" t="n">
        <x:f>SUMIF('Component BOM'!$B$5:$B$30,A15,'Component BOM'!$K$5:$K$30)</x:f>
        <x:v>3</x:v>
      </x:c>
      <x:c r="E15" s="38" t="n">
        <x:f>B15*1000/'Controls'!B5</x:f>
        <x:v>8</x:v>
      </x:c>
      <x:c r="F15" s="38" t="n">
        <x:f>C15*1000/'Controls'!B5</x:f>
        <x:v>5.5</x:v>
      </x:c>
      <x:c r="G15" s="38" t="n">
        <x:f>D15*1000/'Controls'!B5</x:f>
        <x:v>3</x:v>
      </x:c>
      <x:c r="H15" s="38" t="n">
        <x:f>B15*1000/'District Geometry'!C10</x:f>
        <x:v>1.0631027211044362</x:v>
      </x:c>
      <x:c r="I15" s="38" t="n">
        <x:f>C15*1000/'District Geometry'!C10</x:f>
        <x:v>0.7308831207592998</x:v>
      </x:c>
      <x:c r="J15" s="38" t="n">
        <x:f>D15*1000/'District Geometry'!C10</x:f>
        <x:v>0.39866352041416353</x:v>
      </x:c>
      <x:c r="K15" s="29"/>
    </x:row>
    <x:row r="16" ht="15" hidden="0" customHeight="1">
      <x:c r="A16" s="27" t="str">
        <x:v>Data</x:v>
      </x:c>
      <x:c r="B16" s="37" t="n">
        <x:f>SUMIF('Component BOM'!$B$5:$B$30,A16,'Component BOM'!$G$5:$G$30)</x:f>
        <x:v>5</x:v>
      </x:c>
      <x:c r="C16" s="37" t="n">
        <x:f>SUMIF('Component BOM'!$B$5:$B$30,A16,'Component BOM'!$I$5:$I$30)</x:f>
        <x:v>3</x:v>
      </x:c>
      <x:c r="D16" s="37" t="n">
        <x:f>SUMIF('Component BOM'!$B$5:$B$30,A16,'Component BOM'!$K$5:$K$30)</x:f>
        <x:v>1.5</x:v>
      </x:c>
      <x:c r="E16" s="37" t="n">
        <x:f>B16*1000/'Controls'!B5</x:f>
        <x:v>5</x:v>
      </x:c>
      <x:c r="F16" s="37" t="n">
        <x:f>C16*1000/'Controls'!B5</x:f>
        <x:v>3</x:v>
      </x:c>
      <x:c r="G16" s="37" t="n">
        <x:f>D16*1000/'Controls'!B5</x:f>
        <x:v>1.5</x:v>
      </x:c>
      <x:c r="H16" s="37" t="n">
        <x:f>B16*1000/'District Geometry'!C10</x:f>
        <x:v>0.6644392006902726</x:v>
      </x:c>
      <x:c r="I16" s="37" t="n">
        <x:f>C16*1000/'District Geometry'!C10</x:f>
        <x:v>0.39866352041416353</x:v>
      </x:c>
      <x:c r="J16" s="37" t="n">
        <x:f>D16*1000/'District Geometry'!C10</x:f>
        <x:v>0.19933176020708177</x:v>
      </x:c>
      <x:c r="K16" s="27"/>
    </x:row>
    <x:row r="17" ht="15" hidden="0" customHeight="1">
      <x:c r="A17" s="29" t="str">
        <x:v>Site</x:v>
      </x:c>
      <x:c r="B17" s="38" t="n">
        <x:f>SUMIF('Component BOM'!$B$5:$B$30,A17,'Component BOM'!$G$5:$G$30)</x:f>
        <x:v>22.5</x:v>
      </x:c>
      <x:c r="C17" s="38" t="n">
        <x:f>SUMIF('Component BOM'!$B$5:$B$30,A17,'Component BOM'!$I$5:$I$30)</x:f>
        <x:v>14.4</x:v>
      </x:c>
      <x:c r="D17" s="38" t="n">
        <x:f>SUMIF('Component BOM'!$B$5:$B$30,A17,'Component BOM'!$K$5:$K$30)</x:f>
        <x:v>7.3</x:v>
      </x:c>
      <x:c r="E17" s="38" t="n">
        <x:f>B17*1000/'Controls'!B5</x:f>
        <x:v>22.5</x:v>
      </x:c>
      <x:c r="F17" s="38" t="n">
        <x:f>C17*1000/'Controls'!B5</x:f>
        <x:v>14.4</x:v>
      </x:c>
      <x:c r="G17" s="38" t="n">
        <x:f>D17*1000/'Controls'!B5</x:f>
        <x:v>7.3</x:v>
      </x:c>
      <x:c r="H17" s="38" t="n">
        <x:f>B17*1000/'District Geometry'!C10</x:f>
        <x:v>2.9899764031062266</x:v>
      </x:c>
      <x:c r="I17" s="38" t="n">
        <x:f>C17*1000/'District Geometry'!C10</x:f>
        <x:v>1.913584897987985</x:v>
      </x:c>
      <x:c r="J17" s="38" t="n">
        <x:f>D17*1000/'District Geometry'!C10</x:f>
        <x:v>0.970081233007798</x:v>
      </x:c>
      <x:c r="K17" s="29"/>
    </x:row>
    <x:row r="18" ht="15" hidden="0" customHeight="1">
      <x:c r="A18" s="27" t="str">
        <x:v>Install</x:v>
      </x:c>
      <x:c r="B18" s="37" t="n">
        <x:f>SUMIF('Component BOM'!$B$5:$B$30,A18,'Component BOM'!$G$5:$G$30)</x:f>
        <x:v>8</x:v>
      </x:c>
      <x:c r="C18" s="37" t="n">
        <x:f>SUMIF('Component BOM'!$B$5:$B$30,A18,'Component BOM'!$I$5:$I$30)</x:f>
        <x:v>6</x:v>
      </x:c>
      <x:c r="D18" s="37" t="n">
        <x:f>SUMIF('Component BOM'!$B$5:$B$30,A18,'Component BOM'!$K$5:$K$30)</x:f>
        <x:v>4</x:v>
      </x:c>
      <x:c r="E18" s="37" t="n">
        <x:f>B18*1000/'Controls'!B5</x:f>
        <x:v>8</x:v>
      </x:c>
      <x:c r="F18" s="37" t="n">
        <x:f>C18*1000/'Controls'!B5</x:f>
        <x:v>6</x:v>
      </x:c>
      <x:c r="G18" s="37" t="n">
        <x:f>D18*1000/'Controls'!B5</x:f>
        <x:v>4</x:v>
      </x:c>
      <x:c r="H18" s="37" t="n">
        <x:f>B18*1000/'District Geometry'!C10</x:f>
        <x:v>1.0631027211044362</x:v>
      </x:c>
      <x:c r="I18" s="37" t="n">
        <x:f>C18*1000/'District Geometry'!C10</x:f>
        <x:v>0.7973270408283271</x:v>
      </x:c>
      <x:c r="J18" s="37" t="n">
        <x:f>D18*1000/'District Geometry'!C10</x:f>
        <x:v>0.5315513605522181</x:v>
      </x:c>
      <x:c r="K18" s="27"/>
    </x:row>
    <x:row r="19" ht="21.600000381469727" hidden="0" customHeight="1">
      <x:c r="A19" s="29" t="str">
        <x:v>Functional subtotal</x:v>
      </x:c>
      <x:c r="B19" s="38" t="n">
        <x:f>SUM(B5:B18)</x:f>
        <x:v>221.27869600000002</x:v>
      </x:c>
      <x:c r="C19" s="38" t="n">
        <x:f>SUM(C5:C18)</x:f>
        <x:v>136.3189305</x:v>
      </x:c>
      <x:c r="D19" s="38" t="n">
        <x:f>SUM(D5:D18)</x:f>
        <x:v>70.2747097</x:v>
      </x:c>
      <x:c r="E19" s="38" t="n">
        <x:f>B19*1000/'Controls'!B5</x:f>
        <x:v>221.27869600000002</x:v>
      </x:c>
      <x:c r="F19" s="38" t="n">
        <x:f>C19*1000/'Controls'!B5</x:f>
        <x:v>136.3189305</x:v>
      </x:c>
      <x:c r="G19" s="38" t="n">
        <x:f>D19*1000/'Controls'!B5</x:f>
        <x:v>70.2747097</x:v>
      </x:c>
      <x:c r="H19" s="38" t="n">
        <x:f>B19*1000/'District Geometry'!C10</x:f>
        <x:v>29.405247980005168</x:v>
      </x:c>
      <x:c r="I19" s="38" t="n">
        <x:f>C19*1000/'District Geometry'!C10</x:f>
        <x:v>18.115128244074562</x:v>
      </x:c>
      <x:c r="J19" s="38" t="n">
        <x:f>D19*1000/'District Geometry'!C10</x:f>
        <x:v>9.33865438836179</x:v>
      </x:c>
      <x:c r="K19" s="29"/>
    </x:row>
    <x:row r="20" ht="15" hidden="0" customHeight="1">
      <x:c r="A20" s="27" t="str">
        <x:v>Spares</x:v>
      </x:c>
      <x:c r="B20" s="37" t="n">
        <x:f>B19*'Controls'!B13</x:f>
        <x:v>13.276721760000001</x:v>
      </x:c>
      <x:c r="C20" s="37" t="n">
        <x:f>C19*'Controls'!B15</x:f>
        <x:v>6.815946525</x:v>
      </x:c>
      <x:c r="D20" s="37" t="n">
        <x:f>D19*'Controls'!B17</x:f>
        <x:v>2.810988388</x:v>
      </x:c>
      <x:c r="E20" s="37" t="n">
        <x:f>B20*1000/'Controls'!B5</x:f>
        <x:v>13.276721760000001</x:v>
      </x:c>
      <x:c r="F20" s="37" t="n">
        <x:f>C20*1000/'Controls'!B5</x:f>
        <x:v>6.815946525</x:v>
      </x:c>
      <x:c r="G20" s="37" t="n">
        <x:f>D20*1000/'Controls'!B5</x:f>
        <x:v>2.810988388</x:v>
      </x:c>
      <x:c r="H20" s="37" t="n">
        <x:f>B20*1000/'District Geometry'!C10</x:f>
        <x:v>1.7643148788003098</x:v>
      </x:c>
      <x:c r="I20" s="37" t="n">
        <x:f>C20*1000/'District Geometry'!C10</x:f>
        <x:v>0.9057564122037283</x:v>
      </x:c>
      <x:c r="J20" s="37" t="n">
        <x:f>D20*1000/'District Geometry'!C10</x:f>
        <x:v>0.3735461755344716</x:v>
      </x:c>
      <x:c r="K20" s="27"/>
    </x:row>
    <x:row r="21" ht="21.600000381469727" hidden="0" customHeight="1">
      <x:c r="A21" s="29" t="str">
        <x:v>Packaging and restraint</x:v>
      </x:c>
      <x:c r="B21" s="38" t="n">
        <x:f>B19*'Controls'!B14</x:f>
        <x:v>26.553443520000002</x:v>
      </x:c>
      <x:c r="C21" s="38" t="n">
        <x:f>C19*'Controls'!B16</x:f>
        <x:v>13.63189305</x:v>
      </x:c>
      <x:c r="D21" s="38" t="n">
        <x:f>D19*'Controls'!B18</x:f>
        <x:v>5.621976776</x:v>
      </x:c>
      <x:c r="E21" s="38" t="n">
        <x:f>B21*1000/'Controls'!B5</x:f>
        <x:v>26.553443520000002</x:v>
      </x:c>
      <x:c r="F21" s="38" t="n">
        <x:f>C21*1000/'Controls'!B5</x:f>
        <x:v>13.63189305</x:v>
      </x:c>
      <x:c r="G21" s="38" t="n">
        <x:f>D21*1000/'Controls'!B5</x:f>
        <x:v>5.621976776</x:v>
      </x:c>
      <x:c r="H21" s="38" t="n">
        <x:f>B21*1000/'District Geometry'!C10</x:f>
        <x:v>3.5286297576006196</x:v>
      </x:c>
      <x:c r="I21" s="38" t="n">
        <x:f>C21*1000/'District Geometry'!C10</x:f>
        <x:v>1.8115128244074565</x:v>
      </x:c>
      <x:c r="J21" s="38" t="n">
        <x:f>D21*1000/'District Geometry'!C10</x:f>
        <x:v>0.7470923510689432</x:v>
      </x:c>
      <x:c r="K21" s="29"/>
    </x:row>
    <x:row r="22" ht="21.600000381469727" hidden="0" customHeight="1">
      <x:c r="A22" s="27" t="str">
        <x:v>TOTAL DISTRICT</x:v>
      </x:c>
      <x:c r="B22" s="37" t="n">
        <x:f>SUM(B19:B21)</x:f>
        <x:v>261.10886128000004</x:v>
      </x:c>
      <x:c r="C22" s="37" t="n">
        <x:f>SUM(C19:C21)</x:f>
        <x:v>156.76677007499998</x:v>
      </x:c>
      <x:c r="D22" s="37" t="n">
        <x:f>SUM(D19:D21)</x:f>
        <x:v>78.707674864</x:v>
      </x:c>
      <x:c r="E22" s="37" t="n">
        <x:f>B22*1000/'Controls'!B5</x:f>
        <x:v>261.10886128000004</x:v>
      </x:c>
      <x:c r="F22" s="37" t="n">
        <x:f>C22*1000/'Controls'!B5</x:f>
        <x:v>156.76677007499998</x:v>
      </x:c>
      <x:c r="G22" s="37" t="n">
        <x:f>D22*1000/'Controls'!B5</x:f>
        <x:v>78.707674864</x:v>
      </x:c>
      <x:c r="H22" s="37" t="n">
        <x:f>B22*1000/'District Geometry'!C10</x:f>
        <x:v>34.6981926164061</x:v>
      </x:c>
      <x:c r="I22" s="37" t="n">
        <x:f>C22*1000/'District Geometry'!C10</x:f>
        <x:v>20.832397480685746</x:v>
      </x:c>
      <x:c r="J22" s="37" t="n">
        <x:f>D22*1000/'District Geometry'!C10</x:f>
        <x:v>10.459292914965204</x:v>
      </x:c>
      <x:c r="K22" s="27"/>
    </x:row>
    <x:row r="23" ht="21.600000381469727" hidden="0" customHeight="1">
      <x:c r="A23" s="29" t="str">
        <x:v>PCC-50 shelter total</x:v>
      </x:c>
      <x:c r="B23" s="38" t="n">
        <x:f>B22*'Controls'!B6</x:f>
        <x:v>13055.443064000003</x:v>
      </x:c>
      <x:c r="C23" s="38" t="n">
        <x:f>C22*'Controls'!B6</x:f>
        <x:v>7838.338503749999</x:v>
      </x:c>
      <x:c r="D23" s="38" t="n">
        <x:f>D22*'Controls'!B6</x:f>
        <x:v>3935.3837432</x:v>
      </x:c>
      <x:c r="E23" s="38" t="n">
        <x:f>B23*1000/'Controls'!B5</x:f>
        <x:v>13055.443064000003</x:v>
      </x:c>
      <x:c r="F23" s="38" t="n">
        <x:f>C23*1000/'Controls'!B5</x:f>
        <x:v>7838.338503749999</x:v>
      </x:c>
      <x:c r="G23" s="38" t="n">
        <x:f>D23*1000/'Controls'!B5</x:f>
        <x:v>3935.3837432</x:v>
      </x:c>
      <x:c r="H23" s="38" t="n">
        <x:f>B23*1000/'District Geometry'!C10</x:f>
        <x:v>1734.909630820305</x:v>
      </x:c>
      <x:c r="I23" s="38" t="n">
        <x:f>C23*1000/'District Geometry'!C10</x:f>
        <x:v>1041.6198740342872</x:v>
      </x:c>
      <x:c r="J23" s="38" t="n">
        <x:f>D23*1000/'District Geometry'!C10</x:f>
        <x:v>522.9646457482602</x:v>
      </x:c>
      <x:c r="K23" s="29"/>
    </x:row>
    <x:row r="24" ht="21.600000381469727" hidden="0" customHeight="1">
      <x:c r="A24" s="27" t="str">
        <x:v>Pass 29 shelter value</x:v>
      </x:c>
      <x:c r="B24" s="37" t="n">
        <x:f>IF(B$4="Transform t",'Controls'!B31,'Controls'!B29)</x:f>
        <x:v>3545.671475</x:v>
      </x:c>
      <x:c r="C24" s="37" t="n">
        <x:f>IF(C$4="Transform t",'Controls'!B31,'Controls'!B29)</x:f>
        <x:v>3545.671475</x:v>
      </x:c>
      <x:c r="D24" s="37" t="n">
        <x:f>IF(D$4="Transform t",'Controls'!B31,'Controls'!B29)</x:f>
        <x:v>1302.5143</x:v>
      </x:c>
      <x:c r="E24" s="37" t="n">
        <x:f>B24*1000/'Controls'!B5</x:f>
        <x:v>3545.671475</x:v>
      </x:c>
      <x:c r="F24" s="37" t="n">
        <x:f>C24*1000/'Controls'!B5</x:f>
        <x:v>3545.671475</x:v>
      </x:c>
      <x:c r="G24" s="37" t="n">
        <x:f>D24*1000/'Controls'!B5</x:f>
        <x:v>1302.5143</x:v>
      </x:c>
      <x:c r="H24" s="37" t="n">
        <x:f>B24*1000/'District Geometry'!C10</x:f>
        <x:v>471.17662415186</x:v>
      </x:c>
      <x:c r="I24" s="37" t="n">
        <x:f>C24*1000/'District Geometry'!C10</x:f>
        <x:v>471.17662415186</x:v>
      </x:c>
      <x:c r="J24" s="37" t="n">
        <x:f>D24*1000/'District Geometry'!C10</x:f>
        <x:v>173.08831207593</x:v>
      </x:c>
      <x:c r="K24" s="27"/>
    </x:row>
    <x:row r="25" ht="21.600000381469727" hidden="0" customHeight="1">
      <x:c r="A25" s="29" t="str">
        <x:v>Increase over Pass 29</x:v>
      </x:c>
      <x:c r="B25" s="38" t="n">
        <x:f>B23-B24</x:f>
        <x:v>9509.771589000004</x:v>
      </x:c>
      <x:c r="C25" s="38" t="n">
        <x:f>C23-C24</x:f>
        <x:v>4292.667028749999</x:v>
      </x:c>
      <x:c r="D25" s="38" t="n">
        <x:f>D23-D24</x:f>
        <x:v>2632.8694432</x:v>
      </x:c>
      <x:c r="E25" s="38" t="n">
        <x:f>B25*1000/'Controls'!B5</x:f>
        <x:v>9509.771589000004</x:v>
      </x:c>
      <x:c r="F25" s="38" t="n">
        <x:f>C25*1000/'Controls'!B5</x:f>
        <x:v>4292.667028749999</x:v>
      </x:c>
      <x:c r="G25" s="38" t="n">
        <x:f>D25*1000/'Controls'!B5</x:f>
        <x:v>2632.8694432</x:v>
      </x:c>
      <x:c r="H25" s="38" t="n">
        <x:f>B25*1000/'District Geometry'!C10</x:f>
        <x:v>1263.7330066684451</x:v>
      </x:c>
      <x:c r="I25" s="38" t="n">
        <x:f>C25*1000/'District Geometry'!C10</x:f>
        <x:v>570.4432498824274</x:v>
      </x:c>
      <x:c r="J25" s="38" t="n">
        <x:f>D25*1000/'District Geometry'!C10</x:f>
        <x:v>349.87633367233025</x:v>
      </x:c>
      <x:c r="K25" s="29"/>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34"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20" hidden="0" customWidth="1"/>
    <x:col min="13" max="13" width="20" hidden="0" customWidth="1"/>
  </x:cols>
  <x:sheetData>
    <x:row r="1" ht="29" customHeight="1">
      <x:c r="A1" s="72" t="str">
        <x:v>Packed volume</x:v>
      </x:c>
      <x:c r="B1" s="72"/>
      <x:c r="C1" s="72"/>
      <x:c r="D1" s="72"/>
      <x:c r="E1" s="72"/>
      <x:c r="F1" s="72"/>
      <x:c r="G1" s="72"/>
      <x:c r="H1" s="72"/>
      <x:c r="I1" s="72"/>
      <x:c r="J1" s="72"/>
      <x:c r="K1" s="72"/>
      <x:c r="L1" s="72"/>
      <x:c r="M1" s="72"/>
    </x:row>
    <x:row r="2" ht="27" customHeight="1">
      <x:c r="A2" s="73" t="str">
        <x:v>Low-density shelter cargo can bind load positions before mass does.</x:v>
      </x:c>
      <x:c r="B2" s="73"/>
      <x:c r="C2" s="73"/>
      <x:c r="D2" s="73"/>
      <x:c r="E2" s="73"/>
      <x:c r="F2" s="73"/>
      <x:c r="G2" s="73"/>
      <x:c r="H2" s="73"/>
      <x:c r="I2" s="73"/>
      <x:c r="J2" s="73"/>
      <x:c r="K2" s="73"/>
      <x:c r="L2" s="73"/>
      <x:c r="M2" s="73"/>
    </x:row>
    <x:row r="3">
      <x:c r="A3" s="74"/>
      <x:c r="B3" s="74"/>
      <x:c r="C3" s="74"/>
      <x:c r="D3" s="74"/>
      <x:c r="E3" s="74"/>
      <x:c r="F3" s="74"/>
      <x:c r="G3" s="74"/>
      <x:c r="H3" s="74"/>
      <x:c r="I3" s="74"/>
      <x:c r="J3" s="74"/>
      <x:c r="K3" s="74"/>
      <x:c r="L3" s="74"/>
      <x:c r="M3" s="74"/>
    </x:row>
    <x:row r="4" ht="30" customHeight="1">
      <x:c r="A4" s="75" t="str">
        <x:v>ID</x:v>
      </x:c>
      <x:c r="B4" s="76" t="str">
        <x:v>Component</x:v>
      </x:c>
      <x:c r="C4" s="76" t="str">
        <x:v>Current mass t</x:v>
      </x:c>
      <x:c r="D4" s="76" t="str">
        <x:v>Current density kg/m³</x:v>
      </x:c>
      <x:c r="E4" s="76" t="str">
        <x:v>Current volume m³</x:v>
      </x:c>
      <x:c r="F4" s="76" t="str">
        <x:v>Advanced mass t</x:v>
      </x:c>
      <x:c r="G4" s="76" t="str">
        <x:v>Advanced density</x:v>
      </x:c>
      <x:c r="H4" s="76" t="str">
        <x:v>Advanced volume</x:v>
      </x:c>
      <x:c r="I4" s="76" t="str">
        <x:v>Transform mass t</x:v>
      </x:c>
      <x:c r="J4" s="76" t="str">
        <x:v>Transform density</x:v>
      </x:c>
      <x:c r="K4" s="76" t="str">
        <x:v>Transform volume</x:v>
      </x:c>
      <x:c r="L4" s="76" t="str">
        <x:v>Volume driver</x:v>
      </x:c>
      <x:c r="M4" s="77" t="str">
        <x:v>Evidence</x:v>
      </x:c>
    </x:row>
    <x:row r="5" ht="32.400001525878906" hidden="0" customHeight="1">
      <x:c r="A5" s="28" t="str">
        <x:v>S01</x:v>
      </x:c>
      <x:c r="B5" s="28" t="str">
        <x:v>Outer weather membrane</x:v>
      </x:c>
      <x:c r="C5" s="36" t="n">
        <x:f>'Component BOM'!G5</x:f>
        <x:v>8.465787</x:v>
      </x:c>
      <x:c r="D5" s="36" t="n">
        <x:f>'Component BOM'!L5</x:f>
        <x:v>160</x:v>
      </x:c>
      <x:c r="E5" s="36" t="n">
        <x:f>C5*1000/D5</x:f>
        <x:v>52.91116875</x:v>
      </x:c>
      <x:c r="F5" s="36" t="n">
        <x:f>'Component BOM'!I5</x:f>
        <x:v>6.1141795000000005</x:v>
      </x:c>
      <x:c r="G5" s="36" t="n">
        <x:f>'Component BOM'!M5</x:f>
        <x:v>150</x:v>
      </x:c>
      <x:c r="H5" s="36" t="n">
        <x:f>F5*1000/G5</x:f>
        <x:v>40.76119666666667</x:v>
      </x:c>
      <x:c r="I5" s="36" t="n">
        <x:f>'Component BOM'!K5</x:f>
        <x:v>3.2922505</x:v>
      </x:c>
      <x:c r="J5" s="36" t="n">
        <x:f>'Component BOM'!N5</x:f>
        <x:v>120</x:v>
      </x:c>
      <x:c r="K5" s="36" t="n">
        <x:f>I5*1000/J5</x:f>
        <x:v>27.435420833333335</x:v>
      </x:c>
      <x:c r="L5" s="28" t="str">
        <x:f>IF(MAX(E5,H5,K5)=E5,"current",IF(MAX(E5,H5,K5)=H5,"advanced","transform"))</x:f>
        <x:v>current</x:v>
      </x:c>
      <x:c r="M5" s="28" t="str">
        <x:v>density assumption</x:v>
      </x:c>
    </x:row>
    <x:row r="6" ht="32.400001525878906" hidden="0" customHeight="1">
      <x:c r="A6" s="27" t="str">
        <x:v>S02</x:v>
      </x:c>
      <x:c r="B6" s="27" t="str">
        <x:v>Inner liner and vapor layer</x:v>
      </x:c>
      <x:c r="C6" s="37" t="n">
        <x:f>'Component BOM'!G6</x:f>
        <x:v>5.267598</x:v>
      </x:c>
      <x:c r="D6" s="37" t="n">
        <x:f>'Component BOM'!L6</x:f>
        <x:v>120</x:v>
      </x:c>
      <x:c r="E6" s="37" t="n">
        <x:f>C6*1000/D6</x:f>
        <x:v>43.89665</x:v>
      </x:c>
      <x:c r="F6" s="37" t="n">
        <x:f>'Component BOM'!I6</x:f>
        <x:v>3.386313</x:v>
      </x:c>
      <x:c r="G6" s="37" t="n">
        <x:f>'Component BOM'!M6</x:f>
        <x:v>110</x:v>
      </x:c>
      <x:c r="H6" s="37" t="n">
        <x:f>F6*1000/G6</x:f>
        <x:v>30.784663636363636</x:v>
      </x:c>
      <x:c r="I6" s="37" t="n">
        <x:f>'Component BOM'!K6</x:f>
        <x:v>1.881285</x:v>
      </x:c>
      <x:c r="J6" s="37" t="n">
        <x:f>'Component BOM'!N6</x:f>
        <x:v>90</x:v>
      </x:c>
      <x:c r="K6" s="37" t="n">
        <x:f>I6*1000/J6</x:f>
        <x:v>20.903166666666667</x:v>
      </x:c>
      <x:c r="L6" s="27" t="str">
        <x:f>IF(MAX(E6,H6,K6)=E6,"current",IF(MAX(E6,H6,K6)=H6,"advanced","transform"))</x:f>
        <x:v>current</x:v>
      </x:c>
      <x:c r="M6" s="27" t="str">
        <x:v>density assumption</x:v>
      </x:c>
    </x:row>
    <x:row r="7" ht="21.600000381469727" hidden="0" customHeight="1">
      <x:c r="A7" s="29" t="str">
        <x:v>S03</x:v>
      </x:c>
      <x:c r="B7" s="29" t="str">
        <x:v>Insulation layer</x:v>
      </x:c>
      <x:c r="C7" s="38" t="n">
        <x:f>'Component BOM'!G7</x:f>
        <x:v>11.28771</x:v>
      </x:c>
      <x:c r="D7" s="38" t="n">
        <x:f>'Component BOM'!L7</x:f>
        <x:v>80</x:v>
      </x:c>
      <x:c r="E7" s="38" t="n">
        <x:f>C7*1000/D7</x:f>
        <x:v>141.09637500000002</x:v>
      </x:c>
      <x:c r="F7" s="38" t="n">
        <x:f>'Component BOM'!I7</x:f>
        <x:v>6.020112000000001</x:v>
      </x:c>
      <x:c r="G7" s="38" t="n">
        <x:f>'Component BOM'!M7</x:f>
        <x:v>70</x:v>
      </x:c>
      <x:c r="H7" s="38" t="n">
        <x:f>F7*1000/G7</x:f>
        <x:v>86.00160000000001</x:v>
      </x:c>
      <x:c r="I7" s="38" t="n">
        <x:f>'Component BOM'!K7</x:f>
        <x:v>2.633799</x:v>
      </x:c>
      <x:c r="J7" s="38" t="n">
        <x:f>'Component BOM'!N7</x:f>
        <x:v>55</x:v>
      </x:c>
      <x:c r="K7" s="38" t="n">
        <x:f>I7*1000/J7</x:f>
        <x:v>47.887254545454546</x:v>
      </x:c>
      <x:c r="L7" s="29" t="str">
        <x:f>IF(MAX(E7,H7,K7)=E7,"current",IF(MAX(E7,H7,K7)=H7,"advanced","transform"))</x:f>
        <x:v>current</x:v>
      </x:c>
      <x:c r="M7" s="29" t="str">
        <x:v>density assumption</x:v>
      </x:c>
    </x:row>
    <x:row r="8" ht="32.400001525878906" hidden="0" customHeight="1">
      <x:c r="A8" s="27" t="str">
        <x:v>S04</x:v>
      </x:c>
      <x:c r="B8" s="27" t="str">
        <x:v>Primary frame or airbeams</x:v>
      </x:c>
      <x:c r="C8" s="37" t="n">
        <x:f>'Component BOM'!G8</x:f>
        <x:v>15.05028</x:v>
      </x:c>
      <x:c r="D8" s="37" t="n">
        <x:f>'Component BOM'!L8</x:f>
        <x:v>350</x:v>
      </x:c>
      <x:c r="E8" s="37" t="n">
        <x:f>C8*1000/D8</x:f>
        <x:v>43.000800000000005</x:v>
      </x:c>
      <x:c r="F8" s="37" t="n">
        <x:f>'Component BOM'!I8</x:f>
        <x:v>9.030168</x:v>
      </x:c>
      <x:c r="G8" s="37" t="n">
        <x:f>'Component BOM'!M8</x:f>
        <x:v>300</x:v>
      </x:c>
      <x:c r="H8" s="37" t="n">
        <x:f>F8*1000/G8</x:f>
        <x:v>30.100559999999998</x:v>
      </x:c>
      <x:c r="I8" s="37" t="n">
        <x:f>'Component BOM'!K8</x:f>
        <x:v>4.138827</x:v>
      </x:c>
      <x:c r="J8" s="37" t="n">
        <x:f>'Component BOM'!N8</x:f>
        <x:v>220</x:v>
      </x:c>
      <x:c r="K8" s="37" t="n">
        <x:f>I8*1000/J8</x:f>
        <x:v>18.81285</x:v>
      </x:c>
      <x:c r="L8" s="27" t="str">
        <x:f>IF(MAX(E8,H8,K8)=E8,"current",IF(MAX(E8,H8,K8)=H8,"advanced","transform"))</x:f>
        <x:v>current</x:v>
      </x:c>
      <x:c r="M8" s="27" t="str">
        <x:v>density assumption</x:v>
      </x:c>
    </x:row>
    <x:row r="9" ht="32.400001525878906" hidden="0" customHeight="1">
      <x:c r="A9" s="29" t="str">
        <x:v>S05</x:v>
      </x:c>
      <x:c r="B9" s="29" t="str">
        <x:v>Deployable structural floor</x:v>
      </x:c>
      <x:c r="C9" s="38" t="n">
        <x:f>'Component BOM'!G9</x:f>
        <x:v>33.863130000000005</x:v>
      </x:c>
      <x:c r="D9" s="38" t="n">
        <x:f>'Component BOM'!L9</x:f>
        <x:v>500</x:v>
      </x:c>
      <x:c r="E9" s="38" t="n">
        <x:f>C9*1000/D9</x:f>
        <x:v>67.72626000000001</x:v>
      </x:c>
      <x:c r="F9" s="38" t="n">
        <x:f>'Component BOM'!I9</x:f>
        <x:v>21.070392</x:v>
      </x:c>
      <x:c r="G9" s="38" t="n">
        <x:f>'Component BOM'!M9</x:f>
        <x:v>450</x:v>
      </x:c>
      <x:c r="H9" s="38" t="n">
        <x:f>F9*1000/G9</x:f>
        <x:v>46.82309333333333</x:v>
      </x:c>
      <x:c r="I9" s="38" t="n">
        <x:f>'Component BOM'!K9</x:f>
        <x:v>9.030168</x:v>
      </x:c>
      <x:c r="J9" s="38" t="n">
        <x:f>'Component BOM'!N9</x:f>
        <x:v>350</x:v>
      </x:c>
      <x:c r="K9" s="38" t="n">
        <x:f>I9*1000/J9</x:f>
        <x:v>25.80048</x:v>
      </x:c>
      <x:c r="L9" s="29" t="str">
        <x:f>IF(MAX(E9,H9,K9)=E9,"current",IF(MAX(E9,H9,K9)=H9,"advanced","transform"))</x:f>
        <x:v>current</x:v>
      </x:c>
      <x:c r="M9" s="29" t="str">
        <x:v>density assumption</x:v>
      </x:c>
    </x:row>
    <x:row r="10" ht="43.20000076293945" hidden="0" customHeight="1">
      <x:c r="A10" s="27" t="str">
        <x:v>S06</x:v>
      </x:c>
      <x:c r="B10" s="27" t="str">
        <x:v>Ramps, transitions and tactile routes</x:v>
      </x:c>
      <x:c r="C10" s="37" t="n">
        <x:f>'Component BOM'!G10</x:f>
        <x:v>3.76257</x:v>
      </x:c>
      <x:c r="D10" s="37" t="n">
        <x:f>'Component BOM'!L10</x:f>
        <x:v>400</x:v>
      </x:c>
      <x:c r="E10" s="37" t="n">
        <x:f>C10*1000/D10</x:f>
        <x:v>9.406425</x:v>
      </x:c>
      <x:c r="F10" s="37" t="n">
        <x:f>'Component BOM'!I10</x:f>
        <x:v>2.257542</x:v>
      </x:c>
      <x:c r="G10" s="37" t="n">
        <x:f>'Component BOM'!M10</x:f>
        <x:v>350</x:v>
      </x:c>
      <x:c r="H10" s="37" t="n">
        <x:f>F10*1000/G10</x:f>
        <x:v>6.45012</x:v>
      </x:c>
      <x:c r="I10" s="37" t="n">
        <x:f>'Component BOM'!K10</x:f>
        <x:v>1.128771</x:v>
      </x:c>
      <x:c r="J10" s="37" t="n">
        <x:f>'Component BOM'!N10</x:f>
        <x:v>300</x:v>
      </x:c>
      <x:c r="K10" s="37" t="n">
        <x:f>I10*1000/J10</x:f>
        <x:v>3.7625699999999997</x:v>
      </x:c>
      <x:c r="L10" s="27" t="str">
        <x:f>IF(MAX(E10,H10,K10)=E10,"current",IF(MAX(E10,H10,K10)=H10,"advanced","transform"))</x:f>
        <x:v>current</x:v>
      </x:c>
      <x:c r="M10" s="27" t="str">
        <x:v>density assumption</x:v>
      </x:c>
    </x:row>
    <x:row r="11" ht="32.400001525878906" hidden="0" customHeight="1">
      <x:c r="A11" s="29" t="str">
        <x:v>S07</x:v>
      </x:c>
      <x:c r="B11" s="29" t="str">
        <x:v>Partitions and acoustic layer</x:v>
      </x:c>
      <x:c r="C11" s="38" t="n">
        <x:f>'Component BOM'!G11</x:f>
        <x:v>7.52514</x:v>
      </x:c>
      <x:c r="D11" s="38" t="n">
        <x:f>'Component BOM'!L11</x:f>
        <x:v>120</x:v>
      </x:c>
      <x:c r="E11" s="38" t="n">
        <x:f>C11*1000/D11</x:f>
        <x:v>62.709500000000006</x:v>
      </x:c>
      <x:c r="F11" s="38" t="n">
        <x:f>'Component BOM'!I11</x:f>
        <x:v>4.515084</x:v>
      </x:c>
      <x:c r="G11" s="38" t="n">
        <x:f>'Component BOM'!M11</x:f>
        <x:v>110</x:v>
      </x:c>
      <x:c r="H11" s="38" t="n">
        <x:f>F11*1000/G11</x:f>
        <x:v>41.04621818181818</x:v>
      </x:c>
      <x:c r="I11" s="38" t="n">
        <x:f>'Component BOM'!K11</x:f>
        <x:v>2.257542</x:v>
      </x:c>
      <x:c r="J11" s="38" t="n">
        <x:f>'Component BOM'!N11</x:f>
        <x:v>90</x:v>
      </x:c>
      <x:c r="K11" s="38" t="n">
        <x:f>I11*1000/J11</x:f>
        <x:v>25.0838</x:v>
      </x:c>
      <x:c r="L11" s="29" t="str">
        <x:f>IF(MAX(E11,H11,K11)=E11,"current",IF(MAX(E11,H11,K11)=H11,"advanced","transform"))</x:f>
        <x:v>current</x:v>
      </x:c>
      <x:c r="M11" s="29" t="str">
        <x:v>density assumption</x:v>
      </x:c>
    </x:row>
    <x:row r="12" ht="32.400001525878906" hidden="0" customHeight="1">
      <x:c r="A12" s="27" t="str">
        <x:v>S08</x:v>
      </x:c>
      <x:c r="B12" s="27" t="str">
        <x:v>Doors and egress hardware</x:v>
      </x:c>
      <x:c r="C12" s="37" t="n">
        <x:f>'Component BOM'!G12</x:f>
        <x:v>3.386313</x:v>
      </x:c>
      <x:c r="D12" s="37" t="n">
        <x:f>'Component BOM'!L12</x:f>
        <x:v>300</x:v>
      </x:c>
      <x:c r="E12" s="37" t="n">
        <x:f>C12*1000/D12</x:f>
        <x:v>11.28771</x:v>
      </x:c>
      <x:c r="F12" s="37" t="n">
        <x:f>'Component BOM'!I12</x:f>
        <x:v>2.257542</x:v>
      </x:c>
      <x:c r="G12" s="37" t="n">
        <x:f>'Component BOM'!M12</x:f>
        <x:v>260</x:v>
      </x:c>
      <x:c r="H12" s="37" t="n">
        <x:f>F12*1000/G12</x:f>
        <x:v>8.682853846153845</x:v>
      </x:c>
      <x:c r="I12" s="37" t="n">
        <x:f>'Component BOM'!K12</x:f>
        <x:v>1.3545252</x:v>
      </x:c>
      <x:c r="J12" s="37" t="n">
        <x:f>'Component BOM'!N12</x:f>
        <x:v>220</x:v>
      </x:c>
      <x:c r="K12" s="37" t="n">
        <x:f>I12*1000/J12</x:f>
        <x:v>6.156932727272728</x:v>
      </x:c>
      <x:c r="L12" s="27" t="str">
        <x:f>IF(MAX(E12,H12,K12)=E12,"current",IF(MAX(E12,H12,K12)=H12,"advanced","transform"))</x:f>
        <x:v>current</x:v>
      </x:c>
      <x:c r="M12" s="27" t="str">
        <x:v>density assumption</x:v>
      </x:c>
    </x:row>
    <x:row r="13" ht="21.600000381469727" hidden="0" customHeight="1">
      <x:c r="A13" s="29" t="str">
        <x:v>S09</x:v>
      </x:c>
      <x:c r="B13" s="29" t="str">
        <x:v>Anchors and tie-downs</x:v>
      </x:c>
      <x:c r="C13" s="38" t="n">
        <x:f>'Component BOM'!G13</x:f>
        <x:v>9.030168</x:v>
      </x:c>
      <x:c r="D13" s="38" t="n">
        <x:f>'Component BOM'!L13</x:f>
        <x:v>600</x:v>
      </x:c>
      <x:c r="E13" s="38" t="n">
        <x:f>C13*1000/D13</x:f>
        <x:v>15.050279999999999</x:v>
      </x:c>
      <x:c r="F13" s="38" t="n">
        <x:f>'Component BOM'!I13</x:f>
        <x:v>5.267598</x:v>
      </x:c>
      <x:c r="G13" s="38" t="n">
        <x:f>'Component BOM'!M13</x:f>
        <x:v>550</x:v>
      </x:c>
      <x:c r="H13" s="38" t="n">
        <x:f>F13*1000/G13</x:f>
        <x:v>9.577450909090908</x:v>
      </x:c>
      <x:c r="I13" s="38" t="n">
        <x:f>'Component BOM'!K13</x:f>
        <x:v>2.257542</x:v>
      </x:c>
      <x:c r="J13" s="38" t="n">
        <x:f>'Component BOM'!N13</x:f>
        <x:v>450</x:v>
      </x:c>
      <x:c r="K13" s="38" t="n">
        <x:f>I13*1000/J13</x:f>
        <x:v>5.01676</x:v>
      </x:c>
      <x:c r="L13" s="29" t="str">
        <x:f>IF(MAX(E13,H13,K13)=E13,"current",IF(MAX(E13,H13,K13)=H13,"advanced","transform"))</x:f>
        <x:v>current</x:v>
      </x:c>
      <x:c r="M13" s="29" t="str">
        <x:v>density assumption</x:v>
      </x:c>
    </x:row>
    <x:row r="14" ht="32.400001525878906" hidden="0" customHeight="1">
      <x:c r="A14" s="27" t="str">
        <x:v>S10</x:v>
      </x:c>
      <x:c r="B14" s="27" t="str">
        <x:v>Ground adapters or ballast</x:v>
      </x:c>
      <x:c r="C14" s="37" t="n">
        <x:f>'Component BOM'!G14</x:f>
        <x:v>8</x:v>
      </x:c>
      <x:c r="D14" s="37" t="n">
        <x:f>'Component BOM'!L14</x:f>
        <x:v>800</x:v>
      </x:c>
      <x:c r="E14" s="37" t="n">
        <x:f>C14*1000/D14</x:f>
        <x:v>10</x:v>
      </x:c>
      <x:c r="F14" s="37" t="n">
        <x:f>'Component BOM'!I14</x:f>
        <x:v>4</x:v>
      </x:c>
      <x:c r="G14" s="37" t="n">
        <x:f>'Component BOM'!M14</x:f>
        <x:v>700</x:v>
      </x:c>
      <x:c r="H14" s="37" t="n">
        <x:f>F14*1000/G14</x:f>
        <x:v>5.714285714285714</x:v>
      </x:c>
      <x:c r="I14" s="37" t="n">
        <x:f>'Component BOM'!K14</x:f>
        <x:v>2</x:v>
      </x:c>
      <x:c r="J14" s="37" t="n">
        <x:f>'Component BOM'!N14</x:f>
        <x:v>550</x:v>
      </x:c>
      <x:c r="K14" s="37" t="n">
        <x:f>I14*1000/J14</x:f>
        <x:v>3.6363636363636362</x:v>
      </x:c>
      <x:c r="L14" s="27" t="str">
        <x:f>IF(MAX(E14,H14,K14)=E14,"current",IF(MAX(E14,H14,K14)=H14,"advanced","transform"))</x:f>
        <x:v>current</x:v>
      </x:c>
      <x:c r="M14" s="27" t="str">
        <x:v>density assumption</x:v>
      </x:c>
    </x:row>
    <x:row r="15" ht="21.600000381469727" hidden="0" customHeight="1">
      <x:c r="A15" s="29" t="str">
        <x:v>F01</x:v>
      </x:c>
      <x:c r="B15" s="29" t="str">
        <x:v>Cots</x:v>
      </x:c>
      <x:c r="C15" s="38" t="n">
        <x:f>'Component BOM'!G15</x:f>
        <x:v>18.14</x:v>
      </x:c>
      <x:c r="D15" s="38" t="n">
        <x:f>'Component BOM'!L15</x:f>
        <x:v>180</x:v>
      </x:c>
      <x:c r="E15" s="38" t="n">
        <x:f>C15*1000/D15</x:f>
        <x:v>100.77777777777777</x:v>
      </x:c>
      <x:c r="F15" s="38" t="n">
        <x:f>'Component BOM'!I15</x:f>
        <x:v>10</x:v>
      </x:c>
      <x:c r="G15" s="38" t="n">
        <x:f>'Component BOM'!M15</x:f>
        <x:v>160</x:v>
      </x:c>
      <x:c r="H15" s="38" t="n">
        <x:f>F15*1000/G15</x:f>
        <x:v>62.5</x:v>
      </x:c>
      <x:c r="I15" s="38" t="n">
        <x:f>'Component BOM'!K15</x:f>
        <x:v>5</x:v>
      </x:c>
      <x:c r="J15" s="38" t="n">
        <x:f>'Component BOM'!N15</x:f>
        <x:v>130</x:v>
      </x:c>
      <x:c r="K15" s="38" t="n">
        <x:f>I15*1000/J15</x:f>
        <x:v>38.46153846153846</x:v>
      </x:c>
      <x:c r="L15" s="29" t="str">
        <x:f>IF(MAX(E15,H15,K15)=E15,"current",IF(MAX(E15,H15,K15)=H15,"advanced","transform"))</x:f>
        <x:v>current</x:v>
      </x:c>
      <x:c r="M15" s="29" t="str">
        <x:v>density assumption</x:v>
      </x:c>
    </x:row>
    <x:row r="16" ht="32.400001525878906" hidden="0" customHeight="1">
      <x:c r="A16" s="27" t="str">
        <x:v>F02</x:v>
      </x:c>
      <x:c r="B16" s="27" t="str">
        <x:v>Bedding, privacy and storage</x:v>
      </x:c>
      <x:c r="C16" s="37" t="n">
        <x:f>'Component BOM'!G16</x:f>
        <x:v>12</x:v>
      </x:c>
      <x:c r="D16" s="37" t="n">
        <x:f>'Component BOM'!L16</x:f>
        <x:v>140</x:v>
      </x:c>
      <x:c r="E16" s="37" t="n">
        <x:f>C16*1000/D16</x:f>
        <x:v>85.71428571428571</x:v>
      </x:c>
      <x:c r="F16" s="37" t="n">
        <x:f>'Component BOM'!I16</x:f>
        <x:v>7</x:v>
      </x:c>
      <x:c r="G16" s="37" t="n">
        <x:f>'Component BOM'!M16</x:f>
        <x:v>120</x:v>
      </x:c>
      <x:c r="H16" s="37" t="n">
        <x:f>F16*1000/G16</x:f>
        <x:v>58.333333333333336</x:v>
      </x:c>
      <x:c r="I16" s="37" t="n">
        <x:f>'Component BOM'!K16</x:f>
        <x:v>4</x:v>
      </x:c>
      <x:c r="J16" s="37" t="n">
        <x:f>'Component BOM'!N16</x:f>
        <x:v>100</x:v>
      </x:c>
      <x:c r="K16" s="37" t="n">
        <x:f>I16*1000/J16</x:f>
        <x:v>40</x:v>
      </x:c>
      <x:c r="L16" s="27" t="str">
        <x:f>IF(MAX(E16,H16,K16)=E16,"current",IF(MAX(E16,H16,K16)=H16,"advanced","transform"))</x:f>
        <x:v>current</x:v>
      </x:c>
      <x:c r="M16" s="27" t="str">
        <x:v>density assumption</x:v>
      </x:c>
    </x:row>
    <x:row r="17" ht="21.600000381469727" hidden="0" customHeight="1">
      <x:c r="A17" s="29" t="str">
        <x:v>F03</x:v>
      </x:c>
      <x:c r="B17" s="29" t="str">
        <x:v>Accessibility equipment</x:v>
      </x:c>
      <x:c r="C17" s="38" t="n">
        <x:f>'Component BOM'!G17</x:f>
        <x:v>4</x:v>
      </x:c>
      <x:c r="D17" s="38" t="n">
        <x:f>'Component BOM'!L17</x:f>
        <x:v>220</x:v>
      </x:c>
      <x:c r="E17" s="38" t="n">
        <x:f>C17*1000/D17</x:f>
        <x:v>18.181818181818183</x:v>
      </x:c>
      <x:c r="F17" s="38" t="n">
        <x:f>'Component BOM'!I17</x:f>
        <x:v>3</x:v>
      </x:c>
      <x:c r="G17" s="38" t="n">
        <x:f>'Component BOM'!M17</x:f>
        <x:v>200</x:v>
      </x:c>
      <x:c r="H17" s="38" t="n">
        <x:f>F17*1000/G17</x:f>
        <x:v>15</x:v>
      </x:c>
      <x:c r="I17" s="38" t="n">
        <x:f>'Component BOM'!K17</x:f>
        <x:v>2</x:v>
      </x:c>
      <x:c r="J17" s="38" t="n">
        <x:f>'Component BOM'!N17</x:f>
        <x:v>180</x:v>
      </x:c>
      <x:c r="K17" s="38" t="n">
        <x:f>I17*1000/J17</x:f>
        <x:v>11.11111111111111</x:v>
      </x:c>
      <x:c r="L17" s="29" t="str">
        <x:f>IF(MAX(E17,H17,K17)=E17,"current",IF(MAX(E17,H17,K17)=H17,"advanced","transform"))</x:f>
        <x:v>current</x:v>
      </x:c>
      <x:c r="M17" s="29" t="str">
        <x:v>density assumption</x:v>
      </x:c>
    </x:row>
    <x:row r="18" ht="21.600000381469727" hidden="0" customHeight="1">
      <x:c r="A18" s="27" t="str">
        <x:v>F04</x:v>
      </x:c>
      <x:c r="B18" s="27" t="str">
        <x:v>Resident issue kits</x:v>
      </x:c>
      <x:c r="C18" s="37" t="n">
        <x:f>'Component BOM'!G18</x:f>
        <x:v>5</x:v>
      </x:c>
      <x:c r="D18" s="37" t="n">
        <x:f>'Component BOM'!L18</x:f>
        <x:v>180</x:v>
      </x:c>
      <x:c r="E18" s="37" t="n">
        <x:f>C18*1000/D18</x:f>
        <x:v>27.77777777777778</x:v>
      </x:c>
      <x:c r="F18" s="37" t="n">
        <x:f>'Component BOM'!I18</x:f>
        <x:v>4</x:v>
      </x:c>
      <x:c r="G18" s="37" t="n">
        <x:f>'Component BOM'!M18</x:f>
        <x:v>160</x:v>
      </x:c>
      <x:c r="H18" s="37" t="n">
        <x:f>F18*1000/G18</x:f>
        <x:v>25</x:v>
      </x:c>
      <x:c r="I18" s="37" t="n">
        <x:f>'Component BOM'!K18</x:f>
        <x:v>3</x:v>
      </x:c>
      <x:c r="J18" s="37" t="n">
        <x:f>'Component BOM'!N18</x:f>
        <x:v>140</x:v>
      </x:c>
      <x:c r="K18" s="37" t="n">
        <x:f>I18*1000/J18</x:f>
        <x:v>21.428571428571427</x:v>
      </x:c>
      <x:c r="L18" s="27" t="str">
        <x:f>IF(MAX(E18,H18,K18)=E18,"current",IF(MAX(E18,H18,K18)=H18,"advanced","transform"))</x:f>
        <x:v>current</x:v>
      </x:c>
      <x:c r="M18" s="27" t="str">
        <x:v>density assumption</x:v>
      </x:c>
    </x:row>
    <x:row r="19" ht="43.20000076293945" hidden="0" customHeight="1">
      <x:c r="A19" s="29" t="str">
        <x:v>T01</x:v>
      </x:c>
      <x:c r="B19" s="29" t="str">
        <x:v>Heat-pump and air-handling modules</x:v>
      </x:c>
      <x:c r="C19" s="38" t="n">
        <x:f>'Component BOM'!G19</x:f>
        <x:v>20</x:v>
      </x:c>
      <x:c r="D19" s="38" t="n">
        <x:f>'Component BOM'!L19</x:f>
        <x:v>280</x:v>
      </x:c>
      <x:c r="E19" s="38" t="n">
        <x:f>C19*1000/D19</x:f>
        <x:v>71.42857142857143</x:v>
      </x:c>
      <x:c r="F19" s="38" t="n">
        <x:f>'Component BOM'!I19</x:f>
        <x:v>12</x:v>
      </x:c>
      <x:c r="G19" s="38" t="n">
        <x:f>'Component BOM'!M19</x:f>
        <x:v>240</x:v>
      </x:c>
      <x:c r="H19" s="38" t="n">
        <x:f>F19*1000/G19</x:f>
        <x:v>50</x:v>
      </x:c>
      <x:c r="I19" s="38" t="n">
        <x:f>'Component BOM'!K19</x:f>
        <x:v>6</x:v>
      </x:c>
      <x:c r="J19" s="38" t="n">
        <x:f>'Component BOM'!N19</x:f>
        <x:v>180</x:v>
      </x:c>
      <x:c r="K19" s="38" t="n">
        <x:f>I19*1000/J19</x:f>
        <x:v>33.333333333333336</x:v>
      </x:c>
      <x:c r="L19" s="29" t="str">
        <x:f>IF(MAX(E19,H19,K19)=E19,"current",IF(MAX(E19,H19,K19)=H19,"advanced","transform"))</x:f>
        <x:v>current</x:v>
      </x:c>
      <x:c r="M19" s="29" t="str">
        <x:v>density assumption</x:v>
      </x:c>
    </x:row>
    <x:row r="20" ht="21.600000381469727" hidden="0" customHeight="1">
      <x:c r="A20" s="27" t="str">
        <x:v>T02</x:v>
      </x:c>
      <x:c r="B20" s="27" t="str">
        <x:v>Ducts and plenums</x:v>
      </x:c>
      <x:c r="C20" s="37" t="n">
        <x:f>'Component BOM'!G20</x:f>
        <x:v>4</x:v>
      </x:c>
      <x:c r="D20" s="37" t="n">
        <x:f>'Component BOM'!L20</x:f>
        <x:v>80</x:v>
      </x:c>
      <x:c r="E20" s="37" t="n">
        <x:f>C20*1000/D20</x:f>
        <x:v>50</x:v>
      </x:c>
      <x:c r="F20" s="37" t="n">
        <x:f>'Component BOM'!I20</x:f>
        <x:v>2</x:v>
      </x:c>
      <x:c r="G20" s="37" t="n">
        <x:f>'Component BOM'!M20</x:f>
        <x:v>70</x:v>
      </x:c>
      <x:c r="H20" s="37" t="n">
        <x:f>F20*1000/G20</x:f>
        <x:v>28.571428571428573</x:v>
      </x:c>
      <x:c r="I20" s="37" t="n">
        <x:f>'Component BOM'!K20</x:f>
        <x:v>1</x:v>
      </x:c>
      <x:c r="J20" s="37" t="n">
        <x:f>'Component BOM'!N20</x:f>
        <x:v>60</x:v>
      </x:c>
      <x:c r="K20" s="37" t="n">
        <x:f>I20*1000/J20</x:f>
        <x:v>16.666666666666668</x:v>
      </x:c>
      <x:c r="L20" s="27" t="str">
        <x:f>IF(MAX(E20,H20,K20)=E20,"current",IF(MAX(E20,H20,K20)=H20,"advanced","transform"))</x:f>
        <x:v>current</x:v>
      </x:c>
      <x:c r="M20" s="27" t="str">
        <x:v>density assumption</x:v>
      </x:c>
    </x:row>
    <x:row r="21" ht="43.20000076293945" hidden="0" customHeight="1">
      <x:c r="A21" s="29" t="str">
        <x:v>T03</x:v>
      </x:c>
      <x:c r="B21" s="29" t="str">
        <x:v>Filtration modules and replacements</x:v>
      </x:c>
      <x:c r="C21" s="38" t="n">
        <x:f>'Component BOM'!G21</x:f>
        <x:v>4</x:v>
      </x:c>
      <x:c r="D21" s="38" t="n">
        <x:f>'Component BOM'!L21</x:f>
        <x:v>150</x:v>
      </x:c>
      <x:c r="E21" s="38" t="n">
        <x:f>C21*1000/D21</x:f>
        <x:v>26.666666666666668</x:v>
      </x:c>
      <x:c r="F21" s="38" t="n">
        <x:f>'Component BOM'!I21</x:f>
        <x:v>2.5</x:v>
      </x:c>
      <x:c r="G21" s="38" t="n">
        <x:f>'Component BOM'!M21</x:f>
        <x:v>130</x:v>
      </x:c>
      <x:c r="H21" s="38" t="n">
        <x:f>F21*1000/G21</x:f>
        <x:v>19.23076923076923</x:v>
      </x:c>
      <x:c r="I21" s="38" t="n">
        <x:f>'Component BOM'!K21</x:f>
        <x:v>1.5</x:v>
      </x:c>
      <x:c r="J21" s="38" t="n">
        <x:f>'Component BOM'!N21</x:f>
        <x:v>110</x:v>
      </x:c>
      <x:c r="K21" s="38" t="n">
        <x:f>I21*1000/J21</x:f>
        <x:v>13.636363636363637</x:v>
      </x:c>
      <x:c r="L21" s="29" t="str">
        <x:f>IF(MAX(E21,H21,K21)=E21,"current",IF(MAX(E21,H21,K21)=H21,"advanced","transform"))</x:f>
        <x:v>current</x:v>
      </x:c>
      <x:c r="M21" s="29" t="str">
        <x:v>density assumption</x:v>
      </x:c>
    </x:row>
    <x:row r="22" ht="32.400001525878906" hidden="0" customHeight="1">
      <x:c r="A22" s="27" t="str">
        <x:v>E01</x:v>
      </x:c>
      <x:c r="B22" s="27" t="str">
        <x:v>Local electrical distribution</x:v>
      </x:c>
      <x:c r="C22" s="37" t="n">
        <x:f>'Component BOM'!G22</x:f>
        <x:v>5</x:v>
      </x:c>
      <x:c r="D22" s="37" t="n">
        <x:f>'Component BOM'!L22</x:f>
        <x:v>350</x:v>
      </x:c>
      <x:c r="E22" s="37" t="n">
        <x:f>C22*1000/D22</x:f>
        <x:v>14.285714285714286</x:v>
      </x:c>
      <x:c r="F22" s="37" t="n">
        <x:f>'Component BOM'!I22</x:f>
        <x:v>3.5</x:v>
      </x:c>
      <x:c r="G22" s="37" t="n">
        <x:f>'Component BOM'!M22</x:f>
        <x:v>320</x:v>
      </x:c>
      <x:c r="H22" s="37" t="n">
        <x:f>F22*1000/G22</x:f>
        <x:v>10.9375</x:v>
      </x:c>
      <x:c r="I22" s="37" t="n">
        <x:f>'Component BOM'!K22</x:f>
        <x:v>2</x:v>
      </x:c>
      <x:c r="J22" s="37" t="n">
        <x:f>'Component BOM'!N22</x:f>
        <x:v>280</x:v>
      </x:c>
      <x:c r="K22" s="37" t="n">
        <x:f>I22*1000/J22</x:f>
        <x:v>7.142857142857143</x:v>
      </x:c>
      <x:c r="L22" s="27" t="str">
        <x:f>IF(MAX(E22,H22,K22)=E22,"current",IF(MAX(E22,H22,K22)=H22,"advanced","transform"))</x:f>
        <x:v>current</x:v>
      </x:c>
      <x:c r="M22" s="27" t="str">
        <x:v>density assumption</x:v>
      </x:c>
    </x:row>
    <x:row r="23" ht="21.600000381469727" hidden="0" customHeight="1">
      <x:c r="A23" s="29" t="str">
        <x:v>E02</x:v>
      </x:c>
      <x:c r="B23" s="29" t="str">
        <x:v>Lighting and outlets</x:v>
      </x:c>
      <x:c r="C23" s="38" t="n">
        <x:f>'Component BOM'!G23</x:f>
        <x:v>3</x:v>
      </x:c>
      <x:c r="D23" s="38" t="n">
        <x:f>'Component BOM'!L23</x:f>
        <x:v>220</x:v>
      </x:c>
      <x:c r="E23" s="38" t="n">
        <x:f>C23*1000/D23</x:f>
        <x:v>13.636363636363637</x:v>
      </x:c>
      <x:c r="F23" s="38" t="n">
        <x:f>'Component BOM'!I23</x:f>
        <x:v>2</x:v>
      </x:c>
      <x:c r="G23" s="38" t="n">
        <x:f>'Component BOM'!M23</x:f>
        <x:v>200</x:v>
      </x:c>
      <x:c r="H23" s="38" t="n">
        <x:f>F23*1000/G23</x:f>
        <x:v>10</x:v>
      </x:c>
      <x:c r="I23" s="38" t="n">
        <x:f>'Component BOM'!K23</x:f>
        <x:v>1</x:v>
      </x:c>
      <x:c r="J23" s="38" t="n">
        <x:f>'Component BOM'!N23</x:f>
        <x:v>180</x:v>
      </x:c>
      <x:c r="K23" s="38" t="n">
        <x:f>I23*1000/J23</x:f>
        <x:v>5.555555555555555</x:v>
      </x:c>
      <x:c r="L23" s="29" t="str">
        <x:f>IF(MAX(E23,H23,K23)=E23,"current",IF(MAX(E23,H23,K23)=H23,"advanced","transform"))</x:f>
        <x:v>current</x:v>
      </x:c>
      <x:c r="M23" s="29" t="str">
        <x:v>density assumption</x:v>
      </x:c>
    </x:row>
    <x:row r="24" ht="32.400001525878906" hidden="0" customHeight="1">
      <x:c r="A24" s="27" t="str">
        <x:v>L01</x:v>
      </x:c>
      <x:c r="B24" s="27" t="str">
        <x:v>Detection and local suppression</x:v>
      </x:c>
      <x:c r="C24" s="37" t="n">
        <x:f>'Component BOM'!G24</x:f>
        <x:v>5</x:v>
      </x:c>
      <x:c r="D24" s="37" t="n">
        <x:f>'Component BOM'!L24</x:f>
        <x:v>300</x:v>
      </x:c>
      <x:c r="E24" s="37" t="n">
        <x:f>C24*1000/D24</x:f>
        <x:v>16.666666666666668</x:v>
      </x:c>
      <x:c r="F24" s="37" t="n">
        <x:f>'Component BOM'!I24</x:f>
        <x:v>3</x:v>
      </x:c>
      <x:c r="G24" s="37" t="n">
        <x:f>'Component BOM'!M24</x:f>
        <x:v>260</x:v>
      </x:c>
      <x:c r="H24" s="37" t="n">
        <x:f>F24*1000/G24</x:f>
        <x:v>11.538461538461538</x:v>
      </x:c>
      <x:c r="I24" s="37" t="n">
        <x:f>'Component BOM'!K24</x:f>
        <x:v>2</x:v>
      </x:c>
      <x:c r="J24" s="37" t="n">
        <x:f>'Component BOM'!N24</x:f>
        <x:v>220</x:v>
      </x:c>
      <x:c r="K24" s="37" t="n">
        <x:f>I24*1000/J24</x:f>
        <x:v>9.090909090909092</x:v>
      </x:c>
      <x:c r="L24" s="27" t="str">
        <x:f>IF(MAX(E24,H24,K24)=E24,"current",IF(MAX(E24,H24,K24)=H24,"advanced","transform"))</x:f>
        <x:v>current</x:v>
      </x:c>
      <x:c r="M24" s="27" t="str">
        <x:v>density assumption</x:v>
      </x:c>
    </x:row>
    <x:row r="25" ht="43.20000076293945" hidden="0" customHeight="1">
      <x:c r="A25" s="29" t="str">
        <x:v>D01</x:v>
      </x:c>
      <x:c r="B25" s="29" t="str">
        <x:v>Command, data and public address</x:v>
      </x:c>
      <x:c r="C25" s="38" t="n">
        <x:f>'Component BOM'!G25</x:f>
        <x:v>3</x:v>
      </x:c>
      <x:c r="D25" s="38" t="n">
        <x:f>'Component BOM'!L25</x:f>
        <x:v>250</x:v>
      </x:c>
      <x:c r="E25" s="38" t="n">
        <x:f>C25*1000/D25</x:f>
        <x:v>12</x:v>
      </x:c>
      <x:c r="F25" s="38" t="n">
        <x:f>'Component BOM'!I25</x:f>
        <x:v>2</x:v>
      </x:c>
      <x:c r="G25" s="38" t="n">
        <x:f>'Component BOM'!M25</x:f>
        <x:v>220</x:v>
      </x:c>
      <x:c r="H25" s="38" t="n">
        <x:f>F25*1000/G25</x:f>
        <x:v>9.090909090909092</x:v>
      </x:c>
      <x:c r="I25" s="38" t="n">
        <x:f>'Component BOM'!K25</x:f>
        <x:v>1</x:v>
      </x:c>
      <x:c r="J25" s="38" t="n">
        <x:f>'Component BOM'!N25</x:f>
        <x:v>180</x:v>
      </x:c>
      <x:c r="K25" s="38" t="n">
        <x:f>I25*1000/J25</x:f>
        <x:v>5.555555555555555</x:v>
      </x:c>
      <x:c r="L25" s="29" t="str">
        <x:f>IF(MAX(E25,H25,K25)=E25,"current",IF(MAX(E25,H25,K25)=H25,"advanced","transform"))</x:f>
        <x:v>current</x:v>
      </x:c>
      <x:c r="M25" s="29" t="str">
        <x:v>density assumption</x:v>
      </x:c>
    </x:row>
    <x:row r="26" ht="32.400001525878906" hidden="0" customHeight="1">
      <x:c r="A26" s="27" t="str">
        <x:v>D02</x:v>
      </x:c>
      <x:c r="B26" s="27" t="str">
        <x:v>Environmental sensors and metering</x:v>
      </x:c>
      <x:c r="C26" s="37" t="n">
        <x:f>'Component BOM'!G26</x:f>
        <x:v>2</x:v>
      </x:c>
      <x:c r="D26" s="37" t="n">
        <x:f>'Component BOM'!L26</x:f>
        <x:v>250</x:v>
      </x:c>
      <x:c r="E26" s="37" t="n">
        <x:f>C26*1000/D26</x:f>
        <x:v>8</x:v>
      </x:c>
      <x:c r="F26" s="37" t="n">
        <x:f>'Component BOM'!I26</x:f>
        <x:v>1</x:v>
      </x:c>
      <x:c r="G26" s="37" t="n">
        <x:f>'Component BOM'!M26</x:f>
        <x:v>220</x:v>
      </x:c>
      <x:c r="H26" s="37" t="n">
        <x:f>F26*1000/G26</x:f>
        <x:v>4.545454545454546</x:v>
      </x:c>
      <x:c r="I26" s="37" t="n">
        <x:f>'Component BOM'!K26</x:f>
        <x:v>0.5</x:v>
      </x:c>
      <x:c r="J26" s="37" t="n">
        <x:f>'Component BOM'!N26</x:f>
        <x:v>180</x:v>
      </x:c>
      <x:c r="K26" s="37" t="n">
        <x:f>I26*1000/J26</x:f>
        <x:v>2.7777777777777777</x:v>
      </x:c>
      <x:c r="L26" s="27" t="str">
        <x:f>IF(MAX(E26,H26,K26)=E26,"current",IF(MAX(E26,H26,K26)=H26,"advanced","transform"))</x:f>
        <x:v>current</x:v>
      </x:c>
      <x:c r="M26" s="27" t="str">
        <x:v>density assumption</x:v>
      </x:c>
    </x:row>
    <x:row r="27" ht="21.600000381469727" hidden="0" customHeight="1">
      <x:c r="A27" s="29" t="str">
        <x:v>P01</x:v>
      </x:c>
      <x:c r="B27" s="29" t="str">
        <x:v>Survey and marking kit</x:v>
      </x:c>
      <x:c r="C27" s="38" t="n">
        <x:f>'Component BOM'!G27</x:f>
        <x:v>0.5</x:v>
      </x:c>
      <x:c r="D27" s="38" t="n">
        <x:f>'Component BOM'!L27</x:f>
        <x:v>500</x:v>
      </x:c>
      <x:c r="E27" s="38" t="n">
        <x:f>C27*1000/D27</x:f>
        <x:v>1</x:v>
      </x:c>
      <x:c r="F27" s="38" t="n">
        <x:f>'Component BOM'!I27</x:f>
        <x:v>0.4</x:v>
      </x:c>
      <x:c r="G27" s="38" t="n">
        <x:f>'Component BOM'!M27</x:f>
        <x:v>450</x:v>
      </x:c>
      <x:c r="H27" s="38" t="n">
        <x:f>F27*1000/G27</x:f>
        <x:v>0.8888888888888888</x:v>
      </x:c>
      <x:c r="I27" s="38" t="n">
        <x:f>'Component BOM'!K27</x:f>
        <x:v>0.3</x:v>
      </x:c>
      <x:c r="J27" s="38" t="n">
        <x:f>'Component BOM'!N27</x:f>
        <x:v>400</x:v>
      </x:c>
      <x:c r="K27" s="38" t="n">
        <x:f>I27*1000/J27</x:f>
        <x:v>0.75</x:v>
      </x:c>
      <x:c r="L27" s="29" t="str">
        <x:f>IF(MAX(E27,H27,K27)=E27,"current",IF(MAX(E27,H27,K27)=H27,"advanced","transform"))</x:f>
        <x:v>current</x:v>
      </x:c>
      <x:c r="M27" s="29" t="str">
        <x:v>density assumption</x:v>
      </x:c>
    </x:row>
    <x:row r="28" ht="43.20000076293945" hidden="0" customHeight="1">
      <x:c r="A28" s="27" t="str">
        <x:v>P02</x:v>
      </x:c>
      <x:c r="B28" s="27" t="str">
        <x:v>Grading and drainage equipment allocation</x:v>
      </x:c>
      <x:c r="C28" s="37" t="n">
        <x:f>'Component BOM'!G28</x:f>
        <x:v>12</x:v>
      </x:c>
      <x:c r="D28" s="37" t="n">
        <x:f>'Component BOM'!L28</x:f>
        <x:v>700</x:v>
      </x:c>
      <x:c r="E28" s="37" t="n">
        <x:f>C28*1000/D28</x:f>
        <x:v>17.142857142857142</x:v>
      </x:c>
      <x:c r="F28" s="37" t="n">
        <x:f>'Component BOM'!I28</x:f>
        <x:v>8</x:v>
      </x:c>
      <x:c r="G28" s="37" t="n">
        <x:f>'Component BOM'!M28</x:f>
        <x:v>650</x:v>
      </x:c>
      <x:c r="H28" s="37" t="n">
        <x:f>F28*1000/G28</x:f>
        <x:v>12.307692307692308</x:v>
      </x:c>
      <x:c r="I28" s="37" t="n">
        <x:f>'Component BOM'!K28</x:f>
        <x:v>4</x:v>
      </x:c>
      <x:c r="J28" s="37" t="n">
        <x:f>'Component BOM'!N28</x:f>
        <x:v>550</x:v>
      </x:c>
      <x:c r="K28" s="37" t="n">
        <x:f>I28*1000/J28</x:f>
        <x:v>7.2727272727272725</x:v>
      </x:c>
      <x:c r="L28" s="27" t="str">
        <x:f>IF(MAX(E28,H28,K28)=E28,"current",IF(MAX(E28,H28,K28)=H28,"advanced","transform"))</x:f>
        <x:v>current</x:v>
      </x:c>
      <x:c r="M28" s="27" t="str">
        <x:v>density assumption</x:v>
      </x:c>
    </x:row>
    <x:row r="29" ht="43.20000076293945" hidden="0" customHeight="1">
      <x:c r="A29" s="29" t="str">
        <x:v>P03</x:v>
      </x:c>
      <x:c r="B29" s="29" t="str">
        <x:v>Drainage, mats and ground protection</x:v>
      </x:c>
      <x:c r="C29" s="38" t="n">
        <x:f>'Component BOM'!G29</x:f>
        <x:v>10</x:v>
      </x:c>
      <x:c r="D29" s="38" t="n">
        <x:f>'Component BOM'!L29</x:f>
        <x:v>450</x:v>
      </x:c>
      <x:c r="E29" s="38" t="n">
        <x:f>C29*1000/D29</x:f>
        <x:v>22.22222222222222</x:v>
      </x:c>
      <x:c r="F29" s="38" t="n">
        <x:f>'Component BOM'!I29</x:f>
        <x:v>6</x:v>
      </x:c>
      <x:c r="G29" s="38" t="n">
        <x:f>'Component BOM'!M29</x:f>
        <x:v>400</x:v>
      </x:c>
      <x:c r="H29" s="38" t="n">
        <x:f>F29*1000/G29</x:f>
        <x:v>15</x:v>
      </x:c>
      <x:c r="I29" s="38" t="n">
        <x:f>'Component BOM'!K29</x:f>
        <x:v>3</x:v>
      </x:c>
      <x:c r="J29" s="38" t="n">
        <x:f>'Component BOM'!N29</x:f>
        <x:v>330</x:v>
      </x:c>
      <x:c r="K29" s="38" t="n">
        <x:f>I29*1000/J29</x:f>
        <x:v>9.090909090909092</x:v>
      </x:c>
      <x:c r="L29" s="29" t="str">
        <x:f>IF(MAX(E29,H29,K29)=E29,"current",IF(MAX(E29,H29,K29)=H29,"advanced","transform"))</x:f>
        <x:v>current</x:v>
      </x:c>
      <x:c r="M29" s="29" t="str">
        <x:v>density assumption</x:v>
      </x:c>
    </x:row>
    <x:row r="30" ht="32.400001525878906" hidden="0" customHeight="1">
      <x:c r="A30" s="27" t="str">
        <x:v>P04</x:v>
      </x:c>
      <x:c r="B30" s="27" t="str">
        <x:v>Installation robots and tools</x:v>
      </x:c>
      <x:c r="C30" s="37" t="n">
        <x:f>'Component BOM'!G30</x:f>
        <x:v>8</x:v>
      </x:c>
      <x:c r="D30" s="37" t="n">
        <x:f>'Component BOM'!L30</x:f>
        <x:v>450</x:v>
      </x:c>
      <x:c r="E30" s="37" t="n">
        <x:f>C30*1000/D30</x:f>
        <x:v>17.77777777777778</x:v>
      </x:c>
      <x:c r="F30" s="37" t="n">
        <x:f>'Component BOM'!I30</x:f>
        <x:v>6</x:v>
      </x:c>
      <x:c r="G30" s="37" t="n">
        <x:f>'Component BOM'!M30</x:f>
        <x:v>400</x:v>
      </x:c>
      <x:c r="H30" s="37" t="n">
        <x:f>F30*1000/G30</x:f>
        <x:v>15</x:v>
      </x:c>
      <x:c r="I30" s="37" t="n">
        <x:f>'Component BOM'!K30</x:f>
        <x:v>4</x:v>
      </x:c>
      <x:c r="J30" s="37" t="n">
        <x:f>'Component BOM'!N30</x:f>
        <x:v>330</x:v>
      </x:c>
      <x:c r="K30" s="37" t="n">
        <x:f>I30*1000/J30</x:f>
        <x:v>12.121212121212121</x:v>
      </x:c>
      <x:c r="L30" s="27" t="str">
        <x:f>IF(MAX(E30,H30,K30)=E30,"current",IF(MAX(E30,H30,K30)=H30,"advanced","transform"))</x:f>
        <x:v>current</x:v>
      </x:c>
      <x:c r="M30" s="27" t="str">
        <x:v>density assumption</x:v>
      </x:c>
    </x:row>
    <x:row r="31" ht="32.400001525878906" hidden="0" customHeight="1">
      <x:c r="A31" s="29" t="str">
        <x:v>Functional volume subtotal</x:v>
      </x:c>
      <x:c r="B31" s="29"/>
      <x:c r="C31" s="38"/>
      <x:c r="D31" s="38"/>
      <x:c r="E31" s="38" t="n">
        <x:f>SUM(E5:E30)</x:f>
        <x:v>960.3636680284992</x:v>
      </x:c>
      <x:c r="F31" s="38"/>
      <x:c r="G31" s="38"/>
      <x:c r="H31" s="38" t="n">
        <x:f>SUM(H5:H30)</x:f>
        <x:v>653.8864797946499</x:v>
      </x:c>
      <x:c r="I31" s="38"/>
      <x:c r="J31" s="38"/>
      <x:c r="K31" s="38" t="n">
        <x:f>SUM(K5:K30)</x:f>
        <x:v>418.49068665417906</x:v>
      </x:c>
      <x:c r="L31" s="29"/>
      <x:c r="M31" s="29"/>
    </x:row>
    <x:row r="32" ht="32.400001525878906" hidden="0" customHeight="1">
      <x:c r="A32" s="27" t="str">
        <x:v>Spares and packaging volume</x:v>
      </x:c>
      <x:c r="B32" s="27"/>
      <x:c r="C32" s="37"/>
      <x:c r="D32" s="37"/>
      <x:c r="E32" s="37" t="n">
        <x:f>('Mass Summary'!B20+'Mass Summary'!B21)*1000/300</x:f>
        <x:v>132.7672176</x:v>
      </x:c>
      <x:c r="F32" s="37"/>
      <x:c r="G32" s="37"/>
      <x:c r="H32" s="37" t="n">
        <x:f>('Mass Summary'!C20+'Mass Summary'!C21)*1000/300</x:f>
        <x:v>68.15946525</x:v>
      </x:c>
      <x:c r="I32" s="37"/>
      <x:c r="J32" s="37"/>
      <x:c r="K32" s="37" t="n">
        <x:f>('Mass Summary'!D20+'Mass Summary'!D21)*1000/300</x:f>
        <x:v>28.109883880000005</x:v>
      </x:c>
      <x:c r="L32" s="27"/>
      <x:c r="M32" s="27"/>
    </x:row>
    <x:row r="33" ht="21.600000381469727" hidden="0" customHeight="1">
      <x:c r="A33" s="29" t="str">
        <x:v>TOTAL DISTRICT</x:v>
      </x:c>
      <x:c r="B33" s="29"/>
      <x:c r="C33" s="38"/>
      <x:c r="D33" s="38"/>
      <x:c r="E33" s="38" t="n">
        <x:f>SUM(E31:E32)</x:f>
        <x:v>1093.1308856284993</x:v>
      </x:c>
      <x:c r="F33" s="38"/>
      <x:c r="G33" s="38"/>
      <x:c r="H33" s="38" t="n">
        <x:f>SUM(H31:H32)</x:f>
        <x:v>722.0459450446499</x:v>
      </x:c>
      <x:c r="I33" s="38"/>
      <x:c r="J33" s="38"/>
      <x:c r="K33" s="38" t="n">
        <x:f>SUM(K31:K32)</x:f>
        <x:v>446.60057053417904</x:v>
      </x:c>
      <x:c r="L33" s="29"/>
      <x:c r="M33" s="29"/>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s>
  <x:sheetData>
    <x:row r="1" ht="29" customHeight="1">
      <x:c r="A1" s="72" t="str">
        <x:v>Mode load positions</x:v>
      </x:c>
      <x:c r="B1" s="72"/>
      <x:c r="C1" s="72"/>
      <x:c r="D1" s="72"/>
      <x:c r="E1" s="72"/>
      <x:c r="F1" s="72"/>
      <x:c r="G1" s="72"/>
      <x:c r="H1" s="72"/>
      <x:c r="I1" s="72"/>
      <x:c r="J1" s="72"/>
      <x:c r="K1" s="72"/>
    </x:row>
    <x:row r="2" ht="27" customHeight="1">
      <x:c r="A2" s="73" t="str">
        <x:v>Position counts use the larger of mass-bound and volume-bound requirements.</x:v>
      </x:c>
      <x:c r="B2" s="73"/>
      <x:c r="C2" s="73"/>
      <x:c r="D2" s="73"/>
      <x:c r="E2" s="73"/>
      <x:c r="F2" s="73"/>
      <x:c r="G2" s="73"/>
      <x:c r="H2" s="73"/>
      <x:c r="I2" s="73"/>
      <x:c r="J2" s="73"/>
      <x:c r="K2" s="73"/>
    </x:row>
    <x:row r="3">
      <x:c r="A3" s="74"/>
      <x:c r="B3" s="74"/>
      <x:c r="C3" s="74"/>
      <x:c r="D3" s="74"/>
      <x:c r="E3" s="74"/>
      <x:c r="F3" s="74"/>
      <x:c r="G3" s="74"/>
      <x:c r="H3" s="74"/>
      <x:c r="I3" s="74"/>
      <x:c r="J3" s="74"/>
      <x:c r="K3" s="74"/>
    </x:row>
    <x:row r="4" ht="30" customHeight="1">
      <x:c r="A4" s="75" t="str">
        <x:v>Case</x:v>
      </x:c>
      <x:c r="B4" s="76" t="str">
        <x:v>District mass t</x:v>
      </x:c>
      <x:c r="C4" s="76" t="str">
        <x:v>District volume m³</x:v>
      </x:c>
      <x:c r="D4" s="76" t="str">
        <x:v>Air mass positions</x:v>
      </x:c>
      <x:c r="E4" s="76" t="str">
        <x:v>Air volume positions</x:v>
      </x:c>
      <x:c r="F4" s="76" t="str">
        <x:v>Air positions</x:v>
      </x:c>
      <x:c r="G4" s="76" t="str">
        <x:v>Binding</x:v>
      </x:c>
      <x:c r="H4" s="76" t="str">
        <x:v>40-ft mass positions</x:v>
      </x:c>
      <x:c r="I4" s="76" t="str">
        <x:v>40-ft volume positions</x:v>
      </x:c>
      <x:c r="J4" s="76" t="str">
        <x:v>40-ft positions</x:v>
      </x:c>
      <x:c r="K4" s="77" t="str">
        <x:v>PCC-50 total positions</x:v>
      </x:c>
    </x:row>
    <x:row r="5" ht="15" hidden="0" customHeight="1">
      <x:c r="A5" s="28" t="str">
        <x:v>Current</x:v>
      </x:c>
      <x:c r="B5" s="36" t="n">
        <x:f>'Mass Summary'!B22</x:f>
        <x:v>261.10886128000004</x:v>
      </x:c>
      <x:c r="C5" s="36" t="n">
        <x:f>'Packed Volume'!E33</x:f>
        <x:v>1093.1308856284993</x:v>
      </x:c>
      <x:c r="D5" s="28" t="n">
        <x:f>ROUNDUP(B5/'Controls'!B19,0)</x:f>
        <x:v>58</x:v>
      </x:c>
      <x:c r="E5" s="28" t="n">
        <x:f>ROUNDUP(C5/'Controls'!B20,0)</x:f>
        <x:v>61</x:v>
      </x:c>
      <x:c r="F5" s="28" t="n">
        <x:f>MAX(D5,E5)</x:f>
        <x:v>61</x:v>
      </x:c>
      <x:c r="G5" s="28" t="str">
        <x:f>IF(E5&gt;D5,"VOLUME",IF(D5&gt;E5,"MASS","BOTH"))</x:f>
        <x:v>VOLUME</x:v>
      </x:c>
      <x:c r="H5" s="28" t="n">
        <x:f>ROUNDUP(B5/'Controls'!B21,0)</x:f>
        <x:v>11</x:v>
      </x:c>
      <x:c r="I5" s="28" t="n">
        <x:f>ROUNDUP(C5/'Controls'!B22,0)</x:f>
        <x:v>17</x:v>
      </x:c>
      <x:c r="J5" s="28" t="n">
        <x:f>MAX(H5,I5)</x:f>
        <x:v>17</x:v>
      </x:c>
      <x:c r="K5" s="28" t="n">
        <x:f>J5*'Controls'!B6</x:f>
        <x:v>850</x:v>
      </x:c>
    </x:row>
    <x:row r="6" ht="15" hidden="0" customHeight="1">
      <x:c r="A6" s="27" t="str">
        <x:v>Advanced</x:v>
      </x:c>
      <x:c r="B6" s="37" t="n">
        <x:f>'Mass Summary'!C22</x:f>
        <x:v>156.76677007499998</x:v>
      </x:c>
      <x:c r="C6" s="37" t="n">
        <x:f>'Packed Volume'!H33</x:f>
        <x:v>722.0459450446499</x:v>
      </x:c>
      <x:c r="D6" s="27" t="n">
        <x:f>ROUNDUP(B6/'Controls'!B19,0)</x:f>
        <x:v>35</x:v>
      </x:c>
      <x:c r="E6" s="27" t="n">
        <x:f>ROUNDUP(C6/'Controls'!B20,0)</x:f>
        <x:v>41</x:v>
      </x:c>
      <x:c r="F6" s="27" t="n">
        <x:f>MAX(D6,E6)</x:f>
        <x:v>41</x:v>
      </x:c>
      <x:c r="G6" s="27" t="str">
        <x:f>IF(E6&gt;D6,"VOLUME",IF(D6&gt;E6,"MASS","BOTH"))</x:f>
        <x:v>VOLUME</x:v>
      </x:c>
      <x:c r="H6" s="27" t="n">
        <x:f>ROUNDUP(B6/'Controls'!B21,0)</x:f>
        <x:v>7</x:v>
      </x:c>
      <x:c r="I6" s="27" t="n">
        <x:f>ROUNDUP(C6/'Controls'!B22,0)</x:f>
        <x:v>11</x:v>
      </x:c>
      <x:c r="J6" s="27" t="n">
        <x:f>MAX(H6,I6)</x:f>
        <x:v>11</x:v>
      </x:c>
      <x:c r="K6" s="27" t="n">
        <x:f>J6*'Controls'!B6</x:f>
        <x:v>550</x:v>
      </x:c>
    </x:row>
    <x:row r="7" ht="15" hidden="0" customHeight="1">
      <x:c r="A7" s="29" t="str">
        <x:v>Transform</x:v>
      </x:c>
      <x:c r="B7" s="38" t="n">
        <x:f>'Mass Summary'!D22</x:f>
        <x:v>78.707674864</x:v>
      </x:c>
      <x:c r="C7" s="38" t="n">
        <x:f>'Packed Volume'!K33</x:f>
        <x:v>446.60057053417904</x:v>
      </x:c>
      <x:c r="D7" s="29" t="n">
        <x:f>ROUNDUP(B7/'Controls'!B19,0)</x:f>
        <x:v>18</x:v>
      </x:c>
      <x:c r="E7" s="29" t="n">
        <x:f>ROUNDUP(C7/'Controls'!B20,0)</x:f>
        <x:v>25</x:v>
      </x:c>
      <x:c r="F7" s="29" t="n">
        <x:f>MAX(D7,E7)</x:f>
        <x:v>25</x:v>
      </x:c>
      <x:c r="G7" s="29" t="str">
        <x:f>IF(E7&gt;D7,"VOLUME",IF(D7&gt;E7,"MASS","BOTH"))</x:f>
        <x:v>VOLUME</x:v>
      </x:c>
      <x:c r="H7" s="29" t="n">
        <x:f>ROUNDUP(B7/'Controls'!B21,0)</x:f>
        <x:v>4</x:v>
      </x:c>
      <x:c r="I7" s="29" t="n">
        <x:f>ROUNDUP(C7/'Controls'!B22,0)</x:f>
        <x:v>7</x:v>
      </x:c>
      <x:c r="J7" s="29" t="n">
        <x:f>MAX(H7,I7)</x:f>
        <x:v>7</x:v>
      </x:c>
      <x:c r="K7" s="29" t="n">
        <x:f>J7*'Controls'!B6</x:f>
        <x:v>350</x:v>
      </x:c>
    </x:row>
    <x:row r="8">
      <x:c r="A8" s="74"/>
      <x:c r="B8" s="74"/>
      <x:c r="C8" s="74"/>
      <x:c r="D8" s="74"/>
      <x:c r="E8" s="74"/>
      <x:c r="F8" s="74"/>
      <x:c r="G8" s="74"/>
      <x:c r="H8" s="74"/>
      <x:c r="I8" s="74"/>
      <x:c r="J8" s="74"/>
      <x:c r="K8" s="74"/>
    </x:row>
    <x:row r="9" ht="32" customHeight="1">
      <x:c r="A9" s="81" t="str">
        <x:v>These are interface-position screens, not aircraft or ship load plans. Oversize pieces, center of gravity, restraint, hazardous separation, cold power and handling can increase positions.</x:v>
      </x:c>
      <x:c r="B9" s="81"/>
      <x:c r="C9" s="81"/>
      <x:c r="D9" s="81"/>
      <x:c r="E9" s="81"/>
      <x:c r="F9" s="81"/>
      <x:c r="G9" s="81"/>
      <x:c r="H9" s="81"/>
      <x:c r="I9" s="81"/>
      <x:c r="J9" s="81"/>
      <x:c r="K9" s="81"/>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16" hidden="0" customWidth="1"/>
    <x:col min="3" max="3" width="1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s>
  <x:sheetData>
    <x:row r="1" ht="29" customHeight="1">
      <x:c r="A1" s="72" t="str">
        <x:v>Site preparation and restoration</x:v>
      </x:c>
      <x:c r="B1" s="72"/>
      <x:c r="C1" s="72"/>
      <x:c r="D1" s="72"/>
      <x:c r="E1" s="72"/>
      <x:c r="F1" s="72"/>
      <x:c r="G1" s="72"/>
      <x:c r="H1" s="72"/>
      <x:c r="I1" s="72"/>
      <x:c r="J1" s="72"/>
    </x:row>
    <x:row r="2" ht="27" customHeight="1">
      <x:c r="A2" s="73" t="str">
        <x:v>A shelter district begins with land, drainage and authority rather than with its first membrane.</x:v>
      </x:c>
      <x:c r="B2" s="73"/>
      <x:c r="C2" s="73"/>
      <x:c r="D2" s="73"/>
      <x:c r="E2" s="73"/>
      <x:c r="F2" s="73"/>
      <x:c r="G2" s="73"/>
      <x:c r="H2" s="73"/>
      <x:c r="I2" s="73"/>
      <x:c r="J2" s="73"/>
    </x:row>
    <x:row r="3">
      <x:c r="A3" s="74"/>
      <x:c r="B3" s="74"/>
      <x:c r="C3" s="74"/>
      <x:c r="D3" s="74"/>
      <x:c r="E3" s="74"/>
      <x:c r="F3" s="74"/>
      <x:c r="G3" s="74"/>
      <x:c r="H3" s="74"/>
      <x:c r="I3" s="74"/>
      <x:c r="J3" s="74"/>
    </x:row>
    <x:row r="4" ht="30" customHeight="1">
      <x:c r="A4" s="75" t="str">
        <x:v>Requirement</x:v>
      </x:c>
      <x:c r="B4" s="76" t="str">
        <x:v>Quantity</x:v>
      </x:c>
      <x:c r="C4" s="76" t="str">
        <x:v>Unit</x:v>
      </x:c>
      <x:c r="D4" s="76" t="str">
        <x:v>Acceptance evidence</x:v>
      </x:c>
      <x:c r="E4" s="76" t="str">
        <x:v>Primary equipment</x:v>
      </x:c>
      <x:c r="F4" s="76" t="str">
        <x:v>Predecessor</x:v>
      </x:c>
      <x:c r="G4" s="76" t="str">
        <x:v>Failure mode</x:v>
      </x:c>
      <x:c r="H4" s="76" t="str">
        <x:v>Degraded option</x:v>
      </x:c>
      <x:c r="I4" s="76" t="str">
        <x:v>Release owner</x:v>
      </x:c>
      <x:c r="J4" s="77" t="str">
        <x:v>State</x:v>
      </x:c>
    </x:row>
    <x:row r="5" ht="43.20000076293945" hidden="0" customHeight="1">
      <x:c r="A5" s="28" t="str">
        <x:v>Surveyed/excluded site</x:v>
      </x:c>
      <x:c r="B5" s="28" t="n">
        <x:v>1.25</x:v>
      </x:c>
      <x:c r="C5" s="28" t="str">
        <x:v>ha</x:v>
      </x:c>
      <x:c r="D5" s="28" t="str">
        <x:v>boundaries, hazards, utilities, rights</x:v>
      </x:c>
      <x:c r="E5" s="28" t="str">
        <x:v>survey drones and ground team</x:v>
      </x:c>
      <x:c r="F5" s="28" t="str">
        <x:v>civil access</x:v>
      </x:c>
      <x:c r="G5" s="28" t="str">
        <x:v>unknown hazard/right</x:v>
      </x:c>
      <x:c r="H5" s="28" t="str">
        <x:v>alternate parcel</x:v>
      </x:c>
      <x:c r="I5" s="28" t="str">
        <x:v>civil authority</x:v>
      </x:c>
      <x:c r="J5" s="28" t="str">
        <x:v>OPEN</x:v>
      </x:c>
    </x:row>
    <x:row r="6" ht="32.400001525878906" hidden="0" customHeight="1">
      <x:c r="A6" s="27" t="str">
        <x:v>Bearing/settlement grid</x:v>
      </x:c>
      <x:c r="B6" s="27" t="n">
        <x:v>7525</x:v>
      </x:c>
      <x:c r="C6" s="27" t="str">
        <x:v>m²</x:v>
      </x:c>
      <x:c r="D6" s="27" t="str">
        <x:v>proof roll and settlement thresholds</x:v>
      </x:c>
      <x:c r="E6" s="27" t="str">
        <x:v>robotic test/grade fleet</x:v>
      </x:c>
      <x:c r="F6" s="27" t="str">
        <x:v>survey</x:v>
      </x:c>
      <x:c r="G6" s="27" t="str">
        <x:v>floor failure</x:v>
      </x:c>
      <x:c r="H6" s="27" t="str">
        <x:v>reduced zones</x:v>
      </x:c>
      <x:c r="I6" s="27" t="str">
        <x:v>structural authority</x:v>
      </x:c>
      <x:c r="J6" s="27" t="str">
        <x:v>OPEN</x:v>
      </x:c>
    </x:row>
    <x:row r="7" ht="32.400001525878906" hidden="0" customHeight="1">
      <x:c r="A7" s="29" t="str">
        <x:v>Positive drainage</x:v>
      </x:c>
      <x:c r="B7" s="29" t="n">
        <x:v>100</x:v>
      </x:c>
      <x:c r="C7" s="29" t="str">
        <x:v>mm/24h case</x:v>
      </x:c>
      <x:c r="D7" s="29" t="str">
        <x:v>no occupied-area ponding</x:v>
      </x:c>
      <x:c r="E7" s="29" t="str">
        <x:v>ditchers, pumps, channels</x:v>
      </x:c>
      <x:c r="F7" s="29" t="str">
        <x:v>survey</x:v>
      </x:c>
      <x:c r="G7" s="29" t="str">
        <x:v>inundation/dampness</x:v>
      </x:c>
      <x:c r="H7" s="29" t="str">
        <x:v>raised refuge</x:v>
      </x:c>
      <x:c r="I7" s="29" t="str">
        <x:v>site authority</x:v>
      </x:c>
      <x:c r="J7" s="29" t="str">
        <x:v>OPEN</x:v>
      </x:c>
    </x:row>
    <x:row r="8" ht="32.400001525878906" hidden="0" customHeight="1">
      <x:c r="A8" s="27" t="str">
        <x:v>Accessible routes</x:v>
      </x:c>
      <x:c r="B8" s="27" t="n">
        <x:v>2</x:v>
      </x:c>
      <x:c r="C8" s="27" t="str">
        <x:v>independent loops</x:v>
      </x:c>
      <x:c r="D8" s="27" t="str">
        <x:v>slope, width, surface, lighting</x:v>
      </x:c>
      <x:c r="E8" s="27" t="str">
        <x:v>mats/floor modules</x:v>
      </x:c>
      <x:c r="F8" s="27" t="str">
        <x:v>grade</x:v>
      </x:c>
      <x:c r="G8" s="27" t="str">
        <x:v>mobility/egress failure</x:v>
      </x:c>
      <x:c r="H8" s="27" t="str">
        <x:v>assisted route</x:v>
      </x:c>
      <x:c r="I8" s="27" t="str">
        <x:v>accessibility authority</x:v>
      </x:c>
      <x:c r="J8" s="27" t="str">
        <x:v>OPEN</x:v>
      </x:c>
    </x:row>
    <x:row r="9" ht="32.400001525878906" hidden="0" customHeight="1">
      <x:c r="A9" s="29" t="str">
        <x:v>Fire separation and lanes</x:v>
      </x:c>
      <x:c r="B9" s="29" t="n">
        <x:v>1</x:v>
      </x:c>
      <x:c r="C9" s="29" t="str">
        <x:v>district plan</x:v>
      </x:c>
      <x:c r="D9" s="29" t="str">
        <x:v>apparatus access and separation</x:v>
      </x:c>
      <x:c r="E9" s="29" t="str">
        <x:v>layout compiler</x:v>
      </x:c>
      <x:c r="F9" s="29" t="str">
        <x:v>survey</x:v>
      </x:c>
      <x:c r="G9" s="29" t="str">
        <x:v>fire spread/access block</x:v>
      </x:c>
      <x:c r="H9" s="29" t="str">
        <x:v>sectional closure</x:v>
      </x:c>
      <x:c r="I9" s="29" t="str">
        <x:v>fire authority</x:v>
      </x:c>
      <x:c r="J9" s="29" t="str">
        <x:v>OPEN</x:v>
      </x:c>
    </x:row>
    <x:row r="10" ht="32.400001525878906" hidden="0" customHeight="1">
      <x:c r="A10" s="27" t="str">
        <x:v>Anchor/ballast acceptance</x:v>
      </x:c>
      <x:c r="B10" s="27" t="n">
        <x:v>20</x:v>
      </x:c>
      <x:c r="C10" s="27" t="str">
        <x:v>shelter bays</x:v>
      </x:c>
      <x:c r="D10" s="27" t="str">
        <x:v>pullout/ballast/overturning record</x:v>
      </x:c>
      <x:c r="E10" s="27" t="str">
        <x:v>anchor robots and test set</x:v>
      </x:c>
      <x:c r="F10" s="27" t="str">
        <x:v>grade</x:v>
      </x:c>
      <x:c r="G10" s="27" t="str">
        <x:v>progressive uplift</x:v>
      </x:c>
      <x:c r="H10" s="27" t="str">
        <x:v>reduced wind state</x:v>
      </x:c>
      <x:c r="I10" s="27" t="str">
        <x:v>structural authority</x:v>
      </x:c>
      <x:c r="J10" s="27" t="str">
        <x:v>OPEN</x:v>
      </x:c>
    </x:row>
    <x:row r="11" ht="32.400001525878906" hidden="0" customHeight="1">
      <x:c r="A11" s="29" t="str">
        <x:v>Utility spine corridor</x:v>
      </x:c>
      <x:c r="B11" s="29" t="n">
        <x:v>2</x:v>
      </x:c>
      <x:c r="C11" s="29" t="str">
        <x:v>loops</x:v>
      </x:c>
      <x:c r="D11" s="29" t="str">
        <x:v>isolatable power/fluid/data route</x:v>
      </x:c>
      <x:c r="E11" s="29" t="str">
        <x:v>reels, pipe/cable robots</x:v>
      </x:c>
      <x:c r="F11" s="29" t="str">
        <x:v>grade</x:v>
      </x:c>
      <x:c r="G11" s="29" t="str">
        <x:v>single-point utility loss</x:v>
      </x:c>
      <x:c r="H11" s="29" t="str">
        <x:v>one-loop operation</x:v>
      </x:c>
      <x:c r="I11" s="29" t="str">
        <x:v>technical authority</x:v>
      </x:c>
      <x:c r="J11" s="29" t="str">
        <x:v>OPEN</x:v>
      </x:c>
    </x:row>
    <x:row r="12" ht="43.20000076293945" hidden="0" customHeight="1">
      <x:c r="A12" s="27" t="str">
        <x:v>Waste custody area</x:v>
      </x:c>
      <x:c r="B12" s="27" t="n">
        <x:v>1</x:v>
      </x:c>
      <x:c r="C12" s="27" t="str">
        <x:v>controlled node</x:v>
      </x:c>
      <x:c r="D12" s="27" t="str">
        <x:v>sealed, sampled and traffic separated</x:v>
      </x:c>
      <x:c r="E12" s="27" t="str">
        <x:v>tanks/containers</x:v>
      </x:c>
      <x:c r="F12" s="27" t="str">
        <x:v>survey</x:v>
      </x:c>
      <x:c r="G12" s="27" t="str">
        <x:v>uncontrolled discharge</x:v>
      </x:c>
      <x:c r="H12" s="27" t="str">
        <x:v>safe storage</x:v>
      </x:c>
      <x:c r="I12" s="27" t="str">
        <x:v>environmental authority</x:v>
      </x:c>
      <x:c r="J12" s="27" t="str">
        <x:v>OPEN</x:v>
      </x:c>
    </x:row>
    <x:row r="13" ht="54" hidden="0" customHeight="1">
      <x:c r="A13" s="29" t="str">
        <x:v>Strike and restoration</x:v>
      </x:c>
      <x:c r="B13" s="29" t="n">
        <x:v>1.25</x:v>
      </x:c>
      <x:c r="C13" s="29" t="str">
        <x:v>ha</x:v>
      </x:c>
      <x:c r="D13" s="29" t="str">
        <x:v>materials removed, soil/water liabilities bounded</x:v>
      </x:c>
      <x:c r="E13" s="29" t="str">
        <x:v>recovery/grade fleet</x:v>
      </x:c>
      <x:c r="F13" s="29" t="str">
        <x:v>civil transfer</x:v>
      </x:c>
      <x:c r="G13" s="29" t="str">
        <x:v>abandoned damage</x:v>
      </x:c>
      <x:c r="H13" s="29" t="str">
        <x:v>managed handoff</x:v>
      </x:c>
      <x:c r="I13" s="29" t="str">
        <x:v>civil/environmental</x:v>
      </x:c>
      <x:c r="J13" s="29" t="str">
        <x:v>OPEN</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34"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44" hidden="0" customWidth="1"/>
    <x:col min="14" max="14" width="44" hidden="0" customWidth="1"/>
  </x:cols>
  <x:sheetData>
    <x:row r="1" ht="29" customHeight="1">
      <x:c r="A1" s="72" t="str">
        <x:v>Installation activity register</x:v>
      </x:c>
      <x:c r="B1" s="72"/>
      <x:c r="C1" s="72"/>
      <x:c r="D1" s="72"/>
      <x:c r="E1" s="72"/>
      <x:c r="F1" s="72"/>
      <x:c r="G1" s="72"/>
      <x:c r="H1" s="72"/>
      <x:c r="I1" s="72"/>
      <x:c r="J1" s="72"/>
      <x:c r="K1" s="72"/>
      <x:c r="L1" s="72"/>
      <x:c r="M1" s="72"/>
      <x:c r="N1" s="72"/>
    </x:row>
    <x:row r="2" ht="27" customHeight="1">
      <x:c r="A2" s="73" t="str">
        <x:v>Durations and labor are hypotheses for a fully supplied, released site.</x:v>
      </x:c>
      <x:c r="B2" s="73"/>
      <x:c r="C2" s="73"/>
      <x:c r="D2" s="73"/>
      <x:c r="E2" s="73"/>
      <x:c r="F2" s="73"/>
      <x:c r="G2" s="73"/>
      <x:c r="H2" s="73"/>
      <x:c r="I2" s="73"/>
      <x:c r="J2" s="73"/>
      <x:c r="K2" s="73"/>
      <x:c r="L2" s="73"/>
      <x:c r="M2" s="73"/>
      <x:c r="N2" s="73"/>
    </x:row>
    <x:row r="3">
      <x:c r="A3" s="74"/>
      <x:c r="B3" s="74"/>
      <x:c r="C3" s="74"/>
      <x:c r="D3" s="74"/>
      <x:c r="E3" s="74"/>
      <x:c r="F3" s="74"/>
      <x:c r="G3" s="74"/>
      <x:c r="H3" s="74"/>
      <x:c r="I3" s="74"/>
      <x:c r="J3" s="74"/>
      <x:c r="K3" s="74"/>
      <x:c r="L3" s="74"/>
      <x:c r="M3" s="74"/>
      <x:c r="N3" s="74"/>
    </x:row>
    <x:row r="4" ht="30" customHeight="1">
      <x:c r="A4" s="75" t="str">
        <x:v>ID</x:v>
      </x:c>
      <x:c r="B4" s="76" t="str">
        <x:v>Activity</x:v>
      </x:c>
      <x:c r="C4" s="76" t="str">
        <x:v>Predecessors</x:v>
      </x:c>
      <x:c r="D4" s="76" t="str">
        <x:v>Current h</x:v>
      </x:c>
      <x:c r="E4" s="76" t="str">
        <x:v>Advanced h</x:v>
      </x:c>
      <x:c r="F4" s="76" t="str">
        <x:v>Transform h</x:v>
      </x:c>
      <x:c r="G4" s="76" t="str">
        <x:v>Current labor-h</x:v>
      </x:c>
      <x:c r="H4" s="76" t="str">
        <x:v>Advanced labor-h</x:v>
      </x:c>
      <x:c r="I4" s="76" t="str">
        <x:v>Transform labor-h</x:v>
      </x:c>
      <x:c r="J4" s="76" t="str">
        <x:v>Current crew</x:v>
      </x:c>
      <x:c r="K4" s="76" t="str">
        <x:v>Advanced crew</x:v>
      </x:c>
      <x:c r="L4" s="76" t="str">
        <x:v>Transform crew</x:v>
      </x:c>
      <x:c r="M4" s="76" t="str">
        <x:v>Completion evidence</x:v>
      </x:c>
      <x:c r="N4" s="77" t="str">
        <x:v>Hidden dependency</x:v>
      </x:c>
    </x:row>
    <x:row r="5" ht="54" hidden="0" customHeight="1">
      <x:c r="A5" s="28" t="str">
        <x:v>A01</x:v>
      </x:c>
      <x:c r="B5" s="28" t="str">
        <x:v>Survey and exclusion</x:v>
      </x:c>
      <x:c r="C5" s="28" t="str"/>
      <x:c r="D5" s="42" t="n">
        <x:v>4</x:v>
      </x:c>
      <x:c r="E5" s="42" t="n">
        <x:v>3</x:v>
      </x:c>
      <x:c r="F5" s="42" t="n">
        <x:v>2</x:v>
      </x:c>
      <x:c r="G5" s="42" t="n">
        <x:v>80</x:v>
      </x:c>
      <x:c r="H5" s="42" t="n">
        <x:v>50</x:v>
      </x:c>
      <x:c r="I5" s="42" t="n">
        <x:v>30</x:v>
      </x:c>
      <x:c r="J5" s="42" t="n">
        <x:f>ROUNDUP(G5/D5,0)</x:f>
        <x:v>20</x:v>
      </x:c>
      <x:c r="K5" s="42" t="n">
        <x:f>ROUNDUP(H5/E5,0)</x:f>
        <x:v>17</x:v>
      </x:c>
      <x:c r="L5" s="42" t="n">
        <x:f>ROUNDUP(I5/F5,0)</x:f>
        <x:v>15</x:v>
      </x:c>
      <x:c r="M5" s="28" t="str">
        <x:v>released site bounds</x:v>
      </x:c>
      <x:c r="N5" s="28" t="str">
        <x:v>all required cargo, authority and weather window</x:v>
      </x:c>
    </x:row>
    <x:row r="6" ht="54" hidden="0" customHeight="1">
      <x:c r="A6" s="27" t="str">
        <x:v>A02</x:v>
      </x:c>
      <x:c r="B6" s="27" t="str">
        <x:v>Grade and drain</x:v>
      </x:c>
      <x:c r="C6" s="27" t="str">
        <x:v>A01</x:v>
      </x:c>
      <x:c r="D6" s="43" t="n">
        <x:v>10</x:v>
      </x:c>
      <x:c r="E6" s="43" t="n">
        <x:v>6</x:v>
      </x:c>
      <x:c r="F6" s="43" t="n">
        <x:v>4</x:v>
      </x:c>
      <x:c r="G6" s="43" t="n">
        <x:v>400</x:v>
      </x:c>
      <x:c r="H6" s="43" t="n">
        <x:v>200</x:v>
      </x:c>
      <x:c r="I6" s="43" t="n">
        <x:v>100</x:v>
      </x:c>
      <x:c r="J6" s="43" t="n">
        <x:f>ROUNDUP(G6/D6,0)</x:f>
        <x:v>40</x:v>
      </x:c>
      <x:c r="K6" s="43" t="n">
        <x:f>ROUNDUP(H6/E6,0)</x:f>
        <x:v>34</x:v>
      </x:c>
      <x:c r="L6" s="43" t="n">
        <x:f>ROUNDUP(I6/F6,0)</x:f>
        <x:v>25</x:v>
      </x:c>
      <x:c r="M6" s="27" t="str">
        <x:v>positive drainage and bearing surface</x:v>
      </x:c>
      <x:c r="N6" s="27" t="str">
        <x:v>all required cargo, authority and weather window</x:v>
      </x:c>
    </x:row>
    <x:row r="7" ht="54" hidden="0" customHeight="1">
      <x:c r="A7" s="29" t="str">
        <x:v>A03</x:v>
      </x:c>
      <x:c r="B7" s="29" t="str">
        <x:v>Access and ground protection</x:v>
      </x:c>
      <x:c r="C7" s="29" t="str">
        <x:v>A02</x:v>
      </x:c>
      <x:c r="D7" s="44" t="n">
        <x:v>6</x:v>
      </x:c>
      <x:c r="E7" s="44" t="n">
        <x:v>4</x:v>
      </x:c>
      <x:c r="F7" s="44" t="n">
        <x:v>3</x:v>
      </x:c>
      <x:c r="G7" s="44" t="n">
        <x:v>240</x:v>
      </x:c>
      <x:c r="H7" s="44" t="n">
        <x:v>120</x:v>
      </x:c>
      <x:c r="I7" s="44" t="n">
        <x:v>60</x:v>
      </x:c>
      <x:c r="J7" s="44" t="n">
        <x:f>ROUNDUP(G7/D7,0)</x:f>
        <x:v>40</x:v>
      </x:c>
      <x:c r="K7" s="44" t="n">
        <x:f>ROUNDUP(H7/E7,0)</x:f>
        <x:v>30</x:v>
      </x:c>
      <x:c r="L7" s="44" t="n">
        <x:f>ROUNDUP(I7/F7,0)</x:f>
        <x:v>20</x:v>
      </x:c>
      <x:c r="M7" s="29" t="str">
        <x:v>accessible internal routes</x:v>
      </x:c>
      <x:c r="N7" s="29" t="str">
        <x:v>all required cargo, authority and weather window</x:v>
      </x:c>
    </x:row>
    <x:row r="8" ht="54" hidden="0" customHeight="1">
      <x:c r="A8" s="27" t="str">
        <x:v>A04</x:v>
      </x:c>
      <x:c r="B8" s="27" t="str">
        <x:v>Anchors and foundations</x:v>
      </x:c>
      <x:c r="C8" s="27" t="str">
        <x:v>A02</x:v>
      </x:c>
      <x:c r="D8" s="43" t="n">
        <x:v>8</x:v>
      </x:c>
      <x:c r="E8" s="43" t="n">
        <x:v>5</x:v>
      </x:c>
      <x:c r="F8" s="43" t="n">
        <x:v>3</x:v>
      </x:c>
      <x:c r="G8" s="43" t="n">
        <x:v>320</x:v>
      </x:c>
      <x:c r="H8" s="43" t="n">
        <x:v>160</x:v>
      </x:c>
      <x:c r="I8" s="43" t="n">
        <x:v>80</x:v>
      </x:c>
      <x:c r="J8" s="43" t="n">
        <x:f>ROUNDUP(G8/D8,0)</x:f>
        <x:v>40</x:v>
      </x:c>
      <x:c r="K8" s="43" t="n">
        <x:f>ROUNDUP(H8/E8,0)</x:f>
        <x:v>32</x:v>
      </x:c>
      <x:c r="L8" s="43" t="n">
        <x:f>ROUNDUP(I8/F8,0)</x:f>
        <x:v>27</x:v>
      </x:c>
      <x:c r="M8" s="27" t="str">
        <x:v>accepted pullout/ballast state</x:v>
      </x:c>
      <x:c r="N8" s="27" t="str">
        <x:v>all required cargo, authority and weather window</x:v>
      </x:c>
    </x:row>
    <x:row r="9" ht="54" hidden="0" customHeight="1">
      <x:c r="A9" s="29" t="str">
        <x:v>A05</x:v>
      </x:c>
      <x:c r="B9" s="29" t="str">
        <x:v>District service spine</x:v>
      </x:c>
      <x:c r="C9" s="29" t="str">
        <x:v>A02</x:v>
      </x:c>
      <x:c r="D9" s="44" t="n">
        <x:v>8</x:v>
      </x:c>
      <x:c r="E9" s="44" t="n">
        <x:v>5</x:v>
      </x:c>
      <x:c r="F9" s="44" t="n">
        <x:v>3</x:v>
      </x:c>
      <x:c r="G9" s="44" t="n">
        <x:v>300</x:v>
      </x:c>
      <x:c r="H9" s="44" t="n">
        <x:v>150</x:v>
      </x:c>
      <x:c r="I9" s="44" t="n">
        <x:v>80</x:v>
      </x:c>
      <x:c r="J9" s="44" t="n">
        <x:f>ROUNDUP(G9/D9,0)</x:f>
        <x:v>38</x:v>
      </x:c>
      <x:c r="K9" s="44" t="n">
        <x:f>ROUNDUP(H9/E9,0)</x:f>
        <x:v>30</x:v>
      </x:c>
      <x:c r="L9" s="44" t="n">
        <x:f>ROUNDUP(I9/F9,0)</x:f>
        <x:v>27</x:v>
      </x:c>
      <x:c r="M9" s="29" t="str">
        <x:v>power/fluid/data isolation points</x:v>
      </x:c>
      <x:c r="N9" s="29" t="str">
        <x:v>all required cargo, authority and weather window</x:v>
      </x:c>
    </x:row>
    <x:row r="10" ht="54" hidden="0" customHeight="1">
      <x:c r="A10" s="27" t="str">
        <x:v>A06</x:v>
      </x:c>
      <x:c r="B10" s="27" t="str">
        <x:v>Primary frame</x:v>
      </x:c>
      <x:c r="C10" s="27" t="str">
        <x:v>A04</x:v>
      </x:c>
      <x:c r="D10" s="43" t="n">
        <x:v>10</x:v>
      </x:c>
      <x:c r="E10" s="43" t="n">
        <x:v>6</x:v>
      </x:c>
      <x:c r="F10" s="43" t="n">
        <x:v>4</x:v>
      </x:c>
      <x:c r="G10" s="43" t="n">
        <x:v>500</x:v>
      </x:c>
      <x:c r="H10" s="43" t="n">
        <x:v>250</x:v>
      </x:c>
      <x:c r="I10" s="43" t="n">
        <x:v>120</x:v>
      </x:c>
      <x:c r="J10" s="43" t="n">
        <x:f>ROUNDUP(G10/D10,0)</x:f>
        <x:v>50</x:v>
      </x:c>
      <x:c r="K10" s="43" t="n">
        <x:f>ROUNDUP(H10/E10,0)</x:f>
        <x:v>42</x:v>
      </x:c>
      <x:c r="L10" s="43" t="n">
        <x:f>ROUNDUP(I10/F10,0)</x:f>
        <x:v>30</x:v>
      </x:c>
      <x:c r="M10" s="27" t="str">
        <x:v>stable frame released</x:v>
      </x:c>
      <x:c r="N10" s="27" t="str">
        <x:v>all required cargo, authority and weather window</x:v>
      </x:c>
    </x:row>
    <x:row r="11" ht="54" hidden="0" customHeight="1">
      <x:c r="A11" s="29" t="str">
        <x:v>A07</x:v>
      </x:c>
      <x:c r="B11" s="29" t="str">
        <x:v>Outer membrane</x:v>
      </x:c>
      <x:c r="C11" s="29" t="str">
        <x:v>A06</x:v>
      </x:c>
      <x:c r="D11" s="44" t="n">
        <x:v>6</x:v>
      </x:c>
      <x:c r="E11" s="44" t="n">
        <x:v>4</x:v>
      </x:c>
      <x:c r="F11" s="44" t="n">
        <x:v>2</x:v>
      </x:c>
      <x:c r="G11" s="44" t="n">
        <x:v>300</x:v>
      </x:c>
      <x:c r="H11" s="44" t="n">
        <x:v>150</x:v>
      </x:c>
      <x:c r="I11" s="44" t="n">
        <x:v>70</x:v>
      </x:c>
      <x:c r="J11" s="44" t="n">
        <x:f>ROUNDUP(G11/D11,0)</x:f>
        <x:v>50</x:v>
      </x:c>
      <x:c r="K11" s="44" t="n">
        <x:f>ROUNDUP(H11/E11,0)</x:f>
        <x:v>38</x:v>
      </x:c>
      <x:c r="L11" s="44" t="n">
        <x:f>ROUNDUP(I11/F11,0)</x:f>
        <x:v>35</x:v>
      </x:c>
      <x:c r="M11" s="29" t="str">
        <x:v>weather boundary</x:v>
      </x:c>
      <x:c r="N11" s="29" t="str">
        <x:v>all required cargo, authority and weather window</x:v>
      </x:c>
    </x:row>
    <x:row r="12" ht="54" hidden="0" customHeight="1">
      <x:c r="A12" s="27" t="str">
        <x:v>A08</x:v>
      </x:c>
      <x:c r="B12" s="27" t="str">
        <x:v>Liner and insulation</x:v>
      </x:c>
      <x:c r="C12" s="27" t="str">
        <x:v>A07</x:v>
      </x:c>
      <x:c r="D12" s="43" t="n">
        <x:v>8</x:v>
      </x:c>
      <x:c r="E12" s="43" t="n">
        <x:v>5</x:v>
      </x:c>
      <x:c r="F12" s="43" t="n">
        <x:v>3</x:v>
      </x:c>
      <x:c r="G12" s="43" t="n">
        <x:v>400</x:v>
      </x:c>
      <x:c r="H12" s="43" t="n">
        <x:v>200</x:v>
      </x:c>
      <x:c r="I12" s="43" t="n">
        <x:v>90</x:v>
      </x:c>
      <x:c r="J12" s="43" t="n">
        <x:f>ROUNDUP(G12/D12,0)</x:f>
        <x:v>50</x:v>
      </x:c>
      <x:c r="K12" s="43" t="n">
        <x:f>ROUNDUP(H12/E12,0)</x:f>
        <x:v>40</x:v>
      </x:c>
      <x:c r="L12" s="43" t="n">
        <x:f>ROUNDUP(I12/F12,0)</x:f>
        <x:v>30</x:v>
      </x:c>
      <x:c r="M12" s="27" t="str">
        <x:v>thermal boundary</x:v>
      </x:c>
      <x:c r="N12" s="27" t="str">
        <x:v>all required cargo, authority and weather window</x:v>
      </x:c>
    </x:row>
    <x:row r="13" ht="54" hidden="0" customHeight="1">
      <x:c r="A13" s="29" t="str">
        <x:v>A09</x:v>
      </x:c>
      <x:c r="B13" s="29" t="str">
        <x:v>Deployable floor</x:v>
      </x:c>
      <x:c r="C13" s="29" t="str">
        <x:v>A03,A06</x:v>
      </x:c>
      <x:c r="D13" s="44" t="n">
        <x:v>10</x:v>
      </x:c>
      <x:c r="E13" s="44" t="n">
        <x:v>6</x:v>
      </x:c>
      <x:c r="F13" s="44" t="n">
        <x:v>4</x:v>
      </x:c>
      <x:c r="G13" s="44" t="n">
        <x:v>450</x:v>
      </x:c>
      <x:c r="H13" s="44" t="n">
        <x:v>220</x:v>
      </x:c>
      <x:c r="I13" s="44" t="n">
        <x:v>100</x:v>
      </x:c>
      <x:c r="J13" s="44" t="n">
        <x:f>ROUNDUP(G13/D13,0)</x:f>
        <x:v>45</x:v>
      </x:c>
      <x:c r="K13" s="44" t="n">
        <x:f>ROUNDUP(H13/E13,0)</x:f>
        <x:v>37</x:v>
      </x:c>
      <x:c r="L13" s="44" t="n">
        <x:f>ROUNDUP(I13/F13,0)</x:f>
        <x:v>25</x:v>
      </x:c>
      <x:c r="M13" s="29" t="str">
        <x:v>continuous accessible surface</x:v>
      </x:c>
      <x:c r="N13" s="29" t="str">
        <x:v>all required cargo, authority and weather window</x:v>
      </x:c>
    </x:row>
    <x:row r="14" ht="54" hidden="0" customHeight="1">
      <x:c r="A14" s="27" t="str">
        <x:v>A10</x:v>
      </x:c>
      <x:c r="B14" s="27" t="str">
        <x:v>Partitions and egress</x:v>
      </x:c>
      <x:c r="C14" s="27" t="str">
        <x:v>A08,A09</x:v>
      </x:c>
      <x:c r="D14" s="43" t="n">
        <x:v>6</x:v>
      </x:c>
      <x:c r="E14" s="43" t="n">
        <x:v>4</x:v>
      </x:c>
      <x:c r="F14" s="43" t="n">
        <x:v>3</x:v>
      </x:c>
      <x:c r="G14" s="43" t="n">
        <x:v>240</x:v>
      </x:c>
      <x:c r="H14" s="43" t="n">
        <x:v>120</x:v>
      </x:c>
      <x:c r="I14" s="43" t="n">
        <x:v>60</x:v>
      </x:c>
      <x:c r="J14" s="43" t="n">
        <x:f>ROUNDUP(G14/D14,0)</x:f>
        <x:v>40</x:v>
      </x:c>
      <x:c r="K14" s="43" t="n">
        <x:f>ROUNDUP(H14/E14,0)</x:f>
        <x:v>30</x:v>
      </x:c>
      <x:c r="L14" s="43" t="n">
        <x:f>ROUNDUP(I14/F14,0)</x:f>
        <x:v>20</x:v>
      </x:c>
      <x:c r="M14" s="27" t="str">
        <x:v>zoned life-safety layout</x:v>
      </x:c>
      <x:c r="N14" s="27" t="str">
        <x:v>all required cargo, authority and weather window</x:v>
      </x:c>
    </x:row>
    <x:row r="15" ht="54" hidden="0" customHeight="1">
      <x:c r="A15" s="29" t="str">
        <x:v>A11</x:v>
      </x:c>
      <x:c r="B15" s="29" t="str">
        <x:v>Thermal, clean air and electrical</x:v>
      </x:c>
      <x:c r="C15" s="29" t="str">
        <x:v>A05,A08</x:v>
      </x:c>
      <x:c r="D15" s="44" t="n">
        <x:v>10</x:v>
      </x:c>
      <x:c r="E15" s="44" t="n">
        <x:v>6</x:v>
      </x:c>
      <x:c r="F15" s="44" t="n">
        <x:v>4</x:v>
      </x:c>
      <x:c r="G15" s="44" t="n">
        <x:v>350</x:v>
      </x:c>
      <x:c r="H15" s="44" t="n">
        <x:v>180</x:v>
      </x:c>
      <x:c r="I15" s="44" t="n">
        <x:v>90</x:v>
      </x:c>
      <x:c r="J15" s="44" t="n">
        <x:f>ROUNDUP(G15/D15,0)</x:f>
        <x:v>35</x:v>
      </x:c>
      <x:c r="K15" s="44" t="n">
        <x:f>ROUNDUP(H15/E15,0)</x:f>
        <x:v>30</x:v>
      </x:c>
      <x:c r="L15" s="44" t="n">
        <x:f>ROUNDUP(I15/F15,0)</x:f>
        <x:v>23</x:v>
      </x:c>
      <x:c r="M15" s="29" t="str">
        <x:v>energized environmental system</x:v>
      </x:c>
      <x:c r="N15" s="29" t="str">
        <x:v>all required cargo, authority and weather window</x:v>
      </x:c>
    </x:row>
    <x:row r="16" ht="54" hidden="0" customHeight="1">
      <x:c r="A16" s="27" t="str">
        <x:v>A12</x:v>
      </x:c>
      <x:c r="B16" s="27" t="str">
        <x:v>Furnishings and accessibility</x:v>
      </x:c>
      <x:c r="C16" s="27" t="str">
        <x:v>A09</x:v>
      </x:c>
      <x:c r="D16" s="43" t="n">
        <x:v>6</x:v>
      </x:c>
      <x:c r="E16" s="43" t="n">
        <x:v>4</x:v>
      </x:c>
      <x:c r="F16" s="43" t="n">
        <x:v>3</x:v>
      </x:c>
      <x:c r="G16" s="43" t="n">
        <x:v>240</x:v>
      </x:c>
      <x:c r="H16" s="43" t="n">
        <x:v>120</x:v>
      </x:c>
      <x:c r="I16" s="43" t="n">
        <x:v>60</x:v>
      </x:c>
      <x:c r="J16" s="43" t="n">
        <x:f>ROUNDUP(G16/D16,0)</x:f>
        <x:v>40</x:v>
      </x:c>
      <x:c r="K16" s="43" t="n">
        <x:f>ROUNDUP(H16/E16,0)</x:f>
        <x:v>30</x:v>
      </x:c>
      <x:c r="L16" s="43" t="n">
        <x:f>ROUNDUP(I16/F16,0)</x:f>
        <x:v>20</x:v>
      </x:c>
      <x:c r="M16" s="27" t="str">
        <x:v>sleeping and support places</x:v>
      </x:c>
      <x:c r="N16" s="27" t="str">
        <x:v>all required cargo, authority and weather window</x:v>
      </x:c>
    </x:row>
    <x:row r="17" ht="54" hidden="0" customHeight="1">
      <x:c r="A17" s="29" t="str">
        <x:v>A13</x:v>
      </x:c>
      <x:c r="B17" s="29" t="str">
        <x:v>Water and sanitation interfaces</x:v>
      </x:c>
      <x:c r="C17" s="29" t="str">
        <x:v>A05,A09</x:v>
      </x:c>
      <x:c r="D17" s="44" t="n">
        <x:v>6</x:v>
      </x:c>
      <x:c r="E17" s="44" t="n">
        <x:v>4</x:v>
      </x:c>
      <x:c r="F17" s="44" t="n">
        <x:v>3</x:v>
      </x:c>
      <x:c r="G17" s="44" t="n">
        <x:v>200</x:v>
      </x:c>
      <x:c r="H17" s="44" t="n">
        <x:v>100</x:v>
      </x:c>
      <x:c r="I17" s="44" t="n">
        <x:v>60</x:v>
      </x:c>
      <x:c r="J17" s="44" t="n">
        <x:f>ROUNDUP(G17/D17,0)</x:f>
        <x:v>34</x:v>
      </x:c>
      <x:c r="K17" s="44" t="n">
        <x:f>ROUNDUP(H17/E17,0)</x:f>
        <x:v>25</x:v>
      </x:c>
      <x:c r="L17" s="44" t="n">
        <x:f>ROUNDUP(I17/F17,0)</x:f>
        <x:v>20</x:v>
      </x:c>
      <x:c r="M17" s="29" t="str">
        <x:v>pressure, drainage and custody tests</x:v>
      </x:c>
      <x:c r="N17" s="29" t="str">
        <x:v>all required cargo, authority and weather window</x:v>
      </x:c>
    </x:row>
    <x:row r="18" ht="54" hidden="0" customHeight="1">
      <x:c r="A18" s="27" t="str">
        <x:v>A14</x:v>
      </x:c>
      <x:c r="B18" s="27" t="str">
        <x:v>Fire and life-safety acceptance</x:v>
      </x:c>
      <x:c r="C18" s="27" t="str">
        <x:v>A10,A11</x:v>
      </x:c>
      <x:c r="D18" s="43" t="n">
        <x:v>4</x:v>
      </x:c>
      <x:c r="E18" s="43" t="n">
        <x:v>3</x:v>
      </x:c>
      <x:c r="F18" s="43" t="n">
        <x:v>2</x:v>
      </x:c>
      <x:c r="G18" s="43" t="n">
        <x:v>100</x:v>
      </x:c>
      <x:c r="H18" s="43" t="n">
        <x:v>60</x:v>
      </x:c>
      <x:c r="I18" s="43" t="n">
        <x:v>40</x:v>
      </x:c>
      <x:c r="J18" s="43" t="n">
        <x:f>ROUNDUP(G18/D18,0)</x:f>
        <x:v>25</x:v>
      </x:c>
      <x:c r="K18" s="43" t="n">
        <x:f>ROUNDUP(H18/E18,0)</x:f>
        <x:v>20</x:v>
      </x:c>
      <x:c r="L18" s="43" t="n">
        <x:f>ROUNDUP(I18/F18,0)</x:f>
        <x:v>20</x:v>
      </x:c>
      <x:c r="M18" s="27" t="str">
        <x:v>egress, alarm and local suppression</x:v>
      </x:c>
      <x:c r="N18" s="27" t="str">
        <x:v>all required cargo, authority and weather window</x:v>
      </x:c>
    </x:row>
    <x:row r="19" ht="54" hidden="0" customHeight="1">
      <x:c r="A19" s="29" t="str">
        <x:v>A15</x:v>
      </x:c>
      <x:c r="B19" s="29" t="str">
        <x:v>Commission and civil release</x:v>
      </x:c>
      <x:c r="C19" s="29" t="str">
        <x:v>A12,A13,A14</x:v>
      </x:c>
      <x:c r="D19" s="44" t="n">
        <x:v>6</x:v>
      </x:c>
      <x:c r="E19" s="44" t="n">
        <x:v>4</x:v>
      </x:c>
      <x:c r="F19" s="44" t="n">
        <x:v>3</x:v>
      </x:c>
      <x:c r="G19" s="44" t="n">
        <x:v>160</x:v>
      </x:c>
      <x:c r="H19" s="44" t="n">
        <x:v>100</x:v>
      </x:c>
      <x:c r="I19" s="44" t="n">
        <x:v>60</x:v>
      </x:c>
      <x:c r="J19" s="44" t="n">
        <x:f>ROUNDUP(G19/D19,0)</x:f>
        <x:v>27</x:v>
      </x:c>
      <x:c r="K19" s="44" t="n">
        <x:f>ROUNDUP(H19/E19,0)</x:f>
        <x:v>25</x:v>
      </x:c>
      <x:c r="L19" s="44" t="n">
        <x:f>ROUNDUP(I19/F19,0)</x:f>
        <x:v>20</x:v>
      </x:c>
      <x:c r="M19" s="29" t="str">
        <x:v>configuration-stamped occupied release</x:v>
      </x:c>
      <x:c r="N19" s="29" t="str">
        <x:v>all required cargo, authority and weather window</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3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36" hidden="0" customWidth="1"/>
    <x:col min="13" max="13" width="36" hidden="0" customWidth="1"/>
    <x:col min="14" max="14" width="36" hidden="0" customWidth="1"/>
  </x:cols>
  <x:sheetData>
    <x:row r="1" ht="29" customHeight="1">
      <x:c r="A1" s="72" t="str">
        <x:v>Critical-path installation network</x:v>
      </x:c>
      <x:c r="B1" s="72"/>
      <x:c r="C1" s="72"/>
      <x:c r="D1" s="72"/>
      <x:c r="E1" s="72"/>
      <x:c r="F1" s="72"/>
      <x:c r="G1" s="72"/>
      <x:c r="H1" s="72"/>
      <x:c r="I1" s="72"/>
      <x:c r="J1" s="72"/>
      <x:c r="K1" s="72"/>
      <x:c r="L1" s="72"/>
      <x:c r="M1" s="72"/>
      <x:c r="N1" s="72"/>
    </x:row>
    <x:row r="2" ht="27" customHeight="1">
      <x:c r="A2" s="73" t="str">
        <x:v>Earliest starts are computed from predecessor finishes for each technical case.</x:v>
      </x:c>
      <x:c r="B2" s="73"/>
      <x:c r="C2" s="73"/>
      <x:c r="D2" s="73"/>
      <x:c r="E2" s="73"/>
      <x:c r="F2" s="73"/>
      <x:c r="G2" s="73"/>
      <x:c r="H2" s="73"/>
      <x:c r="I2" s="73"/>
      <x:c r="J2" s="73"/>
      <x:c r="K2" s="73"/>
      <x:c r="L2" s="73"/>
      <x:c r="M2" s="73"/>
      <x:c r="N2" s="73"/>
    </x:row>
    <x:row r="3">
      <x:c r="A3" s="74"/>
      <x:c r="B3" s="74"/>
      <x:c r="C3" s="74"/>
      <x:c r="D3" s="74"/>
      <x:c r="E3" s="74"/>
      <x:c r="F3" s="74"/>
      <x:c r="G3" s="74"/>
      <x:c r="H3" s="74"/>
      <x:c r="I3" s="74"/>
      <x:c r="J3" s="74"/>
      <x:c r="K3" s="74"/>
      <x:c r="L3" s="74"/>
      <x:c r="M3" s="74"/>
      <x:c r="N3" s="74"/>
    </x:row>
    <x:row r="4" ht="30" customHeight="1">
      <x:c r="A4" s="75" t="str">
        <x:v>ID</x:v>
      </x:c>
      <x:c r="B4" s="76" t="str">
        <x:v>Activity</x:v>
      </x:c>
      <x:c r="C4" s="76" t="str">
        <x:v>Current start</x:v>
      </x:c>
      <x:c r="D4" s="76" t="str">
        <x:v>Current finish</x:v>
      </x:c>
      <x:c r="E4" s="76" t="str">
        <x:v>Advanced start</x:v>
      </x:c>
      <x:c r="F4" s="76" t="str">
        <x:v>Advanced finish</x:v>
      </x:c>
      <x:c r="G4" s="76" t="str">
        <x:v>Transform start</x:v>
      </x:c>
      <x:c r="H4" s="76" t="str">
        <x:v>Transform finish</x:v>
      </x:c>
      <x:c r="I4" s="76" t="str">
        <x:v>Current labor-h</x:v>
      </x:c>
      <x:c r="J4" s="76" t="str">
        <x:v>Advanced labor-h</x:v>
      </x:c>
      <x:c r="K4" s="76" t="str">
        <x:v>Transform labor-h</x:v>
      </x:c>
      <x:c r="L4" s="76" t="str">
        <x:v>Parallel branch</x:v>
      </x:c>
      <x:c r="M4" s="76" t="str">
        <x:v>Release output</x:v>
      </x:c>
      <x:c r="N4" s="77" t="str">
        <x:v>Evidence state</x:v>
      </x:c>
    </x:row>
    <x:row r="5" ht="21.600000381469727" hidden="0" customHeight="1">
      <x:c r="A5" s="28" t="str">
        <x:v>A01</x:v>
      </x:c>
      <x:c r="B5" s="28" t="str">
        <x:v>Survey and exclusion</x:v>
      </x:c>
      <x:c r="C5" s="51" t="n">
        <x:f>0</x:f>
        <x:v>0</x:v>
      </x:c>
      <x:c r="D5" s="51" t="n">
        <x:f>C5+'Install Activities'!D5</x:f>
        <x:v>4</x:v>
      </x:c>
      <x:c r="E5" s="51" t="n">
        <x:f>0</x:f>
        <x:v>0</x:v>
      </x:c>
      <x:c r="F5" s="51" t="n">
        <x:f>E5+'Install Activities'!E5</x:f>
        <x:v>3</x:v>
      </x:c>
      <x:c r="G5" s="51" t="n">
        <x:f>0</x:f>
        <x:v>0</x:v>
      </x:c>
      <x:c r="H5" s="51" t="n">
        <x:f>G5+'Install Activities'!F5</x:f>
        <x:v>2</x:v>
      </x:c>
      <x:c r="I5" s="51" t="n">
        <x:v>80</x:v>
      </x:c>
      <x:c r="J5" s="51" t="n">
        <x:v>50</x:v>
      </x:c>
      <x:c r="K5" s="51" t="n">
        <x:v>30</x:v>
      </x:c>
      <x:c r="L5" s="28" t="str"/>
      <x:c r="M5" s="28" t="str">
        <x:v>released site bounds</x:v>
      </x:c>
      <x:c r="N5" s="28" t="str">
        <x:v>OPEN</x:v>
      </x:c>
    </x:row>
    <x:row r="6" ht="43.20000076293945" hidden="0" customHeight="1">
      <x:c r="A6" s="27" t="str">
        <x:v>A02</x:v>
      </x:c>
      <x:c r="B6" s="27" t="str">
        <x:v>Grade and drain</x:v>
      </x:c>
      <x:c r="C6" s="52" t="n">
        <x:f>MAX(D5)</x:f>
        <x:v>4</x:v>
      </x:c>
      <x:c r="D6" s="52" t="n">
        <x:f>C6+'Install Activities'!D6</x:f>
        <x:v>14</x:v>
      </x:c>
      <x:c r="E6" s="52" t="n">
        <x:f>MAX(F5)</x:f>
        <x:v>3</x:v>
      </x:c>
      <x:c r="F6" s="52" t="n">
        <x:f>E6+'Install Activities'!E6</x:f>
        <x:v>9</x:v>
      </x:c>
      <x:c r="G6" s="52" t="n">
        <x:f>MAX(H5)</x:f>
        <x:v>2</x:v>
      </x:c>
      <x:c r="H6" s="52" t="n">
        <x:f>G6+'Install Activities'!F6</x:f>
        <x:v>6</x:v>
      </x:c>
      <x:c r="I6" s="52" t="n">
        <x:v>400</x:v>
      </x:c>
      <x:c r="J6" s="52" t="n">
        <x:v>200</x:v>
      </x:c>
      <x:c r="K6" s="52" t="n">
        <x:v>100</x:v>
      </x:c>
      <x:c r="L6" s="27" t="str">
        <x:v>A01</x:v>
      </x:c>
      <x:c r="M6" s="27" t="str">
        <x:v>positive drainage and bearing surface</x:v>
      </x:c>
      <x:c r="N6" s="27" t="str">
        <x:v>OPEN</x:v>
      </x:c>
    </x:row>
    <x:row r="7" ht="32.400001525878906" hidden="0" customHeight="1">
      <x:c r="A7" s="29" t="str">
        <x:v>A03</x:v>
      </x:c>
      <x:c r="B7" s="29" t="str">
        <x:v>Access and ground protection</x:v>
      </x:c>
      <x:c r="C7" s="53" t="n">
        <x:f>MAX(D6)</x:f>
        <x:v>14</x:v>
      </x:c>
      <x:c r="D7" s="53" t="n">
        <x:f>C7+'Install Activities'!D7</x:f>
        <x:v>20</x:v>
      </x:c>
      <x:c r="E7" s="53" t="n">
        <x:f>MAX(F6)</x:f>
        <x:v>9</x:v>
      </x:c>
      <x:c r="F7" s="53" t="n">
        <x:f>E7+'Install Activities'!E7</x:f>
        <x:v>13</x:v>
      </x:c>
      <x:c r="G7" s="53" t="n">
        <x:f>MAX(H6)</x:f>
        <x:v>6</x:v>
      </x:c>
      <x:c r="H7" s="53" t="n">
        <x:f>G7+'Install Activities'!F7</x:f>
        <x:v>9</x:v>
      </x:c>
      <x:c r="I7" s="53" t="n">
        <x:v>240</x:v>
      </x:c>
      <x:c r="J7" s="53" t="n">
        <x:v>120</x:v>
      </x:c>
      <x:c r="K7" s="53" t="n">
        <x:v>60</x:v>
      </x:c>
      <x:c r="L7" s="29" t="str">
        <x:v>A02</x:v>
      </x:c>
      <x:c r="M7" s="29" t="str">
        <x:v>accessible internal routes</x:v>
      </x:c>
      <x:c r="N7" s="29" t="str">
        <x:v>OPEN</x:v>
      </x:c>
    </x:row>
    <x:row r="8" ht="32.400001525878906" hidden="0" customHeight="1">
      <x:c r="A8" s="27" t="str">
        <x:v>A04</x:v>
      </x:c>
      <x:c r="B8" s="27" t="str">
        <x:v>Anchors and foundations</x:v>
      </x:c>
      <x:c r="C8" s="52" t="n">
        <x:f>MAX(D6)</x:f>
        <x:v>14</x:v>
      </x:c>
      <x:c r="D8" s="52" t="n">
        <x:f>C8+'Install Activities'!D8</x:f>
        <x:v>22</x:v>
      </x:c>
      <x:c r="E8" s="52" t="n">
        <x:f>MAX(F6)</x:f>
        <x:v>9</x:v>
      </x:c>
      <x:c r="F8" s="52" t="n">
        <x:f>E8+'Install Activities'!E8</x:f>
        <x:v>14</x:v>
      </x:c>
      <x:c r="G8" s="52" t="n">
        <x:f>MAX(H6)</x:f>
        <x:v>6</x:v>
      </x:c>
      <x:c r="H8" s="52" t="n">
        <x:f>G8+'Install Activities'!F8</x:f>
        <x:v>9</x:v>
      </x:c>
      <x:c r="I8" s="52" t="n">
        <x:v>320</x:v>
      </x:c>
      <x:c r="J8" s="52" t="n">
        <x:v>160</x:v>
      </x:c>
      <x:c r="K8" s="52" t="n">
        <x:v>80</x:v>
      </x:c>
      <x:c r="L8" s="27" t="str">
        <x:v>A02</x:v>
      </x:c>
      <x:c r="M8" s="27" t="str">
        <x:v>accepted pullout/ballast state</x:v>
      </x:c>
      <x:c r="N8" s="27" t="str">
        <x:v>OPEN</x:v>
      </x:c>
    </x:row>
    <x:row r="9" ht="32.400001525878906" hidden="0" customHeight="1">
      <x:c r="A9" s="29" t="str">
        <x:v>A05</x:v>
      </x:c>
      <x:c r="B9" s="29" t="str">
        <x:v>District service spine</x:v>
      </x:c>
      <x:c r="C9" s="53" t="n">
        <x:f>MAX(D6)</x:f>
        <x:v>14</x:v>
      </x:c>
      <x:c r="D9" s="53" t="n">
        <x:f>C9+'Install Activities'!D9</x:f>
        <x:v>22</x:v>
      </x:c>
      <x:c r="E9" s="53" t="n">
        <x:f>MAX(F6)</x:f>
        <x:v>9</x:v>
      </x:c>
      <x:c r="F9" s="53" t="n">
        <x:f>E9+'Install Activities'!E9</x:f>
        <x:v>14</x:v>
      </x:c>
      <x:c r="G9" s="53" t="n">
        <x:f>MAX(H6)</x:f>
        <x:v>6</x:v>
      </x:c>
      <x:c r="H9" s="53" t="n">
        <x:f>G9+'Install Activities'!F9</x:f>
        <x:v>9</x:v>
      </x:c>
      <x:c r="I9" s="53" t="n">
        <x:v>300</x:v>
      </x:c>
      <x:c r="J9" s="53" t="n">
        <x:v>150</x:v>
      </x:c>
      <x:c r="K9" s="53" t="n">
        <x:v>80</x:v>
      </x:c>
      <x:c r="L9" s="29" t="str">
        <x:v>A02</x:v>
      </x:c>
      <x:c r="M9" s="29" t="str">
        <x:v>power/fluid/data isolation points</x:v>
      </x:c>
      <x:c r="N9" s="29" t="str">
        <x:v>OPEN</x:v>
      </x:c>
    </x:row>
    <x:row r="10" ht="21.600000381469727" hidden="0" customHeight="1">
      <x:c r="A10" s="27" t="str">
        <x:v>A06</x:v>
      </x:c>
      <x:c r="B10" s="27" t="str">
        <x:v>Primary frame</x:v>
      </x:c>
      <x:c r="C10" s="52" t="n">
        <x:f>MAX(D8)</x:f>
        <x:v>22</x:v>
      </x:c>
      <x:c r="D10" s="52" t="n">
        <x:f>C10+'Install Activities'!D10</x:f>
        <x:v>32</x:v>
      </x:c>
      <x:c r="E10" s="52" t="n">
        <x:f>MAX(F8)</x:f>
        <x:v>14</x:v>
      </x:c>
      <x:c r="F10" s="52" t="n">
        <x:f>E10+'Install Activities'!E10</x:f>
        <x:v>20</x:v>
      </x:c>
      <x:c r="G10" s="52" t="n">
        <x:f>MAX(H8)</x:f>
        <x:v>9</x:v>
      </x:c>
      <x:c r="H10" s="52" t="n">
        <x:f>G10+'Install Activities'!F10</x:f>
        <x:v>13</x:v>
      </x:c>
      <x:c r="I10" s="52" t="n">
        <x:v>500</x:v>
      </x:c>
      <x:c r="J10" s="52" t="n">
        <x:v>250</x:v>
      </x:c>
      <x:c r="K10" s="52" t="n">
        <x:v>120</x:v>
      </x:c>
      <x:c r="L10" s="27" t="str">
        <x:v>A04</x:v>
      </x:c>
      <x:c r="M10" s="27" t="str">
        <x:v>stable frame released</x:v>
      </x:c>
      <x:c r="N10" s="27" t="str">
        <x:v>OPEN</x:v>
      </x:c>
    </x:row>
    <x:row r="11" ht="21.600000381469727" hidden="0" customHeight="1">
      <x:c r="A11" s="29" t="str">
        <x:v>A07</x:v>
      </x:c>
      <x:c r="B11" s="29" t="str">
        <x:v>Outer membrane</x:v>
      </x:c>
      <x:c r="C11" s="53" t="n">
        <x:f>MAX(D10)</x:f>
        <x:v>32</x:v>
      </x:c>
      <x:c r="D11" s="53" t="n">
        <x:f>C11+'Install Activities'!D11</x:f>
        <x:v>38</x:v>
      </x:c>
      <x:c r="E11" s="53" t="n">
        <x:f>MAX(F10)</x:f>
        <x:v>20</x:v>
      </x:c>
      <x:c r="F11" s="53" t="n">
        <x:f>E11+'Install Activities'!E11</x:f>
        <x:v>24</x:v>
      </x:c>
      <x:c r="G11" s="53" t="n">
        <x:f>MAX(H10)</x:f>
        <x:v>13</x:v>
      </x:c>
      <x:c r="H11" s="53" t="n">
        <x:f>G11+'Install Activities'!F11</x:f>
        <x:v>15</x:v>
      </x:c>
      <x:c r="I11" s="53" t="n">
        <x:v>300</x:v>
      </x:c>
      <x:c r="J11" s="53" t="n">
        <x:v>150</x:v>
      </x:c>
      <x:c r="K11" s="53" t="n">
        <x:v>70</x:v>
      </x:c>
      <x:c r="L11" s="29" t="str">
        <x:v>A06</x:v>
      </x:c>
      <x:c r="M11" s="29" t="str">
        <x:v>weather boundary</x:v>
      </x:c>
      <x:c r="N11" s="29" t="str">
        <x:v>OPEN</x:v>
      </x:c>
    </x:row>
    <x:row r="12" ht="21.600000381469727" hidden="0" customHeight="1">
      <x:c r="A12" s="27" t="str">
        <x:v>A08</x:v>
      </x:c>
      <x:c r="B12" s="27" t="str">
        <x:v>Liner and insulation</x:v>
      </x:c>
      <x:c r="C12" s="52" t="n">
        <x:f>MAX(D11)</x:f>
        <x:v>38</x:v>
      </x:c>
      <x:c r="D12" s="52" t="n">
        <x:f>C12+'Install Activities'!D12</x:f>
        <x:v>46</x:v>
      </x:c>
      <x:c r="E12" s="52" t="n">
        <x:f>MAX(F11)</x:f>
        <x:v>24</x:v>
      </x:c>
      <x:c r="F12" s="52" t="n">
        <x:f>E12+'Install Activities'!E12</x:f>
        <x:v>29</x:v>
      </x:c>
      <x:c r="G12" s="52" t="n">
        <x:f>MAX(H11)</x:f>
        <x:v>15</x:v>
      </x:c>
      <x:c r="H12" s="52" t="n">
        <x:f>G12+'Install Activities'!F12</x:f>
        <x:v>18</x:v>
      </x:c>
      <x:c r="I12" s="52" t="n">
        <x:v>400</x:v>
      </x:c>
      <x:c r="J12" s="52" t="n">
        <x:v>200</x:v>
      </x:c>
      <x:c r="K12" s="52" t="n">
        <x:v>90</x:v>
      </x:c>
      <x:c r="L12" s="27" t="str">
        <x:v>A07</x:v>
      </x:c>
      <x:c r="M12" s="27" t="str">
        <x:v>thermal boundary</x:v>
      </x:c>
      <x:c r="N12" s="27" t="str">
        <x:v>OPEN</x:v>
      </x:c>
    </x:row>
    <x:row r="13" ht="32.400001525878906" hidden="0" customHeight="1">
      <x:c r="A13" s="29" t="str">
        <x:v>A09</x:v>
      </x:c>
      <x:c r="B13" s="29" t="str">
        <x:v>Deployable floor</x:v>
      </x:c>
      <x:c r="C13" s="53" t="n">
        <x:f>MAX(D7,D10)</x:f>
        <x:v>32</x:v>
      </x:c>
      <x:c r="D13" s="53" t="n">
        <x:f>C13+'Install Activities'!D13</x:f>
        <x:v>42</x:v>
      </x:c>
      <x:c r="E13" s="53" t="n">
        <x:f>MAX(F7,F10)</x:f>
        <x:v>20</x:v>
      </x:c>
      <x:c r="F13" s="53" t="n">
        <x:f>E13+'Install Activities'!E13</x:f>
        <x:v>26</x:v>
      </x:c>
      <x:c r="G13" s="53" t="n">
        <x:f>MAX(H7,H10)</x:f>
        <x:v>13</x:v>
      </x:c>
      <x:c r="H13" s="53" t="n">
        <x:f>G13+'Install Activities'!F13</x:f>
        <x:v>17</x:v>
      </x:c>
      <x:c r="I13" s="53" t="n">
        <x:v>450</x:v>
      </x:c>
      <x:c r="J13" s="53" t="n">
        <x:v>220</x:v>
      </x:c>
      <x:c r="K13" s="53" t="n">
        <x:v>100</x:v>
      </x:c>
      <x:c r="L13" s="29" t="str">
        <x:v>A03,A06</x:v>
      </x:c>
      <x:c r="M13" s="29" t="str">
        <x:v>continuous accessible surface</x:v>
      </x:c>
      <x:c r="N13" s="29" t="str">
        <x:v>OPEN</x:v>
      </x:c>
    </x:row>
    <x:row r="14" ht="32.400001525878906" hidden="0" customHeight="1">
      <x:c r="A14" s="27" t="str">
        <x:v>A10</x:v>
      </x:c>
      <x:c r="B14" s="27" t="str">
        <x:v>Partitions and egress</x:v>
      </x:c>
      <x:c r="C14" s="52" t="n">
        <x:f>MAX(D12,D13)</x:f>
        <x:v>46</x:v>
      </x:c>
      <x:c r="D14" s="52" t="n">
        <x:f>C14+'Install Activities'!D14</x:f>
        <x:v>52</x:v>
      </x:c>
      <x:c r="E14" s="52" t="n">
        <x:f>MAX(F12,F13)</x:f>
        <x:v>29</x:v>
      </x:c>
      <x:c r="F14" s="52" t="n">
        <x:f>E14+'Install Activities'!E14</x:f>
        <x:v>33</x:v>
      </x:c>
      <x:c r="G14" s="52" t="n">
        <x:f>MAX(H12,H13)</x:f>
        <x:v>18</x:v>
      </x:c>
      <x:c r="H14" s="52" t="n">
        <x:f>G14+'Install Activities'!F14</x:f>
        <x:v>21</x:v>
      </x:c>
      <x:c r="I14" s="52" t="n">
        <x:v>240</x:v>
      </x:c>
      <x:c r="J14" s="52" t="n">
        <x:v>120</x:v>
      </x:c>
      <x:c r="K14" s="52" t="n">
        <x:v>60</x:v>
      </x:c>
      <x:c r="L14" s="27" t="str">
        <x:v>A08,A09</x:v>
      </x:c>
      <x:c r="M14" s="27" t="str">
        <x:v>zoned life-safety layout</x:v>
      </x:c>
      <x:c r="N14" s="27" t="str">
        <x:v>OPEN</x:v>
      </x:c>
    </x:row>
    <x:row r="15" ht="32.400001525878906" hidden="0" customHeight="1">
      <x:c r="A15" s="29" t="str">
        <x:v>A11</x:v>
      </x:c>
      <x:c r="B15" s="29" t="str">
        <x:v>Thermal, clean air and electrical</x:v>
      </x:c>
      <x:c r="C15" s="53" t="n">
        <x:f>MAX(D9,D12)</x:f>
        <x:v>46</x:v>
      </x:c>
      <x:c r="D15" s="53" t="n">
        <x:f>C15+'Install Activities'!D15</x:f>
        <x:v>56</x:v>
      </x:c>
      <x:c r="E15" s="53" t="n">
        <x:f>MAX(F9,F12)</x:f>
        <x:v>29</x:v>
      </x:c>
      <x:c r="F15" s="53" t="n">
        <x:f>E15+'Install Activities'!E15</x:f>
        <x:v>35</x:v>
      </x:c>
      <x:c r="G15" s="53" t="n">
        <x:f>MAX(H9,H12)</x:f>
        <x:v>18</x:v>
      </x:c>
      <x:c r="H15" s="53" t="n">
        <x:f>G15+'Install Activities'!F15</x:f>
        <x:v>22</x:v>
      </x:c>
      <x:c r="I15" s="53" t="n">
        <x:v>350</x:v>
      </x:c>
      <x:c r="J15" s="53" t="n">
        <x:v>180</x:v>
      </x:c>
      <x:c r="K15" s="53" t="n">
        <x:v>90</x:v>
      </x:c>
      <x:c r="L15" s="29" t="str">
        <x:v>A05,A08</x:v>
      </x:c>
      <x:c r="M15" s="29" t="str">
        <x:v>energized environmental system</x:v>
      </x:c>
      <x:c r="N15" s="29" t="str">
        <x:v>OPEN</x:v>
      </x:c>
    </x:row>
    <x:row r="16" ht="32.400001525878906" hidden="0" customHeight="1">
      <x:c r="A16" s="27" t="str">
        <x:v>A12</x:v>
      </x:c>
      <x:c r="B16" s="27" t="str">
        <x:v>Furnishings and accessibility</x:v>
      </x:c>
      <x:c r="C16" s="52" t="n">
        <x:f>MAX(D13)</x:f>
        <x:v>42</x:v>
      </x:c>
      <x:c r="D16" s="52" t="n">
        <x:f>C16+'Install Activities'!D16</x:f>
        <x:v>48</x:v>
      </x:c>
      <x:c r="E16" s="52" t="n">
        <x:f>MAX(F13)</x:f>
        <x:v>26</x:v>
      </x:c>
      <x:c r="F16" s="52" t="n">
        <x:f>E16+'Install Activities'!E16</x:f>
        <x:v>30</x:v>
      </x:c>
      <x:c r="G16" s="52" t="n">
        <x:f>MAX(H13)</x:f>
        <x:v>17</x:v>
      </x:c>
      <x:c r="H16" s="52" t="n">
        <x:f>G16+'Install Activities'!F16</x:f>
        <x:v>20</x:v>
      </x:c>
      <x:c r="I16" s="52" t="n">
        <x:v>240</x:v>
      </x:c>
      <x:c r="J16" s="52" t="n">
        <x:v>120</x:v>
      </x:c>
      <x:c r="K16" s="52" t="n">
        <x:v>60</x:v>
      </x:c>
      <x:c r="L16" s="27" t="str">
        <x:v>A09</x:v>
      </x:c>
      <x:c r="M16" s="27" t="str">
        <x:v>sleeping and support places</x:v>
      </x:c>
      <x:c r="N16" s="27" t="str">
        <x:v>OPEN</x:v>
      </x:c>
    </x:row>
    <x:row r="17" ht="43.20000076293945" hidden="0" customHeight="1">
      <x:c r="A17" s="29" t="str">
        <x:v>A13</x:v>
      </x:c>
      <x:c r="B17" s="29" t="str">
        <x:v>Water and sanitation interfaces</x:v>
      </x:c>
      <x:c r="C17" s="53" t="n">
        <x:f>MAX(D9,D13)</x:f>
        <x:v>42</x:v>
      </x:c>
      <x:c r="D17" s="53" t="n">
        <x:f>C17+'Install Activities'!D17</x:f>
        <x:v>48</x:v>
      </x:c>
      <x:c r="E17" s="53" t="n">
        <x:f>MAX(F9,F13)</x:f>
        <x:v>26</x:v>
      </x:c>
      <x:c r="F17" s="53" t="n">
        <x:f>E17+'Install Activities'!E17</x:f>
        <x:v>30</x:v>
      </x:c>
      <x:c r="G17" s="53" t="n">
        <x:f>MAX(H9,H13)</x:f>
        <x:v>17</x:v>
      </x:c>
      <x:c r="H17" s="53" t="n">
        <x:f>G17+'Install Activities'!F17</x:f>
        <x:v>20</x:v>
      </x:c>
      <x:c r="I17" s="53" t="n">
        <x:v>200</x:v>
      </x:c>
      <x:c r="J17" s="53" t="n">
        <x:v>100</x:v>
      </x:c>
      <x:c r="K17" s="53" t="n">
        <x:v>60</x:v>
      </x:c>
      <x:c r="L17" s="29" t="str">
        <x:v>A05,A09</x:v>
      </x:c>
      <x:c r="M17" s="29" t="str">
        <x:v>pressure, drainage and custody tests</x:v>
      </x:c>
      <x:c r="N17" s="29" t="str">
        <x:v>OPEN</x:v>
      </x:c>
    </x:row>
    <x:row r="18" ht="43.20000076293945" hidden="0" customHeight="1">
      <x:c r="A18" s="27" t="str">
        <x:v>A14</x:v>
      </x:c>
      <x:c r="B18" s="27" t="str">
        <x:v>Fire and life-safety acceptance</x:v>
      </x:c>
      <x:c r="C18" s="52" t="n">
        <x:f>MAX(D14,D15)</x:f>
        <x:v>56</x:v>
      </x:c>
      <x:c r="D18" s="52" t="n">
        <x:f>C18+'Install Activities'!D18</x:f>
        <x:v>60</x:v>
      </x:c>
      <x:c r="E18" s="52" t="n">
        <x:f>MAX(F14,F15)</x:f>
        <x:v>35</x:v>
      </x:c>
      <x:c r="F18" s="52" t="n">
        <x:f>E18+'Install Activities'!E18</x:f>
        <x:v>38</x:v>
      </x:c>
      <x:c r="G18" s="52" t="n">
        <x:f>MAX(H14,H15)</x:f>
        <x:v>22</x:v>
      </x:c>
      <x:c r="H18" s="52" t="n">
        <x:f>G18+'Install Activities'!F18</x:f>
        <x:v>24</x:v>
      </x:c>
      <x:c r="I18" s="52" t="n">
        <x:v>100</x:v>
      </x:c>
      <x:c r="J18" s="52" t="n">
        <x:v>60</x:v>
      </x:c>
      <x:c r="K18" s="52" t="n">
        <x:v>40</x:v>
      </x:c>
      <x:c r="L18" s="27" t="str">
        <x:v>A10,A11</x:v>
      </x:c>
      <x:c r="M18" s="27" t="str">
        <x:v>egress, alarm and local suppression</x:v>
      </x:c>
      <x:c r="N18" s="27" t="str">
        <x:v>OPEN</x:v>
      </x:c>
    </x:row>
    <x:row r="19" ht="43.20000076293945" hidden="0" customHeight="1">
      <x:c r="A19" s="29" t="str">
        <x:v>A15</x:v>
      </x:c>
      <x:c r="B19" s="29" t="str">
        <x:v>Commission and civil release</x:v>
      </x:c>
      <x:c r="C19" s="53" t="n">
        <x:f>MAX(D16,D17,D18)</x:f>
        <x:v>60</x:v>
      </x:c>
      <x:c r="D19" s="53" t="n">
        <x:f>C19+'Install Activities'!D19</x:f>
        <x:v>66</x:v>
      </x:c>
      <x:c r="E19" s="53" t="n">
        <x:f>MAX(F16,F17,F18)</x:f>
        <x:v>38</x:v>
      </x:c>
      <x:c r="F19" s="53" t="n">
        <x:f>E19+'Install Activities'!E19</x:f>
        <x:v>42</x:v>
      </x:c>
      <x:c r="G19" s="53" t="n">
        <x:f>MAX(H16,H17,H18)</x:f>
        <x:v>24</x:v>
      </x:c>
      <x:c r="H19" s="53" t="n">
        <x:f>G19+'Install Activities'!F19</x:f>
        <x:v>27</x:v>
      </x:c>
      <x:c r="I19" s="53" t="n">
        <x:v>160</x:v>
      </x:c>
      <x:c r="J19" s="53" t="n">
        <x:v>100</x:v>
      </x:c>
      <x:c r="K19" s="53" t="n">
        <x:v>60</x:v>
      </x:c>
      <x:c r="L19" s="29" t="str">
        <x:v>A12,A13,A14</x:v>
      </x:c>
      <x:c r="M19" s="29" t="str">
        <x:v>configuration-stamped occupied release</x:v>
      </x:c>
      <x:c r="N19" s="29" t="str">
        <x:v>OPEN</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ht="29" customHeight="1">
      <x:c r="A1" s="72" t="str">
        <x:v>District build-wave scenarios</x:v>
      </x:c>
      <x:c r="B1" s="72"/>
      <x:c r="C1" s="72"/>
      <x:c r="D1" s="72"/>
      <x:c r="E1" s="72"/>
      <x:c r="F1" s="72"/>
      <x:c r="G1" s="72"/>
      <x:c r="H1" s="72"/>
      <x:c r="I1" s="72"/>
      <x:c r="J1" s="72"/>
      <x:c r="K1" s="72"/>
    </x:row>
    <x:row r="2" ht="27" customHeight="1">
      <x:c r="A2" s="73" t="str">
        <x:v>Fewer simultaneous teams reduce peak labor but multiply the time to release all fifty districts.</x:v>
      </x:c>
      <x:c r="B2" s="73"/>
      <x:c r="C2" s="73"/>
      <x:c r="D2" s="73"/>
      <x:c r="E2" s="73"/>
      <x:c r="F2" s="73"/>
      <x:c r="G2" s="73"/>
      <x:c r="H2" s="73"/>
      <x:c r="I2" s="73"/>
      <x:c r="J2" s="73"/>
      <x:c r="K2" s="73"/>
    </x:row>
    <x:row r="3">
      <x:c r="A3" s="74"/>
      <x:c r="B3" s="74"/>
      <x:c r="C3" s="74"/>
      <x:c r="D3" s="74"/>
      <x:c r="E3" s="74"/>
      <x:c r="F3" s="74"/>
      <x:c r="G3" s="74"/>
      <x:c r="H3" s="74"/>
      <x:c r="I3" s="74"/>
      <x:c r="J3" s="74"/>
      <x:c r="K3" s="74"/>
    </x:row>
    <x:row r="4" ht="30" customHeight="1">
      <x:c r="A4" s="75" t="str">
        <x:v>Technical case</x:v>
      </x:c>
      <x:c r="B4" s="76" t="str">
        <x:v>Concurrent teams</x:v>
      </x:c>
      <x:c r="C4" s="76" t="str">
        <x:v>Batches</x:v>
      </x:c>
      <x:c r="D4" s="76" t="str">
        <x:v>District critical path h</x:v>
      </x:c>
      <x:c r="E4" s="76" t="str">
        <x:v>All-district release h</x:v>
      </x:c>
      <x:c r="F4" s="76" t="str">
        <x:v>Install crew/team</x:v>
      </x:c>
      <x:c r="G4" s="76" t="str">
        <x:v>Peak install people</x:v>
      </x:c>
      <x:c r="H4" s="76" t="str">
        <x:v>Operational people</x:v>
      </x:c>
      <x:c r="I4" s="76" t="str">
        <x:v>50% crew reuse credit</x:v>
      </x:c>
      <x:c r="J4" s="76" t="str">
        <x:v>Peak unique people</x:v>
      </x:c>
      <x:c r="K4" s="77" t="str">
        <x:v>Meets 30 h window?</x:v>
      </x:c>
    </x:row>
    <x:row r="5" ht="15" hidden="0" customHeight="1">
      <x:c r="A5" s="28" t="str">
        <x:v>Current</x:v>
      </x:c>
      <x:c r="B5" s="51" t="n">
        <x:v>10</x:v>
      </x:c>
      <x:c r="C5" s="51" t="n">
        <x:f>ROUNDUP('Controls'!B6/B5,0)</x:f>
        <x:v>5</x:v>
      </x:c>
      <x:c r="D5" s="51" t="n">
        <x:f>'Install Network'!D19</x:f>
        <x:v>66</x:v>
      </x:c>
      <x:c r="E5" s="51" t="n">
        <x:f>C5*D5</x:f>
        <x:v>330</x:v>
      </x:c>
      <x:c r="F5" s="51" t="n">
        <x:f>'Controls'!B24</x:f>
        <x:v>70</x:v>
      </x:c>
      <x:c r="G5" s="51" t="n">
        <x:f>B5*F5</x:f>
        <x:v>700</x:v>
      </x:c>
      <x:c r="H5" s="51" t="n">
        <x:v>6742</x:v>
      </x:c>
      <x:c r="I5" s="51" t="n">
        <x:f>G5*'Controls'!B27</x:f>
        <x:v>350</x:v>
      </x:c>
      <x:c r="J5" s="51" t="n">
        <x:f>H5+G5-I5</x:f>
        <x:v>7092</x:v>
      </x:c>
      <x:c r="K5" s="28" t="str">
        <x:f>IF(E5&lt;=30,"YES","NO")</x:f>
        <x:v>NO</x:v>
      </x:c>
    </x:row>
    <x:row r="6" ht="15" hidden="0" customHeight="1">
      <x:c r="A6" s="27" t="str">
        <x:v>Current</x:v>
      </x:c>
      <x:c r="B6" s="52" t="n">
        <x:v>25</x:v>
      </x:c>
      <x:c r="C6" s="52" t="n">
        <x:f>ROUNDUP('Controls'!B6/B6,0)</x:f>
        <x:v>2</x:v>
      </x:c>
      <x:c r="D6" s="52" t="n">
        <x:f>'Install Network'!D19</x:f>
        <x:v>66</x:v>
      </x:c>
      <x:c r="E6" s="52" t="n">
        <x:f>C6*D6</x:f>
        <x:v>132</x:v>
      </x:c>
      <x:c r="F6" s="52" t="n">
        <x:f>'Controls'!B24</x:f>
        <x:v>70</x:v>
      </x:c>
      <x:c r="G6" s="52" t="n">
        <x:f>B6*F6</x:f>
        <x:v>1750</x:v>
      </x:c>
      <x:c r="H6" s="52" t="n">
        <x:v>6742</x:v>
      </x:c>
      <x:c r="I6" s="52" t="n">
        <x:f>G6*'Controls'!B27</x:f>
        <x:v>875</x:v>
      </x:c>
      <x:c r="J6" s="52" t="n">
        <x:f>H6+G6-I6</x:f>
        <x:v>7617</x:v>
      </x:c>
      <x:c r="K6" s="27" t="str">
        <x:f>IF(E6&lt;=30,"YES","NO")</x:f>
        <x:v>NO</x:v>
      </x:c>
    </x:row>
    <x:row r="7" ht="15" hidden="0" customHeight="1">
      <x:c r="A7" s="29" t="str">
        <x:v>Current</x:v>
      </x:c>
      <x:c r="B7" s="53" t="n">
        <x:v>50</x:v>
      </x:c>
      <x:c r="C7" s="53" t="n">
        <x:f>ROUNDUP('Controls'!B6/B7,0)</x:f>
        <x:v>1</x:v>
      </x:c>
      <x:c r="D7" s="53" t="n">
        <x:f>'Install Network'!D19</x:f>
        <x:v>66</x:v>
      </x:c>
      <x:c r="E7" s="53" t="n">
        <x:f>C7*D7</x:f>
        <x:v>66</x:v>
      </x:c>
      <x:c r="F7" s="53" t="n">
        <x:f>'Controls'!B24</x:f>
        <x:v>70</x:v>
      </x:c>
      <x:c r="G7" s="53" t="n">
        <x:f>B7*F7</x:f>
        <x:v>3500</x:v>
      </x:c>
      <x:c r="H7" s="53" t="n">
        <x:v>6742</x:v>
      </x:c>
      <x:c r="I7" s="53" t="n">
        <x:f>G7*'Controls'!B27</x:f>
        <x:v>1750</x:v>
      </x:c>
      <x:c r="J7" s="53" t="n">
        <x:f>H7+G7-I7</x:f>
        <x:v>8492</x:v>
      </x:c>
      <x:c r="K7" s="29" t="str">
        <x:f>IF(E7&lt;=30,"YES","NO")</x:f>
        <x:v>NO</x:v>
      </x:c>
    </x:row>
    <x:row r="8" ht="15" hidden="0" customHeight="1">
      <x:c r="A8" s="27" t="str">
        <x:v>Advanced</x:v>
      </x:c>
      <x:c r="B8" s="52" t="n">
        <x:v>10</x:v>
      </x:c>
      <x:c r="C8" s="52" t="n">
        <x:f>ROUNDUP('Controls'!B6/B8,0)</x:f>
        <x:v>5</x:v>
      </x:c>
      <x:c r="D8" s="52" t="n">
        <x:f>'Install Network'!F19</x:f>
        <x:v>42</x:v>
      </x:c>
      <x:c r="E8" s="52" t="n">
        <x:f>C8*D8</x:f>
        <x:v>210</x:v>
      </x:c>
      <x:c r="F8" s="52" t="n">
        <x:f>'Controls'!B25</x:f>
        <x:v>60</x:v>
      </x:c>
      <x:c r="G8" s="52" t="n">
        <x:f>B8*F8</x:f>
        <x:v>600</x:v>
      </x:c>
      <x:c r="H8" s="52" t="n">
        <x:v>4513</x:v>
      </x:c>
      <x:c r="I8" s="52" t="n">
        <x:f>G8*'Controls'!B27</x:f>
        <x:v>300</x:v>
      </x:c>
      <x:c r="J8" s="52" t="n">
        <x:f>H8+G8-I8</x:f>
        <x:v>4813</x:v>
      </x:c>
      <x:c r="K8" s="27" t="str">
        <x:f>IF(E8&lt;=30,"YES","NO")</x:f>
        <x:v>NO</x:v>
      </x:c>
    </x:row>
    <x:row r="9" ht="15" hidden="0" customHeight="1">
      <x:c r="A9" s="29" t="str">
        <x:v>Advanced</x:v>
      </x:c>
      <x:c r="B9" s="53" t="n">
        <x:v>25</x:v>
      </x:c>
      <x:c r="C9" s="53" t="n">
        <x:f>ROUNDUP('Controls'!B6/B9,0)</x:f>
        <x:v>2</x:v>
      </x:c>
      <x:c r="D9" s="53" t="n">
        <x:f>'Install Network'!F19</x:f>
        <x:v>42</x:v>
      </x:c>
      <x:c r="E9" s="53" t="n">
        <x:f>C9*D9</x:f>
        <x:v>84</x:v>
      </x:c>
      <x:c r="F9" s="53" t="n">
        <x:f>'Controls'!B25</x:f>
        <x:v>60</x:v>
      </x:c>
      <x:c r="G9" s="53" t="n">
        <x:f>B9*F9</x:f>
        <x:v>1500</x:v>
      </x:c>
      <x:c r="H9" s="53" t="n">
        <x:v>4513</x:v>
      </x:c>
      <x:c r="I9" s="53" t="n">
        <x:f>G9*'Controls'!B27</x:f>
        <x:v>750</x:v>
      </x:c>
      <x:c r="J9" s="53" t="n">
        <x:f>H9+G9-I9</x:f>
        <x:v>5263</x:v>
      </x:c>
      <x:c r="K9" s="29" t="str">
        <x:f>IF(E9&lt;=30,"YES","NO")</x:f>
        <x:v>NO</x:v>
      </x:c>
    </x:row>
    <x:row r="10" ht="15" hidden="0" customHeight="1">
      <x:c r="A10" s="27" t="str">
        <x:v>Advanced</x:v>
      </x:c>
      <x:c r="B10" s="52" t="n">
        <x:v>50</x:v>
      </x:c>
      <x:c r="C10" s="52" t="n">
        <x:f>ROUNDUP('Controls'!B6/B10,0)</x:f>
        <x:v>1</x:v>
      </x:c>
      <x:c r="D10" s="52" t="n">
        <x:f>'Install Network'!F19</x:f>
        <x:v>42</x:v>
      </x:c>
      <x:c r="E10" s="52" t="n">
        <x:f>C10*D10</x:f>
        <x:v>42</x:v>
      </x:c>
      <x:c r="F10" s="52" t="n">
        <x:f>'Controls'!B25</x:f>
        <x:v>60</x:v>
      </x:c>
      <x:c r="G10" s="52" t="n">
        <x:f>B10*F10</x:f>
        <x:v>3000</x:v>
      </x:c>
      <x:c r="H10" s="52" t="n">
        <x:v>4513</x:v>
      </x:c>
      <x:c r="I10" s="52" t="n">
        <x:f>G10*'Controls'!B27</x:f>
        <x:v>1500</x:v>
      </x:c>
      <x:c r="J10" s="52" t="n">
        <x:f>H10+G10-I10</x:f>
        <x:v>6013</x:v>
      </x:c>
      <x:c r="K10" s="27" t="str">
        <x:f>IF(E10&lt;=30,"YES","NO")</x:f>
        <x:v>NO</x:v>
      </x:c>
    </x:row>
    <x:row r="11" ht="15" hidden="0" customHeight="1">
      <x:c r="A11" s="29" t="str">
        <x:v>Transform</x:v>
      </x:c>
      <x:c r="B11" s="53" t="n">
        <x:v>10</x:v>
      </x:c>
      <x:c r="C11" s="53" t="n">
        <x:f>ROUNDUP('Controls'!B6/B11,0)</x:f>
        <x:v>5</x:v>
      </x:c>
      <x:c r="D11" s="53" t="n">
        <x:f>'Install Network'!H19</x:f>
        <x:v>27</x:v>
      </x:c>
      <x:c r="E11" s="53" t="n">
        <x:f>C11*D11</x:f>
        <x:v>135</x:v>
      </x:c>
      <x:c r="F11" s="53" t="n">
        <x:f>'Controls'!B26</x:f>
        <x:v>40</x:v>
      </x:c>
      <x:c r="G11" s="53" t="n">
        <x:f>B11*F11</x:f>
        <x:v>400</x:v>
      </x:c>
      <x:c r="H11" s="53" t="n">
        <x:v>2694</x:v>
      </x:c>
      <x:c r="I11" s="53" t="n">
        <x:f>G11*'Controls'!B27</x:f>
        <x:v>200</x:v>
      </x:c>
      <x:c r="J11" s="53" t="n">
        <x:f>H11+G11-I11</x:f>
        <x:v>2894</x:v>
      </x:c>
      <x:c r="K11" s="29" t="str">
        <x:f>IF(E11&lt;=30,"YES","NO")</x:f>
        <x:v>NO</x:v>
      </x:c>
    </x:row>
    <x:row r="12" ht="15" hidden="0" customHeight="1">
      <x:c r="A12" s="27" t="str">
        <x:v>Transform</x:v>
      </x:c>
      <x:c r="B12" s="52" t="n">
        <x:v>25</x:v>
      </x:c>
      <x:c r="C12" s="52" t="n">
        <x:f>ROUNDUP('Controls'!B6/B12,0)</x:f>
        <x:v>2</x:v>
      </x:c>
      <x:c r="D12" s="52" t="n">
        <x:f>'Install Network'!H19</x:f>
        <x:v>27</x:v>
      </x:c>
      <x:c r="E12" s="52" t="n">
        <x:f>C12*D12</x:f>
        <x:v>54</x:v>
      </x:c>
      <x:c r="F12" s="52" t="n">
        <x:f>'Controls'!B26</x:f>
        <x:v>40</x:v>
      </x:c>
      <x:c r="G12" s="52" t="n">
        <x:f>B12*F12</x:f>
        <x:v>1000</x:v>
      </x:c>
      <x:c r="H12" s="52" t="n">
        <x:v>2694</x:v>
      </x:c>
      <x:c r="I12" s="52" t="n">
        <x:f>G12*'Controls'!B27</x:f>
        <x:v>500</x:v>
      </x:c>
      <x:c r="J12" s="52" t="n">
        <x:f>H12+G12-I12</x:f>
        <x:v>3194</x:v>
      </x:c>
      <x:c r="K12" s="27" t="str">
        <x:f>IF(E12&lt;=30,"YES","NO")</x:f>
        <x:v>NO</x:v>
      </x:c>
    </x:row>
    <x:row r="13" ht="15" hidden="0" customHeight="1">
      <x:c r="A13" s="29" t="str">
        <x:v>Transform</x:v>
      </x:c>
      <x:c r="B13" s="53" t="n">
        <x:v>50</x:v>
      </x:c>
      <x:c r="C13" s="53" t="n">
        <x:f>ROUNDUP('Controls'!B6/B13,0)</x:f>
        <x:v>1</x:v>
      </x:c>
      <x:c r="D13" s="53" t="n">
        <x:f>'Install Network'!H19</x:f>
        <x:v>27</x:v>
      </x:c>
      <x:c r="E13" s="53" t="n">
        <x:f>C13*D13</x:f>
        <x:v>27</x:v>
      </x:c>
      <x:c r="F13" s="53" t="n">
        <x:f>'Controls'!B26</x:f>
        <x:v>40</x:v>
      </x:c>
      <x:c r="G13" s="53" t="n">
        <x:f>B13*F13</x:f>
        <x:v>2000</x:v>
      </x:c>
      <x:c r="H13" s="53" t="n">
        <x:v>2694</x:v>
      </x:c>
      <x:c r="I13" s="53" t="n">
        <x:f>G13*'Controls'!B27</x:f>
        <x:v>1000</x:v>
      </x:c>
      <x:c r="J13" s="53" t="n">
        <x:f>H13+G13-I13</x:f>
        <x:v>3694</x:v>
      </x:c>
      <x:c r="K13" s="29" t="str">
        <x:f>IF(E13&lt;=30,"YES","NO")</x:f>
        <x:v>YES</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6" hidden="0" customWidth="1"/>
    <x:col min="9" max="9" width="36" hidden="0" customWidth="1"/>
    <x:col min="10" max="10" width="36" hidden="0" customWidth="1"/>
  </x:cols>
  <x:sheetData>
    <x:row r="1" ht="29" customHeight="1">
      <x:c r="A1" s="72" t="str">
        <x:v>Installation workforce by function</x:v>
      </x:c>
      <x:c r="B1" s="72"/>
      <x:c r="C1" s="72"/>
      <x:c r="D1" s="72"/>
      <x:c r="E1" s="72"/>
      <x:c r="F1" s="72"/>
      <x:c r="G1" s="72"/>
      <x:c r="H1" s="72"/>
      <x:c r="I1" s="72"/>
      <x:c r="J1" s="72"/>
    </x:row>
    <x:row r="2" ht="27" customHeight="1">
      <x:c r="A2" s="73" t="str">
        <x:v>Construction labor is a temporary force phase, but it still consumes movement, basing and fatigue margin.</x:v>
      </x:c>
      <x:c r="B2" s="73"/>
      <x:c r="C2" s="73"/>
      <x:c r="D2" s="73"/>
      <x:c r="E2" s="73"/>
      <x:c r="F2" s="73"/>
      <x:c r="G2" s="73"/>
      <x:c r="H2" s="73"/>
      <x:c r="I2" s="73"/>
      <x:c r="J2" s="73"/>
    </x:row>
    <x:row r="3">
      <x:c r="A3" s="74"/>
      <x:c r="B3" s="74"/>
      <x:c r="C3" s="74"/>
      <x:c r="D3" s="74"/>
      <x:c r="E3" s="74"/>
      <x:c r="F3" s="74"/>
      <x:c r="G3" s="74"/>
      <x:c r="H3" s="74"/>
      <x:c r="I3" s="74"/>
      <x:c r="J3" s="74"/>
    </x:row>
    <x:row r="4" ht="30" customHeight="1">
      <x:c r="A4" s="75" t="str">
        <x:v>Function</x:v>
      </x:c>
      <x:c r="B4" s="76" t="str">
        <x:v>Current labor-h/district</x:v>
      </x:c>
      <x:c r="C4" s="76" t="str">
        <x:v>Advanced</x:v>
      </x:c>
      <x:c r="D4" s="76" t="str">
        <x:v>Transform</x:v>
      </x:c>
      <x:c r="E4" s="76" t="str">
        <x:v>Current PCC-50</x:v>
      </x:c>
      <x:c r="F4" s="76" t="str">
        <x:v>Advanced PCC-50</x:v>
      </x:c>
      <x:c r="G4" s="76" t="str">
        <x:v>Transform PCC-50</x:v>
      </x:c>
      <x:c r="H4" s="76" t="str">
        <x:v>Convertible to operations?</x:v>
      </x:c>
      <x:c r="I4" s="76" t="str">
        <x:v>Qualification</x:v>
      </x:c>
      <x:c r="J4" s="77" t="str">
        <x:v>Failure if absent</x:v>
      </x:c>
    </x:row>
    <x:row r="5" ht="21.600000381469727" hidden="0" customHeight="1">
      <x:c r="A5" s="28" t="str">
        <x:v>Survey/site</x:v>
      </x:c>
      <x:c r="B5" s="42" t="n">
        <x:f>SUM('Install Activities'!G5,'Install Activities'!G6,'Install Activities'!G7)</x:f>
        <x:v>720</x:v>
      </x:c>
      <x:c r="C5" s="42" t="n">
        <x:f>SUM('Install Activities'!H5,'Install Activities'!H6,'Install Activities'!H7)</x:f>
        <x:v>370</x:v>
      </x:c>
      <x:c r="D5" s="42" t="n">
        <x:f>SUM('Install Activities'!I5,'Install Activities'!I6,'Install Activities'!I7)</x:f>
        <x:v>190</x:v>
      </x:c>
      <x:c r="E5" s="42" t="n">
        <x:f>B5*'Controls'!B6</x:f>
        <x:v>36000</x:v>
      </x:c>
      <x:c r="F5" s="42" t="n">
        <x:f>C5*'Controls'!B6</x:f>
        <x:v>18500</x:v>
      </x:c>
      <x:c r="G5" s="42" t="n">
        <x:f>D5*'Controls'!B6</x:f>
        <x:v>9500</x:v>
      </x:c>
      <x:c r="H5" s="28" t="str">
        <x:v>partial</x:v>
      </x:c>
      <x:c r="I5" s="28" t="str">
        <x:v>site/civil works</x:v>
      </x:c>
      <x:c r="J5" s="28" t="str">
        <x:v>unsafe site</x:v>
      </x:c>
    </x:row>
    <x:row r="6" ht="21.600000381469727" hidden="0" customHeight="1">
      <x:c r="A6" s="27" t="str">
        <x:v>Foundation/structure</x:v>
      </x:c>
      <x:c r="B6" s="43" t="n">
        <x:f>SUM('Install Activities'!G8,'Install Activities'!G10,'Install Activities'!G11,'Install Activities'!G12,'Install Activities'!G13,'Install Activities'!G14)</x:f>
        <x:v>2210</x:v>
      </x:c>
      <x:c r="C6" s="43" t="n">
        <x:f>SUM('Install Activities'!H8,'Install Activities'!H10,'Install Activities'!H11,'Install Activities'!H12,'Install Activities'!H13,'Install Activities'!H14)</x:f>
        <x:v>1100</x:v>
      </x:c>
      <x:c r="D6" s="43" t="n">
        <x:f>SUM('Install Activities'!I8,'Install Activities'!I10,'Install Activities'!I11,'Install Activities'!I12,'Install Activities'!I13,'Install Activities'!I14)</x:f>
        <x:v>520</x:v>
      </x:c>
      <x:c r="E6" s="43" t="n">
        <x:f>B6*'Controls'!B6</x:f>
        <x:v>110500</x:v>
      </x:c>
      <x:c r="F6" s="43" t="n">
        <x:f>C6*'Controls'!B6</x:f>
        <x:v>55000</x:v>
      </x:c>
      <x:c r="G6" s="43" t="n">
        <x:f>D6*'Controls'!B6</x:f>
        <x:v>26000</x:v>
      </x:c>
      <x:c r="H6" s="27" t="str">
        <x:v>partial</x:v>
      </x:c>
      <x:c r="I6" s="27" t="str">
        <x:v>structural/rigging</x:v>
      </x:c>
      <x:c r="J6" s="27" t="str">
        <x:v>collapse/envelope loss</x:v>
      </x:c>
    </x:row>
    <x:row r="7" ht="21.600000381469727" hidden="0" customHeight="1">
      <x:c r="A7" s="29" t="str">
        <x:v>Service spine/utilities</x:v>
      </x:c>
      <x:c r="B7" s="44" t="n">
        <x:f>SUM('Install Activities'!G9,'Install Activities'!G15,'Install Activities'!G17)</x:f>
        <x:v>850</x:v>
      </x:c>
      <x:c r="C7" s="44" t="n">
        <x:f>SUM('Install Activities'!H9,'Install Activities'!H15,'Install Activities'!H17)</x:f>
        <x:v>430</x:v>
      </x:c>
      <x:c r="D7" s="44" t="n">
        <x:f>SUM('Install Activities'!I9,'Install Activities'!I15,'Install Activities'!I17)</x:f>
        <x:v>230</x:v>
      </x:c>
      <x:c r="E7" s="44" t="n">
        <x:f>B7*'Controls'!B6</x:f>
        <x:v>42500</x:v>
      </x:c>
      <x:c r="F7" s="44" t="n">
        <x:f>C7*'Controls'!B6</x:f>
        <x:v>21500</x:v>
      </x:c>
      <x:c r="G7" s="44" t="n">
        <x:f>D7*'Controls'!B6</x:f>
        <x:v>11500</x:v>
      </x:c>
      <x:c r="H7" s="29" t="str">
        <x:v>high</x:v>
      </x:c>
      <x:c r="I7" s="29" t="str">
        <x:v>electrical/fluid/HVAC</x:v>
      </x:c>
      <x:c r="J7" s="29" t="str">
        <x:v>no service island</x:v>
      </x:c>
    </x:row>
    <x:row r="8" ht="32.400001525878906" hidden="0" customHeight="1">
      <x:c r="A8" s="27" t="str">
        <x:v>Furnishing/access</x:v>
      </x:c>
      <x:c r="B8" s="43" t="n">
        <x:f>SUM('Install Activities'!G16)</x:f>
        <x:v>240</x:v>
      </x:c>
      <x:c r="C8" s="43" t="n">
        <x:f>SUM('Install Activities'!H16)</x:f>
        <x:v>120</x:v>
      </x:c>
      <x:c r="D8" s="43" t="n">
        <x:f>SUM('Install Activities'!I16)</x:f>
        <x:v>60</x:v>
      </x:c>
      <x:c r="E8" s="43" t="n">
        <x:f>B8*'Controls'!B6</x:f>
        <x:v>12000</x:v>
      </x:c>
      <x:c r="F8" s="43" t="n">
        <x:f>C8*'Controls'!B6</x:f>
        <x:v>6000</x:v>
      </x:c>
      <x:c r="G8" s="43" t="n">
        <x:f>D8*'Controls'!B6</x:f>
        <x:v>3000</x:v>
      </x:c>
      <x:c r="H8" s="27" t="str">
        <x:v>high</x:v>
      </x:c>
      <x:c r="I8" s="27" t="str">
        <x:v>resident services/access</x:v>
      </x:c>
      <x:c r="J8" s="27" t="str">
        <x:v>no usable occupancy</x:v>
      </x:c>
    </x:row>
    <x:row r="9" ht="32.400001525878906" hidden="0" customHeight="1">
      <x:c r="A9" s="29" t="str">
        <x:v>Life safety/release</x:v>
      </x:c>
      <x:c r="B9" s="44" t="n">
        <x:f>SUM('Install Activities'!G18,'Install Activities'!G19)</x:f>
        <x:v>260</x:v>
      </x:c>
      <x:c r="C9" s="44" t="n">
        <x:f>SUM('Install Activities'!H18,'Install Activities'!H19)</x:f>
        <x:v>160</x:v>
      </x:c>
      <x:c r="D9" s="44" t="n">
        <x:f>SUM('Install Activities'!I18,'Install Activities'!I19)</x:f>
        <x:v>100</x:v>
      </x:c>
      <x:c r="E9" s="44" t="n">
        <x:f>B9*'Controls'!B6</x:f>
        <x:v>13000</x:v>
      </x:c>
      <x:c r="F9" s="44" t="n">
        <x:f>C9*'Controls'!B6</x:f>
        <x:v>8000</x:v>
      </x:c>
      <x:c r="G9" s="44" t="n">
        <x:f>D9*'Controls'!B6</x:f>
        <x:v>5000</x:v>
      </x:c>
      <x:c r="H9" s="29" t="str">
        <x:v>low</x:v>
      </x:c>
      <x:c r="I9" s="29" t="str">
        <x:v>technical/civil authority</x:v>
      </x:c>
      <x:c r="J9" s="29" t="str">
        <x:v>no lawful service credit</x:v>
      </x:c>
    </x:row>
    <x:row r="10">
      <x:c r="A10" s="74"/>
      <x:c r="B10" s="74"/>
      <x:c r="C10" s="74"/>
      <x:c r="D10" s="74"/>
      <x:c r="E10" s="74"/>
      <x:c r="F10" s="74"/>
      <x:c r="G10" s="74"/>
      <x:c r="H10" s="74"/>
      <x:c r="I10" s="74"/>
      <x:c r="J10" s="74"/>
    </x:row>
    <x:row r="11" ht="23" customHeight="1">
      <x:c r="A11" s="78" t="str">
        <x:v>Totals</x:v>
      </x:c>
      <x:c r="B11" s="78"/>
      <x:c r="C11" s="78"/>
      <x:c r="D11" s="78"/>
      <x:c r="E11" s="78"/>
      <x:c r="F11" s="78"/>
      <x:c r="G11" s="78"/>
      <x:c r="H11" s="78"/>
      <x:c r="I11" s="78"/>
      <x:c r="J11" s="78"/>
    </x:row>
    <x:row r="12" ht="21.600000381469727" hidden="0" customHeight="1">
      <x:c r="A12" s="26" t="str">
        <x:v>Labor-h per district</x:v>
      </x:c>
      <x:c r="B12" s="26" t="n">
        <x:f>SUM(B5:B9)</x:f>
        <x:v>4280</x:v>
      </x:c>
      <x:c r="C12" s="26" t="n">
        <x:f>SUM(C5:C9)</x:f>
        <x:v>2180</x:v>
      </x:c>
      <x:c r="D12" s="26" t="n">
        <x:f>SUM(D5:D9)</x:f>
        <x:v>1100</x:v>
      </x:c>
      <x:c r="E12" s="74"/>
      <x:c r="F12" s="74"/>
      <x:c r="G12" s="74"/>
      <x:c r="H12" s="74"/>
      <x:c r="I12" s="74"/>
      <x:c r="J12" s="74"/>
    </x:row>
    <x:row r="13" ht="21.600000381469727" hidden="0" customHeight="1">
      <x:c r="A13" s="27" t="str">
        <x:v>Labor-h per PCC-50</x:v>
      </x:c>
      <x:c r="B13" s="27" t="n">
        <x:f>SUM(E5:E9)</x:f>
        <x:v>214000</x:v>
      </x:c>
      <x:c r="C13" s="27" t="n">
        <x:f>SUM(F5:F9)</x:f>
        <x:v>109000</x:v>
      </x:c>
      <x:c r="D13" s="27" t="n">
        <x:f>SUM(G5:G9)</x:f>
        <x:v>55000</x:v>
      </x:c>
      <x:c r="E13" s="74"/>
      <x:c r="F13" s="74"/>
      <x:c r="G13" s="74"/>
      <x:c r="H13" s="74"/>
      <x:c r="I13" s="74"/>
      <x:c r="J13" s="74"/>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1"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33" hidden="0" customWidth="1"/>
    <x:col min="11" max="11" width="33" hidden="0" customWidth="1"/>
  </x:cols>
  <x:sheetData>
    <x:row r="1" ht="29" customHeight="1">
      <x:c r="A1" s="72" t="str">
        <x:v>District thermal and clean-air zones</x:v>
      </x:c>
      <x:c r="B1" s="72"/>
      <x:c r="C1" s="72"/>
      <x:c r="D1" s="72"/>
      <x:c r="E1" s="72"/>
      <x:c r="F1" s="72"/>
      <x:c r="G1" s="72"/>
      <x:c r="H1" s="72"/>
      <x:c r="I1" s="72"/>
      <x:c r="J1" s="72"/>
      <x:c r="K1" s="72"/>
    </x:row>
    <x:row r="2" ht="27" customHeight="1">
      <x:c r="A2" s="73" t="str">
        <x:v>Power is calculated by zone so selective refuge and degraded modes remain visible.</x:v>
      </x:c>
      <x:c r="B2" s="73"/>
      <x:c r="C2" s="73"/>
      <x:c r="D2" s="73"/>
      <x:c r="E2" s="73"/>
      <x:c r="F2" s="73"/>
      <x:c r="G2" s="73"/>
      <x:c r="H2" s="73"/>
      <x:c r="I2" s="73"/>
      <x:c r="J2" s="73"/>
      <x:c r="K2" s="73"/>
    </x:row>
    <x:row r="3">
      <x:c r="A3" s="74"/>
      <x:c r="B3" s="74"/>
      <x:c r="C3" s="74"/>
      <x:c r="D3" s="74"/>
      <x:c r="E3" s="74"/>
      <x:c r="F3" s="74"/>
      <x:c r="G3" s="74"/>
      <x:c r="H3" s="74"/>
      <x:c r="I3" s="74"/>
      <x:c r="J3" s="74"/>
      <x:c r="K3" s="74"/>
    </x:row>
    <x:row r="4" ht="30" customHeight="1">
      <x:c r="A4" s="75" t="str">
        <x:v>Zone</x:v>
      </x:c>
      <x:c r="B4" s="76" t="str">
        <x:v>Area m²</x:v>
      </x:c>
      <x:c r="C4" s="76" t="str">
        <x:v>Hot-humid W/m²</x:v>
      </x:c>
      <x:c r="D4" s="76" t="str">
        <x:v>Thermal MW</x:v>
      </x:c>
      <x:c r="E4" s="76" t="str">
        <x:v>COP</x:v>
      </x:c>
      <x:c r="F4" s="76" t="str">
        <x:v>HVAC MWe</x:v>
      </x:c>
      <x:c r="G4" s="76" t="str">
        <x:v>Fans/filter MWe</x:v>
      </x:c>
      <x:c r="H4" s="76" t="str">
        <x:v>Lighting MWe</x:v>
      </x:c>
      <x:c r="I4" s="76" t="str">
        <x:v>Total MWe</x:v>
      </x:c>
      <x:c r="J4" s="76" t="str">
        <x:v>N-1 state</x:v>
      </x:c>
      <x:c r="K4" s="77" t="str">
        <x:v>Evidence</x:v>
      </x:c>
    </x:row>
    <x:row r="5" ht="21.600000381469727" hidden="0" customHeight="1">
      <x:c r="A5" s="28" t="str">
        <x:v>Standard sleeping</x:v>
      </x:c>
      <x:c r="B5" s="54" t="n">
        <x:f>'Zone Program'!C5</x:f>
        <x:v>3717.420642</x:v>
      </x:c>
      <x:c r="C5" s="54" t="n">
        <x:v>45</x:v>
      </x:c>
      <x:c r="D5" s="54" t="n">
        <x:f>B5*C5/1000000</x:f>
        <x:v>0.16728392889000002</x:v>
      </x:c>
      <x:c r="E5" s="54" t="n">
        <x:v>3</x:v>
      </x:c>
      <x:c r="F5" s="54" t="n">
        <x:f>D5/E5</x:f>
        <x:v>0.055761309630000006</x:v>
      </x:c>
      <x:c r="G5" s="54" t="n">
        <x:v>0.015</x:v>
      </x:c>
      <x:c r="H5" s="54" t="n">
        <x:v>0.015</x:v>
      </x:c>
      <x:c r="I5" s="54" t="n">
        <x:f>SUM(F5:H5)</x:f>
        <x:v>0.08576130963</x:v>
      </x:c>
      <x:c r="J5" s="28" t="str">
        <x:v>half bays consolidated</x:v>
      </x:c>
      <x:c r="K5" s="28" t="str">
        <x:v>OPEN</x:v>
      </x:c>
    </x:row>
    <x:row r="6" ht="32.400001525878906" hidden="0" customHeight="1">
      <x:c r="A6" s="27" t="str">
        <x:v>Accessible sleeping/support</x:v>
      </x:c>
      <x:c r="B6" s="55" t="n">
        <x:f>'Zone Program'!C6</x:f>
        <x:v>1858.710321</x:v>
      </x:c>
      <x:c r="C6" s="55" t="n">
        <x:v>50</x:v>
      </x:c>
      <x:c r="D6" s="55" t="n">
        <x:f>B6*C6/1000000</x:f>
        <x:v>0.09293551605</x:v>
      </x:c>
      <x:c r="E6" s="55" t="n">
        <x:v>3</x:v>
      </x:c>
      <x:c r="F6" s="55" t="n">
        <x:f>D6/E6</x:f>
        <x:v>0.03097850535</x:v>
      </x:c>
      <x:c r="G6" s="55" t="n">
        <x:v>0.012</x:v>
      </x:c>
      <x:c r="H6" s="55" t="n">
        <x:v>0.01</x:v>
      </x:c>
      <x:c r="I6" s="55" t="n">
        <x:f>SUM(F6:H6)</x:f>
        <x:v>0.05297850535</x:v>
      </x:c>
      <x:c r="J6" s="27" t="str">
        <x:v>priority full service</x:v>
      </x:c>
      <x:c r="K6" s="27" t="str">
        <x:v>OPEN</x:v>
      </x:c>
    </x:row>
    <x:row r="7" ht="21.600000381469727" hidden="0" customHeight="1">
      <x:c r="A7" s="29" t="str">
        <x:v>Health observation</x:v>
      </x:c>
      <x:c r="B7" s="56" t="n">
        <x:f>'Zone Program'!C8</x:f>
        <x:v>301.00572</x:v>
      </x:c>
      <x:c r="C7" s="56" t="n">
        <x:v>55</x:v>
      </x:c>
      <x:c r="D7" s="56" t="n">
        <x:f>B7*C7/1000000</x:f>
        <x:v>0.016555314600000003</x:v>
      </x:c>
      <x:c r="E7" s="56" t="n">
        <x:v>3</x:v>
      </x:c>
      <x:c r="F7" s="56" t="n">
        <x:f>D7/E7</x:f>
        <x:v>0.005518438200000001</x:v>
      </x:c>
      <x:c r="G7" s="56" t="n">
        <x:v>0.01</x:v>
      </x:c>
      <x:c r="H7" s="56" t="n">
        <x:v>0.006</x:v>
      </x:c>
      <x:c r="I7" s="56" t="n">
        <x:f>SUM(F7:H7)</x:f>
        <x:v>0.021518438200000004</x:v>
      </x:c>
      <x:c r="J7" s="29" t="str">
        <x:v>priority full service</x:v>
      </x:c>
      <x:c r="K7" s="29" t="str">
        <x:v>OPEN</x:v>
      </x:c>
    </x:row>
    <x:row r="8" ht="21.600000381469727" hidden="0" customHeight="1">
      <x:c r="A8" s="27" t="str">
        <x:v>Dining/food service</x:v>
      </x:c>
      <x:c r="B8" s="55" t="n">
        <x:f>'Zone Program'!C9</x:f>
        <x:v>451.50858</x:v>
      </x:c>
      <x:c r="C8" s="55" t="n">
        <x:v>40</x:v>
      </x:c>
      <x:c r="D8" s="55" t="n">
        <x:f>B8*C8/1000000</x:f>
        <x:v>0.0180603432</x:v>
      </x:c>
      <x:c r="E8" s="55" t="n">
        <x:v>3</x:v>
      </x:c>
      <x:c r="F8" s="55" t="n">
        <x:f>D8/E8</x:f>
        <x:v>0.006020114399999999</x:v>
      </x:c>
      <x:c r="G8" s="55" t="n">
        <x:v>0.008</x:v>
      </x:c>
      <x:c r="H8" s="55" t="n">
        <x:v>0.006</x:v>
      </x:c>
      <x:c r="I8" s="55" t="n">
        <x:f>SUM(F8:H8)</x:f>
        <x:v>0.020020114399999997</x:v>
      </x:c>
      <x:c r="J8" s="27" t="str">
        <x:v>scheduled operation</x:v>
      </x:c>
      <x:c r="K8" s="27" t="str">
        <x:v>OPEN</x:v>
      </x:c>
    </x:row>
    <x:row r="9" ht="21.600000381469727" hidden="0" customHeight="1">
      <x:c r="A9" s="29" t="str">
        <x:v>Thermal/clean-air refuge</x:v>
      </x:c>
      <x:c r="B9" s="56" t="n">
        <x:f>'Zone Program'!C10</x:f>
        <x:v>301.00572</x:v>
      </x:c>
      <x:c r="C9" s="56" t="n">
        <x:v>60</x:v>
      </x:c>
      <x:c r="D9" s="56" t="n">
        <x:f>B9*C9/1000000</x:f>
        <x:v>0.0180603432</x:v>
      </x:c>
      <x:c r="E9" s="56" t="n">
        <x:v>3</x:v>
      </x:c>
      <x:c r="F9" s="56" t="n">
        <x:f>D9/E9</x:f>
        <x:v>0.006020114399999999</x:v>
      </x:c>
      <x:c r="G9" s="56" t="n">
        <x:v>0.02</x:v>
      </x:c>
      <x:c r="H9" s="56" t="n">
        <x:v>0.005</x:v>
      </x:c>
      <x:c r="I9" s="56" t="n">
        <x:f>SUM(F9:H9)</x:f>
        <x:v>0.0310201144</x:v>
      </x:c>
      <x:c r="J9" s="29" t="str">
        <x:v>protected island</x:v>
      </x:c>
      <x:c r="K9" s="29" t="str">
        <x:v>OPEN</x:v>
      </x:c>
    </x:row>
    <x:row r="10" ht="32.400001525878906" hidden="0" customHeight="1">
      <x:c r="A10" s="27" t="str">
        <x:v>Other support/circulation</x:v>
      </x:c>
      <x:c r="B10" s="55" t="n">
        <x:f>SUM('Zone Program'!C7,'Zone Program'!C11:'Zone Program'!C13)</x:f>
        <x:v>895.492017</x:v>
      </x:c>
      <x:c r="C10" s="55" t="n">
        <x:v>30</x:v>
      </x:c>
      <x:c r="D10" s="55" t="n">
        <x:f>B10*C10/1000000</x:f>
        <x:v>0.02686476051</x:v>
      </x:c>
      <x:c r="E10" s="55" t="n">
        <x:v>3</x:v>
      </x:c>
      <x:c r="F10" s="55" t="n">
        <x:f>D10/E10</x:f>
        <x:v>0.00895492017</x:v>
      </x:c>
      <x:c r="G10" s="55" t="n">
        <x:v>0.01</x:v>
      </x:c>
      <x:c r="H10" s="55" t="n">
        <x:v>0.01</x:v>
      </x:c>
      <x:c r="I10" s="55" t="n">
        <x:f>SUM(F10:H10)</x:f>
        <x:v>0.028954920170000002</x:v>
      </x:c>
      <x:c r="J10" s="27" t="str">
        <x:v>shed/consolidate</x:v>
      </x:c>
      <x:c r="K10" s="27" t="str">
        <x:v>OPEN</x:v>
      </x:c>
    </x:row>
    <x:row r="11">
      <x:c r="A11" s="74"/>
      <x:c r="B11" s="74"/>
      <x:c r="C11" s="74"/>
      <x:c r="D11" s="74"/>
      <x:c r="E11" s="74"/>
      <x:c r="F11" s="74"/>
      <x:c r="G11" s="74"/>
      <x:c r="H11" s="74"/>
      <x:c r="I11" s="74"/>
      <x:c r="J11" s="74"/>
      <x:c r="K11" s="74"/>
    </x:row>
    <x:row r="12" ht="23" customHeight="1">
      <x:c r="A12" s="78" t="str">
        <x:v>District total</x:v>
      </x:c>
      <x:c r="B12" s="78"/>
      <x:c r="C12" s="78"/>
      <x:c r="D12" s="78"/>
      <x:c r="E12" s="78"/>
      <x:c r="F12" s="78"/>
      <x:c r="G12" s="78"/>
      <x:c r="H12" s="78"/>
      <x:c r="I12" s="78"/>
      <x:c r="J12" s="78"/>
      <x:c r="K12" s="78"/>
    </x:row>
    <x:row r="13" ht="32.400001525878906" hidden="0" customHeight="1">
      <x:c r="A13" s="26" t="str">
        <x:v>Hot-humid electrical load</x:v>
      </x:c>
      <x:c r="B13" s="57" t="n">
        <x:f>SUM(I5:I10)</x:f>
        <x:v>0.24025340215000004</x:v>
      </x:c>
      <x:c r="C13" s="26" t="str">
        <x:v>MW</x:v>
      </x:c>
      <x:c r="D13" s="74"/>
      <x:c r="E13" s="74"/>
      <x:c r="F13" s="74"/>
      <x:c r="G13" s="74"/>
      <x:c r="H13" s="74"/>
      <x:c r="I13" s="74"/>
      <x:c r="J13" s="74"/>
      <x:c r="K13" s="74"/>
    </x:row>
    <x:row r="14" ht="15" hidden="0" customHeight="1">
      <x:c r="A14" s="27" t="str">
        <x:v>PCC-50 load</x:v>
      </x:c>
      <x:c r="B14" s="58" t="n">
        <x:f>B13*'Controls'!B6</x:f>
        <x:v>12.012670107500002</x:v>
      </x:c>
      <x:c r="C14" s="27" t="str">
        <x:v>MW</x:v>
      </x:c>
      <x:c r="D14" s="74"/>
      <x:c r="E14" s="74"/>
      <x:c r="F14" s="74"/>
      <x:c r="G14" s="74"/>
      <x:c r="H14" s="74"/>
      <x:c r="I14" s="74"/>
      <x:c r="J14" s="74"/>
      <x:c r="K14" s="74"/>
    </x:row>
    <x:row r="15" ht="32.400001525878906" hidden="0" customHeight="1">
      <x:c r="A15" s="27" t="str">
        <x:v>Share of 65 MW pod contract</x:v>
      </x:c>
      <x:c r="B15" s="40" t="n">
        <x:f>B14/65</x:f>
        <x:v>0.18481030934615386</x:v>
      </x:c>
      <x:c r="C15" s="27" t="str">
        <x:v>fraction</x:v>
      </x:c>
      <x:c r="D15" s="74"/>
      <x:c r="E15" s="74"/>
      <x:c r="F15" s="74"/>
      <x:c r="G15" s="74"/>
      <x:c r="H15" s="74"/>
      <x:c r="I15" s="74"/>
      <x:c r="J15" s="74"/>
      <x:c r="K15" s="74"/>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1" hidden="0" customWidth="1"/>
    <x:col min="2" max="2" width="16" hidden="0" customWidth="1"/>
    <x:col min="3" max="3" width="16" hidden="0" customWidth="1"/>
    <x:col min="4" max="4" width="31" hidden="0" customWidth="1"/>
    <x:col min="5" max="5" width="31" hidden="0" customWidth="1"/>
    <x:col min="6" max="6" width="31" hidden="0" customWidth="1"/>
    <x:col min="7" max="7" width="31" hidden="0" customWidth="1"/>
    <x:col min="8" max="8" width="31" hidden="0" customWidth="1"/>
    <x:col min="9" max="9" width="31" hidden="0" customWidth="1"/>
    <x:col min="10" max="10" width="31" hidden="0" customWidth="1"/>
  </x:cols>
  <x:sheetData>
    <x:row r="1" ht="29" customHeight="1">
      <x:c r="A1" s="72" t="str">
        <x:v>District power distribution</x:v>
      </x:c>
      <x:c r="B1" s="72"/>
      <x:c r="C1" s="72"/>
      <x:c r="D1" s="72"/>
      <x:c r="E1" s="72"/>
      <x:c r="F1" s="72"/>
      <x:c r="G1" s="72"/>
      <x:c r="H1" s="72"/>
      <x:c r="I1" s="72"/>
      <x:c r="J1" s="72"/>
    </x:row>
    <x:row r="2" ht="27" customHeight="1">
      <x:c r="A2" s="73" t="str">
        <x:v>The district is a sectional load island behind the PCC utility source.</x:v>
      </x:c>
      <x:c r="B2" s="73"/>
      <x:c r="C2" s="73"/>
      <x:c r="D2" s="73"/>
      <x:c r="E2" s="73"/>
      <x:c r="F2" s="73"/>
      <x:c r="G2" s="73"/>
      <x:c r="H2" s="73"/>
      <x:c r="I2" s="73"/>
      <x:c r="J2" s="73"/>
    </x:row>
    <x:row r="3">
      <x:c r="A3" s="74"/>
      <x:c r="B3" s="74"/>
      <x:c r="C3" s="74"/>
      <x:c r="D3" s="74"/>
      <x:c r="E3" s="74"/>
      <x:c r="F3" s="74"/>
      <x:c r="G3" s="74"/>
      <x:c r="H3" s="74"/>
      <x:c r="I3" s="74"/>
      <x:c r="J3" s="74"/>
    </x:row>
    <x:row r="4" ht="30" customHeight="1">
      <x:c r="A4" s="75" t="str">
        <x:v>Load block</x:v>
      </x:c>
      <x:c r="B4" s="76" t="str">
        <x:v>Firm kW</x:v>
      </x:c>
      <x:c r="C4" s="76" t="str">
        <x:v>Surge kW</x:v>
      </x:c>
      <x:c r="D4" s="76" t="str">
        <x:v>Priority</x:v>
      </x:c>
      <x:c r="E4" s="76" t="str">
        <x:v>Feeders</x:v>
      </x:c>
      <x:c r="F4" s="76" t="str">
        <x:v>N-1 source</x:v>
      </x:c>
      <x:c r="G4" s="76" t="str">
        <x:v>Black-start order</x:v>
      </x:c>
      <x:c r="H4" s="76" t="str">
        <x:v>Manual mode</x:v>
      </x:c>
      <x:c r="I4" s="76" t="str">
        <x:v>Protection/release</x:v>
      </x:c>
      <x:c r="J4" s="77" t="str">
        <x:v>State</x:v>
      </x:c>
    </x:row>
    <x:row r="5" ht="32.400001525878906" hidden="0" customHeight="1">
      <x:c r="A5" s="28" t="str">
        <x:v>Thermal and clean air</x:v>
      </x:c>
      <x:c r="B5" s="42" t="n">
        <x:f>'Thermal Zones'!B13*1000</x:f>
        <x:v>240.25340215000006</x:v>
      </x:c>
      <x:c r="C5" s="42" t="n">
        <x:v>1.2</x:v>
      </x:c>
      <x:c r="D5" s="28" t="str">
        <x:v>P1</x:v>
      </x:c>
      <x:c r="E5" s="28" t="n">
        <x:v>4</x:v>
      </x:c>
      <x:c r="F5" s="28" t="str">
        <x:v>adjacent utility island</x:v>
      </x:c>
      <x:c r="G5" s="28" t="str">
        <x:v>2</x:v>
      </x:c>
      <x:c r="H5" s="28" t="str">
        <x:v>local thermostatic control</x:v>
      </x:c>
      <x:c r="I5" s="28" t="str">
        <x:v>electrical + public health</x:v>
      </x:c>
      <x:c r="J5" s="28" t="str">
        <x:v>OPEN</x:v>
      </x:c>
    </x:row>
    <x:row r="6" ht="21.600000381469727" hidden="0" customHeight="1">
      <x:c r="A6" s="27" t="str">
        <x:v>Health observation</x:v>
      </x:c>
      <x:c r="B6" s="43" t="n">
        <x:v>120</x:v>
      </x:c>
      <x:c r="C6" s="43" t="n">
        <x:v>180</x:v>
      </x:c>
      <x:c r="D6" s="27" t="str">
        <x:v>P1</x:v>
      </x:c>
      <x:c r="E6" s="27" t="n">
        <x:v>2</x:v>
      </x:c>
      <x:c r="F6" s="27" t="str">
        <x:v>dedicated storage</x:v>
      </x:c>
      <x:c r="G6" s="27" t="str">
        <x:v>1</x:v>
      </x:c>
      <x:c r="H6" s="27" t="str">
        <x:v>local clinical panel</x:v>
      </x:c>
      <x:c r="I6" s="27" t="str">
        <x:v>electrical/clinical</x:v>
      </x:c>
      <x:c r="J6" s="27" t="str">
        <x:v>OPEN</x:v>
      </x:c>
    </x:row>
    <x:row r="7" ht="21.600000381469727" hidden="0" customHeight="1">
      <x:c r="A7" s="29" t="str">
        <x:v>Water and sanitation</x:v>
      </x:c>
      <x:c r="B7" s="44" t="n">
        <x:v>100</x:v>
      </x:c>
      <x:c r="C7" s="44" t="n">
        <x:v>200</x:v>
      </x:c>
      <x:c r="D7" s="29" t="str">
        <x:v>P1</x:v>
      </x:c>
      <x:c r="E7" s="29" t="n">
        <x:v>2</x:v>
      </x:c>
      <x:c r="F7" s="29" t="str">
        <x:v>adjacent district</x:v>
      </x:c>
      <x:c r="G7" s="29" t="str">
        <x:v>3</x:v>
      </x:c>
      <x:c r="H7" s="29" t="str">
        <x:v>local pump controls</x:v>
      </x:c>
      <x:c r="I7" s="29" t="str">
        <x:v>electrical/water</x:v>
      </x:c>
      <x:c r="J7" s="29" t="str">
        <x:v>OPEN</x:v>
      </x:c>
    </x:row>
    <x:row r="8" ht="32.400001525878906" hidden="0" customHeight="1">
      <x:c r="A8" s="27" t="str">
        <x:v>Life safety, egress and PA</x:v>
      </x:c>
      <x:c r="B8" s="43" t="n">
        <x:v>80</x:v>
      </x:c>
      <x:c r="C8" s="43" t="n">
        <x:v>120</x:v>
      </x:c>
      <x:c r="D8" s="27" t="str">
        <x:v>P1</x:v>
      </x:c>
      <x:c r="E8" s="27" t="n">
        <x:v>2</x:v>
      </x:c>
      <x:c r="F8" s="27" t="str">
        <x:v>dedicated storage</x:v>
      </x:c>
      <x:c r="G8" s="27" t="str">
        <x:v>1</x:v>
      </x:c>
      <x:c r="H8" s="27" t="str">
        <x:v>hardwired local</x:v>
      </x:c>
      <x:c r="I8" s="27" t="str">
        <x:v>fire/electrical</x:v>
      </x:c>
      <x:c r="J8" s="27" t="str">
        <x:v>OPEN</x:v>
      </x:c>
    </x:row>
    <x:row r="9" ht="32.400001525878906" hidden="0" customHeight="1">
      <x:c r="A9" s="29" t="str">
        <x:v>Data and resident services</x:v>
      </x:c>
      <x:c r="B9" s="44" t="n">
        <x:v>100</x:v>
      </x:c>
      <x:c r="C9" s="44" t="n">
        <x:v>140</x:v>
      </x:c>
      <x:c r="D9" s="29" t="str">
        <x:v>P2</x:v>
      </x:c>
      <x:c r="E9" s="29" t="n">
        <x:v>2</x:v>
      </x:c>
      <x:c r="F9" s="29" t="str">
        <x:v>edge storage</x:v>
      </x:c>
      <x:c r="G9" s="29" t="str">
        <x:v>4</x:v>
      </x:c>
      <x:c r="H9" s="29" t="str">
        <x:v>offline/paper</x:v>
      </x:c>
      <x:c r="I9" s="29" t="str">
        <x:v>data/civil</x:v>
      </x:c>
      <x:c r="J9" s="29" t="str">
        <x:v>OPEN</x:v>
      </x:c>
    </x:row>
    <x:row r="10" ht="21.600000381469727" hidden="0" customHeight="1">
      <x:c r="A10" s="27" t="str">
        <x:v>Dining and food service</x:v>
      </x:c>
      <x:c r="B10" s="43" t="n">
        <x:v>160</x:v>
      </x:c>
      <x:c r="C10" s="43" t="n">
        <x:v>260</x:v>
      </x:c>
      <x:c r="D10" s="27" t="str">
        <x:v>P2</x:v>
      </x:c>
      <x:c r="E10" s="27" t="n">
        <x:v>2</x:v>
      </x:c>
      <x:c r="F10" s="27" t="str">
        <x:v>scheduled source</x:v>
      </x:c>
      <x:c r="G10" s="27" t="str">
        <x:v>5</x:v>
      </x:c>
      <x:c r="H10" s="27" t="str">
        <x:v>cold-meal fallback</x:v>
      </x:c>
      <x:c r="I10" s="27" t="str">
        <x:v>food/electrical</x:v>
      </x:c>
      <x:c r="J10" s="27" t="str">
        <x:v>OPEN</x:v>
      </x:c>
    </x:row>
    <x:row r="11" ht="32.400001525878906" hidden="0" customHeight="1">
      <x:c r="A11" s="29" t="str">
        <x:v>General lighting/outlets</x:v>
      </x:c>
      <x:c r="B11" s="44" t="n">
        <x:v>120</x:v>
      </x:c>
      <x:c r="C11" s="44" t="n">
        <x:v>180</x:v>
      </x:c>
      <x:c r="D11" s="29" t="str">
        <x:v>P3</x:v>
      </x:c>
      <x:c r="E11" s="29" t="n">
        <x:v>4</x:v>
      </x:c>
      <x:c r="F11" s="29" t="str">
        <x:v>shed</x:v>
      </x:c>
      <x:c r="G11" s="29" t="str">
        <x:v>6</x:v>
      </x:c>
      <x:c r="H11" s="29" t="str">
        <x:v>reduced circuits</x:v>
      </x:c>
      <x:c r="I11" s="29" t="str">
        <x:v>electrical</x:v>
      </x:c>
      <x:c r="J11" s="29" t="str">
        <x:v>OPEN</x:v>
      </x:c>
    </x:row>
    <x:row r="12" ht="21.600000381469727" hidden="0" customHeight="1">
      <x:c r="A12" s="27" t="str">
        <x:v>Repair and charging</x:v>
      </x:c>
      <x:c r="B12" s="43" t="n">
        <x:v>100</x:v>
      </x:c>
      <x:c r="C12" s="43" t="n">
        <x:v>200</x:v>
      </x:c>
      <x:c r="D12" s="27" t="str">
        <x:v>P3</x:v>
      </x:c>
      <x:c r="E12" s="27" t="n">
        <x:v>2</x:v>
      </x:c>
      <x:c r="F12" s="27" t="str">
        <x:v>scheduled</x:v>
      </x:c>
      <x:c r="G12" s="27" t="str">
        <x:v>7</x:v>
      </x:c>
      <x:c r="H12" s="27" t="str">
        <x:v>portable source</x:v>
      </x:c>
      <x:c r="I12" s="27" t="str">
        <x:v>electrical</x:v>
      </x:c>
      <x:c r="J12" s="27" t="str">
        <x:v>OPEN</x:v>
      </x:c>
    </x:row>
    <x:row r="13">
      <x:c r="A13" s="74"/>
      <x:c r="B13" s="74"/>
      <x:c r="C13" s="74"/>
      <x:c r="D13" s="74"/>
      <x:c r="E13" s="74"/>
      <x:c r="F13" s="74"/>
      <x:c r="G13" s="74"/>
      <x:c r="H13" s="74"/>
      <x:c r="I13" s="74"/>
      <x:c r="J13" s="74"/>
    </x:row>
    <x:row r="14" ht="23" customHeight="1">
      <x:c r="A14" s="78" t="str">
        <x:v>Totals</x:v>
      </x:c>
      <x:c r="B14" s="78"/>
      <x:c r="C14" s="78"/>
      <x:c r="D14" s="78"/>
      <x:c r="E14" s="78"/>
      <x:c r="F14" s="78"/>
      <x:c r="G14" s="78"/>
      <x:c r="H14" s="78"/>
      <x:c r="I14" s="78"/>
      <x:c r="J14" s="78"/>
    </x:row>
    <x:row r="15" ht="21.600000381469727" hidden="0" customHeight="1">
      <x:c r="A15" s="26" t="str">
        <x:v>Firm district load</x:v>
      </x:c>
      <x:c r="B15" s="26" t="n">
        <x:f>SUM(B5:B12)</x:f>
        <x:v>1020.25340215</x:v>
      </x:c>
      <x:c r="C15" s="26" t="str">
        <x:v>kW</x:v>
      </x:c>
      <x:c r="D15" s="74"/>
      <x:c r="E15" s="74"/>
      <x:c r="F15" s="74"/>
      <x:c r="G15" s="74"/>
      <x:c r="H15" s="74"/>
      <x:c r="I15" s="74"/>
      <x:c r="J15" s="74"/>
    </x:row>
    <x:row r="16" ht="21.600000381469727" hidden="0" customHeight="1">
      <x:c r="A16" s="27" t="str">
        <x:v>PCC-50 local load</x:v>
      </x:c>
      <x:c r="B16" s="27" t="n">
        <x:f>B15*'Controls'!B6/1000</x:f>
        <x:v>51.0126701075</x:v>
      </x:c>
      <x:c r="C16" s="27" t="str">
        <x:v>MW</x:v>
      </x:c>
      <x:c r="D16" s="74"/>
      <x:c r="E16" s="74"/>
      <x:c r="F16" s="74"/>
      <x:c r="G16" s="74"/>
      <x:c r="H16" s="74"/>
      <x:c r="I16" s="74"/>
      <x:c r="J16" s="74"/>
    </x:row>
    <x:row r="17" ht="43.20000076293945" hidden="0" customHeight="1">
      <x:c r="A17" s="27" t="str">
        <x:v>Remaining 65 MW for central/external services</x:v>
      </x:c>
      <x:c r="B17" s="27" t="n">
        <x:f>65-B16</x:f>
        <x:v>13.9873298925</x:v>
      </x:c>
      <x:c r="C17" s="27" t="str">
        <x:v>MW</x:v>
      </x:c>
      <x:c r="D17" s="74"/>
      <x:c r="E17" s="74"/>
      <x:c r="F17" s="74"/>
      <x:c r="G17" s="74"/>
      <x:c r="H17" s="74"/>
      <x:c r="I17" s="74"/>
      <x:c r="J17" s="74"/>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17" hidden="0" customWidth="1"/>
    <x:col min="3" max="3" width="17" hidden="0" customWidth="1"/>
    <x:col min="4" max="4" width="17" hidden="0" customWidth="1"/>
    <x:col min="5" max="5" width="17" hidden="0" customWidth="1"/>
    <x:col min="6" max="6" width="29" hidden="0" customWidth="1"/>
    <x:col min="7" max="7" width="29" hidden="0" customWidth="1"/>
    <x:col min="8" max="8" width="29" hidden="0" customWidth="1"/>
    <x:col min="9" max="9" width="29" hidden="0" customWidth="1"/>
    <x:col min="10" max="10" width="29" hidden="0" customWidth="1"/>
    <x:col min="11" max="11" width="29" hidden="0" customWidth="1"/>
  </x:cols>
  <x:sheetData>
    <x:row r="1" ht="29" customHeight="1">
      <x:c r="A1" s="72" t="str">
        <x:v>District water and residual interfaces</x:v>
      </x:c>
      <x:c r="B1" s="72"/>
      <x:c r="C1" s="72"/>
      <x:c r="D1" s="72"/>
      <x:c r="E1" s="72"/>
      <x:c r="F1" s="72"/>
      <x:c r="G1" s="72"/>
      <x:c r="H1" s="72"/>
      <x:c r="I1" s="72"/>
      <x:c r="J1" s="72"/>
      <x:c r="K1" s="72"/>
    </x:row>
    <x:row r="2" ht="27" customHeight="1">
      <x:c r="A2" s="73" t="str">
        <x:v>Local pipes and custody points allocate the PCC-50 balance; they do not create additional water.</x:v>
      </x:c>
      <x:c r="B2" s="73"/>
      <x:c r="C2" s="73"/>
      <x:c r="D2" s="73"/>
      <x:c r="E2" s="73"/>
      <x:c r="F2" s="73"/>
      <x:c r="G2" s="73"/>
      <x:c r="H2" s="73"/>
      <x:c r="I2" s="73"/>
      <x:c r="J2" s="73"/>
      <x:c r="K2" s="73"/>
    </x:row>
    <x:row r="3">
      <x:c r="A3" s="74"/>
      <x:c r="B3" s="74"/>
      <x:c r="C3" s="74"/>
      <x:c r="D3" s="74"/>
      <x:c r="E3" s="74"/>
      <x:c r="F3" s="74"/>
      <x:c r="G3" s="74"/>
      <x:c r="H3" s="74"/>
      <x:c r="I3" s="74"/>
      <x:c r="J3" s="74"/>
      <x:c r="K3" s="74"/>
    </x:row>
    <x:row r="4" ht="30" customHeight="1">
      <x:c r="A4" s="75" t="str">
        <x:v>Flow</x:v>
      </x:c>
      <x:c r="B4" s="76" t="str">
        <x:v>Quantity/day</x:v>
      </x:c>
      <x:c r="C4" s="76" t="str">
        <x:v>Unit</x:v>
      </x:c>
      <x:c r="D4" s="76" t="str">
        <x:v>Peak factor</x:v>
      </x:c>
      <x:c r="E4" s="76" t="str">
        <x:v>Design flow</x:v>
      </x:c>
      <x:c r="F4" s="76" t="str">
        <x:v>Interface</x:v>
      </x:c>
      <x:c r="G4" s="76" t="str">
        <x:v>Storage h</x:v>
      </x:c>
      <x:c r="H4" s="76" t="str">
        <x:v>Storage quantity</x:v>
      </x:c>
      <x:c r="I4" s="76" t="str">
        <x:v>N-1 state</x:v>
      </x:c>
      <x:c r="J4" s="76" t="str">
        <x:v>Release evidence</x:v>
      </x:c>
      <x:c r="K4" s="77" t="str">
        <x:v>State</x:v>
      </x:c>
    </x:row>
    <x:row r="5" ht="32.400001525878906" hidden="0" customHeight="1">
      <x:c r="A5" s="28" t="str">
        <x:v>Potable resident/basic cooking</x:v>
      </x:c>
      <x:c r="B5" s="36" t="n">
        <x:v>15</x:v>
      </x:c>
      <x:c r="C5" s="36" t="str">
        <x:v>m³</x:v>
      </x:c>
      <x:c r="D5" s="36" t="n">
        <x:v>2.5</x:v>
      </x:c>
      <x:c r="E5" s="36" t="n">
        <x:f>B5*D5</x:f>
        <x:v>37.5</x:v>
      </x:c>
      <x:c r="F5" s="36" t="str">
        <x:v>dual potable header</x:v>
      </x:c>
      <x:c r="G5" s="36" t="n">
        <x:v>12</x:v>
      </x:c>
      <x:c r="H5" s="36" t="n">
        <x:f>B5*G5/24</x:f>
        <x:v>7.5</x:v>
      </x:c>
      <x:c r="I5" s="28" t="str">
        <x:v>one header</x:v>
      </x:c>
      <x:c r="J5" s="28" t="str">
        <x:v>quality/pressure</x:v>
      </x:c>
      <x:c r="K5" s="28" t="str">
        <x:v>OPEN</x:v>
      </x:c>
    </x:row>
    <x:row r="6" ht="21.600000381469727" hidden="0" customHeight="1">
      <x:c r="A6" s="27" t="str">
        <x:v>Food preparation</x:v>
      </x:c>
      <x:c r="B6" s="37" t="n">
        <x:v>3</x:v>
      </x:c>
      <x:c r="C6" s="37" t="str">
        <x:v>m³</x:v>
      </x:c>
      <x:c r="D6" s="37" t="n">
        <x:v>2.5</x:v>
      </x:c>
      <x:c r="E6" s="37" t="n">
        <x:f>B6*D6</x:f>
        <x:v>7.5</x:v>
      </x:c>
      <x:c r="F6" s="37" t="str">
        <x:v>food-safe branch</x:v>
      </x:c>
      <x:c r="G6" s="37" t="n">
        <x:v>12</x:v>
      </x:c>
      <x:c r="H6" s="37" t="n">
        <x:f>B6*G6/24</x:f>
        <x:v>1.5</x:v>
      </x:c>
      <x:c r="I6" s="27" t="str">
        <x:v>cold meal</x:v>
      </x:c>
      <x:c r="J6" s="27" t="str">
        <x:v>quality</x:v>
      </x:c>
      <x:c r="K6" s="27" t="str">
        <x:v>OPEN</x:v>
      </x:c>
    </x:row>
    <x:row r="7" ht="21.600000381469727" hidden="0" customHeight="1">
      <x:c r="A7" s="29" t="str">
        <x:v>Hygiene</x:v>
      </x:c>
      <x:c r="B7" s="38" t="n">
        <x:v>6</x:v>
      </x:c>
      <x:c r="C7" s="38" t="str">
        <x:v>m³</x:v>
      </x:c>
      <x:c r="D7" s="38" t="n">
        <x:v>2.5</x:v>
      </x:c>
      <x:c r="E7" s="38" t="n">
        <x:f>B7*D7</x:f>
        <x:v>15</x:v>
      </x:c>
      <x:c r="F7" s="38" t="str">
        <x:v>nonpotable if approved</x:v>
      </x:c>
      <x:c r="G7" s="38" t="n">
        <x:v>12</x:v>
      </x:c>
      <x:c r="H7" s="38" t="n">
        <x:f>B7*G7/24</x:f>
        <x:v>3</x:v>
      </x:c>
      <x:c r="I7" s="29" t="str">
        <x:v>reduced hygiene</x:v>
      </x:c>
      <x:c r="J7" s="29" t="str">
        <x:v>quality</x:v>
      </x:c>
      <x:c r="K7" s="29" t="str">
        <x:v>OPEN</x:v>
      </x:c>
    </x:row>
    <x:row r="8" ht="21.600000381469727" hidden="0" customHeight="1">
      <x:c r="A8" s="27" t="str">
        <x:v>Workforce share</x:v>
      </x:c>
      <x:c r="B8" s="37" t="n">
        <x:v>1.354</x:v>
      </x:c>
      <x:c r="C8" s="37" t="str">
        <x:v>m³</x:v>
      </x:c>
      <x:c r="D8" s="37" t="n">
        <x:v>2.5</x:v>
      </x:c>
      <x:c r="E8" s="37" t="n">
        <x:f>B8*D8</x:f>
        <x:v>3.3850000000000002</x:v>
      </x:c>
      <x:c r="F8" s="37" t="str">
        <x:v>potable branch</x:v>
      </x:c>
      <x:c r="G8" s="37" t="n">
        <x:v>12</x:v>
      </x:c>
      <x:c r="H8" s="37" t="n">
        <x:f>B8*G8/24</x:f>
        <x:v>0.677</x:v>
      </x:c>
      <x:c r="I8" s="27" t="str">
        <x:v>priority issue</x:v>
      </x:c>
      <x:c r="J8" s="27" t="str">
        <x:v>quality</x:v>
      </x:c>
      <x:c r="K8" s="27" t="str">
        <x:v>OPEN</x:v>
      </x:c>
    </x:row>
    <x:row r="9" ht="21.600000381469727" hidden="0" customHeight="1">
      <x:c r="A9" s="29" t="str">
        <x:v>Clinical/process share</x:v>
      </x:c>
      <x:c r="B9" s="38" t="n">
        <x:v>2</x:v>
      </x:c>
      <x:c r="C9" s="38" t="str">
        <x:v>m³</x:v>
      </x:c>
      <x:c r="D9" s="38" t="n">
        <x:v>2.5</x:v>
      </x:c>
      <x:c r="E9" s="38" t="n">
        <x:f>B9*D9</x:f>
        <x:v>5</x:v>
      </x:c>
      <x:c r="F9" s="38" t="str">
        <x:v>controlled branch</x:v>
      </x:c>
      <x:c r="G9" s="38" t="n">
        <x:v>12</x:v>
      </x:c>
      <x:c r="H9" s="38" t="n">
        <x:f>B9*G9/24</x:f>
        <x:v>1</x:v>
      </x:c>
      <x:c r="I9" s="29" t="str">
        <x:v>priority issue</x:v>
      </x:c>
      <x:c r="J9" s="29" t="str">
        <x:v>clinical/water</x:v>
      </x:c>
      <x:c r="K9" s="29" t="str">
        <x:v>OPEN</x:v>
      </x:c>
    </x:row>
    <x:row r="10" ht="32.400001525878906" hidden="0" customHeight="1">
      <x:c r="A10" s="27" t="str">
        <x:v>Distribution loss allowance</x:v>
      </x:c>
      <x:c r="B10" s="37" t="n">
        <x:v>2.735</x:v>
      </x:c>
      <x:c r="C10" s="37" t="str">
        <x:v>m³</x:v>
      </x:c>
      <x:c r="D10" s="37" t="n">
        <x:v>1</x:v>
      </x:c>
      <x:c r="E10" s="37" t="n">
        <x:f>B10*D10</x:f>
        <x:v>2.735</x:v>
      </x:c>
      <x:c r="F10" s="37" t="str">
        <x:v>metered district</x:v>
      </x:c>
      <x:c r="G10" s="37" t="n">
        <x:v>0</x:v>
      </x:c>
      <x:c r="H10" s="37" t="n">
        <x:f>B10*G10/24</x:f>
        <x:v>0</x:v>
      </x:c>
      <x:c r="I10" s="27" t="str">
        <x:v>isolate leak</x:v>
      </x:c>
      <x:c r="J10" s="27" t="str">
        <x:v>meter balance</x:v>
      </x:c>
      <x:c r="K10" s="27" t="str">
        <x:v>OPEN</x:v>
      </x:c>
    </x:row>
    <x:row r="11" ht="21.600000381469727" hidden="0" customHeight="1">
      <x:c r="A11" s="29" t="str">
        <x:v>Wastewater return</x:v>
      </x:c>
      <x:c r="B11" s="38" t="n">
        <x:v>22.96</x:v>
      </x:c>
      <x:c r="C11" s="38" t="str">
        <x:v>m³</x:v>
      </x:c>
      <x:c r="D11" s="38" t="n">
        <x:v>2.5</x:v>
      </x:c>
      <x:c r="E11" s="38" t="n">
        <x:f>B11*D11</x:f>
        <x:v>57.400000000000006</x:v>
      </x:c>
      <x:c r="F11" s="38" t="str">
        <x:v>dual sealed return</x:v>
      </x:c>
      <x:c r="G11" s="38" t="n">
        <x:v>12</x:v>
      </x:c>
      <x:c r="H11" s="38" t="n">
        <x:f>B11*G11/24</x:f>
        <x:v>11.479999999999999</x:v>
      </x:c>
      <x:c r="I11" s="29" t="str">
        <x:v>store locally</x:v>
      </x:c>
      <x:c r="J11" s="29" t="str">
        <x:v>sampling/custody</x:v>
      </x:c>
      <x:c r="K11" s="29" t="str">
        <x:v>OPEN</x:v>
      </x:c>
    </x:row>
    <x:row r="12" ht="21.600000381469727" hidden="0" customHeight="1">
      <x:c r="A12" s="27" t="str">
        <x:v>Solid/food waste</x:v>
      </x:c>
      <x:c r="B12" s="37" t="n">
        <x:v>1.34</x:v>
      </x:c>
      <x:c r="C12" s="37" t="str">
        <x:v>t</x:v>
      </x:c>
      <x:c r="D12" s="37" t="n">
        <x:v>2</x:v>
      </x:c>
      <x:c r="E12" s="37" t="n">
        <x:f>B12*D12</x:f>
        <x:v>2.68</x:v>
      </x:c>
      <x:c r="F12" s="37" t="str">
        <x:v>sealed containers</x:v>
      </x:c>
      <x:c r="G12" s="37" t="n">
        <x:v>24</x:v>
      </x:c>
      <x:c r="H12" s="37" t="n">
        <x:f>B12*G12/24</x:f>
        <x:v>1.34</x:v>
      </x:c>
      <x:c r="I12" s="27" t="str">
        <x:v>safe storage</x:v>
      </x:c>
      <x:c r="J12" s="27" t="str">
        <x:v>custody</x:v>
      </x:c>
      <x:c r="K12" s="27" t="str">
        <x:v>OPEN</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s>
  <x:sheetData>
    <x:row r="1" ht="29" customHeight="1">
      <x:c r="A1" s="72" t="str">
        <x:v>Fire, egress and occupied-release requirements</x:v>
      </x:c>
      <x:c r="B1" s="72"/>
      <x:c r="C1" s="72"/>
      <x:c r="D1" s="72"/>
      <x:c r="E1" s="72"/>
      <x:c r="F1" s="72"/>
      <x:c r="G1" s="72"/>
      <x:c r="H1" s="72"/>
      <x:c r="I1" s="72"/>
    </x:row>
    <x:row r="2" ht="27" customHeight="1">
      <x:c r="A2" s="73" t="str">
        <x:v>The shelter effect receives no credit until life-safety and accessibility authorities release the configured district.</x:v>
      </x:c>
      <x:c r="B2" s="73"/>
      <x:c r="C2" s="73"/>
      <x:c r="D2" s="73"/>
      <x:c r="E2" s="73"/>
      <x:c r="F2" s="73"/>
      <x:c r="G2" s="73"/>
      <x:c r="H2" s="73"/>
      <x:c r="I2" s="73"/>
    </x:row>
    <x:row r="3">
      <x:c r="A3" s="74"/>
      <x:c r="B3" s="74"/>
      <x:c r="C3" s="74"/>
      <x:c r="D3" s="74"/>
      <x:c r="E3" s="74"/>
      <x:c r="F3" s="74"/>
      <x:c r="G3" s="74"/>
      <x:c r="H3" s="74"/>
      <x:c r="I3" s="74"/>
    </x:row>
    <x:row r="4" ht="30" customHeight="1">
      <x:c r="A4" s="75" t="str">
        <x:v>Function</x:v>
      </x:c>
      <x:c r="B4" s="76" t="str">
        <x:v>Design object</x:v>
      </x:c>
      <x:c r="C4" s="76" t="str">
        <x:v>Required evidence</x:v>
      </x:c>
      <x:c r="D4" s="76" t="str">
        <x:v>Degraded state</x:v>
      </x:c>
      <x:c r="E4" s="76" t="str">
        <x:v>Inspection method</x:v>
      </x:c>
      <x:c r="F4" s="76" t="str">
        <x:v>Authority</x:v>
      </x:c>
      <x:c r="G4" s="76" t="str">
        <x:v>Failure response</x:v>
      </x:c>
      <x:c r="H4" s="76" t="str">
        <x:v>Technology target</x:v>
      </x:c>
      <x:c r="I4" s="77" t="str">
        <x:v>State</x:v>
      </x:c>
    </x:row>
    <x:row r="5" ht="43.20000076293945" hidden="0" customHeight="1">
      <x:c r="A5" s="28" t="str">
        <x:v>Detection</x:v>
      </x:c>
      <x:c r="B5" s="28" t="str">
        <x:v>twenty bays + support zones</x:v>
      </x:c>
      <x:c r="C5" s="28" t="str">
        <x:v>alarm coverage and fault indication</x:v>
      </x:c>
      <x:c r="D5" s="28" t="str">
        <x:v>local alarm/manual patrol</x:v>
      </x:c>
      <x:c r="E5" s="28" t="str">
        <x:v>automated self-test + walkdown</x:v>
      </x:c>
      <x:c r="F5" s="28" t="str">
        <x:v>fire authority</x:v>
      </x:c>
      <x:c r="G5" s="28" t="str">
        <x:v>evacuate affected zone</x:v>
      </x:c>
      <x:c r="H5" s="28" t="str">
        <x:v>self-forming mesh</x:v>
      </x:c>
      <x:c r="I5" s="28" t="str">
        <x:v>OPEN</x:v>
      </x:c>
    </x:row>
    <x:row r="6" ht="54" hidden="0" customHeight="1">
      <x:c r="A6" s="27" t="str">
        <x:v>Egress</x:v>
      </x:c>
      <x:c r="B6" s="27" t="str">
        <x:v>two independent accessible routes per zone</x:v>
      </x:c>
      <x:c r="C6" s="27" t="str">
        <x:v>timed representative evacuation</x:v>
      </x:c>
      <x:c r="D6" s="27" t="str">
        <x:v>sectional route</x:v>
      </x:c>
      <x:c r="E6" s="27" t="str">
        <x:v>digital layout + physical trial</x:v>
      </x:c>
      <x:c r="F6" s="27" t="str">
        <x:v>fire/accessibility</x:v>
      </x:c>
      <x:c r="G6" s="27" t="str">
        <x:v>close zone</x:v>
      </x:c>
      <x:c r="H6" s="27" t="str">
        <x:v>adaptive illuminated path</x:v>
      </x:c>
      <x:c r="I6" s="27" t="str">
        <x:v>OPEN</x:v>
      </x:c>
    </x:row>
    <x:row r="7" ht="32.400001525878906" hidden="0" customHeight="1">
      <x:c r="A7" s="29" t="str">
        <x:v>Local suppression</x:v>
      </x:c>
      <x:c r="B7" s="29" t="str">
        <x:v>source/heat-specific systems</x:v>
      </x:c>
      <x:c r="C7" s="29" t="str">
        <x:v>full-scale incipient-fire trials</x:v>
      </x:c>
      <x:c r="D7" s="29" t="str">
        <x:v>portable/manual</x:v>
      </x:c>
      <x:c r="E7" s="29" t="str">
        <x:v>pressure/status + inspection</x:v>
      </x:c>
      <x:c r="F7" s="29" t="str">
        <x:v>fire authority</x:v>
      </x:c>
      <x:c r="G7" s="29" t="str">
        <x:v>isolate and suppress</x:v>
      </x:c>
      <x:c r="H7" s="29" t="str">
        <x:v>low-water targeted system</x:v>
      </x:c>
      <x:c r="I7" s="29" t="str">
        <x:v>OPEN</x:v>
      </x:c>
    </x:row>
    <x:row r="8" ht="32.400001525878906" hidden="0" customHeight="1">
      <x:c r="A8" s="27" t="str">
        <x:v>Smoke compartment</x:v>
      </x:c>
      <x:c r="B8" s="27" t="str">
        <x:v>zoned membrane/partitions</x:v>
      </x:c>
      <x:c r="C8" s="27" t="str">
        <x:v>leakage and tenability history</x:v>
      </x:c>
      <x:c r="D8" s="27" t="str">
        <x:v>clean-air refuge</x:v>
      </x:c>
      <x:c r="E8" s="27" t="str">
        <x:v>pressure/smoke test</x:v>
      </x:c>
      <x:c r="F8" s="27" t="str">
        <x:v>public health/fire</x:v>
      </x:c>
      <x:c r="G8" s="27" t="str">
        <x:v>consolidate</x:v>
      </x:c>
      <x:c r="H8" s="27" t="str">
        <x:v>active fabric seals</x:v>
      </x:c>
      <x:c r="I8" s="27" t="str">
        <x:v>OPEN</x:v>
      </x:c>
    </x:row>
    <x:row r="9" ht="32.400001525878906" hidden="0" customHeight="1">
      <x:c r="A9" s="29" t="str">
        <x:v>Structural monitoring</x:v>
      </x:c>
      <x:c r="B9" s="29" t="str">
        <x:v>frame, anchors, floor</x:v>
      </x:c>
      <x:c r="C9" s="29" t="str">
        <x:v>load-state and damage detection</x:v>
      </x:c>
      <x:c r="D9" s="29" t="str">
        <x:v>manual inspection</x:v>
      </x:c>
      <x:c r="E9" s="29" t="str">
        <x:v>sensors + NDE</x:v>
      </x:c>
      <x:c r="F9" s="29" t="str">
        <x:v>structural authority</x:v>
      </x:c>
      <x:c r="G9" s="29" t="str">
        <x:v>deoccupy bay</x:v>
      </x:c>
      <x:c r="H9" s="29" t="str">
        <x:v>embedded strain network</x:v>
      </x:c>
      <x:c r="I9" s="29" t="str">
        <x:v>OPEN</x:v>
      </x:c>
    </x:row>
    <x:row r="10" ht="32.400001525878906" hidden="0" customHeight="1">
      <x:c r="A10" s="27" t="str">
        <x:v>Accessibility</x:v>
      </x:c>
      <x:c r="B10" s="27" t="str">
        <x:v>routes, beds, toilets, services</x:v>
      </x:c>
      <x:c r="C10" s="27" t="str">
        <x:v>representative user trial</x:v>
      </x:c>
      <x:c r="D10" s="27" t="str">
        <x:v>assisted route</x:v>
      </x:c>
      <x:c r="E10" s="27" t="str">
        <x:v>civil observation</x:v>
      </x:c>
      <x:c r="F10" s="27" t="str">
        <x:v>accessibility authority</x:v>
      </x:c>
      <x:c r="G10" s="27" t="str">
        <x:v>correct before release</x:v>
      </x:c>
      <x:c r="H10" s="27" t="str">
        <x:v>reconfigurable floor/fixtures</x:v>
      </x:c>
      <x:c r="I10" s="27" t="str">
        <x:v>OPEN</x:v>
      </x:c>
    </x:row>
    <x:row r="11" ht="43.20000076293945" hidden="0" customHeight="1">
      <x:c r="A11" s="29" t="str">
        <x:v>Configuration release</x:v>
      </x:c>
      <x:c r="B11" s="29" t="str">
        <x:v>hardware/software/crew/site state</x:v>
      </x:c>
      <x:c r="C11" s="29" t="str">
        <x:v>signed evidence package</x:v>
      </x:c>
      <x:c r="D11" s="29" t="str">
        <x:v>bounded partial district</x:v>
      </x:c>
      <x:c r="E11" s="29" t="str">
        <x:v>machine-readable + human signoff</x:v>
      </x:c>
      <x:c r="F11" s="29" t="str">
        <x:v>technical + civil</x:v>
      </x:c>
      <x:c r="G11" s="29" t="str">
        <x:v>deny service credit</x:v>
      </x:c>
      <x:c r="H11" s="29" t="str">
        <x:v>continuous safety case</x:v>
      </x:c>
      <x:c r="I11" s="29" t="str">
        <x:v>OPEN</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33" hidden="0" customWidth="1"/>
    <x:col min="3" max="3" width="33" hidden="0" customWidth="1"/>
    <x:col min="4" max="4" width="33" hidden="0" customWidth="1"/>
    <x:col min="5" max="5" width="33" hidden="0" customWidth="1"/>
    <x:col min="6" max="6" width="33" hidden="0" customWidth="1"/>
    <x:col min="7" max="7" width="33" hidden="0" customWidth="1"/>
    <x:col min="8" max="8" width="33" hidden="0" customWidth="1"/>
    <x:col min="9" max="9" width="33" hidden="0" customWidth="1"/>
    <x:col min="10" max="10" width="33" hidden="0" customWidth="1"/>
  </x:cols>
  <x:sheetData>
    <x:row r="1" ht="29" customHeight="1">
      <x:c r="A1" s="72" t="str">
        <x:v>District degraded modes</x:v>
      </x:c>
      <x:c r="B1" s="72"/>
      <x:c r="C1" s="72"/>
      <x:c r="D1" s="72"/>
      <x:c r="E1" s="72"/>
      <x:c r="F1" s="72"/>
      <x:c r="G1" s="72"/>
      <x:c r="H1" s="72"/>
      <x:c r="I1" s="72"/>
      <x:c r="J1" s="72"/>
    </x:row>
    <x:row r="2" ht="27" customHeight="1">
      <x:c r="A2" s="73" t="str">
        <x:v>Failure must reduce service in bounded sections rather than collapse the full campus.</x:v>
      </x:c>
      <x:c r="B2" s="73"/>
      <x:c r="C2" s="73"/>
      <x:c r="D2" s="73"/>
      <x:c r="E2" s="73"/>
      <x:c r="F2" s="73"/>
      <x:c r="G2" s="73"/>
      <x:c r="H2" s="73"/>
      <x:c r="I2" s="73"/>
      <x:c r="J2" s="73"/>
    </x:row>
    <x:row r="3">
      <x:c r="A3" s="74"/>
      <x:c r="B3" s="74"/>
      <x:c r="C3" s="74"/>
      <x:c r="D3" s="74"/>
      <x:c r="E3" s="74"/>
      <x:c r="F3" s="74"/>
      <x:c r="G3" s="74"/>
      <x:c r="H3" s="74"/>
      <x:c r="I3" s="74"/>
      <x:c r="J3" s="74"/>
    </x:row>
    <x:row r="4" ht="30" customHeight="1">
      <x:c r="A4" s="75" t="str">
        <x:v>Failure</x:v>
      </x:c>
      <x:c r="B4" s="76" t="str">
        <x:v>Detection</x:v>
      </x:c>
      <x:c r="C4" s="76" t="str">
        <x:v>Automatic action</x:v>
      </x:c>
      <x:c r="D4" s="76" t="str">
        <x:v>Manual action</x:v>
      </x:c>
      <x:c r="E4" s="76" t="str">
        <x:v>Immediate capacity</x:v>
      </x:c>
      <x:c r="F4" s="76" t="str">
        <x:v>Duration</x:v>
      </x:c>
      <x:c r="G4" s="76" t="str">
        <x:v>Repair target</x:v>
      </x:c>
      <x:c r="H4" s="76" t="str">
        <x:v>Cross-district dependency</x:v>
      </x:c>
      <x:c r="I4" s="76" t="str">
        <x:v>Public message</x:v>
      </x:c>
      <x:c r="J4" s="77" t="str">
        <x:v>Evidence state</x:v>
      </x:c>
    </x:row>
    <x:row r="5" ht="32.400001525878906" hidden="0" customHeight="1">
      <x:c r="A5" s="28" t="str">
        <x:v>One shelter bay lost</x:v>
      </x:c>
      <x:c r="B5" s="28" t="str">
        <x:v>structural/environment sensor</x:v>
      </x:c>
      <x:c r="C5" s="28" t="str">
        <x:v>isolate bay</x:v>
      </x:c>
      <x:c r="D5" s="28" t="str">
        <x:v>relocate 50 residents</x:v>
      </x:c>
      <x:c r="E5" s="59" t="n">
        <x:v>0.95</x:v>
      </x:c>
      <x:c r="F5" s="28" t="str">
        <x:v>≤12 h</x:v>
      </x:c>
      <x:c r="G5" s="28" t="str">
        <x:v>6 h</x:v>
      </x:c>
      <x:c r="H5" s="28" t="str">
        <x:v>adjacent bay reserve</x:v>
      </x:c>
      <x:c r="I5" s="28" t="str">
        <x:v>location and duration</x:v>
      </x:c>
      <x:c r="J5" s="28" t="str">
        <x:v>OPEN</x:v>
      </x:c>
    </x:row>
    <x:row r="6" ht="32.400001525878906" hidden="0" customHeight="1">
      <x:c r="A6" s="27" t="str">
        <x:v>One electrical feeder lost</x:v>
      </x:c>
      <x:c r="B6" s="27" t="str">
        <x:v>protection trip</x:v>
      </x:c>
      <x:c r="C6" s="27" t="str">
        <x:v>sectional transfer</x:v>
      </x:c>
      <x:c r="D6" s="27" t="str">
        <x:v>shed P3 loads</x:v>
      </x:c>
      <x:c r="E6" s="60" t="n">
        <x:v>0.9</x:v>
      </x:c>
      <x:c r="F6" s="27" t="str">
        <x:v>≤8 h</x:v>
      </x:c>
      <x:c r="G6" s="27" t="str">
        <x:v>4 h</x:v>
      </x:c>
      <x:c r="H6" s="27" t="str">
        <x:v>utility island</x:v>
      </x:c>
      <x:c r="I6" s="27" t="str">
        <x:v>loads affected</x:v>
      </x:c>
      <x:c r="J6" s="27" t="str">
        <x:v>OPEN</x:v>
      </x:c>
    </x:row>
    <x:row r="7" ht="21.600000381469727" hidden="0" customHeight="1">
      <x:c r="A7" s="29" t="str">
        <x:v>One HVAC train lost</x:v>
      </x:c>
      <x:c r="B7" s="29" t="str">
        <x:v>air/temp alarm</x:v>
      </x:c>
      <x:c r="C7" s="29" t="str">
        <x:v>consolidate zones</x:v>
      </x:c>
      <x:c r="D7" s="29" t="str">
        <x:v>portable airflow</x:v>
      </x:c>
      <x:c r="E7" s="61" t="n">
        <x:v>0.8</x:v>
      </x:c>
      <x:c r="F7" s="29" t="str">
        <x:v>≤8 h</x:v>
      </x:c>
      <x:c r="G7" s="29" t="str">
        <x:v>4 h</x:v>
      </x:c>
      <x:c r="H7" s="29" t="str">
        <x:v>adjacent district</x:v>
      </x:c>
      <x:c r="I7" s="29" t="str">
        <x:v>heat/air guidance</x:v>
      </x:c>
      <x:c r="J7" s="29" t="str">
        <x:v>OPEN</x:v>
      </x:c>
    </x:row>
    <x:row r="8" ht="21.600000381469727" hidden="0" customHeight="1">
      <x:c r="A8" s="27" t="str">
        <x:v>One potable header lost</x:v>
      </x:c>
      <x:c r="B8" s="27" t="str">
        <x:v>pressure/quality monitor</x:v>
      </x:c>
      <x:c r="C8" s="27" t="str">
        <x:v>isolate and cross-feed</x:v>
      </x:c>
      <x:c r="D8" s="27" t="str">
        <x:v>point distribution</x:v>
      </x:c>
      <x:c r="E8" s="60" t="n">
        <x:v>0.8</x:v>
      </x:c>
      <x:c r="F8" s="27" t="str">
        <x:v>≤6 h</x:v>
      </x:c>
      <x:c r="G8" s="27" t="str">
        <x:v>3 h</x:v>
      </x:c>
      <x:c r="H8" s="27" t="str">
        <x:v>water island</x:v>
      </x:c>
      <x:c r="I8" s="27" t="str">
        <x:v>safe outlets</x:v>
      </x:c>
      <x:c r="J8" s="27" t="str">
        <x:v>OPEN</x:v>
      </x:c>
    </x:row>
    <x:row r="9" ht="21.600000381469727" hidden="0" customHeight="1">
      <x:c r="A9" s="29" t="str">
        <x:v>Waste return blocked</x:v>
      </x:c>
      <x:c r="B9" s="29" t="str">
        <x:v>level/flow monitor</x:v>
      </x:c>
      <x:c r="C9" s="29" t="str">
        <x:v>close wet fixtures</x:v>
      </x:c>
      <x:c r="D9" s="29" t="str">
        <x:v>sealed storage</x:v>
      </x:c>
      <x:c r="E9" s="61" t="n">
        <x:v>0.7</x:v>
      </x:c>
      <x:c r="F9" s="29" t="str">
        <x:v>≤12 h</x:v>
      </x:c>
      <x:c r="G9" s="29" t="str">
        <x:v>4 h</x:v>
      </x:c>
      <x:c r="H9" s="29" t="str">
        <x:v>waste node</x:v>
      </x:c>
      <x:c r="I9" s="29" t="str">
        <x:v>hygiene limits</x:v>
      </x:c>
      <x:c r="J9" s="29" t="str">
        <x:v>OPEN</x:v>
      </x:c>
    </x:row>
    <x:row r="10" ht="32.400001525878906" hidden="0" customHeight="1">
      <x:c r="A10" s="27" t="str">
        <x:v>Data/controller loss</x:v>
      </x:c>
      <x:c r="B10" s="27" t="str">
        <x:v>heartbeat/provenance</x:v>
      </x:c>
      <x:c r="C10" s="27" t="str">
        <x:v>local safe state</x:v>
      </x:c>
      <x:c r="D10" s="27" t="str">
        <x:v>paper roster/manual boards</x:v>
      </x:c>
      <x:c r="E10" s="60" t="n">
        <x:v>0.6</x:v>
      </x:c>
      <x:c r="F10" s="27" t="str">
        <x:v>≤24 h</x:v>
      </x:c>
      <x:c r="G10" s="27" t="str">
        <x:v>6 h</x:v>
      </x:c>
      <x:c r="H10" s="27" t="str">
        <x:v>none for safety</x:v>
      </x:c>
      <x:c r="I10" s="27" t="str">
        <x:v>service status</x:v>
      </x:c>
      <x:c r="J10" s="27" t="str">
        <x:v>OPEN</x:v>
      </x:c>
    </x:row>
    <x:row r="11" ht="32.400001525878906" hidden="0" customHeight="1">
      <x:c r="A11" s="29" t="str">
        <x:v>Staff attrition 20%</x:v>
      </x:c>
      <x:c r="B11" s="29" t="str">
        <x:v>shift accountability</x:v>
      </x:c>
      <x:c r="C11" s="29" t="str">
        <x:v>task prioritization</x:v>
      </x:c>
      <x:c r="D11" s="29" t="str">
        <x:v>resident co-production</x:v>
      </x:c>
      <x:c r="E11" s="61" t="n">
        <x:v>0.75</x:v>
      </x:c>
      <x:c r="F11" s="29" t="str">
        <x:v>24 h</x:v>
      </x:c>
      <x:c r="G11" s="29" t="str">
        <x:v>replacement shift</x:v>
      </x:c>
      <x:c r="H11" s="29" t="str">
        <x:v>remote cell</x:v>
      </x:c>
      <x:c r="I11" s="29" t="str">
        <x:v>service changes</x:v>
      </x:c>
      <x:c r="J11" s="29" t="str">
        <x:v>OPEN</x:v>
      </x:c>
    </x:row>
    <x:row r="12" ht="32.400001525878906" hidden="0" customHeight="1">
      <x:c r="A12" s="27" t="str">
        <x:v>District command lost</x:v>
      </x:c>
      <x:c r="B12" s="27" t="str">
        <x:v>cross-check/absence</x:v>
      </x:c>
      <x:c r="C12" s="27" t="str">
        <x:v>neighborhood autonomy</x:v>
      </x:c>
      <x:c r="D12" s="27" t="str">
        <x:v>adjacent commander assumes</x:v>
      </x:c>
      <x:c r="E12" s="60" t="n">
        <x:v>0.5</x:v>
      </x:c>
      <x:c r="F12" s="27" t="str">
        <x:v>≤4 h</x:v>
      </x:c>
      <x:c r="G12" s="27" t="str">
        <x:v>1 h</x:v>
      </x:c>
      <x:c r="H12" s="27" t="str">
        <x:v>complex command</x:v>
      </x:c>
      <x:c r="I12" s="27" t="str">
        <x:v>authority transfer</x:v>
      </x:c>
      <x:c r="J12" s="27" t="str">
        <x:v>OPEN</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6"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28" hidden="0" customWidth="1"/>
    <x:col min="10" max="10" width="28" hidden="0" customWidth="1"/>
    <x:col min="11" max="11" width="28" hidden="0" customWidth="1"/>
    <x:col min="12" max="12" width="28" hidden="0" customWidth="1"/>
  </x:cols>
  <x:sheetData>
    <x:row r="1" ht="29" customHeight="1">
      <x:c r="A1" s="72" t="str">
        <x:v>District alternatives</x:v>
      </x:c>
      <x:c r="B1" s="72"/>
      <x:c r="C1" s="72"/>
      <x:c r="D1" s="72"/>
      <x:c r="E1" s="72"/>
      <x:c r="F1" s="72"/>
      <x:c r="G1" s="72"/>
      <x:c r="H1" s="72"/>
      <x:c r="I1" s="72"/>
      <x:c r="J1" s="72"/>
      <x:c r="K1" s="72"/>
      <x:c r="L1" s="72"/>
    </x:row>
    <x:row r="2" ht="27" customHeight="1">
      <x:c r="A2" s="73" t="str">
        <x:v>Independence, prepared receiving capacity and reduced-area service are distinct contracts.</x:v>
      </x:c>
      <x:c r="B2" s="73"/>
      <x:c r="C2" s="73"/>
      <x:c r="D2" s="73"/>
      <x:c r="E2" s="73"/>
      <x:c r="F2" s="73"/>
      <x:c r="G2" s="73"/>
      <x:c r="H2" s="73"/>
      <x:c r="I2" s="73"/>
      <x:c r="J2" s="73"/>
      <x:c r="K2" s="73"/>
      <x:c r="L2" s="73"/>
    </x:row>
    <x:row r="3">
      <x:c r="A3" s="74"/>
      <x:c r="B3" s="74"/>
      <x:c r="C3" s="74"/>
      <x:c r="D3" s="74"/>
      <x:c r="E3" s="74"/>
      <x:c r="F3" s="74"/>
      <x:c r="G3" s="74"/>
      <x:c r="H3" s="74"/>
      <x:c r="I3" s="74"/>
      <x:c r="J3" s="74"/>
      <x:c r="K3" s="74"/>
      <x:c r="L3" s="74"/>
    </x:row>
    <x:row r="4" ht="30" customHeight="1">
      <x:c r="A4" s="75" t="str">
        <x:v>Alternative</x:v>
      </x:c>
      <x:c r="B4" s="76" t="str">
        <x:v>Imported area share</x:v>
      </x:c>
      <x:c r="C4" s="76" t="str">
        <x:v>Shelter case</x:v>
      </x:c>
      <x:c r="D4" s="76" t="str">
        <x:v>Imported shelter t/district</x:v>
      </x:c>
      <x:c r="E4" s="76" t="str">
        <x:v>Host structure</x:v>
      </x:c>
      <x:c r="F4" s="76" t="str">
        <x:v>Site prep</x:v>
      </x:c>
      <x:c r="G4" s="76" t="str">
        <x:v>Install critical path h</x:v>
      </x:c>
      <x:c r="H4" s="76" t="str">
        <x:v>Peak builders at 50 teams</x:v>
      </x:c>
      <x:c r="I4" s="76" t="str">
        <x:v>Full-bundle claim</x:v>
      </x:c>
      <x:c r="J4" s="76" t="str">
        <x:v>Mass risk</x:v>
      </x:c>
      <x:c r="K4" s="76" t="str">
        <x:v>Schedule risk</x:v>
      </x:c>
      <x:c r="L4" s="77" t="str">
        <x:v>Disposition</x:v>
      </x:c>
    </x:row>
    <x:row r="5" ht="21.600000381469727" hidden="0" customHeight="1">
      <x:c r="A5" s="28" t="str">
        <x:v>Current independent</x:v>
      </x:c>
      <x:c r="B5" s="59" t="n">
        <x:v>1</x:v>
      </x:c>
      <x:c r="C5" s="28" t="str">
        <x:v>Current</x:v>
      </x:c>
      <x:c r="D5" s="36" t="n">
        <x:f>'Mass Summary'!B22</x:f>
        <x:v>261.10886128000004</x:v>
      </x:c>
      <x:c r="E5" s="36" t="str">
        <x:v>none</x:v>
      </x:c>
      <x:c r="F5" s="36" t="str">
        <x:v>full</x:v>
      </x:c>
      <x:c r="G5" s="36" t="n">
        <x:f>'Install Network'!D19</x:f>
        <x:v>66</x:v>
      </x:c>
      <x:c r="H5" s="36" t="n">
        <x:f>'Controls'!B23*'Controls'!B24</x:f>
        <x:v>3500</x:v>
      </x:c>
      <x:c r="I5" s="28" t="str">
        <x:v>full</x:v>
      </x:c>
      <x:c r="J5" s="28" t="str">
        <x:v>extreme</x:v>
      </x:c>
      <x:c r="K5" s="28" t="str">
        <x:v>extreme</x:v>
      </x:c>
      <x:c r="L5" s="28" t="str">
        <x:v>reference failure</x:v>
      </x:c>
    </x:row>
    <x:row r="6" ht="21.600000381469727" hidden="0" customHeight="1">
      <x:c r="A6" s="27" t="str">
        <x:v>Advanced independent</x:v>
      </x:c>
      <x:c r="B6" s="60" t="n">
        <x:v>1</x:v>
      </x:c>
      <x:c r="C6" s="27" t="str">
        <x:v>Advanced</x:v>
      </x:c>
      <x:c r="D6" s="37" t="n">
        <x:f>'Mass Summary'!C22</x:f>
        <x:v>156.76677007499998</x:v>
      </x:c>
      <x:c r="E6" s="37" t="str">
        <x:v>none</x:v>
      </x:c>
      <x:c r="F6" s="37" t="str">
        <x:v>full</x:v>
      </x:c>
      <x:c r="G6" s="37" t="n">
        <x:f>'Install Network'!F19</x:f>
        <x:v>42</x:v>
      </x:c>
      <x:c r="H6" s="37" t="n">
        <x:f>'Controls'!B23*'Controls'!B25</x:f>
        <x:v>3000</x:v>
      </x:c>
      <x:c r="I6" s="27" t="str">
        <x:v>full</x:v>
      </x:c>
      <x:c r="J6" s="27" t="str">
        <x:v>high</x:v>
      </x:c>
      <x:c r="K6" s="27" t="str">
        <x:v>high</x:v>
      </x:c>
      <x:c r="L6" s="27" t="str">
        <x:v>development path</x:v>
      </x:c>
    </x:row>
    <x:row r="7" ht="21.600000381469727" hidden="0" customHeight="1">
      <x:c r="A7" s="29" t="str">
        <x:v>Transform independent</x:v>
      </x:c>
      <x:c r="B7" s="61" t="n">
        <x:v>1</x:v>
      </x:c>
      <x:c r="C7" s="29" t="str">
        <x:v>Transform</x:v>
      </x:c>
      <x:c r="D7" s="38" t="n">
        <x:f>'Mass Summary'!D22</x:f>
        <x:v>78.707674864</x:v>
      </x:c>
      <x:c r="E7" s="38" t="str">
        <x:v>none</x:v>
      </x:c>
      <x:c r="F7" s="38" t="str">
        <x:v>full</x:v>
      </x:c>
      <x:c r="G7" s="38" t="n">
        <x:f>'Install Network'!H19</x:f>
        <x:v>27</x:v>
      </x:c>
      <x:c r="H7" s="38" t="n">
        <x:f>'Controls'!B23*'Controls'!B26</x:f>
        <x:v>2000</x:v>
      </x:c>
      <x:c r="I7" s="29" t="str">
        <x:v>full</x:v>
      </x:c>
      <x:c r="J7" s="29" t="str">
        <x:v>high</x:v>
      </x:c>
      <x:c r="K7" s="29" t="str">
        <x:v>medium</x:v>
      </x:c>
      <x:c r="L7" s="29" t="str">
        <x:v>research path</x:v>
      </x:c>
    </x:row>
    <x:row r="8" ht="32.400001525878906" hidden="0" customHeight="1">
      <x:c r="A8" s="27" t="str">
        <x:v>Prepared receiver</x:v>
      </x:c>
      <x:c r="B8" s="60" t="n">
        <x:v>0.2</x:v>
      </x:c>
      <x:c r="C8" s="27" t="str">
        <x:v>Transform</x:v>
      </x:c>
      <x:c r="D8" s="37" t="n">
        <x:f>'Mass Summary'!D22*B8</x:f>
        <x:v>15.7415349728</x:v>
      </x:c>
      <x:c r="E8" s="37" t="str">
        <x:v>inspected structure/floor</x:v>
      </x:c>
      <x:c r="F8" s="37" t="str">
        <x:v>connection/repair</x:v>
      </x:c>
      <x:c r="G8" s="37" t="n">
        <x:v>18</x:v>
      </x:c>
      <x:c r="H8" s="37" t="n">
        <x:v>800</x:v>
      </x:c>
      <x:c r="I8" s="27" t="str">
        <x:v>dependency-bounded</x:v>
      </x:c>
      <x:c r="J8" s="27" t="str">
        <x:v>low</x:v>
      </x:c>
      <x:c r="K8" s="27" t="str">
        <x:v>low</x:v>
      </x:c>
      <x:c r="L8" s="27" t="str">
        <x:v>prepositioning path</x:v>
      </x:c>
    </x:row>
    <x:row r="9" ht="21.600000381469727" hidden="0" customHeight="1">
      <x:c r="A9" s="29" t="str">
        <x:v>Thermal refuge only</x:v>
      </x:c>
      <x:c r="B9" s="61" t="n">
        <x:v>0.3</x:v>
      </x:c>
      <x:c r="C9" s="29" t="str">
        <x:v>Transform</x:v>
      </x:c>
      <x:c r="D9" s="38" t="n">
        <x:f>'Mass Summary'!D22*B9</x:f>
        <x:v>23.6123024592</x:v>
      </x:c>
      <x:c r="E9" s="38" t="str">
        <x:v>partial local shelter</x:v>
      </x:c>
      <x:c r="F9" s="38" t="str">
        <x:v>priority zones</x:v>
      </x:c>
      <x:c r="G9" s="38" t="n">
        <x:v>20</x:v>
      </x:c>
      <x:c r="H9" s="38" t="n">
        <x:v>1000</x:v>
      </x:c>
      <x:c r="I9" s="29" t="str">
        <x:v>narrower contract</x:v>
      </x:c>
      <x:c r="J9" s="29" t="str">
        <x:v>medium</x:v>
      </x:c>
      <x:c r="K9" s="29" t="str">
        <x:v>medium</x:v>
      </x:c>
      <x:c r="L9" s="29" t="str">
        <x:v>not substitution</x:v>
      </x:c>
    </x:row>
    <x:row r="10" ht="32.400001525878906" hidden="0" customHeight="1">
      <x:c r="A10" s="27" t="str">
        <x:v>No-floor austere</x:v>
      </x:c>
      <x:c r="B10" s="60" t="n">
        <x:v>1</x:v>
      </x:c>
      <x:c r="C10" s="27" t="str">
        <x:v>Transform</x:v>
      </x:c>
      <x:c r="D10" s="37" t="n">
        <x:f>'Mass Summary'!D22-'Component BOM'!K9</x:f>
        <x:v>69.677506864</x:v>
      </x:c>
      <x:c r="E10" s="37" t="str">
        <x:v>none</x:v>
      </x:c>
      <x:c r="F10" s="37" t="str">
        <x:v>limited</x:v>
      </x:c>
      <x:c r="G10" s="37" t="n">
        <x:v>22</x:v>
      </x:c>
      <x:c r="H10" s="37" t="n">
        <x:v>1600</x:v>
      </x:c>
      <x:c r="I10" s="27" t="str">
        <x:v>fails accessibility/site standard</x:v>
      </x:c>
      <x:c r="J10" s="27" t="str">
        <x:v>medium</x:v>
      </x:c>
      <x:c r="K10" s="27" t="str">
        <x:v>medium</x:v>
      </x:c>
      <x:c r="L10" s="27" t="str">
        <x:v>reject for full contract</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34" hidden="0" customWidth="1"/>
  </x:cols>
  <x:sheetData>
    <x:row r="1" ht="29" customHeight="1">
      <x:c r="A1" s="72" t="str">
        <x:v>Pod-level propagation</x:v>
      </x:c>
      <x:c r="B1" s="72"/>
      <x:c r="C1" s="72"/>
      <x:c r="D1" s="72"/>
      <x:c r="E1" s="72"/>
      <x:c r="F1" s="72"/>
      <x:c r="G1" s="72"/>
      <x:c r="H1" s="72"/>
      <x:c r="I1" s="72"/>
      <x:c r="J1" s="72"/>
      <x:c r="K1" s="72"/>
      <x:c r="L1" s="72"/>
    </x:row>
    <x:row r="2" ht="27" customHeight="1">
      <x:c r="A2" s="73" t="str">
        <x:v>Detailed district shelter replaces the Pass 29 shelter line without double-counting food, sanitation, water or central energy.</x:v>
      </x:c>
      <x:c r="B2" s="73"/>
      <x:c r="C2" s="73"/>
      <x:c r="D2" s="73"/>
      <x:c r="E2" s="73"/>
      <x:c r="F2" s="73"/>
      <x:c r="G2" s="73"/>
      <x:c r="H2" s="73"/>
      <x:c r="I2" s="73"/>
      <x:c r="J2" s="73"/>
      <x:c r="K2" s="73"/>
      <x:c r="L2" s="73"/>
    </x:row>
    <x:row r="3">
      <x:c r="A3" s="74"/>
      <x:c r="B3" s="74"/>
      <x:c r="C3" s="74"/>
      <x:c r="D3" s="74"/>
      <x:c r="E3" s="74"/>
      <x:c r="F3" s="74"/>
      <x:c r="G3" s="74"/>
      <x:c r="H3" s="74"/>
      <x:c r="I3" s="74"/>
      <x:c r="J3" s="74"/>
      <x:c r="K3" s="74"/>
      <x:c r="L3" s="74"/>
    </x:row>
    <x:row r="4" ht="30" customHeight="1">
      <x:c r="A4" s="75" t="str">
        <x:v>Case</x:v>
      </x:c>
      <x:c r="B4" s="76" t="str">
        <x:v>District shelter t</x:v>
      </x:c>
      <x:c r="C4" s="76" t="str">
        <x:v>PCC-50 shelter t</x:v>
      </x:c>
      <x:c r="D4" s="76" t="str">
        <x:v>Pod basis</x:v>
      </x:c>
      <x:c r="E4" s="76" t="str">
        <x:v>Removed shelter t</x:v>
      </x:c>
      <x:c r="F4" s="76" t="str">
        <x:v>Recalculated pod t</x:v>
      </x:c>
      <x:c r="G4" s="76" t="str">
        <x:v>Air margin t</x:v>
      </x:c>
      <x:c r="H4" s="76" t="str">
        <x:v>Offshore margin t</x:v>
      </x:c>
      <x:c r="I4" s="76" t="str">
        <x:v>Cell mass t</x:v>
      </x:c>
      <x:c r="J4" s="76" t="str">
        <x:v>Worst pods by h72</x:v>
      </x:c>
      <x:c r="K4" s="76" t="str">
        <x:v>10th cargo h</x:v>
      </x:c>
      <x:c r="L4" s="77" t="str">
        <x:v>Conclusion</x:v>
      </x:c>
    </x:row>
    <x:row r="5" ht="54" hidden="0" customHeight="1">
      <x:c r="A5" s="28" t="str">
        <x:v>Current district + configured other services</x:v>
      </x:c>
      <x:c r="B5" s="36" t="n">
        <x:f>'Mass Summary'!B22</x:f>
        <x:v>261.10886128000004</x:v>
      </x:c>
      <x:c r="C5" s="36" t="n">
        <x:f>B5*'Controls'!B6</x:f>
        <x:v>13055.443064000003</x:v>
      </x:c>
      <x:c r="D5" s="36" t="str">
        <x:v>Pass 29 configured</x:v>
      </x:c>
      <x:c r="E5" s="36" t="n">
        <x:v>3545.671475</x:v>
      </x:c>
      <x:c r="F5" s="36" t="n">
        <x:f>'Controls'!B28-E5+C5</x:f>
        <x:v>24662.633064</x:v>
      </x:c>
      <x:c r="G5" s="36" t="n">
        <x:f>'Controls'!B32-F5</x:f>
        <x:v>-12613.883064000001</x:v>
      </x:c>
      <x:c r="H5" s="36" t="n">
        <x:f>'Controls'!B33-F5</x:f>
        <x:v>-12881.633064000001</x:v>
      </x:c>
      <x:c r="I5" s="36" t="n">
        <x:f>F5*3</x:f>
        <x:v>73987.89919200001</x:v>
      </x:c>
      <x:c r="J5" s="36" t="n">
        <x:f>2*MIN(3,MAX(0,INT((72-'Controls'!B36)*'Controls'!B34/F5)))+2*MIN(3,MAX(0,INT((72-'Controls'!B37)*'Controls'!B35/F5)))</x:f>
        <x:v>4</x:v>
      </x:c>
      <x:c r="K5" s="36" t="n">
        <x:f>MIN('Controls'!B37+3*F5/'Controls'!B35,'Controls'!B36+3*F5/'Controls'!B34)</x:f>
        <x:v>117.92382554010696</x:v>
      </x:c>
      <x:c r="L5" s="28" t="str">
        <x:v>fails</x:v>
      </x:c>
    </x:row>
    <x:row r="6" ht="54" hidden="0" customHeight="1">
      <x:c r="A6" s="27" t="str">
        <x:v>Advanced district + configured other services</x:v>
      </x:c>
      <x:c r="B6" s="37" t="n">
        <x:f>'Mass Summary'!C22</x:f>
        <x:v>156.76677007499998</x:v>
      </x:c>
      <x:c r="C6" s="37" t="n">
        <x:f>B6*'Controls'!B6</x:f>
        <x:v>7838.338503749999</x:v>
      </x:c>
      <x:c r="D6" s="37" t="str">
        <x:v>Pass 29 configured</x:v>
      </x:c>
      <x:c r="E6" s="37" t="n">
        <x:v>3545.671475</x:v>
      </x:c>
      <x:c r="F6" s="37" t="n">
        <x:f>'Controls'!B28-E6+C6</x:f>
        <x:v>19445.52850375</x:v>
      </x:c>
      <x:c r="G6" s="37" t="n">
        <x:f>'Controls'!B32-F6</x:f>
        <x:v>-7396.77850375</x:v>
      </x:c>
      <x:c r="H6" s="37" t="n">
        <x:f>'Controls'!B33-F6</x:f>
        <x:v>-7664.52850375</x:v>
      </x:c>
      <x:c r="I6" s="37" t="n">
        <x:f>F6*3</x:f>
        <x:v>58336.58551125</x:v>
      </x:c>
      <x:c r="J6" s="37" t="n">
        <x:f>2*MIN(3,MAX(0,INT((72-'Controls'!B36)*'Controls'!B34/F6)))+2*MIN(3,MAX(0,INT((72-'Controls'!B37)*'Controls'!B35/F6)))</x:f>
        <x:v>4</x:v>
      </x:c>
      <x:c r="K6" s="37" t="n">
        <x:f>MIN('Controls'!B37+3*F6/'Controls'!B35,'Controls'!B36+3*F6/'Controls'!B34)</x:f>
        <x:v>99.32452229500892</x:v>
      </x:c>
      <x:c r="L6" s="27" t="str">
        <x:v>fails</x:v>
      </x:c>
    </x:row>
    <x:row r="7" ht="54" hidden="0" customHeight="1">
      <x:c r="A7" s="29" t="str">
        <x:v>Transform district + transform other services</x:v>
      </x:c>
      <x:c r="B7" s="38" t="n">
        <x:f>'Mass Summary'!D22</x:f>
        <x:v>78.707674864</x:v>
      </x:c>
      <x:c r="C7" s="38" t="n">
        <x:f>B7*'Controls'!B6</x:f>
        <x:v>3935.3837432</x:v>
      </x:c>
      <x:c r="D7" s="38" t="str">
        <x:v>Pass 29 transform</x:v>
      </x:c>
      <x:c r="E7" s="38" t="n">
        <x:v>1302.5143</x:v>
      </x:c>
      <x:c r="F7" s="38" t="n">
        <x:f>'Controls'!B30-E7+C7</x:f>
        <x:v>14451.073743199999</x:v>
      </x:c>
      <x:c r="G7" s="38" t="n">
        <x:f>'Controls'!B32-F7</x:f>
        <x:v>-2402.3237431999987</x:v>
      </x:c>
      <x:c r="H7" s="38" t="n">
        <x:f>'Controls'!B33-F7</x:f>
        <x:v>-2670.0737431999987</x:v>
      </x:c>
      <x:c r="I7" s="38" t="n">
        <x:f>F7*3</x:f>
        <x:v>43353.22122959999</x:v>
      </x:c>
      <x:c r="J7" s="38" t="n">
        <x:f>2*MIN(3,MAX(0,INT((72-'Controls'!B36)*'Controls'!B34/F7)))+2*MIN(3,MAX(0,INT((72-'Controls'!B37)*'Controls'!B35/F7)))</x:f>
        <x:v>8</x:v>
      </x:c>
      <x:c r="K7" s="38" t="n">
        <x:f>MIN('Controls'!B37+3*F7/'Controls'!B35,'Controls'!B36+3*F7/'Controls'!B34)</x:f>
        <x:v>81.51897947664884</x:v>
      </x:c>
      <x:c r="L7" s="29" t="str">
        <x:v>fails</x:v>
      </x:c>
    </x:row>
    <x:row r="8" ht="54" hidden="0" customHeight="1">
      <x:c r="A8" s="27" t="str">
        <x:v>Prepared receiver + transform other services</x:v>
      </x:c>
      <x:c r="B8" s="37" t="n">
        <x:f>'District Alternatives'!D8</x:f>
        <x:v>15.7415349728</x:v>
      </x:c>
      <x:c r="C8" s="37" t="n">
        <x:f>B8*'Controls'!B6</x:f>
        <x:v>787.07674864</x:v>
      </x:c>
      <x:c r="D8" s="37" t="str">
        <x:v>Pass 29 transform</x:v>
      </x:c>
      <x:c r="E8" s="37" t="n">
        <x:v>1302.5143</x:v>
      </x:c>
      <x:c r="F8" s="37" t="n">
        <x:f>'Controls'!B30-E8+C8</x:f>
        <x:v>11302.766748639999</x:v>
      </x:c>
      <x:c r="G8" s="37" t="n">
        <x:f>'Controls'!B32-F8</x:f>
        <x:v>745.9832513600013</x:v>
      </x:c>
      <x:c r="H8" s="37" t="n">
        <x:f>'Controls'!B33-F8</x:f>
        <x:v>478.2332513600013</x:v>
      </x:c>
      <x:c r="I8" s="37" t="n">
        <x:f>F8*3</x:f>
        <x:v>33908.30024591999</x:v>
      </x:c>
      <x:c r="J8" s="37" t="n">
        <x:f>2*MIN(3,MAX(0,INT((72-'Controls'!B36)*'Controls'!B34/F8)))+2*MIN(3,MAX(0,INT((72-'Controls'!B37)*'Controls'!B35/F8)))</x:f>
        <x:v>12</x:v>
      </x:c>
      <x:c r="K8" s="37" t="n">
        <x:f>MIN('Controls'!B37+3*F8/'Controls'!B35,'Controls'!B36+3*F8/'Controls'!B34)</x:f>
        <x:v>68.65665769698597</x:v>
      </x:c>
      <x:c r="L8" s="27" t="str">
        <x:v>dependency-bounded pass candidate</x:v>
      </x:c>
    </x:row>
    <x:row r="9">
      <x:c r="A9" s="74"/>
      <x:c r="B9" s="74"/>
      <x:c r="C9" s="74"/>
      <x:c r="D9" s="74"/>
      <x:c r="E9" s="74"/>
      <x:c r="F9" s="74"/>
      <x:c r="G9" s="74"/>
      <x:c r="H9" s="74"/>
      <x:c r="I9" s="74"/>
      <x:c r="J9" s="74"/>
      <x:c r="K9" s="74"/>
      <x:c r="L9" s="74"/>
    </x:row>
    <x:row r="10" ht="32" customHeight="1">
      <x:c r="A10" s="81" t="str">
        <x:v>Worst-case ten-pod timing uses two air and two offshore survivors after both upland cells are lost. Whole-pod cargo completion is still not occupied-service release.</x:v>
      </x:c>
      <x:c r="B10" s="81"/>
      <x:c r="C10" s="81"/>
      <x:c r="D10" s="81"/>
      <x:c r="E10" s="81"/>
      <x:c r="F10" s="81"/>
      <x:c r="G10" s="81"/>
      <x:c r="H10" s="81"/>
      <x:c r="I10" s="81"/>
      <x:c r="J10" s="81"/>
      <x:c r="K10" s="81"/>
      <x:c r="L10" s="81"/>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17"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s>
  <x:sheetData>
    <x:row r="1" ht="29" customHeight="1">
      <x:c r="A1" s="72" t="str">
        <x:v>Cargo completion versus occupied release</x:v>
      </x:c>
      <x:c r="B1" s="72"/>
      <x:c r="C1" s="72"/>
      <x:c r="D1" s="72"/>
      <x:c r="E1" s="72"/>
      <x:c r="F1" s="72"/>
      <x:c r="G1" s="72"/>
      <x:c r="H1" s="72"/>
      <x:c r="I1" s="72"/>
      <x:c r="J1" s="72"/>
      <x:c r="K1" s="72"/>
      <x:c r="L1" s="72"/>
    </x:row>
    <x:row r="2" ht="27" customHeight="1">
      <x:c r="A2" s="73" t="str">
        <x:v>Service credit requires both the full pod and an installed, commissioned district network.</x:v>
      </x:c>
      <x:c r="B2" s="73"/>
      <x:c r="C2" s="73"/>
      <x:c r="D2" s="73"/>
      <x:c r="E2" s="73"/>
      <x:c r="F2" s="73"/>
      <x:c r="G2" s="73"/>
      <x:c r="H2" s="73"/>
      <x:c r="I2" s="73"/>
      <x:c r="J2" s="73"/>
      <x:c r="K2" s="73"/>
      <x:c r="L2" s="73"/>
    </x:row>
    <x:row r="3">
      <x:c r="A3" s="74"/>
      <x:c r="B3" s="74"/>
      <x:c r="C3" s="74"/>
      <x:c r="D3" s="74"/>
      <x:c r="E3" s="74"/>
      <x:c r="F3" s="74"/>
      <x:c r="G3" s="74"/>
      <x:c r="H3" s="74"/>
      <x:c r="I3" s="74"/>
      <x:c r="J3" s="74"/>
      <x:c r="K3" s="74"/>
      <x:c r="L3" s="74"/>
    </x:row>
    <x:row r="4" ht="30" customHeight="1">
      <x:c r="A4" s="75" t="str">
        <x:v>Case</x:v>
      </x:c>
      <x:c r="B4" s="76" t="str">
        <x:v>Mode</x:v>
      </x:c>
      <x:c r="C4" s="76" t="str">
        <x:v>Third-pod cargo h</x:v>
      </x:c>
      <x:c r="D4" s="76" t="str">
        <x:v>Shelter-first completion h</x:v>
      </x:c>
      <x:c r="E4" s="76" t="str">
        <x:v>Install path h</x:v>
      </x:c>
      <x:c r="F4" s="76" t="str">
        <x:v>Shelter system ready h</x:v>
      </x:c>
      <x:c r="G4" s="76" t="str">
        <x:v>Perfect-pipeline release floor h</x:v>
      </x:c>
      <x:c r="H4" s="76" t="str">
        <x:v>Serial release upper screen h</x:v>
      </x:c>
      <x:c r="I4" s="76" t="str">
        <x:v>Hour-72 margin</x:v>
      </x:c>
      <x:c r="J4" s="76" t="str">
        <x:v>Primary binding term</x:v>
      </x:c>
      <x:c r="K4" s="77" t="str">
        <x:v>Service credit</x:v>
      </x:c>
      <x:c r="L4" s="74"/>
    </x:row>
    <x:row r="5" ht="21.600000381469727" hidden="0" customHeight="1">
      <x:c r="A5" s="28" t="str">
        <x:v>Advanced configured</x:v>
      </x:c>
      <x:c r="B5" s="28" t="str">
        <x:v>Air</x:v>
      </x:c>
      <x:c r="C5" s="62" t="n">
        <x:f>'Controls'!B36+3*'Pod Propagation'!F6/'Controls'!B34</x:f>
        <x:v>105.1508280280112</x:v>
      </x:c>
      <x:c r="D5" s="62" t="n">
        <x:f>'Controls'!B36+3*'Pod Propagation'!C6/'Controls'!B34</x:f>
        <x:v>53.12980842016807</x:v>
      </x:c>
      <x:c r="E5" s="62" t="n">
        <x:f>'Install Network'!F19</x:f>
        <x:v>42</x:v>
      </x:c>
      <x:c r="F5" s="62" t="n">
        <x:f>D5+E5</x:f>
        <x:v>95.12980842016808</x:v>
      </x:c>
      <x:c r="G5" s="62" t="n">
        <x:f>MAX(C5,F5)</x:f>
        <x:v>105.1508280280112</x:v>
      </x:c>
      <x:c r="H5" s="62" t="n">
        <x:f>C5+E5</x:f>
        <x:v>147.1508280280112</x:v>
      </x:c>
      <x:c r="I5" s="62" t="n">
        <x:f>72-G5</x:f>
        <x:v>-33.150828028011205</x:v>
      </x:c>
      <x:c r="J5" s="28" t="str">
        <x:f>IF(C5&gt;=F5,"POD CARGO","SHELTER INSTALL")</x:f>
        <x:v>POD CARGO</x:v>
      </x:c>
      <x:c r="K5" s="28" t="str">
        <x:f>IF(G5&lt;=72,"CANDIDATE","FAIL")</x:f>
        <x:v>FAIL</x:v>
      </x:c>
      <x:c r="L5" s="74"/>
    </x:row>
    <x:row r="6" ht="21.600000381469727" hidden="0" customHeight="1">
      <x:c r="A6" s="27" t="str">
        <x:v>Advanced configured</x:v>
      </x:c>
      <x:c r="B6" s="27" t="str">
        <x:v>Offshore</x:v>
      </x:c>
      <x:c r="C6" s="58" t="n">
        <x:f>'Controls'!B37+3*'Pod Propagation'!F6/'Controls'!B35</x:f>
        <x:v>99.32452229500892</x:v>
      </x:c>
      <x:c r="D6" s="58" t="n">
        <x:f>'Controls'!B37+3*'Pod Propagation'!C6/'Controls'!B35</x:f>
        <x:v>57.94416578877005</x:v>
      </x:c>
      <x:c r="E6" s="58" t="n">
        <x:f>'Install Network'!F19</x:f>
        <x:v>42</x:v>
      </x:c>
      <x:c r="F6" s="58" t="n">
        <x:f>D6+E6</x:f>
        <x:v>99.94416578877005</x:v>
      </x:c>
      <x:c r="G6" s="58" t="n">
        <x:f>MAX(C6,F6)</x:f>
        <x:v>99.94416578877005</x:v>
      </x:c>
      <x:c r="H6" s="58" t="n">
        <x:f>C6+E6</x:f>
        <x:v>141.32452229500893</x:v>
      </x:c>
      <x:c r="I6" s="58" t="n">
        <x:f>72-G6</x:f>
        <x:v>-27.94416578877005</x:v>
      </x:c>
      <x:c r="J6" s="27" t="str">
        <x:f>IF(C6&gt;=F6,"POD CARGO","SHELTER INSTALL")</x:f>
        <x:v>SHELTER INSTALL</x:v>
      </x:c>
      <x:c r="K6" s="27" t="str">
        <x:f>IF(G6&lt;=72,"CANDIDATE","FAIL")</x:f>
        <x:v>FAIL</x:v>
      </x:c>
      <x:c r="L6" s="74"/>
    </x:row>
    <x:row r="7" ht="21.600000381469727" hidden="0" customHeight="1">
      <x:c r="A7" s="29" t="str">
        <x:v>Transform all</x:v>
      </x:c>
      <x:c r="B7" s="29" t="str">
        <x:v>Air</x:v>
      </x:c>
      <x:c r="C7" s="63" t="n">
        <x:f>'Controls'!B36+3*'Pod Propagation'!F7/'Controls'!B34</x:f>
        <x:v>82.76671705635853</x:v>
      </x:c>
      <x:c r="D7" s="63" t="n">
        <x:f>'Controls'!B36+3*'Pod Propagation'!C7/'Controls'!B34</x:f>
        <x:v>35.637574199215685</x:v>
      </x:c>
      <x:c r="E7" s="63" t="n">
        <x:f>'Install Network'!H19</x:f>
        <x:v>27</x:v>
      </x:c>
      <x:c r="F7" s="63" t="n">
        <x:f>D7+E7</x:f>
        <x:v>62.637574199215685</x:v>
      </x:c>
      <x:c r="G7" s="63" t="n">
        <x:f>MAX(C7,F7)</x:f>
        <x:v>82.76671705635853</x:v>
      </x:c>
      <x:c r="H7" s="63" t="n">
        <x:f>C7+E7</x:f>
        <x:v>109.76671705635853</x:v>
      </x:c>
      <x:c r="I7" s="63" t="n">
        <x:f>72-G7</x:f>
        <x:v>-10.76671705635853</x:v>
      </x:c>
      <x:c r="J7" s="29" t="str">
        <x:f>IF(C7&gt;=F7,"POD CARGO","SHELTER INSTALL")</x:f>
        <x:v>POD CARGO</x:v>
      </x:c>
      <x:c r="K7" s="29" t="str">
        <x:f>IF(G7&lt;=72,"CANDIDATE","FAIL")</x:f>
        <x:v>FAIL</x:v>
      </x:c>
      <x:c r="L7" s="74"/>
    </x:row>
    <x:row r="8" ht="21.600000381469727" hidden="0" customHeight="1">
      <x:c r="A8" s="27" t="str">
        <x:v>Transform all</x:v>
      </x:c>
      <x:c r="B8" s="27" t="str">
        <x:v>Offshore</x:v>
      </x:c>
      <x:c r="C8" s="58" t="n">
        <x:f>'Controls'!B37+3*'Pod Propagation'!F7/'Controls'!B35</x:f>
        <x:v>81.51897947664884</x:v>
      </x:c>
      <x:c r="D8" s="58" t="n">
        <x:f>'Controls'!B37+3*'Pod Propagation'!C7/'Controls'!B35</x:f>
        <x:v>44.02988856755793</x:v>
      </x:c>
      <x:c r="E8" s="58" t="n">
        <x:f>'Install Network'!H19</x:f>
        <x:v>27</x:v>
      </x:c>
      <x:c r="F8" s="58" t="n">
        <x:f>D8+E8</x:f>
        <x:v>71.02988856755793</x:v>
      </x:c>
      <x:c r="G8" s="58" t="n">
        <x:f>MAX(C8,F8)</x:f>
        <x:v>81.51897947664884</x:v>
      </x:c>
      <x:c r="H8" s="58" t="n">
        <x:f>C8+E8</x:f>
        <x:v>108.51897947664884</x:v>
      </x:c>
      <x:c r="I8" s="58" t="n">
        <x:f>72-G8</x:f>
        <x:v>-9.518979476648838</x:v>
      </x:c>
      <x:c r="J8" s="27" t="str">
        <x:f>IF(C8&gt;=F8,"POD CARGO","SHELTER INSTALL")</x:f>
        <x:v>POD CARGO</x:v>
      </x:c>
      <x:c r="K8" s="27" t="str">
        <x:f>IF(G8&lt;=72,"CANDIDATE","FAIL")</x:f>
        <x:v>FAIL</x:v>
      </x:c>
      <x:c r="L8" s="74"/>
    </x:row>
    <x:row r="9" ht="21.600000381469727" hidden="0" customHeight="1">
      <x:c r="A9" s="29" t="str">
        <x:v>Prepared receiver</x:v>
      </x:c>
      <x:c r="B9" s="29" t="str">
        <x:v>Air</x:v>
      </x:c>
      <x:c r="C9" s="63" t="n">
        <x:f>'Controls'!B36+3*'Pod Propagation'!F8/'Controls'!B34</x:f>
        <x:v>68.65665769698597</x:v>
      </x:c>
      <x:c r="D9" s="63" t="n">
        <x:f>'Controls'!B36+3*'Pod Propagation'!C8/'Controls'!B34</x:f>
        <x:v>21.527514839843136</x:v>
      </x:c>
      <x:c r="E9" s="63" t="n">
        <x:f>'District Alternatives'!G8</x:f>
        <x:v>18</x:v>
      </x:c>
      <x:c r="F9" s="63" t="n">
        <x:f>D9+E9</x:f>
        <x:v>39.527514839843136</x:v>
      </x:c>
      <x:c r="G9" s="63" t="n">
        <x:f>MAX(C9,F9)</x:f>
        <x:v>68.65665769698597</x:v>
      </x:c>
      <x:c r="H9" s="63" t="n">
        <x:f>C9+E9</x:f>
        <x:v>86.65665769698597</x:v>
      </x:c>
      <x:c r="I9" s="63" t="n">
        <x:f>72-G9</x:f>
        <x:v>3.343342303014026</x:v>
      </x:c>
      <x:c r="J9" s="29" t="str">
        <x:f>IF(C9&gt;=F9,"POD CARGO","SHELTER INSTALL")</x:f>
        <x:v>POD CARGO</x:v>
      </x:c>
      <x:c r="K9" s="29" t="str">
        <x:f>IF(G9&lt;=72,"CANDIDATE","FAIL")</x:f>
        <x:v>CANDIDATE</x:v>
      </x:c>
      <x:c r="L9" s="74"/>
    </x:row>
    <x:row r="10" ht="21.600000381469727" hidden="0" customHeight="1">
      <x:c r="A10" s="27" t="str">
        <x:v>Prepared receiver</x:v>
      </x:c>
      <x:c r="B10" s="27" t="str">
        <x:v>Offshore</x:v>
      </x:c>
      <x:c r="C10" s="58" t="n">
        <x:f>'Controls'!B37+3*'Pod Propagation'!F8/'Controls'!B35</x:f>
        <x:v>70.29506862260249</x:v>
      </x:c>
      <x:c r="D10" s="58" t="n">
        <x:f>'Controls'!B37+3*'Pod Propagation'!C8/'Controls'!B35</x:f>
        <x:v>32.80597771351159</x:v>
      </x:c>
      <x:c r="E10" s="58" t="n">
        <x:f>'District Alternatives'!G8</x:f>
        <x:v>18</x:v>
      </x:c>
      <x:c r="F10" s="58" t="n">
        <x:f>D10+E10</x:f>
        <x:v>50.80597771351159</x:v>
      </x:c>
      <x:c r="G10" s="58" t="n">
        <x:f>MAX(C10,F10)</x:f>
        <x:v>70.29506862260249</x:v>
      </x:c>
      <x:c r="H10" s="58" t="n">
        <x:f>C10+E10</x:f>
        <x:v>88.29506862260249</x:v>
      </x:c>
      <x:c r="I10" s="58" t="n">
        <x:f>72-G10</x:f>
        <x:v>1.7049313773975143</x:v>
      </x:c>
      <x:c r="J10" s="27" t="str">
        <x:f>IF(C10&gt;=F10,"POD CARGO","SHELTER INSTALL")</x:f>
        <x:v>POD CARGO</x:v>
      </x:c>
      <x:c r="K10" s="27" t="str">
        <x:f>IF(G10&lt;=72,"CANDIDATE","FAIL")</x:f>
        <x:v>CANDIDATE</x:v>
      </x:c>
      <x:c r="L10" s="74"/>
    </x:row>
    <x:row r="11">
      <x:c r="A11" s="74"/>
      <x:c r="B11" s="74"/>
      <x:c r="C11" s="74"/>
      <x:c r="D11" s="74"/>
      <x:c r="E11" s="74"/>
      <x:c r="F11" s="74"/>
      <x:c r="G11" s="74"/>
      <x:c r="H11" s="74"/>
      <x:c r="I11" s="74"/>
      <x:c r="J11" s="74"/>
      <x:c r="K11" s="74"/>
      <x:c r="L11" s="74"/>
    </x:row>
    <x:row r="12" ht="32" customHeight="1">
      <x:c r="A12" s="81" t="str">
        <x:v>The perfect-pipeline floor assumes shelter cargo is sequenced first and installation begins immediately. It is optimistic. The serial screen assumes installation waits for complete pod cargo. Actual release must be simulated from individual load arrivals.</x:v>
      </x:c>
      <x:c r="B12" s="81"/>
      <x:c r="C12" s="81"/>
      <x:c r="D12" s="81"/>
      <x:c r="E12" s="81"/>
      <x:c r="F12" s="81"/>
      <x:c r="G12" s="81"/>
      <x:c r="H12" s="81"/>
      <x:c r="I12" s="81"/>
      <x:c r="J12" s="81"/>
      <x:c r="K12" s="81"/>
      <x:c r="L12" s="74"/>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1" hidden="0" customWidth="1"/>
    <x:col min="2" max="2" width="30" hidden="0" customWidth="1"/>
    <x:col min="3" max="3" width="30" hidden="0" customWidth="1"/>
    <x:col min="4" max="4" width="43" hidden="0" customWidth="1"/>
    <x:col min="5" max="5" width="43" hidden="0" customWidth="1"/>
    <x:col min="6" max="6" width="43" hidden="0" customWidth="1"/>
    <x:col min="7" max="7" width="43" hidden="0" customWidth="1"/>
    <x:col min="8" max="8" width="43" hidden="0" customWidth="1"/>
    <x:col min="9" max="9" width="17" hidden="0" customWidth="1"/>
    <x:col min="10" max="10" width="17" hidden="0" customWidth="1"/>
    <x:col min="11" max="11" width="17" hidden="0" customWidth="1"/>
    <x:col min="12" max="12" width="17" hidden="0" customWidth="1"/>
  </x:cols>
  <x:sheetData>
    <x:row r="1" ht="29" customHeight="1">
      <x:c r="A1" s="72" t="str">
        <x:v>District technology program</x:v>
      </x:c>
      <x:c r="B1" s="72"/>
      <x:c r="C1" s="72"/>
      <x:c r="D1" s="72"/>
      <x:c r="E1" s="72"/>
      <x:c r="F1" s="72"/>
      <x:c r="G1" s="72"/>
      <x:c r="H1" s="72"/>
      <x:c r="I1" s="72"/>
      <x:c r="J1" s="72"/>
      <x:c r="K1" s="72"/>
      <x:c r="L1" s="72"/>
    </x:row>
    <x:row r="2" ht="27" customHeight="1">
      <x:c r="A2" s="73" t="str">
        <x:v>Each program owns a measured term in mass, volume, labor or release time.</x:v>
      </x:c>
      <x:c r="B2" s="73"/>
      <x:c r="C2" s="73"/>
      <x:c r="D2" s="73"/>
      <x:c r="E2" s="73"/>
      <x:c r="F2" s="73"/>
      <x:c r="G2" s="73"/>
      <x:c r="H2" s="73"/>
      <x:c r="I2" s="73"/>
      <x:c r="J2" s="73"/>
      <x:c r="K2" s="73"/>
      <x:c r="L2" s="73"/>
    </x:row>
    <x:row r="3">
      <x:c r="A3" s="74"/>
      <x:c r="B3" s="74"/>
      <x:c r="C3" s="74"/>
      <x:c r="D3" s="74"/>
      <x:c r="E3" s="74"/>
      <x:c r="F3" s="74"/>
      <x:c r="G3" s="74"/>
      <x:c r="H3" s="74"/>
      <x:c r="I3" s="74"/>
      <x:c r="J3" s="74"/>
      <x:c r="K3" s="74"/>
      <x:c r="L3" s="74"/>
    </x:row>
    <x:row r="4" ht="30" customHeight="1">
      <x:c r="A4" s="75" t="str">
        <x:v>ID</x:v>
      </x:c>
      <x:c r="B4" s="76" t="str">
        <x:v>Program</x:v>
      </x:c>
      <x:c r="C4" s="76" t="str">
        <x:v>Current contradiction</x:v>
      </x:c>
      <x:c r="D4" s="76" t="str">
        <x:v>Target</x:v>
      </x:c>
      <x:c r="E4" s="76" t="str">
        <x:v>Rival paths</x:v>
      </x:c>
      <x:c r="F4" s="76" t="str">
        <x:v>Bench metric</x:v>
      </x:c>
      <x:c r="G4" s="76" t="str">
        <x:v>District trial</x:v>
      </x:c>
      <x:c r="H4" s="76" t="str">
        <x:v>New burden counted</x:v>
      </x:c>
      <x:c r="I4" s="76" t="str">
        <x:v>Decision year</x:v>
      </x:c>
      <x:c r="J4" s="76" t="str">
        <x:v>State</x:v>
      </x:c>
      <x:c r="K4" s="76" t="str">
        <x:v>Gate</x:v>
      </x:c>
      <x:c r="L4" s="77" t="str">
        <x:v>Procurement discriminator</x:v>
      </x:c>
    </x:row>
    <x:row r="5" ht="86.4000015258789" hidden="0" customHeight="1">
      <x:c r="A5" s="28" t="str">
        <x:v>D1-01</x:v>
      </x:c>
      <x:c r="B5" s="28" t="str">
        <x:v>Integrated occupied-area material</x:v>
      </x:c>
      <x:c r="C5" s="28" t="str">
        <x:v>transform case still 78.71 t/district</x:v>
      </x:c>
      <x:c r="D5" s="28" t="str">
        <x:v>≤30.66 t complete district shelter</x:v>
      </x:c>
      <x:c r="E5" s="28" t="str">
        <x:v>airbeam composite; cellular inflatable; tension textile; local structure compiler</x:v>
      </x:c>
      <x:c r="F5" s="28" t="str">
        <x:v>kg/m², thermal leakage, fire/toxicity, repair</x:v>
      </x:c>
      <x:c r="G5" s="28" t="str">
        <x:v>1,000 people × 72 h in four climates</x:v>
      </x:c>
      <x:c r="H5" s="28" t="str">
        <x:v>ballast, floors, filters, packaging</x:v>
      </x:c>
      <x:c r="I5" s="28" t="n">
        <x:v>10</x:v>
      </x:c>
      <x:c r="J5" s="28" t="str">
        <x:v>R0/R1</x:v>
      </x:c>
      <x:c r="K5" s="28" t="str">
        <x:v>G03–G07</x:v>
      </x:c>
      <x:c r="L5" s="28" t="str">
        <x:v>released person-hours per delivered tonne</x:v>
      </x:c>
    </x:row>
    <x:row r="6" ht="64.80000305175781" hidden="0" customHeight="1">
      <x:c r="A6" s="27" t="str">
        <x:v>D1-02</x:v>
      </x:c>
      <x:c r="B6" s="27" t="str">
        <x:v>Ultralight accessible sleep system</x:v>
      </x:c>
      <x:c r="C6" s="27" t="str">
        <x:v>current cot anchor can consume 18.14 t</x:v>
      </x:c>
      <x:c r="D6" s="27" t="str">
        <x:v>≤5 kg/person including bed/privacy/storage</x:v>
      </x:c>
      <x:c r="E6" s="27" t="str">
        <x:v>inflatable; tension cot; integrated floor-bed; local furnishing</x:v>
      </x:c>
      <x:c r="F6" s="27" t="str">
        <x:v>mass, sleep, transfer, pressure injury, cleanability</x:v>
      </x:c>
      <x:c r="G6" s="27" t="str">
        <x:v>representative users for 7 nights</x:v>
      </x:c>
      <x:c r="H6" s="27" t="str">
        <x:v>pumps, repair, infection control</x:v>
      </x:c>
      <x:c r="I6" s="27" t="n">
        <x:v>7</x:v>
      </x:c>
      <x:c r="J6" s="27" t="str">
        <x:v>R1</x:v>
      </x:c>
      <x:c r="K6" s="27" t="str">
        <x:v>G05/G08</x:v>
      </x:c>
      <x:c r="L6" s="27" t="str">
        <x:v>outcomes per packed cubic metre</x:v>
      </x:c>
    </x:row>
    <x:row r="7" ht="64.80000305175781" hidden="0" customHeight="1">
      <x:c r="A7" s="29" t="str">
        <x:v>D1-03</x:v>
      </x:c>
      <x:c r="B7" s="29" t="str">
        <x:v>Autonomous site constructor</x:v>
      </x:c>
      <x:c r="C7" s="29" t="str">
        <x:v>50 transform teams still need 2,000 builders</x:v>
      </x:c>
      <x:c r="D7" s="29" t="str">
        <x:v>≤400 labor-h/district and ≤18 h critical path</x:v>
      </x:c>
      <x:c r="E7" s="29" t="str">
        <x:v>robotic grade; anchor swarm; reel/placement fleet</x:v>
      </x:c>
      <x:c r="F7" s="29" t="str">
        <x:v>m²/h, exposure, rework, recovery</x:v>
      </x:c>
      <x:c r="G7" s="29" t="str">
        <x:v>wet/soft/rock site tournament</x:v>
      </x:c>
      <x:c r="H7" s="29" t="str">
        <x:v>operators, technicians, energy</x:v>
      </x:c>
      <x:c r="I7" s="29" t="n">
        <x:v>9</x:v>
      </x:c>
      <x:c r="J7" s="29" t="str">
        <x:v>R0/R1</x:v>
      </x:c>
      <x:c r="K7" s="29" t="str">
        <x:v>G09/G10</x:v>
      </x:c>
      <x:c r="L7" s="29" t="str">
        <x:v>released districts per shift</x:v>
      </x:c>
    </x:row>
    <x:row r="8" ht="75.5999984741211" hidden="0" customHeight="1">
      <x:c r="A8" s="27" t="str">
        <x:v>D1-04</x:v>
      </x:c>
      <x:c r="B8" s="27" t="str">
        <x:v>Volume-compacting shelter logistics</x:v>
      </x:c>
      <x:c r="C8" s="27" t="str">
        <x:v>transform district still 447 m³</x:v>
      </x:c>
      <x:c r="D8" s="27" t="str">
        <x:v>≤250 m³/district at accepted damage rate</x:v>
      </x:c>
      <x:c r="E8" s="27" t="str">
        <x:v>vacuum pack; nested frames; structural packaging; local fabrication</x:v>
      </x:c>
      <x:c r="F8" s="27" t="str">
        <x:v>m³, damage, unpack time, reuse cycles</x:v>
      </x:c>
      <x:c r="G8" s="27" t="str">
        <x:v>mode load/unload/erect sequence</x:v>
      </x:c>
      <x:c r="H8" s="27" t="str">
        <x:v>compressors, packaging recovery</x:v>
      </x:c>
      <x:c r="I8" s="27" t="n">
        <x:v>8</x:v>
      </x:c>
      <x:c r="J8" s="27" t="str">
        <x:v>R1</x:v>
      </x:c>
      <x:c r="K8" s="27" t="str">
        <x:v>G11</x:v>
      </x:c>
      <x:c r="L8" s="27" t="str">
        <x:v>complete districts per aircraft/ship cycle</x:v>
      </x:c>
    </x:row>
    <x:row r="9" ht="54" hidden="0" customHeight="1">
      <x:c r="A9" s="29" t="str">
        <x:v>D1-05</x:v>
      </x:c>
      <x:c r="B9" s="29" t="str">
        <x:v>Self-commissioning service spine</x:v>
      </x:c>
      <x:c r="C9" s="29" t="str">
        <x:v>utility/release path remains serial</x:v>
      </x:c>
      <x:c r="D9" s="29" t="str">
        <x:v>≤2 h verified connect/black start/isolate</x:v>
      </x:c>
      <x:c r="E9" s="29" t="str">
        <x:v>coded couplers; robotic reels; topology discovery</x:v>
      </x:c>
      <x:c r="F9" s="29" t="str">
        <x:v>connection errors, fault isolation, release time</x:v>
      </x:c>
      <x:c r="G9" s="29" t="str">
        <x:v>two-loop district with seeded faults</x:v>
      </x:c>
      <x:c r="H9" s="29" t="str">
        <x:v>cyber, calibration, manual fallback</x:v>
      </x:c>
      <x:c r="I9" s="29" t="n">
        <x:v>9</x:v>
      </x:c>
      <x:c r="J9" s="29" t="str">
        <x:v>R1</x:v>
      </x:c>
      <x:c r="K9" s="29" t="str">
        <x:v>G12/G13</x:v>
      </x:c>
      <x:c r="L9" s="29" t="str">
        <x:v>safe released service per hour</x:v>
      </x:c>
    </x:row>
    <x:row r="10" ht="75.5999984741211" hidden="0" customHeight="1">
      <x:c r="A10" s="27" t="str">
        <x:v>D1-06</x:v>
      </x:c>
      <x:c r="B10" s="27" t="str">
        <x:v>Inspectable adaptive envelope</x:v>
      </x:c>
      <x:c r="C10" s="27" t="str">
        <x:v>weather/structural proof delays occupancy</x:v>
      </x:c>
      <x:c r="D10" s="27" t="str">
        <x:v>continuous evidence without hidden damage</x:v>
      </x:c>
      <x:c r="E10" s="27" t="str">
        <x:v>embedded strain; leak localization; machine NDE; sacrificial cells</x:v>
      </x:c>
      <x:c r="F10" s="27" t="str">
        <x:v>false-safe rate, localization, repair time</x:v>
      </x:c>
      <x:c r="G10" s="27" t="str">
        <x:v>wind/rain/snow/aftershock load histories</x:v>
      </x:c>
      <x:c r="H10" s="27" t="str">
        <x:v>sensors, data, replacement cells</x:v>
      </x:c>
      <x:c r="I10" s="27" t="n">
        <x:v>11</x:v>
      </x:c>
      <x:c r="J10" s="27" t="str">
        <x:v>R0/R1</x:v>
      </x:c>
      <x:c r="K10" s="27" t="str">
        <x:v>G04/G14</x:v>
      </x:c>
      <x:c r="L10" s="27" t="str">
        <x:v>bounded failure and repair</x:v>
      </x:c>
    </x:row>
    <x:row r="11" ht="75.5999984741211" hidden="0" customHeight="1">
      <x:c r="A11" s="29" t="str">
        <x:v>D1-07</x:v>
      </x:c>
      <x:c r="B11" s="29" t="str">
        <x:v>Prepared receiving lattice</x:v>
      </x:c>
      <x:c r="C11" s="29" t="str">
        <x:v>mobile independence exceeds mobility ceiling</x:v>
      </x:c>
      <x:c r="D11" s="29" t="str">
        <x:v>≤20% imported occupied-area share in priority regions</x:v>
      </x:c>
      <x:c r="E11" s="29" t="str">
        <x:v>embedded anchors; surveyed sites; building interface kits; stored floors</x:v>
      </x:c>
      <x:c r="F11" s="29" t="str">
        <x:v>availability, hazard covariance, activation, maintenance</x:v>
      </x:c>
      <x:c r="G11" s="29" t="str">
        <x:v>blind regional receiver activation</x:v>
      </x:c>
      <x:c r="H11" s="29" t="str">
        <x:v>fixed capital, land rights, upkeep</x:v>
      </x:c>
      <x:c r="I11" s="29" t="n">
        <x:v>6</x:v>
      </x:c>
      <x:c r="J11" s="29" t="str">
        <x:v>R1/R2</x:v>
      </x:c>
      <x:c r="K11" s="29" t="str">
        <x:v>G01/G02</x:v>
      </x:c>
      <x:c r="L11" s="29" t="str">
        <x:v>time-to-released district after hazard</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42" hidden="0" customWidth="1"/>
    <x:col min="3" max="3" width="42" hidden="0" customWidth="1"/>
    <x:col min="4" max="4" width="42" hidden="0" customWidth="1"/>
    <x:col min="5" max="5" width="22" hidden="0" customWidth="1"/>
    <x:col min="6" max="6" width="22" hidden="0" customWidth="1"/>
    <x:col min="7" max="7" width="31" hidden="0" customWidth="1"/>
    <x:col min="8" max="8" width="31" hidden="0" customWidth="1"/>
    <x:col min="9" max="9" width="31" hidden="0" customWidth="1"/>
    <x:col min="10" max="10" width="31" hidden="0" customWidth="1"/>
  </x:cols>
  <x:sheetData>
    <x:row r="1" ht="29" customHeight="1">
      <x:c r="A1" s="72" t="str">
        <x:v>District evidence gates</x:v>
      </x:c>
      <x:c r="B1" s="72"/>
      <x:c r="C1" s="72"/>
      <x:c r="D1" s="72"/>
      <x:c r="E1" s="72"/>
      <x:c r="F1" s="72"/>
      <x:c r="G1" s="72"/>
      <x:c r="H1" s="72"/>
      <x:c r="I1" s="72"/>
      <x:c r="J1" s="72"/>
    </x:row>
    <x:row r="2" ht="27" customHeight="1">
      <x:c r="A2" s="73" t="str">
        <x:v>The district remains R2+ until complete occupied trials close structure, services, labor and release.</x:v>
      </x:c>
      <x:c r="B2" s="73"/>
      <x:c r="C2" s="73"/>
      <x:c r="D2" s="73"/>
      <x:c r="E2" s="73"/>
      <x:c r="F2" s="73"/>
      <x:c r="G2" s="73"/>
      <x:c r="H2" s="73"/>
      <x:c r="I2" s="73"/>
      <x:c r="J2" s="73"/>
    </x:row>
    <x:row r="3">
      <x:c r="A3" s="74"/>
      <x:c r="B3" s="74"/>
      <x:c r="C3" s="74"/>
      <x:c r="D3" s="74"/>
      <x:c r="E3" s="74"/>
      <x:c r="F3" s="74"/>
      <x:c r="G3" s="74"/>
      <x:c r="H3" s="74"/>
      <x:c r="I3" s="74"/>
      <x:c r="J3" s="74"/>
    </x:row>
    <x:row r="4" ht="30" customHeight="1">
      <x:c r="A4" s="75" t="str">
        <x:v>Gate</x:v>
      </x:c>
      <x:c r="B4" s="76" t="str">
        <x:v>Question</x:v>
      </x:c>
      <x:c r="C4" s="76" t="str">
        <x:v>Evidence</x:v>
      </x:c>
      <x:c r="D4" s="76" t="str">
        <x:v>Threshold</x:v>
      </x:c>
      <x:c r="E4" s="76" t="str">
        <x:v>Owner</x:v>
      </x:c>
      <x:c r="F4" s="76" t="str">
        <x:v>State</x:v>
      </x:c>
      <x:c r="G4" s="76" t="str">
        <x:v>Invalidates</x:v>
      </x:c>
      <x:c r="H4" s="76" t="str">
        <x:v>Next test</x:v>
      </x:c>
      <x:c r="I4" s="76" t="str">
        <x:v>Decision</x:v>
      </x:c>
      <x:c r="J4" s="77" t="str">
        <x:v>Render status</x:v>
      </x:c>
    </x:row>
    <x:row r="5" ht="43.20000076293945" hidden="0" customHeight="1">
      <x:c r="A5" s="28" t="str">
        <x:v>G01</x:v>
      </x:c>
      <x:c r="B5" s="28" t="str">
        <x:v>Is a site legally and physically usable?</x:v>
      </x:c>
      <x:c r="C5" s="28" t="str">
        <x:v>rights, hazards, soil, drainage and utilities</x:v>
      </x:c>
      <x:c r="D5" s="28" t="str">
        <x:v>released parcel with alternate</x:v>
      </x:c>
      <x:c r="E5" s="28" t="str">
        <x:v>civil/site authority</x:v>
      </x:c>
      <x:c r="F5" s="28" t="str">
        <x:v>OPEN</x:v>
      </x:c>
      <x:c r="G5" s="28" t="str">
        <x:v>activation time</x:v>
      </x:c>
      <x:c r="H5" s="28" t="str">
        <x:v>blind site selection</x:v>
      </x:c>
      <x:c r="I5" s="28" t="str">
        <x:v>preposition/alternate</x:v>
      </x:c>
      <x:c r="J5" s="28" t="str">
        <x:v>BLOCK</x:v>
      </x:c>
    </x:row>
    <x:row r="6" ht="54" hidden="0" customHeight="1">
      <x:c r="A6" s="27" t="str">
        <x:v>G02</x:v>
      </x:c>
      <x:c r="B6" s="27" t="str">
        <x:v>Are prepared receivers independent enough?</x:v>
      </x:c>
      <x:c r="C6" s="27" t="str">
        <x:v>maintenance and regional covariance</x:v>
      </x:c>
      <x:c r="D6" s="27" t="str">
        <x:v>≥95% required sites usable in reference ensemble</x:v>
      </x:c>
      <x:c r="E6" s="27" t="str">
        <x:v>Campaign Assurance</x:v>
      </x:c>
      <x:c r="F6" s="27" t="str">
        <x:v>OPEN</x:v>
      </x:c>
      <x:c r="G6" s="27" t="str">
        <x:v>receiver strategy</x:v>
      </x:c>
      <x:c r="H6" s="27" t="str">
        <x:v>regional loss simulation</x:v>
      </x:c>
      <x:c r="I6" s="27" t="str">
        <x:v>change fixed/mobile mix</x:v>
      </x:c>
      <x:c r="J6" s="27" t="str">
        <x:v>BLOCK</x:v>
      </x:c>
    </x:row>
    <x:row r="7" ht="43.20000076293945" hidden="0" customHeight="1">
      <x:c r="A7" s="29" t="str">
        <x:v>G03</x:v>
      </x:c>
      <x:c r="B7" s="29" t="str">
        <x:v>Does area serve representative users?</x:v>
      </x:c>
      <x:c r="C7" s="29" t="str">
        <x:v>occupied layouts and circulation</x:v>
      </x:c>
      <x:c r="D7" s="29" t="str">
        <x:v>all reference users accommodated</x:v>
      </x:c>
      <x:c r="E7" s="29" t="str">
        <x:v>accessibility authority</x:v>
      </x:c>
      <x:c r="F7" s="29" t="str">
        <x:v>OPEN</x:v>
      </x:c>
      <x:c r="G7" s="29" t="str">
        <x:v>geometry</x:v>
      </x:c>
      <x:c r="H7" s="29" t="str">
        <x:v>1,000-person layout trial</x:v>
      </x:c>
      <x:c r="I7" s="29" t="str">
        <x:v>resize/rezone</x:v>
      </x:c>
      <x:c r="J7" s="29" t="str">
        <x:v>BLOCK</x:v>
      </x:c>
    </x:row>
    <x:row r="8" ht="54" hidden="0" customHeight="1">
      <x:c r="A8" s="27" t="str">
        <x:v>G04</x:v>
      </x:c>
      <x:c r="B8" s="27" t="str">
        <x:v>Does structure survive load histories?</x:v>
      </x:c>
      <x:c r="C8" s="27" t="str">
        <x:v>wind/rain/snow/seismic/fatigue tests</x:v>
      </x:c>
      <x:c r="D8" s="27" t="str">
        <x:v>no progressive collapse; bounded damage</x:v>
      </x:c>
      <x:c r="E8" s="27" t="str">
        <x:v>structural authority</x:v>
      </x:c>
      <x:c r="F8" s="27" t="str">
        <x:v>OPEN</x:v>
      </x:c>
      <x:c r="G8" s="27" t="str">
        <x:v>mass/BOM</x:v>
      </x:c>
      <x:c r="H8" s="27" t="str">
        <x:v>destructive district trial</x:v>
      </x:c>
      <x:c r="I8" s="27" t="str">
        <x:v>change material/anchors</x:v>
      </x:c>
      <x:c r="J8" s="27" t="str">
        <x:v>BLOCK</x:v>
      </x:c>
    </x:row>
    <x:row r="9" ht="54" hidden="0" customHeight="1">
      <x:c r="A9" s="29" t="str">
        <x:v>G05</x:v>
      </x:c>
      <x:c r="B9" s="29" t="str">
        <x:v>Does floor remain safe and accessible?</x:v>
      </x:c>
      <x:c r="C9" s="29" t="str">
        <x:v>load, slip, moisture, settlement and route trials</x:v>
      </x:c>
      <x:c r="D9" s="29" t="str">
        <x:v>continuous safe routes and accepted deflection</x:v>
      </x:c>
      <x:c r="E9" s="29" t="str">
        <x:v>structural/accessibility</x:v>
      </x:c>
      <x:c r="F9" s="29" t="str">
        <x:v>OPEN</x:v>
      </x:c>
      <x:c r="G9" s="29" t="str">
        <x:v>floor mass</x:v>
      </x:c>
      <x:c r="H9" s="29" t="str">
        <x:v>wet occupied trial</x:v>
      </x:c>
      <x:c r="I9" s="29" t="str">
        <x:v>change floor/site</x:v>
      </x:c>
      <x:c r="J9" s="29" t="str">
        <x:v>BLOCK</x:v>
      </x:c>
    </x:row>
    <x:row r="10" ht="54" hidden="0" customHeight="1">
      <x:c r="A10" s="27" t="str">
        <x:v>G06</x:v>
      </x:c>
      <x:c r="B10" s="27" t="str">
        <x:v>Does thermal/clean air close?</x:v>
      </x:c>
      <x:c r="C10" s="27" t="str">
        <x:v>occupied exposure and source/filter loss</x:v>
      </x:c>
      <x:c r="D10" s="27" t="str">
        <x:v>no threshold exceedance in priority zones</x:v>
      </x:c>
      <x:c r="E10" s="27" t="str">
        <x:v>public health</x:v>
      </x:c>
      <x:c r="F10" s="27" t="str">
        <x:v>OPEN</x:v>
      </x:c>
      <x:c r="G10" s="27" t="str">
        <x:v>envelope/HVAC</x:v>
      </x:c>
      <x:c r="H10" s="27" t="str">
        <x:v>four-climate 72 h trial</x:v>
      </x:c>
      <x:c r="I10" s="27" t="str">
        <x:v>increase mass/power</x:v>
      </x:c>
      <x:c r="J10" s="27" t="str">
        <x:v>BLOCK</x:v>
      </x:c>
    </x:row>
    <x:row r="11" ht="43.20000076293945" hidden="0" customHeight="1">
      <x:c r="A11" s="29" t="str">
        <x:v>G07</x:v>
      </x:c>
      <x:c r="B11" s="29" t="str">
        <x:v>Do materials meet fire/toxicity needs?</x:v>
      </x:c>
      <x:c r="C11" s="29" t="str">
        <x:v>flame, smoke, toxic products and repair</x:v>
      </x:c>
      <x:c r="D11" s="29" t="str">
        <x:v>life-safety criteria met</x:v>
      </x:c>
      <x:c r="E11" s="29" t="str">
        <x:v>fire/materials authority</x:v>
      </x:c>
      <x:c r="F11" s="29" t="str">
        <x:v>OPEN</x:v>
      </x:c>
      <x:c r="G11" s="29" t="str">
        <x:v>membrane pathway</x:v>
      </x:c>
      <x:c r="H11" s="29" t="str">
        <x:v>full-scale bay fire</x:v>
      </x:c>
      <x:c r="I11" s="29" t="str">
        <x:v>change materials/zones</x:v>
      </x:c>
      <x:c r="J11" s="29" t="str">
        <x:v>BLOCK</x:v>
      </x:c>
    </x:row>
    <x:row r="12" ht="64.80000305175781" hidden="0" customHeight="1">
      <x:c r="A12" s="27" t="str">
        <x:v>G08</x:v>
      </x:c>
      <x:c r="B12" s="27" t="str">
        <x:v>Do sleep systems protect people?</x:v>
      </x:c>
      <x:c r="C12" s="27" t="str">
        <x:v>sleep, transfer, pressure injury, infection-control data</x:v>
      </x:c>
      <x:c r="D12" s="27" t="str">
        <x:v>outcome-equivalent across reference users</x:v>
      </x:c>
      <x:c r="E12" s="27" t="str">
        <x:v>public health/accessibility</x:v>
      </x:c>
      <x:c r="F12" s="27" t="str">
        <x:v>OPEN</x:v>
      </x:c>
      <x:c r="G12" s="27" t="str">
        <x:v>cot target</x:v>
      </x:c>
      <x:c r="H12" s="27" t="str">
        <x:v>seven-night representative trial</x:v>
      </x:c>
      <x:c r="I12" s="27" t="str">
        <x:v>increase mass/space</x:v>
      </x:c>
      <x:c r="J12" s="27" t="str">
        <x:v>BLOCK</x:v>
      </x:c>
    </x:row>
    <x:row r="13" ht="43.20000076293945" hidden="0" customHeight="1">
      <x:c r="A13" s="29" t="str">
        <x:v>G09</x:v>
      </x:c>
      <x:c r="B13" s="29" t="str">
        <x:v>Can the site be built at tempo?</x:v>
      </x:c>
      <x:c r="C13" s="29" t="str">
        <x:v>task times, exposure, weather and rework</x:v>
      </x:c>
      <x:c r="D13" s="29" t="str">
        <x:v>≤18 h transform critical path</x:v>
      </x:c>
      <x:c r="E13" s="29" t="str">
        <x:v>RTEA site systems</x:v>
      </x:c>
      <x:c r="F13" s="29" t="str">
        <x:v>OPEN</x:v>
      </x:c>
      <x:c r="G13" s="29" t="str">
        <x:v>release schedule</x:v>
      </x:c>
      <x:c r="H13" s="29" t="str">
        <x:v>multi-soil construction trial</x:v>
      </x:c>
      <x:c r="I13" s="29" t="str">
        <x:v>more crews/preposition</x:v>
      </x:c>
      <x:c r="J13" s="29" t="str">
        <x:v>BLOCK</x:v>
      </x:c>
    </x:row>
    <x:row r="14" ht="43.20000076293945" hidden="0" customHeight="1">
      <x:c r="A14" s="27" t="str">
        <x:v>G10</x:v>
      </x:c>
      <x:c r="B14" s="27" t="str">
        <x:v>Is labor truly reduced?</x:v>
      </x:c>
      <x:c r="C14" s="27" t="str">
        <x:v>all local/remote/repair/software labor</x:v>
      </x:c>
      <x:c r="D14" s="27" t="str">
        <x:v>≤400 labor-h/district at safety floors</x:v>
      </x:c>
      <x:c r="E14" s="27" t="str">
        <x:v>RTEA human systems</x:v>
      </x:c>
      <x:c r="F14" s="27" t="str">
        <x:v>OPEN</x:v>
      </x:c>
      <x:c r="G14" s="27" t="str">
        <x:v>workforce</x:v>
      </x:c>
      <x:c r="H14" s="27" t="str">
        <x:v>two-shift build/operate trial</x:v>
      </x:c>
      <x:c r="I14" s="27" t="str">
        <x:v>raise force size</x:v>
      </x:c>
      <x:c r="J14" s="27" t="str">
        <x:v>BLOCK</x:v>
      </x:c>
    </x:row>
    <x:row r="15" ht="54" hidden="0" customHeight="1">
      <x:c r="A15" s="29" t="str">
        <x:v>G11</x:v>
      </x:c>
      <x:c r="B15" s="29" t="str">
        <x:v>Does package fit movement modes?</x:v>
      </x:c>
      <x:c r="C15" s="29" t="str">
        <x:v>weighed volume, dimensions, restraint and damage</x:v>
      </x:c>
      <x:c r="D15" s="29" t="str">
        <x:v>complete mode load plan with margin</x:v>
      </x:c>
      <x:c r="E15" s="29" t="str">
        <x:v>Distribution authority</x:v>
      </x:c>
      <x:c r="F15" s="29" t="str">
        <x:v>OPEN</x:v>
      </x:c>
      <x:c r="G15" s="29" t="str">
        <x:v>pod/cell timing</x:v>
      </x:c>
      <x:c r="H15" s="29" t="str">
        <x:v>load-unload-erect trial</x:v>
      </x:c>
      <x:c r="I15" s="29" t="str">
        <x:v>larger/faster transport</x:v>
      </x:c>
      <x:c r="J15" s="29" t="str">
        <x:v>BLOCK</x:v>
      </x:c>
    </x:row>
    <x:row r="16" ht="54" hidden="0" customHeight="1">
      <x:c r="A16" s="27" t="str">
        <x:v>G12</x:v>
      </x:c>
      <x:c r="B16" s="27" t="str">
        <x:v>Do utility interfaces isolate faults?</x:v>
      </x:c>
      <x:c r="C16" s="27" t="str">
        <x:v>black start, leaks, protection and manual mode</x:v>
      </x:c>
      <x:c r="D16" s="27" t="str">
        <x:v>one loop lost without cascade</x:v>
      </x:c>
      <x:c r="E16" s="27" t="str">
        <x:v>technical authorities</x:v>
      </x:c>
      <x:c r="F16" s="27" t="str">
        <x:v>OPEN</x:v>
      </x:c>
      <x:c r="G16" s="27" t="str">
        <x:v>service spine</x:v>
      </x:c>
      <x:c r="H16" s="27" t="str">
        <x:v>seeded multi-fault trial</x:v>
      </x:c>
      <x:c r="I16" s="27" t="str">
        <x:v>change topology</x:v>
      </x:c>
      <x:c r="J16" s="27" t="str">
        <x:v>BLOCK</x:v>
      </x:c>
    </x:row>
    <x:row r="17" ht="54" hidden="0" customHeight="1">
      <x:c r="A17" s="29" t="str">
        <x:v>G13</x:v>
      </x:c>
      <x:c r="B17" s="29" t="str">
        <x:v>Can commissioning produce lawful service?</x:v>
      </x:c>
      <x:c r="C17" s="29" t="str">
        <x:v>configuration, inspection and authority clock</x:v>
      </x:c>
      <x:c r="D17" s="29" t="str">
        <x:v>≤2 h after physical completion</x:v>
      </x:c>
      <x:c r="E17" s="29" t="str">
        <x:v>technical + civil</x:v>
      </x:c>
      <x:c r="F17" s="29" t="str">
        <x:v>OPEN</x:v>
      </x:c>
      <x:c r="G17" s="29" t="str">
        <x:v>effect credit</x:v>
      </x:c>
      <x:c r="H17" s="29" t="str">
        <x:v>blind release exercise</x:v>
      </x:c>
      <x:c r="I17" s="29" t="str">
        <x:v>change evidence/authority</x:v>
      </x:c>
      <x:c r="J17" s="29" t="str">
        <x:v>BLOCK</x:v>
      </x:c>
    </x:row>
    <x:row r="18" ht="64.80000305175781" hidden="0" customHeight="1">
      <x:c r="A18" s="27" t="str">
        <x:v>G14</x:v>
      </x:c>
      <x:c r="B18" s="27" t="str">
        <x:v>Can the district be repaired and removed?</x:v>
      </x:c>
      <x:c r="C18" s="27" t="str">
        <x:v>damage, spares, recovery, waste and site restoration</x:v>
      </x:c>
      <x:c r="D18" s="27" t="str">
        <x:v>bounded lifecycle and no abandoned liability</x:v>
      </x:c>
      <x:c r="E18" s="27" t="str">
        <x:v>environmental/civil</x:v>
      </x:c>
      <x:c r="F18" s="27" t="str">
        <x:v>OPEN</x:v>
      </x:c>
      <x:c r="G18" s="27" t="str">
        <x:v>lifecycle mass</x:v>
      </x:c>
      <x:c r="H18" s="27" t="str">
        <x:v>build-damage-repair-strike trial</x:v>
      </x:c>
      <x:c r="I18" s="27" t="str">
        <x:v>change materials/logistics</x:v>
      </x:c>
      <x:c r="J18" s="27" t="str">
        <x:v>BLOCK</x:v>
      </x:c>
    </x:row>
    <x:row r="19" ht="54" hidden="0" customHeight="1">
      <x:c r="A19" s="29" t="str">
        <x:v>G15</x:v>
      </x:c>
      <x:c r="B19" s="29" t="str">
        <x:v>Does PCC-50 scale without common modes?</x:v>
      </x:c>
      <x:c r="C19" s="29" t="str">
        <x:v>fifty-district controllers, suppliers, crews and utility islands</x:v>
      </x:c>
      <x:c r="D19" s="29" t="str">
        <x:v>no district failure removes &gt;10% effect</x:v>
      </x:c>
      <x:c r="E19" s="29" t="str">
        <x:v>Campaign Assurance</x:v>
      </x:c>
      <x:c r="F19" s="29" t="str">
        <x:v>OPEN</x:v>
      </x:c>
      <x:c r="G19" s="29" t="str">
        <x:v>multiplication</x:v>
      </x:c>
      <x:c r="H19" s="29" t="str">
        <x:v>full-campus fault campaign</x:v>
      </x:c>
      <x:c r="I19" s="29" t="str">
        <x:v>diversify architecture</x:v>
      </x:c>
      <x:c r="J19" s="29" t="str">
        <x:v>BLOCK</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34" hidden="0" customWidth="1"/>
    <x:col min="3" max="3" width="28" hidden="0" customWidth="1"/>
    <x:col min="4" max="4" width="65" hidden="0" customWidth="1"/>
    <x:col min="5" max="5" width="62" hidden="0" customWidth="1"/>
    <x:col min="6" max="6" width="18" hidden="0" customWidth="1"/>
    <x:col min="7" max="7" width="18" hidden="0" customWidth="1"/>
    <x:col min="8" max="8" width="48" hidden="0" customWidth="1"/>
  </x:cols>
  <x:sheetData>
    <x:row r="1" ht="29" customHeight="1">
      <x:c r="A1" s="72" t="str">
        <x:v>Sources and assumption boundaries</x:v>
      </x:c>
      <x:c r="B1" s="72"/>
      <x:c r="C1" s="72"/>
      <x:c r="D1" s="72"/>
      <x:c r="E1" s="72"/>
      <x:c r="F1" s="72"/>
      <x:c r="G1" s="72"/>
      <x:c r="H1" s="72"/>
    </x:row>
    <x:row r="2" ht="27" customHeight="1">
      <x:c r="A2" s="73" t="str">
        <x:v>Official analogues anchor area, furnishings, site, utilities and structural test cases. Future-system values remain hypotheses.</x:v>
      </x:c>
      <x:c r="B2" s="73"/>
      <x:c r="C2" s="73"/>
      <x:c r="D2" s="73"/>
      <x:c r="E2" s="73"/>
      <x:c r="F2" s="73"/>
      <x:c r="G2" s="73"/>
      <x:c r="H2" s="73"/>
    </x:row>
    <x:row r="3">
      <x:c r="A3" s="74"/>
      <x:c r="B3" s="74"/>
      <x:c r="C3" s="74"/>
      <x:c r="D3" s="74"/>
      <x:c r="E3" s="74"/>
      <x:c r="F3" s="74"/>
      <x:c r="G3" s="74"/>
      <x:c r="H3" s="74"/>
    </x:row>
    <x:row r="4" ht="30" customHeight="1">
      <x:c r="A4" s="75" t="str">
        <x:v>Key</x:v>
      </x:c>
      <x:c r="B4" s="76" t="str">
        <x:v>Source</x:v>
      </x:c>
      <x:c r="C4" s="76" t="str">
        <x:v>Use</x:v>
      </x:c>
      <x:c r="D4" s="76" t="str">
        <x:v>Observed anchor</x:v>
      </x:c>
      <x:c r="E4" s="76" t="str">
        <x:v>URL</x:v>
      </x:c>
      <x:c r="F4" s="76" t="str">
        <x:v>Accessed</x:v>
      </x:c>
      <x:c r="G4" s="76" t="str">
        <x:v>Class</x:v>
      </x:c>
      <x:c r="H4" s="77" t="str">
        <x:v>Limit</x:v>
      </x:c>
    </x:row>
    <x:row r="5" ht="108" hidden="0" customHeight="1">
      <x:c r="A5" s="28" t="str">
        <x:v>FEMA-SHELTER</x:v>
      </x:c>
      <x:c r="B5" s="28" t="str">
        <x:v>FEMA Short-Term Shelter resource definition</x:v>
      </x:c>
      <x:c r="C5" s="28" t="str">
        <x:v>area/accessibility/support</x:v>
      </x:c>
      <x:c r="D5" s="28" t="str">
        <x:v>40–60 ft² average dormitory; up to 100 ft² for some access needs; support/sanitation additional</x:v>
      </x:c>
      <x:c r="E5" s="28" t="str">
        <x:v>https://rtlt.preptoolkit.fema.gov/Public/Resource/ViewFile/9-508-1197?a=False&amp;p=2&amp;q=mass+care&amp;s=FemaId&amp;type=Pdf</x:v>
      </x:c>
      <x:c r="F5" s="28" t="str">
        <x:v>2026-09-05</x:v>
      </x:c>
      <x:c r="G5" s="28" t="str">
        <x:v>official analogue</x:v>
      </x:c>
      <x:c r="H5" s="28" t="str">
        <x:v>existing-facility model; no deployable mass</x:v>
      </x:c>
    </x:row>
    <x:row r="6" ht="97.19999694824219" hidden="0" customHeight="1">
      <x:c r="A6" s="27" t="str">
        <x:v>FEMA-CUSI</x:v>
      </x:c>
      <x:c r="B6" s="27" t="str">
        <x:v>FEMA Commonly Used Sheltering Items Catalog</x:v>
      </x:c>
      <x:c r="C6" s="27" t="str">
        <x:v>cot quantity and weight anchor</x:v>
      </x:c>
      <x:c r="D6" s="27" t="str">
        <x:v>100 enhanced survivor cots per 100 people; 40 lb maximum each</x:v>
      </x:c>
      <x:c r="E6" s="27" t="str">
        <x:v>https://www.fema.gov/sites/default/files/documents/fema_commonly-used-sheltering-items-catalog.pdf</x:v>
      </x:c>
      <x:c r="F6" s="27" t="str">
        <x:v>2026-09-05</x:v>
      </x:c>
      <x:c r="G6" s="27" t="str">
        <x:v>official current item</x:v>
      </x:c>
      <x:c r="H6" s="27" t="str">
        <x:v>maximum weight; no complete system</x:v>
      </x:c>
    </x:row>
    <x:row r="7" ht="86.4000015258789" hidden="0" customHeight="1">
      <x:c r="A7" s="29" t="str">
        <x:v>OSHA-CAMP</x:v>
      </x:c>
      <x:c r="B7" s="29" t="str">
        <x:v>OSHA 29 CFR 1910.142 Temporary Labor Camps</x:v>
      </x:c>
      <x:c r="C7" s="29" t="str">
        <x:v>site/drainage/floor/water/sanitation lower-bound analogue</x:v>
      </x:c>
      <x:c r="D7" s="29" t="str">
        <x:v>drained site; 50 ft² sleeping; floors; water distribution; fixture and refuse requirements</x:v>
      </x:c>
      <x:c r="E7" s="29" t="str">
        <x:v>https://www.osha.gov/laws-regs/regulations/standardnumber/1910/1910.142</x:v>
      </x:c>
      <x:c r="F7" s="29" t="str">
        <x:v>2026-09-05</x:v>
      </x:c>
      <x:c r="G7" s="29" t="str">
        <x:v>official regulatory analogue</x:v>
      </x:c>
      <x:c r="H7" s="29" t="str">
        <x:v>worker camp, not disaster shelter code</x:v>
      </x:c>
    </x:row>
    <x:row r="8" ht="86.4000015258789" hidden="0" customHeight="1">
      <x:c r="A8" s="27" t="str">
        <x:v>UFC-NP22</x:v>
      </x:c>
      <x:c r="B8" s="27" t="str">
        <x:v>UFC 1-201-01 Non-Permanent DoD Facilities</x:v>
      </x:c>
      <x:c r="C8" s="27" t="str">
        <x:v>structural test-case anchor</x:v>
      </x:c>
      <x:c r="D8" s="27" t="str">
        <x:v>100 psf first-floor, 20 psf roof, 50 psf snow and 110 mph unrestricted wind analogues</x:v>
      </x:c>
      <x:c r="E8" s="27" t="str">
        <x:v>https://www.wbdg.org/FFC/DOD/UFC/ufc_1_201_01_2022_c4.pdf</x:v>
      </x:c>
      <x:c r="F8" s="27" t="str">
        <x:v>2026-09-05</x:v>
      </x:c>
      <x:c r="G8" s="27" t="str">
        <x:v>official technical analogue</x:v>
      </x:c>
      <x:c r="H8" s="27" t="str">
        <x:v>not adopted as PCC code; site-specific design controls</x:v>
      </x:c>
    </x:row>
    <x:row r="9" ht="118.80000305175781" hidden="0" customHeight="1">
      <x:c r="A9" s="29" t="str">
        <x:v>ARMY-FP</x:v>
      </x:c>
      <x:c r="B9" s="29" t="str">
        <x:v>Army Force Provider airbeam account</x:v>
      </x:c>
      <x:c r="C9" s="29" t="str">
        <x:v>setup-time lower-bound analogue</x:v>
      </x:c>
      <x:c r="D9" s="29" t="str">
        <x:v>150-person camp reported operational in under four hours with eight people; airbeam shelter inflation in minutes</x:v>
      </x:c>
      <x:c r="E9" s="29" t="str">
        <x:v>https://www.army.mil/article-amp/66467/providing_shelter_for_soldiers</x:v>
      </x:c>
      <x:c r="F9" s="29" t="str">
        <x:v>2026-09-05</x:v>
      </x:c>
      <x:c r="G9" s="29" t="str">
        <x:v>official current analogue</x:v>
      </x:c>
      <x:c r="H9" s="29" t="str">
        <x:v>military system and narrative claim; not 1,000-person public proof</x:v>
      </x:c>
    </x:row>
    <x:row r="10" ht="86.4000015258789" hidden="0" customHeight="1">
      <x:c r="A10" s="27" t="str">
        <x:v>PASS29</x:v>
      </x:c>
      <x:c r="B10" s="27" t="str">
        <x:v>PCC-50 model</x:v>
      </x:c>
      <x:c r="C10" s="27" t="str">
        <x:v>pod mass and service lineage</x:v>
      </x:c>
      <x:c r="D10" s="27" t="str">
        <x:v>15,152.86-t configured pod; 11,818.20-t technology target; 12,048.75-t air ceiling</x:v>
      </x:c>
      <x:c r="E10" s="27" t="str">
        <x:v>../../models/population-continuity-complex-model.xlsx</x:v>
      </x:c>
      <x:c r="F10" s="27" t="str">
        <x:v>2026-09-05</x:v>
      </x:c>
      <x:c r="G10" s="27" t="str">
        <x:v>internal R2+ model</x:v>
      </x:c>
      <x:c r="H10" s="27" t="str">
        <x:v>allowance-level district shelter</x:v>
      </x:c>
    </x:row>
    <x:row r="11" ht="108" hidden="0" customHeight="1">
      <x:c r="A11" s="29" t="str">
        <x:v>ASSUMPTIONS</x:v>
      </x:c>
      <x:c r="B11" s="29" t="str">
        <x:v>Controls, BOM, activities and load cases in this workbook</x:v>
      </x:c>
      <x:c r="C11" s="29" t="str">
        <x:v>future-system design screens</x:v>
      </x:c>
      <x:c r="D11" s="29" t="str">
        <x:v>mass intensities, densities, surface factor, tasks, durations, labor, overlap and interface positions</x:v>
      </x:c>
      <x:c r="E11" s="29" t="str">
        <x:v>Controls; Component BOM; Install Activities; Design Loads</x:v>
      </x:c>
      <x:c r="F11" s="29" t="str">
        <x:v>2026-09-05</x:v>
      </x:c>
      <x:c r="G11" s="29" t="str">
        <x:v>declared hypothesis</x:v>
      </x:c>
      <x:c r="H11" s="29" t="str">
        <x:v>must be replaced by weighed prototypes and trials</x:v>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1" hidden="0" customWidth="1"/>
    <x:col min="2" max="2" width="20" hidden="0" customWidth="1"/>
    <x:col min="3" max="3" width="20" hidden="0" customWidth="1"/>
    <x:col min="4" max="4" width="16" hidden="0" customWidth="1"/>
    <x:col min="5" max="5" width="16" hidden="0" customWidth="1"/>
    <x:col min="6" max="6" width="45" hidden="0" customWidth="1"/>
  </x:cols>
  <x:sheetData>
    <x:row r="1" ht="29" customHeight="1">
      <x:c r="A1" s="72" t="str">
        <x:v>Integrity checks</x:v>
      </x:c>
      <x:c r="B1" s="72"/>
      <x:c r="C1" s="72"/>
      <x:c r="D1" s="72"/>
      <x:c r="E1" s="72"/>
      <x:c r="F1" s="72"/>
    </x:row>
    <x:row r="2" ht="27" customHeight="1">
      <x:c r="A2" s="73" t="str">
        <x:v>Checks verify the declared arithmetic. They do not close the fifteen evidence gates.</x:v>
      </x:c>
      <x:c r="B2" s="73"/>
      <x:c r="C2" s="73"/>
      <x:c r="D2" s="73"/>
      <x:c r="E2" s="73"/>
      <x:c r="F2" s="73"/>
    </x:row>
    <x:row r="3">
      <x:c r="A3" s="74"/>
      <x:c r="B3" s="74"/>
      <x:c r="C3" s="74"/>
      <x:c r="D3" s="74"/>
      <x:c r="E3" s="74"/>
      <x:c r="F3" s="74"/>
    </x:row>
    <x:row r="4" ht="30" customHeight="1">
      <x:c r="A4" s="75" t="str">
        <x:v>Check</x:v>
      </x:c>
      <x:c r="B4" s="76" t="str">
        <x:v>Calculated</x:v>
      </x:c>
      <x:c r="C4" s="76" t="str">
        <x:v>Expected/rule</x:v>
      </x:c>
      <x:c r="D4" s="76" t="str">
        <x:v>Result</x:v>
      </x:c>
      <x:c r="E4" s="76" t="str">
        <x:v>Scope</x:v>
      </x:c>
      <x:c r="F4" s="77" t="str">
        <x:v>Meaning</x:v>
      </x:c>
    </x:row>
    <x:row r="5" ht="32.400001525878906" hidden="0" customHeight="1">
      <x:c r="A5" s="28" t="str">
        <x:v>Sheet count</x:v>
      </x:c>
      <x:c r="B5" s="64" t="n">
        <x:v>26</x:v>
      </x:c>
      <x:c r="C5" s="64" t="n">
        <x:v>26</x:v>
      </x:c>
      <x:c r="D5" s="28" t="str">
        <x:f>IF(ABS(B5-C5)&lt;0.05,"PASS","FAIL")</x:f>
        <x:v>PASS</x:v>
      </x:c>
      <x:c r="E5" s="28" t="str">
        <x:v>structure</x:v>
      </x:c>
      <x:c r="F5" s="28" t="str">
        <x:v>all model layers present</x:v>
      </x:c>
    </x:row>
    <x:row r="6" ht="32.400001525878906" hidden="0" customHeight="1">
      <x:c r="A6" s="27" t="str">
        <x:v>Area shares</x:v>
      </x:c>
      <x:c r="B6" s="65" t="n">
        <x:f>'Zone Program'!B16</x:f>
        <x:v>1</x:v>
      </x:c>
      <x:c r="C6" s="65" t="n">
        <x:v>1</x:v>
      </x:c>
      <x:c r="D6" s="27" t="str">
        <x:f>IF(ABS(B6-C6)&lt;0.05,"PASS","FAIL")</x:f>
        <x:v>PASS</x:v>
      </x:c>
      <x:c r="E6" s="27" t="str">
        <x:v>geometry</x:v>
      </x:c>
      <x:c r="F6" s="27" t="str">
        <x:v>zone program reconciles</x:v>
      </x:c>
    </x:row>
    <x:row r="7" ht="21.600000381469727" hidden="0" customHeight="1">
      <x:c r="A7" s="29" t="str">
        <x:v>District area</x:v>
      </x:c>
      <x:c r="B7" s="66" t="n">
        <x:f>'District Geometry'!C10</x:f>
        <x:v>7525.143</x:v>
      </x:c>
      <x:c r="C7" s="66" t="n">
        <x:v>7525.143</x:v>
      </x:c>
      <x:c r="D7" s="29" t="str">
        <x:f>IF(ABS(B7-C7)&lt;0.05,"PASS","FAIL")</x:f>
        <x:v>PASS</x:v>
      </x:c>
      <x:c r="E7" s="29" t="str">
        <x:v>geometry</x:v>
      </x:c>
      <x:c r="F7" s="29" t="str">
        <x:v>matches Pass 29 / 50</x:v>
      </x:c>
    </x:row>
    <x:row r="8" ht="32.400001525878906" hidden="0" customHeight="1">
      <x:c r="A8" s="27" t="str">
        <x:v>BOM lines</x:v>
      </x:c>
      <x:c r="B8" s="65" t="n">
        <x:f>COUNTA('Component BOM'!A5:A30)</x:f>
        <x:v>26</x:v>
      </x:c>
      <x:c r="C8" s="65" t="n">
        <x:v>26</x:v>
      </x:c>
      <x:c r="D8" s="27" t="str">
        <x:f>IF(ABS(B8-C8)&lt;0.05,"PASS","FAIL")</x:f>
        <x:v>PASS</x:v>
      </x:c>
      <x:c r="E8" s="27" t="str">
        <x:v>configuration</x:v>
      </x:c>
      <x:c r="F8" s="27" t="str">
        <x:v>all declared components present</x:v>
      </x:c>
    </x:row>
    <x:row r="9" ht="21.600000381469727" hidden="0" customHeight="1">
      <x:c r="A9" s="29" t="str">
        <x:v>Current district mass</x:v>
      </x:c>
      <x:c r="B9" s="66" t="n">
        <x:f>'Mass Summary'!B22</x:f>
        <x:v>261.10886128000004</x:v>
      </x:c>
      <x:c r="C9" s="66" t="n">
        <x:v>261.1089</x:v>
      </x:c>
      <x:c r="D9" s="29" t="str">
        <x:f>IF(ABS(B9-C9)&lt;0.05,"PASS","FAIL")</x:f>
        <x:v>PASS</x:v>
      </x:c>
      <x:c r="E9" s="29" t="str">
        <x:v>mass</x:v>
      </x:c>
      <x:c r="F9" s="29" t="str">
        <x:v>independent cross-check</x:v>
      </x:c>
    </x:row>
    <x:row r="10" ht="21.600000381469727" hidden="0" customHeight="1">
      <x:c r="A10" s="27" t="str">
        <x:v>Advanced district mass</x:v>
      </x:c>
      <x:c r="B10" s="65" t="n">
        <x:f>'Mass Summary'!C22</x:f>
        <x:v>156.76677007499998</x:v>
      </x:c>
      <x:c r="C10" s="65" t="n">
        <x:v>156.7668</x:v>
      </x:c>
      <x:c r="D10" s="27" t="str">
        <x:f>IF(ABS(B10-C10)&lt;0.05,"PASS","FAIL")</x:f>
        <x:v>PASS</x:v>
      </x:c>
      <x:c r="E10" s="27" t="str">
        <x:v>mass</x:v>
      </x:c>
      <x:c r="F10" s="27" t="str">
        <x:v>independent cross-check</x:v>
      </x:c>
    </x:row>
    <x:row r="11" ht="21.600000381469727" hidden="0" customHeight="1">
      <x:c r="A11" s="29" t="str">
        <x:v>Transform district mass</x:v>
      </x:c>
      <x:c r="B11" s="66" t="n">
        <x:f>'Mass Summary'!D22</x:f>
        <x:v>78.707674864</x:v>
      </x:c>
      <x:c r="C11" s="66" t="n">
        <x:v>78.7077</x:v>
      </x:c>
      <x:c r="D11" s="29" t="str">
        <x:f>IF(ABS(B11-C11)&lt;0.05,"PASS","FAIL")</x:f>
        <x:v>PASS</x:v>
      </x:c>
      <x:c r="E11" s="29" t="str">
        <x:v>mass</x:v>
      </x:c>
      <x:c r="F11" s="29" t="str">
        <x:v>independent cross-check</x:v>
      </x:c>
    </x:row>
    <x:row r="12" ht="21.600000381469727" hidden="0" customHeight="1">
      <x:c r="A12" s="27" t="str">
        <x:v>Current critical path</x:v>
      </x:c>
      <x:c r="B12" s="65" t="n">
        <x:f>'Install Network'!D19</x:f>
        <x:v>66</x:v>
      </x:c>
      <x:c r="C12" s="65" t="n">
        <x:v>66</x:v>
      </x:c>
      <x:c r="D12" s="27" t="str">
        <x:f>IF(ABS(B12-C12)&lt;0.05,"PASS","FAIL")</x:f>
        <x:v>PASS</x:v>
      </x:c>
      <x:c r="E12" s="27" t="str">
        <x:v>schedule</x:v>
      </x:c>
      <x:c r="F12" s="27" t="str">
        <x:v>predecessor network</x:v>
      </x:c>
    </x:row>
    <x:row r="13" ht="21.600000381469727" hidden="0" customHeight="1">
      <x:c r="A13" s="29" t="str">
        <x:v>Advanced critical path</x:v>
      </x:c>
      <x:c r="B13" s="66" t="n">
        <x:f>'Install Network'!F19</x:f>
        <x:v>42</x:v>
      </x:c>
      <x:c r="C13" s="66" t="n">
        <x:v>42</x:v>
      </x:c>
      <x:c r="D13" s="29" t="str">
        <x:f>IF(ABS(B13-C13)&lt;0.05,"PASS","FAIL")</x:f>
        <x:v>PASS</x:v>
      </x:c>
      <x:c r="E13" s="29" t="str">
        <x:v>schedule</x:v>
      </x:c>
      <x:c r="F13" s="29" t="str">
        <x:v>predecessor network</x:v>
      </x:c>
    </x:row>
    <x:row r="14" ht="21.600000381469727" hidden="0" customHeight="1">
      <x:c r="A14" s="27" t="str">
        <x:v>Transform critical path</x:v>
      </x:c>
      <x:c r="B14" s="65" t="n">
        <x:f>'Install Network'!H19</x:f>
        <x:v>27</x:v>
      </x:c>
      <x:c r="C14" s="65" t="n">
        <x:v>27</x:v>
      </x:c>
      <x:c r="D14" s="27" t="str">
        <x:f>IF(ABS(B14-C14)&lt;0.05,"PASS","FAIL")</x:f>
        <x:v>PASS</x:v>
      </x:c>
      <x:c r="E14" s="27" t="str">
        <x:v>schedule</x:v>
      </x:c>
      <x:c r="F14" s="27" t="str">
        <x:v>predecessor network</x:v>
      </x:c>
    </x:row>
    <x:row r="15" ht="43.20000076293945" hidden="0" customHeight="1">
      <x:c r="A15" s="29" t="str">
        <x:v>Transform exceeds air district budget</x:v>
      </x:c>
      <x:c r="B15" s="66" t="n">
        <x:f>'Mass Summary'!D22</x:f>
        <x:v>78.707674864</x:v>
      </x:c>
      <x:c r="C15" s="66" t="n">
        <x:v>30.6612</x:v>
      </x:c>
      <x:c r="D15" s="29" t="str">
        <x:f>IF(B15&gt;C15,"PASS","FAIL")</x:f>
        <x:v>PASS</x:v>
      </x:c>
      <x:c r="E15" s="29" t="str">
        <x:v>mission</x:v>
      </x:c>
      <x:c r="F15" s="29" t="str">
        <x:v>must remain adverse</x:v>
      </x:c>
    </x:row>
    <x:row r="16" ht="43.20000076293945" hidden="0" customHeight="1">
      <x:c r="A16" s="27" t="str">
        <x:v>Prepared receiver pod below air ceiling</x:v>
      </x:c>
      <x:c r="B16" s="65" t="n">
        <x:f>'Pod Propagation'!G8</x:f>
        <x:v>745.9832513600013</x:v>
      </x:c>
      <x:c r="C16" s="65" t="n">
        <x:v>0</x:v>
      </x:c>
      <x:c r="D16" s="27" t="str">
        <x:f>IF(B16&gt;C16,"PASS","FAIL")</x:f>
        <x:v>PASS</x:v>
      </x:c>
      <x:c r="E16" s="27" t="str">
        <x:v>mission</x:v>
      </x:c>
      <x:c r="F16" s="27" t="str">
        <x:v>air margin must be positive</x:v>
      </x:c>
    </x:row>
    <x:row r="17" ht="21.600000381469727" hidden="0" customHeight="1">
      <x:c r="A17" s="29" t="str">
        <x:v>All evidence gates open</x:v>
      </x:c>
      <x:c r="B17" s="66" t="n">
        <x:f>COUNTIF('Evidence Gates'!F5:F19,"OPEN")</x:f>
        <x:v>15</x:v>
      </x:c>
      <x:c r="C17" s="66" t="n">
        <x:v>15</x:v>
      </x:c>
      <x:c r="D17" s="29" t="str">
        <x:f>IF(ABS(B17-C17)&lt;0.05,"PASS","FAIL")</x:f>
        <x:v>PASS</x:v>
      </x:c>
      <x:c r="E17" s="29" t="str">
        <x:v>evidence</x:v>
      </x:c>
      <x:c r="F17" s="29" t="str">
        <x:v>no premature maturity</x:v>
      </x:c>
    </x:row>
    <x:row r="18" ht="21.600000381469727" hidden="0" customHeight="1">
      <x:c r="A18" s="27" t="str">
        <x:v>Rendering prohibited</x:v>
      </x:c>
      <x:c r="B18" s="65" t="n">
        <x:f>'Controls'!B38</x:f>
        <x:v>0</x:v>
      </x:c>
      <x:c r="C18" s="65" t="n">
        <x:v>0</x:v>
      </x:c>
      <x:c r="D18" s="27" t="str">
        <x:f>IF(ABS(B18-C18)&lt;0.05,"PASS","FAIL")</x:f>
        <x:v>PASS</x:v>
      </x:c>
      <x:c r="E18" s="27" t="str">
        <x:v>governance</x:v>
      </x:c>
      <x:c r="F18" s="27" t="str">
        <x:v>authorization remains zero</x:v>
      </x:c>
    </x:row>
    <x:row r="19">
      <x:c r="A19" s="74"/>
      <x:c r="B19" s="74"/>
      <x:c r="C19" s="74"/>
      <x:c r="D19" s="74"/>
      <x:c r="E19" s="74"/>
      <x:c r="F19" s="74"/>
    </x:row>
    <x:row r="20" ht="32" customHeight="1">
      <x:c r="A20" s="81" t="str">
        <x:v>A passing arithmetic check does not authorize procurement, occupancy or rendering. Every operational gate remains open.</x:v>
      </x:c>
      <x:c r="B20" s="81"/>
      <x:c r="C20" s="81"/>
      <x:c r="D20" s="81"/>
      <x:c r="E20" s="81"/>
      <x:c r="F20" s="81"/>
    </x:row>
  </x:sheetData>
  <x:pageMargins left="0.7" right="0.7" top="0.75" bottom="0.75" header="0.3" footer="0.3"/>
</x:worksheet>
</file>