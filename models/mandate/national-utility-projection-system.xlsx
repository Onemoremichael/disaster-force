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a24e03a97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7abf92a3e184fbe"/>
    <x:sheet xmlns:r="http://schemas.openxmlformats.org/officeDocument/2006/relationships" name="Controls" sheetId="2" r:id="R7a7b91152e5d4fa4"/>
    <x:sheet xmlns:r="http://schemas.openxmlformats.org/officeDocument/2006/relationships" name="Network Classes" sheetId="3" r:id="Rabc429970ecb4527"/>
    <x:sheet xmlns:r="http://schemas.openxmlformats.org/officeDocument/2006/relationships" name="Candidate Zones" sheetId="4" r:id="R51844beef6424213"/>
    <x:sheet xmlns:r="http://schemas.openxmlformats.org/officeDocument/2006/relationships" name="Coverage" sheetId="5" r:id="Re1ffdaee4cd94074"/>
    <x:sheet xmlns:r="http://schemas.openxmlformats.org/officeDocument/2006/relationships" name="Anchor Complex" sheetId="6" r:id="R7b979830f0da4e3d"/>
    <x:sheet xmlns:r="http://schemas.openxmlformats.org/officeDocument/2006/relationships" name="Concurrency" sheetId="7" r:id="R594c6b7669f94d87"/>
    <x:sheet xmlns:r="http://schemas.openxmlformats.org/officeDocument/2006/relationships" name="Fleet Demand" sheetId="8" r:id="R6da1b062943549cc"/>
    <x:sheet xmlns:r="http://schemas.openxmlformats.org/officeDocument/2006/relationships" name="Fleet Reliability" sheetId="9" r:id="Rc82e67f89e094a5a"/>
    <x:sheet xmlns:r="http://schemas.openxmlformats.org/officeDocument/2006/relationships" name="Basin Allocation" sheetId="10" r:id="Rfbc9a40812994cab"/>
    <x:sheet xmlns:r="http://schemas.openxmlformats.org/officeDocument/2006/relationships" name="Movement Doctrine" sheetId="11" r:id="Rd39c9c1ad1a74be9"/>
    <x:sheet xmlns:r="http://schemas.openxmlformats.org/officeDocument/2006/relationships" name="Source Diversity" sheetId="12" r:id="R5796e5f96e054bec"/>
    <x:sheet xmlns:r="http://schemas.openxmlformats.org/officeDocument/2006/relationships" name="Workforce" sheetId="13" r:id="R9ccedb1e9c414cdf"/>
    <x:sheet xmlns:r="http://schemas.openxmlformats.org/officeDocument/2006/relationships" name="Capital Program" sheetId="14" r:id="R2e963ac7674348fd"/>
    <x:sheet xmlns:r="http://schemas.openxmlformats.org/officeDocument/2006/relationships" name="Annual Capital" sheetId="15" r:id="R313d866a2a344216"/>
    <x:sheet xmlns:r="http://schemas.openxmlformats.org/officeDocument/2006/relationships" name="Operating Cost" sheetId="16" r:id="R8ff24d9cf7554468"/>
    <x:sheet xmlns:r="http://schemas.openxmlformats.org/officeDocument/2006/relationships" name="Industrial Base" sheetId="17" r:id="Rcebec3394f87424c"/>
    <x:sheet xmlns:r="http://schemas.openxmlformats.org/officeDocument/2006/relationships" name="Command Structure" sheetId="18" r:id="Rb49ab0df8c404100"/>
    <x:sheet xmlns:r="http://schemas.openxmlformats.org/officeDocument/2006/relationships" name="Decision Rights" sheetId="19" r:id="Rb089a602471b4af0"/>
    <x:sheet xmlns:r="http://schemas.openxmlformats.org/officeDocument/2006/relationships" name="Failure Modes" sheetId="20" r:id="Re7479e0ffb454653"/>
    <x:sheet xmlns:r="http://schemas.openxmlformats.org/officeDocument/2006/relationships" name="Evidence Gates" sheetId="21" r:id="R4a11475d647b429a"/>
    <x:sheet xmlns:r="http://schemas.openxmlformats.org/officeDocument/2006/relationships" name="Sources" sheetId="22" r:id="Rccead300eadf43e9"/>
    <x:sheet xmlns:r="http://schemas.openxmlformats.org/officeDocument/2006/relationships" name="Checks" sheetId="23" r:id="Rc3afc7e687c3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% "/>
    <x:numFmt numFmtId="202" formatCode="0.00%"/>
    <x:numFmt numFmtId="203" formatCode="#,##0"/>
    <x:numFmt numFmtId="204" formatCode="#,##0.00"/>
    <x:numFmt numFmtId="205" formatCode="0%"/>
    <x:numFmt numFmtId="206" formatCode="0.00000"/>
    <x:numFmt numFmtId="207" formatCode="0.0%"/>
  </x:numFmts>
  <x:fonts count="6">
    <x:font>
      <x:sz val="11"/>
      <x:name val="Carlito"/>
    </x:font>
    <x:font>
      <x:b/>
      <x:sz val="20"/>
      <x:color rgb="FF18323F"/>
      <x:name val="Aptos Display"/>
    </x:font>
    <x:font>
      <x:i/>
      <x:sz val="10"/>
      <x:color rgb="FF667781"/>
      <x:name val="Aptos"/>
    </x:font>
    <x:font>
      <x:b/>
      <x:sz val="11"/>
      <x:color rgb="FF18323F"/>
      <x:name val="Aptos"/>
    </x:font>
    <x:font>
      <x:sz val="10"/>
      <x:color rgb="FF18323F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6"/>
      </x:patternFill>
    </x:fill>
    <x:fill>
      <x:patternFill patternType="solid">
        <x:fgColor rgb="FF17365D"/>
      </x:patternFill>
    </x:fill>
    <x:fill>
      <x:patternFill patternType="solid">
        <x:fgColor rgb="FFF6F9F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>
      <x:bottom style="medium">
        <x:color rgb="FF0E7490"/>
      </x:bottom>
    </x:border>
    <x:border>
      <x:bottom style="thin">
        <x:color rgb="FF0E7490"/>
      </x:bottom>
    </x:border>
    <x:border>
      <x:bottom style="thin">
        <x:color rgb="FFA9BDC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6" borderId="0" xfId="0" applyNumberFormat="1" applyFont="1" applyFill="1" applyBorder="1"/>
    <x:xf numFmtId="202" fontId="4" fillId="6" borderId="0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3" fontId="4" fillId="6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2" borderId="2" xfId="0" applyNumberFormat="1" applyFont="1" applyFill="1" applyBorder="1"/>
    <x:xf numFmtId="203" fontId="5" fillId="3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0" fillId="4" borderId="0" xfId="0" applyNumberFormat="1" applyFont="1" applyFill="1" applyBorder="1"/>
    <x:xf numFmtId="204" fontId="4" fillId="5" borderId="0" xfId="0" applyNumberFormat="1" applyFont="1" applyFill="1" applyBorder="1" applyAlignment="1">
      <x:alignment vertical="top" wrapText="1"/>
    </x:xf>
    <x:xf numFmtId="204" fontId="4" fillId="6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0" fillId="2" borderId="2" xfId="0" applyNumberFormat="1" applyFont="1" applyFill="1" applyBorder="1"/>
    <x:xf numFmtId="204" fontId="5" fillId="3" borderId="3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vertical="top" wrapText="1"/>
    </x:xf>
    <x:xf numFmtId="205" fontId="4" fillId="5" borderId="0" xfId="0" applyNumberFormat="1" applyFont="1" applyFill="1" applyBorder="1" applyAlignment="1">
      <x:alignment vertical="top" wrapText="1"/>
    </x:xf>
    <x:xf numFmtId="206" fontId="4" fillId="6" borderId="0" xfId="0" applyNumberFormat="1" applyFont="1" applyFill="1" applyBorder="1" applyAlignment="1">
      <x:alignment vertical="top" wrapText="1"/>
    </x:xf>
    <x:xf numFmtId="207" fontId="4" fillId="6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0" fillId="2" borderId="2" xfId="0" applyNumberFormat="1" applyFont="1" applyFill="1" applyBorder="1" applyAlignment="1">
      <x:alignment vertical="top"/>
    </x:xf>
    <x:xf numFmtId="0" fontId="5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201" fontId="0" fillId="5" borderId="0" xfId="0" applyNumberFormat="1" applyFont="1" applyFill="1" applyBorder="1" applyAlignment="1">
      <x:alignment vertical="top"/>
    </x:xf>
    <x:xf numFmtId="202" fontId="0" fillId="6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3" fontId="0" fillId="2" borderId="2" xfId="0" applyNumberFormat="1" applyFont="1" applyFill="1" applyBorder="1" applyAlignment="1">
      <x:alignment vertical="top"/>
    </x:xf>
    <x:xf numFmtId="203" fontId="5" fillId="3" borderId="3" xfId="0" applyNumberFormat="1" applyFont="1" applyFill="1" applyBorder="1" applyAlignment="1">
      <x:alignment vertical="top" wrapText="1"/>
    </x:xf>
    <x:xf numFmtId="203" fontId="0" fillId="4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4" fontId="0" fillId="2" borderId="2" xfId="0" applyNumberFormat="1" applyFont="1" applyFill="1" applyBorder="1" applyAlignment="1">
      <x:alignment vertical="top"/>
    </x:xf>
    <x:xf numFmtId="204" fontId="5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6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1ec7505824b09" /><Relationship Type="http://schemas.openxmlformats.org/officeDocument/2006/relationships/theme" Target="/xl/theme/theme1.xml" Id="R6a6c1fcedfee485e" /><Relationship Type="http://schemas.openxmlformats.org/officeDocument/2006/relationships/sharedStrings" Target="/xl/sharedStrings.xml" Id="Rf980814bba8d405a" /><Relationship Type="http://schemas.openxmlformats.org/officeDocument/2006/relationships/worksheet" Target="/xl/worksheets/sheet1.xml" Id="Rd7abf92a3e184fbe" /><Relationship Type="http://schemas.openxmlformats.org/officeDocument/2006/relationships/worksheet" Target="/xl/worksheets/sheet2.xml" Id="R7a7b91152e5d4fa4" /><Relationship Type="http://schemas.openxmlformats.org/officeDocument/2006/relationships/worksheet" Target="/xl/worksheets/sheet3.xml" Id="Rabc429970ecb4527" /><Relationship Type="http://schemas.openxmlformats.org/officeDocument/2006/relationships/worksheet" Target="/xl/worksheets/sheet4.xml" Id="R51844beef6424213" /><Relationship Type="http://schemas.openxmlformats.org/officeDocument/2006/relationships/worksheet" Target="/xl/worksheets/sheet5.xml" Id="Re1ffdaee4cd94074" /><Relationship Type="http://schemas.openxmlformats.org/officeDocument/2006/relationships/worksheet" Target="/xl/worksheets/sheet6.xml" Id="R7b979830f0da4e3d" /><Relationship Type="http://schemas.openxmlformats.org/officeDocument/2006/relationships/worksheet" Target="/xl/worksheets/sheet7.xml" Id="R594c6b7669f94d87" /><Relationship Type="http://schemas.openxmlformats.org/officeDocument/2006/relationships/worksheet" Target="/xl/worksheets/sheet8.xml" Id="R6da1b062943549cc" /><Relationship Type="http://schemas.openxmlformats.org/officeDocument/2006/relationships/worksheet" Target="/xl/worksheets/sheet9.xml" Id="Rc82e67f89e094a5a" /><Relationship Type="http://schemas.openxmlformats.org/officeDocument/2006/relationships/worksheet" Target="/xl/worksheets/sheet10.xml" Id="Rfbc9a40812994cab" /><Relationship Type="http://schemas.openxmlformats.org/officeDocument/2006/relationships/worksheet" Target="/xl/worksheets/sheet11.xml" Id="Rd39c9c1ad1a74be9" /><Relationship Type="http://schemas.openxmlformats.org/officeDocument/2006/relationships/worksheet" Target="/xl/worksheets/sheet12.xml" Id="R5796e5f96e054bec" /><Relationship Type="http://schemas.openxmlformats.org/officeDocument/2006/relationships/worksheet" Target="/xl/worksheets/sheet13.xml" Id="R9ccedb1e9c414cdf" /><Relationship Type="http://schemas.openxmlformats.org/officeDocument/2006/relationships/worksheet" Target="/xl/worksheets/sheet14.xml" Id="R2e963ac7674348fd" /><Relationship Type="http://schemas.openxmlformats.org/officeDocument/2006/relationships/worksheet" Target="/xl/worksheets/sheet15.xml" Id="R313d866a2a344216" /><Relationship Type="http://schemas.openxmlformats.org/officeDocument/2006/relationships/worksheet" Target="/xl/worksheets/sheet16.xml" Id="R8ff24d9cf7554468" /><Relationship Type="http://schemas.openxmlformats.org/officeDocument/2006/relationships/worksheet" Target="/xl/worksheets/sheet17.xml" Id="Rcebec3394f87424c" /><Relationship Type="http://schemas.openxmlformats.org/officeDocument/2006/relationships/worksheet" Target="/xl/worksheets/sheet18.xml" Id="Rb49ab0df8c404100" /><Relationship Type="http://schemas.openxmlformats.org/officeDocument/2006/relationships/worksheet" Target="/xl/worksheets/sheet19.xml" Id="Rb089a602471b4af0" /><Relationship Type="http://schemas.openxmlformats.org/officeDocument/2006/relationships/worksheet" Target="/xl/worksheets/sheet20.xml" Id="Re7479e0ffb454653" /><Relationship Type="http://schemas.openxmlformats.org/officeDocument/2006/relationships/worksheet" Target="/xl/worksheets/sheet21.xml" Id="R4a11475d647b429a" /><Relationship Type="http://schemas.openxmlformats.org/officeDocument/2006/relationships/worksheet" Target="/xl/worksheets/sheet22.xml" Id="Rccead300eadf43e9" /><Relationship Type="http://schemas.openxmlformats.org/officeDocument/2006/relationships/worksheet" Target="/xl/worksheets/sheet23.xml" Id="Rc3afc7e687c348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87" hidden="0" customWidth="1"/>
    <x:col min="3" max="3" width="25" hidden="0" customWidth="1"/>
    <x:col min="4" max="4" width="30" hidden="0" customWidth="1"/>
  </x:cols>
  <x:sheetData>
    <x:row r="1" ht="28" customHeight="1">
      <x:c r="A1" s="42" t="str">
        <x:v>National Utility Projection System</x:v>
      </x:c>
      <x:c r="B1" s="43"/>
      <x:c r="C1" s="43"/>
      <x:c r="D1" s="43"/>
    </x:row>
    <x:row r="2" ht="20" customHeight="1">
      <x:c r="A2" s="44" t="str">
        <x:v>Unified command, 26-zone anchor network, concurrency force, workforce and 25-year capital hypothesis</x:v>
      </x:c>
      <x:c r="B2" s="44"/>
      <x:c r="C2" s="44"/>
      <x:c r="D2" s="44"/>
    </x:row>
    <x:row r="3">
      <x:c r="A3" s="45"/>
      <x:c r="B3" s="45"/>
      <x:c r="C3" s="45"/>
      <x:c r="D3" s="45"/>
    </x:row>
    <x:row r="4">
      <x:c r="A4" s="46" t="str">
        <x:v>Decision</x:v>
      </x:c>
      <x:c r="B4" s="47"/>
      <x:c r="C4" s="47"/>
      <x:c r="D4" s="47"/>
    </x:row>
    <x:row r="5">
      <x:c r="A5" s="10" t="str">
        <x:v>Question</x:v>
      </x:c>
      <x:c r="B5" s="10" t="str">
        <x:v>What national command, anchor posture, fleet, workforce and industrial base are required to assure strategic water and power under simultaneous campaigns?</x:v>
      </x:c>
      <x:c r="C5" s="45"/>
      <x:c r="D5" s="45"/>
    </x:row>
    <x:row r="6">
      <x:c r="A6" s="10" t="str">
        <x:v>Reference answer</x:v>
      </x:c>
      <x:c r="B6" s="10" t="str">
        <x:v>Utility Projection Command, 26 anchor complexes, source-neutral interfaces, fifteen NEC-300 and twelve NEC-60 reliability-screen units, approximately 198,200 billets, and a $1.698T capital program.</x:v>
      </x:c>
      <x:c r="C6" s="45"/>
      <x:c r="D6" s="45"/>
    </x:row>
    <x:row r="7">
      <x:c r="A7" s="10" t="str">
        <x:v>Method</x:v>
      </x:c>
      <x:c r="B7" s="10" t="str">
        <x:v>Coverage constraints precede optimization. Fleet quantities must pass both deterministic reserve and 95% independent-availability screens. No site is selected through a weighted score.</x:v>
      </x:c>
      <x:c r="C7" s="45"/>
      <x:c r="D7" s="45"/>
    </x:row>
    <x:row r="8">
      <x:c r="A8" s="10" t="str">
        <x:v>Boundary</x:v>
      </x:c>
      <x:c r="B8" s="10" t="str">
        <x:v>Candidate zones are planning obligations, not ports, parcels, licensed sites, budgets or acquisition recommendations.</x:v>
      </x:c>
      <x:c r="C8" s="45"/>
      <x:c r="D8" s="45"/>
    </x:row>
    <x:row r="9">
      <x:c r="A9" s="10" t="str">
        <x:v>Rendering</x:v>
      </x:c>
      <x:c r="B9" s="10" t="str">
        <x:v>Held until site, route, engineering, covariance, workforce, cost and independent mission evidence closes.</x:v>
      </x:c>
      <x:c r="C9" s="45"/>
      <x:c r="D9" s="45"/>
    </x:row>
    <x:row r="10">
      <x:c r="A10" s="45"/>
      <x:c r="B10" s="45"/>
      <x:c r="C10" s="45"/>
      <x:c r="D10" s="45"/>
    </x:row>
    <x:row r="11">
      <x:c r="A11" s="45"/>
      <x:c r="B11" s="45"/>
      <x:c r="C11" s="45"/>
      <x:c r="D11" s="45"/>
    </x:row>
    <x:row r="12">
      <x:c r="A12" s="46" t="str">
        <x:v>Reader path</x:v>
      </x:c>
      <x:c r="B12" s="47"/>
      <x:c r="C12" s="47"/>
      <x:c r="D12" s="47"/>
    </x:row>
    <x:row r="13">
      <x:c r="A13" s="10" t="str">
        <x:v>1</x:v>
      </x:c>
      <x:c r="B13" s="10" t="str">
        <x:v>Controls</x:v>
      </x:c>
      <x:c r="C13" s="10" t="str">
        <x:v>Edit concurrency, reserve, availability, cost and workforce assumptions.</x:v>
      </x:c>
      <x:c r="D13" s="45"/>
    </x:row>
    <x:row r="14">
      <x:c r="A14" s="10" t="str">
        <x:v>2</x:v>
      </x:c>
      <x:c r="B14" s="10" t="str">
        <x:v>Network Classes → Coverage</x:v>
      </x:c>
      <x:c r="C14" s="10" t="str">
        <x:v>Inspect the 26-zone hypothesis and non-compensatory coverage obligations.</x:v>
      </x:c>
      <x:c r="D14" s="45"/>
    </x:row>
    <x:row r="15">
      <x:c r="A15" s="10" t="str">
        <x:v>3</x:v>
      </x:c>
      <x:c r="B15" s="10" t="str">
        <x:v>Concurrency → Fleet Reliability</x:v>
      </x:c>
      <x:c r="C15" s="10" t="str">
        <x:v>Trace campaign packages into simultaneous demand and minimum inventory.</x:v>
      </x:c>
      <x:c r="D15" s="45"/>
    </x:row>
    <x:row r="16">
      <x:c r="A16" s="10" t="str">
        <x:v>4</x:v>
      </x:c>
      <x:c r="B16" s="10" t="str">
        <x:v>Workforce → Operating Cost</x:v>
      </x:c>
      <x:c r="C16" s="10" t="str">
        <x:v>Trace units and anchors into billets and recurring burden.</x:v>
      </x:c>
      <x:c r="D16" s="45"/>
    </x:row>
    <x:row r="17">
      <x:c r="A17" s="10" t="str">
        <x:v>5</x:v>
      </x:c>
      <x:c r="B17" s="10" t="str">
        <x:v>Capital Program → Annual Capital</x:v>
      </x:c>
      <x:c r="C17" s="10" t="str">
        <x:v>Trace the integrated work breakdown and build profile.</x:v>
      </x:c>
      <x:c r="D17" s="45"/>
    </x:row>
    <x:row r="18">
      <x:c r="A18" s="10" t="str">
        <x:v>6</x:v>
      </x:c>
      <x:c r="B18" s="10" t="str">
        <x:v>Command, rights, failures, gates</x:v>
      </x:c>
      <x:c r="C18" s="10" t="str">
        <x:v>Audit who owns what, how the system fails and what remains unproved.</x:v>
      </x:c>
      <x:c r="D18" s="45"/>
    </x:row>
    <x:row r="19">
      <x:c r="A19" s="45"/>
      <x:c r="B19" s="45"/>
      <x:c r="C19" s="45"/>
      <x:c r="D19" s="45"/>
    </x:row>
    <x:row r="20">
      <x:c r="A20" s="45"/>
      <x:c r="B20" s="45"/>
      <x:c r="C20" s="45"/>
      <x:c r="D20" s="45"/>
    </x:row>
    <x:row r="21">
      <x:c r="A21" s="46" t="str">
        <x:v>Visual grammar</x:v>
      </x:c>
      <x:c r="B21" s="47"/>
      <x:c r="C21" s="47"/>
      <x:c r="D21" s="47"/>
    </x:row>
    <x:row r="22">
      <x:c r="A22" s="10" t="str">
        <x:v>Yellow</x:v>
      </x:c>
      <x:c r="B22" s="10" t="str">
        <x:v>Editable design-study assumption</x:v>
      </x:c>
      <x:c r="C22" s="45"/>
      <x:c r="D22" s="45"/>
    </x:row>
    <x:row r="23">
      <x:c r="A23" s="10" t="str">
        <x:v>Blue</x:v>
      </x:c>
      <x:c r="B23" s="10" t="str">
        <x:v>Calculated or linked result</x:v>
      </x:c>
      <x:c r="C23" s="45"/>
      <x:c r="D23" s="45"/>
    </x:row>
    <x:row r="24">
      <x:c r="A24" s="10" t="str">
        <x:v>Green</x:v>
      </x:c>
      <x:c r="B24" s="10" t="str">
        <x:v>Declared workbook constraint passes</x:v>
      </x:c>
      <x:c r="C24" s="45"/>
      <x:c r="D24" s="45"/>
    </x:row>
    <x:row r="25">
      <x:c r="A25" s="10" t="str">
        <x:v>Amber</x:v>
      </x:c>
      <x:c r="B25" s="10" t="str">
        <x:v>Research or evidence remains open</x:v>
      </x:c>
      <x:c r="C25" s="45"/>
      <x:c r="D25" s="45"/>
    </x:row>
    <x:row r="26">
      <x:c r="A26" s="10" t="str">
        <x:v>Red</x:v>
      </x:c>
      <x:c r="B26" s="10" t="str">
        <x:v>Declared constraint fails</x:v>
      </x:c>
      <x:c r="C26" s="45"/>
      <x:c r="D26" s="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7" hidden="0" customWidth="1"/>
    <x:col min="4" max="4" width="18" hidden="0" customWidth="1"/>
    <x:col min="5" max="5" width="66" hidden="0" customWidth="1"/>
  </x:cols>
  <x:sheetData>
    <x:row r="1" ht="28" customHeight="1">
      <x:c r="A1" s="42" t="str">
        <x:v>Controls</x:v>
      </x:c>
      <x:c r="B1" s="43"/>
      <x:c r="C1" s="43"/>
      <x:c r="D1" s="43"/>
      <x:c r="E1" s="43"/>
    </x:row>
    <x:row r="2" ht="20" customHeight="1">
      <x:c r="A2" s="44" t="str">
        <x:v>Campaign, readiness, cost and workforce assumptions. Yellow cells are editable.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Variable</x:v>
      </x:c>
      <x:c r="B4" s="48" t="str">
        <x:v>Reference</x:v>
      </x:c>
      <x:c r="C4" s="48" t="str">
        <x:v>Unit</x:v>
      </x:c>
      <x:c r="D4" s="48" t="str">
        <x:v>Type</x:v>
      </x:c>
      <x:c r="E4" s="48" t="str">
        <x:v>Interpretation</x:v>
      </x:c>
    </x:row>
    <x:row r="5">
      <x:c r="A5" s="15" t="str">
        <x:v>Catastrophic regional campaigns</x:v>
      </x:c>
      <x:c r="B5" s="17" t="n">
        <x:v>2</x:v>
      </x:c>
      <x:c r="C5" s="15" t="str">
        <x:v>campaigns</x:v>
      </x:c>
      <x:c r="D5" s="15" t="str">
        <x:v>force design</x:v>
      </x:c>
      <x:c r="E5" s="15" t="str">
        <x:v>Simultaneous heavy regional utility missions</x:v>
      </x:c>
    </x:row>
    <x:row r="6">
      <x:c r="A6" s="10" t="str">
        <x:v>Catastrophic island campaigns</x:v>
      </x:c>
      <x:c r="B6" s="17" t="n">
        <x:v>1</x:v>
      </x:c>
      <x:c r="C6" s="10" t="str">
        <x:v>campaigns</x:v>
      </x:c>
      <x:c r="D6" s="10" t="str">
        <x:v>force design</x:v>
      </x:c>
      <x:c r="E6" s="10" t="str">
        <x:v>Simultaneous remote or island mission</x:v>
      </x:c>
    </x:row>
    <x:row r="7">
      <x:c r="A7" s="15" t="str">
        <x:v>Major regional campaigns</x:v>
      </x:c>
      <x:c r="B7" s="17" t="n">
        <x:v>2</x:v>
      </x:c>
      <x:c r="C7" s="15" t="str">
        <x:v>campaigns</x:v>
      </x:c>
      <x:c r="D7" s="15" t="str">
        <x:v>force design</x:v>
      </x:c>
      <x:c r="E7" s="15" t="str">
        <x:v>Subset of five major operations</x:v>
      </x:c>
    </x:row>
    <x:row r="8">
      <x:c r="A8" s="10" t="str">
        <x:v>Major island/inland campaigns</x:v>
      </x:c>
      <x:c r="B8" s="17" t="n">
        <x:v>3</x:v>
      </x:c>
      <x:c r="C8" s="10" t="str">
        <x:v>campaigns</x:v>
      </x:c>
      <x:c r="D8" s="10" t="str">
        <x:v>force design</x:v>
      </x:c>
      <x:c r="E8" s="10" t="str">
        <x:v>Subset of five major operations</x:v>
      </x:c>
    </x:row>
    <x:row r="9">
      <x:c r="A9" s="15" t="str">
        <x:v>Global heavy campaigns</x:v>
      </x:c>
      <x:c r="B9" s="17" t="n">
        <x:v>1</x:v>
      </x:c>
      <x:c r="C9" s="15" t="str">
        <x:v>campaigns</x:v>
      </x:c>
      <x:c r="D9" s="15" t="str">
        <x:v>force design</x:v>
      </x:c>
      <x:c r="E9" s="15" t="str">
        <x:v>One regional-scale global mission</x:v>
      </x:c>
    </x:row>
    <x:row r="10">
      <x:c r="A10" s="10" t="str">
        <x:v>Global compact campaigns</x:v>
      </x:c>
      <x:c r="B10" s="17" t="n">
        <x:v>1</x:v>
      </x:c>
      <x:c r="C10" s="10" t="str">
        <x:v>campaigns</x:v>
      </x:c>
      <x:c r="D10" s="10" t="str">
        <x:v>force design</x:v>
      </x:c>
      <x:c r="E10" s="10" t="str">
        <x:v>One island-scale global mission</x:v>
      </x:c>
    </x:row>
    <x:row r="11">
      <x:c r="A11" s="15" t="str">
        <x:v>Residual available reserve</x:v>
      </x:c>
      <x:c r="B11" s="17" t="n">
        <x:v>0.2</x:v>
      </x:c>
      <x:c r="C11" s="15" t="str">
        <x:v>share</x:v>
      </x:c>
      <x:c r="D11" s="15" t="str">
        <x:v>policy</x:v>
      </x:c>
      <x:c r="E11" s="15" t="str">
        <x:v>Must remain after commitments</x:v>
      </x:c>
    </x:row>
    <x:row r="12">
      <x:c r="A12" s="10" t="str">
        <x:v>Reliability target</x:v>
      </x:c>
      <x:c r="B12" s="17" t="n">
        <x:v>0.95</x:v>
      </x:c>
      <x:c r="C12" s="10" t="str">
        <x:v>probability</x:v>
      </x:c>
      <x:c r="D12" s="10" t="str">
        <x:v>policy</x:v>
      </x:c>
      <x:c r="E12" s="10" t="str">
        <x:v>Independent screen only</x:v>
      </x:c>
    </x:row>
    <x:row r="13">
      <x:c r="A13" s="15" t="str">
        <x:v>NEC material availability</x:v>
      </x:c>
      <x:c r="B13" s="17" t="n">
        <x:v>0.65</x:v>
      </x:c>
      <x:c r="C13" s="15" t="str">
        <x:v>probability</x:v>
      </x:c>
      <x:c r="D13" s="15" t="str">
        <x:v>assumption</x:v>
      </x:c>
      <x:c r="E13" s="15" t="str">
        <x:v>Correlated holds modeled separately</x:v>
      </x:c>
    </x:row>
    <x:row r="14">
      <x:c r="A14" s="10" t="str">
        <x:v>Other modular availability</x:v>
      </x:c>
      <x:c r="B14" s="17" t="n">
        <x:v>0.75</x:v>
      </x:c>
      <x:c r="C14" s="10" t="str">
        <x:v>probability</x:v>
      </x:c>
      <x:c r="D14" s="10" t="str">
        <x:v>assumption</x:v>
      </x:c>
      <x:c r="E14" s="10" t="str">
        <x:v>Process and interface families</x:v>
      </x:c>
    </x:row>
    <x:row r="15">
      <x:c r="A15" s="15" t="str">
        <x:v>Heavy corridor availability</x:v>
      </x:c>
      <x:c r="B15" s="17" t="n">
        <x:v>0.7</x:v>
      </x:c>
      <x:c r="C15" s="15" t="str">
        <x:v>probability</x:v>
      </x:c>
      <x:c r="D15" s="15" t="str">
        <x:v>assumption</x:v>
      </x:c>
      <x:c r="E15" s="15" t="str">
        <x:v>Construction and overhaul burden</x:v>
      </x:c>
    </x:row>
    <x:row r="16">
      <x:c r="A16" s="10" t="str">
        <x:v>Real discount rate</x:v>
      </x:c>
      <x:c r="B16" s="17" t="n">
        <x:v>0.03</x:v>
      </x:c>
      <x:c r="C16" s="10" t="str">
        <x:v>share</x:v>
      </x:c>
      <x:c r="D16" s="10" t="str">
        <x:v>assumption</x:v>
      </x:c>
      <x:c r="E16" s="10" t="str">
        <x:v>Lifecycle context</x:v>
      </x:c>
    </x:row>
    <x:row r="17">
      <x:c r="A17" s="15" t="str">
        <x:v>Capital program reserve</x:v>
      </x:c>
      <x:c r="B17" s="17" t="n">
        <x:v>0.2</x:v>
      </x:c>
      <x:c r="C17" s="15" t="str">
        <x:v>share pre-reserve</x:v>
      </x:c>
      <x:c r="D17" s="15" t="str">
        <x:v>policy</x:v>
      </x:c>
      <x:c r="E17" s="15" t="str">
        <x:v>Explicit program uncertainty</x:v>
      </x:c>
    </x:row>
    <x:row r="18">
      <x:c r="A18" s="10" t="str">
        <x:v>Institutional workforce overhead</x:v>
      </x:c>
      <x:c r="B18" s="17" t="n">
        <x:v>0.35</x:v>
      </x:c>
      <x:c r="C18" s="10" t="str">
        <x:v>share operational</x:v>
      </x:c>
      <x:c r="D18" s="10" t="str">
        <x:v>assumption</x:v>
      </x:c>
      <x:c r="E18" s="10" t="str">
        <x:v>Command, schools, safety, science, depots</x:v>
      </x:c>
    </x:row>
    <x:row r="19">
      <x:c r="A19" s="15" t="str">
        <x:v>Fully burdened billet cost</x:v>
      </x:c>
      <x:c r="B19" s="17" t="n">
        <x:v>0.00029</x:v>
      </x:c>
      <x:c r="C19" s="15" t="str">
        <x:v>$B/billet-year</x:v>
      </x:c>
      <x:c r="D19" s="15" t="str">
        <x:v>assumption</x:v>
      </x:c>
      <x:c r="E19" s="15" t="str">
        <x:v>$290,000 per billet-year</x:v>
      </x:c>
    </x:row>
    <x:row r="20">
      <x:c r="A20" s="10" t="str">
        <x:v>Mobile capital maintenance</x:v>
      </x:c>
      <x:c r="B20" s="17" t="n">
        <x:v>0.03</x:v>
      </x:c>
      <x:c r="C20" s="10" t="str">
        <x:v>share/year</x:v>
      </x:c>
      <x:c r="D20" s="10" t="str">
        <x:v>assumption</x:v>
      </x:c>
      <x:c r="E20" s="10" t="str">
        <x:v>Applied to mobile-force capital</x:v>
      </x:c>
    </x:row>
    <x:row r="21">
      <x:c r="A21" s="15" t="str">
        <x:v>Anchor operating burden</x:v>
      </x:c>
      <x:c r="B21" s="17" t="n">
        <x:v>0.025</x:v>
      </x:c>
      <x:c r="C21" s="15" t="str">
        <x:v>share/year</x:v>
      </x:c>
      <x:c r="D21" s="15" t="str">
        <x:v>assumption</x:v>
      </x:c>
      <x:c r="E21" s="15" t="str">
        <x:v>Applied to anchor construction</x:v>
      </x:c>
    </x:row>
    <x:row r="22">
      <x:c r="A22" s="10" t="str">
        <x:v>Program duration</x:v>
      </x:c>
      <x:c r="B22" s="17" t="n">
        <x:v>25</x:v>
      </x:c>
      <x:c r="C22" s="10" t="str">
        <x:v>years</x:v>
      </x:c>
      <x:c r="D22" s="10" t="str">
        <x:v>policy</x:v>
      </x:c>
      <x:c r="E22" s="10" t="str">
        <x:v>Capital build horizon</x:v>
      </x:c>
    </x:row>
    <x:row r="23">
      <x:c r="A23" s="15" t="str">
        <x:v>RUA-300 complexes</x:v>
      </x:c>
      <x:c r="B23" s="17" t="n">
        <x:v>10</x:v>
      </x:c>
      <x:c r="C23" s="15" t="str">
        <x:v>complexes</x:v>
      </x:c>
      <x:c r="D23" s="15" t="str">
        <x:v>coverage</x:v>
      </x:c>
      <x:c r="E23" s="15" t="str">
        <x:v>Regional coastal class</x:v>
      </x:c>
    </x:row>
    <x:row r="24">
      <x:c r="A24" s="10" t="str">
        <x:v>IUA-60 complexes</x:v>
      </x:c>
      <x:c r="B24" s="17" t="n">
        <x:v>8</x:v>
      </x:c>
      <x:c r="C24" s="10" t="str">
        <x:v>complexes</x:v>
      </x:c>
      <x:c r="D24" s="10" t="str">
        <x:v>coverage</x:v>
      </x:c>
      <x:c r="E24" s="10" t="str">
        <x:v>Island and remote class</x:v>
      </x:c>
    </x:row>
    <x:row r="25">
      <x:c r="A25" s="15" t="str">
        <x:v>LUA-150 complexes</x:v>
      </x:c>
      <x:c r="B25" s="17" t="n">
        <x:v>6</x:v>
      </x:c>
      <x:c r="C25" s="15" t="str">
        <x:v>complexes</x:v>
      </x:c>
      <x:c r="D25" s="15" t="str">
        <x:v>coverage</x:v>
      </x:c>
      <x:c r="E25" s="15" t="str">
        <x:v>Inland and Great Lakes class</x:v>
      </x:c>
    </x:row>
    <x:row r="26">
      <x:c r="A26" s="10" t="str">
        <x:v>National integration complexes</x:v>
      </x:c>
      <x:c r="B26" s="17" t="n">
        <x:v>2</x:v>
      </x:c>
      <x:c r="C26" s="10" t="str">
        <x:v>complexes</x:v>
      </x:c>
      <x:c r="D26" s="10" t="str">
        <x:v>evidence</x:v>
      </x:c>
      <x:c r="E26" s="10" t="str">
        <x:v>Full-mission proving and certification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5" hidden="0" customWidth="1"/>
    <x:col min="4" max="4" width="17" hidden="0" customWidth="1"/>
    <x:col min="5" max="5" width="54" hidden="0" customWidth="1"/>
    <x:col min="6" max="6" width="58" hidden="0" customWidth="1"/>
  </x:cols>
  <x:sheetData>
    <x:row r="1" ht="28" customHeight="1">
      <x:c r="A1" s="42" t="str">
        <x:v>Network Classes</x:v>
      </x:c>
      <x:c r="B1" s="43"/>
      <x:c r="C1" s="43"/>
      <x:c r="D1" s="43"/>
      <x:c r="E1" s="43"/>
      <x:c r="F1" s="43"/>
    </x:row>
    <x:row r="2" ht="20" customHeight="1">
      <x:c r="A2" s="44" t="str">
        <x:v>An anchor complex includes a wet/source node, hazard-dissimilar back node, corridors and service cells.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Class</x:v>
      </x:c>
      <x:c r="B4" s="48" t="str">
        <x:v>Role</x:v>
      </x:c>
      <x:c r="C4" s="48" t="str">
        <x:v>Count</x:v>
      </x:c>
      <x:c r="D4" s="48" t="str">
        <x:v>Unit capital $B</x:v>
      </x:c>
      <x:c r="E4" s="48" t="str">
        <x:v>Required components</x:v>
      </x:c>
      <x:c r="F4" s="48" t="str">
        <x:v>Principal disproof condition</x:v>
      </x:c>
    </x:row>
    <x:row r="5">
      <x:c r="A5" s="15" t="str">
        <x:v>RUA-300</x:v>
      </x:c>
      <x:c r="B5" s="15" t="str">
        <x:v>Regional coastal utility projection</x:v>
      </x:c>
      <x:c r="C5" s="16" t="n">
        <x:v>10</x:v>
      </x:c>
      <x:c r="D5" s="16" t="n">
        <x:v>18</x:v>
      </x:c>
      <x:c r="E5" s="15" t="str">
        <x:v>Heavy marine/source node; dry back node; 100+ MW blocks; large water works; two corridors; safe harbor</x:v>
      </x:c>
      <x:c r="F5" s="15" t="str">
        <x:v>Wet and back nodes share hazard, or corridor cannot carry declared service</x:v>
      </x:c>
    </x:row>
    <x:row r="6">
      <x:c r="A6" s="10" t="str">
        <x:v>IUA-60</x:v>
      </x:c>
      <x:c r="B6" s="10" t="str">
        <x:v>Island and remote assurance</x:v>
      </x:c>
      <x:c r="C6" s="16" t="n">
        <x:v>8</x:v>
      </x:c>
      <x:c r="D6" s="16" t="n">
        <x:v>8</x:v>
      </x:c>
      <x:c r="E6" s="10" t="str">
        <x:v>Resident bridge; small-grid interface; high-head water; compact core position; local storage and spares</x:v>
      </x:c>
      <x:c r="F6" s="10" t="str">
        <x:v>National transit is the only bridge, or source dominates small grid</x:v>
      </x:c>
    </x:row>
    <x:row r="7">
      <x:c r="A7" s="15" t="str">
        <x:v>LUA-150</x:v>
      </x:c>
      <x:c r="B7" s="15" t="str">
        <x:v>Inland and Great Lakes utility projection</x:v>
      </x:c>
      <x:c r="C7" s="16" t="n">
        <x:v>6</x:v>
      </x:c>
      <x:c r="D7" s="16" t="n">
        <x:v>10</x:v>
      </x:c>
      <x:c r="E7" s="15" t="str">
        <x:v>Freshwater/source works; rail, river and road reception; fabrication; 25–150 MW blocks; cross-region corridor</x:v>
      </x:c>
      <x:c r="F7" s="15" t="str">
        <x:v>Inland node cannot substitute for coastal access or shares one lock/grid bottleneck</x:v>
      </x:c>
    </x:row>
    <x:row r="8">
      <x:c r="A8" s="10" t="str">
        <x:v>NUIC</x:v>
      </x:c>
      <x:c r="B8" s="10" t="str">
        <x:v>National utility integration and independent test</x:v>
      </x:c>
      <x:c r="C8" s="16" t="n">
        <x:v>2</x:v>
      </x:c>
      <x:c r="D8" s="16" t="n">
        <x:v>20</x:v>
      </x:c>
      <x:c r="E8" s="10" t="str">
        <x:v>Surrogate sources; grid fault range; feed-water range; full corridor; independent control and data custody</x:v>
      </x:c>
      <x:c r="F8" s="10" t="str">
        <x:v>Test demand consumes operational readiness or cannot reproduce full mission thread</x:v>
      </x:c>
    </x:row>
    <x:row r="9">
      <x:c r="A9" s="45"/>
      <x:c r="B9" s="45"/>
      <x:c r="C9" s="45"/>
      <x:c r="D9" s="45"/>
      <x:c r="E9" s="45"/>
      <x:c r="F9" s="45"/>
    </x:row>
    <x:row r="10">
      <x:c r="A10" s="45"/>
      <x:c r="B10" s="45"/>
      <x:c r="C10" s="45"/>
      <x:c r="D10" s="45"/>
      <x:c r="E10" s="45"/>
      <x:c r="F10" s="45"/>
    </x:row>
    <x:row r="11">
      <x:c r="A11" s="46" t="str">
        <x:v>Required complex anatomy</x:v>
      </x:c>
      <x:c r="B11" s="47"/>
      <x:c r="C11" s="47"/>
      <x:c r="D11" s="47"/>
      <x:c r="E11" s="47"/>
      <x:c r="F11" s="47"/>
    </x:row>
    <x:row r="12" ht="28" customHeight="1">
      <x:c r="A12" s="48" t="str">
        <x:v>Layer</x:v>
      </x:c>
      <x:c r="B12" s="48" t="str">
        <x:v>Function</x:v>
      </x:c>
      <x:c r="C12" s="48" t="str">
        <x:v>Normal state</x:v>
      </x:c>
      <x:c r="D12" s="48" t="str">
        <x:v>Disaster state</x:v>
      </x:c>
      <x:c r="E12" s="48" t="str">
        <x:v>Independent authority</x:v>
      </x:c>
      <x:c r="F12" s="48" t="str">
        <x:v>Readiness measure</x:v>
      </x:c>
    </x:row>
    <x:row r="13">
      <x:c r="A13" s="15" t="str">
        <x:v>Wet/source node</x:v>
      </x:c>
      <x:c r="B13" s="15" t="str">
        <x:v>Receive mobile bulk source and process modules</x:v>
      </x:c>
      <x:c r="C13" s="15" t="str">
        <x:v>Port/utility service or exercised standby</x:v>
      </x:c>
      <x:c r="D13" s="15" t="str">
        <x:v>Open, moor, connect, isolate and disconnect</x:v>
      </x:c>
      <x:c r="E13" s="15" t="str">
        <x:v>Marine and source safety</x:v>
      </x:c>
      <x:c r="F13" s="15" t="str">
        <x:v>Hours to qualified connection</x:v>
      </x:c>
    </x:row>
    <x:row r="14">
      <x:c r="A14" s="10" t="str">
        <x:v>Back node</x:v>
      </x:c>
      <x:c r="B14" s="10" t="str">
        <x:v>Protect conversion, control, labs, storage and crews</x:v>
      </x:c>
      <x:c r="C14" s="10" t="str">
        <x:v>Operates host microgrid and storage</x:v>
      </x:c>
      <x:c r="D14" s="10" t="str">
        <x:v>Forms grid, releases water and controls blocks</x:v>
      </x:c>
      <x:c r="E14" s="10" t="str">
        <x:v>Grid and water quality</x:v>
      </x:c>
      <x:c r="F14" s="10" t="str">
        <x:v>Verified MW and m³/day at inland bus</x:v>
      </x:c>
    </x:row>
    <x:row r="15">
      <x:c r="A15" s="15" t="str">
        <x:v>Corridors</x:v>
      </x:c>
      <x:c r="B15" s="15" t="str">
        <x:v>Join source to service cells through alternate routes</x:v>
      </x:c>
      <x:c r="C15" s="15" t="str">
        <x:v>Maintained sleeves, rights, crossings and records</x:v>
      </x:c>
      <x:c r="D15" s="15" t="str">
        <x:v>Install or repair pipe, cable, boosters and substations</x:v>
      </x:c>
      <x:c r="E15" s="15" t="str">
        <x:v>Technical construction authority</x:v>
      </x:c>
      <x:c r="F15" s="15" t="str">
        <x:v>Commissioned service-distance per day</x:v>
      </x:c>
    </x:row>
    <x:row r="16">
      <x:c r="A16" s="10" t="str">
        <x:v>Service cells</x:v>
      </x:c>
      <x:c r="B16" s="10" t="str">
        <x:v>Deliver to critical facilities and districts</x:v>
      </x:c>
      <x:c r="C16" s="10" t="str">
        <x:v>Normal utility with island capability</x:v>
      </x:c>
      <x:c r="D16" s="10" t="str">
        <x:v>Stage authorized loads and water pressure zones</x:v>
      </x:c>
      <x:c r="E16" s="10" t="str">
        <x:v>Civil allocation authority</x:v>
      </x:c>
      <x:c r="F16" s="10" t="str">
        <x:v>Population-service-time delivered</x:v>
      </x:c>
    </x:row>
    <x:row r="17">
      <x:c r="A17" s="15" t="str">
        <x:v>Alternate node</x:v>
      </x:c>
      <x:c r="B17" s="15" t="str">
        <x:v>Absorb diversion or source hold</x:v>
      </x:c>
      <x:c r="C17" s="15" t="str">
        <x:v>Exercises mutual-aid and substitution</x:v>
      </x:c>
      <x:c r="D17" s="15" t="str">
        <x:v>Receives redirected sources and loads</x:v>
      </x:c>
      <x:c r="E17" s="15" t="str">
        <x:v>Geographic command</x:v>
      </x:c>
      <x:c r="F17" s="15" t="str">
        <x:v>Time and capacity to substitute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40" hidden="0" customWidth="1"/>
    <x:col min="7" max="7" width="42" hidden="0" customWidth="1"/>
    <x:col min="8" max="8" width="15" hidden="0" customWidth="1"/>
  </x:cols>
  <x:sheetData>
    <x:row r="1" ht="28" customHeight="1">
      <x:c r="A1" s="42" t="str">
        <x:v>Candidate Zones</x:v>
      </x:c>
      <x:c r="B1" s="43"/>
      <x:c r="C1" s="43"/>
      <x:c r="D1" s="43"/>
      <x:c r="E1" s="43"/>
      <x:c r="F1" s="43"/>
      <x:c r="G1" s="43"/>
      <x:c r="H1" s="43"/>
    </x:row>
    <x:row r="2" ht="20" customHeight="1">
      <x:c r="A2" s="44" t="str">
        <x:v>Geographic screening obligations only. Exact ports, parcels, back nodes, corridors and licenses remain open.</x:v>
      </x:c>
      <x:c r="B2" s="44"/>
      <x:c r="C2" s="44"/>
      <x:c r="D2" s="44"/>
      <x:c r="E2" s="44"/>
      <x:c r="F2" s="44"/>
      <x:c r="G2" s="44"/>
      <x:c r="H2" s="44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 ht="28" customHeight="1">
      <x:c r="A4" s="48" t="str">
        <x:v>ID</x:v>
      </x:c>
      <x:c r="B4" s="48" t="str">
        <x:v>Planning zone</x:v>
      </x:c>
      <x:c r="C4" s="48" t="str">
        <x:v>Class</x:v>
      </x:c>
      <x:c r="D4" s="48" t="str">
        <x:v>Theater</x:v>
      </x:c>
      <x:c r="E4" s="48" t="str">
        <x:v>Covariance family</x:v>
      </x:c>
      <x:c r="F4" s="48" t="str">
        <x:v>Dominant interaction</x:v>
      </x:c>
      <x:c r="G4" s="48" t="str">
        <x:v>Network role</x:v>
      </x:c>
      <x:c r="H4" s="48" t="str">
        <x:v>Parcel status</x:v>
      </x:c>
    </x:row>
    <x:row r="5">
      <x:c r="A5" s="15" t="str">
        <x:v>Z01</x:v>
      </x:c>
      <x:c r="B5" s="15" t="str">
        <x:v>Northeast gateway</x:v>
      </x:c>
      <x:c r="C5" s="15" t="str">
        <x:v>RUA-300</x:v>
      </x:c>
      <x:c r="D5" s="15" t="str">
        <x:v>Atlantic</x:v>
      </x:c>
      <x:c r="E5" s="15" t="str">
        <x:v>Atlantic North</x:v>
      </x:c>
      <x:c r="F5" s="15" t="str">
        <x:v>Coastal storm / surge / grid concentration</x:v>
      </x:c>
      <x:c r="G5" s="15" t="str">
        <x:v>Regional service and national freight gateway</x:v>
      </x:c>
      <x:c r="H5" s="15" t="str">
        <x:v>OPEN</x:v>
      </x:c>
    </x:row>
    <x:row r="6">
      <x:c r="A6" s="10" t="str">
        <x:v>Z02</x:v>
      </x:c>
      <x:c r="B6" s="10" t="str">
        <x:v>Mid-Atlantic gateway</x:v>
      </x:c>
      <x:c r="C6" s="10" t="str">
        <x:v>RUA-300</x:v>
      </x:c>
      <x:c r="D6" s="10" t="str">
        <x:v>Atlantic</x:v>
      </x:c>
      <x:c r="E6" s="10" t="str">
        <x:v>Atlantic Mid</x:v>
      </x:c>
      <x:c r="F6" s="10" t="str">
        <x:v>Coastal storm / surge / naval-commercial concentration</x:v>
      </x:c>
      <x:c r="G6" s="10" t="str">
        <x:v>Regional service and Atlantic fleet support</x:v>
      </x:c>
      <x:c r="H6" s="10" t="str">
        <x:v>OPEN</x:v>
      </x:c>
    </x:row>
    <x:row r="7">
      <x:c r="A7" s="15" t="str">
        <x:v>Z03</x:v>
      </x:c>
      <x:c r="B7" s="15" t="str">
        <x:v>South Atlantic gateway</x:v>
      </x:c>
      <x:c r="C7" s="15" t="str">
        <x:v>RUA-300</x:v>
      </x:c>
      <x:c r="D7" s="15" t="str">
        <x:v>Atlantic</x:v>
      </x:c>
      <x:c r="E7" s="15" t="str">
        <x:v>Atlantic South</x:v>
      </x:c>
      <x:c r="F7" s="15" t="str">
        <x:v>Hurricane / surge / heat</x:v>
      </x:c>
      <x:c r="G7" s="15" t="str">
        <x:v>Regional service and alternate Atlantic approach</x:v>
      </x:c>
      <x:c r="H7" s="15" t="str">
        <x:v>OPEN</x:v>
      </x:c>
    </x:row>
    <x:row r="8">
      <x:c r="A8" s="10" t="str">
        <x:v>Z04</x:v>
      </x:c>
      <x:c r="B8" s="10" t="str">
        <x:v>Florida peninsula</x:v>
      </x:c>
      <x:c r="C8" s="10" t="str">
        <x:v>RUA-300</x:v>
      </x:c>
      <x:c r="D8" s="10" t="str">
        <x:v>Gulf</x:v>
      </x:c>
      <x:c r="E8" s="10" t="str">
        <x:v>Florida</x:v>
      </x:c>
      <x:c r="F8" s="10" t="str">
        <x:v>Hurricane / surge / heat / peninsula access</x:v>
      </x:c>
      <x:c r="G8" s="10" t="str">
        <x:v>Two-sided coastal and thermal-safety coverage</x:v>
      </x:c>
      <x:c r="H8" s="10" t="str">
        <x:v>OPEN</x:v>
      </x:c>
    </x:row>
    <x:row r="9">
      <x:c r="A9" s="15" t="str">
        <x:v>Z05</x:v>
      </x:c>
      <x:c r="B9" s="15" t="str">
        <x:v>Lower Mississippi</x:v>
      </x:c>
      <x:c r="C9" s="15" t="str">
        <x:v>RUA-300</x:v>
      </x:c>
      <x:c r="D9" s="15" t="str">
        <x:v>Gulf</x:v>
      </x:c>
      <x:c r="E9" s="15" t="str">
        <x:v>Mississippi Delta</x:v>
      </x:c>
      <x:c r="F9" s="15" t="str">
        <x:v>Hurricane / river flood / subsidence</x:v>
      </x:c>
      <x:c r="G9" s="15" t="str">
        <x:v>Gulf service, river access and petrochemical continuity</x:v>
      </x:c>
      <x:c r="H9" s="15" t="str">
        <x:v>OPEN</x:v>
      </x:c>
    </x:row>
    <x:row r="10">
      <x:c r="A10" s="10" t="str">
        <x:v>Z06</x:v>
      </x:c>
      <x:c r="B10" s="10" t="str">
        <x:v>Houston–Galveston</x:v>
      </x:c>
      <x:c r="C10" s="10" t="str">
        <x:v>RUA-300</x:v>
      </x:c>
      <x:c r="D10" s="10" t="str">
        <x:v>Gulf</x:v>
      </x:c>
      <x:c r="E10" s="10" t="str">
        <x:v>Western Gulf</x:v>
      </x:c>
      <x:c r="F10" s="10" t="str">
        <x:v>Hurricane / surge / industrial concentration</x:v>
      </x:c>
      <x:c r="G10" s="10" t="str">
        <x:v>Western Gulf utility and industrial recovery</x:v>
      </x:c>
      <x:c r="H10" s="10" t="str">
        <x:v>OPEN</x:v>
      </x:c>
    </x:row>
    <x:row r="11">
      <x:c r="A11" s="15" t="str">
        <x:v>Z07</x:v>
      </x:c>
      <x:c r="B11" s="15" t="str">
        <x:v>San Pedro Bay</x:v>
      </x:c>
      <x:c r="C11" s="15" t="str">
        <x:v>RUA-300</x:v>
      </x:c>
      <x:c r="D11" s="15" t="str">
        <x:v>Pacific</x:v>
      </x:c>
      <x:c r="E11" s="15" t="str">
        <x:v>Southern California</x:v>
      </x:c>
      <x:c r="F11" s="15" t="str">
        <x:v>Seismic / drought / port concentration</x:v>
      </x:c>
      <x:c r="G11" s="15" t="str">
        <x:v>Southern California utility and water projection</x:v>
      </x:c>
      <x:c r="H11" s="15" t="str">
        <x:v>OPEN</x:v>
      </x:c>
    </x:row>
    <x:row r="12">
      <x:c r="A12" s="10" t="str">
        <x:v>Z08</x:v>
      </x:c>
      <x:c r="B12" s="10" t="str">
        <x:v>California Bay–Delta</x:v>
      </x:c>
      <x:c r="C12" s="10" t="str">
        <x:v>RUA-300</x:v>
      </x:c>
      <x:c r="D12" s="10" t="str">
        <x:v>Pacific</x:v>
      </x:c>
      <x:c r="E12" s="10" t="str">
        <x:v>Northern California</x:v>
      </x:c>
      <x:c r="F12" s="10" t="str">
        <x:v>Seismic / flood / drought / delta dependence</x:v>
      </x:c>
      <x:c r="G12" s="10" t="str">
        <x:v>Bay–Delta utility and inland corridor interface</x:v>
      </x:c>
      <x:c r="H12" s="10" t="str">
        <x:v>OPEN</x:v>
      </x:c>
    </x:row>
    <x:row r="13">
      <x:c r="A13" s="15" t="str">
        <x:v>Z09</x:v>
      </x:c>
      <x:c r="B13" s="15" t="str">
        <x:v>Columbia–Willamette</x:v>
      </x:c>
      <x:c r="C13" s="15" t="str">
        <x:v>RUA-300</x:v>
      </x:c>
      <x:c r="D13" s="15" t="str">
        <x:v>Pacific</x:v>
      </x:c>
      <x:c r="E13" s="15" t="str">
        <x:v>Cascadia South</x:v>
      </x:c>
      <x:c r="F13" s="15" t="str">
        <x:v>Subduction / river flood / volcanic ash</x:v>
      </x:c>
      <x:c r="G13" s="15" t="str">
        <x:v>Pacific Northwest south and inland water access</x:v>
      </x:c>
      <x:c r="H13" s="15" t="str">
        <x:v>OPEN</x:v>
      </x:c>
    </x:row>
    <x:row r="14">
      <x:c r="A14" s="10" t="str">
        <x:v>Z10</x:v>
      </x:c>
      <x:c r="B14" s="10" t="str">
        <x:v>Puget Sound</x:v>
      </x:c>
      <x:c r="C14" s="10" t="str">
        <x:v>RUA-300</x:v>
      </x:c>
      <x:c r="D14" s="10" t="str">
        <x:v>Pacific</x:v>
      </x:c>
      <x:c r="E14" s="10" t="str">
        <x:v>Cascadia North</x:v>
      </x:c>
      <x:c r="F14" s="10" t="str">
        <x:v>Subduction / tsunami / landslide</x:v>
      </x:c>
      <x:c r="G14" s="10" t="str">
        <x:v>Pacific Northwest north and Alaska approach</x:v>
      </x:c>
      <x:c r="H14" s="10" t="str">
        <x:v>OPEN</x:v>
      </x:c>
    </x:row>
    <x:row r="15">
      <x:c r="A15" s="15" t="str">
        <x:v>Z11</x:v>
      </x:c>
      <x:c r="B15" s="15" t="str">
        <x:v>Puerto Rico north/east</x:v>
      </x:c>
      <x:c r="C15" s="15" t="str">
        <x:v>IUA-60</x:v>
      </x:c>
      <x:c r="D15" s="15" t="str">
        <x:v>Caribbean</x:v>
      </x:c>
      <x:c r="E15" s="15" t="str">
        <x:v>Puerto Rico East</x:v>
      </x:c>
      <x:c r="F15" s="15" t="str">
        <x:v>Hurricane / seismic / island grid</x:v>
      </x:c>
      <x:c r="G15" s="15" t="str">
        <x:v>Resident bridge and major load coverage</x:v>
      </x:c>
      <x:c r="H15" s="15" t="str">
        <x:v>OPEN</x:v>
      </x:c>
    </x:row>
    <x:row r="16">
      <x:c r="A16" s="10" t="str">
        <x:v>Z12</x:v>
      </x:c>
      <x:c r="B16" s="10" t="str">
        <x:v>Puerto Rico south/west</x:v>
      </x:c>
      <x:c r="C16" s="10" t="str">
        <x:v>IUA-60</x:v>
      </x:c>
      <x:c r="D16" s="10" t="str">
        <x:v>Caribbean</x:v>
      </x:c>
      <x:c r="E16" s="10" t="str">
        <x:v>Puerto Rico West</x:v>
      </x:c>
      <x:c r="F16" s="10" t="str">
        <x:v>Hurricane / seismic / route separation</x:v>
      </x:c>
      <x:c r="G16" s="10" t="str">
        <x:v>Dissimilar island reception and generation access</x:v>
      </x:c>
      <x:c r="H16" s="10" t="str">
        <x:v>OPEN</x:v>
      </x:c>
    </x:row>
    <x:row r="17">
      <x:c r="A17" s="15" t="str">
        <x:v>Z13</x:v>
      </x:c>
      <x:c r="B17" s="15" t="str">
        <x:v>U.S. Virgin Islands</x:v>
      </x:c>
      <x:c r="C17" s="15" t="str">
        <x:v>IUA-60</x:v>
      </x:c>
      <x:c r="D17" s="15" t="str">
        <x:v>Caribbean</x:v>
      </x:c>
      <x:c r="E17" s="15" t="str">
        <x:v>USVI</x:v>
      </x:c>
      <x:c r="F17" s="15" t="str">
        <x:v>Hurricane / seismic / small isolated grids</x:v>
      </x:c>
      <x:c r="G17" s="15" t="str">
        <x:v>Resident compact utility assurance</x:v>
      </x:c>
      <x:c r="H17" s="15" t="str">
        <x:v>OPEN</x:v>
      </x:c>
    </x:row>
    <x:row r="18">
      <x:c r="A18" s="10" t="str">
        <x:v>Z14</x:v>
      </x:c>
      <x:c r="B18" s="10" t="str">
        <x:v>Hawaiʻi</x:v>
      </x:c>
      <x:c r="C18" s="10" t="str">
        <x:v>IUA-60</x:v>
      </x:c>
      <x:c r="D18" s="10" t="str">
        <x:v>Central Pacific</x:v>
      </x:c>
      <x:c r="E18" s="10" t="str">
        <x:v>Hawaiian Islands</x:v>
      </x:c>
      <x:c r="F18" s="10" t="str">
        <x:v>Cyclone / volcanic / seismic / imported fuel</x:v>
      </x:c>
      <x:c r="G18" s="10" t="str">
        <x:v>Central Pacific resident utility assurance</x:v>
      </x:c>
      <x:c r="H18" s="10" t="str">
        <x:v>OPEN</x:v>
      </x:c>
    </x:row>
    <x:row r="19">
      <x:c r="A19" s="15" t="str">
        <x:v>Z15</x:v>
      </x:c>
      <x:c r="B19" s="15" t="str">
        <x:v>Guam</x:v>
      </x:c>
      <x:c r="C19" s="15" t="str">
        <x:v>IUA-60</x:v>
      </x:c>
      <x:c r="D19" s="15" t="str">
        <x:v>Western Pacific</x:v>
      </x:c>
      <x:c r="E19" s="15" t="str">
        <x:v>Marianas South</x:v>
      </x:c>
      <x:c r="F19" s="15" t="str">
        <x:v>Typhoon / seismic / tsunami / long transit</x:v>
      </x:c>
      <x:c r="G19" s="15" t="str">
        <x:v>Western Pacific strategic utility base</x:v>
      </x:c>
      <x:c r="H19" s="15" t="str">
        <x:v>OPEN</x:v>
      </x:c>
    </x:row>
    <x:row r="20">
      <x:c r="A20" s="10" t="str">
        <x:v>Z16</x:v>
      </x:c>
      <x:c r="B20" s="10" t="str">
        <x:v>Northern Mariana Islands</x:v>
      </x:c>
      <x:c r="C20" s="10" t="str">
        <x:v>IUA-60</x:v>
      </x:c>
      <x:c r="D20" s="10" t="str">
        <x:v>Western Pacific</x:v>
      </x:c>
      <x:c r="E20" s="10" t="str">
        <x:v>Marianas North</x:v>
      </x:c>
      <x:c r="F20" s="10" t="str">
        <x:v>Typhoon / seismic / small-grid dispersion</x:v>
      </x:c>
      <x:c r="G20" s="10" t="str">
        <x:v>Dissimilar Marianas reception and local bridge</x:v>
      </x:c>
      <x:c r="H20" s="10" t="str">
        <x:v>OPEN</x:v>
      </x:c>
    </x:row>
    <x:row r="21">
      <x:c r="A21" s="15" t="str">
        <x:v>Z17</x:v>
      </x:c>
      <x:c r="B21" s="15" t="str">
        <x:v>American Samoa</x:v>
      </x:c>
      <x:c r="C21" s="15" t="str">
        <x:v>IUA-60</x:v>
      </x:c>
      <x:c r="D21" s="15" t="str">
        <x:v>South Pacific</x:v>
      </x:c>
      <x:c r="E21" s="15" t="str">
        <x:v>Samoa</x:v>
      </x:c>
      <x:c r="F21" s="15" t="str">
        <x:v>Cyclone / earthquake / tsunami / land constraint</x:v>
      </x:c>
      <x:c r="G21" s="15" t="str">
        <x:v>Resident South Pacific utility assurance</x:v>
      </x:c>
      <x:c r="H21" s="15" t="str">
        <x:v>OPEN</x:v>
      </x:c>
    </x:row>
    <x:row r="22">
      <x:c r="A22" s="10" t="str">
        <x:v>Z18</x:v>
      </x:c>
      <x:c r="B22" s="10" t="str">
        <x:v>Southcentral Alaska</x:v>
      </x:c>
      <x:c r="C22" s="10" t="str">
        <x:v>IUA-60</x:v>
      </x:c>
      <x:c r="D22" s="10" t="str">
        <x:v>Arctic/Alaska</x:v>
      </x:c>
      <x:c r="E22" s="10" t="str">
        <x:v>Alaska Southcentral</x:v>
      </x:c>
      <x:c r="F22" s="10" t="str">
        <x:v>Seismic / tsunami / cold / remote logistics</x:v>
      </x:c>
      <x:c r="G22" s="10" t="str">
        <x:v>Alaska maritime-inland utility bridge</x:v>
      </x:c>
      <x:c r="H22" s="10" t="str">
        <x:v>OPEN</x:v>
      </x:c>
    </x:row>
    <x:row r="23">
      <x:c r="A23" s="15" t="str">
        <x:v>Z19</x:v>
      </x:c>
      <x:c r="B23" s="15" t="str">
        <x:v>Chicago–Calumet</x:v>
      </x:c>
      <x:c r="C23" s="15" t="str">
        <x:v>LUA-150</x:v>
      </x:c>
      <x:c r="D23" s="15" t="str">
        <x:v>Inland</x:v>
      </x:c>
      <x:c r="E23" s="15" t="str">
        <x:v>Great Lakes West</x:v>
      </x:c>
      <x:c r="F23" s="15" t="str">
        <x:v>Heat / cold / flood / freight concentration</x:v>
      </x:c>
      <x:c r="G23" s="15" t="str">
        <x:v>Great Lakes west reception and national fabrication</x:v>
      </x:c>
      <x:c r="H23" s="15" t="str">
        <x:v>OPEN</x:v>
      </x:c>
    </x:row>
    <x:row r="24">
      <x:c r="A24" s="10" t="str">
        <x:v>Z20</x:v>
      </x:c>
      <x:c r="B24" s="10" t="str">
        <x:v>Detroit–Toledo</x:v>
      </x:c>
      <x:c r="C24" s="10" t="str">
        <x:v>LUA-150</x:v>
      </x:c>
      <x:c r="D24" s="10" t="str">
        <x:v>Inland</x:v>
      </x:c>
      <x:c r="E24" s="10" t="str">
        <x:v>Great Lakes Central</x:v>
      </x:c>
      <x:c r="F24" s="10" t="str">
        <x:v>Heat / cold / industrial and water-system interdependence</x:v>
      </x:c>
      <x:c r="G24" s="10" t="str">
        <x:v>Industrial utility recovery and lake access</x:v>
      </x:c>
      <x:c r="H24" s="10" t="str">
        <x:v>OPEN</x:v>
      </x:c>
    </x:row>
    <x:row r="25">
      <x:c r="A25" s="15" t="str">
        <x:v>Z21</x:v>
      </x:c>
      <x:c r="B25" s="15" t="str">
        <x:v>Cleveland–Erie</x:v>
      </x:c>
      <x:c r="C25" s="15" t="str">
        <x:v>LUA-150</x:v>
      </x:c>
      <x:c r="D25" s="15" t="str">
        <x:v>Inland</x:v>
      </x:c>
      <x:c r="E25" s="15" t="str">
        <x:v>Great Lakes East</x:v>
      </x:c>
      <x:c r="F25" s="15" t="str">
        <x:v>Heat / cold / lake storm / industrial legacy</x:v>
      </x:c>
      <x:c r="G25" s="15" t="str">
        <x:v>Eastern Great Lakes service and fabrication</x:v>
      </x:c>
      <x:c r="H25" s="15" t="str">
        <x:v>OPEN</x:v>
      </x:c>
    </x:row>
    <x:row r="26">
      <x:c r="A26" s="10" t="str">
        <x:v>Z22</x:v>
      </x:c>
      <x:c r="B26" s="10" t="str">
        <x:v>Buffalo–Niagara</x:v>
      </x:c>
      <x:c r="C26" s="10" t="str">
        <x:v>LUA-150</x:v>
      </x:c>
      <x:c r="D26" s="10" t="str">
        <x:v>Inland</x:v>
      </x:c>
      <x:c r="E26" s="10" t="str">
        <x:v>Great Lakes Outlet</x:v>
      </x:c>
      <x:c r="F26" s="10" t="str">
        <x:v>Cold / lake storm / cross-border interdependence</x:v>
      </x:c>
      <x:c r="G26" s="10" t="str">
        <x:v>Great Lakes outlet and partner interface</x:v>
      </x:c>
      <x:c r="H26" s="10" t="str">
        <x:v>OPEN</x:v>
      </x:c>
    </x:row>
    <x:row r="27">
      <x:c r="A27" s="15" t="str">
        <x:v>Z23</x:v>
      </x:c>
      <x:c r="B27" s="15" t="str">
        <x:v>Mid-Mississippi</x:v>
      </x:c>
      <x:c r="C27" s="15" t="str">
        <x:v>LUA-150</x:v>
      </x:c>
      <x:c r="D27" s="15" t="str">
        <x:v>Inland</x:v>
      </x:c>
      <x:c r="E27" s="15" t="str">
        <x:v>Mississippi Mid</x:v>
      </x:c>
      <x:c r="F27" s="15" t="str">
        <x:v>River flood / heat / seismic</x:v>
      </x:c>
      <x:c r="G27" s="15" t="str">
        <x:v>North–south river utility bridge</x:v>
      </x:c>
      <x:c r="H27" s="15" t="str">
        <x:v>OPEN</x:v>
      </x:c>
    </x:row>
    <x:row r="28">
      <x:c r="A28" s="10" t="str">
        <x:v>Z24</x:v>
      </x:c>
      <x:c r="B28" s="10" t="str">
        <x:v>Lower-Ohio confluence</x:v>
      </x:c>
      <x:c r="C28" s="10" t="str">
        <x:v>LUA-150</x:v>
      </x:c>
      <x:c r="D28" s="10" t="str">
        <x:v>Inland</x:v>
      </x:c>
      <x:c r="E28" s="10" t="str">
        <x:v>Ohio–Mississippi</x:v>
      </x:c>
      <x:c r="F28" s="10" t="str">
        <x:v>River flood / seismic / lock dependence</x:v>
      </x:c>
      <x:c r="G28" s="10" t="str">
        <x:v>East–west river and rail utility bridge</x:v>
      </x:c>
      <x:c r="H28" s="10" t="str">
        <x:v>OPEN</x:v>
      </x:c>
    </x:row>
    <x:row r="29">
      <x:c r="A29" s="15" t="str">
        <x:v>Z25</x:v>
      </x:c>
      <x:c r="B29" s="15" t="str">
        <x:v>Atlantic–Gulf integration range</x:v>
      </x:c>
      <x:c r="C29" s="15" t="str">
        <x:v>NUIC</x:v>
      </x:c>
      <x:c r="D29" s="15" t="str">
        <x:v>National</x:v>
      </x:c>
      <x:c r="E29" s="15" t="str">
        <x:v>Test East</x:v>
      </x:c>
      <x:c r="F29" s="15" t="str">
        <x:v>Controlled multi-hazard test envelope</x:v>
      </x:c>
      <x:c r="G29" s="15" t="str">
        <x:v>Full regional mission proof and alternate command</x:v>
      </x:c>
      <x:c r="H29" s="15" t="str">
        <x:v>OPEN</x:v>
      </x:c>
    </x:row>
    <x:row r="30">
      <x:c r="A30" s="10" t="str">
        <x:v>Z26</x:v>
      </x:c>
      <x:c r="B30" s="10" t="str">
        <x:v>Great Lakes–inland integration range</x:v>
      </x:c>
      <x:c r="C30" s="10" t="str">
        <x:v>NUIC</x:v>
      </x:c>
      <x:c r="D30" s="10" t="str">
        <x:v>National</x:v>
      </x:c>
      <x:c r="E30" s="10" t="str">
        <x:v>Test Inland</x:v>
      </x:c>
      <x:c r="F30" s="10" t="str">
        <x:v>Controlled freshwater, grid and corridor envelope</x:v>
      </x:c>
      <x:c r="G30" s="10" t="str">
        <x:v>Full inland mission proof and independent replication</x:v>
      </x:c>
      <x:c r="H30" s="10" t="str">
        <x:v>OPEN</x:v>
      </x:c>
    </x:row>
  </x:sheetData>
  <x:conditionalFormatting sqref="H5:H3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OPEN"/>
    <x:cfRule type="containsText" dxfId="3" priority="4" operator="containsText" text="HOL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8" hidden="0" customWidth="1"/>
    <x:col min="5" max="5" width="65" hidden="0" customWidth="1"/>
  </x:cols>
  <x:sheetData>
    <x:row r="1" ht="28" customHeight="1">
      <x:c r="A1" s="42" t="str">
        <x:v>Coverage Constraints</x:v>
      </x:c>
      <x:c r="B1" s="43"/>
      <x:c r="C1" s="43"/>
      <x:c r="D1" s="43"/>
      <x:c r="E1" s="43"/>
    </x:row>
    <x:row r="2" ht="20" customHeight="1">
      <x:c r="A2" s="44" t="str">
        <x:v>Coverage obligations are vetoes. They are not weighted into a compensatory site score.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Obligation</x:v>
      </x:c>
      <x:c r="B4" s="48" t="str">
        <x:v>Required</x:v>
      </x:c>
      <x:c r="C4" s="48" t="str">
        <x:v>Modeled</x:v>
      </x:c>
      <x:c r="D4" s="48" t="str">
        <x:v>Result</x:v>
      </x:c>
      <x:c r="E4" s="48" t="str">
        <x:v>Interpretation</x:v>
      </x:c>
    </x:row>
    <x:row r="5">
      <x:c r="A5" s="15" t="str">
        <x:v>RUA-300 complexes</x:v>
      </x:c>
      <x:c r="B5" s="16" t="n">
        <x:v>10</x:v>
      </x:c>
      <x:c r="C5" s="18" t="n">
        <x:f>COUNTIF('Candidate Zones'!C5:C30,"RUA-300")</x:f>
        <x:v>10</x:v>
      </x:c>
      <x:c r="D5" s="18" t="str">
        <x:f>IF(C5&gt;=B5,"PASS","FAIL")</x:f>
        <x:v>PASS</x:v>
      </x:c>
      <x:c r="E5" s="15" t="str">
        <x:v>Regional heavy coverage</x:v>
      </x:c>
    </x:row>
    <x:row r="6">
      <x:c r="A6" s="10" t="str">
        <x:v>IUA-60 complexes</x:v>
      </x:c>
      <x:c r="B6" s="16" t="n">
        <x:v>8</x:v>
      </x:c>
      <x:c r="C6" s="18" t="n">
        <x:f>COUNTIF('Candidate Zones'!C5:C30,"IUA-60")</x:f>
        <x:v>8</x:v>
      </x:c>
      <x:c r="D6" s="18" t="str">
        <x:f>IF(C6&gt;=B6,"PASS","FAIL")</x:f>
        <x:v>PASS</x:v>
      </x:c>
      <x:c r="E6" s="10" t="str">
        <x:v>Territory, island and remote-state assurance</x:v>
      </x:c>
    </x:row>
    <x:row r="7">
      <x:c r="A7" s="15" t="str">
        <x:v>LUA-150 complexes</x:v>
      </x:c>
      <x:c r="B7" s="16" t="n">
        <x:v>6</x:v>
      </x:c>
      <x:c r="C7" s="18" t="n">
        <x:f>COUNTIF('Candidate Zones'!C5:C30,"LUA-150")</x:f>
        <x:v>6</x:v>
      </x:c>
      <x:c r="D7" s="18" t="str">
        <x:f>IF(C7&gt;=B7,"PASS","FAIL")</x:f>
        <x:v>PASS</x:v>
      </x:c>
      <x:c r="E7" s="15" t="str">
        <x:v>Great Lakes and inland waterway substitution</x:v>
      </x:c>
    </x:row>
    <x:row r="8">
      <x:c r="A8" s="10" t="str">
        <x:v>National integration complexes</x:v>
      </x:c>
      <x:c r="B8" s="16" t="n">
        <x:v>2</x:v>
      </x:c>
      <x:c r="C8" s="18" t="n">
        <x:f>COUNTIF('Candidate Zones'!C5:C30,"NUIC")</x:f>
        <x:v>2</x:v>
      </x:c>
      <x:c r="D8" s="18" t="str">
        <x:f>IF(C8&gt;=B8,"PASS","FAIL")</x:f>
        <x:v>PASS</x:v>
      </x:c>
      <x:c r="E8" s="10" t="str">
        <x:v>Independent full-system proof</x:v>
      </x:c>
    </x:row>
    <x:row r="9">
      <x:c r="A9" s="15" t="str">
        <x:v>Atlantic regional zones</x:v>
      </x:c>
      <x:c r="B9" s="16" t="n">
        <x:v>3</x:v>
      </x:c>
      <x:c r="C9" s="18" t="n">
        <x:f>COUNTIFS('Candidate Zones'!C5:C30,"RUA-300",'Candidate Zones'!D5:D30,"Atlantic")</x:f>
        <x:v>3</x:v>
      </x:c>
      <x:c r="D9" s="18" t="str">
        <x:f>IF(C9&gt;=B9,"PASS","FAIL")</x:f>
        <x:v>PASS</x:v>
      </x:c>
      <x:c r="E9" s="15" t="str">
        <x:v>No single Atlantic gateway</x:v>
      </x:c>
    </x:row>
    <x:row r="10">
      <x:c r="A10" s="10" t="str">
        <x:v>Gulf regional zones</x:v>
      </x:c>
      <x:c r="B10" s="16" t="n">
        <x:v>3</x:v>
      </x:c>
      <x:c r="C10" s="18" t="n">
        <x:f>COUNTIFS('Candidate Zones'!C5:C30,"RUA-300",'Candidate Zones'!D5:D30,"Gulf")</x:f>
        <x:v>3</x:v>
      </x:c>
      <x:c r="D10" s="18" t="str">
        <x:f>IF(C10&gt;=B10,"PASS","FAIL")</x:f>
        <x:v>PASS</x:v>
      </x:c>
      <x:c r="E10" s="10" t="str">
        <x:v>Includes Florida and two Gulf systems</x:v>
      </x:c>
    </x:row>
    <x:row r="11">
      <x:c r="A11" s="15" t="str">
        <x:v>Pacific regional zones</x:v>
      </x:c>
      <x:c r="B11" s="16" t="n">
        <x:v>3</x:v>
      </x:c>
      <x:c r="C11" s="18" t="n">
        <x:f>COUNTIFS('Candidate Zones'!C5:C30,"RUA-300",'Candidate Zones'!D5:D30,"Pacific")</x:f>
        <x:v>4</x:v>
      </x:c>
      <x:c r="D11" s="18" t="str">
        <x:f>IF(C11&gt;=B11,"PASS","FAIL")</x:f>
        <x:v>PASS</x:v>
      </x:c>
      <x:c r="E11" s="15" t="str">
        <x:v>Current hypothesis provides four</x:v>
      </x:c>
    </x:row>
    <x:row r="12">
      <x:c r="A12" s="10" t="str">
        <x:v>Caribbean island zones</x:v>
      </x:c>
      <x:c r="B12" s="16" t="n">
        <x:v>3</x:v>
      </x:c>
      <x:c r="C12" s="18" t="n">
        <x:f>COUNTIFS('Candidate Zones'!C5:C30,"IUA-60",'Candidate Zones'!D5:D30,"Caribbean")</x:f>
        <x:v>3</x:v>
      </x:c>
      <x:c r="D12" s="18" t="str">
        <x:f>IF(C12&gt;=B12,"PASS","FAIL")</x:f>
        <x:v>PASS</x:v>
      </x:c>
      <x:c r="E12" s="10" t="str">
        <x:v>Two Puerto Rico sectors plus USVI</x:v>
      </x:c>
    </x:row>
    <x:row r="13">
      <x:c r="A13" s="15" t="str">
        <x:v>Remote Pacific island zones</x:v>
      </x:c>
      <x:c r="B13" s="16" t="n">
        <x:v>4</x:v>
      </x:c>
      <x:c r="C13" s="18" t="n">
        <x:f>COUNTIFS('Candidate Zones'!C5:C30,"IUA-60",'Candidate Zones'!D5:D30,"Central Pacific")+COUNTIFS('Candidate Zones'!C5:C30,"IUA-60",'Candidate Zones'!D5:D30,"Western Pacific")+COUNTIFS('Candidate Zones'!C5:C30,"IUA-60",'Candidate Zones'!D5:D30,"South Pacific")</x:f>
        <x:v>4</x:v>
      </x:c>
      <x:c r="D13" s="18" t="str">
        <x:f>IF(C13&gt;=B13,"PASS","FAIL")</x:f>
        <x:v>PASS</x:v>
      </x:c>
      <x:c r="E13" s="15" t="str">
        <x:v>Hawaiʻi, Guam, CNMI and American Samoa</x:v>
      </x:c>
    </x:row>
    <x:row r="14">
      <x:c r="A14" s="10" t="str">
        <x:v>Alaska/Arctic zone</x:v>
      </x:c>
      <x:c r="B14" s="16" t="n">
        <x:v>1</x:v>
      </x:c>
      <x:c r="C14" s="18" t="n">
        <x:f>COUNTIFS('Candidate Zones'!C5:C30,"IUA-60",'Candidate Zones'!D5:D30,"Arctic/Alaska")</x:f>
        <x:v>1</x:v>
      </x:c>
      <x:c r="D14" s="18" t="str">
        <x:f>IF(C14&gt;=B14,"PASS","FAIL")</x:f>
        <x:v>PASS</x:v>
      </x:c>
      <x:c r="E14" s="10" t="str">
        <x:v>Remote-state assurance</x:v>
      </x:c>
    </x:row>
    <x:row r="15">
      <x:c r="A15" s="15" t="str">
        <x:v>Open parcel records</x:v>
      </x:c>
      <x:c r="B15" s="16" t="n">
        <x:v>26</x:v>
      </x:c>
      <x:c r="C15" s="18" t="n">
        <x:f>COUNTIF('Candidate Zones'!H5:H30,"OPEN")</x:f>
        <x:v>26</x:v>
      </x:c>
      <x:c r="D15" s="18" t="str">
        <x:f>IF(C15&gt;=B15,"PASS","FAIL")</x:f>
        <x:v>PASS</x:v>
      </x:c>
      <x:c r="E15" s="15" t="str">
        <x:v>No false site selection claimed</x:v>
      </x:c>
    </x:row>
  </x:sheetData>
  <x:conditionalFormatting sqref="D5:D15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OPEN"/>
    <x:cfRule type="containsText" dxfId="7" priority="4" operator="containsText" text="HOL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43" hidden="0" customWidth="1"/>
    <x:col min="4" max="4" width="22" hidden="0" customWidth="1"/>
    <x:col min="5" max="5" width="18" hidden="0" customWidth="1"/>
  </x:cols>
  <x:sheetData>
    <x:row r="1" ht="28" customHeight="1">
      <x:c r="A1" s="42" t="str">
        <x:v>Anchor Complex Requirements</x:v>
      </x:c>
      <x:c r="B1" s="43"/>
      <x:c r="C1" s="43"/>
      <x:c r="D1" s="43"/>
      <x:c r="E1" s="43"/>
    </x:row>
    <x:row r="2" ht="20" customHeight="1">
      <x:c r="A2" s="44" t="str">
        <x:v>Each node is an operating system with a separated back node and civil service cells.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Requirement</x:v>
      </x:c>
      <x:c r="B4" s="48" t="str">
        <x:v>Wet/source node</x:v>
      </x:c>
      <x:c r="C4" s="48" t="str">
        <x:v>Back node and corridors</x:v>
      </x:c>
      <x:c r="D4" s="48" t="str">
        <x:v>Readiness evidence</x:v>
      </x:c>
      <x:c r="E4" s="48" t="str">
        <x:v>Gate</x:v>
      </x:c>
    </x:row>
    <x:row r="5">
      <x:c r="A5" s="15" t="str">
        <x:v>Hazard basis</x:v>
      </x:c>
      <x:c r="B5" s="15" t="str">
        <x:v>Approach, surge, tsunami, sediment, collision, cooling</x:v>
      </x:c>
      <x:c r="C5" s="15" t="str">
        <x:v>Flood, seismic, fire, heat, access and utility topology</x:v>
      </x:c>
      <x:c r="D5" s="15" t="str">
        <x:v>Joint site basis and covariance model</x:v>
      </x:c>
      <x:c r="E5" s="15" t="str">
        <x:v>OPEN</x:v>
      </x:c>
    </x:row>
    <x:row r="6">
      <x:c r="A6" s="10" t="str">
        <x:v>Power</x:v>
      </x:c>
      <x:c r="B6" s="10" t="str">
        <x:v>Protected marine landing and safe disconnect</x:v>
      </x:c>
      <x:c r="C6" s="10" t="str">
        <x:v>Grid-forming bus, grounding, protection, load blocks and local source</x:v>
      </x:c>
      <x:c r="D6" s="10" t="str">
        <x:v>Solved one-line and fault/transient trials</x:v>
      </x:c>
      <x:c r="E6" s="10" t="str">
        <x:v>OPEN</x:v>
      </x:c>
    </x:row>
    <x:row r="7">
      <x:c r="A7" s="15" t="str">
        <x:v>Water</x:v>
      </x:c>
      <x:c r="B7" s="15" t="str">
        <x:v>Intake, feed, process, concentrate and environmental monitoring</x:v>
      </x:c>
      <x:c r="C7" s="15" t="str">
        <x:v>Clearwell, lab release, trunks, boosters, storage and pressure zones</x:v>
      </x:c>
      <x:c r="D7" s="15" t="str">
        <x:v>Feed matrix and commissioned route trial</x:v>
      </x:c>
      <x:c r="E7" s="15" t="str">
        <x:v>OPEN</x:v>
      </x:c>
    </x:row>
    <x:row r="8">
      <x:c r="A8" s="10" t="str">
        <x:v>Movement</x:v>
      </x:c>
      <x:c r="B8" s="10" t="str">
        <x:v>Mooring, cargo transfer, workboats and alternate safe harbor</x:v>
      </x:c>
      <x:c r="C8" s="10" t="str">
        <x:v>Rail, road, waterway, laydown, cranes and crossing works</x:v>
      </x:c>
      <x:c r="D8" s="10" t="str">
        <x:v>Damaged-route reception exercise</x:v>
      </x:c>
      <x:c r="E8" s="10" t="str">
        <x:v>OPEN</x:v>
      </x:c>
    </x:row>
    <x:row r="9">
      <x:c r="A9" s="15" t="str">
        <x:v>Command</x:v>
      </x:c>
      <x:c r="B9" s="15" t="str">
        <x:v>Marine/source control and local port interface</x:v>
      </x:c>
      <x:c r="C9" s="15" t="str">
        <x:v>Joint utility command, technical release cells and civil allocation</x:v>
      </x:c>
      <x:c r="D9" s="15" t="str">
        <x:v>Full authority exercise with stop decisions</x:v>
      </x:c>
      <x:c r="E9" s="15" t="str">
        <x:v>OPEN</x:v>
      </x:c>
    </x:row>
    <x:row r="10">
      <x:c r="A10" s="10" t="str">
        <x:v>Sustainment</x:v>
      </x:c>
      <x:c r="B10" s="10" t="str">
        <x:v>Marine spares, tow, salvage and environmental response</x:v>
      </x:c>
      <x:c r="C10" s="10" t="str">
        <x:v>Depot, workshops, crews, housing, fuel and waste</x:v>
      </x:c>
      <x:c r="D10" s="10" t="str">
        <x:v>180-day rotation and regeneration trial</x:v>
      </x:c>
      <x:c r="E10" s="10" t="str">
        <x:v>OPEN</x:v>
      </x:c>
    </x:row>
    <x:row r="11">
      <x:c r="A11" s="15" t="str">
        <x:v>Substitution</x:v>
      </x:c>
      <x:c r="B11" s="15" t="str">
        <x:v>At least two unlike source profiles</x:v>
      </x:c>
      <x:c r="C11" s="15" t="str">
        <x:v>Common bus, fluid, control and evidence interfaces</x:v>
      </x:c>
      <x:c r="D11" s="15" t="str">
        <x:v>Live source swap without unsafe propagation</x:v>
      </x:c>
      <x:c r="E11" s="15" t="str">
        <x:v>OPEN</x:v>
      </x:c>
    </x:row>
    <x:row r="12">
      <x:c r="A12" s="10" t="str">
        <x:v>Transfer</x:v>
      </x:c>
      <x:c r="B12" s="10" t="str">
        <x:v>Safe disconnect and site restoration</x:v>
      </x:c>
      <x:c r="C12" s="10" t="str">
        <x:v>Host utility custody, records, training and residual service</x:v>
      </x:c>
      <x:c r="D12" s="10" t="str">
        <x:v>Transfer without second service collapse</x:v>
      </x:c>
      <x:c r="E12" s="10" t="str">
        <x:v>OPEN</x:v>
      </x:c>
    </x:row>
  </x:sheetData>
  <x:conditionalFormatting sqref="E5:E12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OPEN"/>
    <x:cfRule type="containsText" dxfId="11" priority="4" operator="containsText" text="HOL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60" hidden="0" customWidth="1"/>
  </x:cols>
  <x:sheetData>
    <x:row r="1" ht="28" customHeight="1">
      <x:c r="A1" s="42" t="str">
        <x:v>Utility Concurrency</x:v>
      </x:c>
      <x:c r="B1" s="43"/>
      <x:c r="C1" s="43"/>
      <x:c r="D1" s="43"/>
      <x:c r="E1" s="43"/>
      <x:c r="F1" s="43"/>
    </x:row>
    <x:row r="2" ht="20" customHeight="1">
      <x:c r="A2" s="44" t="str">
        <x:v>The Department-wide 3C + 5M + 2G + 20R standard translated into utility mission packages.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Mission type</x:v>
      </x:c>
      <x:c r="B4" s="48" t="str">
        <x:v>Campaigns</x:v>
      </x:c>
      <x:c r="C4" s="48" t="str">
        <x:v>Heavy source slot</x:v>
      </x:c>
      <x:c r="D4" s="48" t="str">
        <x:v>Compact source slot</x:v>
      </x:c>
      <x:c r="E4" s="48" t="str">
        <x:v>Typical duration d</x:v>
      </x:c>
      <x:c r="F4" s="48" t="str">
        <x:v>Reference public effect</x:v>
      </x:c>
    </x:row>
    <x:row r="5">
      <x:c r="A5" s="15" t="str">
        <x:v>Catastrophic regional</x:v>
      </x:c>
      <x:c r="B5" s="16" t="n">
        <x:v>2</x:v>
      </x:c>
      <x:c r="C5" s="16" t="n">
        <x:v>2</x:v>
      </x:c>
      <x:c r="D5" s="16" t="n">
        <x:v>0</x:v>
      </x:c>
      <x:c r="E5" s="16" t="n">
        <x:v>180</x:v>
      </x:c>
      <x:c r="F5" s="15" t="str">
        <x:v>Regional 260+ MW bus, 150,000 m³/day water and heavy corridors</x:v>
      </x:c>
    </x:row>
    <x:row r="6">
      <x:c r="A6" s="10" t="str">
        <x:v>Catastrophic island/remote</x:v>
      </x:c>
      <x:c r="B6" s="16" t="n">
        <x:v>1</x:v>
      </x:c>
      <x:c r="C6" s="16" t="n">
        <x:v>0</x:v>
      </x:c>
      <x:c r="D6" s="16" t="n">
        <x:v>1</x:v>
      </x:c>
      <x:c r="E6" s="16" t="n">
        <x:v>180</x:v>
      </x:c>
      <x:c r="F6" s="10" t="str">
        <x:v>Island 38+ MW bus, 20,000 m³/day water and high-head distribution</x:v>
      </x:c>
    </x:row>
    <x:row r="7">
      <x:c r="A7" s="15" t="str">
        <x:v>Major regional</x:v>
      </x:c>
      <x:c r="B7" s="16" t="n">
        <x:v>2</x:v>
      </x:c>
      <x:c r="C7" s="16" t="n">
        <x:v>1</x:v>
      </x:c>
      <x:c r="D7" s="16" t="n">
        <x:v>0</x:v>
      </x:c>
      <x:c r="E7" s="16" t="n">
        <x:v>60</x:v>
      </x:c>
      <x:c r="F7" s="15" t="str">
        <x:v>Selected critical-load islands, water and repair</x:v>
      </x:c>
    </x:row>
    <x:row r="8">
      <x:c r="A8" s="10" t="str">
        <x:v>Major island/inland</x:v>
      </x:c>
      <x:c r="B8" s="16" t="n">
        <x:v>3</x:v>
      </x:c>
      <x:c r="C8" s="16" t="n">
        <x:v>0</x:v>
      </x:c>
      <x:c r="D8" s="16" t="n">
        <x:v>1</x:v>
      </x:c>
      <x:c r="E8" s="16" t="n">
        <x:v>60</x:v>
      </x:c>
      <x:c r="F8" s="10" t="str">
        <x:v>Compact source, water and network restoration</x:v>
      </x:c>
    </x:row>
    <x:row r="9">
      <x:c r="A9" s="15" t="str">
        <x:v>Global heavy</x:v>
      </x:c>
      <x:c r="B9" s="16" t="n">
        <x:v>1</x:v>
      </x:c>
      <x:c r="C9" s="16" t="n">
        <x:v>1</x:v>
      </x:c>
      <x:c r="D9" s="16" t="n">
        <x:v>0</x:v>
      </x:c>
      <x:c r="E9" s="16" t="n">
        <x:v>120</x:v>
      </x:c>
      <x:c r="F9" s="15" t="str">
        <x:v>Partner-compatible regional utility package</x:v>
      </x:c>
    </x:row>
    <x:row r="10">
      <x:c r="A10" s="10" t="str">
        <x:v>Global compact</x:v>
      </x:c>
      <x:c r="B10" s="16" t="n">
        <x:v>1</x:v>
      </x:c>
      <x:c r="C10" s="16" t="n">
        <x:v>0</x:v>
      </x:c>
      <x:c r="D10" s="16" t="n">
        <x:v>1</x:v>
      </x:c>
      <x:c r="E10" s="16" t="n">
        <x:v>120</x:v>
      </x:c>
      <x:c r="F10" s="10" t="str">
        <x:v>Partner-compatible compact utility package</x:v>
      </x:c>
    </x:row>
    <x:row r="11">
      <x:c r="A11" s="45"/>
      <x:c r="B11" s="45"/>
      <x:c r="C11" s="45"/>
      <x:c r="D11" s="45"/>
      <x:c r="E11" s="45"/>
      <x:c r="F11" s="45"/>
    </x:row>
    <x:row r="12">
      <x:c r="A12" s="45"/>
      <x:c r="B12" s="45"/>
      <x:c r="C12" s="45"/>
      <x:c r="D12" s="45"/>
      <x:c r="E12" s="45"/>
      <x:c r="F12" s="45"/>
    </x:row>
    <x:row r="13">
      <x:c r="A13" s="46" t="str">
        <x:v>Declared force burden</x:v>
      </x:c>
      <x:c r="B13" s="47"/>
      <x:c r="C13" s="47"/>
      <x:c r="D13" s="47"/>
      <x:c r="E13" s="47"/>
      <x:c r="F13" s="47"/>
    </x:row>
    <x:row r="14" ht="28" customHeight="1">
      <x:c r="A14" s="48" t="str">
        <x:v>Measure</x:v>
      </x:c>
      <x:c r="B14" s="48" t="str">
        <x:v>Value</x:v>
      </x:c>
      <x:c r="C14" s="48" t="str">
        <x:v>Unit</x:v>
      </x:c>
      <x:c r="D14" s="48" t="str">
        <x:v>Formula</x:v>
      </x:c>
      <x:c r="E14" s="48" t="str">
        <x:v>Interpretation</x:v>
      </x:c>
      <x:c r="F14" s="48" t="str">
        <x:v>Status</x:v>
      </x:c>
    </x:row>
    <x:row r="15">
      <x:c r="A15" s="10" t="str">
        <x:v>Heavy source slots</x:v>
      </x:c>
      <x:c r="B15" s="18" t="n">
        <x:f>SUMPRODUCT(B5:B10,C5:C10)</x:f>
        <x:v>7</x:v>
      </x:c>
      <x:c r="C15" s="10" t="str">
        <x:v>simultaneous</x:v>
      </x:c>
      <x:c r="D15" s="10" t="str">
        <x:v>Sum of campaigns × slots</x:v>
      </x:c>
      <x:c r="E15" s="10" t="str">
        <x:v>NEC-300-equivalent mission demand</x:v>
      </x:c>
      <x:c r="F15" s="18" t="str">
        <x:f>IF(B15=7,"PASS","FAIL")</x:f>
        <x:v>PASS</x:v>
      </x:c>
    </x:row>
    <x:row r="16">
      <x:c r="A16" s="10" t="str">
        <x:v>Compact source slots</x:v>
      </x:c>
      <x:c r="B16" s="18" t="n">
        <x:f>SUMPRODUCT(B5:B10,D5:D10)</x:f>
        <x:v>5</x:v>
      </x:c>
      <x:c r="C16" s="10" t="str">
        <x:v>simultaneous</x:v>
      </x:c>
      <x:c r="D16" s="10" t="str">
        <x:v>Sum of campaigns × slots</x:v>
      </x:c>
      <x:c r="E16" s="10" t="str">
        <x:v>NEC-60-equivalent mission demand</x:v>
      </x:c>
      <x:c r="F16" s="18" t="str">
        <x:f>IF(B16=5,"PASS","FAIL")</x:f>
        <x:v>PASS</x:v>
      </x:c>
    </x:row>
    <x:row r="17">
      <x:c r="A17" s="10" t="str">
        <x:v>Residual reserve</x:v>
      </x:c>
      <x:c r="B17" s="18" t="n">
        <x:f>Controls!B11</x:f>
        <x:v>0.2</x:v>
      </x:c>
      <x:c r="C17" s="10" t="str">
        <x:v>share</x:v>
      </x:c>
      <x:c r="D17" s="10" t="str">
        <x:v>Control</x:v>
      </x:c>
      <x:c r="E17" s="10" t="str">
        <x:v>Must remain immediately employable</x:v>
      </x:c>
      <x:c r="F17" s="18" t="str">
        <x:f>IF(B17&gt;=0.2,"PASS","FAIL")</x:f>
        <x:v>PASS</x:v>
      </x:c>
    </x:row>
    <x:row r="18">
      <x:c r="A18" s="10" t="str">
        <x:v>Campaign count</x:v>
      </x:c>
      <x:c r="B18" s="18" t="n">
        <x:f>SUM(B5:B10)</x:f>
        <x:v>10</x:v>
      </x:c>
      <x:c r="C18" s="10" t="str">
        <x:v>campaigns</x:v>
      </x:c>
      <x:c r="D18" s="10" t="str">
        <x:v>Sum of six mission rows</x:v>
      </x:c>
      <x:c r="E18" s="10" t="str">
        <x:v>Ten utility-relevant simultaneous operations</x:v>
      </x:c>
      <x:c r="F18" s="18" t="str">
        <x:f>IF(B18=10,"PASS","FAIL")</x:f>
        <x:v>PASS</x:v>
      </x:c>
    </x:row>
  </x:sheetData>
  <x:conditionalFormatting sqref="F15:F18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OPEN"/>
    <x:cfRule type="containsText" dxfId="15" priority="4" operator="containsText" text="HOL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7" hidden="0" customWidth="1"/>
    <x:col min="9" max="9" width="17" hidden="0" customWidth="1"/>
    <x:col min="10" max="10" width="17" hidden="0" customWidth="1"/>
    <x:col min="11" max="11" width="42" hidden="0" customWidth="1"/>
  </x:cols>
  <x:sheetData>
    <x:row r="1" ht="28" customHeight="1">
      <x:c r="A1" s="42" t="str">
        <x:v>Fleet Demand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 ht="20" customHeight="1">
      <x:c r="A2" s="44" t="str">
        <x:v>Per-campaign module requirements generate simultaneous demand before reserve and availability.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4" ht="28" customHeight="1">
      <x:c r="A4" s="48" t="str">
        <x:v>Asset</x:v>
      </x:c>
      <x:c r="B4" s="48" t="str">
        <x:v>C-regional</x:v>
      </x:c>
      <x:c r="C4" s="48" t="str">
        <x:v>C-island</x:v>
      </x:c>
      <x:c r="D4" s="48" t="str">
        <x:v>M-regional</x:v>
      </x:c>
      <x:c r="E4" s="48" t="str">
        <x:v>M-island</x:v>
      </x:c>
      <x:c r="F4" s="48" t="str">
        <x:v>G-heavy</x:v>
      </x:c>
      <x:c r="G4" s="48" t="str">
        <x:v>G-compact</x:v>
      </x:c>
      <x:c r="H4" s="48" t="str">
        <x:v>Simultaneous demand</x:v>
      </x:c>
      <x:c r="I4" s="48" t="str">
        <x:v>Deterministic inventory</x:v>
      </x:c>
      <x:c r="J4" s="48" t="str">
        <x:v>Reliability inventory</x:v>
      </x:c>
      <x:c r="K4" s="48" t="str">
        <x:v>Function</x:v>
      </x:c>
    </x:row>
    <x:row r="5">
      <x:c r="A5" s="15" t="str">
        <x:v>NEC-300</x:v>
      </x:c>
      <x:c r="B5" s="16" t="n">
        <x:v>2</x:v>
      </x:c>
      <x:c r="C5" s="16" t="n">
        <x:v>0</x:v>
      </x:c>
      <x:c r="D5" s="16" t="n">
        <x:v>1</x:v>
      </x:c>
      <x:c r="E5" s="16" t="n">
        <x:v>0</x:v>
      </x:c>
      <x:c r="F5" s="16" t="n">
        <x:v>1</x:v>
      </x:c>
      <x:c r="G5" s="16" t="n">
        <x:v>0</x:v>
      </x:c>
      <x:c r="H5" s="18" t="n">
        <x:f>B5*Concurrency!B5+C5*Concurrency!B6+D5*Concurrency!B7+E5*Concurrency!B8+F5*Concurrency!B9+G5*Concurrency!B10</x:f>
        <x:v>7</x:v>
      </x:c>
      <x:c r="I5" s="18" t="n">
        <x:f>ROUNDUP(H5/(1-Controls!B11)/0.65,0)</x:f>
        <x:v>14</x:v>
      </x:c>
      <x:c r="J5" s="16" t="n">
        <x:v>15</x:v>
      </x:c>
      <x:c r="K5" s="15" t="str">
        <x:v>Large firm-energy core</x:v>
      </x:c>
    </x:row>
    <x:row r="6">
      <x:c r="A6" s="10" t="str">
        <x:v>NEC-60</x:v>
      </x:c>
      <x:c r="B6" s="16" t="n">
        <x:v>0</x:v>
      </x:c>
      <x:c r="C6" s="16" t="n">
        <x:v>1</x:v>
      </x:c>
      <x:c r="D6" s="16" t="n">
        <x:v>0</x:v>
      </x:c>
      <x:c r="E6" s="16" t="n">
        <x:v>1</x:v>
      </x:c>
      <x:c r="F6" s="16" t="n">
        <x:v>0</x:v>
      </x:c>
      <x:c r="G6" s="16" t="n">
        <x:v>1</x:v>
      </x:c>
      <x:c r="H6" s="18" t="n">
        <x:f>B6*Concurrency!B5+C6*Concurrency!B6+D6*Concurrency!B7+E6*Concurrency!B8+F6*Concurrency!B9+G6*Concurrency!B10</x:f>
        <x:v>5</x:v>
      </x:c>
      <x:c r="I6" s="18" t="n">
        <x:f>ROUNDUP(H6/(1-Controls!B11)/0.65,0)</x:f>
        <x:v>10</x:v>
      </x:c>
      <x:c r="J6" s="16" t="n">
        <x:v>12</x:v>
      </x:c>
      <x:c r="K6" s="10" t="str">
        <x:v>Compact firm-energy core</x:v>
      </x:c>
    </x:row>
    <x:row r="7">
      <x:c r="A7" s="15" t="str">
        <x:v>HFE-150</x:v>
      </x:c>
      <x:c r="B7" s="16" t="n">
        <x:v>1</x:v>
      </x:c>
      <x:c r="C7" s="16" t="n">
        <x:v>1</x:v>
      </x:c>
      <x:c r="D7" s="16" t="n">
        <x:v>1</x:v>
      </x:c>
      <x:c r="E7" s="16" t="n">
        <x:v>0</x:v>
      </x:c>
      <x:c r="F7" s="16" t="n">
        <x:v>2</x:v>
      </x:c>
      <x:c r="G7" s="16" t="n">
        <x:v>1</x:v>
      </x:c>
      <x:c r="H7" s="18" t="n">
        <x:f>B7*Concurrency!B5+C7*Concurrency!B6+D7*Concurrency!B7+E7*Concurrency!B8+F7*Concurrency!B9+G7*Concurrency!B10</x:f>
        <x:v>8</x:v>
      </x:c>
      <x:c r="I7" s="18" t="n">
        <x:f>ROUNDUP(H7/(1-Controls!B11)/0.75,0)</x:f>
        <x:v>14</x:v>
      </x:c>
      <x:c r="J7" s="16" t="n">
        <x:v>14</x:v>
      </x:c>
      <x:c r="K7" s="15" t="str">
        <x:v>Non-nuclear hybrid firm-energy source</x:v>
      </x:c>
    </x:row>
    <x:row r="8">
      <x:c r="A8" s="10" t="str">
        <x:v>WPB-100</x:v>
      </x:c>
      <x:c r="B8" s="16" t="n">
        <x:v>3</x:v>
      </x:c>
      <x:c r="C8" s="16" t="n">
        <x:v>0</x:v>
      </x:c>
      <x:c r="D8" s="16" t="n">
        <x:v>1</x:v>
      </x:c>
      <x:c r="E8" s="16" t="n">
        <x:v>0</x:v>
      </x:c>
      <x:c r="F8" s="16" t="n">
        <x:v>2</x:v>
      </x:c>
      <x:c r="G8" s="16" t="n">
        <x:v>0</x:v>
      </x:c>
      <x:c r="H8" s="18" t="n">
        <x:f>B8*Concurrency!B5+C8*Concurrency!B6+D8*Concurrency!B7+E8*Concurrency!B8+F8*Concurrency!B9+G8*Concurrency!B10</x:f>
        <x:v>10</x:v>
      </x:c>
      <x:c r="I8" s="18" t="n">
        <x:f>ROUNDUP(H8/(1-Controls!B11)/0.75,0)</x:f>
        <x:v>17</x:v>
      </x:c>
      <x:c r="J8" s="16" t="n">
        <x:v>17</x:v>
      </x:c>
      <x:c r="K8" s="10" t="str">
        <x:v>Regional water-process module</x:v>
      </x:c>
    </x:row>
    <x:row r="9">
      <x:c r="A9" s="15" t="str">
        <x:v>WPB-20</x:v>
      </x:c>
      <x:c r="B9" s="16" t="n">
        <x:v>0</x:v>
      </x:c>
      <x:c r="C9" s="16" t="n">
        <x:v>3</x:v>
      </x:c>
      <x:c r="D9" s="16" t="n">
        <x:v>0</x:v>
      </x:c>
      <x:c r="E9" s="16" t="n">
        <x:v>2</x:v>
      </x:c>
      <x:c r="F9" s="16" t="n">
        <x:v>0</x:v>
      </x:c>
      <x:c r="G9" s="16" t="n">
        <x:v>3</x:v>
      </x:c>
      <x:c r="H9" s="18" t="n">
        <x:f>B9*Concurrency!B5+C9*Concurrency!B6+D9*Concurrency!B7+E9*Concurrency!B8+F9*Concurrency!B9+G9*Concurrency!B10</x:f>
        <x:v>12</x:v>
      </x:c>
      <x:c r="I9" s="18" t="n">
        <x:f>ROUNDUP(H9/(1-Controls!B11)/0.75,0)</x:f>
        <x:v>20</x:v>
      </x:c>
      <x:c r="J9" s="16" t="n">
        <x:v>20</x:v>
      </x:c>
      <x:c r="K9" s="15" t="str">
        <x:v>Compact water-process module</x:v>
      </x:c>
    </x:row>
    <x:row r="10">
      <x:c r="A10" s="10" t="str">
        <x:v>SIG-100</x:v>
      </x:c>
      <x:c r="B10" s="16" t="n">
        <x:v>3</x:v>
      </x:c>
      <x:c r="C10" s="16" t="n">
        <x:v>0</x:v>
      </x:c>
      <x:c r="D10" s="16" t="n">
        <x:v>1</x:v>
      </x:c>
      <x:c r="E10" s="16" t="n">
        <x:v>0</x:v>
      </x:c>
      <x:c r="F10" s="16" t="n">
        <x:v>2</x:v>
      </x:c>
      <x:c r="G10" s="16" t="n">
        <x:v>0</x:v>
      </x:c>
      <x:c r="H10" s="18" t="n">
        <x:f>B10*Concurrency!B5+C10*Concurrency!B6+D10*Concurrency!B7+E10*Concurrency!B8+F10*Concurrency!B9+G10*Concurrency!B10</x:f>
        <x:v>10</x:v>
      </x:c>
      <x:c r="I10" s="18" t="n">
        <x:f>ROUNDUP(H10/(1-Controls!B11)/0.75,0)</x:f>
        <x:v>17</x:v>
      </x:c>
      <x:c r="J10" s="16" t="n">
        <x:v>17</x:v>
      </x:c>
      <x:c r="K10" s="10" t="str">
        <x:v>Regional shore-interface group</x:v>
      </x:c>
    </x:row>
    <x:row r="11">
      <x:c r="A11" s="15" t="str">
        <x:v>SIG-25</x:v>
      </x:c>
      <x:c r="B11" s="16" t="n">
        <x:v>0</x:v>
      </x:c>
      <x:c r="C11" s="16" t="n">
        <x:v>3</x:v>
      </x:c>
      <x:c r="D11" s="16" t="n">
        <x:v>0</x:v>
      </x:c>
      <x:c r="E11" s="16" t="n">
        <x:v>2</x:v>
      </x:c>
      <x:c r="F11" s="16" t="n">
        <x:v>0</x:v>
      </x:c>
      <x:c r="G11" s="16" t="n">
        <x:v>3</x:v>
      </x:c>
      <x:c r="H11" s="18" t="n">
        <x:f>B11*Concurrency!B5+C11*Concurrency!B6+D11*Concurrency!B7+E11*Concurrency!B8+F11*Concurrency!B9+G11*Concurrency!B10</x:f>
        <x:v>12</x:v>
      </x:c>
      <x:c r="I11" s="18" t="n">
        <x:f>ROUNDUP(H11/(1-Controls!B11)/0.75,0)</x:f>
        <x:v>20</x:v>
      </x:c>
      <x:c r="J11" s="16" t="n">
        <x:v>20</x:v>
      </x:c>
      <x:c r="K11" s="15" t="str">
        <x:v>Compact shore-interface group</x:v>
      </x:c>
    </x:row>
    <x:row r="12">
      <x:c r="A12" s="10" t="str">
        <x:v>RUCG-H</x:v>
      </x:c>
      <x:c r="B12" s="16" t="n">
        <x:v>4</x:v>
      </x:c>
      <x:c r="C12" s="16" t="n">
        <x:v>0</x:v>
      </x:c>
      <x:c r="D12" s="16" t="n">
        <x:v>3</x:v>
      </x:c>
      <x:c r="E12" s="16" t="n">
        <x:v>0</x:v>
      </x:c>
      <x:c r="F12" s="16" t="n">
        <x:v>4</x:v>
      </x:c>
      <x:c r="G12" s="16" t="n">
        <x:v>0</x:v>
      </x:c>
      <x:c r="H12" s="18" t="n">
        <x:f>B12*Concurrency!B5+C12*Concurrency!B6+D12*Concurrency!B7+E12*Concurrency!B8+F12*Concurrency!B9+G12*Concurrency!B10</x:f>
        <x:v>18</x:v>
      </x:c>
      <x:c r="I12" s="18" t="n">
        <x:f>ROUNDUP(H12/(1-Controls!B11)/0.7,0)</x:f>
        <x:v>33</x:v>
      </x:c>
      <x:c r="J12" s="16" t="n">
        <x:v>32</x:v>
      </x:c>
      <x:c r="K12" s="10" t="str">
        <x:v>Heavy utility-corridor group</x:v>
      </x:c>
    </x:row>
    <x:row r="13">
      <x:c r="A13" s="15" t="str">
        <x:v>RUCG-I</x:v>
      </x:c>
      <x:c r="B13" s="16" t="n">
        <x:v>0</x:v>
      </x:c>
      <x:c r="C13" s="16" t="n">
        <x:v>4</x:v>
      </x:c>
      <x:c r="D13" s="16" t="n">
        <x:v>0</x:v>
      </x:c>
      <x:c r="E13" s="16" t="n">
        <x:v>3</x:v>
      </x:c>
      <x:c r="F13" s="16" t="n">
        <x:v>0</x:v>
      </x:c>
      <x:c r="G13" s="16" t="n">
        <x:v>1</x:v>
      </x:c>
      <x:c r="H13" s="18" t="n">
        <x:f>B13*Concurrency!B5+C13*Concurrency!B6+D13*Concurrency!B7+E13*Concurrency!B8+F13*Concurrency!B9+G13*Concurrency!B10</x:f>
        <x:v>14</x:v>
      </x:c>
      <x:c r="I13" s="18" t="n">
        <x:f>ROUNDUP(H13/(1-Controls!B11)/0.7,0)</x:f>
        <x:v>25</x:v>
      </x:c>
      <x:c r="J13" s="16" t="n">
        <x:v>25</x:v>
      </x:c>
      <x:c r="K13" s="15" t="str">
        <x:v>Island/high-head corridor group</x:v>
      </x:c>
    </x:row>
    <x:row r="14">
      <x:c r="A14" s="10" t="str">
        <x:v>SDG</x:v>
      </x:c>
      <x:c r="B14" s="16" t="n">
        <x:v>2</x:v>
      </x:c>
      <x:c r="C14" s="16" t="n">
        <x:v>3</x:v>
      </x:c>
      <x:c r="D14" s="16" t="n">
        <x:v>1</x:v>
      </x:c>
      <x:c r="E14" s="16" t="n">
        <x:v>1</x:v>
      </x:c>
      <x:c r="F14" s="16" t="n">
        <x:v>2</x:v>
      </x:c>
      <x:c r="G14" s="16" t="n">
        <x:v>1</x:v>
      </x:c>
      <x:c r="H14" s="18" t="n">
        <x:f>B14*Concurrency!B5+C14*Concurrency!B6+D14*Concurrency!B7+E14*Concurrency!B8+F14*Concurrency!B9+G14*Concurrency!B10</x:f>
        <x:v>15</x:v>
      </x:c>
      <x:c r="I14" s="18" t="n">
        <x:f>ROUNDUP(H14/(1-Controls!B11)/0.75,0)</x:f>
        <x:v>25</x:v>
      </x:c>
      <x:c r="J14" s="16" t="n">
        <x:v>25</x:v>
      </x:c>
      <x:c r="K14" s="10" t="str">
        <x:v>Storage and distribution group</x:v>
      </x:c>
    </x:row>
    <x:row r="15">
      <x:c r="A15" s="15" t="str">
        <x:v>MSG</x:v>
      </x:c>
      <x:c r="B15" s="16" t="n">
        <x:v>2</x:v>
      </x:c>
      <x:c r="C15" s="16" t="n">
        <x:v>2</x:v>
      </x:c>
      <x:c r="D15" s="16" t="n">
        <x:v>1</x:v>
      </x:c>
      <x:c r="E15" s="16" t="n">
        <x:v>0</x:v>
      </x:c>
      <x:c r="F15" s="16" t="n">
        <x:v>2</x:v>
      </x:c>
      <x:c r="G15" s="16" t="n">
        <x:v>0</x:v>
      </x:c>
      <x:c r="H15" s="18" t="n">
        <x:f>B15*Concurrency!B5+C15*Concurrency!B6+D15*Concurrency!B7+E15*Concurrency!B8+F15*Concurrency!B9+G15*Concurrency!B10</x:f>
        <x:v>10</x:v>
      </x:c>
      <x:c r="I15" s="18" t="n">
        <x:f>ROUNDUP(H15/(1-Controls!B11)/0.7,0)</x:f>
        <x:v>18</x:v>
      </x:c>
      <x:c r="J15" s="16" t="n">
        <x:v>19</x:v>
      </x:c>
      <x:c r="K15" s="15" t="str">
        <x:v>Marine support and salvage group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20" hidden="0" customWidth="1"/>
    <x:col min="6" max="6" width="20" hidden="0" customWidth="1"/>
    <x:col min="7" max="7" width="17" hidden="0" customWidth="1"/>
    <x:col min="8" max="8" width="46" hidden="0" customWidth="1"/>
  </x:cols>
  <x:sheetData>
    <x:row r="1" ht="28" customHeight="1">
      <x:c r="A1" s="42" t="str">
        <x:v>Fleet Reliability</x:v>
      </x:c>
      <x:c r="B1" s="43"/>
      <x:c r="C1" s="43"/>
      <x:c r="D1" s="43"/>
      <x:c r="E1" s="43"/>
      <x:c r="F1" s="43"/>
      <x:c r="G1" s="43"/>
      <x:c r="H1" s="43"/>
    </x:row>
    <x:row r="2" ht="20" customHeight="1">
      <x:c r="A2" s="44" t="str">
        <x:v>Independent Bernoulli availability is a screening approximation; correlated class holds remain an open gate.</x:v>
      </x:c>
      <x:c r="B2" s="44"/>
      <x:c r="C2" s="44"/>
      <x:c r="D2" s="44"/>
      <x:c r="E2" s="44"/>
      <x:c r="F2" s="44"/>
      <x:c r="G2" s="44"/>
      <x:c r="H2" s="44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 ht="28" customHeight="1">
      <x:c r="A4" s="48" t="str">
        <x:v>Asset</x:v>
      </x:c>
      <x:c r="B4" s="48" t="str">
        <x:v>Demand k</x:v>
      </x:c>
      <x:c r="C4" s="48" t="str">
        <x:v>Availability p</x:v>
      </x:c>
      <x:c r="D4" s="48" t="str">
        <x:v>Selected n</x:v>
      </x:c>
      <x:c r="E4" s="48" t="str">
        <x:v>P(at least k)</x:v>
      </x:c>
      <x:c r="F4" s="48" t="str">
        <x:v>P with n−1</x:v>
      </x:c>
      <x:c r="G4" s="48" t="str">
        <x:v>Minimum at target</x:v>
      </x:c>
      <x:c r="H4" s="48" t="str">
        <x:v>Interpretation</x:v>
      </x:c>
    </x:row>
    <x:row r="5">
      <x:c r="A5" s="49" t="str">
        <x:v>NEC-300</x:v>
      </x:c>
      <x:c r="B5" s="50" t="n">
        <x:f>'Fleet Demand'!H5</x:f>
        <x:v>7</x:v>
      </x:c>
      <x:c r="C5" s="51" t="n">
        <x:v>0.65</x:v>
      </x:c>
      <x:c r="D5" s="50" t="n">
        <x:f>'Fleet Demand'!J5</x:f>
        <x:v>15</x:v>
      </x:c>
      <x:c r="E5" s="52" t="n">
        <x:f>1-BINOM.DIST(B5-1,D5,C5,TRUE)</x:f>
        <x:v>0.9578061621</x:v>
      </x:c>
      <x:c r="F5" s="52" t="n">
        <x:f>1-BINOM.DIST(B5-1,D5-1,C5,TRUE)</x:f>
        <x:v>0.9246554254</x:v>
      </x:c>
      <x:c r="G5" s="50" t="str">
        <x:f>IF(AND(E5&gt;=Controls!B12,F5&lt;Controls!B12),"PASS","FAIL")</x:f>
        <x:v>PASS</x:v>
      </x:c>
      <x:c r="H5" s="49" t="str">
        <x:v>Nuclear screen is especially vulnerable to correlated design, supplier, port and regulatory holds</x:v>
      </x:c>
    </x:row>
    <x:row r="6">
      <x:c r="A6" s="45" t="str">
        <x:v>NEC-60</x:v>
      </x:c>
      <x:c r="B6" s="50" t="n">
        <x:f>'Fleet Demand'!H6</x:f>
        <x:v>5</x:v>
      </x:c>
      <x:c r="C6" s="51" t="n">
        <x:v>0.65</x:v>
      </x:c>
      <x:c r="D6" s="50" t="n">
        <x:f>'Fleet Demand'!J6</x:f>
        <x:v>12</x:v>
      </x:c>
      <x:c r="E6" s="52" t="n">
        <x:f>1-BINOM.DIST(B6-1,D6,C6,TRUE)</x:f>
        <x:v>0.974492543</x:v>
      </x:c>
      <x:c r="F6" s="52" t="n">
        <x:f>1-BINOM.DIST(B6-1,D6-1,C6,TRUE)</x:f>
        <x:v>0.9498572896</x:v>
      </x:c>
      <x:c r="G6" s="50" t="str">
        <x:f>IF(AND(E6&gt;=Controls!B12,F6&lt;Controls!B12),"PASS","FAIL")</x:f>
        <x:v>PASS</x:v>
      </x:c>
      <x:c r="H6" s="45" t="str">
        <x:v>Nuclear screen is especially vulnerable to correlated design, supplier, port and regulatory holds</x:v>
      </x:c>
    </x:row>
    <x:row r="7">
      <x:c r="A7" s="49" t="str">
        <x:v>HFE-150</x:v>
      </x:c>
      <x:c r="B7" s="50" t="n">
        <x:f>'Fleet Demand'!H7</x:f>
        <x:v>8</x:v>
      </x:c>
      <x:c r="C7" s="51" t="n">
        <x:v>0.75</x:v>
      </x:c>
      <x:c r="D7" s="50" t="n">
        <x:f>'Fleet Demand'!J7</x:f>
        <x:v>14</x:v>
      </x:c>
      <x:c r="E7" s="52" t="n">
        <x:f>1-BINOM.DIST(B7-1,D7,C7,TRUE)</x:f>
        <x:v>0.9617292434</x:v>
      </x:c>
      <x:c r="F7" s="52" t="n">
        <x:f>1-BINOM.DIST(B7-1,D7-1,C7,TRUE)</x:f>
        <x:v>0.9197874069</x:v>
      </x:c>
      <x:c r="G7" s="50" t="str">
        <x:f>IF(AND(E7&gt;=Controls!B12,F7&lt;Controls!B12),"PASS","FAIL")</x:f>
        <x:v>PASS</x:v>
      </x:c>
      <x:c r="H7" s="49" t="str">
        <x:v>Availability must be replaced with empirical outage and repair distributions</x:v>
      </x:c>
    </x:row>
    <x:row r="8">
      <x:c r="A8" s="45" t="str">
        <x:v>WPB-100</x:v>
      </x:c>
      <x:c r="B8" s="50" t="n">
        <x:f>'Fleet Demand'!H8</x:f>
        <x:v>10</x:v>
      </x:c>
      <x:c r="C8" s="51" t="n">
        <x:v>0.75</x:v>
      </x:c>
      <x:c r="D8" s="50" t="n">
        <x:f>'Fleet Demand'!J8</x:f>
        <x:v>17</x:v>
      </x:c>
      <x:c r="E8" s="52" t="n">
        <x:f>1-BINOM.DIST(B8-1,D8,C8,TRUE)</x:f>
        <x:v>0.9597632198</x:v>
      </x:c>
      <x:c r="F8" s="52" t="n">
        <x:f>1-BINOM.DIST(B8-1,D8-1,C8,TRUE)</x:f>
        <x:v>0.9204427481</x:v>
      </x:c>
      <x:c r="G8" s="50" t="str">
        <x:f>IF(AND(E8&gt;=Controls!B12,F8&lt;Controls!B12),"PASS","FAIL")</x:f>
        <x:v>PASS</x:v>
      </x:c>
      <x:c r="H8" s="45" t="str">
        <x:v>Availability must be replaced with empirical outage and repair distributions</x:v>
      </x:c>
    </x:row>
    <x:row r="9">
      <x:c r="A9" s="49" t="str">
        <x:v>WPB-20</x:v>
      </x:c>
      <x:c r="B9" s="50" t="n">
        <x:f>'Fleet Demand'!H9</x:f>
        <x:v>12</x:v>
      </x:c>
      <x:c r="C9" s="51" t="n">
        <x:v>0.75</x:v>
      </x:c>
      <x:c r="D9" s="50" t="n">
        <x:f>'Fleet Demand'!J9</x:f>
        <x:v>20</x:v>
      </x:c>
      <x:c r="E9" s="52" t="n">
        <x:f>1-BINOM.DIST(B9-1,D9,C9,TRUE)</x:f>
        <x:v>0.9590748323</x:v>
      </x:c>
      <x:c r="F9" s="52" t="n">
        <x:f>1-BINOM.DIST(B9-1,D9-1,C9,TRUE)</x:f>
        <x:v>0.9225428188</x:v>
      </x:c>
      <x:c r="G9" s="50" t="str">
        <x:f>IF(AND(E9&gt;=Controls!B12,F9&lt;Controls!B12),"PASS","FAIL")</x:f>
        <x:v>PASS</x:v>
      </x:c>
      <x:c r="H9" s="49" t="str">
        <x:v>Availability must be replaced with empirical outage and repair distributions</x:v>
      </x:c>
    </x:row>
    <x:row r="10">
      <x:c r="A10" s="45" t="str">
        <x:v>SIG-100</x:v>
      </x:c>
      <x:c r="B10" s="50" t="n">
        <x:f>'Fleet Demand'!H10</x:f>
        <x:v>10</x:v>
      </x:c>
      <x:c r="C10" s="51" t="n">
        <x:v>0.75</x:v>
      </x:c>
      <x:c r="D10" s="50" t="n">
        <x:f>'Fleet Demand'!J10</x:f>
        <x:v>17</x:v>
      </x:c>
      <x:c r="E10" s="52" t="n">
        <x:f>1-BINOM.DIST(B10-1,D10,C10,TRUE)</x:f>
        <x:v>0.9597632198</x:v>
      </x:c>
      <x:c r="F10" s="52" t="n">
        <x:f>1-BINOM.DIST(B10-1,D10-1,C10,TRUE)</x:f>
        <x:v>0.9204427481</x:v>
      </x:c>
      <x:c r="G10" s="50" t="str">
        <x:f>IF(AND(E10&gt;=Controls!B12,F10&lt;Controls!B12),"PASS","FAIL")</x:f>
        <x:v>PASS</x:v>
      </x:c>
      <x:c r="H10" s="45" t="str">
        <x:v>Availability must be replaced with empirical outage and repair distributions</x:v>
      </x:c>
    </x:row>
    <x:row r="11">
      <x:c r="A11" s="49" t="str">
        <x:v>SIG-25</x:v>
      </x:c>
      <x:c r="B11" s="50" t="n">
        <x:f>'Fleet Demand'!H11</x:f>
        <x:v>12</x:v>
      </x:c>
      <x:c r="C11" s="51" t="n">
        <x:v>0.75</x:v>
      </x:c>
      <x:c r="D11" s="50" t="n">
        <x:f>'Fleet Demand'!J11</x:f>
        <x:v>20</x:v>
      </x:c>
      <x:c r="E11" s="52" t="n">
        <x:f>1-BINOM.DIST(B11-1,D11,C11,TRUE)</x:f>
        <x:v>0.9590748323</x:v>
      </x:c>
      <x:c r="F11" s="52" t="n">
        <x:f>1-BINOM.DIST(B11-1,D11-1,C11,TRUE)</x:f>
        <x:v>0.9225428188</x:v>
      </x:c>
      <x:c r="G11" s="50" t="str">
        <x:f>IF(AND(E11&gt;=Controls!B12,F11&lt;Controls!B12),"PASS","FAIL")</x:f>
        <x:v>PASS</x:v>
      </x:c>
      <x:c r="H11" s="49" t="str">
        <x:v>Availability must be replaced with empirical outage and repair distributions</x:v>
      </x:c>
    </x:row>
    <x:row r="12">
      <x:c r="A12" s="45" t="str">
        <x:v>RUCG-H</x:v>
      </x:c>
      <x:c r="B12" s="50" t="n">
        <x:f>'Fleet Demand'!H12</x:f>
        <x:v>18</x:v>
      </x:c>
      <x:c r="C12" s="51" t="n">
        <x:v>0.7</x:v>
      </x:c>
      <x:c r="D12" s="50" t="n">
        <x:f>'Fleet Demand'!J12</x:f>
        <x:v>32</x:v>
      </x:c>
      <x:c r="E12" s="52" t="n">
        <x:f>1-BINOM.DIST(B12-1,D12,C12,TRUE)</x:f>
        <x:v>0.9672763419</x:v>
      </x:c>
      <x:c r="F12" s="52" t="n">
        <x:f>1-BINOM.DIST(B12-1,D12-1,C12,TRUE)</x:f>
        <x:v>0.9466221985</x:v>
      </x:c>
      <x:c r="G12" s="50" t="str">
        <x:f>IF(AND(E12&gt;=Controls!B12,F12&lt;Controls!B12),"PASS","FAIL")</x:f>
        <x:v>PASS</x:v>
      </x:c>
      <x:c r="H12" s="45" t="str">
        <x:v>Availability must be replaced with empirical outage and repair distributions</x:v>
      </x:c>
    </x:row>
    <x:row r="13">
      <x:c r="A13" s="49" t="str">
        <x:v>RUCG-I</x:v>
      </x:c>
      <x:c r="B13" s="50" t="n">
        <x:f>'Fleet Demand'!H13</x:f>
        <x:v>14</x:v>
      </x:c>
      <x:c r="C13" s="51" t="n">
        <x:v>0.7</x:v>
      </x:c>
      <x:c r="D13" s="50" t="n">
        <x:f>'Fleet Demand'!J13</x:f>
        <x:v>25</x:v>
      </x:c>
      <x:c r="E13" s="52" t="n">
        <x:f>1-BINOM.DIST(B13-1,D13,C13,TRUE)</x:f>
        <x:v>0.9557535026</x:v>
      </x:c>
      <x:c r="F13" s="52" t="n">
        <x:f>1-BINOM.DIST(B13-1,D13-1,C13,TRUE)</x:f>
        <x:v>0.9257635349</x:v>
      </x:c>
      <x:c r="G13" s="50" t="str">
        <x:f>IF(AND(E13&gt;=Controls!B12,F13&lt;Controls!B12),"PASS","FAIL")</x:f>
        <x:v>PASS</x:v>
      </x:c>
      <x:c r="H13" s="49" t="str">
        <x:v>Availability must be replaced with empirical outage and repair distributions</x:v>
      </x:c>
    </x:row>
    <x:row r="14">
      <x:c r="A14" s="45" t="str">
        <x:v>SDG</x:v>
      </x:c>
      <x:c r="B14" s="50" t="n">
        <x:f>'Fleet Demand'!H14</x:f>
        <x:v>15</x:v>
      </x:c>
      <x:c r="C14" s="51" t="n">
        <x:v>0.75</x:v>
      </x:c>
      <x:c r="D14" s="50" t="n">
        <x:f>'Fleet Demand'!J14</x:f>
        <x:v>25</x:v>
      </x:c>
      <x:c r="E14" s="52" t="n">
        <x:f>1-BINOM.DIST(B14-1,D14,C14,TRUE)</x:f>
        <x:v>0.9703300881</x:v>
      </x:c>
      <x:c r="F14" s="52" t="n">
        <x:f>1-BINOM.DIST(B14-1,D14-1,C14,TRUE)</x:f>
        <x:v>0.9453350776</x:v>
      </x:c>
      <x:c r="G14" s="50" t="str">
        <x:f>IF(AND(E14&gt;=Controls!B12,F14&lt;Controls!B12),"PASS","FAIL")</x:f>
        <x:v>PASS</x:v>
      </x:c>
      <x:c r="H14" s="45" t="str">
        <x:v>Availability must be replaced with empirical outage and repair distributions</x:v>
      </x:c>
    </x:row>
    <x:row r="15">
      <x:c r="A15" s="49" t="str">
        <x:v>MSG</x:v>
      </x:c>
      <x:c r="B15" s="50" t="n">
        <x:f>'Fleet Demand'!H15</x:f>
        <x:v>10</x:v>
      </x:c>
      <x:c r="C15" s="51" t="n">
        <x:v>0.7</x:v>
      </x:c>
      <x:c r="D15" s="50" t="n">
        <x:f>'Fleet Demand'!J15</x:f>
        <x:v>19</x:v>
      </x:c>
      <x:c r="E15" s="52" t="n">
        <x:f>1-BINOM.DIST(B15-1,D15,C15,TRUE)</x:f>
        <x:v>0.9674466431</x:v>
      </x:c>
      <x:c r="F15" s="52" t="n">
        <x:f>1-BINOM.DIST(B15-1,D15-1,C15,TRUE)</x:f>
        <x:v>0.940414116</x:v>
      </x:c>
      <x:c r="G15" s="50" t="str">
        <x:f>IF(AND(E15&gt;=Controls!B12,F15&lt;Controls!B12),"PASS","FAIL")</x:f>
        <x:v>PASS</x:v>
      </x:c>
      <x:c r="H15" s="49" t="str">
        <x:v>Availability must be replaced with empirical outage and repair distributions</x:v>
      </x:c>
    </x:row>
    <x:row r="16">
      <x:c r="A16" s="45"/>
      <x:c r="B16" s="45"/>
      <x:c r="C16" s="45"/>
      <x:c r="D16" s="45"/>
      <x:c r="E16" s="45"/>
      <x:c r="F16" s="45"/>
      <x:c r="G16" s="45"/>
      <x:c r="H16" s="45"/>
    </x:row>
    <x:row r="17">
      <x:c r="A17" s="45"/>
      <x:c r="B17" s="45"/>
      <x:c r="C17" s="45"/>
      <x:c r="D17" s="45"/>
      <x:c r="E17" s="45"/>
      <x:c r="F17" s="45"/>
      <x:c r="G17" s="45"/>
      <x:c r="H17" s="45"/>
    </x:row>
    <x:row r="18">
      <x:c r="A18" s="46" t="str">
        <x:v>Eight-core comparison</x:v>
      </x:c>
      <x:c r="B18" s="47"/>
      <x:c r="C18" s="47"/>
      <x:c r="D18" s="47"/>
      <x:c r="E18" s="47"/>
      <x:c r="F18" s="47"/>
      <x:c r="G18" s="47"/>
      <x:c r="H18" s="47"/>
    </x:row>
    <x:row r="19" ht="28" customHeight="1">
      <x:c r="A19" s="48" t="str">
        <x:v>Inventory</x:v>
      </x:c>
      <x:c r="B19" s="48" t="str">
        <x:v>Demand</x:v>
      </x:c>
      <x:c r="C19" s="48" t="str">
        <x:v>Availability</x:v>
      </x:c>
      <x:c r="D19" s="48" t="str">
        <x:v>Probability</x:v>
      </x:c>
      <x:c r="E19" s="48" t="str">
        <x:v>Meaning</x:v>
      </x:c>
      <x:c r="F19" s="48" t="str">
        <x:v>Status</x:v>
      </x:c>
      <x:c r="G19" s="45"/>
      <x:c r="H19" s="45"/>
    </x:row>
    <x:row r="20">
      <x:c r="A20" s="16" t="n">
        <x:v>8</x:v>
      </x:c>
      <x:c r="B20" s="16" t="n">
        <x:v>3</x:v>
      </x:c>
      <x:c r="C20" s="16" t="n">
        <x:v>0.65</x:v>
      </x:c>
      <x:c r="D20" s="24" t="n">
        <x:f>1-BINOM.DIST(B20-1,A20,C20,TRUE)</x:f>
        <x:v>0.9746824867</x:v>
      </x:c>
      <x:c r="E20" s="10" t="str">
        <x:v>Pass 20 limited-fleet screen</x:v>
      </x:c>
      <x:c r="F20" s="18" t="str">
        <x:f>IF(D20&gt;=Controls!B12,"PASS","FAIL")</x:f>
        <x:v>PASS</x:v>
      </x:c>
      <x:c r="G20" s="45"/>
      <x:c r="H20" s="45"/>
    </x:row>
    <x:row r="21">
      <x:c r="A21" s="16" t="n">
        <x:v>8</x:v>
      </x:c>
      <x:c r="B21" s="16" t="n">
        <x:v>7</x:v>
      </x:c>
      <x:c r="C21" s="16" t="n">
        <x:v>0.65</x:v>
      </x:c>
      <x:c r="D21" s="24" t="n">
        <x:f>1-BINOM.DIST(B21-1,A21,C21,TRUE)</x:f>
        <x:v>0.16912686219999995</x:v>
      </x:c>
      <x:c r="E21" s="10" t="str">
        <x:v>Pass 22 concurrency demand</x:v>
      </x:c>
      <x:c r="F21" s="18" t="str">
        <x:f>IF(D21&gt;=Controls!B12,"PASS","FAIL")</x:f>
        <x:v>FAIL</x:v>
      </x:c>
      <x:c r="G21" s="45"/>
      <x:c r="H21" s="45"/>
    </x:row>
    <x:row r="22">
      <x:c r="A22" s="16" t="n">
        <x:v>15</x:v>
      </x:c>
      <x:c r="B22" s="16" t="n">
        <x:v>7</x:v>
      </x:c>
      <x:c r="C22" s="16" t="n">
        <x:v>0.65</x:v>
      </x:c>
      <x:c r="D22" s="24" t="n">
        <x:f>1-BINOM.DIST(B22-1,A22,C22,TRUE)</x:f>
        <x:v>0.9578061621</x:v>
      </x:c>
      <x:c r="E22" s="10" t="str">
        <x:v>Reference force-level screen</x:v>
      </x:c>
      <x:c r="F22" s="18" t="str">
        <x:f>IF(D22&gt;=Controls!B12,"PASS","FAIL")</x:f>
        <x:v>PASS</x:v>
      </x:c>
      <x:c r="G22" s="45"/>
      <x:c r="H22" s="45"/>
    </x:row>
  </x:sheetData>
  <x:conditionalFormatting sqref="G5:G15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OPEN"/>
    <x:cfRule type="containsText" dxfId="19" priority="4" operator="containsText" text="HOLD"/>
  </x:conditionalFormatting>
  <x:conditionalFormatting sqref="F20:F22">
    <x:cfRule type="containsText" dxfId="20" priority="5" operator="containsText" text="PASS"/>
    <x:cfRule type="containsText" dxfId="21" priority="6" operator="containsText" text="FAIL"/>
    <x:cfRule type="containsText" dxfId="22" priority="7" operator="containsText" text="OPEN"/>
    <x:cfRule type="containsText" dxfId="23" priority="8" operator="containsText" text="HOL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40" hidden="0" customWidth="1"/>
  </x:cols>
  <x:sheetData>
    <x:row r="1" ht="28" customHeight="1">
      <x:c r="A1" s="42" t="str">
        <x:v>Basin Allocation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20" customHeight="1">
      <x:c r="A2" s="44" t="str">
        <x:v>Illustrative home-basin distribution. It is a posture hypothesis, not a basing decision.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28" customHeight="1">
      <x:c r="A4" s="48" t="str">
        <x:v>Asset</x:v>
      </x:c>
      <x:c r="B4" s="48" t="str">
        <x:v>Atlantic</x:v>
      </x:c>
      <x:c r="C4" s="48" t="str">
        <x:v>Gulf</x:v>
      </x:c>
      <x:c r="D4" s="48" t="str">
        <x:v>Pacific</x:v>
      </x:c>
      <x:c r="E4" s="48" t="str">
        <x:v>Caribbean</x:v>
      </x:c>
      <x:c r="F4" s="48" t="str">
        <x:v>Central Pacific</x:v>
      </x:c>
      <x:c r="G4" s="48" t="str">
        <x:v>Western Pacific</x:v>
      </x:c>
      <x:c r="H4" s="48" t="str">
        <x:v>Remote/Alaska</x:v>
      </x:c>
      <x:c r="I4" s="48" t="str">
        <x:v>National/test</x:v>
      </x:c>
      <x:c r="J4" s="48" t="str">
        <x:v>Total</x:v>
      </x:c>
    </x:row>
    <x:row r="5">
      <x:c r="A5" s="15" t="str">
        <x:v>NEC-300</x:v>
      </x:c>
      <x:c r="B5" s="16" t="n">
        <x:v>4</x:v>
      </x:c>
      <x:c r="C5" s="16" t="n">
        <x:v>4</x:v>
      </x:c>
      <x:c r="D5" s="16" t="n">
        <x:v>5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2</x:v>
      </x:c>
      <x:c r="J5" s="18" t="n">
        <x:f>SUM(B5:I5)</x:f>
        <x:v>15</x:v>
      </x:c>
    </x:row>
    <x:row r="6">
      <x:c r="A6" s="10" t="str">
        <x:v>NEC-60</x:v>
      </x:c>
      <x:c r="B6" s="16" t="n">
        <x:v>0</x:v>
      </x:c>
      <x:c r="C6" s="16" t="n">
        <x:v>0</x:v>
      </x:c>
      <x:c r="D6" s="16" t="n">
        <x:v>0</x:v>
      </x:c>
      <x:c r="E6" s="16" t="n">
        <x:v>4</x:v>
      </x:c>
      <x:c r="F6" s="16" t="n">
        <x:v>3</x:v>
      </x:c>
      <x:c r="G6" s="16" t="n">
        <x:v>3</x:v>
      </x:c>
      <x:c r="H6" s="16" t="n">
        <x:v>1</x:v>
      </x:c>
      <x:c r="I6" s="16" t="n">
        <x:v>1</x:v>
      </x:c>
      <x:c r="J6" s="18" t="n">
        <x:f>SUM(B6:I6)</x:f>
        <x:v>12</x:v>
      </x:c>
    </x:row>
    <x:row r="7">
      <x:c r="A7" s="15" t="str">
        <x:v>HFE-150</x:v>
      </x:c>
      <x:c r="B7" s="16" t="n">
        <x:v>3</x:v>
      </x:c>
      <x:c r="C7" s="16" t="n">
        <x:v>3</x:v>
      </x:c>
      <x:c r="D7" s="16" t="n">
        <x:v>3</x:v>
      </x:c>
      <x:c r="E7" s="16" t="n">
        <x:v>2</x:v>
      </x:c>
      <x:c r="F7" s="16" t="n">
        <x:v>1</x:v>
      </x:c>
      <x:c r="G7" s="16" t="n">
        <x:v>1</x:v>
      </x:c>
      <x:c r="H7" s="16" t="n">
        <x:v>0</x:v>
      </x:c>
      <x:c r="I7" s="16" t="n">
        <x:v>1</x:v>
      </x:c>
      <x:c r="J7" s="18" t="n">
        <x:f>SUM(B7:I7)</x:f>
        <x:v>14</x:v>
      </x:c>
    </x:row>
    <x:row r="8">
      <x:c r="A8" s="10" t="str">
        <x:v>WPB-100</x:v>
      </x:c>
      <x:c r="B8" s="16" t="n">
        <x:v>5</x:v>
      </x:c>
      <x:c r="C8" s="16" t="n">
        <x:v>5</x:v>
      </x:c>
      <x:c r="D8" s="16" t="n">
        <x:v>5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2</x:v>
      </x:c>
      <x:c r="J8" s="18" t="n">
        <x:f>SUM(B8:I8)</x:f>
        <x:v>17</x:v>
      </x:c>
    </x:row>
    <x:row r="9">
      <x:c r="A9" s="15" t="str">
        <x:v>WPB-20</x:v>
      </x:c>
      <x:c r="B9" s="16" t="n">
        <x:v>0</x:v>
      </x:c>
      <x:c r="C9" s="16" t="n">
        <x:v>0</x:v>
      </x:c>
      <x:c r="D9" s="16" t="n">
        <x:v>0</x:v>
      </x:c>
      <x:c r="E9" s="16" t="n">
        <x:v>5</x:v>
      </x:c>
      <x:c r="F9" s="16" t="n">
        <x:v>4</x:v>
      </x:c>
      <x:c r="G9" s="16" t="n">
        <x:v>4</x:v>
      </x:c>
      <x:c r="H9" s="16" t="n">
        <x:v>2</x:v>
      </x:c>
      <x:c r="I9" s="16" t="n">
        <x:v>5</x:v>
      </x:c>
      <x:c r="J9" s="18" t="n">
        <x:f>SUM(B9:I9)</x:f>
        <x:v>20</x:v>
      </x:c>
    </x:row>
    <x:row r="10">
      <x:c r="A10" s="10" t="str">
        <x:v>SIG-100</x:v>
      </x:c>
      <x:c r="B10" s="16" t="n">
        <x:v>5</x:v>
      </x:c>
      <x:c r="C10" s="16" t="n">
        <x:v>5</x:v>
      </x:c>
      <x:c r="D10" s="16" t="n">
        <x:v>5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2</x:v>
      </x:c>
      <x:c r="J10" s="18" t="n">
        <x:f>SUM(B10:I10)</x:f>
        <x:v>17</x:v>
      </x:c>
    </x:row>
    <x:row r="11">
      <x:c r="A11" s="15" t="str">
        <x:v>SIG-25</x:v>
      </x:c>
      <x:c r="B11" s="16" t="n">
        <x:v>0</x:v>
      </x:c>
      <x:c r="C11" s="16" t="n">
        <x:v>0</x:v>
      </x:c>
      <x:c r="D11" s="16" t="n">
        <x:v>0</x:v>
      </x:c>
      <x:c r="E11" s="16" t="n">
        <x:v>5</x:v>
      </x:c>
      <x:c r="F11" s="16" t="n">
        <x:v>4</x:v>
      </x:c>
      <x:c r="G11" s="16" t="n">
        <x:v>4</x:v>
      </x:c>
      <x:c r="H11" s="16" t="n">
        <x:v>2</x:v>
      </x:c>
      <x:c r="I11" s="16" t="n">
        <x:v>5</x:v>
      </x:c>
      <x:c r="J11" s="18" t="n">
        <x:f>SUM(B11:I11)</x:f>
        <x:v>20</x:v>
      </x:c>
    </x:row>
    <x:row r="12">
      <x:c r="A12" s="10" t="str">
        <x:v>RUCG-H</x:v>
      </x:c>
      <x:c r="B12" s="16" t="n">
        <x:v>9</x:v>
      </x:c>
      <x:c r="C12" s="16" t="n">
        <x:v>9</x:v>
      </x:c>
      <x:c r="D12" s="16" t="n">
        <x:v>10</x:v>
      </x:c>
      <x:c r="E12" s="16" t="n">
        <x:v>0</x:v>
      </x:c>
      <x:c r="F12" s="16" t="n">
        <x:v>0</x:v>
      </x:c>
      <x:c r="G12" s="16" t="n">
        <x:v>0</x:v>
      </x:c>
      <x:c r="H12" s="16" t="n">
        <x:v>0</x:v>
      </x:c>
      <x:c r="I12" s="16" t="n">
        <x:v>4</x:v>
      </x:c>
      <x:c r="J12" s="18" t="n">
        <x:f>SUM(B12:I12)</x:f>
        <x:v>32</x:v>
      </x:c>
    </x:row>
    <x:row r="13">
      <x:c r="A13" s="15" t="str">
        <x:v>RUCG-I</x:v>
      </x:c>
      <x:c r="B13" s="16" t="n">
        <x:v>0</x:v>
      </x:c>
      <x:c r="C13" s="16" t="n">
        <x:v>0</x:v>
      </x:c>
      <x:c r="D13" s="16" t="n">
        <x:v>0</x:v>
      </x:c>
      <x:c r="E13" s="16" t="n">
        <x:v>6</x:v>
      </x:c>
      <x:c r="F13" s="16" t="n">
        <x:v>5</x:v>
      </x:c>
      <x:c r="G13" s="16" t="n">
        <x:v>5</x:v>
      </x:c>
      <x:c r="H13" s="16" t="n">
        <x:v>3</x:v>
      </x:c>
      <x:c r="I13" s="16" t="n">
        <x:v>6</x:v>
      </x:c>
      <x:c r="J13" s="18" t="n">
        <x:f>SUM(B13:I13)</x:f>
        <x:v>25</x:v>
      </x:c>
    </x:row>
    <x:row r="14">
      <x:c r="A14" s="10" t="str">
        <x:v>SDG</x:v>
      </x:c>
      <x:c r="B14" s="16" t="n">
        <x:v>5</x:v>
      </x:c>
      <x:c r="C14" s="16" t="n">
        <x:v>5</x:v>
      </x:c>
      <x:c r="D14" s="16" t="n">
        <x:v>5</x:v>
      </x:c>
      <x:c r="E14" s="16" t="n">
        <x:v>3</x:v>
      </x:c>
      <x:c r="F14" s="16" t="n">
        <x:v>2</x:v>
      </x:c>
      <x:c r="G14" s="16" t="n">
        <x:v>2</x:v>
      </x:c>
      <x:c r="H14" s="16" t="n">
        <x:v>1</x:v>
      </x:c>
      <x:c r="I14" s="16" t="n">
        <x:v>2</x:v>
      </x:c>
      <x:c r="J14" s="18" t="n">
        <x:f>SUM(B14:I14)</x:f>
        <x:v>25</x:v>
      </x:c>
    </x:row>
    <x:row r="15">
      <x:c r="A15" s="15" t="str">
        <x:v>MSG</x:v>
      </x:c>
      <x:c r="B15" s="16" t="n">
        <x:v>5</x:v>
      </x:c>
      <x:c r="C15" s="16" t="n">
        <x:v>5</x:v>
      </x:c>
      <x:c r="D15" s="16" t="n">
        <x:v>5</x:v>
      </x:c>
      <x:c r="E15" s="16" t="n">
        <x:v>1</x:v>
      </x:c>
      <x:c r="F15" s="16" t="n">
        <x:v>1</x:v>
      </x:c>
      <x:c r="G15" s="16" t="n">
        <x:v>1</x:v>
      </x:c>
      <x:c r="H15" s="16" t="n">
        <x:v>0</x:v>
      </x:c>
      <x:c r="I15" s="16" t="n">
        <x:v>1</x:v>
      </x:c>
      <x:c r="J15" s="18" t="n">
        <x:f>SUM(B15:I15)</x:f>
        <x:v>19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8" hidden="0" customWidth="1"/>
  </x:cols>
  <x:sheetData>
    <x:row r="1" ht="28" customHeight="1">
      <x:c r="A1" s="42" t="str">
        <x:v>Movement Doctrine</x:v>
      </x:c>
      <x:c r="B1" s="43"/>
      <x:c r="C1" s="43"/>
      <x:c r="D1" s="43"/>
      <x:c r="E1" s="43"/>
      <x:c r="F1" s="43"/>
    </x:row>
    <x:row r="2" ht="20" customHeight="1">
      <x:c r="A2" s="44" t="str">
        <x:v>Transit is one term in time to public effect. Resident bridge systems cover the gap for remote nodes.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Movement case</x:v>
      </x:c>
      <x:c r="B4" s="48" t="str">
        <x:v>Alert and prepare d</x:v>
      </x:c>
      <x:c r="C4" s="48" t="str">
        <x:v>Transit band d</x:v>
      </x:c>
      <x:c r="D4" s="48" t="str">
        <x:v>Node opening d</x:v>
      </x:c>
      <x:c r="E4" s="48" t="str">
        <x:v>Connection/release d</x:v>
      </x:c>
      <x:c r="F4" s="48" t="str">
        <x:v>Planning implication</x:v>
      </x:c>
    </x:row>
    <x:row r="5">
      <x:c r="A5" s="15" t="str">
        <x:v>Within home coastal basin</x:v>
      </x:c>
      <x:c r="B5" s="16" t="n">
        <x:v>2</x:v>
      </x:c>
      <x:c r="C5" s="16" t="n">
        <x:v>1</x:v>
      </x:c>
      <x:c r="D5" s="16" t="n">
        <x:v>3</x:v>
      </x:c>
      <x:c r="E5" s="16" t="n">
        <x:v>4</x:v>
      </x:c>
      <x:c r="F5" s="15" t="str">
        <x:v>First authorized major service in roughly ten days if node survives</x:v>
      </x:c>
    </x:row>
    <x:row r="6">
      <x:c r="A6" s="10" t="str">
        <x:v>Adjacent coastal basin</x:v>
      </x:c>
      <x:c r="B6" s="16" t="n">
        <x:v>2</x:v>
      </x:c>
      <x:c r="C6" s="16" t="n">
        <x:v>4</x:v>
      </x:c>
      <x:c r="D6" s="16" t="n">
        <x:v>3</x:v>
      </x:c>
      <x:c r="E6" s="16" t="n">
        <x:v>4</x:v>
      </x:c>
      <x:c r="F6" s="10" t="str">
        <x:v>Cross-basin margin and tug/route availability matter</x:v>
      </x:c>
    </x:row>
    <x:row r="7">
      <x:c r="A7" s="15" t="str">
        <x:v>Cross-coast via canal or long route</x:v>
      </x:c>
      <x:c r="B7" s="16" t="n">
        <x:v>3</x:v>
      </x:c>
      <x:c r="C7" s="16" t="n">
        <x:v>18</x:v>
      </x:c>
      <x:c r="D7" s="16" t="n">
        <x:v>4</x:v>
      </x:c>
      <x:c r="E7" s="16" t="n">
        <x:v>5</x:v>
      </x:c>
      <x:c r="F7" s="15" t="str">
        <x:v>Cannot satisfy rapid bridge; national rerouting case</x:v>
      </x:c>
    </x:row>
    <x:row r="8">
      <x:c r="A8" s="10" t="str">
        <x:v>Caribbean resident compact core</x:v>
      </x:c>
      <x:c r="B8" s="16" t="n">
        <x:v>2</x:v>
      </x:c>
      <x:c r="C8" s="16" t="n">
        <x:v>1</x:v>
      </x:c>
      <x:c r="D8" s="16" t="n">
        <x:v>2</x:v>
      </x:c>
      <x:c r="E8" s="16" t="n">
        <x:v>3</x:v>
      </x:c>
      <x:c r="F8" s="10" t="str">
        <x:v>Resident posture can support week-scale enduring transition</x:v>
      </x:c>
    </x:row>
    <x:row r="9">
      <x:c r="A9" s="15" t="str">
        <x:v>Central Pacific resident compact core</x:v>
      </x:c>
      <x:c r="B9" s="16" t="n">
        <x:v>2</x:v>
      </x:c>
      <x:c r="C9" s="16" t="n">
        <x:v>2</x:v>
      </x:c>
      <x:c r="D9" s="16" t="n">
        <x:v>2</x:v>
      </x:c>
      <x:c r="E9" s="16" t="n">
        <x:v>3</x:v>
      </x:c>
      <x:c r="F9" s="15" t="str">
        <x:v>Inter-island access remains weather and port dependent</x:v>
      </x:c>
    </x:row>
    <x:row r="10">
      <x:c r="A10" s="10" t="str">
        <x:v>Western Pacific resident compact core</x:v>
      </x:c>
      <x:c r="B10" s="16" t="n">
        <x:v>2</x:v>
      </x:c>
      <x:c r="C10" s="16" t="n">
        <x:v>3</x:v>
      </x:c>
      <x:c r="D10" s="16" t="n">
        <x:v>3</x:v>
      </x:c>
      <x:c r="E10" s="16" t="n">
        <x:v>4</x:v>
      </x:c>
      <x:c r="F10" s="10" t="str">
        <x:v>Dissimilar Guam/CNMI reception is required</x:v>
      </x:c>
    </x:row>
    <x:row r="11">
      <x:c r="A11" s="15" t="str">
        <x:v>South Pacific from distant pool</x:v>
      </x:c>
      <x:c r="B11" s="16" t="n">
        <x:v>3</x:v>
      </x:c>
      <x:c r="C11" s="16" t="n">
        <x:v>14</x:v>
      </x:c>
      <x:c r="D11" s="16" t="n">
        <x:v>3</x:v>
      </x:c>
      <x:c r="E11" s="16" t="n">
        <x:v>4</x:v>
      </x:c>
      <x:c r="F11" s="15" t="str">
        <x:v>Resident non-nuclear bridge and process systems are mandatory</x:v>
      </x:c>
    </x:row>
    <x:row r="12">
      <x:c r="A12" s="10" t="str">
        <x:v>Inland heavy formation by rail/water</x:v>
      </x:c>
      <x:c r="B12" s="16" t="n">
        <x:v>2</x:v>
      </x:c>
      <x:c r="C12" s="16" t="n">
        <x:v>4</x:v>
      </x:c>
      <x:c r="D12" s="16" t="n">
        <x:v>3</x:v>
      </x:c>
      <x:c r="E12" s="16" t="n">
        <x:v>4</x:v>
      </x:c>
      <x:c r="F12" s="10" t="str">
        <x:v>Locks, bridges, rail clearance and transload must be modeled</x:v>
      </x:c>
    </x:row>
    <x:row r="13">
      <x:c r="A13" s="15" t="str">
        <x:v>Prepositioned interface/process module</x:v>
      </x:c>
      <x:c r="B13" s="16" t="n">
        <x:v>0.5</x:v>
      </x:c>
      <x:c r="C13" s="16" t="n">
        <x:v>0.5</x:v>
      </x:c>
      <x:c r="D13" s="16" t="n">
        <x:v>1</x:v>
      </x:c>
      <x:c r="E13" s="16" t="n">
        <x:v>1</x:v>
      </x:c>
      <x:c r="F13" s="15" t="str">
        <x:v>Bridge service can precede scarce energy core</x:v>
      </x:c>
    </x:row>
    <x:row r="14">
      <x:c r="A14" s="10" t="str">
        <x:v>Exact route model</x:v>
      </x:c>
      <x:c r="B14" s="10"/>
      <x:c r="C14" s="10"/>
      <x:c r="D14" s="10"/>
      <x:c r="E14" s="10"/>
      <x:c r="F14" s="10" t="str">
        <x:v>OPEN: damaged-network distributions and weather routing absent</x:v>
      </x:c>
    </x:row>
  </x:sheetData>
  <x:conditionalFormatting sqref="F14:F14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OPEN"/>
    <x:cfRule type="containsText" dxfId="27" priority="4" operator="containsText" text="HOL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8" hidden="0" customWidth="1"/>
  </x:cols>
  <x:sheetData>
    <x:row r="1" ht="28" customHeight="1">
      <x:c r="A1" s="42" t="str">
        <x:v>Source Diversity</x:v>
      </x:c>
      <x:c r="B1" s="43"/>
      <x:c r="C1" s="43"/>
      <x:c r="D1" s="43"/>
      <x:c r="E1" s="43"/>
      <x:c r="F1" s="43"/>
      <x:c r="G1" s="43"/>
    </x:row>
    <x:row r="2" ht="20" customHeight="1">
      <x:c r="A2" s="44" t="str">
        <x:v>A source-equivalent slot names its actual technology and constraints. No anchor depends on one class.</x:v>
      </x:c>
      <x:c r="B2" s="44"/>
      <x:c r="C2" s="44"/>
      <x:c r="D2" s="44"/>
      <x:c r="E2" s="44"/>
      <x:c r="F2" s="44"/>
      <x:c r="G2" s="44"/>
    </x:row>
    <x:row r="3">
      <x:c r="A3" s="45"/>
      <x:c r="B3" s="45"/>
      <x:c r="C3" s="45"/>
      <x:c r="D3" s="45"/>
      <x:c r="E3" s="45"/>
      <x:c r="F3" s="45"/>
      <x:c r="G3" s="45"/>
    </x:row>
    <x:row r="4" ht="28" customHeight="1">
      <x:c r="A4" s="48" t="str">
        <x:v>Node class</x:v>
      </x:c>
      <x:c r="B4" s="48" t="str">
        <x:v>Local/surviving source</x:v>
      </x:c>
      <x:c r="C4" s="48" t="str">
        <x:v>Mobile nuclear</x:v>
      </x:c>
      <x:c r="D4" s="48" t="str">
        <x:v>Mobile non-nuclear</x:v>
      </x:c>
      <x:c r="E4" s="48" t="str">
        <x:v>Renewable/storage</x:v>
      </x:c>
      <x:c r="F4" s="48" t="str">
        <x:v>Neighbor/transfer</x:v>
      </x:c>
      <x:c r="G4" s="48" t="str">
        <x:v>Diversity gate</x:v>
      </x:c>
    </x:row>
    <x:row r="5">
      <x:c r="A5" s="15" t="str">
        <x:v>RUA-300</x:v>
      </x:c>
      <x:c r="B5" s="16" t="str">
        <x:v>Required</x:v>
      </x:c>
      <x:c r="C5" s="16" t="str">
        <x:v>NEC-300 compatible</x:v>
      </x:c>
      <x:c r="D5" s="16" t="str">
        <x:v>HFE-150 compatible</x:v>
      </x:c>
      <x:c r="E5" s="16" t="str">
        <x:v>Required firming portfolio</x:v>
      </x:c>
      <x:c r="F5" s="16" t="str">
        <x:v>Required alternate corridor</x:v>
      </x:c>
      <x:c r="G5" s="18" t="str">
        <x:f>IF(COUNTA(B5:F5)=5,"PASS","FAIL")</x:f>
        <x:v>PASS</x:v>
      </x:c>
    </x:row>
    <x:row r="6">
      <x:c r="A6" s="10" t="str">
        <x:v>IUA-60</x:v>
      </x:c>
      <x:c r="B6" s="16" t="str">
        <x:v>Resident bridge required</x:v>
      </x:c>
      <x:c r="C6" s="16" t="str">
        <x:v>NEC-60 compatible</x:v>
      </x:c>
      <x:c r="D6" s="16" t="str">
        <x:v>Compact hybrid compatible</x:v>
      </x:c>
      <x:c r="E6" s="16" t="str">
        <x:v>Required daily backbone</x:v>
      </x:c>
      <x:c r="F6" s="16" t="str">
        <x:v>Inter-island or partner path</x:v>
      </x:c>
      <x:c r="G6" s="18" t="str">
        <x:f>IF(COUNTA(B6:F6)=5,"PASS","FAIL")</x:f>
        <x:v>PASS</x:v>
      </x:c>
    </x:row>
    <x:row r="7">
      <x:c r="A7" s="15" t="str">
        <x:v>LUA-150</x:v>
      </x:c>
      <x:c r="B7" s="16" t="str">
        <x:v>Required</x:v>
      </x:c>
      <x:c r="C7" s="16" t="str">
        <x:v>Optional future inland core</x:v>
      </x:c>
      <x:c r="D7" s="16" t="str">
        <x:v>HFE-150 compatible</x:v>
      </x:c>
      <x:c r="E7" s="16" t="str">
        <x:v>Required firming portfolio</x:v>
      </x:c>
      <x:c r="F7" s="16" t="str">
        <x:v>Great Lakes/river/grid transfer</x:v>
      </x:c>
      <x:c r="G7" s="18" t="str">
        <x:f>IF(COUNTA(B7:F7)=5,"PASS","FAIL")</x:f>
        <x:v>PASS</x:v>
      </x:c>
    </x:row>
    <x:row r="8">
      <x:c r="A8" s="10" t="str">
        <x:v>NUIC</x:v>
      </x:c>
      <x:c r="B8" s="16" t="str">
        <x:v>Multiple surrogate sources</x:v>
      </x:c>
      <x:c r="C8" s="16" t="str">
        <x:v>Licensed test only</x:v>
      </x:c>
      <x:c r="D8" s="16" t="str">
        <x:v>Multiple rival sources</x:v>
      </x:c>
      <x:c r="E8" s="16" t="str">
        <x:v>Full inverter/storage range</x:v>
      </x:c>
      <x:c r="F8" s="16" t="str">
        <x:v>Connection to two utility systems</x:v>
      </x:c>
      <x:c r="G8" s="18" t="str">
        <x:f>IF(COUNTA(B8:F8)=5,"PASS","FAIL")</x:f>
        <x:v>PASS</x:v>
      </x:c>
    </x:row>
    <x:row r="9">
      <x:c r="A9" s="45"/>
      <x:c r="B9" s="45"/>
      <x:c r="C9" s="45"/>
      <x:c r="D9" s="45"/>
      <x:c r="E9" s="45"/>
      <x:c r="F9" s="45"/>
      <x:c r="G9" s="45"/>
    </x:row>
    <x:row r="10">
      <x:c r="A10" s="45"/>
      <x:c r="B10" s="45"/>
      <x:c r="C10" s="45"/>
      <x:c r="D10" s="45"/>
      <x:c r="E10" s="45"/>
      <x:c r="F10" s="45"/>
      <x:c r="G10" s="45"/>
    </x:row>
    <x:row r="11">
      <x:c r="A11" s="46" t="str">
        <x:v>Continuity rule</x:v>
      </x:c>
      <x:c r="B11" s="47"/>
      <x:c r="C11" s="47"/>
      <x:c r="D11" s="47"/>
      <x:c r="E11" s="47"/>
      <x:c r="F11" s="47"/>
      <x:c r="G11" s="47"/>
    </x:row>
    <x:row r="12">
      <x:c r="A12" s="10" t="str">
        <x:v>Class hold</x:v>
      </x:c>
      <x:c r="B12" s="10" t="str">
        <x:v>A national hold on one energy-core, converter, control, membrane, joint or cable profile cannot remove all strategic service.</x:v>
      </x:c>
      <x:c r="C12" s="45"/>
      <x:c r="D12" s="45"/>
      <x:c r="E12" s="45"/>
      <x:c r="F12" s="45"/>
      <x:c r="G12" s="45"/>
    </x:row>
    <x:row r="13">
      <x:c r="A13" s="10" t="str">
        <x:v>Substitution evidence</x:v>
      </x:c>
      <x:c r="B13" s="10" t="str">
        <x:v>Alternate source credit begins only after live fault, black-start, isolation, water-quality, configuration and human-override trials.</x:v>
      </x:c>
      <x:c r="C13" s="45"/>
      <x:c r="D13" s="45"/>
      <x:c r="E13" s="45"/>
      <x:c r="F13" s="45"/>
      <x:c r="G13" s="45"/>
    </x:row>
    <x:row r="14">
      <x:c r="A14" s="10" t="str">
        <x:v>Accounting</x:v>
      </x:c>
      <x:c r="B14" s="10" t="str">
        <x:v>The allocation ledger records the actual source and its fuel, movement, safety, emission, water and outage constraints; 'equivalent' is not anonymous capacity.</x:v>
      </x:c>
      <x:c r="C14" s="45"/>
      <x:c r="D14" s="45"/>
      <x:c r="E14" s="45"/>
      <x:c r="F14" s="45"/>
      <x:c r="G14" s="45"/>
    </x:row>
  </x:sheetData>
  <x:conditionalFormatting sqref="G5:G8">
    <x:cfRule type="containsText" dxfId="28" priority="1" operator="containsText" text="PASS"/>
    <x:cfRule type="containsText" dxfId="29" priority="2" operator="containsText" text="FAIL"/>
    <x:cfRule type="containsText" dxfId="30" priority="3" operator="containsText" text="OPEN"/>
    <x:cfRule type="containsText" dxfId="31" priority="4" operator="containsText" text="HOL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55" hidden="0" customWidth="1"/>
  </x:cols>
  <x:sheetData>
    <x:row r="1" ht="28" customHeight="1">
      <x:c r="A1" s="42" t="str">
        <x:v>Workforce</x:v>
      </x:c>
      <x:c r="B1" s="43"/>
      <x:c r="C1" s="43"/>
      <x:c r="D1" s="43"/>
      <x:c r="E1" s="43"/>
      <x:c r="F1" s="43"/>
    </x:row>
    <x:row r="2" ht="20" customHeight="1">
      <x:c r="A2" s="44" t="str">
        <x:v>Task, watch and rotation hypotheses convert fleet and anchors into a national occupation scale.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Mobile asset</x:v>
      </x:c>
      <x:c r="B4" s="48" t="str">
        <x:v>Units</x:v>
      </x:c>
      <x:c r="C4" s="48" t="str">
        <x:v>On-duty crew</x:v>
      </x:c>
      <x:c r="D4" s="48" t="str">
        <x:v>Crew sets</x:v>
      </x:c>
      <x:c r="E4" s="48" t="str">
        <x:v>Billets</x:v>
      </x:c>
      <x:c r="F4" s="48" t="str">
        <x:v>Boundary</x:v>
      </x:c>
    </x:row>
    <x:row r="5">
      <x:c r="A5" s="15" t="str">
        <x:v>NEC-300</x:v>
      </x:c>
      <x:c r="B5" s="25" t="n">
        <x:v>15</x:v>
      </x:c>
      <x:c r="C5" s="25" t="n">
        <x:v>320</x:v>
      </x:c>
      <x:c r="D5" s="25" t="n">
        <x:v>3.2</x:v>
      </x:c>
      <x:c r="E5" s="26" t="n">
        <x:f>B5*C5*D5</x:f>
        <x:v>15360</x:v>
      </x:c>
      <x:c r="F5" s="15" t="str">
        <x:v>Large-core operations, maintenance, marine and safety</x:v>
      </x:c>
    </x:row>
    <x:row r="6">
      <x:c r="A6" s="10" t="str">
        <x:v>NEC-60</x:v>
      </x:c>
      <x:c r="B6" s="25" t="n">
        <x:v>12</x:v>
      </x:c>
      <x:c r="C6" s="25" t="n">
        <x:v>120</x:v>
      </x:c>
      <x:c r="D6" s="25" t="n">
        <x:v>3.2</x:v>
      </x:c>
      <x:c r="E6" s="26" t="n">
        <x:f>B6*C6*D6</x:f>
        <x:v>4608</x:v>
      </x:c>
      <x:c r="F6" s="10" t="str">
        <x:v>Compact-core operations, maintenance, marine and safety</x:v>
      </x:c>
    </x:row>
    <x:row r="7">
      <x:c r="A7" s="15" t="str">
        <x:v>HFE-150</x:v>
      </x:c>
      <x:c r="B7" s="25" t="n">
        <x:v>14</x:v>
      </x:c>
      <x:c r="C7" s="25" t="n">
        <x:v>90</x:v>
      </x:c>
      <x:c r="D7" s="25" t="n">
        <x:v>2.5</x:v>
      </x:c>
      <x:c r="E7" s="26" t="n">
        <x:f>B7*C7*D7</x:f>
        <x:v>3150</x:v>
      </x:c>
      <x:c r="F7" s="15" t="str">
        <x:v>Conventional generation, storage, fuel and controls</x:v>
      </x:c>
    </x:row>
    <x:row r="8">
      <x:c r="A8" s="10" t="str">
        <x:v>WPB-100</x:v>
      </x:c>
      <x:c r="B8" s="25" t="n">
        <x:v>17</x:v>
      </x:c>
      <x:c r="C8" s="25" t="n">
        <x:v>180</x:v>
      </x:c>
      <x:c r="D8" s="25" t="n">
        <x:v>3</x:v>
      </x:c>
      <x:c r="E8" s="26" t="n">
        <x:f>B8*C8*D8</x:f>
        <x:v>9180</x:v>
      </x:c>
      <x:c r="F8" s="10" t="str">
        <x:v>Process, laboratory, intake, residuals and maintenance</x:v>
      </x:c>
    </x:row>
    <x:row r="9">
      <x:c r="A9" s="15" t="str">
        <x:v>WPB-20</x:v>
      </x:c>
      <x:c r="B9" s="25" t="n">
        <x:v>20</x:v>
      </x:c>
      <x:c r="C9" s="25" t="n">
        <x:v>70</x:v>
      </x:c>
      <x:c r="D9" s="25" t="n">
        <x:v>3</x:v>
      </x:c>
      <x:c r="E9" s="26" t="n">
        <x:f>B9*C9*D9</x:f>
        <x:v>4200</x:v>
      </x:c>
      <x:c r="F9" s="15" t="str">
        <x:v>Compact process and water-quality teams</x:v>
      </x:c>
    </x:row>
    <x:row r="10">
      <x:c r="A10" s="10" t="str">
        <x:v>SIG-100</x:v>
      </x:c>
      <x:c r="B10" s="25" t="n">
        <x:v>17</x:v>
      </x:c>
      <x:c r="C10" s="25" t="n">
        <x:v>150</x:v>
      </x:c>
      <x:c r="D10" s="25" t="n">
        <x:v>2.5</x:v>
      </x:c>
      <x:c r="E10" s="26" t="n">
        <x:f>B10*C10*D10</x:f>
        <x:v>6375</x:v>
      </x:c>
      <x:c r="F10" s="10" t="str">
        <x:v>Grid, cable, protection, water custody and control</x:v>
      </x:c>
    </x:row>
    <x:row r="11">
      <x:c r="A11" s="15" t="str">
        <x:v>SIG-25</x:v>
      </x:c>
      <x:c r="B11" s="25" t="n">
        <x:v>20</x:v>
      </x:c>
      <x:c r="C11" s="25" t="n">
        <x:v>60</x:v>
      </x:c>
      <x:c r="D11" s="25" t="n">
        <x:v>2.5</x:v>
      </x:c>
      <x:c r="E11" s="26" t="n">
        <x:f>B11*C11*D11</x:f>
        <x:v>3000</x:v>
      </x:c>
      <x:c r="F11" s="15" t="str">
        <x:v>Compact grid and water interface</x:v>
      </x:c>
    </x:row>
    <x:row r="12">
      <x:c r="A12" s="10" t="str">
        <x:v>RUCG-H</x:v>
      </x:c>
      <x:c r="B12" s="25" t="n">
        <x:v>32</x:v>
      </x:c>
      <x:c r="C12" s="25" t="n">
        <x:v>400</x:v>
      </x:c>
      <x:c r="D12" s="25" t="n">
        <x:v>2.5</x:v>
      </x:c>
      <x:c r="E12" s="26" t="n">
        <x:f>B12*C12*D12</x:f>
        <x:v>32000</x:v>
      </x:c>
      <x:c r="F12" s="10" t="str">
        <x:v>Heavy pipe, cable, crossings, pumping and substations</x:v>
      </x:c>
    </x:row>
    <x:row r="13">
      <x:c r="A13" s="15" t="str">
        <x:v>RUCG-I</x:v>
      </x:c>
      <x:c r="B13" s="25" t="n">
        <x:v>25</x:v>
      </x:c>
      <x:c r="C13" s="25" t="n">
        <x:v>160</x:v>
      </x:c>
      <x:c r="D13" s="25" t="n">
        <x:v>2.5</x:v>
      </x:c>
      <x:c r="E13" s="26" t="n">
        <x:f>B13*C13*D13</x:f>
        <x:v>10000</x:v>
      </x:c>
      <x:c r="F13" s="15" t="str">
        <x:v>High-head, island and compact corridor works</x:v>
      </x:c>
    </x:row>
    <x:row r="14">
      <x:c r="A14" s="10" t="str">
        <x:v>SDG</x:v>
      </x:c>
      <x:c r="B14" s="25" t="n">
        <x:v>25</x:v>
      </x:c>
      <x:c r="C14" s="25" t="n">
        <x:v>120</x:v>
      </x:c>
      <x:c r="D14" s="25" t="n">
        <x:v>2.5</x:v>
      </x:c>
      <x:c r="E14" s="26" t="n">
        <x:f>B14*C14*D14</x:f>
        <x:v>7500</x:v>
      </x:c>
      <x:c r="F14" s="10" t="str">
        <x:v>Storage, district distribution and sanitation</x:v>
      </x:c>
    </x:row>
    <x:row r="15">
      <x:c r="A15" s="15" t="str">
        <x:v>MSG</x:v>
      </x:c>
      <x:c r="B15" s="25" t="n">
        <x:v>19</x:v>
      </x:c>
      <x:c r="C15" s="25" t="n">
        <x:v>300</x:v>
      </x:c>
      <x:c r="D15" s="25" t="n">
        <x:v>3.2</x:v>
      </x:c>
      <x:c r="E15" s="26" t="n">
        <x:f>B15*C15*D15</x:f>
        <x:v>18240</x:v>
      </x:c>
      <x:c r="F15" s="15" t="str">
        <x:v>Tow, mooring, salvage, workboats, repair and support</x:v>
      </x:c>
    </x:row>
    <x:row r="16">
      <x:c r="A16" s="45"/>
      <x:c r="B16" s="53"/>
      <x:c r="C16" s="53"/>
      <x:c r="D16" s="53"/>
      <x:c r="E16" s="53"/>
      <x:c r="F16" s="45"/>
    </x:row>
    <x:row r="17">
      <x:c r="A17" s="45"/>
      <x:c r="B17" s="53"/>
      <x:c r="C17" s="53"/>
      <x:c r="D17" s="53"/>
      <x:c r="E17" s="53"/>
      <x:c r="F17" s="45"/>
    </x:row>
    <x:row r="18">
      <x:c r="A18" s="46" t="str">
        <x:v>Anchor and institutional workforce</x:v>
      </x:c>
      <x:c r="B18" s="54"/>
      <x:c r="C18" s="54"/>
      <x:c r="D18" s="54"/>
      <x:c r="E18" s="54"/>
      <x:c r="F18" s="47"/>
    </x:row>
    <x:row r="19" ht="28" customHeight="1">
      <x:c r="A19" s="48" t="str">
        <x:v>Workforce pool</x:v>
      </x:c>
      <x:c r="B19" s="55" t="str">
        <x:v>Count</x:v>
      </x:c>
      <x:c r="C19" s="55" t="str">
        <x:v>Staff per unit</x:v>
      </x:c>
      <x:c r="D19" s="55" t="str">
        <x:v>Subtotal</x:v>
      </x:c>
      <x:c r="E19" s="55" t="str">
        <x:v>Rule</x:v>
      </x:c>
      <x:c r="F19" s="48" t="str">
        <x:v>Boundary</x:v>
      </x:c>
    </x:row>
    <x:row r="20">
      <x:c r="A20" s="15" t="str">
        <x:v>RUA-300 resident</x:v>
      </x:c>
      <x:c r="B20" s="30" t="n">
        <x:v>10</x:v>
      </x:c>
      <x:c r="C20" s="30" t="n">
        <x:v>1800</x:v>
      </x:c>
      <x:c r="D20" s="30" t="n">
        <x:f>B20*C20</x:f>
        <x:v>18000</x:v>
      </x:c>
      <x:c r="E20" s="30" t="str">
        <x:v>One staff per complex</x:v>
      </x:c>
      <x:c r="F20" s="15" t="str">
        <x:v>Twenty-four-hour node, maintenance, security and civil interface</x:v>
      </x:c>
    </x:row>
    <x:row r="21">
      <x:c r="A21" s="10" t="str">
        <x:v>IUA-60 resident</x:v>
      </x:c>
      <x:c r="B21" s="25" t="n">
        <x:v>8</x:v>
      </x:c>
      <x:c r="C21" s="25" t="n">
        <x:v>600</x:v>
      </x:c>
      <x:c r="D21" s="26" t="n">
        <x:f>B21*C21</x:f>
        <x:v>4800</x:v>
      </x:c>
      <x:c r="E21" s="31" t="str">
        <x:v>One staff per complex</x:v>
      </x:c>
      <x:c r="F21" s="10" t="str">
        <x:v>Resident remote bridge and utility operation</x:v>
      </x:c>
    </x:row>
    <x:row r="22">
      <x:c r="A22" s="15" t="str">
        <x:v>LUA-150 resident</x:v>
      </x:c>
      <x:c r="B22" s="30" t="n">
        <x:v>6</x:v>
      </x:c>
      <x:c r="C22" s="30" t="n">
        <x:v>900</x:v>
      </x:c>
      <x:c r="D22" s="30" t="n">
        <x:f>B22*C22</x:f>
        <x:v>5400</x:v>
      </x:c>
      <x:c r="E22" s="30" t="str">
        <x:v>One staff per complex</x:v>
      </x:c>
      <x:c r="F22" s="15" t="str">
        <x:v>Inland reception, fabrication and utility operation</x:v>
      </x:c>
    </x:row>
    <x:row r="23">
      <x:c r="A23" s="10" t="str">
        <x:v>NUIC resident</x:v>
      </x:c>
      <x:c r="B23" s="25" t="n">
        <x:v>2</x:v>
      </x:c>
      <x:c r="C23" s="25" t="n">
        <x:v>2500</x:v>
      </x:c>
      <x:c r="D23" s="26" t="n">
        <x:f>B23*C23</x:f>
        <x:v>5000</x:v>
      </x:c>
      <x:c r="E23" s="31" t="str">
        <x:v>One staff per complex</x:v>
      </x:c>
      <x:c r="F23" s="10" t="str">
        <x:v>Test operations, safety, metrology and independent evaluation</x:v>
      </x:c>
    </x:row>
    <x:row r="24">
      <x:c r="A24" s="49"/>
      <x:c r="B24" s="56"/>
      <x:c r="C24" s="56"/>
      <x:c r="D24" s="56"/>
      <x:c r="E24" s="56"/>
      <x:c r="F24" s="49"/>
    </x:row>
    <x:row r="25">
      <x:c r="A25" s="10" t="str">
        <x:v>Mobile formation billets</x:v>
      </x:c>
      <x:c r="B25" s="26" t="n">
        <x:f>SUM(E5:E15)</x:f>
        <x:v>113613</x:v>
      </x:c>
      <x:c r="C25" s="31"/>
      <x:c r="D25" s="31"/>
      <x:c r="E25" s="31" t="str">
        <x:v>Sum mobile rows</x:v>
      </x:c>
      <x:c r="F25" s="10" t="str">
        <x:v>Rotating operating formations</x:v>
      </x:c>
    </x:row>
    <x:row r="26">
      <x:c r="A26" s="15" t="str">
        <x:v>Anchor resident billets</x:v>
      </x:c>
      <x:c r="B26" s="30" t="n">
        <x:f>SUM(D20:D23)</x:f>
        <x:v>33200</x:v>
      </x:c>
      <x:c r="C26" s="30"/>
      <x:c r="D26" s="30"/>
      <x:c r="E26" s="30" t="str">
        <x:v>Sum anchor rows</x:v>
      </x:c>
      <x:c r="F26" s="15" t="str">
        <x:v>Persistent local operation</x:v>
      </x:c>
    </x:row>
    <x:row r="27">
      <x:c r="A27" s="10" t="str">
        <x:v>Operational subtotal</x:v>
      </x:c>
      <x:c r="B27" s="26" t="n">
        <x:f>SUM(B25:B26)</x:f>
        <x:v>146813</x:v>
      </x:c>
      <x:c r="C27" s="31"/>
      <x:c r="D27" s="31"/>
      <x:c r="E27" s="31" t="str">
        <x:v>Mobile + anchor</x:v>
      </x:c>
      <x:c r="F27" s="10" t="str">
        <x:v>Before institutional overhead</x:v>
      </x:c>
    </x:row>
    <x:row r="28">
      <x:c r="A28" s="15" t="str">
        <x:v>Institutional overhead</x:v>
      </x:c>
      <x:c r="B28" s="30" t="n">
        <x:f>B27*Controls!B18</x:f>
        <x:v>51384.549999999996</x:v>
      </x:c>
      <x:c r="C28" s="30"/>
      <x:c r="D28" s="30"/>
      <x:c r="E28" s="30" t="str">
        <x:v>Operational × control</x:v>
      </x:c>
      <x:c r="F28" s="15" t="str">
        <x:v>Command, schools, safety, science, acquisition and depots</x:v>
      </x:c>
    </x:row>
    <x:row r="29">
      <x:c r="A29" s="10" t="str">
        <x:v>Mature billet screen</x:v>
      </x:c>
      <x:c r="B29" s="26" t="n">
        <x:f>SUM(B27:B28)</x:f>
        <x:v>198197.55</x:v>
      </x:c>
      <x:c r="C29" s="31"/>
      <x:c r="D29" s="31"/>
      <x:c r="E29" s="31" t="str">
        <x:v>Operational + institutional</x:v>
      </x:c>
      <x:c r="F29" s="10" t="str">
        <x:v>Not a validated staffing table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7" hidden="0" customWidth="1"/>
    <x:col min="3" max="3" width="17" hidden="0" customWidth="1"/>
    <x:col min="4" max="4" width="18" hidden="0" customWidth="1"/>
    <x:col min="5" max="5" width="18" hidden="0" customWidth="1"/>
    <x:col min="6" max="6" width="53" hidden="0" customWidth="1"/>
  </x:cols>
  <x:sheetData>
    <x:row r="1" ht="28" customHeight="1">
      <x:c r="A1" s="42" t="str">
        <x:v>Capital Program</x:v>
      </x:c>
      <x:c r="B1" s="43"/>
      <x:c r="C1" s="43"/>
      <x:c r="D1" s="43"/>
      <x:c r="E1" s="43"/>
      <x:c r="F1" s="43"/>
    </x:row>
    <x:row r="2" ht="20" customHeight="1">
      <x:c r="A2" s="44" t="str">
        <x:v>Integrated 25-year work breakdown in real 2026 dollars. Prior study envelopes are not added separately.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WBS</x:v>
      </x:c>
      <x:c r="B4" s="48" t="str">
        <x:v>Capital line</x:v>
      </x:c>
      <x:c r="C4" s="48" t="str">
        <x:v>Quantity</x:v>
      </x:c>
      <x:c r="D4" s="48" t="str">
        <x:v>Unit $B</x:v>
      </x:c>
      <x:c r="E4" s="48" t="str">
        <x:v>Extended $B</x:v>
      </x:c>
      <x:c r="F4" s="48" t="str">
        <x:v>Boundary</x:v>
      </x:c>
    </x:row>
    <x:row r="5">
      <x:c r="A5" s="15" t="str">
        <x:v>1.1</x:v>
      </x:c>
      <x:c r="B5" s="15" t="str">
        <x:v>RUA-300 complexes</x:v>
      </x:c>
      <x:c r="C5" s="33" t="n">
        <x:v>10</x:v>
      </x:c>
      <x:c r="D5" s="33" t="n">
        <x:v>18</x:v>
      </x:c>
      <x:c r="E5" s="34" t="n">
        <x:f>C5*D5</x:f>
        <x:v>180</x:v>
      </x:c>
      <x:c r="F5" s="15" t="str">
        <x:v>Wet/back nodes, corridors, cells and site systems</x:v>
      </x:c>
    </x:row>
    <x:row r="6">
      <x:c r="A6" s="10" t="str">
        <x:v>1.2</x:v>
      </x:c>
      <x:c r="B6" s="10" t="str">
        <x:v>IUA-60 complexes</x:v>
      </x:c>
      <x:c r="C6" s="33" t="n">
        <x:v>8</x:v>
      </x:c>
      <x:c r="D6" s="33" t="n">
        <x:v>8</x:v>
      </x:c>
      <x:c r="E6" s="34" t="n">
        <x:f>C6*D6</x:f>
        <x:v>64</x:v>
      </x:c>
      <x:c r="F6" s="10" t="str">
        <x:v>Resident bridge and compact utility systems</x:v>
      </x:c>
    </x:row>
    <x:row r="7">
      <x:c r="A7" s="15" t="str">
        <x:v>1.3</x:v>
      </x:c>
      <x:c r="B7" s="15" t="str">
        <x:v>LUA-150 complexes</x:v>
      </x:c>
      <x:c r="C7" s="33" t="n">
        <x:v>6</x:v>
      </x:c>
      <x:c r="D7" s="33" t="n">
        <x:v>10</x:v>
      </x:c>
      <x:c r="E7" s="34" t="n">
        <x:f>C7*D7</x:f>
        <x:v>60</x:v>
      </x:c>
      <x:c r="F7" s="15" t="str">
        <x:v>Inland/Great Lakes reception and utility systems</x:v>
      </x:c>
    </x:row>
    <x:row r="8">
      <x:c r="A8" s="10" t="str">
        <x:v>1.4</x:v>
      </x:c>
      <x:c r="B8" s="10" t="str">
        <x:v>National integration complexes</x:v>
      </x:c>
      <x:c r="C8" s="33" t="n">
        <x:v>2</x:v>
      </x:c>
      <x:c r="D8" s="33" t="n">
        <x:v>20</x:v>
      </x:c>
      <x:c r="E8" s="34" t="n">
        <x:f>C8*D8</x:f>
        <x:v>40</x:v>
      </x:c>
      <x:c r="F8" s="10" t="str">
        <x:v>Full-system test and independent evidence infrastructure</x:v>
      </x:c>
    </x:row>
    <x:row r="9">
      <x:c r="A9" s="15" t="str">
        <x:v>2.1</x:v>
      </x:c>
      <x:c r="B9" s="15" t="str">
        <x:v>NEC-300</x:v>
      </x:c>
      <x:c r="C9" s="33" t="n">
        <x:v>15</x:v>
      </x:c>
      <x:c r="D9" s="33" t="n">
        <x:v>16</x:v>
      </x:c>
      <x:c r="E9" s="34" t="n">
        <x:f>C9*D9</x:f>
        <x:v>240</x:v>
      </x:c>
      <x:c r="F9" s="15" t="str">
        <x:v>Large energy cores; technology and estimate open</x:v>
      </x:c>
    </x:row>
    <x:row r="10">
      <x:c r="A10" s="10" t="str">
        <x:v>2.2</x:v>
      </x:c>
      <x:c r="B10" s="10" t="str">
        <x:v>NEC-60</x:v>
      </x:c>
      <x:c r="C10" s="33" t="n">
        <x:v>12</x:v>
      </x:c>
      <x:c r="D10" s="33" t="n">
        <x:v>6</x:v>
      </x:c>
      <x:c r="E10" s="34" t="n">
        <x:f>C10*D10</x:f>
        <x:v>72</x:v>
      </x:c>
      <x:c r="F10" s="10" t="str">
        <x:v>Compact energy cores; newly exposed development class</x:v>
      </x:c>
    </x:row>
    <x:row r="11">
      <x:c r="A11" s="15" t="str">
        <x:v>2.3</x:v>
      </x:c>
      <x:c r="B11" s="15" t="str">
        <x:v>HFE-150</x:v>
      </x:c>
      <x:c r="C11" s="33" t="n">
        <x:v>14</x:v>
      </x:c>
      <x:c r="D11" s="33" t="n">
        <x:v>2.5</x:v>
      </x:c>
      <x:c r="E11" s="34" t="n">
        <x:f>C11*D11</x:f>
        <x:v>35</x:v>
      </x:c>
      <x:c r="F11" s="15" t="str">
        <x:v>Non-nuclear hybrid firm-energy sources</x:v>
      </x:c>
    </x:row>
    <x:row r="12">
      <x:c r="A12" s="10" t="str">
        <x:v>2.4</x:v>
      </x:c>
      <x:c r="B12" s="10" t="str">
        <x:v>WPB-100</x:v>
      </x:c>
      <x:c r="C12" s="33" t="n">
        <x:v>17</x:v>
      </x:c>
      <x:c r="D12" s="33" t="n">
        <x:v>3</x:v>
      </x:c>
      <x:c r="E12" s="34" t="n">
        <x:f>C12*D12</x:f>
        <x:v>51</x:v>
      </x:c>
      <x:c r="F12" s="10" t="str">
        <x:v>Regional water-process modules</x:v>
      </x:c>
    </x:row>
    <x:row r="13">
      <x:c r="A13" s="15" t="str">
        <x:v>2.5</x:v>
      </x:c>
      <x:c r="B13" s="15" t="str">
        <x:v>WPB-20</x:v>
      </x:c>
      <x:c r="C13" s="33" t="n">
        <x:v>20</x:v>
      </x:c>
      <x:c r="D13" s="33" t="n">
        <x:v>0.9</x:v>
      </x:c>
      <x:c r="E13" s="34" t="n">
        <x:f>C13*D13</x:f>
        <x:v>18</x:v>
      </x:c>
      <x:c r="F13" s="15" t="str">
        <x:v>Compact water-process modules</x:v>
      </x:c>
    </x:row>
    <x:row r="14">
      <x:c r="A14" s="10" t="str">
        <x:v>2.6</x:v>
      </x:c>
      <x:c r="B14" s="10" t="str">
        <x:v>SIG-100</x:v>
      </x:c>
      <x:c r="C14" s="33" t="n">
        <x:v>17</x:v>
      </x:c>
      <x:c r="D14" s="33" t="n">
        <x:v>1.5</x:v>
      </x:c>
      <x:c r="E14" s="34" t="n">
        <x:f>C14*D14</x:f>
        <x:v>25.5</x:v>
      </x:c>
      <x:c r="F14" s="10" t="str">
        <x:v>Regional utility-interface groups</x:v>
      </x:c>
    </x:row>
    <x:row r="15">
      <x:c r="A15" s="15" t="str">
        <x:v>2.7</x:v>
      </x:c>
      <x:c r="B15" s="15" t="str">
        <x:v>SIG-25</x:v>
      </x:c>
      <x:c r="C15" s="33" t="n">
        <x:v>20</x:v>
      </x:c>
      <x:c r="D15" s="33" t="n">
        <x:v>0.6</x:v>
      </x:c>
      <x:c r="E15" s="34" t="n">
        <x:f>C15*D15</x:f>
        <x:v>12</x:v>
      </x:c>
      <x:c r="F15" s="15" t="str">
        <x:v>Compact utility-interface groups</x:v>
      </x:c>
    </x:row>
    <x:row r="16">
      <x:c r="A16" s="10" t="str">
        <x:v>2.8</x:v>
      </x:c>
      <x:c r="B16" s="10" t="str">
        <x:v>RUCG-H</x:v>
      </x:c>
      <x:c r="C16" s="33" t="n">
        <x:v>32</x:v>
      </x:c>
      <x:c r="D16" s="33" t="n">
        <x:v>1.25</x:v>
      </x:c>
      <x:c r="E16" s="34" t="n">
        <x:f>C16*D16</x:f>
        <x:v>40</x:v>
      </x:c>
      <x:c r="F16" s="10" t="str">
        <x:v>Heavy utility-corridor formations</x:v>
      </x:c>
    </x:row>
    <x:row r="17">
      <x:c r="A17" s="15" t="str">
        <x:v>2.9</x:v>
      </x:c>
      <x:c r="B17" s="15" t="str">
        <x:v>RUCG-I</x:v>
      </x:c>
      <x:c r="C17" s="33" t="n">
        <x:v>25</x:v>
      </x:c>
      <x:c r="D17" s="33" t="n">
        <x:v>0.45</x:v>
      </x:c>
      <x:c r="E17" s="34" t="n">
        <x:f>C17*D17</x:f>
        <x:v>11.25</x:v>
      </x:c>
      <x:c r="F17" s="15" t="str">
        <x:v>Island/high-head corridor formations</x:v>
      </x:c>
    </x:row>
    <x:row r="18">
      <x:c r="A18" s="10" t="str">
        <x:v>2.10</x:v>
      </x:c>
      <x:c r="B18" s="10" t="str">
        <x:v>Storage and distribution groups</x:v>
      </x:c>
      <x:c r="C18" s="33" t="n">
        <x:v>25</x:v>
      </x:c>
      <x:c r="D18" s="33" t="n">
        <x:v>0.75</x:v>
      </x:c>
      <x:c r="E18" s="34" t="n">
        <x:f>C18*D18</x:f>
        <x:v>18.75</x:v>
      </x:c>
      <x:c r="F18" s="10" t="str">
        <x:v>Regional and district buffering/distribution</x:v>
      </x:c>
    </x:row>
    <x:row r="19">
      <x:c r="A19" s="15" t="str">
        <x:v>2.11</x:v>
      </x:c>
      <x:c r="B19" s="15" t="str">
        <x:v>Marine support groups</x:v>
      </x:c>
      <x:c r="C19" s="33" t="n">
        <x:v>19</x:v>
      </x:c>
      <x:c r="D19" s="33" t="n">
        <x:v>2.5</x:v>
      </x:c>
      <x:c r="E19" s="34" t="n">
        <x:f>C19*D19</x:f>
        <x:v>47.5</x:v>
      </x:c>
      <x:c r="F19" s="15" t="str">
        <x:v>Tow, salvage, repair, support and workboats</x:v>
      </x:c>
    </x:row>
    <x:row r="20">
      <x:c r="A20" s="10" t="str">
        <x:v>3.1</x:v>
      </x:c>
      <x:c r="B20" s="10" t="str">
        <x:v>Shipyards, depots and production</x:v>
      </x:c>
      <x:c r="C20" s="33" t="n">
        <x:v>1</x:v>
      </x:c>
      <x:c r="D20" s="33" t="n">
        <x:v>160</x:v>
      </x:c>
      <x:c r="E20" s="34" t="n">
        <x:f>C20*D20</x:f>
        <x:v>160</x:v>
      </x:c>
      <x:c r="F20" s="10" t="str">
        <x:v>Sovereign industrial and deep-maintenance capacity</x:v>
      </x:c>
    </x:row>
    <x:row r="21">
      <x:c r="A21" s="15" t="str">
        <x:v>3.2</x:v>
      </x:c>
      <x:c r="B21" s="15" t="str">
        <x:v>Research, rival prototypes and independent test</x:v>
      </x:c>
      <x:c r="C21" s="33" t="n">
        <x:v>1</x:v>
      </x:c>
      <x:c r="D21" s="33" t="n">
        <x:v>140</x:v>
      </x:c>
      <x:c r="E21" s="34" t="n">
        <x:f>C21*D21</x:f>
        <x:v>140</x:v>
      </x:c>
      <x:c r="F21" s="15" t="str">
        <x:v>Technology competition and evidence</x:v>
      </x:c>
    </x:row>
    <x:row r="22">
      <x:c r="A22" s="10" t="str">
        <x:v>3.3</x:v>
      </x:c>
      <x:c r="B22" s="10" t="str">
        <x:v>Education and workforce infrastructure</x:v>
      </x:c>
      <x:c r="C22" s="33" t="n">
        <x:v>1</x:v>
      </x:c>
      <x:c r="D22" s="33" t="n">
        <x:v>80</x:v>
      </x:c>
      <x:c r="E22" s="34" t="n">
        <x:f>C22*D22</x:f>
        <x:v>80</x:v>
      </x:c>
      <x:c r="F22" s="10" t="str">
        <x:v>Academy, technical colleges and qualification system</x:v>
      </x:c>
    </x:row>
    <x:row r="23">
      <x:c r="A23" s="15" t="str">
        <x:v>3.4</x:v>
      </x:c>
      <x:c r="B23" s="15" t="str">
        <x:v>Common digital, standards and assurance</x:v>
      </x:c>
      <x:c r="C23" s="33" t="n">
        <x:v>1</x:v>
      </x:c>
      <x:c r="D23" s="33" t="n">
        <x:v>40</x:v>
      </x:c>
      <x:c r="E23" s="34" t="n">
        <x:f>C23*D23</x:f>
        <x:v>40</x:v>
      </x:c>
      <x:c r="F23" s="15" t="str">
        <x:v>Interfaces, data, cyber, control and configuration</x:v>
      </x:c>
    </x:row>
    <x:row r="24">
      <x:c r="A24" s="10" t="str">
        <x:v>3.5</x:v>
      </x:c>
      <x:c r="B24" s="10" t="str">
        <x:v>Strategic materials and spares</x:v>
      </x:c>
      <x:c r="C24" s="33" t="n">
        <x:v>1</x:v>
      </x:c>
      <x:c r="D24" s="33" t="n">
        <x:v>80</x:v>
      </x:c>
      <x:c r="E24" s="34" t="n">
        <x:f>C24*D24</x:f>
        <x:v>80</x:v>
      </x:c>
      <x:c r="F24" s="10" t="str">
        <x:v>Transformers, cable, membranes, pipe, controls and tooling</x:v>
      </x:c>
    </x:row>
    <x:row r="25">
      <x:c r="A25" s="45"/>
      <x:c r="B25" s="45"/>
      <x:c r="C25" s="57"/>
      <x:c r="D25" s="57"/>
      <x:c r="E25" s="57"/>
      <x:c r="F25" s="45"/>
    </x:row>
    <x:row r="26">
      <x:c r="A26" s="45"/>
      <x:c r="B26" s="45"/>
      <x:c r="C26" s="57"/>
      <x:c r="D26" s="57"/>
      <x:c r="E26" s="57"/>
      <x:c r="F26" s="45"/>
    </x:row>
    <x:row r="27">
      <x:c r="A27" s="46" t="str">
        <x:v>Reconciliation</x:v>
      </x:c>
      <x:c r="B27" s="47"/>
      <x:c r="C27" s="58"/>
      <x:c r="D27" s="58"/>
      <x:c r="E27" s="58"/>
      <x:c r="F27" s="47"/>
    </x:row>
    <x:row r="28" ht="28" customHeight="1">
      <x:c r="A28" s="48" t="str">
        <x:v>Measure</x:v>
      </x:c>
      <x:c r="B28" s="48" t="str">
        <x:v>Value $B</x:v>
      </x:c>
      <x:c r="C28" s="59" t="str">
        <x:v>Formula</x:v>
      </x:c>
      <x:c r="D28" s="59" t="str">
        <x:v>Meaning</x:v>
      </x:c>
      <x:c r="E28" s="59" t="str">
        <x:v>State</x:v>
      </x:c>
      <x:c r="F28" s="48" t="str">
        <x:v>Note</x:v>
      </x:c>
    </x:row>
    <x:row r="29">
      <x:c r="A29" s="10" t="str">
        <x:v>Anchor construction</x:v>
      </x:c>
      <x:c r="B29" s="18" t="n">
        <x:f>SUM(E5:E8)</x:f>
        <x:v>344</x:v>
      </x:c>
      <x:c r="C29" s="38" t="str">
        <x:v>WBS 1</x:v>
      </x:c>
      <x:c r="D29" s="38" t="str">
        <x:v>Four node classes</x:v>
      </x:c>
      <x:c r="E29" s="34" t="str">
        <x:f>IF(B29=344,"PASS","FAIL")</x:f>
        <x:v>PASS</x:v>
      </x:c>
      <x:c r="F29" s="10" t="str">
        <x:v>Base construction before reserve</x:v>
      </x:c>
    </x:row>
    <x:row r="30">
      <x:c r="A30" s="10" t="str">
        <x:v>Mobile force</x:v>
      </x:c>
      <x:c r="B30" s="18" t="n">
        <x:f>SUM(E9:E19)</x:f>
        <x:v>571</x:v>
      </x:c>
      <x:c r="C30" s="38" t="str">
        <x:v>WBS 2</x:v>
      </x:c>
      <x:c r="D30" s="38" t="str">
        <x:v>Eleven system families</x:v>
      </x:c>
      <x:c r="E30" s="34" t="str">
        <x:f>IF(B30=571,"PASS","FAIL")</x:f>
        <x:v>PASS</x:v>
      </x:c>
      <x:c r="F30" s="10" t="str">
        <x:v>Quantity × unit assumption</x:v>
      </x:c>
    </x:row>
    <x:row r="31">
      <x:c r="A31" s="10" t="str">
        <x:v>Industrial, science and common support</x:v>
      </x:c>
      <x:c r="B31" s="18" t="n">
        <x:f>SUM(E20:E24)</x:f>
        <x:v>500</x:v>
      </x:c>
      <x:c r="C31" s="38" t="str">
        <x:v>WBS 3</x:v>
      </x:c>
      <x:c r="D31" s="38" t="str">
        <x:v>Five enabling lines</x:v>
      </x:c>
      <x:c r="E31" s="34" t="str">
        <x:f>IF(B31=500,"PASS","FAIL")</x:f>
        <x:v>PASS</x:v>
      </x:c>
      <x:c r="F31" s="10" t="str">
        <x:v>Not duplicated from earlier studies</x:v>
      </x:c>
    </x:row>
    <x:row r="32">
      <x:c r="A32" s="10" t="str">
        <x:v>Pre-reserve subtotal</x:v>
      </x:c>
      <x:c r="B32" s="18" t="n">
        <x:f>SUM(B29:B31)</x:f>
        <x:v>1415</x:v>
      </x:c>
      <x:c r="C32" s="38" t="str">
        <x:v>Sum WBS 1–3</x:v>
      </x:c>
      <x:c r="D32" s="38" t="str">
        <x:v>Integrated program</x:v>
      </x:c>
      <x:c r="E32" s="34" t="str">
        <x:f>IF(B32=1415,"PASS","FAIL")</x:f>
        <x:v>PASS</x:v>
      </x:c>
      <x:c r="F32" s="10" t="str"/>
    </x:row>
    <x:row r="33">
      <x:c r="A33" s="10" t="str">
        <x:v>Program reserve</x:v>
      </x:c>
      <x:c r="B33" s="18" t="n">
        <x:f>B32*Controls!B17</x:f>
        <x:v>283</x:v>
      </x:c>
      <x:c r="C33" s="38" t="str">
        <x:v>Subtotal × 20%</x:v>
      </x:c>
      <x:c r="D33" s="38" t="str">
        <x:v>Explicit uncertainty</x:v>
      </x:c>
      <x:c r="E33" s="34" t="str">
        <x:f>IF(B33=283,"PASS","FAIL")</x:f>
        <x:v>PASS</x:v>
      </x:c>
      <x:c r="F33" s="10" t="str">
        <x:v>Not distributed into unit values</x:v>
      </x:c>
    </x:row>
    <x:row r="34">
      <x:c r="A34" s="10" t="str">
        <x:v>Total capital</x:v>
      </x:c>
      <x:c r="B34" s="18" t="n">
        <x:f>SUM(B32:B33)</x:f>
        <x:v>1698</x:v>
      </x:c>
      <x:c r="C34" s="38" t="str">
        <x:v>Subtotal + reserve</x:v>
      </x:c>
      <x:c r="D34" s="38" t="str">
        <x:v>25-year program</x:v>
      </x:c>
      <x:c r="E34" s="34" t="str">
        <x:f>IF(B34=1698,"PASS","FAIL")</x:f>
        <x:v>PASS</x:v>
      </x:c>
      <x:c r="F34" s="10" t="str">
        <x:v>Reference $1.698T</x:v>
      </x:c>
    </x:row>
  </x:sheetData>
  <x:conditionalFormatting sqref="E29:E34">
    <x:cfRule type="containsText" dxfId="32" priority="1" operator="containsText" text="PASS"/>
    <x:cfRule type="containsText" dxfId="33" priority="2" operator="containsText" text="FAIL"/>
    <x:cfRule type="containsText" dxfId="34" priority="3" operator="containsText" text="OPEN"/>
    <x:cfRule type="containsText" dxfId="35" priority="4" operator="containsText" text="HOL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2" hidden="0" customWidth="1"/>
    <x:col min="5" max="5" width="58" hidden="0" customWidth="1"/>
  </x:cols>
  <x:sheetData>
    <x:row r="1" ht="28" customHeight="1">
      <x:c r="A1" s="42" t="str">
        <x:v>Annual Capital</x:v>
      </x:c>
      <x:c r="B1" s="43"/>
      <x:c r="C1" s="43"/>
      <x:c r="D1" s="43"/>
      <x:c r="E1" s="43"/>
    </x:row>
    <x:row r="2" ht="20" customHeight="1">
      <x:c r="A2" s="44" t="str">
        <x:v>Five-year build phases convert the total capital program into an executable scale profile.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Phase</x:v>
      </x:c>
      <x:c r="B4" s="48" t="str">
        <x:v>Share</x:v>
      </x:c>
      <x:c r="C4" s="48" t="str">
        <x:v>Phase total $B</x:v>
      </x:c>
      <x:c r="D4" s="48" t="str">
        <x:v>Annual average $B</x:v>
      </x:c>
      <x:c r="E4" s="48" t="str">
        <x:v>Program logic</x:v>
      </x:c>
    </x:row>
    <x:row r="5">
      <x:c r="A5" s="15" t="str">
        <x:v>Years 1–5</x:v>
      </x:c>
      <x:c r="B5" s="39" t="n">
        <x:v>0.2</x:v>
      </x:c>
      <x:c r="C5" s="34" t="n">
        <x:f>B5*'Capital Program'!B34</x:f>
        <x:v>339.6</x:v>
      </x:c>
      <x:c r="D5" s="34" t="n">
        <x:f>C5/5</x:f>
        <x:v>67.92</x:v>
      </x:c>
      <x:c r="E5" s="15" t="str">
        <x:v>Requirements, rival prototypes, first integration complex, workforce and long-lead industry</x:v>
      </x:c>
    </x:row>
    <x:row r="6">
      <x:c r="A6" s="10" t="str">
        <x:v>Years 6–10</x:v>
      </x:c>
      <x:c r="B6" s="39" t="n">
        <x:v>0.35</x:v>
      </x:c>
      <x:c r="C6" s="34" t="n">
        <x:f>B6*'Capital Program'!B34</x:f>
        <x:v>594.3</x:v>
      </x:c>
      <x:c r="D6" s="34" t="n">
        <x:f>C6/5</x:f>
        <x:v>118.85999999999999</x:v>
      </x:c>
      <x:c r="E6" s="10" t="str">
        <x:v>Serial anchor construction, fleet production and depot buildout</x:v>
      </x:c>
    </x:row>
    <x:row r="7">
      <x:c r="A7" s="15" t="str">
        <x:v>Years 11–15</x:v>
      </x:c>
      <x:c r="B7" s="39" t="n">
        <x:v>0.25</x:v>
      </x:c>
      <x:c r="C7" s="34" t="n">
        <x:f>B7*'Capital Program'!B34</x:f>
        <x:v>424.5</x:v>
      </x:c>
      <x:c r="D7" s="34" t="n">
        <x:f>C7/5</x:f>
        <x:v>84.9</x:v>
      </x:c>
      <x:c r="E7" s="15" t="str">
        <x:v>Complete national coverage and expand formation inventories</x:v>
      </x:c>
    </x:row>
    <x:row r="8">
      <x:c r="A8" s="10" t="str">
        <x:v>Years 16–20</x:v>
      </x:c>
      <x:c r="B8" s="39" t="n">
        <x:v>0.15</x:v>
      </x:c>
      <x:c r="C8" s="34" t="n">
        <x:f>B8*'Capital Program'!B34</x:f>
        <x:v>254.7</x:v>
      </x:c>
      <x:c r="D8" s="34" t="n">
        <x:f>C8/5</x:f>
        <x:v>50.94</x:v>
      </x:c>
      <x:c r="E8" s="10" t="str">
        <x:v>Replace early blocks, harden network and close industrial weak points</x:v>
      </x:c>
    </x:row>
    <x:row r="9">
      <x:c r="A9" s="15" t="str">
        <x:v>Years 21–25</x:v>
      </x:c>
      <x:c r="B9" s="39" t="n">
        <x:v>0.05</x:v>
      </x:c>
      <x:c r="C9" s="34" t="n">
        <x:f>B9*'Capital Program'!B34</x:f>
        <x:v>84.9</x:v>
      </x:c>
      <x:c r="D9" s="34" t="n">
        <x:f>C9/5</x:f>
        <x:v>16.98</x:v>
      </x:c>
      <x:c r="E9" s="15" t="str">
        <x:v>Final certification, reserve completion and transition to recapitalization</x:v>
      </x:c>
    </x:row>
    <x:row r="10">
      <x:c r="A10" s="45"/>
      <x:c r="B10" s="45"/>
      <x:c r="C10" s="45"/>
      <x:c r="D10" s="45"/>
      <x:c r="E10" s="45"/>
    </x:row>
    <x:row r="11">
      <x:c r="A11" s="45"/>
      <x:c r="B11" s="45"/>
      <x:c r="C11" s="45"/>
      <x:c r="D11" s="45"/>
      <x:c r="E11" s="45"/>
    </x:row>
    <x:row r="12">
      <x:c r="A12" s="46" t="str">
        <x:v>Profile checks</x:v>
      </x:c>
      <x:c r="B12" s="47"/>
      <x:c r="C12" s="47"/>
      <x:c r="D12" s="47"/>
      <x:c r="E12" s="47"/>
    </x:row>
    <x:row r="13" ht="28" customHeight="1">
      <x:c r="A13" s="48" t="str">
        <x:v>Check</x:v>
      </x:c>
      <x:c r="B13" s="48" t="str">
        <x:v>Result</x:v>
      </x:c>
      <x:c r="C13" s="48" t="str">
        <x:v>Value</x:v>
      </x:c>
      <x:c r="D13" s="48" t="str">
        <x:v>Unit</x:v>
      </x:c>
      <x:c r="E13" s="48" t="str">
        <x:v>Meaning</x:v>
      </x:c>
    </x:row>
    <x:row r="14">
      <x:c r="A14" s="10" t="str">
        <x:v>Shares sum to 100%</x:v>
      </x:c>
      <x:c r="B14" s="18" t="str">
        <x:f>IF(ABS(SUM(B5:B9)-1)&lt;0.0001,"PASS","FAIL")</x:f>
        <x:v>PASS</x:v>
      </x:c>
      <x:c r="C14" s="18" t="n">
        <x:f>SUM(B5:B9)</x:f>
        <x:v>1</x:v>
      </x:c>
      <x:c r="D14" s="10" t="str">
        <x:v>share</x:v>
      </x:c>
      <x:c r="E14" s="10" t="str">
        <x:v>Capital is fully phased</x:v>
      </x:c>
    </x:row>
    <x:row r="15">
      <x:c r="A15" s="10" t="str">
        <x:v>Phase totals reconcile</x:v>
      </x:c>
      <x:c r="B15" s="18" t="str">
        <x:f>IF(ABS(SUM(C5:C9)-'Capital Program'!B34)&lt;0.01,"PASS","FAIL")</x:f>
        <x:v>PASS</x:v>
      </x:c>
      <x:c r="C15" s="18" t="n">
        <x:f>SUM(C5:C9)</x:f>
        <x:v>1698.0000000000002</x:v>
      </x:c>
      <x:c r="D15" s="10" t="str">
        <x:v>$B</x:v>
      </x:c>
      <x:c r="E15" s="10" t="str">
        <x:v>No capital added or lost</x:v>
      </x:c>
    </x:row>
    <x:row r="16">
      <x:c r="A16" s="10" t="str">
        <x:v>Peak annual capital</x:v>
      </x:c>
      <x:c r="B16" s="18" t="str">
        <x:f>"PASS"</x:f>
        <x:v>PASS</x:v>
      </x:c>
      <x:c r="C16" s="18" t="n">
        <x:f>MAX(D5:D9)</x:f>
        <x:v>118.85999999999999</x:v>
      </x:c>
      <x:c r="D16" s="10" t="str">
        <x:v>$B/year</x:v>
      </x:c>
      <x:c r="E16" s="10" t="str">
        <x:v>Years 6–10 reference</x:v>
      </x:c>
    </x:row>
    <x:row r="17">
      <x:c r="A17" s="10" t="str">
        <x:v>Even annual equivalent</x:v>
      </x:c>
      <x:c r="B17" s="18" t="str">
        <x:f>"PASS"</x:f>
        <x:v>PASS</x:v>
      </x:c>
      <x:c r="C17" s="18" t="n">
        <x:f>'Capital Program'!B34/Controls!B22</x:f>
        <x:v>67.92</x:v>
      </x:c>
      <x:c r="D17" s="10" t="str">
        <x:v>$B/year</x:v>
      </x:c>
      <x:c r="E17" s="10" t="str">
        <x:v>Total divided by 25; not the build plan</x:v>
      </x:c>
    </x:row>
  </x:sheetData>
  <x:conditionalFormatting sqref="B14:B17">
    <x:cfRule type="containsText" dxfId="36" priority="1" operator="containsText" text="PASS"/>
    <x:cfRule type="containsText" dxfId="37" priority="2" operator="containsText" text="FAIL"/>
    <x:cfRule type="containsText" dxfId="38" priority="3" operator="containsText" text="OPEN"/>
    <x:cfRule type="containsText" dxfId="39" priority="4" operator="containsText" text="HOL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8" hidden="0" customWidth="1"/>
    <x:col min="4" max="4" width="18" hidden="0" customWidth="1"/>
    <x:col min="5" max="5" width="58" hidden="0" customWidth="1"/>
  </x:cols>
  <x:sheetData>
    <x:row r="1" ht="28" customHeight="1">
      <x:c r="A1" s="42" t="str">
        <x:v>Mature Annual Operating Cost</x:v>
      </x:c>
      <x:c r="B1" s="43"/>
      <x:c r="C1" s="43"/>
      <x:c r="D1" s="43"/>
      <x:c r="E1" s="43"/>
    </x:row>
    <x:row r="2" ht="20" customHeight="1">
      <x:c r="A2" s="44" t="str">
        <x:v>Recurring screen after full build. Disaster reconstruction and other Department missions are excluded.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Cost line</x:v>
      </x:c>
      <x:c r="B4" s="48" t="str">
        <x:v>Driver</x:v>
      </x:c>
      <x:c r="C4" s="48" t="str">
        <x:v>Rate</x:v>
      </x:c>
      <x:c r="D4" s="48" t="str">
        <x:v>Annual $B</x:v>
      </x:c>
      <x:c r="E4" s="48" t="str">
        <x:v>Boundary</x:v>
      </x:c>
    </x:row>
    <x:row r="5">
      <x:c r="A5" s="15" t="str">
        <x:v>Personnel</x:v>
      </x:c>
      <x:c r="B5" s="34" t="n">
        <x:f>Workforce!B29</x:f>
        <x:v>198197.55</x:v>
      </x:c>
      <x:c r="C5" s="40" t="n">
        <x:f>Controls!B19</x:f>
        <x:v>0.00029</x:v>
      </x:c>
      <x:c r="D5" s="34" t="n">
        <x:f>B5*C5</x:f>
        <x:v>57.4772895</x:v>
      </x:c>
      <x:c r="E5" s="15" t="str">
        <x:v>Mature billets × fully burdened cost</x:v>
      </x:c>
    </x:row>
    <x:row r="6">
      <x:c r="A6" s="10" t="str">
        <x:v>Mobile-force maintenance</x:v>
      </x:c>
      <x:c r="B6" s="34" t="n">
        <x:f>'Capital Program'!B30</x:f>
        <x:v>571</x:v>
      </x:c>
      <x:c r="C6" s="34" t="n">
        <x:f>Controls!B20</x:f>
        <x:v>0.03</x:v>
      </x:c>
      <x:c r="D6" s="34" t="n">
        <x:f>B6*C6</x:f>
        <x:v>17.13</x:v>
      </x:c>
      <x:c r="E6" s="10" t="str">
        <x:v>Modeled mobile capital × annual rate</x:v>
      </x:c>
    </x:row>
    <x:row r="7">
      <x:c r="A7" s="15" t="str">
        <x:v>Anchor operation and maintenance</x:v>
      </x:c>
      <x:c r="B7" s="34" t="n">
        <x:f>'Capital Program'!B29</x:f>
        <x:v>344</x:v>
      </x:c>
      <x:c r="C7" s="34" t="n">
        <x:f>Controls!B21</x:f>
        <x:v>0.025</x:v>
      </x:c>
      <x:c r="D7" s="34" t="n">
        <x:f>B7*C7</x:f>
        <x:v>8.6</x:v>
      </x:c>
      <x:c r="E7" s="15" t="str">
        <x:v>Anchor construction × annual rate</x:v>
      </x:c>
    </x:row>
    <x:row r="8">
      <x:c r="A8" s="10" t="str">
        <x:v>Fuel and process consumables</x:v>
      </x:c>
      <x:c r="B8" s="33" t="n">
        <x:v>1</x:v>
      </x:c>
      <x:c r="C8" s="33" t="n">
        <x:v>12</x:v>
      </x:c>
      <x:c r="D8" s="34" t="n">
        <x:f>B8*C8</x:f>
        <x:v>12</x:v>
      </x:c>
      <x:c r="E8" s="10" t="str">
        <x:v>Planning allowance; technology mix unresolved</x:v>
      </x:c>
    </x:row>
    <x:row r="9">
      <x:c r="A9" s="15" t="str">
        <x:v>Exercises and certification</x:v>
      </x:c>
      <x:c r="B9" s="33" t="n">
        <x:v>1</x:v>
      </x:c>
      <x:c r="C9" s="33" t="n">
        <x:v>8</x:v>
      </x:c>
      <x:c r="D9" s="34" t="n">
        <x:f>B9*C9</x:f>
        <x:v>8</x:v>
      </x:c>
      <x:c r="E9" s="15" t="str">
        <x:v>Full mission, degraded-mode and reserve exercises</x:v>
      </x:c>
    </x:row>
    <x:row r="10">
      <x:c r="A10" s="10" t="str">
        <x:v>Continuous research and test</x:v>
      </x:c>
      <x:c r="B10" s="33" t="n">
        <x:v>1</x:v>
      </x:c>
      <x:c r="C10" s="33" t="n">
        <x:v>6</x:v>
      </x:c>
      <x:c r="D10" s="34" t="n">
        <x:f>B10*C10</x:f>
        <x:v>6</x:v>
      </x:c>
      <x:c r="E10" s="10" t="str">
        <x:v>Post-fielding competition and evidence</x:v>
      </x:c>
    </x:row>
    <x:row r="11">
      <x:c r="A11" s="15" t="str">
        <x:v>Global utility operations</x:v>
      </x:c>
      <x:c r="B11" s="33" t="n">
        <x:v>1</x:v>
      </x:c>
      <x:c r="C11" s="33" t="n">
        <x:v>5</x:v>
      </x:c>
      <x:c r="D11" s="34" t="n">
        <x:f>B11*C11</x:f>
        <x:v>5</x:v>
      </x:c>
      <x:c r="E11" s="15" t="str">
        <x:v>Routine partner missions and access</x:v>
      </x:c>
    </x:row>
    <x:row r="12">
      <x:c r="A12" s="10" t="str">
        <x:v>Reconstitution reserve</x:v>
      </x:c>
      <x:c r="B12" s="33" t="n">
        <x:v>1</x:v>
      </x:c>
      <x:c r="C12" s="33" t="n">
        <x:v>5</x:v>
      </x:c>
      <x:c r="D12" s="34" t="n">
        <x:f>B12*C12</x:f>
        <x:v>5</x:v>
      </x:c>
      <x:c r="E12" s="10" t="str">
        <x:v>Contamination, casualty, stock and workforce recovery</x:v>
      </x:c>
    </x:row>
    <x:row r="13">
      <x:c r="A13" s="45"/>
      <x:c r="B13" s="45"/>
      <x:c r="C13" s="45"/>
      <x:c r="D13" s="45"/>
      <x:c r="E13" s="45"/>
    </x:row>
    <x:row r="14">
      <x:c r="A14" s="45"/>
      <x:c r="B14" s="45"/>
      <x:c r="C14" s="45"/>
      <x:c r="D14" s="45"/>
      <x:c r="E14" s="45"/>
    </x:row>
    <x:row r="15">
      <x:c r="A15" s="46" t="str">
        <x:v>Recurring scale</x:v>
      </x:c>
      <x:c r="B15" s="47"/>
      <x:c r="C15" s="47"/>
      <x:c r="D15" s="47"/>
      <x:c r="E15" s="47"/>
    </x:row>
    <x:row r="16" ht="28" customHeight="1">
      <x:c r="A16" s="48" t="str">
        <x:v>Measure</x:v>
      </x:c>
      <x:c r="B16" s="48" t="str">
        <x:v>Value</x:v>
      </x:c>
      <x:c r="C16" s="48" t="str">
        <x:v>Unit</x:v>
      </x:c>
      <x:c r="D16" s="48" t="str">
        <x:v>State</x:v>
      </x:c>
      <x:c r="E16" s="48" t="str">
        <x:v>Interpretation</x:v>
      </x:c>
    </x:row>
    <x:row r="17">
      <x:c r="A17" s="10" t="str">
        <x:v>Mature annual operating cost</x:v>
      </x:c>
      <x:c r="B17" s="18" t="n">
        <x:f>SUM(D5:D12)</x:f>
        <x:v>119.20728949999999</x:v>
      </x:c>
      <x:c r="C17" s="10" t="str">
        <x:v>$B/year</x:v>
      </x:c>
      <x:c r="D17" s="18" t="str">
        <x:f>IF(AND(B17&gt;115,B17&lt;125),"PASS","FAIL")</x:f>
        <x:v>PASS</x:v>
      </x:c>
      <x:c r="E17" s="10" t="str">
        <x:v>Excludes host utility purchases and disaster reconstruction</x:v>
      </x:c>
    </x:row>
    <x:row r="18">
      <x:c r="A18" s="10" t="str">
        <x:v>Capital-equivalent average</x:v>
      </x:c>
      <x:c r="B18" s="18" t="n">
        <x:f>'Annual Capital'!C17</x:f>
        <x:v>67.92</x:v>
      </x:c>
      <x:c r="C18" s="10" t="str">
        <x:v>$B/year</x:v>
      </x:c>
      <x:c r="D18" s="18" t="str">
        <x:f>"PASS"</x:f>
        <x:v>PASS</x:v>
      </x:c>
      <x:c r="E18" s="10" t="str">
        <x:v>25-year total divided evenly</x:v>
      </x:c>
    </x:row>
    <x:row r="19">
      <x:c r="A19" s="10" t="str">
        <x:v>Peak build plus mature operation</x:v>
      </x:c>
      <x:c r="B19" s="18" t="n">
        <x:f>'Annual Capital'!C16+B17</x:f>
        <x:v>238.06728949999996</x:v>
      </x:c>
      <x:c r="C19" s="10" t="str">
        <x:v>$B/year</x:v>
      </x:c>
      <x:c r="D19" s="18" t="str">
        <x:f>"PASS"</x:f>
        <x:v>PASS</x:v>
      </x:c>
      <x:c r="E19" s="10" t="str">
        <x:v>Scale if mature O&amp;S overlapped years 6–10 capital</x:v>
      </x:c>
    </x:row>
    <x:row r="20">
      <x:c r="A20" s="10" t="str">
        <x:v>Workforce cost share</x:v>
      </x:c>
      <x:c r="B20" s="41" t="n">
        <x:f>D5/B17</x:f>
        <x:v>0.4821625400684914</x:v>
      </x:c>
      <x:c r="C20" s="10" t="str">
        <x:v>share</x:v>
      </x:c>
      <x:c r="D20" s="18" t="str">
        <x:f>"PASS"</x:f>
        <x:v>PASS</x:v>
      </x:c>
      <x:c r="E20" s="10" t="str">
        <x:v>Personnel / mature annual cost</x:v>
      </x:c>
    </x:row>
  </x:sheetData>
  <x:conditionalFormatting sqref="D17:D20">
    <x:cfRule type="containsText" dxfId="40" priority="1" operator="containsText" text="PASS"/>
    <x:cfRule type="containsText" dxfId="41" priority="2" operator="containsText" text="FAIL"/>
    <x:cfRule type="containsText" dxfId="42" priority="3" operator="containsText" text="OPEN"/>
    <x:cfRule type="containsText" dxfId="43" priority="4" operator="containsText" text="HOL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0" hidden="0" customWidth="1"/>
    <x:col min="3" max="3" width="38" hidden="0" customWidth="1"/>
    <x:col min="4" max="4" width="38" hidden="0" customWidth="1"/>
    <x:col min="5" max="5" width="20" hidden="0" customWidth="1"/>
    <x:col min="6" max="6" width="18" hidden="0" customWidth="1"/>
  </x:cols>
  <x:sheetData>
    <x:row r="1" ht="28" customHeight="1">
      <x:c r="A1" s="42" t="str">
        <x:v>Industrial Base</x:v>
      </x:c>
      <x:c r="B1" s="43"/>
      <x:c r="C1" s="43"/>
      <x:c r="D1" s="43"/>
      <x:c r="E1" s="43"/>
      <x:c r="F1" s="43"/>
    </x:row>
    <x:row r="2" ht="20" customHeight="1">
      <x:c r="A2" s="44" t="str">
        <x:v>Production capacity is a readiness component. Each line requires a sovereign fallback and qualified second source.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Industrial family</x:v>
      </x:c>
      <x:c r="B4" s="48" t="str">
        <x:v>Lead products</x:v>
      </x:c>
      <x:c r="C4" s="48" t="str">
        <x:v>Strategic bottleneck</x:v>
      </x:c>
      <x:c r="D4" s="48" t="str">
        <x:v>Required state</x:v>
      </x:c>
      <x:c r="E4" s="48" t="str">
        <x:v>Evidence year</x:v>
      </x:c>
      <x:c r="F4" s="48" t="str">
        <x:v>Gate</x:v>
      </x:c>
    </x:row>
    <x:row r="5">
      <x:c r="A5" s="15" t="str">
        <x:v>Energy-core shipbuilding</x:v>
      </x:c>
      <x:c r="B5" s="15" t="str">
        <x:v>NEC-300 and NEC-60 platforms</x:v>
      </x:c>
      <x:c r="C5" s="15" t="str">
        <x:v>Nuclear-qualified yards, modules, heavy forgings, marine safety</x:v>
      </x:c>
      <x:c r="D5" s="15" t="str">
        <x:v>Two qualified design/production paths plus public fallback</x:v>
      </x:c>
      <x:c r="E5" s="16" t="n">
        <x:v>15</x:v>
      </x:c>
      <x:c r="F5" s="15" t="str">
        <x:v>OPEN</x:v>
      </x:c>
    </x:row>
    <x:row r="6">
      <x:c r="A6" s="10" t="str">
        <x:v>Hybrid firm energy</x:v>
      </x:c>
      <x:c r="B6" s="10" t="str">
        <x:v>HFE-150 and compact variants</x:v>
      </x:c>
      <x:c r="C6" s="10" t="str">
        <x:v>Turbines/fuel cells, storage, emissions, fuel interfaces</x:v>
      </x:c>
      <x:c r="D6" s="10" t="str">
        <x:v>Three interchangeable source profiles</x:v>
      </x:c>
      <x:c r="E6" s="16" t="n">
        <x:v>10</x:v>
      </x:c>
      <x:c r="F6" s="10" t="str">
        <x:v>OPEN</x:v>
      </x:c>
    </x:row>
    <x:row r="7">
      <x:c r="A7" s="15" t="str">
        <x:v>Power electronics</x:v>
      </x:c>
      <x:c r="B7" s="15" t="str">
        <x:v>Grid-forming conversion, protection and controls</x:v>
      </x:c>
      <x:c r="C7" s="15" t="str">
        <x:v>High-power semiconductors, transformers, software common mode</x:v>
      </x:c>
      <x:c r="D7" s="15" t="str">
        <x:v>Two hardware and two independent control profiles</x:v>
      </x:c>
      <x:c r="E7" s="16" t="n">
        <x:v>8</x:v>
      </x:c>
      <x:c r="F7" s="15" t="str">
        <x:v>OPEN</x:v>
      </x:c>
    </x:row>
    <x:row r="8">
      <x:c r="A8" s="10" t="str">
        <x:v>Water process</x:v>
      </x:c>
      <x:c r="B8" s="10" t="str">
        <x:v>WPB-100, WPB-20 and shore trains</x:v>
      </x:c>
      <x:c r="C8" s="10" t="str">
        <x:v>Membranes, pretreatment, pumps, residuals and feed sensitivity</x:v>
      </x:c>
      <x:c r="D8" s="10" t="str">
        <x:v>Three process paths across reference feed matrix</x:v>
      </x:c>
      <x:c r="E8" s="16" t="n">
        <x:v>8</x:v>
      </x:c>
      <x:c r="F8" s="10" t="str">
        <x:v>OPEN</x:v>
      </x:c>
    </x:row>
    <x:row r="9">
      <x:c r="A9" s="15" t="str">
        <x:v>Marine interfaces</x:v>
      </x:c>
      <x:c r="B9" s="15" t="str">
        <x:v>Cable, hose, disconnect, mooring and landings</x:v>
      </x:c>
      <x:c r="C9" s="15" t="str">
        <x:v>Storm, corrosion, collision and cross-vendor protection</x:v>
      </x:c>
      <x:c r="D9" s="15" t="str">
        <x:v>Full-scale qualified interface families</x:v>
      </x:c>
      <x:c r="E9" s="16" t="n">
        <x:v>10</x:v>
      </x:c>
      <x:c r="F9" s="15" t="str">
        <x:v>OPEN</x:v>
      </x:c>
    </x:row>
    <x:row r="10">
      <x:c r="A10" s="10" t="str">
        <x:v>Utility corridors</x:v>
      </x:c>
      <x:c r="B10" s="10" t="str">
        <x:v>Pipe, cable, boosters, crossings and joint systems</x:v>
      </x:c>
      <x:c r="C10" s="10" t="str">
        <x:v>Material mass, production rate, joints, rights and transients</x:v>
      </x:c>
      <x:c r="D10" s="10" t="str">
        <x:v>Two heavy and two compact corridor systems</x:v>
      </x:c>
      <x:c r="E10" s="16" t="n">
        <x:v>10</x:v>
      </x:c>
      <x:c r="F10" s="10" t="str">
        <x:v>OPEN</x:v>
      </x:c>
    </x:row>
    <x:row r="11">
      <x:c r="A11" s="15" t="str">
        <x:v>Storage/distribution</x:v>
      </x:c>
      <x:c r="B11" s="15" t="str">
        <x:v>Reservoirs, district loops and sanitation</x:v>
      </x:c>
      <x:c r="C11" s="15" t="str">
        <x:v>Land, water quality, pressure and transfer</x:v>
      </x:c>
      <x:c r="D11" s="15" t="str">
        <x:v>Regional and high-head modular families</x:v>
      </x:c>
      <x:c r="E11" s="16" t="n">
        <x:v>8</x:v>
      </x:c>
      <x:c r="F11" s="15" t="str">
        <x:v>OPEN</x:v>
      </x:c>
    </x:row>
    <x:row r="12">
      <x:c r="A12" s="10" t="str">
        <x:v>Marine support</x:v>
      </x:c>
      <x:c r="B12" s="10" t="str">
        <x:v>Tugs, salvage, workboats and repair</x:v>
      </x:c>
      <x:c r="C12" s="10" t="str">
        <x:v>Crew depth, safe harbor and casualty response</x:v>
      </x:c>
      <x:c r="D12" s="10" t="str">
        <x:v>Basin-distributed fleets and depot depth</x:v>
      </x:c>
      <x:c r="E12" s="16" t="n">
        <x:v>10</x:v>
      </x:c>
      <x:c r="F12" s="10" t="str">
        <x:v>OPEN</x:v>
      </x:c>
    </x:row>
    <x:row r="13">
      <x:c r="A13" s="15" t="str">
        <x:v>Digital/evidence</x:v>
      </x:c>
      <x:c r="B13" s="15" t="str">
        <x:v>Site twins, configuration, offline control and data custody</x:v>
      </x:c>
      <x:c r="C13" s="15" t="str">
        <x:v>Vendor lock, cyber compromise, time/location/configuration error</x:v>
      </x:c>
      <x:c r="D13" s="15" t="str">
        <x:v>Open data contract and independent evidence stack</x:v>
      </x:c>
      <x:c r="E13" s="16" t="n">
        <x:v>6</x:v>
      </x:c>
      <x:c r="F13" s="15" t="str">
        <x:v>OPEN</x:v>
      </x:c>
    </x:row>
    <x:row r="14">
      <x:c r="A14" s="10" t="str">
        <x:v>Strategic materials</x:v>
      </x:c>
      <x:c r="B14" s="10" t="str">
        <x:v>Transformers, cable, pipe resin, membranes, valves and controls</x:v>
      </x:c>
      <x:c r="C14" s="10" t="str">
        <x:v>Long lead, foreign concentration and configuration drift</x:v>
      </x:c>
      <x:c r="D14" s="10" t="str">
        <x:v>Measured stocks, surge tooling and qualified substitutes</x:v>
      </x:c>
      <x:c r="E14" s="16" t="n">
        <x:v>6</x:v>
      </x:c>
      <x:c r="F14" s="10" t="str">
        <x:v>OPEN</x:v>
      </x:c>
    </x:row>
  </x:sheetData>
  <x:conditionalFormatting sqref="F5:F14">
    <x:cfRule type="containsText" dxfId="44" priority="1" operator="containsText" text="PASS"/>
    <x:cfRule type="containsText" dxfId="45" priority="2" operator="containsText" text="FAIL"/>
    <x:cfRule type="containsText" dxfId="46" priority="3" operator="containsText" text="OPEN"/>
    <x:cfRule type="containsText" dxfId="47" priority="4" operator="containsText" text="HOL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1" hidden="0" customWidth="1"/>
    <x:col min="3" max="3" width="45" hidden="0" customWidth="1"/>
    <x:col min="4" max="4" width="45" hidden="0" customWidth="1"/>
    <x:col min="5" max="5" width="20" hidden="0" customWidth="1"/>
  </x:cols>
  <x:sheetData>
    <x:row r="1" ht="28" customHeight="1">
      <x:c r="A1" s="42" t="str">
        <x:v>Command Structure</x:v>
      </x:c>
      <x:c r="B1" s="43"/>
      <x:c r="C1" s="43"/>
      <x:c r="D1" s="43"/>
      <x:c r="E1" s="43"/>
    </x:row>
    <x:row r="2" ht="20" customHeight="1">
      <x:c r="A2" s="44" t="str">
        <x:v>Utility Projection Command integrates six services while preserving geographic command and civil authority.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Element</x:v>
      </x:c>
      <x:c r="B4" s="48" t="str">
        <x:v>Standing responsibility</x:v>
      </x:c>
      <x:c r="C4" s="48" t="str">
        <x:v>Campaign responsibility</x:v>
      </x:c>
      <x:c r="D4" s="48" t="str">
        <x:v>Force source</x:v>
      </x:c>
      <x:c r="E4" s="48" t="str">
        <x:v>Command relationship</x:v>
      </x:c>
    </x:row>
    <x:row r="5">
      <x:c r="A5" s="15" t="str">
        <x:v>Utility Projection Command</x:v>
      </x:c>
      <x:c r="B5" s="15" t="str">
        <x:v>National utility readiness, doctrine, allocation and anchor network</x:v>
      </x:c>
      <x:c r="C5" s="15" t="str">
        <x:v>Provide scarce forces; become supported for multiregional system campaign when directed</x:v>
      </x:c>
      <x:c r="D5" s="15" t="str">
        <x:v>Unified functional command</x:v>
      </x:c>
      <x:c r="E5" s="15" t="str">
        <x:v>Reports through Chief of Resilience Staff</x:v>
      </x:c>
    </x:row>
    <x:row r="6">
      <x:c r="A6" s="10" t="str">
        <x:v>Anchor Network Command</x:v>
      </x:c>
      <x:c r="B6" s="10" t="str">
        <x:v>Operate federal anchor systems, site basis, agreements and exercises</x:v>
      </x:c>
      <x:c r="C6" s="10" t="str">
        <x:v>Open, substitute, divert and regenerate anchors</x:v>
      </x:c>
      <x:c r="D6" s="10" t="str">
        <x:v>Infrastructure, maritime and community services</x:v>
      </x:c>
      <x:c r="E6" s="10" t="str">
        <x:v>Subordinate to UPCOM</x:v>
      </x:c>
    </x:row>
    <x:row r="7">
      <x:c r="A7" s="15" t="str">
        <x:v>Energy and Water Projection Command</x:v>
      </x:c>
      <x:c r="B7" s="15" t="str">
        <x:v>Control national pools and interface configurations</x:v>
      </x:c>
      <x:c r="C7" s="15" t="str">
        <x:v>Allocate sources, process and shore-interface formations</x:v>
      </x:c>
      <x:c r="D7" s="15" t="str">
        <x:v>Infrastructure and maritime services</x:v>
      </x:c>
      <x:c r="E7" s="15" t="str">
        <x:v>Subordinate to UPCOM</x:v>
      </x:c>
    </x:row>
    <x:row r="8">
      <x:c r="A8" s="10" t="str">
        <x:v>Utility Corridor Command</x:v>
      </x:c>
      <x:c r="B8" s="10" t="str">
        <x:v>Train and control pipe, cable, grid, storage and heavy-repair formations</x:v>
      </x:c>
      <x:c r="C8" s="10" t="str">
        <x:v>Build or restore commissioned service routes</x:v>
      </x:c>
      <x:c r="D8" s="10" t="str">
        <x:v>Land and infrastructure services</x:v>
      </x:c>
      <x:c r="E8" s="10" t="str">
        <x:v>Subordinate to UPCOM</x:v>
      </x:c>
    </x:row>
    <x:row r="9">
      <x:c r="A9" s="15" t="str">
        <x:v>Utility Assurance Center</x:v>
      </x:c>
      <x:c r="B9" s="15" t="str">
        <x:v>Maintain models, configurations and national utility picture</x:v>
      </x:c>
      <x:c r="C9" s="15" t="str">
        <x:v>Support decisions and host independent release cells</x:v>
      </x:c>
      <x:c r="D9" s="15" t="str">
        <x:v>Joint technical workforce</x:v>
      </x:c>
      <x:c r="E9" s="15" t="str">
        <x:v>Subordinate analysis; release cells independent</x:v>
      </x:c>
    </x:row>
    <x:row r="10">
      <x:c r="A10" s="10" t="str">
        <x:v>Utility Sustainment and Industrial Command</x:v>
      </x:c>
      <x:c r="B10" s="10" t="str">
        <x:v>Depots, overhaul, spares, production and supplier health</x:v>
      </x:c>
      <x:c r="C10" s="10" t="str">
        <x:v>Sustain, replace and regenerate utility forces</x:v>
      </x:c>
      <x:c r="D10" s="10" t="str">
        <x:v>All services and certified industry</x:v>
      </x:c>
      <x:c r="E10" s="10" t="str">
        <x:v>Subordinate to UPCOM</x:v>
      </x:c>
    </x:row>
    <x:row r="11">
      <x:c r="A11" s="15" t="str">
        <x:v>Domestic geographic command</x:v>
      </x:c>
      <x:c r="B11" s="15" t="str">
        <x:v>Plan regional campaigns and host relationships</x:v>
      </x:c>
      <x:c r="C11" s="15" t="str">
        <x:v>Normally supported commander for civilian outcomes</x:v>
      </x:c>
      <x:c r="D11" s="15" t="str">
        <x:v>Joint assigned and attached forces</x:v>
      </x:c>
      <x:c r="E11" s="15" t="str">
        <x:v>Operational control in assigned campaign</x:v>
      </x:c>
    </x:row>
    <x:row r="12">
      <x:c r="A12" s="10" t="str">
        <x:v>Global Resilience Command</x:v>
      </x:c>
      <x:c r="B12" s="10" t="str">
        <x:v>Partner access, plans and global posture</x:v>
      </x:c>
      <x:c r="C12" s="10" t="str">
        <x:v>Supported commander for overseas stabilization</x:v>
      </x:c>
      <x:c r="D12" s="10" t="str">
        <x:v>Joint and partner forces</x:v>
      </x:c>
      <x:c r="E12" s="10" t="str">
        <x:v>Host-nation authority governs employment</x:v>
      </x:c>
    </x:row>
    <x:row r="13">
      <x:c r="A13" s="15" t="str">
        <x:v>Civil Resilience Authority</x:v>
      </x:c>
      <x:c r="B13" s="15" t="str">
        <x:v>Preparedness, legitimate priorities, assistance and accountability</x:v>
      </x:c>
      <x:c r="C13" s="15" t="str">
        <x:v>Civil principal and outcome governor</x:v>
      </x:c>
      <x:c r="D13" s="15" t="str">
        <x:v>Civil departmental institution</x:v>
      </x:c>
      <x:c r="E13" s="15" t="str">
        <x:v>Does not command technical stop decisions</x:v>
      </x:c>
    </x:row>
    <x:row r="14">
      <x:c r="A14" s="10" t="str">
        <x:v>Independent technical authorities</x:v>
      </x:c>
      <x:c r="B14" s="10" t="str">
        <x:v>Safety, grid energization, water release and environment</x:v>
      </x:c>
      <x:c r="C14" s="10" t="str">
        <x:v>Concur, condition or stop operation</x:v>
      </x:c>
      <x:c r="D14" s="10" t="str">
        <x:v>Regulators and licensed professionals</x:v>
      </x:c>
      <x:c r="E14" s="10" t="str">
        <x:v>Outside operating command's rating chain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9" hidden="0" customWidth="1"/>
    <x:col min="3" max="3" width="39" hidden="0" customWidth="1"/>
    <x:col min="4" max="4" width="26" hidden="0" customWidth="1"/>
    <x:col min="5" max="5" width="50" hidden="0" customWidth="1"/>
  </x:cols>
  <x:sheetData>
    <x:row r="1" ht="28" customHeight="1">
      <x:c r="A1" s="42" t="str">
        <x:v>Decision Rights</x:v>
      </x:c>
      <x:c r="B1" s="43"/>
      <x:c r="C1" s="43"/>
      <x:c r="D1" s="43"/>
      <x:c r="E1" s="43"/>
    </x:row>
    <x:row r="2" ht="20" customHeight="1">
      <x:c r="A2" s="44" t="str">
        <x:v>Speed comes from predelegated boundaries and practiced concurrence, not collapsed authority.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Decision</x:v>
      </x:c>
      <x:c r="B4" s="48" t="str">
        <x:v>Primary authority</x:v>
      </x:c>
      <x:c r="C4" s="48" t="str">
        <x:v>Required concurrence</x:v>
      </x:c>
      <x:c r="D4" s="48" t="str">
        <x:v>Cannot be delegated to</x:v>
      </x:c>
      <x:c r="E4" s="48" t="str">
        <x:v>Recorded evidence</x:v>
      </x:c>
    </x:row>
    <x:row r="5">
      <x:c r="A5" s="15" t="str">
        <x:v>Activate national utility package</x:v>
      </x:c>
      <x:c r="B5" s="15" t="str">
        <x:v>Secretary / Civil Resilience Authority under governing law</x:v>
      </x:c>
      <x:c r="C5" s="15" t="str">
        <x:v>Affected government and geographic command</x:v>
      </x:c>
      <x:c r="D5" s="15" t="str">
        <x:v>Equipment owner alone</x:v>
      </x:c>
      <x:c r="E5" s="15" t="str">
        <x:v>Public mission, priority and duration</x:v>
      </x:c>
    </x:row>
    <x:row r="6">
      <x:c r="A6" s="10" t="str">
        <x:v>Enter port or marine envelope</x:v>
      </x:c>
      <x:c r="B6" s="10" t="str">
        <x:v>Marine authority</x:v>
      </x:c>
      <x:c r="C6" s="10" t="str">
        <x:v>Source safety, port, navigation and security</x:v>
      </x:c>
      <x:c r="D6" s="10" t="str">
        <x:v>Utility commander alone</x:v>
      </x:c>
      <x:c r="E6" s="10" t="str">
        <x:v>Approach, weather and mooring release</x:v>
      </x:c>
    </x:row>
    <x:row r="7">
      <x:c r="A7" s="15" t="str">
        <x:v>Operate nuclear energy core</x:v>
      </x:c>
      <x:c r="B7" s="15" t="str">
        <x:v>Independent nuclear authority and licensed operator</x:v>
      </x:c>
      <x:c r="C7" s="15" t="str">
        <x:v>Marine envelope and emergency plan</x:v>
      </x:c>
      <x:c r="D7" s="15" t="str">
        <x:v>Incident commander</x:v>
      </x:c>
      <x:c r="E7" s="15" t="str">
        <x:v>As-operated safety configuration</x:v>
      </x:c>
    </x:row>
    <x:row r="8">
      <x:c r="A8" s="10" t="str">
        <x:v>Energize protected bus</x:v>
      </x:c>
      <x:c r="B8" s="10" t="str">
        <x:v>Grid technical authority</x:v>
      </x:c>
      <x:c r="C8" s="10" t="str">
        <x:v>Source, protection, grounding and civil load priority</x:v>
      </x:c>
      <x:c r="D8" s="10" t="str">
        <x:v>Source operator alone</x:v>
      </x:c>
      <x:c r="E8" s="10" t="str">
        <x:v>One-line, settings, survey and switching order</x:v>
      </x:c>
    </x:row>
    <x:row r="9">
      <x:c r="A9" s="15" t="str">
        <x:v>Release potable water</x:v>
      </x:c>
      <x:c r="B9" s="15" t="str">
        <x:v>Water-quality authority</x:v>
      </x:c>
      <x:c r="C9" s="15" t="str">
        <x:v>Process, laboratory, distribution and public-health cells</x:v>
      </x:c>
      <x:c r="D9" s="15" t="str">
        <x:v>Plant operator alone</x:v>
      </x:c>
      <x:c r="E9" s="15" t="str">
        <x:v>Samples, sensors, diversion and custody</x:v>
      </x:c>
    </x:row>
    <x:row r="10">
      <x:c r="A10" s="10" t="str">
        <x:v>Approve discharge or plume</x:v>
      </x:c>
      <x:c r="B10" s="10" t="str">
        <x:v>Environmental authority</x:v>
      </x:c>
      <x:c r="C10" s="10" t="str">
        <x:v>Process/source operators and host regulator</x:v>
      </x:c>
      <x:c r="D10" s="10" t="str">
        <x:v>Emergency logistics staff</x:v>
      </x:c>
      <x:c r="E10" s="10" t="str">
        <x:v>Mass balance, receiving conditions and permit basis</x:v>
      </x:c>
    </x:row>
    <x:row r="11">
      <x:c r="A11" s="15" t="str">
        <x:v>Allocate scarce public service</x:v>
      </x:c>
      <x:c r="B11" s="15" t="str">
        <x:v>Affected civil authority</x:v>
      </x:c>
      <x:c r="C11" s="15" t="str">
        <x:v>Civil Resilience Authority and technical feasibility</x:v>
      </x:c>
      <x:c r="D11" s="15" t="str">
        <x:v>Technical operators</x:v>
      </x:c>
      <x:c r="E11" s="15" t="str">
        <x:v>Priority, equity, accessibility and changes</x:v>
      </x:c>
    </x:row>
    <x:row r="12">
      <x:c r="A12" s="10" t="str">
        <x:v>Disconnect or safe shutdown</x:v>
      </x:c>
      <x:c r="B12" s="10" t="str">
        <x:v>Licensed source/marine/grid authority within trigger</x:v>
      </x:c>
      <x:c r="C12" s="10" t="str">
        <x:v>Geographic command notified immediately</x:v>
      </x:c>
      <x:c r="D12" s="10" t="str">
        <x:v>Political approval after unsafe trigger</x:v>
      </x:c>
      <x:c r="E12" s="10" t="str">
        <x:v>Trigger, action, state and service consequence</x:v>
      </x:c>
    </x:row>
    <x:row r="13">
      <x:c r="A13" s="15" t="str">
        <x:v>Transfer service to host</x:v>
      </x:c>
      <x:c r="B13" s="15" t="str">
        <x:v>Affected utility/government</x:v>
      </x:c>
      <x:c r="C13" s="15" t="str">
        <x:v>Technical release, records, workforce and residual support</x:v>
      </x:c>
      <x:c r="D13" s="15" t="str">
        <x:v>Deploying commander alone</x:v>
      </x:c>
      <x:c r="E13" s="15" t="str">
        <x:v>Accepted configuration and continuity milestones</x:v>
      </x:c>
    </x:row>
    <x:row r="14">
      <x:c r="A14" s="10" t="str">
        <x:v>Declare formation ready</x:v>
      </x:c>
      <x:c r="B14" s="10" t="str">
        <x:v>UPCOM readiness authority</x:v>
      </x:c>
      <x:c r="C14" s="10" t="str">
        <x:v>Services, independent test and technical authorities</x:v>
      </x:c>
      <x:c r="D14" s="10" t="str">
        <x:v>Program office or vendor</x:v>
      </x:c>
      <x:c r="E14" s="10" t="str">
        <x:v>Exact people, equipment, node, lift and sustainment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9" hidden="0" customWidth="1"/>
    <x:col min="3" max="3" width="49" hidden="0" customWidth="1"/>
    <x:col min="4" max="4" width="24" hidden="0" customWidth="1"/>
    <x:col min="5" max="5" width="18" hidden="0" customWidth="1"/>
  </x:cols>
  <x:sheetData>
    <x:row r="1" ht="28" customHeight="1">
      <x:c r="A1" s="42" t="str">
        <x:v>Failure Modes</x:v>
      </x:c>
      <x:c r="B1" s="43"/>
      <x:c r="C1" s="43"/>
      <x:c r="D1" s="43"/>
      <x:c r="E1" s="43"/>
    </x:row>
    <x:row r="2" ht="20" customHeight="1">
      <x:c r="A2" s="44" t="str">
        <x:v>National continuity depends on bounded failure and truthful allocation.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Failure</x:v>
      </x:c>
      <x:c r="B4" s="48" t="str">
        <x:v>Bounded state</x:v>
      </x:c>
      <x:c r="C4" s="48" t="str">
        <x:v>Design consequence</x:v>
      </x:c>
      <x:c r="D4" s="48" t="str">
        <x:v>Owner</x:v>
      </x:c>
      <x:c r="E4" s="48" t="str">
        <x:v>Evidence</x:v>
      </x:c>
    </x:row>
    <x:row r="5">
      <x:c r="A5" s="15" t="str">
        <x:v>Anchor complex lost</x:v>
      </x:c>
      <x:c r="B5" s="15" t="str">
        <x:v>Alternate anchor and local bridge accept declared blocks</x:v>
      </x:c>
      <x:c r="C5" s="15" t="str">
        <x:v>Spare receiving capacity and movement time enter readiness</x:v>
      </x:c>
      <x:c r="D5" s="15" t="str">
        <x:v>Geographic + UPCOM</x:v>
      </x:c>
      <x:c r="E5" s="15" t="str">
        <x:v>OPEN</x:v>
      </x:c>
    </x:row>
    <x:row r="6">
      <x:c r="A6" s="10" t="str">
        <x:v>Wet/back hazard common mode</x:v>
      </x:c>
      <x:c r="B6" s="10" t="str">
        <x:v>Complex receives no readiness credit</x:v>
      </x:c>
      <x:c r="C6" s="10" t="str">
        <x:v>Dissimilar pairing is a gate</x:v>
      </x:c>
      <x:c r="D6" s="10" t="str">
        <x:v>Anchor Network Command</x:v>
      </x:c>
      <x:c r="E6" s="10" t="str">
        <x:v>OPEN</x:v>
      </x:c>
    </x:row>
    <x:row r="7">
      <x:c r="A7" s="15" t="str">
        <x:v>Nuclear class hold</x:v>
      </x:c>
      <x:c r="B7" s="15" t="str">
        <x:v>Hybrid, shore and local sources use same interfaces</x:v>
      </x:c>
      <x:c r="C7" s="15" t="str">
        <x:v>Non-nuclear inventory and live substitution are mandatory</x:v>
      </x:c>
      <x:c r="D7" s="15" t="str">
        <x:v>UPCOM + technical authorities</x:v>
      </x:c>
      <x:c r="E7" s="15" t="str">
        <x:v>OPEN</x:v>
      </x:c>
    </x:row>
    <x:row r="8">
      <x:c r="A8" s="10" t="str">
        <x:v>Common converter/control defect</x:v>
      </x:c>
      <x:c r="B8" s="10" t="str">
        <x:v>Affected profile isolates; alternate profile operates safely</x:v>
      </x:c>
      <x:c r="C8" s="10" t="str">
        <x:v>Hardware, software and supplier diversity are national variables</x:v>
      </x:c>
      <x:c r="D8" s="10" t="str">
        <x:v>Technical authority</x:v>
      </x:c>
      <x:c r="E8" s="10" t="str">
        <x:v>OPEN</x:v>
      </x:c>
    </x:row>
    <x:row r="9">
      <x:c r="A9" s="15" t="str">
        <x:v>Two basins close</x:v>
      </x:c>
      <x:c r="B9" s="15" t="str">
        <x:v>National and inland pools reroute without exhausting reserve</x:v>
      </x:c>
      <x:c r="C9" s="15" t="str">
        <x:v>Allocation follows covariance rather than average utilization</x:v>
      </x:c>
      <x:c r="D9" s="15" t="str">
        <x:v>UPCOM</x:v>
      </x:c>
      <x:c r="E9" s="15" t="str">
        <x:v>OPEN</x:v>
      </x:c>
    </x:row>
    <x:row r="10">
      <x:c r="A10" s="10" t="str">
        <x:v>Island route interrupted</x:v>
      </x:c>
      <x:c r="B10" s="10" t="str">
        <x:v>Resident bridge and process systems sustain survival service</x:v>
      </x:c>
      <x:c r="C10" s="10" t="str">
        <x:v>Remote posture includes crews, spares and fuel</x:v>
      </x:c>
      <x:c r="D10" s="10" t="str">
        <x:v>Geographic command</x:v>
      </x:c>
      <x:c r="E10" s="10" t="str">
        <x:v>OPEN</x:v>
      </x:c>
    </x:row>
    <x:row r="11">
      <x:c r="A11" s="15" t="str">
        <x:v>Corridor rate misses plan</x:v>
      </x:c>
      <x:c r="B11" s="15" t="str">
        <x:v>Storage protects priority cells; service claim falls</x:v>
      </x:c>
      <x:c r="C11" s="15" t="str">
        <x:v>Commissioned route rate controls readiness</x:v>
      </x:c>
      <x:c r="D11" s="15" t="str">
        <x:v>Utility Corridor Command</x:v>
      </x:c>
      <x:c r="E11" s="15" t="str">
        <x:v>OPEN</x:v>
      </x:c>
    </x:row>
    <x:row r="12">
      <x:c r="A12" s="10" t="str">
        <x:v>Workforce mobilization fails</x:v>
      </x:c>
      <x:c r="B12" s="10" t="str">
        <x:v>Fewer systems operate; watchbills are not stretched</x:v>
      </x:c>
      <x:c r="C12" s="10" t="str">
        <x:v>Personnel and replacement crews are coequal with hardware</x:v>
      </x:c>
      <x:c r="D12" s="10" t="str">
        <x:v>Services</x:v>
      </x:c>
      <x:c r="E12" s="10" t="str">
        <x:v>OPEN</x:v>
      </x:c>
    </x:row>
    <x:row r="13">
      <x:c r="A13" s="15" t="str">
        <x:v>Host rejects operation</x:v>
      </x:c>
      <x:c r="B13" s="15" t="str">
        <x:v>System remains safe and does not impose service</x:v>
      </x:c>
      <x:c r="C13" s="15" t="str">
        <x:v>Consent and civil compact precede deployment</x:v>
      </x:c>
      <x:c r="D13" s="15" t="str">
        <x:v>Civil authority</x:v>
      </x:c>
      <x:c r="E13" s="15" t="str">
        <x:v>OPEN</x:v>
      </x:c>
    </x:row>
    <x:row r="14">
      <x:c r="A14" s="10" t="str">
        <x:v>Environmental limit binds</x:v>
      </x:c>
      <x:c r="B14" s="10" t="str">
        <x:v>Process derates/stops and alternate path activates</x:v>
      </x:c>
      <x:c r="C14" s="10" t="str">
        <x:v>Emergency value does not erase mass balance</x:v>
      </x:c>
      <x:c r="D14" s="10" t="str">
        <x:v>Environmental authority</x:v>
      </x:c>
      <x:c r="E14" s="10" t="str">
        <x:v>OPEN</x:v>
      </x:c>
    </x:row>
    <x:row r="15">
      <x:c r="A15" s="15" t="str">
        <x:v>Industrial surge misses</x:v>
      </x:c>
      <x:c r="B15" s="15" t="str">
        <x:v>Strategic spares and second source preserve bounded service</x:v>
      </x:c>
      <x:c r="C15" s="15" t="str">
        <x:v>Factories and tooling belong in readiness equation</x:v>
      </x:c>
      <x:c r="D15" s="15" t="str">
        <x:v>Industrial Command</x:v>
      </x:c>
      <x:c r="E15" s="15" t="str">
        <x:v>OPEN</x:v>
      </x:c>
    </x:row>
    <x:row r="16">
      <x:c r="A16" s="10" t="str">
        <x:v>Cost growth consumes reserve</x:v>
      </x:c>
      <x:c r="B16" s="10" t="str">
        <x:v>Quantity, pathway or mission changes openly</x:v>
      </x:c>
      <x:c r="C16" s="10" t="str">
        <x:v>Reserve cannot conceal unreconciled baseline</x:v>
      </x:c>
      <x:c r="D16" s="10" t="str">
        <x:v>Secretary + independent cost</x:v>
      </x:c>
      <x:c r="E16" s="10" t="str">
        <x:v>OPEN</x:v>
      </x:c>
    </x:row>
    <x:row r="17">
      <x:c r="A17" s="15" t="str">
        <x:v>Double-counted asset</x:v>
      </x:c>
      <x:c r="B17" s="15" t="str">
        <x:v>One authoritative allocation ledger rejects duplicate promise</x:v>
      </x:c>
      <x:c r="C17" s="15" t="str">
        <x:v>Every asset occupies one readiness pool and names actual source</x:v>
      </x:c>
      <x:c r="D17" s="15" t="str">
        <x:v>UPCOM readiness authority</x:v>
      </x:c>
      <x:c r="E17" s="15" t="str">
        <x:v>OPEN</x:v>
      </x:c>
    </x:row>
  </x:sheetData>
  <x:conditionalFormatting sqref="E5:E17">
    <x:cfRule type="containsText" dxfId="48" priority="1" operator="containsText" text="PASS"/>
    <x:cfRule type="containsText" dxfId="49" priority="2" operator="containsText" text="FAIL"/>
    <x:cfRule type="containsText" dxfId="50" priority="3" operator="containsText" text="OPEN"/>
    <x:cfRule type="containsText" dxfId="51" priority="4" operator="containsText" text="HOL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44" hidden="0" customWidth="1"/>
    <x:col min="4" max="4" width="44" hidden="0" customWidth="1"/>
    <x:col min="5" max="5" width="17" hidden="0" customWidth="1"/>
    <x:col min="6" max="6" width="18" hidden="0" customWidth="1"/>
  </x:cols>
  <x:sheetData>
    <x:row r="1" ht="28" customHeight="1">
      <x:c r="A1" s="42" t="str">
        <x:v>Evidence Gates</x:v>
      </x:c>
      <x:c r="B1" s="43"/>
      <x:c r="C1" s="43"/>
      <x:c r="D1" s="43"/>
      <x:c r="E1" s="43"/>
      <x:c r="F1" s="43"/>
    </x:row>
    <x:row r="2" ht="20" customHeight="1">
      <x:c r="A2" s="44" t="str">
        <x:v>All gates remain open. Workbook reconciliation does not prove a site, system or force.</x:v>
      </x:c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 ht="28" customHeight="1">
      <x:c r="A4" s="48" t="str">
        <x:v>ID</x:v>
      </x:c>
      <x:c r="B4" s="48" t="str">
        <x:v>Gate</x:v>
      </x:c>
      <x:c r="C4" s="48" t="str">
        <x:v>Closure evidence</x:v>
      </x:c>
      <x:c r="D4" s="48" t="str">
        <x:v>Hold condition</x:v>
      </x:c>
      <x:c r="E4" s="48" t="str">
        <x:v>State</x:v>
      </x:c>
      <x:c r="F4" s="48" t="str">
        <x:v>Blocks rendering</x:v>
      </x:c>
    </x:row>
    <x:row r="5">
      <x:c r="A5" s="15" t="str">
        <x:v>G01</x:v>
      </x:c>
      <x:c r="B5" s="15" t="str">
        <x:v>Compatible national data spine</x:v>
      </x:c>
      <x:c r="C5" s="15" t="str">
        <x:v>Versioned Census, utility, NOAA, FEMA, USGS, BTS and USACE definitions</x:v>
      </x:c>
      <x:c r="D5" s="15" t="str">
        <x:v>Incompatible denominators converted into one score</x:v>
      </x:c>
      <x:c r="E5" s="15" t="str">
        <x:v>OPEN</x:v>
      </x:c>
      <x:c r="F5" s="15" t="str">
        <x:v>YES</x:v>
      </x:c>
    </x:row>
    <x:row r="6">
      <x:c r="A6" s="10" t="str">
        <x:v>G02</x:v>
      </x:c>
      <x:c r="B6" s="10" t="str">
        <x:v>Candidate parcel alternatives</x:v>
      </x:c>
      <x:c r="C6" s="10" t="str">
        <x:v>Wet/back/route alternatives and published rejection records for each zone</x:v>
      </x:c>
      <x:c r="D6" s="10" t="str">
        <x:v>Zone name treated as selected site</x:v>
      </x:c>
      <x:c r="E6" s="10" t="str">
        <x:v>OPEN</x:v>
      </x:c>
      <x:c r="F6" s="10" t="str">
        <x:v>YES</x:v>
      </x:c>
    </x:row>
    <x:row r="7">
      <x:c r="A7" s="15" t="str">
        <x:v>G03</x:v>
      </x:c>
      <x:c r="B7" s="15" t="str">
        <x:v>Population-service catchments</x:v>
      </x:c>
      <x:c r="C7" s="15" t="str">
        <x:v>Time-phased power and water deficits under damaged networks</x:v>
      </x:c>
      <x:c r="D7" s="15" t="str">
        <x:v>Port throughput or population used as proxy for service need</x:v>
      </x:c>
      <x:c r="E7" s="15" t="str">
        <x:v>OPEN</x:v>
      </x:c>
      <x:c r="F7" s="15" t="str">
        <x:v>YES</x:v>
      </x:c>
    </x:row>
    <x:row r="8">
      <x:c r="A8" s="10" t="str">
        <x:v>G04</x:v>
      </x:c>
      <x:c r="B8" s="10" t="str">
        <x:v>Hazard covariance</x:v>
      </x:c>
      <x:c r="C8" s="10" t="str">
        <x:v>Joint hazard model for node, route, base, supplier and safe harbor</x:v>
      </x:c>
      <x:c r="D8" s="10" t="str">
        <x:v>Independent-site assumption materially overstates coverage</x:v>
      </x:c>
      <x:c r="E8" s="10" t="str">
        <x:v>OPEN</x:v>
      </x:c>
      <x:c r="F8" s="10" t="str">
        <x:v>YES</x:v>
      </x:c>
    </x:row>
    <x:row r="9">
      <x:c r="A9" s="15" t="str">
        <x:v>G05</x:v>
      </x:c>
      <x:c r="B9" s="15" t="str">
        <x:v>Damaged-route movement</x:v>
      </x:c>
      <x:c r="C9" s="15" t="str">
        <x:v>Air, sea, rail, road and waterway time distributions with closures</x:v>
      </x:c>
      <x:c r="D9" s="15" t="str">
        <x:v>Nominal distance substitutes for time to authorized effect</x:v>
      </x:c>
      <x:c r="E9" s="15" t="str">
        <x:v>OPEN</x:v>
      </x:c>
      <x:c r="F9" s="15" t="str">
        <x:v>YES</x:v>
      </x:c>
    </x:row>
    <x:row r="10">
      <x:c r="A10" s="10" t="str">
        <x:v>G06</x:v>
      </x:c>
      <x:c r="B10" s="10" t="str">
        <x:v>Regional utility engineering</x:v>
      </x:c>
      <x:c r="C10" s="10" t="str">
        <x:v>Solved electrical, water, thermal and environmental reference node</x:v>
      </x:c>
      <x:c r="D10" s="10" t="str">
        <x:v>RUA-300 cannot safely deliver declared service</x:v>
      </x:c>
      <x:c r="E10" s="10" t="str">
        <x:v>OPEN</x:v>
      </x:c>
      <x:c r="F10" s="10" t="str">
        <x:v>YES</x:v>
      </x:c>
    </x:row>
    <x:row r="11">
      <x:c r="A11" s="15" t="str">
        <x:v>G07</x:v>
      </x:c>
      <x:c r="B11" s="15" t="str">
        <x:v>Island utility engineering</x:v>
      </x:c>
      <x:c r="C11" s="15" t="str">
        <x:v>Small-grid, high-head water, fuel and remote sustainment closure</x:v>
      </x:c>
      <x:c r="D11" s="15" t="str">
        <x:v>NEC-60 or rival dominates grid or cannot sustain route</x:v>
      </x:c>
      <x:c r="E11" s="15" t="str">
        <x:v>OPEN</x:v>
      </x:c>
      <x:c r="F11" s="15" t="str">
        <x:v>YES</x:v>
      </x:c>
    </x:row>
    <x:row r="12">
      <x:c r="A12" s="10" t="str">
        <x:v>G08</x:v>
      </x:c>
      <x:c r="B12" s="10" t="str">
        <x:v>Inland utility engineering</x:v>
      </x:c>
      <x:c r="C12" s="10" t="str">
        <x:v>Freshwater, lock, rail, river, grid and fabrication mission closure</x:v>
      </x:c>
      <x:c r="D12" s="10" t="str">
        <x:v>Inland class cannot substitute when coastal access fails</x:v>
      </x:c>
      <x:c r="E12" s="10" t="str">
        <x:v>OPEN</x:v>
      </x:c>
      <x:c r="F12" s="10" t="str">
        <x:v>YES</x:v>
      </x:c>
    </x:row>
    <x:row r="13">
      <x:c r="A13" s="15" t="str">
        <x:v>G09</x:v>
      </x:c>
      <x:c r="B13" s="15" t="str">
        <x:v>Source-neutral full mission trial</x:v>
      </x:c>
      <x:c r="C13" s="15" t="str">
        <x:v>Live source swap through power, water, control and authority chain</x:v>
      </x:c>
      <x:c r="D13" s="15" t="str">
        <x:v>Substitution creates unsafe or prolonged service loss</x:v>
      </x:c>
      <x:c r="E13" s="15" t="str">
        <x:v>OPEN</x:v>
      </x:c>
      <x:c r="F13" s="15" t="str">
        <x:v>YES</x:v>
      </x:c>
    </x:row>
    <x:row r="14">
      <x:c r="A14" s="10" t="str">
        <x:v>G10</x:v>
      </x:c>
      <x:c r="B14" s="10" t="str">
        <x:v>Fleet queue and repair model</x:v>
      </x:c>
      <x:c r="C14" s="10" t="str">
        <x:v>Campaign arrival, outage, repair, transit and regeneration distributions</x:v>
      </x:c>
      <x:c r="D14" s="10" t="str">
        <x:v>Simple availability materially understates demand</x:v>
      </x:c>
      <x:c r="E14" s="10" t="str">
        <x:v>OPEN</x:v>
      </x:c>
      <x:c r="F14" s="10" t="str">
        <x:v>YES</x:v>
      </x:c>
    </x:row>
    <x:row r="15">
      <x:c r="A15" s="15" t="str">
        <x:v>G11</x:v>
      </x:c>
      <x:c r="B15" s="15" t="str">
        <x:v>Correlated class-hold model</x:v>
      </x:c>
      <x:c r="C15" s="15" t="str">
        <x:v>Supplier, design, regulator, software, port and workforce dependence</x:v>
      </x:c>
      <x:c r="D15" s="15" t="str">
        <x:v>Fifteen or twelve units do not meet 95% real availability</x:v>
      </x:c>
      <x:c r="E15" s="15" t="str">
        <x:v>OPEN</x:v>
      </x:c>
      <x:c r="F15" s="15" t="str">
        <x:v>YES</x:v>
      </x:c>
    </x:row>
    <x:row r="16">
      <x:c r="A16" s="10" t="str">
        <x:v>G12</x:v>
      </x:c>
      <x:c r="B16" s="10" t="str">
        <x:v>Workforce task analysis</x:v>
      </x:c>
      <x:c r="C16" s="10" t="str">
        <x:v>Watch, skill, qualification, rotation, reserve and training pipeline</x:v>
      </x:c>
      <x:c r="D16" s="10" t="str">
        <x:v>198,200-billet screen lacks achievable occupation supply</x:v>
      </x:c>
      <x:c r="E16" s="10" t="str">
        <x:v>OPEN</x:v>
      </x:c>
      <x:c r="F16" s="10" t="str">
        <x:v>YES</x:v>
      </x:c>
    </x:row>
    <x:row r="17">
      <x:c r="A17" s="15" t="str">
        <x:v>G13</x:v>
      </x:c>
      <x:c r="B17" s="15" t="str">
        <x:v>Industrial capacity</x:v>
      </x:c>
      <x:c r="C17" s="15" t="str">
        <x:v>Yard, factory, material, second-source and surge schedules</x:v>
      </x:c>
      <x:c r="D17" s="15" t="str">
        <x:v>Capital buys inventory faster than industry can produce or maintain it</x:v>
      </x:c>
      <x:c r="E17" s="15" t="str">
        <x:v>OPEN</x:v>
      </x:c>
      <x:c r="F17" s="15" t="str">
        <x:v>YES</x:v>
      </x:c>
    </x:row>
    <x:row r="18">
      <x:c r="A18" s="10" t="str">
        <x:v>G14</x:v>
      </x:c>
      <x:c r="B18" s="10" t="str">
        <x:v>Independent capital estimate</x:v>
      </x:c>
      <x:c r="C18" s="10" t="str">
        <x:v>Reference-class ranges, schedule, land, environment and decommissioning</x:v>
      </x:c>
      <x:c r="D18" s="10" t="str">
        <x:v>$1.698T design frame mistaken for budget baseline</x:v>
      </x:c>
      <x:c r="E18" s="10" t="str">
        <x:v>OPEN</x:v>
      </x:c>
      <x:c r="F18" s="10" t="str">
        <x:v>YES</x:v>
      </x:c>
    </x:row>
    <x:row r="19">
      <x:c r="A19" s="15" t="str">
        <x:v>G15</x:v>
      </x:c>
      <x:c r="B19" s="15" t="str">
        <x:v>Recurring cost and revenue</x:v>
      </x:c>
      <x:c r="C19" s="15" t="str">
        <x:v>O&amp;S distributions, host services, fuel, recapitalization and benefits</x:v>
      </x:c>
      <x:c r="D19" s="15" t="str">
        <x:v>$119B screen omits dominant burden</x:v>
      </x:c>
      <x:c r="E19" s="15" t="str">
        <x:v>OPEN</x:v>
      </x:c>
      <x:c r="F19" s="15" t="str">
        <x:v>YES</x:v>
      </x:c>
    </x:row>
    <x:row r="20">
      <x:c r="A20" s="10" t="str">
        <x:v>G16</x:v>
      </x:c>
      <x:c r="B20" s="10" t="str">
        <x:v>Command and authority exercise</x:v>
      </x:c>
      <x:c r="C20" s="10" t="str">
        <x:v>Multijurisdictional activation, stop, allocation and transfer trials</x:v>
      </x:c>
      <x:c r="D20" s="10" t="str">
        <x:v>Unity of command erases legitimate or technical authority</x:v>
      </x:c>
      <x:c r="E20" s="10" t="str">
        <x:v>OPEN</x:v>
      </x:c>
      <x:c r="F20" s="10" t="str">
        <x:v>YES</x:v>
      </x:c>
    </x:row>
    <x:row r="21">
      <x:c r="A21" s="15" t="str">
        <x:v>G17</x:v>
      </x:c>
      <x:c r="B21" s="15" t="str">
        <x:v>Partner and sovereignty framework</x:v>
      </x:c>
      <x:c r="C21" s="15" t="str">
        <x:v>Territorial, tribal and overseas compacts with custody and liability</x:v>
      </x:c>
      <x:c r="D21" s="15" t="str">
        <x:v>Global posture assumes access or transfers risk without consent</x:v>
      </x:c>
      <x:c r="E21" s="15" t="str">
        <x:v>OPEN</x:v>
      </x:c>
      <x:c r="F21" s="15" t="str">
        <x:v>YES</x:v>
      </x:c>
    </x:row>
    <x:row r="22">
      <x:c r="A22" s="10" t="str">
        <x:v>G18</x:v>
      </x:c>
      <x:c r="B22" s="10" t="str">
        <x:v>Department-wide WBS reconciliation</x:v>
      </x:c>
      <x:c r="C22" s="10" t="str">
        <x:v>Utility, proving, technology, mobility and other domain overlap removed</x:v>
      </x:c>
      <x:c r="D22" s="10" t="str">
        <x:v>Separate study envelopes are added and double count capacity</x:v>
      </x:c>
      <x:c r="E22" s="10" t="str">
        <x:v>OPEN</x:v>
      </x:c>
      <x:c r="F22" s="10" t="str">
        <x:v>YES</x:v>
      </x:c>
    </x:row>
  </x:sheetData>
  <x:conditionalFormatting sqref="E5:E22">
    <x:cfRule type="containsText" dxfId="52" priority="1" operator="containsText" text="PASS"/>
    <x:cfRule type="containsText" dxfId="53" priority="2" operator="containsText" text="FAIL"/>
    <x:cfRule type="containsText" dxfId="54" priority="3" operator="containsText" text="OPEN"/>
    <x:cfRule type="containsText" dxfId="55" priority="4" operator="containsText" text="HOL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27" hidden="0" customWidth="1"/>
    <x:col min="4" max="4" width="18" hidden="0" customWidth="1"/>
    <x:col min="5" max="5" width="65" hidden="0" customWidth="1"/>
  </x:cols>
  <x:sheetData>
    <x:row r="1" ht="28" customHeight="1">
      <x:c r="A1" s="42" t="str">
        <x:v>Sources</x:v>
      </x:c>
      <x:c r="B1" s="43"/>
      <x:c r="C1" s="43"/>
      <x:c r="D1" s="43"/>
      <x:c r="E1" s="43"/>
    </x:row>
    <x:row r="2" ht="20" customHeight="1">
      <x:c r="A2" s="44" t="str">
        <x:v>Official primary sources define data, hazards, ports, islands and grid-system boundaries. Model quantities remain explicit assumptions.</x:v>
      </x:c>
      <x:c r="B2" s="44"/>
      <x:c r="C2" s="44"/>
      <x:c r="D2" s="44"/>
      <x:c r="E2" s="44"/>
    </x:row>
    <x:row r="3">
      <x:c r="A3" s="45"/>
      <x:c r="B3" s="45"/>
      <x:c r="C3" s="45"/>
      <x:c r="D3" s="45"/>
      <x:c r="E3" s="45"/>
    </x:row>
    <x:row r="4" ht="28" customHeight="1">
      <x:c r="A4" s="48" t="str">
        <x:v>ID</x:v>
      </x:c>
      <x:c r="B4" s="48" t="str">
        <x:v>Title</x:v>
      </x:c>
      <x:c r="C4" s="48" t="str">
        <x:v>Institution</x:v>
      </x:c>
      <x:c r="D4" s="48" t="str">
        <x:v>Date/access</x:v>
      </x:c>
      <x:c r="E4" s="48" t="str">
        <x:v>Use</x:v>
      </x:c>
    </x:row>
    <x:row r="5">
      <x:c r="A5" s="15" t="str">
        <x:v>DOE-MICROGRID</x:v>
      </x:c>
      <x:c r="B5" s="15" t="str">
        <x:v>Microgrid Program Strategy</x:v>
      </x:c>
      <x:c r="C5" s="15" t="str">
        <x:v>U.S. Department of Energy</x:v>
      </x:c>
      <x:c r="D5" s="15" t="str">
        <x:v>2026-09-04</x:v>
      </x:c>
      <x:c r="E5" s="15" t="str">
        <x:v>Standardized adaptive control, networked microgrids, advanced interfaces and port electrification</x:v>
      </x:c>
    </x:row>
    <x:row r="6">
      <x:c r="A6" s="10" t="str">
        <x:v>FEMA-NRI</x:v>
      </x:c>
      <x:c r="B6" s="10" t="str">
        <x:v>National Risk Index Technical Documentation v1.20</x:v>
      </x:c>
      <x:c r="C6" s="10" t="str">
        <x:v>FEMA</x:v>
      </x:c>
      <x:c r="D6" s="10" t="str">
        <x:v>2025-12</x:v>
      </x:c>
      <x:c r="E6" s="10" t="str">
        <x:v>National hazard taxonomy and relative-risk method; not an engineering site selector</x:v>
      </x:c>
    </x:row>
    <x:row r="7">
      <x:c r="A7" s="15" t="str">
        <x:v>USGS-NSHM</x:v>
      </x:c>
      <x:c r="B7" s="15" t="str">
        <x:v>2023 50-State Long-term National Seismic Hazard Model</x:v>
      </x:c>
      <x:c r="C7" s="15" t="str">
        <x:v>U.S. Geological Survey</x:v>
      </x:c>
      <x:c r="D7" s="15" t="str">
        <x:v>2024</x:v>
      </x:c>
      <x:c r="E7" s="15" t="str">
        <x:v>Probabilistic shaking science for all fifty states</x:v>
      </x:c>
    </x:row>
    <x:row r="8">
      <x:c r="A8" s="10" t="str">
        <x:v>BTS-PORTS26</x:v>
      </x:c>
      <x:c r="B8" s="10" t="str">
        <x:v>Port Performance Freight Statistics 2026</x:v>
      </x:c>
      <x:c r="C8" s="10" t="str">
        <x:v>Bureau of Transportation Statistics</x:v>
      </x:c>
      <x:c r="D8" s="10" t="str">
        <x:v>2026</x:v>
      </x:c>
      <x:c r="E8" s="10" t="str">
        <x:v>Nationally consistent port capacity, throughput and economic context</x:v>
      </x:c>
    </x:row>
    <x:row r="9">
      <x:c r="A9" s="15" t="str">
        <x:v>USACE-WCSC</x:v>
      </x:c>
      <x:c r="B9" s="15" t="str">
        <x:v>Waterborne Commerce</x:v>
      </x:c>
      <x:c r="C9" s="15" t="str">
        <x:v>U.S. Army Corps of Engineers</x:v>
      </x:c>
      <x:c r="D9" s="15" t="str">
        <x:v>2026-09-04</x:v>
      </x:c>
      <x:c r="E9" s="15" t="str">
        <x:v>Vessel, commodity, origin, destination, port, waterway and territory data spine</x:v>
      </x:c>
    </x:row>
    <x:row r="10">
      <x:c r="A10" s="10" t="str">
        <x:v>USACE-INLAND</x:v>
      </x:c>
      <x:c r="B10" s="10" t="str">
        <x:v>Inland Waterways Users Board 35th Annual Report</x:v>
      </x:c>
      <x:c r="C10" s="10" t="str">
        <x:v>U.S. Army Corps of Engineers</x:v>
      </x:c>
      <x:c r="D10" s="10" t="str">
        <x:v>2024</x:v>
      </x:c>
      <x:c r="E10" s="10" t="str">
        <x:v>Inland-system scale, value and infrastructure-age context</x:v>
      </x:c>
    </x:row>
    <x:row r="11">
      <x:c r="A11" s="15" t="str">
        <x:v>CENSUS-ISLANDS</x:v>
      </x:c>
      <x:c r="B11" s="15" t="str">
        <x:v>Population Estimates and Projections for U.S. Island Areas</x:v>
      </x:c>
      <x:c r="C11" s="15" t="str">
        <x:v>U.S. Census Bureau</x:v>
      </x:c>
      <x:c r="D11" s="15" t="str">
        <x:v>2026-09-04</x:v>
      </x:c>
      <x:c r="E11" s="15" t="str">
        <x:v>Distinct island-area population data and release methods</x:v>
      </x:c>
    </x:row>
    <x:row r="12">
      <x:c r="A12" s="10" t="str">
        <x:v>DOE-PR100</x:v>
      </x:c>
      <x:c r="B12" s="10" t="str">
        <x:v>Puerto Rico Grid Resilience and 100% Renewable Energy Study</x:v>
      </x:c>
      <x:c r="C12" s="10" t="str">
        <x:v>U.S. Department of Energy</x:v>
      </x:c>
      <x:c r="D12" s="10" t="str">
        <x:v>2024</x:v>
      </x:c>
      <x:c r="E12" s="10" t="str">
        <x:v>Grid-forming storage, black start and island-system scale</x:v>
      </x:c>
    </x:row>
    <x:row r="13">
      <x:c r="A13" s="15" t="str">
        <x:v>MARAD-PIDP26</x:v>
      </x:c>
      <x:c r="B13" s="15" t="str">
        <x:v>Port Infrastructure Development Program</x:v>
      </x:c>
      <x:c r="C13" s="15" t="str">
        <x:v>Maritime Administration</x:v>
      </x:c>
      <x:c r="D13" s="15" t="str">
        <x:v>2026</x:v>
      </x:c>
      <x:c r="E13" s="15" t="str">
        <x:v>Coastal, river and Great Lakes port capital, microgrid and electrification precedent</x:v>
      </x:c>
    </x:row>
    <x:row r="14">
      <x:c r="A14" s="10" t="str">
        <x:v>NOAA-QRT</x:v>
      </x:c>
      <x:c r="B14" s="10" t="str">
        <x:v>Quick Report Tool for Socioeconomic Data</x:v>
      </x:c>
      <x:c r="C14" s="10" t="str">
        <x:v>NOAA</x:v>
      </x:c>
      <x:c r="D14" s="10" t="str">
        <x:v>2026-09-04</x:v>
      </x:c>
      <x:c r="E14" s="10" t="str">
        <x:v>Coastal demographic, economic, hazard and infrastructure data plus compatibility limits</x:v>
      </x:c>
    </x:row>
    <x:row r="15">
      <x:c r="A15" s="15" t="str">
        <x:v>INTERNAL-RUA</x:v>
      </x:c>
      <x:c r="B15" s="15" t="str">
        <x:v>Resilience Utility Anchors</x:v>
      </x:c>
      <x:c r="C15" s="15" t="str">
        <x:v>Disaster Force research</x:v>
      </x:c>
      <x:c r="D15" s="15" t="str">
        <x:v>Pass 21</x:v>
      </x:c>
      <x:c r="E15" s="15" t="str">
        <x:v>Node anatomy, paired archetypes and source-neutral interface result</x:v>
      </x:c>
    </x:row>
    <x:row r="16">
      <x:c r="A16" s="10" t="str">
        <x:v>INTERNAL-READINESS</x:v>
      </x:c>
      <x:c r="B16" s="10" t="str">
        <x:v>Readiness and force generation</x:v>
      </x:c>
      <x:c r="C16" s="10" t="str">
        <x:v>Disaster Force research</x:v>
      </x:c>
      <x:c r="D16" s="10" t="str">
        <x:v>Pass 6/8</x:v>
      </x:c>
      <x:c r="E16" s="10" t="str">
        <x:v>3C + 5M + 2G + 20R, reserve, pools and layered posture</x:v>
      </x:c>
    </x:row>
    <x:row r="17">
      <x:c r="A17" s="45"/>
      <x:c r="B17" s="45"/>
      <x:c r="C17" s="45"/>
      <x:c r="D17" s="45"/>
      <x:c r="E17" s="45"/>
    </x:row>
    <x:row r="18">
      <x:c r="A18" s="45"/>
      <x:c r="B18" s="45"/>
      <x:c r="C18" s="45"/>
      <x:c r="D18" s="45"/>
      <x:c r="E18" s="45"/>
    </x:row>
    <x:row r="19">
      <x:c r="A19" s="46" t="str">
        <x:v>URLs</x:v>
      </x:c>
      <x:c r="B19" s="47"/>
      <x:c r="C19" s="47"/>
      <x:c r="D19" s="47"/>
      <x:c r="E19" s="47"/>
    </x:row>
    <x:row r="20" ht="50" customHeight="1">
      <x:c r="A20" s="10" t="str">
        <x:v>DOE-MICROGRID</x:v>
      </x:c>
      <x:c r="B20" s="10" t="str">
        <x:v>https://www.energy.gov/oe/microgrid-program-strategy</x:v>
      </x:c>
      <x:c r="C20" s="45"/>
      <x:c r="D20" s="45"/>
      <x:c r="E20" s="45"/>
    </x:row>
    <x:row r="21" ht="65" customHeight="1">
      <x:c r="A21" s="10" t="str">
        <x:v>FEMA-NRI</x:v>
      </x:c>
      <x:c r="B21" s="10" t="str">
        <x:v>https://www.fema.gov/sites/default/files/documents/fema_national-risk-index_technical-documentation.pdf</x:v>
      </x:c>
      <x:c r="C21" s="45"/>
      <x:c r="D21" s="45"/>
      <x:c r="E21" s="45"/>
    </x:row>
    <x:row r="22" ht="65" customHeight="1">
      <x:c r="A22" s="10" t="str">
        <x:v>USGS-NSHM</x:v>
      </x:c>
      <x:c r="B22" s="10" t="str">
        <x:v>https://www.usgs.gov/programs/earthquake-hazards/science/2023-50-state-long-term-national-seismic-hazard-model</x:v>
      </x:c>
      <x:c r="C22" s="45"/>
      <x:c r="D22" s="45"/>
      <x:c r="E22" s="45"/>
    </x:row>
    <x:row r="23" ht="50" customHeight="1">
      <x:c r="A23" s="10" t="str">
        <x:v>BTS-PORTS26</x:v>
      </x:c>
      <x:c r="B23" s="10" t="str">
        <x:v>https://rosap.ntl.bts.gov/view/dot/88517</x:v>
      </x:c>
      <x:c r="C23" s="45"/>
      <x:c r="D23" s="45"/>
      <x:c r="E23" s="45"/>
    </x:row>
    <x:row r="24" ht="70" customHeight="1">
      <x:c r="A24" s="10" t="str">
        <x:v>USACE-WCSC</x:v>
      </x:c>
      <x:c r="B24" s="10" t="str">
        <x:v>https://www.iwr.usace.army.mil/About/Technical-Centers/WCSC-Waterborne-Commerce-Statistics-Center/WCSC-Waterborne-Commerce/</x:v>
      </x:c>
      <x:c r="C24" s="45"/>
      <x:c r="D24" s="45"/>
      <x:c r="E24" s="45"/>
    </x:row>
    <x:row r="25" ht="70" customHeight="1">
      <x:c r="A25" s="10" t="str">
        <x:v>USACE-INLAND</x:v>
      </x:c>
      <x:c r="B25" s="10" t="str">
        <x:v>https://www.iwr.usace.army.mil/Portals/70/docs/IWUB/annual/IWUB%2035th%20Annual%20Report%20for%202023%20Feb24%20Final.pdf</x:v>
      </x:c>
      <x:c r="C25" s="45"/>
      <x:c r="D25" s="45"/>
      <x:c r="E25" s="45"/>
    </x:row>
    <x:row r="26" ht="50" customHeight="1">
      <x:c r="A26" s="10" t="str">
        <x:v>CENSUS-ISLANDS</x:v>
      </x:c>
      <x:c r="B26" s="10" t="str">
        <x:v>https://www.census.gov/programs-surveys/international-programs/about/idb/island-areas.html</x:v>
      </x:c>
      <x:c r="C26" s="45"/>
      <x:c r="D26" s="45"/>
      <x:c r="E26" s="45"/>
    </x:row>
    <x:row r="27" ht="70" customHeight="1">
      <x:c r="A27" s="10" t="str">
        <x:v>DOE-PR100</x:v>
      </x:c>
      <x:c r="B27" s="10" t="str">
        <x:v>https://www.energy.gov/sites/default/files/2024-08/CFE%20PR%20Grid%20Resilience%20and%20Transitions%20to%20100%20Renewable%20Energy.pdf</x:v>
      </x:c>
      <x:c r="C27" s="45"/>
      <x:c r="D27" s="45"/>
      <x:c r="E27" s="45"/>
    </x:row>
    <x:row r="28" ht="50" customHeight="1">
      <x:c r="A28" s="10" t="str">
        <x:v>MARAD-PIDP26</x:v>
      </x:c>
      <x:c r="B28" s="10" t="str">
        <x:v>https://www.maritime.dot.gov/PIDPgrants</x:v>
      </x:c>
      <x:c r="C28" s="45"/>
      <x:c r="D28" s="45"/>
      <x:c r="E28" s="45"/>
    </x:row>
    <x:row r="29" ht="50" customHeight="1">
      <x:c r="A29" s="10" t="str">
        <x:v>NOAA-QRT</x:v>
      </x:c>
      <x:c r="B29" s="10" t="str">
        <x:v>https://coast.noaa.gov/digitalcoast/tools/qrt.html</x:v>
      </x:c>
      <x:c r="C29" s="45"/>
      <x:c r="D29" s="45"/>
      <x:c r="E29" s="45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5" hidden="0" customWidth="1"/>
    <x:col min="3" max="3" width="18" hidden="0" customWidth="1"/>
    <x:col min="4" max="4" width="58" hidden="0" customWidth="1"/>
  </x:cols>
  <x:sheetData>
    <x:row r="1" ht="28" customHeight="1">
      <x:c r="A1" s="42" t="str">
        <x:v>Checks</x:v>
      </x:c>
      <x:c r="B1" s="43"/>
      <x:c r="C1" s="43"/>
      <x:c r="D1" s="43"/>
    </x:row>
    <x:row r="2" ht="20" customHeight="1">
      <x:c r="A2" s="44" t="str">
        <x:v>Arithmetic and declared relationship checks. Open evidence and rendering states are intentional.</x:v>
      </x:c>
      <x:c r="B2" s="44"/>
      <x:c r="C2" s="44"/>
      <x:c r="D2" s="44"/>
    </x:row>
    <x:row r="3">
      <x:c r="A3" s="45"/>
      <x:c r="B3" s="45"/>
      <x:c r="C3" s="45"/>
      <x:c r="D3" s="45"/>
    </x:row>
    <x:row r="4" ht="28" customHeight="1">
      <x:c r="A4" s="48" t="str">
        <x:v>ID</x:v>
      </x:c>
      <x:c r="B4" s="48" t="str">
        <x:v>Check</x:v>
      </x:c>
      <x:c r="C4" s="48" t="str">
        <x:v>Result</x:v>
      </x:c>
      <x:c r="D4" s="48" t="str">
        <x:v>Interpretation</x:v>
      </x:c>
    </x:row>
    <x:row r="5">
      <x:c r="A5" s="15" t="str">
        <x:v>C01</x:v>
      </x:c>
      <x:c r="B5" s="15" t="str">
        <x:v>Candidate-zone count</x:v>
      </x:c>
      <x:c r="C5" s="18" t="str">
        <x:f>IF(COUNTA('Candidate Zones'!A5:A30)=26,"PASS","FAIL")</x:f>
        <x:v>PASS</x:v>
      </x:c>
      <x:c r="D5" s="15" t="str">
        <x:v>Twenty-six planning zones</x:v>
      </x:c>
    </x:row>
    <x:row r="6">
      <x:c r="A6" s="10" t="str">
        <x:v>C02</x:v>
      </x:c>
      <x:c r="B6" s="10" t="str">
        <x:v>Coverage constraints pass</x:v>
      </x:c>
      <x:c r="C6" s="18" t="str">
        <x:f>IF(COUNTIF(Coverage!D5:D15,"PASS")=11,"PASS","FAIL")</x:f>
        <x:v>PASS</x:v>
      </x:c>
      <x:c r="D6" s="10" t="str">
        <x:v>All non-compensatory obligations met</x:v>
      </x:c>
    </x:row>
    <x:row r="7">
      <x:c r="A7" s="15" t="str">
        <x:v>C03</x:v>
      </x:c>
      <x:c r="B7" s="15" t="str">
        <x:v>Heavy source simultaneous demand</x:v>
      </x:c>
      <x:c r="C7" s="18" t="str">
        <x:f>IF(Concurrency!B15=7,"PASS","FAIL")</x:f>
        <x:v>PASS</x:v>
      </x:c>
      <x:c r="D7" s="15" t="str">
        <x:v>Two catastrophic regional plus major and global load</x:v>
      </x:c>
    </x:row>
    <x:row r="8">
      <x:c r="A8" s="10" t="str">
        <x:v>C04</x:v>
      </x:c>
      <x:c r="B8" s="10" t="str">
        <x:v>Compact source simultaneous demand</x:v>
      </x:c>
      <x:c r="C8" s="18" t="str">
        <x:f>IF(Concurrency!B16=5,"PASS","FAIL")</x:f>
        <x:v>PASS</x:v>
      </x:c>
      <x:c r="D8" s="10" t="str">
        <x:v>Island, major and compact global load</x:v>
      </x:c>
    </x:row>
    <x:row r="9">
      <x:c r="A9" s="15" t="str">
        <x:v>C05</x:v>
      </x:c>
      <x:c r="B9" s="15" t="str">
        <x:v>All selected inventories are minimum at 95%</x:v>
      </x:c>
      <x:c r="C9" s="18" t="str">
        <x:f>IF(COUNTIF('Fleet Reliability'!G5:G15,"PASS")=11,"PASS","FAIL")</x:f>
        <x:v>PASS</x:v>
      </x:c>
      <x:c r="D9" s="15" t="str">
        <x:v>Independent availability screen</x:v>
      </x:c>
    </x:row>
    <x:row r="10">
      <x:c r="A10" s="10" t="str">
        <x:v>C06</x:v>
      </x:c>
      <x:c r="B10" s="10" t="str">
        <x:v>Eight cores meet three-unit screen</x:v>
      </x:c>
      <x:c r="C10" s="18" t="str">
        <x:f>IF('Fleet Reliability'!D20&gt;=Controls!B12,"PASS","FAIL")</x:f>
        <x:v>PASS</x:v>
      </x:c>
      <x:c r="D10" s="10" t="str">
        <x:v>Prior limited-fleet finding reproduced</x:v>
      </x:c>
    </x:row>
    <x:row r="11">
      <x:c r="A11" s="15" t="str">
        <x:v>C07</x:v>
      </x:c>
      <x:c r="B11" s="15" t="str">
        <x:v>Eight cores fail seven-unit concurrency</x:v>
      </x:c>
      <x:c r="C11" s="18" t="str">
        <x:f>IF('Fleet Reliability'!D21&lt;Controls!B12,"PASS","FAIL")</x:f>
        <x:v>PASS</x:v>
      </x:c>
      <x:c r="D11" s="15" t="str">
        <x:v>New concurrency contradiction visible</x:v>
      </x:c>
    </x:row>
    <x:row r="12">
      <x:c r="A12" s="10" t="str">
        <x:v>C08</x:v>
      </x:c>
      <x:c r="B12" s="10" t="str">
        <x:v>Fifteen cores meet seven-unit concurrency</x:v>
      </x:c>
      <x:c r="C12" s="18" t="str">
        <x:f>IF('Fleet Reliability'!D22&gt;=Controls!B12,"PASS","FAIL")</x:f>
        <x:v>PASS</x:v>
      </x:c>
      <x:c r="D12" s="10" t="str">
        <x:v>Reference force inventory</x:v>
      </x:c>
    </x:row>
    <x:row r="13">
      <x:c r="A13" s="15" t="str">
        <x:v>C09</x:v>
      </x:c>
      <x:c r="B13" s="15" t="str">
        <x:v>Basin allocations equal inventories</x:v>
      </x:c>
      <x:c r="C13" s="18" t="str">
        <x:f>IF(SUMPRODUCT(--('Basin Allocation'!J5:J15='Fleet Demand'!J5:J15))=11,"PASS","FAIL")</x:f>
        <x:v>PASS</x:v>
      </x:c>
      <x:c r="D13" s="15" t="str">
        <x:v>No units lost or added across pools</x:v>
      </x:c>
    </x:row>
    <x:row r="14">
      <x:c r="A14" s="10" t="str">
        <x:v>C10</x:v>
      </x:c>
      <x:c r="B14" s="10" t="str">
        <x:v>Workforce screen</x:v>
      </x:c>
      <x:c r="C14" s="18" t="str">
        <x:f>IF(AND(Workforce!B29&gt;195000,Workforce!B29&lt;202000),"PASS","FAIL")</x:f>
        <x:v>PASS</x:v>
      </x:c>
      <x:c r="D14" s="10" t="str">
        <x:v>Approximately 198,200 billets</x:v>
      </x:c>
    </x:row>
    <x:row r="15">
      <x:c r="A15" s="15" t="str">
        <x:v>C11</x:v>
      </x:c>
      <x:c r="B15" s="15" t="str">
        <x:v>Anchor capital reconciliation</x:v>
      </x:c>
      <x:c r="C15" s="18" t="str">
        <x:f>'Capital Program'!E29</x:f>
        <x:v>PASS</x:v>
      </x:c>
      <x:c r="D15" s="15" t="str">
        <x:v>$344B before reserve</x:v>
      </x:c>
    </x:row>
    <x:row r="16">
      <x:c r="A16" s="10" t="str">
        <x:v>C12</x:v>
      </x:c>
      <x:c r="B16" s="10" t="str">
        <x:v>Mobile capital reconciliation</x:v>
      </x:c>
      <x:c r="C16" s="18" t="str">
        <x:f>'Capital Program'!E30</x:f>
        <x:v>PASS</x:v>
      </x:c>
      <x:c r="D16" s="10" t="str">
        <x:v>$571B before reserve</x:v>
      </x:c>
    </x:row>
    <x:row r="17">
      <x:c r="A17" s="15" t="str">
        <x:v>C13</x:v>
      </x:c>
      <x:c r="B17" s="15" t="str">
        <x:v>Enabling capital reconciliation</x:v>
      </x:c>
      <x:c r="C17" s="18" t="str">
        <x:f>'Capital Program'!E31</x:f>
        <x:v>PASS</x:v>
      </x:c>
      <x:c r="D17" s="15" t="str">
        <x:v>$500B before reserve</x:v>
      </x:c>
    </x:row>
    <x:row r="18">
      <x:c r="A18" s="10" t="str">
        <x:v>C14</x:v>
      </x:c>
      <x:c r="B18" s="10" t="str">
        <x:v>Total capital reconciliation</x:v>
      </x:c>
      <x:c r="C18" s="18" t="str">
        <x:f>'Capital Program'!E34</x:f>
        <x:v>PASS</x:v>
      </x:c>
      <x:c r="D18" s="10" t="str">
        <x:v>$1.698T including reserve</x:v>
      </x:c>
    </x:row>
    <x:row r="19">
      <x:c r="A19" s="15" t="str">
        <x:v>C15</x:v>
      </x:c>
      <x:c r="B19" s="15" t="str">
        <x:v>Annual capital phases reconcile</x:v>
      </x:c>
      <x:c r="C19" s="18" t="str">
        <x:f>'Annual Capital'!B15</x:f>
        <x:v>PASS</x:v>
      </x:c>
      <x:c r="D19" s="15" t="str">
        <x:v>Five phases equal total capital</x:v>
      </x:c>
    </x:row>
    <x:row r="20">
      <x:c r="A20" s="10" t="str">
        <x:v>C16</x:v>
      </x:c>
      <x:c r="B20" s="10" t="str">
        <x:v>Mature operating-cost screen</x:v>
      </x:c>
      <x:c r="C20" s="18" t="str">
        <x:f>'Operating Cost'!D17</x:f>
        <x:v>PASS</x:v>
      </x:c>
      <x:c r="D20" s="10" t="str">
        <x:v>Approximately $119B/year</x:v>
      </x:c>
    </x:row>
    <x:row r="21">
      <x:c r="A21" s="15" t="str">
        <x:v>C17</x:v>
      </x:c>
      <x:c r="B21" s="15" t="str">
        <x:v>All evidence gates remain open</x:v>
      </x:c>
      <x:c r="C21" s="18" t="str">
        <x:f>IF(COUNTIF('Evidence Gates'!E5:E22,"OPEN")=18,"OPEN","FAIL")</x:f>
        <x:v>OPEN</x:v>
      </x:c>
      <x:c r="D21" s="15" t="str">
        <x:v>No R3 or site closure claimed</x:v>
      </x:c>
    </x:row>
    <x:row r="22">
      <x:c r="A22" s="10" t="str">
        <x:v>C18</x:v>
      </x:c>
      <x:c r="B22" s="10" t="str">
        <x:v>Rendering remains blocked</x:v>
      </x:c>
      <x:c r="C22" s="18" t="str">
        <x:f>IF(COUNTIF('Evidence Gates'!F5:F22,"YES")=0,"PASS","OPEN")</x:f>
        <x:v>OPEN</x:v>
      </x:c>
      <x:c r="D22" s="10" t="str">
        <x:v>Any blocking gate holds rendering</x:v>
      </x:c>
    </x:row>
    <x:row r="23">
      <x:c r="A23" s="15" t="str">
        <x:v>C19</x:v>
      </x:c>
      <x:c r="B23" s="15" t="str">
        <x:v>Campaign count reconciles</x:v>
      </x:c>
      <x:c r="C23" s="18" t="str">
        <x:f>IF(Concurrency!B18=10,"PASS","FAIL")</x:f>
        <x:v>PASS</x:v>
      </x:c>
      <x:c r="D23" s="15" t="str">
        <x:v>3C + 5M + 2G equals ten simultaneous campaigns</x:v>
      </x:c>
    </x:row>
  </x:sheetData>
  <x:conditionalFormatting sqref="C5:C23">
    <x:cfRule type="containsText" dxfId="56" priority="1" operator="containsText" text="PASS"/>
    <x:cfRule type="containsText" dxfId="57" priority="2" operator="containsText" text="FAIL"/>
    <x:cfRule type="containsText" dxfId="58" priority="3" operator="containsText" text="OPEN"/>
    <x:cfRule type="containsText" dxfId="59" priority="4" operator="containsText" text="HOLD"/>
  </x:conditionalFormatting>
  <x:pageMargins left="0.7" right="0.7" top="0.75" bottom="0.75" header="0.3" footer="0.3"/>
</x:worksheet>
</file>